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ople.ey.com/personal/ariadna_moliner_salguero_es_ey_com/Documents/Documents/IRONHACK/Week 1/"/>
    </mc:Choice>
  </mc:AlternateContent>
  <xr:revisionPtr revIDLastSave="0" documentId="8_{D0803EFF-7B75-42C9-8F3B-279B3F81670F}" xr6:coauthVersionLast="47" xr6:coauthVersionMax="47" xr10:uidLastSave="{00000000-0000-0000-0000-000000000000}"/>
  <bookViews>
    <workbookView xWindow="-110" yWindow="-110" windowWidth="19420" windowHeight="11500" xr2:uid="{33CCCDD9-0E0A-2C40-B757-5EE213E28BF2}"/>
  </bookViews>
  <sheets>
    <sheet name="Todos" sheetId="1" r:id="rId1"/>
    <sheet name="vlookup_table" sheetId="7" r:id="rId2"/>
    <sheet name="Fórmulas Lab 4" sheetId="8" r:id="rId3"/>
  </sheets>
  <definedNames>
    <definedName name="_xlnm._FilterDatabase" localSheetId="0" hidden="1">Todos!$A$1:$V$1</definedName>
    <definedName name="_xlnm._FilterDatabase" localSheetId="1" hidden="1">vlookup_table!$B$1:$G$1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22" i="8"/>
  <c r="C21" i="8"/>
  <c r="C20" i="8"/>
  <c r="C19" i="8"/>
  <c r="C18" i="8"/>
  <c r="C15" i="8"/>
  <c r="C14" i="8"/>
  <c r="C13" i="8"/>
  <c r="C12" i="8"/>
  <c r="C11" i="8"/>
  <c r="C10" i="8"/>
  <c r="C9" i="8"/>
  <c r="C8" i="8"/>
  <c r="C7" i="8"/>
  <c r="C6" i="8"/>
  <c r="C5" i="8"/>
  <c r="C3" i="8"/>
  <c r="C2" i="8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2" i="1"/>
  <c r="S4029" i="1" a="1"/>
  <c r="S4029" i="1" s="1"/>
  <c r="S4028" i="1" a="1"/>
  <c r="S4028" i="1" s="1"/>
  <c r="S4027" i="1" a="1"/>
  <c r="S4027" i="1"/>
  <c r="S4026" i="1" a="1"/>
  <c r="S4026" i="1"/>
  <c r="S4025" i="1" a="1"/>
  <c r="S4025" i="1"/>
  <c r="S4024" i="1" a="1"/>
  <c r="S4024" i="1"/>
  <c r="S4023" i="1" a="1"/>
  <c r="S4023" i="1"/>
  <c r="S4022" i="1" a="1"/>
  <c r="S4022" i="1"/>
  <c r="S4021" i="1" a="1"/>
  <c r="S4021" i="1" s="1"/>
  <c r="S4020" i="1" a="1"/>
  <c r="S4020" i="1" s="1"/>
  <c r="S4019" i="1" a="1"/>
  <c r="S4019" i="1"/>
  <c r="S4018" i="1" a="1"/>
  <c r="S4018" i="1" s="1"/>
  <c r="S4017" i="1" a="1"/>
  <c r="S4017" i="1"/>
  <c r="S4016" i="1" a="1"/>
  <c r="S4016" i="1"/>
  <c r="S4015" i="1" a="1"/>
  <c r="S4015" i="1"/>
  <c r="S4014" i="1" a="1"/>
  <c r="S4014" i="1"/>
  <c r="S4013" i="1" a="1"/>
  <c r="S4013" i="1" s="1"/>
  <c r="S4012" i="1" a="1"/>
  <c r="S4012" i="1" s="1"/>
  <c r="S4011" i="1" a="1"/>
  <c r="S4011" i="1"/>
  <c r="S4010" i="1" a="1"/>
  <c r="S4010" i="1"/>
  <c r="S4009" i="1" a="1"/>
  <c r="S4009" i="1" s="1"/>
  <c r="S4008" i="1" a="1"/>
  <c r="S4008" i="1"/>
  <c r="S4007" i="1" a="1"/>
  <c r="S4007" i="1"/>
  <c r="S4006" i="1" a="1"/>
  <c r="S4006" i="1"/>
  <c r="S4005" i="1" a="1"/>
  <c r="S4005" i="1" s="1"/>
  <c r="S4004" i="1" a="1"/>
  <c r="S4004" i="1" s="1"/>
  <c r="S4003" i="1" a="1"/>
  <c r="S4003" i="1"/>
  <c r="S4002" i="1" a="1"/>
  <c r="S4002" i="1"/>
  <c r="S4001" i="1" a="1"/>
  <c r="S4001" i="1"/>
  <c r="S4000" i="1" a="1"/>
  <c r="S4000" i="1" s="1"/>
  <c r="S3999" i="1" a="1"/>
  <c r="S3999" i="1"/>
  <c r="S3998" i="1" a="1"/>
  <c r="S3998" i="1"/>
  <c r="S3997" i="1" a="1"/>
  <c r="S3997" i="1" s="1"/>
  <c r="S3996" i="1" a="1"/>
  <c r="S3996" i="1" s="1"/>
  <c r="S3995" i="1" a="1"/>
  <c r="S3995" i="1"/>
  <c r="S3994" i="1" a="1"/>
  <c r="S3994" i="1"/>
  <c r="S3993" i="1" a="1"/>
  <c r="S3993" i="1"/>
  <c r="S3992" i="1" a="1"/>
  <c r="S3992" i="1" s="1"/>
  <c r="S3991" i="1" a="1"/>
  <c r="S3991" i="1" s="1"/>
  <c r="S3990" i="1" a="1"/>
  <c r="S3990" i="1"/>
  <c r="S3989" i="1" a="1"/>
  <c r="S3989" i="1" s="1"/>
  <c r="S3988" i="1" a="1"/>
  <c r="S3988" i="1" s="1"/>
  <c r="S3987" i="1" a="1"/>
  <c r="S3987" i="1"/>
  <c r="S3986" i="1" a="1"/>
  <c r="S3986" i="1"/>
  <c r="S3985" i="1" a="1"/>
  <c r="S3985" i="1"/>
  <c r="S3984" i="1" a="1"/>
  <c r="S3984" i="1"/>
  <c r="S3983" i="1" a="1"/>
  <c r="S3983" i="1" s="1"/>
  <c r="S3982" i="1" a="1"/>
  <c r="S3982" i="1" s="1"/>
  <c r="S3981" i="1" a="1"/>
  <c r="S3981" i="1" s="1"/>
  <c r="S3980" i="1" a="1"/>
  <c r="S3980" i="1" s="1"/>
  <c r="S3979" i="1" a="1"/>
  <c r="S3979" i="1"/>
  <c r="S3978" i="1" a="1"/>
  <c r="S3978" i="1"/>
  <c r="S3977" i="1" a="1"/>
  <c r="S3977" i="1"/>
  <c r="S3976" i="1" a="1"/>
  <c r="S3976" i="1"/>
  <c r="S3975" i="1" a="1"/>
  <c r="S3975" i="1"/>
  <c r="S3974" i="1" a="1"/>
  <c r="S3974" i="1" s="1"/>
  <c r="S3973" i="1" a="1"/>
  <c r="S3973" i="1" s="1"/>
  <c r="S3972" i="1" a="1"/>
  <c r="S3972" i="1" s="1"/>
  <c r="S3971" i="1" a="1"/>
  <c r="S3971" i="1"/>
  <c r="S3970" i="1" a="1"/>
  <c r="S3970" i="1"/>
  <c r="S3969" i="1" a="1"/>
  <c r="S3969" i="1"/>
  <c r="S3968" i="1" a="1"/>
  <c r="S3968" i="1"/>
  <c r="S3967" i="1" a="1"/>
  <c r="S3967" i="1"/>
  <c r="S3966" i="1" a="1"/>
  <c r="S3966" i="1"/>
  <c r="S3965" i="1" a="1"/>
  <c r="S3965" i="1" s="1"/>
  <c r="S3964" i="1" a="1"/>
  <c r="S3964" i="1" s="1"/>
  <c r="S3963" i="1" a="1"/>
  <c r="S3963" i="1"/>
  <c r="S3962" i="1" a="1"/>
  <c r="S3962" i="1"/>
  <c r="S3961" i="1" a="1"/>
  <c r="S3961" i="1"/>
  <c r="S3960" i="1" a="1"/>
  <c r="S3960" i="1" s="1"/>
  <c r="S3959" i="1" a="1"/>
  <c r="S3959" i="1" s="1"/>
  <c r="S3958" i="1" a="1"/>
  <c r="S3958" i="1"/>
  <c r="S3957" i="1" a="1"/>
  <c r="S3957" i="1" s="1"/>
  <c r="S3956" i="1" a="1"/>
  <c r="S3956" i="1" s="1"/>
  <c r="S3955" i="1" a="1"/>
  <c r="S3955" i="1"/>
  <c r="S3954" i="1" a="1"/>
  <c r="S3954" i="1" s="1"/>
  <c r="S3953" i="1" a="1"/>
  <c r="S3953" i="1"/>
  <c r="S3952" i="1" a="1"/>
  <c r="S3952" i="1"/>
  <c r="S3951" i="1" a="1"/>
  <c r="S3951" i="1" s="1"/>
  <c r="S3950" i="1" a="1"/>
  <c r="S3950" i="1"/>
  <c r="S3949" i="1" a="1"/>
  <c r="S3949" i="1" s="1"/>
  <c r="S3948" i="1" a="1"/>
  <c r="S3948" i="1" s="1"/>
  <c r="S3947" i="1" a="1"/>
  <c r="S3947" i="1"/>
  <c r="S3946" i="1" a="1"/>
  <c r="S3946" i="1" s="1"/>
  <c r="S3945" i="1" a="1"/>
  <c r="S3945" i="1" s="1"/>
  <c r="S3944" i="1" a="1"/>
  <c r="S3944" i="1"/>
  <c r="S3943" i="1" a="1"/>
  <c r="S3943" i="1"/>
  <c r="S3942" i="1" a="1"/>
  <c r="S3942" i="1"/>
  <c r="S3941" i="1" a="1"/>
  <c r="S3941" i="1" s="1"/>
  <c r="S3940" i="1" a="1"/>
  <c r="S3940" i="1" s="1"/>
  <c r="S3939" i="1" a="1"/>
  <c r="S3939" i="1"/>
  <c r="S3938" i="1" a="1"/>
  <c r="S3938" i="1"/>
  <c r="S3937" i="1" a="1"/>
  <c r="S3937" i="1" s="1"/>
  <c r="S3936" i="1" a="1"/>
  <c r="S3936" i="1" s="1"/>
  <c r="S3935" i="1" a="1"/>
  <c r="S3935" i="1"/>
  <c r="S3934" i="1" a="1"/>
  <c r="S3934" i="1"/>
  <c r="S3933" i="1" a="1"/>
  <c r="S3933" i="1" s="1"/>
  <c r="S3932" i="1" a="1"/>
  <c r="S3932" i="1" s="1"/>
  <c r="S3931" i="1" a="1"/>
  <c r="S3931" i="1"/>
  <c r="S3930" i="1" a="1"/>
  <c r="S3930" i="1" s="1"/>
  <c r="S3929" i="1" a="1"/>
  <c r="S3929" i="1"/>
  <c r="S3928" i="1" a="1"/>
  <c r="S3928" i="1" s="1"/>
  <c r="S3927" i="1" a="1"/>
  <c r="S3927" i="1" s="1"/>
  <c r="S3926" i="1" a="1"/>
  <c r="S3926" i="1"/>
  <c r="S3925" i="1" a="1"/>
  <c r="S3925" i="1" s="1"/>
  <c r="S3924" i="1" a="1"/>
  <c r="S3924" i="1" s="1"/>
  <c r="S3923" i="1" a="1"/>
  <c r="S3923" i="1"/>
  <c r="S3922" i="1" a="1"/>
  <c r="S3922" i="1"/>
  <c r="S3921" i="1" a="1"/>
  <c r="S3921" i="1"/>
  <c r="S3920" i="1" a="1"/>
  <c r="S3920" i="1" s="1"/>
  <c r="S3919" i="1" a="1"/>
  <c r="S3919" i="1" s="1"/>
  <c r="S3918" i="1" a="1"/>
  <c r="S3918" i="1" s="1"/>
  <c r="S3917" i="1" a="1"/>
  <c r="S3917" i="1" s="1"/>
  <c r="S3916" i="1" a="1"/>
  <c r="S3916" i="1" s="1"/>
  <c r="S3915" i="1" a="1"/>
  <c r="S3915" i="1" s="1"/>
  <c r="S3914" i="1" a="1"/>
  <c r="S3914" i="1" s="1"/>
  <c r="S3913" i="1" a="1"/>
  <c r="S3913" i="1"/>
  <c r="S3912" i="1" a="1"/>
  <c r="S3912" i="1"/>
  <c r="S3911" i="1" a="1"/>
  <c r="S3911" i="1"/>
  <c r="S3910" i="1" a="1"/>
  <c r="S3910" i="1" s="1"/>
  <c r="S3909" i="1" a="1"/>
  <c r="S3909" i="1" s="1"/>
  <c r="S3908" i="1" a="1"/>
  <c r="S3908" i="1" s="1"/>
  <c r="S3907" i="1" a="1"/>
  <c r="S3907" i="1"/>
  <c r="S3906" i="1" a="1"/>
  <c r="S3906" i="1"/>
  <c r="S3905" i="1" a="1"/>
  <c r="S3905" i="1"/>
  <c r="S3904" i="1" a="1"/>
  <c r="S3904" i="1"/>
  <c r="S3903" i="1" a="1"/>
  <c r="S3903" i="1"/>
  <c r="S3902" i="1" a="1"/>
  <c r="S3902" i="1"/>
  <c r="S3901" i="1" a="1"/>
  <c r="S3901" i="1" s="1"/>
  <c r="S3900" i="1" a="1"/>
  <c r="S3900" i="1" s="1"/>
  <c r="S3899" i="1" a="1"/>
  <c r="S3899" i="1" s="1"/>
  <c r="S3898" i="1" a="1"/>
  <c r="S3898" i="1"/>
  <c r="S3897" i="1" a="1"/>
  <c r="S3897" i="1"/>
  <c r="S3896" i="1" a="1"/>
  <c r="S3896" i="1" s="1"/>
  <c r="S3895" i="1" a="1"/>
  <c r="S3895" i="1" s="1"/>
  <c r="S3894" i="1" a="1"/>
  <c r="S3894" i="1"/>
  <c r="S3893" i="1" a="1"/>
  <c r="S3893" i="1" s="1"/>
  <c r="S3892" i="1" a="1"/>
  <c r="S3892" i="1" s="1"/>
  <c r="S3891" i="1" a="1"/>
  <c r="S3891" i="1" s="1"/>
  <c r="S3890" i="1" a="1"/>
  <c r="S3890" i="1" s="1"/>
  <c r="S3889" i="1" a="1"/>
  <c r="S3889" i="1"/>
  <c r="S3888" i="1" a="1"/>
  <c r="S3888" i="1"/>
  <c r="S3887" i="1" a="1"/>
  <c r="S3887" i="1"/>
  <c r="S3886" i="1" a="1"/>
  <c r="S3886" i="1" s="1"/>
  <c r="S3885" i="1" a="1"/>
  <c r="S3885" i="1" s="1"/>
  <c r="S3884" i="1" a="1"/>
  <c r="S3884" i="1" s="1"/>
  <c r="S3883" i="1" a="1"/>
  <c r="S3883" i="1"/>
  <c r="S3882" i="1" a="1"/>
  <c r="S3882" i="1" s="1"/>
  <c r="S3881" i="1" a="1"/>
  <c r="S3881" i="1" s="1"/>
  <c r="S3880" i="1" a="1"/>
  <c r="S3880" i="1"/>
  <c r="S3879" i="1" a="1"/>
  <c r="S3879" i="1" s="1"/>
  <c r="S3878" i="1" a="1"/>
  <c r="S3878" i="1" s="1"/>
  <c r="S3877" i="1" a="1"/>
  <c r="S3877" i="1" s="1"/>
  <c r="S3876" i="1" a="1"/>
  <c r="S3876" i="1" s="1"/>
  <c r="S3875" i="1" a="1"/>
  <c r="S3875" i="1"/>
  <c r="S3874" i="1" a="1"/>
  <c r="S3874" i="1" s="1"/>
  <c r="S3873" i="1" a="1"/>
  <c r="S3873" i="1" s="1"/>
  <c r="S3872" i="1" a="1"/>
  <c r="S3872" i="1" s="1"/>
  <c r="S3871" i="1" a="1"/>
  <c r="S3871" i="1"/>
  <c r="S3870" i="1" a="1"/>
  <c r="S3870" i="1" s="1"/>
  <c r="S3869" i="1" a="1"/>
  <c r="S3869" i="1" s="1"/>
  <c r="S3868" i="1" a="1"/>
  <c r="S3868" i="1" s="1"/>
  <c r="S3867" i="1" a="1"/>
  <c r="S3867" i="1"/>
  <c r="S3866" i="1" a="1"/>
  <c r="S3866" i="1"/>
  <c r="S3865" i="1" a="1"/>
  <c r="S3865" i="1"/>
  <c r="S3864" i="1" a="1"/>
  <c r="S3864" i="1" s="1"/>
  <c r="S3863" i="1" a="1"/>
  <c r="S3863" i="1" s="1"/>
  <c r="S3862" i="1" a="1"/>
  <c r="S3862" i="1"/>
  <c r="S3861" i="1" a="1"/>
  <c r="S3861" i="1" s="1"/>
  <c r="S3860" i="1" a="1"/>
  <c r="S3860" i="1" s="1"/>
  <c r="S3859" i="1" a="1"/>
  <c r="S3859" i="1" s="1"/>
  <c r="S3858" i="1" a="1"/>
  <c r="S3858" i="1" s="1"/>
  <c r="S3857" i="1" a="1"/>
  <c r="S3857" i="1"/>
  <c r="S3856" i="1" a="1"/>
  <c r="S3856" i="1"/>
  <c r="S3855" i="1" a="1"/>
  <c r="S3855" i="1" s="1"/>
  <c r="S3854" i="1" a="1"/>
  <c r="S3854" i="1" s="1"/>
  <c r="S3853" i="1" a="1"/>
  <c r="S3853" i="1" s="1"/>
  <c r="S3852" i="1" a="1"/>
  <c r="S3852" i="1" s="1"/>
  <c r="S3851" i="1" a="1"/>
  <c r="S3851" i="1"/>
  <c r="S3850" i="1" a="1"/>
  <c r="S3850" i="1"/>
  <c r="S3849" i="1" a="1"/>
  <c r="S3849" i="1" s="1"/>
  <c r="S3848" i="1" a="1"/>
  <c r="S3848" i="1" s="1"/>
  <c r="S3847" i="1" a="1"/>
  <c r="S3847" i="1" s="1"/>
  <c r="S3846" i="1" a="1"/>
  <c r="S3846" i="1" s="1"/>
  <c r="S3845" i="1" a="1"/>
  <c r="S3845" i="1" s="1"/>
  <c r="S3844" i="1" a="1"/>
  <c r="S3844" i="1" s="1"/>
  <c r="S3843" i="1" a="1"/>
  <c r="S3843" i="1"/>
  <c r="S3842" i="1" a="1"/>
  <c r="S3842" i="1"/>
  <c r="S3841" i="1" a="1"/>
  <c r="S3841" i="1" s="1"/>
  <c r="S3840" i="1" a="1"/>
  <c r="S3840" i="1" s="1"/>
  <c r="S3839" i="1" a="1"/>
  <c r="S3839" i="1"/>
  <c r="S3838" i="1" a="1"/>
  <c r="S3838" i="1"/>
  <c r="S3837" i="1" a="1"/>
  <c r="S3837" i="1" s="1"/>
  <c r="S3836" i="1" a="1"/>
  <c r="S3836" i="1" s="1"/>
  <c r="S3835" i="1" a="1"/>
  <c r="S3835" i="1" s="1"/>
  <c r="S3834" i="1" a="1"/>
  <c r="S3834" i="1"/>
  <c r="S3833" i="1" a="1"/>
  <c r="S3833" i="1" s="1"/>
  <c r="S3832" i="1" a="1"/>
  <c r="S3832" i="1" s="1"/>
  <c r="S3831" i="1" a="1"/>
  <c r="S3831" i="1"/>
  <c r="S3830" i="1" a="1"/>
  <c r="S3830" i="1"/>
  <c r="S3829" i="1" a="1"/>
  <c r="S3829" i="1" s="1"/>
  <c r="S3828" i="1" a="1"/>
  <c r="S3828" i="1" s="1"/>
  <c r="S3827" i="1" a="1"/>
  <c r="S3827" i="1" s="1"/>
  <c r="S3826" i="1" a="1"/>
  <c r="S3826" i="1" s="1"/>
  <c r="S3825" i="1" a="1"/>
  <c r="S3825" i="1"/>
  <c r="S3824" i="1" a="1"/>
  <c r="S3824" i="1"/>
  <c r="S3823" i="1" a="1"/>
  <c r="S3823" i="1"/>
  <c r="S3822" i="1" a="1"/>
  <c r="S3822" i="1" s="1"/>
  <c r="S3821" i="1" a="1"/>
  <c r="S3821" i="1" s="1"/>
  <c r="S3820" i="1" a="1"/>
  <c r="S3820" i="1" s="1"/>
  <c r="S3819" i="1" a="1"/>
  <c r="S3819" i="1"/>
  <c r="S3818" i="1" a="1"/>
  <c r="S3818" i="1" s="1"/>
  <c r="S3817" i="1" a="1"/>
  <c r="S3817" i="1" s="1"/>
  <c r="S3816" i="1" a="1"/>
  <c r="S3816" i="1" s="1"/>
  <c r="S3815" i="1" a="1"/>
  <c r="S3815" i="1"/>
  <c r="S3814" i="1" a="1"/>
  <c r="S3814" i="1" s="1"/>
  <c r="S3813" i="1" a="1"/>
  <c r="S3813" i="1" s="1"/>
  <c r="S3812" i="1" a="1"/>
  <c r="S3812" i="1" s="1"/>
  <c r="S3811" i="1" a="1"/>
  <c r="S3811" i="1"/>
  <c r="S3810" i="1" a="1"/>
  <c r="S3810" i="1" s="1"/>
  <c r="S3809" i="1" a="1"/>
  <c r="S3809" i="1" s="1"/>
  <c r="S3808" i="1" a="1"/>
  <c r="S3808" i="1" s="1"/>
  <c r="S3807" i="1" a="1"/>
  <c r="S3807" i="1" s="1"/>
  <c r="S3806" i="1" a="1"/>
  <c r="S3806" i="1" s="1"/>
  <c r="S3805" i="1" a="1"/>
  <c r="S3805" i="1" s="1"/>
  <c r="S3804" i="1" a="1"/>
  <c r="S3804" i="1" s="1"/>
  <c r="S3803" i="1" a="1"/>
  <c r="S3803" i="1"/>
  <c r="S3802" i="1" a="1"/>
  <c r="S3802" i="1" s="1"/>
  <c r="S3801" i="1" a="1"/>
  <c r="S3801" i="1"/>
  <c r="S3800" i="1" a="1"/>
  <c r="S3800" i="1" s="1"/>
  <c r="S3799" i="1" a="1"/>
  <c r="S3799" i="1" s="1"/>
  <c r="S3798" i="1" a="1"/>
  <c r="S3798" i="1" s="1"/>
  <c r="S3797" i="1" a="1"/>
  <c r="S3797" i="1" s="1"/>
  <c r="S3796" i="1" a="1"/>
  <c r="S3796" i="1" s="1"/>
  <c r="S3795" i="1" a="1"/>
  <c r="S3795" i="1" s="1"/>
  <c r="S3794" i="1" a="1"/>
  <c r="S3794" i="1" s="1"/>
  <c r="S3793" i="1" a="1"/>
  <c r="S3793" i="1"/>
  <c r="S3792" i="1" a="1"/>
  <c r="S3792" i="1"/>
  <c r="S3791" i="1" a="1"/>
  <c r="S3791" i="1" s="1"/>
  <c r="S3790" i="1" a="1"/>
  <c r="S3790" i="1" s="1"/>
  <c r="S3789" i="1" a="1"/>
  <c r="S3789" i="1" s="1"/>
  <c r="S3788" i="1" a="1"/>
  <c r="S3788" i="1" s="1"/>
  <c r="S3787" i="1" a="1"/>
  <c r="S3787" i="1"/>
  <c r="S3786" i="1" a="1"/>
  <c r="S3786" i="1" s="1"/>
  <c r="S3785" i="1" a="1"/>
  <c r="S3785" i="1" s="1"/>
  <c r="S3784" i="1" a="1"/>
  <c r="S3784" i="1" s="1"/>
  <c r="S3783" i="1" a="1"/>
  <c r="S3783" i="1"/>
  <c r="S3782" i="1" a="1"/>
  <c r="S3782" i="1" s="1"/>
  <c r="S3781" i="1" a="1"/>
  <c r="S3781" i="1" s="1"/>
  <c r="S3780" i="1" a="1"/>
  <c r="S3780" i="1" s="1"/>
  <c r="S3779" i="1" a="1"/>
  <c r="S3779" i="1"/>
  <c r="S3778" i="1" a="1"/>
  <c r="S3778" i="1"/>
  <c r="S3777" i="1" a="1"/>
  <c r="S3777" i="1" s="1"/>
  <c r="S3776" i="1" a="1"/>
  <c r="S3776" i="1"/>
  <c r="S3775" i="1" a="1"/>
  <c r="S3775" i="1"/>
  <c r="S3774" i="1" a="1"/>
  <c r="S3774" i="1"/>
  <c r="S3773" i="1" a="1"/>
  <c r="S3773" i="1" s="1"/>
  <c r="S3772" i="1" a="1"/>
  <c r="S3772" i="1" s="1"/>
  <c r="S3771" i="1" a="1"/>
  <c r="S3771" i="1" s="1"/>
  <c r="S3770" i="1" a="1"/>
  <c r="S3770" i="1"/>
  <c r="S3769" i="1" a="1"/>
  <c r="S3769" i="1"/>
  <c r="S3768" i="1" a="1"/>
  <c r="S3768" i="1" s="1"/>
  <c r="S3767" i="1" a="1"/>
  <c r="S3767" i="1" s="1"/>
  <c r="S3766" i="1" a="1"/>
  <c r="S3766" i="1" s="1"/>
  <c r="S3765" i="1" a="1"/>
  <c r="S3765" i="1" s="1"/>
  <c r="S3764" i="1" a="1"/>
  <c r="S3764" i="1" s="1"/>
  <c r="S3763" i="1" a="1"/>
  <c r="S3763" i="1" s="1"/>
  <c r="S3762" i="1" a="1"/>
  <c r="S3762" i="1" s="1"/>
  <c r="S3761" i="1" a="1"/>
  <c r="S3761" i="1"/>
  <c r="S3760" i="1" a="1"/>
  <c r="S3760" i="1" s="1"/>
  <c r="S3759" i="1" a="1"/>
  <c r="S3759" i="1"/>
  <c r="S3758" i="1" a="1"/>
  <c r="S3758" i="1"/>
  <c r="S3757" i="1" a="1"/>
  <c r="S3757" i="1" s="1"/>
  <c r="S3756" i="1" a="1"/>
  <c r="S3756" i="1" s="1"/>
  <c r="S3755" i="1" a="1"/>
  <c r="S3755" i="1" s="1"/>
  <c r="S3754" i="1" a="1"/>
  <c r="S3754" i="1" s="1"/>
  <c r="S3753" i="1" a="1"/>
  <c r="S3753" i="1" s="1"/>
  <c r="S3752" i="1" a="1"/>
  <c r="S3752" i="1" s="1"/>
  <c r="S3751" i="1" a="1"/>
  <c r="S3751" i="1" s="1"/>
  <c r="S3750" i="1" a="1"/>
  <c r="S3750" i="1"/>
  <c r="S3749" i="1" a="1"/>
  <c r="S3749" i="1" s="1"/>
  <c r="S3748" i="1" a="1"/>
  <c r="S3748" i="1" s="1"/>
  <c r="S3747" i="1" a="1"/>
  <c r="S3747" i="1"/>
  <c r="S3746" i="1" a="1"/>
  <c r="S3746" i="1" s="1"/>
  <c r="S3745" i="1" a="1"/>
  <c r="S3745" i="1" s="1"/>
  <c r="S3744" i="1" a="1"/>
  <c r="S3744" i="1" s="1"/>
  <c r="S3743" i="1" a="1"/>
  <c r="S3743" i="1"/>
  <c r="S3742" i="1" a="1"/>
  <c r="S3742" i="1" s="1"/>
  <c r="S3741" i="1" a="1"/>
  <c r="S3741" i="1" s="1"/>
  <c r="S3740" i="1" a="1"/>
  <c r="S3740" i="1" s="1"/>
  <c r="S3739" i="1" a="1"/>
  <c r="S3739" i="1"/>
  <c r="S3738" i="1" a="1"/>
  <c r="S3738" i="1" s="1"/>
  <c r="S3737" i="1" a="1"/>
  <c r="S3737" i="1"/>
  <c r="S3736" i="1" a="1"/>
  <c r="S3736" i="1" s="1"/>
  <c r="S3735" i="1" a="1"/>
  <c r="S3735" i="1" s="1"/>
  <c r="S3734" i="1" a="1"/>
  <c r="S3734" i="1" s="1"/>
  <c r="S3733" i="1" a="1"/>
  <c r="S3733" i="1" s="1"/>
  <c r="S3732" i="1" a="1"/>
  <c r="S3732" i="1" s="1"/>
  <c r="S3731" i="1" a="1"/>
  <c r="S3731" i="1" s="1"/>
  <c r="S3730" i="1" a="1"/>
  <c r="S3730" i="1" s="1"/>
  <c r="S3729" i="1" a="1"/>
  <c r="S3729" i="1" s="1"/>
  <c r="S3728" i="1" a="1"/>
  <c r="S3728" i="1"/>
  <c r="S3727" i="1" a="1"/>
  <c r="S3727" i="1" s="1"/>
  <c r="S3726" i="1" a="1"/>
  <c r="S3726" i="1" s="1"/>
  <c r="S3725" i="1" a="1"/>
  <c r="S3725" i="1" s="1"/>
  <c r="S3724" i="1" a="1"/>
  <c r="S3724" i="1" s="1"/>
  <c r="S3723" i="1" a="1"/>
  <c r="S3723" i="1" s="1"/>
  <c r="S3722" i="1" a="1"/>
  <c r="S3722" i="1" s="1"/>
  <c r="S3721" i="1" a="1"/>
  <c r="S3721" i="1"/>
  <c r="S3720" i="1" a="1"/>
  <c r="S3720" i="1"/>
  <c r="S3719" i="1" a="1"/>
  <c r="S3719" i="1" s="1"/>
  <c r="S3718" i="1" a="1"/>
  <c r="S3718" i="1" s="1"/>
  <c r="S3717" i="1" a="1"/>
  <c r="S3717" i="1" s="1"/>
  <c r="S3716" i="1" a="1"/>
  <c r="S3716" i="1" s="1"/>
  <c r="S3715" i="1" a="1"/>
  <c r="S3715" i="1"/>
  <c r="S3714" i="1" a="1"/>
  <c r="S3714" i="1"/>
  <c r="S3713" i="1" a="1"/>
  <c r="S3713" i="1"/>
  <c r="S3712" i="1" a="1"/>
  <c r="S3712" i="1"/>
  <c r="S3711" i="1" a="1"/>
  <c r="S3711" i="1"/>
  <c r="S3710" i="1" a="1"/>
  <c r="S3710" i="1" s="1"/>
  <c r="S3709" i="1" a="1"/>
  <c r="S3709" i="1" s="1"/>
  <c r="S3708" i="1" a="1"/>
  <c r="S3708" i="1" s="1"/>
  <c r="S3707" i="1" a="1"/>
  <c r="S3707" i="1" s="1"/>
  <c r="S3706" i="1" a="1"/>
  <c r="S3706" i="1"/>
  <c r="S3705" i="1" a="1"/>
  <c r="S3705" i="1" s="1"/>
  <c r="S3704" i="1" a="1"/>
  <c r="S3704" i="1" s="1"/>
  <c r="S3703" i="1" a="1"/>
  <c r="S3703" i="1" s="1"/>
  <c r="S3702" i="1" a="1"/>
  <c r="S3702" i="1"/>
  <c r="S3701" i="1" a="1"/>
  <c r="S3701" i="1" s="1"/>
  <c r="S3700" i="1" a="1"/>
  <c r="S3700" i="1" s="1"/>
  <c r="S3699" i="1" a="1"/>
  <c r="S3699" i="1" s="1"/>
  <c r="S3698" i="1" a="1"/>
  <c r="S3698" i="1" s="1"/>
  <c r="S3697" i="1" a="1"/>
  <c r="S3697" i="1" s="1"/>
  <c r="S3696" i="1" a="1"/>
  <c r="S3696" i="1"/>
  <c r="S3695" i="1" a="1"/>
  <c r="S3695" i="1" s="1"/>
  <c r="S3694" i="1" a="1"/>
  <c r="S3694" i="1" s="1"/>
  <c r="S3693" i="1" a="1"/>
  <c r="S3693" i="1" s="1"/>
  <c r="S3692" i="1" a="1"/>
  <c r="S3692" i="1" s="1"/>
  <c r="S3691" i="1" a="1"/>
  <c r="S3691" i="1"/>
  <c r="S3690" i="1" a="1"/>
  <c r="S3690" i="1" s="1"/>
  <c r="S3689" i="1" a="1"/>
  <c r="S3689" i="1" s="1"/>
  <c r="S3688" i="1" a="1"/>
  <c r="S3688" i="1" s="1"/>
  <c r="S3687" i="1" a="1"/>
  <c r="S3687" i="1"/>
  <c r="S3686" i="1" a="1"/>
  <c r="S3686" i="1" s="1"/>
  <c r="S3685" i="1" a="1"/>
  <c r="S3685" i="1" s="1"/>
  <c r="S3684" i="1" a="1"/>
  <c r="S3684" i="1" s="1"/>
  <c r="S3683" i="1" a="1"/>
  <c r="S3683" i="1" s="1"/>
  <c r="S3682" i="1" a="1"/>
  <c r="S3682" i="1" s="1"/>
  <c r="S3681" i="1" a="1"/>
  <c r="S3681" i="1" s="1"/>
  <c r="S3680" i="1" a="1"/>
  <c r="S3680" i="1" s="1"/>
  <c r="S3679" i="1" a="1"/>
  <c r="S3679" i="1"/>
  <c r="S3678" i="1" a="1"/>
  <c r="S3678" i="1"/>
  <c r="S3677" i="1" a="1"/>
  <c r="S3677" i="1" s="1"/>
  <c r="S3676" i="1" a="1"/>
  <c r="S3676" i="1" s="1"/>
  <c r="S3675" i="1" a="1"/>
  <c r="S3675" i="1"/>
  <c r="S3674" i="1" a="1"/>
  <c r="S3674" i="1" s="1"/>
  <c r="S3673" i="1" a="1"/>
  <c r="S3673" i="1" s="1"/>
  <c r="S3672" i="1" a="1"/>
  <c r="S3672" i="1" s="1"/>
  <c r="S3671" i="1" a="1"/>
  <c r="S3671" i="1" s="1"/>
  <c r="S3670" i="1" a="1"/>
  <c r="S3670" i="1" s="1"/>
  <c r="S3669" i="1" a="1"/>
  <c r="S3669" i="1" s="1"/>
  <c r="S3668" i="1" a="1"/>
  <c r="S3668" i="1" s="1"/>
  <c r="S3667" i="1" a="1"/>
  <c r="S3667" i="1"/>
  <c r="S3666" i="1" a="1"/>
  <c r="S3666" i="1"/>
  <c r="S3665" i="1" a="1"/>
  <c r="S3665" i="1"/>
  <c r="S3664" i="1" a="1"/>
  <c r="S3664" i="1" s="1"/>
  <c r="S3663" i="1" a="1"/>
  <c r="S3663" i="1" s="1"/>
  <c r="S3662" i="1" a="1"/>
  <c r="S3662" i="1" s="1"/>
  <c r="S3661" i="1" a="1"/>
  <c r="S3661" i="1" s="1"/>
  <c r="S3660" i="1" a="1"/>
  <c r="S3660" i="1" s="1"/>
  <c r="S3659" i="1" a="1"/>
  <c r="S3659" i="1" s="1"/>
  <c r="S3658" i="1" a="1"/>
  <c r="S3658" i="1"/>
  <c r="S3657" i="1" a="1"/>
  <c r="S3657" i="1" s="1"/>
  <c r="S3656" i="1" a="1"/>
  <c r="S3656" i="1"/>
  <c r="S3655" i="1" a="1"/>
  <c r="S3655" i="1"/>
  <c r="S3654" i="1" a="1"/>
  <c r="S3654" i="1" s="1"/>
  <c r="S3653" i="1" a="1"/>
  <c r="S3653" i="1" s="1"/>
  <c r="S3652" i="1" a="1"/>
  <c r="S3652" i="1" s="1"/>
  <c r="S3651" i="1" a="1"/>
  <c r="S3651" i="1"/>
  <c r="S3650" i="1" a="1"/>
  <c r="S3650" i="1"/>
  <c r="S3649" i="1" a="1"/>
  <c r="S3649" i="1" s="1"/>
  <c r="S3648" i="1" a="1"/>
  <c r="S3648" i="1"/>
  <c r="S3647" i="1" a="1"/>
  <c r="S3647" i="1" s="1"/>
  <c r="S3646" i="1" a="1"/>
  <c r="S3646" i="1"/>
  <c r="S3645" i="1" a="1"/>
  <c r="S3645" i="1" s="1"/>
  <c r="S3644" i="1" a="1"/>
  <c r="S3644" i="1" s="1"/>
  <c r="S3643" i="1" a="1"/>
  <c r="S3643" i="1" s="1"/>
  <c r="S3642" i="1" a="1"/>
  <c r="S3642" i="1" s="1"/>
  <c r="S3641" i="1" a="1"/>
  <c r="S3641" i="1" s="1"/>
  <c r="S3640" i="1" a="1"/>
  <c r="S3640" i="1" s="1"/>
  <c r="S3639" i="1" a="1"/>
  <c r="S3639" i="1" s="1"/>
  <c r="S3638" i="1" a="1"/>
  <c r="S3638" i="1"/>
  <c r="S3637" i="1" a="1"/>
  <c r="S3637" i="1" s="1"/>
  <c r="S3636" i="1" a="1"/>
  <c r="S3636" i="1" s="1"/>
  <c r="S3635" i="1" a="1"/>
  <c r="S3635" i="1" s="1"/>
  <c r="S3634" i="1" a="1"/>
  <c r="S3634" i="1" s="1"/>
  <c r="S3633" i="1" a="1"/>
  <c r="S3633" i="1" s="1"/>
  <c r="S3632" i="1" a="1"/>
  <c r="S3632" i="1" s="1"/>
  <c r="S3631" i="1" a="1"/>
  <c r="S3631" i="1" s="1"/>
  <c r="S3630" i="1" a="1"/>
  <c r="S3630" i="1"/>
  <c r="S3629" i="1" a="1"/>
  <c r="S3629" i="1" s="1"/>
  <c r="S3628" i="1" a="1"/>
  <c r="S3628" i="1" s="1"/>
  <c r="S3627" i="1" a="1"/>
  <c r="S3627" i="1"/>
  <c r="S3626" i="1" a="1"/>
  <c r="S3626" i="1" s="1"/>
  <c r="S3625" i="1" a="1"/>
  <c r="S3625" i="1" s="1"/>
  <c r="S3624" i="1" a="1"/>
  <c r="S3624" i="1"/>
  <c r="S3623" i="1" a="1"/>
  <c r="S3623" i="1" s="1"/>
  <c r="S3622" i="1" a="1"/>
  <c r="S3622" i="1" s="1"/>
  <c r="S3621" i="1" a="1"/>
  <c r="S3621" i="1" s="1"/>
  <c r="S3620" i="1" a="1"/>
  <c r="S3620" i="1" s="1"/>
  <c r="S3619" i="1" a="1"/>
  <c r="S3619" i="1" s="1"/>
  <c r="S3618" i="1" a="1"/>
  <c r="S3618" i="1"/>
  <c r="S3617" i="1" a="1"/>
  <c r="S3617" i="1" s="1"/>
  <c r="S3616" i="1" a="1"/>
  <c r="S3616" i="1" s="1"/>
  <c r="S3615" i="1" a="1"/>
  <c r="S3615" i="1"/>
  <c r="S3614" i="1" a="1"/>
  <c r="S3614" i="1" s="1"/>
  <c r="S3613" i="1" a="1"/>
  <c r="S3613" i="1" s="1"/>
  <c r="S3612" i="1" a="1"/>
  <c r="S3612" i="1" s="1"/>
  <c r="S3611" i="1" a="1"/>
  <c r="S3611" i="1" s="1"/>
  <c r="S3610" i="1" a="1"/>
  <c r="S3610" i="1" s="1"/>
  <c r="S3609" i="1" a="1"/>
  <c r="S3609" i="1" s="1"/>
  <c r="S3608" i="1" a="1"/>
  <c r="S3608" i="1" s="1"/>
  <c r="S3607" i="1" a="1"/>
  <c r="S3607" i="1" s="1"/>
  <c r="S3606" i="1" a="1"/>
  <c r="S3606" i="1"/>
  <c r="S3605" i="1" a="1"/>
  <c r="S3605" i="1" s="1"/>
  <c r="S3604" i="1" a="1"/>
  <c r="S3604" i="1" s="1"/>
  <c r="S3603" i="1" a="1"/>
  <c r="S3603" i="1"/>
  <c r="S3602" i="1" a="1"/>
  <c r="S3602" i="1" s="1"/>
  <c r="S3601" i="1" a="1"/>
  <c r="S3601" i="1" s="1"/>
  <c r="S3600" i="1" a="1"/>
  <c r="S3600" i="1" s="1"/>
  <c r="S3599" i="1" a="1"/>
  <c r="S3599" i="1" s="1"/>
  <c r="S3598" i="1" a="1"/>
  <c r="S3598" i="1" s="1"/>
  <c r="S3597" i="1" a="1"/>
  <c r="S3597" i="1" s="1"/>
  <c r="S3596" i="1" a="1"/>
  <c r="S3596" i="1" s="1"/>
  <c r="S3595" i="1" a="1"/>
  <c r="S3595" i="1" s="1"/>
  <c r="S3594" i="1" a="1"/>
  <c r="S3594" i="1" s="1"/>
  <c r="S3593" i="1" a="1"/>
  <c r="S3593" i="1"/>
  <c r="S3592" i="1" a="1"/>
  <c r="S3592" i="1" s="1"/>
  <c r="S3591" i="1" a="1"/>
  <c r="S3591" i="1" s="1"/>
  <c r="S3590" i="1" a="1"/>
  <c r="S3590" i="1" s="1"/>
  <c r="S3589" i="1" a="1"/>
  <c r="S3589" i="1" s="1"/>
  <c r="S3588" i="1" a="1"/>
  <c r="S3588" i="1" s="1"/>
  <c r="S3587" i="1" a="1"/>
  <c r="S3587" i="1"/>
  <c r="S3586" i="1" a="1"/>
  <c r="S3586" i="1" s="1"/>
  <c r="S3585" i="1" a="1"/>
  <c r="S3585" i="1"/>
  <c r="S3584" i="1" a="1"/>
  <c r="S3584" i="1"/>
  <c r="S3583" i="1" a="1"/>
  <c r="S3583" i="1"/>
  <c r="S3582" i="1" a="1"/>
  <c r="S3582" i="1"/>
  <c r="S3581" i="1" a="1"/>
  <c r="S3581" i="1" s="1"/>
  <c r="S3580" i="1" a="1"/>
  <c r="S3580" i="1" s="1"/>
  <c r="S3579" i="1" a="1"/>
  <c r="S3579" i="1" s="1"/>
  <c r="S3578" i="1" a="1"/>
  <c r="S3578" i="1"/>
  <c r="S3577" i="1" a="1"/>
  <c r="S3577" i="1"/>
  <c r="S3576" i="1" a="1"/>
  <c r="S3576" i="1"/>
  <c r="S3575" i="1" a="1"/>
  <c r="S3575" i="1" s="1"/>
  <c r="S3574" i="1" a="1"/>
  <c r="S3574" i="1" s="1"/>
  <c r="S3573" i="1" a="1"/>
  <c r="S3573" i="1" s="1"/>
  <c r="S3572" i="1" a="1"/>
  <c r="S3572" i="1" s="1"/>
  <c r="S3571" i="1" a="1"/>
  <c r="S3571" i="1" s="1"/>
  <c r="S3570" i="1" a="1"/>
  <c r="S3570" i="1" s="1"/>
  <c r="S3569" i="1" a="1"/>
  <c r="S3569" i="1" s="1"/>
  <c r="S3568" i="1" a="1"/>
  <c r="S3568" i="1" s="1"/>
  <c r="S3567" i="1" a="1"/>
  <c r="S3567" i="1"/>
  <c r="S3566" i="1" a="1"/>
  <c r="S3566" i="1"/>
  <c r="S3565" i="1" a="1"/>
  <c r="S3565" i="1" s="1"/>
  <c r="S3564" i="1" a="1"/>
  <c r="S3564" i="1" s="1"/>
  <c r="S3563" i="1" a="1"/>
  <c r="S3563" i="1" s="1"/>
  <c r="S3562" i="1" a="1"/>
  <c r="S3562" i="1" s="1"/>
  <c r="S3561" i="1" a="1"/>
  <c r="S3561" i="1" s="1"/>
  <c r="S3560" i="1" a="1"/>
  <c r="S3560" i="1" s="1"/>
  <c r="S3559" i="1" a="1"/>
  <c r="S3559" i="1" s="1"/>
  <c r="S3558" i="1" a="1"/>
  <c r="S3558" i="1"/>
  <c r="S3557" i="1" a="1"/>
  <c r="S3557" i="1" s="1"/>
  <c r="S3556" i="1" a="1"/>
  <c r="S3556" i="1" s="1"/>
  <c r="S3555" i="1" a="1"/>
  <c r="S3555" i="1"/>
  <c r="S3554" i="1" a="1"/>
  <c r="S3554" i="1"/>
  <c r="S3553" i="1" a="1"/>
  <c r="S3553" i="1" s="1"/>
  <c r="S3552" i="1" a="1"/>
  <c r="S3552" i="1" s="1"/>
  <c r="S3551" i="1" a="1"/>
  <c r="S3551" i="1" s="1"/>
  <c r="S3550" i="1" a="1"/>
  <c r="S3550" i="1" s="1"/>
  <c r="S3549" i="1" a="1"/>
  <c r="S3549" i="1" s="1"/>
  <c r="S3548" i="1" a="1"/>
  <c r="S3548" i="1" s="1"/>
  <c r="S3547" i="1" a="1"/>
  <c r="S3547" i="1" s="1"/>
  <c r="S3546" i="1" a="1"/>
  <c r="S3546" i="1"/>
  <c r="S3545" i="1" a="1"/>
  <c r="S3545" i="1" s="1"/>
  <c r="S3544" i="1" a="1"/>
  <c r="S3544" i="1" s="1"/>
  <c r="S3543" i="1" a="1"/>
  <c r="S3543" i="1" s="1"/>
  <c r="S3542" i="1" a="1"/>
  <c r="S3542" i="1"/>
  <c r="S3541" i="1" a="1"/>
  <c r="S3541" i="1" s="1"/>
  <c r="S3540" i="1" a="1"/>
  <c r="S3540" i="1" s="1"/>
  <c r="S3539" i="1" a="1"/>
  <c r="S3539" i="1" s="1"/>
  <c r="S3538" i="1" a="1"/>
  <c r="S3538" i="1" s="1"/>
  <c r="S3537" i="1" a="1"/>
  <c r="S3537" i="1" s="1"/>
  <c r="S3536" i="1" a="1"/>
  <c r="S3536" i="1" s="1"/>
  <c r="S3535" i="1" a="1"/>
  <c r="S3535" i="1" s="1"/>
  <c r="S3534" i="1" a="1"/>
  <c r="S3534" i="1" s="1"/>
  <c r="S3533" i="1" a="1"/>
  <c r="S3533" i="1" s="1"/>
  <c r="S3532" i="1" a="1"/>
  <c r="S3532" i="1" s="1"/>
  <c r="S3531" i="1" a="1"/>
  <c r="S3531" i="1" s="1"/>
  <c r="S3530" i="1" a="1"/>
  <c r="S3530" i="1" s="1"/>
  <c r="S3529" i="1" a="1"/>
  <c r="S3529" i="1" s="1"/>
  <c r="S3528" i="1" a="1"/>
  <c r="S3528" i="1" s="1"/>
  <c r="S3527" i="1" a="1"/>
  <c r="S3527" i="1"/>
  <c r="S3526" i="1" a="1"/>
  <c r="S3526" i="1" s="1"/>
  <c r="S3525" i="1" a="1"/>
  <c r="S3525" i="1" s="1"/>
  <c r="S3524" i="1" a="1"/>
  <c r="S3524" i="1" s="1"/>
  <c r="S3523" i="1" a="1"/>
  <c r="S3523" i="1" s="1"/>
  <c r="S3522" i="1" a="1"/>
  <c r="S3522" i="1"/>
  <c r="S3521" i="1" a="1"/>
  <c r="S3521" i="1" s="1"/>
  <c r="S3520" i="1" a="1"/>
  <c r="S3520" i="1"/>
  <c r="S3519" i="1" a="1"/>
  <c r="S3519" i="1"/>
  <c r="S3518" i="1" a="1"/>
  <c r="S3518" i="1"/>
  <c r="S3517" i="1" a="1"/>
  <c r="S3517" i="1" s="1"/>
  <c r="S3516" i="1" a="1"/>
  <c r="S3516" i="1" s="1"/>
  <c r="S3515" i="1" a="1"/>
  <c r="S3515" i="1" s="1"/>
  <c r="S3514" i="1" a="1"/>
  <c r="S3514" i="1"/>
  <c r="S3513" i="1" a="1"/>
  <c r="S3513" i="1" s="1"/>
  <c r="S3512" i="1" a="1"/>
  <c r="S3512" i="1"/>
  <c r="S3511" i="1" a="1"/>
  <c r="S3511" i="1" s="1"/>
  <c r="S3510" i="1" a="1"/>
  <c r="S3510" i="1" s="1"/>
  <c r="S3509" i="1" a="1"/>
  <c r="S3509" i="1" s="1"/>
  <c r="S3508" i="1" a="1"/>
  <c r="S3508" i="1" s="1"/>
  <c r="S3507" i="1" a="1"/>
  <c r="S3507" i="1" s="1"/>
  <c r="S3506" i="1" a="1"/>
  <c r="S3506" i="1" s="1"/>
  <c r="S3505" i="1" a="1"/>
  <c r="S3505" i="1" s="1"/>
  <c r="S3504" i="1" a="1"/>
  <c r="S3504" i="1"/>
  <c r="S3503" i="1" a="1"/>
  <c r="S3503" i="1"/>
  <c r="S3502" i="1" a="1"/>
  <c r="S3502" i="1" s="1"/>
  <c r="S3501" i="1" a="1"/>
  <c r="S3501" i="1" s="1"/>
  <c r="S3500" i="1" a="1"/>
  <c r="S3500" i="1" s="1"/>
  <c r="S3499" i="1" a="1"/>
  <c r="S3499" i="1" s="1"/>
  <c r="S3498" i="1" a="1"/>
  <c r="S3498" i="1" s="1"/>
  <c r="S3497" i="1" a="1"/>
  <c r="S3497" i="1" s="1"/>
  <c r="S3496" i="1" a="1"/>
  <c r="S3496" i="1"/>
  <c r="S3495" i="1" a="1"/>
  <c r="S3495" i="1" s="1"/>
  <c r="S3494" i="1" a="1"/>
  <c r="S3494" i="1" s="1"/>
  <c r="S3493" i="1" a="1"/>
  <c r="S3493" i="1" s="1"/>
  <c r="S3492" i="1" a="1"/>
  <c r="S3492" i="1" s="1"/>
  <c r="S3491" i="1" a="1"/>
  <c r="S3491" i="1" s="1"/>
  <c r="S3490" i="1" a="1"/>
  <c r="S3490" i="1" s="1"/>
  <c r="S3489" i="1" a="1"/>
  <c r="S3489" i="1" s="1"/>
  <c r="S3488" i="1" a="1"/>
  <c r="S3488" i="1" s="1"/>
  <c r="S3487" i="1" a="1"/>
  <c r="S3487" i="1" s="1"/>
  <c r="S3486" i="1" a="1"/>
  <c r="S3486" i="1" s="1"/>
  <c r="S3485" i="1" a="1"/>
  <c r="S3485" i="1" s="1"/>
  <c r="S3484" i="1" a="1"/>
  <c r="S3484" i="1" s="1"/>
  <c r="S3483" i="1" a="1"/>
  <c r="S3483" i="1" s="1"/>
  <c r="S3482" i="1" a="1"/>
  <c r="S3482" i="1"/>
  <c r="S3481" i="1" a="1"/>
  <c r="S3481" i="1"/>
  <c r="S3480" i="1" a="1"/>
  <c r="S3480" i="1" s="1"/>
  <c r="S3479" i="1" a="1"/>
  <c r="S3479" i="1" s="1"/>
  <c r="S3478" i="1" a="1"/>
  <c r="S3478" i="1" s="1"/>
  <c r="S3477" i="1" a="1"/>
  <c r="S3477" i="1" s="1"/>
  <c r="S3476" i="1" a="1"/>
  <c r="S3476" i="1" s="1"/>
  <c r="S3475" i="1" a="1"/>
  <c r="S3475" i="1"/>
  <c r="S3474" i="1" a="1"/>
  <c r="S3474" i="1"/>
  <c r="S3473" i="1" a="1"/>
  <c r="S3473" i="1"/>
  <c r="S3472" i="1" a="1"/>
  <c r="S3472" i="1"/>
  <c r="S3471" i="1" a="1"/>
  <c r="S3471" i="1" s="1"/>
  <c r="S3470" i="1" a="1"/>
  <c r="S3470" i="1" s="1"/>
  <c r="S3469" i="1" a="1"/>
  <c r="S3469" i="1" s="1"/>
  <c r="S3468" i="1" a="1"/>
  <c r="S3468" i="1" s="1"/>
  <c r="S3467" i="1" a="1"/>
  <c r="S3467" i="1" s="1"/>
  <c r="S3466" i="1" a="1"/>
  <c r="S3466" i="1" s="1"/>
  <c r="S3465" i="1" a="1"/>
  <c r="S3465" i="1"/>
  <c r="S3464" i="1" a="1"/>
  <c r="S3464" i="1"/>
  <c r="S3463" i="1" a="1"/>
  <c r="S3463" i="1"/>
  <c r="S3462" i="1" a="1"/>
  <c r="S3462" i="1" s="1"/>
  <c r="S3461" i="1" a="1"/>
  <c r="S3461" i="1" s="1"/>
  <c r="S3460" i="1" a="1"/>
  <c r="S3460" i="1" s="1"/>
  <c r="S3459" i="1" a="1"/>
  <c r="S3459" i="1"/>
  <c r="S3458" i="1" a="1"/>
  <c r="S3458" i="1"/>
  <c r="S3457" i="1" a="1"/>
  <c r="S3457" i="1"/>
  <c r="S3456" i="1" a="1"/>
  <c r="S3456" i="1"/>
  <c r="S3455" i="1" a="1"/>
  <c r="S3455" i="1" s="1"/>
  <c r="S3454" i="1" a="1"/>
  <c r="S3454" i="1"/>
  <c r="S3453" i="1" a="1"/>
  <c r="S3453" i="1" s="1"/>
  <c r="S3452" i="1" a="1"/>
  <c r="S3452" i="1" s="1"/>
  <c r="S3451" i="1" a="1"/>
  <c r="S3451" i="1" s="1"/>
  <c r="S3450" i="1" a="1"/>
  <c r="S3450" i="1" s="1"/>
  <c r="S3449" i="1" a="1"/>
  <c r="S3449" i="1" s="1"/>
  <c r="S3448" i="1" a="1"/>
  <c r="S3448" i="1" s="1"/>
  <c r="S3447" i="1" a="1"/>
  <c r="S3447" i="1" s="1"/>
  <c r="S3446" i="1" a="1"/>
  <c r="S3446" i="1" s="1"/>
  <c r="S3445" i="1" a="1"/>
  <c r="S3445" i="1" s="1"/>
  <c r="S3444" i="1" a="1"/>
  <c r="S3444" i="1" s="1"/>
  <c r="S3443" i="1" a="1"/>
  <c r="S3443" i="1" s="1"/>
  <c r="S3442" i="1" a="1"/>
  <c r="S3442" i="1" s="1"/>
  <c r="S3441" i="1" a="1"/>
  <c r="S3441" i="1" s="1"/>
  <c r="S3440" i="1" a="1"/>
  <c r="S3440" i="1" s="1"/>
  <c r="S3439" i="1" a="1"/>
  <c r="S3439" i="1"/>
  <c r="S3438" i="1" a="1"/>
  <c r="S3438" i="1"/>
  <c r="S3437" i="1" a="1"/>
  <c r="S3437" i="1" s="1"/>
  <c r="S3436" i="1" a="1"/>
  <c r="S3436" i="1" s="1"/>
  <c r="S3435" i="1" a="1"/>
  <c r="S3435" i="1" s="1"/>
  <c r="S3434" i="1" a="1"/>
  <c r="S3434" i="1"/>
  <c r="S3433" i="1" a="1"/>
  <c r="S3433" i="1" s="1"/>
  <c r="S3432" i="1" a="1"/>
  <c r="S3432" i="1" s="1"/>
  <c r="S3431" i="1" a="1"/>
  <c r="S3431" i="1" s="1"/>
  <c r="S3430" i="1" a="1"/>
  <c r="S3430" i="1" s="1"/>
  <c r="S3429" i="1" a="1"/>
  <c r="S3429" i="1" s="1"/>
  <c r="S3428" i="1" a="1"/>
  <c r="S3428" i="1" s="1"/>
  <c r="S3427" i="1" a="1"/>
  <c r="S3427" i="1" s="1"/>
  <c r="S3426" i="1" a="1"/>
  <c r="S3426" i="1"/>
  <c r="S3425" i="1" a="1"/>
  <c r="S3425" i="1" s="1"/>
  <c r="S3424" i="1" a="1"/>
  <c r="S3424" i="1" s="1"/>
  <c r="S3423" i="1" a="1"/>
  <c r="S3423" i="1" s="1"/>
  <c r="S3422" i="1" a="1"/>
  <c r="S3422" i="1"/>
  <c r="S3421" i="1" a="1"/>
  <c r="S3421" i="1" s="1"/>
  <c r="S3420" i="1" a="1"/>
  <c r="S3420" i="1" s="1"/>
  <c r="S3419" i="1" a="1"/>
  <c r="S3419" i="1"/>
  <c r="S3418" i="1" a="1"/>
  <c r="S3418" i="1"/>
  <c r="S3417" i="1" a="1"/>
  <c r="S3417" i="1"/>
  <c r="S3416" i="1" a="1"/>
  <c r="S3416" i="1"/>
  <c r="S3415" i="1" a="1"/>
  <c r="S3415" i="1" s="1"/>
  <c r="S3414" i="1" a="1"/>
  <c r="S3414" i="1"/>
  <c r="S3413" i="1" a="1"/>
  <c r="S3413" i="1" s="1"/>
  <c r="S3412" i="1" a="1"/>
  <c r="S3412" i="1" s="1"/>
  <c r="S3411" i="1" a="1"/>
  <c r="S3411" i="1"/>
  <c r="S3410" i="1" a="1"/>
  <c r="S3410" i="1" s="1"/>
  <c r="S3409" i="1" a="1"/>
  <c r="S3409" i="1" s="1"/>
  <c r="S3408" i="1" a="1"/>
  <c r="S3408" i="1" s="1"/>
  <c r="S3407" i="1" a="1"/>
  <c r="S3407" i="1"/>
  <c r="S3406" i="1" a="1"/>
  <c r="S3406" i="1" s="1"/>
  <c r="S3405" i="1" a="1"/>
  <c r="S3405" i="1" s="1"/>
  <c r="S3404" i="1" a="1"/>
  <c r="S3404" i="1" s="1"/>
  <c r="S3403" i="1" a="1"/>
  <c r="S3403" i="1" s="1"/>
  <c r="S3402" i="1" a="1"/>
  <c r="S3402" i="1"/>
  <c r="S3401" i="1" a="1"/>
  <c r="S3401" i="1" s="1"/>
  <c r="S3400" i="1" a="1"/>
  <c r="S3400" i="1"/>
  <c r="S3399" i="1" a="1"/>
  <c r="S3399" i="1"/>
  <c r="S3398" i="1" a="1"/>
  <c r="S3398" i="1"/>
  <c r="S3397" i="1" a="1"/>
  <c r="S3397" i="1" s="1"/>
  <c r="S3396" i="1" a="1"/>
  <c r="S3396" i="1" s="1"/>
  <c r="S3395" i="1" a="1"/>
  <c r="S3395" i="1" s="1"/>
  <c r="S3394" i="1" a="1"/>
  <c r="S3394" i="1" s="1"/>
  <c r="S3393" i="1" a="1"/>
  <c r="S3393" i="1"/>
  <c r="S3392" i="1" a="1"/>
  <c r="S3392" i="1" s="1"/>
  <c r="S3391" i="1" a="1"/>
  <c r="S3391" i="1"/>
  <c r="S3390" i="1" a="1"/>
  <c r="S3390" i="1"/>
  <c r="S3389" i="1" a="1"/>
  <c r="S3389" i="1" s="1"/>
  <c r="S3388" i="1" a="1"/>
  <c r="S3388" i="1" s="1"/>
  <c r="S3387" i="1" a="1"/>
  <c r="S3387" i="1" s="1"/>
  <c r="S3386" i="1" a="1"/>
  <c r="S3386" i="1"/>
  <c r="S3385" i="1" a="1"/>
  <c r="S3385" i="1"/>
  <c r="S3384" i="1" a="1"/>
  <c r="S3384" i="1" s="1"/>
  <c r="S3383" i="1" a="1"/>
  <c r="S3383" i="1"/>
  <c r="S3382" i="1" a="1"/>
  <c r="S3382" i="1" s="1"/>
  <c r="S3381" i="1" a="1"/>
  <c r="S3381" i="1" s="1"/>
  <c r="S3380" i="1" a="1"/>
  <c r="S3380" i="1" s="1"/>
  <c r="S3379" i="1" a="1"/>
  <c r="S3379" i="1" s="1"/>
  <c r="S3378" i="1" a="1"/>
  <c r="S3378" i="1" s="1"/>
  <c r="S3377" i="1" a="1"/>
  <c r="S3377" i="1"/>
  <c r="S3376" i="1" a="1"/>
  <c r="S3376" i="1"/>
  <c r="S3375" i="1" a="1"/>
  <c r="S3375" i="1"/>
  <c r="S3374" i="1" a="1"/>
  <c r="S3374" i="1" s="1"/>
  <c r="S3373" i="1" a="1"/>
  <c r="S3373" i="1" s="1"/>
  <c r="S3372" i="1" a="1"/>
  <c r="S3372" i="1" s="1"/>
  <c r="S3371" i="1" a="1"/>
  <c r="S3371" i="1"/>
  <c r="S3370" i="1" a="1"/>
  <c r="S3370" i="1"/>
  <c r="S3369" i="1" a="1"/>
  <c r="S3369" i="1" s="1"/>
  <c r="S3368" i="1" a="1"/>
  <c r="S3368" i="1"/>
  <c r="S3367" i="1" a="1"/>
  <c r="S3367" i="1"/>
  <c r="S3366" i="1" a="1"/>
  <c r="S3366" i="1"/>
  <c r="S3365" i="1" a="1"/>
  <c r="S3365" i="1" s="1"/>
  <c r="S3364" i="1" a="1"/>
  <c r="S3364" i="1" s="1"/>
  <c r="S3363" i="1" a="1"/>
  <c r="S3363" i="1" s="1"/>
  <c r="S3362" i="1" a="1"/>
  <c r="S3362" i="1" s="1"/>
  <c r="S3361" i="1" a="1"/>
  <c r="S3361" i="1" s="1"/>
  <c r="S3360" i="1" a="1"/>
  <c r="S3360" i="1" s="1"/>
  <c r="S3359" i="1" a="1"/>
  <c r="S3359" i="1"/>
  <c r="S3358" i="1" a="1"/>
  <c r="S3358" i="1"/>
  <c r="S3357" i="1" a="1"/>
  <c r="S3357" i="1" s="1"/>
  <c r="S3356" i="1" a="1"/>
  <c r="S3356" i="1" s="1"/>
  <c r="S3355" i="1" a="1"/>
  <c r="S3355" i="1"/>
  <c r="S3354" i="1" a="1"/>
  <c r="S3354" i="1"/>
  <c r="S3353" i="1" a="1"/>
  <c r="S3353" i="1" s="1"/>
  <c r="S3352" i="1" a="1"/>
  <c r="S3352" i="1"/>
  <c r="S3351" i="1" a="1"/>
  <c r="S3351" i="1" s="1"/>
  <c r="S3350" i="1" a="1"/>
  <c r="S3350" i="1" s="1"/>
  <c r="S3349" i="1" a="1"/>
  <c r="S3349" i="1"/>
  <c r="S3348" i="1" a="1"/>
  <c r="S3348" i="1" s="1"/>
  <c r="S3347" i="1" a="1"/>
  <c r="S3347" i="1"/>
  <c r="S3346" i="1" a="1"/>
  <c r="S3346" i="1" s="1"/>
  <c r="S3345" i="1" a="1"/>
  <c r="S3345" i="1"/>
  <c r="S3344" i="1" a="1"/>
  <c r="S3344" i="1" s="1"/>
  <c r="S3343" i="1" a="1"/>
  <c r="S3343" i="1" s="1"/>
  <c r="S3342" i="1" a="1"/>
  <c r="S3342" i="1"/>
  <c r="S3341" i="1" a="1"/>
  <c r="S3341" i="1"/>
  <c r="S3340" i="1" a="1"/>
  <c r="S3340" i="1"/>
  <c r="S3339" i="1" a="1"/>
  <c r="S3339" i="1" s="1"/>
  <c r="S3338" i="1" a="1"/>
  <c r="S3338" i="1"/>
  <c r="S3337" i="1" a="1"/>
  <c r="S3337" i="1" s="1"/>
  <c r="S3336" i="1" a="1"/>
  <c r="S3336" i="1"/>
  <c r="S3335" i="1" a="1"/>
  <c r="S3335" i="1" s="1"/>
  <c r="S3334" i="1" a="1"/>
  <c r="S3334" i="1" s="1"/>
  <c r="S3333" i="1" a="1"/>
  <c r="S3333" i="1" s="1"/>
  <c r="S3332" i="1" a="1"/>
  <c r="S3332" i="1" s="1"/>
  <c r="S3331" i="1" a="1"/>
  <c r="S3331" i="1"/>
  <c r="S3330" i="1" a="1"/>
  <c r="S3330" i="1"/>
  <c r="S3329" i="1" a="1"/>
  <c r="S3329" i="1" s="1"/>
  <c r="S3328" i="1" a="1"/>
  <c r="S3328" i="1"/>
  <c r="S3327" i="1" a="1"/>
  <c r="S3327" i="1" s="1"/>
  <c r="S3326" i="1" a="1"/>
  <c r="S3326" i="1"/>
  <c r="S3325" i="1" a="1"/>
  <c r="S3325" i="1"/>
  <c r="S3324" i="1" a="1"/>
  <c r="S3324" i="1"/>
  <c r="S3323" i="1" a="1"/>
  <c r="S3323" i="1"/>
  <c r="S3322" i="1" a="1"/>
  <c r="S3322" i="1"/>
  <c r="S3321" i="1" a="1"/>
  <c r="S3321" i="1"/>
  <c r="S3320" i="1" a="1"/>
  <c r="S3320" i="1"/>
  <c r="S3319" i="1" a="1"/>
  <c r="S3319" i="1" s="1"/>
  <c r="S3318" i="1" a="1"/>
  <c r="S3318" i="1" s="1"/>
  <c r="S3317" i="1" a="1"/>
  <c r="S3317" i="1" s="1"/>
  <c r="S3316" i="1" a="1"/>
  <c r="S3316" i="1" s="1"/>
  <c r="S3315" i="1" a="1"/>
  <c r="S3315" i="1" s="1"/>
  <c r="S3314" i="1" a="1"/>
  <c r="S3314" i="1"/>
  <c r="S3313" i="1" a="1"/>
  <c r="S3313" i="1" s="1"/>
  <c r="S3312" i="1" a="1"/>
  <c r="S3312" i="1"/>
  <c r="S3311" i="1" a="1"/>
  <c r="S3311" i="1" s="1"/>
  <c r="S3310" i="1" a="1"/>
  <c r="S3310" i="1"/>
  <c r="S3309" i="1" a="1"/>
  <c r="S3309" i="1"/>
  <c r="S3308" i="1" a="1"/>
  <c r="S3308" i="1"/>
  <c r="S3307" i="1" a="1"/>
  <c r="S3307" i="1"/>
  <c r="S3306" i="1" a="1"/>
  <c r="S3306" i="1" s="1"/>
  <c r="S3305" i="1" a="1"/>
  <c r="S3305" i="1" s="1"/>
  <c r="S3304" i="1" a="1"/>
  <c r="S3304" i="1"/>
  <c r="S3303" i="1" a="1"/>
  <c r="S3303" i="1" s="1"/>
  <c r="S3302" i="1" a="1"/>
  <c r="S3302" i="1"/>
  <c r="S3301" i="1" a="1"/>
  <c r="S3301" i="1" s="1"/>
  <c r="S3300" i="1" a="1"/>
  <c r="S3300" i="1" s="1"/>
  <c r="S3299" i="1" a="1"/>
  <c r="S3299" i="1" s="1"/>
  <c r="S3298" i="1" a="1"/>
  <c r="S3298" i="1" s="1"/>
  <c r="S3297" i="1" a="1"/>
  <c r="S3297" i="1"/>
  <c r="S3296" i="1" a="1"/>
  <c r="S3296" i="1" s="1"/>
  <c r="S3295" i="1" a="1"/>
  <c r="S3295" i="1" s="1"/>
  <c r="S3294" i="1" a="1"/>
  <c r="S3294" i="1" s="1"/>
  <c r="S3293" i="1" a="1"/>
  <c r="S3293" i="1"/>
  <c r="S3292" i="1" a="1"/>
  <c r="S3292" i="1"/>
  <c r="S3291" i="1" a="1"/>
  <c r="S3291" i="1"/>
  <c r="S3290" i="1" a="1"/>
  <c r="S3290" i="1"/>
  <c r="S3289" i="1" a="1"/>
  <c r="S3289" i="1"/>
  <c r="S3288" i="1" a="1"/>
  <c r="S3288" i="1" s="1"/>
  <c r="S3287" i="1" a="1"/>
  <c r="S3287" i="1" s="1"/>
  <c r="S3286" i="1" a="1"/>
  <c r="S3286" i="1" s="1"/>
  <c r="S3285" i="1" a="1"/>
  <c r="S3285" i="1"/>
  <c r="S3284" i="1" a="1"/>
  <c r="S3284" i="1" s="1"/>
  <c r="S3283" i="1" a="1"/>
  <c r="S3283" i="1" s="1"/>
  <c r="S3282" i="1" a="1"/>
  <c r="S3282" i="1" s="1"/>
  <c r="S3281" i="1" a="1"/>
  <c r="S3281" i="1"/>
  <c r="S3280" i="1" a="1"/>
  <c r="S3280" i="1"/>
  <c r="S3279" i="1" a="1"/>
  <c r="S3279" i="1" s="1"/>
  <c r="S3278" i="1" a="1"/>
  <c r="S3278" i="1"/>
  <c r="S3277" i="1" a="1"/>
  <c r="S3277" i="1" s="1"/>
  <c r="S3276" i="1" a="1"/>
  <c r="S3276" i="1" s="1"/>
  <c r="S3275" i="1" a="1"/>
  <c r="S3275" i="1"/>
  <c r="S3274" i="1" a="1"/>
  <c r="S3274" i="1"/>
  <c r="S3273" i="1" a="1"/>
  <c r="S3273" i="1"/>
  <c r="S3272" i="1" a="1"/>
  <c r="S3272" i="1"/>
  <c r="S3271" i="1" a="1"/>
  <c r="S3271" i="1" s="1"/>
  <c r="S3270" i="1" a="1"/>
  <c r="S3270" i="1"/>
  <c r="S3269" i="1" a="1"/>
  <c r="S3269" i="1" s="1"/>
  <c r="S3268" i="1" a="1"/>
  <c r="S3268" i="1"/>
  <c r="S3267" i="1" a="1"/>
  <c r="S3267" i="1" s="1"/>
  <c r="S3266" i="1" a="1"/>
  <c r="S3266" i="1" s="1"/>
  <c r="S3265" i="1" a="1"/>
  <c r="S3265" i="1" s="1"/>
  <c r="S3264" i="1" a="1"/>
  <c r="S3264" i="1"/>
  <c r="S3263" i="1" a="1"/>
  <c r="S3263" i="1" s="1"/>
  <c r="S3262" i="1" a="1"/>
  <c r="S3262" i="1"/>
  <c r="S3261" i="1" a="1"/>
  <c r="S3261" i="1"/>
  <c r="S3260" i="1" a="1"/>
  <c r="S3260" i="1" s="1"/>
  <c r="S3259" i="1" a="1"/>
  <c r="S3259" i="1" s="1"/>
  <c r="S3258" i="1" a="1"/>
  <c r="S3258" i="1"/>
  <c r="S3257" i="1" a="1"/>
  <c r="S3257" i="1"/>
  <c r="S3256" i="1" a="1"/>
  <c r="S3256" i="1"/>
  <c r="S3255" i="1" a="1"/>
  <c r="S3255" i="1" s="1"/>
  <c r="S3254" i="1" a="1"/>
  <c r="S3254" i="1"/>
  <c r="S3253" i="1" a="1"/>
  <c r="S3253" i="1"/>
  <c r="S3252" i="1" a="1"/>
  <c r="S3252" i="1"/>
  <c r="S3251" i="1" a="1"/>
  <c r="S3251" i="1" s="1"/>
  <c r="S3250" i="1" a="1"/>
  <c r="S3250" i="1" s="1"/>
  <c r="S3249" i="1" a="1"/>
  <c r="S3249" i="1" s="1"/>
  <c r="S3248" i="1" a="1"/>
  <c r="S3248" i="1" s="1"/>
  <c r="S3247" i="1" a="1"/>
  <c r="S3247" i="1" s="1"/>
  <c r="S3246" i="1" a="1"/>
  <c r="S3246" i="1"/>
  <c r="S3245" i="1" a="1"/>
  <c r="S3245" i="1" s="1"/>
  <c r="S3244" i="1" a="1"/>
  <c r="S3244" i="1"/>
  <c r="S3243" i="1" a="1"/>
  <c r="S3243" i="1" s="1"/>
  <c r="S3242" i="1" a="1"/>
  <c r="S3242" i="1" s="1"/>
  <c r="S3241" i="1" a="1"/>
  <c r="S3241" i="1"/>
  <c r="S3240" i="1" a="1"/>
  <c r="S3240" i="1"/>
  <c r="S3239" i="1" a="1"/>
  <c r="S3239" i="1" s="1"/>
  <c r="S3238" i="1" a="1"/>
  <c r="S3238" i="1" s="1"/>
  <c r="S3237" i="1" a="1"/>
  <c r="S3237" i="1"/>
  <c r="S3236" i="1" a="1"/>
  <c r="S3236" i="1" s="1"/>
  <c r="S3235" i="1" a="1"/>
  <c r="S3235" i="1"/>
  <c r="S3234" i="1" a="1"/>
  <c r="S3234" i="1" s="1"/>
  <c r="S3233" i="1" a="1"/>
  <c r="S3233" i="1" s="1"/>
  <c r="S3232" i="1" a="1"/>
  <c r="S3232" i="1" s="1"/>
  <c r="S3231" i="1" a="1"/>
  <c r="S3231" i="1" s="1"/>
  <c r="S3230" i="1" a="1"/>
  <c r="S3230" i="1"/>
  <c r="S3229" i="1" a="1"/>
  <c r="S3229" i="1" s="1"/>
  <c r="S3228" i="1" a="1"/>
  <c r="S3228" i="1"/>
  <c r="S3227" i="1" a="1"/>
  <c r="S3227" i="1"/>
  <c r="S3226" i="1" a="1"/>
  <c r="S3226" i="1" s="1"/>
  <c r="S3225" i="1" a="1"/>
  <c r="S3225" i="1"/>
  <c r="S3224" i="1" a="1"/>
  <c r="S3224" i="1"/>
  <c r="S3223" i="1" a="1"/>
  <c r="S3223" i="1" s="1"/>
  <c r="S3222" i="1" a="1"/>
  <c r="S3222" i="1" s="1"/>
  <c r="S3221" i="1" a="1"/>
  <c r="S3221" i="1" s="1"/>
  <c r="S3220" i="1" a="1"/>
  <c r="S3220" i="1" s="1"/>
  <c r="S3219" i="1" a="1"/>
  <c r="S3219" i="1"/>
  <c r="S3218" i="1" a="1"/>
  <c r="S3218" i="1"/>
  <c r="S3217" i="1" a="1"/>
  <c r="S3217" i="1"/>
  <c r="S3216" i="1" a="1"/>
  <c r="S3216" i="1" s="1"/>
  <c r="S3215" i="1" a="1"/>
  <c r="S3215" i="1" s="1"/>
  <c r="S3214" i="1" a="1"/>
  <c r="S3214" i="1"/>
  <c r="S3213" i="1" a="1"/>
  <c r="S3213" i="1"/>
  <c r="S3212" i="1" a="1"/>
  <c r="S3212" i="1" s="1"/>
  <c r="S3211" i="1" a="1"/>
  <c r="S3211" i="1" s="1"/>
  <c r="S3210" i="1" a="1"/>
  <c r="S3210" i="1"/>
  <c r="S3209" i="1" a="1"/>
  <c r="S3209" i="1"/>
  <c r="S3208" i="1" a="1"/>
  <c r="S3208" i="1"/>
  <c r="S3207" i="1" a="1"/>
  <c r="S3207" i="1" s="1"/>
  <c r="S3206" i="1" a="1"/>
  <c r="S3206" i="1" s="1"/>
  <c r="S3205" i="1" a="1"/>
  <c r="S3205" i="1" s="1"/>
  <c r="S3204" i="1" a="1"/>
  <c r="S3204" i="1"/>
  <c r="S3203" i="1" a="1"/>
  <c r="S3203" i="1" s="1"/>
  <c r="S3202" i="1" a="1"/>
  <c r="S3202" i="1"/>
  <c r="S3201" i="1" a="1"/>
  <c r="S3201" i="1"/>
  <c r="S3200" i="1" a="1"/>
  <c r="S3200" i="1" s="1"/>
  <c r="S3199" i="1" a="1"/>
  <c r="S3199" i="1" s="1"/>
  <c r="S3198" i="1" a="1"/>
  <c r="S3198" i="1"/>
  <c r="S3197" i="1" a="1"/>
  <c r="S3197" i="1"/>
  <c r="S3196" i="1" a="1"/>
  <c r="S3196" i="1"/>
  <c r="S3195" i="1" a="1"/>
  <c r="S3195" i="1" s="1"/>
  <c r="S3194" i="1" a="1"/>
  <c r="S3194" i="1" s="1"/>
  <c r="S3193" i="1" a="1"/>
  <c r="S3193" i="1" s="1"/>
  <c r="S3192" i="1" a="1"/>
  <c r="S3192" i="1"/>
  <c r="S3191" i="1" a="1"/>
  <c r="S3191" i="1" s="1"/>
  <c r="S3190" i="1" a="1"/>
  <c r="S3190" i="1" s="1"/>
  <c r="S3189" i="1" a="1"/>
  <c r="S3189" i="1" s="1"/>
  <c r="S3188" i="1" a="1"/>
  <c r="S3188" i="1" s="1"/>
  <c r="S3187" i="1" a="1"/>
  <c r="S3187" i="1"/>
  <c r="S3186" i="1" a="1"/>
  <c r="S3186" i="1"/>
  <c r="S3185" i="1" a="1"/>
  <c r="S3185" i="1"/>
  <c r="S3184" i="1" a="1"/>
  <c r="S3184" i="1" s="1"/>
  <c r="S3183" i="1" a="1"/>
  <c r="S3183" i="1" s="1"/>
  <c r="S3182" i="1" a="1"/>
  <c r="S3182" i="1"/>
  <c r="S3181" i="1" a="1"/>
  <c r="S3181" i="1"/>
  <c r="S3180" i="1" a="1"/>
  <c r="S3180" i="1"/>
  <c r="S3179" i="1" a="1"/>
  <c r="S3179" i="1"/>
  <c r="S3178" i="1" a="1"/>
  <c r="S3178" i="1"/>
  <c r="S3177" i="1" a="1"/>
  <c r="S3177" i="1"/>
  <c r="S3176" i="1" a="1"/>
  <c r="S3176" i="1" s="1"/>
  <c r="S3175" i="1" a="1"/>
  <c r="S3175" i="1" s="1"/>
  <c r="S3174" i="1" a="1"/>
  <c r="S3174" i="1" s="1"/>
  <c r="S3173" i="1" a="1"/>
  <c r="S3173" i="1" s="1"/>
  <c r="S3172" i="1" a="1"/>
  <c r="S3172" i="1" s="1"/>
  <c r="S3171" i="1" a="1"/>
  <c r="S3171" i="1" s="1"/>
  <c r="S3170" i="1" a="1"/>
  <c r="S3170" i="1" s="1"/>
  <c r="S3169" i="1" a="1"/>
  <c r="S3169" i="1"/>
  <c r="S3168" i="1" a="1"/>
  <c r="S3168" i="1"/>
  <c r="S3167" i="1" a="1"/>
  <c r="S3167" i="1"/>
  <c r="S3166" i="1" a="1"/>
  <c r="S3166" i="1" s="1"/>
  <c r="S3165" i="1" a="1"/>
  <c r="S3165" i="1" s="1"/>
  <c r="S3164" i="1" a="1"/>
  <c r="S3164" i="1" s="1"/>
  <c r="S3163" i="1" a="1"/>
  <c r="S3163" i="1" s="1"/>
  <c r="S3162" i="1" a="1"/>
  <c r="S3162" i="1"/>
  <c r="S3161" i="1" a="1"/>
  <c r="S3161" i="1"/>
  <c r="S3160" i="1" a="1"/>
  <c r="S3160" i="1" s="1"/>
  <c r="S3159" i="1" a="1"/>
  <c r="S3159" i="1" s="1"/>
  <c r="S3158" i="1" a="1"/>
  <c r="S3158" i="1"/>
  <c r="S3157" i="1" a="1"/>
  <c r="S3157" i="1" s="1"/>
  <c r="S3156" i="1" a="1"/>
  <c r="S3156" i="1" s="1"/>
  <c r="S3155" i="1" a="1"/>
  <c r="S3155" i="1" s="1"/>
  <c r="S3154" i="1" a="1"/>
  <c r="S3154" i="1"/>
  <c r="S3153" i="1" a="1"/>
  <c r="S3153" i="1"/>
  <c r="S3152" i="1" a="1"/>
  <c r="S3152" i="1"/>
  <c r="S3151" i="1" a="1"/>
  <c r="S3151" i="1"/>
  <c r="S3150" i="1" a="1"/>
  <c r="S3150" i="1"/>
  <c r="S3149" i="1" a="1"/>
  <c r="S3149" i="1" s="1"/>
  <c r="S3148" i="1" a="1"/>
  <c r="S3148" i="1" s="1"/>
  <c r="S3147" i="1" a="1"/>
  <c r="S3147" i="1" s="1"/>
  <c r="S3146" i="1" a="1"/>
  <c r="S3146" i="1"/>
  <c r="S3145" i="1" a="1"/>
  <c r="S3145" i="1" s="1"/>
  <c r="S3144" i="1" a="1"/>
  <c r="S3144" i="1" s="1"/>
  <c r="S3143" i="1" a="1"/>
  <c r="S3143" i="1"/>
  <c r="S3142" i="1" a="1"/>
  <c r="S3142" i="1" s="1"/>
  <c r="S3141" i="1" a="1"/>
  <c r="S3141" i="1" s="1"/>
  <c r="S3140" i="1" a="1"/>
  <c r="S3140" i="1" s="1"/>
  <c r="S3139" i="1" a="1"/>
  <c r="S3139" i="1" s="1"/>
  <c r="S3138" i="1" a="1"/>
  <c r="S3138" i="1"/>
  <c r="S3137" i="1" a="1"/>
  <c r="S3137" i="1" s="1"/>
  <c r="S3136" i="1" a="1"/>
  <c r="S3136" i="1" s="1"/>
  <c r="S3135" i="1" a="1"/>
  <c r="S3135" i="1"/>
  <c r="S3134" i="1" a="1"/>
  <c r="S3134" i="1"/>
  <c r="S3133" i="1" a="1"/>
  <c r="S3133" i="1" s="1"/>
  <c r="S3132" i="1" a="1"/>
  <c r="S3132" i="1" s="1"/>
  <c r="S3131" i="1" a="1"/>
  <c r="S3131" i="1" s="1"/>
  <c r="S3130" i="1" a="1"/>
  <c r="S3130" i="1" s="1"/>
  <c r="S3129" i="1" a="1"/>
  <c r="S3129" i="1"/>
  <c r="S3128" i="1" a="1"/>
  <c r="S3128" i="1" s="1"/>
  <c r="S3127" i="1" a="1"/>
  <c r="S3127" i="1" s="1"/>
  <c r="S3126" i="1" a="1"/>
  <c r="S3126" i="1" s="1"/>
  <c r="S3125" i="1" a="1"/>
  <c r="S3125" i="1" s="1"/>
  <c r="S3124" i="1" a="1"/>
  <c r="S3124" i="1" s="1"/>
  <c r="S3123" i="1" a="1"/>
  <c r="S3123" i="1" s="1"/>
  <c r="S3122" i="1" a="1"/>
  <c r="S3122" i="1" s="1"/>
  <c r="S3121" i="1" a="1"/>
  <c r="S3121" i="1"/>
  <c r="S3120" i="1" a="1"/>
  <c r="S3120" i="1"/>
  <c r="S3119" i="1" a="1"/>
  <c r="S3119" i="1"/>
  <c r="S3118" i="1" a="1"/>
  <c r="S3118" i="1"/>
  <c r="S3117" i="1" a="1"/>
  <c r="S3117" i="1" s="1"/>
  <c r="S3116" i="1" a="1"/>
  <c r="S3116" i="1" s="1"/>
  <c r="S3115" i="1" a="1"/>
  <c r="S3115" i="1" s="1"/>
  <c r="S3114" i="1" a="1"/>
  <c r="S3114" i="1" s="1"/>
  <c r="S3113" i="1" a="1"/>
  <c r="S3113" i="1"/>
  <c r="S3112" i="1" a="1"/>
  <c r="S3112" i="1" s="1"/>
  <c r="S3111" i="1" a="1"/>
  <c r="S3111" i="1" s="1"/>
  <c r="S3110" i="1" a="1"/>
  <c r="S3110" i="1"/>
  <c r="S3109" i="1" a="1"/>
  <c r="S3109" i="1" s="1"/>
  <c r="S3108" i="1" a="1"/>
  <c r="S3108" i="1" s="1"/>
  <c r="S3107" i="1" a="1"/>
  <c r="S3107" i="1" s="1"/>
  <c r="S3106" i="1" a="1"/>
  <c r="S3106" i="1" s="1"/>
  <c r="S3105" i="1" a="1"/>
  <c r="S3105" i="1"/>
  <c r="S3104" i="1" a="1"/>
  <c r="S3104" i="1"/>
  <c r="S3103" i="1" a="1"/>
  <c r="S3103" i="1"/>
  <c r="S3102" i="1" a="1"/>
  <c r="S3102" i="1" s="1"/>
  <c r="S3101" i="1" a="1"/>
  <c r="S3101" i="1" s="1"/>
  <c r="S3100" i="1" a="1"/>
  <c r="S3100" i="1" s="1"/>
  <c r="S3099" i="1" a="1"/>
  <c r="S3099" i="1" s="1"/>
  <c r="S3098" i="1" a="1"/>
  <c r="S3098" i="1" s="1"/>
  <c r="S3097" i="1" a="1"/>
  <c r="S3097" i="1"/>
  <c r="S3096" i="1" a="1"/>
  <c r="S3096" i="1" s="1"/>
  <c r="S3095" i="1" a="1"/>
  <c r="S3095" i="1" s="1"/>
  <c r="S3094" i="1" a="1"/>
  <c r="S3094" i="1"/>
  <c r="S3093" i="1" a="1"/>
  <c r="S3093" i="1" s="1"/>
  <c r="S3092" i="1" a="1"/>
  <c r="S3092" i="1" s="1"/>
  <c r="S3091" i="1" a="1"/>
  <c r="S3091" i="1" s="1"/>
  <c r="S3090" i="1" a="1"/>
  <c r="S3090" i="1"/>
  <c r="S3089" i="1" a="1"/>
  <c r="S3089" i="1"/>
  <c r="S3088" i="1" a="1"/>
  <c r="S3088" i="1"/>
  <c r="S3087" i="1" a="1"/>
  <c r="S3087" i="1" s="1"/>
  <c r="S3086" i="1" a="1"/>
  <c r="S3086" i="1"/>
  <c r="S3085" i="1" a="1"/>
  <c r="S3085" i="1" s="1"/>
  <c r="S3084" i="1" a="1"/>
  <c r="S3084" i="1" s="1"/>
  <c r="S3083" i="1" a="1"/>
  <c r="S3083" i="1" s="1"/>
  <c r="S3082" i="1" a="1"/>
  <c r="S3082" i="1"/>
  <c r="S3081" i="1" a="1"/>
  <c r="S3081" i="1"/>
  <c r="S3080" i="1" a="1"/>
  <c r="S3080" i="1"/>
  <c r="S3079" i="1" a="1"/>
  <c r="S3079" i="1"/>
  <c r="S3078" i="1" a="1"/>
  <c r="S3078" i="1"/>
  <c r="S3077" i="1" a="1"/>
  <c r="S3077" i="1" s="1"/>
  <c r="S3076" i="1" a="1"/>
  <c r="S3076" i="1" s="1"/>
  <c r="S3075" i="1" a="1"/>
  <c r="S3075" i="1" s="1"/>
  <c r="S3074" i="1" a="1"/>
  <c r="S3074" i="1"/>
  <c r="S3073" i="1" a="1"/>
  <c r="S3073" i="1"/>
  <c r="S3072" i="1" a="1"/>
  <c r="S3072" i="1"/>
  <c r="S3071" i="1" a="1"/>
  <c r="S3071" i="1"/>
  <c r="S3070" i="1" a="1"/>
  <c r="S3070" i="1" s="1"/>
  <c r="S3069" i="1" a="1"/>
  <c r="S3069" i="1" s="1"/>
  <c r="S3068" i="1" a="1"/>
  <c r="S3068" i="1" s="1"/>
  <c r="S3067" i="1" a="1"/>
  <c r="S3067" i="1" s="1"/>
  <c r="S3066" i="1" a="1"/>
  <c r="S3066" i="1" s="1"/>
  <c r="S3065" i="1" a="1"/>
  <c r="S3065" i="1" s="1"/>
  <c r="S3064" i="1" a="1"/>
  <c r="S3064" i="1"/>
  <c r="S3063" i="1" a="1"/>
  <c r="S3063" i="1" s="1"/>
  <c r="S3062" i="1" a="1"/>
  <c r="S3062" i="1"/>
  <c r="S3061" i="1" a="1"/>
  <c r="S3061" i="1" s="1"/>
  <c r="S3060" i="1" a="1"/>
  <c r="S3060" i="1" s="1"/>
  <c r="S3059" i="1" a="1"/>
  <c r="S3059" i="1" s="1"/>
  <c r="S3058" i="1" a="1"/>
  <c r="S3058" i="1"/>
  <c r="S3057" i="1" a="1"/>
  <c r="S3057" i="1" s="1"/>
  <c r="S3056" i="1" a="1"/>
  <c r="S3056" i="1"/>
  <c r="S3055" i="1" a="1"/>
  <c r="S3055" i="1"/>
  <c r="S3054" i="1" a="1"/>
  <c r="S3054" i="1"/>
  <c r="S3053" i="1" a="1"/>
  <c r="S3053" i="1" s="1"/>
  <c r="S3052" i="1" a="1"/>
  <c r="S3052" i="1" s="1"/>
  <c r="S3051" i="1" a="1"/>
  <c r="S3051" i="1" s="1"/>
  <c r="S3050" i="1" a="1"/>
  <c r="S3050" i="1"/>
  <c r="S3049" i="1" a="1"/>
  <c r="S3049" i="1"/>
  <c r="S3048" i="1" a="1"/>
  <c r="S3048" i="1"/>
  <c r="S3047" i="1" a="1"/>
  <c r="S3047" i="1" s="1"/>
  <c r="S3046" i="1" a="1"/>
  <c r="S3046" i="1" s="1"/>
  <c r="S3045" i="1" a="1"/>
  <c r="S3045" i="1" s="1"/>
  <c r="S3044" i="1" a="1"/>
  <c r="S3044" i="1" s="1"/>
  <c r="S3043" i="1" a="1"/>
  <c r="S3043" i="1" s="1"/>
  <c r="S3042" i="1" a="1"/>
  <c r="S3042" i="1"/>
  <c r="S3041" i="1" a="1"/>
  <c r="S3041" i="1" s="1"/>
  <c r="S3040" i="1" a="1"/>
  <c r="S3040" i="1"/>
  <c r="S3039" i="1" a="1"/>
  <c r="S3039" i="1"/>
  <c r="S3038" i="1" a="1"/>
  <c r="S3038" i="1" s="1"/>
  <c r="S3037" i="1" a="1"/>
  <c r="S3037" i="1" s="1"/>
  <c r="S3036" i="1" a="1"/>
  <c r="S3036" i="1" s="1"/>
  <c r="S3035" i="1" a="1"/>
  <c r="S3035" i="1" s="1"/>
  <c r="S3034" i="1" a="1"/>
  <c r="S3034" i="1"/>
  <c r="S3033" i="1" a="1"/>
  <c r="S3033" i="1"/>
  <c r="S3032" i="1" a="1"/>
  <c r="S3032" i="1"/>
  <c r="S3031" i="1" a="1"/>
  <c r="S3031" i="1" s="1"/>
  <c r="S3030" i="1" a="1"/>
  <c r="S3030" i="1"/>
  <c r="S3029" i="1" a="1"/>
  <c r="S3029" i="1" s="1"/>
  <c r="S3028" i="1" a="1"/>
  <c r="S3028" i="1" s="1"/>
  <c r="S3027" i="1" a="1"/>
  <c r="S3027" i="1" s="1"/>
  <c r="S3026" i="1" a="1"/>
  <c r="S3026" i="1"/>
  <c r="S3025" i="1" a="1"/>
  <c r="S3025" i="1"/>
  <c r="S3024" i="1" a="1"/>
  <c r="S3024" i="1"/>
  <c r="S3023" i="1" a="1"/>
  <c r="S3023" i="1"/>
  <c r="S3022" i="1" a="1"/>
  <c r="S3022" i="1"/>
  <c r="S3021" i="1" a="1"/>
  <c r="S3021" i="1" s="1"/>
  <c r="S3020" i="1" a="1"/>
  <c r="S3020" i="1" s="1"/>
  <c r="S3019" i="1" a="1"/>
  <c r="S3019" i="1" s="1"/>
  <c r="S3018" i="1" a="1"/>
  <c r="S3018" i="1"/>
  <c r="S3017" i="1" a="1"/>
  <c r="S3017" i="1" s="1"/>
  <c r="S3016" i="1" a="1"/>
  <c r="S3016" i="1" s="1"/>
  <c r="S3015" i="1" a="1"/>
  <c r="S3015" i="1"/>
  <c r="S3014" i="1" a="1"/>
  <c r="S3014" i="1" s="1"/>
  <c r="S3013" i="1" a="1"/>
  <c r="S3013" i="1" s="1"/>
  <c r="S3012" i="1" a="1"/>
  <c r="S3012" i="1" s="1"/>
  <c r="S3011" i="1" a="1"/>
  <c r="S3011" i="1" s="1"/>
  <c r="S3010" i="1" a="1"/>
  <c r="S3010" i="1"/>
  <c r="S3009" i="1" a="1"/>
  <c r="S3009" i="1"/>
  <c r="S3008" i="1" a="1"/>
  <c r="S3008" i="1" s="1"/>
  <c r="S3007" i="1" a="1"/>
  <c r="S3007" i="1"/>
  <c r="S3006" i="1" a="1"/>
  <c r="S3006" i="1"/>
  <c r="S3005" i="1" a="1"/>
  <c r="S3005" i="1" s="1"/>
  <c r="S3004" i="1" a="1"/>
  <c r="S3004" i="1" s="1"/>
  <c r="S3003" i="1" a="1"/>
  <c r="S3003" i="1" s="1"/>
  <c r="S3002" i="1" a="1"/>
  <c r="S3002" i="1"/>
  <c r="S3001" i="1" a="1"/>
  <c r="S3001" i="1"/>
  <c r="S3000" i="1" a="1"/>
  <c r="S3000" i="1"/>
  <c r="S2999" i="1" a="1"/>
  <c r="S2999" i="1"/>
  <c r="S2998" i="1" a="1"/>
  <c r="S2998" i="1" s="1"/>
  <c r="S2997" i="1" a="1"/>
  <c r="S2997" i="1" s="1"/>
  <c r="S2996" i="1" a="1"/>
  <c r="S2996" i="1" s="1"/>
  <c r="S2995" i="1" a="1"/>
  <c r="S2995" i="1" s="1"/>
  <c r="S2994" i="1" a="1"/>
  <c r="S2994" i="1"/>
  <c r="S2993" i="1" a="1"/>
  <c r="S2993" i="1"/>
  <c r="S2992" i="1" a="1"/>
  <c r="S2992" i="1"/>
  <c r="S2991" i="1" a="1"/>
  <c r="S2991" i="1"/>
  <c r="S2990" i="1" a="1"/>
  <c r="S2990" i="1"/>
  <c r="S2989" i="1" a="1"/>
  <c r="S2989" i="1" s="1"/>
  <c r="S2988" i="1" a="1"/>
  <c r="S2988" i="1" s="1"/>
  <c r="S2987" i="1" a="1"/>
  <c r="S2987" i="1" s="1"/>
  <c r="S2986" i="1" a="1"/>
  <c r="S2986" i="1" s="1"/>
  <c r="S2985" i="1" a="1"/>
  <c r="S2985" i="1"/>
  <c r="S2984" i="1" a="1"/>
  <c r="S2984" i="1"/>
  <c r="S2983" i="1" a="1"/>
  <c r="S2983" i="1"/>
  <c r="S2982" i="1" a="1"/>
  <c r="S2982" i="1"/>
  <c r="S2981" i="1" a="1"/>
  <c r="S2981" i="1" s="1"/>
  <c r="S2980" i="1" a="1"/>
  <c r="S2980" i="1" s="1"/>
  <c r="S2979" i="1" a="1"/>
  <c r="S2979" i="1" s="1"/>
  <c r="S2978" i="1" a="1"/>
  <c r="S2978" i="1" s="1"/>
  <c r="S2977" i="1" a="1"/>
  <c r="S2977" i="1"/>
  <c r="S2976" i="1" a="1"/>
  <c r="S2976" i="1"/>
  <c r="S2975" i="1" a="1"/>
  <c r="S2975" i="1" s="1"/>
  <c r="S2974" i="1" a="1"/>
  <c r="S2974" i="1"/>
  <c r="S2973" i="1" a="1"/>
  <c r="S2973" i="1" s="1"/>
  <c r="S2972" i="1" a="1"/>
  <c r="S2972" i="1" s="1"/>
  <c r="S2971" i="1" a="1"/>
  <c r="S2971" i="1" s="1"/>
  <c r="S2970" i="1" a="1"/>
  <c r="S2970" i="1"/>
  <c r="S2969" i="1" a="1"/>
  <c r="S2969" i="1" s="1"/>
  <c r="S2968" i="1" a="1"/>
  <c r="S2968" i="1" s="1"/>
  <c r="S2967" i="1" a="1"/>
  <c r="S2967" i="1" s="1"/>
  <c r="S2966" i="1" a="1"/>
  <c r="S2966" i="1"/>
  <c r="S2965" i="1" a="1"/>
  <c r="S2965" i="1" s="1"/>
  <c r="S2964" i="1" a="1"/>
  <c r="S2964" i="1" s="1"/>
  <c r="S2963" i="1" a="1"/>
  <c r="S2963" i="1" s="1"/>
  <c r="S2962" i="1" a="1"/>
  <c r="S2962" i="1"/>
  <c r="S2961" i="1" a="1"/>
  <c r="S2961" i="1" s="1"/>
  <c r="S2960" i="1" a="1"/>
  <c r="S2960" i="1" s="1"/>
  <c r="S2959" i="1" a="1"/>
  <c r="S2959" i="1" s="1"/>
  <c r="S2958" i="1" a="1"/>
  <c r="S2958" i="1"/>
  <c r="S2957" i="1" a="1"/>
  <c r="S2957" i="1" s="1"/>
  <c r="S2956" i="1" a="1"/>
  <c r="S2956" i="1" s="1"/>
  <c r="S2955" i="1" a="1"/>
  <c r="S2955" i="1" s="1"/>
  <c r="S2954" i="1" a="1"/>
  <c r="S2954" i="1"/>
  <c r="S2953" i="1" a="1"/>
  <c r="S2953" i="1"/>
  <c r="S2952" i="1" a="1"/>
  <c r="S2952" i="1" s="1"/>
  <c r="S2951" i="1" a="1"/>
  <c r="S2951" i="1" s="1"/>
  <c r="S2950" i="1" a="1"/>
  <c r="S2950" i="1" s="1"/>
  <c r="S2949" i="1" a="1"/>
  <c r="S2949" i="1" s="1"/>
  <c r="S2948" i="1" a="1"/>
  <c r="S2948" i="1" s="1"/>
  <c r="S2947" i="1" a="1"/>
  <c r="S2947" i="1" s="1"/>
  <c r="S2946" i="1" a="1"/>
  <c r="S2946" i="1"/>
  <c r="S2945" i="1" a="1"/>
  <c r="S2945" i="1"/>
  <c r="S2944" i="1" a="1"/>
  <c r="S2944" i="1"/>
  <c r="S2943" i="1" a="1"/>
  <c r="S2943" i="1"/>
  <c r="S2942" i="1" a="1"/>
  <c r="S2942" i="1"/>
  <c r="S2941" i="1" a="1"/>
  <c r="S2941" i="1" s="1"/>
  <c r="S2940" i="1" a="1"/>
  <c r="S2940" i="1" s="1"/>
  <c r="S2939" i="1" a="1"/>
  <c r="S2939" i="1" s="1"/>
  <c r="S2938" i="1" a="1"/>
  <c r="S2938" i="1" s="1"/>
  <c r="S2937" i="1" a="1"/>
  <c r="S2937" i="1" s="1"/>
  <c r="S2936" i="1" a="1"/>
  <c r="S2936" i="1"/>
  <c r="S2935" i="1" a="1"/>
  <c r="S2935" i="1" s="1"/>
  <c r="S2934" i="1" a="1"/>
  <c r="S2934" i="1"/>
  <c r="S2933" i="1" a="1"/>
  <c r="S2933" i="1" s="1"/>
  <c r="S2932" i="1" a="1"/>
  <c r="S2932" i="1" s="1"/>
  <c r="S2931" i="1" a="1"/>
  <c r="S2931" i="1" s="1"/>
  <c r="S2930" i="1" a="1"/>
  <c r="S2930" i="1"/>
  <c r="S2929" i="1" a="1"/>
  <c r="S2929" i="1" s="1"/>
  <c r="S2928" i="1" a="1"/>
  <c r="S2928" i="1"/>
  <c r="S2927" i="1" a="1"/>
  <c r="S2927" i="1"/>
  <c r="S2926" i="1" a="1"/>
  <c r="S2926" i="1" s="1"/>
  <c r="S2925" i="1" a="1"/>
  <c r="S2925" i="1" s="1"/>
  <c r="S2924" i="1" a="1"/>
  <c r="S2924" i="1" s="1"/>
  <c r="S2923" i="1" a="1"/>
  <c r="S2923" i="1" s="1"/>
  <c r="S2922" i="1" a="1"/>
  <c r="S2922" i="1"/>
  <c r="S2921" i="1" a="1"/>
  <c r="S2921" i="1"/>
  <c r="S2920" i="1" a="1"/>
  <c r="S2920" i="1"/>
  <c r="S2919" i="1" a="1"/>
  <c r="S2919" i="1" s="1"/>
  <c r="S2918" i="1" a="1"/>
  <c r="S2918" i="1" s="1"/>
  <c r="S2917" i="1" a="1"/>
  <c r="S2917" i="1" s="1"/>
  <c r="S2916" i="1" a="1"/>
  <c r="S2916" i="1" s="1"/>
  <c r="S2915" i="1" a="1"/>
  <c r="S2915" i="1" s="1"/>
  <c r="S2914" i="1" a="1"/>
  <c r="S2914" i="1" s="1"/>
  <c r="S2913" i="1" a="1"/>
  <c r="S2913" i="1" s="1"/>
  <c r="S2912" i="1" a="1"/>
  <c r="S2912" i="1"/>
  <c r="S2911" i="1" a="1"/>
  <c r="S2911" i="1"/>
  <c r="S2910" i="1" a="1"/>
  <c r="S2910" i="1" s="1"/>
  <c r="S2909" i="1" a="1"/>
  <c r="S2909" i="1" s="1"/>
  <c r="S2908" i="1" a="1"/>
  <c r="S2908" i="1" s="1"/>
  <c r="S2907" i="1" a="1"/>
  <c r="S2907" i="1" s="1"/>
  <c r="S2906" i="1" a="1"/>
  <c r="S2906" i="1"/>
  <c r="S2905" i="1" a="1"/>
  <c r="S2905" i="1" s="1"/>
  <c r="S2904" i="1" a="1"/>
  <c r="S2904" i="1" s="1"/>
  <c r="S2903" i="1" a="1"/>
  <c r="S2903" i="1" s="1"/>
  <c r="S2902" i="1" a="1"/>
  <c r="S2902" i="1"/>
  <c r="S2901" i="1" a="1"/>
  <c r="S2901" i="1" s="1"/>
  <c r="S2900" i="1" a="1"/>
  <c r="S2900" i="1" s="1"/>
  <c r="S2899" i="1" a="1"/>
  <c r="S2899" i="1" s="1"/>
  <c r="S2898" i="1" a="1"/>
  <c r="S2898" i="1"/>
  <c r="S2897" i="1" a="1"/>
  <c r="S2897" i="1"/>
  <c r="S2896" i="1" a="1"/>
  <c r="S2896" i="1"/>
  <c r="S2895" i="1" a="1"/>
  <c r="S2895" i="1" s="1"/>
  <c r="S2894" i="1" a="1"/>
  <c r="S2894" i="1" s="1"/>
  <c r="S2893" i="1" a="1"/>
  <c r="S2893" i="1" s="1"/>
  <c r="S2892" i="1" a="1"/>
  <c r="S2892" i="1" s="1"/>
  <c r="S2891" i="1" a="1"/>
  <c r="S2891" i="1" s="1"/>
  <c r="S2890" i="1" a="1"/>
  <c r="S2890" i="1"/>
  <c r="S2889" i="1" a="1"/>
  <c r="S2889" i="1" s="1"/>
  <c r="S2888" i="1" a="1"/>
  <c r="S2888" i="1" s="1"/>
  <c r="S2887" i="1" a="1"/>
  <c r="S2887" i="1"/>
  <c r="S2886" i="1" a="1"/>
  <c r="S2886" i="1"/>
  <c r="S2885" i="1" a="1"/>
  <c r="S2885" i="1" s="1"/>
  <c r="S2884" i="1" a="1"/>
  <c r="S2884" i="1" s="1"/>
  <c r="S2883" i="1" a="1"/>
  <c r="S2883" i="1" s="1"/>
  <c r="S2882" i="1" a="1"/>
  <c r="S2882" i="1" s="1"/>
  <c r="S2881" i="1" a="1"/>
  <c r="S2881" i="1"/>
  <c r="S2880" i="1" a="1"/>
  <c r="S2880" i="1" s="1"/>
  <c r="S2879" i="1" a="1"/>
  <c r="S2879" i="1"/>
  <c r="S2878" i="1" a="1"/>
  <c r="S2878" i="1"/>
  <c r="S2877" i="1" a="1"/>
  <c r="S2877" i="1" s="1"/>
  <c r="S2876" i="1" a="1"/>
  <c r="S2876" i="1" s="1"/>
  <c r="S2875" i="1" a="1"/>
  <c r="S2875" i="1" s="1"/>
  <c r="S2874" i="1" a="1"/>
  <c r="S2874" i="1"/>
  <c r="S2873" i="1" a="1"/>
  <c r="S2873" i="1"/>
  <c r="S2872" i="1" a="1"/>
  <c r="S2872" i="1" s="1"/>
  <c r="S2871" i="1" a="1"/>
  <c r="S2871" i="1"/>
  <c r="S2870" i="1" a="1"/>
  <c r="S2870" i="1" s="1"/>
  <c r="S2869" i="1" a="1"/>
  <c r="S2869" i="1" s="1"/>
  <c r="S2868" i="1" a="1"/>
  <c r="S2868" i="1" s="1"/>
  <c r="S2867" i="1" a="1"/>
  <c r="S2867" i="1" s="1"/>
  <c r="S2866" i="1" a="1"/>
  <c r="S2866" i="1" s="1"/>
  <c r="S2865" i="1" a="1"/>
  <c r="S2865" i="1"/>
  <c r="S2864" i="1" a="1"/>
  <c r="S2864" i="1"/>
  <c r="S2863" i="1" a="1"/>
  <c r="S2863" i="1"/>
  <c r="S2862" i="1" a="1"/>
  <c r="S2862" i="1" s="1"/>
  <c r="S2861" i="1" a="1"/>
  <c r="S2861" i="1" s="1"/>
  <c r="S2860" i="1" a="1"/>
  <c r="S2860" i="1" s="1"/>
  <c r="S2859" i="1" a="1"/>
  <c r="S2859" i="1" s="1"/>
  <c r="S2858" i="1" a="1"/>
  <c r="S2858" i="1" s="1"/>
  <c r="S2857" i="1" a="1"/>
  <c r="S2857" i="1"/>
  <c r="S2856" i="1" a="1"/>
  <c r="S2856" i="1"/>
  <c r="S2855" i="1" a="1"/>
  <c r="S2855" i="1"/>
  <c r="S2854" i="1" a="1"/>
  <c r="S2854" i="1"/>
  <c r="S2853" i="1" a="1"/>
  <c r="S2853" i="1" s="1"/>
  <c r="S2852" i="1" a="1"/>
  <c r="S2852" i="1" s="1"/>
  <c r="S2851" i="1" a="1"/>
  <c r="S2851" i="1" s="1"/>
  <c r="S2850" i="1" a="1"/>
  <c r="S2850" i="1" s="1"/>
  <c r="S2849" i="1" a="1"/>
  <c r="S2849" i="1"/>
  <c r="S2848" i="1" a="1"/>
  <c r="S2848" i="1"/>
  <c r="S2847" i="1" a="1"/>
  <c r="S2847" i="1"/>
  <c r="S2846" i="1" a="1"/>
  <c r="S2846" i="1"/>
  <c r="S2845" i="1" a="1"/>
  <c r="S2845" i="1" s="1"/>
  <c r="S2844" i="1" a="1"/>
  <c r="S2844" i="1" s="1"/>
  <c r="S2843" i="1" a="1"/>
  <c r="S2843" i="1" s="1"/>
  <c r="S2842" i="1" a="1"/>
  <c r="S2842" i="1"/>
  <c r="S2841" i="1" a="1"/>
  <c r="S2841" i="1"/>
  <c r="S2840" i="1" a="1"/>
  <c r="S2840" i="1" s="1"/>
  <c r="S2839" i="1" a="1"/>
  <c r="S2839" i="1" s="1"/>
  <c r="S2838" i="1" a="1"/>
  <c r="S2838" i="1"/>
  <c r="S2837" i="1" a="1"/>
  <c r="S2837" i="1" s="1"/>
  <c r="S2836" i="1" a="1"/>
  <c r="S2836" i="1" s="1"/>
  <c r="S2835" i="1" a="1"/>
  <c r="S2835" i="1" s="1"/>
  <c r="S2834" i="1" a="1"/>
  <c r="S2834" i="1"/>
  <c r="S2833" i="1" a="1"/>
  <c r="S2833" i="1"/>
  <c r="S2832" i="1" a="1"/>
  <c r="S2832" i="1"/>
  <c r="S2831" i="1" a="1"/>
  <c r="S2831" i="1" s="1"/>
  <c r="S2830" i="1" a="1"/>
  <c r="S2830" i="1"/>
  <c r="S2829" i="1" a="1"/>
  <c r="S2829" i="1" s="1"/>
  <c r="S2828" i="1" a="1"/>
  <c r="S2828" i="1" s="1"/>
  <c r="S2827" i="1" a="1"/>
  <c r="S2827" i="1" s="1"/>
  <c r="S2826" i="1" a="1"/>
  <c r="S2826" i="1"/>
  <c r="S2825" i="1" a="1"/>
  <c r="S2825" i="1"/>
  <c r="S2824" i="1" a="1"/>
  <c r="S2824" i="1"/>
  <c r="S2823" i="1" a="1"/>
  <c r="S2823" i="1"/>
  <c r="S2822" i="1" a="1"/>
  <c r="S2822" i="1"/>
  <c r="S2821" i="1" a="1"/>
  <c r="S2821" i="1" s="1"/>
  <c r="S2820" i="1" a="1"/>
  <c r="S2820" i="1" s="1"/>
  <c r="S2819" i="1" a="1"/>
  <c r="S2819" i="1" s="1"/>
  <c r="S2818" i="1" a="1"/>
  <c r="S2818" i="1"/>
  <c r="S2817" i="1" a="1"/>
  <c r="S2817" i="1"/>
  <c r="S2816" i="1" a="1"/>
  <c r="S2816" i="1" s="1"/>
  <c r="S2815" i="1" a="1"/>
  <c r="S2815" i="1"/>
  <c r="S2814" i="1" a="1"/>
  <c r="S2814" i="1" s="1"/>
  <c r="S2813" i="1" a="1"/>
  <c r="S2813" i="1" s="1"/>
  <c r="S2812" i="1" a="1"/>
  <c r="S2812" i="1"/>
  <c r="S2811" i="1" a="1"/>
  <c r="S2811" i="1" s="1"/>
  <c r="S2810" i="1" a="1"/>
  <c r="S2810" i="1"/>
  <c r="S2809" i="1" a="1"/>
  <c r="S2809" i="1"/>
  <c r="S2808" i="1" a="1"/>
  <c r="S2808" i="1"/>
  <c r="S2807" i="1" a="1"/>
  <c r="S2807" i="1" s="1"/>
  <c r="S2806" i="1" a="1"/>
  <c r="S2806" i="1"/>
  <c r="S2805" i="1" a="1"/>
  <c r="S2805" i="1" s="1"/>
  <c r="S2804" i="1" a="1"/>
  <c r="S2804" i="1"/>
  <c r="S2803" i="1" a="1"/>
  <c r="S2803" i="1" s="1"/>
  <c r="S2802" i="1" a="1"/>
  <c r="S2802" i="1"/>
  <c r="S2801" i="1" a="1"/>
  <c r="S2801" i="1"/>
  <c r="S2800" i="1" a="1"/>
  <c r="S2800" i="1"/>
  <c r="S2799" i="1" a="1"/>
  <c r="S2799" i="1"/>
  <c r="S2798" i="1" a="1"/>
  <c r="S2798" i="1"/>
  <c r="S2797" i="1" a="1"/>
  <c r="S2797" i="1"/>
  <c r="S2796" i="1" a="1"/>
  <c r="S2796" i="1"/>
  <c r="S2795" i="1" a="1"/>
  <c r="S2795" i="1" s="1"/>
  <c r="S2794" i="1" a="1"/>
  <c r="S2794" i="1"/>
  <c r="S2793" i="1" a="1"/>
  <c r="S2793" i="1" s="1"/>
  <c r="S2792" i="1" a="1"/>
  <c r="S2792" i="1" s="1"/>
  <c r="S2791" i="1" a="1"/>
  <c r="S2791" i="1"/>
  <c r="S2790" i="1" a="1"/>
  <c r="S2790" i="1"/>
  <c r="S2789" i="1" a="1"/>
  <c r="S2789" i="1" s="1"/>
  <c r="S2788" i="1" a="1"/>
  <c r="S2788" i="1"/>
  <c r="S2787" i="1" a="1"/>
  <c r="S2787" i="1" s="1"/>
  <c r="S2786" i="1" a="1"/>
  <c r="S2786" i="1"/>
  <c r="S2785" i="1" a="1"/>
  <c r="S2785" i="1" s="1"/>
  <c r="S2784" i="1" a="1"/>
  <c r="S2784" i="1"/>
  <c r="S2783" i="1" a="1"/>
  <c r="S2783" i="1" s="1"/>
  <c r="S2782" i="1" a="1"/>
  <c r="S2782" i="1"/>
  <c r="S2781" i="1" a="1"/>
  <c r="S2781" i="1"/>
  <c r="S2780" i="1" a="1"/>
  <c r="S2780" i="1"/>
  <c r="S2779" i="1" a="1"/>
  <c r="S2779" i="1" s="1"/>
  <c r="S2778" i="1" a="1"/>
  <c r="S2778" i="1"/>
  <c r="S2777" i="1" a="1"/>
  <c r="S2777" i="1" s="1"/>
  <c r="S2776" i="1" a="1"/>
  <c r="S2776" i="1"/>
  <c r="S2775" i="1" a="1"/>
  <c r="S2775" i="1"/>
  <c r="S2774" i="1" a="1"/>
  <c r="S2774" i="1" s="1"/>
  <c r="S2773" i="1" a="1"/>
  <c r="S2773" i="1"/>
  <c r="S2772" i="1" a="1"/>
  <c r="S2772" i="1"/>
  <c r="S2771" i="1" a="1"/>
  <c r="S2771" i="1" s="1"/>
  <c r="S2770" i="1" a="1"/>
  <c r="S2770" i="1"/>
  <c r="S2769" i="1" a="1"/>
  <c r="S2769" i="1" s="1"/>
  <c r="S2768" i="1" a="1"/>
  <c r="S2768" i="1"/>
  <c r="S2767" i="1" a="1"/>
  <c r="S2767" i="1" s="1"/>
  <c r="S2766" i="1" a="1"/>
  <c r="S2766" i="1" s="1"/>
  <c r="S2765" i="1" a="1"/>
  <c r="S2765" i="1" s="1"/>
  <c r="S2764" i="1" a="1"/>
  <c r="S2764" i="1"/>
  <c r="S2763" i="1" a="1"/>
  <c r="S2763" i="1" s="1"/>
  <c r="S2762" i="1" a="1"/>
  <c r="S2762" i="1"/>
  <c r="S2761" i="1" a="1"/>
  <c r="S2761" i="1" s="1"/>
  <c r="S2760" i="1" a="1"/>
  <c r="S2760" i="1"/>
  <c r="S2759" i="1" a="1"/>
  <c r="S2759" i="1"/>
  <c r="S2758" i="1" a="1"/>
  <c r="S2758" i="1"/>
  <c r="S2757" i="1" a="1"/>
  <c r="S2757" i="1"/>
  <c r="S2756" i="1" a="1"/>
  <c r="S2756" i="1" s="1"/>
  <c r="S2755" i="1" a="1"/>
  <c r="S2755" i="1" s="1"/>
  <c r="S2754" i="1" a="1"/>
  <c r="S2754" i="1"/>
  <c r="S2753" i="1" a="1"/>
  <c r="S2753" i="1" s="1"/>
  <c r="S2752" i="1" a="1"/>
  <c r="S2752" i="1"/>
  <c r="S2751" i="1" a="1"/>
  <c r="S2751" i="1"/>
  <c r="S2750" i="1" a="1"/>
  <c r="S2750" i="1" s="1"/>
  <c r="S2749" i="1" a="1"/>
  <c r="S2749" i="1"/>
  <c r="S2748" i="1" a="1"/>
  <c r="S2748" i="1" s="1"/>
  <c r="S2747" i="1" a="1"/>
  <c r="S2747" i="1" s="1"/>
  <c r="S2746" i="1" a="1"/>
  <c r="S2746" i="1"/>
  <c r="S2745" i="1" a="1"/>
  <c r="S2745" i="1" s="1"/>
  <c r="S2744" i="1" a="1"/>
  <c r="S2744" i="1"/>
  <c r="S2743" i="1" a="1"/>
  <c r="S2743" i="1"/>
  <c r="S2742" i="1" a="1"/>
  <c r="S2742" i="1"/>
  <c r="S2741" i="1" a="1"/>
  <c r="S2741" i="1" s="1"/>
  <c r="S2740" i="1" a="1"/>
  <c r="S2740" i="1"/>
  <c r="S2739" i="1" a="1"/>
  <c r="S2739" i="1" s="1"/>
  <c r="S2738" i="1" a="1"/>
  <c r="S2738" i="1"/>
  <c r="S2737" i="1" a="1"/>
  <c r="S2737" i="1" s="1"/>
  <c r="S2736" i="1" a="1"/>
  <c r="S2736" i="1"/>
  <c r="S2735" i="1" a="1"/>
  <c r="S2735" i="1"/>
  <c r="S2734" i="1" a="1"/>
  <c r="S2734" i="1"/>
  <c r="S2733" i="1" a="1"/>
  <c r="S2733" i="1"/>
  <c r="S2732" i="1" a="1"/>
  <c r="S2732" i="1" s="1"/>
  <c r="S2731" i="1" a="1"/>
  <c r="S2731" i="1" s="1"/>
  <c r="S2730" i="1" a="1"/>
  <c r="S2730" i="1"/>
  <c r="S2729" i="1" a="1"/>
  <c r="S2729" i="1" s="1"/>
  <c r="S2728" i="1" a="1"/>
  <c r="S2728" i="1" s="1"/>
  <c r="S2727" i="1" a="1"/>
  <c r="S2727" i="1" s="1"/>
  <c r="S2726" i="1" a="1"/>
  <c r="S2726" i="1"/>
  <c r="S2725" i="1" a="1"/>
  <c r="S2725" i="1" s="1"/>
  <c r="S2724" i="1" a="1"/>
  <c r="S2724" i="1"/>
  <c r="S2723" i="1" a="1"/>
  <c r="S2723" i="1" s="1"/>
  <c r="S2722" i="1" a="1"/>
  <c r="S2722" i="1"/>
  <c r="S2721" i="1" a="1"/>
  <c r="S2721" i="1" s="1"/>
  <c r="S2720" i="1" a="1"/>
  <c r="S2720" i="1"/>
  <c r="S2719" i="1" a="1"/>
  <c r="S2719" i="1" s="1"/>
  <c r="S2718" i="1" a="1"/>
  <c r="S2718" i="1" s="1"/>
  <c r="S2717" i="1" a="1"/>
  <c r="S2717" i="1"/>
  <c r="S2716" i="1" a="1"/>
  <c r="S2716" i="1" s="1"/>
  <c r="S2715" i="1" a="1"/>
  <c r="S2715" i="1" s="1"/>
  <c r="S2714" i="1" a="1"/>
  <c r="S2714" i="1"/>
  <c r="S2713" i="1" a="1"/>
  <c r="S2713" i="1" s="1"/>
  <c r="S2712" i="1" a="1"/>
  <c r="S2712" i="1" s="1"/>
  <c r="S2711" i="1" a="1"/>
  <c r="S2711" i="1" s="1"/>
  <c r="S2710" i="1" a="1"/>
  <c r="S2710" i="1" s="1"/>
  <c r="S2709" i="1" a="1"/>
  <c r="S2709" i="1" s="1"/>
  <c r="S2708" i="1" a="1"/>
  <c r="S2708" i="1"/>
  <c r="S2707" i="1" a="1"/>
  <c r="S2707" i="1" s="1"/>
  <c r="S2706" i="1" a="1"/>
  <c r="S2706" i="1"/>
  <c r="S2705" i="1" a="1"/>
  <c r="S2705" i="1" s="1"/>
  <c r="S2704" i="1" a="1"/>
  <c r="S2704" i="1"/>
  <c r="S2703" i="1" a="1"/>
  <c r="S2703" i="1"/>
  <c r="S2702" i="1" a="1"/>
  <c r="S2702" i="1"/>
  <c r="S2701" i="1" a="1"/>
  <c r="S2701" i="1" s="1"/>
  <c r="S2700" i="1" a="1"/>
  <c r="S2700" i="1" s="1"/>
  <c r="S2699" i="1" a="1"/>
  <c r="S2699" i="1" s="1"/>
  <c r="S2698" i="1" a="1"/>
  <c r="S2698" i="1"/>
  <c r="S2697" i="1" a="1"/>
  <c r="S2697" i="1" s="1"/>
  <c r="S2696" i="1" a="1"/>
  <c r="S2696" i="1"/>
  <c r="S2695" i="1" a="1"/>
  <c r="S2695" i="1"/>
  <c r="S2694" i="1" a="1"/>
  <c r="S2694" i="1"/>
  <c r="S2693" i="1" a="1"/>
  <c r="S2693" i="1"/>
  <c r="S2692" i="1" a="1"/>
  <c r="S2692" i="1" s="1"/>
  <c r="S2691" i="1" a="1"/>
  <c r="S2691" i="1" s="1"/>
  <c r="S2690" i="1" a="1"/>
  <c r="S2690" i="1"/>
  <c r="S2689" i="1" a="1"/>
  <c r="S2689" i="1" s="1"/>
  <c r="S2688" i="1" a="1"/>
  <c r="S2688" i="1"/>
  <c r="S2687" i="1" a="1"/>
  <c r="S2687" i="1"/>
  <c r="S2686" i="1" a="1"/>
  <c r="S2686" i="1"/>
  <c r="S2685" i="1" a="1"/>
  <c r="S2685" i="1" s="1"/>
  <c r="S2684" i="1" a="1"/>
  <c r="S2684" i="1" s="1"/>
  <c r="S2683" i="1" a="1"/>
  <c r="S2683" i="1" s="1"/>
  <c r="S2682" i="1" a="1"/>
  <c r="S2682" i="1"/>
  <c r="S2681" i="1" a="1"/>
  <c r="S2681" i="1" s="1"/>
  <c r="S2680" i="1" a="1"/>
  <c r="S2680" i="1"/>
  <c r="S2679" i="1" a="1"/>
  <c r="S2679" i="1"/>
  <c r="S2678" i="1" a="1"/>
  <c r="S2678" i="1"/>
  <c r="S2677" i="1" a="1"/>
  <c r="S2677" i="1"/>
  <c r="S2676" i="1" a="1"/>
  <c r="S2676" i="1" s="1"/>
  <c r="S2675" i="1" a="1"/>
  <c r="S2675" i="1" s="1"/>
  <c r="S2674" i="1" a="1"/>
  <c r="S2674" i="1"/>
  <c r="S2673" i="1" a="1"/>
  <c r="S2673" i="1" s="1"/>
  <c r="S2672" i="1" a="1"/>
  <c r="S2672" i="1" s="1"/>
  <c r="S2671" i="1" a="1"/>
  <c r="S2671" i="1"/>
  <c r="S2670" i="1" a="1"/>
  <c r="S2670" i="1"/>
  <c r="S2669" i="1" a="1"/>
  <c r="S2669" i="1" s="1"/>
  <c r="S2668" i="1" a="1"/>
  <c r="S2668" i="1"/>
  <c r="S2667" i="1" a="1"/>
  <c r="S2667" i="1" s="1"/>
  <c r="S2666" i="1" a="1"/>
  <c r="S2666" i="1"/>
  <c r="S2665" i="1" a="1"/>
  <c r="S2665" i="1" s="1"/>
  <c r="S2664" i="1" a="1"/>
  <c r="S2664" i="1" s="1"/>
  <c r="S2663" i="1" a="1"/>
  <c r="S2663" i="1" s="1"/>
  <c r="S2662" i="1" a="1"/>
  <c r="S2662" i="1"/>
  <c r="S2661" i="1" a="1"/>
  <c r="S2661" i="1" s="1"/>
  <c r="S2660" i="1" a="1"/>
  <c r="S2660" i="1"/>
  <c r="S2659" i="1" a="1"/>
  <c r="S2659" i="1" s="1"/>
  <c r="S2658" i="1" a="1"/>
  <c r="S2658" i="1"/>
  <c r="S2657" i="1" a="1"/>
  <c r="S2657" i="1" s="1"/>
  <c r="S2656" i="1" a="1"/>
  <c r="S2656" i="1"/>
  <c r="S2655" i="1" a="1"/>
  <c r="S2655" i="1" s="1"/>
  <c r="S2654" i="1" a="1"/>
  <c r="S2654" i="1" s="1"/>
  <c r="S2653" i="1" a="1"/>
  <c r="S2653" i="1"/>
  <c r="S2652" i="1" a="1"/>
  <c r="S2652" i="1"/>
  <c r="S2651" i="1" a="1"/>
  <c r="S2651" i="1" s="1"/>
  <c r="S2650" i="1" a="1"/>
  <c r="S2650" i="1"/>
  <c r="S2649" i="1" a="1"/>
  <c r="S2649" i="1" s="1"/>
  <c r="S2648" i="1" a="1"/>
  <c r="S2648" i="1" s="1"/>
  <c r="S2647" i="1" a="1"/>
  <c r="S2647" i="1" s="1"/>
  <c r="S2646" i="1" a="1"/>
  <c r="S2646" i="1" s="1"/>
  <c r="S2645" i="1" a="1"/>
  <c r="S2645" i="1" s="1"/>
  <c r="S2644" i="1" a="1"/>
  <c r="S2644" i="1"/>
  <c r="S2643" i="1" a="1"/>
  <c r="S2643" i="1" s="1"/>
  <c r="S2642" i="1" a="1"/>
  <c r="S2642" i="1"/>
  <c r="S2641" i="1" a="1"/>
  <c r="S2641" i="1" s="1"/>
  <c r="S2640" i="1" a="1"/>
  <c r="S2640" i="1" s="1"/>
  <c r="S2639" i="1" a="1"/>
  <c r="S2639" i="1"/>
  <c r="S2638" i="1" a="1"/>
  <c r="S2638" i="1" s="1"/>
  <c r="S2637" i="1" a="1"/>
  <c r="S2637" i="1" s="1"/>
  <c r="S2636" i="1" a="1"/>
  <c r="S2636" i="1" s="1"/>
  <c r="S2635" i="1" a="1"/>
  <c r="S2635" i="1" s="1"/>
  <c r="S2634" i="1" a="1"/>
  <c r="S2634" i="1"/>
  <c r="S2633" i="1" a="1"/>
  <c r="S2633" i="1" s="1"/>
  <c r="S2632" i="1" a="1"/>
  <c r="S2632" i="1"/>
  <c r="S2631" i="1" a="1"/>
  <c r="S2631" i="1" s="1"/>
  <c r="S2630" i="1" a="1"/>
  <c r="S2630" i="1" s="1"/>
  <c r="S2629" i="1" a="1"/>
  <c r="S2629" i="1"/>
  <c r="S2628" i="1" a="1"/>
  <c r="S2628" i="1" s="1"/>
  <c r="S2627" i="1" a="1"/>
  <c r="S2627" i="1" s="1"/>
  <c r="S2626" i="1" a="1"/>
  <c r="S2626" i="1"/>
  <c r="S2625" i="1" a="1"/>
  <c r="S2625" i="1" s="1"/>
  <c r="S2624" i="1" a="1"/>
  <c r="S2624" i="1" s="1"/>
  <c r="S2623" i="1" a="1"/>
  <c r="S2623" i="1"/>
  <c r="S2622" i="1" a="1"/>
  <c r="S2622" i="1"/>
  <c r="S2621" i="1" a="1"/>
  <c r="S2621" i="1" s="1"/>
  <c r="S2620" i="1" a="1"/>
  <c r="S2620" i="1"/>
  <c r="S2619" i="1" a="1"/>
  <c r="S2619" i="1" s="1"/>
  <c r="S2618" i="1" a="1"/>
  <c r="S2618" i="1"/>
  <c r="S2617" i="1" a="1"/>
  <c r="S2617" i="1" s="1"/>
  <c r="S2616" i="1" a="1"/>
  <c r="S2616" i="1"/>
  <c r="S2615" i="1" a="1"/>
  <c r="S2615" i="1"/>
  <c r="S2614" i="1" a="1"/>
  <c r="S2614" i="1" s="1"/>
  <c r="S2613" i="1" a="1"/>
  <c r="S2613" i="1"/>
  <c r="S2612" i="1" a="1"/>
  <c r="S2612" i="1" s="1"/>
  <c r="S2611" i="1" a="1"/>
  <c r="S2611" i="1" s="1"/>
  <c r="S2610" i="1" a="1"/>
  <c r="S2610" i="1"/>
  <c r="S2609" i="1" a="1"/>
  <c r="S2609" i="1" s="1"/>
  <c r="S2608" i="1" a="1"/>
  <c r="S2608" i="1" s="1"/>
  <c r="S2607" i="1" a="1"/>
  <c r="S2607" i="1"/>
  <c r="S2606" i="1" a="1"/>
  <c r="S2606" i="1"/>
  <c r="S2605" i="1" a="1"/>
  <c r="S2605" i="1"/>
  <c r="S2604" i="1" a="1"/>
  <c r="S2604" i="1" s="1"/>
  <c r="S2603" i="1" a="1"/>
  <c r="S2603" i="1" s="1"/>
  <c r="S2602" i="1" a="1"/>
  <c r="S2602" i="1" s="1"/>
  <c r="S2601" i="1" a="1"/>
  <c r="S2601" i="1" s="1"/>
  <c r="S2600" i="1" a="1"/>
  <c r="S2600" i="1" s="1"/>
  <c r="S2599" i="1" a="1"/>
  <c r="S2599" i="1" s="1"/>
  <c r="S2598" i="1" a="1"/>
  <c r="S2598" i="1" s="1"/>
  <c r="S2597" i="1" a="1"/>
  <c r="S2597" i="1"/>
  <c r="S2596" i="1" a="1"/>
  <c r="S2596" i="1"/>
  <c r="S2595" i="1" a="1"/>
  <c r="S2595" i="1" s="1"/>
  <c r="S2594" i="1" a="1"/>
  <c r="S2594" i="1"/>
  <c r="S2593" i="1" a="1"/>
  <c r="S2593" i="1" s="1"/>
  <c r="S2592" i="1" a="1"/>
  <c r="S2592" i="1" s="1"/>
  <c r="S2591" i="1" a="1"/>
  <c r="S2591" i="1" s="1"/>
  <c r="S2590" i="1" a="1"/>
  <c r="S2590" i="1" s="1"/>
  <c r="S2589" i="1" a="1"/>
  <c r="S2589" i="1" s="1"/>
  <c r="S2588" i="1" a="1"/>
  <c r="S2588" i="1" s="1"/>
  <c r="S2587" i="1" a="1"/>
  <c r="S2587" i="1" s="1"/>
  <c r="S2586" i="1" a="1"/>
  <c r="S2586" i="1"/>
  <c r="S2585" i="1" a="1"/>
  <c r="S2585" i="1" s="1"/>
  <c r="S2584" i="1" a="1"/>
  <c r="S2584" i="1"/>
  <c r="S2583" i="1" a="1"/>
  <c r="S2583" i="1"/>
  <c r="S2582" i="1" a="1"/>
  <c r="S2582" i="1" s="1"/>
  <c r="S2581" i="1" a="1"/>
  <c r="S2581" i="1" s="1"/>
  <c r="S2580" i="1" a="1"/>
  <c r="S2580" i="1" s="1"/>
  <c r="S2579" i="1" a="1"/>
  <c r="S2579" i="1" s="1"/>
  <c r="S2578" i="1" a="1"/>
  <c r="S2578" i="1"/>
  <c r="S2577" i="1" a="1"/>
  <c r="S2577" i="1" s="1"/>
  <c r="S2576" i="1" a="1"/>
  <c r="S2576" i="1"/>
  <c r="S2575" i="1" a="1"/>
  <c r="S2575" i="1"/>
  <c r="S2574" i="1" a="1"/>
  <c r="S2574" i="1"/>
  <c r="S2573" i="1" a="1"/>
  <c r="S2573" i="1" s="1"/>
  <c r="S2572" i="1" a="1"/>
  <c r="S2572" i="1" s="1"/>
  <c r="S2571" i="1" a="1"/>
  <c r="S2571" i="1" s="1"/>
  <c r="S2570" i="1" a="1"/>
  <c r="S2570" i="1"/>
  <c r="S2569" i="1" a="1"/>
  <c r="S2569" i="1" s="1"/>
  <c r="S2568" i="1" a="1"/>
  <c r="S2568" i="1" s="1"/>
  <c r="S2567" i="1" a="1"/>
  <c r="S2567" i="1" s="1"/>
  <c r="S2566" i="1" a="1"/>
  <c r="S2566" i="1"/>
  <c r="S2565" i="1" a="1"/>
  <c r="S2565" i="1"/>
  <c r="S2564" i="1" a="1"/>
  <c r="S2564" i="1" s="1"/>
  <c r="S2563" i="1" a="1"/>
  <c r="S2563" i="1" s="1"/>
  <c r="S2562" i="1" a="1"/>
  <c r="S2562" i="1"/>
  <c r="S2561" i="1" a="1"/>
  <c r="S2561" i="1" s="1"/>
  <c r="S2560" i="1" a="1"/>
  <c r="S2560" i="1"/>
  <c r="S2559" i="1" a="1"/>
  <c r="S2559" i="1"/>
  <c r="S2558" i="1" a="1"/>
  <c r="S2558" i="1"/>
  <c r="S2557" i="1" a="1"/>
  <c r="S2557" i="1"/>
  <c r="S2556" i="1" a="1"/>
  <c r="S2556" i="1" s="1"/>
  <c r="S2555" i="1" a="1"/>
  <c r="S2555" i="1" s="1"/>
  <c r="S2554" i="1" a="1"/>
  <c r="S2554" i="1"/>
  <c r="S2553" i="1" a="1"/>
  <c r="S2553" i="1" s="1"/>
  <c r="S2552" i="1" a="1"/>
  <c r="S2552" i="1"/>
  <c r="S2551" i="1" a="1"/>
  <c r="S2551" i="1"/>
  <c r="S2550" i="1" a="1"/>
  <c r="S2550" i="1"/>
  <c r="S2549" i="1" a="1"/>
  <c r="S2549" i="1"/>
  <c r="S2548" i="1" a="1"/>
  <c r="S2548" i="1"/>
  <c r="S2547" i="1" a="1"/>
  <c r="S2547" i="1" s="1"/>
  <c r="S2546" i="1" a="1"/>
  <c r="S2546" i="1"/>
  <c r="S2545" i="1" a="1"/>
  <c r="S2545" i="1" s="1"/>
  <c r="S2544" i="1" a="1"/>
  <c r="S2544" i="1" s="1"/>
  <c r="S2543" i="1" a="1"/>
  <c r="S2543" i="1"/>
  <c r="S2542" i="1" a="1"/>
  <c r="S2542" i="1"/>
  <c r="S2541" i="1" a="1"/>
  <c r="S2541" i="1" s="1"/>
  <c r="S2540" i="1" a="1"/>
  <c r="S2540" i="1"/>
  <c r="S2539" i="1" a="1"/>
  <c r="S2539" i="1" s="1"/>
  <c r="S2538" i="1" a="1"/>
  <c r="S2538" i="1"/>
  <c r="S2537" i="1" a="1"/>
  <c r="S2537" i="1" s="1"/>
  <c r="S2536" i="1" a="1"/>
  <c r="S2536" i="1" s="1"/>
  <c r="S2535" i="1" a="1"/>
  <c r="S2535" i="1" s="1"/>
  <c r="S2534" i="1" a="1"/>
  <c r="S2534" i="1"/>
  <c r="S2533" i="1" a="1"/>
  <c r="S2533" i="1"/>
  <c r="S2532" i="1" a="1"/>
  <c r="S2532" i="1"/>
  <c r="S2531" i="1" a="1"/>
  <c r="S2531" i="1" s="1"/>
  <c r="S2530" i="1" a="1"/>
  <c r="S2530" i="1"/>
  <c r="S2529" i="1" a="1"/>
  <c r="S2529" i="1" s="1"/>
  <c r="S2528" i="1" a="1"/>
  <c r="S2528" i="1" s="1"/>
  <c r="S2527" i="1" a="1"/>
  <c r="S2527" i="1" s="1"/>
  <c r="S2526" i="1" a="1"/>
  <c r="S2526" i="1" s="1"/>
  <c r="S2525" i="1" a="1"/>
  <c r="S2525" i="1"/>
  <c r="S2524" i="1" a="1"/>
  <c r="S2524" i="1"/>
  <c r="S2523" i="1" a="1"/>
  <c r="S2523" i="1" s="1"/>
  <c r="S2522" i="1" a="1"/>
  <c r="S2522" i="1"/>
  <c r="S2521" i="1" a="1"/>
  <c r="S2521" i="1" s="1"/>
  <c r="S2520" i="1" a="1"/>
  <c r="S2520" i="1" s="1"/>
  <c r="S2519" i="1" a="1"/>
  <c r="S2519" i="1"/>
  <c r="S2518" i="1" a="1"/>
  <c r="S2518" i="1" s="1"/>
  <c r="S2517" i="1" a="1"/>
  <c r="S2517" i="1" s="1"/>
  <c r="S2516" i="1" a="1"/>
  <c r="S2516" i="1" s="1"/>
  <c r="S2515" i="1" a="1"/>
  <c r="S2515" i="1" s="1"/>
  <c r="S2514" i="1" a="1"/>
  <c r="S2514" i="1"/>
  <c r="S2513" i="1" a="1"/>
  <c r="S2513" i="1" s="1"/>
  <c r="S2512" i="1" a="1"/>
  <c r="S2512" i="1"/>
  <c r="S2511" i="1" a="1"/>
  <c r="S2511" i="1"/>
  <c r="S2510" i="1" a="1"/>
  <c r="S2510" i="1" s="1"/>
  <c r="S2509" i="1" a="1"/>
  <c r="S2509" i="1" s="1"/>
  <c r="S2508" i="1" a="1"/>
  <c r="S2508" i="1" s="1"/>
  <c r="S2507" i="1" a="1"/>
  <c r="S2507" i="1" s="1"/>
  <c r="S2506" i="1" a="1"/>
  <c r="S2506" i="1"/>
  <c r="S2505" i="1" a="1"/>
  <c r="S2505" i="1" s="1"/>
  <c r="S2504" i="1" a="1"/>
  <c r="S2504" i="1" s="1"/>
  <c r="S2503" i="1" a="1"/>
  <c r="S2503" i="1"/>
  <c r="S2502" i="1" a="1"/>
  <c r="S2502" i="1"/>
  <c r="S2501" i="1" a="1"/>
  <c r="S2501" i="1"/>
  <c r="S2500" i="1" a="1"/>
  <c r="S2500" i="1" s="1"/>
  <c r="S2499" i="1" a="1"/>
  <c r="S2499" i="1" s="1"/>
  <c r="S2498" i="1" a="1"/>
  <c r="S2498" i="1"/>
  <c r="S2497" i="1" a="1"/>
  <c r="S2497" i="1" s="1"/>
  <c r="S2496" i="1" a="1"/>
  <c r="S2496" i="1"/>
  <c r="S2495" i="1" a="1"/>
  <c r="S2495" i="1" s="1"/>
  <c r="S2494" i="1" a="1"/>
  <c r="S2494" i="1" s="1"/>
  <c r="S2493" i="1" a="1"/>
  <c r="S2493" i="1" s="1"/>
  <c r="S2492" i="1" a="1"/>
  <c r="S2492" i="1"/>
  <c r="S2491" i="1" a="1"/>
  <c r="S2491" i="1" s="1"/>
  <c r="S2490" i="1" a="1"/>
  <c r="S2490" i="1"/>
  <c r="S2489" i="1" a="1"/>
  <c r="S2489" i="1" s="1"/>
  <c r="S2488" i="1" a="1"/>
  <c r="S2488" i="1"/>
  <c r="S2487" i="1" a="1"/>
  <c r="S2487" i="1"/>
  <c r="S2486" i="1" a="1"/>
  <c r="S2486" i="1"/>
  <c r="S2485" i="1" a="1"/>
  <c r="S2485" i="1" s="1"/>
  <c r="S2484" i="1" a="1"/>
  <c r="S2484" i="1" s="1"/>
  <c r="S2483" i="1" a="1"/>
  <c r="S2483" i="1" s="1"/>
  <c r="S2482" i="1" a="1"/>
  <c r="S2482" i="1"/>
  <c r="S2481" i="1" a="1"/>
  <c r="S2481" i="1" s="1"/>
  <c r="S2480" i="1" a="1"/>
  <c r="S2480" i="1" s="1"/>
  <c r="S2479" i="1" a="1"/>
  <c r="S2479" i="1"/>
  <c r="S2478" i="1" a="1"/>
  <c r="S2478" i="1" s="1"/>
  <c r="S2477" i="1" a="1"/>
  <c r="S2477" i="1"/>
  <c r="S2476" i="1" a="1"/>
  <c r="S2476" i="1"/>
  <c r="S2475" i="1" a="1"/>
  <c r="S2475" i="1" s="1"/>
  <c r="S2474" i="1" a="1"/>
  <c r="S2474" i="1"/>
  <c r="S2473" i="1" a="1"/>
  <c r="S2473" i="1" s="1"/>
  <c r="S2472" i="1" a="1"/>
  <c r="S2472" i="1" s="1"/>
  <c r="S2471" i="1" a="1"/>
  <c r="S2471" i="1" s="1"/>
  <c r="S2470" i="1" a="1"/>
  <c r="S2470" i="1" s="1"/>
  <c r="S2469" i="1" a="1"/>
  <c r="S2469" i="1" s="1"/>
  <c r="S2468" i="1" a="1"/>
  <c r="S2468" i="1" s="1"/>
  <c r="S2467" i="1" a="1"/>
  <c r="S2467" i="1" s="1"/>
  <c r="S2466" i="1" a="1"/>
  <c r="S2466" i="1"/>
  <c r="S2465" i="1" a="1"/>
  <c r="S2465" i="1" s="1"/>
  <c r="S2464" i="1" a="1"/>
  <c r="S2464" i="1"/>
  <c r="S2463" i="1" a="1"/>
  <c r="S2463" i="1" s="1"/>
  <c r="S2462" i="1" a="1"/>
  <c r="S2462" i="1" s="1"/>
  <c r="S2461" i="1" a="1"/>
  <c r="S2461" i="1"/>
  <c r="S2460" i="1" a="1"/>
  <c r="S2460" i="1" s="1"/>
  <c r="S2459" i="1" a="1"/>
  <c r="S2459" i="1" s="1"/>
  <c r="S2458" i="1" a="1"/>
  <c r="S2458" i="1"/>
  <c r="S2457" i="1" a="1"/>
  <c r="S2457" i="1" s="1"/>
  <c r="S2456" i="1" a="1"/>
  <c r="S2456" i="1"/>
  <c r="S2455" i="1" a="1"/>
  <c r="S2455" i="1"/>
  <c r="S2454" i="1" a="1"/>
  <c r="S2454" i="1" s="1"/>
  <c r="S2453" i="1" a="1"/>
  <c r="S2453" i="1" s="1"/>
  <c r="S2452" i="1" a="1"/>
  <c r="S2452" i="1"/>
  <c r="S2451" i="1" a="1"/>
  <c r="S2451" i="1" s="1"/>
  <c r="S2450" i="1" a="1"/>
  <c r="S2450" i="1"/>
  <c r="S2449" i="1" a="1"/>
  <c r="S2449" i="1" s="1"/>
  <c r="S2448" i="1" a="1"/>
  <c r="S2448" i="1" s="1"/>
  <c r="S2447" i="1" a="1"/>
  <c r="S2447" i="1" s="1"/>
  <c r="S2446" i="1" a="1"/>
  <c r="S2446" i="1"/>
  <c r="S2445" i="1" a="1"/>
  <c r="S2445" i="1" s="1"/>
  <c r="S2444" i="1" a="1"/>
  <c r="S2444" i="1" s="1"/>
  <c r="S2443" i="1" a="1"/>
  <c r="S2443" i="1" s="1"/>
  <c r="S2442" i="1" a="1"/>
  <c r="S2442" i="1"/>
  <c r="S2441" i="1" a="1"/>
  <c r="S2441" i="1" s="1"/>
  <c r="S2440" i="1" a="1"/>
  <c r="S2440" i="1"/>
  <c r="S2439" i="1" a="1"/>
  <c r="S2439" i="1" s="1"/>
  <c r="S2438" i="1" a="1"/>
  <c r="S2438" i="1" s="1"/>
  <c r="S2437" i="1" a="1"/>
  <c r="S2437" i="1" s="1"/>
  <c r="S2436" i="1" a="1"/>
  <c r="S2436" i="1" s="1"/>
  <c r="S2435" i="1" a="1"/>
  <c r="S2435" i="1" s="1"/>
  <c r="S2434" i="1" a="1"/>
  <c r="S2434" i="1"/>
  <c r="S2433" i="1" a="1"/>
  <c r="S2433" i="1" s="1"/>
  <c r="S2432" i="1" a="1"/>
  <c r="S2432" i="1"/>
  <c r="S2431" i="1" a="1"/>
  <c r="S2431" i="1"/>
  <c r="S2430" i="1" a="1"/>
  <c r="S2430" i="1"/>
  <c r="S2429" i="1" a="1"/>
  <c r="S2429" i="1"/>
  <c r="S2428" i="1" a="1"/>
  <c r="S2428" i="1"/>
  <c r="S2427" i="1" a="1"/>
  <c r="S2427" i="1" s="1"/>
  <c r="S2426" i="1" a="1"/>
  <c r="S2426" i="1"/>
  <c r="S2425" i="1" a="1"/>
  <c r="S2425" i="1" s="1"/>
  <c r="S2424" i="1" a="1"/>
  <c r="S2424" i="1"/>
  <c r="S2423" i="1" a="1"/>
  <c r="S2423" i="1"/>
  <c r="S2422" i="1" a="1"/>
  <c r="S2422" i="1"/>
  <c r="S2421" i="1" a="1"/>
  <c r="S2421" i="1"/>
  <c r="S2420" i="1" a="1"/>
  <c r="S2420" i="1"/>
  <c r="S2419" i="1" a="1"/>
  <c r="S2419" i="1" s="1"/>
  <c r="S2418" i="1" a="1"/>
  <c r="S2418" i="1" s="1"/>
  <c r="S2417" i="1" a="1"/>
  <c r="S2417" i="1" s="1"/>
  <c r="S2416" i="1" a="1"/>
  <c r="S2416" i="1" s="1"/>
  <c r="S2415" i="1" a="1"/>
  <c r="S2415" i="1"/>
  <c r="S2414" i="1" a="1"/>
  <c r="S2414" i="1"/>
  <c r="S2413" i="1" a="1"/>
  <c r="S2413" i="1"/>
  <c r="S2412" i="1" a="1"/>
  <c r="S2412" i="1"/>
  <c r="S2411" i="1" a="1"/>
  <c r="S2411" i="1" s="1"/>
  <c r="S2410" i="1" a="1"/>
  <c r="S2410" i="1" s="1"/>
  <c r="S2409" i="1" a="1"/>
  <c r="S2409" i="1" s="1"/>
  <c r="S2408" i="1" a="1"/>
  <c r="S2408" i="1"/>
  <c r="S2407" i="1" a="1"/>
  <c r="S2407" i="1"/>
  <c r="S2406" i="1" a="1"/>
  <c r="S2406" i="1"/>
  <c r="S2405" i="1" a="1"/>
  <c r="S2405" i="1"/>
  <c r="S2404" i="1" a="1"/>
  <c r="S2404" i="1"/>
  <c r="S2403" i="1" a="1"/>
  <c r="S2403" i="1"/>
  <c r="S2402" i="1" a="1"/>
  <c r="S2402" i="1"/>
  <c r="S2401" i="1" a="1"/>
  <c r="S2401" i="1" s="1"/>
  <c r="S2400" i="1" a="1"/>
  <c r="S2400" i="1" s="1"/>
  <c r="S2399" i="1" a="1"/>
  <c r="S2399" i="1" s="1"/>
  <c r="S2398" i="1" a="1"/>
  <c r="S2398" i="1" s="1"/>
  <c r="S2397" i="1" a="1"/>
  <c r="S2397" i="1" s="1"/>
  <c r="S2396" i="1" a="1"/>
  <c r="S2396" i="1"/>
  <c r="S2395" i="1" a="1"/>
  <c r="S2395" i="1"/>
  <c r="S2394" i="1" a="1"/>
  <c r="S2394" i="1"/>
  <c r="S2393" i="1" a="1"/>
  <c r="S2393" i="1" s="1"/>
  <c r="S2392" i="1" a="1"/>
  <c r="S2392" i="1" s="1"/>
  <c r="S2391" i="1" a="1"/>
  <c r="S2391" i="1" s="1"/>
  <c r="S2390" i="1" a="1"/>
  <c r="S2390" i="1" s="1"/>
  <c r="S2389" i="1" a="1"/>
  <c r="S2389" i="1"/>
  <c r="S2388" i="1" a="1"/>
  <c r="S2388" i="1" s="1"/>
  <c r="S2387" i="1" a="1"/>
  <c r="S2387" i="1" s="1"/>
  <c r="S2386" i="1" a="1"/>
  <c r="S2386" i="1" s="1"/>
  <c r="S2385" i="1" a="1"/>
  <c r="S2385" i="1"/>
  <c r="S2384" i="1" a="1"/>
  <c r="S2384" i="1" s="1"/>
  <c r="S2383" i="1" a="1"/>
  <c r="S2383" i="1" s="1"/>
  <c r="S2382" i="1" a="1"/>
  <c r="S2382" i="1" s="1"/>
  <c r="S2381" i="1" a="1"/>
  <c r="S2381" i="1" s="1"/>
  <c r="S2380" i="1" a="1"/>
  <c r="S2380" i="1"/>
  <c r="S2379" i="1" a="1"/>
  <c r="S2379" i="1"/>
  <c r="S2378" i="1" a="1"/>
  <c r="S2378" i="1" s="1"/>
  <c r="S2377" i="1" a="1"/>
  <c r="S2377" i="1" s="1"/>
  <c r="S2376" i="1" a="1"/>
  <c r="S2376" i="1" s="1"/>
  <c r="S2375" i="1" a="1"/>
  <c r="S2375" i="1" s="1"/>
  <c r="S2374" i="1" a="1"/>
  <c r="S2374" i="1" s="1"/>
  <c r="S2373" i="1" a="1"/>
  <c r="S2373" i="1" s="1"/>
  <c r="S2372" i="1" a="1"/>
  <c r="S2372" i="1" s="1"/>
  <c r="S2371" i="1" a="1"/>
  <c r="S2371" i="1" s="1"/>
  <c r="S2370" i="1" a="1"/>
  <c r="S2370" i="1"/>
  <c r="S2369" i="1" a="1"/>
  <c r="S2369" i="1"/>
  <c r="S2368" i="1" a="1"/>
  <c r="S2368" i="1" s="1"/>
  <c r="S2367" i="1" a="1"/>
  <c r="S2367" i="1" s="1"/>
  <c r="S2366" i="1" a="1"/>
  <c r="S2366" i="1"/>
  <c r="S2365" i="1" a="1"/>
  <c r="S2365" i="1" s="1"/>
  <c r="S2364" i="1" a="1"/>
  <c r="S2364" i="1" s="1"/>
  <c r="S2363" i="1" a="1"/>
  <c r="S2363" i="1" s="1"/>
  <c r="S2362" i="1" a="1"/>
  <c r="S2362" i="1"/>
  <c r="S2361" i="1" a="1"/>
  <c r="S2361" i="1"/>
  <c r="S2360" i="1" a="1"/>
  <c r="S2360" i="1" s="1"/>
  <c r="S2359" i="1" a="1"/>
  <c r="S2359" i="1" s="1"/>
  <c r="S2358" i="1" a="1"/>
  <c r="S2358" i="1"/>
  <c r="S2357" i="1" a="1"/>
  <c r="S2357" i="1"/>
  <c r="S2356" i="1" a="1"/>
  <c r="S2356" i="1" s="1"/>
  <c r="S2355" i="1" a="1"/>
  <c r="S2355" i="1" s="1"/>
  <c r="S2354" i="1" a="1"/>
  <c r="S2354" i="1" s="1"/>
  <c r="S2353" i="1" a="1"/>
  <c r="S2353" i="1"/>
  <c r="S2352" i="1" a="1"/>
  <c r="S2352" i="1" s="1"/>
  <c r="S2351" i="1" a="1"/>
  <c r="S2351" i="1" s="1"/>
  <c r="S2350" i="1" a="1"/>
  <c r="S2350" i="1"/>
  <c r="S2349" i="1" a="1"/>
  <c r="S2349" i="1" s="1"/>
  <c r="S2348" i="1" a="1"/>
  <c r="S2348" i="1"/>
  <c r="S2347" i="1" a="1"/>
  <c r="S2347" i="1" s="1"/>
  <c r="S2346" i="1" a="1"/>
  <c r="S2346" i="1" s="1"/>
  <c r="S2345" i="1" a="1"/>
  <c r="S2345" i="1" s="1"/>
  <c r="S2344" i="1" a="1"/>
  <c r="S2344" i="1" s="1"/>
  <c r="S2343" i="1" a="1"/>
  <c r="S2343" i="1" s="1"/>
  <c r="S2342" i="1" a="1"/>
  <c r="S2342" i="1" s="1"/>
  <c r="S2341" i="1" a="1"/>
  <c r="S2341" i="1" s="1"/>
  <c r="S2340" i="1" a="1"/>
  <c r="S2340" i="1"/>
  <c r="S2339" i="1" a="1"/>
  <c r="S2339" i="1"/>
  <c r="S2338" i="1" a="1"/>
  <c r="S2338" i="1" s="1"/>
  <c r="S2337" i="1" a="1"/>
  <c r="S2337" i="1" s="1"/>
  <c r="S2336" i="1" a="1"/>
  <c r="S2336" i="1" s="1"/>
  <c r="S2335" i="1" a="1"/>
  <c r="S2335" i="1" s="1"/>
  <c r="S2334" i="1" a="1"/>
  <c r="S2334" i="1"/>
  <c r="S2333" i="1" a="1"/>
  <c r="S2333" i="1" s="1"/>
  <c r="S2332" i="1" a="1"/>
  <c r="S2332" i="1" s="1"/>
  <c r="S2331" i="1" a="1"/>
  <c r="S2331" i="1" s="1"/>
  <c r="S2330" i="1" a="1"/>
  <c r="S2330" i="1"/>
  <c r="S2329" i="1" a="1"/>
  <c r="S2329" i="1" s="1"/>
  <c r="S2328" i="1" a="1"/>
  <c r="S2328" i="1" s="1"/>
  <c r="S2327" i="1" a="1"/>
  <c r="S2327" i="1" s="1"/>
  <c r="S2326" i="1" a="1"/>
  <c r="S2326" i="1" s="1"/>
  <c r="S2325" i="1" a="1"/>
  <c r="S2325" i="1"/>
  <c r="S2324" i="1" a="1"/>
  <c r="S2324" i="1" s="1"/>
  <c r="S2323" i="1" a="1"/>
  <c r="S2323" i="1" s="1"/>
  <c r="S2322" i="1" a="1"/>
  <c r="S2322" i="1" s="1"/>
  <c r="S2321" i="1" a="1"/>
  <c r="S2321" i="1" s="1"/>
  <c r="S2320" i="1" a="1"/>
  <c r="S2320" i="1" s="1"/>
  <c r="S2319" i="1" a="1"/>
  <c r="S2319" i="1" s="1"/>
  <c r="S2318" i="1" a="1"/>
  <c r="S2318" i="1" s="1"/>
  <c r="S2317" i="1" a="1"/>
  <c r="S2317" i="1" s="1"/>
  <c r="S2316" i="1" a="1"/>
  <c r="S2316" i="1"/>
  <c r="S2315" i="1" a="1"/>
  <c r="S2315" i="1"/>
  <c r="S2314" i="1" a="1"/>
  <c r="S2314" i="1"/>
  <c r="S2313" i="1" a="1"/>
  <c r="S2313" i="1" s="1"/>
  <c r="S2312" i="1" a="1"/>
  <c r="S2312" i="1" s="1"/>
  <c r="S2311" i="1" a="1"/>
  <c r="S2311" i="1" s="1"/>
  <c r="S2310" i="1" a="1"/>
  <c r="S2310" i="1" s="1"/>
  <c r="S2309" i="1" a="1"/>
  <c r="S2309" i="1" s="1"/>
  <c r="S2308" i="1" a="1"/>
  <c r="S2308" i="1" s="1"/>
  <c r="S2307" i="1" a="1"/>
  <c r="S2307" i="1"/>
  <c r="S2306" i="1" a="1"/>
  <c r="S2306" i="1"/>
  <c r="S2305" i="1" a="1"/>
  <c r="S2305" i="1"/>
  <c r="S2304" i="1" a="1"/>
  <c r="S2304" i="1" s="1"/>
  <c r="S2303" i="1" a="1"/>
  <c r="S2303" i="1" s="1"/>
  <c r="S2302" i="1" a="1"/>
  <c r="S2302" i="1"/>
  <c r="S2301" i="1" a="1"/>
  <c r="S2301" i="1" s="1"/>
  <c r="S2300" i="1" a="1"/>
  <c r="S2300" i="1" s="1"/>
  <c r="S2299" i="1" a="1"/>
  <c r="S2299" i="1" s="1"/>
  <c r="S2298" i="1" a="1"/>
  <c r="S2298" i="1" s="1"/>
  <c r="S2297" i="1" a="1"/>
  <c r="S2297" i="1"/>
  <c r="S2296" i="1" a="1"/>
  <c r="S2296" i="1" s="1"/>
  <c r="S2295" i="1" a="1"/>
  <c r="S2295" i="1" s="1"/>
  <c r="S2294" i="1" a="1"/>
  <c r="S2294" i="1"/>
  <c r="S2293" i="1" a="1"/>
  <c r="S2293" i="1"/>
  <c r="S2292" i="1" a="1"/>
  <c r="S2292" i="1" s="1"/>
  <c r="S2291" i="1" a="1"/>
  <c r="S2291" i="1" s="1"/>
  <c r="S2290" i="1" a="1"/>
  <c r="S2290" i="1" s="1"/>
  <c r="S2289" i="1" a="1"/>
  <c r="S2289" i="1"/>
  <c r="S2288" i="1" a="1"/>
  <c r="S2288" i="1" s="1"/>
  <c r="S2287" i="1" a="1"/>
  <c r="S2287" i="1" s="1"/>
  <c r="S2286" i="1" a="1"/>
  <c r="S2286" i="1"/>
  <c r="S2285" i="1" a="1"/>
  <c r="S2285" i="1"/>
  <c r="S2284" i="1" a="1"/>
  <c r="S2284" i="1"/>
  <c r="S2283" i="1" a="1"/>
  <c r="S2283" i="1" s="1"/>
  <c r="S2282" i="1" a="1"/>
  <c r="S2282" i="1" s="1"/>
  <c r="S2281" i="1" a="1"/>
  <c r="S2281" i="1" s="1"/>
  <c r="S2280" i="1" a="1"/>
  <c r="S2280" i="1" s="1"/>
  <c r="S2279" i="1" a="1"/>
  <c r="S2279" i="1" s="1"/>
  <c r="S2278" i="1" a="1"/>
  <c r="S2278" i="1" s="1"/>
  <c r="S2277" i="1" a="1"/>
  <c r="S2277" i="1" s="1"/>
  <c r="S2276" i="1" a="1"/>
  <c r="S2276" i="1" s="1"/>
  <c r="S2275" i="1" a="1"/>
  <c r="S2275" i="1" s="1"/>
  <c r="S2274" i="1" a="1"/>
  <c r="S2274" i="1" s="1"/>
  <c r="S2273" i="1" a="1"/>
  <c r="S2273" i="1" s="1"/>
  <c r="S2272" i="1" a="1"/>
  <c r="S2272" i="1" s="1"/>
  <c r="S2271" i="1" a="1"/>
  <c r="S2271" i="1" s="1"/>
  <c r="S2270" i="1" a="1"/>
  <c r="S2270" i="1"/>
  <c r="S2269" i="1" a="1"/>
  <c r="S2269" i="1"/>
  <c r="S2268" i="1" a="1"/>
  <c r="S2268" i="1" s="1"/>
  <c r="S2267" i="1" a="1"/>
  <c r="S2267" i="1" s="1"/>
  <c r="S2266" i="1" a="1"/>
  <c r="S2266" i="1" s="1"/>
  <c r="S2265" i="1" a="1"/>
  <c r="S2265" i="1" s="1"/>
  <c r="S2264" i="1" a="1"/>
  <c r="S2264" i="1" s="1"/>
  <c r="S2263" i="1" a="1"/>
  <c r="S2263" i="1" s="1"/>
  <c r="S2262" i="1" a="1"/>
  <c r="S2262" i="1" s="1"/>
  <c r="S2261" i="1" a="1"/>
  <c r="S2261" i="1" s="1"/>
  <c r="S2260" i="1" a="1"/>
  <c r="S2260" i="1"/>
  <c r="S2259" i="1" a="1"/>
  <c r="S2259" i="1"/>
  <c r="S2258" i="1" a="1"/>
  <c r="S2258" i="1" s="1"/>
  <c r="S2257" i="1" a="1"/>
  <c r="S2257" i="1" s="1"/>
  <c r="S2256" i="1" a="1"/>
  <c r="S2256" i="1" s="1"/>
  <c r="S2255" i="1" a="1"/>
  <c r="S2255" i="1" s="1"/>
  <c r="S2254" i="1" a="1"/>
  <c r="S2254" i="1" s="1"/>
  <c r="S2253" i="1" a="1"/>
  <c r="S2253" i="1" s="1"/>
  <c r="S2252" i="1" a="1"/>
  <c r="S2252" i="1"/>
  <c r="S2251" i="1" a="1"/>
  <c r="S2251" i="1"/>
  <c r="S2250" i="1" a="1"/>
  <c r="S2250" i="1" s="1"/>
  <c r="S2249" i="1" a="1"/>
  <c r="S2249" i="1"/>
  <c r="S2248" i="1" a="1"/>
  <c r="S2248" i="1" s="1"/>
  <c r="S2247" i="1" a="1"/>
  <c r="S2247" i="1" s="1"/>
  <c r="S2246" i="1" a="1"/>
  <c r="S2246" i="1" s="1"/>
  <c r="S2245" i="1" a="1"/>
  <c r="S2245" i="1" s="1"/>
  <c r="S2244" i="1" a="1"/>
  <c r="S2244" i="1" s="1"/>
  <c r="S2243" i="1" a="1"/>
  <c r="S2243" i="1"/>
  <c r="S2242" i="1" a="1"/>
  <c r="S2242" i="1"/>
  <c r="S2241" i="1" a="1"/>
  <c r="S2241" i="1"/>
  <c r="S2240" i="1" a="1"/>
  <c r="S2240" i="1" s="1"/>
  <c r="S2239" i="1" a="1"/>
  <c r="S2239" i="1" s="1"/>
  <c r="S2238" i="1" a="1"/>
  <c r="S2238" i="1"/>
  <c r="S2237" i="1" a="1"/>
  <c r="S2237" i="1" s="1"/>
  <c r="S2236" i="1" a="1"/>
  <c r="S2236" i="1" s="1"/>
  <c r="S2235" i="1" a="1"/>
  <c r="S2235" i="1" s="1"/>
  <c r="S2234" i="1" a="1"/>
  <c r="S2234" i="1" s="1"/>
  <c r="S2233" i="1" a="1"/>
  <c r="S2233" i="1" s="1"/>
  <c r="S2232" i="1" a="1"/>
  <c r="S2232" i="1" s="1"/>
  <c r="S2231" i="1" a="1"/>
  <c r="S2231" i="1" s="1"/>
  <c r="S2230" i="1" a="1"/>
  <c r="S2230" i="1"/>
  <c r="S2229" i="1" a="1"/>
  <c r="S2229" i="1"/>
  <c r="S2228" i="1" a="1"/>
  <c r="S2228" i="1" s="1"/>
  <c r="S2227" i="1" a="1"/>
  <c r="S2227" i="1" s="1"/>
  <c r="S2226" i="1" a="1"/>
  <c r="S2226" i="1" s="1"/>
  <c r="S2225" i="1" a="1"/>
  <c r="S2225" i="1"/>
  <c r="S2224" i="1" a="1"/>
  <c r="S2224" i="1" s="1"/>
  <c r="S2223" i="1" a="1"/>
  <c r="S2223" i="1" s="1"/>
  <c r="S2222" i="1" a="1"/>
  <c r="S2222" i="1"/>
  <c r="S2221" i="1" a="1"/>
  <c r="S2221" i="1"/>
  <c r="S2220" i="1" a="1"/>
  <c r="S2220" i="1"/>
  <c r="S2219" i="1" a="1"/>
  <c r="S2219" i="1" s="1"/>
  <c r="S2218" i="1" a="1"/>
  <c r="S2218" i="1" s="1"/>
  <c r="S2217" i="1" a="1"/>
  <c r="S2217" i="1" s="1"/>
  <c r="S2216" i="1" a="1"/>
  <c r="S2216" i="1" s="1"/>
  <c r="S2215" i="1" a="1"/>
  <c r="S2215" i="1" s="1"/>
  <c r="S2214" i="1" a="1"/>
  <c r="S2214" i="1" s="1"/>
  <c r="S2213" i="1" a="1"/>
  <c r="S2213" i="1" s="1"/>
  <c r="S2212" i="1" a="1"/>
  <c r="S2212" i="1" s="1"/>
  <c r="S2211" i="1" a="1"/>
  <c r="S2211" i="1" s="1"/>
  <c r="S2210" i="1" a="1"/>
  <c r="S2210" i="1" s="1"/>
  <c r="S2209" i="1" a="1"/>
  <c r="S2209" i="1" s="1"/>
  <c r="S2208" i="1" a="1"/>
  <c r="S2208" i="1" s="1"/>
  <c r="S2207" i="1" a="1"/>
  <c r="S2207" i="1" s="1"/>
  <c r="S2206" i="1" a="1"/>
  <c r="S2206" i="1"/>
  <c r="S2205" i="1" a="1"/>
  <c r="S2205" i="1"/>
  <c r="S2204" i="1" a="1"/>
  <c r="S2204" i="1"/>
  <c r="S2203" i="1" a="1"/>
  <c r="S2203" i="1" s="1"/>
  <c r="S2202" i="1" a="1"/>
  <c r="S2202" i="1" s="1"/>
  <c r="S2201" i="1" a="1"/>
  <c r="S2201" i="1" s="1"/>
  <c r="S2200" i="1" a="1"/>
  <c r="S2200" i="1" s="1"/>
  <c r="S2199" i="1" a="1"/>
  <c r="S2199" i="1" s="1"/>
  <c r="S2198" i="1" a="1"/>
  <c r="S2198" i="1" s="1"/>
  <c r="S2197" i="1" a="1"/>
  <c r="S2197" i="1"/>
  <c r="S2196" i="1" a="1"/>
  <c r="S2196" i="1"/>
  <c r="S2195" i="1" a="1"/>
  <c r="S2195" i="1"/>
  <c r="S2194" i="1" a="1"/>
  <c r="S2194" i="1"/>
  <c r="S2193" i="1" a="1"/>
  <c r="S2193" i="1" s="1"/>
  <c r="S2192" i="1" a="1"/>
  <c r="S2192" i="1" s="1"/>
  <c r="S2191" i="1" a="1"/>
  <c r="S2191" i="1" s="1"/>
  <c r="S2190" i="1" a="1"/>
  <c r="S2190" i="1" s="1"/>
  <c r="S2189" i="1" a="1"/>
  <c r="S2189" i="1" s="1"/>
  <c r="S2188" i="1" a="1"/>
  <c r="S2188" i="1"/>
  <c r="S2187" i="1" a="1"/>
  <c r="S2187" i="1"/>
  <c r="S2186" i="1" a="1"/>
  <c r="S2186" i="1"/>
  <c r="S2185" i="1" a="1"/>
  <c r="S2185" i="1"/>
  <c r="S2184" i="1" a="1"/>
  <c r="S2184" i="1" s="1"/>
  <c r="S2183" i="1" a="1"/>
  <c r="S2183" i="1" s="1"/>
  <c r="S2182" i="1" a="1"/>
  <c r="S2182" i="1" s="1"/>
  <c r="S2181" i="1" a="1"/>
  <c r="S2181" i="1" s="1"/>
  <c r="S2180" i="1" a="1"/>
  <c r="S2180" i="1" s="1"/>
  <c r="S2179" i="1" a="1"/>
  <c r="S2179" i="1"/>
  <c r="S2178" i="1" a="1"/>
  <c r="S2178" i="1"/>
  <c r="S2177" i="1" a="1"/>
  <c r="S2177" i="1"/>
  <c r="S2176" i="1" a="1"/>
  <c r="S2176" i="1" s="1"/>
  <c r="S2175" i="1" a="1"/>
  <c r="S2175" i="1" s="1"/>
  <c r="S2174" i="1" a="1"/>
  <c r="S2174" i="1"/>
  <c r="S2173" i="1" a="1"/>
  <c r="S2173" i="1" s="1"/>
  <c r="S2172" i="1" a="1"/>
  <c r="S2172" i="1" s="1"/>
  <c r="S2171" i="1" a="1"/>
  <c r="S2171" i="1" s="1"/>
  <c r="S2170" i="1" a="1"/>
  <c r="S2170" i="1" s="1"/>
  <c r="S2169" i="1" a="1"/>
  <c r="S2169" i="1" s="1"/>
  <c r="S2168" i="1" a="1"/>
  <c r="S2168" i="1" s="1"/>
  <c r="S2167" i="1" a="1"/>
  <c r="S2167" i="1" s="1"/>
  <c r="S2166" i="1" a="1"/>
  <c r="S2166" i="1" s="1"/>
  <c r="S2165" i="1" a="1"/>
  <c r="S2165" i="1"/>
  <c r="S2164" i="1" a="1"/>
  <c r="S2164" i="1" s="1"/>
  <c r="S2163" i="1" a="1"/>
  <c r="S2163" i="1" s="1"/>
  <c r="S2162" i="1" a="1"/>
  <c r="S2162" i="1" s="1"/>
  <c r="S2161" i="1" a="1"/>
  <c r="S2161" i="1"/>
  <c r="S2160" i="1" a="1"/>
  <c r="S2160" i="1" s="1"/>
  <c r="S2159" i="1" a="1"/>
  <c r="S2159" i="1" s="1"/>
  <c r="S2158" i="1" a="1"/>
  <c r="S2158" i="1"/>
  <c r="S2157" i="1" a="1"/>
  <c r="S2157" i="1"/>
  <c r="S2156" i="1" a="1"/>
  <c r="S2156" i="1"/>
  <c r="S2155" i="1" a="1"/>
  <c r="S2155" i="1" s="1"/>
  <c r="S2154" i="1" a="1"/>
  <c r="S2154" i="1" s="1"/>
  <c r="S2153" i="1" a="1"/>
  <c r="S2153" i="1" s="1"/>
  <c r="S2152" i="1" a="1"/>
  <c r="S2152" i="1" s="1"/>
  <c r="S2151" i="1" a="1"/>
  <c r="S2151" i="1" s="1"/>
  <c r="S2150" i="1" a="1"/>
  <c r="S2150" i="1"/>
  <c r="S2149" i="1" a="1"/>
  <c r="S2149" i="1"/>
  <c r="S2148" i="1" a="1"/>
  <c r="S2148" i="1" s="1"/>
  <c r="S2147" i="1" a="1"/>
  <c r="S2147" i="1" s="1"/>
  <c r="S2146" i="1" a="1"/>
  <c r="S2146" i="1" s="1"/>
  <c r="S2145" i="1" a="1"/>
  <c r="S2145" i="1" s="1"/>
  <c r="S2144" i="1" a="1"/>
  <c r="S2144" i="1" s="1"/>
  <c r="S2143" i="1" a="1"/>
  <c r="S2143" i="1" s="1"/>
  <c r="S2142" i="1" a="1"/>
  <c r="S2142" i="1" s="1"/>
  <c r="S2141" i="1" a="1"/>
  <c r="S2141" i="1"/>
  <c r="S2140" i="1" a="1"/>
  <c r="S2140" i="1"/>
  <c r="S2139" i="1" a="1"/>
  <c r="S2139" i="1"/>
  <c r="S2138" i="1" a="1"/>
  <c r="S2138" i="1" s="1"/>
  <c r="S2137" i="1" a="1"/>
  <c r="S2137" i="1" s="1"/>
  <c r="S2136" i="1" a="1"/>
  <c r="S2136" i="1" s="1"/>
  <c r="S2135" i="1" a="1"/>
  <c r="S2135" i="1" s="1"/>
  <c r="S2134" i="1" a="1"/>
  <c r="S2134" i="1" s="1"/>
  <c r="S2133" i="1" a="1"/>
  <c r="S2133" i="1"/>
  <c r="S2132" i="1" a="1"/>
  <c r="S2132" i="1" s="1"/>
  <c r="S2131" i="1" a="1"/>
  <c r="S2131" i="1"/>
  <c r="S2130" i="1" a="1"/>
  <c r="S2130" i="1"/>
  <c r="S2129" i="1" a="1"/>
  <c r="S2129" i="1"/>
  <c r="S2128" i="1" a="1"/>
  <c r="S2128" i="1" s="1"/>
  <c r="S2127" i="1" a="1"/>
  <c r="S2127" i="1" s="1"/>
  <c r="S2126" i="1" a="1"/>
  <c r="S2126" i="1" s="1"/>
  <c r="S2125" i="1" a="1"/>
  <c r="S2125" i="1" s="1"/>
  <c r="S2124" i="1" a="1"/>
  <c r="S2124" i="1" s="1"/>
  <c r="S2123" i="1" a="1"/>
  <c r="S2123" i="1"/>
  <c r="S2122" i="1" a="1"/>
  <c r="S2122" i="1"/>
  <c r="S2121" i="1" a="1"/>
  <c r="S2121" i="1" s="1"/>
  <c r="S2120" i="1" a="1"/>
  <c r="S2120" i="1" s="1"/>
  <c r="S2119" i="1" a="1"/>
  <c r="S2119" i="1" s="1"/>
  <c r="S2118" i="1" a="1"/>
  <c r="S2118" i="1" s="1"/>
  <c r="S2117" i="1" a="1"/>
  <c r="S2117" i="1" s="1"/>
  <c r="S2116" i="1" a="1"/>
  <c r="S2116" i="1" s="1"/>
  <c r="S2115" i="1" a="1"/>
  <c r="S2115" i="1"/>
  <c r="S2114" i="1" a="1"/>
  <c r="S2114" i="1"/>
  <c r="S2113" i="1" a="1"/>
  <c r="S2113" i="1"/>
  <c r="S2112" i="1" a="1"/>
  <c r="S2112" i="1" s="1"/>
  <c r="S2111" i="1" a="1"/>
  <c r="S2111" i="1" s="1"/>
  <c r="S2110" i="1" a="1"/>
  <c r="S2110" i="1" s="1"/>
  <c r="S2109" i="1" a="1"/>
  <c r="S2109" i="1" s="1"/>
  <c r="S2108" i="1" a="1"/>
  <c r="S2108" i="1" s="1"/>
  <c r="S2107" i="1" a="1"/>
  <c r="S2107" i="1" s="1"/>
  <c r="S2106" i="1" a="1"/>
  <c r="S2106" i="1"/>
  <c r="S2105" i="1" a="1"/>
  <c r="S2105" i="1" s="1"/>
  <c r="S2104" i="1" a="1"/>
  <c r="S2104" i="1" s="1"/>
  <c r="S2103" i="1" a="1"/>
  <c r="S2103" i="1" s="1"/>
  <c r="S2102" i="1" a="1"/>
  <c r="S2102" i="1" s="1"/>
  <c r="S2101" i="1" a="1"/>
  <c r="S2101" i="1"/>
  <c r="S2100" i="1" a="1"/>
  <c r="S2100" i="1" s="1"/>
  <c r="S2099" i="1" a="1"/>
  <c r="S2099" i="1" s="1"/>
  <c r="S2098" i="1" a="1"/>
  <c r="S2098" i="1" s="1"/>
  <c r="S2097" i="1" a="1"/>
  <c r="S2097" i="1" s="1"/>
  <c r="S2096" i="1" a="1"/>
  <c r="S2096" i="1" s="1"/>
  <c r="S2095" i="1" a="1"/>
  <c r="S2095" i="1" s="1"/>
  <c r="S2094" i="1" a="1"/>
  <c r="S2094" i="1"/>
  <c r="S2093" i="1" a="1"/>
  <c r="S2093" i="1"/>
  <c r="S2092" i="1" a="1"/>
  <c r="S2092" i="1"/>
  <c r="S2091" i="1" a="1"/>
  <c r="S2091" i="1" s="1"/>
  <c r="S2090" i="1" a="1"/>
  <c r="S2090" i="1" s="1"/>
  <c r="S2089" i="1" a="1"/>
  <c r="S2089" i="1" s="1"/>
  <c r="S2088" i="1" a="1"/>
  <c r="S2088" i="1" s="1"/>
  <c r="S2087" i="1" a="1"/>
  <c r="S2087" i="1" s="1"/>
  <c r="S2086" i="1" a="1"/>
  <c r="S2086" i="1"/>
  <c r="S2085" i="1" a="1"/>
  <c r="S2085" i="1" s="1"/>
  <c r="S2084" i="1" a="1"/>
  <c r="S2084" i="1"/>
  <c r="S2083" i="1" a="1"/>
  <c r="S2083" i="1" s="1"/>
  <c r="S2082" i="1" a="1"/>
  <c r="S2082" i="1" s="1"/>
  <c r="S2081" i="1" a="1"/>
  <c r="S2081" i="1" s="1"/>
  <c r="S2080" i="1" a="1"/>
  <c r="S2080" i="1" s="1"/>
  <c r="S2079" i="1" a="1"/>
  <c r="S2079" i="1" s="1"/>
  <c r="S2078" i="1" a="1"/>
  <c r="S2078" i="1"/>
  <c r="S2077" i="1" a="1"/>
  <c r="S2077" i="1"/>
  <c r="S2076" i="1" a="1"/>
  <c r="S2076" i="1"/>
  <c r="S2075" i="1" a="1"/>
  <c r="S2075" i="1" s="1"/>
  <c r="S2074" i="1" a="1"/>
  <c r="S2074" i="1"/>
  <c r="S2073" i="1" a="1"/>
  <c r="S2073" i="1" s="1"/>
  <c r="S2072" i="1" a="1"/>
  <c r="S2072" i="1" s="1"/>
  <c r="S2071" i="1" a="1"/>
  <c r="S2071" i="1" s="1"/>
  <c r="S2070" i="1" a="1"/>
  <c r="S2070" i="1" s="1"/>
  <c r="S2069" i="1" a="1"/>
  <c r="S2069" i="1" s="1"/>
  <c r="S2068" i="1" a="1"/>
  <c r="S2068" i="1"/>
  <c r="S2067" i="1" a="1"/>
  <c r="S2067" i="1"/>
  <c r="S2066" i="1" a="1"/>
  <c r="S2066" i="1"/>
  <c r="S2065" i="1" a="1"/>
  <c r="S2065" i="1"/>
  <c r="S2064" i="1" a="1"/>
  <c r="S2064" i="1" s="1"/>
  <c r="S2063" i="1" a="1"/>
  <c r="S2063" i="1" s="1"/>
  <c r="S2062" i="1" a="1"/>
  <c r="S2062" i="1" s="1"/>
  <c r="S2061" i="1" a="1"/>
  <c r="S2061" i="1" s="1"/>
  <c r="S2060" i="1" a="1"/>
  <c r="S2060" i="1" s="1"/>
  <c r="S2059" i="1" a="1"/>
  <c r="S2059" i="1" s="1"/>
  <c r="S2058" i="1" a="1"/>
  <c r="S2058" i="1"/>
  <c r="S2057" i="1" a="1"/>
  <c r="S2057" i="1"/>
  <c r="S2056" i="1" a="1"/>
  <c r="S2056" i="1" s="1"/>
  <c r="S2055" i="1" a="1"/>
  <c r="S2055" i="1" s="1"/>
  <c r="S2054" i="1" a="1"/>
  <c r="S2054" i="1" s="1"/>
  <c r="S2053" i="1" a="1"/>
  <c r="S2053" i="1" s="1"/>
  <c r="S2052" i="1" a="1"/>
  <c r="S2052" i="1" s="1"/>
  <c r="S2051" i="1" a="1"/>
  <c r="S2051" i="1" s="1"/>
  <c r="S2050" i="1" a="1"/>
  <c r="S2050" i="1"/>
  <c r="S2049" i="1" a="1"/>
  <c r="S2049" i="1"/>
  <c r="S2048" i="1" a="1"/>
  <c r="S2048" i="1" s="1"/>
  <c r="S2047" i="1" a="1"/>
  <c r="S2047" i="1" s="1"/>
  <c r="S2046" i="1" a="1"/>
  <c r="S2046" i="1"/>
  <c r="S2045" i="1" a="1"/>
  <c r="S2045" i="1" s="1"/>
  <c r="S2044" i="1" a="1"/>
  <c r="S2044" i="1" s="1"/>
  <c r="S2043" i="1" a="1"/>
  <c r="S2043" i="1" s="1"/>
  <c r="S2042" i="1" a="1"/>
  <c r="S2042" i="1"/>
  <c r="S2041" i="1" a="1"/>
  <c r="S2041" i="1"/>
  <c r="S2040" i="1" a="1"/>
  <c r="S2040" i="1" s="1"/>
  <c r="S2039" i="1" a="1"/>
  <c r="S2039" i="1" s="1"/>
  <c r="S2038" i="1" a="1"/>
  <c r="S2038" i="1" s="1"/>
  <c r="S2037" i="1" a="1"/>
  <c r="S2037" i="1" s="1"/>
  <c r="S2036" i="1" a="1"/>
  <c r="S2036" i="1" s="1"/>
  <c r="S2035" i="1" a="1"/>
  <c r="S2035" i="1"/>
  <c r="S2034" i="1" a="1"/>
  <c r="S2034" i="1" s="1"/>
  <c r="S2033" i="1" a="1"/>
  <c r="S2033" i="1"/>
  <c r="S2032" i="1" a="1"/>
  <c r="S2032" i="1" s="1"/>
  <c r="S2031" i="1" a="1"/>
  <c r="S2031" i="1" s="1"/>
  <c r="S2030" i="1" a="1"/>
  <c r="S2030" i="1"/>
  <c r="S2029" i="1" a="1"/>
  <c r="S2029" i="1" s="1"/>
  <c r="S2028" i="1" a="1"/>
  <c r="S2028" i="1" s="1"/>
  <c r="S2027" i="1" a="1"/>
  <c r="S2027" i="1" s="1"/>
  <c r="S2026" i="1" a="1"/>
  <c r="S2026" i="1"/>
  <c r="S2025" i="1" a="1"/>
  <c r="S2025" i="1" s="1"/>
  <c r="S2024" i="1" a="1"/>
  <c r="S2024" i="1" s="1"/>
  <c r="S2023" i="1" a="1"/>
  <c r="S2023" i="1" s="1"/>
  <c r="S2022" i="1" a="1"/>
  <c r="S2022" i="1"/>
  <c r="S2021" i="1" a="1"/>
  <c r="S2021" i="1"/>
  <c r="S2020" i="1" a="1"/>
  <c r="S2020" i="1"/>
  <c r="S2019" i="1" a="1"/>
  <c r="S2019" i="1" s="1"/>
  <c r="S2018" i="1" a="1"/>
  <c r="S2018" i="1" s="1"/>
  <c r="S2017" i="1" a="1"/>
  <c r="S2017" i="1"/>
  <c r="S2016" i="1" a="1"/>
  <c r="S2016" i="1" s="1"/>
  <c r="S2015" i="1" a="1"/>
  <c r="S2015" i="1" s="1"/>
  <c r="S2014" i="1" a="1"/>
  <c r="S2014" i="1"/>
  <c r="S2013" i="1" a="1"/>
  <c r="S2013" i="1"/>
  <c r="S2012" i="1" a="1"/>
  <c r="S2012" i="1"/>
  <c r="S2011" i="1" a="1"/>
  <c r="S2011" i="1"/>
  <c r="S2010" i="1" a="1"/>
  <c r="S2010" i="1"/>
  <c r="S2009" i="1" a="1"/>
  <c r="S2009" i="1" s="1"/>
  <c r="S2008" i="1" a="1"/>
  <c r="S2008" i="1" s="1"/>
  <c r="S2007" i="1" a="1"/>
  <c r="S2007" i="1" s="1"/>
  <c r="S2006" i="1" a="1"/>
  <c r="S2006" i="1" s="1"/>
  <c r="S2005" i="1" a="1"/>
  <c r="S2005" i="1"/>
  <c r="S2004" i="1" a="1"/>
  <c r="S2004" i="1"/>
  <c r="S2003" i="1" a="1"/>
  <c r="S2003" i="1"/>
  <c r="S2002" i="1" a="1"/>
  <c r="S2002" i="1"/>
  <c r="S2001" i="1" a="1"/>
  <c r="S2001" i="1"/>
  <c r="S2000" i="1" a="1"/>
  <c r="S2000" i="1" s="1"/>
  <c r="S1999" i="1" a="1"/>
  <c r="S1999" i="1" s="1"/>
  <c r="S1998" i="1" a="1"/>
  <c r="S1998" i="1"/>
  <c r="S1997" i="1" a="1"/>
  <c r="S1997" i="1" s="1"/>
  <c r="S1996" i="1" a="1"/>
  <c r="S1996" i="1" s="1"/>
  <c r="S1995" i="1" a="1"/>
  <c r="S1995" i="1" s="1"/>
  <c r="S1994" i="1" a="1"/>
  <c r="S1994" i="1"/>
  <c r="S1993" i="1" a="1"/>
  <c r="S1993" i="1"/>
  <c r="S1992" i="1" a="1"/>
  <c r="S1992" i="1" s="1"/>
  <c r="S1991" i="1" a="1"/>
  <c r="S1991" i="1" s="1"/>
  <c r="S1990" i="1" a="1"/>
  <c r="S1990" i="1" s="1"/>
  <c r="S1989" i="1" a="1"/>
  <c r="S1989" i="1"/>
  <c r="S1988" i="1" a="1"/>
  <c r="S1988" i="1" s="1"/>
  <c r="S1987" i="1" a="1"/>
  <c r="S1987" i="1" s="1"/>
  <c r="S1986" i="1" a="1"/>
  <c r="S1986" i="1" s="1"/>
  <c r="S1985" i="1" a="1"/>
  <c r="S1985" i="1"/>
  <c r="S1984" i="1" a="1"/>
  <c r="S1984" i="1" s="1"/>
  <c r="S1983" i="1" a="1"/>
  <c r="S1983" i="1" s="1"/>
  <c r="S1982" i="1" a="1"/>
  <c r="S1982" i="1"/>
  <c r="S1981" i="1" a="1"/>
  <c r="S1981" i="1" s="1"/>
  <c r="S1980" i="1" a="1"/>
  <c r="S1980" i="1"/>
  <c r="S1979" i="1" a="1"/>
  <c r="S1979" i="1" s="1"/>
  <c r="S1978" i="1" a="1"/>
  <c r="S1978" i="1" s="1"/>
  <c r="S1977" i="1" a="1"/>
  <c r="S1977" i="1" s="1"/>
  <c r="S1976" i="1" a="1"/>
  <c r="S1976" i="1" s="1"/>
  <c r="S1975" i="1" a="1"/>
  <c r="S1975" i="1" s="1"/>
  <c r="S1974" i="1" a="1"/>
  <c r="S1974" i="1"/>
  <c r="S1973" i="1" a="1"/>
  <c r="S1973" i="1"/>
  <c r="S1972" i="1" a="1"/>
  <c r="S1972" i="1" s="1"/>
  <c r="S1971" i="1" a="1"/>
  <c r="S1971" i="1"/>
  <c r="S1970" i="1" a="1"/>
  <c r="S1970" i="1" s="1"/>
  <c r="S1969" i="1" a="1"/>
  <c r="S1969" i="1"/>
  <c r="S1968" i="1" a="1"/>
  <c r="S1968" i="1" s="1"/>
  <c r="S1967" i="1" a="1"/>
  <c r="S1967" i="1" s="1"/>
  <c r="S1966" i="1" a="1"/>
  <c r="S1966" i="1" s="1"/>
  <c r="S1965" i="1" a="1"/>
  <c r="S1965" i="1" s="1"/>
  <c r="S1964" i="1" a="1"/>
  <c r="S1964" i="1"/>
  <c r="S1963" i="1" a="1"/>
  <c r="S1963" i="1" s="1"/>
  <c r="S1962" i="1" a="1"/>
  <c r="S1962" i="1"/>
  <c r="S1961" i="1" a="1"/>
  <c r="S1961" i="1" s="1"/>
  <c r="S1960" i="1" a="1"/>
  <c r="S1960" i="1" s="1"/>
  <c r="S1959" i="1" a="1"/>
  <c r="S1959" i="1" s="1"/>
  <c r="S1958" i="1" a="1"/>
  <c r="S1958" i="1"/>
  <c r="S1957" i="1" a="1"/>
  <c r="S1957" i="1" s="1"/>
  <c r="S1956" i="1" a="1"/>
  <c r="S1956" i="1" s="1"/>
  <c r="S1955" i="1" a="1"/>
  <c r="S1955" i="1" s="1"/>
  <c r="S1954" i="1" a="1"/>
  <c r="S1954" i="1" s="1"/>
  <c r="S1953" i="1" a="1"/>
  <c r="S1953" i="1"/>
  <c r="S1952" i="1" a="1"/>
  <c r="S1952" i="1" s="1"/>
  <c r="S1951" i="1" a="1"/>
  <c r="S1951" i="1" s="1"/>
  <c r="S1950" i="1" a="1"/>
  <c r="S1950" i="1"/>
  <c r="S1949" i="1" a="1"/>
  <c r="S1949" i="1"/>
  <c r="S1948" i="1" a="1"/>
  <c r="S1948" i="1" s="1"/>
  <c r="S1947" i="1" a="1"/>
  <c r="S1947" i="1"/>
  <c r="S1946" i="1" a="1"/>
  <c r="S1946" i="1"/>
  <c r="S1945" i="1" a="1"/>
  <c r="S1945" i="1" s="1"/>
  <c r="S1944" i="1" a="1"/>
  <c r="S1944" i="1" s="1"/>
  <c r="S1943" i="1" a="1"/>
  <c r="S1943" i="1" s="1"/>
  <c r="S1942" i="1" a="1"/>
  <c r="S1942" i="1" s="1"/>
  <c r="S1941" i="1" a="1"/>
  <c r="S1941" i="1"/>
  <c r="S1940" i="1" a="1"/>
  <c r="S1940" i="1"/>
  <c r="S1939" i="1" a="1"/>
  <c r="S1939" i="1"/>
  <c r="S1938" i="1" a="1"/>
  <c r="S1938" i="1" s="1"/>
  <c r="S1937" i="1" a="1"/>
  <c r="S1937" i="1"/>
  <c r="S1936" i="1" a="1"/>
  <c r="S1936" i="1" s="1"/>
  <c r="S1935" i="1" a="1"/>
  <c r="S1935" i="1" s="1"/>
  <c r="S1934" i="1" a="1"/>
  <c r="S1934" i="1"/>
  <c r="S1933" i="1" a="1"/>
  <c r="S1933" i="1" s="1"/>
  <c r="S1932" i="1" a="1"/>
  <c r="S1932" i="1"/>
  <c r="S1931" i="1" a="1"/>
  <c r="S1931" i="1"/>
  <c r="S1930" i="1" a="1"/>
  <c r="S1930" i="1"/>
  <c r="S1929" i="1" a="1"/>
  <c r="S1929" i="1" s="1"/>
  <c r="S1928" i="1" a="1"/>
  <c r="S1928" i="1" s="1"/>
  <c r="S1927" i="1" a="1"/>
  <c r="S1927" i="1" s="1"/>
  <c r="S1926" i="1" a="1"/>
  <c r="S1926" i="1" s="1"/>
  <c r="S1925" i="1" a="1"/>
  <c r="S1925" i="1"/>
  <c r="S1924" i="1" a="1"/>
  <c r="S1924" i="1" s="1"/>
  <c r="S1923" i="1" a="1"/>
  <c r="S1923" i="1"/>
  <c r="S1922" i="1" a="1"/>
  <c r="S1922" i="1"/>
  <c r="S1921" i="1" a="1"/>
  <c r="S1921" i="1"/>
  <c r="S1920" i="1" a="1"/>
  <c r="S1920" i="1" s="1"/>
  <c r="S1919" i="1" a="1"/>
  <c r="S1919" i="1" s="1"/>
  <c r="S1918" i="1" a="1"/>
  <c r="S1918" i="1" s="1"/>
  <c r="S1917" i="1" a="1"/>
  <c r="S1917" i="1" s="1"/>
  <c r="S1916" i="1" a="1"/>
  <c r="S1916" i="1"/>
  <c r="S1915" i="1" a="1"/>
  <c r="S1915" i="1" s="1"/>
  <c r="S1914" i="1" a="1"/>
  <c r="S1914" i="1" s="1"/>
  <c r="S1913" i="1" a="1"/>
  <c r="S1913" i="1"/>
  <c r="S1912" i="1" a="1"/>
  <c r="S1912" i="1" s="1"/>
  <c r="S1911" i="1" a="1"/>
  <c r="S1911" i="1" s="1"/>
  <c r="S1910" i="1" a="1"/>
  <c r="S1910" i="1"/>
  <c r="S1909" i="1" a="1"/>
  <c r="S1909" i="1"/>
  <c r="S1908" i="1" a="1"/>
  <c r="S1908" i="1" s="1"/>
  <c r="S1907" i="1" a="1"/>
  <c r="S1907" i="1" s="1"/>
  <c r="S1906" i="1" a="1"/>
  <c r="S1906" i="1" s="1"/>
  <c r="S1905" i="1" a="1"/>
  <c r="S1905" i="1" s="1"/>
  <c r="S1904" i="1" a="1"/>
  <c r="S1904" i="1" s="1"/>
  <c r="S1903" i="1" a="1"/>
  <c r="S1903" i="1" s="1"/>
  <c r="S1902" i="1" a="1"/>
  <c r="S1902" i="1"/>
  <c r="S1901" i="1" a="1"/>
  <c r="S1901" i="1"/>
  <c r="S1900" i="1" a="1"/>
  <c r="S1900" i="1"/>
  <c r="S1899" i="1" a="1"/>
  <c r="S1899" i="1" s="1"/>
  <c r="S1898" i="1" a="1"/>
  <c r="S1898" i="1"/>
  <c r="S1897" i="1" a="1"/>
  <c r="S1897" i="1" s="1"/>
  <c r="S1896" i="1" a="1"/>
  <c r="S1896" i="1" s="1"/>
  <c r="S1895" i="1" a="1"/>
  <c r="S1895" i="1" s="1"/>
  <c r="S1894" i="1" a="1"/>
  <c r="S1894" i="1" s="1"/>
  <c r="S1893" i="1" a="1"/>
  <c r="S1893" i="1" s="1"/>
  <c r="S1892" i="1" a="1"/>
  <c r="S1892" i="1"/>
  <c r="S1891" i="1" a="1"/>
  <c r="S1891" i="1"/>
  <c r="S1890" i="1" a="1"/>
  <c r="S1890" i="1" s="1"/>
  <c r="S1889" i="1" a="1"/>
  <c r="S1889" i="1"/>
  <c r="S1888" i="1" a="1"/>
  <c r="S1888" i="1" s="1"/>
  <c r="S1887" i="1" a="1"/>
  <c r="S1887" i="1" s="1"/>
  <c r="S1886" i="1" a="1"/>
  <c r="S1886" i="1"/>
  <c r="S1885" i="1" a="1"/>
  <c r="S1885" i="1"/>
  <c r="S1884" i="1" a="1"/>
  <c r="S1884" i="1"/>
  <c r="S1883" i="1" a="1"/>
  <c r="S1883" i="1"/>
  <c r="S1882" i="1" a="1"/>
  <c r="S1882" i="1"/>
  <c r="S1881" i="1" a="1"/>
  <c r="S1881" i="1" s="1"/>
  <c r="S1880" i="1" a="1"/>
  <c r="S1880" i="1" s="1"/>
  <c r="S1879" i="1" a="1"/>
  <c r="S1879" i="1" s="1"/>
  <c r="S1878" i="1" a="1"/>
  <c r="S1878" i="1" s="1"/>
  <c r="S1877" i="1" a="1"/>
  <c r="S1877" i="1"/>
  <c r="S1876" i="1" a="1"/>
  <c r="S1876" i="1"/>
  <c r="S1875" i="1" a="1"/>
  <c r="S1875" i="1"/>
  <c r="S1874" i="1" a="1"/>
  <c r="S1874" i="1"/>
  <c r="S1873" i="1" a="1"/>
  <c r="S1873" i="1"/>
  <c r="S1872" i="1" a="1"/>
  <c r="S1872" i="1" s="1"/>
  <c r="S1871" i="1" a="1"/>
  <c r="S1871" i="1" s="1"/>
  <c r="S1870" i="1" a="1"/>
  <c r="S1870" i="1"/>
  <c r="S1869" i="1" a="1"/>
  <c r="S1869" i="1" s="1"/>
  <c r="S1868" i="1" a="1"/>
  <c r="S1868" i="1"/>
  <c r="S1867" i="1" a="1"/>
  <c r="S1867" i="1"/>
  <c r="S1866" i="1" a="1"/>
  <c r="S1866" i="1" s="1"/>
  <c r="S1865" i="1" a="1"/>
  <c r="S1865" i="1" s="1"/>
  <c r="S1864" i="1" a="1"/>
  <c r="S1864" i="1" s="1"/>
  <c r="S1863" i="1" a="1"/>
  <c r="S1863" i="1" s="1"/>
  <c r="S1862" i="1" a="1"/>
  <c r="S1862" i="1" s="1"/>
  <c r="S1861" i="1" a="1"/>
  <c r="S1861" i="1"/>
  <c r="S1860" i="1" a="1"/>
  <c r="S1860" i="1" s="1"/>
  <c r="S1859" i="1" a="1"/>
  <c r="S1859" i="1"/>
  <c r="S1858" i="1" a="1"/>
  <c r="S1858" i="1"/>
  <c r="S1857" i="1" a="1"/>
  <c r="S1857" i="1"/>
  <c r="S1856" i="1" a="1"/>
  <c r="S1856" i="1" s="1"/>
  <c r="S1855" i="1" a="1"/>
  <c r="S1855" i="1" s="1"/>
  <c r="S1854" i="1" a="1"/>
  <c r="S1854" i="1" s="1"/>
  <c r="S1853" i="1" a="1"/>
  <c r="S1853" i="1" s="1"/>
  <c r="S1852" i="1" a="1"/>
  <c r="S1852" i="1"/>
  <c r="S1851" i="1" a="1"/>
  <c r="S1851" i="1" s="1"/>
  <c r="S1850" i="1" a="1"/>
  <c r="S1850" i="1"/>
  <c r="S1849" i="1" a="1"/>
  <c r="S1849" i="1"/>
  <c r="S1848" i="1" a="1"/>
  <c r="S1848" i="1" s="1"/>
  <c r="S1847" i="1" a="1"/>
  <c r="S1847" i="1" s="1"/>
  <c r="S1846" i="1" a="1"/>
  <c r="S1846" i="1"/>
  <c r="S1845" i="1" a="1"/>
  <c r="S1845" i="1" s="1"/>
  <c r="S1844" i="1" a="1"/>
  <c r="S1844" i="1" s="1"/>
  <c r="S1843" i="1" a="1"/>
  <c r="S1843" i="1"/>
  <c r="S1842" i="1" a="1"/>
  <c r="S1842" i="1" s="1"/>
  <c r="S1841" i="1" a="1"/>
  <c r="S1841" i="1" s="1"/>
  <c r="S1840" i="1" a="1"/>
  <c r="S1840" i="1" s="1"/>
  <c r="S1839" i="1" a="1"/>
  <c r="S1839" i="1" s="1"/>
  <c r="S1838" i="1" a="1"/>
  <c r="S1838" i="1"/>
  <c r="S1837" i="1" a="1"/>
  <c r="S1837" i="1"/>
  <c r="S1836" i="1" a="1"/>
  <c r="S1836" i="1"/>
  <c r="S1835" i="1" a="1"/>
  <c r="S1835" i="1" s="1"/>
  <c r="S1834" i="1" a="1"/>
  <c r="S1834" i="1"/>
  <c r="S1833" i="1" a="1"/>
  <c r="S1833" i="1" s="1"/>
  <c r="S1832" i="1" a="1"/>
  <c r="S1832" i="1" s="1"/>
  <c r="S1831" i="1" a="1"/>
  <c r="S1831" i="1" s="1"/>
  <c r="S1830" i="1" a="1"/>
  <c r="S1830" i="1" s="1"/>
  <c r="S1829" i="1" a="1"/>
  <c r="S1829" i="1"/>
  <c r="S1828" i="1" a="1"/>
  <c r="S1828" i="1"/>
  <c r="S1827" i="1" a="1"/>
  <c r="S1827" i="1"/>
  <c r="S1826" i="1" a="1"/>
  <c r="S1826" i="1" s="1"/>
  <c r="S1825" i="1" a="1"/>
  <c r="S1825" i="1"/>
  <c r="S1824" i="1" a="1"/>
  <c r="S1824" i="1" s="1"/>
  <c r="S1823" i="1" a="1"/>
  <c r="S1823" i="1" s="1"/>
  <c r="S1822" i="1" a="1"/>
  <c r="S1822" i="1"/>
  <c r="S1821" i="1" a="1"/>
  <c r="S1821" i="1"/>
  <c r="S1820" i="1" a="1"/>
  <c r="S1820" i="1" s="1"/>
  <c r="S1819" i="1" a="1"/>
  <c r="S1819" i="1"/>
  <c r="S1818" i="1" a="1"/>
  <c r="S1818" i="1"/>
  <c r="S1817" i="1" a="1"/>
  <c r="S1817" i="1" s="1"/>
  <c r="S1816" i="1" a="1"/>
  <c r="S1816" i="1" s="1"/>
  <c r="S1815" i="1" a="1"/>
  <c r="S1815" i="1" s="1"/>
  <c r="S1814" i="1" a="1"/>
  <c r="S1814" i="1" s="1"/>
  <c r="S1813" i="1" a="1"/>
  <c r="S1813" i="1"/>
  <c r="S1812" i="1" a="1"/>
  <c r="S1812" i="1"/>
  <c r="S1811" i="1" a="1"/>
  <c r="S1811" i="1"/>
  <c r="S1810" i="1" a="1"/>
  <c r="S1810" i="1" s="1"/>
  <c r="S1809" i="1" a="1"/>
  <c r="S1809" i="1"/>
  <c r="S1808" i="1" a="1"/>
  <c r="S1808" i="1" s="1"/>
  <c r="S1807" i="1" a="1"/>
  <c r="S1807" i="1" s="1"/>
  <c r="S1806" i="1" a="1"/>
  <c r="S1806" i="1"/>
  <c r="S1805" i="1" a="1"/>
  <c r="S1805" i="1" s="1"/>
  <c r="S1804" i="1" a="1"/>
  <c r="S1804" i="1" s="1"/>
  <c r="S1803" i="1" a="1"/>
  <c r="S1803" i="1" s="1"/>
  <c r="S1802" i="1" a="1"/>
  <c r="S1802" i="1" s="1"/>
  <c r="S1801" i="1" a="1"/>
  <c r="S1801" i="1"/>
  <c r="S1800" i="1" a="1"/>
  <c r="S1800" i="1" s="1"/>
  <c r="S1799" i="1" a="1"/>
  <c r="S1799" i="1" s="1"/>
  <c r="S1798" i="1" a="1"/>
  <c r="S1798" i="1" s="1"/>
  <c r="S1797" i="1" a="1"/>
  <c r="S1797" i="1"/>
  <c r="S1796" i="1" a="1"/>
  <c r="S1796" i="1" s="1"/>
  <c r="S1795" i="1" a="1"/>
  <c r="S1795" i="1"/>
  <c r="S1794" i="1" a="1"/>
  <c r="S1794" i="1" s="1"/>
  <c r="S1793" i="1" a="1"/>
  <c r="S1793" i="1" s="1"/>
  <c r="S1792" i="1" a="1"/>
  <c r="S1792" i="1" s="1"/>
  <c r="S1791" i="1" a="1"/>
  <c r="S1791" i="1" s="1"/>
  <c r="S1790" i="1" a="1"/>
  <c r="S1790" i="1"/>
  <c r="S1789" i="1" a="1"/>
  <c r="S1789" i="1" s="1"/>
  <c r="S1788" i="1" a="1"/>
  <c r="S1788" i="1"/>
  <c r="S1787" i="1" a="1"/>
  <c r="S1787" i="1" s="1"/>
  <c r="S1786" i="1" a="1"/>
  <c r="S1786" i="1" s="1"/>
  <c r="S1785" i="1" a="1"/>
  <c r="S1785" i="1"/>
  <c r="S1784" i="1" a="1"/>
  <c r="S1784" i="1" s="1"/>
  <c r="S1783" i="1" a="1"/>
  <c r="S1783" i="1" s="1"/>
  <c r="S1782" i="1" a="1"/>
  <c r="S1782" i="1" s="1"/>
  <c r="S1781" i="1" a="1"/>
  <c r="S1781" i="1" s="1"/>
  <c r="S1780" i="1" a="1"/>
  <c r="S1780" i="1" s="1"/>
  <c r="S1779" i="1" a="1"/>
  <c r="S1779" i="1"/>
  <c r="S1778" i="1" a="1"/>
  <c r="S1778" i="1"/>
  <c r="S1777" i="1" a="1"/>
  <c r="S1777" i="1"/>
  <c r="S1776" i="1" a="1"/>
  <c r="S1776" i="1" s="1"/>
  <c r="S1775" i="1" a="1"/>
  <c r="S1775" i="1" s="1"/>
  <c r="S1774" i="1" a="1"/>
  <c r="S1774" i="1"/>
  <c r="S1773" i="1" a="1"/>
  <c r="S1773" i="1"/>
  <c r="S1772" i="1" a="1"/>
  <c r="S1772" i="1"/>
  <c r="S1771" i="1" a="1"/>
  <c r="S1771" i="1" s="1"/>
  <c r="S1770" i="1" a="1"/>
  <c r="S1770" i="1"/>
  <c r="S1769" i="1" a="1"/>
  <c r="S1769" i="1"/>
  <c r="S1768" i="1" a="1"/>
  <c r="S1768" i="1" s="1"/>
  <c r="S1767" i="1" a="1"/>
  <c r="S1767" i="1" s="1"/>
  <c r="S1766" i="1" a="1"/>
  <c r="S1766" i="1"/>
  <c r="S1765" i="1" a="1"/>
  <c r="S1765" i="1" s="1"/>
  <c r="S1764" i="1" a="1"/>
  <c r="S1764" i="1" s="1"/>
  <c r="S1763" i="1" a="1"/>
  <c r="S1763" i="1" s="1"/>
  <c r="S1762" i="1" a="1"/>
  <c r="S1762" i="1" s="1"/>
  <c r="S1761" i="1" a="1"/>
  <c r="S1761" i="1"/>
  <c r="S1760" i="1" a="1"/>
  <c r="S1760" i="1" s="1"/>
  <c r="S1759" i="1" a="1"/>
  <c r="S1759" i="1" s="1"/>
  <c r="S1758" i="1" a="1"/>
  <c r="S1758" i="1"/>
  <c r="S1757" i="1" a="1"/>
  <c r="S1757" i="1"/>
  <c r="S1756" i="1" a="1"/>
  <c r="S1756" i="1"/>
  <c r="S1755" i="1" a="1"/>
  <c r="S1755" i="1" s="1"/>
  <c r="S1754" i="1" a="1"/>
  <c r="S1754" i="1"/>
  <c r="S1753" i="1" a="1"/>
  <c r="S1753" i="1" s="1"/>
  <c r="S1752" i="1" a="1"/>
  <c r="S1752" i="1" s="1"/>
  <c r="S1751" i="1" a="1"/>
  <c r="S1751" i="1" s="1"/>
  <c r="S1750" i="1" a="1"/>
  <c r="S1750" i="1"/>
  <c r="S1749" i="1" a="1"/>
  <c r="S1749" i="1"/>
  <c r="S1748" i="1" a="1"/>
  <c r="S1748" i="1"/>
  <c r="S1747" i="1" a="1"/>
  <c r="S1747" i="1"/>
  <c r="S1746" i="1" a="1"/>
  <c r="S1746" i="1"/>
  <c r="S1745" i="1" a="1"/>
  <c r="S1745" i="1" s="1"/>
  <c r="S1744" i="1" a="1"/>
  <c r="S1744" i="1" s="1"/>
  <c r="S1743" i="1" a="1"/>
  <c r="S1743" i="1" s="1"/>
  <c r="S1742" i="1" a="1"/>
  <c r="S1742" i="1" s="1"/>
  <c r="S1741" i="1" a="1"/>
  <c r="S1741" i="1"/>
  <c r="S1740" i="1" a="1"/>
  <c r="S1740" i="1"/>
  <c r="S1739" i="1" a="1"/>
  <c r="S1739" i="1"/>
  <c r="S1738" i="1" a="1"/>
  <c r="S1738" i="1"/>
  <c r="S1737" i="1" a="1"/>
  <c r="S1737" i="1"/>
  <c r="S1736" i="1" a="1"/>
  <c r="S1736" i="1" s="1"/>
  <c r="S1735" i="1" a="1"/>
  <c r="S1735" i="1" s="1"/>
  <c r="S1734" i="1" a="1"/>
  <c r="S1734" i="1" s="1"/>
  <c r="S1733" i="1" a="1"/>
  <c r="S1733" i="1"/>
  <c r="S1732" i="1" a="1"/>
  <c r="S1732" i="1"/>
  <c r="S1731" i="1" a="1"/>
  <c r="S1731" i="1"/>
  <c r="S1730" i="1" a="1"/>
  <c r="S1730" i="1"/>
  <c r="S1729" i="1" a="1"/>
  <c r="S1729" i="1"/>
  <c r="S1728" i="1" a="1"/>
  <c r="S1728" i="1" s="1"/>
  <c r="S1727" i="1" a="1"/>
  <c r="S1727" i="1" s="1"/>
  <c r="S1726" i="1" a="1"/>
  <c r="S1726" i="1"/>
  <c r="S1725" i="1" a="1"/>
  <c r="S1725" i="1" s="1"/>
  <c r="S1724" i="1" a="1"/>
  <c r="S1724" i="1" s="1"/>
  <c r="S1723" i="1" a="1"/>
  <c r="S1723" i="1" s="1"/>
  <c r="S1722" i="1" a="1"/>
  <c r="S1722" i="1"/>
  <c r="S1721" i="1" a="1"/>
  <c r="S1721" i="1"/>
  <c r="S1720" i="1" a="1"/>
  <c r="S1720" i="1" s="1"/>
  <c r="S1719" i="1" a="1"/>
  <c r="S1719" i="1" s="1"/>
  <c r="S1718" i="1" a="1"/>
  <c r="S1718" i="1"/>
  <c r="S1717" i="1" a="1"/>
  <c r="S1717" i="1"/>
  <c r="S1716" i="1" a="1"/>
  <c r="S1716" i="1" s="1"/>
  <c r="S1715" i="1" a="1"/>
  <c r="S1715" i="1"/>
  <c r="S1714" i="1" a="1"/>
  <c r="S1714" i="1"/>
  <c r="S1713" i="1" a="1"/>
  <c r="S1713" i="1"/>
  <c r="S1712" i="1" a="1"/>
  <c r="S1712" i="1" s="1"/>
  <c r="S1711" i="1" a="1"/>
  <c r="S1711" i="1" s="1"/>
  <c r="S1710" i="1" a="1"/>
  <c r="S1710" i="1"/>
  <c r="S1709" i="1" a="1"/>
  <c r="S1709" i="1"/>
  <c r="S1708" i="1" a="1"/>
  <c r="S1708" i="1"/>
  <c r="S1707" i="1" a="1"/>
  <c r="S1707" i="1" s="1"/>
  <c r="S1706" i="1" a="1"/>
  <c r="S1706" i="1" s="1"/>
  <c r="S1705" i="1" a="1"/>
  <c r="S1705" i="1" s="1"/>
  <c r="S1704" i="1" a="1"/>
  <c r="S1704" i="1" s="1"/>
  <c r="S1703" i="1" a="1"/>
  <c r="S1703" i="1" s="1"/>
  <c r="S1702" i="1" a="1"/>
  <c r="S1702" i="1" s="1"/>
  <c r="S1701" i="1" a="1"/>
  <c r="S1701" i="1"/>
  <c r="S1700" i="1" a="1"/>
  <c r="S1700" i="1"/>
  <c r="S1699" i="1" a="1"/>
  <c r="S1699" i="1"/>
  <c r="S1698" i="1" a="1"/>
  <c r="S1698" i="1" s="1"/>
  <c r="S1697" i="1" a="1"/>
  <c r="S1697" i="1"/>
  <c r="S1696" i="1" a="1"/>
  <c r="S1696" i="1" s="1"/>
  <c r="S1695" i="1" a="1"/>
  <c r="S1695" i="1" s="1"/>
  <c r="S1694" i="1" a="1"/>
  <c r="S1694" i="1"/>
  <c r="S1693" i="1" a="1"/>
  <c r="S1693" i="1"/>
  <c r="S1692" i="1" a="1"/>
  <c r="S1692" i="1"/>
  <c r="S1691" i="1" a="1"/>
  <c r="S1691" i="1"/>
  <c r="S1690" i="1" a="1"/>
  <c r="S1690" i="1"/>
  <c r="S1689" i="1" a="1"/>
  <c r="S1689" i="1" s="1"/>
  <c r="S1688" i="1" a="1"/>
  <c r="S1688" i="1" s="1"/>
  <c r="S1687" i="1" a="1"/>
  <c r="S1687" i="1" s="1"/>
  <c r="S1686" i="1" a="1"/>
  <c r="S1686" i="1" s="1"/>
  <c r="S1685" i="1" a="1"/>
  <c r="S1685" i="1" s="1"/>
  <c r="S1684" i="1" a="1"/>
  <c r="S1684" i="1" s="1"/>
  <c r="S1683" i="1" a="1"/>
  <c r="S1683" i="1"/>
  <c r="S1682" i="1" a="1"/>
  <c r="S1682" i="1" s="1"/>
  <c r="S1681" i="1" a="1"/>
  <c r="S1681" i="1"/>
  <c r="S1680" i="1" a="1"/>
  <c r="S1680" i="1" s="1"/>
  <c r="S1679" i="1" a="1"/>
  <c r="S1679" i="1" s="1"/>
  <c r="S1678" i="1" a="1"/>
  <c r="S1678" i="1"/>
  <c r="S1677" i="1" a="1"/>
  <c r="S1677" i="1" s="1"/>
  <c r="S1676" i="1" a="1"/>
  <c r="S1676" i="1" s="1"/>
  <c r="S1675" i="1" a="1"/>
  <c r="S1675" i="1" s="1"/>
  <c r="S1674" i="1" a="1"/>
  <c r="S1674" i="1"/>
  <c r="S1673" i="1" a="1"/>
  <c r="S1673" i="1"/>
  <c r="S1672" i="1" a="1"/>
  <c r="S1672" i="1" s="1"/>
  <c r="S1671" i="1" a="1"/>
  <c r="S1671" i="1" s="1"/>
  <c r="S1670" i="1" a="1"/>
  <c r="S1670" i="1" s="1"/>
  <c r="S1669" i="1" a="1"/>
  <c r="S1669" i="1"/>
  <c r="S1668" i="1" a="1"/>
  <c r="S1668" i="1" s="1"/>
  <c r="S1667" i="1" a="1"/>
  <c r="S1667" i="1" s="1"/>
  <c r="S1666" i="1" a="1"/>
  <c r="S1666" i="1" s="1"/>
  <c r="S1665" i="1" a="1"/>
  <c r="S1665" i="1"/>
  <c r="S1664" i="1" a="1"/>
  <c r="S1664" i="1" s="1"/>
  <c r="S1663" i="1" a="1"/>
  <c r="S1663" i="1" s="1"/>
  <c r="S1662" i="1" a="1"/>
  <c r="S1662" i="1"/>
  <c r="S1661" i="1" a="1"/>
  <c r="S1661" i="1"/>
  <c r="S1660" i="1" a="1"/>
  <c r="S1660" i="1" s="1"/>
  <c r="S1659" i="1" a="1"/>
  <c r="S1659" i="1" s="1"/>
  <c r="S1658" i="1" a="1"/>
  <c r="S1658" i="1" s="1"/>
  <c r="S1657" i="1" a="1"/>
  <c r="S1657" i="1" s="1"/>
  <c r="S1656" i="1" a="1"/>
  <c r="S1656" i="1" s="1"/>
  <c r="S1655" i="1" a="1"/>
  <c r="S1655" i="1" s="1"/>
  <c r="S1654" i="1" a="1"/>
  <c r="S1654" i="1"/>
  <c r="S1653" i="1" a="1"/>
  <c r="S1653" i="1"/>
  <c r="S1652" i="1" a="1"/>
  <c r="S1652" i="1"/>
  <c r="S1651" i="1" a="1"/>
  <c r="S1651" i="1"/>
  <c r="S1650" i="1" a="1"/>
  <c r="S1650" i="1" s="1"/>
  <c r="S1649" i="1" a="1"/>
  <c r="S1649" i="1" s="1"/>
  <c r="S1648" i="1" a="1"/>
  <c r="S1648" i="1" s="1"/>
  <c r="S1647" i="1" a="1"/>
  <c r="S1647" i="1" s="1"/>
  <c r="S1646" i="1" a="1"/>
  <c r="S1646" i="1"/>
  <c r="S1645" i="1" a="1"/>
  <c r="S1645" i="1"/>
  <c r="S1644" i="1" a="1"/>
  <c r="S1644" i="1"/>
  <c r="S1643" i="1" a="1"/>
  <c r="S1643" i="1"/>
  <c r="S1642" i="1" a="1"/>
  <c r="S1642" i="1"/>
  <c r="S1641" i="1" a="1"/>
  <c r="S1641" i="1" s="1"/>
  <c r="S1640" i="1" a="1"/>
  <c r="S1640" i="1" s="1"/>
  <c r="S1639" i="1" a="1"/>
  <c r="S1639" i="1" s="1"/>
  <c r="S1638" i="1" a="1"/>
  <c r="S1638" i="1" s="1"/>
  <c r="S1637" i="1" a="1"/>
  <c r="S1637" i="1" s="1"/>
  <c r="S1636" i="1" a="1"/>
  <c r="S1636" i="1"/>
  <c r="S1635" i="1" a="1"/>
  <c r="S1635" i="1"/>
  <c r="S1634" i="1" a="1"/>
  <c r="S1634" i="1"/>
  <c r="S1633" i="1" a="1"/>
  <c r="S1633" i="1"/>
  <c r="S1632" i="1" a="1"/>
  <c r="S1632" i="1" s="1"/>
  <c r="S1631" i="1" a="1"/>
  <c r="S1631" i="1" s="1"/>
  <c r="S1630" i="1" a="1"/>
  <c r="S1630" i="1" s="1"/>
  <c r="S1629" i="1" a="1"/>
  <c r="S1629" i="1" s="1"/>
  <c r="S1628" i="1" a="1"/>
  <c r="S1628" i="1"/>
  <c r="S1627" i="1" a="1"/>
  <c r="S1627" i="1" s="1"/>
  <c r="S1626" i="1" a="1"/>
  <c r="S1626" i="1"/>
  <c r="S1625" i="1" a="1"/>
  <c r="S1625" i="1"/>
  <c r="S1624" i="1" a="1"/>
  <c r="S1624" i="1" s="1"/>
  <c r="S1623" i="1" a="1"/>
  <c r="S1623" i="1" s="1"/>
  <c r="S1622" i="1" a="1"/>
  <c r="S1622" i="1" s="1"/>
  <c r="S1621" i="1" a="1"/>
  <c r="S1621" i="1" s="1"/>
  <c r="S1620" i="1" a="1"/>
  <c r="S1620" i="1" s="1"/>
  <c r="S1619" i="1" a="1"/>
  <c r="S1619" i="1"/>
  <c r="S1618" i="1" a="1"/>
  <c r="S1618" i="1"/>
  <c r="S1617" i="1" a="1"/>
  <c r="S1617" i="1" s="1"/>
  <c r="S1616" i="1" a="1"/>
  <c r="S1616" i="1" s="1"/>
  <c r="S1615" i="1" a="1"/>
  <c r="S1615" i="1" s="1"/>
  <c r="S1614" i="1" a="1"/>
  <c r="S1614" i="1"/>
  <c r="S1613" i="1" a="1"/>
  <c r="S1613" i="1" s="1"/>
  <c r="S1612" i="1" a="1"/>
  <c r="S1612" i="1" s="1"/>
  <c r="S1611" i="1" a="1"/>
  <c r="S1611" i="1" s="1"/>
  <c r="S1610" i="1" a="1"/>
  <c r="S1610" i="1"/>
  <c r="S1609" i="1" a="1"/>
  <c r="S1609" i="1"/>
  <c r="S1608" i="1" a="1"/>
  <c r="S1608" i="1" s="1"/>
  <c r="S1607" i="1" a="1"/>
  <c r="S1607" i="1" s="1"/>
  <c r="S1606" i="1" a="1"/>
  <c r="S1606" i="1"/>
  <c r="S1605" i="1" a="1"/>
  <c r="S1605" i="1" s="1"/>
  <c r="S1604" i="1" a="1"/>
  <c r="S1604" i="1" s="1"/>
  <c r="S1603" i="1" a="1"/>
  <c r="S1603" i="1" s="1"/>
  <c r="S1602" i="1" a="1"/>
  <c r="S1602" i="1" s="1"/>
  <c r="S1601" i="1" a="1"/>
  <c r="S1601" i="1"/>
  <c r="S1600" i="1" a="1"/>
  <c r="S1600" i="1" s="1"/>
  <c r="S1599" i="1" a="1"/>
  <c r="S1599" i="1" s="1"/>
  <c r="S1598" i="1" a="1"/>
  <c r="S1598" i="1"/>
  <c r="S1597" i="1" a="1"/>
  <c r="S1597" i="1"/>
  <c r="S1596" i="1" a="1"/>
  <c r="S1596" i="1"/>
  <c r="S1595" i="1" a="1"/>
  <c r="S1595" i="1" s="1"/>
  <c r="S1594" i="1" a="1"/>
  <c r="S1594" i="1" s="1"/>
  <c r="S1593" i="1" a="1"/>
  <c r="S1593" i="1" s="1"/>
  <c r="S1592" i="1" a="1"/>
  <c r="S1592" i="1" s="1"/>
  <c r="S1591" i="1" a="1"/>
  <c r="S1591" i="1" s="1"/>
  <c r="S1590" i="1" a="1"/>
  <c r="S1590" i="1"/>
  <c r="S1589" i="1" a="1"/>
  <c r="S1589" i="1"/>
  <c r="S1588" i="1" a="1"/>
  <c r="S1588" i="1"/>
  <c r="S1587" i="1" a="1"/>
  <c r="S1587" i="1"/>
  <c r="S1586" i="1" a="1"/>
  <c r="S1586" i="1" s="1"/>
  <c r="S1585" i="1" a="1"/>
  <c r="S1585" i="1" s="1"/>
  <c r="S1584" i="1" a="1"/>
  <c r="S1584" i="1" s="1"/>
  <c r="S1583" i="1" a="1"/>
  <c r="S1583" i="1" s="1"/>
  <c r="S1582" i="1" a="1"/>
  <c r="S1582" i="1" s="1"/>
  <c r="S1581" i="1" a="1"/>
  <c r="S1581" i="1" s="1"/>
  <c r="S1580" i="1" a="1"/>
  <c r="S1580" i="1"/>
  <c r="S1579" i="1" a="1"/>
  <c r="S1579" i="1"/>
  <c r="S1578" i="1" a="1"/>
  <c r="S1578" i="1"/>
  <c r="S1577" i="1" a="1"/>
  <c r="S1577" i="1" s="1"/>
  <c r="S1576" i="1" a="1"/>
  <c r="S1576" i="1" s="1"/>
  <c r="S1575" i="1" a="1"/>
  <c r="S1575" i="1" s="1"/>
  <c r="S1574" i="1" a="1"/>
  <c r="S1574" i="1" s="1"/>
  <c r="S1573" i="1" a="1"/>
  <c r="S1573" i="1"/>
  <c r="S1572" i="1" a="1"/>
  <c r="S1572" i="1" s="1"/>
  <c r="S1571" i="1" a="1"/>
  <c r="S1571" i="1" s="1"/>
  <c r="S1570" i="1" a="1"/>
  <c r="S1570" i="1"/>
  <c r="S1569" i="1" a="1"/>
  <c r="S1569" i="1"/>
  <c r="S1568" i="1" a="1"/>
  <c r="S1568" i="1" s="1"/>
  <c r="S1567" i="1" a="1"/>
  <c r="S1567" i="1" s="1"/>
  <c r="S1566" i="1" a="1"/>
  <c r="S1566" i="1" s="1"/>
  <c r="S1565" i="1" a="1"/>
  <c r="S1565" i="1" s="1"/>
  <c r="S1564" i="1" a="1"/>
  <c r="S1564" i="1"/>
  <c r="S1563" i="1" a="1"/>
  <c r="S1563" i="1"/>
  <c r="S1562" i="1" a="1"/>
  <c r="S1562" i="1" s="1"/>
  <c r="S1561" i="1" a="1"/>
  <c r="S1561" i="1" s="1"/>
  <c r="S1560" i="1" a="1"/>
  <c r="S1560" i="1" s="1"/>
  <c r="S1559" i="1" a="1"/>
  <c r="S1559" i="1" s="1"/>
  <c r="S1558" i="1" a="1"/>
  <c r="S1558" i="1" s="1"/>
  <c r="S1557" i="1" a="1"/>
  <c r="S1557" i="1" s="1"/>
  <c r="S1556" i="1" a="1"/>
  <c r="S1556" i="1" s="1"/>
  <c r="S1555" i="1" a="1"/>
  <c r="S1555" i="1"/>
  <c r="S1554" i="1" a="1"/>
  <c r="S1554" i="1"/>
  <c r="S1553" i="1" a="1"/>
  <c r="S1553" i="1"/>
  <c r="S1552" i="1" a="1"/>
  <c r="S1552" i="1" s="1"/>
  <c r="S1551" i="1" a="1"/>
  <c r="S1551" i="1" s="1"/>
  <c r="S1550" i="1" a="1"/>
  <c r="S1550" i="1"/>
  <c r="S1549" i="1" a="1"/>
  <c r="S1549" i="1" s="1"/>
  <c r="S1548" i="1" a="1"/>
  <c r="S1548" i="1" s="1"/>
  <c r="S1547" i="1" a="1"/>
  <c r="S1547" i="1" s="1"/>
  <c r="S1546" i="1" a="1"/>
  <c r="S1546" i="1"/>
  <c r="S1545" i="1" a="1"/>
  <c r="S1545" i="1"/>
  <c r="S1544" i="1" a="1"/>
  <c r="S1544" i="1" s="1"/>
  <c r="S1543" i="1" a="1"/>
  <c r="S1543" i="1" s="1"/>
  <c r="S1542" i="1" a="1"/>
  <c r="S1542" i="1"/>
  <c r="S1541" i="1" a="1"/>
  <c r="S1541" i="1"/>
  <c r="S1540" i="1" a="1"/>
  <c r="S1540" i="1" s="1"/>
  <c r="S1539" i="1" a="1"/>
  <c r="S1539" i="1" s="1"/>
  <c r="S1538" i="1" a="1"/>
  <c r="S1538" i="1" s="1"/>
  <c r="S1537" i="1" a="1"/>
  <c r="S1537" i="1"/>
  <c r="S1536" i="1" a="1"/>
  <c r="S1536" i="1" s="1"/>
  <c r="S1535" i="1" a="1"/>
  <c r="S1535" i="1" s="1"/>
  <c r="S1534" i="1" a="1"/>
  <c r="S1534" i="1"/>
  <c r="S1533" i="1" a="1"/>
  <c r="S1533" i="1"/>
  <c r="S1532" i="1" a="1"/>
  <c r="S1532" i="1"/>
  <c r="S1531" i="1" a="1"/>
  <c r="S1531" i="1" s="1"/>
  <c r="S1530" i="1" a="1"/>
  <c r="S1530" i="1" s="1"/>
  <c r="S1529" i="1" a="1"/>
  <c r="S1529" i="1" s="1"/>
  <c r="S1528" i="1" a="1"/>
  <c r="S1528" i="1" s="1"/>
  <c r="S1527" i="1" a="1"/>
  <c r="S1527" i="1" s="1"/>
  <c r="S1526" i="1" a="1"/>
  <c r="S1526" i="1" s="1"/>
  <c r="S1525" i="1" a="1"/>
  <c r="S1525" i="1"/>
  <c r="S1524" i="1" a="1"/>
  <c r="S1524" i="1"/>
  <c r="S1523" i="1" a="1"/>
  <c r="S1523" i="1"/>
  <c r="S1522" i="1" a="1"/>
  <c r="S1522" i="1" s="1"/>
  <c r="S1521" i="1" a="1"/>
  <c r="S1521" i="1" s="1"/>
  <c r="S1520" i="1" a="1"/>
  <c r="S1520" i="1" s="1"/>
  <c r="S1519" i="1" a="1"/>
  <c r="S1519" i="1" s="1"/>
  <c r="S1518" i="1" a="1"/>
  <c r="S1518" i="1"/>
  <c r="S1517" i="1" a="1"/>
  <c r="S1517" i="1" s="1"/>
  <c r="S1516" i="1" a="1"/>
  <c r="S1516" i="1" s="1"/>
  <c r="S1515" i="1" a="1"/>
  <c r="S1515" i="1"/>
  <c r="S1514" i="1" a="1"/>
  <c r="S1514" i="1"/>
  <c r="S1513" i="1" a="1"/>
  <c r="S1513" i="1" s="1"/>
  <c r="S1512" i="1" a="1"/>
  <c r="S1512" i="1" s="1"/>
  <c r="S1511" i="1" a="1"/>
  <c r="S1511" i="1" s="1"/>
  <c r="S1510" i="1" a="1"/>
  <c r="S1510" i="1" s="1"/>
  <c r="S1509" i="1" a="1"/>
  <c r="S1509" i="1"/>
  <c r="S1508" i="1" a="1"/>
  <c r="S1508" i="1"/>
  <c r="S1507" i="1" a="1"/>
  <c r="S1507" i="1" s="1"/>
  <c r="S1506" i="1" a="1"/>
  <c r="S1506" i="1" s="1"/>
  <c r="S1505" i="1" a="1"/>
  <c r="S1505" i="1"/>
  <c r="S1504" i="1" a="1"/>
  <c r="S1504" i="1" s="1"/>
  <c r="S1503" i="1" a="1"/>
  <c r="S1503" i="1" s="1"/>
  <c r="S1502" i="1" a="1"/>
  <c r="S1502" i="1" s="1"/>
  <c r="S1501" i="1" a="1"/>
  <c r="S1501" i="1" s="1"/>
  <c r="S1500" i="1" a="1"/>
  <c r="S1500" i="1"/>
  <c r="S1499" i="1" a="1"/>
  <c r="S1499" i="1"/>
  <c r="S1498" i="1" a="1"/>
  <c r="S1498" i="1"/>
  <c r="S1497" i="1" a="1"/>
  <c r="S1497" i="1" s="1"/>
  <c r="S1496" i="1" a="1"/>
  <c r="S1496" i="1" s="1"/>
  <c r="S1495" i="1" a="1"/>
  <c r="S1495" i="1" s="1"/>
  <c r="S1494" i="1" a="1"/>
  <c r="S1494" i="1" s="1"/>
  <c r="S1493" i="1" a="1"/>
  <c r="S1493" i="1" s="1"/>
  <c r="S1492" i="1" a="1"/>
  <c r="S1492" i="1" s="1"/>
  <c r="S1491" i="1" a="1"/>
  <c r="S1491" i="1"/>
  <c r="S1490" i="1" a="1"/>
  <c r="S1490" i="1"/>
  <c r="S1489" i="1" a="1"/>
  <c r="S1489" i="1"/>
  <c r="S1488" i="1" a="1"/>
  <c r="S1488" i="1" s="1"/>
  <c r="S1487" i="1" a="1"/>
  <c r="S1487" i="1" s="1"/>
  <c r="S1486" i="1" a="1"/>
  <c r="S1486" i="1" s="1"/>
  <c r="S1485" i="1" a="1"/>
  <c r="S1485" i="1" s="1"/>
  <c r="S1484" i="1" a="1"/>
  <c r="S1484" i="1" s="1"/>
  <c r="S1483" i="1" a="1"/>
  <c r="S1483" i="1" s="1"/>
  <c r="S1482" i="1" a="1"/>
  <c r="S1482" i="1"/>
  <c r="S1481" i="1" a="1"/>
  <c r="S1481" i="1"/>
  <c r="S1480" i="1" a="1"/>
  <c r="S1480" i="1" s="1"/>
  <c r="S1479" i="1" a="1"/>
  <c r="S1479" i="1" s="1"/>
  <c r="S1478" i="1" a="1"/>
  <c r="S1478" i="1"/>
  <c r="S1477" i="1" a="1"/>
  <c r="S1477" i="1"/>
  <c r="S1476" i="1" a="1"/>
  <c r="S1476" i="1" s="1"/>
  <c r="S1475" i="1" a="1"/>
  <c r="S1475" i="1" s="1"/>
  <c r="S1474" i="1" a="1"/>
  <c r="S1474" i="1" s="1"/>
  <c r="S1473" i="1" a="1"/>
  <c r="S1473" i="1"/>
  <c r="S1472" i="1" a="1"/>
  <c r="S1472" i="1"/>
  <c r="S1471" i="1" a="1"/>
  <c r="S1471" i="1"/>
  <c r="S1470" i="1" a="1"/>
  <c r="S1470" i="1"/>
  <c r="S1469" i="1" a="1"/>
  <c r="S1469" i="1"/>
  <c r="S1468" i="1" a="1"/>
  <c r="S1468" i="1" s="1"/>
  <c r="S1467" i="1" a="1"/>
  <c r="S1467" i="1" s="1"/>
  <c r="S1466" i="1" a="1"/>
  <c r="S1466" i="1" s="1"/>
  <c r="S1465" i="1" a="1"/>
  <c r="S1465" i="1"/>
  <c r="S1464" i="1" a="1"/>
  <c r="S1464" i="1" s="1"/>
  <c r="S1463" i="1" a="1"/>
  <c r="S1463" i="1" s="1"/>
  <c r="S1462" i="1" a="1"/>
  <c r="S1462" i="1"/>
  <c r="S1461" i="1" a="1"/>
  <c r="S1461" i="1"/>
  <c r="S1460" i="1" a="1"/>
  <c r="S1460" i="1" s="1"/>
  <c r="S1459" i="1" a="1"/>
  <c r="S1459" i="1" s="1"/>
  <c r="S1458" i="1" a="1"/>
  <c r="S1458" i="1" s="1"/>
  <c r="S1457" i="1" a="1"/>
  <c r="S1457" i="1"/>
  <c r="S1456" i="1" a="1"/>
  <c r="S1456" i="1"/>
  <c r="S1455" i="1" a="1"/>
  <c r="S1455" i="1" s="1"/>
  <c r="S1454" i="1" a="1"/>
  <c r="S1454" i="1"/>
  <c r="S1453" i="1" a="1"/>
  <c r="S1453" i="1"/>
  <c r="S1452" i="1" a="1"/>
  <c r="S1452" i="1" s="1"/>
  <c r="S1451" i="1" a="1"/>
  <c r="S1451" i="1" s="1"/>
  <c r="S1450" i="1" a="1"/>
  <c r="S1450" i="1" s="1"/>
  <c r="S1449" i="1" a="1"/>
  <c r="S1449" i="1"/>
  <c r="S1448" i="1" a="1"/>
  <c r="S1448" i="1"/>
  <c r="S1447" i="1" a="1"/>
  <c r="S1447" i="1"/>
  <c r="S1446" i="1" a="1"/>
  <c r="S1446" i="1"/>
  <c r="S1445" i="1" a="1"/>
  <c r="S1445" i="1" s="1"/>
  <c r="S1444" i="1" a="1"/>
  <c r="S1444" i="1" s="1"/>
  <c r="S1443" i="1" a="1"/>
  <c r="S1443" i="1" s="1"/>
  <c r="S1442" i="1" a="1"/>
  <c r="S1442" i="1" s="1"/>
  <c r="S1441" i="1" a="1"/>
  <c r="S1441" i="1"/>
  <c r="S1440" i="1" a="1"/>
  <c r="S1440" i="1"/>
  <c r="S1439" i="1" a="1"/>
  <c r="S1439" i="1"/>
  <c r="S1438" i="1" a="1"/>
  <c r="S1438" i="1"/>
  <c r="S1437" i="1" a="1"/>
  <c r="S1437" i="1"/>
  <c r="S1436" i="1" a="1"/>
  <c r="S1436" i="1" s="1"/>
  <c r="S1435" i="1" a="1"/>
  <c r="S1435" i="1" s="1"/>
  <c r="S1434" i="1" a="1"/>
  <c r="S1434" i="1" s="1"/>
  <c r="S1433" i="1" a="1"/>
  <c r="S1433" i="1" s="1"/>
  <c r="S1432" i="1" a="1"/>
  <c r="S1432" i="1"/>
  <c r="S1431" i="1" a="1"/>
  <c r="S1431" i="1"/>
  <c r="S1430" i="1" a="1"/>
  <c r="S1430" i="1"/>
  <c r="S1429" i="1" a="1"/>
  <c r="S1429" i="1"/>
  <c r="S1428" i="1" a="1"/>
  <c r="S1428" i="1" s="1"/>
  <c r="S1427" i="1" a="1"/>
  <c r="S1427" i="1" s="1"/>
  <c r="S1426" i="1" a="1"/>
  <c r="S1426" i="1" s="1"/>
  <c r="S1425" i="1" a="1"/>
  <c r="S1425" i="1" s="1"/>
  <c r="S1424" i="1" a="1"/>
  <c r="S1424" i="1"/>
  <c r="S1423" i="1" a="1"/>
  <c r="S1423" i="1"/>
  <c r="S1422" i="1" a="1"/>
  <c r="S1422" i="1"/>
  <c r="S1421" i="1" a="1"/>
  <c r="S1421" i="1"/>
  <c r="S1420" i="1" a="1"/>
  <c r="S1420" i="1" s="1"/>
  <c r="S1419" i="1" a="1"/>
  <c r="S1419" i="1" s="1"/>
  <c r="S1418" i="1" a="1"/>
  <c r="S1418" i="1" s="1"/>
  <c r="S1417" i="1" a="1"/>
  <c r="S1417" i="1"/>
  <c r="S1416" i="1" a="1"/>
  <c r="S1416" i="1"/>
  <c r="S1415" i="1" a="1"/>
  <c r="S1415" i="1" s="1"/>
  <c r="S1414" i="1" a="1"/>
  <c r="S1414" i="1" s="1"/>
  <c r="S1413" i="1" a="1"/>
  <c r="S1413" i="1"/>
  <c r="S1412" i="1" a="1"/>
  <c r="S1412" i="1" s="1"/>
  <c r="S1411" i="1" a="1"/>
  <c r="S1411" i="1" s="1"/>
  <c r="S1410" i="1" a="1"/>
  <c r="S1410" i="1" s="1"/>
  <c r="S1409" i="1" a="1"/>
  <c r="S1409" i="1"/>
  <c r="S1408" i="1" a="1"/>
  <c r="S1408" i="1"/>
  <c r="S1407" i="1" a="1"/>
  <c r="S1407" i="1"/>
  <c r="S1406" i="1" a="1"/>
  <c r="S1406" i="1" s="1"/>
  <c r="S1405" i="1" a="1"/>
  <c r="S1405" i="1"/>
  <c r="S1404" i="1" a="1"/>
  <c r="S1404" i="1" s="1"/>
  <c r="S1403" i="1" a="1"/>
  <c r="S1403" i="1" s="1"/>
  <c r="S1402" i="1" a="1"/>
  <c r="S1402" i="1" s="1"/>
  <c r="S1401" i="1" a="1"/>
  <c r="S1401" i="1"/>
  <c r="S1400" i="1" a="1"/>
  <c r="S1400" i="1"/>
  <c r="S1399" i="1" a="1"/>
  <c r="S1399" i="1"/>
  <c r="S1398" i="1" a="1"/>
  <c r="S1398" i="1"/>
  <c r="S1397" i="1" a="1"/>
  <c r="S1397" i="1"/>
  <c r="S1396" i="1" a="1"/>
  <c r="S1396" i="1" s="1"/>
  <c r="S1395" i="1" a="1"/>
  <c r="S1395" i="1" s="1"/>
  <c r="S1394" i="1" a="1"/>
  <c r="S1394" i="1" s="1"/>
  <c r="S1393" i="1" a="1"/>
  <c r="S1393" i="1"/>
  <c r="S1392" i="1" a="1"/>
  <c r="S1392" i="1"/>
  <c r="S1391" i="1" a="1"/>
  <c r="S1391" i="1"/>
  <c r="S1390" i="1" a="1"/>
  <c r="S1390" i="1"/>
  <c r="S1389" i="1" a="1"/>
  <c r="S1389" i="1"/>
  <c r="S1388" i="1" a="1"/>
  <c r="S1388" i="1" s="1"/>
  <c r="S1387" i="1" a="1"/>
  <c r="S1387" i="1" s="1"/>
  <c r="S1386" i="1" a="1"/>
  <c r="S1386" i="1" s="1"/>
  <c r="S1385" i="1" a="1"/>
  <c r="S1385" i="1" s="1"/>
  <c r="S1384" i="1" a="1"/>
  <c r="S1384" i="1" s="1"/>
  <c r="S1383" i="1" a="1"/>
  <c r="S1383" i="1"/>
  <c r="S1382" i="1" a="1"/>
  <c r="S1382" i="1"/>
  <c r="S1381" i="1" a="1"/>
  <c r="S1381" i="1"/>
  <c r="S1380" i="1" a="1"/>
  <c r="S1380" i="1" s="1"/>
  <c r="S1379" i="1" a="1"/>
  <c r="S1379" i="1" s="1"/>
  <c r="S1378" i="1" a="1"/>
  <c r="S1378" i="1" s="1"/>
  <c r="S1377" i="1" a="1"/>
  <c r="S1377" i="1"/>
  <c r="S1376" i="1" a="1"/>
  <c r="S1376" i="1" s="1"/>
  <c r="S1375" i="1" a="1"/>
  <c r="S1375" i="1"/>
  <c r="S1374" i="1" a="1"/>
  <c r="S1374" i="1"/>
  <c r="S1373" i="1" a="1"/>
  <c r="S1373" i="1"/>
  <c r="S1372" i="1" a="1"/>
  <c r="S1372" i="1" s="1"/>
  <c r="S1371" i="1" a="1"/>
  <c r="S1371" i="1" s="1"/>
  <c r="S1370" i="1" a="1"/>
  <c r="S1370" i="1" s="1"/>
  <c r="S1369" i="1" a="1"/>
  <c r="S1369" i="1"/>
  <c r="S1368" i="1" a="1"/>
  <c r="S1368" i="1"/>
  <c r="S1367" i="1" a="1"/>
  <c r="S1367" i="1"/>
  <c r="S1366" i="1" a="1"/>
  <c r="S1366" i="1" s="1"/>
  <c r="S1365" i="1" a="1"/>
  <c r="S1365" i="1" s="1"/>
  <c r="S1364" i="1" a="1"/>
  <c r="S1364" i="1" s="1"/>
  <c r="S1363" i="1" a="1"/>
  <c r="S1363" i="1" s="1"/>
  <c r="S1362" i="1" a="1"/>
  <c r="S1362" i="1" s="1"/>
  <c r="S1361" i="1" a="1"/>
  <c r="S1361" i="1"/>
  <c r="S1360" i="1" a="1"/>
  <c r="S1360" i="1"/>
  <c r="S1359" i="1" a="1"/>
  <c r="S1359" i="1"/>
  <c r="S1358" i="1" a="1"/>
  <c r="S1358" i="1"/>
  <c r="S1357" i="1" a="1"/>
  <c r="S1357" i="1" s="1"/>
  <c r="S1356" i="1" a="1"/>
  <c r="S1356" i="1" s="1"/>
  <c r="S1355" i="1" a="1"/>
  <c r="S1355" i="1" s="1"/>
  <c r="S1354" i="1" a="1"/>
  <c r="S1354" i="1" s="1"/>
  <c r="S1353" i="1" a="1"/>
  <c r="S1353" i="1"/>
  <c r="S1352" i="1" a="1"/>
  <c r="S1352" i="1"/>
  <c r="S1351" i="1" a="1"/>
  <c r="S1351" i="1"/>
  <c r="S1350" i="1" a="1"/>
  <c r="S1350" i="1"/>
  <c r="S1349" i="1" a="1"/>
  <c r="S1349" i="1"/>
  <c r="S1348" i="1" a="1"/>
  <c r="S1348" i="1" s="1"/>
  <c r="S1347" i="1" a="1"/>
  <c r="S1347" i="1" s="1"/>
  <c r="S1346" i="1" a="1"/>
  <c r="S1346" i="1" s="1"/>
  <c r="S1345" i="1" a="1"/>
  <c r="S1345" i="1"/>
  <c r="S1344" i="1" a="1"/>
  <c r="S1344" i="1"/>
  <c r="S1343" i="1" a="1"/>
  <c r="S1343" i="1"/>
  <c r="S1342" i="1" a="1"/>
  <c r="S1342" i="1"/>
  <c r="S1341" i="1" a="1"/>
  <c r="S1341" i="1"/>
  <c r="S1340" i="1" a="1"/>
  <c r="S1340" i="1" s="1"/>
  <c r="S1339" i="1" a="1"/>
  <c r="S1339" i="1" s="1"/>
  <c r="S1338" i="1" a="1"/>
  <c r="S1338" i="1" s="1"/>
  <c r="S1337" i="1" a="1"/>
  <c r="S1337" i="1"/>
  <c r="S1336" i="1" a="1"/>
  <c r="S1336" i="1" s="1"/>
  <c r="S1335" i="1" a="1"/>
  <c r="S1335" i="1" s="1"/>
  <c r="S1334" i="1" a="1"/>
  <c r="S1334" i="1"/>
  <c r="S1333" i="1" a="1"/>
  <c r="S1333" i="1"/>
  <c r="S1332" i="1" a="1"/>
  <c r="S1332" i="1" s="1"/>
  <c r="S1331" i="1" a="1"/>
  <c r="S1331" i="1" s="1"/>
  <c r="S1330" i="1" a="1"/>
  <c r="S1330" i="1" s="1"/>
  <c r="S1329" i="1" a="1"/>
  <c r="S1329" i="1"/>
  <c r="S1328" i="1" a="1"/>
  <c r="S1328" i="1"/>
  <c r="S1327" i="1" a="1"/>
  <c r="S1327" i="1" s="1"/>
  <c r="S1326" i="1" a="1"/>
  <c r="S1326" i="1"/>
  <c r="S1325" i="1" a="1"/>
  <c r="S1325" i="1"/>
  <c r="S1324" i="1" a="1"/>
  <c r="S1324" i="1" s="1"/>
  <c r="S1323" i="1" a="1"/>
  <c r="S1323" i="1" s="1"/>
  <c r="S1322" i="1" a="1"/>
  <c r="S1322" i="1" s="1"/>
  <c r="S1321" i="1" a="1"/>
  <c r="S1321" i="1"/>
  <c r="S1320" i="1" a="1"/>
  <c r="S1320" i="1"/>
  <c r="S1319" i="1" a="1"/>
  <c r="S1319" i="1"/>
  <c r="S1318" i="1" a="1"/>
  <c r="S1318" i="1"/>
  <c r="S1317" i="1" a="1"/>
  <c r="S1317" i="1" s="1"/>
  <c r="S1316" i="1" a="1"/>
  <c r="S1316" i="1" s="1"/>
  <c r="S1315" i="1" a="1"/>
  <c r="S1315" i="1" s="1"/>
  <c r="S1314" i="1" a="1"/>
  <c r="S1314" i="1" s="1"/>
  <c r="S1313" i="1" a="1"/>
  <c r="S1313" i="1"/>
  <c r="S1312" i="1" a="1"/>
  <c r="S1312" i="1"/>
  <c r="S1311" i="1" a="1"/>
  <c r="S1311" i="1"/>
  <c r="S1310" i="1" a="1"/>
  <c r="S1310" i="1"/>
  <c r="S1309" i="1" a="1"/>
  <c r="S1309" i="1"/>
  <c r="S1308" i="1" a="1"/>
  <c r="S1308" i="1" s="1"/>
  <c r="S1307" i="1" a="1"/>
  <c r="S1307" i="1" s="1"/>
  <c r="S1306" i="1" a="1"/>
  <c r="S1306" i="1" s="1"/>
  <c r="S1305" i="1" a="1"/>
  <c r="S1305" i="1" s="1"/>
  <c r="S1304" i="1" a="1"/>
  <c r="S1304" i="1"/>
  <c r="S1303" i="1" a="1"/>
  <c r="S1303" i="1"/>
  <c r="S1302" i="1" a="1"/>
  <c r="S1302" i="1"/>
  <c r="S1301" i="1" a="1"/>
  <c r="S1301" i="1"/>
  <c r="S1300" i="1" a="1"/>
  <c r="S1300" i="1" s="1"/>
  <c r="S1299" i="1" a="1"/>
  <c r="S1299" i="1" s="1"/>
  <c r="S1298" i="1" a="1"/>
  <c r="S1298" i="1" s="1"/>
  <c r="S1297" i="1" a="1"/>
  <c r="S1297" i="1" s="1"/>
  <c r="S1296" i="1" a="1"/>
  <c r="S1296" i="1"/>
  <c r="S1295" i="1" a="1"/>
  <c r="S1295" i="1"/>
  <c r="S1294" i="1" a="1"/>
  <c r="S1294" i="1"/>
  <c r="S1293" i="1" a="1"/>
  <c r="S1293" i="1"/>
  <c r="S1292" i="1" a="1"/>
  <c r="S1292" i="1" s="1"/>
  <c r="S1291" i="1" a="1"/>
  <c r="S1291" i="1" s="1"/>
  <c r="S1290" i="1" a="1"/>
  <c r="S1290" i="1" s="1"/>
  <c r="S1289" i="1" a="1"/>
  <c r="S1289" i="1"/>
  <c r="S1288" i="1" a="1"/>
  <c r="S1288" i="1"/>
  <c r="S1287" i="1" a="1"/>
  <c r="S1287" i="1" s="1"/>
  <c r="S1286" i="1" a="1"/>
  <c r="S1286" i="1" s="1"/>
  <c r="S1285" i="1" a="1"/>
  <c r="S1285" i="1"/>
  <c r="S1284" i="1" a="1"/>
  <c r="S1284" i="1" s="1"/>
  <c r="S1283" i="1" a="1"/>
  <c r="S1283" i="1" s="1"/>
  <c r="S1282" i="1" a="1"/>
  <c r="S1282" i="1" s="1"/>
  <c r="S1281" i="1" a="1"/>
  <c r="S1281" i="1"/>
  <c r="S1280" i="1" a="1"/>
  <c r="S1280" i="1"/>
  <c r="S1279" i="1" a="1"/>
  <c r="S1279" i="1"/>
  <c r="S1278" i="1" a="1"/>
  <c r="S1278" i="1" s="1"/>
  <c r="S1277" i="1" a="1"/>
  <c r="S1277" i="1"/>
  <c r="S1276" i="1" a="1"/>
  <c r="S1276" i="1" s="1"/>
  <c r="S1275" i="1" a="1"/>
  <c r="S1275" i="1" s="1"/>
  <c r="S1274" i="1" a="1"/>
  <c r="S1274" i="1" s="1"/>
  <c r="S1273" i="1" a="1"/>
  <c r="S1273" i="1"/>
  <c r="S1272" i="1" a="1"/>
  <c r="S1272" i="1"/>
  <c r="S1271" i="1" a="1"/>
  <c r="S1271" i="1"/>
  <c r="S1270" i="1" a="1"/>
  <c r="S1270" i="1"/>
  <c r="S1269" i="1" a="1"/>
  <c r="S1269" i="1"/>
  <c r="S1268" i="1" a="1"/>
  <c r="S1268" i="1" s="1"/>
  <c r="S1267" i="1" a="1"/>
  <c r="S1267" i="1" s="1"/>
  <c r="S1266" i="1" a="1"/>
  <c r="S1266" i="1" s="1"/>
  <c r="S1265" i="1" a="1"/>
  <c r="S1265" i="1"/>
  <c r="S1264" i="1" a="1"/>
  <c r="S1264" i="1"/>
  <c r="S1263" i="1" a="1"/>
  <c r="S1263" i="1"/>
  <c r="S1262" i="1" a="1"/>
  <c r="S1262" i="1"/>
  <c r="S1261" i="1" a="1"/>
  <c r="S1261" i="1"/>
  <c r="S1260" i="1" a="1"/>
  <c r="S1260" i="1" s="1"/>
  <c r="S1259" i="1" a="1"/>
  <c r="S1259" i="1" s="1"/>
  <c r="S1258" i="1" a="1"/>
  <c r="S1258" i="1" s="1"/>
  <c r="S1257" i="1" a="1"/>
  <c r="S1257" i="1" s="1"/>
  <c r="S1256" i="1" a="1"/>
  <c r="S1256" i="1" s="1"/>
  <c r="S1255" i="1" a="1"/>
  <c r="S1255" i="1"/>
  <c r="S1254" i="1" a="1"/>
  <c r="S1254" i="1"/>
  <c r="S1253" i="1" a="1"/>
  <c r="S1253" i="1"/>
  <c r="S1252" i="1" a="1"/>
  <c r="S1252" i="1" s="1"/>
  <c r="S1251" i="1" a="1"/>
  <c r="S1251" i="1" s="1"/>
  <c r="S1250" i="1" a="1"/>
  <c r="S1250" i="1" s="1"/>
  <c r="S1249" i="1" a="1"/>
  <c r="S1249" i="1"/>
  <c r="S1248" i="1" a="1"/>
  <c r="S1248" i="1" s="1"/>
  <c r="S1247" i="1" a="1"/>
  <c r="S1247" i="1"/>
  <c r="S1246" i="1" a="1"/>
  <c r="S1246" i="1"/>
  <c r="S1245" i="1" a="1"/>
  <c r="S1245" i="1"/>
  <c r="S1244" i="1" a="1"/>
  <c r="S1244" i="1" s="1"/>
  <c r="S1243" i="1" a="1"/>
  <c r="S1243" i="1" s="1"/>
  <c r="S1242" i="1" a="1"/>
  <c r="S1242" i="1" s="1"/>
  <c r="S1241" i="1" a="1"/>
  <c r="S1241" i="1"/>
  <c r="S1240" i="1" a="1"/>
  <c r="S1240" i="1"/>
  <c r="S1239" i="1" a="1"/>
  <c r="S1239" i="1"/>
  <c r="S1238" i="1" a="1"/>
  <c r="S1238" i="1" s="1"/>
  <c r="S1237" i="1" a="1"/>
  <c r="S1237" i="1" s="1"/>
  <c r="S1236" i="1" a="1"/>
  <c r="S1236" i="1" s="1"/>
  <c r="S1235" i="1" a="1"/>
  <c r="S1235" i="1" s="1"/>
  <c r="S1234" i="1" a="1"/>
  <c r="S1234" i="1" s="1"/>
  <c r="S1233" i="1" a="1"/>
  <c r="S1233" i="1"/>
  <c r="S1232" i="1" a="1"/>
  <c r="S1232" i="1"/>
  <c r="S1231" i="1" a="1"/>
  <c r="S1231" i="1"/>
  <c r="S1230" i="1" a="1"/>
  <c r="S1230" i="1"/>
  <c r="S1229" i="1" a="1"/>
  <c r="S1229" i="1" s="1"/>
  <c r="S1228" i="1" a="1"/>
  <c r="S1228" i="1" s="1"/>
  <c r="S1227" i="1" a="1"/>
  <c r="S1227" i="1" s="1"/>
  <c r="S1226" i="1" a="1"/>
  <c r="S1226" i="1" s="1"/>
  <c r="S1225" i="1" a="1"/>
  <c r="S1225" i="1"/>
  <c r="S1224" i="1" a="1"/>
  <c r="S1224" i="1"/>
  <c r="S1223" i="1" a="1"/>
  <c r="S1223" i="1"/>
  <c r="S1222" i="1" a="1"/>
  <c r="S1222" i="1"/>
  <c r="S1221" i="1" a="1"/>
  <c r="S1221" i="1"/>
  <c r="S1220" i="1" a="1"/>
  <c r="S1220" i="1" s="1"/>
  <c r="S1219" i="1" a="1"/>
  <c r="S1219" i="1" s="1"/>
  <c r="S1218" i="1" a="1"/>
  <c r="S1218" i="1" s="1"/>
  <c r="S1217" i="1" a="1"/>
  <c r="S1217" i="1"/>
  <c r="S1216" i="1" a="1"/>
  <c r="S1216" i="1"/>
  <c r="S1215" i="1" a="1"/>
  <c r="S1215" i="1"/>
  <c r="S1214" i="1" a="1"/>
  <c r="S1214" i="1"/>
  <c r="S1213" i="1" a="1"/>
  <c r="S1213" i="1"/>
  <c r="S1212" i="1" a="1"/>
  <c r="S1212" i="1" s="1"/>
  <c r="S1211" i="1" a="1"/>
  <c r="S1211" i="1" s="1"/>
  <c r="S1210" i="1" a="1"/>
  <c r="S1210" i="1" s="1"/>
  <c r="S1209" i="1" a="1"/>
  <c r="S1209" i="1"/>
  <c r="S1208" i="1" a="1"/>
  <c r="S1208" i="1" s="1"/>
  <c r="S1207" i="1" a="1"/>
  <c r="S1207" i="1" s="1"/>
  <c r="S1206" i="1" a="1"/>
  <c r="S1206" i="1"/>
  <c r="S1205" i="1" a="1"/>
  <c r="S1205" i="1"/>
  <c r="S1204" i="1" a="1"/>
  <c r="S1204" i="1" s="1"/>
  <c r="S1203" i="1" a="1"/>
  <c r="S1203" i="1" s="1"/>
  <c r="S1202" i="1" a="1"/>
  <c r="S1202" i="1" s="1"/>
  <c r="S1201" i="1" a="1"/>
  <c r="S1201" i="1"/>
  <c r="S1200" i="1" a="1"/>
  <c r="S1200" i="1"/>
  <c r="S1199" i="1" a="1"/>
  <c r="S1199" i="1" s="1"/>
  <c r="S1198" i="1" a="1"/>
  <c r="S1198" i="1"/>
  <c r="S1197" i="1" a="1"/>
  <c r="S1197" i="1"/>
  <c r="S1196" i="1" a="1"/>
  <c r="S1196" i="1" s="1"/>
  <c r="S1195" i="1" a="1"/>
  <c r="S1195" i="1" s="1"/>
  <c r="S1194" i="1" a="1"/>
  <c r="S1194" i="1" s="1"/>
  <c r="S1193" i="1" a="1"/>
  <c r="S1193" i="1"/>
  <c r="S1192" i="1" a="1"/>
  <c r="S1192" i="1"/>
  <c r="S1191" i="1" a="1"/>
  <c r="S1191" i="1"/>
  <c r="S1190" i="1" a="1"/>
  <c r="S1190" i="1"/>
  <c r="S1189" i="1" a="1"/>
  <c r="S1189" i="1" s="1"/>
  <c r="S1188" i="1" a="1"/>
  <c r="S1188" i="1" s="1"/>
  <c r="S1187" i="1" a="1"/>
  <c r="S1187" i="1" s="1"/>
  <c r="S1186" i="1" a="1"/>
  <c r="S1186" i="1" s="1"/>
  <c r="S1185" i="1" a="1"/>
  <c r="S1185" i="1"/>
  <c r="S1184" i="1" a="1"/>
  <c r="S1184" i="1"/>
  <c r="S1183" i="1" a="1"/>
  <c r="S1183" i="1"/>
  <c r="S1182" i="1" a="1"/>
  <c r="S1182" i="1"/>
  <c r="S1181" i="1" a="1"/>
  <c r="S1181" i="1"/>
  <c r="S1180" i="1" a="1"/>
  <c r="S1180" i="1" s="1"/>
  <c r="S1179" i="1" a="1"/>
  <c r="S1179" i="1" s="1"/>
  <c r="S1178" i="1" a="1"/>
  <c r="S1178" i="1" s="1"/>
  <c r="S1177" i="1" a="1"/>
  <c r="S1177" i="1" s="1"/>
  <c r="S1176" i="1" a="1"/>
  <c r="S1176" i="1"/>
  <c r="S1175" i="1" a="1"/>
  <c r="S1175" i="1"/>
  <c r="S1174" i="1" a="1"/>
  <c r="S1174" i="1"/>
  <c r="S1173" i="1" a="1"/>
  <c r="S1173" i="1"/>
  <c r="S1172" i="1" a="1"/>
  <c r="S1172" i="1" s="1"/>
  <c r="S1171" i="1" a="1"/>
  <c r="S1171" i="1" s="1"/>
  <c r="S1170" i="1" a="1"/>
  <c r="S1170" i="1" s="1"/>
  <c r="S1169" i="1" a="1"/>
  <c r="S1169" i="1" s="1"/>
  <c r="S1168" i="1" a="1"/>
  <c r="S1168" i="1"/>
  <c r="S1167" i="1" a="1"/>
  <c r="S1167" i="1"/>
  <c r="S1166" i="1" a="1"/>
  <c r="S1166" i="1"/>
  <c r="S1165" i="1" a="1"/>
  <c r="S1165" i="1"/>
  <c r="S1164" i="1" a="1"/>
  <c r="S1164" i="1" s="1"/>
  <c r="S1163" i="1" a="1"/>
  <c r="S1163" i="1" s="1"/>
  <c r="S1162" i="1" a="1"/>
  <c r="S1162" i="1" s="1"/>
  <c r="S1161" i="1" a="1"/>
  <c r="S1161" i="1"/>
  <c r="S1160" i="1" a="1"/>
  <c r="S1160" i="1"/>
  <c r="S1159" i="1" a="1"/>
  <c r="S1159" i="1" s="1"/>
  <c r="S1158" i="1" a="1"/>
  <c r="S1158" i="1" s="1"/>
  <c r="S1157" i="1" a="1"/>
  <c r="S1157" i="1"/>
  <c r="S1156" i="1" a="1"/>
  <c r="S1156" i="1" s="1"/>
  <c r="S1155" i="1" a="1"/>
  <c r="S1155" i="1" s="1"/>
  <c r="S1154" i="1" a="1"/>
  <c r="S1154" i="1" s="1"/>
  <c r="S1153" i="1" a="1"/>
  <c r="S1153" i="1"/>
  <c r="S1152" i="1" a="1"/>
  <c r="S1152" i="1"/>
  <c r="S1151" i="1" a="1"/>
  <c r="S1151" i="1"/>
  <c r="S1150" i="1" a="1"/>
  <c r="S1150" i="1" s="1"/>
  <c r="S1149" i="1" a="1"/>
  <c r="S1149" i="1"/>
  <c r="S1148" i="1" a="1"/>
  <c r="S1148" i="1" s="1"/>
  <c r="S1147" i="1" a="1"/>
  <c r="S1147" i="1" s="1"/>
  <c r="S1146" i="1" a="1"/>
  <c r="S1146" i="1" s="1"/>
  <c r="S1145" i="1" a="1"/>
  <c r="S1145" i="1"/>
  <c r="S1144" i="1" a="1"/>
  <c r="S1144" i="1"/>
  <c r="S1143" i="1" a="1"/>
  <c r="S1143" i="1"/>
  <c r="S1142" i="1" a="1"/>
  <c r="S1142" i="1"/>
  <c r="S1141" i="1" a="1"/>
  <c r="S1141" i="1"/>
  <c r="S1140" i="1" a="1"/>
  <c r="S1140" i="1" s="1"/>
  <c r="S1139" i="1" a="1"/>
  <c r="S1139" i="1" s="1"/>
  <c r="S1138" i="1" a="1"/>
  <c r="S1138" i="1" s="1"/>
  <c r="S1137" i="1" a="1"/>
  <c r="S1137" i="1"/>
  <c r="S1136" i="1" a="1"/>
  <c r="S1136" i="1"/>
  <c r="S1135" i="1" a="1"/>
  <c r="S1135" i="1"/>
  <c r="S1134" i="1" a="1"/>
  <c r="S1134" i="1"/>
  <c r="S1133" i="1" a="1"/>
  <c r="S1133" i="1"/>
  <c r="S1132" i="1" a="1"/>
  <c r="S1132" i="1" s="1"/>
  <c r="S1131" i="1" a="1"/>
  <c r="S1131" i="1" s="1"/>
  <c r="S1130" i="1" a="1"/>
  <c r="S1130" i="1" s="1"/>
  <c r="S1129" i="1" a="1"/>
  <c r="S1129" i="1" s="1"/>
  <c r="S1128" i="1" a="1"/>
  <c r="S1128" i="1" s="1"/>
  <c r="S1127" i="1" a="1"/>
  <c r="S1127" i="1"/>
  <c r="S1126" i="1" a="1"/>
  <c r="S1126" i="1"/>
  <c r="S1125" i="1" a="1"/>
  <c r="S1125" i="1"/>
  <c r="S1124" i="1" a="1"/>
  <c r="S1124" i="1" s="1"/>
  <c r="S1123" i="1" a="1"/>
  <c r="S1123" i="1" s="1"/>
  <c r="S1122" i="1" a="1"/>
  <c r="S1122" i="1" s="1"/>
  <c r="S1121" i="1" a="1"/>
  <c r="S1121" i="1"/>
  <c r="S1120" i="1" a="1"/>
  <c r="S1120" i="1" s="1"/>
  <c r="S1119" i="1" a="1"/>
  <c r="S1119" i="1"/>
  <c r="S1118" i="1" a="1"/>
  <c r="S1118" i="1"/>
  <c r="S1117" i="1" a="1"/>
  <c r="S1117" i="1"/>
  <c r="S1116" i="1" a="1"/>
  <c r="S1116" i="1" s="1"/>
  <c r="S1115" i="1" a="1"/>
  <c r="S1115" i="1" s="1"/>
  <c r="S1114" i="1" a="1"/>
  <c r="S1114" i="1" s="1"/>
  <c r="S1113" i="1" a="1"/>
  <c r="S1113" i="1"/>
  <c r="S1112" i="1" a="1"/>
  <c r="S1112" i="1"/>
  <c r="S1111" i="1" a="1"/>
  <c r="S1111" i="1"/>
  <c r="S1110" i="1" a="1"/>
  <c r="S1110" i="1" s="1"/>
  <c r="S1109" i="1" a="1"/>
  <c r="S1109" i="1" s="1"/>
  <c r="S1108" i="1" a="1"/>
  <c r="S1108" i="1" s="1"/>
  <c r="S1107" i="1" a="1"/>
  <c r="S1107" i="1" s="1"/>
  <c r="S1106" i="1" a="1"/>
  <c r="S1106" i="1" s="1"/>
  <c r="S1105" i="1" a="1"/>
  <c r="S1105" i="1"/>
  <c r="S1104" i="1" a="1"/>
  <c r="S1104" i="1"/>
  <c r="S1103" i="1" a="1"/>
  <c r="S1103" i="1"/>
  <c r="S1102" i="1" a="1"/>
  <c r="S1102" i="1"/>
  <c r="S1101" i="1" a="1"/>
  <c r="S1101" i="1" s="1"/>
  <c r="S1100" i="1" a="1"/>
  <c r="S1100" i="1" s="1"/>
  <c r="S1099" i="1" a="1"/>
  <c r="S1099" i="1" s="1"/>
  <c r="S1098" i="1" a="1"/>
  <c r="S1098" i="1" s="1"/>
  <c r="S1097" i="1" a="1"/>
  <c r="S1097" i="1"/>
  <c r="S1096" i="1" a="1"/>
  <c r="S1096" i="1"/>
  <c r="S1095" i="1" a="1"/>
  <c r="S1095" i="1"/>
  <c r="S1094" i="1" a="1"/>
  <c r="S1094" i="1"/>
  <c r="S1093" i="1" a="1"/>
  <c r="S1093" i="1"/>
  <c r="S1092" i="1" a="1"/>
  <c r="S1092" i="1" s="1"/>
  <c r="S1091" i="1" a="1"/>
  <c r="S1091" i="1" s="1"/>
  <c r="S1090" i="1" a="1"/>
  <c r="S1090" i="1" s="1"/>
  <c r="S1089" i="1" a="1"/>
  <c r="S1089" i="1"/>
  <c r="S1088" i="1" a="1"/>
  <c r="S1088" i="1"/>
  <c r="S1087" i="1" a="1"/>
  <c r="S1087" i="1"/>
  <c r="S1086" i="1" a="1"/>
  <c r="S1086" i="1"/>
  <c r="S1085" i="1" a="1"/>
  <c r="S1085" i="1"/>
  <c r="S1084" i="1" a="1"/>
  <c r="S1084" i="1" s="1"/>
  <c r="S1083" i="1" a="1"/>
  <c r="S1083" i="1" s="1"/>
  <c r="S1082" i="1" a="1"/>
  <c r="S1082" i="1" s="1"/>
  <c r="S1081" i="1" a="1"/>
  <c r="S1081" i="1"/>
  <c r="S1080" i="1" a="1"/>
  <c r="S1080" i="1" s="1"/>
  <c r="S1079" i="1" a="1"/>
  <c r="S1079" i="1" s="1"/>
  <c r="S1078" i="1" a="1"/>
  <c r="S1078" i="1"/>
  <c r="S1077" i="1" a="1"/>
  <c r="S1077" i="1"/>
  <c r="S1076" i="1" a="1"/>
  <c r="S1076" i="1" s="1"/>
  <c r="S1075" i="1" a="1"/>
  <c r="S1075" i="1" s="1"/>
  <c r="S1074" i="1" a="1"/>
  <c r="S1074" i="1" s="1"/>
  <c r="S1073" i="1" a="1"/>
  <c r="S1073" i="1"/>
  <c r="S1072" i="1" a="1"/>
  <c r="S1072" i="1"/>
  <c r="S1071" i="1" a="1"/>
  <c r="S1071" i="1" s="1"/>
  <c r="S1070" i="1" a="1"/>
  <c r="S1070" i="1"/>
  <c r="S1069" i="1" a="1"/>
  <c r="S1069" i="1"/>
  <c r="S1068" i="1" a="1"/>
  <c r="S1068" i="1" s="1"/>
  <c r="S1067" i="1" a="1"/>
  <c r="S1067" i="1" s="1"/>
  <c r="S1066" i="1" a="1"/>
  <c r="S1066" i="1" s="1"/>
  <c r="S1065" i="1" a="1"/>
  <c r="S1065" i="1"/>
  <c r="S1064" i="1" a="1"/>
  <c r="S1064" i="1"/>
  <c r="S1063" i="1" a="1"/>
  <c r="S1063" i="1"/>
  <c r="S1062" i="1" a="1"/>
  <c r="S1062" i="1"/>
  <c r="S1061" i="1" a="1"/>
  <c r="S1061" i="1" s="1"/>
  <c r="S1060" i="1" a="1"/>
  <c r="S1060" i="1" s="1"/>
  <c r="S1059" i="1" a="1"/>
  <c r="S1059" i="1" s="1"/>
  <c r="S1058" i="1" a="1"/>
  <c r="S1058" i="1" s="1"/>
  <c r="S1057" i="1" a="1"/>
  <c r="S1057" i="1"/>
  <c r="S1056" i="1" a="1"/>
  <c r="S1056" i="1"/>
  <c r="S1055" i="1" a="1"/>
  <c r="S1055" i="1"/>
  <c r="S1054" i="1" a="1"/>
  <c r="S1054" i="1"/>
  <c r="S1053" i="1" a="1"/>
  <c r="S1053" i="1"/>
  <c r="S1052" i="1" a="1"/>
  <c r="S1052" i="1" s="1"/>
  <c r="S1051" i="1" a="1"/>
  <c r="S1051" i="1" s="1"/>
  <c r="S1050" i="1" a="1"/>
  <c r="S1050" i="1" s="1"/>
  <c r="S1049" i="1" a="1"/>
  <c r="S1049" i="1"/>
  <c r="S1048" i="1" a="1"/>
  <c r="S1048" i="1"/>
  <c r="S1047" i="1" a="1"/>
  <c r="S1047" i="1"/>
  <c r="S1046" i="1" a="1"/>
  <c r="S1046" i="1"/>
  <c r="S1045" i="1" a="1"/>
  <c r="S1045" i="1"/>
  <c r="S1044" i="1" a="1"/>
  <c r="S1044" i="1" s="1"/>
  <c r="S1043" i="1" a="1"/>
  <c r="S1043" i="1" s="1"/>
  <c r="S1042" i="1" a="1"/>
  <c r="S1042" i="1" s="1"/>
  <c r="S1041" i="1" a="1"/>
  <c r="S1041" i="1" s="1"/>
  <c r="S1040" i="1" a="1"/>
  <c r="S1040" i="1"/>
  <c r="S1039" i="1" a="1"/>
  <c r="S1039" i="1"/>
  <c r="S1038" i="1" a="1"/>
  <c r="S1038" i="1"/>
  <c r="S1037" i="1" a="1"/>
  <c r="S1037" i="1"/>
  <c r="S1036" i="1" a="1"/>
  <c r="S1036" i="1" s="1"/>
  <c r="S1035" i="1" a="1"/>
  <c r="S1035" i="1" s="1"/>
  <c r="S1034" i="1" a="1"/>
  <c r="S1034" i="1" s="1"/>
  <c r="S1033" i="1" a="1"/>
  <c r="S1033" i="1"/>
  <c r="S1032" i="1" a="1"/>
  <c r="S1032" i="1"/>
  <c r="S1031" i="1" a="1"/>
  <c r="S1031" i="1" s="1"/>
  <c r="S1030" i="1" a="1"/>
  <c r="S1030" i="1"/>
  <c r="S1029" i="1" a="1"/>
  <c r="S1029" i="1"/>
  <c r="S1028" i="1" a="1"/>
  <c r="S1028" i="1" s="1"/>
  <c r="S1027" i="1" a="1"/>
  <c r="S1027" i="1" s="1"/>
  <c r="S1026" i="1" a="1"/>
  <c r="S1026" i="1" s="1"/>
  <c r="S1025" i="1" a="1"/>
  <c r="S1025" i="1"/>
  <c r="S1024" i="1" a="1"/>
  <c r="S1024" i="1"/>
  <c r="S1023" i="1" a="1"/>
  <c r="S1023" i="1"/>
  <c r="S1022" i="1" a="1"/>
  <c r="S1022" i="1" s="1"/>
  <c r="S1021" i="1" a="1"/>
  <c r="S1021" i="1"/>
  <c r="S1020" i="1" a="1"/>
  <c r="S1020" i="1" s="1"/>
  <c r="S1019" i="1" a="1"/>
  <c r="S1019" i="1" s="1"/>
  <c r="S1018" i="1" a="1"/>
  <c r="S1018" i="1" s="1"/>
  <c r="S1017" i="1" a="1"/>
  <c r="S1017" i="1"/>
  <c r="S1016" i="1" a="1"/>
  <c r="S1016" i="1"/>
  <c r="S1015" i="1" a="1"/>
  <c r="S1015" i="1"/>
  <c r="S1014" i="1" a="1"/>
  <c r="S1014" i="1"/>
  <c r="S1013" i="1" a="1"/>
  <c r="S1013" i="1"/>
  <c r="S1012" i="1" a="1"/>
  <c r="S1012" i="1" s="1"/>
  <c r="S1011" i="1" a="1"/>
  <c r="S1011" i="1" s="1"/>
  <c r="S1010" i="1" a="1"/>
  <c r="S1010" i="1" s="1"/>
  <c r="S1009" i="1" a="1"/>
  <c r="S1009" i="1"/>
  <c r="S1008" i="1" a="1"/>
  <c r="S1008" i="1"/>
  <c r="S1007" i="1" a="1"/>
  <c r="S1007" i="1"/>
  <c r="S1006" i="1" a="1"/>
  <c r="S1006" i="1"/>
  <c r="S1005" i="1" a="1"/>
  <c r="S1005" i="1"/>
  <c r="S1004" i="1" a="1"/>
  <c r="S1004" i="1" s="1"/>
  <c r="S1003" i="1" a="1"/>
  <c r="S1003" i="1" s="1"/>
  <c r="S1002" i="1" a="1"/>
  <c r="S1002" i="1" s="1"/>
  <c r="S1001" i="1" a="1"/>
  <c r="S1001" i="1" s="1"/>
  <c r="S1000" i="1" a="1"/>
  <c r="S1000" i="1"/>
  <c r="S999" i="1" a="1"/>
  <c r="S999" i="1"/>
  <c r="S998" i="1" a="1"/>
  <c r="S998" i="1"/>
  <c r="S997" i="1" a="1"/>
  <c r="S997" i="1"/>
  <c r="S996" i="1" a="1"/>
  <c r="S996" i="1" s="1"/>
  <c r="S995" i="1" a="1"/>
  <c r="S995" i="1" s="1"/>
  <c r="S994" i="1" a="1"/>
  <c r="S994" i="1" s="1"/>
  <c r="S993" i="1" a="1"/>
  <c r="S993" i="1"/>
  <c r="S992" i="1" a="1"/>
  <c r="S992" i="1" s="1"/>
  <c r="S991" i="1" a="1"/>
  <c r="S991" i="1"/>
  <c r="S990" i="1" a="1"/>
  <c r="S990" i="1"/>
  <c r="S989" i="1" a="1"/>
  <c r="S989" i="1"/>
  <c r="S988" i="1" a="1"/>
  <c r="S988" i="1" s="1"/>
  <c r="S987" i="1" a="1"/>
  <c r="S987" i="1" s="1"/>
  <c r="S986" i="1" a="1"/>
  <c r="S986" i="1" s="1"/>
  <c r="S985" i="1" a="1"/>
  <c r="S985" i="1"/>
  <c r="S984" i="1" a="1"/>
  <c r="S984" i="1"/>
  <c r="S983" i="1" a="1"/>
  <c r="S983" i="1"/>
  <c r="S982" i="1" a="1"/>
  <c r="S982" i="1" s="1"/>
  <c r="S981" i="1" a="1"/>
  <c r="S981" i="1"/>
  <c r="S980" i="1" a="1"/>
  <c r="S980" i="1" s="1"/>
  <c r="S979" i="1" a="1"/>
  <c r="S979" i="1" s="1"/>
  <c r="S978" i="1" a="1"/>
  <c r="S978" i="1" s="1"/>
  <c r="S977" i="1" a="1"/>
  <c r="S977" i="1"/>
  <c r="S976" i="1" a="1"/>
  <c r="S976" i="1"/>
  <c r="S975" i="1" a="1"/>
  <c r="S975" i="1"/>
  <c r="S974" i="1" a="1"/>
  <c r="S974" i="1"/>
  <c r="S973" i="1" a="1"/>
  <c r="S973" i="1" s="1"/>
  <c r="S972" i="1" a="1"/>
  <c r="S972" i="1" s="1"/>
  <c r="S971" i="1" a="1"/>
  <c r="S971" i="1" s="1"/>
  <c r="S970" i="1" a="1"/>
  <c r="S970" i="1" s="1"/>
  <c r="S969" i="1" a="1"/>
  <c r="S969" i="1"/>
  <c r="S968" i="1" a="1"/>
  <c r="S968" i="1"/>
  <c r="S967" i="1" a="1"/>
  <c r="S967" i="1"/>
  <c r="S966" i="1" a="1"/>
  <c r="S966" i="1"/>
  <c r="S965" i="1" a="1"/>
  <c r="S965" i="1"/>
  <c r="S964" i="1" a="1"/>
  <c r="S964" i="1" s="1"/>
  <c r="S963" i="1" a="1"/>
  <c r="S963" i="1" s="1"/>
  <c r="S962" i="1" a="1"/>
  <c r="S962" i="1" s="1"/>
  <c r="S961" i="1" a="1"/>
  <c r="S961" i="1"/>
  <c r="S960" i="1" a="1"/>
  <c r="S960" i="1"/>
  <c r="S959" i="1" a="1"/>
  <c r="S959" i="1"/>
  <c r="S958" i="1" a="1"/>
  <c r="S958" i="1"/>
  <c r="S957" i="1" a="1"/>
  <c r="S957" i="1"/>
  <c r="S956" i="1" a="1"/>
  <c r="S956" i="1" s="1"/>
  <c r="S955" i="1" a="1"/>
  <c r="S955" i="1" s="1"/>
  <c r="S954" i="1" a="1"/>
  <c r="S954" i="1" s="1"/>
  <c r="S953" i="1" a="1"/>
  <c r="S953" i="1"/>
  <c r="S952" i="1" a="1"/>
  <c r="S952" i="1" s="1"/>
  <c r="S951" i="1" a="1"/>
  <c r="S951" i="1"/>
  <c r="S950" i="1" a="1"/>
  <c r="S950" i="1"/>
  <c r="S949" i="1" a="1"/>
  <c r="S949" i="1"/>
  <c r="S948" i="1" a="1"/>
  <c r="S948" i="1" s="1"/>
  <c r="S947" i="1" a="1"/>
  <c r="S947" i="1" s="1"/>
  <c r="S946" i="1" a="1"/>
  <c r="S946" i="1" s="1"/>
  <c r="S945" i="1" a="1"/>
  <c r="S945" i="1"/>
  <c r="S944" i="1" a="1"/>
  <c r="S944" i="1"/>
  <c r="S943" i="1" a="1"/>
  <c r="S943" i="1" s="1"/>
  <c r="S942" i="1" a="1"/>
  <c r="S942" i="1"/>
  <c r="S941" i="1" a="1"/>
  <c r="S941" i="1"/>
  <c r="S940" i="1" a="1"/>
  <c r="S940" i="1" s="1"/>
  <c r="S939" i="1" a="1"/>
  <c r="S939" i="1" s="1"/>
  <c r="S938" i="1" a="1"/>
  <c r="S938" i="1" s="1"/>
  <c r="S937" i="1" a="1"/>
  <c r="S937" i="1"/>
  <c r="S936" i="1" a="1"/>
  <c r="S936" i="1"/>
  <c r="S935" i="1" a="1"/>
  <c r="S935" i="1"/>
  <c r="S934" i="1" a="1"/>
  <c r="S934" i="1"/>
  <c r="S933" i="1" a="1"/>
  <c r="S933" i="1" s="1"/>
  <c r="S932" i="1" a="1"/>
  <c r="S932" i="1" s="1"/>
  <c r="S931" i="1" a="1"/>
  <c r="S931" i="1" s="1"/>
  <c r="S930" i="1" a="1"/>
  <c r="S930" i="1" s="1"/>
  <c r="S929" i="1" a="1"/>
  <c r="S929" i="1"/>
  <c r="S928" i="1" a="1"/>
  <c r="S928" i="1"/>
  <c r="S927" i="1" a="1"/>
  <c r="S927" i="1"/>
  <c r="S926" i="1" a="1"/>
  <c r="S926" i="1"/>
  <c r="S925" i="1" a="1"/>
  <c r="S925" i="1"/>
  <c r="S924" i="1" a="1"/>
  <c r="S924" i="1" s="1"/>
  <c r="S923" i="1" a="1"/>
  <c r="S923" i="1" s="1"/>
  <c r="S922" i="1" a="1"/>
  <c r="S922" i="1" s="1"/>
  <c r="S921" i="1" a="1"/>
  <c r="S921" i="1"/>
  <c r="S920" i="1" a="1"/>
  <c r="S920" i="1"/>
  <c r="S919" i="1" a="1"/>
  <c r="S919" i="1"/>
  <c r="S918" i="1" a="1"/>
  <c r="S918" i="1"/>
  <c r="S917" i="1" a="1"/>
  <c r="S917" i="1"/>
  <c r="S916" i="1" a="1"/>
  <c r="S916" i="1" s="1"/>
  <c r="S915" i="1" a="1"/>
  <c r="S915" i="1" s="1"/>
  <c r="S914" i="1" a="1"/>
  <c r="S914" i="1" s="1"/>
  <c r="S913" i="1" a="1"/>
  <c r="S913" i="1" s="1"/>
  <c r="S912" i="1" a="1"/>
  <c r="S912" i="1"/>
  <c r="S911" i="1" a="1"/>
  <c r="S911" i="1"/>
  <c r="S910" i="1" a="1"/>
  <c r="S910" i="1"/>
  <c r="S909" i="1" a="1"/>
  <c r="S909" i="1"/>
  <c r="S908" i="1" a="1"/>
  <c r="S908" i="1" s="1"/>
  <c r="S907" i="1" a="1"/>
  <c r="S907" i="1" s="1"/>
  <c r="S906" i="1" a="1"/>
  <c r="S906" i="1" s="1"/>
  <c r="S905" i="1" a="1"/>
  <c r="S905" i="1"/>
  <c r="S904" i="1" a="1"/>
  <c r="S904" i="1"/>
  <c r="S903" i="1" a="1"/>
  <c r="S903" i="1" s="1"/>
  <c r="S902" i="1" a="1"/>
  <c r="S902" i="1"/>
  <c r="S901" i="1" a="1"/>
  <c r="S901" i="1"/>
  <c r="S900" i="1" a="1"/>
  <c r="S900" i="1" s="1"/>
  <c r="S899" i="1" a="1"/>
  <c r="S899" i="1" s="1"/>
  <c r="S898" i="1" a="1"/>
  <c r="S898" i="1" s="1"/>
  <c r="S897" i="1" a="1"/>
  <c r="S897" i="1"/>
  <c r="S896" i="1" a="1"/>
  <c r="S896" i="1"/>
  <c r="S895" i="1" a="1"/>
  <c r="S895" i="1"/>
  <c r="S894" i="1" a="1"/>
  <c r="S894" i="1" s="1"/>
  <c r="S893" i="1" a="1"/>
  <c r="S893" i="1"/>
  <c r="S892" i="1" a="1"/>
  <c r="S892" i="1" s="1"/>
  <c r="S891" i="1" a="1"/>
  <c r="S891" i="1" s="1"/>
  <c r="S890" i="1" a="1"/>
  <c r="S890" i="1" s="1"/>
  <c r="S889" i="1" a="1"/>
  <c r="S889" i="1"/>
  <c r="S888" i="1" a="1"/>
  <c r="S888" i="1"/>
  <c r="S887" i="1" a="1"/>
  <c r="S887" i="1"/>
  <c r="S886" i="1" a="1"/>
  <c r="S886" i="1"/>
  <c r="S885" i="1" a="1"/>
  <c r="S885" i="1"/>
  <c r="S884" i="1" a="1"/>
  <c r="S884" i="1" s="1"/>
  <c r="S883" i="1" a="1"/>
  <c r="S883" i="1" s="1"/>
  <c r="S882" i="1" a="1"/>
  <c r="S882" i="1" s="1"/>
  <c r="S881" i="1" a="1"/>
  <c r="S881" i="1"/>
  <c r="S880" i="1" a="1"/>
  <c r="S880" i="1"/>
  <c r="S879" i="1" a="1"/>
  <c r="S879" i="1"/>
  <c r="S878" i="1" a="1"/>
  <c r="S878" i="1"/>
  <c r="S877" i="1" a="1"/>
  <c r="S877" i="1"/>
  <c r="S876" i="1" a="1"/>
  <c r="S876" i="1" s="1"/>
  <c r="S875" i="1" a="1"/>
  <c r="S875" i="1" s="1"/>
  <c r="S874" i="1" a="1"/>
  <c r="S874" i="1" s="1"/>
  <c r="S873" i="1" a="1"/>
  <c r="S873" i="1" s="1"/>
  <c r="S872" i="1" a="1"/>
  <c r="S872" i="1"/>
  <c r="S871" i="1" a="1"/>
  <c r="S871" i="1"/>
  <c r="S870" i="1" a="1"/>
  <c r="S870" i="1"/>
  <c r="S869" i="1" a="1"/>
  <c r="S869" i="1"/>
  <c r="S868" i="1" a="1"/>
  <c r="S868" i="1" s="1"/>
  <c r="S867" i="1" a="1"/>
  <c r="S867" i="1" s="1"/>
  <c r="S866" i="1" a="1"/>
  <c r="S866" i="1" s="1"/>
  <c r="S865" i="1" a="1"/>
  <c r="S865" i="1"/>
  <c r="S864" i="1" a="1"/>
  <c r="S864" i="1" s="1"/>
  <c r="S863" i="1" a="1"/>
  <c r="S863" i="1"/>
  <c r="S862" i="1" a="1"/>
  <c r="S862" i="1"/>
  <c r="S861" i="1" a="1"/>
  <c r="S861" i="1"/>
  <c r="S860" i="1" a="1"/>
  <c r="S860" i="1" s="1"/>
  <c r="S859" i="1" a="1"/>
  <c r="S859" i="1" s="1"/>
  <c r="S858" i="1" a="1"/>
  <c r="S858" i="1" s="1"/>
  <c r="S857" i="1" a="1"/>
  <c r="S857" i="1"/>
  <c r="S856" i="1" a="1"/>
  <c r="S856" i="1"/>
  <c r="S855" i="1" a="1"/>
  <c r="S855" i="1"/>
  <c r="S854" i="1" a="1"/>
  <c r="S854" i="1" s="1"/>
  <c r="S853" i="1" a="1"/>
  <c r="S853" i="1"/>
  <c r="S852" i="1" a="1"/>
  <c r="S852" i="1" s="1"/>
  <c r="S851" i="1" a="1"/>
  <c r="S851" i="1" s="1"/>
  <c r="S850" i="1" a="1"/>
  <c r="S850" i="1" s="1"/>
  <c r="S849" i="1" a="1"/>
  <c r="S849" i="1"/>
  <c r="S848" i="1" a="1"/>
  <c r="S848" i="1"/>
  <c r="S847" i="1" a="1"/>
  <c r="S847" i="1"/>
  <c r="S846" i="1" a="1"/>
  <c r="S846" i="1"/>
  <c r="S845" i="1" a="1"/>
  <c r="S845" i="1" s="1"/>
  <c r="S844" i="1" a="1"/>
  <c r="S844" i="1" s="1"/>
  <c r="S843" i="1" a="1"/>
  <c r="S843" i="1" s="1"/>
  <c r="S842" i="1" a="1"/>
  <c r="S842" i="1" s="1"/>
  <c r="S841" i="1" a="1"/>
  <c r="S841" i="1"/>
  <c r="S840" i="1" a="1"/>
  <c r="S840" i="1"/>
  <c r="S839" i="1" a="1"/>
  <c r="S839" i="1"/>
  <c r="S838" i="1" a="1"/>
  <c r="S838" i="1"/>
  <c r="S837" i="1" a="1"/>
  <c r="S837" i="1"/>
  <c r="S836" i="1" a="1"/>
  <c r="S836" i="1" s="1"/>
  <c r="S835" i="1" a="1"/>
  <c r="S835" i="1" s="1"/>
  <c r="S834" i="1" a="1"/>
  <c r="S834" i="1" s="1"/>
  <c r="S833" i="1" a="1"/>
  <c r="S833" i="1"/>
  <c r="S832" i="1" a="1"/>
  <c r="S832" i="1"/>
  <c r="S831" i="1" a="1"/>
  <c r="S831" i="1"/>
  <c r="S830" i="1" a="1"/>
  <c r="S830" i="1"/>
  <c r="S829" i="1" a="1"/>
  <c r="S829" i="1"/>
  <c r="S828" i="1" a="1"/>
  <c r="S828" i="1" s="1"/>
  <c r="S827" i="1" a="1"/>
  <c r="S827" i="1" s="1"/>
  <c r="S826" i="1" a="1"/>
  <c r="S826" i="1" s="1"/>
  <c r="S825" i="1" a="1"/>
  <c r="S825" i="1"/>
  <c r="S824" i="1" a="1"/>
  <c r="S824" i="1" s="1"/>
  <c r="S823" i="1" a="1"/>
  <c r="S823" i="1"/>
  <c r="S822" i="1" a="1"/>
  <c r="S822" i="1"/>
  <c r="S821" i="1" a="1"/>
  <c r="S821" i="1"/>
  <c r="S820" i="1" a="1"/>
  <c r="S820" i="1" s="1"/>
  <c r="S819" i="1" a="1"/>
  <c r="S819" i="1" s="1"/>
  <c r="S818" i="1" a="1"/>
  <c r="S818" i="1" s="1"/>
  <c r="S817" i="1" a="1"/>
  <c r="S817" i="1"/>
  <c r="S816" i="1" a="1"/>
  <c r="S816" i="1"/>
  <c r="S815" i="1" a="1"/>
  <c r="S815" i="1" s="1"/>
  <c r="S814" i="1" a="1"/>
  <c r="S814" i="1"/>
  <c r="S813" i="1" a="1"/>
  <c r="S813" i="1"/>
  <c r="S812" i="1" a="1"/>
  <c r="S812" i="1" s="1"/>
  <c r="S811" i="1" a="1"/>
  <c r="S811" i="1" s="1"/>
  <c r="S810" i="1" a="1"/>
  <c r="S810" i="1" s="1"/>
  <c r="S809" i="1" a="1"/>
  <c r="S809" i="1"/>
  <c r="S808" i="1" a="1"/>
  <c r="S808" i="1"/>
  <c r="S807" i="1" a="1"/>
  <c r="S807" i="1"/>
  <c r="S806" i="1" a="1"/>
  <c r="S806" i="1"/>
  <c r="S805" i="1" a="1"/>
  <c r="S805" i="1" s="1"/>
  <c r="S804" i="1" a="1"/>
  <c r="S804" i="1" s="1"/>
  <c r="S803" i="1" a="1"/>
  <c r="S803" i="1" s="1"/>
  <c r="S802" i="1" a="1"/>
  <c r="S802" i="1" s="1"/>
  <c r="S801" i="1" a="1"/>
  <c r="S801" i="1"/>
  <c r="S800" i="1" a="1"/>
  <c r="S800" i="1"/>
  <c r="S799" i="1" a="1"/>
  <c r="S799" i="1"/>
  <c r="S798" i="1" a="1"/>
  <c r="S798" i="1"/>
  <c r="S797" i="1" a="1"/>
  <c r="S797" i="1"/>
  <c r="S796" i="1" a="1"/>
  <c r="S796" i="1" s="1"/>
  <c r="S795" i="1" a="1"/>
  <c r="S795" i="1" s="1"/>
  <c r="S794" i="1" a="1"/>
  <c r="S794" i="1" s="1"/>
  <c r="S793" i="1" a="1"/>
  <c r="S793" i="1"/>
  <c r="S792" i="1" a="1"/>
  <c r="S792" i="1"/>
  <c r="S791" i="1" a="1"/>
  <c r="S791" i="1"/>
  <c r="S790" i="1" a="1"/>
  <c r="S790" i="1"/>
  <c r="S789" i="1" a="1"/>
  <c r="S789" i="1"/>
  <c r="S788" i="1" a="1"/>
  <c r="S788" i="1" s="1"/>
  <c r="S787" i="1" a="1"/>
  <c r="S787" i="1" s="1"/>
  <c r="S786" i="1" a="1"/>
  <c r="S786" i="1" s="1"/>
  <c r="S785" i="1" a="1"/>
  <c r="S785" i="1" s="1"/>
  <c r="S784" i="1" a="1"/>
  <c r="S784" i="1"/>
  <c r="S783" i="1" a="1"/>
  <c r="S783" i="1"/>
  <c r="S782" i="1" a="1"/>
  <c r="S782" i="1"/>
  <c r="S781" i="1" a="1"/>
  <c r="S781" i="1"/>
  <c r="S780" i="1" a="1"/>
  <c r="S780" i="1" s="1"/>
  <c r="S779" i="1" a="1"/>
  <c r="S779" i="1" s="1"/>
  <c r="S778" i="1" a="1"/>
  <c r="S778" i="1" s="1"/>
  <c r="S777" i="1" a="1"/>
  <c r="S777" i="1"/>
  <c r="S776" i="1" a="1"/>
  <c r="S776" i="1"/>
  <c r="S775" i="1" a="1"/>
  <c r="S775" i="1" s="1"/>
  <c r="S774" i="1" a="1"/>
  <c r="S774" i="1"/>
  <c r="S773" i="1" a="1"/>
  <c r="S773" i="1"/>
  <c r="S772" i="1" a="1"/>
  <c r="S772" i="1" s="1"/>
  <c r="S771" i="1" a="1"/>
  <c r="S771" i="1" s="1"/>
  <c r="S770" i="1" a="1"/>
  <c r="S770" i="1" s="1"/>
  <c r="S769" i="1" a="1"/>
  <c r="S769" i="1"/>
  <c r="S768" i="1" a="1"/>
  <c r="S768" i="1"/>
  <c r="S767" i="1" a="1"/>
  <c r="S767" i="1"/>
  <c r="S766" i="1" a="1"/>
  <c r="S766" i="1" s="1"/>
  <c r="S765" i="1" a="1"/>
  <c r="S765" i="1"/>
  <c r="S764" i="1" a="1"/>
  <c r="S764" i="1" s="1"/>
  <c r="S763" i="1" a="1"/>
  <c r="S763" i="1" s="1"/>
  <c r="S762" i="1" a="1"/>
  <c r="S762" i="1" s="1"/>
  <c r="S761" i="1" a="1"/>
  <c r="S761" i="1"/>
  <c r="S760" i="1" a="1"/>
  <c r="S760" i="1"/>
  <c r="S759" i="1" a="1"/>
  <c r="S759" i="1"/>
  <c r="S758" i="1" a="1"/>
  <c r="S758" i="1"/>
  <c r="S757" i="1" a="1"/>
  <c r="S757" i="1"/>
  <c r="S756" i="1" a="1"/>
  <c r="S756" i="1" s="1"/>
  <c r="S755" i="1" a="1"/>
  <c r="S755" i="1" s="1"/>
  <c r="S754" i="1" a="1"/>
  <c r="S754" i="1" s="1"/>
  <c r="S753" i="1" a="1"/>
  <c r="S753" i="1"/>
  <c r="S752" i="1" a="1"/>
  <c r="S752" i="1"/>
  <c r="S751" i="1" a="1"/>
  <c r="S751" i="1"/>
  <c r="S750" i="1" a="1"/>
  <c r="S750" i="1"/>
  <c r="S749" i="1" a="1"/>
  <c r="S749" i="1"/>
  <c r="S748" i="1" a="1"/>
  <c r="S748" i="1" s="1"/>
  <c r="S747" i="1" a="1"/>
  <c r="S747" i="1" s="1"/>
  <c r="S746" i="1" a="1"/>
  <c r="S746" i="1" s="1"/>
  <c r="S745" i="1" a="1"/>
  <c r="S745" i="1" s="1"/>
  <c r="S744" i="1" a="1"/>
  <c r="S744" i="1"/>
  <c r="S743" i="1" a="1"/>
  <c r="S743" i="1"/>
  <c r="S742" i="1" a="1"/>
  <c r="S742" i="1"/>
  <c r="S741" i="1" a="1"/>
  <c r="S741" i="1"/>
  <c r="S740" i="1" a="1"/>
  <c r="S740" i="1" s="1"/>
  <c r="S739" i="1" a="1"/>
  <c r="S739" i="1" s="1"/>
  <c r="S738" i="1" a="1"/>
  <c r="S738" i="1" s="1"/>
  <c r="S737" i="1" a="1"/>
  <c r="S737" i="1"/>
  <c r="S736" i="1" a="1"/>
  <c r="S736" i="1" s="1"/>
  <c r="S735" i="1" a="1"/>
  <c r="S735" i="1"/>
  <c r="S734" i="1" a="1"/>
  <c r="S734" i="1"/>
  <c r="S733" i="1" a="1"/>
  <c r="S733" i="1"/>
  <c r="S732" i="1" a="1"/>
  <c r="S732" i="1" s="1"/>
  <c r="S731" i="1" a="1"/>
  <c r="S731" i="1" s="1"/>
  <c r="S730" i="1" a="1"/>
  <c r="S730" i="1" s="1"/>
  <c r="S729" i="1" a="1"/>
  <c r="S729" i="1"/>
  <c r="S728" i="1" a="1"/>
  <c r="S728" i="1"/>
  <c r="S727" i="1" a="1"/>
  <c r="S727" i="1"/>
  <c r="S726" i="1" a="1"/>
  <c r="S726" i="1" s="1"/>
  <c r="S725" i="1" a="1"/>
  <c r="S725" i="1"/>
  <c r="S724" i="1" a="1"/>
  <c r="S724" i="1" s="1"/>
  <c r="S723" i="1" a="1"/>
  <c r="S723" i="1" s="1"/>
  <c r="S722" i="1" a="1"/>
  <c r="S722" i="1" s="1"/>
  <c r="S721" i="1" a="1"/>
  <c r="S721" i="1"/>
  <c r="S720" i="1" a="1"/>
  <c r="S720" i="1"/>
  <c r="S719" i="1" a="1"/>
  <c r="S719" i="1"/>
  <c r="S718" i="1" a="1"/>
  <c r="S718" i="1"/>
  <c r="S717" i="1" a="1"/>
  <c r="S717" i="1" s="1"/>
  <c r="S716" i="1" a="1"/>
  <c r="S716" i="1" s="1"/>
  <c r="S715" i="1" a="1"/>
  <c r="S715" i="1" s="1"/>
  <c r="S714" i="1" a="1"/>
  <c r="S714" i="1" s="1"/>
  <c r="S713" i="1" a="1"/>
  <c r="S713" i="1"/>
  <c r="S712" i="1" a="1"/>
  <c r="S712" i="1"/>
  <c r="S711" i="1" a="1"/>
  <c r="S711" i="1"/>
  <c r="S710" i="1" a="1"/>
  <c r="S710" i="1"/>
  <c r="S709" i="1" a="1"/>
  <c r="S709" i="1"/>
  <c r="S708" i="1" a="1"/>
  <c r="S708" i="1" s="1"/>
  <c r="S707" i="1" a="1"/>
  <c r="S707" i="1" s="1"/>
  <c r="S706" i="1" a="1"/>
  <c r="S706" i="1" s="1"/>
  <c r="S705" i="1" a="1"/>
  <c r="S705" i="1"/>
  <c r="S704" i="1" a="1"/>
  <c r="S704" i="1"/>
  <c r="S703" i="1" a="1"/>
  <c r="S703" i="1"/>
  <c r="S702" i="1" a="1"/>
  <c r="S702" i="1"/>
  <c r="S701" i="1" a="1"/>
  <c r="S701" i="1"/>
  <c r="S700" i="1" a="1"/>
  <c r="S700" i="1" s="1"/>
  <c r="S699" i="1" a="1"/>
  <c r="S699" i="1" s="1"/>
  <c r="S698" i="1" a="1"/>
  <c r="S698" i="1" s="1"/>
  <c r="S697" i="1" a="1"/>
  <c r="S697" i="1"/>
  <c r="S696" i="1" a="1"/>
  <c r="S696" i="1" s="1"/>
  <c r="S695" i="1" a="1"/>
  <c r="S695" i="1"/>
  <c r="S694" i="1" a="1"/>
  <c r="S694" i="1"/>
  <c r="S693" i="1" a="1"/>
  <c r="S693" i="1"/>
  <c r="S692" i="1" a="1"/>
  <c r="S692" i="1" s="1"/>
  <c r="S691" i="1" a="1"/>
  <c r="S691" i="1" s="1"/>
  <c r="S690" i="1" a="1"/>
  <c r="S690" i="1" s="1"/>
  <c r="S689" i="1" a="1"/>
  <c r="S689" i="1"/>
  <c r="S688" i="1" a="1"/>
  <c r="S688" i="1"/>
  <c r="S687" i="1" a="1"/>
  <c r="S687" i="1" s="1"/>
  <c r="S686" i="1" a="1"/>
  <c r="S686" i="1"/>
  <c r="S685" i="1" a="1"/>
  <c r="S685" i="1"/>
  <c r="S684" i="1" a="1"/>
  <c r="S684" i="1" s="1"/>
  <c r="S683" i="1" a="1"/>
  <c r="S683" i="1" s="1"/>
  <c r="S682" i="1" a="1"/>
  <c r="S682" i="1" s="1"/>
  <c r="S681" i="1" a="1"/>
  <c r="S681" i="1"/>
  <c r="S680" i="1" a="1"/>
  <c r="S680" i="1"/>
  <c r="S679" i="1" a="1"/>
  <c r="S679" i="1"/>
  <c r="S678" i="1" a="1"/>
  <c r="S678" i="1"/>
  <c r="S677" i="1" a="1"/>
  <c r="S677" i="1" s="1"/>
  <c r="S676" i="1" a="1"/>
  <c r="S676" i="1" s="1"/>
  <c r="S675" i="1" a="1"/>
  <c r="S675" i="1" s="1"/>
  <c r="S674" i="1" a="1"/>
  <c r="S674" i="1" s="1"/>
  <c r="S673" i="1" a="1"/>
  <c r="S673" i="1"/>
  <c r="S672" i="1" a="1"/>
  <c r="S672" i="1"/>
  <c r="S671" i="1" a="1"/>
  <c r="S671" i="1"/>
  <c r="S670" i="1" a="1"/>
  <c r="S670" i="1"/>
  <c r="S669" i="1" a="1"/>
  <c r="S669" i="1"/>
  <c r="S668" i="1" a="1"/>
  <c r="S668" i="1" s="1"/>
  <c r="S667" i="1" a="1"/>
  <c r="S667" i="1" s="1"/>
  <c r="S666" i="1" a="1"/>
  <c r="S666" i="1" s="1"/>
  <c r="S665" i="1" a="1"/>
  <c r="S665" i="1"/>
  <c r="S664" i="1" a="1"/>
  <c r="S664" i="1"/>
  <c r="S663" i="1" a="1"/>
  <c r="S663" i="1"/>
  <c r="S662" i="1" a="1"/>
  <c r="S662" i="1"/>
  <c r="S661" i="1" a="1"/>
  <c r="S661" i="1"/>
  <c r="S660" i="1" a="1"/>
  <c r="S660" i="1" s="1"/>
  <c r="S659" i="1" a="1"/>
  <c r="S659" i="1"/>
  <c r="S658" i="1" a="1"/>
  <c r="S658" i="1" s="1"/>
  <c r="S657" i="1" a="1"/>
  <c r="S657" i="1"/>
  <c r="S656" i="1" a="1"/>
  <c r="S656" i="1"/>
  <c r="S655" i="1" a="1"/>
  <c r="S655" i="1"/>
  <c r="S654" i="1" a="1"/>
  <c r="S654" i="1"/>
  <c r="S653" i="1" a="1"/>
  <c r="S653" i="1"/>
  <c r="S652" i="1" a="1"/>
  <c r="S652" i="1"/>
  <c r="S651" i="1" a="1"/>
  <c r="S651" i="1"/>
  <c r="S650" i="1" a="1"/>
  <c r="S650" i="1" s="1"/>
  <c r="S649" i="1" a="1"/>
  <c r="S649" i="1"/>
  <c r="S648" i="1" a="1"/>
  <c r="S648" i="1"/>
  <c r="S647" i="1" a="1"/>
  <c r="S647" i="1"/>
  <c r="S646" i="1" a="1"/>
  <c r="S646" i="1"/>
  <c r="S645" i="1" a="1"/>
  <c r="S645" i="1"/>
  <c r="S644" i="1" a="1"/>
  <c r="S644" i="1"/>
  <c r="S643" i="1" a="1"/>
  <c r="S643" i="1"/>
  <c r="S642" i="1" a="1"/>
  <c r="S642" i="1" s="1"/>
  <c r="S641" i="1" a="1"/>
  <c r="S641" i="1"/>
  <c r="S640" i="1" a="1"/>
  <c r="S640" i="1"/>
  <c r="S639" i="1" a="1"/>
  <c r="S639" i="1"/>
  <c r="S638" i="1" a="1"/>
  <c r="S638" i="1"/>
  <c r="S637" i="1" a="1"/>
  <c r="S637" i="1"/>
  <c r="S636" i="1" a="1"/>
  <c r="S636" i="1"/>
  <c r="S635" i="1" a="1"/>
  <c r="S635" i="1"/>
  <c r="S634" i="1" a="1"/>
  <c r="S634" i="1" s="1"/>
  <c r="S633" i="1" a="1"/>
  <c r="S633" i="1"/>
  <c r="S632" i="1" a="1"/>
  <c r="S632" i="1"/>
  <c r="S631" i="1" a="1"/>
  <c r="S631" i="1"/>
  <c r="S630" i="1" a="1"/>
  <c r="S630" i="1"/>
  <c r="S629" i="1" a="1"/>
  <c r="S629" i="1"/>
  <c r="S628" i="1" a="1"/>
  <c r="S628" i="1"/>
  <c r="S627" i="1" a="1"/>
  <c r="S627" i="1"/>
  <c r="S626" i="1" a="1"/>
  <c r="S626" i="1" s="1"/>
  <c r="S625" i="1" a="1"/>
  <c r="S625" i="1"/>
  <c r="S624" i="1" a="1"/>
  <c r="S624" i="1"/>
  <c r="S623" i="1" a="1"/>
  <c r="S623" i="1"/>
  <c r="S622" i="1" a="1"/>
  <c r="S622" i="1"/>
  <c r="S621" i="1" a="1"/>
  <c r="S621" i="1"/>
  <c r="S620" i="1" a="1"/>
  <c r="S620" i="1"/>
  <c r="S619" i="1" a="1"/>
  <c r="S619" i="1"/>
  <c r="S618" i="1" a="1"/>
  <c r="S618" i="1" s="1"/>
  <c r="S617" i="1" a="1"/>
  <c r="S617" i="1"/>
  <c r="S616" i="1" a="1"/>
  <c r="S616" i="1"/>
  <c r="S615" i="1" a="1"/>
  <c r="S615" i="1"/>
  <c r="S614" i="1" a="1"/>
  <c r="S614" i="1"/>
  <c r="S613" i="1" a="1"/>
  <c r="S613" i="1"/>
  <c r="S612" i="1" a="1"/>
  <c r="S612" i="1"/>
  <c r="S611" i="1" a="1"/>
  <c r="S611" i="1"/>
  <c r="S610" i="1" a="1"/>
  <c r="S610" i="1" s="1"/>
  <c r="S609" i="1" a="1"/>
  <c r="S609" i="1" s="1"/>
  <c r="S608" i="1" a="1"/>
  <c r="S608" i="1"/>
  <c r="S607" i="1" a="1"/>
  <c r="S607" i="1"/>
  <c r="S606" i="1" a="1"/>
  <c r="S606" i="1"/>
  <c r="S605" i="1" a="1"/>
  <c r="S605" i="1"/>
  <c r="S604" i="1" a="1"/>
  <c r="S604" i="1"/>
  <c r="S603" i="1" a="1"/>
  <c r="S603" i="1"/>
  <c r="S602" i="1" a="1"/>
  <c r="S602" i="1" s="1"/>
  <c r="S601" i="1" a="1"/>
  <c r="S601" i="1" s="1"/>
  <c r="S600" i="1" a="1"/>
  <c r="S600" i="1"/>
  <c r="S599" i="1" a="1"/>
  <c r="S599" i="1"/>
  <c r="S598" i="1" a="1"/>
  <c r="S598" i="1"/>
  <c r="S597" i="1" a="1"/>
  <c r="S597" i="1"/>
  <c r="S596" i="1" a="1"/>
  <c r="S596" i="1"/>
  <c r="S595" i="1" a="1"/>
  <c r="S595" i="1"/>
  <c r="S594" i="1" a="1"/>
  <c r="S594" i="1" s="1"/>
  <c r="S593" i="1" a="1"/>
  <c r="S593" i="1" s="1"/>
  <c r="S592" i="1" a="1"/>
  <c r="S592" i="1"/>
  <c r="S591" i="1" a="1"/>
  <c r="S591" i="1"/>
  <c r="S590" i="1" a="1"/>
  <c r="S590" i="1"/>
  <c r="S589" i="1" a="1"/>
  <c r="S589" i="1"/>
  <c r="S588" i="1" a="1"/>
  <c r="S588" i="1"/>
  <c r="S587" i="1" a="1"/>
  <c r="S587" i="1"/>
  <c r="S586" i="1" a="1"/>
  <c r="S586" i="1" s="1"/>
  <c r="S585" i="1" a="1"/>
  <c r="S585" i="1" s="1"/>
  <c r="S584" i="1" a="1"/>
  <c r="S584" i="1"/>
  <c r="S583" i="1" a="1"/>
  <c r="S583" i="1"/>
  <c r="S582" i="1" a="1"/>
  <c r="S582" i="1"/>
  <c r="S581" i="1" a="1"/>
  <c r="S581" i="1"/>
  <c r="S580" i="1" a="1"/>
  <c r="S580" i="1"/>
  <c r="S579" i="1" a="1"/>
  <c r="S579" i="1"/>
  <c r="S578" i="1" a="1"/>
  <c r="S578" i="1" s="1"/>
  <c r="S577" i="1" a="1"/>
  <c r="S577" i="1" s="1"/>
  <c r="S576" i="1" a="1"/>
  <c r="S576" i="1"/>
  <c r="S575" i="1" a="1"/>
  <c r="S575" i="1"/>
  <c r="S574" i="1" a="1"/>
  <c r="S574" i="1"/>
  <c r="S573" i="1" a="1"/>
  <c r="S573" i="1"/>
  <c r="S572" i="1" a="1"/>
  <c r="S572" i="1"/>
  <c r="S571" i="1" a="1"/>
  <c r="S571" i="1"/>
  <c r="S570" i="1" a="1"/>
  <c r="S570" i="1" s="1"/>
  <c r="S569" i="1" a="1"/>
  <c r="S569" i="1" s="1"/>
  <c r="S568" i="1" a="1"/>
  <c r="S568" i="1"/>
  <c r="S567" i="1" a="1"/>
  <c r="S567" i="1"/>
  <c r="S566" i="1" a="1"/>
  <c r="S566" i="1"/>
  <c r="S565" i="1" a="1"/>
  <c r="S565" i="1"/>
  <c r="S564" i="1" a="1"/>
  <c r="S564" i="1"/>
  <c r="S563" i="1" a="1"/>
  <c r="S563" i="1"/>
  <c r="S562" i="1" a="1"/>
  <c r="S562" i="1" s="1"/>
  <c r="S561" i="1" a="1"/>
  <c r="S561" i="1" s="1"/>
  <c r="S560" i="1" a="1"/>
  <c r="S560" i="1"/>
  <c r="S559" i="1" a="1"/>
  <c r="S559" i="1"/>
  <c r="S558" i="1" a="1"/>
  <c r="S558" i="1"/>
  <c r="S557" i="1" a="1"/>
  <c r="S557" i="1"/>
  <c r="S556" i="1" a="1"/>
  <c r="S556" i="1"/>
  <c r="S555" i="1" a="1"/>
  <c r="S555" i="1"/>
  <c r="S554" i="1" a="1"/>
  <c r="S554" i="1" s="1"/>
  <c r="S553" i="1" a="1"/>
  <c r="S553" i="1" s="1"/>
  <c r="S552" i="1" a="1"/>
  <c r="S552" i="1"/>
  <c r="S551" i="1" a="1"/>
  <c r="S551" i="1"/>
  <c r="S550" i="1" a="1"/>
  <c r="S550" i="1"/>
  <c r="S549" i="1" a="1"/>
  <c r="S549" i="1"/>
  <c r="S548" i="1" a="1"/>
  <c r="S548" i="1"/>
  <c r="S547" i="1" a="1"/>
  <c r="S547" i="1"/>
  <c r="S546" i="1" a="1"/>
  <c r="S546" i="1" s="1"/>
  <c r="S545" i="1" a="1"/>
  <c r="S545" i="1" s="1"/>
  <c r="S544" i="1" a="1"/>
  <c r="S544" i="1"/>
  <c r="S543" i="1" a="1"/>
  <c r="S543" i="1"/>
  <c r="S542" i="1" a="1"/>
  <c r="S542" i="1"/>
  <c r="S541" i="1" a="1"/>
  <c r="S541" i="1"/>
  <c r="S540" i="1" a="1"/>
  <c r="S540" i="1"/>
  <c r="S539" i="1" a="1"/>
  <c r="S539" i="1"/>
  <c r="S538" i="1" a="1"/>
  <c r="S538" i="1" s="1"/>
  <c r="S537" i="1" a="1"/>
  <c r="S537" i="1" s="1"/>
  <c r="S536" i="1" a="1"/>
  <c r="S536" i="1"/>
  <c r="S535" i="1" a="1"/>
  <c r="S535" i="1"/>
  <c r="S534" i="1" a="1"/>
  <c r="S534" i="1"/>
  <c r="S533" i="1" a="1"/>
  <c r="S533" i="1"/>
  <c r="S532" i="1" a="1"/>
  <c r="S532" i="1"/>
  <c r="S531" i="1" a="1"/>
  <c r="S531" i="1"/>
  <c r="S530" i="1" a="1"/>
  <c r="S530" i="1" s="1"/>
  <c r="S529" i="1" a="1"/>
  <c r="S529" i="1" s="1"/>
  <c r="S528" i="1" a="1"/>
  <c r="S528" i="1"/>
  <c r="S527" i="1" a="1"/>
  <c r="S527" i="1"/>
  <c r="S526" i="1" a="1"/>
  <c r="S526" i="1"/>
  <c r="S525" i="1" a="1"/>
  <c r="S525" i="1"/>
  <c r="S524" i="1" a="1"/>
  <c r="S524" i="1"/>
  <c r="S523" i="1" a="1"/>
  <c r="S523" i="1"/>
  <c r="S522" i="1" a="1"/>
  <c r="S522" i="1" s="1"/>
  <c r="S521" i="1" a="1"/>
  <c r="S521" i="1" s="1"/>
  <c r="S520" i="1" a="1"/>
  <c r="S520" i="1"/>
  <c r="S519" i="1" a="1"/>
  <c r="S519" i="1"/>
  <c r="S518" i="1" a="1"/>
  <c r="S518" i="1"/>
  <c r="S517" i="1" a="1"/>
  <c r="S517" i="1"/>
  <c r="S516" i="1" a="1"/>
  <c r="S516" i="1"/>
  <c r="S515" i="1" a="1"/>
  <c r="S515" i="1"/>
  <c r="S514" i="1" a="1"/>
  <c r="S514" i="1" s="1"/>
  <c r="S513" i="1" a="1"/>
  <c r="S513" i="1" s="1"/>
  <c r="S512" i="1" a="1"/>
  <c r="S512" i="1"/>
  <c r="S511" i="1" a="1"/>
  <c r="S511" i="1"/>
  <c r="S510" i="1" a="1"/>
  <c r="S510" i="1"/>
  <c r="S509" i="1" a="1"/>
  <c r="S509" i="1"/>
  <c r="S508" i="1" a="1"/>
  <c r="S508" i="1"/>
  <c r="S507" i="1" a="1"/>
  <c r="S507" i="1"/>
  <c r="S506" i="1" a="1"/>
  <c r="S506" i="1" s="1"/>
  <c r="S505" i="1" a="1"/>
  <c r="S505" i="1" s="1"/>
  <c r="S504" i="1" a="1"/>
  <c r="S504" i="1"/>
  <c r="S503" i="1" a="1"/>
  <c r="S503" i="1"/>
  <c r="S502" i="1" a="1"/>
  <c r="S502" i="1"/>
  <c r="S501" i="1" a="1"/>
  <c r="S501" i="1"/>
  <c r="S500" i="1" a="1"/>
  <c r="S500" i="1"/>
  <c r="S499" i="1" a="1"/>
  <c r="S499" i="1"/>
  <c r="S498" i="1" a="1"/>
  <c r="S498" i="1" s="1"/>
  <c r="S497" i="1" a="1"/>
  <c r="S497" i="1" s="1"/>
  <c r="S496" i="1" a="1"/>
  <c r="S496" i="1"/>
  <c r="S495" i="1" a="1"/>
  <c r="S495" i="1"/>
  <c r="S494" i="1" a="1"/>
  <c r="S494" i="1"/>
  <c r="S493" i="1" a="1"/>
  <c r="S493" i="1"/>
  <c r="S492" i="1" a="1"/>
  <c r="S492" i="1"/>
  <c r="S491" i="1" a="1"/>
  <c r="S491" i="1"/>
  <c r="S490" i="1" a="1"/>
  <c r="S490" i="1" s="1"/>
  <c r="S489" i="1" a="1"/>
  <c r="S489" i="1" s="1"/>
  <c r="S488" i="1" a="1"/>
  <c r="S488" i="1"/>
  <c r="S487" i="1" a="1"/>
  <c r="S487" i="1"/>
  <c r="S486" i="1" a="1"/>
  <c r="S486" i="1"/>
  <c r="S485" i="1" a="1"/>
  <c r="S485" i="1"/>
  <c r="S484" i="1" a="1"/>
  <c r="S484" i="1"/>
  <c r="S483" i="1" a="1"/>
  <c r="S483" i="1"/>
  <c r="S482" i="1" a="1"/>
  <c r="S482" i="1" s="1"/>
  <c r="S481" i="1" a="1"/>
  <c r="S481" i="1" s="1"/>
  <c r="S480" i="1" a="1"/>
  <c r="S480" i="1"/>
  <c r="S479" i="1" a="1"/>
  <c r="S479" i="1"/>
  <c r="S478" i="1" a="1"/>
  <c r="S478" i="1"/>
  <c r="S477" i="1" a="1"/>
  <c r="S477" i="1"/>
  <c r="S476" i="1" a="1"/>
  <c r="S476" i="1"/>
  <c r="S475" i="1" a="1"/>
  <c r="S475" i="1"/>
  <c r="S474" i="1" a="1"/>
  <c r="S474" i="1" s="1"/>
  <c r="S473" i="1" a="1"/>
  <c r="S473" i="1" s="1"/>
  <c r="S472" i="1" a="1"/>
  <c r="S472" i="1"/>
  <c r="S471" i="1" a="1"/>
  <c r="S471" i="1"/>
  <c r="S470" i="1" a="1"/>
  <c r="S470" i="1"/>
  <c r="S469" i="1" a="1"/>
  <c r="S469" i="1"/>
  <c r="S468" i="1" a="1"/>
  <c r="S468" i="1"/>
  <c r="S467" i="1" a="1"/>
  <c r="S467" i="1"/>
  <c r="S466" i="1" a="1"/>
  <c r="S466" i="1" s="1"/>
  <c r="S465" i="1" a="1"/>
  <c r="S465" i="1" s="1"/>
  <c r="S464" i="1" a="1"/>
  <c r="S464" i="1"/>
  <c r="S463" i="1" a="1"/>
  <c r="S463" i="1"/>
  <c r="S462" i="1" a="1"/>
  <c r="S462" i="1"/>
  <c r="S461" i="1" a="1"/>
  <c r="S461" i="1"/>
  <c r="S460" i="1" a="1"/>
  <c r="S460" i="1"/>
  <c r="S459" i="1" a="1"/>
  <c r="S459" i="1"/>
  <c r="S458" i="1" a="1"/>
  <c r="S458" i="1" s="1"/>
  <c r="S457" i="1" a="1"/>
  <c r="S457" i="1" s="1"/>
  <c r="S456" i="1" a="1"/>
  <c r="S456" i="1"/>
  <c r="S455" i="1" a="1"/>
  <c r="S455" i="1"/>
  <c r="S454" i="1" a="1"/>
  <c r="S454" i="1"/>
  <c r="S453" i="1" a="1"/>
  <c r="S453" i="1"/>
  <c r="S452" i="1" a="1"/>
  <c r="S452" i="1"/>
  <c r="S451" i="1" a="1"/>
  <c r="S451" i="1"/>
  <c r="S450" i="1" a="1"/>
  <c r="S450" i="1" s="1"/>
  <c r="S449" i="1" a="1"/>
  <c r="S449" i="1" s="1"/>
  <c r="S448" i="1" a="1"/>
  <c r="S448" i="1"/>
  <c r="S447" i="1" a="1"/>
  <c r="S447" i="1"/>
  <c r="S446" i="1" a="1"/>
  <c r="S446" i="1"/>
  <c r="S445" i="1" a="1"/>
  <c r="S445" i="1"/>
  <c r="S444" i="1" a="1"/>
  <c r="S444" i="1"/>
  <c r="S443" i="1" a="1"/>
  <c r="S443" i="1"/>
  <c r="S442" i="1" a="1"/>
  <c r="S442" i="1" s="1"/>
  <c r="S441" i="1" a="1"/>
  <c r="S441" i="1" s="1"/>
  <c r="S440" i="1" a="1"/>
  <c r="S440" i="1"/>
  <c r="S439" i="1" a="1"/>
  <c r="S439" i="1"/>
  <c r="S438" i="1" a="1"/>
  <c r="S438" i="1"/>
  <c r="S437" i="1" a="1"/>
  <c r="S437" i="1"/>
  <c r="S436" i="1" a="1"/>
  <c r="S436" i="1"/>
  <c r="S435" i="1" a="1"/>
  <c r="S435" i="1"/>
  <c r="S434" i="1" a="1"/>
  <c r="S434" i="1" s="1"/>
  <c r="S433" i="1" a="1"/>
  <c r="S433" i="1" s="1"/>
  <c r="S432" i="1" a="1"/>
  <c r="S432" i="1"/>
  <c r="S431" i="1" a="1"/>
  <c r="S431" i="1"/>
  <c r="S430" i="1" a="1"/>
  <c r="S430" i="1"/>
  <c r="S429" i="1" a="1"/>
  <c r="S429" i="1"/>
  <c r="S428" i="1" a="1"/>
  <c r="S428" i="1"/>
  <c r="S427" i="1" a="1"/>
  <c r="S427" i="1"/>
  <c r="S426" i="1" a="1"/>
  <c r="S426" i="1" s="1"/>
  <c r="S425" i="1" a="1"/>
  <c r="S425" i="1" s="1"/>
  <c r="S424" i="1" a="1"/>
  <c r="S424" i="1"/>
  <c r="S423" i="1" a="1"/>
  <c r="S423" i="1"/>
  <c r="S422" i="1" a="1"/>
  <c r="S422" i="1"/>
  <c r="S421" i="1" a="1"/>
  <c r="S421" i="1"/>
  <c r="S420" i="1" a="1"/>
  <c r="S420" i="1"/>
  <c r="S419" i="1" a="1"/>
  <c r="S419" i="1"/>
  <c r="S418" i="1" a="1"/>
  <c r="S418" i="1" s="1"/>
  <c r="S417" i="1" a="1"/>
  <c r="S417" i="1" s="1"/>
  <c r="S416" i="1" a="1"/>
  <c r="S416" i="1"/>
  <c r="S415" i="1" a="1"/>
  <c r="S415" i="1"/>
  <c r="S414" i="1" a="1"/>
  <c r="S414" i="1"/>
  <c r="S413" i="1" a="1"/>
  <c r="S413" i="1"/>
  <c r="S412" i="1" a="1"/>
  <c r="S412" i="1"/>
  <c r="S411" i="1" a="1"/>
  <c r="S411" i="1"/>
  <c r="S410" i="1" a="1"/>
  <c r="S410" i="1" s="1"/>
  <c r="S409" i="1" a="1"/>
  <c r="S409" i="1" s="1"/>
  <c r="S408" i="1" a="1"/>
  <c r="S408" i="1"/>
  <c r="S407" i="1" a="1"/>
  <c r="S407" i="1"/>
  <c r="S406" i="1" a="1"/>
  <c r="S406" i="1"/>
  <c r="S405" i="1" a="1"/>
  <c r="S405" i="1"/>
  <c r="S404" i="1" a="1"/>
  <c r="S404" i="1"/>
  <c r="S403" i="1" a="1"/>
  <c r="S403" i="1"/>
  <c r="S402" i="1" a="1"/>
  <c r="S402" i="1" s="1"/>
  <c r="S401" i="1" a="1"/>
  <c r="S401" i="1" s="1"/>
  <c r="S400" i="1" a="1"/>
  <c r="S400" i="1"/>
  <c r="S399" i="1" a="1"/>
  <c r="S399" i="1"/>
  <c r="S398" i="1" a="1"/>
  <c r="S398" i="1"/>
  <c r="S397" i="1" a="1"/>
  <c r="S397" i="1"/>
  <c r="S396" i="1" a="1"/>
  <c r="S396" i="1"/>
  <c r="S395" i="1" a="1"/>
  <c r="S395" i="1"/>
  <c r="S394" i="1" a="1"/>
  <c r="S394" i="1" s="1"/>
  <c r="S393" i="1" a="1"/>
  <c r="S393" i="1" s="1"/>
  <c r="S392" i="1" a="1"/>
  <c r="S392" i="1"/>
  <c r="S391" i="1" a="1"/>
  <c r="S391" i="1"/>
  <c r="S390" i="1" a="1"/>
  <c r="S390" i="1"/>
  <c r="S389" i="1" a="1"/>
  <c r="S389" i="1"/>
  <c r="S388" i="1" a="1"/>
  <c r="S388" i="1"/>
  <c r="S387" i="1" a="1"/>
  <c r="S387" i="1"/>
  <c r="S386" i="1" a="1"/>
  <c r="S386" i="1" s="1"/>
  <c r="S385" i="1" a="1"/>
  <c r="S385" i="1" s="1"/>
  <c r="S384" i="1" a="1"/>
  <c r="S384" i="1"/>
  <c r="S383" i="1" a="1"/>
  <c r="S383" i="1"/>
  <c r="S382" i="1" a="1"/>
  <c r="S382" i="1"/>
  <c r="S381" i="1" a="1"/>
  <c r="S381" i="1"/>
  <c r="S380" i="1" a="1"/>
  <c r="S380" i="1"/>
  <c r="S379" i="1" a="1"/>
  <c r="S379" i="1"/>
  <c r="S378" i="1" a="1"/>
  <c r="S378" i="1" s="1"/>
  <c r="S377" i="1" a="1"/>
  <c r="S377" i="1" s="1"/>
  <c r="S376" i="1" a="1"/>
  <c r="S376" i="1"/>
  <c r="S375" i="1" a="1"/>
  <c r="S375" i="1"/>
  <c r="S374" i="1" a="1"/>
  <c r="S374" i="1"/>
  <c r="S373" i="1" a="1"/>
  <c r="S373" i="1"/>
  <c r="S372" i="1" a="1"/>
  <c r="S372" i="1"/>
  <c r="S371" i="1" a="1"/>
  <c r="S371" i="1"/>
  <c r="S370" i="1" a="1"/>
  <c r="S370" i="1" s="1"/>
  <c r="S369" i="1" a="1"/>
  <c r="S369" i="1" s="1"/>
  <c r="S368" i="1" a="1"/>
  <c r="S368" i="1"/>
  <c r="S367" i="1" a="1"/>
  <c r="S367" i="1"/>
  <c r="S366" i="1" a="1"/>
  <c r="S366" i="1"/>
  <c r="S365" i="1" a="1"/>
  <c r="S365" i="1"/>
  <c r="S364" i="1" a="1"/>
  <c r="S364" i="1"/>
  <c r="S363" i="1" a="1"/>
  <c r="S363" i="1"/>
  <c r="S362" i="1" a="1"/>
  <c r="S362" i="1" s="1"/>
  <c r="S361" i="1" a="1"/>
  <c r="S361" i="1" s="1"/>
  <c r="S360" i="1" a="1"/>
  <c r="S360" i="1"/>
  <c r="S359" i="1" a="1"/>
  <c r="S359" i="1"/>
  <c r="S358" i="1" a="1"/>
  <c r="S358" i="1"/>
  <c r="S357" i="1" a="1"/>
  <c r="S357" i="1"/>
  <c r="S356" i="1" a="1"/>
  <c r="S356" i="1"/>
  <c r="S355" i="1" a="1"/>
  <c r="S355" i="1"/>
  <c r="S354" i="1" a="1"/>
  <c r="S354" i="1" s="1"/>
  <c r="S353" i="1" a="1"/>
  <c r="S353" i="1" s="1"/>
  <c r="S352" i="1" a="1"/>
  <c r="S352" i="1"/>
  <c r="S351" i="1" a="1"/>
  <c r="S351" i="1"/>
  <c r="S350" i="1" a="1"/>
  <c r="S350" i="1"/>
  <c r="S349" i="1" a="1"/>
  <c r="S349" i="1"/>
  <c r="S348" i="1" a="1"/>
  <c r="S348" i="1"/>
  <c r="S347" i="1" a="1"/>
  <c r="S347" i="1"/>
  <c r="S346" i="1" a="1"/>
  <c r="S346" i="1" s="1"/>
  <c r="S345" i="1" a="1"/>
  <c r="S345" i="1" s="1"/>
  <c r="S344" i="1" a="1"/>
  <c r="S344" i="1"/>
  <c r="S343" i="1" a="1"/>
  <c r="S343" i="1"/>
  <c r="S342" i="1" a="1"/>
  <c r="S342" i="1"/>
  <c r="S341" i="1" a="1"/>
  <c r="S341" i="1"/>
  <c r="S340" i="1" a="1"/>
  <c r="S340" i="1"/>
  <c r="S339" i="1" a="1"/>
  <c r="S339" i="1"/>
  <c r="S338" i="1" a="1"/>
  <c r="S338" i="1" s="1"/>
  <c r="S337" i="1" a="1"/>
  <c r="S337" i="1" s="1"/>
  <c r="S336" i="1" a="1"/>
  <c r="S336" i="1"/>
  <c r="S335" i="1" a="1"/>
  <c r="S335" i="1"/>
  <c r="S334" i="1" a="1"/>
  <c r="S334" i="1"/>
  <c r="S333" i="1" a="1"/>
  <c r="S333" i="1"/>
  <c r="S332" i="1" a="1"/>
  <c r="S332" i="1"/>
  <c r="S331" i="1" a="1"/>
  <c r="S331" i="1"/>
  <c r="S330" i="1" a="1"/>
  <c r="S330" i="1" s="1"/>
  <c r="S329" i="1" a="1"/>
  <c r="S329" i="1" s="1"/>
  <c r="S328" i="1" a="1"/>
  <c r="S328" i="1"/>
  <c r="S327" i="1" a="1"/>
  <c r="S327" i="1"/>
  <c r="S326" i="1" a="1"/>
  <c r="S326" i="1"/>
  <c r="S325" i="1" a="1"/>
  <c r="S325" i="1"/>
  <c r="S324" i="1" a="1"/>
  <c r="S324" i="1"/>
  <c r="S323" i="1" a="1"/>
  <c r="S323" i="1"/>
  <c r="S322" i="1" a="1"/>
  <c r="S322" i="1" s="1"/>
  <c r="S321" i="1" a="1"/>
  <c r="S321" i="1" s="1"/>
  <c r="S320" i="1" a="1"/>
  <c r="S320" i="1"/>
  <c r="S319" i="1" a="1"/>
  <c r="S319" i="1"/>
  <c r="S318" i="1" a="1"/>
  <c r="S318" i="1"/>
  <c r="S317" i="1" a="1"/>
  <c r="S317" i="1"/>
  <c r="S316" i="1" a="1"/>
  <c r="S316" i="1"/>
  <c r="S315" i="1" a="1"/>
  <c r="S315" i="1"/>
  <c r="S314" i="1" a="1"/>
  <c r="S314" i="1" s="1"/>
  <c r="S313" i="1" a="1"/>
  <c r="S313" i="1" s="1"/>
  <c r="S312" i="1" a="1"/>
  <c r="S312" i="1"/>
  <c r="S311" i="1" a="1"/>
  <c r="S311" i="1"/>
  <c r="S310" i="1" a="1"/>
  <c r="S310" i="1"/>
  <c r="S309" i="1" a="1"/>
  <c r="S309" i="1"/>
  <c r="S308" i="1" a="1"/>
  <c r="S308" i="1"/>
  <c r="S307" i="1" a="1"/>
  <c r="S307" i="1"/>
  <c r="S306" i="1" a="1"/>
  <c r="S306" i="1" s="1"/>
  <c r="S305" i="1" a="1"/>
  <c r="S305" i="1" s="1"/>
  <c r="S304" i="1" a="1"/>
  <c r="S304" i="1"/>
  <c r="S303" i="1" a="1"/>
  <c r="S303" i="1"/>
  <c r="S302" i="1" a="1"/>
  <c r="S302" i="1"/>
  <c r="S301" i="1" a="1"/>
  <c r="S301" i="1"/>
  <c r="S300" i="1" a="1"/>
  <c r="S300" i="1"/>
  <c r="S299" i="1" a="1"/>
  <c r="S299" i="1"/>
  <c r="S298" i="1" a="1"/>
  <c r="S298" i="1" s="1"/>
  <c r="S297" i="1" a="1"/>
  <c r="S297" i="1" s="1"/>
  <c r="S296" i="1" a="1"/>
  <c r="S296" i="1"/>
  <c r="S295" i="1" a="1"/>
  <c r="S295" i="1"/>
  <c r="S294" i="1" a="1"/>
  <c r="S294" i="1"/>
  <c r="S293" i="1" a="1"/>
  <c r="S293" i="1"/>
  <c r="S292" i="1" a="1"/>
  <c r="S292" i="1"/>
  <c r="S291" i="1" a="1"/>
  <c r="S291" i="1"/>
  <c r="S290" i="1" a="1"/>
  <c r="S290" i="1" s="1"/>
  <c r="S289" i="1" a="1"/>
  <c r="S289" i="1" s="1"/>
  <c r="S288" i="1" a="1"/>
  <c r="S288" i="1"/>
  <c r="S287" i="1" a="1"/>
  <c r="S287" i="1"/>
  <c r="S286" i="1" a="1"/>
  <c r="S286" i="1"/>
  <c r="S285" i="1" a="1"/>
  <c r="S285" i="1"/>
  <c r="S284" i="1" a="1"/>
  <c r="S284" i="1"/>
  <c r="S283" i="1" a="1"/>
  <c r="S283" i="1"/>
  <c r="S282" i="1" a="1"/>
  <c r="S282" i="1" s="1"/>
  <c r="S281" i="1" a="1"/>
  <c r="S281" i="1" s="1"/>
  <c r="S280" i="1" a="1"/>
  <c r="S280" i="1"/>
  <c r="S279" i="1" a="1"/>
  <c r="S279" i="1"/>
  <c r="S278" i="1" a="1"/>
  <c r="S278" i="1"/>
  <c r="S277" i="1" a="1"/>
  <c r="S277" i="1"/>
  <c r="S276" i="1" a="1"/>
  <c r="S276" i="1"/>
  <c r="S275" i="1" a="1"/>
  <c r="S275" i="1"/>
  <c r="S274" i="1" a="1"/>
  <c r="S274" i="1" s="1"/>
  <c r="S273" i="1" a="1"/>
  <c r="S273" i="1" s="1"/>
  <c r="S272" i="1" a="1"/>
  <c r="S272" i="1"/>
  <c r="S271" i="1" a="1"/>
  <c r="S271" i="1"/>
  <c r="S270" i="1" a="1"/>
  <c r="S270" i="1"/>
  <c r="S269" i="1" a="1"/>
  <c r="S269" i="1"/>
  <c r="S268" i="1" a="1"/>
  <c r="S268" i="1"/>
  <c r="S267" i="1" a="1"/>
  <c r="S267" i="1"/>
  <c r="S266" i="1" a="1"/>
  <c r="S266" i="1" s="1"/>
  <c r="S265" i="1" a="1"/>
  <c r="S265" i="1" s="1"/>
  <c r="S264" i="1" a="1"/>
  <c r="S264" i="1"/>
  <c r="S263" i="1" a="1"/>
  <c r="S263" i="1"/>
  <c r="S262" i="1" a="1"/>
  <c r="S262" i="1"/>
  <c r="S261" i="1" a="1"/>
  <c r="S261" i="1"/>
  <c r="S260" i="1" a="1"/>
  <c r="S260" i="1"/>
  <c r="S259" i="1" a="1"/>
  <c r="S259" i="1"/>
  <c r="S258" i="1" a="1"/>
  <c r="S258" i="1" s="1"/>
  <c r="S257" i="1" a="1"/>
  <c r="S257" i="1" s="1"/>
  <c r="S256" i="1" a="1"/>
  <c r="S256" i="1"/>
  <c r="S255" i="1" a="1"/>
  <c r="S255" i="1"/>
  <c r="S254" i="1" a="1"/>
  <c r="S254" i="1"/>
  <c r="S253" i="1" a="1"/>
  <c r="S253" i="1"/>
  <c r="S252" i="1" a="1"/>
  <c r="S252" i="1"/>
  <c r="S251" i="1" a="1"/>
  <c r="S251" i="1"/>
  <c r="S250" i="1" a="1"/>
  <c r="S250" i="1" s="1"/>
  <c r="S249" i="1" a="1"/>
  <c r="S249" i="1" s="1"/>
  <c r="S248" i="1" a="1"/>
  <c r="S248" i="1"/>
  <c r="S247" i="1" a="1"/>
  <c r="S247" i="1"/>
  <c r="S246" i="1" a="1"/>
  <c r="S246" i="1"/>
  <c r="S245" i="1" a="1"/>
  <c r="S245" i="1"/>
  <c r="S244" i="1" a="1"/>
  <c r="S244" i="1"/>
  <c r="S243" i="1" a="1"/>
  <c r="S243" i="1"/>
  <c r="S242" i="1" a="1"/>
  <c r="S242" i="1" s="1"/>
  <c r="S241" i="1" a="1"/>
  <c r="S241" i="1" s="1"/>
  <c r="S240" i="1" a="1"/>
  <c r="S240" i="1"/>
  <c r="S239" i="1" a="1"/>
  <c r="S239" i="1"/>
  <c r="S238" i="1" a="1"/>
  <c r="S238" i="1"/>
  <c r="S237" i="1" a="1"/>
  <c r="S237" i="1"/>
  <c r="S236" i="1" a="1"/>
  <c r="S236" i="1"/>
  <c r="S235" i="1" a="1"/>
  <c r="S235" i="1"/>
  <c r="S234" i="1" a="1"/>
  <c r="S234" i="1" s="1"/>
  <c r="S233" i="1" a="1"/>
  <c r="S233" i="1" s="1"/>
  <c r="S232" i="1" a="1"/>
  <c r="S232" i="1"/>
  <c r="S231" i="1" a="1"/>
  <c r="S231" i="1"/>
  <c r="S230" i="1" a="1"/>
  <c r="S230" i="1"/>
  <c r="S229" i="1" a="1"/>
  <c r="S229" i="1"/>
  <c r="S228" i="1" a="1"/>
  <c r="S228" i="1"/>
  <c r="S227" i="1" a="1"/>
  <c r="S227" i="1"/>
  <c r="S226" i="1" a="1"/>
  <c r="S226" i="1" s="1"/>
  <c r="S225" i="1" a="1"/>
  <c r="S225" i="1" s="1"/>
  <c r="S224" i="1" a="1"/>
  <c r="S224" i="1"/>
  <c r="S223" i="1" a="1"/>
  <c r="S223" i="1"/>
  <c r="S222" i="1" a="1"/>
  <c r="S222" i="1"/>
  <c r="S221" i="1" a="1"/>
  <c r="S221" i="1"/>
  <c r="S220" i="1" a="1"/>
  <c r="S220" i="1"/>
  <c r="S219" i="1" a="1"/>
  <c r="S219" i="1"/>
  <c r="S218" i="1" a="1"/>
  <c r="S218" i="1" s="1"/>
  <c r="S217" i="1" a="1"/>
  <c r="S217" i="1" s="1"/>
  <c r="S216" i="1" a="1"/>
  <c r="S216" i="1"/>
  <c r="S215" i="1" a="1"/>
  <c r="S215" i="1"/>
  <c r="S214" i="1" a="1"/>
  <c r="S214" i="1"/>
  <c r="S213" i="1" a="1"/>
  <c r="S213" i="1"/>
  <c r="S212" i="1" a="1"/>
  <c r="S212" i="1"/>
  <c r="S211" i="1" a="1"/>
  <c r="S211" i="1"/>
  <c r="S210" i="1" a="1"/>
  <c r="S210" i="1" s="1"/>
  <c r="S209" i="1" a="1"/>
  <c r="S209" i="1" s="1"/>
  <c r="S208" i="1" a="1"/>
  <c r="S208" i="1"/>
  <c r="S207" i="1" a="1"/>
  <c r="S207" i="1"/>
  <c r="S206" i="1" a="1"/>
  <c r="S206" i="1"/>
  <c r="S205" i="1" a="1"/>
  <c r="S205" i="1"/>
  <c r="S204" i="1" a="1"/>
  <c r="S204" i="1"/>
  <c r="S203" i="1" a="1"/>
  <c r="S203" i="1"/>
  <c r="S202" i="1" a="1"/>
  <c r="S202" i="1" s="1"/>
  <c r="S201" i="1" a="1"/>
  <c r="S201" i="1" s="1"/>
  <c r="S200" i="1" a="1"/>
  <c r="S200" i="1"/>
  <c r="S199" i="1" a="1"/>
  <c r="S199" i="1"/>
  <c r="S198" i="1" a="1"/>
  <c r="S198" i="1"/>
  <c r="S197" i="1" a="1"/>
  <c r="S197" i="1"/>
  <c r="S196" i="1" a="1"/>
  <c r="S196" i="1"/>
  <c r="S195" i="1" a="1"/>
  <c r="S195" i="1"/>
  <c r="S194" i="1" a="1"/>
  <c r="S194" i="1" s="1"/>
  <c r="S193" i="1" a="1"/>
  <c r="S193" i="1" s="1"/>
  <c r="S192" i="1" a="1"/>
  <c r="S192" i="1"/>
  <c r="S191" i="1" a="1"/>
  <c r="S191" i="1"/>
  <c r="S190" i="1" a="1"/>
  <c r="S190" i="1"/>
  <c r="S189" i="1" a="1"/>
  <c r="S189" i="1"/>
  <c r="S188" i="1" a="1"/>
  <c r="S188" i="1"/>
  <c r="S187" i="1" a="1"/>
  <c r="S187" i="1"/>
  <c r="S186" i="1" a="1"/>
  <c r="S186" i="1" s="1"/>
  <c r="S185" i="1" a="1"/>
  <c r="S185" i="1" s="1"/>
  <c r="S184" i="1" a="1"/>
  <c r="S184" i="1"/>
  <c r="S183" i="1" a="1"/>
  <c r="S183" i="1"/>
  <c r="S182" i="1" a="1"/>
  <c r="S182" i="1"/>
  <c r="S181" i="1" a="1"/>
  <c r="S181" i="1"/>
  <c r="S180" i="1" a="1"/>
  <c r="S180" i="1"/>
  <c r="S179" i="1" a="1"/>
  <c r="S179" i="1"/>
  <c r="S178" i="1" a="1"/>
  <c r="S178" i="1" s="1"/>
  <c r="S177" i="1" a="1"/>
  <c r="S177" i="1" s="1"/>
  <c r="S176" i="1" a="1"/>
  <c r="S176" i="1"/>
  <c r="S175" i="1" a="1"/>
  <c r="S175" i="1"/>
  <c r="S174" i="1" a="1"/>
  <c r="S174" i="1"/>
  <c r="S173" i="1" a="1"/>
  <c r="S173" i="1"/>
  <c r="S172" i="1" a="1"/>
  <c r="S172" i="1"/>
  <c r="S171" i="1" a="1"/>
  <c r="S171" i="1"/>
  <c r="S170" i="1" a="1"/>
  <c r="S170" i="1" s="1"/>
  <c r="S169" i="1" a="1"/>
  <c r="S169" i="1" s="1"/>
  <c r="S168" i="1" a="1"/>
  <c r="S168" i="1"/>
  <c r="S167" i="1" a="1"/>
  <c r="S167" i="1"/>
  <c r="S166" i="1" a="1"/>
  <c r="S166" i="1"/>
  <c r="S165" i="1" a="1"/>
  <c r="S165" i="1"/>
  <c r="S164" i="1" a="1"/>
  <c r="S164" i="1"/>
  <c r="S163" i="1" a="1"/>
  <c r="S163" i="1"/>
  <c r="S162" i="1" a="1"/>
  <c r="S162" i="1" s="1"/>
  <c r="S161" i="1" a="1"/>
  <c r="S161" i="1" s="1"/>
  <c r="S160" i="1" a="1"/>
  <c r="S160" i="1"/>
  <c r="S159" i="1" a="1"/>
  <c r="S159" i="1"/>
  <c r="S158" i="1" a="1"/>
  <c r="S158" i="1"/>
  <c r="S157" i="1" a="1"/>
  <c r="S157" i="1"/>
  <c r="S156" i="1" a="1"/>
  <c r="S156" i="1"/>
  <c r="S155" i="1" a="1"/>
  <c r="S155" i="1"/>
  <c r="S154" i="1" a="1"/>
  <c r="S154" i="1" s="1"/>
  <c r="S153" i="1" a="1"/>
  <c r="S153" i="1" s="1"/>
  <c r="S152" i="1" a="1"/>
  <c r="S152" i="1"/>
  <c r="S151" i="1" a="1"/>
  <c r="S151" i="1"/>
  <c r="S150" i="1" a="1"/>
  <c r="S150" i="1"/>
  <c r="S149" i="1" a="1"/>
  <c r="S149" i="1"/>
  <c r="S148" i="1" a="1"/>
  <c r="S148" i="1"/>
  <c r="S147" i="1" a="1"/>
  <c r="S147" i="1"/>
  <c r="S146" i="1" a="1"/>
  <c r="S146" i="1" s="1"/>
  <c r="S145" i="1" a="1"/>
  <c r="S145" i="1" s="1"/>
  <c r="S144" i="1" a="1"/>
  <c r="S144" i="1"/>
  <c r="S143" i="1" a="1"/>
  <c r="S143" i="1"/>
  <c r="S142" i="1" a="1"/>
  <c r="S142" i="1"/>
  <c r="S141" i="1" a="1"/>
  <c r="S141" i="1"/>
  <c r="S140" i="1" a="1"/>
  <c r="S140" i="1"/>
  <c r="S139" i="1" a="1"/>
  <c r="S139" i="1"/>
  <c r="S138" i="1" a="1"/>
  <c r="S138" i="1" s="1"/>
  <c r="S137" i="1" a="1"/>
  <c r="S137" i="1" s="1"/>
  <c r="S136" i="1" a="1"/>
  <c r="S136" i="1"/>
  <c r="S135" i="1" a="1"/>
  <c r="S135" i="1"/>
  <c r="S134" i="1" a="1"/>
  <c r="S134" i="1"/>
  <c r="S133" i="1" a="1"/>
  <c r="S133" i="1"/>
  <c r="S132" i="1" a="1"/>
  <c r="S132" i="1"/>
  <c r="S131" i="1" a="1"/>
  <c r="S131" i="1"/>
  <c r="S130" i="1" a="1"/>
  <c r="S130" i="1" s="1"/>
  <c r="S129" i="1" a="1"/>
  <c r="S129" i="1" s="1"/>
  <c r="S128" i="1" a="1"/>
  <c r="S128" i="1"/>
  <c r="S127" i="1" a="1"/>
  <c r="S127" i="1"/>
  <c r="S126" i="1" a="1"/>
  <c r="S126" i="1"/>
  <c r="S125" i="1" a="1"/>
  <c r="S125" i="1"/>
  <c r="S124" i="1" a="1"/>
  <c r="S124" i="1"/>
  <c r="S123" i="1" a="1"/>
  <c r="S123" i="1"/>
  <c r="S122" i="1" a="1"/>
  <c r="S122" i="1" s="1"/>
  <c r="S121" i="1" a="1"/>
  <c r="S121" i="1" s="1"/>
  <c r="S120" i="1" a="1"/>
  <c r="S120" i="1"/>
  <c r="S119" i="1" a="1"/>
  <c r="S119" i="1"/>
  <c r="S118" i="1" a="1"/>
  <c r="S118" i="1"/>
  <c r="S117" i="1" a="1"/>
  <c r="S117" i="1"/>
  <c r="S116" i="1" a="1"/>
  <c r="S116" i="1"/>
  <c r="S115" i="1" a="1"/>
  <c r="S115" i="1"/>
  <c r="S114" i="1" a="1"/>
  <c r="S114" i="1" s="1"/>
  <c r="S113" i="1" a="1"/>
  <c r="S113" i="1" s="1"/>
  <c r="S112" i="1" a="1"/>
  <c r="S112" i="1"/>
  <c r="S111" i="1" a="1"/>
  <c r="S111" i="1"/>
  <c r="S110" i="1" a="1"/>
  <c r="S110" i="1"/>
  <c r="S109" i="1" a="1"/>
  <c r="S109" i="1"/>
  <c r="S108" i="1" a="1"/>
  <c r="S108" i="1"/>
  <c r="S107" i="1" a="1"/>
  <c r="S107" i="1"/>
  <c r="S106" i="1" a="1"/>
  <c r="S106" i="1" s="1"/>
  <c r="S105" i="1" a="1"/>
  <c r="S105" i="1" s="1"/>
  <c r="S104" i="1" a="1"/>
  <c r="S104" i="1"/>
  <c r="S103" i="1" a="1"/>
  <c r="S103" i="1"/>
  <c r="S102" i="1" a="1"/>
  <c r="S102" i="1"/>
  <c r="S101" i="1" a="1"/>
  <c r="S101" i="1"/>
  <c r="S100" i="1" a="1"/>
  <c r="S100" i="1"/>
  <c r="S99" i="1" a="1"/>
  <c r="S99" i="1"/>
  <c r="S98" i="1" a="1"/>
  <c r="S98" i="1" s="1"/>
  <c r="S97" i="1" a="1"/>
  <c r="S97" i="1" s="1"/>
  <c r="S96" i="1" a="1"/>
  <c r="S96" i="1"/>
  <c r="S95" i="1" a="1"/>
  <c r="S95" i="1"/>
  <c r="S94" i="1" a="1"/>
  <c r="S94" i="1"/>
  <c r="S93" i="1" a="1"/>
  <c r="S93" i="1"/>
  <c r="S92" i="1" a="1"/>
  <c r="S92" i="1"/>
  <c r="S91" i="1" a="1"/>
  <c r="S91" i="1"/>
  <c r="S90" i="1" a="1"/>
  <c r="S90" i="1" s="1"/>
  <c r="S89" i="1" a="1"/>
  <c r="S89" i="1" s="1"/>
  <c r="S88" i="1" a="1"/>
  <c r="S88" i="1"/>
  <c r="S87" i="1" a="1"/>
  <c r="S87" i="1"/>
  <c r="S86" i="1" a="1"/>
  <c r="S86" i="1"/>
  <c r="S85" i="1" a="1"/>
  <c r="S85" i="1"/>
  <c r="S84" i="1" a="1"/>
  <c r="S84" i="1"/>
  <c r="S83" i="1" a="1"/>
  <c r="S83" i="1"/>
  <c r="S82" i="1" a="1"/>
  <c r="S82" i="1" s="1"/>
  <c r="S81" i="1" a="1"/>
  <c r="S81" i="1" s="1"/>
  <c r="S80" i="1" a="1"/>
  <c r="S80" i="1" s="1"/>
  <c r="S79" i="1" a="1"/>
  <c r="S79" i="1"/>
  <c r="S78" i="1" a="1"/>
  <c r="S78" i="1"/>
  <c r="S77" i="1" a="1"/>
  <c r="S77" i="1"/>
  <c r="S76" i="1" a="1"/>
  <c r="S76" i="1"/>
  <c r="S75" i="1" a="1"/>
  <c r="S75" i="1"/>
  <c r="S74" i="1" a="1"/>
  <c r="S74" i="1" s="1"/>
  <c r="S73" i="1" a="1"/>
  <c r="S73" i="1" s="1"/>
  <c r="S72" i="1" a="1"/>
  <c r="S72" i="1" s="1"/>
  <c r="S71" i="1" a="1"/>
  <c r="S71" i="1"/>
  <c r="S70" i="1" a="1"/>
  <c r="S70" i="1"/>
  <c r="S69" i="1" a="1"/>
  <c r="S69" i="1"/>
  <c r="S68" i="1" a="1"/>
  <c r="S68" i="1"/>
  <c r="S67" i="1" a="1"/>
  <c r="S67" i="1"/>
  <c r="S66" i="1" a="1"/>
  <c r="S66" i="1" s="1"/>
  <c r="S65" i="1" a="1"/>
  <c r="S65" i="1" s="1"/>
  <c r="S64" i="1" a="1"/>
  <c r="S64" i="1" s="1"/>
  <c r="S63" i="1" a="1"/>
  <c r="S63" i="1"/>
  <c r="S62" i="1" a="1"/>
  <c r="S62" i="1"/>
  <c r="S61" i="1" a="1"/>
  <c r="S61" i="1"/>
  <c r="S60" i="1" a="1"/>
  <c r="S60" i="1"/>
  <c r="S59" i="1" a="1"/>
  <c r="S59" i="1"/>
  <c r="S58" i="1" a="1"/>
  <c r="S58" i="1" s="1"/>
  <c r="S57" i="1" a="1"/>
  <c r="S57" i="1" s="1"/>
  <c r="S56" i="1" a="1"/>
  <c r="S56" i="1" s="1"/>
  <c r="S55" i="1" a="1"/>
  <c r="S55" i="1"/>
  <c r="S54" i="1" a="1"/>
  <c r="S54" i="1"/>
  <c r="S53" i="1" a="1"/>
  <c r="S53" i="1"/>
  <c r="S52" i="1" a="1"/>
  <c r="S52" i="1"/>
  <c r="S51" i="1" a="1"/>
  <c r="S51" i="1"/>
  <c r="S50" i="1" a="1"/>
  <c r="S50" i="1" s="1"/>
  <c r="S49" i="1" a="1"/>
  <c r="S49" i="1" s="1"/>
  <c r="S48" i="1" a="1"/>
  <c r="S48" i="1" s="1"/>
  <c r="S47" i="1" a="1"/>
  <c r="S47" i="1"/>
  <c r="S46" i="1" a="1"/>
  <c r="S46" i="1"/>
  <c r="S45" i="1" a="1"/>
  <c r="S45" i="1"/>
  <c r="S44" i="1" a="1"/>
  <c r="S44" i="1"/>
  <c r="S43" i="1" a="1"/>
  <c r="S43" i="1"/>
  <c r="S42" i="1" a="1"/>
  <c r="S42" i="1" s="1"/>
  <c r="S41" i="1" a="1"/>
  <c r="S41" i="1" s="1"/>
  <c r="S40" i="1" a="1"/>
  <c r="S40" i="1" s="1"/>
  <c r="S39" i="1" a="1"/>
  <c r="S39" i="1"/>
  <c r="S38" i="1" a="1"/>
  <c r="S38" i="1"/>
  <c r="S37" i="1" a="1"/>
  <c r="S37" i="1"/>
  <c r="S36" i="1" a="1"/>
  <c r="S36" i="1"/>
  <c r="S35" i="1" a="1"/>
  <c r="S35" i="1"/>
  <c r="S34" i="1" a="1"/>
  <c r="S34" i="1" s="1"/>
  <c r="S33" i="1" a="1"/>
  <c r="S33" i="1" s="1"/>
  <c r="S32" i="1" a="1"/>
  <c r="S32" i="1" s="1"/>
  <c r="S31" i="1" a="1"/>
  <c r="S31" i="1"/>
  <c r="S30" i="1" a="1"/>
  <c r="S30" i="1"/>
  <c r="S29" i="1" a="1"/>
  <c r="S29" i="1"/>
  <c r="S28" i="1" a="1"/>
  <c r="S28" i="1"/>
  <c r="S27" i="1" a="1"/>
  <c r="S27" i="1"/>
  <c r="S26" i="1" a="1"/>
  <c r="S26" i="1" s="1"/>
  <c r="S25" i="1" a="1"/>
  <c r="S25" i="1" s="1"/>
  <c r="S24" i="1" a="1"/>
  <c r="S24" i="1" s="1"/>
  <c r="S23" i="1" a="1"/>
  <c r="S23" i="1"/>
  <c r="S22" i="1" a="1"/>
  <c r="S22" i="1"/>
  <c r="S21" i="1" a="1"/>
  <c r="S21" i="1"/>
  <c r="S20" i="1" a="1"/>
  <c r="S20" i="1"/>
  <c r="S19" i="1" a="1"/>
  <c r="S19" i="1"/>
  <c r="S18" i="1" a="1"/>
  <c r="S18" i="1" s="1"/>
  <c r="S17" i="1" a="1"/>
  <c r="S17" i="1" s="1"/>
  <c r="S16" i="1" a="1"/>
  <c r="S16" i="1" s="1"/>
  <c r="S15" i="1" a="1"/>
  <c r="S15" i="1"/>
  <c r="S14" i="1" a="1"/>
  <c r="S14" i="1"/>
  <c r="S13" i="1" a="1"/>
  <c r="S13" i="1"/>
  <c r="S12" i="1" a="1"/>
  <c r="S12" i="1"/>
  <c r="S11" i="1" a="1"/>
  <c r="S11" i="1"/>
  <c r="S10" i="1" a="1"/>
  <c r="S10" i="1" s="1"/>
  <c r="S9" i="1" a="1"/>
  <c r="S9" i="1" s="1"/>
  <c r="S8" i="1" a="1"/>
  <c r="S8" i="1" s="1"/>
  <c r="S7" i="1" a="1"/>
  <c r="S7" i="1"/>
  <c r="S6" i="1" a="1"/>
  <c r="S6" i="1"/>
  <c r="S5" i="1" a="1"/>
  <c r="S5" i="1"/>
  <c r="S4" i="1" a="1"/>
  <c r="S4" i="1"/>
  <c r="S3" i="1" a="1"/>
  <c r="S3" i="1"/>
  <c r="R3" i="1"/>
  <c r="U3" i="1"/>
  <c r="V3" i="1"/>
  <c r="R4" i="1"/>
  <c r="U4" i="1"/>
  <c r="V4" i="1"/>
  <c r="R5" i="1"/>
  <c r="U5" i="1"/>
  <c r="V5" i="1"/>
  <c r="R6" i="1"/>
  <c r="U6" i="1"/>
  <c r="V6" i="1"/>
  <c r="R7" i="1"/>
  <c r="U7" i="1"/>
  <c r="V7" i="1"/>
  <c r="R8" i="1"/>
  <c r="U8" i="1"/>
  <c r="V8" i="1"/>
  <c r="R9" i="1"/>
  <c r="U9" i="1"/>
  <c r="V9" i="1"/>
  <c r="R10" i="1"/>
  <c r="U10" i="1"/>
  <c r="V10" i="1"/>
  <c r="R11" i="1"/>
  <c r="U11" i="1"/>
  <c r="V11" i="1"/>
  <c r="R12" i="1"/>
  <c r="U12" i="1"/>
  <c r="V12" i="1"/>
  <c r="R13" i="1"/>
  <c r="U13" i="1"/>
  <c r="V13" i="1"/>
  <c r="R14" i="1"/>
  <c r="U14" i="1"/>
  <c r="V14" i="1"/>
  <c r="R15" i="1"/>
  <c r="U15" i="1"/>
  <c r="V15" i="1"/>
  <c r="R16" i="1"/>
  <c r="U16" i="1"/>
  <c r="V16" i="1"/>
  <c r="R17" i="1"/>
  <c r="U17" i="1"/>
  <c r="V17" i="1"/>
  <c r="R18" i="1"/>
  <c r="U18" i="1"/>
  <c r="V18" i="1"/>
  <c r="R19" i="1"/>
  <c r="U19" i="1"/>
  <c r="V19" i="1"/>
  <c r="R20" i="1"/>
  <c r="U20" i="1"/>
  <c r="V20" i="1"/>
  <c r="R21" i="1"/>
  <c r="U21" i="1"/>
  <c r="V21" i="1"/>
  <c r="R22" i="1"/>
  <c r="U22" i="1"/>
  <c r="V22" i="1"/>
  <c r="R23" i="1"/>
  <c r="U23" i="1"/>
  <c r="V23" i="1"/>
  <c r="R24" i="1"/>
  <c r="U24" i="1"/>
  <c r="V24" i="1"/>
  <c r="R25" i="1"/>
  <c r="U25" i="1"/>
  <c r="V25" i="1"/>
  <c r="R26" i="1"/>
  <c r="U26" i="1"/>
  <c r="V26" i="1"/>
  <c r="R27" i="1"/>
  <c r="U27" i="1"/>
  <c r="V27" i="1"/>
  <c r="R28" i="1"/>
  <c r="U28" i="1"/>
  <c r="V28" i="1"/>
  <c r="R29" i="1"/>
  <c r="U29" i="1"/>
  <c r="V29" i="1"/>
  <c r="R30" i="1"/>
  <c r="U30" i="1"/>
  <c r="V30" i="1"/>
  <c r="R31" i="1"/>
  <c r="U31" i="1"/>
  <c r="V31" i="1"/>
  <c r="R32" i="1"/>
  <c r="U32" i="1"/>
  <c r="V32" i="1"/>
  <c r="R33" i="1"/>
  <c r="U33" i="1"/>
  <c r="V33" i="1"/>
  <c r="R34" i="1"/>
  <c r="U34" i="1"/>
  <c r="V34" i="1"/>
  <c r="R35" i="1"/>
  <c r="U35" i="1"/>
  <c r="V35" i="1"/>
  <c r="R36" i="1"/>
  <c r="U36" i="1"/>
  <c r="V36" i="1"/>
  <c r="R37" i="1"/>
  <c r="U37" i="1"/>
  <c r="V37" i="1"/>
  <c r="R38" i="1"/>
  <c r="U38" i="1"/>
  <c r="V38" i="1"/>
  <c r="R39" i="1"/>
  <c r="U39" i="1"/>
  <c r="V39" i="1"/>
  <c r="R40" i="1"/>
  <c r="U40" i="1"/>
  <c r="V40" i="1"/>
  <c r="R41" i="1"/>
  <c r="U41" i="1"/>
  <c r="V41" i="1"/>
  <c r="R42" i="1"/>
  <c r="U42" i="1"/>
  <c r="V42" i="1"/>
  <c r="R43" i="1"/>
  <c r="U43" i="1"/>
  <c r="V43" i="1"/>
  <c r="R44" i="1"/>
  <c r="U44" i="1"/>
  <c r="V44" i="1"/>
  <c r="R45" i="1"/>
  <c r="U45" i="1"/>
  <c r="V45" i="1"/>
  <c r="R46" i="1"/>
  <c r="U46" i="1"/>
  <c r="V46" i="1"/>
  <c r="R47" i="1"/>
  <c r="U47" i="1"/>
  <c r="V47" i="1"/>
  <c r="R48" i="1"/>
  <c r="U48" i="1"/>
  <c r="V48" i="1"/>
  <c r="R49" i="1"/>
  <c r="U49" i="1"/>
  <c r="V49" i="1"/>
  <c r="R50" i="1"/>
  <c r="U50" i="1"/>
  <c r="V50" i="1"/>
  <c r="R51" i="1"/>
  <c r="U51" i="1"/>
  <c r="V51" i="1"/>
  <c r="R52" i="1"/>
  <c r="U52" i="1"/>
  <c r="V52" i="1"/>
  <c r="R53" i="1"/>
  <c r="U53" i="1"/>
  <c r="V53" i="1"/>
  <c r="R54" i="1"/>
  <c r="U54" i="1"/>
  <c r="V54" i="1"/>
  <c r="R55" i="1"/>
  <c r="U55" i="1"/>
  <c r="V55" i="1"/>
  <c r="R56" i="1"/>
  <c r="U56" i="1"/>
  <c r="V56" i="1"/>
  <c r="R57" i="1"/>
  <c r="U57" i="1"/>
  <c r="V57" i="1"/>
  <c r="R58" i="1"/>
  <c r="U58" i="1"/>
  <c r="V58" i="1"/>
  <c r="R59" i="1"/>
  <c r="U59" i="1"/>
  <c r="V59" i="1"/>
  <c r="R60" i="1"/>
  <c r="U60" i="1"/>
  <c r="V60" i="1"/>
  <c r="R61" i="1"/>
  <c r="U61" i="1"/>
  <c r="V61" i="1"/>
  <c r="R62" i="1"/>
  <c r="U62" i="1"/>
  <c r="V62" i="1"/>
  <c r="R63" i="1"/>
  <c r="U63" i="1"/>
  <c r="V63" i="1"/>
  <c r="R64" i="1"/>
  <c r="U64" i="1"/>
  <c r="V64" i="1"/>
  <c r="R65" i="1"/>
  <c r="U65" i="1"/>
  <c r="V65" i="1"/>
  <c r="R66" i="1"/>
  <c r="U66" i="1"/>
  <c r="V66" i="1"/>
  <c r="R67" i="1"/>
  <c r="U67" i="1"/>
  <c r="V67" i="1"/>
  <c r="R68" i="1"/>
  <c r="U68" i="1"/>
  <c r="V68" i="1"/>
  <c r="R69" i="1"/>
  <c r="U69" i="1"/>
  <c r="V69" i="1"/>
  <c r="R70" i="1"/>
  <c r="U70" i="1"/>
  <c r="V70" i="1"/>
  <c r="R71" i="1"/>
  <c r="U71" i="1"/>
  <c r="V71" i="1"/>
  <c r="R72" i="1"/>
  <c r="U72" i="1"/>
  <c r="V72" i="1"/>
  <c r="R73" i="1"/>
  <c r="U73" i="1"/>
  <c r="V73" i="1"/>
  <c r="R74" i="1"/>
  <c r="U74" i="1"/>
  <c r="V74" i="1"/>
  <c r="R75" i="1"/>
  <c r="U75" i="1"/>
  <c r="V75" i="1"/>
  <c r="R76" i="1"/>
  <c r="U76" i="1"/>
  <c r="V76" i="1"/>
  <c r="R77" i="1"/>
  <c r="U77" i="1"/>
  <c r="V77" i="1"/>
  <c r="R78" i="1"/>
  <c r="U78" i="1"/>
  <c r="V78" i="1"/>
  <c r="R79" i="1"/>
  <c r="U79" i="1"/>
  <c r="V79" i="1"/>
  <c r="R80" i="1"/>
  <c r="U80" i="1"/>
  <c r="V80" i="1"/>
  <c r="R81" i="1"/>
  <c r="U81" i="1"/>
  <c r="V81" i="1"/>
  <c r="R82" i="1"/>
  <c r="U82" i="1"/>
  <c r="V82" i="1"/>
  <c r="R83" i="1"/>
  <c r="U83" i="1"/>
  <c r="V83" i="1"/>
  <c r="R84" i="1"/>
  <c r="U84" i="1"/>
  <c r="V84" i="1"/>
  <c r="R85" i="1"/>
  <c r="U85" i="1"/>
  <c r="V85" i="1"/>
  <c r="R86" i="1"/>
  <c r="U86" i="1"/>
  <c r="V86" i="1"/>
  <c r="R87" i="1"/>
  <c r="U87" i="1"/>
  <c r="V87" i="1"/>
  <c r="R88" i="1"/>
  <c r="U88" i="1"/>
  <c r="V88" i="1"/>
  <c r="R89" i="1"/>
  <c r="U89" i="1"/>
  <c r="V89" i="1"/>
  <c r="R90" i="1"/>
  <c r="U90" i="1"/>
  <c r="V90" i="1"/>
  <c r="R91" i="1"/>
  <c r="U91" i="1"/>
  <c r="V91" i="1"/>
  <c r="R92" i="1"/>
  <c r="U92" i="1"/>
  <c r="V92" i="1"/>
  <c r="R93" i="1"/>
  <c r="U93" i="1"/>
  <c r="V93" i="1"/>
  <c r="R94" i="1"/>
  <c r="U94" i="1"/>
  <c r="V94" i="1"/>
  <c r="R95" i="1"/>
  <c r="U95" i="1"/>
  <c r="V95" i="1"/>
  <c r="R96" i="1"/>
  <c r="U96" i="1"/>
  <c r="V96" i="1"/>
  <c r="R97" i="1"/>
  <c r="U97" i="1"/>
  <c r="V97" i="1"/>
  <c r="R98" i="1"/>
  <c r="U98" i="1"/>
  <c r="V98" i="1"/>
  <c r="R99" i="1"/>
  <c r="U99" i="1"/>
  <c r="V99" i="1"/>
  <c r="R100" i="1"/>
  <c r="U100" i="1"/>
  <c r="V100" i="1"/>
  <c r="R101" i="1"/>
  <c r="U101" i="1"/>
  <c r="V101" i="1"/>
  <c r="R102" i="1"/>
  <c r="U102" i="1"/>
  <c r="V102" i="1"/>
  <c r="R103" i="1"/>
  <c r="U103" i="1"/>
  <c r="V103" i="1"/>
  <c r="R104" i="1"/>
  <c r="U104" i="1"/>
  <c r="V104" i="1"/>
  <c r="R105" i="1"/>
  <c r="U105" i="1"/>
  <c r="V105" i="1"/>
  <c r="R106" i="1"/>
  <c r="U106" i="1"/>
  <c r="V106" i="1"/>
  <c r="R107" i="1"/>
  <c r="U107" i="1"/>
  <c r="V107" i="1"/>
  <c r="R108" i="1"/>
  <c r="U108" i="1"/>
  <c r="V108" i="1"/>
  <c r="R109" i="1"/>
  <c r="U109" i="1"/>
  <c r="V109" i="1"/>
  <c r="R110" i="1"/>
  <c r="U110" i="1"/>
  <c r="V110" i="1"/>
  <c r="R111" i="1"/>
  <c r="U111" i="1"/>
  <c r="V111" i="1"/>
  <c r="R112" i="1"/>
  <c r="U112" i="1"/>
  <c r="V112" i="1"/>
  <c r="R113" i="1"/>
  <c r="U113" i="1"/>
  <c r="V113" i="1"/>
  <c r="R114" i="1"/>
  <c r="U114" i="1"/>
  <c r="V114" i="1"/>
  <c r="R115" i="1"/>
  <c r="U115" i="1"/>
  <c r="V115" i="1"/>
  <c r="R116" i="1"/>
  <c r="U116" i="1"/>
  <c r="V116" i="1"/>
  <c r="R117" i="1"/>
  <c r="U117" i="1"/>
  <c r="V117" i="1"/>
  <c r="R118" i="1"/>
  <c r="U118" i="1"/>
  <c r="V118" i="1"/>
  <c r="R119" i="1"/>
  <c r="U119" i="1"/>
  <c r="V119" i="1"/>
  <c r="R120" i="1"/>
  <c r="U120" i="1"/>
  <c r="V120" i="1"/>
  <c r="R121" i="1"/>
  <c r="U121" i="1"/>
  <c r="V121" i="1"/>
  <c r="R122" i="1"/>
  <c r="U122" i="1"/>
  <c r="V122" i="1"/>
  <c r="R123" i="1"/>
  <c r="U123" i="1"/>
  <c r="V123" i="1"/>
  <c r="R124" i="1"/>
  <c r="U124" i="1"/>
  <c r="V124" i="1"/>
  <c r="R125" i="1"/>
  <c r="U125" i="1"/>
  <c r="V125" i="1"/>
  <c r="R126" i="1"/>
  <c r="U126" i="1"/>
  <c r="V126" i="1"/>
  <c r="R127" i="1"/>
  <c r="U127" i="1"/>
  <c r="V127" i="1"/>
  <c r="R128" i="1"/>
  <c r="U128" i="1"/>
  <c r="V128" i="1"/>
  <c r="R129" i="1"/>
  <c r="U129" i="1"/>
  <c r="V129" i="1"/>
  <c r="R130" i="1"/>
  <c r="U130" i="1"/>
  <c r="V130" i="1"/>
  <c r="R131" i="1"/>
  <c r="U131" i="1"/>
  <c r="V131" i="1"/>
  <c r="R132" i="1"/>
  <c r="U132" i="1"/>
  <c r="V132" i="1"/>
  <c r="R133" i="1"/>
  <c r="U133" i="1"/>
  <c r="V133" i="1"/>
  <c r="R134" i="1"/>
  <c r="U134" i="1"/>
  <c r="V134" i="1"/>
  <c r="R135" i="1"/>
  <c r="U135" i="1"/>
  <c r="V135" i="1"/>
  <c r="R136" i="1"/>
  <c r="U136" i="1"/>
  <c r="V136" i="1"/>
  <c r="R137" i="1"/>
  <c r="U137" i="1"/>
  <c r="V137" i="1"/>
  <c r="R138" i="1"/>
  <c r="U138" i="1"/>
  <c r="V138" i="1"/>
  <c r="R139" i="1"/>
  <c r="U139" i="1"/>
  <c r="V139" i="1"/>
  <c r="R140" i="1"/>
  <c r="U140" i="1"/>
  <c r="V140" i="1"/>
  <c r="R141" i="1"/>
  <c r="U141" i="1"/>
  <c r="V141" i="1"/>
  <c r="R142" i="1"/>
  <c r="U142" i="1"/>
  <c r="V142" i="1"/>
  <c r="R143" i="1"/>
  <c r="U143" i="1"/>
  <c r="V143" i="1"/>
  <c r="R144" i="1"/>
  <c r="U144" i="1"/>
  <c r="V144" i="1"/>
  <c r="R145" i="1"/>
  <c r="U145" i="1"/>
  <c r="V145" i="1"/>
  <c r="R146" i="1"/>
  <c r="U146" i="1"/>
  <c r="V146" i="1"/>
  <c r="R147" i="1"/>
  <c r="U147" i="1"/>
  <c r="V147" i="1"/>
  <c r="R148" i="1"/>
  <c r="U148" i="1"/>
  <c r="V148" i="1"/>
  <c r="R149" i="1"/>
  <c r="U149" i="1"/>
  <c r="V149" i="1"/>
  <c r="R150" i="1"/>
  <c r="U150" i="1"/>
  <c r="V150" i="1"/>
  <c r="R151" i="1"/>
  <c r="U151" i="1"/>
  <c r="V151" i="1"/>
  <c r="R152" i="1"/>
  <c r="U152" i="1"/>
  <c r="V152" i="1"/>
  <c r="R153" i="1"/>
  <c r="U153" i="1"/>
  <c r="V153" i="1"/>
  <c r="R154" i="1"/>
  <c r="U154" i="1"/>
  <c r="V154" i="1"/>
  <c r="R155" i="1"/>
  <c r="U155" i="1"/>
  <c r="V155" i="1"/>
  <c r="R156" i="1"/>
  <c r="U156" i="1"/>
  <c r="V156" i="1"/>
  <c r="R157" i="1"/>
  <c r="U157" i="1"/>
  <c r="V157" i="1"/>
  <c r="R158" i="1"/>
  <c r="U158" i="1"/>
  <c r="V158" i="1"/>
  <c r="R159" i="1"/>
  <c r="U159" i="1"/>
  <c r="V159" i="1"/>
  <c r="R160" i="1"/>
  <c r="U160" i="1"/>
  <c r="V160" i="1"/>
  <c r="R161" i="1"/>
  <c r="U161" i="1"/>
  <c r="V161" i="1"/>
  <c r="R162" i="1"/>
  <c r="U162" i="1"/>
  <c r="V162" i="1"/>
  <c r="R163" i="1"/>
  <c r="U163" i="1"/>
  <c r="V163" i="1"/>
  <c r="R164" i="1"/>
  <c r="U164" i="1"/>
  <c r="V164" i="1"/>
  <c r="R165" i="1"/>
  <c r="U165" i="1"/>
  <c r="V165" i="1"/>
  <c r="R166" i="1"/>
  <c r="U166" i="1"/>
  <c r="V166" i="1"/>
  <c r="R167" i="1"/>
  <c r="U167" i="1"/>
  <c r="V167" i="1"/>
  <c r="R168" i="1"/>
  <c r="U168" i="1"/>
  <c r="V168" i="1"/>
  <c r="R169" i="1"/>
  <c r="U169" i="1"/>
  <c r="V169" i="1"/>
  <c r="R170" i="1"/>
  <c r="U170" i="1"/>
  <c r="V170" i="1"/>
  <c r="R171" i="1"/>
  <c r="U171" i="1"/>
  <c r="V171" i="1"/>
  <c r="R172" i="1"/>
  <c r="U172" i="1"/>
  <c r="V172" i="1"/>
  <c r="R173" i="1"/>
  <c r="U173" i="1"/>
  <c r="V173" i="1"/>
  <c r="R174" i="1"/>
  <c r="U174" i="1"/>
  <c r="V174" i="1"/>
  <c r="R175" i="1"/>
  <c r="U175" i="1"/>
  <c r="V175" i="1"/>
  <c r="R176" i="1"/>
  <c r="U176" i="1"/>
  <c r="V176" i="1"/>
  <c r="R177" i="1"/>
  <c r="U177" i="1"/>
  <c r="V177" i="1"/>
  <c r="R178" i="1"/>
  <c r="U178" i="1"/>
  <c r="V178" i="1"/>
  <c r="R179" i="1"/>
  <c r="U179" i="1"/>
  <c r="V179" i="1"/>
  <c r="R180" i="1"/>
  <c r="U180" i="1"/>
  <c r="V180" i="1"/>
  <c r="R181" i="1"/>
  <c r="U181" i="1"/>
  <c r="V181" i="1"/>
  <c r="R182" i="1"/>
  <c r="U182" i="1"/>
  <c r="V182" i="1"/>
  <c r="R183" i="1"/>
  <c r="U183" i="1"/>
  <c r="V183" i="1"/>
  <c r="R184" i="1"/>
  <c r="U184" i="1"/>
  <c r="V184" i="1"/>
  <c r="R185" i="1"/>
  <c r="U185" i="1"/>
  <c r="V185" i="1"/>
  <c r="R186" i="1"/>
  <c r="U186" i="1"/>
  <c r="V186" i="1"/>
  <c r="R187" i="1"/>
  <c r="U187" i="1"/>
  <c r="V187" i="1"/>
  <c r="R188" i="1"/>
  <c r="U188" i="1"/>
  <c r="V188" i="1"/>
  <c r="R189" i="1"/>
  <c r="U189" i="1"/>
  <c r="V189" i="1"/>
  <c r="R190" i="1"/>
  <c r="U190" i="1"/>
  <c r="V190" i="1"/>
  <c r="R191" i="1"/>
  <c r="U191" i="1"/>
  <c r="V191" i="1"/>
  <c r="R192" i="1"/>
  <c r="U192" i="1"/>
  <c r="V192" i="1"/>
  <c r="R193" i="1"/>
  <c r="U193" i="1"/>
  <c r="V193" i="1"/>
  <c r="R194" i="1"/>
  <c r="U194" i="1"/>
  <c r="V194" i="1"/>
  <c r="R195" i="1"/>
  <c r="U195" i="1"/>
  <c r="V195" i="1"/>
  <c r="R196" i="1"/>
  <c r="U196" i="1"/>
  <c r="V196" i="1"/>
  <c r="R197" i="1"/>
  <c r="U197" i="1"/>
  <c r="V197" i="1"/>
  <c r="R198" i="1"/>
  <c r="U198" i="1"/>
  <c r="V198" i="1"/>
  <c r="R199" i="1"/>
  <c r="U199" i="1"/>
  <c r="V199" i="1"/>
  <c r="R200" i="1"/>
  <c r="U200" i="1"/>
  <c r="V200" i="1"/>
  <c r="R201" i="1"/>
  <c r="U201" i="1"/>
  <c r="V201" i="1"/>
  <c r="R202" i="1"/>
  <c r="U202" i="1"/>
  <c r="V202" i="1"/>
  <c r="R203" i="1"/>
  <c r="U203" i="1"/>
  <c r="V203" i="1"/>
  <c r="R204" i="1"/>
  <c r="U204" i="1"/>
  <c r="V204" i="1"/>
  <c r="R205" i="1"/>
  <c r="U205" i="1"/>
  <c r="V205" i="1"/>
  <c r="R206" i="1"/>
  <c r="U206" i="1"/>
  <c r="V206" i="1"/>
  <c r="R207" i="1"/>
  <c r="U207" i="1"/>
  <c r="V207" i="1"/>
  <c r="R208" i="1"/>
  <c r="U208" i="1"/>
  <c r="V208" i="1"/>
  <c r="R209" i="1"/>
  <c r="U209" i="1"/>
  <c r="V209" i="1"/>
  <c r="R210" i="1"/>
  <c r="U210" i="1"/>
  <c r="V210" i="1"/>
  <c r="R211" i="1"/>
  <c r="U211" i="1"/>
  <c r="V211" i="1"/>
  <c r="R212" i="1"/>
  <c r="U212" i="1"/>
  <c r="V212" i="1"/>
  <c r="R213" i="1"/>
  <c r="U213" i="1"/>
  <c r="V213" i="1"/>
  <c r="R214" i="1"/>
  <c r="U214" i="1"/>
  <c r="V214" i="1"/>
  <c r="R215" i="1"/>
  <c r="U215" i="1"/>
  <c r="V215" i="1"/>
  <c r="R216" i="1"/>
  <c r="U216" i="1"/>
  <c r="V216" i="1"/>
  <c r="R217" i="1"/>
  <c r="U217" i="1"/>
  <c r="V217" i="1"/>
  <c r="R218" i="1"/>
  <c r="U218" i="1"/>
  <c r="V218" i="1"/>
  <c r="R219" i="1"/>
  <c r="U219" i="1"/>
  <c r="V219" i="1"/>
  <c r="R220" i="1"/>
  <c r="U220" i="1"/>
  <c r="V220" i="1"/>
  <c r="R221" i="1"/>
  <c r="U221" i="1"/>
  <c r="V221" i="1"/>
  <c r="R222" i="1"/>
  <c r="U222" i="1"/>
  <c r="V222" i="1"/>
  <c r="R223" i="1"/>
  <c r="U223" i="1"/>
  <c r="V223" i="1"/>
  <c r="R224" i="1"/>
  <c r="U224" i="1"/>
  <c r="V224" i="1"/>
  <c r="R225" i="1"/>
  <c r="U225" i="1"/>
  <c r="V225" i="1"/>
  <c r="R226" i="1"/>
  <c r="U226" i="1"/>
  <c r="V226" i="1"/>
  <c r="R227" i="1"/>
  <c r="U227" i="1"/>
  <c r="V227" i="1"/>
  <c r="R228" i="1"/>
  <c r="U228" i="1"/>
  <c r="V228" i="1"/>
  <c r="R229" i="1"/>
  <c r="U229" i="1"/>
  <c r="V229" i="1"/>
  <c r="R230" i="1"/>
  <c r="U230" i="1"/>
  <c r="V230" i="1"/>
  <c r="R231" i="1"/>
  <c r="U231" i="1"/>
  <c r="V231" i="1"/>
  <c r="R232" i="1"/>
  <c r="U232" i="1"/>
  <c r="V232" i="1"/>
  <c r="R233" i="1"/>
  <c r="U233" i="1"/>
  <c r="V233" i="1"/>
  <c r="R234" i="1"/>
  <c r="U234" i="1"/>
  <c r="V234" i="1"/>
  <c r="R235" i="1"/>
  <c r="U235" i="1"/>
  <c r="V235" i="1"/>
  <c r="R236" i="1"/>
  <c r="U236" i="1"/>
  <c r="V236" i="1"/>
  <c r="R237" i="1"/>
  <c r="U237" i="1"/>
  <c r="V237" i="1"/>
  <c r="R238" i="1"/>
  <c r="U238" i="1"/>
  <c r="V238" i="1"/>
  <c r="R239" i="1"/>
  <c r="U239" i="1"/>
  <c r="V239" i="1"/>
  <c r="R240" i="1"/>
  <c r="U240" i="1"/>
  <c r="V240" i="1"/>
  <c r="R241" i="1"/>
  <c r="U241" i="1"/>
  <c r="V241" i="1"/>
  <c r="R242" i="1"/>
  <c r="U242" i="1"/>
  <c r="V242" i="1"/>
  <c r="R243" i="1"/>
  <c r="U243" i="1"/>
  <c r="V243" i="1"/>
  <c r="R244" i="1"/>
  <c r="U244" i="1"/>
  <c r="V244" i="1"/>
  <c r="R245" i="1"/>
  <c r="U245" i="1"/>
  <c r="V245" i="1"/>
  <c r="R246" i="1"/>
  <c r="U246" i="1"/>
  <c r="V246" i="1"/>
  <c r="R247" i="1"/>
  <c r="U247" i="1"/>
  <c r="V247" i="1"/>
  <c r="R248" i="1"/>
  <c r="U248" i="1"/>
  <c r="V248" i="1"/>
  <c r="R249" i="1"/>
  <c r="U249" i="1"/>
  <c r="V249" i="1"/>
  <c r="R250" i="1"/>
  <c r="U250" i="1"/>
  <c r="V250" i="1"/>
  <c r="R251" i="1"/>
  <c r="U251" i="1"/>
  <c r="V251" i="1"/>
  <c r="R252" i="1"/>
  <c r="U252" i="1"/>
  <c r="V252" i="1"/>
  <c r="R253" i="1"/>
  <c r="U253" i="1"/>
  <c r="V253" i="1"/>
  <c r="R254" i="1"/>
  <c r="U254" i="1"/>
  <c r="V254" i="1"/>
  <c r="R255" i="1"/>
  <c r="U255" i="1"/>
  <c r="V255" i="1"/>
  <c r="R256" i="1"/>
  <c r="U256" i="1"/>
  <c r="V256" i="1"/>
  <c r="R257" i="1"/>
  <c r="U257" i="1"/>
  <c r="V257" i="1"/>
  <c r="R258" i="1"/>
  <c r="U258" i="1"/>
  <c r="V258" i="1"/>
  <c r="R259" i="1"/>
  <c r="U259" i="1"/>
  <c r="V259" i="1"/>
  <c r="R260" i="1"/>
  <c r="U260" i="1"/>
  <c r="V260" i="1"/>
  <c r="R261" i="1"/>
  <c r="U261" i="1"/>
  <c r="V261" i="1"/>
  <c r="R262" i="1"/>
  <c r="U262" i="1"/>
  <c r="V262" i="1"/>
  <c r="R263" i="1"/>
  <c r="U263" i="1"/>
  <c r="V263" i="1"/>
  <c r="R264" i="1"/>
  <c r="U264" i="1"/>
  <c r="V264" i="1"/>
  <c r="R265" i="1"/>
  <c r="U265" i="1"/>
  <c r="V265" i="1"/>
  <c r="R266" i="1"/>
  <c r="U266" i="1"/>
  <c r="V266" i="1"/>
  <c r="R267" i="1"/>
  <c r="U267" i="1"/>
  <c r="V267" i="1"/>
  <c r="R268" i="1"/>
  <c r="U268" i="1"/>
  <c r="V268" i="1"/>
  <c r="R269" i="1"/>
  <c r="U269" i="1"/>
  <c r="V269" i="1"/>
  <c r="R270" i="1"/>
  <c r="U270" i="1"/>
  <c r="V270" i="1"/>
  <c r="R271" i="1"/>
  <c r="U271" i="1"/>
  <c r="V271" i="1"/>
  <c r="R272" i="1"/>
  <c r="U272" i="1"/>
  <c r="V272" i="1"/>
  <c r="R273" i="1"/>
  <c r="U273" i="1"/>
  <c r="V273" i="1"/>
  <c r="R274" i="1"/>
  <c r="U274" i="1"/>
  <c r="V274" i="1"/>
  <c r="R275" i="1"/>
  <c r="U275" i="1"/>
  <c r="V275" i="1"/>
  <c r="R276" i="1"/>
  <c r="U276" i="1"/>
  <c r="V276" i="1"/>
  <c r="R277" i="1"/>
  <c r="U277" i="1"/>
  <c r="V277" i="1"/>
  <c r="R278" i="1"/>
  <c r="U278" i="1"/>
  <c r="V278" i="1"/>
  <c r="R279" i="1"/>
  <c r="U279" i="1"/>
  <c r="V279" i="1"/>
  <c r="R280" i="1"/>
  <c r="U280" i="1"/>
  <c r="V280" i="1"/>
  <c r="R281" i="1"/>
  <c r="U281" i="1"/>
  <c r="V281" i="1"/>
  <c r="R282" i="1"/>
  <c r="U282" i="1"/>
  <c r="V282" i="1"/>
  <c r="R283" i="1"/>
  <c r="U283" i="1"/>
  <c r="V283" i="1"/>
  <c r="R284" i="1"/>
  <c r="U284" i="1"/>
  <c r="V284" i="1"/>
  <c r="R285" i="1"/>
  <c r="U285" i="1"/>
  <c r="V285" i="1"/>
  <c r="R286" i="1"/>
  <c r="U286" i="1"/>
  <c r="V286" i="1"/>
  <c r="R287" i="1"/>
  <c r="U287" i="1"/>
  <c r="V287" i="1"/>
  <c r="R288" i="1"/>
  <c r="U288" i="1"/>
  <c r="V288" i="1"/>
  <c r="R289" i="1"/>
  <c r="U289" i="1"/>
  <c r="V289" i="1"/>
  <c r="R290" i="1"/>
  <c r="U290" i="1"/>
  <c r="V290" i="1"/>
  <c r="R291" i="1"/>
  <c r="U291" i="1"/>
  <c r="V291" i="1"/>
  <c r="R292" i="1"/>
  <c r="U292" i="1"/>
  <c r="V292" i="1"/>
  <c r="R293" i="1"/>
  <c r="U293" i="1"/>
  <c r="V293" i="1"/>
  <c r="R294" i="1"/>
  <c r="U294" i="1"/>
  <c r="V294" i="1"/>
  <c r="R295" i="1"/>
  <c r="U295" i="1"/>
  <c r="V295" i="1"/>
  <c r="R296" i="1"/>
  <c r="U296" i="1"/>
  <c r="V296" i="1"/>
  <c r="R297" i="1"/>
  <c r="U297" i="1"/>
  <c r="V297" i="1"/>
  <c r="R298" i="1"/>
  <c r="U298" i="1"/>
  <c r="V298" i="1"/>
  <c r="R299" i="1"/>
  <c r="U299" i="1"/>
  <c r="V299" i="1"/>
  <c r="R300" i="1"/>
  <c r="U300" i="1"/>
  <c r="V300" i="1"/>
  <c r="R301" i="1"/>
  <c r="U301" i="1"/>
  <c r="V301" i="1"/>
  <c r="R302" i="1"/>
  <c r="U302" i="1"/>
  <c r="V302" i="1"/>
  <c r="R303" i="1"/>
  <c r="U303" i="1"/>
  <c r="V303" i="1"/>
  <c r="R304" i="1"/>
  <c r="U304" i="1"/>
  <c r="V304" i="1"/>
  <c r="R305" i="1"/>
  <c r="U305" i="1"/>
  <c r="V305" i="1"/>
  <c r="R306" i="1"/>
  <c r="U306" i="1"/>
  <c r="V306" i="1"/>
  <c r="R307" i="1"/>
  <c r="U307" i="1"/>
  <c r="V307" i="1"/>
  <c r="R308" i="1"/>
  <c r="U308" i="1"/>
  <c r="V308" i="1"/>
  <c r="R309" i="1"/>
  <c r="U309" i="1"/>
  <c r="V309" i="1"/>
  <c r="R310" i="1"/>
  <c r="U310" i="1"/>
  <c r="V310" i="1"/>
  <c r="R311" i="1"/>
  <c r="U311" i="1"/>
  <c r="V311" i="1"/>
  <c r="R312" i="1"/>
  <c r="U312" i="1"/>
  <c r="V312" i="1"/>
  <c r="R313" i="1"/>
  <c r="U313" i="1"/>
  <c r="V313" i="1"/>
  <c r="R314" i="1"/>
  <c r="U314" i="1"/>
  <c r="V314" i="1"/>
  <c r="R315" i="1"/>
  <c r="U315" i="1"/>
  <c r="V315" i="1"/>
  <c r="R316" i="1"/>
  <c r="U316" i="1"/>
  <c r="V316" i="1"/>
  <c r="R317" i="1"/>
  <c r="U317" i="1"/>
  <c r="V317" i="1"/>
  <c r="R318" i="1"/>
  <c r="U318" i="1"/>
  <c r="V318" i="1"/>
  <c r="R319" i="1"/>
  <c r="U319" i="1"/>
  <c r="V319" i="1"/>
  <c r="R320" i="1"/>
  <c r="U320" i="1"/>
  <c r="V320" i="1"/>
  <c r="R321" i="1"/>
  <c r="U321" i="1"/>
  <c r="V321" i="1"/>
  <c r="R322" i="1"/>
  <c r="U322" i="1"/>
  <c r="V322" i="1"/>
  <c r="R323" i="1"/>
  <c r="U323" i="1"/>
  <c r="V323" i="1"/>
  <c r="R324" i="1"/>
  <c r="U324" i="1"/>
  <c r="V324" i="1"/>
  <c r="R325" i="1"/>
  <c r="U325" i="1"/>
  <c r="V325" i="1"/>
  <c r="R326" i="1"/>
  <c r="U326" i="1"/>
  <c r="V326" i="1"/>
  <c r="R327" i="1"/>
  <c r="U327" i="1"/>
  <c r="V327" i="1"/>
  <c r="R328" i="1"/>
  <c r="U328" i="1"/>
  <c r="V328" i="1"/>
  <c r="R329" i="1"/>
  <c r="U329" i="1"/>
  <c r="V329" i="1"/>
  <c r="R330" i="1"/>
  <c r="U330" i="1"/>
  <c r="V330" i="1"/>
  <c r="R331" i="1"/>
  <c r="U331" i="1"/>
  <c r="V331" i="1"/>
  <c r="R332" i="1"/>
  <c r="U332" i="1"/>
  <c r="V332" i="1"/>
  <c r="R333" i="1"/>
  <c r="U333" i="1"/>
  <c r="V333" i="1"/>
  <c r="R334" i="1"/>
  <c r="U334" i="1"/>
  <c r="V334" i="1"/>
  <c r="R335" i="1"/>
  <c r="U335" i="1"/>
  <c r="V335" i="1"/>
  <c r="R336" i="1"/>
  <c r="U336" i="1"/>
  <c r="V336" i="1"/>
  <c r="R337" i="1"/>
  <c r="U337" i="1"/>
  <c r="V337" i="1"/>
  <c r="R338" i="1"/>
  <c r="U338" i="1"/>
  <c r="V338" i="1"/>
  <c r="R339" i="1"/>
  <c r="U339" i="1"/>
  <c r="V339" i="1"/>
  <c r="R340" i="1"/>
  <c r="U340" i="1"/>
  <c r="V340" i="1"/>
  <c r="R341" i="1"/>
  <c r="U341" i="1"/>
  <c r="V341" i="1"/>
  <c r="R342" i="1"/>
  <c r="U342" i="1"/>
  <c r="V342" i="1"/>
  <c r="R343" i="1"/>
  <c r="U343" i="1"/>
  <c r="V343" i="1"/>
  <c r="R344" i="1"/>
  <c r="U344" i="1"/>
  <c r="V344" i="1"/>
  <c r="R345" i="1"/>
  <c r="U345" i="1"/>
  <c r="V345" i="1"/>
  <c r="R346" i="1"/>
  <c r="U346" i="1"/>
  <c r="V346" i="1"/>
  <c r="R347" i="1"/>
  <c r="U347" i="1"/>
  <c r="V347" i="1"/>
  <c r="R348" i="1"/>
  <c r="U348" i="1"/>
  <c r="V348" i="1"/>
  <c r="R349" i="1"/>
  <c r="U349" i="1"/>
  <c r="V349" i="1"/>
  <c r="R350" i="1"/>
  <c r="U350" i="1"/>
  <c r="V350" i="1"/>
  <c r="R351" i="1"/>
  <c r="U351" i="1"/>
  <c r="V351" i="1"/>
  <c r="R352" i="1"/>
  <c r="U352" i="1"/>
  <c r="V352" i="1"/>
  <c r="R353" i="1"/>
  <c r="U353" i="1"/>
  <c r="V353" i="1"/>
  <c r="R354" i="1"/>
  <c r="U354" i="1"/>
  <c r="V354" i="1"/>
  <c r="R355" i="1"/>
  <c r="U355" i="1"/>
  <c r="V355" i="1"/>
  <c r="R356" i="1"/>
  <c r="U356" i="1"/>
  <c r="V356" i="1"/>
  <c r="R357" i="1"/>
  <c r="U357" i="1"/>
  <c r="V357" i="1"/>
  <c r="R358" i="1"/>
  <c r="U358" i="1"/>
  <c r="V358" i="1"/>
  <c r="R359" i="1"/>
  <c r="U359" i="1"/>
  <c r="V359" i="1"/>
  <c r="R360" i="1"/>
  <c r="U360" i="1"/>
  <c r="V360" i="1"/>
  <c r="R361" i="1"/>
  <c r="U361" i="1"/>
  <c r="V361" i="1"/>
  <c r="R362" i="1"/>
  <c r="U362" i="1"/>
  <c r="V362" i="1"/>
  <c r="R363" i="1"/>
  <c r="U363" i="1"/>
  <c r="V363" i="1"/>
  <c r="R364" i="1"/>
  <c r="U364" i="1"/>
  <c r="V364" i="1"/>
  <c r="R365" i="1"/>
  <c r="U365" i="1"/>
  <c r="V365" i="1"/>
  <c r="R366" i="1"/>
  <c r="U366" i="1"/>
  <c r="V366" i="1"/>
  <c r="R367" i="1"/>
  <c r="U367" i="1"/>
  <c r="V367" i="1"/>
  <c r="R368" i="1"/>
  <c r="U368" i="1"/>
  <c r="V368" i="1"/>
  <c r="R369" i="1"/>
  <c r="U369" i="1"/>
  <c r="V369" i="1"/>
  <c r="R370" i="1"/>
  <c r="U370" i="1"/>
  <c r="V370" i="1"/>
  <c r="R371" i="1"/>
  <c r="U371" i="1"/>
  <c r="V371" i="1"/>
  <c r="R372" i="1"/>
  <c r="U372" i="1"/>
  <c r="V372" i="1"/>
  <c r="R373" i="1"/>
  <c r="U373" i="1"/>
  <c r="V373" i="1"/>
  <c r="R374" i="1"/>
  <c r="U374" i="1"/>
  <c r="V374" i="1"/>
  <c r="R375" i="1"/>
  <c r="U375" i="1"/>
  <c r="V375" i="1"/>
  <c r="R376" i="1"/>
  <c r="U376" i="1"/>
  <c r="V376" i="1"/>
  <c r="R377" i="1"/>
  <c r="U377" i="1"/>
  <c r="V377" i="1"/>
  <c r="R378" i="1"/>
  <c r="U378" i="1"/>
  <c r="V378" i="1"/>
  <c r="R379" i="1"/>
  <c r="U379" i="1"/>
  <c r="V379" i="1"/>
  <c r="R380" i="1"/>
  <c r="U380" i="1"/>
  <c r="V380" i="1"/>
  <c r="R381" i="1"/>
  <c r="U381" i="1"/>
  <c r="V381" i="1"/>
  <c r="R382" i="1"/>
  <c r="U382" i="1"/>
  <c r="V382" i="1"/>
  <c r="R383" i="1"/>
  <c r="U383" i="1"/>
  <c r="V383" i="1"/>
  <c r="R384" i="1"/>
  <c r="U384" i="1"/>
  <c r="V384" i="1"/>
  <c r="R385" i="1"/>
  <c r="U385" i="1"/>
  <c r="V385" i="1"/>
  <c r="R386" i="1"/>
  <c r="U386" i="1"/>
  <c r="V386" i="1"/>
  <c r="R387" i="1"/>
  <c r="U387" i="1"/>
  <c r="V387" i="1"/>
  <c r="R388" i="1"/>
  <c r="U388" i="1"/>
  <c r="V388" i="1"/>
  <c r="R389" i="1"/>
  <c r="U389" i="1"/>
  <c r="V389" i="1"/>
  <c r="R390" i="1"/>
  <c r="U390" i="1"/>
  <c r="V390" i="1"/>
  <c r="R391" i="1"/>
  <c r="U391" i="1"/>
  <c r="V391" i="1"/>
  <c r="R392" i="1"/>
  <c r="U392" i="1"/>
  <c r="V392" i="1"/>
  <c r="R393" i="1"/>
  <c r="U393" i="1"/>
  <c r="V393" i="1"/>
  <c r="R394" i="1"/>
  <c r="U394" i="1"/>
  <c r="V394" i="1"/>
  <c r="R395" i="1"/>
  <c r="U395" i="1"/>
  <c r="V395" i="1"/>
  <c r="R396" i="1"/>
  <c r="U396" i="1"/>
  <c r="V396" i="1"/>
  <c r="R397" i="1"/>
  <c r="U397" i="1"/>
  <c r="V397" i="1"/>
  <c r="R398" i="1"/>
  <c r="U398" i="1"/>
  <c r="V398" i="1"/>
  <c r="R399" i="1"/>
  <c r="U399" i="1"/>
  <c r="V399" i="1"/>
  <c r="R400" i="1"/>
  <c r="U400" i="1"/>
  <c r="V400" i="1"/>
  <c r="R401" i="1"/>
  <c r="U401" i="1"/>
  <c r="V401" i="1"/>
  <c r="R402" i="1"/>
  <c r="U402" i="1"/>
  <c r="V402" i="1"/>
  <c r="R403" i="1"/>
  <c r="U403" i="1"/>
  <c r="V403" i="1"/>
  <c r="R404" i="1"/>
  <c r="U404" i="1"/>
  <c r="V404" i="1"/>
  <c r="R405" i="1"/>
  <c r="U405" i="1"/>
  <c r="V405" i="1"/>
  <c r="R406" i="1"/>
  <c r="U406" i="1"/>
  <c r="V406" i="1"/>
  <c r="R407" i="1"/>
  <c r="U407" i="1"/>
  <c r="V407" i="1"/>
  <c r="R408" i="1"/>
  <c r="U408" i="1"/>
  <c r="V408" i="1"/>
  <c r="R409" i="1"/>
  <c r="U409" i="1"/>
  <c r="V409" i="1"/>
  <c r="R410" i="1"/>
  <c r="U410" i="1"/>
  <c r="V410" i="1"/>
  <c r="R411" i="1"/>
  <c r="U411" i="1"/>
  <c r="V411" i="1"/>
  <c r="R412" i="1"/>
  <c r="U412" i="1"/>
  <c r="V412" i="1"/>
  <c r="R413" i="1"/>
  <c r="U413" i="1"/>
  <c r="V413" i="1"/>
  <c r="R414" i="1"/>
  <c r="U414" i="1"/>
  <c r="V414" i="1"/>
  <c r="R415" i="1"/>
  <c r="U415" i="1"/>
  <c r="V415" i="1"/>
  <c r="R416" i="1"/>
  <c r="U416" i="1"/>
  <c r="V416" i="1"/>
  <c r="R417" i="1"/>
  <c r="U417" i="1"/>
  <c r="V417" i="1"/>
  <c r="R418" i="1"/>
  <c r="U418" i="1"/>
  <c r="V418" i="1"/>
  <c r="R419" i="1"/>
  <c r="U419" i="1"/>
  <c r="V419" i="1"/>
  <c r="R420" i="1"/>
  <c r="U420" i="1"/>
  <c r="V420" i="1"/>
  <c r="R421" i="1"/>
  <c r="U421" i="1"/>
  <c r="V421" i="1"/>
  <c r="R422" i="1"/>
  <c r="U422" i="1"/>
  <c r="V422" i="1"/>
  <c r="R423" i="1"/>
  <c r="U423" i="1"/>
  <c r="V423" i="1"/>
  <c r="R424" i="1"/>
  <c r="U424" i="1"/>
  <c r="V424" i="1"/>
  <c r="R425" i="1"/>
  <c r="U425" i="1"/>
  <c r="V425" i="1"/>
  <c r="R426" i="1"/>
  <c r="U426" i="1"/>
  <c r="V426" i="1"/>
  <c r="R427" i="1"/>
  <c r="U427" i="1"/>
  <c r="V427" i="1"/>
  <c r="R428" i="1"/>
  <c r="U428" i="1"/>
  <c r="V428" i="1"/>
  <c r="R429" i="1"/>
  <c r="U429" i="1"/>
  <c r="V429" i="1"/>
  <c r="R430" i="1"/>
  <c r="U430" i="1"/>
  <c r="V430" i="1"/>
  <c r="R431" i="1"/>
  <c r="U431" i="1"/>
  <c r="V431" i="1"/>
  <c r="R432" i="1"/>
  <c r="U432" i="1"/>
  <c r="V432" i="1"/>
  <c r="R433" i="1"/>
  <c r="U433" i="1"/>
  <c r="V433" i="1"/>
  <c r="R434" i="1"/>
  <c r="U434" i="1"/>
  <c r="V434" i="1"/>
  <c r="R435" i="1"/>
  <c r="U435" i="1"/>
  <c r="V435" i="1"/>
  <c r="R436" i="1"/>
  <c r="U436" i="1"/>
  <c r="V436" i="1"/>
  <c r="R437" i="1"/>
  <c r="U437" i="1"/>
  <c r="V437" i="1"/>
  <c r="R438" i="1"/>
  <c r="U438" i="1"/>
  <c r="V438" i="1"/>
  <c r="R439" i="1"/>
  <c r="U439" i="1"/>
  <c r="V439" i="1"/>
  <c r="R440" i="1"/>
  <c r="U440" i="1"/>
  <c r="V440" i="1"/>
  <c r="R441" i="1"/>
  <c r="U441" i="1"/>
  <c r="V441" i="1"/>
  <c r="R442" i="1"/>
  <c r="U442" i="1"/>
  <c r="V442" i="1"/>
  <c r="R443" i="1"/>
  <c r="U443" i="1"/>
  <c r="V443" i="1"/>
  <c r="R444" i="1"/>
  <c r="U444" i="1"/>
  <c r="V444" i="1"/>
  <c r="R445" i="1"/>
  <c r="U445" i="1"/>
  <c r="V445" i="1"/>
  <c r="R446" i="1"/>
  <c r="U446" i="1"/>
  <c r="V446" i="1"/>
  <c r="R447" i="1"/>
  <c r="U447" i="1"/>
  <c r="V447" i="1"/>
  <c r="R448" i="1"/>
  <c r="U448" i="1"/>
  <c r="V448" i="1"/>
  <c r="R449" i="1"/>
  <c r="U449" i="1"/>
  <c r="V449" i="1"/>
  <c r="R450" i="1"/>
  <c r="U450" i="1"/>
  <c r="V450" i="1"/>
  <c r="R451" i="1"/>
  <c r="U451" i="1"/>
  <c r="V451" i="1"/>
  <c r="R452" i="1"/>
  <c r="U452" i="1"/>
  <c r="V452" i="1"/>
  <c r="R453" i="1"/>
  <c r="U453" i="1"/>
  <c r="V453" i="1"/>
  <c r="R454" i="1"/>
  <c r="U454" i="1"/>
  <c r="V454" i="1"/>
  <c r="R455" i="1"/>
  <c r="U455" i="1"/>
  <c r="V455" i="1"/>
  <c r="R456" i="1"/>
  <c r="U456" i="1"/>
  <c r="V456" i="1"/>
  <c r="R457" i="1"/>
  <c r="U457" i="1"/>
  <c r="V457" i="1"/>
  <c r="R458" i="1"/>
  <c r="U458" i="1"/>
  <c r="V458" i="1"/>
  <c r="R459" i="1"/>
  <c r="U459" i="1"/>
  <c r="V459" i="1"/>
  <c r="R460" i="1"/>
  <c r="U460" i="1"/>
  <c r="V460" i="1"/>
  <c r="R461" i="1"/>
  <c r="U461" i="1"/>
  <c r="V461" i="1"/>
  <c r="R462" i="1"/>
  <c r="U462" i="1"/>
  <c r="V462" i="1"/>
  <c r="R463" i="1"/>
  <c r="U463" i="1"/>
  <c r="V463" i="1"/>
  <c r="R464" i="1"/>
  <c r="U464" i="1"/>
  <c r="V464" i="1"/>
  <c r="R465" i="1"/>
  <c r="U465" i="1"/>
  <c r="V465" i="1"/>
  <c r="R466" i="1"/>
  <c r="U466" i="1"/>
  <c r="V466" i="1"/>
  <c r="R467" i="1"/>
  <c r="U467" i="1"/>
  <c r="V467" i="1"/>
  <c r="R468" i="1"/>
  <c r="U468" i="1"/>
  <c r="V468" i="1"/>
  <c r="R469" i="1"/>
  <c r="U469" i="1"/>
  <c r="V469" i="1"/>
  <c r="R470" i="1"/>
  <c r="U470" i="1"/>
  <c r="V470" i="1"/>
  <c r="R471" i="1"/>
  <c r="U471" i="1"/>
  <c r="V471" i="1"/>
  <c r="R472" i="1"/>
  <c r="U472" i="1"/>
  <c r="V472" i="1"/>
  <c r="R473" i="1"/>
  <c r="U473" i="1"/>
  <c r="V473" i="1"/>
  <c r="R474" i="1"/>
  <c r="U474" i="1"/>
  <c r="V474" i="1"/>
  <c r="R475" i="1"/>
  <c r="U475" i="1"/>
  <c r="V475" i="1"/>
  <c r="R476" i="1"/>
  <c r="U476" i="1"/>
  <c r="V476" i="1"/>
  <c r="R477" i="1"/>
  <c r="U477" i="1"/>
  <c r="V477" i="1"/>
  <c r="R478" i="1"/>
  <c r="U478" i="1"/>
  <c r="V478" i="1"/>
  <c r="R479" i="1"/>
  <c r="U479" i="1"/>
  <c r="V479" i="1"/>
  <c r="R480" i="1"/>
  <c r="U480" i="1"/>
  <c r="V480" i="1"/>
  <c r="R481" i="1"/>
  <c r="U481" i="1"/>
  <c r="V481" i="1"/>
  <c r="R482" i="1"/>
  <c r="U482" i="1"/>
  <c r="V482" i="1"/>
  <c r="R483" i="1"/>
  <c r="U483" i="1"/>
  <c r="V483" i="1"/>
  <c r="R484" i="1"/>
  <c r="U484" i="1"/>
  <c r="V484" i="1"/>
  <c r="R485" i="1"/>
  <c r="U485" i="1"/>
  <c r="V485" i="1"/>
  <c r="R486" i="1"/>
  <c r="U486" i="1"/>
  <c r="V486" i="1"/>
  <c r="R487" i="1"/>
  <c r="U487" i="1"/>
  <c r="V487" i="1"/>
  <c r="R488" i="1"/>
  <c r="U488" i="1"/>
  <c r="V488" i="1"/>
  <c r="R489" i="1"/>
  <c r="U489" i="1"/>
  <c r="V489" i="1"/>
  <c r="R490" i="1"/>
  <c r="U490" i="1"/>
  <c r="V490" i="1"/>
  <c r="R491" i="1"/>
  <c r="U491" i="1"/>
  <c r="V491" i="1"/>
  <c r="R492" i="1"/>
  <c r="U492" i="1"/>
  <c r="V492" i="1"/>
  <c r="R493" i="1"/>
  <c r="U493" i="1"/>
  <c r="V493" i="1"/>
  <c r="R494" i="1"/>
  <c r="U494" i="1"/>
  <c r="V494" i="1"/>
  <c r="R495" i="1"/>
  <c r="U495" i="1"/>
  <c r="V495" i="1"/>
  <c r="R496" i="1"/>
  <c r="U496" i="1"/>
  <c r="V496" i="1"/>
  <c r="R497" i="1"/>
  <c r="U497" i="1"/>
  <c r="V497" i="1"/>
  <c r="R498" i="1"/>
  <c r="U498" i="1"/>
  <c r="V498" i="1"/>
  <c r="R499" i="1"/>
  <c r="U499" i="1"/>
  <c r="V499" i="1"/>
  <c r="R500" i="1"/>
  <c r="U500" i="1"/>
  <c r="V500" i="1"/>
  <c r="R501" i="1"/>
  <c r="U501" i="1"/>
  <c r="V501" i="1"/>
  <c r="R502" i="1"/>
  <c r="U502" i="1"/>
  <c r="V502" i="1"/>
  <c r="R503" i="1"/>
  <c r="U503" i="1"/>
  <c r="V503" i="1"/>
  <c r="R504" i="1"/>
  <c r="U504" i="1"/>
  <c r="V504" i="1"/>
  <c r="R505" i="1"/>
  <c r="U505" i="1"/>
  <c r="V505" i="1"/>
  <c r="R506" i="1"/>
  <c r="U506" i="1"/>
  <c r="V506" i="1"/>
  <c r="R507" i="1"/>
  <c r="U507" i="1"/>
  <c r="V507" i="1"/>
  <c r="R508" i="1"/>
  <c r="U508" i="1"/>
  <c r="V508" i="1"/>
  <c r="R509" i="1"/>
  <c r="U509" i="1"/>
  <c r="V509" i="1"/>
  <c r="R510" i="1"/>
  <c r="U510" i="1"/>
  <c r="V510" i="1"/>
  <c r="R511" i="1"/>
  <c r="U511" i="1"/>
  <c r="V511" i="1"/>
  <c r="R512" i="1"/>
  <c r="U512" i="1"/>
  <c r="V512" i="1"/>
  <c r="R513" i="1"/>
  <c r="U513" i="1"/>
  <c r="V513" i="1"/>
  <c r="R514" i="1"/>
  <c r="U514" i="1"/>
  <c r="V514" i="1"/>
  <c r="R515" i="1"/>
  <c r="U515" i="1"/>
  <c r="V515" i="1"/>
  <c r="R516" i="1"/>
  <c r="U516" i="1"/>
  <c r="V516" i="1"/>
  <c r="R517" i="1"/>
  <c r="U517" i="1"/>
  <c r="V517" i="1"/>
  <c r="R518" i="1"/>
  <c r="U518" i="1"/>
  <c r="V518" i="1"/>
  <c r="R519" i="1"/>
  <c r="U519" i="1"/>
  <c r="V519" i="1"/>
  <c r="R520" i="1"/>
  <c r="U520" i="1"/>
  <c r="V520" i="1"/>
  <c r="R521" i="1"/>
  <c r="U521" i="1"/>
  <c r="V521" i="1"/>
  <c r="R522" i="1"/>
  <c r="U522" i="1"/>
  <c r="V522" i="1"/>
  <c r="R523" i="1"/>
  <c r="U523" i="1"/>
  <c r="V523" i="1"/>
  <c r="R524" i="1"/>
  <c r="U524" i="1"/>
  <c r="V524" i="1"/>
  <c r="R525" i="1"/>
  <c r="U525" i="1"/>
  <c r="V525" i="1"/>
  <c r="R526" i="1"/>
  <c r="U526" i="1"/>
  <c r="V526" i="1"/>
  <c r="R527" i="1"/>
  <c r="U527" i="1"/>
  <c r="V527" i="1"/>
  <c r="R528" i="1"/>
  <c r="U528" i="1"/>
  <c r="V528" i="1"/>
  <c r="R529" i="1"/>
  <c r="U529" i="1"/>
  <c r="V529" i="1"/>
  <c r="R530" i="1"/>
  <c r="U530" i="1"/>
  <c r="V530" i="1"/>
  <c r="R531" i="1"/>
  <c r="U531" i="1"/>
  <c r="V531" i="1"/>
  <c r="R532" i="1"/>
  <c r="U532" i="1"/>
  <c r="V532" i="1"/>
  <c r="R533" i="1"/>
  <c r="U533" i="1"/>
  <c r="V533" i="1"/>
  <c r="R534" i="1"/>
  <c r="U534" i="1"/>
  <c r="V534" i="1"/>
  <c r="R535" i="1"/>
  <c r="U535" i="1"/>
  <c r="V535" i="1"/>
  <c r="R536" i="1"/>
  <c r="U536" i="1"/>
  <c r="V536" i="1"/>
  <c r="R537" i="1"/>
  <c r="U537" i="1"/>
  <c r="V537" i="1"/>
  <c r="R538" i="1"/>
  <c r="U538" i="1"/>
  <c r="V538" i="1"/>
  <c r="R539" i="1"/>
  <c r="U539" i="1"/>
  <c r="V539" i="1"/>
  <c r="R540" i="1"/>
  <c r="U540" i="1"/>
  <c r="V540" i="1"/>
  <c r="R541" i="1"/>
  <c r="U541" i="1"/>
  <c r="V541" i="1"/>
  <c r="R542" i="1"/>
  <c r="U542" i="1"/>
  <c r="V542" i="1"/>
  <c r="R543" i="1"/>
  <c r="U543" i="1"/>
  <c r="V543" i="1"/>
  <c r="R544" i="1"/>
  <c r="U544" i="1"/>
  <c r="V544" i="1"/>
  <c r="R545" i="1"/>
  <c r="U545" i="1"/>
  <c r="V545" i="1"/>
  <c r="R546" i="1"/>
  <c r="U546" i="1"/>
  <c r="V546" i="1"/>
  <c r="R547" i="1"/>
  <c r="U547" i="1"/>
  <c r="V547" i="1"/>
  <c r="R548" i="1"/>
  <c r="U548" i="1"/>
  <c r="V548" i="1"/>
  <c r="R549" i="1"/>
  <c r="U549" i="1"/>
  <c r="V549" i="1"/>
  <c r="R550" i="1"/>
  <c r="U550" i="1"/>
  <c r="V550" i="1"/>
  <c r="R551" i="1"/>
  <c r="U551" i="1"/>
  <c r="V551" i="1"/>
  <c r="R552" i="1"/>
  <c r="U552" i="1"/>
  <c r="V552" i="1"/>
  <c r="R553" i="1"/>
  <c r="U553" i="1"/>
  <c r="V553" i="1"/>
  <c r="R554" i="1"/>
  <c r="U554" i="1"/>
  <c r="V554" i="1"/>
  <c r="R555" i="1"/>
  <c r="U555" i="1"/>
  <c r="V555" i="1"/>
  <c r="R556" i="1"/>
  <c r="U556" i="1"/>
  <c r="V556" i="1"/>
  <c r="R557" i="1"/>
  <c r="U557" i="1"/>
  <c r="V557" i="1"/>
  <c r="R558" i="1"/>
  <c r="U558" i="1"/>
  <c r="V558" i="1"/>
  <c r="R559" i="1"/>
  <c r="U559" i="1"/>
  <c r="V559" i="1"/>
  <c r="R560" i="1"/>
  <c r="U560" i="1"/>
  <c r="V560" i="1"/>
  <c r="R561" i="1"/>
  <c r="U561" i="1"/>
  <c r="V561" i="1"/>
  <c r="R562" i="1"/>
  <c r="U562" i="1"/>
  <c r="V562" i="1"/>
  <c r="R563" i="1"/>
  <c r="U563" i="1"/>
  <c r="V563" i="1"/>
  <c r="R564" i="1"/>
  <c r="U564" i="1"/>
  <c r="V564" i="1"/>
  <c r="R565" i="1"/>
  <c r="U565" i="1"/>
  <c r="V565" i="1"/>
  <c r="R566" i="1"/>
  <c r="U566" i="1"/>
  <c r="V566" i="1"/>
  <c r="R567" i="1"/>
  <c r="U567" i="1"/>
  <c r="V567" i="1"/>
  <c r="R568" i="1"/>
  <c r="U568" i="1"/>
  <c r="V568" i="1"/>
  <c r="R569" i="1"/>
  <c r="U569" i="1"/>
  <c r="V569" i="1"/>
  <c r="R570" i="1"/>
  <c r="U570" i="1"/>
  <c r="V570" i="1"/>
  <c r="R571" i="1"/>
  <c r="U571" i="1"/>
  <c r="V571" i="1"/>
  <c r="R572" i="1"/>
  <c r="U572" i="1"/>
  <c r="V572" i="1"/>
  <c r="R573" i="1"/>
  <c r="U573" i="1"/>
  <c r="V573" i="1"/>
  <c r="R574" i="1"/>
  <c r="U574" i="1"/>
  <c r="V574" i="1"/>
  <c r="R575" i="1"/>
  <c r="U575" i="1"/>
  <c r="V575" i="1"/>
  <c r="R576" i="1"/>
  <c r="U576" i="1"/>
  <c r="V576" i="1"/>
  <c r="R577" i="1"/>
  <c r="U577" i="1"/>
  <c r="V577" i="1"/>
  <c r="R578" i="1"/>
  <c r="U578" i="1"/>
  <c r="V578" i="1"/>
  <c r="R579" i="1"/>
  <c r="U579" i="1"/>
  <c r="V579" i="1"/>
  <c r="R580" i="1"/>
  <c r="U580" i="1"/>
  <c r="V580" i="1"/>
  <c r="R581" i="1"/>
  <c r="U581" i="1"/>
  <c r="V581" i="1"/>
  <c r="R582" i="1"/>
  <c r="U582" i="1"/>
  <c r="V582" i="1"/>
  <c r="R583" i="1"/>
  <c r="U583" i="1"/>
  <c r="V583" i="1"/>
  <c r="R584" i="1"/>
  <c r="U584" i="1"/>
  <c r="V584" i="1"/>
  <c r="R585" i="1"/>
  <c r="U585" i="1"/>
  <c r="V585" i="1"/>
  <c r="R586" i="1"/>
  <c r="U586" i="1"/>
  <c r="V586" i="1"/>
  <c r="R587" i="1"/>
  <c r="U587" i="1"/>
  <c r="V587" i="1"/>
  <c r="R588" i="1"/>
  <c r="U588" i="1"/>
  <c r="V588" i="1"/>
  <c r="R589" i="1"/>
  <c r="U589" i="1"/>
  <c r="V589" i="1"/>
  <c r="R590" i="1"/>
  <c r="U590" i="1"/>
  <c r="V590" i="1"/>
  <c r="R591" i="1"/>
  <c r="U591" i="1"/>
  <c r="V591" i="1"/>
  <c r="R592" i="1"/>
  <c r="U592" i="1"/>
  <c r="V592" i="1"/>
  <c r="R593" i="1"/>
  <c r="U593" i="1"/>
  <c r="V593" i="1"/>
  <c r="R594" i="1"/>
  <c r="U594" i="1"/>
  <c r="V594" i="1"/>
  <c r="R595" i="1"/>
  <c r="U595" i="1"/>
  <c r="V595" i="1"/>
  <c r="R596" i="1"/>
  <c r="U596" i="1"/>
  <c r="V596" i="1"/>
  <c r="R597" i="1"/>
  <c r="U597" i="1"/>
  <c r="V597" i="1"/>
  <c r="R598" i="1"/>
  <c r="U598" i="1"/>
  <c r="V598" i="1"/>
  <c r="R599" i="1"/>
  <c r="U599" i="1"/>
  <c r="V599" i="1"/>
  <c r="R600" i="1"/>
  <c r="U600" i="1"/>
  <c r="V600" i="1"/>
  <c r="R601" i="1"/>
  <c r="U601" i="1"/>
  <c r="V601" i="1"/>
  <c r="R602" i="1"/>
  <c r="U602" i="1"/>
  <c r="V602" i="1"/>
  <c r="R603" i="1"/>
  <c r="U603" i="1"/>
  <c r="V603" i="1"/>
  <c r="R604" i="1"/>
  <c r="U604" i="1"/>
  <c r="V604" i="1"/>
  <c r="R605" i="1"/>
  <c r="U605" i="1"/>
  <c r="V605" i="1"/>
  <c r="R606" i="1"/>
  <c r="U606" i="1"/>
  <c r="V606" i="1"/>
  <c r="R607" i="1"/>
  <c r="U607" i="1"/>
  <c r="V607" i="1"/>
  <c r="R608" i="1"/>
  <c r="U608" i="1"/>
  <c r="V608" i="1"/>
  <c r="R609" i="1"/>
  <c r="U609" i="1"/>
  <c r="V609" i="1"/>
  <c r="R610" i="1"/>
  <c r="U610" i="1"/>
  <c r="V610" i="1"/>
  <c r="R611" i="1"/>
  <c r="U611" i="1"/>
  <c r="V611" i="1"/>
  <c r="R612" i="1"/>
  <c r="U612" i="1"/>
  <c r="V612" i="1"/>
  <c r="R613" i="1"/>
  <c r="U613" i="1"/>
  <c r="V613" i="1"/>
  <c r="R614" i="1"/>
  <c r="U614" i="1"/>
  <c r="V614" i="1"/>
  <c r="R615" i="1"/>
  <c r="U615" i="1"/>
  <c r="V615" i="1"/>
  <c r="R616" i="1"/>
  <c r="U616" i="1"/>
  <c r="V616" i="1"/>
  <c r="R617" i="1"/>
  <c r="U617" i="1"/>
  <c r="V617" i="1"/>
  <c r="R618" i="1"/>
  <c r="U618" i="1"/>
  <c r="V618" i="1"/>
  <c r="R619" i="1"/>
  <c r="U619" i="1"/>
  <c r="V619" i="1"/>
  <c r="R620" i="1"/>
  <c r="U620" i="1"/>
  <c r="V620" i="1"/>
  <c r="R621" i="1"/>
  <c r="U621" i="1"/>
  <c r="V621" i="1"/>
  <c r="R622" i="1"/>
  <c r="U622" i="1"/>
  <c r="V622" i="1"/>
  <c r="R623" i="1"/>
  <c r="U623" i="1"/>
  <c r="V623" i="1"/>
  <c r="R624" i="1"/>
  <c r="U624" i="1"/>
  <c r="V624" i="1"/>
  <c r="R625" i="1"/>
  <c r="U625" i="1"/>
  <c r="V625" i="1"/>
  <c r="R626" i="1"/>
  <c r="U626" i="1"/>
  <c r="V626" i="1"/>
  <c r="R627" i="1"/>
  <c r="U627" i="1"/>
  <c r="V627" i="1"/>
  <c r="R628" i="1"/>
  <c r="U628" i="1"/>
  <c r="V628" i="1"/>
  <c r="R629" i="1"/>
  <c r="U629" i="1"/>
  <c r="V629" i="1"/>
  <c r="R630" i="1"/>
  <c r="U630" i="1"/>
  <c r="V630" i="1"/>
  <c r="R631" i="1"/>
  <c r="U631" i="1"/>
  <c r="V631" i="1"/>
  <c r="R632" i="1"/>
  <c r="U632" i="1"/>
  <c r="V632" i="1"/>
  <c r="R633" i="1"/>
  <c r="U633" i="1"/>
  <c r="V633" i="1"/>
  <c r="R634" i="1"/>
  <c r="U634" i="1"/>
  <c r="V634" i="1"/>
  <c r="R635" i="1"/>
  <c r="U635" i="1"/>
  <c r="V635" i="1"/>
  <c r="R636" i="1"/>
  <c r="U636" i="1"/>
  <c r="V636" i="1"/>
  <c r="R637" i="1"/>
  <c r="U637" i="1"/>
  <c r="V637" i="1"/>
  <c r="R638" i="1"/>
  <c r="U638" i="1"/>
  <c r="V638" i="1"/>
  <c r="R639" i="1"/>
  <c r="U639" i="1"/>
  <c r="V639" i="1"/>
  <c r="R640" i="1"/>
  <c r="U640" i="1"/>
  <c r="V640" i="1"/>
  <c r="R641" i="1"/>
  <c r="U641" i="1"/>
  <c r="V641" i="1"/>
  <c r="R642" i="1"/>
  <c r="U642" i="1"/>
  <c r="V642" i="1"/>
  <c r="R643" i="1"/>
  <c r="U643" i="1"/>
  <c r="V643" i="1"/>
  <c r="R644" i="1"/>
  <c r="U644" i="1"/>
  <c r="V644" i="1"/>
  <c r="R645" i="1"/>
  <c r="U645" i="1"/>
  <c r="V645" i="1"/>
  <c r="R646" i="1"/>
  <c r="U646" i="1"/>
  <c r="V646" i="1"/>
  <c r="R647" i="1"/>
  <c r="U647" i="1"/>
  <c r="V647" i="1"/>
  <c r="R648" i="1"/>
  <c r="U648" i="1"/>
  <c r="V648" i="1"/>
  <c r="R649" i="1"/>
  <c r="U649" i="1"/>
  <c r="V649" i="1"/>
  <c r="R650" i="1"/>
  <c r="U650" i="1"/>
  <c r="V650" i="1"/>
  <c r="R651" i="1"/>
  <c r="U651" i="1"/>
  <c r="V651" i="1"/>
  <c r="R652" i="1"/>
  <c r="U652" i="1"/>
  <c r="V652" i="1"/>
  <c r="R653" i="1"/>
  <c r="U653" i="1"/>
  <c r="V653" i="1"/>
  <c r="R654" i="1"/>
  <c r="U654" i="1"/>
  <c r="V654" i="1"/>
  <c r="R655" i="1"/>
  <c r="U655" i="1"/>
  <c r="V655" i="1"/>
  <c r="R656" i="1"/>
  <c r="U656" i="1"/>
  <c r="V656" i="1"/>
  <c r="R657" i="1"/>
  <c r="U657" i="1"/>
  <c r="V657" i="1"/>
  <c r="R658" i="1"/>
  <c r="U658" i="1"/>
  <c r="V658" i="1"/>
  <c r="R659" i="1"/>
  <c r="U659" i="1"/>
  <c r="V659" i="1"/>
  <c r="R660" i="1"/>
  <c r="U660" i="1"/>
  <c r="V660" i="1"/>
  <c r="R661" i="1"/>
  <c r="U661" i="1"/>
  <c r="V661" i="1"/>
  <c r="R662" i="1"/>
  <c r="U662" i="1"/>
  <c r="V662" i="1"/>
  <c r="R663" i="1"/>
  <c r="U663" i="1"/>
  <c r="V663" i="1"/>
  <c r="R664" i="1"/>
  <c r="U664" i="1"/>
  <c r="V664" i="1"/>
  <c r="R665" i="1"/>
  <c r="U665" i="1"/>
  <c r="V665" i="1"/>
  <c r="R666" i="1"/>
  <c r="U666" i="1"/>
  <c r="V666" i="1"/>
  <c r="R667" i="1"/>
  <c r="U667" i="1"/>
  <c r="V667" i="1"/>
  <c r="R668" i="1"/>
  <c r="U668" i="1"/>
  <c r="V668" i="1"/>
  <c r="R669" i="1"/>
  <c r="U669" i="1"/>
  <c r="V669" i="1"/>
  <c r="R670" i="1"/>
  <c r="U670" i="1"/>
  <c r="V670" i="1"/>
  <c r="R671" i="1"/>
  <c r="U671" i="1"/>
  <c r="V671" i="1"/>
  <c r="R672" i="1"/>
  <c r="U672" i="1"/>
  <c r="V672" i="1"/>
  <c r="R673" i="1"/>
  <c r="U673" i="1"/>
  <c r="V673" i="1"/>
  <c r="R674" i="1"/>
  <c r="U674" i="1"/>
  <c r="V674" i="1"/>
  <c r="R675" i="1"/>
  <c r="U675" i="1"/>
  <c r="V675" i="1"/>
  <c r="R676" i="1"/>
  <c r="U676" i="1"/>
  <c r="V676" i="1"/>
  <c r="R677" i="1"/>
  <c r="U677" i="1"/>
  <c r="V677" i="1"/>
  <c r="R678" i="1"/>
  <c r="U678" i="1"/>
  <c r="V678" i="1"/>
  <c r="R679" i="1"/>
  <c r="U679" i="1"/>
  <c r="V679" i="1"/>
  <c r="R680" i="1"/>
  <c r="U680" i="1"/>
  <c r="V680" i="1"/>
  <c r="R681" i="1"/>
  <c r="U681" i="1"/>
  <c r="V681" i="1"/>
  <c r="R682" i="1"/>
  <c r="U682" i="1"/>
  <c r="V682" i="1"/>
  <c r="R683" i="1"/>
  <c r="U683" i="1"/>
  <c r="V683" i="1"/>
  <c r="R684" i="1"/>
  <c r="U684" i="1"/>
  <c r="V684" i="1"/>
  <c r="R685" i="1"/>
  <c r="U685" i="1"/>
  <c r="V685" i="1"/>
  <c r="R686" i="1"/>
  <c r="U686" i="1"/>
  <c r="V686" i="1"/>
  <c r="R687" i="1"/>
  <c r="U687" i="1"/>
  <c r="V687" i="1"/>
  <c r="R688" i="1"/>
  <c r="U688" i="1"/>
  <c r="V688" i="1"/>
  <c r="R689" i="1"/>
  <c r="U689" i="1"/>
  <c r="V689" i="1"/>
  <c r="R690" i="1"/>
  <c r="U690" i="1"/>
  <c r="V690" i="1"/>
  <c r="R691" i="1"/>
  <c r="U691" i="1"/>
  <c r="V691" i="1"/>
  <c r="R692" i="1"/>
  <c r="U692" i="1"/>
  <c r="V692" i="1"/>
  <c r="R693" i="1"/>
  <c r="U693" i="1"/>
  <c r="V693" i="1"/>
  <c r="R694" i="1"/>
  <c r="U694" i="1"/>
  <c r="V694" i="1"/>
  <c r="R695" i="1"/>
  <c r="U695" i="1"/>
  <c r="V695" i="1"/>
  <c r="R696" i="1"/>
  <c r="U696" i="1"/>
  <c r="V696" i="1"/>
  <c r="R697" i="1"/>
  <c r="U697" i="1"/>
  <c r="V697" i="1"/>
  <c r="R698" i="1"/>
  <c r="U698" i="1"/>
  <c r="V698" i="1"/>
  <c r="R699" i="1"/>
  <c r="U699" i="1"/>
  <c r="V699" i="1"/>
  <c r="R700" i="1"/>
  <c r="U700" i="1"/>
  <c r="V700" i="1"/>
  <c r="R701" i="1"/>
  <c r="U701" i="1"/>
  <c r="V701" i="1"/>
  <c r="R702" i="1"/>
  <c r="U702" i="1"/>
  <c r="V702" i="1"/>
  <c r="R703" i="1"/>
  <c r="U703" i="1"/>
  <c r="V703" i="1"/>
  <c r="R704" i="1"/>
  <c r="U704" i="1"/>
  <c r="V704" i="1"/>
  <c r="R705" i="1"/>
  <c r="U705" i="1"/>
  <c r="V705" i="1"/>
  <c r="R706" i="1"/>
  <c r="U706" i="1"/>
  <c r="V706" i="1"/>
  <c r="R707" i="1"/>
  <c r="U707" i="1"/>
  <c r="V707" i="1"/>
  <c r="R708" i="1"/>
  <c r="U708" i="1"/>
  <c r="V708" i="1"/>
  <c r="R709" i="1"/>
  <c r="U709" i="1"/>
  <c r="V709" i="1"/>
  <c r="R710" i="1"/>
  <c r="U710" i="1"/>
  <c r="V710" i="1"/>
  <c r="R711" i="1"/>
  <c r="U711" i="1"/>
  <c r="V711" i="1"/>
  <c r="R712" i="1"/>
  <c r="U712" i="1"/>
  <c r="V712" i="1"/>
  <c r="R713" i="1"/>
  <c r="U713" i="1"/>
  <c r="V713" i="1"/>
  <c r="R714" i="1"/>
  <c r="U714" i="1"/>
  <c r="V714" i="1"/>
  <c r="R715" i="1"/>
  <c r="U715" i="1"/>
  <c r="V715" i="1"/>
  <c r="R716" i="1"/>
  <c r="U716" i="1"/>
  <c r="V716" i="1"/>
  <c r="R717" i="1"/>
  <c r="U717" i="1"/>
  <c r="V717" i="1"/>
  <c r="R718" i="1"/>
  <c r="U718" i="1"/>
  <c r="V718" i="1"/>
  <c r="R719" i="1"/>
  <c r="U719" i="1"/>
  <c r="V719" i="1"/>
  <c r="R720" i="1"/>
  <c r="U720" i="1"/>
  <c r="V720" i="1"/>
  <c r="R721" i="1"/>
  <c r="U721" i="1"/>
  <c r="V721" i="1"/>
  <c r="R722" i="1"/>
  <c r="U722" i="1"/>
  <c r="V722" i="1"/>
  <c r="R723" i="1"/>
  <c r="U723" i="1"/>
  <c r="V723" i="1"/>
  <c r="R724" i="1"/>
  <c r="U724" i="1"/>
  <c r="V724" i="1"/>
  <c r="R725" i="1"/>
  <c r="U725" i="1"/>
  <c r="V725" i="1"/>
  <c r="R726" i="1"/>
  <c r="U726" i="1"/>
  <c r="V726" i="1"/>
  <c r="R727" i="1"/>
  <c r="U727" i="1"/>
  <c r="V727" i="1"/>
  <c r="R728" i="1"/>
  <c r="U728" i="1"/>
  <c r="V728" i="1"/>
  <c r="R729" i="1"/>
  <c r="U729" i="1"/>
  <c r="V729" i="1"/>
  <c r="R730" i="1"/>
  <c r="U730" i="1"/>
  <c r="V730" i="1"/>
  <c r="R731" i="1"/>
  <c r="U731" i="1"/>
  <c r="V731" i="1"/>
  <c r="R732" i="1"/>
  <c r="U732" i="1"/>
  <c r="V732" i="1"/>
  <c r="R733" i="1"/>
  <c r="U733" i="1"/>
  <c r="V733" i="1"/>
  <c r="R734" i="1"/>
  <c r="U734" i="1"/>
  <c r="V734" i="1"/>
  <c r="R735" i="1"/>
  <c r="U735" i="1"/>
  <c r="V735" i="1"/>
  <c r="R736" i="1"/>
  <c r="U736" i="1"/>
  <c r="V736" i="1"/>
  <c r="R737" i="1"/>
  <c r="U737" i="1"/>
  <c r="V737" i="1"/>
  <c r="R738" i="1"/>
  <c r="U738" i="1"/>
  <c r="V738" i="1"/>
  <c r="R739" i="1"/>
  <c r="U739" i="1"/>
  <c r="V739" i="1"/>
  <c r="R740" i="1"/>
  <c r="U740" i="1"/>
  <c r="V740" i="1"/>
  <c r="R741" i="1"/>
  <c r="U741" i="1"/>
  <c r="V741" i="1"/>
  <c r="R742" i="1"/>
  <c r="U742" i="1"/>
  <c r="V742" i="1"/>
  <c r="R743" i="1"/>
  <c r="U743" i="1"/>
  <c r="V743" i="1"/>
  <c r="R744" i="1"/>
  <c r="U744" i="1"/>
  <c r="V744" i="1"/>
  <c r="R745" i="1"/>
  <c r="U745" i="1"/>
  <c r="V745" i="1"/>
  <c r="R746" i="1"/>
  <c r="U746" i="1"/>
  <c r="V746" i="1"/>
  <c r="R747" i="1"/>
  <c r="U747" i="1"/>
  <c r="V747" i="1"/>
  <c r="R748" i="1"/>
  <c r="U748" i="1"/>
  <c r="V748" i="1"/>
  <c r="R749" i="1"/>
  <c r="U749" i="1"/>
  <c r="V749" i="1"/>
  <c r="R750" i="1"/>
  <c r="U750" i="1"/>
  <c r="V750" i="1"/>
  <c r="R751" i="1"/>
  <c r="U751" i="1"/>
  <c r="V751" i="1"/>
  <c r="R752" i="1"/>
  <c r="U752" i="1"/>
  <c r="V752" i="1"/>
  <c r="R753" i="1"/>
  <c r="U753" i="1"/>
  <c r="V753" i="1"/>
  <c r="R754" i="1"/>
  <c r="U754" i="1"/>
  <c r="V754" i="1"/>
  <c r="R755" i="1"/>
  <c r="U755" i="1"/>
  <c r="V755" i="1"/>
  <c r="R756" i="1"/>
  <c r="U756" i="1"/>
  <c r="V756" i="1"/>
  <c r="R757" i="1"/>
  <c r="U757" i="1"/>
  <c r="V757" i="1"/>
  <c r="R758" i="1"/>
  <c r="U758" i="1"/>
  <c r="V758" i="1"/>
  <c r="R759" i="1"/>
  <c r="U759" i="1"/>
  <c r="V759" i="1"/>
  <c r="R760" i="1"/>
  <c r="U760" i="1"/>
  <c r="V760" i="1"/>
  <c r="R761" i="1"/>
  <c r="U761" i="1"/>
  <c r="V761" i="1"/>
  <c r="R762" i="1"/>
  <c r="U762" i="1"/>
  <c r="V762" i="1"/>
  <c r="R763" i="1"/>
  <c r="U763" i="1"/>
  <c r="V763" i="1"/>
  <c r="R764" i="1"/>
  <c r="U764" i="1"/>
  <c r="V764" i="1"/>
  <c r="R765" i="1"/>
  <c r="U765" i="1"/>
  <c r="V765" i="1"/>
  <c r="R766" i="1"/>
  <c r="U766" i="1"/>
  <c r="V766" i="1"/>
  <c r="R767" i="1"/>
  <c r="U767" i="1"/>
  <c r="V767" i="1"/>
  <c r="R768" i="1"/>
  <c r="U768" i="1"/>
  <c r="V768" i="1"/>
  <c r="R769" i="1"/>
  <c r="U769" i="1"/>
  <c r="V769" i="1"/>
  <c r="R770" i="1"/>
  <c r="U770" i="1"/>
  <c r="V770" i="1"/>
  <c r="R771" i="1"/>
  <c r="U771" i="1"/>
  <c r="V771" i="1"/>
  <c r="R772" i="1"/>
  <c r="U772" i="1"/>
  <c r="V772" i="1"/>
  <c r="R773" i="1"/>
  <c r="U773" i="1"/>
  <c r="V773" i="1"/>
  <c r="R774" i="1"/>
  <c r="U774" i="1"/>
  <c r="V774" i="1"/>
  <c r="R775" i="1"/>
  <c r="U775" i="1"/>
  <c r="V775" i="1"/>
  <c r="R776" i="1"/>
  <c r="U776" i="1"/>
  <c r="V776" i="1"/>
  <c r="R777" i="1"/>
  <c r="U777" i="1"/>
  <c r="V777" i="1"/>
  <c r="R778" i="1"/>
  <c r="U778" i="1"/>
  <c r="V778" i="1"/>
  <c r="R779" i="1"/>
  <c r="U779" i="1"/>
  <c r="V779" i="1"/>
  <c r="R780" i="1"/>
  <c r="U780" i="1"/>
  <c r="V780" i="1"/>
  <c r="R781" i="1"/>
  <c r="U781" i="1"/>
  <c r="V781" i="1"/>
  <c r="R782" i="1"/>
  <c r="U782" i="1"/>
  <c r="V782" i="1"/>
  <c r="R783" i="1"/>
  <c r="U783" i="1"/>
  <c r="V783" i="1"/>
  <c r="R784" i="1"/>
  <c r="U784" i="1"/>
  <c r="V784" i="1"/>
  <c r="R785" i="1"/>
  <c r="U785" i="1"/>
  <c r="V785" i="1"/>
  <c r="R786" i="1"/>
  <c r="U786" i="1"/>
  <c r="V786" i="1"/>
  <c r="R787" i="1"/>
  <c r="U787" i="1"/>
  <c r="V787" i="1"/>
  <c r="R788" i="1"/>
  <c r="U788" i="1"/>
  <c r="V788" i="1"/>
  <c r="R789" i="1"/>
  <c r="U789" i="1"/>
  <c r="V789" i="1"/>
  <c r="R790" i="1"/>
  <c r="U790" i="1"/>
  <c r="V790" i="1"/>
  <c r="R791" i="1"/>
  <c r="U791" i="1"/>
  <c r="V791" i="1"/>
  <c r="R792" i="1"/>
  <c r="U792" i="1"/>
  <c r="V792" i="1"/>
  <c r="R793" i="1"/>
  <c r="U793" i="1"/>
  <c r="V793" i="1"/>
  <c r="R794" i="1"/>
  <c r="U794" i="1"/>
  <c r="V794" i="1"/>
  <c r="R795" i="1"/>
  <c r="U795" i="1"/>
  <c r="V795" i="1"/>
  <c r="R796" i="1"/>
  <c r="U796" i="1"/>
  <c r="V796" i="1"/>
  <c r="R797" i="1"/>
  <c r="U797" i="1"/>
  <c r="V797" i="1"/>
  <c r="R798" i="1"/>
  <c r="U798" i="1"/>
  <c r="V798" i="1"/>
  <c r="R799" i="1"/>
  <c r="U799" i="1"/>
  <c r="V799" i="1"/>
  <c r="R800" i="1"/>
  <c r="U800" i="1"/>
  <c r="V800" i="1"/>
  <c r="R801" i="1"/>
  <c r="U801" i="1"/>
  <c r="V801" i="1"/>
  <c r="R802" i="1"/>
  <c r="U802" i="1"/>
  <c r="V802" i="1"/>
  <c r="R803" i="1"/>
  <c r="U803" i="1"/>
  <c r="V803" i="1"/>
  <c r="R804" i="1"/>
  <c r="U804" i="1"/>
  <c r="V804" i="1"/>
  <c r="R805" i="1"/>
  <c r="U805" i="1"/>
  <c r="V805" i="1"/>
  <c r="R806" i="1"/>
  <c r="U806" i="1"/>
  <c r="V806" i="1"/>
  <c r="R807" i="1"/>
  <c r="U807" i="1"/>
  <c r="V807" i="1"/>
  <c r="R808" i="1"/>
  <c r="U808" i="1"/>
  <c r="V808" i="1"/>
  <c r="R809" i="1"/>
  <c r="U809" i="1"/>
  <c r="V809" i="1"/>
  <c r="R810" i="1"/>
  <c r="U810" i="1"/>
  <c r="V810" i="1"/>
  <c r="R811" i="1"/>
  <c r="U811" i="1"/>
  <c r="V811" i="1"/>
  <c r="R812" i="1"/>
  <c r="U812" i="1"/>
  <c r="V812" i="1"/>
  <c r="R813" i="1"/>
  <c r="U813" i="1"/>
  <c r="V813" i="1"/>
  <c r="R814" i="1"/>
  <c r="U814" i="1"/>
  <c r="V814" i="1"/>
  <c r="R815" i="1"/>
  <c r="U815" i="1"/>
  <c r="V815" i="1"/>
  <c r="R816" i="1"/>
  <c r="U816" i="1"/>
  <c r="V816" i="1"/>
  <c r="R817" i="1"/>
  <c r="U817" i="1"/>
  <c r="V817" i="1"/>
  <c r="R818" i="1"/>
  <c r="U818" i="1"/>
  <c r="V818" i="1"/>
  <c r="R819" i="1"/>
  <c r="U819" i="1"/>
  <c r="V819" i="1"/>
  <c r="R820" i="1"/>
  <c r="U820" i="1"/>
  <c r="V820" i="1"/>
  <c r="R821" i="1"/>
  <c r="U821" i="1"/>
  <c r="V821" i="1"/>
  <c r="R822" i="1"/>
  <c r="U822" i="1"/>
  <c r="V822" i="1"/>
  <c r="R823" i="1"/>
  <c r="U823" i="1"/>
  <c r="V823" i="1"/>
  <c r="R824" i="1"/>
  <c r="U824" i="1"/>
  <c r="V824" i="1"/>
  <c r="R825" i="1"/>
  <c r="U825" i="1"/>
  <c r="V825" i="1"/>
  <c r="R826" i="1"/>
  <c r="U826" i="1"/>
  <c r="V826" i="1"/>
  <c r="R827" i="1"/>
  <c r="U827" i="1"/>
  <c r="V827" i="1"/>
  <c r="R828" i="1"/>
  <c r="U828" i="1"/>
  <c r="V828" i="1"/>
  <c r="R829" i="1"/>
  <c r="U829" i="1"/>
  <c r="V829" i="1"/>
  <c r="R830" i="1"/>
  <c r="U830" i="1"/>
  <c r="V830" i="1"/>
  <c r="R831" i="1"/>
  <c r="U831" i="1"/>
  <c r="V831" i="1"/>
  <c r="R832" i="1"/>
  <c r="U832" i="1"/>
  <c r="V832" i="1"/>
  <c r="R833" i="1"/>
  <c r="U833" i="1"/>
  <c r="V833" i="1"/>
  <c r="R834" i="1"/>
  <c r="U834" i="1"/>
  <c r="V834" i="1"/>
  <c r="R835" i="1"/>
  <c r="U835" i="1"/>
  <c r="V835" i="1"/>
  <c r="R836" i="1"/>
  <c r="U836" i="1"/>
  <c r="V836" i="1"/>
  <c r="R837" i="1"/>
  <c r="U837" i="1"/>
  <c r="V837" i="1"/>
  <c r="R838" i="1"/>
  <c r="U838" i="1"/>
  <c r="V838" i="1"/>
  <c r="R839" i="1"/>
  <c r="U839" i="1"/>
  <c r="V839" i="1"/>
  <c r="R840" i="1"/>
  <c r="U840" i="1"/>
  <c r="V840" i="1"/>
  <c r="R841" i="1"/>
  <c r="U841" i="1"/>
  <c r="V841" i="1"/>
  <c r="R842" i="1"/>
  <c r="U842" i="1"/>
  <c r="V842" i="1"/>
  <c r="R843" i="1"/>
  <c r="U843" i="1"/>
  <c r="V843" i="1"/>
  <c r="R844" i="1"/>
  <c r="U844" i="1"/>
  <c r="V844" i="1"/>
  <c r="R845" i="1"/>
  <c r="U845" i="1"/>
  <c r="V845" i="1"/>
  <c r="R846" i="1"/>
  <c r="U846" i="1"/>
  <c r="V846" i="1"/>
  <c r="R847" i="1"/>
  <c r="U847" i="1"/>
  <c r="V847" i="1"/>
  <c r="R848" i="1"/>
  <c r="U848" i="1"/>
  <c r="V848" i="1"/>
  <c r="R849" i="1"/>
  <c r="U849" i="1"/>
  <c r="V849" i="1"/>
  <c r="R850" i="1"/>
  <c r="U850" i="1"/>
  <c r="V850" i="1"/>
  <c r="R851" i="1"/>
  <c r="U851" i="1"/>
  <c r="V851" i="1"/>
  <c r="R852" i="1"/>
  <c r="U852" i="1"/>
  <c r="V852" i="1"/>
  <c r="R853" i="1"/>
  <c r="U853" i="1"/>
  <c r="V853" i="1"/>
  <c r="R854" i="1"/>
  <c r="U854" i="1"/>
  <c r="V854" i="1"/>
  <c r="R855" i="1"/>
  <c r="U855" i="1"/>
  <c r="V855" i="1"/>
  <c r="R856" i="1"/>
  <c r="U856" i="1"/>
  <c r="V856" i="1"/>
  <c r="R857" i="1"/>
  <c r="U857" i="1"/>
  <c r="V857" i="1"/>
  <c r="R858" i="1"/>
  <c r="U858" i="1"/>
  <c r="V858" i="1"/>
  <c r="R859" i="1"/>
  <c r="U859" i="1"/>
  <c r="V859" i="1"/>
  <c r="R860" i="1"/>
  <c r="U860" i="1"/>
  <c r="V860" i="1"/>
  <c r="R861" i="1"/>
  <c r="U861" i="1"/>
  <c r="V861" i="1"/>
  <c r="R862" i="1"/>
  <c r="U862" i="1"/>
  <c r="V862" i="1"/>
  <c r="R863" i="1"/>
  <c r="U863" i="1"/>
  <c r="V863" i="1"/>
  <c r="R864" i="1"/>
  <c r="U864" i="1"/>
  <c r="V864" i="1"/>
  <c r="R865" i="1"/>
  <c r="U865" i="1"/>
  <c r="V865" i="1"/>
  <c r="R866" i="1"/>
  <c r="U866" i="1"/>
  <c r="V866" i="1"/>
  <c r="R867" i="1"/>
  <c r="U867" i="1"/>
  <c r="V867" i="1"/>
  <c r="R868" i="1"/>
  <c r="U868" i="1"/>
  <c r="V868" i="1"/>
  <c r="R869" i="1"/>
  <c r="U869" i="1"/>
  <c r="V869" i="1"/>
  <c r="R870" i="1"/>
  <c r="U870" i="1"/>
  <c r="V870" i="1"/>
  <c r="R871" i="1"/>
  <c r="U871" i="1"/>
  <c r="V871" i="1"/>
  <c r="R872" i="1"/>
  <c r="U872" i="1"/>
  <c r="V872" i="1"/>
  <c r="R873" i="1"/>
  <c r="U873" i="1"/>
  <c r="V873" i="1"/>
  <c r="R874" i="1"/>
  <c r="U874" i="1"/>
  <c r="V874" i="1"/>
  <c r="R875" i="1"/>
  <c r="U875" i="1"/>
  <c r="V875" i="1"/>
  <c r="R876" i="1"/>
  <c r="U876" i="1"/>
  <c r="V876" i="1"/>
  <c r="R877" i="1"/>
  <c r="U877" i="1"/>
  <c r="V877" i="1"/>
  <c r="R878" i="1"/>
  <c r="U878" i="1"/>
  <c r="V878" i="1"/>
  <c r="R879" i="1"/>
  <c r="U879" i="1"/>
  <c r="V879" i="1"/>
  <c r="R880" i="1"/>
  <c r="U880" i="1"/>
  <c r="V880" i="1"/>
  <c r="R881" i="1"/>
  <c r="U881" i="1"/>
  <c r="V881" i="1"/>
  <c r="R882" i="1"/>
  <c r="U882" i="1"/>
  <c r="V882" i="1"/>
  <c r="R883" i="1"/>
  <c r="U883" i="1"/>
  <c r="V883" i="1"/>
  <c r="R884" i="1"/>
  <c r="U884" i="1"/>
  <c r="V884" i="1"/>
  <c r="R885" i="1"/>
  <c r="U885" i="1"/>
  <c r="V885" i="1"/>
  <c r="R886" i="1"/>
  <c r="U886" i="1"/>
  <c r="V886" i="1"/>
  <c r="R887" i="1"/>
  <c r="U887" i="1"/>
  <c r="V887" i="1"/>
  <c r="R888" i="1"/>
  <c r="U888" i="1"/>
  <c r="V888" i="1"/>
  <c r="R889" i="1"/>
  <c r="U889" i="1"/>
  <c r="V889" i="1"/>
  <c r="R890" i="1"/>
  <c r="U890" i="1"/>
  <c r="V890" i="1"/>
  <c r="R891" i="1"/>
  <c r="U891" i="1"/>
  <c r="V891" i="1"/>
  <c r="R892" i="1"/>
  <c r="U892" i="1"/>
  <c r="V892" i="1"/>
  <c r="R893" i="1"/>
  <c r="U893" i="1"/>
  <c r="V893" i="1"/>
  <c r="R894" i="1"/>
  <c r="U894" i="1"/>
  <c r="V894" i="1"/>
  <c r="R895" i="1"/>
  <c r="U895" i="1"/>
  <c r="V895" i="1"/>
  <c r="R896" i="1"/>
  <c r="U896" i="1"/>
  <c r="V896" i="1"/>
  <c r="R897" i="1"/>
  <c r="U897" i="1"/>
  <c r="V897" i="1"/>
  <c r="R898" i="1"/>
  <c r="U898" i="1"/>
  <c r="V898" i="1"/>
  <c r="R899" i="1"/>
  <c r="U899" i="1"/>
  <c r="V899" i="1"/>
  <c r="R900" i="1"/>
  <c r="U900" i="1"/>
  <c r="V900" i="1"/>
  <c r="R901" i="1"/>
  <c r="U901" i="1"/>
  <c r="V901" i="1"/>
  <c r="R902" i="1"/>
  <c r="U902" i="1"/>
  <c r="V902" i="1"/>
  <c r="R903" i="1"/>
  <c r="U903" i="1"/>
  <c r="V903" i="1"/>
  <c r="R904" i="1"/>
  <c r="U904" i="1"/>
  <c r="V904" i="1"/>
  <c r="R905" i="1"/>
  <c r="U905" i="1"/>
  <c r="V905" i="1"/>
  <c r="R906" i="1"/>
  <c r="U906" i="1"/>
  <c r="V906" i="1"/>
  <c r="R907" i="1"/>
  <c r="U907" i="1"/>
  <c r="V907" i="1"/>
  <c r="R908" i="1"/>
  <c r="U908" i="1"/>
  <c r="V908" i="1"/>
  <c r="R909" i="1"/>
  <c r="U909" i="1"/>
  <c r="V909" i="1"/>
  <c r="R910" i="1"/>
  <c r="U910" i="1"/>
  <c r="V910" i="1"/>
  <c r="R911" i="1"/>
  <c r="U911" i="1"/>
  <c r="V911" i="1"/>
  <c r="R912" i="1"/>
  <c r="U912" i="1"/>
  <c r="V912" i="1"/>
  <c r="R913" i="1"/>
  <c r="U913" i="1"/>
  <c r="V913" i="1"/>
  <c r="R914" i="1"/>
  <c r="U914" i="1"/>
  <c r="V914" i="1"/>
  <c r="R915" i="1"/>
  <c r="U915" i="1"/>
  <c r="V915" i="1"/>
  <c r="R916" i="1"/>
  <c r="U916" i="1"/>
  <c r="V916" i="1"/>
  <c r="R917" i="1"/>
  <c r="U917" i="1"/>
  <c r="V917" i="1"/>
  <c r="R918" i="1"/>
  <c r="U918" i="1"/>
  <c r="V918" i="1"/>
  <c r="R919" i="1"/>
  <c r="U919" i="1"/>
  <c r="V919" i="1"/>
  <c r="R920" i="1"/>
  <c r="U920" i="1"/>
  <c r="V920" i="1"/>
  <c r="R921" i="1"/>
  <c r="U921" i="1"/>
  <c r="V921" i="1"/>
  <c r="R922" i="1"/>
  <c r="U922" i="1"/>
  <c r="V922" i="1"/>
  <c r="R923" i="1"/>
  <c r="U923" i="1"/>
  <c r="V923" i="1"/>
  <c r="R924" i="1"/>
  <c r="U924" i="1"/>
  <c r="V924" i="1"/>
  <c r="R925" i="1"/>
  <c r="U925" i="1"/>
  <c r="V925" i="1"/>
  <c r="R926" i="1"/>
  <c r="U926" i="1"/>
  <c r="V926" i="1"/>
  <c r="R927" i="1"/>
  <c r="U927" i="1"/>
  <c r="V927" i="1"/>
  <c r="R928" i="1"/>
  <c r="U928" i="1"/>
  <c r="V928" i="1"/>
  <c r="R929" i="1"/>
  <c r="U929" i="1"/>
  <c r="V929" i="1"/>
  <c r="R930" i="1"/>
  <c r="U930" i="1"/>
  <c r="V930" i="1"/>
  <c r="R931" i="1"/>
  <c r="U931" i="1"/>
  <c r="V931" i="1"/>
  <c r="R932" i="1"/>
  <c r="U932" i="1"/>
  <c r="V932" i="1"/>
  <c r="R933" i="1"/>
  <c r="U933" i="1"/>
  <c r="V933" i="1"/>
  <c r="R934" i="1"/>
  <c r="U934" i="1"/>
  <c r="V934" i="1"/>
  <c r="R935" i="1"/>
  <c r="U935" i="1"/>
  <c r="V935" i="1"/>
  <c r="R936" i="1"/>
  <c r="U936" i="1"/>
  <c r="V936" i="1"/>
  <c r="R937" i="1"/>
  <c r="U937" i="1"/>
  <c r="V937" i="1"/>
  <c r="R938" i="1"/>
  <c r="U938" i="1"/>
  <c r="V938" i="1"/>
  <c r="R939" i="1"/>
  <c r="U939" i="1"/>
  <c r="V939" i="1"/>
  <c r="R940" i="1"/>
  <c r="U940" i="1"/>
  <c r="V940" i="1"/>
  <c r="R941" i="1"/>
  <c r="U941" i="1"/>
  <c r="V941" i="1"/>
  <c r="R942" i="1"/>
  <c r="U942" i="1"/>
  <c r="V942" i="1"/>
  <c r="R943" i="1"/>
  <c r="U943" i="1"/>
  <c r="V943" i="1"/>
  <c r="R944" i="1"/>
  <c r="U944" i="1"/>
  <c r="V944" i="1"/>
  <c r="R945" i="1"/>
  <c r="U945" i="1"/>
  <c r="V945" i="1"/>
  <c r="R946" i="1"/>
  <c r="U946" i="1"/>
  <c r="V946" i="1"/>
  <c r="R947" i="1"/>
  <c r="U947" i="1"/>
  <c r="V947" i="1"/>
  <c r="R948" i="1"/>
  <c r="U948" i="1"/>
  <c r="V948" i="1"/>
  <c r="R949" i="1"/>
  <c r="U949" i="1"/>
  <c r="V949" i="1"/>
  <c r="R950" i="1"/>
  <c r="U950" i="1"/>
  <c r="V950" i="1"/>
  <c r="R951" i="1"/>
  <c r="U951" i="1"/>
  <c r="V951" i="1"/>
  <c r="R952" i="1"/>
  <c r="U952" i="1"/>
  <c r="V952" i="1"/>
  <c r="R953" i="1"/>
  <c r="U953" i="1"/>
  <c r="V953" i="1"/>
  <c r="R954" i="1"/>
  <c r="U954" i="1"/>
  <c r="V954" i="1"/>
  <c r="R955" i="1"/>
  <c r="U955" i="1"/>
  <c r="V955" i="1"/>
  <c r="R956" i="1"/>
  <c r="U956" i="1"/>
  <c r="V956" i="1"/>
  <c r="R957" i="1"/>
  <c r="U957" i="1"/>
  <c r="V957" i="1"/>
  <c r="R958" i="1"/>
  <c r="U958" i="1"/>
  <c r="V958" i="1"/>
  <c r="R959" i="1"/>
  <c r="U959" i="1"/>
  <c r="V959" i="1"/>
  <c r="R960" i="1"/>
  <c r="U960" i="1"/>
  <c r="V960" i="1"/>
  <c r="R961" i="1"/>
  <c r="U961" i="1"/>
  <c r="V961" i="1"/>
  <c r="R962" i="1"/>
  <c r="U962" i="1"/>
  <c r="V962" i="1"/>
  <c r="R963" i="1"/>
  <c r="U963" i="1"/>
  <c r="V963" i="1"/>
  <c r="R964" i="1"/>
  <c r="U964" i="1"/>
  <c r="V964" i="1"/>
  <c r="R965" i="1"/>
  <c r="U965" i="1"/>
  <c r="V965" i="1"/>
  <c r="R966" i="1"/>
  <c r="U966" i="1"/>
  <c r="V966" i="1"/>
  <c r="R967" i="1"/>
  <c r="U967" i="1"/>
  <c r="V967" i="1"/>
  <c r="R968" i="1"/>
  <c r="U968" i="1"/>
  <c r="V968" i="1"/>
  <c r="R969" i="1"/>
  <c r="U969" i="1"/>
  <c r="V969" i="1"/>
  <c r="R970" i="1"/>
  <c r="U970" i="1"/>
  <c r="V970" i="1"/>
  <c r="R971" i="1"/>
  <c r="U971" i="1"/>
  <c r="V971" i="1"/>
  <c r="R972" i="1"/>
  <c r="U972" i="1"/>
  <c r="V972" i="1"/>
  <c r="R973" i="1"/>
  <c r="U973" i="1"/>
  <c r="V973" i="1"/>
  <c r="R974" i="1"/>
  <c r="U974" i="1"/>
  <c r="V974" i="1"/>
  <c r="R975" i="1"/>
  <c r="U975" i="1"/>
  <c r="V975" i="1"/>
  <c r="R976" i="1"/>
  <c r="U976" i="1"/>
  <c r="V976" i="1"/>
  <c r="R977" i="1"/>
  <c r="U977" i="1"/>
  <c r="V977" i="1"/>
  <c r="R978" i="1"/>
  <c r="U978" i="1"/>
  <c r="V978" i="1"/>
  <c r="R979" i="1"/>
  <c r="U979" i="1"/>
  <c r="V979" i="1"/>
  <c r="R980" i="1"/>
  <c r="U980" i="1"/>
  <c r="V980" i="1"/>
  <c r="R981" i="1"/>
  <c r="U981" i="1"/>
  <c r="V981" i="1"/>
  <c r="R982" i="1"/>
  <c r="U982" i="1"/>
  <c r="V982" i="1"/>
  <c r="R983" i="1"/>
  <c r="U983" i="1"/>
  <c r="V983" i="1"/>
  <c r="R984" i="1"/>
  <c r="U984" i="1"/>
  <c r="V984" i="1"/>
  <c r="R985" i="1"/>
  <c r="U985" i="1"/>
  <c r="V985" i="1"/>
  <c r="R986" i="1"/>
  <c r="U986" i="1"/>
  <c r="V986" i="1"/>
  <c r="R987" i="1"/>
  <c r="U987" i="1"/>
  <c r="V987" i="1"/>
  <c r="R988" i="1"/>
  <c r="U988" i="1"/>
  <c r="V988" i="1"/>
  <c r="R989" i="1"/>
  <c r="U989" i="1"/>
  <c r="V989" i="1"/>
  <c r="R990" i="1"/>
  <c r="U990" i="1"/>
  <c r="V990" i="1"/>
  <c r="R991" i="1"/>
  <c r="U991" i="1"/>
  <c r="V991" i="1"/>
  <c r="R992" i="1"/>
  <c r="U992" i="1"/>
  <c r="V992" i="1"/>
  <c r="R993" i="1"/>
  <c r="U993" i="1"/>
  <c r="V993" i="1"/>
  <c r="R994" i="1"/>
  <c r="U994" i="1"/>
  <c r="V994" i="1"/>
  <c r="R995" i="1"/>
  <c r="U995" i="1"/>
  <c r="V995" i="1"/>
  <c r="R996" i="1"/>
  <c r="U996" i="1"/>
  <c r="V996" i="1"/>
  <c r="R997" i="1"/>
  <c r="U997" i="1"/>
  <c r="V997" i="1"/>
  <c r="R998" i="1"/>
  <c r="U998" i="1"/>
  <c r="V998" i="1"/>
  <c r="R999" i="1"/>
  <c r="U999" i="1"/>
  <c r="V999" i="1"/>
  <c r="R1000" i="1"/>
  <c r="U1000" i="1"/>
  <c r="V1000" i="1"/>
  <c r="R1001" i="1"/>
  <c r="U1001" i="1"/>
  <c r="V1001" i="1"/>
  <c r="R1002" i="1"/>
  <c r="U1002" i="1"/>
  <c r="V1002" i="1"/>
  <c r="R1003" i="1"/>
  <c r="U1003" i="1"/>
  <c r="V1003" i="1"/>
  <c r="R1004" i="1"/>
  <c r="U1004" i="1"/>
  <c r="V1004" i="1"/>
  <c r="R1005" i="1"/>
  <c r="U1005" i="1"/>
  <c r="V1005" i="1"/>
  <c r="R1006" i="1"/>
  <c r="U1006" i="1"/>
  <c r="V1006" i="1"/>
  <c r="R1007" i="1"/>
  <c r="U1007" i="1"/>
  <c r="V1007" i="1"/>
  <c r="R1008" i="1"/>
  <c r="U1008" i="1"/>
  <c r="V1008" i="1"/>
  <c r="R1009" i="1"/>
  <c r="U1009" i="1"/>
  <c r="V1009" i="1"/>
  <c r="R1010" i="1"/>
  <c r="U1010" i="1"/>
  <c r="V1010" i="1"/>
  <c r="R1011" i="1"/>
  <c r="U1011" i="1"/>
  <c r="V1011" i="1"/>
  <c r="R1012" i="1"/>
  <c r="U1012" i="1"/>
  <c r="V1012" i="1"/>
  <c r="R1013" i="1"/>
  <c r="U1013" i="1"/>
  <c r="V1013" i="1"/>
  <c r="R1014" i="1"/>
  <c r="U1014" i="1"/>
  <c r="V1014" i="1"/>
  <c r="R1015" i="1"/>
  <c r="U1015" i="1"/>
  <c r="V1015" i="1"/>
  <c r="R1016" i="1"/>
  <c r="U1016" i="1"/>
  <c r="V1016" i="1"/>
  <c r="R1017" i="1"/>
  <c r="U1017" i="1"/>
  <c r="V1017" i="1"/>
  <c r="R1018" i="1"/>
  <c r="U1018" i="1"/>
  <c r="V1018" i="1"/>
  <c r="R1019" i="1"/>
  <c r="U1019" i="1"/>
  <c r="V1019" i="1"/>
  <c r="R1020" i="1"/>
  <c r="U1020" i="1"/>
  <c r="V1020" i="1"/>
  <c r="R1021" i="1"/>
  <c r="U1021" i="1"/>
  <c r="V1021" i="1"/>
  <c r="R1022" i="1"/>
  <c r="U1022" i="1"/>
  <c r="V1022" i="1"/>
  <c r="R1023" i="1"/>
  <c r="U1023" i="1"/>
  <c r="V1023" i="1"/>
  <c r="R1024" i="1"/>
  <c r="U1024" i="1"/>
  <c r="V1024" i="1"/>
  <c r="R1025" i="1"/>
  <c r="U1025" i="1"/>
  <c r="V1025" i="1"/>
  <c r="R1026" i="1"/>
  <c r="U1026" i="1"/>
  <c r="V1026" i="1"/>
  <c r="R1027" i="1"/>
  <c r="U1027" i="1"/>
  <c r="V1027" i="1"/>
  <c r="R1028" i="1"/>
  <c r="U1028" i="1"/>
  <c r="V1028" i="1"/>
  <c r="R1029" i="1"/>
  <c r="U1029" i="1"/>
  <c r="V1029" i="1"/>
  <c r="R1030" i="1"/>
  <c r="U1030" i="1"/>
  <c r="V1030" i="1"/>
  <c r="R1031" i="1"/>
  <c r="U1031" i="1"/>
  <c r="V1031" i="1"/>
  <c r="R1032" i="1"/>
  <c r="U1032" i="1"/>
  <c r="V1032" i="1"/>
  <c r="R1033" i="1"/>
  <c r="U1033" i="1"/>
  <c r="V1033" i="1"/>
  <c r="R1034" i="1"/>
  <c r="U1034" i="1"/>
  <c r="V1034" i="1"/>
  <c r="R1035" i="1"/>
  <c r="U1035" i="1"/>
  <c r="V1035" i="1"/>
  <c r="R1036" i="1"/>
  <c r="U1036" i="1"/>
  <c r="V1036" i="1"/>
  <c r="R1037" i="1"/>
  <c r="U1037" i="1"/>
  <c r="V1037" i="1"/>
  <c r="R1038" i="1"/>
  <c r="U1038" i="1"/>
  <c r="V1038" i="1"/>
  <c r="R1039" i="1"/>
  <c r="U1039" i="1"/>
  <c r="V1039" i="1"/>
  <c r="R1040" i="1"/>
  <c r="U1040" i="1"/>
  <c r="V1040" i="1"/>
  <c r="R1041" i="1"/>
  <c r="U1041" i="1"/>
  <c r="V1041" i="1"/>
  <c r="R1042" i="1"/>
  <c r="U1042" i="1"/>
  <c r="V1042" i="1"/>
  <c r="R1043" i="1"/>
  <c r="U1043" i="1"/>
  <c r="V1043" i="1"/>
  <c r="R1044" i="1"/>
  <c r="U1044" i="1"/>
  <c r="V1044" i="1"/>
  <c r="R1045" i="1"/>
  <c r="U1045" i="1"/>
  <c r="V1045" i="1"/>
  <c r="R1046" i="1"/>
  <c r="U1046" i="1"/>
  <c r="V1046" i="1"/>
  <c r="R1047" i="1"/>
  <c r="U1047" i="1"/>
  <c r="V1047" i="1"/>
  <c r="R1048" i="1"/>
  <c r="U1048" i="1"/>
  <c r="V1048" i="1"/>
  <c r="R1049" i="1"/>
  <c r="U1049" i="1"/>
  <c r="V1049" i="1"/>
  <c r="R1050" i="1"/>
  <c r="U1050" i="1"/>
  <c r="V1050" i="1"/>
  <c r="R1051" i="1"/>
  <c r="U1051" i="1"/>
  <c r="V1051" i="1"/>
  <c r="R1052" i="1"/>
  <c r="U1052" i="1"/>
  <c r="V1052" i="1"/>
  <c r="R1053" i="1"/>
  <c r="U1053" i="1"/>
  <c r="V1053" i="1"/>
  <c r="R1054" i="1"/>
  <c r="U1054" i="1"/>
  <c r="V1054" i="1"/>
  <c r="R1055" i="1"/>
  <c r="U1055" i="1"/>
  <c r="V1055" i="1"/>
  <c r="R1056" i="1"/>
  <c r="U1056" i="1"/>
  <c r="V1056" i="1"/>
  <c r="R1057" i="1"/>
  <c r="U1057" i="1"/>
  <c r="V1057" i="1"/>
  <c r="R1058" i="1"/>
  <c r="U1058" i="1"/>
  <c r="V1058" i="1"/>
  <c r="R1059" i="1"/>
  <c r="U1059" i="1"/>
  <c r="V1059" i="1"/>
  <c r="R1060" i="1"/>
  <c r="U1060" i="1"/>
  <c r="V1060" i="1"/>
  <c r="R1061" i="1"/>
  <c r="U1061" i="1"/>
  <c r="V1061" i="1"/>
  <c r="R1062" i="1"/>
  <c r="U1062" i="1"/>
  <c r="V1062" i="1"/>
  <c r="R1063" i="1"/>
  <c r="U1063" i="1"/>
  <c r="V1063" i="1"/>
  <c r="R1064" i="1"/>
  <c r="U1064" i="1"/>
  <c r="V1064" i="1"/>
  <c r="R1065" i="1"/>
  <c r="U1065" i="1"/>
  <c r="V1065" i="1"/>
  <c r="R1066" i="1"/>
  <c r="U1066" i="1"/>
  <c r="V1066" i="1"/>
  <c r="R1067" i="1"/>
  <c r="U1067" i="1"/>
  <c r="V1067" i="1"/>
  <c r="R1068" i="1"/>
  <c r="U1068" i="1"/>
  <c r="V1068" i="1"/>
  <c r="R1069" i="1"/>
  <c r="U1069" i="1"/>
  <c r="V1069" i="1"/>
  <c r="R1070" i="1"/>
  <c r="U1070" i="1"/>
  <c r="V1070" i="1"/>
  <c r="R1071" i="1"/>
  <c r="U1071" i="1"/>
  <c r="V1071" i="1"/>
  <c r="R1072" i="1"/>
  <c r="U1072" i="1"/>
  <c r="V1072" i="1"/>
  <c r="R1073" i="1"/>
  <c r="U1073" i="1"/>
  <c r="V1073" i="1"/>
  <c r="R1074" i="1"/>
  <c r="U1074" i="1"/>
  <c r="V1074" i="1"/>
  <c r="R1075" i="1"/>
  <c r="U1075" i="1"/>
  <c r="V1075" i="1"/>
  <c r="R1076" i="1"/>
  <c r="U1076" i="1"/>
  <c r="V1076" i="1"/>
  <c r="R1077" i="1"/>
  <c r="U1077" i="1"/>
  <c r="V1077" i="1"/>
  <c r="R1078" i="1"/>
  <c r="U1078" i="1"/>
  <c r="V1078" i="1"/>
  <c r="R1079" i="1"/>
  <c r="U1079" i="1"/>
  <c r="V1079" i="1"/>
  <c r="R1080" i="1"/>
  <c r="U1080" i="1"/>
  <c r="V1080" i="1"/>
  <c r="R1081" i="1"/>
  <c r="U1081" i="1"/>
  <c r="V1081" i="1"/>
  <c r="R1082" i="1"/>
  <c r="U1082" i="1"/>
  <c r="V1082" i="1"/>
  <c r="R1083" i="1"/>
  <c r="U1083" i="1"/>
  <c r="V1083" i="1"/>
  <c r="R1084" i="1"/>
  <c r="U1084" i="1"/>
  <c r="V1084" i="1"/>
  <c r="R1085" i="1"/>
  <c r="U1085" i="1"/>
  <c r="V1085" i="1"/>
  <c r="R1086" i="1"/>
  <c r="U1086" i="1"/>
  <c r="V1086" i="1"/>
  <c r="R1087" i="1"/>
  <c r="U1087" i="1"/>
  <c r="V1087" i="1"/>
  <c r="R1088" i="1"/>
  <c r="U1088" i="1"/>
  <c r="V1088" i="1"/>
  <c r="R1089" i="1"/>
  <c r="U1089" i="1"/>
  <c r="V1089" i="1"/>
  <c r="R1090" i="1"/>
  <c r="U1090" i="1"/>
  <c r="V1090" i="1"/>
  <c r="R1091" i="1"/>
  <c r="U1091" i="1"/>
  <c r="V1091" i="1"/>
  <c r="R1092" i="1"/>
  <c r="U1092" i="1"/>
  <c r="V1092" i="1"/>
  <c r="R1093" i="1"/>
  <c r="U1093" i="1"/>
  <c r="V1093" i="1"/>
  <c r="R1094" i="1"/>
  <c r="U1094" i="1"/>
  <c r="V1094" i="1"/>
  <c r="R1095" i="1"/>
  <c r="U1095" i="1"/>
  <c r="V1095" i="1"/>
  <c r="R1096" i="1"/>
  <c r="U1096" i="1"/>
  <c r="V1096" i="1"/>
  <c r="R1097" i="1"/>
  <c r="U1097" i="1"/>
  <c r="V1097" i="1"/>
  <c r="R1098" i="1"/>
  <c r="U1098" i="1"/>
  <c r="V1098" i="1"/>
  <c r="R1099" i="1"/>
  <c r="U1099" i="1"/>
  <c r="V1099" i="1"/>
  <c r="R1100" i="1"/>
  <c r="U1100" i="1"/>
  <c r="V1100" i="1"/>
  <c r="R1101" i="1"/>
  <c r="U1101" i="1"/>
  <c r="V1101" i="1"/>
  <c r="R1102" i="1"/>
  <c r="U1102" i="1"/>
  <c r="V1102" i="1"/>
  <c r="R1103" i="1"/>
  <c r="U1103" i="1"/>
  <c r="V1103" i="1"/>
  <c r="R1104" i="1"/>
  <c r="U1104" i="1"/>
  <c r="V1104" i="1"/>
  <c r="R1105" i="1"/>
  <c r="U1105" i="1"/>
  <c r="V1105" i="1"/>
  <c r="R1106" i="1"/>
  <c r="U1106" i="1"/>
  <c r="V1106" i="1"/>
  <c r="R1107" i="1"/>
  <c r="U1107" i="1"/>
  <c r="V1107" i="1"/>
  <c r="R1108" i="1"/>
  <c r="U1108" i="1"/>
  <c r="V1108" i="1"/>
  <c r="R1109" i="1"/>
  <c r="U1109" i="1"/>
  <c r="V1109" i="1"/>
  <c r="R1110" i="1"/>
  <c r="U1110" i="1"/>
  <c r="V1110" i="1"/>
  <c r="R1111" i="1"/>
  <c r="U1111" i="1"/>
  <c r="V1111" i="1"/>
  <c r="R1112" i="1"/>
  <c r="U1112" i="1"/>
  <c r="V1112" i="1"/>
  <c r="R1113" i="1"/>
  <c r="U1113" i="1"/>
  <c r="V1113" i="1"/>
  <c r="R1114" i="1"/>
  <c r="U1114" i="1"/>
  <c r="V1114" i="1"/>
  <c r="R1115" i="1"/>
  <c r="U1115" i="1"/>
  <c r="V1115" i="1"/>
  <c r="R1116" i="1"/>
  <c r="U1116" i="1"/>
  <c r="V1116" i="1"/>
  <c r="R1117" i="1"/>
  <c r="U1117" i="1"/>
  <c r="V1117" i="1"/>
  <c r="R1118" i="1"/>
  <c r="U1118" i="1"/>
  <c r="V1118" i="1"/>
  <c r="R1119" i="1"/>
  <c r="U1119" i="1"/>
  <c r="V1119" i="1"/>
  <c r="R1120" i="1"/>
  <c r="U1120" i="1"/>
  <c r="V1120" i="1"/>
  <c r="R1121" i="1"/>
  <c r="U1121" i="1"/>
  <c r="V1121" i="1"/>
  <c r="R1122" i="1"/>
  <c r="U1122" i="1"/>
  <c r="V1122" i="1"/>
  <c r="R1123" i="1"/>
  <c r="U1123" i="1"/>
  <c r="V1123" i="1"/>
  <c r="R1124" i="1"/>
  <c r="U1124" i="1"/>
  <c r="V1124" i="1"/>
  <c r="R1125" i="1"/>
  <c r="U1125" i="1"/>
  <c r="V1125" i="1"/>
  <c r="R1126" i="1"/>
  <c r="U1126" i="1"/>
  <c r="V1126" i="1"/>
  <c r="R1127" i="1"/>
  <c r="U1127" i="1"/>
  <c r="V1127" i="1"/>
  <c r="R1128" i="1"/>
  <c r="U1128" i="1"/>
  <c r="V1128" i="1"/>
  <c r="R1129" i="1"/>
  <c r="U1129" i="1"/>
  <c r="V1129" i="1"/>
  <c r="R1130" i="1"/>
  <c r="U1130" i="1"/>
  <c r="V1130" i="1"/>
  <c r="R1131" i="1"/>
  <c r="U1131" i="1"/>
  <c r="V1131" i="1"/>
  <c r="R1132" i="1"/>
  <c r="U1132" i="1"/>
  <c r="V1132" i="1"/>
  <c r="R1133" i="1"/>
  <c r="U1133" i="1"/>
  <c r="V1133" i="1"/>
  <c r="R1134" i="1"/>
  <c r="U1134" i="1"/>
  <c r="V1134" i="1"/>
  <c r="R1135" i="1"/>
  <c r="U1135" i="1"/>
  <c r="V1135" i="1"/>
  <c r="R1136" i="1"/>
  <c r="U1136" i="1"/>
  <c r="V1136" i="1"/>
  <c r="R1137" i="1"/>
  <c r="U1137" i="1"/>
  <c r="V1137" i="1"/>
  <c r="R1138" i="1"/>
  <c r="U1138" i="1"/>
  <c r="V1138" i="1"/>
  <c r="R1139" i="1"/>
  <c r="U1139" i="1"/>
  <c r="V1139" i="1"/>
  <c r="R1140" i="1"/>
  <c r="U1140" i="1"/>
  <c r="V1140" i="1"/>
  <c r="R1141" i="1"/>
  <c r="U1141" i="1"/>
  <c r="V1141" i="1"/>
  <c r="R1142" i="1"/>
  <c r="U1142" i="1"/>
  <c r="V1142" i="1"/>
  <c r="R1143" i="1"/>
  <c r="U1143" i="1"/>
  <c r="V1143" i="1"/>
  <c r="R1144" i="1"/>
  <c r="U1144" i="1"/>
  <c r="V1144" i="1"/>
  <c r="R1145" i="1"/>
  <c r="U1145" i="1"/>
  <c r="V1145" i="1"/>
  <c r="R1146" i="1"/>
  <c r="U1146" i="1"/>
  <c r="V1146" i="1"/>
  <c r="R1147" i="1"/>
  <c r="U1147" i="1"/>
  <c r="V1147" i="1"/>
  <c r="R1148" i="1"/>
  <c r="U1148" i="1"/>
  <c r="V1148" i="1"/>
  <c r="R1149" i="1"/>
  <c r="U1149" i="1"/>
  <c r="V1149" i="1"/>
  <c r="R1150" i="1"/>
  <c r="U1150" i="1"/>
  <c r="V1150" i="1"/>
  <c r="R1151" i="1"/>
  <c r="U1151" i="1"/>
  <c r="V1151" i="1"/>
  <c r="R1152" i="1"/>
  <c r="U1152" i="1"/>
  <c r="V1152" i="1"/>
  <c r="R1153" i="1"/>
  <c r="U1153" i="1"/>
  <c r="V1153" i="1"/>
  <c r="R1154" i="1"/>
  <c r="U1154" i="1"/>
  <c r="V1154" i="1"/>
  <c r="R1155" i="1"/>
  <c r="U1155" i="1"/>
  <c r="V1155" i="1"/>
  <c r="R1156" i="1"/>
  <c r="U1156" i="1"/>
  <c r="V1156" i="1"/>
  <c r="R1157" i="1"/>
  <c r="U1157" i="1"/>
  <c r="V1157" i="1"/>
  <c r="R1158" i="1"/>
  <c r="U1158" i="1"/>
  <c r="V1158" i="1"/>
  <c r="R1159" i="1"/>
  <c r="U1159" i="1"/>
  <c r="V1159" i="1"/>
  <c r="R1160" i="1"/>
  <c r="U1160" i="1"/>
  <c r="V1160" i="1"/>
  <c r="R1161" i="1"/>
  <c r="U1161" i="1"/>
  <c r="V1161" i="1"/>
  <c r="R1162" i="1"/>
  <c r="U1162" i="1"/>
  <c r="V1162" i="1"/>
  <c r="R1163" i="1"/>
  <c r="U1163" i="1"/>
  <c r="V1163" i="1"/>
  <c r="R1164" i="1"/>
  <c r="U1164" i="1"/>
  <c r="V1164" i="1"/>
  <c r="R1165" i="1"/>
  <c r="U1165" i="1"/>
  <c r="V1165" i="1"/>
  <c r="R1166" i="1"/>
  <c r="U1166" i="1"/>
  <c r="V1166" i="1"/>
  <c r="R1167" i="1"/>
  <c r="U1167" i="1"/>
  <c r="V1167" i="1"/>
  <c r="R1168" i="1"/>
  <c r="U1168" i="1"/>
  <c r="V1168" i="1"/>
  <c r="R1169" i="1"/>
  <c r="U1169" i="1"/>
  <c r="V1169" i="1"/>
  <c r="R1170" i="1"/>
  <c r="U1170" i="1"/>
  <c r="V1170" i="1"/>
  <c r="R1171" i="1"/>
  <c r="U1171" i="1"/>
  <c r="V1171" i="1"/>
  <c r="R1172" i="1"/>
  <c r="U1172" i="1"/>
  <c r="V1172" i="1"/>
  <c r="R1173" i="1"/>
  <c r="U1173" i="1"/>
  <c r="V1173" i="1"/>
  <c r="R1174" i="1"/>
  <c r="U1174" i="1"/>
  <c r="V1174" i="1"/>
  <c r="R1175" i="1"/>
  <c r="U1175" i="1"/>
  <c r="V1175" i="1"/>
  <c r="R1176" i="1"/>
  <c r="U1176" i="1"/>
  <c r="V1176" i="1"/>
  <c r="R1177" i="1"/>
  <c r="U1177" i="1"/>
  <c r="V1177" i="1"/>
  <c r="R1178" i="1"/>
  <c r="U1178" i="1"/>
  <c r="V1178" i="1"/>
  <c r="R1179" i="1"/>
  <c r="U1179" i="1"/>
  <c r="V1179" i="1"/>
  <c r="R1180" i="1"/>
  <c r="U1180" i="1"/>
  <c r="V1180" i="1"/>
  <c r="R1181" i="1"/>
  <c r="U1181" i="1"/>
  <c r="V1181" i="1"/>
  <c r="R1182" i="1"/>
  <c r="U1182" i="1"/>
  <c r="V1182" i="1"/>
  <c r="R1183" i="1"/>
  <c r="U1183" i="1"/>
  <c r="V1183" i="1"/>
  <c r="R1184" i="1"/>
  <c r="U1184" i="1"/>
  <c r="V1184" i="1"/>
  <c r="R1185" i="1"/>
  <c r="U1185" i="1"/>
  <c r="V1185" i="1"/>
  <c r="R1186" i="1"/>
  <c r="U1186" i="1"/>
  <c r="V1186" i="1"/>
  <c r="R1187" i="1"/>
  <c r="U1187" i="1"/>
  <c r="V1187" i="1"/>
  <c r="R1188" i="1"/>
  <c r="U1188" i="1"/>
  <c r="V1188" i="1"/>
  <c r="R1189" i="1"/>
  <c r="U1189" i="1"/>
  <c r="V1189" i="1"/>
  <c r="R1190" i="1"/>
  <c r="U1190" i="1"/>
  <c r="V1190" i="1"/>
  <c r="R1191" i="1"/>
  <c r="U1191" i="1"/>
  <c r="V1191" i="1"/>
  <c r="R1192" i="1"/>
  <c r="U1192" i="1"/>
  <c r="V1192" i="1"/>
  <c r="R1193" i="1"/>
  <c r="U1193" i="1"/>
  <c r="V1193" i="1"/>
  <c r="R1194" i="1"/>
  <c r="U1194" i="1"/>
  <c r="V1194" i="1"/>
  <c r="R1195" i="1"/>
  <c r="U1195" i="1"/>
  <c r="V1195" i="1"/>
  <c r="R1196" i="1"/>
  <c r="U1196" i="1"/>
  <c r="V1196" i="1"/>
  <c r="R1197" i="1"/>
  <c r="U1197" i="1"/>
  <c r="V1197" i="1"/>
  <c r="R1198" i="1"/>
  <c r="U1198" i="1"/>
  <c r="V1198" i="1"/>
  <c r="R1199" i="1"/>
  <c r="U1199" i="1"/>
  <c r="V1199" i="1"/>
  <c r="R1200" i="1"/>
  <c r="U1200" i="1"/>
  <c r="V1200" i="1"/>
  <c r="R1201" i="1"/>
  <c r="U1201" i="1"/>
  <c r="V1201" i="1"/>
  <c r="R1202" i="1"/>
  <c r="U1202" i="1"/>
  <c r="V1202" i="1"/>
  <c r="R1203" i="1"/>
  <c r="U1203" i="1"/>
  <c r="V1203" i="1"/>
  <c r="R1204" i="1"/>
  <c r="U1204" i="1"/>
  <c r="V1204" i="1"/>
  <c r="R1205" i="1"/>
  <c r="U1205" i="1"/>
  <c r="V1205" i="1"/>
  <c r="R1206" i="1"/>
  <c r="U1206" i="1"/>
  <c r="V1206" i="1"/>
  <c r="R1207" i="1"/>
  <c r="U1207" i="1"/>
  <c r="V1207" i="1"/>
  <c r="R1208" i="1"/>
  <c r="U1208" i="1"/>
  <c r="V1208" i="1"/>
  <c r="R1209" i="1"/>
  <c r="U1209" i="1"/>
  <c r="V1209" i="1"/>
  <c r="R1210" i="1"/>
  <c r="U1210" i="1"/>
  <c r="V1210" i="1"/>
  <c r="R1211" i="1"/>
  <c r="U1211" i="1"/>
  <c r="V1211" i="1"/>
  <c r="R1212" i="1"/>
  <c r="U1212" i="1"/>
  <c r="V1212" i="1"/>
  <c r="R1213" i="1"/>
  <c r="U1213" i="1"/>
  <c r="V1213" i="1"/>
  <c r="R1214" i="1"/>
  <c r="U1214" i="1"/>
  <c r="V1214" i="1"/>
  <c r="R1215" i="1"/>
  <c r="U1215" i="1"/>
  <c r="V1215" i="1"/>
  <c r="R1216" i="1"/>
  <c r="U1216" i="1"/>
  <c r="V1216" i="1"/>
  <c r="R1217" i="1"/>
  <c r="U1217" i="1"/>
  <c r="V1217" i="1"/>
  <c r="R1218" i="1"/>
  <c r="U1218" i="1"/>
  <c r="V1218" i="1"/>
  <c r="R1219" i="1"/>
  <c r="U1219" i="1"/>
  <c r="V1219" i="1"/>
  <c r="R1220" i="1"/>
  <c r="U1220" i="1"/>
  <c r="V1220" i="1"/>
  <c r="R1221" i="1"/>
  <c r="U1221" i="1"/>
  <c r="V1221" i="1"/>
  <c r="R1222" i="1"/>
  <c r="U1222" i="1"/>
  <c r="V1222" i="1"/>
  <c r="R1223" i="1"/>
  <c r="U1223" i="1"/>
  <c r="V1223" i="1"/>
  <c r="R1224" i="1"/>
  <c r="U1224" i="1"/>
  <c r="V1224" i="1"/>
  <c r="R1225" i="1"/>
  <c r="U1225" i="1"/>
  <c r="V1225" i="1"/>
  <c r="R1226" i="1"/>
  <c r="U1226" i="1"/>
  <c r="V1226" i="1"/>
  <c r="R1227" i="1"/>
  <c r="U1227" i="1"/>
  <c r="V1227" i="1"/>
  <c r="R1228" i="1"/>
  <c r="U1228" i="1"/>
  <c r="V1228" i="1"/>
  <c r="R1229" i="1"/>
  <c r="U1229" i="1"/>
  <c r="V1229" i="1"/>
  <c r="R1230" i="1"/>
  <c r="U1230" i="1"/>
  <c r="V1230" i="1"/>
  <c r="R1231" i="1"/>
  <c r="U1231" i="1"/>
  <c r="V1231" i="1"/>
  <c r="R1232" i="1"/>
  <c r="U1232" i="1"/>
  <c r="V1232" i="1"/>
  <c r="R1233" i="1"/>
  <c r="U1233" i="1"/>
  <c r="V1233" i="1"/>
  <c r="R1234" i="1"/>
  <c r="U1234" i="1"/>
  <c r="V1234" i="1"/>
  <c r="R1235" i="1"/>
  <c r="U1235" i="1"/>
  <c r="V1235" i="1"/>
  <c r="R1236" i="1"/>
  <c r="U1236" i="1"/>
  <c r="V1236" i="1"/>
  <c r="R1237" i="1"/>
  <c r="U1237" i="1"/>
  <c r="V1237" i="1"/>
  <c r="R1238" i="1"/>
  <c r="U1238" i="1"/>
  <c r="V1238" i="1"/>
  <c r="R1239" i="1"/>
  <c r="U1239" i="1"/>
  <c r="V1239" i="1"/>
  <c r="R1240" i="1"/>
  <c r="U1240" i="1"/>
  <c r="V1240" i="1"/>
  <c r="R1241" i="1"/>
  <c r="U1241" i="1"/>
  <c r="V1241" i="1"/>
  <c r="R1242" i="1"/>
  <c r="U1242" i="1"/>
  <c r="V1242" i="1"/>
  <c r="R1243" i="1"/>
  <c r="U1243" i="1"/>
  <c r="V1243" i="1"/>
  <c r="R1244" i="1"/>
  <c r="U1244" i="1"/>
  <c r="V1244" i="1"/>
  <c r="R1245" i="1"/>
  <c r="U1245" i="1"/>
  <c r="V1245" i="1"/>
  <c r="R1246" i="1"/>
  <c r="U1246" i="1"/>
  <c r="V1246" i="1"/>
  <c r="R1247" i="1"/>
  <c r="U1247" i="1"/>
  <c r="V1247" i="1"/>
  <c r="R1248" i="1"/>
  <c r="U1248" i="1"/>
  <c r="V1248" i="1"/>
  <c r="R1249" i="1"/>
  <c r="U1249" i="1"/>
  <c r="V1249" i="1"/>
  <c r="R1250" i="1"/>
  <c r="U1250" i="1"/>
  <c r="V1250" i="1"/>
  <c r="R1251" i="1"/>
  <c r="U1251" i="1"/>
  <c r="V1251" i="1"/>
  <c r="R1252" i="1"/>
  <c r="U1252" i="1"/>
  <c r="V1252" i="1"/>
  <c r="R1253" i="1"/>
  <c r="U1253" i="1"/>
  <c r="V1253" i="1"/>
  <c r="R1254" i="1"/>
  <c r="U1254" i="1"/>
  <c r="V1254" i="1"/>
  <c r="R1255" i="1"/>
  <c r="U1255" i="1"/>
  <c r="V1255" i="1"/>
  <c r="R1256" i="1"/>
  <c r="U1256" i="1"/>
  <c r="V1256" i="1"/>
  <c r="R1257" i="1"/>
  <c r="U1257" i="1"/>
  <c r="V1257" i="1"/>
  <c r="R1258" i="1"/>
  <c r="U1258" i="1"/>
  <c r="V1258" i="1"/>
  <c r="R1259" i="1"/>
  <c r="U1259" i="1"/>
  <c r="V1259" i="1"/>
  <c r="R1260" i="1"/>
  <c r="U1260" i="1"/>
  <c r="V1260" i="1"/>
  <c r="R1261" i="1"/>
  <c r="U1261" i="1"/>
  <c r="V1261" i="1"/>
  <c r="R1262" i="1"/>
  <c r="U1262" i="1"/>
  <c r="V1262" i="1"/>
  <c r="R1263" i="1"/>
  <c r="U1263" i="1"/>
  <c r="V1263" i="1"/>
  <c r="R1264" i="1"/>
  <c r="U1264" i="1"/>
  <c r="V1264" i="1"/>
  <c r="R1265" i="1"/>
  <c r="U1265" i="1"/>
  <c r="V1265" i="1"/>
  <c r="R1266" i="1"/>
  <c r="U1266" i="1"/>
  <c r="V1266" i="1"/>
  <c r="R1267" i="1"/>
  <c r="U1267" i="1"/>
  <c r="V1267" i="1"/>
  <c r="R1268" i="1"/>
  <c r="U1268" i="1"/>
  <c r="V1268" i="1"/>
  <c r="R1269" i="1"/>
  <c r="U1269" i="1"/>
  <c r="V1269" i="1"/>
  <c r="R1270" i="1"/>
  <c r="U1270" i="1"/>
  <c r="V1270" i="1"/>
  <c r="R1271" i="1"/>
  <c r="U1271" i="1"/>
  <c r="V1271" i="1"/>
  <c r="R1272" i="1"/>
  <c r="U1272" i="1"/>
  <c r="V1272" i="1"/>
  <c r="R1273" i="1"/>
  <c r="U1273" i="1"/>
  <c r="V1273" i="1"/>
  <c r="R1274" i="1"/>
  <c r="U1274" i="1"/>
  <c r="V1274" i="1"/>
  <c r="R1275" i="1"/>
  <c r="U1275" i="1"/>
  <c r="V1275" i="1"/>
  <c r="R1276" i="1"/>
  <c r="U1276" i="1"/>
  <c r="V1276" i="1"/>
  <c r="R1277" i="1"/>
  <c r="U1277" i="1"/>
  <c r="V1277" i="1"/>
  <c r="R1278" i="1"/>
  <c r="U1278" i="1"/>
  <c r="V1278" i="1"/>
  <c r="R1279" i="1"/>
  <c r="U1279" i="1"/>
  <c r="V1279" i="1"/>
  <c r="R1280" i="1"/>
  <c r="U1280" i="1"/>
  <c r="V1280" i="1"/>
  <c r="R1281" i="1"/>
  <c r="U1281" i="1"/>
  <c r="V1281" i="1"/>
  <c r="R1282" i="1"/>
  <c r="U1282" i="1"/>
  <c r="V1282" i="1"/>
  <c r="R1283" i="1"/>
  <c r="U1283" i="1"/>
  <c r="V1283" i="1"/>
  <c r="R1284" i="1"/>
  <c r="U1284" i="1"/>
  <c r="V1284" i="1"/>
  <c r="R1285" i="1"/>
  <c r="U1285" i="1"/>
  <c r="V1285" i="1"/>
  <c r="R1286" i="1"/>
  <c r="U1286" i="1"/>
  <c r="V1286" i="1"/>
  <c r="R1287" i="1"/>
  <c r="U1287" i="1"/>
  <c r="V1287" i="1"/>
  <c r="R1288" i="1"/>
  <c r="U1288" i="1"/>
  <c r="V1288" i="1"/>
  <c r="R1289" i="1"/>
  <c r="U1289" i="1"/>
  <c r="V1289" i="1"/>
  <c r="R1290" i="1"/>
  <c r="U1290" i="1"/>
  <c r="V1290" i="1"/>
  <c r="R1291" i="1"/>
  <c r="U1291" i="1"/>
  <c r="V1291" i="1"/>
  <c r="R1292" i="1"/>
  <c r="U1292" i="1"/>
  <c r="V1292" i="1"/>
  <c r="R1293" i="1"/>
  <c r="U1293" i="1"/>
  <c r="V1293" i="1"/>
  <c r="R1294" i="1"/>
  <c r="U1294" i="1"/>
  <c r="V1294" i="1"/>
  <c r="R1295" i="1"/>
  <c r="U1295" i="1"/>
  <c r="V1295" i="1"/>
  <c r="R1296" i="1"/>
  <c r="U1296" i="1"/>
  <c r="V1296" i="1"/>
  <c r="R1297" i="1"/>
  <c r="U1297" i="1"/>
  <c r="V1297" i="1"/>
  <c r="R1298" i="1"/>
  <c r="U1298" i="1"/>
  <c r="V1298" i="1"/>
  <c r="R1299" i="1"/>
  <c r="U1299" i="1"/>
  <c r="V1299" i="1"/>
  <c r="R1300" i="1"/>
  <c r="U1300" i="1"/>
  <c r="V1300" i="1"/>
  <c r="R1301" i="1"/>
  <c r="U1301" i="1"/>
  <c r="V1301" i="1"/>
  <c r="R1302" i="1"/>
  <c r="U1302" i="1"/>
  <c r="V1302" i="1"/>
  <c r="R1303" i="1"/>
  <c r="U1303" i="1"/>
  <c r="V1303" i="1"/>
  <c r="R1304" i="1"/>
  <c r="U1304" i="1"/>
  <c r="V1304" i="1"/>
  <c r="R1305" i="1"/>
  <c r="U1305" i="1"/>
  <c r="V1305" i="1"/>
  <c r="R1306" i="1"/>
  <c r="U1306" i="1"/>
  <c r="V1306" i="1"/>
  <c r="R1307" i="1"/>
  <c r="U1307" i="1"/>
  <c r="V1307" i="1"/>
  <c r="R1308" i="1"/>
  <c r="U1308" i="1"/>
  <c r="V1308" i="1"/>
  <c r="R1309" i="1"/>
  <c r="U1309" i="1"/>
  <c r="V1309" i="1"/>
  <c r="R1310" i="1"/>
  <c r="U1310" i="1"/>
  <c r="V1310" i="1"/>
  <c r="R1311" i="1"/>
  <c r="U1311" i="1"/>
  <c r="V1311" i="1"/>
  <c r="R1312" i="1"/>
  <c r="U1312" i="1"/>
  <c r="V1312" i="1"/>
  <c r="R1313" i="1"/>
  <c r="U1313" i="1"/>
  <c r="V1313" i="1"/>
  <c r="R1314" i="1"/>
  <c r="U1314" i="1"/>
  <c r="V1314" i="1"/>
  <c r="R1315" i="1"/>
  <c r="U1315" i="1"/>
  <c r="V1315" i="1"/>
  <c r="R1316" i="1"/>
  <c r="U1316" i="1"/>
  <c r="V1316" i="1"/>
  <c r="R1317" i="1"/>
  <c r="U1317" i="1"/>
  <c r="V1317" i="1"/>
  <c r="R1318" i="1"/>
  <c r="U1318" i="1"/>
  <c r="V1318" i="1"/>
  <c r="R1319" i="1"/>
  <c r="U1319" i="1"/>
  <c r="V1319" i="1"/>
  <c r="R1320" i="1"/>
  <c r="U1320" i="1"/>
  <c r="V1320" i="1"/>
  <c r="R1321" i="1"/>
  <c r="U1321" i="1"/>
  <c r="V1321" i="1"/>
  <c r="R1322" i="1"/>
  <c r="U1322" i="1"/>
  <c r="V1322" i="1"/>
  <c r="R1323" i="1"/>
  <c r="U1323" i="1"/>
  <c r="V1323" i="1"/>
  <c r="R1324" i="1"/>
  <c r="U1324" i="1"/>
  <c r="V1324" i="1"/>
  <c r="R1325" i="1"/>
  <c r="U1325" i="1"/>
  <c r="V1325" i="1"/>
  <c r="R1326" i="1"/>
  <c r="U1326" i="1"/>
  <c r="V1326" i="1"/>
  <c r="R1327" i="1"/>
  <c r="U1327" i="1"/>
  <c r="V1327" i="1"/>
  <c r="R1328" i="1"/>
  <c r="U1328" i="1"/>
  <c r="V1328" i="1"/>
  <c r="R1329" i="1"/>
  <c r="U1329" i="1"/>
  <c r="V1329" i="1"/>
  <c r="R1330" i="1"/>
  <c r="U1330" i="1"/>
  <c r="V1330" i="1"/>
  <c r="R1331" i="1"/>
  <c r="U1331" i="1"/>
  <c r="V1331" i="1"/>
  <c r="R1332" i="1"/>
  <c r="U1332" i="1"/>
  <c r="V1332" i="1"/>
  <c r="R1333" i="1"/>
  <c r="U1333" i="1"/>
  <c r="V1333" i="1"/>
  <c r="R1334" i="1"/>
  <c r="U1334" i="1"/>
  <c r="V1334" i="1"/>
  <c r="R1335" i="1"/>
  <c r="U1335" i="1"/>
  <c r="V1335" i="1"/>
  <c r="R1336" i="1"/>
  <c r="U1336" i="1"/>
  <c r="V1336" i="1"/>
  <c r="R1337" i="1"/>
  <c r="U1337" i="1"/>
  <c r="V1337" i="1"/>
  <c r="R1338" i="1"/>
  <c r="U1338" i="1"/>
  <c r="V1338" i="1"/>
  <c r="R1339" i="1"/>
  <c r="U1339" i="1"/>
  <c r="V1339" i="1"/>
  <c r="R1340" i="1"/>
  <c r="U1340" i="1"/>
  <c r="V1340" i="1"/>
  <c r="R1341" i="1"/>
  <c r="U1341" i="1"/>
  <c r="V1341" i="1"/>
  <c r="R1342" i="1"/>
  <c r="U1342" i="1"/>
  <c r="V1342" i="1"/>
  <c r="R1343" i="1"/>
  <c r="U1343" i="1"/>
  <c r="V1343" i="1"/>
  <c r="R1344" i="1"/>
  <c r="U1344" i="1"/>
  <c r="V1344" i="1"/>
  <c r="R1345" i="1"/>
  <c r="U1345" i="1"/>
  <c r="V1345" i="1"/>
  <c r="R1346" i="1"/>
  <c r="U1346" i="1"/>
  <c r="V1346" i="1"/>
  <c r="R1347" i="1"/>
  <c r="U1347" i="1"/>
  <c r="V1347" i="1"/>
  <c r="R1348" i="1"/>
  <c r="U1348" i="1"/>
  <c r="V1348" i="1"/>
  <c r="R1349" i="1"/>
  <c r="U1349" i="1"/>
  <c r="V1349" i="1"/>
  <c r="R1350" i="1"/>
  <c r="U1350" i="1"/>
  <c r="V1350" i="1"/>
  <c r="R1351" i="1"/>
  <c r="U1351" i="1"/>
  <c r="V1351" i="1"/>
  <c r="R1352" i="1"/>
  <c r="U1352" i="1"/>
  <c r="V1352" i="1"/>
  <c r="R1353" i="1"/>
  <c r="U1353" i="1"/>
  <c r="V1353" i="1"/>
  <c r="R1354" i="1"/>
  <c r="U1354" i="1"/>
  <c r="V1354" i="1"/>
  <c r="R1355" i="1"/>
  <c r="U1355" i="1"/>
  <c r="V1355" i="1"/>
  <c r="R1356" i="1"/>
  <c r="U1356" i="1"/>
  <c r="V1356" i="1"/>
  <c r="R1357" i="1"/>
  <c r="U1357" i="1"/>
  <c r="V1357" i="1"/>
  <c r="R1358" i="1"/>
  <c r="U1358" i="1"/>
  <c r="V1358" i="1"/>
  <c r="R1359" i="1"/>
  <c r="U1359" i="1"/>
  <c r="V1359" i="1"/>
  <c r="R1360" i="1"/>
  <c r="U1360" i="1"/>
  <c r="V1360" i="1"/>
  <c r="R1361" i="1"/>
  <c r="U1361" i="1"/>
  <c r="V1361" i="1"/>
  <c r="R1362" i="1"/>
  <c r="U1362" i="1"/>
  <c r="V1362" i="1"/>
  <c r="R1363" i="1"/>
  <c r="U1363" i="1"/>
  <c r="V1363" i="1"/>
  <c r="R1364" i="1"/>
  <c r="U1364" i="1"/>
  <c r="V1364" i="1"/>
  <c r="R1365" i="1"/>
  <c r="U1365" i="1"/>
  <c r="V1365" i="1"/>
  <c r="R1366" i="1"/>
  <c r="U1366" i="1"/>
  <c r="V1366" i="1"/>
  <c r="R1367" i="1"/>
  <c r="U1367" i="1"/>
  <c r="V1367" i="1"/>
  <c r="R1368" i="1"/>
  <c r="U1368" i="1"/>
  <c r="V1368" i="1"/>
  <c r="R1369" i="1"/>
  <c r="U1369" i="1"/>
  <c r="V1369" i="1"/>
  <c r="R1370" i="1"/>
  <c r="U1370" i="1"/>
  <c r="V1370" i="1"/>
  <c r="R1371" i="1"/>
  <c r="U1371" i="1"/>
  <c r="V1371" i="1"/>
  <c r="R1372" i="1"/>
  <c r="U1372" i="1"/>
  <c r="V1372" i="1"/>
  <c r="R1373" i="1"/>
  <c r="U1373" i="1"/>
  <c r="V1373" i="1"/>
  <c r="R1374" i="1"/>
  <c r="U1374" i="1"/>
  <c r="V1374" i="1"/>
  <c r="R1375" i="1"/>
  <c r="U1375" i="1"/>
  <c r="V1375" i="1"/>
  <c r="R1376" i="1"/>
  <c r="U1376" i="1"/>
  <c r="V1376" i="1"/>
  <c r="R1377" i="1"/>
  <c r="U1377" i="1"/>
  <c r="V1377" i="1"/>
  <c r="R1378" i="1"/>
  <c r="U1378" i="1"/>
  <c r="V1378" i="1"/>
  <c r="R1379" i="1"/>
  <c r="U1379" i="1"/>
  <c r="V1379" i="1"/>
  <c r="R1380" i="1"/>
  <c r="U1380" i="1"/>
  <c r="V1380" i="1"/>
  <c r="R1381" i="1"/>
  <c r="U1381" i="1"/>
  <c r="V1381" i="1"/>
  <c r="R1382" i="1"/>
  <c r="U1382" i="1"/>
  <c r="V1382" i="1"/>
  <c r="R1383" i="1"/>
  <c r="U1383" i="1"/>
  <c r="V1383" i="1"/>
  <c r="R1384" i="1"/>
  <c r="U1384" i="1"/>
  <c r="V1384" i="1"/>
  <c r="R1385" i="1"/>
  <c r="U1385" i="1"/>
  <c r="V1385" i="1"/>
  <c r="R1386" i="1"/>
  <c r="U1386" i="1"/>
  <c r="V1386" i="1"/>
  <c r="R1387" i="1"/>
  <c r="U1387" i="1"/>
  <c r="V1387" i="1"/>
  <c r="R1388" i="1"/>
  <c r="U1388" i="1"/>
  <c r="V1388" i="1"/>
  <c r="R1389" i="1"/>
  <c r="U1389" i="1"/>
  <c r="V1389" i="1"/>
  <c r="R1390" i="1"/>
  <c r="U1390" i="1"/>
  <c r="V1390" i="1"/>
  <c r="R1391" i="1"/>
  <c r="U1391" i="1"/>
  <c r="V1391" i="1"/>
  <c r="R1392" i="1"/>
  <c r="U1392" i="1"/>
  <c r="V1392" i="1"/>
  <c r="R1393" i="1"/>
  <c r="U1393" i="1"/>
  <c r="V1393" i="1"/>
  <c r="R1394" i="1"/>
  <c r="U1394" i="1"/>
  <c r="V1394" i="1"/>
  <c r="R1395" i="1"/>
  <c r="U1395" i="1"/>
  <c r="V1395" i="1"/>
  <c r="R1396" i="1"/>
  <c r="U1396" i="1"/>
  <c r="V1396" i="1"/>
  <c r="R1397" i="1"/>
  <c r="U1397" i="1"/>
  <c r="V1397" i="1"/>
  <c r="R1398" i="1"/>
  <c r="U1398" i="1"/>
  <c r="V1398" i="1"/>
  <c r="R1399" i="1"/>
  <c r="U1399" i="1"/>
  <c r="V1399" i="1"/>
  <c r="R1400" i="1"/>
  <c r="U1400" i="1"/>
  <c r="V1400" i="1"/>
  <c r="R1401" i="1"/>
  <c r="U1401" i="1"/>
  <c r="V1401" i="1"/>
  <c r="R1402" i="1"/>
  <c r="U1402" i="1"/>
  <c r="V1402" i="1"/>
  <c r="R1403" i="1"/>
  <c r="U1403" i="1"/>
  <c r="V1403" i="1"/>
  <c r="R1404" i="1"/>
  <c r="U1404" i="1"/>
  <c r="V1404" i="1"/>
  <c r="R1405" i="1"/>
  <c r="U1405" i="1"/>
  <c r="V1405" i="1"/>
  <c r="R1406" i="1"/>
  <c r="U1406" i="1"/>
  <c r="V1406" i="1"/>
  <c r="R1407" i="1"/>
  <c r="U1407" i="1"/>
  <c r="V1407" i="1"/>
  <c r="R1408" i="1"/>
  <c r="U1408" i="1"/>
  <c r="V1408" i="1"/>
  <c r="R1409" i="1"/>
  <c r="U1409" i="1"/>
  <c r="V1409" i="1"/>
  <c r="R1410" i="1"/>
  <c r="U1410" i="1"/>
  <c r="V1410" i="1"/>
  <c r="R1411" i="1"/>
  <c r="U1411" i="1"/>
  <c r="V1411" i="1"/>
  <c r="R1412" i="1"/>
  <c r="U1412" i="1"/>
  <c r="V1412" i="1"/>
  <c r="R1413" i="1"/>
  <c r="U1413" i="1"/>
  <c r="V1413" i="1"/>
  <c r="R1414" i="1"/>
  <c r="U1414" i="1"/>
  <c r="V1414" i="1"/>
  <c r="R1415" i="1"/>
  <c r="U1415" i="1"/>
  <c r="V1415" i="1"/>
  <c r="R1416" i="1"/>
  <c r="U1416" i="1"/>
  <c r="V1416" i="1"/>
  <c r="R1417" i="1"/>
  <c r="U1417" i="1"/>
  <c r="V1417" i="1"/>
  <c r="R1418" i="1"/>
  <c r="U1418" i="1"/>
  <c r="V1418" i="1"/>
  <c r="R1419" i="1"/>
  <c r="U1419" i="1"/>
  <c r="V1419" i="1"/>
  <c r="R1420" i="1"/>
  <c r="U1420" i="1"/>
  <c r="V1420" i="1"/>
  <c r="R1421" i="1"/>
  <c r="U1421" i="1"/>
  <c r="V1421" i="1"/>
  <c r="R1422" i="1"/>
  <c r="U1422" i="1"/>
  <c r="V1422" i="1"/>
  <c r="R1423" i="1"/>
  <c r="U1423" i="1"/>
  <c r="V1423" i="1"/>
  <c r="R1424" i="1"/>
  <c r="U1424" i="1"/>
  <c r="V1424" i="1"/>
  <c r="R1425" i="1"/>
  <c r="U1425" i="1"/>
  <c r="V1425" i="1"/>
  <c r="R1426" i="1"/>
  <c r="U1426" i="1"/>
  <c r="V1426" i="1"/>
  <c r="R1427" i="1"/>
  <c r="U1427" i="1"/>
  <c r="V1427" i="1"/>
  <c r="R1428" i="1"/>
  <c r="U1428" i="1"/>
  <c r="V1428" i="1"/>
  <c r="R1429" i="1"/>
  <c r="U1429" i="1"/>
  <c r="V1429" i="1"/>
  <c r="R1430" i="1"/>
  <c r="U1430" i="1"/>
  <c r="V1430" i="1"/>
  <c r="R1431" i="1"/>
  <c r="U1431" i="1"/>
  <c r="V1431" i="1"/>
  <c r="R1432" i="1"/>
  <c r="U1432" i="1"/>
  <c r="V1432" i="1"/>
  <c r="R1433" i="1"/>
  <c r="U1433" i="1"/>
  <c r="V1433" i="1"/>
  <c r="R1434" i="1"/>
  <c r="U1434" i="1"/>
  <c r="V1434" i="1"/>
  <c r="R1435" i="1"/>
  <c r="U1435" i="1"/>
  <c r="V1435" i="1"/>
  <c r="R1436" i="1"/>
  <c r="U1436" i="1"/>
  <c r="V1436" i="1"/>
  <c r="R1437" i="1"/>
  <c r="U1437" i="1"/>
  <c r="V1437" i="1"/>
  <c r="R1438" i="1"/>
  <c r="U1438" i="1"/>
  <c r="V1438" i="1"/>
  <c r="R1439" i="1"/>
  <c r="U1439" i="1"/>
  <c r="V1439" i="1"/>
  <c r="R1440" i="1"/>
  <c r="U1440" i="1"/>
  <c r="V1440" i="1"/>
  <c r="R1441" i="1"/>
  <c r="U1441" i="1"/>
  <c r="V1441" i="1"/>
  <c r="R1442" i="1"/>
  <c r="U1442" i="1"/>
  <c r="V1442" i="1"/>
  <c r="R1443" i="1"/>
  <c r="U1443" i="1"/>
  <c r="V1443" i="1"/>
  <c r="R1444" i="1"/>
  <c r="U1444" i="1"/>
  <c r="V1444" i="1"/>
  <c r="R1445" i="1"/>
  <c r="U1445" i="1"/>
  <c r="V1445" i="1"/>
  <c r="R1446" i="1"/>
  <c r="U1446" i="1"/>
  <c r="V1446" i="1"/>
  <c r="R1447" i="1"/>
  <c r="U1447" i="1"/>
  <c r="V1447" i="1"/>
  <c r="R1448" i="1"/>
  <c r="U1448" i="1"/>
  <c r="V1448" i="1"/>
  <c r="R1449" i="1"/>
  <c r="U1449" i="1"/>
  <c r="V1449" i="1"/>
  <c r="R1450" i="1"/>
  <c r="U1450" i="1"/>
  <c r="V1450" i="1"/>
  <c r="R1451" i="1"/>
  <c r="U1451" i="1"/>
  <c r="V1451" i="1"/>
  <c r="R1452" i="1"/>
  <c r="U1452" i="1"/>
  <c r="V1452" i="1"/>
  <c r="R1453" i="1"/>
  <c r="U1453" i="1"/>
  <c r="V1453" i="1"/>
  <c r="R1454" i="1"/>
  <c r="U1454" i="1"/>
  <c r="V1454" i="1"/>
  <c r="R1455" i="1"/>
  <c r="U1455" i="1"/>
  <c r="V1455" i="1"/>
  <c r="R1456" i="1"/>
  <c r="U1456" i="1"/>
  <c r="V1456" i="1"/>
  <c r="R1457" i="1"/>
  <c r="U1457" i="1"/>
  <c r="V1457" i="1"/>
  <c r="R1458" i="1"/>
  <c r="U1458" i="1"/>
  <c r="V1458" i="1"/>
  <c r="R1459" i="1"/>
  <c r="U1459" i="1"/>
  <c r="V1459" i="1"/>
  <c r="R1460" i="1"/>
  <c r="U1460" i="1"/>
  <c r="V1460" i="1"/>
  <c r="R1461" i="1"/>
  <c r="U1461" i="1"/>
  <c r="V1461" i="1"/>
  <c r="R1462" i="1"/>
  <c r="U1462" i="1"/>
  <c r="V1462" i="1"/>
  <c r="R1463" i="1"/>
  <c r="U1463" i="1"/>
  <c r="V1463" i="1"/>
  <c r="R1464" i="1"/>
  <c r="U1464" i="1"/>
  <c r="V1464" i="1"/>
  <c r="R1465" i="1"/>
  <c r="U1465" i="1"/>
  <c r="V1465" i="1"/>
  <c r="R1466" i="1"/>
  <c r="U1466" i="1"/>
  <c r="V1466" i="1"/>
  <c r="R1467" i="1"/>
  <c r="U1467" i="1"/>
  <c r="V1467" i="1"/>
  <c r="R1468" i="1"/>
  <c r="U1468" i="1"/>
  <c r="V1468" i="1"/>
  <c r="R1469" i="1"/>
  <c r="U1469" i="1"/>
  <c r="V1469" i="1"/>
  <c r="R1470" i="1"/>
  <c r="U1470" i="1"/>
  <c r="V1470" i="1"/>
  <c r="R1471" i="1"/>
  <c r="U1471" i="1"/>
  <c r="V1471" i="1"/>
  <c r="R1472" i="1"/>
  <c r="U1472" i="1"/>
  <c r="V1472" i="1"/>
  <c r="R1473" i="1"/>
  <c r="U1473" i="1"/>
  <c r="V1473" i="1"/>
  <c r="R1474" i="1"/>
  <c r="U1474" i="1"/>
  <c r="V1474" i="1"/>
  <c r="R1475" i="1"/>
  <c r="U1475" i="1"/>
  <c r="V1475" i="1"/>
  <c r="R1476" i="1"/>
  <c r="U1476" i="1"/>
  <c r="V1476" i="1"/>
  <c r="R1477" i="1"/>
  <c r="U1477" i="1"/>
  <c r="V1477" i="1"/>
  <c r="R1478" i="1"/>
  <c r="U1478" i="1"/>
  <c r="V1478" i="1"/>
  <c r="R1479" i="1"/>
  <c r="U1479" i="1"/>
  <c r="V1479" i="1"/>
  <c r="R1480" i="1"/>
  <c r="U1480" i="1"/>
  <c r="V1480" i="1"/>
  <c r="R1481" i="1"/>
  <c r="U1481" i="1"/>
  <c r="V1481" i="1"/>
  <c r="R1482" i="1"/>
  <c r="U1482" i="1"/>
  <c r="V1482" i="1"/>
  <c r="R1483" i="1"/>
  <c r="U1483" i="1"/>
  <c r="V1483" i="1"/>
  <c r="R1484" i="1"/>
  <c r="U1484" i="1"/>
  <c r="V1484" i="1"/>
  <c r="R1485" i="1"/>
  <c r="U1485" i="1"/>
  <c r="V1485" i="1"/>
  <c r="R1486" i="1"/>
  <c r="U1486" i="1"/>
  <c r="V1486" i="1"/>
  <c r="R1487" i="1"/>
  <c r="U1487" i="1"/>
  <c r="V1487" i="1"/>
  <c r="R1488" i="1"/>
  <c r="U1488" i="1"/>
  <c r="V1488" i="1"/>
  <c r="R1489" i="1"/>
  <c r="U1489" i="1"/>
  <c r="V1489" i="1"/>
  <c r="R1490" i="1"/>
  <c r="U1490" i="1"/>
  <c r="V1490" i="1"/>
  <c r="R1491" i="1"/>
  <c r="U1491" i="1"/>
  <c r="V1491" i="1"/>
  <c r="R1492" i="1"/>
  <c r="U1492" i="1"/>
  <c r="V1492" i="1"/>
  <c r="R1493" i="1"/>
  <c r="U1493" i="1"/>
  <c r="V1493" i="1"/>
  <c r="R1494" i="1"/>
  <c r="U1494" i="1"/>
  <c r="V1494" i="1"/>
  <c r="R1495" i="1"/>
  <c r="U1495" i="1"/>
  <c r="V1495" i="1"/>
  <c r="R1496" i="1"/>
  <c r="U1496" i="1"/>
  <c r="V1496" i="1"/>
  <c r="R1497" i="1"/>
  <c r="U1497" i="1"/>
  <c r="V1497" i="1"/>
  <c r="R1498" i="1"/>
  <c r="U1498" i="1"/>
  <c r="V1498" i="1"/>
  <c r="R1499" i="1"/>
  <c r="U1499" i="1"/>
  <c r="V1499" i="1"/>
  <c r="R1500" i="1"/>
  <c r="U1500" i="1"/>
  <c r="V1500" i="1"/>
  <c r="R1501" i="1"/>
  <c r="U1501" i="1"/>
  <c r="V1501" i="1"/>
  <c r="R1502" i="1"/>
  <c r="U1502" i="1"/>
  <c r="V1502" i="1"/>
  <c r="R1503" i="1"/>
  <c r="U1503" i="1"/>
  <c r="V1503" i="1"/>
  <c r="R1504" i="1"/>
  <c r="U1504" i="1"/>
  <c r="V1504" i="1"/>
  <c r="R1505" i="1"/>
  <c r="U1505" i="1"/>
  <c r="V1505" i="1"/>
  <c r="R1506" i="1"/>
  <c r="U1506" i="1"/>
  <c r="V1506" i="1"/>
  <c r="R1507" i="1"/>
  <c r="U1507" i="1"/>
  <c r="V1507" i="1"/>
  <c r="R1508" i="1"/>
  <c r="U1508" i="1"/>
  <c r="V1508" i="1"/>
  <c r="R1509" i="1"/>
  <c r="U1509" i="1"/>
  <c r="V1509" i="1"/>
  <c r="R1510" i="1"/>
  <c r="U1510" i="1"/>
  <c r="V1510" i="1"/>
  <c r="R1511" i="1"/>
  <c r="U1511" i="1"/>
  <c r="V1511" i="1"/>
  <c r="R1512" i="1"/>
  <c r="U1512" i="1"/>
  <c r="V1512" i="1"/>
  <c r="R1513" i="1"/>
  <c r="U1513" i="1"/>
  <c r="V1513" i="1"/>
  <c r="R1514" i="1"/>
  <c r="U1514" i="1"/>
  <c r="V1514" i="1"/>
  <c r="R1515" i="1"/>
  <c r="U1515" i="1"/>
  <c r="V1515" i="1"/>
  <c r="R1516" i="1"/>
  <c r="U1516" i="1"/>
  <c r="V1516" i="1"/>
  <c r="R1517" i="1"/>
  <c r="U1517" i="1"/>
  <c r="V1517" i="1"/>
  <c r="R1518" i="1"/>
  <c r="U1518" i="1"/>
  <c r="V1518" i="1"/>
  <c r="R1519" i="1"/>
  <c r="U1519" i="1"/>
  <c r="V1519" i="1"/>
  <c r="R1520" i="1"/>
  <c r="U1520" i="1"/>
  <c r="V1520" i="1"/>
  <c r="R1521" i="1"/>
  <c r="U1521" i="1"/>
  <c r="V1521" i="1"/>
  <c r="R1522" i="1"/>
  <c r="U1522" i="1"/>
  <c r="V1522" i="1"/>
  <c r="R1523" i="1"/>
  <c r="U1523" i="1"/>
  <c r="V1523" i="1"/>
  <c r="R1524" i="1"/>
  <c r="U1524" i="1"/>
  <c r="V1524" i="1"/>
  <c r="R1525" i="1"/>
  <c r="U1525" i="1"/>
  <c r="V1525" i="1"/>
  <c r="R1526" i="1"/>
  <c r="U1526" i="1"/>
  <c r="V1526" i="1"/>
  <c r="R1527" i="1"/>
  <c r="U1527" i="1"/>
  <c r="V1527" i="1"/>
  <c r="R1528" i="1"/>
  <c r="U1528" i="1"/>
  <c r="V1528" i="1"/>
  <c r="R1529" i="1"/>
  <c r="U1529" i="1"/>
  <c r="V1529" i="1"/>
  <c r="R1530" i="1"/>
  <c r="U1530" i="1"/>
  <c r="V1530" i="1"/>
  <c r="R1531" i="1"/>
  <c r="U1531" i="1"/>
  <c r="V1531" i="1"/>
  <c r="R1532" i="1"/>
  <c r="U1532" i="1"/>
  <c r="V1532" i="1"/>
  <c r="R1533" i="1"/>
  <c r="U1533" i="1"/>
  <c r="V1533" i="1"/>
  <c r="R1534" i="1"/>
  <c r="U1534" i="1"/>
  <c r="V1534" i="1"/>
  <c r="R1535" i="1"/>
  <c r="U1535" i="1"/>
  <c r="V1535" i="1"/>
  <c r="R1536" i="1"/>
  <c r="U1536" i="1"/>
  <c r="V1536" i="1"/>
  <c r="R1537" i="1"/>
  <c r="U1537" i="1"/>
  <c r="V1537" i="1"/>
  <c r="R1538" i="1"/>
  <c r="U1538" i="1"/>
  <c r="V1538" i="1"/>
  <c r="R1539" i="1"/>
  <c r="U1539" i="1"/>
  <c r="V1539" i="1"/>
  <c r="R1540" i="1"/>
  <c r="U1540" i="1"/>
  <c r="V1540" i="1"/>
  <c r="R1541" i="1"/>
  <c r="U1541" i="1"/>
  <c r="V1541" i="1"/>
  <c r="R1542" i="1"/>
  <c r="U1542" i="1"/>
  <c r="V1542" i="1"/>
  <c r="R1543" i="1"/>
  <c r="U1543" i="1"/>
  <c r="V1543" i="1"/>
  <c r="R1544" i="1"/>
  <c r="U1544" i="1"/>
  <c r="V1544" i="1"/>
  <c r="R1545" i="1"/>
  <c r="U1545" i="1"/>
  <c r="V1545" i="1"/>
  <c r="R1546" i="1"/>
  <c r="U1546" i="1"/>
  <c r="V1546" i="1"/>
  <c r="R1547" i="1"/>
  <c r="U1547" i="1"/>
  <c r="V1547" i="1"/>
  <c r="R1548" i="1"/>
  <c r="U1548" i="1"/>
  <c r="V1548" i="1"/>
  <c r="R1549" i="1"/>
  <c r="U1549" i="1"/>
  <c r="V1549" i="1"/>
  <c r="R1550" i="1"/>
  <c r="U1550" i="1"/>
  <c r="V1550" i="1"/>
  <c r="R1551" i="1"/>
  <c r="U1551" i="1"/>
  <c r="V1551" i="1"/>
  <c r="R1552" i="1"/>
  <c r="U1552" i="1"/>
  <c r="V1552" i="1"/>
  <c r="R1553" i="1"/>
  <c r="U1553" i="1"/>
  <c r="V1553" i="1"/>
  <c r="R1554" i="1"/>
  <c r="U1554" i="1"/>
  <c r="V1554" i="1"/>
  <c r="R1555" i="1"/>
  <c r="U1555" i="1"/>
  <c r="V1555" i="1"/>
  <c r="R1556" i="1"/>
  <c r="U1556" i="1"/>
  <c r="V1556" i="1"/>
  <c r="R1557" i="1"/>
  <c r="U1557" i="1"/>
  <c r="V1557" i="1"/>
  <c r="R1558" i="1"/>
  <c r="U1558" i="1"/>
  <c r="V1558" i="1"/>
  <c r="R1559" i="1"/>
  <c r="U1559" i="1"/>
  <c r="V1559" i="1"/>
  <c r="R1560" i="1"/>
  <c r="U1560" i="1"/>
  <c r="V1560" i="1"/>
  <c r="R1561" i="1"/>
  <c r="U1561" i="1"/>
  <c r="V1561" i="1"/>
  <c r="R1562" i="1"/>
  <c r="U1562" i="1"/>
  <c r="V1562" i="1"/>
  <c r="R1563" i="1"/>
  <c r="U1563" i="1"/>
  <c r="V1563" i="1"/>
  <c r="R1564" i="1"/>
  <c r="U1564" i="1"/>
  <c r="V1564" i="1"/>
  <c r="R1565" i="1"/>
  <c r="U1565" i="1"/>
  <c r="V1565" i="1"/>
  <c r="R1566" i="1"/>
  <c r="U1566" i="1"/>
  <c r="V1566" i="1"/>
  <c r="R1567" i="1"/>
  <c r="U1567" i="1"/>
  <c r="V1567" i="1"/>
  <c r="R1568" i="1"/>
  <c r="U1568" i="1"/>
  <c r="V1568" i="1"/>
  <c r="R1569" i="1"/>
  <c r="U1569" i="1"/>
  <c r="V1569" i="1"/>
  <c r="R1570" i="1"/>
  <c r="U1570" i="1"/>
  <c r="V1570" i="1"/>
  <c r="R1571" i="1"/>
  <c r="U1571" i="1"/>
  <c r="V1571" i="1"/>
  <c r="R1572" i="1"/>
  <c r="U1572" i="1"/>
  <c r="V1572" i="1"/>
  <c r="R1573" i="1"/>
  <c r="U1573" i="1"/>
  <c r="V1573" i="1"/>
  <c r="R1574" i="1"/>
  <c r="U1574" i="1"/>
  <c r="V1574" i="1"/>
  <c r="R1575" i="1"/>
  <c r="U1575" i="1"/>
  <c r="V1575" i="1"/>
  <c r="R1576" i="1"/>
  <c r="U1576" i="1"/>
  <c r="V1576" i="1"/>
  <c r="R1577" i="1"/>
  <c r="U1577" i="1"/>
  <c r="V1577" i="1"/>
  <c r="R1578" i="1"/>
  <c r="U1578" i="1"/>
  <c r="V1578" i="1"/>
  <c r="R1579" i="1"/>
  <c r="U1579" i="1"/>
  <c r="V1579" i="1"/>
  <c r="R1580" i="1"/>
  <c r="U1580" i="1"/>
  <c r="V1580" i="1"/>
  <c r="R1581" i="1"/>
  <c r="U1581" i="1"/>
  <c r="V1581" i="1"/>
  <c r="R1582" i="1"/>
  <c r="U1582" i="1"/>
  <c r="V1582" i="1"/>
  <c r="R1583" i="1"/>
  <c r="U1583" i="1"/>
  <c r="V1583" i="1"/>
  <c r="R1584" i="1"/>
  <c r="U1584" i="1"/>
  <c r="V1584" i="1"/>
  <c r="R1585" i="1"/>
  <c r="U1585" i="1"/>
  <c r="V1585" i="1"/>
  <c r="R1586" i="1"/>
  <c r="U1586" i="1"/>
  <c r="V1586" i="1"/>
  <c r="R1587" i="1"/>
  <c r="U1587" i="1"/>
  <c r="V1587" i="1"/>
  <c r="R1588" i="1"/>
  <c r="U1588" i="1"/>
  <c r="V1588" i="1"/>
  <c r="R1589" i="1"/>
  <c r="U1589" i="1"/>
  <c r="V1589" i="1"/>
  <c r="R1590" i="1"/>
  <c r="U1590" i="1"/>
  <c r="V1590" i="1"/>
  <c r="R1591" i="1"/>
  <c r="U1591" i="1"/>
  <c r="V1591" i="1"/>
  <c r="R1592" i="1"/>
  <c r="U1592" i="1"/>
  <c r="V1592" i="1"/>
  <c r="R1593" i="1"/>
  <c r="U1593" i="1"/>
  <c r="V1593" i="1"/>
  <c r="R1594" i="1"/>
  <c r="U1594" i="1"/>
  <c r="V1594" i="1"/>
  <c r="R1595" i="1"/>
  <c r="U1595" i="1"/>
  <c r="V1595" i="1"/>
  <c r="R1596" i="1"/>
  <c r="U1596" i="1"/>
  <c r="V1596" i="1"/>
  <c r="R1597" i="1"/>
  <c r="U1597" i="1"/>
  <c r="V1597" i="1"/>
  <c r="R1598" i="1"/>
  <c r="U1598" i="1"/>
  <c r="V1598" i="1"/>
  <c r="R1599" i="1"/>
  <c r="U1599" i="1"/>
  <c r="V1599" i="1"/>
  <c r="R1600" i="1"/>
  <c r="U1600" i="1"/>
  <c r="V1600" i="1"/>
  <c r="R1601" i="1"/>
  <c r="U1601" i="1"/>
  <c r="V1601" i="1"/>
  <c r="R1602" i="1"/>
  <c r="U1602" i="1"/>
  <c r="V1602" i="1"/>
  <c r="R1603" i="1"/>
  <c r="U1603" i="1"/>
  <c r="V1603" i="1"/>
  <c r="R1604" i="1"/>
  <c r="U1604" i="1"/>
  <c r="V1604" i="1"/>
  <c r="R1605" i="1"/>
  <c r="U1605" i="1"/>
  <c r="V1605" i="1"/>
  <c r="R1606" i="1"/>
  <c r="U1606" i="1"/>
  <c r="V1606" i="1"/>
  <c r="R1607" i="1"/>
  <c r="U1607" i="1"/>
  <c r="V1607" i="1"/>
  <c r="R1608" i="1"/>
  <c r="U1608" i="1"/>
  <c r="V1608" i="1"/>
  <c r="R1609" i="1"/>
  <c r="U1609" i="1"/>
  <c r="V1609" i="1"/>
  <c r="R1610" i="1"/>
  <c r="U1610" i="1"/>
  <c r="V1610" i="1"/>
  <c r="R1611" i="1"/>
  <c r="U1611" i="1"/>
  <c r="V1611" i="1"/>
  <c r="R1612" i="1"/>
  <c r="U1612" i="1"/>
  <c r="V1612" i="1"/>
  <c r="R1613" i="1"/>
  <c r="U1613" i="1"/>
  <c r="V1613" i="1"/>
  <c r="R1614" i="1"/>
  <c r="U1614" i="1"/>
  <c r="V1614" i="1"/>
  <c r="R1615" i="1"/>
  <c r="U1615" i="1"/>
  <c r="V1615" i="1"/>
  <c r="R1616" i="1"/>
  <c r="U1616" i="1"/>
  <c r="V1616" i="1"/>
  <c r="R1617" i="1"/>
  <c r="U1617" i="1"/>
  <c r="V1617" i="1"/>
  <c r="R1618" i="1"/>
  <c r="U1618" i="1"/>
  <c r="V1618" i="1"/>
  <c r="R1619" i="1"/>
  <c r="U1619" i="1"/>
  <c r="V1619" i="1"/>
  <c r="R1620" i="1"/>
  <c r="U1620" i="1"/>
  <c r="V1620" i="1"/>
  <c r="R1621" i="1"/>
  <c r="U1621" i="1"/>
  <c r="V1621" i="1"/>
  <c r="R1622" i="1"/>
  <c r="U1622" i="1"/>
  <c r="V1622" i="1"/>
  <c r="R1623" i="1"/>
  <c r="U1623" i="1"/>
  <c r="V1623" i="1"/>
  <c r="R1624" i="1"/>
  <c r="U1624" i="1"/>
  <c r="V1624" i="1"/>
  <c r="R1625" i="1"/>
  <c r="U1625" i="1"/>
  <c r="V1625" i="1"/>
  <c r="R1626" i="1"/>
  <c r="U1626" i="1"/>
  <c r="V1626" i="1"/>
  <c r="R1627" i="1"/>
  <c r="U1627" i="1"/>
  <c r="V1627" i="1"/>
  <c r="R1628" i="1"/>
  <c r="U1628" i="1"/>
  <c r="V1628" i="1"/>
  <c r="R1629" i="1"/>
  <c r="U1629" i="1"/>
  <c r="V1629" i="1"/>
  <c r="R1630" i="1"/>
  <c r="U1630" i="1"/>
  <c r="V1630" i="1"/>
  <c r="R1631" i="1"/>
  <c r="U1631" i="1"/>
  <c r="V1631" i="1"/>
  <c r="R1632" i="1"/>
  <c r="U1632" i="1"/>
  <c r="V1632" i="1"/>
  <c r="R1633" i="1"/>
  <c r="U1633" i="1"/>
  <c r="V1633" i="1"/>
  <c r="R1634" i="1"/>
  <c r="U1634" i="1"/>
  <c r="V1634" i="1"/>
  <c r="R1635" i="1"/>
  <c r="U1635" i="1"/>
  <c r="V1635" i="1"/>
  <c r="R1636" i="1"/>
  <c r="U1636" i="1"/>
  <c r="V1636" i="1"/>
  <c r="R1637" i="1"/>
  <c r="U1637" i="1"/>
  <c r="V1637" i="1"/>
  <c r="R1638" i="1"/>
  <c r="U1638" i="1"/>
  <c r="V1638" i="1"/>
  <c r="R1639" i="1"/>
  <c r="U1639" i="1"/>
  <c r="V1639" i="1"/>
  <c r="R1640" i="1"/>
  <c r="U1640" i="1"/>
  <c r="V1640" i="1"/>
  <c r="R1641" i="1"/>
  <c r="U1641" i="1"/>
  <c r="V1641" i="1"/>
  <c r="R1642" i="1"/>
  <c r="U1642" i="1"/>
  <c r="V1642" i="1"/>
  <c r="R1643" i="1"/>
  <c r="U1643" i="1"/>
  <c r="V1643" i="1"/>
  <c r="R1644" i="1"/>
  <c r="U1644" i="1"/>
  <c r="V1644" i="1"/>
  <c r="R1645" i="1"/>
  <c r="U1645" i="1"/>
  <c r="V1645" i="1"/>
  <c r="R1646" i="1"/>
  <c r="U1646" i="1"/>
  <c r="V1646" i="1"/>
  <c r="R1647" i="1"/>
  <c r="U1647" i="1"/>
  <c r="V1647" i="1"/>
  <c r="R1648" i="1"/>
  <c r="U1648" i="1"/>
  <c r="V1648" i="1"/>
  <c r="R1649" i="1"/>
  <c r="U1649" i="1"/>
  <c r="V1649" i="1"/>
  <c r="R1650" i="1"/>
  <c r="U1650" i="1"/>
  <c r="V1650" i="1"/>
  <c r="R1651" i="1"/>
  <c r="U1651" i="1"/>
  <c r="V1651" i="1"/>
  <c r="R1652" i="1"/>
  <c r="U1652" i="1"/>
  <c r="V1652" i="1"/>
  <c r="R1653" i="1"/>
  <c r="U1653" i="1"/>
  <c r="V1653" i="1"/>
  <c r="R1654" i="1"/>
  <c r="U1654" i="1"/>
  <c r="V1654" i="1"/>
  <c r="R1655" i="1"/>
  <c r="U1655" i="1"/>
  <c r="V1655" i="1"/>
  <c r="R1656" i="1"/>
  <c r="U1656" i="1"/>
  <c r="V1656" i="1"/>
  <c r="R1657" i="1"/>
  <c r="U1657" i="1"/>
  <c r="V1657" i="1"/>
  <c r="R1658" i="1"/>
  <c r="U1658" i="1"/>
  <c r="V1658" i="1"/>
  <c r="R1659" i="1"/>
  <c r="U1659" i="1"/>
  <c r="V1659" i="1"/>
  <c r="R1660" i="1"/>
  <c r="U1660" i="1"/>
  <c r="V1660" i="1"/>
  <c r="R1661" i="1"/>
  <c r="U1661" i="1"/>
  <c r="V1661" i="1"/>
  <c r="R1662" i="1"/>
  <c r="U1662" i="1"/>
  <c r="V1662" i="1"/>
  <c r="R1663" i="1"/>
  <c r="U1663" i="1"/>
  <c r="V1663" i="1"/>
  <c r="R1664" i="1"/>
  <c r="U1664" i="1"/>
  <c r="V1664" i="1"/>
  <c r="R1665" i="1"/>
  <c r="U1665" i="1"/>
  <c r="V1665" i="1"/>
  <c r="R1666" i="1"/>
  <c r="U1666" i="1"/>
  <c r="V1666" i="1"/>
  <c r="R1667" i="1"/>
  <c r="U1667" i="1"/>
  <c r="V1667" i="1"/>
  <c r="R1668" i="1"/>
  <c r="U1668" i="1"/>
  <c r="V1668" i="1"/>
  <c r="R1669" i="1"/>
  <c r="U1669" i="1"/>
  <c r="V1669" i="1"/>
  <c r="R1670" i="1"/>
  <c r="U1670" i="1"/>
  <c r="V1670" i="1"/>
  <c r="R1671" i="1"/>
  <c r="U1671" i="1"/>
  <c r="V1671" i="1"/>
  <c r="R1672" i="1"/>
  <c r="U1672" i="1"/>
  <c r="V1672" i="1"/>
  <c r="R1673" i="1"/>
  <c r="U1673" i="1"/>
  <c r="V1673" i="1"/>
  <c r="R1674" i="1"/>
  <c r="U1674" i="1"/>
  <c r="V1674" i="1"/>
  <c r="R1675" i="1"/>
  <c r="U1675" i="1"/>
  <c r="V1675" i="1"/>
  <c r="R1676" i="1"/>
  <c r="U1676" i="1"/>
  <c r="V1676" i="1"/>
  <c r="R1677" i="1"/>
  <c r="U1677" i="1"/>
  <c r="V1677" i="1"/>
  <c r="R1678" i="1"/>
  <c r="U1678" i="1"/>
  <c r="V1678" i="1"/>
  <c r="R1679" i="1"/>
  <c r="U1679" i="1"/>
  <c r="V1679" i="1"/>
  <c r="R1680" i="1"/>
  <c r="U1680" i="1"/>
  <c r="V1680" i="1"/>
  <c r="R1681" i="1"/>
  <c r="U1681" i="1"/>
  <c r="V1681" i="1"/>
  <c r="R1682" i="1"/>
  <c r="U1682" i="1"/>
  <c r="V1682" i="1"/>
  <c r="R1683" i="1"/>
  <c r="U1683" i="1"/>
  <c r="V1683" i="1"/>
  <c r="R1684" i="1"/>
  <c r="U1684" i="1"/>
  <c r="V1684" i="1"/>
  <c r="R1685" i="1"/>
  <c r="U1685" i="1"/>
  <c r="V1685" i="1"/>
  <c r="R1686" i="1"/>
  <c r="U1686" i="1"/>
  <c r="V1686" i="1"/>
  <c r="R1687" i="1"/>
  <c r="U1687" i="1"/>
  <c r="V1687" i="1"/>
  <c r="R1688" i="1"/>
  <c r="U1688" i="1"/>
  <c r="V1688" i="1"/>
  <c r="R1689" i="1"/>
  <c r="U1689" i="1"/>
  <c r="V1689" i="1"/>
  <c r="R1690" i="1"/>
  <c r="U1690" i="1"/>
  <c r="V1690" i="1"/>
  <c r="R1691" i="1"/>
  <c r="U1691" i="1"/>
  <c r="V1691" i="1"/>
  <c r="R1692" i="1"/>
  <c r="U1692" i="1"/>
  <c r="V1692" i="1"/>
  <c r="R1693" i="1"/>
  <c r="U1693" i="1"/>
  <c r="V1693" i="1"/>
  <c r="R1694" i="1"/>
  <c r="U1694" i="1"/>
  <c r="V1694" i="1"/>
  <c r="R1695" i="1"/>
  <c r="U1695" i="1"/>
  <c r="V1695" i="1"/>
  <c r="R1696" i="1"/>
  <c r="U1696" i="1"/>
  <c r="V1696" i="1"/>
  <c r="R1697" i="1"/>
  <c r="U1697" i="1"/>
  <c r="V1697" i="1"/>
  <c r="R1698" i="1"/>
  <c r="U1698" i="1"/>
  <c r="V1698" i="1"/>
  <c r="R1699" i="1"/>
  <c r="U1699" i="1"/>
  <c r="V1699" i="1"/>
  <c r="R1700" i="1"/>
  <c r="U1700" i="1"/>
  <c r="V1700" i="1"/>
  <c r="R1701" i="1"/>
  <c r="U1701" i="1"/>
  <c r="V1701" i="1"/>
  <c r="R1702" i="1"/>
  <c r="U1702" i="1"/>
  <c r="V1702" i="1"/>
  <c r="R1703" i="1"/>
  <c r="U1703" i="1"/>
  <c r="V1703" i="1"/>
  <c r="R1704" i="1"/>
  <c r="U1704" i="1"/>
  <c r="V1704" i="1"/>
  <c r="R1705" i="1"/>
  <c r="U1705" i="1"/>
  <c r="V1705" i="1"/>
  <c r="R1706" i="1"/>
  <c r="U1706" i="1"/>
  <c r="V1706" i="1"/>
  <c r="R1707" i="1"/>
  <c r="U1707" i="1"/>
  <c r="V1707" i="1"/>
  <c r="R1708" i="1"/>
  <c r="U1708" i="1"/>
  <c r="V1708" i="1"/>
  <c r="R1709" i="1"/>
  <c r="U1709" i="1"/>
  <c r="V1709" i="1"/>
  <c r="R1710" i="1"/>
  <c r="U1710" i="1"/>
  <c r="V1710" i="1"/>
  <c r="R1711" i="1"/>
  <c r="U1711" i="1"/>
  <c r="V1711" i="1"/>
  <c r="R1712" i="1"/>
  <c r="U1712" i="1"/>
  <c r="V1712" i="1"/>
  <c r="R1713" i="1"/>
  <c r="U1713" i="1"/>
  <c r="V1713" i="1"/>
  <c r="R1714" i="1"/>
  <c r="U1714" i="1"/>
  <c r="V1714" i="1"/>
  <c r="R1715" i="1"/>
  <c r="U1715" i="1"/>
  <c r="V1715" i="1"/>
  <c r="R1716" i="1"/>
  <c r="U1716" i="1"/>
  <c r="V1716" i="1"/>
  <c r="R1717" i="1"/>
  <c r="U1717" i="1"/>
  <c r="V1717" i="1"/>
  <c r="R1718" i="1"/>
  <c r="U1718" i="1"/>
  <c r="V1718" i="1"/>
  <c r="R1719" i="1"/>
  <c r="U1719" i="1"/>
  <c r="V1719" i="1"/>
  <c r="R1720" i="1"/>
  <c r="U1720" i="1"/>
  <c r="V1720" i="1"/>
  <c r="R1721" i="1"/>
  <c r="U1721" i="1"/>
  <c r="V1721" i="1"/>
  <c r="R1722" i="1"/>
  <c r="U1722" i="1"/>
  <c r="V1722" i="1"/>
  <c r="R1723" i="1"/>
  <c r="U1723" i="1"/>
  <c r="V1723" i="1"/>
  <c r="R1724" i="1"/>
  <c r="U1724" i="1"/>
  <c r="V1724" i="1"/>
  <c r="R1725" i="1"/>
  <c r="U1725" i="1"/>
  <c r="V1725" i="1"/>
  <c r="R1726" i="1"/>
  <c r="U1726" i="1"/>
  <c r="V1726" i="1"/>
  <c r="R1727" i="1"/>
  <c r="U1727" i="1"/>
  <c r="V1727" i="1"/>
  <c r="R1728" i="1"/>
  <c r="U1728" i="1"/>
  <c r="V1728" i="1"/>
  <c r="R1729" i="1"/>
  <c r="U1729" i="1"/>
  <c r="V1729" i="1"/>
  <c r="R1730" i="1"/>
  <c r="U1730" i="1"/>
  <c r="V1730" i="1"/>
  <c r="R1731" i="1"/>
  <c r="U1731" i="1"/>
  <c r="V1731" i="1"/>
  <c r="R1732" i="1"/>
  <c r="U1732" i="1"/>
  <c r="V1732" i="1"/>
  <c r="R1733" i="1"/>
  <c r="U1733" i="1"/>
  <c r="V1733" i="1"/>
  <c r="R1734" i="1"/>
  <c r="U1734" i="1"/>
  <c r="V1734" i="1"/>
  <c r="R1735" i="1"/>
  <c r="U1735" i="1"/>
  <c r="V1735" i="1"/>
  <c r="R1736" i="1"/>
  <c r="U1736" i="1"/>
  <c r="V1736" i="1"/>
  <c r="R1737" i="1"/>
  <c r="U1737" i="1"/>
  <c r="V1737" i="1"/>
  <c r="R1738" i="1"/>
  <c r="U1738" i="1"/>
  <c r="V1738" i="1"/>
  <c r="R1739" i="1"/>
  <c r="U1739" i="1"/>
  <c r="V1739" i="1"/>
  <c r="R1740" i="1"/>
  <c r="U1740" i="1"/>
  <c r="V1740" i="1"/>
  <c r="R1741" i="1"/>
  <c r="U1741" i="1"/>
  <c r="V1741" i="1"/>
  <c r="R1742" i="1"/>
  <c r="U1742" i="1"/>
  <c r="V1742" i="1"/>
  <c r="R1743" i="1"/>
  <c r="U1743" i="1"/>
  <c r="V1743" i="1"/>
  <c r="R1744" i="1"/>
  <c r="U1744" i="1"/>
  <c r="V1744" i="1"/>
  <c r="R1745" i="1"/>
  <c r="U1745" i="1"/>
  <c r="V1745" i="1"/>
  <c r="R1746" i="1"/>
  <c r="U1746" i="1"/>
  <c r="V1746" i="1"/>
  <c r="R1747" i="1"/>
  <c r="U1747" i="1"/>
  <c r="V1747" i="1"/>
  <c r="R1748" i="1"/>
  <c r="U1748" i="1"/>
  <c r="V1748" i="1"/>
  <c r="R1749" i="1"/>
  <c r="U1749" i="1"/>
  <c r="V1749" i="1"/>
  <c r="R1750" i="1"/>
  <c r="U1750" i="1"/>
  <c r="V1750" i="1"/>
  <c r="R1751" i="1"/>
  <c r="U1751" i="1"/>
  <c r="V1751" i="1"/>
  <c r="R1752" i="1"/>
  <c r="U1752" i="1"/>
  <c r="V1752" i="1"/>
  <c r="R1753" i="1"/>
  <c r="U1753" i="1"/>
  <c r="V1753" i="1"/>
  <c r="R1754" i="1"/>
  <c r="U1754" i="1"/>
  <c r="V1754" i="1"/>
  <c r="R1755" i="1"/>
  <c r="U1755" i="1"/>
  <c r="V1755" i="1"/>
  <c r="R1756" i="1"/>
  <c r="U1756" i="1"/>
  <c r="V1756" i="1"/>
  <c r="R1757" i="1"/>
  <c r="U1757" i="1"/>
  <c r="V1757" i="1"/>
  <c r="R1758" i="1"/>
  <c r="U1758" i="1"/>
  <c r="V1758" i="1"/>
  <c r="R1759" i="1"/>
  <c r="U1759" i="1"/>
  <c r="V1759" i="1"/>
  <c r="R1760" i="1"/>
  <c r="U1760" i="1"/>
  <c r="V1760" i="1"/>
  <c r="R1761" i="1"/>
  <c r="U1761" i="1"/>
  <c r="V1761" i="1"/>
  <c r="R1762" i="1"/>
  <c r="U1762" i="1"/>
  <c r="V1762" i="1"/>
  <c r="R1763" i="1"/>
  <c r="U1763" i="1"/>
  <c r="V1763" i="1"/>
  <c r="R1764" i="1"/>
  <c r="U1764" i="1"/>
  <c r="V1764" i="1"/>
  <c r="R1765" i="1"/>
  <c r="U1765" i="1"/>
  <c r="V1765" i="1"/>
  <c r="R1766" i="1"/>
  <c r="U1766" i="1"/>
  <c r="V1766" i="1"/>
  <c r="R1767" i="1"/>
  <c r="U1767" i="1"/>
  <c r="V1767" i="1"/>
  <c r="R1768" i="1"/>
  <c r="U1768" i="1"/>
  <c r="V1768" i="1"/>
  <c r="R1769" i="1"/>
  <c r="U1769" i="1"/>
  <c r="V1769" i="1"/>
  <c r="R1770" i="1"/>
  <c r="U1770" i="1"/>
  <c r="V1770" i="1"/>
  <c r="R1771" i="1"/>
  <c r="U1771" i="1"/>
  <c r="V1771" i="1"/>
  <c r="R1772" i="1"/>
  <c r="U1772" i="1"/>
  <c r="V1772" i="1"/>
  <c r="R1773" i="1"/>
  <c r="U1773" i="1"/>
  <c r="V1773" i="1"/>
  <c r="R1774" i="1"/>
  <c r="U1774" i="1"/>
  <c r="V1774" i="1"/>
  <c r="R1775" i="1"/>
  <c r="U1775" i="1"/>
  <c r="V1775" i="1"/>
  <c r="R1776" i="1"/>
  <c r="U1776" i="1"/>
  <c r="V1776" i="1"/>
  <c r="R1777" i="1"/>
  <c r="U1777" i="1"/>
  <c r="V1777" i="1"/>
  <c r="R1778" i="1"/>
  <c r="U1778" i="1"/>
  <c r="V1778" i="1"/>
  <c r="R1779" i="1"/>
  <c r="U1779" i="1"/>
  <c r="V1779" i="1"/>
  <c r="R1780" i="1"/>
  <c r="U1780" i="1"/>
  <c r="V1780" i="1"/>
  <c r="R1781" i="1"/>
  <c r="U1781" i="1"/>
  <c r="V1781" i="1"/>
  <c r="R1782" i="1"/>
  <c r="U1782" i="1"/>
  <c r="V1782" i="1"/>
  <c r="R1783" i="1"/>
  <c r="U1783" i="1"/>
  <c r="V1783" i="1"/>
  <c r="R1784" i="1"/>
  <c r="U1784" i="1"/>
  <c r="V1784" i="1"/>
  <c r="R1785" i="1"/>
  <c r="U1785" i="1"/>
  <c r="V1785" i="1"/>
  <c r="R1786" i="1"/>
  <c r="U1786" i="1"/>
  <c r="V1786" i="1"/>
  <c r="R1787" i="1"/>
  <c r="U1787" i="1"/>
  <c r="V1787" i="1"/>
  <c r="R1788" i="1"/>
  <c r="U1788" i="1"/>
  <c r="V1788" i="1"/>
  <c r="R1789" i="1"/>
  <c r="U1789" i="1"/>
  <c r="V1789" i="1"/>
  <c r="R1790" i="1"/>
  <c r="U1790" i="1"/>
  <c r="V1790" i="1"/>
  <c r="R1791" i="1"/>
  <c r="U1791" i="1"/>
  <c r="V1791" i="1"/>
  <c r="R1792" i="1"/>
  <c r="U1792" i="1"/>
  <c r="V1792" i="1"/>
  <c r="R1793" i="1"/>
  <c r="U1793" i="1"/>
  <c r="V1793" i="1"/>
  <c r="R1794" i="1"/>
  <c r="U1794" i="1"/>
  <c r="V1794" i="1"/>
  <c r="R1795" i="1"/>
  <c r="U1795" i="1"/>
  <c r="V1795" i="1"/>
  <c r="R1796" i="1"/>
  <c r="U1796" i="1"/>
  <c r="V1796" i="1"/>
  <c r="R1797" i="1"/>
  <c r="U1797" i="1"/>
  <c r="V1797" i="1"/>
  <c r="R1798" i="1"/>
  <c r="U1798" i="1"/>
  <c r="V1798" i="1"/>
  <c r="R1799" i="1"/>
  <c r="U1799" i="1"/>
  <c r="V1799" i="1"/>
  <c r="R1800" i="1"/>
  <c r="U1800" i="1"/>
  <c r="V1800" i="1"/>
  <c r="R1801" i="1"/>
  <c r="U1801" i="1"/>
  <c r="V1801" i="1"/>
  <c r="R1802" i="1"/>
  <c r="U1802" i="1"/>
  <c r="V1802" i="1"/>
  <c r="R1803" i="1"/>
  <c r="U1803" i="1"/>
  <c r="V1803" i="1"/>
  <c r="R1804" i="1"/>
  <c r="U1804" i="1"/>
  <c r="V1804" i="1"/>
  <c r="R1805" i="1"/>
  <c r="U1805" i="1"/>
  <c r="V1805" i="1"/>
  <c r="R1806" i="1"/>
  <c r="U1806" i="1"/>
  <c r="V1806" i="1"/>
  <c r="R1807" i="1"/>
  <c r="U1807" i="1"/>
  <c r="V1807" i="1"/>
  <c r="R1808" i="1"/>
  <c r="U1808" i="1"/>
  <c r="V1808" i="1"/>
  <c r="R1809" i="1"/>
  <c r="U1809" i="1"/>
  <c r="V1809" i="1"/>
  <c r="R1810" i="1"/>
  <c r="U1810" i="1"/>
  <c r="V1810" i="1"/>
  <c r="R1811" i="1"/>
  <c r="U1811" i="1"/>
  <c r="V1811" i="1"/>
  <c r="R1812" i="1"/>
  <c r="U1812" i="1"/>
  <c r="V1812" i="1"/>
  <c r="R1813" i="1"/>
  <c r="U1813" i="1"/>
  <c r="V1813" i="1"/>
  <c r="R1814" i="1"/>
  <c r="U1814" i="1"/>
  <c r="V1814" i="1"/>
  <c r="R1815" i="1"/>
  <c r="U1815" i="1"/>
  <c r="V1815" i="1"/>
  <c r="R1816" i="1"/>
  <c r="U1816" i="1"/>
  <c r="V1816" i="1"/>
  <c r="R1817" i="1"/>
  <c r="U1817" i="1"/>
  <c r="V1817" i="1"/>
  <c r="R1818" i="1"/>
  <c r="U1818" i="1"/>
  <c r="V1818" i="1"/>
  <c r="R1819" i="1"/>
  <c r="U1819" i="1"/>
  <c r="V1819" i="1"/>
  <c r="R1820" i="1"/>
  <c r="U1820" i="1"/>
  <c r="V1820" i="1"/>
  <c r="R1821" i="1"/>
  <c r="U1821" i="1"/>
  <c r="V1821" i="1"/>
  <c r="R1822" i="1"/>
  <c r="U1822" i="1"/>
  <c r="V1822" i="1"/>
  <c r="R1823" i="1"/>
  <c r="U1823" i="1"/>
  <c r="V1823" i="1"/>
  <c r="R1824" i="1"/>
  <c r="U1824" i="1"/>
  <c r="V1824" i="1"/>
  <c r="R1825" i="1"/>
  <c r="U1825" i="1"/>
  <c r="V1825" i="1"/>
  <c r="R1826" i="1"/>
  <c r="U1826" i="1"/>
  <c r="V1826" i="1"/>
  <c r="R1827" i="1"/>
  <c r="U1827" i="1"/>
  <c r="V1827" i="1"/>
  <c r="R1828" i="1"/>
  <c r="U1828" i="1"/>
  <c r="V1828" i="1"/>
  <c r="R1829" i="1"/>
  <c r="U1829" i="1"/>
  <c r="V1829" i="1"/>
  <c r="R1830" i="1"/>
  <c r="U1830" i="1"/>
  <c r="V1830" i="1"/>
  <c r="R1831" i="1"/>
  <c r="U1831" i="1"/>
  <c r="V1831" i="1"/>
  <c r="R1832" i="1"/>
  <c r="U1832" i="1"/>
  <c r="V1832" i="1"/>
  <c r="R1833" i="1"/>
  <c r="U1833" i="1"/>
  <c r="V1833" i="1"/>
  <c r="R1834" i="1"/>
  <c r="U1834" i="1"/>
  <c r="V1834" i="1"/>
  <c r="R1835" i="1"/>
  <c r="U1835" i="1"/>
  <c r="V1835" i="1"/>
  <c r="R1836" i="1"/>
  <c r="U1836" i="1"/>
  <c r="V1836" i="1"/>
  <c r="R1837" i="1"/>
  <c r="U1837" i="1"/>
  <c r="V1837" i="1"/>
  <c r="R1838" i="1"/>
  <c r="U1838" i="1"/>
  <c r="V1838" i="1"/>
  <c r="R1839" i="1"/>
  <c r="U1839" i="1"/>
  <c r="V1839" i="1"/>
  <c r="R1840" i="1"/>
  <c r="U1840" i="1"/>
  <c r="V1840" i="1"/>
  <c r="R1841" i="1"/>
  <c r="U1841" i="1"/>
  <c r="V1841" i="1"/>
  <c r="R1842" i="1"/>
  <c r="U1842" i="1"/>
  <c r="V1842" i="1"/>
  <c r="R1843" i="1"/>
  <c r="U1843" i="1"/>
  <c r="V1843" i="1"/>
  <c r="R1844" i="1"/>
  <c r="U1844" i="1"/>
  <c r="V1844" i="1"/>
  <c r="R1845" i="1"/>
  <c r="U1845" i="1"/>
  <c r="V1845" i="1"/>
  <c r="R1846" i="1"/>
  <c r="U1846" i="1"/>
  <c r="V1846" i="1"/>
  <c r="R1847" i="1"/>
  <c r="U1847" i="1"/>
  <c r="V1847" i="1"/>
  <c r="R1848" i="1"/>
  <c r="U1848" i="1"/>
  <c r="V1848" i="1"/>
  <c r="R1849" i="1"/>
  <c r="U1849" i="1"/>
  <c r="V1849" i="1"/>
  <c r="R1850" i="1"/>
  <c r="U1850" i="1"/>
  <c r="V1850" i="1"/>
  <c r="R1851" i="1"/>
  <c r="U1851" i="1"/>
  <c r="V1851" i="1"/>
  <c r="R1852" i="1"/>
  <c r="U1852" i="1"/>
  <c r="V1852" i="1"/>
  <c r="R1853" i="1"/>
  <c r="U1853" i="1"/>
  <c r="V1853" i="1"/>
  <c r="R1854" i="1"/>
  <c r="U1854" i="1"/>
  <c r="V1854" i="1"/>
  <c r="R1855" i="1"/>
  <c r="U1855" i="1"/>
  <c r="V1855" i="1"/>
  <c r="R1856" i="1"/>
  <c r="U1856" i="1"/>
  <c r="V1856" i="1"/>
  <c r="R1857" i="1"/>
  <c r="U1857" i="1"/>
  <c r="V1857" i="1"/>
  <c r="R1858" i="1"/>
  <c r="U1858" i="1"/>
  <c r="V1858" i="1"/>
  <c r="R1859" i="1"/>
  <c r="U1859" i="1"/>
  <c r="V1859" i="1"/>
  <c r="R1860" i="1"/>
  <c r="U1860" i="1"/>
  <c r="V1860" i="1"/>
  <c r="R1861" i="1"/>
  <c r="U1861" i="1"/>
  <c r="V1861" i="1"/>
  <c r="R1862" i="1"/>
  <c r="U1862" i="1"/>
  <c r="V1862" i="1"/>
  <c r="R1863" i="1"/>
  <c r="U1863" i="1"/>
  <c r="V1863" i="1"/>
  <c r="R1864" i="1"/>
  <c r="U1864" i="1"/>
  <c r="V1864" i="1"/>
  <c r="R1865" i="1"/>
  <c r="U1865" i="1"/>
  <c r="V1865" i="1"/>
  <c r="R1866" i="1"/>
  <c r="U1866" i="1"/>
  <c r="V1866" i="1"/>
  <c r="R1867" i="1"/>
  <c r="U1867" i="1"/>
  <c r="V1867" i="1"/>
  <c r="R1868" i="1"/>
  <c r="U1868" i="1"/>
  <c r="V1868" i="1"/>
  <c r="R1869" i="1"/>
  <c r="U1869" i="1"/>
  <c r="V1869" i="1"/>
  <c r="R1870" i="1"/>
  <c r="U1870" i="1"/>
  <c r="V1870" i="1"/>
  <c r="R1871" i="1"/>
  <c r="U1871" i="1"/>
  <c r="V1871" i="1"/>
  <c r="R1872" i="1"/>
  <c r="U1872" i="1"/>
  <c r="V1872" i="1"/>
  <c r="R1873" i="1"/>
  <c r="U1873" i="1"/>
  <c r="V1873" i="1"/>
  <c r="R1874" i="1"/>
  <c r="U1874" i="1"/>
  <c r="V1874" i="1"/>
  <c r="R1875" i="1"/>
  <c r="U1875" i="1"/>
  <c r="V1875" i="1"/>
  <c r="R1876" i="1"/>
  <c r="U1876" i="1"/>
  <c r="V1876" i="1"/>
  <c r="R1877" i="1"/>
  <c r="U1877" i="1"/>
  <c r="V1877" i="1"/>
  <c r="R1878" i="1"/>
  <c r="U1878" i="1"/>
  <c r="V1878" i="1"/>
  <c r="R1879" i="1"/>
  <c r="U1879" i="1"/>
  <c r="V1879" i="1"/>
  <c r="R1880" i="1"/>
  <c r="U1880" i="1"/>
  <c r="V1880" i="1"/>
  <c r="R1881" i="1"/>
  <c r="U1881" i="1"/>
  <c r="V1881" i="1"/>
  <c r="R1882" i="1"/>
  <c r="U1882" i="1"/>
  <c r="V1882" i="1"/>
  <c r="R1883" i="1"/>
  <c r="U1883" i="1"/>
  <c r="V1883" i="1"/>
  <c r="R1884" i="1"/>
  <c r="U1884" i="1"/>
  <c r="V1884" i="1"/>
  <c r="R1885" i="1"/>
  <c r="U1885" i="1"/>
  <c r="V1885" i="1"/>
  <c r="R1886" i="1"/>
  <c r="U1886" i="1"/>
  <c r="V1886" i="1"/>
  <c r="R1887" i="1"/>
  <c r="U1887" i="1"/>
  <c r="V1887" i="1"/>
  <c r="R1888" i="1"/>
  <c r="U1888" i="1"/>
  <c r="V1888" i="1"/>
  <c r="R1889" i="1"/>
  <c r="U1889" i="1"/>
  <c r="V1889" i="1"/>
  <c r="R1890" i="1"/>
  <c r="U1890" i="1"/>
  <c r="V1890" i="1"/>
  <c r="R1891" i="1"/>
  <c r="U1891" i="1"/>
  <c r="V1891" i="1"/>
  <c r="R1892" i="1"/>
  <c r="U1892" i="1"/>
  <c r="V1892" i="1"/>
  <c r="R1893" i="1"/>
  <c r="U1893" i="1"/>
  <c r="V1893" i="1"/>
  <c r="R1894" i="1"/>
  <c r="U1894" i="1"/>
  <c r="V1894" i="1"/>
  <c r="R1895" i="1"/>
  <c r="U1895" i="1"/>
  <c r="V1895" i="1"/>
  <c r="R1896" i="1"/>
  <c r="U1896" i="1"/>
  <c r="V1896" i="1"/>
  <c r="R1897" i="1"/>
  <c r="U1897" i="1"/>
  <c r="V1897" i="1"/>
  <c r="R1898" i="1"/>
  <c r="U1898" i="1"/>
  <c r="V1898" i="1"/>
  <c r="R1899" i="1"/>
  <c r="U1899" i="1"/>
  <c r="V1899" i="1"/>
  <c r="R1900" i="1"/>
  <c r="U1900" i="1"/>
  <c r="V1900" i="1"/>
  <c r="R1901" i="1"/>
  <c r="U1901" i="1"/>
  <c r="V1901" i="1"/>
  <c r="R1902" i="1"/>
  <c r="U1902" i="1"/>
  <c r="V1902" i="1"/>
  <c r="R1903" i="1"/>
  <c r="U1903" i="1"/>
  <c r="V1903" i="1"/>
  <c r="R1904" i="1"/>
  <c r="U1904" i="1"/>
  <c r="V1904" i="1"/>
  <c r="R1905" i="1"/>
  <c r="U1905" i="1"/>
  <c r="V1905" i="1"/>
  <c r="R1906" i="1"/>
  <c r="U1906" i="1"/>
  <c r="V1906" i="1"/>
  <c r="R1907" i="1"/>
  <c r="U1907" i="1"/>
  <c r="V1907" i="1"/>
  <c r="R1908" i="1"/>
  <c r="U1908" i="1"/>
  <c r="V1908" i="1"/>
  <c r="R1909" i="1"/>
  <c r="U1909" i="1"/>
  <c r="V1909" i="1"/>
  <c r="R1910" i="1"/>
  <c r="U1910" i="1"/>
  <c r="V1910" i="1"/>
  <c r="R1911" i="1"/>
  <c r="U1911" i="1"/>
  <c r="V1911" i="1"/>
  <c r="R1912" i="1"/>
  <c r="U1912" i="1"/>
  <c r="V1912" i="1"/>
  <c r="R1913" i="1"/>
  <c r="U1913" i="1"/>
  <c r="V1913" i="1"/>
  <c r="R1914" i="1"/>
  <c r="U1914" i="1"/>
  <c r="V1914" i="1"/>
  <c r="R1915" i="1"/>
  <c r="U1915" i="1"/>
  <c r="V1915" i="1"/>
  <c r="R1916" i="1"/>
  <c r="U1916" i="1"/>
  <c r="V1916" i="1"/>
  <c r="R1917" i="1"/>
  <c r="U1917" i="1"/>
  <c r="V1917" i="1"/>
  <c r="R1918" i="1"/>
  <c r="U1918" i="1"/>
  <c r="V1918" i="1"/>
  <c r="R1919" i="1"/>
  <c r="U1919" i="1"/>
  <c r="V1919" i="1"/>
  <c r="R1920" i="1"/>
  <c r="U1920" i="1"/>
  <c r="V1920" i="1"/>
  <c r="R1921" i="1"/>
  <c r="U1921" i="1"/>
  <c r="V1921" i="1"/>
  <c r="R1922" i="1"/>
  <c r="U1922" i="1"/>
  <c r="V1922" i="1"/>
  <c r="R1923" i="1"/>
  <c r="U1923" i="1"/>
  <c r="V1923" i="1"/>
  <c r="R1924" i="1"/>
  <c r="U1924" i="1"/>
  <c r="V1924" i="1"/>
  <c r="R1925" i="1"/>
  <c r="U1925" i="1"/>
  <c r="V1925" i="1"/>
  <c r="R1926" i="1"/>
  <c r="U1926" i="1"/>
  <c r="V1926" i="1"/>
  <c r="R1927" i="1"/>
  <c r="U1927" i="1"/>
  <c r="V1927" i="1"/>
  <c r="R1928" i="1"/>
  <c r="U1928" i="1"/>
  <c r="V1928" i="1"/>
  <c r="R1929" i="1"/>
  <c r="U1929" i="1"/>
  <c r="V1929" i="1"/>
  <c r="R1930" i="1"/>
  <c r="U1930" i="1"/>
  <c r="V1930" i="1"/>
  <c r="R1931" i="1"/>
  <c r="U1931" i="1"/>
  <c r="V1931" i="1"/>
  <c r="R1932" i="1"/>
  <c r="U1932" i="1"/>
  <c r="V1932" i="1"/>
  <c r="R1933" i="1"/>
  <c r="U1933" i="1"/>
  <c r="V1933" i="1"/>
  <c r="R1934" i="1"/>
  <c r="U1934" i="1"/>
  <c r="V1934" i="1"/>
  <c r="R1935" i="1"/>
  <c r="U1935" i="1"/>
  <c r="V1935" i="1"/>
  <c r="R1936" i="1"/>
  <c r="U1936" i="1"/>
  <c r="V1936" i="1"/>
  <c r="R1937" i="1"/>
  <c r="U1937" i="1"/>
  <c r="V1937" i="1"/>
  <c r="R1938" i="1"/>
  <c r="U1938" i="1"/>
  <c r="V1938" i="1"/>
  <c r="R1939" i="1"/>
  <c r="U1939" i="1"/>
  <c r="V1939" i="1"/>
  <c r="R1940" i="1"/>
  <c r="U1940" i="1"/>
  <c r="V1940" i="1"/>
  <c r="R1941" i="1"/>
  <c r="U1941" i="1"/>
  <c r="V1941" i="1"/>
  <c r="R1942" i="1"/>
  <c r="U1942" i="1"/>
  <c r="V1942" i="1"/>
  <c r="R1943" i="1"/>
  <c r="U1943" i="1"/>
  <c r="V1943" i="1"/>
  <c r="R1944" i="1"/>
  <c r="U1944" i="1"/>
  <c r="V1944" i="1"/>
  <c r="R1945" i="1"/>
  <c r="U1945" i="1"/>
  <c r="V1945" i="1"/>
  <c r="R1946" i="1"/>
  <c r="U1946" i="1"/>
  <c r="V1946" i="1"/>
  <c r="R1947" i="1"/>
  <c r="U1947" i="1"/>
  <c r="V1947" i="1"/>
  <c r="R1948" i="1"/>
  <c r="U1948" i="1"/>
  <c r="V1948" i="1"/>
  <c r="R1949" i="1"/>
  <c r="U1949" i="1"/>
  <c r="V1949" i="1"/>
  <c r="R1950" i="1"/>
  <c r="U1950" i="1"/>
  <c r="V1950" i="1"/>
  <c r="R1951" i="1"/>
  <c r="U1951" i="1"/>
  <c r="V1951" i="1"/>
  <c r="R1952" i="1"/>
  <c r="U1952" i="1"/>
  <c r="V1952" i="1"/>
  <c r="R1953" i="1"/>
  <c r="U1953" i="1"/>
  <c r="V1953" i="1"/>
  <c r="R1954" i="1"/>
  <c r="U1954" i="1"/>
  <c r="V1954" i="1"/>
  <c r="R1955" i="1"/>
  <c r="U1955" i="1"/>
  <c r="V1955" i="1"/>
  <c r="R1956" i="1"/>
  <c r="U1956" i="1"/>
  <c r="V1956" i="1"/>
  <c r="R1957" i="1"/>
  <c r="U1957" i="1"/>
  <c r="V1957" i="1"/>
  <c r="R1958" i="1"/>
  <c r="U1958" i="1"/>
  <c r="V1958" i="1"/>
  <c r="R1959" i="1"/>
  <c r="U1959" i="1"/>
  <c r="V1959" i="1"/>
  <c r="R1960" i="1"/>
  <c r="U1960" i="1"/>
  <c r="V1960" i="1"/>
  <c r="R1961" i="1"/>
  <c r="U1961" i="1"/>
  <c r="V1961" i="1"/>
  <c r="R1962" i="1"/>
  <c r="U1962" i="1"/>
  <c r="V1962" i="1"/>
  <c r="R1963" i="1"/>
  <c r="U1963" i="1"/>
  <c r="V1963" i="1"/>
  <c r="R1964" i="1"/>
  <c r="U1964" i="1"/>
  <c r="V1964" i="1"/>
  <c r="R1965" i="1"/>
  <c r="U1965" i="1"/>
  <c r="V1965" i="1"/>
  <c r="R1966" i="1"/>
  <c r="U1966" i="1"/>
  <c r="V1966" i="1"/>
  <c r="R1967" i="1"/>
  <c r="U1967" i="1"/>
  <c r="V1967" i="1"/>
  <c r="R1968" i="1"/>
  <c r="U1968" i="1"/>
  <c r="V1968" i="1"/>
  <c r="R1969" i="1"/>
  <c r="U1969" i="1"/>
  <c r="V1969" i="1"/>
  <c r="R1970" i="1"/>
  <c r="U1970" i="1"/>
  <c r="V1970" i="1"/>
  <c r="R1971" i="1"/>
  <c r="U1971" i="1"/>
  <c r="V1971" i="1"/>
  <c r="R1972" i="1"/>
  <c r="U1972" i="1"/>
  <c r="V1972" i="1"/>
  <c r="R1973" i="1"/>
  <c r="U1973" i="1"/>
  <c r="V1973" i="1"/>
  <c r="R1974" i="1"/>
  <c r="U1974" i="1"/>
  <c r="V1974" i="1"/>
  <c r="R1975" i="1"/>
  <c r="U1975" i="1"/>
  <c r="V1975" i="1"/>
  <c r="R1976" i="1"/>
  <c r="U1976" i="1"/>
  <c r="V1976" i="1"/>
  <c r="R1977" i="1"/>
  <c r="U1977" i="1"/>
  <c r="V1977" i="1"/>
  <c r="R1978" i="1"/>
  <c r="U1978" i="1"/>
  <c r="V1978" i="1"/>
  <c r="R1979" i="1"/>
  <c r="U1979" i="1"/>
  <c r="V1979" i="1"/>
  <c r="R1980" i="1"/>
  <c r="U1980" i="1"/>
  <c r="V1980" i="1"/>
  <c r="R1981" i="1"/>
  <c r="U1981" i="1"/>
  <c r="V1981" i="1"/>
  <c r="R1982" i="1"/>
  <c r="U1982" i="1"/>
  <c r="V1982" i="1"/>
  <c r="R1983" i="1"/>
  <c r="U1983" i="1"/>
  <c r="V1983" i="1"/>
  <c r="R1984" i="1"/>
  <c r="U1984" i="1"/>
  <c r="V1984" i="1"/>
  <c r="R1985" i="1"/>
  <c r="U1985" i="1"/>
  <c r="V1985" i="1"/>
  <c r="R1986" i="1"/>
  <c r="U1986" i="1"/>
  <c r="V1986" i="1"/>
  <c r="R1987" i="1"/>
  <c r="U1987" i="1"/>
  <c r="V1987" i="1"/>
  <c r="R1988" i="1"/>
  <c r="U1988" i="1"/>
  <c r="V1988" i="1"/>
  <c r="R1989" i="1"/>
  <c r="U1989" i="1"/>
  <c r="V1989" i="1"/>
  <c r="R1990" i="1"/>
  <c r="U1990" i="1"/>
  <c r="V1990" i="1"/>
  <c r="R1991" i="1"/>
  <c r="U1991" i="1"/>
  <c r="V1991" i="1"/>
  <c r="R1992" i="1"/>
  <c r="U1992" i="1"/>
  <c r="V1992" i="1"/>
  <c r="R1993" i="1"/>
  <c r="U1993" i="1"/>
  <c r="V1993" i="1"/>
  <c r="R1994" i="1"/>
  <c r="U1994" i="1"/>
  <c r="V1994" i="1"/>
  <c r="R1995" i="1"/>
  <c r="U1995" i="1"/>
  <c r="V1995" i="1"/>
  <c r="R1996" i="1"/>
  <c r="U1996" i="1"/>
  <c r="V1996" i="1"/>
  <c r="R1997" i="1"/>
  <c r="U1997" i="1"/>
  <c r="V1997" i="1"/>
  <c r="R1998" i="1"/>
  <c r="U1998" i="1"/>
  <c r="V1998" i="1"/>
  <c r="R1999" i="1"/>
  <c r="U1999" i="1"/>
  <c r="V1999" i="1"/>
  <c r="R2000" i="1"/>
  <c r="U2000" i="1"/>
  <c r="V2000" i="1"/>
  <c r="R2001" i="1"/>
  <c r="U2001" i="1"/>
  <c r="V2001" i="1"/>
  <c r="R2002" i="1"/>
  <c r="U2002" i="1"/>
  <c r="V2002" i="1"/>
  <c r="R2003" i="1"/>
  <c r="U2003" i="1"/>
  <c r="V2003" i="1"/>
  <c r="R2004" i="1"/>
  <c r="U2004" i="1"/>
  <c r="V2004" i="1"/>
  <c r="R2005" i="1"/>
  <c r="U2005" i="1"/>
  <c r="V2005" i="1"/>
  <c r="R2006" i="1"/>
  <c r="U2006" i="1"/>
  <c r="V2006" i="1"/>
  <c r="R2007" i="1"/>
  <c r="U2007" i="1"/>
  <c r="V2007" i="1"/>
  <c r="R2008" i="1"/>
  <c r="U2008" i="1"/>
  <c r="V2008" i="1"/>
  <c r="R2009" i="1"/>
  <c r="U2009" i="1"/>
  <c r="V2009" i="1"/>
  <c r="R2010" i="1"/>
  <c r="U2010" i="1"/>
  <c r="V2010" i="1"/>
  <c r="R2011" i="1"/>
  <c r="U2011" i="1"/>
  <c r="V2011" i="1"/>
  <c r="R2012" i="1"/>
  <c r="U2012" i="1"/>
  <c r="V2012" i="1"/>
  <c r="R2013" i="1"/>
  <c r="U2013" i="1"/>
  <c r="V2013" i="1"/>
  <c r="R2014" i="1"/>
  <c r="U2014" i="1"/>
  <c r="V2014" i="1"/>
  <c r="R2015" i="1"/>
  <c r="U2015" i="1"/>
  <c r="V2015" i="1"/>
  <c r="R2016" i="1"/>
  <c r="U2016" i="1"/>
  <c r="V2016" i="1"/>
  <c r="R2017" i="1"/>
  <c r="U2017" i="1"/>
  <c r="V2017" i="1"/>
  <c r="R2018" i="1"/>
  <c r="U2018" i="1"/>
  <c r="V2018" i="1"/>
  <c r="R2019" i="1"/>
  <c r="U2019" i="1"/>
  <c r="V2019" i="1"/>
  <c r="R2020" i="1"/>
  <c r="U2020" i="1"/>
  <c r="V2020" i="1"/>
  <c r="R2021" i="1"/>
  <c r="U2021" i="1"/>
  <c r="V2021" i="1"/>
  <c r="R2022" i="1"/>
  <c r="U2022" i="1"/>
  <c r="V2022" i="1"/>
  <c r="R2023" i="1"/>
  <c r="U2023" i="1"/>
  <c r="V2023" i="1"/>
  <c r="R2024" i="1"/>
  <c r="U2024" i="1"/>
  <c r="V2024" i="1"/>
  <c r="R2025" i="1"/>
  <c r="U2025" i="1"/>
  <c r="V2025" i="1"/>
  <c r="R2026" i="1"/>
  <c r="U2026" i="1"/>
  <c r="V2026" i="1"/>
  <c r="R2027" i="1"/>
  <c r="U2027" i="1"/>
  <c r="V2027" i="1"/>
  <c r="R2028" i="1"/>
  <c r="U2028" i="1"/>
  <c r="V2028" i="1"/>
  <c r="R2029" i="1"/>
  <c r="U2029" i="1"/>
  <c r="V2029" i="1"/>
  <c r="R2030" i="1"/>
  <c r="U2030" i="1"/>
  <c r="V2030" i="1"/>
  <c r="R2031" i="1"/>
  <c r="U2031" i="1"/>
  <c r="V2031" i="1"/>
  <c r="R2032" i="1"/>
  <c r="U2032" i="1"/>
  <c r="V2032" i="1"/>
  <c r="R2033" i="1"/>
  <c r="U2033" i="1"/>
  <c r="V2033" i="1"/>
  <c r="R2034" i="1"/>
  <c r="U2034" i="1"/>
  <c r="V2034" i="1"/>
  <c r="R2035" i="1"/>
  <c r="U2035" i="1"/>
  <c r="V2035" i="1"/>
  <c r="R2036" i="1"/>
  <c r="U2036" i="1"/>
  <c r="V2036" i="1"/>
  <c r="R2037" i="1"/>
  <c r="U2037" i="1"/>
  <c r="V2037" i="1"/>
  <c r="R2038" i="1"/>
  <c r="U2038" i="1"/>
  <c r="V2038" i="1"/>
  <c r="R2039" i="1"/>
  <c r="U2039" i="1"/>
  <c r="V2039" i="1"/>
  <c r="R2040" i="1"/>
  <c r="U2040" i="1"/>
  <c r="V2040" i="1"/>
  <c r="R2041" i="1"/>
  <c r="U2041" i="1"/>
  <c r="V2041" i="1"/>
  <c r="R2042" i="1"/>
  <c r="U2042" i="1"/>
  <c r="V2042" i="1"/>
  <c r="R2043" i="1"/>
  <c r="U2043" i="1"/>
  <c r="V2043" i="1"/>
  <c r="R2044" i="1"/>
  <c r="U2044" i="1"/>
  <c r="V2044" i="1"/>
  <c r="R2045" i="1"/>
  <c r="U2045" i="1"/>
  <c r="V2045" i="1"/>
  <c r="R2046" i="1"/>
  <c r="U2046" i="1"/>
  <c r="V2046" i="1"/>
  <c r="R2047" i="1"/>
  <c r="U2047" i="1"/>
  <c r="V2047" i="1"/>
  <c r="R2048" i="1"/>
  <c r="U2048" i="1"/>
  <c r="V2048" i="1"/>
  <c r="R2049" i="1"/>
  <c r="U2049" i="1"/>
  <c r="V2049" i="1"/>
  <c r="R2050" i="1"/>
  <c r="U2050" i="1"/>
  <c r="V2050" i="1"/>
  <c r="R2051" i="1"/>
  <c r="U2051" i="1"/>
  <c r="V2051" i="1"/>
  <c r="R2052" i="1"/>
  <c r="U2052" i="1"/>
  <c r="V2052" i="1"/>
  <c r="R2053" i="1"/>
  <c r="U2053" i="1"/>
  <c r="V2053" i="1"/>
  <c r="R2054" i="1"/>
  <c r="U2054" i="1"/>
  <c r="V2054" i="1"/>
  <c r="R2055" i="1"/>
  <c r="U2055" i="1"/>
  <c r="V2055" i="1"/>
  <c r="R2056" i="1"/>
  <c r="U2056" i="1"/>
  <c r="V2056" i="1"/>
  <c r="R2057" i="1"/>
  <c r="U2057" i="1"/>
  <c r="V2057" i="1"/>
  <c r="R2058" i="1"/>
  <c r="U2058" i="1"/>
  <c r="V2058" i="1"/>
  <c r="R2059" i="1"/>
  <c r="U2059" i="1"/>
  <c r="V2059" i="1"/>
  <c r="R2060" i="1"/>
  <c r="U2060" i="1"/>
  <c r="V2060" i="1"/>
  <c r="R2061" i="1"/>
  <c r="U2061" i="1"/>
  <c r="V2061" i="1"/>
  <c r="R2062" i="1"/>
  <c r="U2062" i="1"/>
  <c r="V2062" i="1"/>
  <c r="R2063" i="1"/>
  <c r="U2063" i="1"/>
  <c r="V2063" i="1"/>
  <c r="R2064" i="1"/>
  <c r="U2064" i="1"/>
  <c r="V2064" i="1"/>
  <c r="R2065" i="1"/>
  <c r="U2065" i="1"/>
  <c r="V2065" i="1"/>
  <c r="R2066" i="1"/>
  <c r="U2066" i="1"/>
  <c r="V2066" i="1"/>
  <c r="R2067" i="1"/>
  <c r="U2067" i="1"/>
  <c r="V2067" i="1"/>
  <c r="R2068" i="1"/>
  <c r="U2068" i="1"/>
  <c r="V2068" i="1"/>
  <c r="R2069" i="1"/>
  <c r="U2069" i="1"/>
  <c r="V2069" i="1"/>
  <c r="R2070" i="1"/>
  <c r="U2070" i="1"/>
  <c r="V2070" i="1"/>
  <c r="R2071" i="1"/>
  <c r="U2071" i="1"/>
  <c r="V2071" i="1"/>
  <c r="R2072" i="1"/>
  <c r="U2072" i="1"/>
  <c r="V2072" i="1"/>
  <c r="R2073" i="1"/>
  <c r="U2073" i="1"/>
  <c r="V2073" i="1"/>
  <c r="R2074" i="1"/>
  <c r="U2074" i="1"/>
  <c r="V2074" i="1"/>
  <c r="R2075" i="1"/>
  <c r="U2075" i="1"/>
  <c r="V2075" i="1"/>
  <c r="R2076" i="1"/>
  <c r="U2076" i="1"/>
  <c r="V2076" i="1"/>
  <c r="R2077" i="1"/>
  <c r="U2077" i="1"/>
  <c r="V2077" i="1"/>
  <c r="R2078" i="1"/>
  <c r="U2078" i="1"/>
  <c r="V2078" i="1"/>
  <c r="R2079" i="1"/>
  <c r="U2079" i="1"/>
  <c r="V2079" i="1"/>
  <c r="R2080" i="1"/>
  <c r="U2080" i="1"/>
  <c r="V2080" i="1"/>
  <c r="R2081" i="1"/>
  <c r="U2081" i="1"/>
  <c r="V2081" i="1"/>
  <c r="R2082" i="1"/>
  <c r="U2082" i="1"/>
  <c r="V2082" i="1"/>
  <c r="R2083" i="1"/>
  <c r="U2083" i="1"/>
  <c r="V2083" i="1"/>
  <c r="R2084" i="1"/>
  <c r="U2084" i="1"/>
  <c r="V2084" i="1"/>
  <c r="R2085" i="1"/>
  <c r="U2085" i="1"/>
  <c r="V2085" i="1"/>
  <c r="R2086" i="1"/>
  <c r="U2086" i="1"/>
  <c r="V2086" i="1"/>
  <c r="R2087" i="1"/>
  <c r="U2087" i="1"/>
  <c r="V2087" i="1"/>
  <c r="R2088" i="1"/>
  <c r="U2088" i="1"/>
  <c r="V2088" i="1"/>
  <c r="R2089" i="1"/>
  <c r="U2089" i="1"/>
  <c r="V2089" i="1"/>
  <c r="R2090" i="1"/>
  <c r="U2090" i="1"/>
  <c r="V2090" i="1"/>
  <c r="R2091" i="1"/>
  <c r="U2091" i="1"/>
  <c r="V2091" i="1"/>
  <c r="R2092" i="1"/>
  <c r="U2092" i="1"/>
  <c r="V2092" i="1"/>
  <c r="R2093" i="1"/>
  <c r="U2093" i="1"/>
  <c r="V2093" i="1"/>
  <c r="R2094" i="1"/>
  <c r="U2094" i="1"/>
  <c r="V2094" i="1"/>
  <c r="R2095" i="1"/>
  <c r="U2095" i="1"/>
  <c r="V2095" i="1"/>
  <c r="R2096" i="1"/>
  <c r="U2096" i="1"/>
  <c r="V2096" i="1"/>
  <c r="R2097" i="1"/>
  <c r="U2097" i="1"/>
  <c r="V2097" i="1"/>
  <c r="R2098" i="1"/>
  <c r="U2098" i="1"/>
  <c r="V2098" i="1"/>
  <c r="R2099" i="1"/>
  <c r="U2099" i="1"/>
  <c r="V2099" i="1"/>
  <c r="R2100" i="1"/>
  <c r="U2100" i="1"/>
  <c r="V2100" i="1"/>
  <c r="R2101" i="1"/>
  <c r="U2101" i="1"/>
  <c r="V2101" i="1"/>
  <c r="R2102" i="1"/>
  <c r="U2102" i="1"/>
  <c r="V2102" i="1"/>
  <c r="R2103" i="1"/>
  <c r="U2103" i="1"/>
  <c r="V2103" i="1"/>
  <c r="R2104" i="1"/>
  <c r="U2104" i="1"/>
  <c r="V2104" i="1"/>
  <c r="R2105" i="1"/>
  <c r="U2105" i="1"/>
  <c r="V2105" i="1"/>
  <c r="R2106" i="1"/>
  <c r="U2106" i="1"/>
  <c r="V2106" i="1"/>
  <c r="R2107" i="1"/>
  <c r="U2107" i="1"/>
  <c r="V2107" i="1"/>
  <c r="R2108" i="1"/>
  <c r="U2108" i="1"/>
  <c r="V2108" i="1"/>
  <c r="R2109" i="1"/>
  <c r="U2109" i="1"/>
  <c r="V2109" i="1"/>
  <c r="R2110" i="1"/>
  <c r="U2110" i="1"/>
  <c r="V2110" i="1"/>
  <c r="R2111" i="1"/>
  <c r="U2111" i="1"/>
  <c r="V2111" i="1"/>
  <c r="R2112" i="1"/>
  <c r="U2112" i="1"/>
  <c r="V2112" i="1"/>
  <c r="R2113" i="1"/>
  <c r="U2113" i="1"/>
  <c r="V2113" i="1"/>
  <c r="R2114" i="1"/>
  <c r="U2114" i="1"/>
  <c r="V2114" i="1"/>
  <c r="R2115" i="1"/>
  <c r="U2115" i="1"/>
  <c r="V2115" i="1"/>
  <c r="R2116" i="1"/>
  <c r="U2116" i="1"/>
  <c r="V2116" i="1"/>
  <c r="R2117" i="1"/>
  <c r="U2117" i="1"/>
  <c r="V2117" i="1"/>
  <c r="R2118" i="1"/>
  <c r="U2118" i="1"/>
  <c r="V2118" i="1"/>
  <c r="R2119" i="1"/>
  <c r="U2119" i="1"/>
  <c r="V2119" i="1"/>
  <c r="R2120" i="1"/>
  <c r="U2120" i="1"/>
  <c r="V2120" i="1"/>
  <c r="R2121" i="1"/>
  <c r="U2121" i="1"/>
  <c r="V2121" i="1"/>
  <c r="R2122" i="1"/>
  <c r="U2122" i="1"/>
  <c r="V2122" i="1"/>
  <c r="R2123" i="1"/>
  <c r="U2123" i="1"/>
  <c r="V2123" i="1"/>
  <c r="R2124" i="1"/>
  <c r="U2124" i="1"/>
  <c r="V2124" i="1"/>
  <c r="R2125" i="1"/>
  <c r="U2125" i="1"/>
  <c r="V2125" i="1"/>
  <c r="R2126" i="1"/>
  <c r="U2126" i="1"/>
  <c r="V2126" i="1"/>
  <c r="R2127" i="1"/>
  <c r="U2127" i="1"/>
  <c r="V2127" i="1"/>
  <c r="R2128" i="1"/>
  <c r="U2128" i="1"/>
  <c r="V2128" i="1"/>
  <c r="R2129" i="1"/>
  <c r="U2129" i="1"/>
  <c r="V2129" i="1"/>
  <c r="R2130" i="1"/>
  <c r="U2130" i="1"/>
  <c r="V2130" i="1"/>
  <c r="R2131" i="1"/>
  <c r="U2131" i="1"/>
  <c r="V2131" i="1"/>
  <c r="R2132" i="1"/>
  <c r="U2132" i="1"/>
  <c r="V2132" i="1"/>
  <c r="R2133" i="1"/>
  <c r="U2133" i="1"/>
  <c r="V2133" i="1"/>
  <c r="R2134" i="1"/>
  <c r="U2134" i="1"/>
  <c r="V2134" i="1"/>
  <c r="R2135" i="1"/>
  <c r="U2135" i="1"/>
  <c r="V2135" i="1"/>
  <c r="R2136" i="1"/>
  <c r="U2136" i="1"/>
  <c r="V2136" i="1"/>
  <c r="R2137" i="1"/>
  <c r="U2137" i="1"/>
  <c r="V2137" i="1"/>
  <c r="R2138" i="1"/>
  <c r="U2138" i="1"/>
  <c r="V2138" i="1"/>
  <c r="R2139" i="1"/>
  <c r="U2139" i="1"/>
  <c r="V2139" i="1"/>
  <c r="R2140" i="1"/>
  <c r="U2140" i="1"/>
  <c r="V2140" i="1"/>
  <c r="R2141" i="1"/>
  <c r="U2141" i="1"/>
  <c r="V2141" i="1"/>
  <c r="R2142" i="1"/>
  <c r="U2142" i="1"/>
  <c r="V2142" i="1"/>
  <c r="R2143" i="1"/>
  <c r="U2143" i="1"/>
  <c r="V2143" i="1"/>
  <c r="R2144" i="1"/>
  <c r="U2144" i="1"/>
  <c r="V2144" i="1"/>
  <c r="R2145" i="1"/>
  <c r="U2145" i="1"/>
  <c r="V2145" i="1"/>
  <c r="R2146" i="1"/>
  <c r="U2146" i="1"/>
  <c r="V2146" i="1"/>
  <c r="R2147" i="1"/>
  <c r="U2147" i="1"/>
  <c r="V2147" i="1"/>
  <c r="R2148" i="1"/>
  <c r="U2148" i="1"/>
  <c r="V2148" i="1"/>
  <c r="R2149" i="1"/>
  <c r="U2149" i="1"/>
  <c r="V2149" i="1"/>
  <c r="R2150" i="1"/>
  <c r="U2150" i="1"/>
  <c r="V2150" i="1"/>
  <c r="R2151" i="1"/>
  <c r="U2151" i="1"/>
  <c r="V2151" i="1"/>
  <c r="R2152" i="1"/>
  <c r="U2152" i="1"/>
  <c r="V2152" i="1"/>
  <c r="R2153" i="1"/>
  <c r="U2153" i="1"/>
  <c r="V2153" i="1"/>
  <c r="R2154" i="1"/>
  <c r="U2154" i="1"/>
  <c r="V2154" i="1"/>
  <c r="R2155" i="1"/>
  <c r="U2155" i="1"/>
  <c r="V2155" i="1"/>
  <c r="R2156" i="1"/>
  <c r="U2156" i="1"/>
  <c r="V2156" i="1"/>
  <c r="R2157" i="1"/>
  <c r="U2157" i="1"/>
  <c r="V2157" i="1"/>
  <c r="R2158" i="1"/>
  <c r="U2158" i="1"/>
  <c r="V2158" i="1"/>
  <c r="R2159" i="1"/>
  <c r="U2159" i="1"/>
  <c r="V2159" i="1"/>
  <c r="R2160" i="1"/>
  <c r="U2160" i="1"/>
  <c r="V2160" i="1"/>
  <c r="R2161" i="1"/>
  <c r="U2161" i="1"/>
  <c r="V2161" i="1"/>
  <c r="R2162" i="1"/>
  <c r="U2162" i="1"/>
  <c r="V2162" i="1"/>
  <c r="R2163" i="1"/>
  <c r="U2163" i="1"/>
  <c r="V2163" i="1"/>
  <c r="R2164" i="1"/>
  <c r="U2164" i="1"/>
  <c r="V2164" i="1"/>
  <c r="R2165" i="1"/>
  <c r="U2165" i="1"/>
  <c r="V2165" i="1"/>
  <c r="R2166" i="1"/>
  <c r="U2166" i="1"/>
  <c r="V2166" i="1"/>
  <c r="R2167" i="1"/>
  <c r="U2167" i="1"/>
  <c r="V2167" i="1"/>
  <c r="R2168" i="1"/>
  <c r="U2168" i="1"/>
  <c r="V2168" i="1"/>
  <c r="R2169" i="1"/>
  <c r="U2169" i="1"/>
  <c r="V2169" i="1"/>
  <c r="R2170" i="1"/>
  <c r="U2170" i="1"/>
  <c r="V2170" i="1"/>
  <c r="R2171" i="1"/>
  <c r="U2171" i="1"/>
  <c r="V2171" i="1"/>
  <c r="R2172" i="1"/>
  <c r="U2172" i="1"/>
  <c r="V2172" i="1"/>
  <c r="R2173" i="1"/>
  <c r="U2173" i="1"/>
  <c r="V2173" i="1"/>
  <c r="R2174" i="1"/>
  <c r="U2174" i="1"/>
  <c r="V2174" i="1"/>
  <c r="R2175" i="1"/>
  <c r="U2175" i="1"/>
  <c r="V2175" i="1"/>
  <c r="R2176" i="1"/>
  <c r="U2176" i="1"/>
  <c r="V2176" i="1"/>
  <c r="R2177" i="1"/>
  <c r="U2177" i="1"/>
  <c r="V2177" i="1"/>
  <c r="R2178" i="1"/>
  <c r="U2178" i="1"/>
  <c r="V2178" i="1"/>
  <c r="R2179" i="1"/>
  <c r="U2179" i="1"/>
  <c r="V2179" i="1"/>
  <c r="R2180" i="1"/>
  <c r="U2180" i="1"/>
  <c r="V2180" i="1"/>
  <c r="R2181" i="1"/>
  <c r="U2181" i="1"/>
  <c r="V2181" i="1"/>
  <c r="R2182" i="1"/>
  <c r="U2182" i="1"/>
  <c r="V2182" i="1"/>
  <c r="R2183" i="1"/>
  <c r="U2183" i="1"/>
  <c r="V2183" i="1"/>
  <c r="R2184" i="1"/>
  <c r="U2184" i="1"/>
  <c r="V2184" i="1"/>
  <c r="R2185" i="1"/>
  <c r="U2185" i="1"/>
  <c r="V2185" i="1"/>
  <c r="R2186" i="1"/>
  <c r="U2186" i="1"/>
  <c r="V2186" i="1"/>
  <c r="R2187" i="1"/>
  <c r="U2187" i="1"/>
  <c r="V2187" i="1"/>
  <c r="R2188" i="1"/>
  <c r="U2188" i="1"/>
  <c r="V2188" i="1"/>
  <c r="R2189" i="1"/>
  <c r="U2189" i="1"/>
  <c r="V2189" i="1"/>
  <c r="R2190" i="1"/>
  <c r="U2190" i="1"/>
  <c r="V2190" i="1"/>
  <c r="R2191" i="1"/>
  <c r="U2191" i="1"/>
  <c r="V2191" i="1"/>
  <c r="R2192" i="1"/>
  <c r="U2192" i="1"/>
  <c r="V2192" i="1"/>
  <c r="R2193" i="1"/>
  <c r="U2193" i="1"/>
  <c r="V2193" i="1"/>
  <c r="R2194" i="1"/>
  <c r="U2194" i="1"/>
  <c r="V2194" i="1"/>
  <c r="R2195" i="1"/>
  <c r="U2195" i="1"/>
  <c r="V2195" i="1"/>
  <c r="R2196" i="1"/>
  <c r="U2196" i="1"/>
  <c r="V2196" i="1"/>
  <c r="R2197" i="1"/>
  <c r="U2197" i="1"/>
  <c r="V2197" i="1"/>
  <c r="R2198" i="1"/>
  <c r="U2198" i="1"/>
  <c r="V2198" i="1"/>
  <c r="R2199" i="1"/>
  <c r="U2199" i="1"/>
  <c r="V2199" i="1"/>
  <c r="R2200" i="1"/>
  <c r="U2200" i="1"/>
  <c r="V2200" i="1"/>
  <c r="R2201" i="1"/>
  <c r="U2201" i="1"/>
  <c r="V2201" i="1"/>
  <c r="R2202" i="1"/>
  <c r="U2202" i="1"/>
  <c r="V2202" i="1"/>
  <c r="R2203" i="1"/>
  <c r="U2203" i="1"/>
  <c r="V2203" i="1"/>
  <c r="R2204" i="1"/>
  <c r="U2204" i="1"/>
  <c r="V2204" i="1"/>
  <c r="R2205" i="1"/>
  <c r="U2205" i="1"/>
  <c r="V2205" i="1"/>
  <c r="R2206" i="1"/>
  <c r="U2206" i="1"/>
  <c r="V2206" i="1"/>
  <c r="R2207" i="1"/>
  <c r="U2207" i="1"/>
  <c r="V2207" i="1"/>
  <c r="R2208" i="1"/>
  <c r="U2208" i="1"/>
  <c r="V2208" i="1"/>
  <c r="R2209" i="1"/>
  <c r="U2209" i="1"/>
  <c r="V2209" i="1"/>
  <c r="R2210" i="1"/>
  <c r="U2210" i="1"/>
  <c r="V2210" i="1"/>
  <c r="R2211" i="1"/>
  <c r="U2211" i="1"/>
  <c r="V2211" i="1"/>
  <c r="R2212" i="1"/>
  <c r="U2212" i="1"/>
  <c r="V2212" i="1"/>
  <c r="R2213" i="1"/>
  <c r="U2213" i="1"/>
  <c r="V2213" i="1"/>
  <c r="R2214" i="1"/>
  <c r="U2214" i="1"/>
  <c r="V2214" i="1"/>
  <c r="R2215" i="1"/>
  <c r="U2215" i="1"/>
  <c r="V2215" i="1"/>
  <c r="R2216" i="1"/>
  <c r="U2216" i="1"/>
  <c r="V2216" i="1"/>
  <c r="R2217" i="1"/>
  <c r="U2217" i="1"/>
  <c r="V2217" i="1"/>
  <c r="R2218" i="1"/>
  <c r="U2218" i="1"/>
  <c r="V2218" i="1"/>
  <c r="R2219" i="1"/>
  <c r="U2219" i="1"/>
  <c r="V2219" i="1"/>
  <c r="R2220" i="1"/>
  <c r="U2220" i="1"/>
  <c r="V2220" i="1"/>
  <c r="R2221" i="1"/>
  <c r="U2221" i="1"/>
  <c r="V2221" i="1"/>
  <c r="R2222" i="1"/>
  <c r="U2222" i="1"/>
  <c r="V2222" i="1"/>
  <c r="R2223" i="1"/>
  <c r="U2223" i="1"/>
  <c r="V2223" i="1"/>
  <c r="R2224" i="1"/>
  <c r="U2224" i="1"/>
  <c r="V2224" i="1"/>
  <c r="R2225" i="1"/>
  <c r="U2225" i="1"/>
  <c r="V2225" i="1"/>
  <c r="R2226" i="1"/>
  <c r="U2226" i="1"/>
  <c r="V2226" i="1"/>
  <c r="R2227" i="1"/>
  <c r="U2227" i="1"/>
  <c r="V2227" i="1"/>
  <c r="R2228" i="1"/>
  <c r="U2228" i="1"/>
  <c r="V2228" i="1"/>
  <c r="R2229" i="1"/>
  <c r="U2229" i="1"/>
  <c r="V2229" i="1"/>
  <c r="R2230" i="1"/>
  <c r="U2230" i="1"/>
  <c r="V2230" i="1"/>
  <c r="R2231" i="1"/>
  <c r="U2231" i="1"/>
  <c r="V2231" i="1"/>
  <c r="R2232" i="1"/>
  <c r="U2232" i="1"/>
  <c r="V2232" i="1"/>
  <c r="R2233" i="1"/>
  <c r="U2233" i="1"/>
  <c r="V2233" i="1"/>
  <c r="R2234" i="1"/>
  <c r="U2234" i="1"/>
  <c r="V2234" i="1"/>
  <c r="R2235" i="1"/>
  <c r="U2235" i="1"/>
  <c r="V2235" i="1"/>
  <c r="R2236" i="1"/>
  <c r="U2236" i="1"/>
  <c r="V2236" i="1"/>
  <c r="R2237" i="1"/>
  <c r="U2237" i="1"/>
  <c r="V2237" i="1"/>
  <c r="R2238" i="1"/>
  <c r="U2238" i="1"/>
  <c r="V2238" i="1"/>
  <c r="R2239" i="1"/>
  <c r="U2239" i="1"/>
  <c r="V2239" i="1"/>
  <c r="R2240" i="1"/>
  <c r="U2240" i="1"/>
  <c r="V2240" i="1"/>
  <c r="R2241" i="1"/>
  <c r="U2241" i="1"/>
  <c r="V2241" i="1"/>
  <c r="R2242" i="1"/>
  <c r="U2242" i="1"/>
  <c r="V2242" i="1"/>
  <c r="R2243" i="1"/>
  <c r="U2243" i="1"/>
  <c r="V2243" i="1"/>
  <c r="R2244" i="1"/>
  <c r="U2244" i="1"/>
  <c r="V2244" i="1"/>
  <c r="R2245" i="1"/>
  <c r="U2245" i="1"/>
  <c r="V2245" i="1"/>
  <c r="R2246" i="1"/>
  <c r="U2246" i="1"/>
  <c r="V2246" i="1"/>
  <c r="R2247" i="1"/>
  <c r="U2247" i="1"/>
  <c r="V2247" i="1"/>
  <c r="R2248" i="1"/>
  <c r="U2248" i="1"/>
  <c r="V2248" i="1"/>
  <c r="R2249" i="1"/>
  <c r="U2249" i="1"/>
  <c r="V2249" i="1"/>
  <c r="R2250" i="1"/>
  <c r="U2250" i="1"/>
  <c r="V2250" i="1"/>
  <c r="R2251" i="1"/>
  <c r="U2251" i="1"/>
  <c r="V2251" i="1"/>
  <c r="R2252" i="1"/>
  <c r="U2252" i="1"/>
  <c r="V2252" i="1"/>
  <c r="R2253" i="1"/>
  <c r="U2253" i="1"/>
  <c r="V2253" i="1"/>
  <c r="R2254" i="1"/>
  <c r="U2254" i="1"/>
  <c r="V2254" i="1"/>
  <c r="R2255" i="1"/>
  <c r="U2255" i="1"/>
  <c r="V2255" i="1"/>
  <c r="R2256" i="1"/>
  <c r="U2256" i="1"/>
  <c r="V2256" i="1"/>
  <c r="R2257" i="1"/>
  <c r="U2257" i="1"/>
  <c r="V2257" i="1"/>
  <c r="R2258" i="1"/>
  <c r="U2258" i="1"/>
  <c r="V2258" i="1"/>
  <c r="R2259" i="1"/>
  <c r="U2259" i="1"/>
  <c r="V2259" i="1"/>
  <c r="R2260" i="1"/>
  <c r="U2260" i="1"/>
  <c r="V2260" i="1"/>
  <c r="R2261" i="1"/>
  <c r="U2261" i="1"/>
  <c r="V2261" i="1"/>
  <c r="R2262" i="1"/>
  <c r="U2262" i="1"/>
  <c r="V2262" i="1"/>
  <c r="R2263" i="1"/>
  <c r="U2263" i="1"/>
  <c r="V2263" i="1"/>
  <c r="R2264" i="1"/>
  <c r="U2264" i="1"/>
  <c r="V2264" i="1"/>
  <c r="R2265" i="1"/>
  <c r="U2265" i="1"/>
  <c r="V2265" i="1"/>
  <c r="R2266" i="1"/>
  <c r="U2266" i="1"/>
  <c r="V2266" i="1"/>
  <c r="R2267" i="1"/>
  <c r="U2267" i="1"/>
  <c r="V2267" i="1"/>
  <c r="R2268" i="1"/>
  <c r="U2268" i="1"/>
  <c r="V2268" i="1"/>
  <c r="R2269" i="1"/>
  <c r="U2269" i="1"/>
  <c r="V2269" i="1"/>
  <c r="R2270" i="1"/>
  <c r="U2270" i="1"/>
  <c r="V2270" i="1"/>
  <c r="R2271" i="1"/>
  <c r="U2271" i="1"/>
  <c r="V2271" i="1"/>
  <c r="R2272" i="1"/>
  <c r="U2272" i="1"/>
  <c r="V2272" i="1"/>
  <c r="R2273" i="1"/>
  <c r="U2273" i="1"/>
  <c r="V2273" i="1"/>
  <c r="R2274" i="1"/>
  <c r="U2274" i="1"/>
  <c r="V2274" i="1"/>
  <c r="R2275" i="1"/>
  <c r="U2275" i="1"/>
  <c r="V2275" i="1"/>
  <c r="R2276" i="1"/>
  <c r="U2276" i="1"/>
  <c r="V2276" i="1"/>
  <c r="R2277" i="1"/>
  <c r="U2277" i="1"/>
  <c r="V2277" i="1"/>
  <c r="R2278" i="1"/>
  <c r="U2278" i="1"/>
  <c r="V2278" i="1"/>
  <c r="R2279" i="1"/>
  <c r="U2279" i="1"/>
  <c r="V2279" i="1"/>
  <c r="R2280" i="1"/>
  <c r="U2280" i="1"/>
  <c r="V2280" i="1"/>
  <c r="R2281" i="1"/>
  <c r="U2281" i="1"/>
  <c r="V2281" i="1"/>
  <c r="R2282" i="1"/>
  <c r="U2282" i="1"/>
  <c r="V2282" i="1"/>
  <c r="R2283" i="1"/>
  <c r="U2283" i="1"/>
  <c r="V2283" i="1"/>
  <c r="R2284" i="1"/>
  <c r="U2284" i="1"/>
  <c r="V2284" i="1"/>
  <c r="R2285" i="1"/>
  <c r="U2285" i="1"/>
  <c r="V2285" i="1"/>
  <c r="R2286" i="1"/>
  <c r="U2286" i="1"/>
  <c r="V2286" i="1"/>
  <c r="R2287" i="1"/>
  <c r="U2287" i="1"/>
  <c r="V2287" i="1"/>
  <c r="R2288" i="1"/>
  <c r="U2288" i="1"/>
  <c r="V2288" i="1"/>
  <c r="R2289" i="1"/>
  <c r="U2289" i="1"/>
  <c r="V2289" i="1"/>
  <c r="R2290" i="1"/>
  <c r="U2290" i="1"/>
  <c r="V2290" i="1"/>
  <c r="R2291" i="1"/>
  <c r="U2291" i="1"/>
  <c r="V2291" i="1"/>
  <c r="R2292" i="1"/>
  <c r="U2292" i="1"/>
  <c r="V2292" i="1"/>
  <c r="R2293" i="1"/>
  <c r="U2293" i="1"/>
  <c r="V2293" i="1"/>
  <c r="R2294" i="1"/>
  <c r="U2294" i="1"/>
  <c r="V2294" i="1"/>
  <c r="R2295" i="1"/>
  <c r="U2295" i="1"/>
  <c r="V2295" i="1"/>
  <c r="R2296" i="1"/>
  <c r="U2296" i="1"/>
  <c r="V2296" i="1"/>
  <c r="R2297" i="1"/>
  <c r="U2297" i="1"/>
  <c r="V2297" i="1"/>
  <c r="R2298" i="1"/>
  <c r="U2298" i="1"/>
  <c r="V2298" i="1"/>
  <c r="R2299" i="1"/>
  <c r="U2299" i="1"/>
  <c r="V2299" i="1"/>
  <c r="R2300" i="1"/>
  <c r="U2300" i="1"/>
  <c r="V2300" i="1"/>
  <c r="R2301" i="1"/>
  <c r="U2301" i="1"/>
  <c r="V2301" i="1"/>
  <c r="R2302" i="1"/>
  <c r="U2302" i="1"/>
  <c r="V2302" i="1"/>
  <c r="R2303" i="1"/>
  <c r="U2303" i="1"/>
  <c r="V2303" i="1"/>
  <c r="R2304" i="1"/>
  <c r="U2304" i="1"/>
  <c r="V2304" i="1"/>
  <c r="R2305" i="1"/>
  <c r="U2305" i="1"/>
  <c r="V2305" i="1"/>
  <c r="R2306" i="1"/>
  <c r="U2306" i="1"/>
  <c r="V2306" i="1"/>
  <c r="R2307" i="1"/>
  <c r="U2307" i="1"/>
  <c r="V2307" i="1"/>
  <c r="R2308" i="1"/>
  <c r="U2308" i="1"/>
  <c r="V2308" i="1"/>
  <c r="R2309" i="1"/>
  <c r="U2309" i="1"/>
  <c r="V2309" i="1"/>
  <c r="R2310" i="1"/>
  <c r="U2310" i="1"/>
  <c r="V2310" i="1"/>
  <c r="R2311" i="1"/>
  <c r="U2311" i="1"/>
  <c r="V2311" i="1"/>
  <c r="R2312" i="1"/>
  <c r="U2312" i="1"/>
  <c r="V2312" i="1"/>
  <c r="R2313" i="1"/>
  <c r="U2313" i="1"/>
  <c r="V2313" i="1"/>
  <c r="R2314" i="1"/>
  <c r="U2314" i="1"/>
  <c r="V2314" i="1"/>
  <c r="R2315" i="1"/>
  <c r="U2315" i="1"/>
  <c r="V2315" i="1"/>
  <c r="R2316" i="1"/>
  <c r="U2316" i="1"/>
  <c r="V2316" i="1"/>
  <c r="R2317" i="1"/>
  <c r="U2317" i="1"/>
  <c r="V2317" i="1"/>
  <c r="R2318" i="1"/>
  <c r="U2318" i="1"/>
  <c r="V2318" i="1"/>
  <c r="R2319" i="1"/>
  <c r="U2319" i="1"/>
  <c r="V2319" i="1"/>
  <c r="R2320" i="1"/>
  <c r="U2320" i="1"/>
  <c r="V2320" i="1"/>
  <c r="R2321" i="1"/>
  <c r="U2321" i="1"/>
  <c r="V2321" i="1"/>
  <c r="R2322" i="1"/>
  <c r="U2322" i="1"/>
  <c r="V2322" i="1"/>
  <c r="R2323" i="1"/>
  <c r="U2323" i="1"/>
  <c r="V2323" i="1"/>
  <c r="R2324" i="1"/>
  <c r="U2324" i="1"/>
  <c r="V2324" i="1"/>
  <c r="R2325" i="1"/>
  <c r="U2325" i="1"/>
  <c r="V2325" i="1"/>
  <c r="R2326" i="1"/>
  <c r="U2326" i="1"/>
  <c r="V2326" i="1"/>
  <c r="R2327" i="1"/>
  <c r="U2327" i="1"/>
  <c r="V2327" i="1"/>
  <c r="R2328" i="1"/>
  <c r="U2328" i="1"/>
  <c r="V2328" i="1"/>
  <c r="R2329" i="1"/>
  <c r="U2329" i="1"/>
  <c r="V2329" i="1"/>
  <c r="R2330" i="1"/>
  <c r="U2330" i="1"/>
  <c r="V2330" i="1"/>
  <c r="R2331" i="1"/>
  <c r="U2331" i="1"/>
  <c r="V2331" i="1"/>
  <c r="R2332" i="1"/>
  <c r="U2332" i="1"/>
  <c r="V2332" i="1"/>
  <c r="R2333" i="1"/>
  <c r="U2333" i="1"/>
  <c r="V2333" i="1"/>
  <c r="R2334" i="1"/>
  <c r="U2334" i="1"/>
  <c r="V2334" i="1"/>
  <c r="R2335" i="1"/>
  <c r="U2335" i="1"/>
  <c r="V2335" i="1"/>
  <c r="R2336" i="1"/>
  <c r="U2336" i="1"/>
  <c r="V2336" i="1"/>
  <c r="R2337" i="1"/>
  <c r="U2337" i="1"/>
  <c r="V2337" i="1"/>
  <c r="R2338" i="1"/>
  <c r="U2338" i="1"/>
  <c r="V2338" i="1"/>
  <c r="R2339" i="1"/>
  <c r="U2339" i="1"/>
  <c r="V2339" i="1"/>
  <c r="R2340" i="1"/>
  <c r="U2340" i="1"/>
  <c r="V2340" i="1"/>
  <c r="R2341" i="1"/>
  <c r="U2341" i="1"/>
  <c r="V2341" i="1"/>
  <c r="R2342" i="1"/>
  <c r="U2342" i="1"/>
  <c r="V2342" i="1"/>
  <c r="R2343" i="1"/>
  <c r="U2343" i="1"/>
  <c r="V2343" i="1"/>
  <c r="R2344" i="1"/>
  <c r="U2344" i="1"/>
  <c r="V2344" i="1"/>
  <c r="R2345" i="1"/>
  <c r="U2345" i="1"/>
  <c r="V2345" i="1"/>
  <c r="R2346" i="1"/>
  <c r="U2346" i="1"/>
  <c r="V2346" i="1"/>
  <c r="R2347" i="1"/>
  <c r="U2347" i="1"/>
  <c r="V2347" i="1"/>
  <c r="R2348" i="1"/>
  <c r="U2348" i="1"/>
  <c r="V2348" i="1"/>
  <c r="R2349" i="1"/>
  <c r="U2349" i="1"/>
  <c r="V2349" i="1"/>
  <c r="R2350" i="1"/>
  <c r="U2350" i="1"/>
  <c r="V2350" i="1"/>
  <c r="R2351" i="1"/>
  <c r="U2351" i="1"/>
  <c r="V2351" i="1"/>
  <c r="R2352" i="1"/>
  <c r="U2352" i="1"/>
  <c r="V2352" i="1"/>
  <c r="R2353" i="1"/>
  <c r="U2353" i="1"/>
  <c r="V2353" i="1"/>
  <c r="R2354" i="1"/>
  <c r="U2354" i="1"/>
  <c r="V2354" i="1"/>
  <c r="R2355" i="1"/>
  <c r="U2355" i="1"/>
  <c r="V2355" i="1"/>
  <c r="R2356" i="1"/>
  <c r="U2356" i="1"/>
  <c r="V2356" i="1"/>
  <c r="R2357" i="1"/>
  <c r="U2357" i="1"/>
  <c r="V2357" i="1"/>
  <c r="R2358" i="1"/>
  <c r="U2358" i="1"/>
  <c r="V2358" i="1"/>
  <c r="R2359" i="1"/>
  <c r="U2359" i="1"/>
  <c r="V2359" i="1"/>
  <c r="R2360" i="1"/>
  <c r="U2360" i="1"/>
  <c r="V2360" i="1"/>
  <c r="R2361" i="1"/>
  <c r="U2361" i="1"/>
  <c r="V2361" i="1"/>
  <c r="R2362" i="1"/>
  <c r="U2362" i="1"/>
  <c r="V2362" i="1"/>
  <c r="R2363" i="1"/>
  <c r="U2363" i="1"/>
  <c r="V2363" i="1"/>
  <c r="R2364" i="1"/>
  <c r="U2364" i="1"/>
  <c r="V2364" i="1"/>
  <c r="R2365" i="1"/>
  <c r="U2365" i="1"/>
  <c r="V2365" i="1"/>
  <c r="R2366" i="1"/>
  <c r="U2366" i="1"/>
  <c r="V2366" i="1"/>
  <c r="R2367" i="1"/>
  <c r="U2367" i="1"/>
  <c r="V2367" i="1"/>
  <c r="R2368" i="1"/>
  <c r="U2368" i="1"/>
  <c r="V2368" i="1"/>
  <c r="R2369" i="1"/>
  <c r="U2369" i="1"/>
  <c r="V2369" i="1"/>
  <c r="R2370" i="1"/>
  <c r="U2370" i="1"/>
  <c r="V2370" i="1"/>
  <c r="R2371" i="1"/>
  <c r="U2371" i="1"/>
  <c r="V2371" i="1"/>
  <c r="R2372" i="1"/>
  <c r="U2372" i="1"/>
  <c r="V2372" i="1"/>
  <c r="R2373" i="1"/>
  <c r="U2373" i="1"/>
  <c r="V2373" i="1"/>
  <c r="R2374" i="1"/>
  <c r="U2374" i="1"/>
  <c r="V2374" i="1"/>
  <c r="R2375" i="1"/>
  <c r="U2375" i="1"/>
  <c r="V2375" i="1"/>
  <c r="R2376" i="1"/>
  <c r="U2376" i="1"/>
  <c r="V2376" i="1"/>
  <c r="R2377" i="1"/>
  <c r="U2377" i="1"/>
  <c r="V2377" i="1"/>
  <c r="R2378" i="1"/>
  <c r="U2378" i="1"/>
  <c r="V2378" i="1"/>
  <c r="R2379" i="1"/>
  <c r="U2379" i="1"/>
  <c r="V2379" i="1"/>
  <c r="R2380" i="1"/>
  <c r="U2380" i="1"/>
  <c r="V2380" i="1"/>
  <c r="R2381" i="1"/>
  <c r="U2381" i="1"/>
  <c r="V2381" i="1"/>
  <c r="R2382" i="1"/>
  <c r="U2382" i="1"/>
  <c r="V2382" i="1"/>
  <c r="R2383" i="1"/>
  <c r="U2383" i="1"/>
  <c r="V2383" i="1"/>
  <c r="R2384" i="1"/>
  <c r="U2384" i="1"/>
  <c r="V2384" i="1"/>
  <c r="R2385" i="1"/>
  <c r="U2385" i="1"/>
  <c r="V2385" i="1"/>
  <c r="R2386" i="1"/>
  <c r="U2386" i="1"/>
  <c r="V2386" i="1"/>
  <c r="R2387" i="1"/>
  <c r="U2387" i="1"/>
  <c r="V2387" i="1"/>
  <c r="R2388" i="1"/>
  <c r="U2388" i="1"/>
  <c r="V2388" i="1"/>
  <c r="R2389" i="1"/>
  <c r="U2389" i="1"/>
  <c r="V2389" i="1"/>
  <c r="R2390" i="1"/>
  <c r="U2390" i="1"/>
  <c r="V2390" i="1"/>
  <c r="R2391" i="1"/>
  <c r="U2391" i="1"/>
  <c r="V2391" i="1"/>
  <c r="R2392" i="1"/>
  <c r="U2392" i="1"/>
  <c r="V2392" i="1"/>
  <c r="R2393" i="1"/>
  <c r="U2393" i="1"/>
  <c r="V2393" i="1"/>
  <c r="R2394" i="1"/>
  <c r="U2394" i="1"/>
  <c r="V2394" i="1"/>
  <c r="R2395" i="1"/>
  <c r="U2395" i="1"/>
  <c r="V2395" i="1"/>
  <c r="R2396" i="1"/>
  <c r="U2396" i="1"/>
  <c r="V2396" i="1"/>
  <c r="R2397" i="1"/>
  <c r="U2397" i="1"/>
  <c r="V2397" i="1"/>
  <c r="R2398" i="1"/>
  <c r="U2398" i="1"/>
  <c r="V2398" i="1"/>
  <c r="R2399" i="1"/>
  <c r="U2399" i="1"/>
  <c r="V2399" i="1"/>
  <c r="R2400" i="1"/>
  <c r="U2400" i="1"/>
  <c r="V2400" i="1"/>
  <c r="R2401" i="1"/>
  <c r="U2401" i="1"/>
  <c r="V2401" i="1"/>
  <c r="R2402" i="1"/>
  <c r="U2402" i="1"/>
  <c r="V2402" i="1"/>
  <c r="R2403" i="1"/>
  <c r="U2403" i="1"/>
  <c r="V2403" i="1"/>
  <c r="R2404" i="1"/>
  <c r="U2404" i="1"/>
  <c r="V2404" i="1"/>
  <c r="R2405" i="1"/>
  <c r="U2405" i="1"/>
  <c r="V2405" i="1"/>
  <c r="R2406" i="1"/>
  <c r="U2406" i="1"/>
  <c r="V2406" i="1"/>
  <c r="R2407" i="1"/>
  <c r="U2407" i="1"/>
  <c r="V2407" i="1"/>
  <c r="R2408" i="1"/>
  <c r="U2408" i="1"/>
  <c r="V2408" i="1"/>
  <c r="R2409" i="1"/>
  <c r="U2409" i="1"/>
  <c r="V2409" i="1"/>
  <c r="R2410" i="1"/>
  <c r="U2410" i="1"/>
  <c r="V2410" i="1"/>
  <c r="R2411" i="1"/>
  <c r="U2411" i="1"/>
  <c r="V2411" i="1"/>
  <c r="R2412" i="1"/>
  <c r="U2412" i="1"/>
  <c r="V2412" i="1"/>
  <c r="R2413" i="1"/>
  <c r="U2413" i="1"/>
  <c r="V2413" i="1"/>
  <c r="R2414" i="1"/>
  <c r="U2414" i="1"/>
  <c r="V2414" i="1"/>
  <c r="R2415" i="1"/>
  <c r="U2415" i="1"/>
  <c r="V2415" i="1"/>
  <c r="R2416" i="1"/>
  <c r="U2416" i="1"/>
  <c r="V2416" i="1"/>
  <c r="R2417" i="1"/>
  <c r="U2417" i="1"/>
  <c r="V2417" i="1"/>
  <c r="R2418" i="1"/>
  <c r="U2418" i="1"/>
  <c r="V2418" i="1"/>
  <c r="R2419" i="1"/>
  <c r="U2419" i="1"/>
  <c r="V2419" i="1"/>
  <c r="R2420" i="1"/>
  <c r="U2420" i="1"/>
  <c r="V2420" i="1"/>
  <c r="R2421" i="1"/>
  <c r="U2421" i="1"/>
  <c r="V2421" i="1"/>
  <c r="R2422" i="1"/>
  <c r="U2422" i="1"/>
  <c r="V2422" i="1"/>
  <c r="R2423" i="1"/>
  <c r="U2423" i="1"/>
  <c r="V2423" i="1"/>
  <c r="R2424" i="1"/>
  <c r="U2424" i="1"/>
  <c r="V2424" i="1"/>
  <c r="R2425" i="1"/>
  <c r="U2425" i="1"/>
  <c r="V2425" i="1"/>
  <c r="R2426" i="1"/>
  <c r="U2426" i="1"/>
  <c r="V2426" i="1"/>
  <c r="R2427" i="1"/>
  <c r="U2427" i="1"/>
  <c r="V2427" i="1"/>
  <c r="R2428" i="1"/>
  <c r="U2428" i="1"/>
  <c r="V2428" i="1"/>
  <c r="R2429" i="1"/>
  <c r="U2429" i="1"/>
  <c r="V2429" i="1"/>
  <c r="R2430" i="1"/>
  <c r="U2430" i="1"/>
  <c r="V2430" i="1"/>
  <c r="R2431" i="1"/>
  <c r="U2431" i="1"/>
  <c r="V2431" i="1"/>
  <c r="R2432" i="1"/>
  <c r="U2432" i="1"/>
  <c r="V2432" i="1"/>
  <c r="R2433" i="1"/>
  <c r="U2433" i="1"/>
  <c r="V2433" i="1"/>
  <c r="R2434" i="1"/>
  <c r="U2434" i="1"/>
  <c r="V2434" i="1"/>
  <c r="R2435" i="1"/>
  <c r="U2435" i="1"/>
  <c r="V2435" i="1"/>
  <c r="R2436" i="1"/>
  <c r="U2436" i="1"/>
  <c r="V2436" i="1"/>
  <c r="R2437" i="1"/>
  <c r="U2437" i="1"/>
  <c r="V2437" i="1"/>
  <c r="R2438" i="1"/>
  <c r="U2438" i="1"/>
  <c r="V2438" i="1"/>
  <c r="R2439" i="1"/>
  <c r="U2439" i="1"/>
  <c r="V2439" i="1"/>
  <c r="R2440" i="1"/>
  <c r="U2440" i="1"/>
  <c r="V2440" i="1"/>
  <c r="R2441" i="1"/>
  <c r="U2441" i="1"/>
  <c r="V2441" i="1"/>
  <c r="R2442" i="1"/>
  <c r="U2442" i="1"/>
  <c r="V2442" i="1"/>
  <c r="R2443" i="1"/>
  <c r="U2443" i="1"/>
  <c r="V2443" i="1"/>
  <c r="R2444" i="1"/>
  <c r="U2444" i="1"/>
  <c r="V2444" i="1"/>
  <c r="R2445" i="1"/>
  <c r="U2445" i="1"/>
  <c r="V2445" i="1"/>
  <c r="R2446" i="1"/>
  <c r="U2446" i="1"/>
  <c r="V2446" i="1"/>
  <c r="R2447" i="1"/>
  <c r="U2447" i="1"/>
  <c r="V2447" i="1"/>
  <c r="R2448" i="1"/>
  <c r="U2448" i="1"/>
  <c r="V2448" i="1"/>
  <c r="R2449" i="1"/>
  <c r="U2449" i="1"/>
  <c r="V2449" i="1"/>
  <c r="R2450" i="1"/>
  <c r="U2450" i="1"/>
  <c r="V2450" i="1"/>
  <c r="R2451" i="1"/>
  <c r="U2451" i="1"/>
  <c r="V2451" i="1"/>
  <c r="R2452" i="1"/>
  <c r="U2452" i="1"/>
  <c r="V2452" i="1"/>
  <c r="R2453" i="1"/>
  <c r="U2453" i="1"/>
  <c r="V2453" i="1"/>
  <c r="R2454" i="1"/>
  <c r="U2454" i="1"/>
  <c r="V2454" i="1"/>
  <c r="R2455" i="1"/>
  <c r="U2455" i="1"/>
  <c r="V2455" i="1"/>
  <c r="R2456" i="1"/>
  <c r="U2456" i="1"/>
  <c r="V2456" i="1"/>
  <c r="R2457" i="1"/>
  <c r="U2457" i="1"/>
  <c r="V2457" i="1"/>
  <c r="R2458" i="1"/>
  <c r="U2458" i="1"/>
  <c r="V2458" i="1"/>
  <c r="R2459" i="1"/>
  <c r="U2459" i="1"/>
  <c r="V2459" i="1"/>
  <c r="R2460" i="1"/>
  <c r="U2460" i="1"/>
  <c r="V2460" i="1"/>
  <c r="R2461" i="1"/>
  <c r="U2461" i="1"/>
  <c r="V2461" i="1"/>
  <c r="R2462" i="1"/>
  <c r="U2462" i="1"/>
  <c r="V2462" i="1"/>
  <c r="R2463" i="1"/>
  <c r="U2463" i="1"/>
  <c r="V2463" i="1"/>
  <c r="R2464" i="1"/>
  <c r="U2464" i="1"/>
  <c r="V2464" i="1"/>
  <c r="R2465" i="1"/>
  <c r="U2465" i="1"/>
  <c r="V2465" i="1"/>
  <c r="R2466" i="1"/>
  <c r="U2466" i="1"/>
  <c r="V2466" i="1"/>
  <c r="R2467" i="1"/>
  <c r="U2467" i="1"/>
  <c r="V2467" i="1"/>
  <c r="R2468" i="1"/>
  <c r="U2468" i="1"/>
  <c r="V2468" i="1"/>
  <c r="R2469" i="1"/>
  <c r="U2469" i="1"/>
  <c r="V2469" i="1"/>
  <c r="R2470" i="1"/>
  <c r="U2470" i="1"/>
  <c r="V2470" i="1"/>
  <c r="R2471" i="1"/>
  <c r="U2471" i="1"/>
  <c r="V2471" i="1"/>
  <c r="R2472" i="1"/>
  <c r="U2472" i="1"/>
  <c r="V2472" i="1"/>
  <c r="R2473" i="1"/>
  <c r="U2473" i="1"/>
  <c r="V2473" i="1"/>
  <c r="R2474" i="1"/>
  <c r="U2474" i="1"/>
  <c r="V2474" i="1"/>
  <c r="R2475" i="1"/>
  <c r="U2475" i="1"/>
  <c r="V2475" i="1"/>
  <c r="R2476" i="1"/>
  <c r="U2476" i="1"/>
  <c r="V2476" i="1"/>
  <c r="R2477" i="1"/>
  <c r="U2477" i="1"/>
  <c r="V2477" i="1"/>
  <c r="R2478" i="1"/>
  <c r="U2478" i="1"/>
  <c r="V2478" i="1"/>
  <c r="R2479" i="1"/>
  <c r="U2479" i="1"/>
  <c r="V2479" i="1"/>
  <c r="R2480" i="1"/>
  <c r="U2480" i="1"/>
  <c r="V2480" i="1"/>
  <c r="R2481" i="1"/>
  <c r="U2481" i="1"/>
  <c r="V2481" i="1"/>
  <c r="R2482" i="1"/>
  <c r="U2482" i="1"/>
  <c r="V2482" i="1"/>
  <c r="R2483" i="1"/>
  <c r="U2483" i="1"/>
  <c r="V2483" i="1"/>
  <c r="R2484" i="1"/>
  <c r="U2484" i="1"/>
  <c r="V2484" i="1"/>
  <c r="R2485" i="1"/>
  <c r="U2485" i="1"/>
  <c r="V2485" i="1"/>
  <c r="R2486" i="1"/>
  <c r="U2486" i="1"/>
  <c r="V2486" i="1"/>
  <c r="R2487" i="1"/>
  <c r="U2487" i="1"/>
  <c r="V2487" i="1"/>
  <c r="R2488" i="1"/>
  <c r="U2488" i="1"/>
  <c r="V2488" i="1"/>
  <c r="R2489" i="1"/>
  <c r="U2489" i="1"/>
  <c r="V2489" i="1"/>
  <c r="R2490" i="1"/>
  <c r="U2490" i="1"/>
  <c r="V2490" i="1"/>
  <c r="R2491" i="1"/>
  <c r="U2491" i="1"/>
  <c r="V2491" i="1"/>
  <c r="R2492" i="1"/>
  <c r="U2492" i="1"/>
  <c r="V2492" i="1"/>
  <c r="R2493" i="1"/>
  <c r="U2493" i="1"/>
  <c r="V2493" i="1"/>
  <c r="R2494" i="1"/>
  <c r="U2494" i="1"/>
  <c r="V2494" i="1"/>
  <c r="R2495" i="1"/>
  <c r="U2495" i="1"/>
  <c r="V2495" i="1"/>
  <c r="R2496" i="1"/>
  <c r="U2496" i="1"/>
  <c r="V2496" i="1"/>
  <c r="R2497" i="1"/>
  <c r="U2497" i="1"/>
  <c r="V2497" i="1"/>
  <c r="R2498" i="1"/>
  <c r="U2498" i="1"/>
  <c r="V2498" i="1"/>
  <c r="R2499" i="1"/>
  <c r="U2499" i="1"/>
  <c r="V2499" i="1"/>
  <c r="R2500" i="1"/>
  <c r="U2500" i="1"/>
  <c r="V2500" i="1"/>
  <c r="R2501" i="1"/>
  <c r="U2501" i="1"/>
  <c r="V2501" i="1"/>
  <c r="R2502" i="1"/>
  <c r="U2502" i="1"/>
  <c r="V2502" i="1"/>
  <c r="R2503" i="1"/>
  <c r="U2503" i="1"/>
  <c r="V2503" i="1"/>
  <c r="R2504" i="1"/>
  <c r="U2504" i="1"/>
  <c r="V2504" i="1"/>
  <c r="R2505" i="1"/>
  <c r="U2505" i="1"/>
  <c r="V2505" i="1"/>
  <c r="R2506" i="1"/>
  <c r="U2506" i="1"/>
  <c r="V2506" i="1"/>
  <c r="R2507" i="1"/>
  <c r="U2507" i="1"/>
  <c r="V2507" i="1"/>
  <c r="R2508" i="1"/>
  <c r="U2508" i="1"/>
  <c r="V2508" i="1"/>
  <c r="R2509" i="1"/>
  <c r="U2509" i="1"/>
  <c r="V2509" i="1"/>
  <c r="R2510" i="1"/>
  <c r="U2510" i="1"/>
  <c r="V2510" i="1"/>
  <c r="R2511" i="1"/>
  <c r="U2511" i="1"/>
  <c r="V2511" i="1"/>
  <c r="R2512" i="1"/>
  <c r="U2512" i="1"/>
  <c r="V2512" i="1"/>
  <c r="R2513" i="1"/>
  <c r="U2513" i="1"/>
  <c r="V2513" i="1"/>
  <c r="R2514" i="1"/>
  <c r="U2514" i="1"/>
  <c r="V2514" i="1"/>
  <c r="R2515" i="1"/>
  <c r="U2515" i="1"/>
  <c r="V2515" i="1"/>
  <c r="R2516" i="1"/>
  <c r="U2516" i="1"/>
  <c r="V2516" i="1"/>
  <c r="R2517" i="1"/>
  <c r="U2517" i="1"/>
  <c r="V2517" i="1"/>
  <c r="R2518" i="1"/>
  <c r="U2518" i="1"/>
  <c r="V2518" i="1"/>
  <c r="R2519" i="1"/>
  <c r="U2519" i="1"/>
  <c r="V2519" i="1"/>
  <c r="R2520" i="1"/>
  <c r="U2520" i="1"/>
  <c r="V2520" i="1"/>
  <c r="R2521" i="1"/>
  <c r="U2521" i="1"/>
  <c r="V2521" i="1"/>
  <c r="R2522" i="1"/>
  <c r="U2522" i="1"/>
  <c r="V2522" i="1"/>
  <c r="R2523" i="1"/>
  <c r="U2523" i="1"/>
  <c r="V2523" i="1"/>
  <c r="R2524" i="1"/>
  <c r="U2524" i="1"/>
  <c r="V2524" i="1"/>
  <c r="R2525" i="1"/>
  <c r="U2525" i="1"/>
  <c r="V2525" i="1"/>
  <c r="R2526" i="1"/>
  <c r="U2526" i="1"/>
  <c r="V2526" i="1"/>
  <c r="R2527" i="1"/>
  <c r="U2527" i="1"/>
  <c r="V2527" i="1"/>
  <c r="R2528" i="1"/>
  <c r="U2528" i="1"/>
  <c r="V2528" i="1"/>
  <c r="R2529" i="1"/>
  <c r="U2529" i="1"/>
  <c r="V2529" i="1"/>
  <c r="R2530" i="1"/>
  <c r="U2530" i="1"/>
  <c r="V2530" i="1"/>
  <c r="R2531" i="1"/>
  <c r="U2531" i="1"/>
  <c r="V2531" i="1"/>
  <c r="R2532" i="1"/>
  <c r="U2532" i="1"/>
  <c r="V2532" i="1"/>
  <c r="R2533" i="1"/>
  <c r="U2533" i="1"/>
  <c r="V2533" i="1"/>
  <c r="R2534" i="1"/>
  <c r="U2534" i="1"/>
  <c r="V2534" i="1"/>
  <c r="R2535" i="1"/>
  <c r="U2535" i="1"/>
  <c r="V2535" i="1"/>
  <c r="R2536" i="1"/>
  <c r="U2536" i="1"/>
  <c r="V2536" i="1"/>
  <c r="R2537" i="1"/>
  <c r="U2537" i="1"/>
  <c r="V2537" i="1"/>
  <c r="R2538" i="1"/>
  <c r="U2538" i="1"/>
  <c r="V2538" i="1"/>
  <c r="R2539" i="1"/>
  <c r="U2539" i="1"/>
  <c r="V2539" i="1"/>
  <c r="R2540" i="1"/>
  <c r="U2540" i="1"/>
  <c r="V2540" i="1"/>
  <c r="R2541" i="1"/>
  <c r="U2541" i="1"/>
  <c r="V2541" i="1"/>
  <c r="R2542" i="1"/>
  <c r="U2542" i="1"/>
  <c r="V2542" i="1"/>
  <c r="R2543" i="1"/>
  <c r="U2543" i="1"/>
  <c r="V2543" i="1"/>
  <c r="R2544" i="1"/>
  <c r="U2544" i="1"/>
  <c r="V2544" i="1"/>
  <c r="R2545" i="1"/>
  <c r="U2545" i="1"/>
  <c r="V2545" i="1"/>
  <c r="R2546" i="1"/>
  <c r="U2546" i="1"/>
  <c r="V2546" i="1"/>
  <c r="R2547" i="1"/>
  <c r="U2547" i="1"/>
  <c r="V2547" i="1"/>
  <c r="R2548" i="1"/>
  <c r="U2548" i="1"/>
  <c r="V2548" i="1"/>
  <c r="R2549" i="1"/>
  <c r="U2549" i="1"/>
  <c r="V2549" i="1"/>
  <c r="R2550" i="1"/>
  <c r="U2550" i="1"/>
  <c r="V2550" i="1"/>
  <c r="R2551" i="1"/>
  <c r="U2551" i="1"/>
  <c r="V2551" i="1"/>
  <c r="R2552" i="1"/>
  <c r="U2552" i="1"/>
  <c r="V2552" i="1"/>
  <c r="R2553" i="1"/>
  <c r="U2553" i="1"/>
  <c r="V2553" i="1"/>
  <c r="R2554" i="1"/>
  <c r="U2554" i="1"/>
  <c r="V2554" i="1"/>
  <c r="R2555" i="1"/>
  <c r="U2555" i="1"/>
  <c r="V2555" i="1"/>
  <c r="R2556" i="1"/>
  <c r="U2556" i="1"/>
  <c r="V2556" i="1"/>
  <c r="R2557" i="1"/>
  <c r="U2557" i="1"/>
  <c r="V2557" i="1"/>
  <c r="R2558" i="1"/>
  <c r="U2558" i="1"/>
  <c r="V2558" i="1"/>
  <c r="R2559" i="1"/>
  <c r="U2559" i="1"/>
  <c r="V2559" i="1"/>
  <c r="R2560" i="1"/>
  <c r="U2560" i="1"/>
  <c r="V2560" i="1"/>
  <c r="R2561" i="1"/>
  <c r="U2561" i="1"/>
  <c r="V2561" i="1"/>
  <c r="R2562" i="1"/>
  <c r="U2562" i="1"/>
  <c r="V2562" i="1"/>
  <c r="R2563" i="1"/>
  <c r="U2563" i="1"/>
  <c r="V2563" i="1"/>
  <c r="R2564" i="1"/>
  <c r="U2564" i="1"/>
  <c r="V2564" i="1"/>
  <c r="R2565" i="1"/>
  <c r="U2565" i="1"/>
  <c r="V2565" i="1"/>
  <c r="R2566" i="1"/>
  <c r="U2566" i="1"/>
  <c r="V2566" i="1"/>
  <c r="R2567" i="1"/>
  <c r="U2567" i="1"/>
  <c r="V2567" i="1"/>
  <c r="R2568" i="1"/>
  <c r="U2568" i="1"/>
  <c r="V2568" i="1"/>
  <c r="R2569" i="1"/>
  <c r="U2569" i="1"/>
  <c r="V2569" i="1"/>
  <c r="R2570" i="1"/>
  <c r="U2570" i="1"/>
  <c r="V2570" i="1"/>
  <c r="R2571" i="1"/>
  <c r="U2571" i="1"/>
  <c r="V2571" i="1"/>
  <c r="R2572" i="1"/>
  <c r="U2572" i="1"/>
  <c r="V2572" i="1"/>
  <c r="R2573" i="1"/>
  <c r="U2573" i="1"/>
  <c r="V2573" i="1"/>
  <c r="R2574" i="1"/>
  <c r="U2574" i="1"/>
  <c r="V2574" i="1"/>
  <c r="R2575" i="1"/>
  <c r="U2575" i="1"/>
  <c r="V2575" i="1"/>
  <c r="R2576" i="1"/>
  <c r="U2576" i="1"/>
  <c r="V2576" i="1"/>
  <c r="R2577" i="1"/>
  <c r="U2577" i="1"/>
  <c r="V2577" i="1"/>
  <c r="R2578" i="1"/>
  <c r="U2578" i="1"/>
  <c r="V2578" i="1"/>
  <c r="R2579" i="1"/>
  <c r="U2579" i="1"/>
  <c r="V2579" i="1"/>
  <c r="R2580" i="1"/>
  <c r="U2580" i="1"/>
  <c r="V2580" i="1"/>
  <c r="R2581" i="1"/>
  <c r="U2581" i="1"/>
  <c r="V2581" i="1"/>
  <c r="R2582" i="1"/>
  <c r="U2582" i="1"/>
  <c r="V2582" i="1"/>
  <c r="R2583" i="1"/>
  <c r="U2583" i="1"/>
  <c r="V2583" i="1"/>
  <c r="R2584" i="1"/>
  <c r="U2584" i="1"/>
  <c r="V2584" i="1"/>
  <c r="R2585" i="1"/>
  <c r="U2585" i="1"/>
  <c r="V2585" i="1"/>
  <c r="R2586" i="1"/>
  <c r="U2586" i="1"/>
  <c r="V2586" i="1"/>
  <c r="R2587" i="1"/>
  <c r="U2587" i="1"/>
  <c r="V2587" i="1"/>
  <c r="R2588" i="1"/>
  <c r="U2588" i="1"/>
  <c r="V2588" i="1"/>
  <c r="R2589" i="1"/>
  <c r="U2589" i="1"/>
  <c r="V2589" i="1"/>
  <c r="R2590" i="1"/>
  <c r="U2590" i="1"/>
  <c r="V2590" i="1"/>
  <c r="R2591" i="1"/>
  <c r="U2591" i="1"/>
  <c r="V2591" i="1"/>
  <c r="R2592" i="1"/>
  <c r="U2592" i="1"/>
  <c r="V2592" i="1"/>
  <c r="R2593" i="1"/>
  <c r="U2593" i="1"/>
  <c r="V2593" i="1"/>
  <c r="R2594" i="1"/>
  <c r="U2594" i="1"/>
  <c r="V2594" i="1"/>
  <c r="R2595" i="1"/>
  <c r="U2595" i="1"/>
  <c r="V2595" i="1"/>
  <c r="R2596" i="1"/>
  <c r="U2596" i="1"/>
  <c r="V2596" i="1"/>
  <c r="R2597" i="1"/>
  <c r="U2597" i="1"/>
  <c r="V2597" i="1"/>
  <c r="R2598" i="1"/>
  <c r="U2598" i="1"/>
  <c r="V2598" i="1"/>
  <c r="R2599" i="1"/>
  <c r="U2599" i="1"/>
  <c r="V2599" i="1"/>
  <c r="R2600" i="1"/>
  <c r="U2600" i="1"/>
  <c r="V2600" i="1"/>
  <c r="R2601" i="1"/>
  <c r="U2601" i="1"/>
  <c r="V2601" i="1"/>
  <c r="R2602" i="1"/>
  <c r="U2602" i="1"/>
  <c r="V2602" i="1"/>
  <c r="R2603" i="1"/>
  <c r="U2603" i="1"/>
  <c r="V2603" i="1"/>
  <c r="R2604" i="1"/>
  <c r="U2604" i="1"/>
  <c r="V2604" i="1"/>
  <c r="R2605" i="1"/>
  <c r="U2605" i="1"/>
  <c r="V2605" i="1"/>
  <c r="R2606" i="1"/>
  <c r="U2606" i="1"/>
  <c r="V2606" i="1"/>
  <c r="R2607" i="1"/>
  <c r="U2607" i="1"/>
  <c r="V2607" i="1"/>
  <c r="R2608" i="1"/>
  <c r="U2608" i="1"/>
  <c r="V2608" i="1"/>
  <c r="R2609" i="1"/>
  <c r="U2609" i="1"/>
  <c r="V2609" i="1"/>
  <c r="R2610" i="1"/>
  <c r="U2610" i="1"/>
  <c r="V2610" i="1"/>
  <c r="R2611" i="1"/>
  <c r="U2611" i="1"/>
  <c r="V2611" i="1"/>
  <c r="R2612" i="1"/>
  <c r="U2612" i="1"/>
  <c r="V2612" i="1"/>
  <c r="R2613" i="1"/>
  <c r="U2613" i="1"/>
  <c r="V2613" i="1"/>
  <c r="R2614" i="1"/>
  <c r="U2614" i="1"/>
  <c r="V2614" i="1"/>
  <c r="R2615" i="1"/>
  <c r="U2615" i="1"/>
  <c r="V2615" i="1"/>
  <c r="R2616" i="1"/>
  <c r="U2616" i="1"/>
  <c r="V2616" i="1"/>
  <c r="R2617" i="1"/>
  <c r="U2617" i="1"/>
  <c r="V2617" i="1"/>
  <c r="R2618" i="1"/>
  <c r="U2618" i="1"/>
  <c r="V2618" i="1"/>
  <c r="R2619" i="1"/>
  <c r="U2619" i="1"/>
  <c r="V2619" i="1"/>
  <c r="R2620" i="1"/>
  <c r="U2620" i="1"/>
  <c r="V2620" i="1"/>
  <c r="R2621" i="1"/>
  <c r="U2621" i="1"/>
  <c r="V2621" i="1"/>
  <c r="R2622" i="1"/>
  <c r="U2622" i="1"/>
  <c r="V2622" i="1"/>
  <c r="R2623" i="1"/>
  <c r="U2623" i="1"/>
  <c r="V2623" i="1"/>
  <c r="R2624" i="1"/>
  <c r="U2624" i="1"/>
  <c r="V2624" i="1"/>
  <c r="R2625" i="1"/>
  <c r="U2625" i="1"/>
  <c r="V2625" i="1"/>
  <c r="R2626" i="1"/>
  <c r="U2626" i="1"/>
  <c r="V2626" i="1"/>
  <c r="R2627" i="1"/>
  <c r="U2627" i="1"/>
  <c r="V2627" i="1"/>
  <c r="R2628" i="1"/>
  <c r="U2628" i="1"/>
  <c r="V2628" i="1"/>
  <c r="R2629" i="1"/>
  <c r="U2629" i="1"/>
  <c r="V2629" i="1"/>
  <c r="R2630" i="1"/>
  <c r="U2630" i="1"/>
  <c r="V2630" i="1"/>
  <c r="R2631" i="1"/>
  <c r="U2631" i="1"/>
  <c r="V2631" i="1"/>
  <c r="R2632" i="1"/>
  <c r="U2632" i="1"/>
  <c r="V2632" i="1"/>
  <c r="R2633" i="1"/>
  <c r="U2633" i="1"/>
  <c r="V2633" i="1"/>
  <c r="R2634" i="1"/>
  <c r="U2634" i="1"/>
  <c r="V2634" i="1"/>
  <c r="R2635" i="1"/>
  <c r="U2635" i="1"/>
  <c r="V2635" i="1"/>
  <c r="R2636" i="1"/>
  <c r="U2636" i="1"/>
  <c r="V2636" i="1"/>
  <c r="R2637" i="1"/>
  <c r="U2637" i="1"/>
  <c r="V2637" i="1"/>
  <c r="R2638" i="1"/>
  <c r="U2638" i="1"/>
  <c r="V2638" i="1"/>
  <c r="R2639" i="1"/>
  <c r="U2639" i="1"/>
  <c r="V2639" i="1"/>
  <c r="R2640" i="1"/>
  <c r="U2640" i="1"/>
  <c r="V2640" i="1"/>
  <c r="R2641" i="1"/>
  <c r="U2641" i="1"/>
  <c r="V2641" i="1"/>
  <c r="R2642" i="1"/>
  <c r="U2642" i="1"/>
  <c r="V2642" i="1"/>
  <c r="R2643" i="1"/>
  <c r="U2643" i="1"/>
  <c r="V2643" i="1"/>
  <c r="R2644" i="1"/>
  <c r="U2644" i="1"/>
  <c r="V2644" i="1"/>
  <c r="R2645" i="1"/>
  <c r="U2645" i="1"/>
  <c r="V2645" i="1"/>
  <c r="R2646" i="1"/>
  <c r="U2646" i="1"/>
  <c r="V2646" i="1"/>
  <c r="R2647" i="1"/>
  <c r="U2647" i="1"/>
  <c r="V2647" i="1"/>
  <c r="R2648" i="1"/>
  <c r="U2648" i="1"/>
  <c r="V2648" i="1"/>
  <c r="R2649" i="1"/>
  <c r="U2649" i="1"/>
  <c r="V2649" i="1"/>
  <c r="R2650" i="1"/>
  <c r="U2650" i="1"/>
  <c r="V2650" i="1"/>
  <c r="R2651" i="1"/>
  <c r="U2651" i="1"/>
  <c r="V2651" i="1"/>
  <c r="R2652" i="1"/>
  <c r="U2652" i="1"/>
  <c r="V2652" i="1"/>
  <c r="R2653" i="1"/>
  <c r="U2653" i="1"/>
  <c r="V2653" i="1"/>
  <c r="R2654" i="1"/>
  <c r="U2654" i="1"/>
  <c r="V2654" i="1"/>
  <c r="R2655" i="1"/>
  <c r="U2655" i="1"/>
  <c r="V2655" i="1"/>
  <c r="R2656" i="1"/>
  <c r="U2656" i="1"/>
  <c r="V2656" i="1"/>
  <c r="R2657" i="1"/>
  <c r="U2657" i="1"/>
  <c r="V2657" i="1"/>
  <c r="R2658" i="1"/>
  <c r="U2658" i="1"/>
  <c r="V2658" i="1"/>
  <c r="R2659" i="1"/>
  <c r="U2659" i="1"/>
  <c r="V2659" i="1"/>
  <c r="R2660" i="1"/>
  <c r="U2660" i="1"/>
  <c r="V2660" i="1"/>
  <c r="R2661" i="1"/>
  <c r="U2661" i="1"/>
  <c r="V2661" i="1"/>
  <c r="R2662" i="1"/>
  <c r="U2662" i="1"/>
  <c r="V2662" i="1"/>
  <c r="R2663" i="1"/>
  <c r="U2663" i="1"/>
  <c r="V2663" i="1"/>
  <c r="R2664" i="1"/>
  <c r="U2664" i="1"/>
  <c r="V2664" i="1"/>
  <c r="R2665" i="1"/>
  <c r="U2665" i="1"/>
  <c r="V2665" i="1"/>
  <c r="R2666" i="1"/>
  <c r="U2666" i="1"/>
  <c r="V2666" i="1"/>
  <c r="R2667" i="1"/>
  <c r="U2667" i="1"/>
  <c r="V2667" i="1"/>
  <c r="R2668" i="1"/>
  <c r="U2668" i="1"/>
  <c r="V2668" i="1"/>
  <c r="R2669" i="1"/>
  <c r="U2669" i="1"/>
  <c r="V2669" i="1"/>
  <c r="R2670" i="1"/>
  <c r="U2670" i="1"/>
  <c r="V2670" i="1"/>
  <c r="R2671" i="1"/>
  <c r="U2671" i="1"/>
  <c r="V2671" i="1"/>
  <c r="R2672" i="1"/>
  <c r="U2672" i="1"/>
  <c r="V2672" i="1"/>
  <c r="R2673" i="1"/>
  <c r="U2673" i="1"/>
  <c r="V2673" i="1"/>
  <c r="R2674" i="1"/>
  <c r="U2674" i="1"/>
  <c r="V2674" i="1"/>
  <c r="R2675" i="1"/>
  <c r="U2675" i="1"/>
  <c r="V2675" i="1"/>
  <c r="R2676" i="1"/>
  <c r="U2676" i="1"/>
  <c r="V2676" i="1"/>
  <c r="R2677" i="1"/>
  <c r="U2677" i="1"/>
  <c r="V2677" i="1"/>
  <c r="R2678" i="1"/>
  <c r="U2678" i="1"/>
  <c r="V2678" i="1"/>
  <c r="R2679" i="1"/>
  <c r="U2679" i="1"/>
  <c r="V2679" i="1"/>
  <c r="R2680" i="1"/>
  <c r="U2680" i="1"/>
  <c r="V2680" i="1"/>
  <c r="R2681" i="1"/>
  <c r="U2681" i="1"/>
  <c r="V2681" i="1"/>
  <c r="R2682" i="1"/>
  <c r="U2682" i="1"/>
  <c r="V2682" i="1"/>
  <c r="R2683" i="1"/>
  <c r="U2683" i="1"/>
  <c r="V2683" i="1"/>
  <c r="R2684" i="1"/>
  <c r="U2684" i="1"/>
  <c r="V2684" i="1"/>
  <c r="R2685" i="1"/>
  <c r="U2685" i="1"/>
  <c r="V2685" i="1"/>
  <c r="R2686" i="1"/>
  <c r="U2686" i="1"/>
  <c r="V2686" i="1"/>
  <c r="R2687" i="1"/>
  <c r="U2687" i="1"/>
  <c r="V2687" i="1"/>
  <c r="R2688" i="1"/>
  <c r="U2688" i="1"/>
  <c r="V2688" i="1"/>
  <c r="R2689" i="1"/>
  <c r="U2689" i="1"/>
  <c r="V2689" i="1"/>
  <c r="R2690" i="1"/>
  <c r="U2690" i="1"/>
  <c r="V2690" i="1"/>
  <c r="R2691" i="1"/>
  <c r="U2691" i="1"/>
  <c r="V2691" i="1"/>
  <c r="R2692" i="1"/>
  <c r="U2692" i="1"/>
  <c r="V2692" i="1"/>
  <c r="R2693" i="1"/>
  <c r="U2693" i="1"/>
  <c r="V2693" i="1"/>
  <c r="R2694" i="1"/>
  <c r="U2694" i="1"/>
  <c r="V2694" i="1"/>
  <c r="R2695" i="1"/>
  <c r="U2695" i="1"/>
  <c r="V2695" i="1"/>
  <c r="R2696" i="1"/>
  <c r="U2696" i="1"/>
  <c r="V2696" i="1"/>
  <c r="R2697" i="1"/>
  <c r="U2697" i="1"/>
  <c r="V2697" i="1"/>
  <c r="R2698" i="1"/>
  <c r="U2698" i="1"/>
  <c r="V2698" i="1"/>
  <c r="R2699" i="1"/>
  <c r="U2699" i="1"/>
  <c r="V2699" i="1"/>
  <c r="R2700" i="1"/>
  <c r="U2700" i="1"/>
  <c r="V2700" i="1"/>
  <c r="R2701" i="1"/>
  <c r="U2701" i="1"/>
  <c r="V2701" i="1"/>
  <c r="R2702" i="1"/>
  <c r="U2702" i="1"/>
  <c r="V2702" i="1"/>
  <c r="R2703" i="1"/>
  <c r="U2703" i="1"/>
  <c r="V2703" i="1"/>
  <c r="R2704" i="1"/>
  <c r="U2704" i="1"/>
  <c r="V2704" i="1"/>
  <c r="R2705" i="1"/>
  <c r="U2705" i="1"/>
  <c r="V2705" i="1"/>
  <c r="R2706" i="1"/>
  <c r="U2706" i="1"/>
  <c r="V2706" i="1"/>
  <c r="R2707" i="1"/>
  <c r="U2707" i="1"/>
  <c r="V2707" i="1"/>
  <c r="R2708" i="1"/>
  <c r="U2708" i="1"/>
  <c r="V2708" i="1"/>
  <c r="R2709" i="1"/>
  <c r="U2709" i="1"/>
  <c r="V2709" i="1"/>
  <c r="R2710" i="1"/>
  <c r="U2710" i="1"/>
  <c r="V2710" i="1"/>
  <c r="R2711" i="1"/>
  <c r="U2711" i="1"/>
  <c r="V2711" i="1"/>
  <c r="R2712" i="1"/>
  <c r="U2712" i="1"/>
  <c r="V2712" i="1"/>
  <c r="R2713" i="1"/>
  <c r="U2713" i="1"/>
  <c r="V2713" i="1"/>
  <c r="R2714" i="1"/>
  <c r="U2714" i="1"/>
  <c r="V2714" i="1"/>
  <c r="R2715" i="1"/>
  <c r="U2715" i="1"/>
  <c r="V2715" i="1"/>
  <c r="R2716" i="1"/>
  <c r="U2716" i="1"/>
  <c r="V2716" i="1"/>
  <c r="R2717" i="1"/>
  <c r="U2717" i="1"/>
  <c r="V2717" i="1"/>
  <c r="R2718" i="1"/>
  <c r="U2718" i="1"/>
  <c r="V2718" i="1"/>
  <c r="R2719" i="1"/>
  <c r="U2719" i="1"/>
  <c r="V2719" i="1"/>
  <c r="R2720" i="1"/>
  <c r="U2720" i="1"/>
  <c r="V2720" i="1"/>
  <c r="R2721" i="1"/>
  <c r="U2721" i="1"/>
  <c r="V2721" i="1"/>
  <c r="R2722" i="1"/>
  <c r="U2722" i="1"/>
  <c r="V2722" i="1"/>
  <c r="R2723" i="1"/>
  <c r="U2723" i="1"/>
  <c r="V2723" i="1"/>
  <c r="R2724" i="1"/>
  <c r="U2724" i="1"/>
  <c r="V2724" i="1"/>
  <c r="R2725" i="1"/>
  <c r="U2725" i="1"/>
  <c r="V2725" i="1"/>
  <c r="R2726" i="1"/>
  <c r="U2726" i="1"/>
  <c r="V2726" i="1"/>
  <c r="R2727" i="1"/>
  <c r="U2727" i="1"/>
  <c r="V2727" i="1"/>
  <c r="R2728" i="1"/>
  <c r="U2728" i="1"/>
  <c r="V2728" i="1"/>
  <c r="R2729" i="1"/>
  <c r="U2729" i="1"/>
  <c r="V2729" i="1"/>
  <c r="R2730" i="1"/>
  <c r="U2730" i="1"/>
  <c r="V2730" i="1"/>
  <c r="R2731" i="1"/>
  <c r="U2731" i="1"/>
  <c r="V2731" i="1"/>
  <c r="R2732" i="1"/>
  <c r="U2732" i="1"/>
  <c r="V2732" i="1"/>
  <c r="R2733" i="1"/>
  <c r="U2733" i="1"/>
  <c r="V2733" i="1"/>
  <c r="R2734" i="1"/>
  <c r="U2734" i="1"/>
  <c r="V2734" i="1"/>
  <c r="R2735" i="1"/>
  <c r="U2735" i="1"/>
  <c r="V2735" i="1"/>
  <c r="R2736" i="1"/>
  <c r="U2736" i="1"/>
  <c r="V2736" i="1"/>
  <c r="R2737" i="1"/>
  <c r="U2737" i="1"/>
  <c r="V2737" i="1"/>
  <c r="R2738" i="1"/>
  <c r="U2738" i="1"/>
  <c r="V2738" i="1"/>
  <c r="R2739" i="1"/>
  <c r="U2739" i="1"/>
  <c r="V2739" i="1"/>
  <c r="R2740" i="1"/>
  <c r="U2740" i="1"/>
  <c r="V2740" i="1"/>
  <c r="R2741" i="1"/>
  <c r="U2741" i="1"/>
  <c r="V2741" i="1"/>
  <c r="R2742" i="1"/>
  <c r="U2742" i="1"/>
  <c r="V2742" i="1"/>
  <c r="R2743" i="1"/>
  <c r="U2743" i="1"/>
  <c r="V2743" i="1"/>
  <c r="R2744" i="1"/>
  <c r="U2744" i="1"/>
  <c r="V2744" i="1"/>
  <c r="R2745" i="1"/>
  <c r="U2745" i="1"/>
  <c r="V2745" i="1"/>
  <c r="R2746" i="1"/>
  <c r="U2746" i="1"/>
  <c r="V2746" i="1"/>
  <c r="R2747" i="1"/>
  <c r="U2747" i="1"/>
  <c r="V2747" i="1"/>
  <c r="R2748" i="1"/>
  <c r="U2748" i="1"/>
  <c r="V2748" i="1"/>
  <c r="R2749" i="1"/>
  <c r="U2749" i="1"/>
  <c r="V2749" i="1"/>
  <c r="R2750" i="1"/>
  <c r="U2750" i="1"/>
  <c r="V2750" i="1"/>
  <c r="R2751" i="1"/>
  <c r="U2751" i="1"/>
  <c r="V2751" i="1"/>
  <c r="R2752" i="1"/>
  <c r="U2752" i="1"/>
  <c r="V2752" i="1"/>
  <c r="R2753" i="1"/>
  <c r="U2753" i="1"/>
  <c r="V2753" i="1"/>
  <c r="R2754" i="1"/>
  <c r="U2754" i="1"/>
  <c r="V2754" i="1"/>
  <c r="R2755" i="1"/>
  <c r="U2755" i="1"/>
  <c r="V2755" i="1"/>
  <c r="R2756" i="1"/>
  <c r="U2756" i="1"/>
  <c r="V2756" i="1"/>
  <c r="R2757" i="1"/>
  <c r="U2757" i="1"/>
  <c r="V2757" i="1"/>
  <c r="R2758" i="1"/>
  <c r="U2758" i="1"/>
  <c r="V2758" i="1"/>
  <c r="R2759" i="1"/>
  <c r="U2759" i="1"/>
  <c r="V2759" i="1"/>
  <c r="R2760" i="1"/>
  <c r="U2760" i="1"/>
  <c r="V2760" i="1"/>
  <c r="R2761" i="1"/>
  <c r="U2761" i="1"/>
  <c r="V2761" i="1"/>
  <c r="R2762" i="1"/>
  <c r="U2762" i="1"/>
  <c r="V2762" i="1"/>
  <c r="R2763" i="1"/>
  <c r="U2763" i="1"/>
  <c r="V2763" i="1"/>
  <c r="R2764" i="1"/>
  <c r="U2764" i="1"/>
  <c r="V2764" i="1"/>
  <c r="R2765" i="1"/>
  <c r="U2765" i="1"/>
  <c r="V2765" i="1"/>
  <c r="R2766" i="1"/>
  <c r="U2766" i="1"/>
  <c r="V2766" i="1"/>
  <c r="R2767" i="1"/>
  <c r="U2767" i="1"/>
  <c r="V2767" i="1"/>
  <c r="R2768" i="1"/>
  <c r="U2768" i="1"/>
  <c r="V2768" i="1"/>
  <c r="R2769" i="1"/>
  <c r="U2769" i="1"/>
  <c r="V2769" i="1"/>
  <c r="R2770" i="1"/>
  <c r="U2770" i="1"/>
  <c r="V2770" i="1"/>
  <c r="R2771" i="1"/>
  <c r="U2771" i="1"/>
  <c r="V2771" i="1"/>
  <c r="R2772" i="1"/>
  <c r="U2772" i="1"/>
  <c r="V2772" i="1"/>
  <c r="R2773" i="1"/>
  <c r="U2773" i="1"/>
  <c r="V2773" i="1"/>
  <c r="R2774" i="1"/>
  <c r="U2774" i="1"/>
  <c r="V2774" i="1"/>
  <c r="R2775" i="1"/>
  <c r="U2775" i="1"/>
  <c r="V2775" i="1"/>
  <c r="R2776" i="1"/>
  <c r="U2776" i="1"/>
  <c r="V2776" i="1"/>
  <c r="R2777" i="1"/>
  <c r="U2777" i="1"/>
  <c r="V2777" i="1"/>
  <c r="R2778" i="1"/>
  <c r="U2778" i="1"/>
  <c r="V2778" i="1"/>
  <c r="R2779" i="1"/>
  <c r="U2779" i="1"/>
  <c r="V2779" i="1"/>
  <c r="R2780" i="1"/>
  <c r="U2780" i="1"/>
  <c r="V2780" i="1"/>
  <c r="R2781" i="1"/>
  <c r="U2781" i="1"/>
  <c r="V2781" i="1"/>
  <c r="R2782" i="1"/>
  <c r="U2782" i="1"/>
  <c r="V2782" i="1"/>
  <c r="R2783" i="1"/>
  <c r="U2783" i="1"/>
  <c r="V2783" i="1"/>
  <c r="R2784" i="1"/>
  <c r="U2784" i="1"/>
  <c r="V2784" i="1"/>
  <c r="R2785" i="1"/>
  <c r="U2785" i="1"/>
  <c r="V2785" i="1"/>
  <c r="R2786" i="1"/>
  <c r="U2786" i="1"/>
  <c r="V2786" i="1"/>
  <c r="R2787" i="1"/>
  <c r="U2787" i="1"/>
  <c r="V2787" i="1"/>
  <c r="R2788" i="1"/>
  <c r="U2788" i="1"/>
  <c r="V2788" i="1"/>
  <c r="R2789" i="1"/>
  <c r="U2789" i="1"/>
  <c r="V2789" i="1"/>
  <c r="R2790" i="1"/>
  <c r="U2790" i="1"/>
  <c r="V2790" i="1"/>
  <c r="R2791" i="1"/>
  <c r="U2791" i="1"/>
  <c r="V2791" i="1"/>
  <c r="R2792" i="1"/>
  <c r="U2792" i="1"/>
  <c r="V2792" i="1"/>
  <c r="R2793" i="1"/>
  <c r="U2793" i="1"/>
  <c r="V2793" i="1"/>
  <c r="R2794" i="1"/>
  <c r="U2794" i="1"/>
  <c r="V2794" i="1"/>
  <c r="R2795" i="1"/>
  <c r="U2795" i="1"/>
  <c r="V2795" i="1"/>
  <c r="R2796" i="1"/>
  <c r="U2796" i="1"/>
  <c r="V2796" i="1"/>
  <c r="R2797" i="1"/>
  <c r="U2797" i="1"/>
  <c r="V2797" i="1"/>
  <c r="R2798" i="1"/>
  <c r="U2798" i="1"/>
  <c r="V2798" i="1"/>
  <c r="R2799" i="1"/>
  <c r="U2799" i="1"/>
  <c r="V2799" i="1"/>
  <c r="R2800" i="1"/>
  <c r="U2800" i="1"/>
  <c r="V2800" i="1"/>
  <c r="R2801" i="1"/>
  <c r="U2801" i="1"/>
  <c r="V2801" i="1"/>
  <c r="R2802" i="1"/>
  <c r="U2802" i="1"/>
  <c r="V2802" i="1"/>
  <c r="R2803" i="1"/>
  <c r="U2803" i="1"/>
  <c r="V2803" i="1"/>
  <c r="R2804" i="1"/>
  <c r="U2804" i="1"/>
  <c r="V2804" i="1"/>
  <c r="R2805" i="1"/>
  <c r="U2805" i="1"/>
  <c r="V2805" i="1"/>
  <c r="R2806" i="1"/>
  <c r="U2806" i="1"/>
  <c r="V2806" i="1"/>
  <c r="R2807" i="1"/>
  <c r="U2807" i="1"/>
  <c r="V2807" i="1"/>
  <c r="R2808" i="1"/>
  <c r="U2808" i="1"/>
  <c r="V2808" i="1"/>
  <c r="R2809" i="1"/>
  <c r="U2809" i="1"/>
  <c r="V2809" i="1"/>
  <c r="R2810" i="1"/>
  <c r="U2810" i="1"/>
  <c r="V2810" i="1"/>
  <c r="R2811" i="1"/>
  <c r="U2811" i="1"/>
  <c r="V2811" i="1"/>
  <c r="R2812" i="1"/>
  <c r="U2812" i="1"/>
  <c r="V2812" i="1"/>
  <c r="R2813" i="1"/>
  <c r="U2813" i="1"/>
  <c r="V2813" i="1"/>
  <c r="R2814" i="1"/>
  <c r="U2814" i="1"/>
  <c r="V2814" i="1"/>
  <c r="R2815" i="1"/>
  <c r="U2815" i="1"/>
  <c r="V2815" i="1"/>
  <c r="R2816" i="1"/>
  <c r="U2816" i="1"/>
  <c r="V2816" i="1"/>
  <c r="R2817" i="1"/>
  <c r="U2817" i="1"/>
  <c r="V2817" i="1"/>
  <c r="R2818" i="1"/>
  <c r="U2818" i="1"/>
  <c r="V2818" i="1"/>
  <c r="R2819" i="1"/>
  <c r="U2819" i="1"/>
  <c r="V2819" i="1"/>
  <c r="R2820" i="1"/>
  <c r="U2820" i="1"/>
  <c r="V2820" i="1"/>
  <c r="R2821" i="1"/>
  <c r="U2821" i="1"/>
  <c r="V2821" i="1"/>
  <c r="R2822" i="1"/>
  <c r="U2822" i="1"/>
  <c r="V2822" i="1"/>
  <c r="R2823" i="1"/>
  <c r="U2823" i="1"/>
  <c r="V2823" i="1"/>
  <c r="R2824" i="1"/>
  <c r="U2824" i="1"/>
  <c r="V2824" i="1"/>
  <c r="R2825" i="1"/>
  <c r="U2825" i="1"/>
  <c r="V2825" i="1"/>
  <c r="R2826" i="1"/>
  <c r="U2826" i="1"/>
  <c r="V2826" i="1"/>
  <c r="R2827" i="1"/>
  <c r="U2827" i="1"/>
  <c r="V2827" i="1"/>
  <c r="R2828" i="1"/>
  <c r="U2828" i="1"/>
  <c r="V2828" i="1"/>
  <c r="R2829" i="1"/>
  <c r="U2829" i="1"/>
  <c r="V2829" i="1"/>
  <c r="R2830" i="1"/>
  <c r="U2830" i="1"/>
  <c r="V2830" i="1"/>
  <c r="R2831" i="1"/>
  <c r="U2831" i="1"/>
  <c r="V2831" i="1"/>
  <c r="R2832" i="1"/>
  <c r="U2832" i="1"/>
  <c r="V2832" i="1"/>
  <c r="R2833" i="1"/>
  <c r="U2833" i="1"/>
  <c r="V2833" i="1"/>
  <c r="R2834" i="1"/>
  <c r="U2834" i="1"/>
  <c r="V2834" i="1"/>
  <c r="R2835" i="1"/>
  <c r="U2835" i="1"/>
  <c r="V2835" i="1"/>
  <c r="R2836" i="1"/>
  <c r="U2836" i="1"/>
  <c r="V2836" i="1"/>
  <c r="R2837" i="1"/>
  <c r="U2837" i="1"/>
  <c r="V2837" i="1"/>
  <c r="R2838" i="1"/>
  <c r="U2838" i="1"/>
  <c r="V2838" i="1"/>
  <c r="R2839" i="1"/>
  <c r="U2839" i="1"/>
  <c r="V2839" i="1"/>
  <c r="R2840" i="1"/>
  <c r="U2840" i="1"/>
  <c r="V2840" i="1"/>
  <c r="R2841" i="1"/>
  <c r="U2841" i="1"/>
  <c r="V2841" i="1"/>
  <c r="R2842" i="1"/>
  <c r="U2842" i="1"/>
  <c r="V2842" i="1"/>
  <c r="R2843" i="1"/>
  <c r="U2843" i="1"/>
  <c r="V2843" i="1"/>
  <c r="R2844" i="1"/>
  <c r="U2844" i="1"/>
  <c r="V2844" i="1"/>
  <c r="R2845" i="1"/>
  <c r="U2845" i="1"/>
  <c r="V2845" i="1"/>
  <c r="R2846" i="1"/>
  <c r="U2846" i="1"/>
  <c r="V2846" i="1"/>
  <c r="R2847" i="1"/>
  <c r="U2847" i="1"/>
  <c r="V2847" i="1"/>
  <c r="R2848" i="1"/>
  <c r="U2848" i="1"/>
  <c r="V2848" i="1"/>
  <c r="R2849" i="1"/>
  <c r="U2849" i="1"/>
  <c r="V2849" i="1"/>
  <c r="R2850" i="1"/>
  <c r="U2850" i="1"/>
  <c r="V2850" i="1"/>
  <c r="R2851" i="1"/>
  <c r="U2851" i="1"/>
  <c r="V2851" i="1"/>
  <c r="R2852" i="1"/>
  <c r="U2852" i="1"/>
  <c r="V2852" i="1"/>
  <c r="R2853" i="1"/>
  <c r="U2853" i="1"/>
  <c r="V2853" i="1"/>
  <c r="R2854" i="1"/>
  <c r="U2854" i="1"/>
  <c r="V2854" i="1"/>
  <c r="R2855" i="1"/>
  <c r="U2855" i="1"/>
  <c r="V2855" i="1"/>
  <c r="R2856" i="1"/>
  <c r="U2856" i="1"/>
  <c r="V2856" i="1"/>
  <c r="R2857" i="1"/>
  <c r="U2857" i="1"/>
  <c r="V2857" i="1"/>
  <c r="R2858" i="1"/>
  <c r="U2858" i="1"/>
  <c r="V2858" i="1"/>
  <c r="R2859" i="1"/>
  <c r="U2859" i="1"/>
  <c r="V2859" i="1"/>
  <c r="R2860" i="1"/>
  <c r="U2860" i="1"/>
  <c r="V2860" i="1"/>
  <c r="R2861" i="1"/>
  <c r="U2861" i="1"/>
  <c r="V2861" i="1"/>
  <c r="R2862" i="1"/>
  <c r="U2862" i="1"/>
  <c r="V2862" i="1"/>
  <c r="R2863" i="1"/>
  <c r="U2863" i="1"/>
  <c r="V2863" i="1"/>
  <c r="R2864" i="1"/>
  <c r="U2864" i="1"/>
  <c r="V2864" i="1"/>
  <c r="R2865" i="1"/>
  <c r="U2865" i="1"/>
  <c r="V2865" i="1"/>
  <c r="R2866" i="1"/>
  <c r="U2866" i="1"/>
  <c r="V2866" i="1"/>
  <c r="R2867" i="1"/>
  <c r="U2867" i="1"/>
  <c r="V2867" i="1"/>
  <c r="R2868" i="1"/>
  <c r="U2868" i="1"/>
  <c r="V2868" i="1"/>
  <c r="R2869" i="1"/>
  <c r="U2869" i="1"/>
  <c r="V2869" i="1"/>
  <c r="R2870" i="1"/>
  <c r="U2870" i="1"/>
  <c r="V2870" i="1"/>
  <c r="R2871" i="1"/>
  <c r="U2871" i="1"/>
  <c r="V2871" i="1"/>
  <c r="R2872" i="1"/>
  <c r="U2872" i="1"/>
  <c r="V2872" i="1"/>
  <c r="R2873" i="1"/>
  <c r="U2873" i="1"/>
  <c r="V2873" i="1"/>
  <c r="R2874" i="1"/>
  <c r="U2874" i="1"/>
  <c r="V2874" i="1"/>
  <c r="R2875" i="1"/>
  <c r="U2875" i="1"/>
  <c r="V2875" i="1"/>
  <c r="R2876" i="1"/>
  <c r="U2876" i="1"/>
  <c r="V2876" i="1"/>
  <c r="R2877" i="1"/>
  <c r="U2877" i="1"/>
  <c r="V2877" i="1"/>
  <c r="R2878" i="1"/>
  <c r="U2878" i="1"/>
  <c r="V2878" i="1"/>
  <c r="R2879" i="1"/>
  <c r="U2879" i="1"/>
  <c r="V2879" i="1"/>
  <c r="R2880" i="1"/>
  <c r="U2880" i="1"/>
  <c r="V2880" i="1"/>
  <c r="R2881" i="1"/>
  <c r="U2881" i="1"/>
  <c r="V2881" i="1"/>
  <c r="R2882" i="1"/>
  <c r="U2882" i="1"/>
  <c r="V2882" i="1"/>
  <c r="R2883" i="1"/>
  <c r="U2883" i="1"/>
  <c r="V2883" i="1"/>
  <c r="R2884" i="1"/>
  <c r="U2884" i="1"/>
  <c r="V2884" i="1"/>
  <c r="R2885" i="1"/>
  <c r="U2885" i="1"/>
  <c r="V2885" i="1"/>
  <c r="R2886" i="1"/>
  <c r="U2886" i="1"/>
  <c r="V2886" i="1"/>
  <c r="R2887" i="1"/>
  <c r="U2887" i="1"/>
  <c r="V2887" i="1"/>
  <c r="R2888" i="1"/>
  <c r="U2888" i="1"/>
  <c r="V2888" i="1"/>
  <c r="R2889" i="1"/>
  <c r="U2889" i="1"/>
  <c r="V2889" i="1"/>
  <c r="R2890" i="1"/>
  <c r="U2890" i="1"/>
  <c r="V2890" i="1"/>
  <c r="R2891" i="1"/>
  <c r="U2891" i="1"/>
  <c r="V2891" i="1"/>
  <c r="R2892" i="1"/>
  <c r="U2892" i="1"/>
  <c r="V2892" i="1"/>
  <c r="R2893" i="1"/>
  <c r="U2893" i="1"/>
  <c r="V2893" i="1"/>
  <c r="R2894" i="1"/>
  <c r="U2894" i="1"/>
  <c r="V2894" i="1"/>
  <c r="R2895" i="1"/>
  <c r="U2895" i="1"/>
  <c r="V2895" i="1"/>
  <c r="R2896" i="1"/>
  <c r="U2896" i="1"/>
  <c r="V2896" i="1"/>
  <c r="R2897" i="1"/>
  <c r="U2897" i="1"/>
  <c r="V2897" i="1"/>
  <c r="R2898" i="1"/>
  <c r="U2898" i="1"/>
  <c r="V2898" i="1"/>
  <c r="R2899" i="1"/>
  <c r="U2899" i="1"/>
  <c r="V2899" i="1"/>
  <c r="R2900" i="1"/>
  <c r="U2900" i="1"/>
  <c r="V2900" i="1"/>
  <c r="R2901" i="1"/>
  <c r="U2901" i="1"/>
  <c r="V2901" i="1"/>
  <c r="R2902" i="1"/>
  <c r="U2902" i="1"/>
  <c r="V2902" i="1"/>
  <c r="R2903" i="1"/>
  <c r="U2903" i="1"/>
  <c r="V2903" i="1"/>
  <c r="R2904" i="1"/>
  <c r="U2904" i="1"/>
  <c r="V2904" i="1"/>
  <c r="R2905" i="1"/>
  <c r="U2905" i="1"/>
  <c r="V2905" i="1"/>
  <c r="R2906" i="1"/>
  <c r="U2906" i="1"/>
  <c r="V2906" i="1"/>
  <c r="R2907" i="1"/>
  <c r="U2907" i="1"/>
  <c r="V2907" i="1"/>
  <c r="R2908" i="1"/>
  <c r="U2908" i="1"/>
  <c r="V2908" i="1"/>
  <c r="R2909" i="1"/>
  <c r="U2909" i="1"/>
  <c r="V2909" i="1"/>
  <c r="R2910" i="1"/>
  <c r="U2910" i="1"/>
  <c r="V2910" i="1"/>
  <c r="R2911" i="1"/>
  <c r="U2911" i="1"/>
  <c r="V2911" i="1"/>
  <c r="R2912" i="1"/>
  <c r="U2912" i="1"/>
  <c r="V2912" i="1"/>
  <c r="R2913" i="1"/>
  <c r="U2913" i="1"/>
  <c r="V2913" i="1"/>
  <c r="R2914" i="1"/>
  <c r="U2914" i="1"/>
  <c r="V2914" i="1"/>
  <c r="R2915" i="1"/>
  <c r="U2915" i="1"/>
  <c r="V2915" i="1"/>
  <c r="R2916" i="1"/>
  <c r="U2916" i="1"/>
  <c r="V2916" i="1"/>
  <c r="R2917" i="1"/>
  <c r="U2917" i="1"/>
  <c r="V2917" i="1"/>
  <c r="R2918" i="1"/>
  <c r="U2918" i="1"/>
  <c r="V2918" i="1"/>
  <c r="R2919" i="1"/>
  <c r="U2919" i="1"/>
  <c r="V2919" i="1"/>
  <c r="R2920" i="1"/>
  <c r="U2920" i="1"/>
  <c r="V2920" i="1"/>
  <c r="R2921" i="1"/>
  <c r="U2921" i="1"/>
  <c r="V2921" i="1"/>
  <c r="R2922" i="1"/>
  <c r="U2922" i="1"/>
  <c r="V2922" i="1"/>
  <c r="R2923" i="1"/>
  <c r="U2923" i="1"/>
  <c r="V2923" i="1"/>
  <c r="R2924" i="1"/>
  <c r="U2924" i="1"/>
  <c r="V2924" i="1"/>
  <c r="R2925" i="1"/>
  <c r="U2925" i="1"/>
  <c r="V2925" i="1"/>
  <c r="R2926" i="1"/>
  <c r="U2926" i="1"/>
  <c r="V2926" i="1"/>
  <c r="R2927" i="1"/>
  <c r="U2927" i="1"/>
  <c r="V2927" i="1"/>
  <c r="R2928" i="1"/>
  <c r="U2928" i="1"/>
  <c r="V2928" i="1"/>
  <c r="R2929" i="1"/>
  <c r="U2929" i="1"/>
  <c r="V2929" i="1"/>
  <c r="R2930" i="1"/>
  <c r="U2930" i="1"/>
  <c r="V2930" i="1"/>
  <c r="R2931" i="1"/>
  <c r="U2931" i="1"/>
  <c r="V2931" i="1"/>
  <c r="R2932" i="1"/>
  <c r="U2932" i="1"/>
  <c r="V2932" i="1"/>
  <c r="R2933" i="1"/>
  <c r="U2933" i="1"/>
  <c r="V2933" i="1"/>
  <c r="R2934" i="1"/>
  <c r="U2934" i="1"/>
  <c r="V2934" i="1"/>
  <c r="R2935" i="1"/>
  <c r="U2935" i="1"/>
  <c r="V2935" i="1"/>
  <c r="R2936" i="1"/>
  <c r="U2936" i="1"/>
  <c r="V2936" i="1"/>
  <c r="R2937" i="1"/>
  <c r="U2937" i="1"/>
  <c r="V2937" i="1"/>
  <c r="R2938" i="1"/>
  <c r="U2938" i="1"/>
  <c r="V2938" i="1"/>
  <c r="R2939" i="1"/>
  <c r="U2939" i="1"/>
  <c r="V2939" i="1"/>
  <c r="R2940" i="1"/>
  <c r="U2940" i="1"/>
  <c r="V2940" i="1"/>
  <c r="R2941" i="1"/>
  <c r="U2941" i="1"/>
  <c r="V2941" i="1"/>
  <c r="R2942" i="1"/>
  <c r="U2942" i="1"/>
  <c r="V2942" i="1"/>
  <c r="R2943" i="1"/>
  <c r="U2943" i="1"/>
  <c r="V2943" i="1"/>
  <c r="R2944" i="1"/>
  <c r="U2944" i="1"/>
  <c r="V2944" i="1"/>
  <c r="R2945" i="1"/>
  <c r="U2945" i="1"/>
  <c r="V2945" i="1"/>
  <c r="R2946" i="1"/>
  <c r="U2946" i="1"/>
  <c r="V2946" i="1"/>
  <c r="R2947" i="1"/>
  <c r="U2947" i="1"/>
  <c r="V2947" i="1"/>
  <c r="R2948" i="1"/>
  <c r="U2948" i="1"/>
  <c r="V2948" i="1"/>
  <c r="R2949" i="1"/>
  <c r="U2949" i="1"/>
  <c r="V2949" i="1"/>
  <c r="R2950" i="1"/>
  <c r="U2950" i="1"/>
  <c r="V2950" i="1"/>
  <c r="R2951" i="1"/>
  <c r="U2951" i="1"/>
  <c r="V2951" i="1"/>
  <c r="R2952" i="1"/>
  <c r="U2952" i="1"/>
  <c r="V2952" i="1"/>
  <c r="R2953" i="1"/>
  <c r="U2953" i="1"/>
  <c r="V2953" i="1"/>
  <c r="R2954" i="1"/>
  <c r="U2954" i="1"/>
  <c r="V2954" i="1"/>
  <c r="R2955" i="1"/>
  <c r="U2955" i="1"/>
  <c r="V2955" i="1"/>
  <c r="R2956" i="1"/>
  <c r="U2956" i="1"/>
  <c r="V2956" i="1"/>
  <c r="R2957" i="1"/>
  <c r="U2957" i="1"/>
  <c r="V2957" i="1"/>
  <c r="R2958" i="1"/>
  <c r="U2958" i="1"/>
  <c r="V2958" i="1"/>
  <c r="R2959" i="1"/>
  <c r="U2959" i="1"/>
  <c r="V2959" i="1"/>
  <c r="R2960" i="1"/>
  <c r="U2960" i="1"/>
  <c r="V2960" i="1"/>
  <c r="R2961" i="1"/>
  <c r="U2961" i="1"/>
  <c r="V2961" i="1"/>
  <c r="R2962" i="1"/>
  <c r="U2962" i="1"/>
  <c r="V2962" i="1"/>
  <c r="R2963" i="1"/>
  <c r="U2963" i="1"/>
  <c r="V2963" i="1"/>
  <c r="R2964" i="1"/>
  <c r="U2964" i="1"/>
  <c r="V2964" i="1"/>
  <c r="R2965" i="1"/>
  <c r="U2965" i="1"/>
  <c r="V2965" i="1"/>
  <c r="R2966" i="1"/>
  <c r="U2966" i="1"/>
  <c r="V2966" i="1"/>
  <c r="R2967" i="1"/>
  <c r="U2967" i="1"/>
  <c r="V2967" i="1"/>
  <c r="R2968" i="1"/>
  <c r="U2968" i="1"/>
  <c r="V2968" i="1"/>
  <c r="R2969" i="1"/>
  <c r="U2969" i="1"/>
  <c r="V2969" i="1"/>
  <c r="R2970" i="1"/>
  <c r="U2970" i="1"/>
  <c r="V2970" i="1"/>
  <c r="R2971" i="1"/>
  <c r="U2971" i="1"/>
  <c r="V2971" i="1"/>
  <c r="R2972" i="1"/>
  <c r="U2972" i="1"/>
  <c r="V2972" i="1"/>
  <c r="R2973" i="1"/>
  <c r="U2973" i="1"/>
  <c r="V2973" i="1"/>
  <c r="R2974" i="1"/>
  <c r="U2974" i="1"/>
  <c r="V2974" i="1"/>
  <c r="R2975" i="1"/>
  <c r="U2975" i="1"/>
  <c r="V2975" i="1"/>
  <c r="R2976" i="1"/>
  <c r="U2976" i="1"/>
  <c r="V2976" i="1"/>
  <c r="R2977" i="1"/>
  <c r="U2977" i="1"/>
  <c r="V2977" i="1"/>
  <c r="R2978" i="1"/>
  <c r="U2978" i="1"/>
  <c r="V2978" i="1"/>
  <c r="R2979" i="1"/>
  <c r="U2979" i="1"/>
  <c r="V2979" i="1"/>
  <c r="R2980" i="1"/>
  <c r="U2980" i="1"/>
  <c r="V2980" i="1"/>
  <c r="R2981" i="1"/>
  <c r="U2981" i="1"/>
  <c r="V2981" i="1"/>
  <c r="R2982" i="1"/>
  <c r="U2982" i="1"/>
  <c r="V2982" i="1"/>
  <c r="R2983" i="1"/>
  <c r="U2983" i="1"/>
  <c r="V2983" i="1"/>
  <c r="R2984" i="1"/>
  <c r="U2984" i="1"/>
  <c r="V2984" i="1"/>
  <c r="R2985" i="1"/>
  <c r="U2985" i="1"/>
  <c r="V2985" i="1"/>
  <c r="R2986" i="1"/>
  <c r="U2986" i="1"/>
  <c r="V2986" i="1"/>
  <c r="R2987" i="1"/>
  <c r="U2987" i="1"/>
  <c r="V2987" i="1"/>
  <c r="R2988" i="1"/>
  <c r="U2988" i="1"/>
  <c r="V2988" i="1"/>
  <c r="R2989" i="1"/>
  <c r="U2989" i="1"/>
  <c r="V2989" i="1"/>
  <c r="R2990" i="1"/>
  <c r="U2990" i="1"/>
  <c r="V2990" i="1"/>
  <c r="R2991" i="1"/>
  <c r="U2991" i="1"/>
  <c r="V2991" i="1"/>
  <c r="R2992" i="1"/>
  <c r="U2992" i="1"/>
  <c r="V2992" i="1"/>
  <c r="R2993" i="1"/>
  <c r="U2993" i="1"/>
  <c r="V2993" i="1"/>
  <c r="R2994" i="1"/>
  <c r="U2994" i="1"/>
  <c r="V2994" i="1"/>
  <c r="R2995" i="1"/>
  <c r="U2995" i="1"/>
  <c r="V2995" i="1"/>
  <c r="R2996" i="1"/>
  <c r="U2996" i="1"/>
  <c r="V2996" i="1"/>
  <c r="R2997" i="1"/>
  <c r="U2997" i="1"/>
  <c r="V2997" i="1"/>
  <c r="R2998" i="1"/>
  <c r="U2998" i="1"/>
  <c r="V2998" i="1"/>
  <c r="R2999" i="1"/>
  <c r="U2999" i="1"/>
  <c r="V2999" i="1"/>
  <c r="R3000" i="1"/>
  <c r="U3000" i="1"/>
  <c r="V3000" i="1"/>
  <c r="R3001" i="1"/>
  <c r="U3001" i="1"/>
  <c r="V3001" i="1"/>
  <c r="R3002" i="1"/>
  <c r="U3002" i="1"/>
  <c r="V3002" i="1"/>
  <c r="R3003" i="1"/>
  <c r="U3003" i="1"/>
  <c r="V3003" i="1"/>
  <c r="R3004" i="1"/>
  <c r="U3004" i="1"/>
  <c r="V3004" i="1"/>
  <c r="R3005" i="1"/>
  <c r="U3005" i="1"/>
  <c r="V3005" i="1"/>
  <c r="R3006" i="1"/>
  <c r="U3006" i="1"/>
  <c r="V3006" i="1"/>
  <c r="R3007" i="1"/>
  <c r="U3007" i="1"/>
  <c r="V3007" i="1"/>
  <c r="R3008" i="1"/>
  <c r="U3008" i="1"/>
  <c r="V3008" i="1"/>
  <c r="R3009" i="1"/>
  <c r="U3009" i="1"/>
  <c r="V3009" i="1"/>
  <c r="R3010" i="1"/>
  <c r="U3010" i="1"/>
  <c r="V3010" i="1"/>
  <c r="R3011" i="1"/>
  <c r="U3011" i="1"/>
  <c r="V3011" i="1"/>
  <c r="R3012" i="1"/>
  <c r="U3012" i="1"/>
  <c r="V3012" i="1"/>
  <c r="R3013" i="1"/>
  <c r="U3013" i="1"/>
  <c r="V3013" i="1"/>
  <c r="R3014" i="1"/>
  <c r="U3014" i="1"/>
  <c r="V3014" i="1"/>
  <c r="R3015" i="1"/>
  <c r="U3015" i="1"/>
  <c r="V3015" i="1"/>
  <c r="R3016" i="1"/>
  <c r="U3016" i="1"/>
  <c r="V3016" i="1"/>
  <c r="R3017" i="1"/>
  <c r="U3017" i="1"/>
  <c r="V3017" i="1"/>
  <c r="R3018" i="1"/>
  <c r="U3018" i="1"/>
  <c r="V3018" i="1"/>
  <c r="R3019" i="1"/>
  <c r="U3019" i="1"/>
  <c r="V3019" i="1"/>
  <c r="R3020" i="1"/>
  <c r="U3020" i="1"/>
  <c r="V3020" i="1"/>
  <c r="R3021" i="1"/>
  <c r="U3021" i="1"/>
  <c r="V3021" i="1"/>
  <c r="R3022" i="1"/>
  <c r="U3022" i="1"/>
  <c r="V3022" i="1"/>
  <c r="R3023" i="1"/>
  <c r="U3023" i="1"/>
  <c r="V3023" i="1"/>
  <c r="R3024" i="1"/>
  <c r="U3024" i="1"/>
  <c r="V3024" i="1"/>
  <c r="R3025" i="1"/>
  <c r="U3025" i="1"/>
  <c r="V3025" i="1"/>
  <c r="R3026" i="1"/>
  <c r="U3026" i="1"/>
  <c r="V3026" i="1"/>
  <c r="R3027" i="1"/>
  <c r="U3027" i="1"/>
  <c r="V3027" i="1"/>
  <c r="R3028" i="1"/>
  <c r="U3028" i="1"/>
  <c r="V3028" i="1"/>
  <c r="R3029" i="1"/>
  <c r="U3029" i="1"/>
  <c r="V3029" i="1"/>
  <c r="R3030" i="1"/>
  <c r="U3030" i="1"/>
  <c r="V3030" i="1"/>
  <c r="R3031" i="1"/>
  <c r="U3031" i="1"/>
  <c r="V3031" i="1"/>
  <c r="R3032" i="1"/>
  <c r="U3032" i="1"/>
  <c r="V3032" i="1"/>
  <c r="R3033" i="1"/>
  <c r="U3033" i="1"/>
  <c r="V3033" i="1"/>
  <c r="R3034" i="1"/>
  <c r="U3034" i="1"/>
  <c r="V3034" i="1"/>
  <c r="R3035" i="1"/>
  <c r="U3035" i="1"/>
  <c r="V3035" i="1"/>
  <c r="R3036" i="1"/>
  <c r="U3036" i="1"/>
  <c r="V3036" i="1"/>
  <c r="R3037" i="1"/>
  <c r="U3037" i="1"/>
  <c r="V3037" i="1"/>
  <c r="R3038" i="1"/>
  <c r="U3038" i="1"/>
  <c r="V3038" i="1"/>
  <c r="R3039" i="1"/>
  <c r="U3039" i="1"/>
  <c r="V3039" i="1"/>
  <c r="R3040" i="1"/>
  <c r="U3040" i="1"/>
  <c r="V3040" i="1"/>
  <c r="R3041" i="1"/>
  <c r="U3041" i="1"/>
  <c r="V3041" i="1"/>
  <c r="R3042" i="1"/>
  <c r="U3042" i="1"/>
  <c r="V3042" i="1"/>
  <c r="R3043" i="1"/>
  <c r="U3043" i="1"/>
  <c r="V3043" i="1"/>
  <c r="R3044" i="1"/>
  <c r="U3044" i="1"/>
  <c r="V3044" i="1"/>
  <c r="R3045" i="1"/>
  <c r="U3045" i="1"/>
  <c r="V3045" i="1"/>
  <c r="R3046" i="1"/>
  <c r="U3046" i="1"/>
  <c r="V3046" i="1"/>
  <c r="R3047" i="1"/>
  <c r="U3047" i="1"/>
  <c r="V3047" i="1"/>
  <c r="R3048" i="1"/>
  <c r="U3048" i="1"/>
  <c r="V3048" i="1"/>
  <c r="R3049" i="1"/>
  <c r="U3049" i="1"/>
  <c r="V3049" i="1"/>
  <c r="R3050" i="1"/>
  <c r="U3050" i="1"/>
  <c r="V3050" i="1"/>
  <c r="R3051" i="1"/>
  <c r="U3051" i="1"/>
  <c r="V3051" i="1"/>
  <c r="R3052" i="1"/>
  <c r="U3052" i="1"/>
  <c r="V3052" i="1"/>
  <c r="R3053" i="1"/>
  <c r="U3053" i="1"/>
  <c r="V3053" i="1"/>
  <c r="R3054" i="1"/>
  <c r="U3054" i="1"/>
  <c r="V3054" i="1"/>
  <c r="R3055" i="1"/>
  <c r="U3055" i="1"/>
  <c r="V3055" i="1"/>
  <c r="R3056" i="1"/>
  <c r="U3056" i="1"/>
  <c r="V3056" i="1"/>
  <c r="R3057" i="1"/>
  <c r="U3057" i="1"/>
  <c r="V3057" i="1"/>
  <c r="R3058" i="1"/>
  <c r="U3058" i="1"/>
  <c r="V3058" i="1"/>
  <c r="R3059" i="1"/>
  <c r="U3059" i="1"/>
  <c r="V3059" i="1"/>
  <c r="R3060" i="1"/>
  <c r="U3060" i="1"/>
  <c r="V3060" i="1"/>
  <c r="R3061" i="1"/>
  <c r="U3061" i="1"/>
  <c r="V3061" i="1"/>
  <c r="R3062" i="1"/>
  <c r="U3062" i="1"/>
  <c r="V3062" i="1"/>
  <c r="R3063" i="1"/>
  <c r="U3063" i="1"/>
  <c r="V3063" i="1"/>
  <c r="R3064" i="1"/>
  <c r="U3064" i="1"/>
  <c r="V3064" i="1"/>
  <c r="R3065" i="1"/>
  <c r="U3065" i="1"/>
  <c r="V3065" i="1"/>
  <c r="R3066" i="1"/>
  <c r="U3066" i="1"/>
  <c r="V3066" i="1"/>
  <c r="R3067" i="1"/>
  <c r="U3067" i="1"/>
  <c r="V3067" i="1"/>
  <c r="R3068" i="1"/>
  <c r="U3068" i="1"/>
  <c r="V3068" i="1"/>
  <c r="R3069" i="1"/>
  <c r="U3069" i="1"/>
  <c r="V3069" i="1"/>
  <c r="R3070" i="1"/>
  <c r="U3070" i="1"/>
  <c r="V3070" i="1"/>
  <c r="R3071" i="1"/>
  <c r="U3071" i="1"/>
  <c r="V3071" i="1"/>
  <c r="R3072" i="1"/>
  <c r="U3072" i="1"/>
  <c r="V3072" i="1"/>
  <c r="R3073" i="1"/>
  <c r="U3073" i="1"/>
  <c r="V3073" i="1"/>
  <c r="R3074" i="1"/>
  <c r="U3074" i="1"/>
  <c r="V3074" i="1"/>
  <c r="R3075" i="1"/>
  <c r="U3075" i="1"/>
  <c r="V3075" i="1"/>
  <c r="R3076" i="1"/>
  <c r="U3076" i="1"/>
  <c r="V3076" i="1"/>
  <c r="R3077" i="1"/>
  <c r="U3077" i="1"/>
  <c r="V3077" i="1"/>
  <c r="R3078" i="1"/>
  <c r="U3078" i="1"/>
  <c r="V3078" i="1"/>
  <c r="R3079" i="1"/>
  <c r="U3079" i="1"/>
  <c r="V3079" i="1"/>
  <c r="R3080" i="1"/>
  <c r="U3080" i="1"/>
  <c r="V3080" i="1"/>
  <c r="R3081" i="1"/>
  <c r="U3081" i="1"/>
  <c r="V3081" i="1"/>
  <c r="R3082" i="1"/>
  <c r="U3082" i="1"/>
  <c r="V3082" i="1"/>
  <c r="R3083" i="1"/>
  <c r="U3083" i="1"/>
  <c r="V3083" i="1"/>
  <c r="R3084" i="1"/>
  <c r="U3084" i="1"/>
  <c r="V3084" i="1"/>
  <c r="R3085" i="1"/>
  <c r="U3085" i="1"/>
  <c r="V3085" i="1"/>
  <c r="R3086" i="1"/>
  <c r="U3086" i="1"/>
  <c r="V3086" i="1"/>
  <c r="R3087" i="1"/>
  <c r="U3087" i="1"/>
  <c r="V3087" i="1"/>
  <c r="R3088" i="1"/>
  <c r="U3088" i="1"/>
  <c r="V3088" i="1"/>
  <c r="R3089" i="1"/>
  <c r="U3089" i="1"/>
  <c r="V3089" i="1"/>
  <c r="R3090" i="1"/>
  <c r="U3090" i="1"/>
  <c r="V3090" i="1"/>
  <c r="R3091" i="1"/>
  <c r="U3091" i="1"/>
  <c r="V3091" i="1"/>
  <c r="R3092" i="1"/>
  <c r="U3092" i="1"/>
  <c r="V3092" i="1"/>
  <c r="R3093" i="1"/>
  <c r="U3093" i="1"/>
  <c r="V3093" i="1"/>
  <c r="R3094" i="1"/>
  <c r="U3094" i="1"/>
  <c r="V3094" i="1"/>
  <c r="R3095" i="1"/>
  <c r="U3095" i="1"/>
  <c r="V3095" i="1"/>
  <c r="R3096" i="1"/>
  <c r="U3096" i="1"/>
  <c r="V3096" i="1"/>
  <c r="R3097" i="1"/>
  <c r="U3097" i="1"/>
  <c r="V3097" i="1"/>
  <c r="R3098" i="1"/>
  <c r="U3098" i="1"/>
  <c r="V3098" i="1"/>
  <c r="R3099" i="1"/>
  <c r="U3099" i="1"/>
  <c r="V3099" i="1"/>
  <c r="R3100" i="1"/>
  <c r="U3100" i="1"/>
  <c r="V3100" i="1"/>
  <c r="R3101" i="1"/>
  <c r="U3101" i="1"/>
  <c r="V3101" i="1"/>
  <c r="R3102" i="1"/>
  <c r="U3102" i="1"/>
  <c r="V3102" i="1"/>
  <c r="R3103" i="1"/>
  <c r="U3103" i="1"/>
  <c r="V3103" i="1"/>
  <c r="R3104" i="1"/>
  <c r="U3104" i="1"/>
  <c r="V3104" i="1"/>
  <c r="R3105" i="1"/>
  <c r="U3105" i="1"/>
  <c r="V3105" i="1"/>
  <c r="R3106" i="1"/>
  <c r="U3106" i="1"/>
  <c r="V3106" i="1"/>
  <c r="R3107" i="1"/>
  <c r="U3107" i="1"/>
  <c r="V3107" i="1"/>
  <c r="R3108" i="1"/>
  <c r="U3108" i="1"/>
  <c r="V3108" i="1"/>
  <c r="R3109" i="1"/>
  <c r="U3109" i="1"/>
  <c r="V3109" i="1"/>
  <c r="R3110" i="1"/>
  <c r="U3110" i="1"/>
  <c r="V3110" i="1"/>
  <c r="R3111" i="1"/>
  <c r="U3111" i="1"/>
  <c r="V3111" i="1"/>
  <c r="R3112" i="1"/>
  <c r="U3112" i="1"/>
  <c r="V3112" i="1"/>
  <c r="R3113" i="1"/>
  <c r="U3113" i="1"/>
  <c r="V3113" i="1"/>
  <c r="R3114" i="1"/>
  <c r="U3114" i="1"/>
  <c r="V3114" i="1"/>
  <c r="R3115" i="1"/>
  <c r="U3115" i="1"/>
  <c r="V3115" i="1"/>
  <c r="R3116" i="1"/>
  <c r="U3116" i="1"/>
  <c r="V3116" i="1"/>
  <c r="R3117" i="1"/>
  <c r="U3117" i="1"/>
  <c r="V3117" i="1"/>
  <c r="R3118" i="1"/>
  <c r="U3118" i="1"/>
  <c r="V3118" i="1"/>
  <c r="R3119" i="1"/>
  <c r="U3119" i="1"/>
  <c r="V3119" i="1"/>
  <c r="R3120" i="1"/>
  <c r="U3120" i="1"/>
  <c r="V3120" i="1"/>
  <c r="R3121" i="1"/>
  <c r="U3121" i="1"/>
  <c r="V3121" i="1"/>
  <c r="R3122" i="1"/>
  <c r="U3122" i="1"/>
  <c r="V3122" i="1"/>
  <c r="R3123" i="1"/>
  <c r="U3123" i="1"/>
  <c r="V3123" i="1"/>
  <c r="R3124" i="1"/>
  <c r="U3124" i="1"/>
  <c r="V3124" i="1"/>
  <c r="R3125" i="1"/>
  <c r="U3125" i="1"/>
  <c r="V3125" i="1"/>
  <c r="R3126" i="1"/>
  <c r="U3126" i="1"/>
  <c r="V3126" i="1"/>
  <c r="R3127" i="1"/>
  <c r="U3127" i="1"/>
  <c r="V3127" i="1"/>
  <c r="R3128" i="1"/>
  <c r="U3128" i="1"/>
  <c r="V3128" i="1"/>
  <c r="R3129" i="1"/>
  <c r="U3129" i="1"/>
  <c r="V3129" i="1"/>
  <c r="R3130" i="1"/>
  <c r="U3130" i="1"/>
  <c r="V3130" i="1"/>
  <c r="R3131" i="1"/>
  <c r="U3131" i="1"/>
  <c r="V3131" i="1"/>
  <c r="R3132" i="1"/>
  <c r="U3132" i="1"/>
  <c r="V3132" i="1"/>
  <c r="R3133" i="1"/>
  <c r="U3133" i="1"/>
  <c r="V3133" i="1"/>
  <c r="R3134" i="1"/>
  <c r="U3134" i="1"/>
  <c r="V3134" i="1"/>
  <c r="R3135" i="1"/>
  <c r="U3135" i="1"/>
  <c r="V3135" i="1"/>
  <c r="R3136" i="1"/>
  <c r="U3136" i="1"/>
  <c r="V3136" i="1"/>
  <c r="R3137" i="1"/>
  <c r="U3137" i="1"/>
  <c r="V3137" i="1"/>
  <c r="R3138" i="1"/>
  <c r="U3138" i="1"/>
  <c r="V3138" i="1"/>
  <c r="R3139" i="1"/>
  <c r="U3139" i="1"/>
  <c r="V3139" i="1"/>
  <c r="R3140" i="1"/>
  <c r="U3140" i="1"/>
  <c r="V3140" i="1"/>
  <c r="R3141" i="1"/>
  <c r="U3141" i="1"/>
  <c r="V3141" i="1"/>
  <c r="R3142" i="1"/>
  <c r="U3142" i="1"/>
  <c r="V3142" i="1"/>
  <c r="R3143" i="1"/>
  <c r="U3143" i="1"/>
  <c r="V3143" i="1"/>
  <c r="R3144" i="1"/>
  <c r="U3144" i="1"/>
  <c r="V3144" i="1"/>
  <c r="R3145" i="1"/>
  <c r="U3145" i="1"/>
  <c r="V3145" i="1"/>
  <c r="R3146" i="1"/>
  <c r="U3146" i="1"/>
  <c r="V3146" i="1"/>
  <c r="R3147" i="1"/>
  <c r="U3147" i="1"/>
  <c r="V3147" i="1"/>
  <c r="R3148" i="1"/>
  <c r="U3148" i="1"/>
  <c r="V3148" i="1"/>
  <c r="R3149" i="1"/>
  <c r="U3149" i="1"/>
  <c r="V3149" i="1"/>
  <c r="R3150" i="1"/>
  <c r="U3150" i="1"/>
  <c r="V3150" i="1"/>
  <c r="R3151" i="1"/>
  <c r="U3151" i="1"/>
  <c r="V3151" i="1"/>
  <c r="R3152" i="1"/>
  <c r="U3152" i="1"/>
  <c r="V3152" i="1"/>
  <c r="R3153" i="1"/>
  <c r="U3153" i="1"/>
  <c r="V3153" i="1"/>
  <c r="R3154" i="1"/>
  <c r="U3154" i="1"/>
  <c r="V3154" i="1"/>
  <c r="R3155" i="1"/>
  <c r="U3155" i="1"/>
  <c r="V3155" i="1"/>
  <c r="R3156" i="1"/>
  <c r="U3156" i="1"/>
  <c r="V3156" i="1"/>
  <c r="R3157" i="1"/>
  <c r="U3157" i="1"/>
  <c r="V3157" i="1"/>
  <c r="R3158" i="1"/>
  <c r="U3158" i="1"/>
  <c r="V3158" i="1"/>
  <c r="R3159" i="1"/>
  <c r="U3159" i="1"/>
  <c r="V3159" i="1"/>
  <c r="R3160" i="1"/>
  <c r="U3160" i="1"/>
  <c r="V3160" i="1"/>
  <c r="R3161" i="1"/>
  <c r="U3161" i="1"/>
  <c r="V3161" i="1"/>
  <c r="R3162" i="1"/>
  <c r="U3162" i="1"/>
  <c r="V3162" i="1"/>
  <c r="R3163" i="1"/>
  <c r="U3163" i="1"/>
  <c r="V3163" i="1"/>
  <c r="R3164" i="1"/>
  <c r="U3164" i="1"/>
  <c r="V3164" i="1"/>
  <c r="R3165" i="1"/>
  <c r="U3165" i="1"/>
  <c r="V3165" i="1"/>
  <c r="R3166" i="1"/>
  <c r="U3166" i="1"/>
  <c r="V3166" i="1"/>
  <c r="R3167" i="1"/>
  <c r="U3167" i="1"/>
  <c r="V3167" i="1"/>
  <c r="R3168" i="1"/>
  <c r="U3168" i="1"/>
  <c r="V3168" i="1"/>
  <c r="R3169" i="1"/>
  <c r="U3169" i="1"/>
  <c r="V3169" i="1"/>
  <c r="R3170" i="1"/>
  <c r="U3170" i="1"/>
  <c r="V3170" i="1"/>
  <c r="R3171" i="1"/>
  <c r="U3171" i="1"/>
  <c r="V3171" i="1"/>
  <c r="R3172" i="1"/>
  <c r="U3172" i="1"/>
  <c r="V3172" i="1"/>
  <c r="R3173" i="1"/>
  <c r="U3173" i="1"/>
  <c r="V3173" i="1"/>
  <c r="R3174" i="1"/>
  <c r="U3174" i="1"/>
  <c r="V3174" i="1"/>
  <c r="R3175" i="1"/>
  <c r="U3175" i="1"/>
  <c r="V3175" i="1"/>
  <c r="R3176" i="1"/>
  <c r="U3176" i="1"/>
  <c r="V3176" i="1"/>
  <c r="R3177" i="1"/>
  <c r="U3177" i="1"/>
  <c r="V3177" i="1"/>
  <c r="R3178" i="1"/>
  <c r="U3178" i="1"/>
  <c r="V3178" i="1"/>
  <c r="R3179" i="1"/>
  <c r="U3179" i="1"/>
  <c r="V3179" i="1"/>
  <c r="R3180" i="1"/>
  <c r="U3180" i="1"/>
  <c r="V3180" i="1"/>
  <c r="R3181" i="1"/>
  <c r="U3181" i="1"/>
  <c r="V3181" i="1"/>
  <c r="R3182" i="1"/>
  <c r="U3182" i="1"/>
  <c r="V3182" i="1"/>
  <c r="R3183" i="1"/>
  <c r="U3183" i="1"/>
  <c r="V3183" i="1"/>
  <c r="R3184" i="1"/>
  <c r="U3184" i="1"/>
  <c r="V3184" i="1"/>
  <c r="R3185" i="1"/>
  <c r="U3185" i="1"/>
  <c r="V3185" i="1"/>
  <c r="R3186" i="1"/>
  <c r="U3186" i="1"/>
  <c r="V3186" i="1"/>
  <c r="R3187" i="1"/>
  <c r="U3187" i="1"/>
  <c r="V3187" i="1"/>
  <c r="R3188" i="1"/>
  <c r="U3188" i="1"/>
  <c r="V3188" i="1"/>
  <c r="R3189" i="1"/>
  <c r="U3189" i="1"/>
  <c r="V3189" i="1"/>
  <c r="R3190" i="1"/>
  <c r="U3190" i="1"/>
  <c r="V3190" i="1"/>
  <c r="R3191" i="1"/>
  <c r="U3191" i="1"/>
  <c r="V3191" i="1"/>
  <c r="R3192" i="1"/>
  <c r="U3192" i="1"/>
  <c r="V3192" i="1"/>
  <c r="R3193" i="1"/>
  <c r="U3193" i="1"/>
  <c r="V3193" i="1"/>
  <c r="R3194" i="1"/>
  <c r="U3194" i="1"/>
  <c r="V3194" i="1"/>
  <c r="R3195" i="1"/>
  <c r="U3195" i="1"/>
  <c r="V3195" i="1"/>
  <c r="R3196" i="1"/>
  <c r="U3196" i="1"/>
  <c r="V3196" i="1"/>
  <c r="R3197" i="1"/>
  <c r="U3197" i="1"/>
  <c r="V3197" i="1"/>
  <c r="R3198" i="1"/>
  <c r="U3198" i="1"/>
  <c r="V3198" i="1"/>
  <c r="R3199" i="1"/>
  <c r="U3199" i="1"/>
  <c r="V3199" i="1"/>
  <c r="R3200" i="1"/>
  <c r="U3200" i="1"/>
  <c r="V3200" i="1"/>
  <c r="R3201" i="1"/>
  <c r="U3201" i="1"/>
  <c r="V3201" i="1"/>
  <c r="R3202" i="1"/>
  <c r="U3202" i="1"/>
  <c r="V3202" i="1"/>
  <c r="R3203" i="1"/>
  <c r="U3203" i="1"/>
  <c r="V3203" i="1"/>
  <c r="R3204" i="1"/>
  <c r="U3204" i="1"/>
  <c r="V3204" i="1"/>
  <c r="R3205" i="1"/>
  <c r="U3205" i="1"/>
  <c r="V3205" i="1"/>
  <c r="R3206" i="1"/>
  <c r="U3206" i="1"/>
  <c r="V3206" i="1"/>
  <c r="R3207" i="1"/>
  <c r="U3207" i="1"/>
  <c r="V3207" i="1"/>
  <c r="R3208" i="1"/>
  <c r="U3208" i="1"/>
  <c r="V3208" i="1"/>
  <c r="R3209" i="1"/>
  <c r="U3209" i="1"/>
  <c r="V3209" i="1"/>
  <c r="R3210" i="1"/>
  <c r="U3210" i="1"/>
  <c r="V3210" i="1"/>
  <c r="R3211" i="1"/>
  <c r="U3211" i="1"/>
  <c r="V3211" i="1"/>
  <c r="R3212" i="1"/>
  <c r="U3212" i="1"/>
  <c r="V3212" i="1"/>
  <c r="R3213" i="1"/>
  <c r="U3213" i="1"/>
  <c r="V3213" i="1"/>
  <c r="R3214" i="1"/>
  <c r="U3214" i="1"/>
  <c r="V3214" i="1"/>
  <c r="R3215" i="1"/>
  <c r="U3215" i="1"/>
  <c r="V3215" i="1"/>
  <c r="R3216" i="1"/>
  <c r="U3216" i="1"/>
  <c r="V3216" i="1"/>
  <c r="R3217" i="1"/>
  <c r="U3217" i="1"/>
  <c r="V3217" i="1"/>
  <c r="R3218" i="1"/>
  <c r="U3218" i="1"/>
  <c r="V3218" i="1"/>
  <c r="R3219" i="1"/>
  <c r="U3219" i="1"/>
  <c r="V3219" i="1"/>
  <c r="R3220" i="1"/>
  <c r="U3220" i="1"/>
  <c r="V3220" i="1"/>
  <c r="R3221" i="1"/>
  <c r="U3221" i="1"/>
  <c r="V3221" i="1"/>
  <c r="R3222" i="1"/>
  <c r="U3222" i="1"/>
  <c r="V3222" i="1"/>
  <c r="R3223" i="1"/>
  <c r="U3223" i="1"/>
  <c r="V3223" i="1"/>
  <c r="R3224" i="1"/>
  <c r="U3224" i="1"/>
  <c r="V3224" i="1"/>
  <c r="R3225" i="1"/>
  <c r="U3225" i="1"/>
  <c r="V3225" i="1"/>
  <c r="R3226" i="1"/>
  <c r="U3226" i="1"/>
  <c r="V3226" i="1"/>
  <c r="R3227" i="1"/>
  <c r="U3227" i="1"/>
  <c r="V3227" i="1"/>
  <c r="R3228" i="1"/>
  <c r="U3228" i="1"/>
  <c r="V3228" i="1"/>
  <c r="R3229" i="1"/>
  <c r="U3229" i="1"/>
  <c r="V3229" i="1"/>
  <c r="R3230" i="1"/>
  <c r="U3230" i="1"/>
  <c r="V3230" i="1"/>
  <c r="R3231" i="1"/>
  <c r="U3231" i="1"/>
  <c r="V3231" i="1"/>
  <c r="R3232" i="1"/>
  <c r="U3232" i="1"/>
  <c r="V3232" i="1"/>
  <c r="R3233" i="1"/>
  <c r="U3233" i="1"/>
  <c r="V3233" i="1"/>
  <c r="R3234" i="1"/>
  <c r="U3234" i="1"/>
  <c r="V3234" i="1"/>
  <c r="R3235" i="1"/>
  <c r="U3235" i="1"/>
  <c r="V3235" i="1"/>
  <c r="R3236" i="1"/>
  <c r="U3236" i="1"/>
  <c r="V3236" i="1"/>
  <c r="R3237" i="1"/>
  <c r="U3237" i="1"/>
  <c r="V3237" i="1"/>
  <c r="R3238" i="1"/>
  <c r="U3238" i="1"/>
  <c r="V3238" i="1"/>
  <c r="R3239" i="1"/>
  <c r="U3239" i="1"/>
  <c r="V3239" i="1"/>
  <c r="R3240" i="1"/>
  <c r="U3240" i="1"/>
  <c r="V3240" i="1"/>
  <c r="R3241" i="1"/>
  <c r="U3241" i="1"/>
  <c r="V3241" i="1"/>
  <c r="R3242" i="1"/>
  <c r="U3242" i="1"/>
  <c r="V3242" i="1"/>
  <c r="R3243" i="1"/>
  <c r="U3243" i="1"/>
  <c r="V3243" i="1"/>
  <c r="R3244" i="1"/>
  <c r="U3244" i="1"/>
  <c r="V3244" i="1"/>
  <c r="R3245" i="1"/>
  <c r="U3245" i="1"/>
  <c r="V3245" i="1"/>
  <c r="R3246" i="1"/>
  <c r="U3246" i="1"/>
  <c r="V3246" i="1"/>
  <c r="R3247" i="1"/>
  <c r="U3247" i="1"/>
  <c r="V3247" i="1"/>
  <c r="R3248" i="1"/>
  <c r="U3248" i="1"/>
  <c r="V3248" i="1"/>
  <c r="R3249" i="1"/>
  <c r="U3249" i="1"/>
  <c r="V3249" i="1"/>
  <c r="R3250" i="1"/>
  <c r="U3250" i="1"/>
  <c r="V3250" i="1"/>
  <c r="R3251" i="1"/>
  <c r="U3251" i="1"/>
  <c r="V3251" i="1"/>
  <c r="R3252" i="1"/>
  <c r="U3252" i="1"/>
  <c r="V3252" i="1"/>
  <c r="R3253" i="1"/>
  <c r="U3253" i="1"/>
  <c r="V3253" i="1"/>
  <c r="R3254" i="1"/>
  <c r="U3254" i="1"/>
  <c r="V3254" i="1"/>
  <c r="R3255" i="1"/>
  <c r="U3255" i="1"/>
  <c r="V3255" i="1"/>
  <c r="R3256" i="1"/>
  <c r="U3256" i="1"/>
  <c r="V3256" i="1"/>
  <c r="R3257" i="1"/>
  <c r="U3257" i="1"/>
  <c r="V3257" i="1"/>
  <c r="R3258" i="1"/>
  <c r="U3258" i="1"/>
  <c r="V3258" i="1"/>
  <c r="R3259" i="1"/>
  <c r="U3259" i="1"/>
  <c r="V3259" i="1"/>
  <c r="R3260" i="1"/>
  <c r="U3260" i="1"/>
  <c r="V3260" i="1"/>
  <c r="R3261" i="1"/>
  <c r="U3261" i="1"/>
  <c r="V3261" i="1"/>
  <c r="R3262" i="1"/>
  <c r="U3262" i="1"/>
  <c r="V3262" i="1"/>
  <c r="R3263" i="1"/>
  <c r="U3263" i="1"/>
  <c r="V3263" i="1"/>
  <c r="R3264" i="1"/>
  <c r="U3264" i="1"/>
  <c r="V3264" i="1"/>
  <c r="R3265" i="1"/>
  <c r="U3265" i="1"/>
  <c r="V3265" i="1"/>
  <c r="R3266" i="1"/>
  <c r="U3266" i="1"/>
  <c r="V3266" i="1"/>
  <c r="R3267" i="1"/>
  <c r="U3267" i="1"/>
  <c r="V3267" i="1"/>
  <c r="R3268" i="1"/>
  <c r="U3268" i="1"/>
  <c r="V3268" i="1"/>
  <c r="R3269" i="1"/>
  <c r="U3269" i="1"/>
  <c r="V3269" i="1"/>
  <c r="R3270" i="1"/>
  <c r="U3270" i="1"/>
  <c r="V3270" i="1"/>
  <c r="R3271" i="1"/>
  <c r="U3271" i="1"/>
  <c r="V3271" i="1"/>
  <c r="R3272" i="1"/>
  <c r="U3272" i="1"/>
  <c r="V3272" i="1"/>
  <c r="R3273" i="1"/>
  <c r="U3273" i="1"/>
  <c r="V3273" i="1"/>
  <c r="R3274" i="1"/>
  <c r="U3274" i="1"/>
  <c r="V3274" i="1"/>
  <c r="R3275" i="1"/>
  <c r="U3275" i="1"/>
  <c r="V3275" i="1"/>
  <c r="R3276" i="1"/>
  <c r="U3276" i="1"/>
  <c r="V3276" i="1"/>
  <c r="R3277" i="1"/>
  <c r="U3277" i="1"/>
  <c r="V3277" i="1"/>
  <c r="R3278" i="1"/>
  <c r="U3278" i="1"/>
  <c r="V3278" i="1"/>
  <c r="R3279" i="1"/>
  <c r="U3279" i="1"/>
  <c r="V3279" i="1"/>
  <c r="R3280" i="1"/>
  <c r="U3280" i="1"/>
  <c r="V3280" i="1"/>
  <c r="R3281" i="1"/>
  <c r="U3281" i="1"/>
  <c r="V3281" i="1"/>
  <c r="R3282" i="1"/>
  <c r="U3282" i="1"/>
  <c r="V3282" i="1"/>
  <c r="R3283" i="1"/>
  <c r="U3283" i="1"/>
  <c r="V3283" i="1"/>
  <c r="R3284" i="1"/>
  <c r="U3284" i="1"/>
  <c r="V3284" i="1"/>
  <c r="R3285" i="1"/>
  <c r="U3285" i="1"/>
  <c r="V3285" i="1"/>
  <c r="R3286" i="1"/>
  <c r="U3286" i="1"/>
  <c r="V3286" i="1"/>
  <c r="R3287" i="1"/>
  <c r="U3287" i="1"/>
  <c r="V3287" i="1"/>
  <c r="R3288" i="1"/>
  <c r="U3288" i="1"/>
  <c r="V3288" i="1"/>
  <c r="R3289" i="1"/>
  <c r="U3289" i="1"/>
  <c r="V3289" i="1"/>
  <c r="R3290" i="1"/>
  <c r="U3290" i="1"/>
  <c r="V3290" i="1"/>
  <c r="R3291" i="1"/>
  <c r="U3291" i="1"/>
  <c r="V3291" i="1"/>
  <c r="R3292" i="1"/>
  <c r="U3292" i="1"/>
  <c r="V3292" i="1"/>
  <c r="R3293" i="1"/>
  <c r="U3293" i="1"/>
  <c r="V3293" i="1"/>
  <c r="R3294" i="1"/>
  <c r="U3294" i="1"/>
  <c r="V3294" i="1"/>
  <c r="R3295" i="1"/>
  <c r="U3295" i="1"/>
  <c r="V3295" i="1"/>
  <c r="R3296" i="1"/>
  <c r="U3296" i="1"/>
  <c r="V3296" i="1"/>
  <c r="R3297" i="1"/>
  <c r="U3297" i="1"/>
  <c r="V3297" i="1"/>
  <c r="R3298" i="1"/>
  <c r="U3298" i="1"/>
  <c r="V3298" i="1"/>
  <c r="R3299" i="1"/>
  <c r="U3299" i="1"/>
  <c r="V3299" i="1"/>
  <c r="R3300" i="1"/>
  <c r="U3300" i="1"/>
  <c r="V3300" i="1"/>
  <c r="R3301" i="1"/>
  <c r="U3301" i="1"/>
  <c r="V3301" i="1"/>
  <c r="R3302" i="1"/>
  <c r="U3302" i="1"/>
  <c r="V3302" i="1"/>
  <c r="R3303" i="1"/>
  <c r="U3303" i="1"/>
  <c r="V3303" i="1"/>
  <c r="R3304" i="1"/>
  <c r="U3304" i="1"/>
  <c r="V3304" i="1"/>
  <c r="R3305" i="1"/>
  <c r="U3305" i="1"/>
  <c r="V3305" i="1"/>
  <c r="R3306" i="1"/>
  <c r="U3306" i="1"/>
  <c r="V3306" i="1"/>
  <c r="R3307" i="1"/>
  <c r="U3307" i="1"/>
  <c r="V3307" i="1"/>
  <c r="R3308" i="1"/>
  <c r="U3308" i="1"/>
  <c r="V3308" i="1"/>
  <c r="R3309" i="1"/>
  <c r="U3309" i="1"/>
  <c r="V3309" i="1"/>
  <c r="R3310" i="1"/>
  <c r="U3310" i="1"/>
  <c r="V3310" i="1"/>
  <c r="R3311" i="1"/>
  <c r="U3311" i="1"/>
  <c r="V3311" i="1"/>
  <c r="R3312" i="1"/>
  <c r="U3312" i="1"/>
  <c r="V3312" i="1"/>
  <c r="R3313" i="1"/>
  <c r="U3313" i="1"/>
  <c r="V3313" i="1"/>
  <c r="R3314" i="1"/>
  <c r="U3314" i="1"/>
  <c r="V3314" i="1"/>
  <c r="R3315" i="1"/>
  <c r="U3315" i="1"/>
  <c r="V3315" i="1"/>
  <c r="R3316" i="1"/>
  <c r="U3316" i="1"/>
  <c r="V3316" i="1"/>
  <c r="R3317" i="1"/>
  <c r="U3317" i="1"/>
  <c r="V3317" i="1"/>
  <c r="R3318" i="1"/>
  <c r="U3318" i="1"/>
  <c r="V3318" i="1"/>
  <c r="R3319" i="1"/>
  <c r="U3319" i="1"/>
  <c r="V3319" i="1"/>
  <c r="R3320" i="1"/>
  <c r="U3320" i="1"/>
  <c r="V3320" i="1"/>
  <c r="R3321" i="1"/>
  <c r="U3321" i="1"/>
  <c r="V3321" i="1"/>
  <c r="R3322" i="1"/>
  <c r="U3322" i="1"/>
  <c r="V3322" i="1"/>
  <c r="R3323" i="1"/>
  <c r="U3323" i="1"/>
  <c r="V3323" i="1"/>
  <c r="R3324" i="1"/>
  <c r="U3324" i="1"/>
  <c r="V3324" i="1"/>
  <c r="R3325" i="1"/>
  <c r="U3325" i="1"/>
  <c r="V3325" i="1"/>
  <c r="R3326" i="1"/>
  <c r="U3326" i="1"/>
  <c r="V3326" i="1"/>
  <c r="R3327" i="1"/>
  <c r="U3327" i="1"/>
  <c r="V3327" i="1"/>
  <c r="R3328" i="1"/>
  <c r="U3328" i="1"/>
  <c r="V3328" i="1"/>
  <c r="R3329" i="1"/>
  <c r="U3329" i="1"/>
  <c r="V3329" i="1"/>
  <c r="R3330" i="1"/>
  <c r="U3330" i="1"/>
  <c r="V3330" i="1"/>
  <c r="R3331" i="1"/>
  <c r="U3331" i="1"/>
  <c r="V3331" i="1"/>
  <c r="R3332" i="1"/>
  <c r="U3332" i="1"/>
  <c r="V3332" i="1"/>
  <c r="R3333" i="1"/>
  <c r="U3333" i="1"/>
  <c r="V3333" i="1"/>
  <c r="R3334" i="1"/>
  <c r="U3334" i="1"/>
  <c r="V3334" i="1"/>
  <c r="R3335" i="1"/>
  <c r="U3335" i="1"/>
  <c r="V3335" i="1"/>
  <c r="R3336" i="1"/>
  <c r="U3336" i="1"/>
  <c r="V3336" i="1"/>
  <c r="R3337" i="1"/>
  <c r="U3337" i="1"/>
  <c r="V3337" i="1"/>
  <c r="R3338" i="1"/>
  <c r="U3338" i="1"/>
  <c r="V3338" i="1"/>
  <c r="R3339" i="1"/>
  <c r="U3339" i="1"/>
  <c r="V3339" i="1"/>
  <c r="R3340" i="1"/>
  <c r="U3340" i="1"/>
  <c r="V3340" i="1"/>
  <c r="R3341" i="1"/>
  <c r="U3341" i="1"/>
  <c r="V3341" i="1"/>
  <c r="R3342" i="1"/>
  <c r="U3342" i="1"/>
  <c r="V3342" i="1"/>
  <c r="R3343" i="1"/>
  <c r="U3343" i="1"/>
  <c r="V3343" i="1"/>
  <c r="R3344" i="1"/>
  <c r="U3344" i="1"/>
  <c r="V3344" i="1"/>
  <c r="R3345" i="1"/>
  <c r="U3345" i="1"/>
  <c r="V3345" i="1"/>
  <c r="R3346" i="1"/>
  <c r="U3346" i="1"/>
  <c r="V3346" i="1"/>
  <c r="R3347" i="1"/>
  <c r="U3347" i="1"/>
  <c r="V3347" i="1"/>
  <c r="R3348" i="1"/>
  <c r="U3348" i="1"/>
  <c r="V3348" i="1"/>
  <c r="R3349" i="1"/>
  <c r="U3349" i="1"/>
  <c r="V3349" i="1"/>
  <c r="R3350" i="1"/>
  <c r="U3350" i="1"/>
  <c r="V3350" i="1"/>
  <c r="R3351" i="1"/>
  <c r="U3351" i="1"/>
  <c r="V3351" i="1"/>
  <c r="R3352" i="1"/>
  <c r="U3352" i="1"/>
  <c r="V3352" i="1"/>
  <c r="R3353" i="1"/>
  <c r="U3353" i="1"/>
  <c r="V3353" i="1"/>
  <c r="R3354" i="1"/>
  <c r="U3354" i="1"/>
  <c r="V3354" i="1"/>
  <c r="R3355" i="1"/>
  <c r="U3355" i="1"/>
  <c r="V3355" i="1"/>
  <c r="R3356" i="1"/>
  <c r="U3356" i="1"/>
  <c r="V3356" i="1"/>
  <c r="R3357" i="1"/>
  <c r="U3357" i="1"/>
  <c r="V3357" i="1"/>
  <c r="R3358" i="1"/>
  <c r="U3358" i="1"/>
  <c r="V3358" i="1"/>
  <c r="R3359" i="1"/>
  <c r="U3359" i="1"/>
  <c r="V3359" i="1"/>
  <c r="R3360" i="1"/>
  <c r="U3360" i="1"/>
  <c r="V3360" i="1"/>
  <c r="R3361" i="1"/>
  <c r="U3361" i="1"/>
  <c r="V3361" i="1"/>
  <c r="R3362" i="1"/>
  <c r="U3362" i="1"/>
  <c r="V3362" i="1"/>
  <c r="R3363" i="1"/>
  <c r="U3363" i="1"/>
  <c r="V3363" i="1"/>
  <c r="R3364" i="1"/>
  <c r="U3364" i="1"/>
  <c r="V3364" i="1"/>
  <c r="R3365" i="1"/>
  <c r="U3365" i="1"/>
  <c r="V3365" i="1"/>
  <c r="R3366" i="1"/>
  <c r="U3366" i="1"/>
  <c r="V3366" i="1"/>
  <c r="R3367" i="1"/>
  <c r="U3367" i="1"/>
  <c r="V3367" i="1"/>
  <c r="R3368" i="1"/>
  <c r="U3368" i="1"/>
  <c r="V3368" i="1"/>
  <c r="R3369" i="1"/>
  <c r="U3369" i="1"/>
  <c r="V3369" i="1"/>
  <c r="R3370" i="1"/>
  <c r="U3370" i="1"/>
  <c r="V3370" i="1"/>
  <c r="R3371" i="1"/>
  <c r="U3371" i="1"/>
  <c r="V3371" i="1"/>
  <c r="R3372" i="1"/>
  <c r="U3372" i="1"/>
  <c r="V3372" i="1"/>
  <c r="R3373" i="1"/>
  <c r="U3373" i="1"/>
  <c r="V3373" i="1"/>
  <c r="R3374" i="1"/>
  <c r="U3374" i="1"/>
  <c r="V3374" i="1"/>
  <c r="R3375" i="1"/>
  <c r="U3375" i="1"/>
  <c r="V3375" i="1"/>
  <c r="R3376" i="1"/>
  <c r="U3376" i="1"/>
  <c r="V3376" i="1"/>
  <c r="R3377" i="1"/>
  <c r="U3377" i="1"/>
  <c r="V3377" i="1"/>
  <c r="R3378" i="1"/>
  <c r="U3378" i="1"/>
  <c r="V3378" i="1"/>
  <c r="R3379" i="1"/>
  <c r="U3379" i="1"/>
  <c r="V3379" i="1"/>
  <c r="R3380" i="1"/>
  <c r="U3380" i="1"/>
  <c r="V3380" i="1"/>
  <c r="R3381" i="1"/>
  <c r="U3381" i="1"/>
  <c r="V3381" i="1"/>
  <c r="R3382" i="1"/>
  <c r="U3382" i="1"/>
  <c r="V3382" i="1"/>
  <c r="R3383" i="1"/>
  <c r="U3383" i="1"/>
  <c r="V3383" i="1"/>
  <c r="R3384" i="1"/>
  <c r="U3384" i="1"/>
  <c r="V3384" i="1"/>
  <c r="R3385" i="1"/>
  <c r="U3385" i="1"/>
  <c r="V3385" i="1"/>
  <c r="R3386" i="1"/>
  <c r="U3386" i="1"/>
  <c r="V3386" i="1"/>
  <c r="R3387" i="1"/>
  <c r="U3387" i="1"/>
  <c r="V3387" i="1"/>
  <c r="R3388" i="1"/>
  <c r="U3388" i="1"/>
  <c r="V3388" i="1"/>
  <c r="R3389" i="1"/>
  <c r="U3389" i="1"/>
  <c r="V3389" i="1"/>
  <c r="R3390" i="1"/>
  <c r="U3390" i="1"/>
  <c r="V3390" i="1"/>
  <c r="R3391" i="1"/>
  <c r="U3391" i="1"/>
  <c r="V3391" i="1"/>
  <c r="R3392" i="1"/>
  <c r="U3392" i="1"/>
  <c r="V3392" i="1"/>
  <c r="R3393" i="1"/>
  <c r="U3393" i="1"/>
  <c r="V3393" i="1"/>
  <c r="R3394" i="1"/>
  <c r="U3394" i="1"/>
  <c r="V3394" i="1"/>
  <c r="R3395" i="1"/>
  <c r="U3395" i="1"/>
  <c r="V3395" i="1"/>
  <c r="R3396" i="1"/>
  <c r="U3396" i="1"/>
  <c r="V3396" i="1"/>
  <c r="R3397" i="1"/>
  <c r="U3397" i="1"/>
  <c r="V3397" i="1"/>
  <c r="R3398" i="1"/>
  <c r="U3398" i="1"/>
  <c r="V3398" i="1"/>
  <c r="R3399" i="1"/>
  <c r="U3399" i="1"/>
  <c r="V3399" i="1"/>
  <c r="R3400" i="1"/>
  <c r="U3400" i="1"/>
  <c r="V3400" i="1"/>
  <c r="R3401" i="1"/>
  <c r="U3401" i="1"/>
  <c r="V3401" i="1"/>
  <c r="R3402" i="1"/>
  <c r="U3402" i="1"/>
  <c r="V3402" i="1"/>
  <c r="R3403" i="1"/>
  <c r="U3403" i="1"/>
  <c r="V3403" i="1"/>
  <c r="R3404" i="1"/>
  <c r="U3404" i="1"/>
  <c r="V3404" i="1"/>
  <c r="R3405" i="1"/>
  <c r="U3405" i="1"/>
  <c r="V3405" i="1"/>
  <c r="R3406" i="1"/>
  <c r="U3406" i="1"/>
  <c r="V3406" i="1"/>
  <c r="R3407" i="1"/>
  <c r="U3407" i="1"/>
  <c r="V3407" i="1"/>
  <c r="R3408" i="1"/>
  <c r="U3408" i="1"/>
  <c r="V3408" i="1"/>
  <c r="R3409" i="1"/>
  <c r="U3409" i="1"/>
  <c r="V3409" i="1"/>
  <c r="R3410" i="1"/>
  <c r="U3410" i="1"/>
  <c r="V3410" i="1"/>
  <c r="R3411" i="1"/>
  <c r="U3411" i="1"/>
  <c r="V3411" i="1"/>
  <c r="R3412" i="1"/>
  <c r="U3412" i="1"/>
  <c r="V3412" i="1"/>
  <c r="R3413" i="1"/>
  <c r="U3413" i="1"/>
  <c r="V3413" i="1"/>
  <c r="R3414" i="1"/>
  <c r="U3414" i="1"/>
  <c r="V3414" i="1"/>
  <c r="R3415" i="1"/>
  <c r="U3415" i="1"/>
  <c r="V3415" i="1"/>
  <c r="R3416" i="1"/>
  <c r="U3416" i="1"/>
  <c r="V3416" i="1"/>
  <c r="R3417" i="1"/>
  <c r="U3417" i="1"/>
  <c r="V3417" i="1"/>
  <c r="R3418" i="1"/>
  <c r="U3418" i="1"/>
  <c r="V3418" i="1"/>
  <c r="R3419" i="1"/>
  <c r="U3419" i="1"/>
  <c r="V3419" i="1"/>
  <c r="R3420" i="1"/>
  <c r="U3420" i="1"/>
  <c r="V3420" i="1"/>
  <c r="R3421" i="1"/>
  <c r="U3421" i="1"/>
  <c r="V3421" i="1"/>
  <c r="R3422" i="1"/>
  <c r="U3422" i="1"/>
  <c r="V3422" i="1"/>
  <c r="R3423" i="1"/>
  <c r="U3423" i="1"/>
  <c r="V3423" i="1"/>
  <c r="R3424" i="1"/>
  <c r="U3424" i="1"/>
  <c r="V3424" i="1"/>
  <c r="R3425" i="1"/>
  <c r="U3425" i="1"/>
  <c r="V3425" i="1"/>
  <c r="R3426" i="1"/>
  <c r="U3426" i="1"/>
  <c r="V3426" i="1"/>
  <c r="R3427" i="1"/>
  <c r="U3427" i="1"/>
  <c r="V3427" i="1"/>
  <c r="R3428" i="1"/>
  <c r="U3428" i="1"/>
  <c r="V3428" i="1"/>
  <c r="R3429" i="1"/>
  <c r="U3429" i="1"/>
  <c r="V3429" i="1"/>
  <c r="R3430" i="1"/>
  <c r="U3430" i="1"/>
  <c r="V3430" i="1"/>
  <c r="R3431" i="1"/>
  <c r="U3431" i="1"/>
  <c r="V3431" i="1"/>
  <c r="R3432" i="1"/>
  <c r="U3432" i="1"/>
  <c r="V3432" i="1"/>
  <c r="R3433" i="1"/>
  <c r="U3433" i="1"/>
  <c r="V3433" i="1"/>
  <c r="R3434" i="1"/>
  <c r="U3434" i="1"/>
  <c r="V3434" i="1"/>
  <c r="R3435" i="1"/>
  <c r="U3435" i="1"/>
  <c r="V3435" i="1"/>
  <c r="R3436" i="1"/>
  <c r="U3436" i="1"/>
  <c r="V3436" i="1"/>
  <c r="R3437" i="1"/>
  <c r="U3437" i="1"/>
  <c r="V3437" i="1"/>
  <c r="R3438" i="1"/>
  <c r="U3438" i="1"/>
  <c r="V3438" i="1"/>
  <c r="R3439" i="1"/>
  <c r="U3439" i="1"/>
  <c r="V3439" i="1"/>
  <c r="R3440" i="1"/>
  <c r="U3440" i="1"/>
  <c r="V3440" i="1"/>
  <c r="R3441" i="1"/>
  <c r="U3441" i="1"/>
  <c r="V3441" i="1"/>
  <c r="R3442" i="1"/>
  <c r="U3442" i="1"/>
  <c r="V3442" i="1"/>
  <c r="R3443" i="1"/>
  <c r="U3443" i="1"/>
  <c r="V3443" i="1"/>
  <c r="R3444" i="1"/>
  <c r="U3444" i="1"/>
  <c r="V3444" i="1"/>
  <c r="R3445" i="1"/>
  <c r="U3445" i="1"/>
  <c r="V3445" i="1"/>
  <c r="R3446" i="1"/>
  <c r="U3446" i="1"/>
  <c r="V3446" i="1"/>
  <c r="R3447" i="1"/>
  <c r="U3447" i="1"/>
  <c r="V3447" i="1"/>
  <c r="R3448" i="1"/>
  <c r="U3448" i="1"/>
  <c r="V3448" i="1"/>
  <c r="R3449" i="1"/>
  <c r="U3449" i="1"/>
  <c r="V3449" i="1"/>
  <c r="R3450" i="1"/>
  <c r="U3450" i="1"/>
  <c r="V3450" i="1"/>
  <c r="R3451" i="1"/>
  <c r="U3451" i="1"/>
  <c r="V3451" i="1"/>
  <c r="R3452" i="1"/>
  <c r="U3452" i="1"/>
  <c r="V3452" i="1"/>
  <c r="R3453" i="1"/>
  <c r="U3453" i="1"/>
  <c r="V3453" i="1"/>
  <c r="R3454" i="1"/>
  <c r="U3454" i="1"/>
  <c r="V3454" i="1"/>
  <c r="R3455" i="1"/>
  <c r="U3455" i="1"/>
  <c r="V3455" i="1"/>
  <c r="R3456" i="1"/>
  <c r="U3456" i="1"/>
  <c r="V3456" i="1"/>
  <c r="R3457" i="1"/>
  <c r="U3457" i="1"/>
  <c r="V3457" i="1"/>
  <c r="R3458" i="1"/>
  <c r="U3458" i="1"/>
  <c r="V3458" i="1"/>
  <c r="R3459" i="1"/>
  <c r="U3459" i="1"/>
  <c r="V3459" i="1"/>
  <c r="R3460" i="1"/>
  <c r="U3460" i="1"/>
  <c r="V3460" i="1"/>
  <c r="R3461" i="1"/>
  <c r="U3461" i="1"/>
  <c r="V3461" i="1"/>
  <c r="R3462" i="1"/>
  <c r="U3462" i="1"/>
  <c r="V3462" i="1"/>
  <c r="R3463" i="1"/>
  <c r="U3463" i="1"/>
  <c r="V3463" i="1"/>
  <c r="R3464" i="1"/>
  <c r="U3464" i="1"/>
  <c r="V3464" i="1"/>
  <c r="R3465" i="1"/>
  <c r="U3465" i="1"/>
  <c r="V3465" i="1"/>
  <c r="R3466" i="1"/>
  <c r="U3466" i="1"/>
  <c r="V3466" i="1"/>
  <c r="R3467" i="1"/>
  <c r="U3467" i="1"/>
  <c r="V3467" i="1"/>
  <c r="R3468" i="1"/>
  <c r="U3468" i="1"/>
  <c r="V3468" i="1"/>
  <c r="R3469" i="1"/>
  <c r="U3469" i="1"/>
  <c r="V3469" i="1"/>
  <c r="R3470" i="1"/>
  <c r="U3470" i="1"/>
  <c r="V3470" i="1"/>
  <c r="R3471" i="1"/>
  <c r="U3471" i="1"/>
  <c r="V3471" i="1"/>
  <c r="R3472" i="1"/>
  <c r="U3472" i="1"/>
  <c r="V3472" i="1"/>
  <c r="R3473" i="1"/>
  <c r="U3473" i="1"/>
  <c r="V3473" i="1"/>
  <c r="R3474" i="1"/>
  <c r="U3474" i="1"/>
  <c r="V3474" i="1"/>
  <c r="R3475" i="1"/>
  <c r="U3475" i="1"/>
  <c r="V3475" i="1"/>
  <c r="R3476" i="1"/>
  <c r="U3476" i="1"/>
  <c r="V3476" i="1"/>
  <c r="R3477" i="1"/>
  <c r="U3477" i="1"/>
  <c r="V3477" i="1"/>
  <c r="R3478" i="1"/>
  <c r="U3478" i="1"/>
  <c r="V3478" i="1"/>
  <c r="R3479" i="1"/>
  <c r="U3479" i="1"/>
  <c r="V3479" i="1"/>
  <c r="R3480" i="1"/>
  <c r="U3480" i="1"/>
  <c r="V3480" i="1"/>
  <c r="R3481" i="1"/>
  <c r="U3481" i="1"/>
  <c r="V3481" i="1"/>
  <c r="R3482" i="1"/>
  <c r="U3482" i="1"/>
  <c r="V3482" i="1"/>
  <c r="R3483" i="1"/>
  <c r="U3483" i="1"/>
  <c r="V3483" i="1"/>
  <c r="R3484" i="1"/>
  <c r="U3484" i="1"/>
  <c r="V3484" i="1"/>
  <c r="R3485" i="1"/>
  <c r="U3485" i="1"/>
  <c r="V3485" i="1"/>
  <c r="R3486" i="1"/>
  <c r="U3486" i="1"/>
  <c r="V3486" i="1"/>
  <c r="R3487" i="1"/>
  <c r="U3487" i="1"/>
  <c r="V3487" i="1"/>
  <c r="R3488" i="1"/>
  <c r="U3488" i="1"/>
  <c r="V3488" i="1"/>
  <c r="R3489" i="1"/>
  <c r="U3489" i="1"/>
  <c r="V3489" i="1"/>
  <c r="R3490" i="1"/>
  <c r="U3490" i="1"/>
  <c r="V3490" i="1"/>
  <c r="R3491" i="1"/>
  <c r="U3491" i="1"/>
  <c r="V3491" i="1"/>
  <c r="R3492" i="1"/>
  <c r="U3492" i="1"/>
  <c r="V3492" i="1"/>
  <c r="R3493" i="1"/>
  <c r="U3493" i="1"/>
  <c r="V3493" i="1"/>
  <c r="R3494" i="1"/>
  <c r="U3494" i="1"/>
  <c r="V3494" i="1"/>
  <c r="R3495" i="1"/>
  <c r="U3495" i="1"/>
  <c r="V3495" i="1"/>
  <c r="R3496" i="1"/>
  <c r="U3496" i="1"/>
  <c r="V3496" i="1"/>
  <c r="R3497" i="1"/>
  <c r="U3497" i="1"/>
  <c r="V3497" i="1"/>
  <c r="R3498" i="1"/>
  <c r="U3498" i="1"/>
  <c r="V3498" i="1"/>
  <c r="R3499" i="1"/>
  <c r="U3499" i="1"/>
  <c r="V3499" i="1"/>
  <c r="R3500" i="1"/>
  <c r="U3500" i="1"/>
  <c r="V3500" i="1"/>
  <c r="R3501" i="1"/>
  <c r="U3501" i="1"/>
  <c r="V3501" i="1"/>
  <c r="R3502" i="1"/>
  <c r="U3502" i="1"/>
  <c r="V3502" i="1"/>
  <c r="R3503" i="1"/>
  <c r="U3503" i="1"/>
  <c r="V3503" i="1"/>
  <c r="R3504" i="1"/>
  <c r="U3504" i="1"/>
  <c r="V3504" i="1"/>
  <c r="R3505" i="1"/>
  <c r="U3505" i="1"/>
  <c r="V3505" i="1"/>
  <c r="R3506" i="1"/>
  <c r="U3506" i="1"/>
  <c r="V3506" i="1"/>
  <c r="R3507" i="1"/>
  <c r="U3507" i="1"/>
  <c r="V3507" i="1"/>
  <c r="R3508" i="1"/>
  <c r="U3508" i="1"/>
  <c r="V3508" i="1"/>
  <c r="R3509" i="1"/>
  <c r="U3509" i="1"/>
  <c r="V3509" i="1"/>
  <c r="R3510" i="1"/>
  <c r="U3510" i="1"/>
  <c r="V3510" i="1"/>
  <c r="R3511" i="1"/>
  <c r="U3511" i="1"/>
  <c r="V3511" i="1"/>
  <c r="R3512" i="1"/>
  <c r="U3512" i="1"/>
  <c r="V3512" i="1"/>
  <c r="R3513" i="1"/>
  <c r="U3513" i="1"/>
  <c r="V3513" i="1"/>
  <c r="R3514" i="1"/>
  <c r="U3514" i="1"/>
  <c r="V3514" i="1"/>
  <c r="R3515" i="1"/>
  <c r="U3515" i="1"/>
  <c r="V3515" i="1"/>
  <c r="R3516" i="1"/>
  <c r="U3516" i="1"/>
  <c r="V3516" i="1"/>
  <c r="R3517" i="1"/>
  <c r="U3517" i="1"/>
  <c r="V3517" i="1"/>
  <c r="R3518" i="1"/>
  <c r="U3518" i="1"/>
  <c r="V3518" i="1"/>
  <c r="R3519" i="1"/>
  <c r="U3519" i="1"/>
  <c r="V3519" i="1"/>
  <c r="R3520" i="1"/>
  <c r="U3520" i="1"/>
  <c r="V3520" i="1"/>
  <c r="R3521" i="1"/>
  <c r="U3521" i="1"/>
  <c r="V3521" i="1"/>
  <c r="R3522" i="1"/>
  <c r="U3522" i="1"/>
  <c r="V3522" i="1"/>
  <c r="R3523" i="1"/>
  <c r="U3523" i="1"/>
  <c r="V3523" i="1"/>
  <c r="R3524" i="1"/>
  <c r="U3524" i="1"/>
  <c r="V3524" i="1"/>
  <c r="R3525" i="1"/>
  <c r="U3525" i="1"/>
  <c r="V3525" i="1"/>
  <c r="R3526" i="1"/>
  <c r="U3526" i="1"/>
  <c r="V3526" i="1"/>
  <c r="R3527" i="1"/>
  <c r="U3527" i="1"/>
  <c r="V3527" i="1"/>
  <c r="R3528" i="1"/>
  <c r="U3528" i="1"/>
  <c r="V3528" i="1"/>
  <c r="R3529" i="1"/>
  <c r="U3529" i="1"/>
  <c r="V3529" i="1"/>
  <c r="R3530" i="1"/>
  <c r="U3530" i="1"/>
  <c r="V3530" i="1"/>
  <c r="R3531" i="1"/>
  <c r="U3531" i="1"/>
  <c r="V3531" i="1"/>
  <c r="R3532" i="1"/>
  <c r="U3532" i="1"/>
  <c r="V3532" i="1"/>
  <c r="R3533" i="1"/>
  <c r="U3533" i="1"/>
  <c r="V3533" i="1"/>
  <c r="R3534" i="1"/>
  <c r="U3534" i="1"/>
  <c r="V3534" i="1"/>
  <c r="R3535" i="1"/>
  <c r="U3535" i="1"/>
  <c r="V3535" i="1"/>
  <c r="R3536" i="1"/>
  <c r="U3536" i="1"/>
  <c r="V3536" i="1"/>
  <c r="R3537" i="1"/>
  <c r="U3537" i="1"/>
  <c r="V3537" i="1"/>
  <c r="R3538" i="1"/>
  <c r="U3538" i="1"/>
  <c r="V3538" i="1"/>
  <c r="R3539" i="1"/>
  <c r="U3539" i="1"/>
  <c r="V3539" i="1"/>
  <c r="R3540" i="1"/>
  <c r="U3540" i="1"/>
  <c r="V3540" i="1"/>
  <c r="R3541" i="1"/>
  <c r="U3541" i="1"/>
  <c r="V3541" i="1"/>
  <c r="R3542" i="1"/>
  <c r="U3542" i="1"/>
  <c r="V3542" i="1"/>
  <c r="R3543" i="1"/>
  <c r="U3543" i="1"/>
  <c r="V3543" i="1"/>
  <c r="R3544" i="1"/>
  <c r="U3544" i="1"/>
  <c r="V3544" i="1"/>
  <c r="R3545" i="1"/>
  <c r="U3545" i="1"/>
  <c r="V3545" i="1"/>
  <c r="R3546" i="1"/>
  <c r="U3546" i="1"/>
  <c r="V3546" i="1"/>
  <c r="R3547" i="1"/>
  <c r="U3547" i="1"/>
  <c r="V3547" i="1"/>
  <c r="R3548" i="1"/>
  <c r="U3548" i="1"/>
  <c r="V3548" i="1"/>
  <c r="R3549" i="1"/>
  <c r="U3549" i="1"/>
  <c r="V3549" i="1"/>
  <c r="R3550" i="1"/>
  <c r="U3550" i="1"/>
  <c r="V3550" i="1"/>
  <c r="R3551" i="1"/>
  <c r="U3551" i="1"/>
  <c r="V3551" i="1"/>
  <c r="R3552" i="1"/>
  <c r="U3552" i="1"/>
  <c r="V3552" i="1"/>
  <c r="R3553" i="1"/>
  <c r="U3553" i="1"/>
  <c r="V3553" i="1"/>
  <c r="R3554" i="1"/>
  <c r="U3554" i="1"/>
  <c r="V3554" i="1"/>
  <c r="R3555" i="1"/>
  <c r="U3555" i="1"/>
  <c r="V3555" i="1"/>
  <c r="R3556" i="1"/>
  <c r="U3556" i="1"/>
  <c r="V3556" i="1"/>
  <c r="R3557" i="1"/>
  <c r="U3557" i="1"/>
  <c r="V3557" i="1"/>
  <c r="R3558" i="1"/>
  <c r="U3558" i="1"/>
  <c r="V3558" i="1"/>
  <c r="R3559" i="1"/>
  <c r="U3559" i="1"/>
  <c r="V3559" i="1"/>
  <c r="R3560" i="1"/>
  <c r="U3560" i="1"/>
  <c r="V3560" i="1"/>
  <c r="R3561" i="1"/>
  <c r="U3561" i="1"/>
  <c r="V3561" i="1"/>
  <c r="R3562" i="1"/>
  <c r="U3562" i="1"/>
  <c r="V3562" i="1"/>
  <c r="R3563" i="1"/>
  <c r="U3563" i="1"/>
  <c r="V3563" i="1"/>
  <c r="R3564" i="1"/>
  <c r="U3564" i="1"/>
  <c r="V3564" i="1"/>
  <c r="R3565" i="1"/>
  <c r="U3565" i="1"/>
  <c r="V3565" i="1"/>
  <c r="R3566" i="1"/>
  <c r="U3566" i="1"/>
  <c r="V3566" i="1"/>
  <c r="R3567" i="1"/>
  <c r="U3567" i="1"/>
  <c r="V3567" i="1"/>
  <c r="R3568" i="1"/>
  <c r="U3568" i="1"/>
  <c r="V3568" i="1"/>
  <c r="R3569" i="1"/>
  <c r="U3569" i="1"/>
  <c r="V3569" i="1"/>
  <c r="R3570" i="1"/>
  <c r="U3570" i="1"/>
  <c r="V3570" i="1"/>
  <c r="R3571" i="1"/>
  <c r="U3571" i="1"/>
  <c r="V3571" i="1"/>
  <c r="R3572" i="1"/>
  <c r="U3572" i="1"/>
  <c r="V3572" i="1"/>
  <c r="R3573" i="1"/>
  <c r="U3573" i="1"/>
  <c r="V3573" i="1"/>
  <c r="R3574" i="1"/>
  <c r="U3574" i="1"/>
  <c r="V3574" i="1"/>
  <c r="R3575" i="1"/>
  <c r="U3575" i="1"/>
  <c r="V3575" i="1"/>
  <c r="R3576" i="1"/>
  <c r="U3576" i="1"/>
  <c r="V3576" i="1"/>
  <c r="R3577" i="1"/>
  <c r="U3577" i="1"/>
  <c r="V3577" i="1"/>
  <c r="R3578" i="1"/>
  <c r="U3578" i="1"/>
  <c r="V3578" i="1"/>
  <c r="R3579" i="1"/>
  <c r="U3579" i="1"/>
  <c r="V3579" i="1"/>
  <c r="R3580" i="1"/>
  <c r="U3580" i="1"/>
  <c r="V3580" i="1"/>
  <c r="R3581" i="1"/>
  <c r="U3581" i="1"/>
  <c r="V3581" i="1"/>
  <c r="R3582" i="1"/>
  <c r="U3582" i="1"/>
  <c r="V3582" i="1"/>
  <c r="R3583" i="1"/>
  <c r="U3583" i="1"/>
  <c r="V3583" i="1"/>
  <c r="R3584" i="1"/>
  <c r="U3584" i="1"/>
  <c r="V3584" i="1"/>
  <c r="R3585" i="1"/>
  <c r="U3585" i="1"/>
  <c r="V3585" i="1"/>
  <c r="R3586" i="1"/>
  <c r="U3586" i="1"/>
  <c r="V3586" i="1"/>
  <c r="R3587" i="1"/>
  <c r="U3587" i="1"/>
  <c r="V3587" i="1"/>
  <c r="R3588" i="1"/>
  <c r="U3588" i="1"/>
  <c r="V3588" i="1"/>
  <c r="R3589" i="1"/>
  <c r="U3589" i="1"/>
  <c r="V3589" i="1"/>
  <c r="R3590" i="1"/>
  <c r="U3590" i="1"/>
  <c r="V3590" i="1"/>
  <c r="R3591" i="1"/>
  <c r="U3591" i="1"/>
  <c r="V3591" i="1"/>
  <c r="R3592" i="1"/>
  <c r="U3592" i="1"/>
  <c r="V3592" i="1"/>
  <c r="R3593" i="1"/>
  <c r="U3593" i="1"/>
  <c r="V3593" i="1"/>
  <c r="R3594" i="1"/>
  <c r="U3594" i="1"/>
  <c r="V3594" i="1"/>
  <c r="R3595" i="1"/>
  <c r="U3595" i="1"/>
  <c r="V3595" i="1"/>
  <c r="R3596" i="1"/>
  <c r="U3596" i="1"/>
  <c r="V3596" i="1"/>
  <c r="R3597" i="1"/>
  <c r="U3597" i="1"/>
  <c r="V3597" i="1"/>
  <c r="R3598" i="1"/>
  <c r="U3598" i="1"/>
  <c r="V3598" i="1"/>
  <c r="R3599" i="1"/>
  <c r="U3599" i="1"/>
  <c r="V3599" i="1"/>
  <c r="R3600" i="1"/>
  <c r="U3600" i="1"/>
  <c r="V3600" i="1"/>
  <c r="R3601" i="1"/>
  <c r="U3601" i="1"/>
  <c r="V3601" i="1"/>
  <c r="R3602" i="1"/>
  <c r="U3602" i="1"/>
  <c r="V3602" i="1"/>
  <c r="R3603" i="1"/>
  <c r="U3603" i="1"/>
  <c r="V3603" i="1"/>
  <c r="R3604" i="1"/>
  <c r="U3604" i="1"/>
  <c r="V3604" i="1"/>
  <c r="R3605" i="1"/>
  <c r="U3605" i="1"/>
  <c r="V3605" i="1"/>
  <c r="R3606" i="1"/>
  <c r="U3606" i="1"/>
  <c r="V3606" i="1"/>
  <c r="R3607" i="1"/>
  <c r="U3607" i="1"/>
  <c r="V3607" i="1"/>
  <c r="R3608" i="1"/>
  <c r="U3608" i="1"/>
  <c r="V3608" i="1"/>
  <c r="R3609" i="1"/>
  <c r="U3609" i="1"/>
  <c r="V3609" i="1"/>
  <c r="R3610" i="1"/>
  <c r="U3610" i="1"/>
  <c r="V3610" i="1"/>
  <c r="R3611" i="1"/>
  <c r="U3611" i="1"/>
  <c r="V3611" i="1"/>
  <c r="R3612" i="1"/>
  <c r="U3612" i="1"/>
  <c r="V3612" i="1"/>
  <c r="R3613" i="1"/>
  <c r="U3613" i="1"/>
  <c r="V3613" i="1"/>
  <c r="R3614" i="1"/>
  <c r="U3614" i="1"/>
  <c r="V3614" i="1"/>
  <c r="R3615" i="1"/>
  <c r="U3615" i="1"/>
  <c r="V3615" i="1"/>
  <c r="R3616" i="1"/>
  <c r="U3616" i="1"/>
  <c r="V3616" i="1"/>
  <c r="R3617" i="1"/>
  <c r="U3617" i="1"/>
  <c r="V3617" i="1"/>
  <c r="R3618" i="1"/>
  <c r="U3618" i="1"/>
  <c r="V3618" i="1"/>
  <c r="R3619" i="1"/>
  <c r="U3619" i="1"/>
  <c r="V3619" i="1"/>
  <c r="R3620" i="1"/>
  <c r="U3620" i="1"/>
  <c r="V3620" i="1"/>
  <c r="R3621" i="1"/>
  <c r="U3621" i="1"/>
  <c r="V3621" i="1"/>
  <c r="R3622" i="1"/>
  <c r="U3622" i="1"/>
  <c r="V3622" i="1"/>
  <c r="R3623" i="1"/>
  <c r="U3623" i="1"/>
  <c r="V3623" i="1"/>
  <c r="R3624" i="1"/>
  <c r="U3624" i="1"/>
  <c r="V3624" i="1"/>
  <c r="R3625" i="1"/>
  <c r="U3625" i="1"/>
  <c r="V3625" i="1"/>
  <c r="R3626" i="1"/>
  <c r="U3626" i="1"/>
  <c r="V3626" i="1"/>
  <c r="R3627" i="1"/>
  <c r="U3627" i="1"/>
  <c r="V3627" i="1"/>
  <c r="R3628" i="1"/>
  <c r="U3628" i="1"/>
  <c r="V3628" i="1"/>
  <c r="R3629" i="1"/>
  <c r="U3629" i="1"/>
  <c r="V3629" i="1"/>
  <c r="R3630" i="1"/>
  <c r="U3630" i="1"/>
  <c r="V3630" i="1"/>
  <c r="R3631" i="1"/>
  <c r="U3631" i="1"/>
  <c r="V3631" i="1"/>
  <c r="R3632" i="1"/>
  <c r="U3632" i="1"/>
  <c r="V3632" i="1"/>
  <c r="R3633" i="1"/>
  <c r="U3633" i="1"/>
  <c r="V3633" i="1"/>
  <c r="R3634" i="1"/>
  <c r="U3634" i="1"/>
  <c r="V3634" i="1"/>
  <c r="R3635" i="1"/>
  <c r="U3635" i="1"/>
  <c r="V3635" i="1"/>
  <c r="R3636" i="1"/>
  <c r="U3636" i="1"/>
  <c r="V3636" i="1"/>
  <c r="R3637" i="1"/>
  <c r="U3637" i="1"/>
  <c r="V3637" i="1"/>
  <c r="R3638" i="1"/>
  <c r="U3638" i="1"/>
  <c r="V3638" i="1"/>
  <c r="R3639" i="1"/>
  <c r="U3639" i="1"/>
  <c r="V3639" i="1"/>
  <c r="R3640" i="1"/>
  <c r="U3640" i="1"/>
  <c r="V3640" i="1"/>
  <c r="R3641" i="1"/>
  <c r="U3641" i="1"/>
  <c r="V3641" i="1"/>
  <c r="R3642" i="1"/>
  <c r="U3642" i="1"/>
  <c r="V3642" i="1"/>
  <c r="R3643" i="1"/>
  <c r="U3643" i="1"/>
  <c r="V3643" i="1"/>
  <c r="R3644" i="1"/>
  <c r="U3644" i="1"/>
  <c r="V3644" i="1"/>
  <c r="R3645" i="1"/>
  <c r="U3645" i="1"/>
  <c r="V3645" i="1"/>
  <c r="R3646" i="1"/>
  <c r="U3646" i="1"/>
  <c r="V3646" i="1"/>
  <c r="R3647" i="1"/>
  <c r="U3647" i="1"/>
  <c r="V3647" i="1"/>
  <c r="R3648" i="1"/>
  <c r="U3648" i="1"/>
  <c r="V3648" i="1"/>
  <c r="R3649" i="1"/>
  <c r="U3649" i="1"/>
  <c r="V3649" i="1"/>
  <c r="R3650" i="1"/>
  <c r="U3650" i="1"/>
  <c r="V3650" i="1"/>
  <c r="R3651" i="1"/>
  <c r="U3651" i="1"/>
  <c r="V3651" i="1"/>
  <c r="R3652" i="1"/>
  <c r="U3652" i="1"/>
  <c r="V3652" i="1"/>
  <c r="R3653" i="1"/>
  <c r="U3653" i="1"/>
  <c r="V3653" i="1"/>
  <c r="R3654" i="1"/>
  <c r="U3654" i="1"/>
  <c r="V3654" i="1"/>
  <c r="R3655" i="1"/>
  <c r="U3655" i="1"/>
  <c r="V3655" i="1"/>
  <c r="R3656" i="1"/>
  <c r="U3656" i="1"/>
  <c r="V3656" i="1"/>
  <c r="R3657" i="1"/>
  <c r="U3657" i="1"/>
  <c r="V3657" i="1"/>
  <c r="R3658" i="1"/>
  <c r="U3658" i="1"/>
  <c r="V3658" i="1"/>
  <c r="R3659" i="1"/>
  <c r="U3659" i="1"/>
  <c r="V3659" i="1"/>
  <c r="R3660" i="1"/>
  <c r="U3660" i="1"/>
  <c r="V3660" i="1"/>
  <c r="R3661" i="1"/>
  <c r="U3661" i="1"/>
  <c r="V3661" i="1"/>
  <c r="R3662" i="1"/>
  <c r="U3662" i="1"/>
  <c r="V3662" i="1"/>
  <c r="R3663" i="1"/>
  <c r="U3663" i="1"/>
  <c r="V3663" i="1"/>
  <c r="R3664" i="1"/>
  <c r="U3664" i="1"/>
  <c r="V3664" i="1"/>
  <c r="R3665" i="1"/>
  <c r="U3665" i="1"/>
  <c r="V3665" i="1"/>
  <c r="R3666" i="1"/>
  <c r="U3666" i="1"/>
  <c r="V3666" i="1"/>
  <c r="R3667" i="1"/>
  <c r="U3667" i="1"/>
  <c r="V3667" i="1"/>
  <c r="R3668" i="1"/>
  <c r="U3668" i="1"/>
  <c r="V3668" i="1"/>
  <c r="R3669" i="1"/>
  <c r="U3669" i="1"/>
  <c r="V3669" i="1"/>
  <c r="R3670" i="1"/>
  <c r="U3670" i="1"/>
  <c r="V3670" i="1"/>
  <c r="R3671" i="1"/>
  <c r="U3671" i="1"/>
  <c r="V3671" i="1"/>
  <c r="R3672" i="1"/>
  <c r="U3672" i="1"/>
  <c r="V3672" i="1"/>
  <c r="R3673" i="1"/>
  <c r="U3673" i="1"/>
  <c r="V3673" i="1"/>
  <c r="R3674" i="1"/>
  <c r="U3674" i="1"/>
  <c r="V3674" i="1"/>
  <c r="R3675" i="1"/>
  <c r="U3675" i="1"/>
  <c r="V3675" i="1"/>
  <c r="R3676" i="1"/>
  <c r="U3676" i="1"/>
  <c r="V3676" i="1"/>
  <c r="R3677" i="1"/>
  <c r="U3677" i="1"/>
  <c r="V3677" i="1"/>
  <c r="R3678" i="1"/>
  <c r="U3678" i="1"/>
  <c r="V3678" i="1"/>
  <c r="R3679" i="1"/>
  <c r="U3679" i="1"/>
  <c r="V3679" i="1"/>
  <c r="R3680" i="1"/>
  <c r="U3680" i="1"/>
  <c r="V3680" i="1"/>
  <c r="R3681" i="1"/>
  <c r="U3681" i="1"/>
  <c r="V3681" i="1"/>
  <c r="R3682" i="1"/>
  <c r="U3682" i="1"/>
  <c r="V3682" i="1"/>
  <c r="R3683" i="1"/>
  <c r="U3683" i="1"/>
  <c r="V3683" i="1"/>
  <c r="R3684" i="1"/>
  <c r="U3684" i="1"/>
  <c r="V3684" i="1"/>
  <c r="R3685" i="1"/>
  <c r="U3685" i="1"/>
  <c r="V3685" i="1"/>
  <c r="R3686" i="1"/>
  <c r="U3686" i="1"/>
  <c r="V3686" i="1"/>
  <c r="R3687" i="1"/>
  <c r="U3687" i="1"/>
  <c r="V3687" i="1"/>
  <c r="R3688" i="1"/>
  <c r="U3688" i="1"/>
  <c r="V3688" i="1"/>
  <c r="R3689" i="1"/>
  <c r="U3689" i="1"/>
  <c r="V3689" i="1"/>
  <c r="R3690" i="1"/>
  <c r="U3690" i="1"/>
  <c r="V3690" i="1"/>
  <c r="R3691" i="1"/>
  <c r="U3691" i="1"/>
  <c r="V3691" i="1"/>
  <c r="R3692" i="1"/>
  <c r="U3692" i="1"/>
  <c r="V3692" i="1"/>
  <c r="R3693" i="1"/>
  <c r="U3693" i="1"/>
  <c r="V3693" i="1"/>
  <c r="R3694" i="1"/>
  <c r="U3694" i="1"/>
  <c r="V3694" i="1"/>
  <c r="R3695" i="1"/>
  <c r="U3695" i="1"/>
  <c r="V3695" i="1"/>
  <c r="R3696" i="1"/>
  <c r="U3696" i="1"/>
  <c r="V3696" i="1"/>
  <c r="R3697" i="1"/>
  <c r="U3697" i="1"/>
  <c r="V3697" i="1"/>
  <c r="R3698" i="1"/>
  <c r="U3698" i="1"/>
  <c r="V3698" i="1"/>
  <c r="R3699" i="1"/>
  <c r="U3699" i="1"/>
  <c r="V3699" i="1"/>
  <c r="R3700" i="1"/>
  <c r="U3700" i="1"/>
  <c r="V3700" i="1"/>
  <c r="R3701" i="1"/>
  <c r="U3701" i="1"/>
  <c r="V3701" i="1"/>
  <c r="R3702" i="1"/>
  <c r="U3702" i="1"/>
  <c r="V3702" i="1"/>
  <c r="R3703" i="1"/>
  <c r="U3703" i="1"/>
  <c r="V3703" i="1"/>
  <c r="R3704" i="1"/>
  <c r="U3704" i="1"/>
  <c r="V3704" i="1"/>
  <c r="R3705" i="1"/>
  <c r="U3705" i="1"/>
  <c r="V3705" i="1"/>
  <c r="R3706" i="1"/>
  <c r="U3706" i="1"/>
  <c r="V3706" i="1"/>
  <c r="R3707" i="1"/>
  <c r="U3707" i="1"/>
  <c r="V3707" i="1"/>
  <c r="R3708" i="1"/>
  <c r="U3708" i="1"/>
  <c r="V3708" i="1"/>
  <c r="R3709" i="1"/>
  <c r="U3709" i="1"/>
  <c r="V3709" i="1"/>
  <c r="R3710" i="1"/>
  <c r="U3710" i="1"/>
  <c r="V3710" i="1"/>
  <c r="R3711" i="1"/>
  <c r="U3711" i="1"/>
  <c r="V3711" i="1"/>
  <c r="R3712" i="1"/>
  <c r="U3712" i="1"/>
  <c r="V3712" i="1"/>
  <c r="R3713" i="1"/>
  <c r="U3713" i="1"/>
  <c r="V3713" i="1"/>
  <c r="R3714" i="1"/>
  <c r="U3714" i="1"/>
  <c r="V3714" i="1"/>
  <c r="R3715" i="1"/>
  <c r="U3715" i="1"/>
  <c r="V3715" i="1"/>
  <c r="R3716" i="1"/>
  <c r="U3716" i="1"/>
  <c r="V3716" i="1"/>
  <c r="R3717" i="1"/>
  <c r="U3717" i="1"/>
  <c r="V3717" i="1"/>
  <c r="R3718" i="1"/>
  <c r="U3718" i="1"/>
  <c r="V3718" i="1"/>
  <c r="R3719" i="1"/>
  <c r="U3719" i="1"/>
  <c r="V3719" i="1"/>
  <c r="R3720" i="1"/>
  <c r="U3720" i="1"/>
  <c r="V3720" i="1"/>
  <c r="R3721" i="1"/>
  <c r="U3721" i="1"/>
  <c r="V3721" i="1"/>
  <c r="R3722" i="1"/>
  <c r="U3722" i="1"/>
  <c r="V3722" i="1"/>
  <c r="R3723" i="1"/>
  <c r="U3723" i="1"/>
  <c r="V3723" i="1"/>
  <c r="R3724" i="1"/>
  <c r="U3724" i="1"/>
  <c r="V3724" i="1"/>
  <c r="R3725" i="1"/>
  <c r="U3725" i="1"/>
  <c r="V3725" i="1"/>
  <c r="R3726" i="1"/>
  <c r="U3726" i="1"/>
  <c r="V3726" i="1"/>
  <c r="R3727" i="1"/>
  <c r="U3727" i="1"/>
  <c r="V3727" i="1"/>
  <c r="R3728" i="1"/>
  <c r="U3728" i="1"/>
  <c r="V3728" i="1"/>
  <c r="R3729" i="1"/>
  <c r="U3729" i="1"/>
  <c r="V3729" i="1"/>
  <c r="R3730" i="1"/>
  <c r="U3730" i="1"/>
  <c r="V3730" i="1"/>
  <c r="R3731" i="1"/>
  <c r="U3731" i="1"/>
  <c r="V3731" i="1"/>
  <c r="R3732" i="1"/>
  <c r="U3732" i="1"/>
  <c r="V3732" i="1"/>
  <c r="R3733" i="1"/>
  <c r="U3733" i="1"/>
  <c r="V3733" i="1"/>
  <c r="R3734" i="1"/>
  <c r="U3734" i="1"/>
  <c r="V3734" i="1"/>
  <c r="R3735" i="1"/>
  <c r="U3735" i="1"/>
  <c r="V3735" i="1"/>
  <c r="R3736" i="1"/>
  <c r="U3736" i="1"/>
  <c r="V3736" i="1"/>
  <c r="R3737" i="1"/>
  <c r="U3737" i="1"/>
  <c r="V3737" i="1"/>
  <c r="R3738" i="1"/>
  <c r="U3738" i="1"/>
  <c r="V3738" i="1"/>
  <c r="R3739" i="1"/>
  <c r="U3739" i="1"/>
  <c r="V3739" i="1"/>
  <c r="R3740" i="1"/>
  <c r="U3740" i="1"/>
  <c r="V3740" i="1"/>
  <c r="R3741" i="1"/>
  <c r="U3741" i="1"/>
  <c r="V3741" i="1"/>
  <c r="R3742" i="1"/>
  <c r="U3742" i="1"/>
  <c r="V3742" i="1"/>
  <c r="R3743" i="1"/>
  <c r="U3743" i="1"/>
  <c r="V3743" i="1"/>
  <c r="R3744" i="1"/>
  <c r="U3744" i="1"/>
  <c r="V3744" i="1"/>
  <c r="R3745" i="1"/>
  <c r="U3745" i="1"/>
  <c r="V3745" i="1"/>
  <c r="R3746" i="1"/>
  <c r="U3746" i="1"/>
  <c r="V3746" i="1"/>
  <c r="R3747" i="1"/>
  <c r="U3747" i="1"/>
  <c r="V3747" i="1"/>
  <c r="R3748" i="1"/>
  <c r="U3748" i="1"/>
  <c r="V3748" i="1"/>
  <c r="R3749" i="1"/>
  <c r="U3749" i="1"/>
  <c r="V3749" i="1"/>
  <c r="R3750" i="1"/>
  <c r="U3750" i="1"/>
  <c r="V3750" i="1"/>
  <c r="R3751" i="1"/>
  <c r="U3751" i="1"/>
  <c r="V3751" i="1"/>
  <c r="R3752" i="1"/>
  <c r="U3752" i="1"/>
  <c r="V3752" i="1"/>
  <c r="R3753" i="1"/>
  <c r="U3753" i="1"/>
  <c r="V3753" i="1"/>
  <c r="R3754" i="1"/>
  <c r="U3754" i="1"/>
  <c r="V3754" i="1"/>
  <c r="R3755" i="1"/>
  <c r="U3755" i="1"/>
  <c r="V3755" i="1"/>
  <c r="R3756" i="1"/>
  <c r="U3756" i="1"/>
  <c r="V3756" i="1"/>
  <c r="R3757" i="1"/>
  <c r="U3757" i="1"/>
  <c r="V3757" i="1"/>
  <c r="R3758" i="1"/>
  <c r="U3758" i="1"/>
  <c r="V3758" i="1"/>
  <c r="R3759" i="1"/>
  <c r="U3759" i="1"/>
  <c r="V3759" i="1"/>
  <c r="R3760" i="1"/>
  <c r="U3760" i="1"/>
  <c r="V3760" i="1"/>
  <c r="R3761" i="1"/>
  <c r="U3761" i="1"/>
  <c r="V3761" i="1"/>
  <c r="R3762" i="1"/>
  <c r="U3762" i="1"/>
  <c r="V3762" i="1"/>
  <c r="R3763" i="1"/>
  <c r="U3763" i="1"/>
  <c r="V3763" i="1"/>
  <c r="R3764" i="1"/>
  <c r="U3764" i="1"/>
  <c r="V3764" i="1"/>
  <c r="R3765" i="1"/>
  <c r="U3765" i="1"/>
  <c r="V3765" i="1"/>
  <c r="R3766" i="1"/>
  <c r="U3766" i="1"/>
  <c r="V3766" i="1"/>
  <c r="R3767" i="1"/>
  <c r="U3767" i="1"/>
  <c r="V3767" i="1"/>
  <c r="R3768" i="1"/>
  <c r="U3768" i="1"/>
  <c r="V3768" i="1"/>
  <c r="R3769" i="1"/>
  <c r="U3769" i="1"/>
  <c r="V3769" i="1"/>
  <c r="R3770" i="1"/>
  <c r="U3770" i="1"/>
  <c r="V3770" i="1"/>
  <c r="R3771" i="1"/>
  <c r="U3771" i="1"/>
  <c r="V3771" i="1"/>
  <c r="R3772" i="1"/>
  <c r="U3772" i="1"/>
  <c r="V3772" i="1"/>
  <c r="R3773" i="1"/>
  <c r="U3773" i="1"/>
  <c r="V3773" i="1"/>
  <c r="R3774" i="1"/>
  <c r="U3774" i="1"/>
  <c r="V3774" i="1"/>
  <c r="R3775" i="1"/>
  <c r="U3775" i="1"/>
  <c r="V3775" i="1"/>
  <c r="R3776" i="1"/>
  <c r="U3776" i="1"/>
  <c r="V3776" i="1"/>
  <c r="R3777" i="1"/>
  <c r="U3777" i="1"/>
  <c r="V3777" i="1"/>
  <c r="R3778" i="1"/>
  <c r="U3778" i="1"/>
  <c r="V3778" i="1"/>
  <c r="R3779" i="1"/>
  <c r="U3779" i="1"/>
  <c r="V3779" i="1"/>
  <c r="R3780" i="1"/>
  <c r="U3780" i="1"/>
  <c r="V3780" i="1"/>
  <c r="R3781" i="1"/>
  <c r="U3781" i="1"/>
  <c r="V3781" i="1"/>
  <c r="R3782" i="1"/>
  <c r="U3782" i="1"/>
  <c r="V3782" i="1"/>
  <c r="R3783" i="1"/>
  <c r="U3783" i="1"/>
  <c r="V3783" i="1"/>
  <c r="R3784" i="1"/>
  <c r="U3784" i="1"/>
  <c r="V3784" i="1"/>
  <c r="R3785" i="1"/>
  <c r="U3785" i="1"/>
  <c r="V3785" i="1"/>
  <c r="R3786" i="1"/>
  <c r="U3786" i="1"/>
  <c r="V3786" i="1"/>
  <c r="R3787" i="1"/>
  <c r="U3787" i="1"/>
  <c r="V3787" i="1"/>
  <c r="R3788" i="1"/>
  <c r="U3788" i="1"/>
  <c r="V3788" i="1"/>
  <c r="R3789" i="1"/>
  <c r="U3789" i="1"/>
  <c r="V3789" i="1"/>
  <c r="R3790" i="1"/>
  <c r="U3790" i="1"/>
  <c r="V3790" i="1"/>
  <c r="R3791" i="1"/>
  <c r="U3791" i="1"/>
  <c r="V3791" i="1"/>
  <c r="R3792" i="1"/>
  <c r="U3792" i="1"/>
  <c r="V3792" i="1"/>
  <c r="R3793" i="1"/>
  <c r="U3793" i="1"/>
  <c r="V3793" i="1"/>
  <c r="R3794" i="1"/>
  <c r="U3794" i="1"/>
  <c r="V3794" i="1"/>
  <c r="R3795" i="1"/>
  <c r="U3795" i="1"/>
  <c r="V3795" i="1"/>
  <c r="R3796" i="1"/>
  <c r="U3796" i="1"/>
  <c r="V3796" i="1"/>
  <c r="R3797" i="1"/>
  <c r="U3797" i="1"/>
  <c r="V3797" i="1"/>
  <c r="R3798" i="1"/>
  <c r="U3798" i="1"/>
  <c r="V3798" i="1"/>
  <c r="R3799" i="1"/>
  <c r="U3799" i="1"/>
  <c r="V3799" i="1"/>
  <c r="R3800" i="1"/>
  <c r="U3800" i="1"/>
  <c r="V3800" i="1"/>
  <c r="R3801" i="1"/>
  <c r="U3801" i="1"/>
  <c r="V3801" i="1"/>
  <c r="R3802" i="1"/>
  <c r="U3802" i="1"/>
  <c r="V3802" i="1"/>
  <c r="R3803" i="1"/>
  <c r="U3803" i="1"/>
  <c r="V3803" i="1"/>
  <c r="R3804" i="1"/>
  <c r="U3804" i="1"/>
  <c r="V3804" i="1"/>
  <c r="R3805" i="1"/>
  <c r="U3805" i="1"/>
  <c r="V3805" i="1"/>
  <c r="R3806" i="1"/>
  <c r="U3806" i="1"/>
  <c r="V3806" i="1"/>
  <c r="R3807" i="1"/>
  <c r="U3807" i="1"/>
  <c r="V3807" i="1"/>
  <c r="R3808" i="1"/>
  <c r="U3808" i="1"/>
  <c r="V3808" i="1"/>
  <c r="R3809" i="1"/>
  <c r="U3809" i="1"/>
  <c r="V3809" i="1"/>
  <c r="R3810" i="1"/>
  <c r="U3810" i="1"/>
  <c r="V3810" i="1"/>
  <c r="R3811" i="1"/>
  <c r="U3811" i="1"/>
  <c r="V3811" i="1"/>
  <c r="R3812" i="1"/>
  <c r="U3812" i="1"/>
  <c r="V3812" i="1"/>
  <c r="R3813" i="1"/>
  <c r="U3813" i="1"/>
  <c r="V3813" i="1"/>
  <c r="R3814" i="1"/>
  <c r="U3814" i="1"/>
  <c r="V3814" i="1"/>
  <c r="R3815" i="1"/>
  <c r="U3815" i="1"/>
  <c r="V3815" i="1"/>
  <c r="R3816" i="1"/>
  <c r="U3816" i="1"/>
  <c r="V3816" i="1"/>
  <c r="R3817" i="1"/>
  <c r="U3817" i="1"/>
  <c r="V3817" i="1"/>
  <c r="R3818" i="1"/>
  <c r="U3818" i="1"/>
  <c r="V3818" i="1"/>
  <c r="R3819" i="1"/>
  <c r="U3819" i="1"/>
  <c r="V3819" i="1"/>
  <c r="R3820" i="1"/>
  <c r="U3820" i="1"/>
  <c r="V3820" i="1"/>
  <c r="R3821" i="1"/>
  <c r="U3821" i="1"/>
  <c r="V3821" i="1"/>
  <c r="R3822" i="1"/>
  <c r="U3822" i="1"/>
  <c r="V3822" i="1"/>
  <c r="R3823" i="1"/>
  <c r="U3823" i="1"/>
  <c r="V3823" i="1"/>
  <c r="R3824" i="1"/>
  <c r="U3824" i="1"/>
  <c r="V3824" i="1"/>
  <c r="R3825" i="1"/>
  <c r="U3825" i="1"/>
  <c r="V3825" i="1"/>
  <c r="R3826" i="1"/>
  <c r="U3826" i="1"/>
  <c r="V3826" i="1"/>
  <c r="R3827" i="1"/>
  <c r="U3827" i="1"/>
  <c r="V3827" i="1"/>
  <c r="R3828" i="1"/>
  <c r="U3828" i="1"/>
  <c r="V3828" i="1"/>
  <c r="R3829" i="1"/>
  <c r="U3829" i="1"/>
  <c r="V3829" i="1"/>
  <c r="R3830" i="1"/>
  <c r="U3830" i="1"/>
  <c r="V3830" i="1"/>
  <c r="R3831" i="1"/>
  <c r="U3831" i="1"/>
  <c r="V3831" i="1"/>
  <c r="R3832" i="1"/>
  <c r="U3832" i="1"/>
  <c r="V3832" i="1"/>
  <c r="R3833" i="1"/>
  <c r="U3833" i="1"/>
  <c r="V3833" i="1"/>
  <c r="R3834" i="1"/>
  <c r="U3834" i="1"/>
  <c r="V3834" i="1"/>
  <c r="R3835" i="1"/>
  <c r="U3835" i="1"/>
  <c r="V3835" i="1"/>
  <c r="R3836" i="1"/>
  <c r="U3836" i="1"/>
  <c r="V3836" i="1"/>
  <c r="R3837" i="1"/>
  <c r="U3837" i="1"/>
  <c r="V3837" i="1"/>
  <c r="R3838" i="1"/>
  <c r="U3838" i="1"/>
  <c r="V3838" i="1"/>
  <c r="R3839" i="1"/>
  <c r="U3839" i="1"/>
  <c r="V3839" i="1"/>
  <c r="R3840" i="1"/>
  <c r="U3840" i="1"/>
  <c r="V3840" i="1"/>
  <c r="R3841" i="1"/>
  <c r="U3841" i="1"/>
  <c r="V3841" i="1"/>
  <c r="R3842" i="1"/>
  <c r="U3842" i="1"/>
  <c r="V3842" i="1"/>
  <c r="R3843" i="1"/>
  <c r="U3843" i="1"/>
  <c r="V3843" i="1"/>
  <c r="R3844" i="1"/>
  <c r="U3844" i="1"/>
  <c r="V3844" i="1"/>
  <c r="R3845" i="1"/>
  <c r="U3845" i="1"/>
  <c r="V3845" i="1"/>
  <c r="R3846" i="1"/>
  <c r="U3846" i="1"/>
  <c r="V3846" i="1"/>
  <c r="R3847" i="1"/>
  <c r="U3847" i="1"/>
  <c r="V3847" i="1"/>
  <c r="R3848" i="1"/>
  <c r="U3848" i="1"/>
  <c r="V3848" i="1"/>
  <c r="R3849" i="1"/>
  <c r="U3849" i="1"/>
  <c r="V3849" i="1"/>
  <c r="R3850" i="1"/>
  <c r="U3850" i="1"/>
  <c r="V3850" i="1"/>
  <c r="R3851" i="1"/>
  <c r="U3851" i="1"/>
  <c r="V3851" i="1"/>
  <c r="R3852" i="1"/>
  <c r="U3852" i="1"/>
  <c r="V3852" i="1"/>
  <c r="R3853" i="1"/>
  <c r="U3853" i="1"/>
  <c r="V3853" i="1"/>
  <c r="R3854" i="1"/>
  <c r="U3854" i="1"/>
  <c r="V3854" i="1"/>
  <c r="R3855" i="1"/>
  <c r="U3855" i="1"/>
  <c r="V3855" i="1"/>
  <c r="R3856" i="1"/>
  <c r="U3856" i="1"/>
  <c r="V3856" i="1"/>
  <c r="R3857" i="1"/>
  <c r="U3857" i="1"/>
  <c r="V3857" i="1"/>
  <c r="R3858" i="1"/>
  <c r="U3858" i="1"/>
  <c r="V3858" i="1"/>
  <c r="R3859" i="1"/>
  <c r="U3859" i="1"/>
  <c r="V3859" i="1"/>
  <c r="R3860" i="1"/>
  <c r="U3860" i="1"/>
  <c r="V3860" i="1"/>
  <c r="R3861" i="1"/>
  <c r="U3861" i="1"/>
  <c r="V3861" i="1"/>
  <c r="R3862" i="1"/>
  <c r="U3862" i="1"/>
  <c r="V3862" i="1"/>
  <c r="R3863" i="1"/>
  <c r="U3863" i="1"/>
  <c r="V3863" i="1"/>
  <c r="R3864" i="1"/>
  <c r="U3864" i="1"/>
  <c r="V3864" i="1"/>
  <c r="R3865" i="1"/>
  <c r="U3865" i="1"/>
  <c r="V3865" i="1"/>
  <c r="R3866" i="1"/>
  <c r="U3866" i="1"/>
  <c r="V3866" i="1"/>
  <c r="R3867" i="1"/>
  <c r="U3867" i="1"/>
  <c r="V3867" i="1"/>
  <c r="R3868" i="1"/>
  <c r="U3868" i="1"/>
  <c r="V3868" i="1"/>
  <c r="R3869" i="1"/>
  <c r="U3869" i="1"/>
  <c r="V3869" i="1"/>
  <c r="R3870" i="1"/>
  <c r="U3870" i="1"/>
  <c r="V3870" i="1"/>
  <c r="R3871" i="1"/>
  <c r="U3871" i="1"/>
  <c r="V3871" i="1"/>
  <c r="R3872" i="1"/>
  <c r="U3872" i="1"/>
  <c r="V3872" i="1"/>
  <c r="R3873" i="1"/>
  <c r="U3873" i="1"/>
  <c r="V3873" i="1"/>
  <c r="R3874" i="1"/>
  <c r="U3874" i="1"/>
  <c r="V3874" i="1"/>
  <c r="R3875" i="1"/>
  <c r="U3875" i="1"/>
  <c r="V3875" i="1"/>
  <c r="R3876" i="1"/>
  <c r="U3876" i="1"/>
  <c r="V3876" i="1"/>
  <c r="R3877" i="1"/>
  <c r="U3877" i="1"/>
  <c r="V3877" i="1"/>
  <c r="R3878" i="1"/>
  <c r="U3878" i="1"/>
  <c r="V3878" i="1"/>
  <c r="R3879" i="1"/>
  <c r="U3879" i="1"/>
  <c r="V3879" i="1"/>
  <c r="R3880" i="1"/>
  <c r="U3880" i="1"/>
  <c r="V3880" i="1"/>
  <c r="R3881" i="1"/>
  <c r="U3881" i="1"/>
  <c r="V3881" i="1"/>
  <c r="R3882" i="1"/>
  <c r="U3882" i="1"/>
  <c r="V3882" i="1"/>
  <c r="R3883" i="1"/>
  <c r="U3883" i="1"/>
  <c r="V3883" i="1"/>
  <c r="R3884" i="1"/>
  <c r="U3884" i="1"/>
  <c r="V3884" i="1"/>
  <c r="R3885" i="1"/>
  <c r="U3885" i="1"/>
  <c r="V3885" i="1"/>
  <c r="R3886" i="1"/>
  <c r="U3886" i="1"/>
  <c r="V3886" i="1"/>
  <c r="R3887" i="1"/>
  <c r="U3887" i="1"/>
  <c r="V3887" i="1"/>
  <c r="R3888" i="1"/>
  <c r="U3888" i="1"/>
  <c r="V3888" i="1"/>
  <c r="R3889" i="1"/>
  <c r="U3889" i="1"/>
  <c r="V3889" i="1"/>
  <c r="R3890" i="1"/>
  <c r="U3890" i="1"/>
  <c r="V3890" i="1"/>
  <c r="R3891" i="1"/>
  <c r="U3891" i="1"/>
  <c r="V3891" i="1"/>
  <c r="R3892" i="1"/>
  <c r="U3892" i="1"/>
  <c r="V3892" i="1"/>
  <c r="R3893" i="1"/>
  <c r="U3893" i="1"/>
  <c r="V3893" i="1"/>
  <c r="R3894" i="1"/>
  <c r="U3894" i="1"/>
  <c r="V3894" i="1"/>
  <c r="R3895" i="1"/>
  <c r="U3895" i="1"/>
  <c r="V3895" i="1"/>
  <c r="R3896" i="1"/>
  <c r="U3896" i="1"/>
  <c r="V3896" i="1"/>
  <c r="R3897" i="1"/>
  <c r="U3897" i="1"/>
  <c r="V3897" i="1"/>
  <c r="R3898" i="1"/>
  <c r="U3898" i="1"/>
  <c r="V3898" i="1"/>
  <c r="R3899" i="1"/>
  <c r="U3899" i="1"/>
  <c r="V3899" i="1"/>
  <c r="R3900" i="1"/>
  <c r="U3900" i="1"/>
  <c r="V3900" i="1"/>
  <c r="R3901" i="1"/>
  <c r="U3901" i="1"/>
  <c r="V3901" i="1"/>
  <c r="R3902" i="1"/>
  <c r="U3902" i="1"/>
  <c r="V3902" i="1"/>
  <c r="R3903" i="1"/>
  <c r="U3903" i="1"/>
  <c r="V3903" i="1"/>
  <c r="R3904" i="1"/>
  <c r="U3904" i="1"/>
  <c r="V3904" i="1"/>
  <c r="R3905" i="1"/>
  <c r="U3905" i="1"/>
  <c r="V3905" i="1"/>
  <c r="R3906" i="1"/>
  <c r="U3906" i="1"/>
  <c r="V3906" i="1"/>
  <c r="R3907" i="1"/>
  <c r="U3907" i="1"/>
  <c r="V3907" i="1"/>
  <c r="R3908" i="1"/>
  <c r="U3908" i="1"/>
  <c r="V3908" i="1"/>
  <c r="R3909" i="1"/>
  <c r="U3909" i="1"/>
  <c r="V3909" i="1"/>
  <c r="R3910" i="1"/>
  <c r="U3910" i="1"/>
  <c r="V3910" i="1"/>
  <c r="R3911" i="1"/>
  <c r="U3911" i="1"/>
  <c r="V3911" i="1"/>
  <c r="R3912" i="1"/>
  <c r="U3912" i="1"/>
  <c r="V3912" i="1"/>
  <c r="R3913" i="1"/>
  <c r="U3913" i="1"/>
  <c r="V3913" i="1"/>
  <c r="R3914" i="1"/>
  <c r="U3914" i="1"/>
  <c r="V3914" i="1"/>
  <c r="R3915" i="1"/>
  <c r="U3915" i="1"/>
  <c r="V3915" i="1"/>
  <c r="R3916" i="1"/>
  <c r="U3916" i="1"/>
  <c r="V3916" i="1"/>
  <c r="R3917" i="1"/>
  <c r="U3917" i="1"/>
  <c r="V3917" i="1"/>
  <c r="R3918" i="1"/>
  <c r="U3918" i="1"/>
  <c r="V3918" i="1"/>
  <c r="R3919" i="1"/>
  <c r="U3919" i="1"/>
  <c r="V3919" i="1"/>
  <c r="R3920" i="1"/>
  <c r="U3920" i="1"/>
  <c r="V3920" i="1"/>
  <c r="R3921" i="1"/>
  <c r="U3921" i="1"/>
  <c r="V3921" i="1"/>
  <c r="R3922" i="1"/>
  <c r="U3922" i="1"/>
  <c r="V3922" i="1"/>
  <c r="R3923" i="1"/>
  <c r="U3923" i="1"/>
  <c r="V3923" i="1"/>
  <c r="R3924" i="1"/>
  <c r="U3924" i="1"/>
  <c r="V3924" i="1"/>
  <c r="R3925" i="1"/>
  <c r="U3925" i="1"/>
  <c r="V3925" i="1"/>
  <c r="R3926" i="1"/>
  <c r="U3926" i="1"/>
  <c r="V3926" i="1"/>
  <c r="R3927" i="1"/>
  <c r="U3927" i="1"/>
  <c r="V3927" i="1"/>
  <c r="R3928" i="1"/>
  <c r="U3928" i="1"/>
  <c r="V3928" i="1"/>
  <c r="R3929" i="1"/>
  <c r="U3929" i="1"/>
  <c r="V3929" i="1"/>
  <c r="R3930" i="1"/>
  <c r="U3930" i="1"/>
  <c r="V3930" i="1"/>
  <c r="R3931" i="1"/>
  <c r="U3931" i="1"/>
  <c r="V3931" i="1"/>
  <c r="R3932" i="1"/>
  <c r="U3932" i="1"/>
  <c r="V3932" i="1"/>
  <c r="R3933" i="1"/>
  <c r="U3933" i="1"/>
  <c r="V3933" i="1"/>
  <c r="R3934" i="1"/>
  <c r="U3934" i="1"/>
  <c r="V3934" i="1"/>
  <c r="R3935" i="1"/>
  <c r="U3935" i="1"/>
  <c r="V3935" i="1"/>
  <c r="R3936" i="1"/>
  <c r="U3936" i="1"/>
  <c r="V3936" i="1"/>
  <c r="R3937" i="1"/>
  <c r="U3937" i="1"/>
  <c r="V3937" i="1"/>
  <c r="R3938" i="1"/>
  <c r="U3938" i="1"/>
  <c r="V3938" i="1"/>
  <c r="R3939" i="1"/>
  <c r="U3939" i="1"/>
  <c r="V3939" i="1"/>
  <c r="R3940" i="1"/>
  <c r="U3940" i="1"/>
  <c r="V3940" i="1"/>
  <c r="R3941" i="1"/>
  <c r="U3941" i="1"/>
  <c r="V3941" i="1"/>
  <c r="R3942" i="1"/>
  <c r="U3942" i="1"/>
  <c r="V3942" i="1"/>
  <c r="R3943" i="1"/>
  <c r="U3943" i="1"/>
  <c r="V3943" i="1"/>
  <c r="R3944" i="1"/>
  <c r="U3944" i="1"/>
  <c r="V3944" i="1"/>
  <c r="R3945" i="1"/>
  <c r="U3945" i="1"/>
  <c r="V3945" i="1"/>
  <c r="R3946" i="1"/>
  <c r="U3946" i="1"/>
  <c r="V3946" i="1"/>
  <c r="R3947" i="1"/>
  <c r="U3947" i="1"/>
  <c r="V3947" i="1"/>
  <c r="R3948" i="1"/>
  <c r="U3948" i="1"/>
  <c r="V3948" i="1"/>
  <c r="R3949" i="1"/>
  <c r="U3949" i="1"/>
  <c r="V3949" i="1"/>
  <c r="R3950" i="1"/>
  <c r="U3950" i="1"/>
  <c r="V3950" i="1"/>
  <c r="R3951" i="1"/>
  <c r="U3951" i="1"/>
  <c r="V3951" i="1"/>
  <c r="R3952" i="1"/>
  <c r="U3952" i="1"/>
  <c r="V3952" i="1"/>
  <c r="R3953" i="1"/>
  <c r="U3953" i="1"/>
  <c r="V3953" i="1"/>
  <c r="R3954" i="1"/>
  <c r="U3954" i="1"/>
  <c r="V3954" i="1"/>
  <c r="R3955" i="1"/>
  <c r="U3955" i="1"/>
  <c r="V3955" i="1"/>
  <c r="R3956" i="1"/>
  <c r="U3956" i="1"/>
  <c r="V3956" i="1"/>
  <c r="R3957" i="1"/>
  <c r="U3957" i="1"/>
  <c r="V3957" i="1"/>
  <c r="R3958" i="1"/>
  <c r="U3958" i="1"/>
  <c r="V3958" i="1"/>
  <c r="R3959" i="1"/>
  <c r="U3959" i="1"/>
  <c r="V3959" i="1"/>
  <c r="R3960" i="1"/>
  <c r="U3960" i="1"/>
  <c r="V3960" i="1"/>
  <c r="R3961" i="1"/>
  <c r="U3961" i="1"/>
  <c r="V3961" i="1"/>
  <c r="R3962" i="1"/>
  <c r="U3962" i="1"/>
  <c r="V3962" i="1"/>
  <c r="R3963" i="1"/>
  <c r="U3963" i="1"/>
  <c r="V3963" i="1"/>
  <c r="R3964" i="1"/>
  <c r="U3964" i="1"/>
  <c r="V3964" i="1"/>
  <c r="R3965" i="1"/>
  <c r="U3965" i="1"/>
  <c r="V3965" i="1"/>
  <c r="R3966" i="1"/>
  <c r="U3966" i="1"/>
  <c r="V3966" i="1"/>
  <c r="R3967" i="1"/>
  <c r="U3967" i="1"/>
  <c r="V3967" i="1"/>
  <c r="R3968" i="1"/>
  <c r="U3968" i="1"/>
  <c r="V3968" i="1"/>
  <c r="R3969" i="1"/>
  <c r="U3969" i="1"/>
  <c r="V3969" i="1"/>
  <c r="R3970" i="1"/>
  <c r="U3970" i="1"/>
  <c r="V3970" i="1"/>
  <c r="R3971" i="1"/>
  <c r="U3971" i="1"/>
  <c r="V3971" i="1"/>
  <c r="R3972" i="1"/>
  <c r="U3972" i="1"/>
  <c r="V3972" i="1"/>
  <c r="R3973" i="1"/>
  <c r="U3973" i="1"/>
  <c r="V3973" i="1"/>
  <c r="R3974" i="1"/>
  <c r="U3974" i="1"/>
  <c r="V3974" i="1"/>
  <c r="R3975" i="1"/>
  <c r="U3975" i="1"/>
  <c r="V3975" i="1"/>
  <c r="R3976" i="1"/>
  <c r="U3976" i="1"/>
  <c r="V3976" i="1"/>
  <c r="R3977" i="1"/>
  <c r="U3977" i="1"/>
  <c r="V3977" i="1"/>
  <c r="R3978" i="1"/>
  <c r="U3978" i="1"/>
  <c r="V3978" i="1"/>
  <c r="R3979" i="1"/>
  <c r="U3979" i="1"/>
  <c r="V3979" i="1"/>
  <c r="R3980" i="1"/>
  <c r="U3980" i="1"/>
  <c r="V3980" i="1"/>
  <c r="R3981" i="1"/>
  <c r="U3981" i="1"/>
  <c r="V3981" i="1"/>
  <c r="R3982" i="1"/>
  <c r="U3982" i="1"/>
  <c r="V3982" i="1"/>
  <c r="R3983" i="1"/>
  <c r="U3983" i="1"/>
  <c r="V3983" i="1"/>
  <c r="R3984" i="1"/>
  <c r="U3984" i="1"/>
  <c r="V3984" i="1"/>
  <c r="R3985" i="1"/>
  <c r="U3985" i="1"/>
  <c r="V3985" i="1"/>
  <c r="R3986" i="1"/>
  <c r="U3986" i="1"/>
  <c r="V3986" i="1"/>
  <c r="R3987" i="1"/>
  <c r="U3987" i="1"/>
  <c r="V3987" i="1"/>
  <c r="R3988" i="1"/>
  <c r="U3988" i="1"/>
  <c r="V3988" i="1"/>
  <c r="R3989" i="1"/>
  <c r="U3989" i="1"/>
  <c r="V3989" i="1"/>
  <c r="R3990" i="1"/>
  <c r="U3990" i="1"/>
  <c r="V3990" i="1"/>
  <c r="R3991" i="1"/>
  <c r="U3991" i="1"/>
  <c r="V3991" i="1"/>
  <c r="R3992" i="1"/>
  <c r="U3992" i="1"/>
  <c r="V3992" i="1"/>
  <c r="R3993" i="1"/>
  <c r="U3993" i="1"/>
  <c r="V3993" i="1"/>
  <c r="R3994" i="1"/>
  <c r="U3994" i="1"/>
  <c r="V3994" i="1"/>
  <c r="R3995" i="1"/>
  <c r="U3995" i="1"/>
  <c r="V3995" i="1"/>
  <c r="R3996" i="1"/>
  <c r="U3996" i="1"/>
  <c r="V3996" i="1"/>
  <c r="R3997" i="1"/>
  <c r="U3997" i="1"/>
  <c r="V3997" i="1"/>
  <c r="R3998" i="1"/>
  <c r="U3998" i="1"/>
  <c r="V3998" i="1"/>
  <c r="R3999" i="1"/>
  <c r="U3999" i="1"/>
  <c r="V3999" i="1"/>
  <c r="R4000" i="1"/>
  <c r="U4000" i="1"/>
  <c r="V4000" i="1"/>
  <c r="R4001" i="1"/>
  <c r="U4001" i="1"/>
  <c r="V4001" i="1"/>
  <c r="R4002" i="1"/>
  <c r="U4002" i="1"/>
  <c r="V4002" i="1"/>
  <c r="R4003" i="1"/>
  <c r="U4003" i="1"/>
  <c r="V4003" i="1"/>
  <c r="R4004" i="1"/>
  <c r="U4004" i="1"/>
  <c r="V4004" i="1"/>
  <c r="R4005" i="1"/>
  <c r="U4005" i="1"/>
  <c r="V4005" i="1"/>
  <c r="R4006" i="1"/>
  <c r="U4006" i="1"/>
  <c r="V4006" i="1"/>
  <c r="R4007" i="1"/>
  <c r="U4007" i="1"/>
  <c r="V4007" i="1"/>
  <c r="R4008" i="1"/>
  <c r="U4008" i="1"/>
  <c r="V4008" i="1"/>
  <c r="R4009" i="1"/>
  <c r="U4009" i="1"/>
  <c r="V4009" i="1"/>
  <c r="R4010" i="1"/>
  <c r="U4010" i="1"/>
  <c r="V4010" i="1"/>
  <c r="R4011" i="1"/>
  <c r="U4011" i="1"/>
  <c r="V4011" i="1"/>
  <c r="R4012" i="1"/>
  <c r="U4012" i="1"/>
  <c r="V4012" i="1"/>
  <c r="R4013" i="1"/>
  <c r="U4013" i="1"/>
  <c r="V4013" i="1"/>
  <c r="R4014" i="1"/>
  <c r="U4014" i="1"/>
  <c r="V4014" i="1"/>
  <c r="R4015" i="1"/>
  <c r="U4015" i="1"/>
  <c r="V4015" i="1"/>
  <c r="R4016" i="1"/>
  <c r="U4016" i="1"/>
  <c r="V4016" i="1"/>
  <c r="R4017" i="1"/>
  <c r="U4017" i="1"/>
  <c r="V4017" i="1"/>
  <c r="R4018" i="1"/>
  <c r="U4018" i="1"/>
  <c r="V4018" i="1"/>
  <c r="R4019" i="1"/>
  <c r="U4019" i="1"/>
  <c r="V4019" i="1"/>
  <c r="R4020" i="1"/>
  <c r="U4020" i="1"/>
  <c r="V4020" i="1"/>
  <c r="R4021" i="1"/>
  <c r="U4021" i="1"/>
  <c r="V4021" i="1"/>
  <c r="R4022" i="1"/>
  <c r="U4022" i="1"/>
  <c r="V4022" i="1"/>
  <c r="R4023" i="1"/>
  <c r="U4023" i="1"/>
  <c r="V4023" i="1"/>
  <c r="R4024" i="1"/>
  <c r="U4024" i="1"/>
  <c r="V4024" i="1"/>
  <c r="R4025" i="1"/>
  <c r="U4025" i="1"/>
  <c r="V4025" i="1"/>
  <c r="R4026" i="1"/>
  <c r="U4026" i="1"/>
  <c r="V4026" i="1"/>
  <c r="R4027" i="1"/>
  <c r="U4027" i="1"/>
  <c r="V4027" i="1"/>
  <c r="R4028" i="1"/>
  <c r="U4028" i="1"/>
  <c r="V4028" i="1"/>
  <c r="R4029" i="1"/>
  <c r="U4029" i="1"/>
  <c r="V4029" i="1"/>
  <c r="V2" i="1"/>
  <c r="U2" i="1"/>
  <c r="S2" i="1" a="1"/>
  <c r="S2" i="1" s="1"/>
  <c r="R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81" i="1"/>
  <c r="O181" i="1"/>
  <c r="P181" i="1"/>
  <c r="Q181" i="1"/>
  <c r="N182" i="1"/>
  <c r="O182" i="1"/>
  <c r="P182" i="1"/>
  <c r="Q182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N191" i="1"/>
  <c r="O191" i="1"/>
  <c r="P191" i="1"/>
  <c r="Q191" i="1"/>
  <c r="N192" i="1"/>
  <c r="O192" i="1"/>
  <c r="P192" i="1"/>
  <c r="Q192" i="1"/>
  <c r="N193" i="1"/>
  <c r="O193" i="1"/>
  <c r="P193" i="1"/>
  <c r="Q193" i="1"/>
  <c r="N194" i="1"/>
  <c r="O194" i="1"/>
  <c r="P194" i="1"/>
  <c r="Q194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202" i="1"/>
  <c r="O202" i="1"/>
  <c r="P202" i="1"/>
  <c r="Q202" i="1"/>
  <c r="N203" i="1"/>
  <c r="O203" i="1"/>
  <c r="P203" i="1"/>
  <c r="Q203" i="1"/>
  <c r="N204" i="1"/>
  <c r="O204" i="1"/>
  <c r="P204" i="1"/>
  <c r="Q204" i="1"/>
  <c r="N205" i="1"/>
  <c r="O205" i="1"/>
  <c r="P205" i="1"/>
  <c r="Q205" i="1"/>
  <c r="N206" i="1"/>
  <c r="O206" i="1"/>
  <c r="P206" i="1"/>
  <c r="Q206" i="1"/>
  <c r="N207" i="1"/>
  <c r="O207" i="1"/>
  <c r="P207" i="1"/>
  <c r="Q207" i="1"/>
  <c r="N208" i="1"/>
  <c r="O208" i="1"/>
  <c r="P208" i="1"/>
  <c r="Q208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218" i="1"/>
  <c r="O218" i="1"/>
  <c r="P218" i="1"/>
  <c r="Q218" i="1"/>
  <c r="N219" i="1"/>
  <c r="O219" i="1"/>
  <c r="P219" i="1"/>
  <c r="Q219" i="1"/>
  <c r="N220" i="1"/>
  <c r="O220" i="1"/>
  <c r="P220" i="1"/>
  <c r="Q220" i="1"/>
  <c r="N221" i="1"/>
  <c r="O221" i="1"/>
  <c r="P221" i="1"/>
  <c r="Q221" i="1"/>
  <c r="N222" i="1"/>
  <c r="O222" i="1"/>
  <c r="P222" i="1"/>
  <c r="Q222" i="1"/>
  <c r="N223" i="1"/>
  <c r="O223" i="1"/>
  <c r="P223" i="1"/>
  <c r="Q223" i="1"/>
  <c r="N224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N229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N268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N273" i="1"/>
  <c r="O273" i="1"/>
  <c r="P273" i="1"/>
  <c r="Q273" i="1"/>
  <c r="N274" i="1"/>
  <c r="O274" i="1"/>
  <c r="P274" i="1"/>
  <c r="Q274" i="1"/>
  <c r="N275" i="1"/>
  <c r="O275" i="1"/>
  <c r="P275" i="1"/>
  <c r="Q275" i="1"/>
  <c r="N276" i="1"/>
  <c r="O276" i="1"/>
  <c r="P276" i="1"/>
  <c r="Q276" i="1"/>
  <c r="N277" i="1"/>
  <c r="O277" i="1"/>
  <c r="P277" i="1"/>
  <c r="Q277" i="1"/>
  <c r="N278" i="1"/>
  <c r="O278" i="1"/>
  <c r="P278" i="1"/>
  <c r="Q278" i="1"/>
  <c r="N279" i="1"/>
  <c r="O279" i="1"/>
  <c r="P279" i="1"/>
  <c r="Q279" i="1"/>
  <c r="N280" i="1"/>
  <c r="O280" i="1"/>
  <c r="P280" i="1"/>
  <c r="Q280" i="1"/>
  <c r="N281" i="1"/>
  <c r="O281" i="1"/>
  <c r="P281" i="1"/>
  <c r="Q281" i="1"/>
  <c r="N282" i="1"/>
  <c r="O282" i="1"/>
  <c r="P282" i="1"/>
  <c r="Q282" i="1"/>
  <c r="N283" i="1"/>
  <c r="O283" i="1"/>
  <c r="P283" i="1"/>
  <c r="Q283" i="1"/>
  <c r="N284" i="1"/>
  <c r="O284" i="1"/>
  <c r="P284" i="1"/>
  <c r="Q284" i="1"/>
  <c r="N285" i="1"/>
  <c r="O285" i="1"/>
  <c r="P285" i="1"/>
  <c r="Q285" i="1"/>
  <c r="N286" i="1"/>
  <c r="O286" i="1"/>
  <c r="P286" i="1"/>
  <c r="Q286" i="1"/>
  <c r="N287" i="1"/>
  <c r="O287" i="1"/>
  <c r="P287" i="1"/>
  <c r="Q287" i="1"/>
  <c r="N288" i="1"/>
  <c r="O288" i="1"/>
  <c r="P288" i="1"/>
  <c r="Q288" i="1"/>
  <c r="N289" i="1"/>
  <c r="O289" i="1"/>
  <c r="P289" i="1"/>
  <c r="Q289" i="1"/>
  <c r="N290" i="1"/>
  <c r="O290" i="1"/>
  <c r="P290" i="1"/>
  <c r="Q290" i="1"/>
  <c r="N291" i="1"/>
  <c r="O291" i="1"/>
  <c r="P291" i="1"/>
  <c r="Q291" i="1"/>
  <c r="N292" i="1"/>
  <c r="O292" i="1"/>
  <c r="P292" i="1"/>
  <c r="Q292" i="1"/>
  <c r="N293" i="1"/>
  <c r="O293" i="1"/>
  <c r="P293" i="1"/>
  <c r="Q293" i="1"/>
  <c r="N294" i="1"/>
  <c r="O294" i="1"/>
  <c r="P294" i="1"/>
  <c r="Q294" i="1"/>
  <c r="N295" i="1"/>
  <c r="O295" i="1"/>
  <c r="P295" i="1"/>
  <c r="Q295" i="1"/>
  <c r="N296" i="1"/>
  <c r="O296" i="1"/>
  <c r="P296" i="1"/>
  <c r="Q296" i="1"/>
  <c r="N297" i="1"/>
  <c r="O297" i="1"/>
  <c r="P297" i="1"/>
  <c r="Q297" i="1"/>
  <c r="N298" i="1"/>
  <c r="O298" i="1"/>
  <c r="P298" i="1"/>
  <c r="Q298" i="1"/>
  <c r="N299" i="1"/>
  <c r="O299" i="1"/>
  <c r="P299" i="1"/>
  <c r="Q299" i="1"/>
  <c r="N300" i="1"/>
  <c r="O300" i="1"/>
  <c r="P300" i="1"/>
  <c r="Q300" i="1"/>
  <c r="N301" i="1"/>
  <c r="O301" i="1"/>
  <c r="P301" i="1"/>
  <c r="Q301" i="1"/>
  <c r="N302" i="1"/>
  <c r="O302" i="1"/>
  <c r="P302" i="1"/>
  <c r="Q302" i="1"/>
  <c r="N303" i="1"/>
  <c r="O303" i="1"/>
  <c r="P303" i="1"/>
  <c r="Q303" i="1"/>
  <c r="N304" i="1"/>
  <c r="O304" i="1"/>
  <c r="P304" i="1"/>
  <c r="Q304" i="1"/>
  <c r="N305" i="1"/>
  <c r="O305" i="1"/>
  <c r="P305" i="1"/>
  <c r="Q305" i="1"/>
  <c r="N306" i="1"/>
  <c r="O306" i="1"/>
  <c r="P306" i="1"/>
  <c r="Q306" i="1"/>
  <c r="N307" i="1"/>
  <c r="O307" i="1"/>
  <c r="P307" i="1"/>
  <c r="Q307" i="1"/>
  <c r="N308" i="1"/>
  <c r="O308" i="1"/>
  <c r="P308" i="1"/>
  <c r="Q308" i="1"/>
  <c r="N309" i="1"/>
  <c r="O309" i="1"/>
  <c r="P309" i="1"/>
  <c r="Q309" i="1"/>
  <c r="N310" i="1"/>
  <c r="O310" i="1"/>
  <c r="P310" i="1"/>
  <c r="Q310" i="1"/>
  <c r="N311" i="1"/>
  <c r="O311" i="1"/>
  <c r="P311" i="1"/>
  <c r="Q311" i="1"/>
  <c r="N312" i="1"/>
  <c r="O312" i="1"/>
  <c r="P312" i="1"/>
  <c r="Q312" i="1"/>
  <c r="N313" i="1"/>
  <c r="O313" i="1"/>
  <c r="P313" i="1"/>
  <c r="Q313" i="1"/>
  <c r="N314" i="1"/>
  <c r="O314" i="1"/>
  <c r="P314" i="1"/>
  <c r="Q314" i="1"/>
  <c r="N315" i="1"/>
  <c r="O315" i="1"/>
  <c r="P315" i="1"/>
  <c r="Q315" i="1"/>
  <c r="N316" i="1"/>
  <c r="O316" i="1"/>
  <c r="P316" i="1"/>
  <c r="Q316" i="1"/>
  <c r="N317" i="1"/>
  <c r="O317" i="1"/>
  <c r="P317" i="1"/>
  <c r="Q317" i="1"/>
  <c r="N318" i="1"/>
  <c r="O318" i="1"/>
  <c r="P318" i="1"/>
  <c r="Q318" i="1"/>
  <c r="N319" i="1"/>
  <c r="O319" i="1"/>
  <c r="P319" i="1"/>
  <c r="Q319" i="1"/>
  <c r="N320" i="1"/>
  <c r="O320" i="1"/>
  <c r="P320" i="1"/>
  <c r="Q320" i="1"/>
  <c r="N321" i="1"/>
  <c r="O321" i="1"/>
  <c r="P321" i="1"/>
  <c r="Q321" i="1"/>
  <c r="N322" i="1"/>
  <c r="O322" i="1"/>
  <c r="P322" i="1"/>
  <c r="Q322" i="1"/>
  <c r="N323" i="1"/>
  <c r="O323" i="1"/>
  <c r="P323" i="1"/>
  <c r="Q323" i="1"/>
  <c r="N324" i="1"/>
  <c r="O324" i="1"/>
  <c r="P324" i="1"/>
  <c r="Q324" i="1"/>
  <c r="N325" i="1"/>
  <c r="O325" i="1"/>
  <c r="P325" i="1"/>
  <c r="Q325" i="1"/>
  <c r="N326" i="1"/>
  <c r="O326" i="1"/>
  <c r="P326" i="1"/>
  <c r="Q326" i="1"/>
  <c r="N327" i="1"/>
  <c r="O327" i="1"/>
  <c r="P327" i="1"/>
  <c r="Q327" i="1"/>
  <c r="N328" i="1"/>
  <c r="O328" i="1"/>
  <c r="P328" i="1"/>
  <c r="Q328" i="1"/>
  <c r="N329" i="1"/>
  <c r="O329" i="1"/>
  <c r="P329" i="1"/>
  <c r="Q329" i="1"/>
  <c r="N330" i="1"/>
  <c r="O330" i="1"/>
  <c r="P330" i="1"/>
  <c r="Q330" i="1"/>
  <c r="N331" i="1"/>
  <c r="O331" i="1"/>
  <c r="P331" i="1"/>
  <c r="Q331" i="1"/>
  <c r="N332" i="1"/>
  <c r="O332" i="1"/>
  <c r="P332" i="1"/>
  <c r="Q332" i="1"/>
  <c r="N333" i="1"/>
  <c r="O333" i="1"/>
  <c r="P333" i="1"/>
  <c r="Q333" i="1"/>
  <c r="N334" i="1"/>
  <c r="O334" i="1"/>
  <c r="P334" i="1"/>
  <c r="Q334" i="1"/>
  <c r="N335" i="1"/>
  <c r="O335" i="1"/>
  <c r="P335" i="1"/>
  <c r="Q335" i="1"/>
  <c r="N336" i="1"/>
  <c r="O336" i="1"/>
  <c r="P336" i="1"/>
  <c r="Q336" i="1"/>
  <c r="N337" i="1"/>
  <c r="O337" i="1"/>
  <c r="P337" i="1"/>
  <c r="Q337" i="1"/>
  <c r="N338" i="1"/>
  <c r="O338" i="1"/>
  <c r="P338" i="1"/>
  <c r="Q338" i="1"/>
  <c r="N339" i="1"/>
  <c r="O339" i="1"/>
  <c r="P339" i="1"/>
  <c r="Q339" i="1"/>
  <c r="N340" i="1"/>
  <c r="O340" i="1"/>
  <c r="P340" i="1"/>
  <c r="Q340" i="1"/>
  <c r="N341" i="1"/>
  <c r="O341" i="1"/>
  <c r="P341" i="1"/>
  <c r="Q341" i="1"/>
  <c r="N342" i="1"/>
  <c r="O342" i="1"/>
  <c r="P342" i="1"/>
  <c r="Q342" i="1"/>
  <c r="N343" i="1"/>
  <c r="O343" i="1"/>
  <c r="P343" i="1"/>
  <c r="Q343" i="1"/>
  <c r="N344" i="1"/>
  <c r="O344" i="1"/>
  <c r="P344" i="1"/>
  <c r="Q344" i="1"/>
  <c r="N345" i="1"/>
  <c r="O345" i="1"/>
  <c r="P345" i="1"/>
  <c r="Q345" i="1"/>
  <c r="N346" i="1"/>
  <c r="O346" i="1"/>
  <c r="P346" i="1"/>
  <c r="Q346" i="1"/>
  <c r="N347" i="1"/>
  <c r="O347" i="1"/>
  <c r="P347" i="1"/>
  <c r="Q347" i="1"/>
  <c r="N348" i="1"/>
  <c r="O348" i="1"/>
  <c r="P348" i="1"/>
  <c r="Q348" i="1"/>
  <c r="N349" i="1"/>
  <c r="O349" i="1"/>
  <c r="P349" i="1"/>
  <c r="Q349" i="1"/>
  <c r="N350" i="1"/>
  <c r="O350" i="1"/>
  <c r="P350" i="1"/>
  <c r="Q350" i="1"/>
  <c r="N351" i="1"/>
  <c r="O351" i="1"/>
  <c r="P351" i="1"/>
  <c r="Q351" i="1"/>
  <c r="N352" i="1"/>
  <c r="O352" i="1"/>
  <c r="P352" i="1"/>
  <c r="Q352" i="1"/>
  <c r="N353" i="1"/>
  <c r="O353" i="1"/>
  <c r="P353" i="1"/>
  <c r="Q353" i="1"/>
  <c r="N354" i="1"/>
  <c r="O354" i="1"/>
  <c r="P354" i="1"/>
  <c r="Q354" i="1"/>
  <c r="N355" i="1"/>
  <c r="O355" i="1"/>
  <c r="P355" i="1"/>
  <c r="Q355" i="1"/>
  <c r="N356" i="1"/>
  <c r="O356" i="1"/>
  <c r="P356" i="1"/>
  <c r="Q356" i="1"/>
  <c r="N357" i="1"/>
  <c r="O357" i="1"/>
  <c r="P357" i="1"/>
  <c r="Q357" i="1"/>
  <c r="N358" i="1"/>
  <c r="O358" i="1"/>
  <c r="P358" i="1"/>
  <c r="Q358" i="1"/>
  <c r="N359" i="1"/>
  <c r="O359" i="1"/>
  <c r="P359" i="1"/>
  <c r="Q359" i="1"/>
  <c r="N360" i="1"/>
  <c r="O360" i="1"/>
  <c r="P360" i="1"/>
  <c r="Q360" i="1"/>
  <c r="N361" i="1"/>
  <c r="O361" i="1"/>
  <c r="P361" i="1"/>
  <c r="Q361" i="1"/>
  <c r="N362" i="1"/>
  <c r="O362" i="1"/>
  <c r="P362" i="1"/>
  <c r="Q362" i="1"/>
  <c r="N363" i="1"/>
  <c r="O363" i="1"/>
  <c r="P363" i="1"/>
  <c r="Q363" i="1"/>
  <c r="N364" i="1"/>
  <c r="O364" i="1"/>
  <c r="P364" i="1"/>
  <c r="Q364" i="1"/>
  <c r="N365" i="1"/>
  <c r="O365" i="1"/>
  <c r="P365" i="1"/>
  <c r="Q365" i="1"/>
  <c r="N366" i="1"/>
  <c r="O366" i="1"/>
  <c r="P366" i="1"/>
  <c r="Q366" i="1"/>
  <c r="N367" i="1"/>
  <c r="O367" i="1"/>
  <c r="P367" i="1"/>
  <c r="Q367" i="1"/>
  <c r="N368" i="1"/>
  <c r="O368" i="1"/>
  <c r="P368" i="1"/>
  <c r="Q368" i="1"/>
  <c r="N369" i="1"/>
  <c r="O369" i="1"/>
  <c r="P369" i="1"/>
  <c r="Q369" i="1"/>
  <c r="N370" i="1"/>
  <c r="O370" i="1"/>
  <c r="P370" i="1"/>
  <c r="Q370" i="1"/>
  <c r="N371" i="1"/>
  <c r="O371" i="1"/>
  <c r="P371" i="1"/>
  <c r="Q371" i="1"/>
  <c r="N372" i="1"/>
  <c r="O372" i="1"/>
  <c r="P372" i="1"/>
  <c r="Q372" i="1"/>
  <c r="N373" i="1"/>
  <c r="O373" i="1"/>
  <c r="P373" i="1"/>
  <c r="Q373" i="1"/>
  <c r="N374" i="1"/>
  <c r="O374" i="1"/>
  <c r="P374" i="1"/>
  <c r="Q374" i="1"/>
  <c r="N375" i="1"/>
  <c r="O375" i="1"/>
  <c r="P375" i="1"/>
  <c r="Q375" i="1"/>
  <c r="N376" i="1"/>
  <c r="O376" i="1"/>
  <c r="P376" i="1"/>
  <c r="Q376" i="1"/>
  <c r="N377" i="1"/>
  <c r="O377" i="1"/>
  <c r="P377" i="1"/>
  <c r="Q377" i="1"/>
  <c r="N378" i="1"/>
  <c r="O378" i="1"/>
  <c r="P378" i="1"/>
  <c r="Q378" i="1"/>
  <c r="N379" i="1"/>
  <c r="O379" i="1"/>
  <c r="P379" i="1"/>
  <c r="Q379" i="1"/>
  <c r="N380" i="1"/>
  <c r="O380" i="1"/>
  <c r="P380" i="1"/>
  <c r="Q380" i="1"/>
  <c r="N381" i="1"/>
  <c r="O381" i="1"/>
  <c r="P381" i="1"/>
  <c r="Q381" i="1"/>
  <c r="N382" i="1"/>
  <c r="O382" i="1"/>
  <c r="P382" i="1"/>
  <c r="Q382" i="1"/>
  <c r="N383" i="1"/>
  <c r="O383" i="1"/>
  <c r="P383" i="1"/>
  <c r="Q383" i="1"/>
  <c r="N384" i="1"/>
  <c r="O384" i="1"/>
  <c r="P384" i="1"/>
  <c r="Q384" i="1"/>
  <c r="N385" i="1"/>
  <c r="O385" i="1"/>
  <c r="P385" i="1"/>
  <c r="Q385" i="1"/>
  <c r="N386" i="1"/>
  <c r="O386" i="1"/>
  <c r="P386" i="1"/>
  <c r="Q386" i="1"/>
  <c r="N387" i="1"/>
  <c r="O387" i="1"/>
  <c r="P387" i="1"/>
  <c r="Q387" i="1"/>
  <c r="N388" i="1"/>
  <c r="O388" i="1"/>
  <c r="P388" i="1"/>
  <c r="Q388" i="1"/>
  <c r="N389" i="1"/>
  <c r="O389" i="1"/>
  <c r="P389" i="1"/>
  <c r="Q389" i="1"/>
  <c r="N390" i="1"/>
  <c r="O390" i="1"/>
  <c r="P390" i="1"/>
  <c r="Q390" i="1"/>
  <c r="N391" i="1"/>
  <c r="O391" i="1"/>
  <c r="P391" i="1"/>
  <c r="Q391" i="1"/>
  <c r="N392" i="1"/>
  <c r="O392" i="1"/>
  <c r="P392" i="1"/>
  <c r="Q392" i="1"/>
  <c r="N393" i="1"/>
  <c r="O393" i="1"/>
  <c r="P393" i="1"/>
  <c r="Q393" i="1"/>
  <c r="N394" i="1"/>
  <c r="O394" i="1"/>
  <c r="P394" i="1"/>
  <c r="Q394" i="1"/>
  <c r="N395" i="1"/>
  <c r="O395" i="1"/>
  <c r="P395" i="1"/>
  <c r="Q395" i="1"/>
  <c r="N396" i="1"/>
  <c r="O396" i="1"/>
  <c r="P396" i="1"/>
  <c r="Q396" i="1"/>
  <c r="N397" i="1"/>
  <c r="O397" i="1"/>
  <c r="P397" i="1"/>
  <c r="Q397" i="1"/>
  <c r="N398" i="1"/>
  <c r="O398" i="1"/>
  <c r="P398" i="1"/>
  <c r="Q398" i="1"/>
  <c r="N399" i="1"/>
  <c r="O399" i="1"/>
  <c r="P399" i="1"/>
  <c r="Q399" i="1"/>
  <c r="N400" i="1"/>
  <c r="O400" i="1"/>
  <c r="P400" i="1"/>
  <c r="Q400" i="1"/>
  <c r="N401" i="1"/>
  <c r="O401" i="1"/>
  <c r="P401" i="1"/>
  <c r="Q401" i="1"/>
  <c r="N402" i="1"/>
  <c r="O402" i="1"/>
  <c r="P402" i="1"/>
  <c r="Q402" i="1"/>
  <c r="N403" i="1"/>
  <c r="O403" i="1"/>
  <c r="P403" i="1"/>
  <c r="Q403" i="1"/>
  <c r="N404" i="1"/>
  <c r="O404" i="1"/>
  <c r="P404" i="1"/>
  <c r="Q404" i="1"/>
  <c r="N405" i="1"/>
  <c r="O405" i="1"/>
  <c r="P405" i="1"/>
  <c r="Q405" i="1"/>
  <c r="N406" i="1"/>
  <c r="O406" i="1"/>
  <c r="P406" i="1"/>
  <c r="Q406" i="1"/>
  <c r="N407" i="1"/>
  <c r="O407" i="1"/>
  <c r="P407" i="1"/>
  <c r="Q407" i="1"/>
  <c r="N408" i="1"/>
  <c r="O408" i="1"/>
  <c r="P408" i="1"/>
  <c r="Q408" i="1"/>
  <c r="N409" i="1"/>
  <c r="O409" i="1"/>
  <c r="P409" i="1"/>
  <c r="Q409" i="1"/>
  <c r="N410" i="1"/>
  <c r="O410" i="1"/>
  <c r="P410" i="1"/>
  <c r="Q410" i="1"/>
  <c r="N411" i="1"/>
  <c r="O411" i="1"/>
  <c r="P411" i="1"/>
  <c r="Q411" i="1"/>
  <c r="N412" i="1"/>
  <c r="O412" i="1"/>
  <c r="P412" i="1"/>
  <c r="Q412" i="1"/>
  <c r="N413" i="1"/>
  <c r="O413" i="1"/>
  <c r="P413" i="1"/>
  <c r="Q413" i="1"/>
  <c r="N414" i="1"/>
  <c r="O414" i="1"/>
  <c r="P414" i="1"/>
  <c r="Q414" i="1"/>
  <c r="N415" i="1"/>
  <c r="O415" i="1"/>
  <c r="P415" i="1"/>
  <c r="Q415" i="1"/>
  <c r="N416" i="1"/>
  <c r="O416" i="1"/>
  <c r="P416" i="1"/>
  <c r="Q416" i="1"/>
  <c r="N417" i="1"/>
  <c r="O417" i="1"/>
  <c r="P417" i="1"/>
  <c r="Q417" i="1"/>
  <c r="N418" i="1"/>
  <c r="O418" i="1"/>
  <c r="P418" i="1"/>
  <c r="Q418" i="1"/>
  <c r="N419" i="1"/>
  <c r="O419" i="1"/>
  <c r="P419" i="1"/>
  <c r="Q419" i="1"/>
  <c r="N420" i="1"/>
  <c r="O420" i="1"/>
  <c r="P420" i="1"/>
  <c r="Q420" i="1"/>
  <c r="N421" i="1"/>
  <c r="O421" i="1"/>
  <c r="P421" i="1"/>
  <c r="Q421" i="1"/>
  <c r="N422" i="1"/>
  <c r="O422" i="1"/>
  <c r="P422" i="1"/>
  <c r="Q422" i="1"/>
  <c r="N423" i="1"/>
  <c r="O423" i="1"/>
  <c r="P423" i="1"/>
  <c r="Q423" i="1"/>
  <c r="N424" i="1"/>
  <c r="O424" i="1"/>
  <c r="P424" i="1"/>
  <c r="Q424" i="1"/>
  <c r="N425" i="1"/>
  <c r="O425" i="1"/>
  <c r="P425" i="1"/>
  <c r="Q425" i="1"/>
  <c r="N426" i="1"/>
  <c r="O426" i="1"/>
  <c r="P426" i="1"/>
  <c r="Q426" i="1"/>
  <c r="N427" i="1"/>
  <c r="O427" i="1"/>
  <c r="P427" i="1"/>
  <c r="Q427" i="1"/>
  <c r="N428" i="1"/>
  <c r="O428" i="1"/>
  <c r="P428" i="1"/>
  <c r="Q428" i="1"/>
  <c r="N429" i="1"/>
  <c r="O429" i="1"/>
  <c r="P429" i="1"/>
  <c r="Q429" i="1"/>
  <c r="N430" i="1"/>
  <c r="O430" i="1"/>
  <c r="P430" i="1"/>
  <c r="Q430" i="1"/>
  <c r="N431" i="1"/>
  <c r="O431" i="1"/>
  <c r="P431" i="1"/>
  <c r="Q431" i="1"/>
  <c r="N432" i="1"/>
  <c r="O432" i="1"/>
  <c r="P432" i="1"/>
  <c r="Q432" i="1"/>
  <c r="N433" i="1"/>
  <c r="O433" i="1"/>
  <c r="P433" i="1"/>
  <c r="Q433" i="1"/>
  <c r="N434" i="1"/>
  <c r="O434" i="1"/>
  <c r="P434" i="1"/>
  <c r="Q434" i="1"/>
  <c r="N435" i="1"/>
  <c r="O435" i="1"/>
  <c r="P435" i="1"/>
  <c r="Q435" i="1"/>
  <c r="N436" i="1"/>
  <c r="O436" i="1"/>
  <c r="P436" i="1"/>
  <c r="Q436" i="1"/>
  <c r="N437" i="1"/>
  <c r="O437" i="1"/>
  <c r="P437" i="1"/>
  <c r="Q437" i="1"/>
  <c r="N438" i="1"/>
  <c r="O438" i="1"/>
  <c r="P438" i="1"/>
  <c r="Q438" i="1"/>
  <c r="N439" i="1"/>
  <c r="O439" i="1"/>
  <c r="P439" i="1"/>
  <c r="Q439" i="1"/>
  <c r="N440" i="1"/>
  <c r="O440" i="1"/>
  <c r="P440" i="1"/>
  <c r="Q440" i="1"/>
  <c r="N441" i="1"/>
  <c r="O441" i="1"/>
  <c r="P441" i="1"/>
  <c r="Q441" i="1"/>
  <c r="N442" i="1"/>
  <c r="O442" i="1"/>
  <c r="P442" i="1"/>
  <c r="Q442" i="1"/>
  <c r="N443" i="1"/>
  <c r="O443" i="1"/>
  <c r="P443" i="1"/>
  <c r="Q443" i="1"/>
  <c r="N444" i="1"/>
  <c r="O444" i="1"/>
  <c r="P444" i="1"/>
  <c r="Q444" i="1"/>
  <c r="N445" i="1"/>
  <c r="O445" i="1"/>
  <c r="P445" i="1"/>
  <c r="Q445" i="1"/>
  <c r="N446" i="1"/>
  <c r="O446" i="1"/>
  <c r="P446" i="1"/>
  <c r="Q446" i="1"/>
  <c r="N447" i="1"/>
  <c r="O447" i="1"/>
  <c r="P447" i="1"/>
  <c r="Q447" i="1"/>
  <c r="N448" i="1"/>
  <c r="O448" i="1"/>
  <c r="P448" i="1"/>
  <c r="Q448" i="1"/>
  <c r="N449" i="1"/>
  <c r="O449" i="1"/>
  <c r="P449" i="1"/>
  <c r="Q449" i="1"/>
  <c r="N450" i="1"/>
  <c r="O450" i="1"/>
  <c r="P450" i="1"/>
  <c r="Q450" i="1"/>
  <c r="N451" i="1"/>
  <c r="O451" i="1"/>
  <c r="P451" i="1"/>
  <c r="Q451" i="1"/>
  <c r="N452" i="1"/>
  <c r="O452" i="1"/>
  <c r="P452" i="1"/>
  <c r="Q452" i="1"/>
  <c r="N453" i="1"/>
  <c r="O453" i="1"/>
  <c r="P453" i="1"/>
  <c r="Q453" i="1"/>
  <c r="N454" i="1"/>
  <c r="O454" i="1"/>
  <c r="P454" i="1"/>
  <c r="Q454" i="1"/>
  <c r="N455" i="1"/>
  <c r="O455" i="1"/>
  <c r="P455" i="1"/>
  <c r="Q455" i="1"/>
  <c r="N456" i="1"/>
  <c r="O456" i="1"/>
  <c r="P456" i="1"/>
  <c r="Q456" i="1"/>
  <c r="N457" i="1"/>
  <c r="O457" i="1"/>
  <c r="P457" i="1"/>
  <c r="Q457" i="1"/>
  <c r="N458" i="1"/>
  <c r="O458" i="1"/>
  <c r="P458" i="1"/>
  <c r="Q458" i="1"/>
  <c r="N459" i="1"/>
  <c r="O459" i="1"/>
  <c r="P459" i="1"/>
  <c r="Q459" i="1"/>
  <c r="N460" i="1"/>
  <c r="O460" i="1"/>
  <c r="P460" i="1"/>
  <c r="Q460" i="1"/>
  <c r="N461" i="1"/>
  <c r="O461" i="1"/>
  <c r="P461" i="1"/>
  <c r="Q461" i="1"/>
  <c r="N462" i="1"/>
  <c r="O462" i="1"/>
  <c r="P462" i="1"/>
  <c r="Q462" i="1"/>
  <c r="N463" i="1"/>
  <c r="O463" i="1"/>
  <c r="P463" i="1"/>
  <c r="Q463" i="1"/>
  <c r="N464" i="1"/>
  <c r="O464" i="1"/>
  <c r="P464" i="1"/>
  <c r="Q464" i="1"/>
  <c r="N465" i="1"/>
  <c r="O465" i="1"/>
  <c r="P465" i="1"/>
  <c r="Q465" i="1"/>
  <c r="N466" i="1"/>
  <c r="O466" i="1"/>
  <c r="P466" i="1"/>
  <c r="Q466" i="1"/>
  <c r="N467" i="1"/>
  <c r="O467" i="1"/>
  <c r="P467" i="1"/>
  <c r="Q467" i="1"/>
  <c r="N468" i="1"/>
  <c r="O468" i="1"/>
  <c r="P468" i="1"/>
  <c r="Q468" i="1"/>
  <c r="N469" i="1"/>
  <c r="O469" i="1"/>
  <c r="P469" i="1"/>
  <c r="Q469" i="1"/>
  <c r="N470" i="1"/>
  <c r="O470" i="1"/>
  <c r="P470" i="1"/>
  <c r="Q470" i="1"/>
  <c r="N471" i="1"/>
  <c r="O471" i="1"/>
  <c r="P471" i="1"/>
  <c r="Q471" i="1"/>
  <c r="N472" i="1"/>
  <c r="O472" i="1"/>
  <c r="P472" i="1"/>
  <c r="Q472" i="1"/>
  <c r="N473" i="1"/>
  <c r="O473" i="1"/>
  <c r="P473" i="1"/>
  <c r="Q473" i="1"/>
  <c r="N474" i="1"/>
  <c r="O474" i="1"/>
  <c r="P474" i="1"/>
  <c r="Q474" i="1"/>
  <c r="N475" i="1"/>
  <c r="O475" i="1"/>
  <c r="P475" i="1"/>
  <c r="Q475" i="1"/>
  <c r="N476" i="1"/>
  <c r="O476" i="1"/>
  <c r="P476" i="1"/>
  <c r="Q476" i="1"/>
  <c r="N477" i="1"/>
  <c r="O477" i="1"/>
  <c r="P477" i="1"/>
  <c r="Q477" i="1"/>
  <c r="N478" i="1"/>
  <c r="O478" i="1"/>
  <c r="P478" i="1"/>
  <c r="Q478" i="1"/>
  <c r="N479" i="1"/>
  <c r="O479" i="1"/>
  <c r="P479" i="1"/>
  <c r="Q479" i="1"/>
  <c r="N480" i="1"/>
  <c r="O480" i="1"/>
  <c r="P480" i="1"/>
  <c r="Q480" i="1"/>
  <c r="N481" i="1"/>
  <c r="O481" i="1"/>
  <c r="P481" i="1"/>
  <c r="Q481" i="1"/>
  <c r="N482" i="1"/>
  <c r="O482" i="1"/>
  <c r="P482" i="1"/>
  <c r="Q482" i="1"/>
  <c r="N483" i="1"/>
  <c r="O483" i="1"/>
  <c r="P483" i="1"/>
  <c r="Q483" i="1"/>
  <c r="N484" i="1"/>
  <c r="O484" i="1"/>
  <c r="P484" i="1"/>
  <c r="Q484" i="1"/>
  <c r="N485" i="1"/>
  <c r="O485" i="1"/>
  <c r="P485" i="1"/>
  <c r="Q485" i="1"/>
  <c r="N486" i="1"/>
  <c r="O486" i="1"/>
  <c r="P486" i="1"/>
  <c r="Q486" i="1"/>
  <c r="N487" i="1"/>
  <c r="O487" i="1"/>
  <c r="P487" i="1"/>
  <c r="Q487" i="1"/>
  <c r="N488" i="1"/>
  <c r="O488" i="1"/>
  <c r="P488" i="1"/>
  <c r="Q488" i="1"/>
  <c r="N489" i="1"/>
  <c r="O489" i="1"/>
  <c r="P489" i="1"/>
  <c r="Q489" i="1"/>
  <c r="N490" i="1"/>
  <c r="O490" i="1"/>
  <c r="P490" i="1"/>
  <c r="Q490" i="1"/>
  <c r="N491" i="1"/>
  <c r="O491" i="1"/>
  <c r="P491" i="1"/>
  <c r="Q491" i="1"/>
  <c r="N492" i="1"/>
  <c r="O492" i="1"/>
  <c r="P492" i="1"/>
  <c r="Q492" i="1"/>
  <c r="N493" i="1"/>
  <c r="O493" i="1"/>
  <c r="P493" i="1"/>
  <c r="Q493" i="1"/>
  <c r="N494" i="1"/>
  <c r="O494" i="1"/>
  <c r="P494" i="1"/>
  <c r="Q494" i="1"/>
  <c r="N495" i="1"/>
  <c r="O495" i="1"/>
  <c r="P495" i="1"/>
  <c r="Q495" i="1"/>
  <c r="N496" i="1"/>
  <c r="O496" i="1"/>
  <c r="P496" i="1"/>
  <c r="Q496" i="1"/>
  <c r="N497" i="1"/>
  <c r="O497" i="1"/>
  <c r="P497" i="1"/>
  <c r="Q497" i="1"/>
  <c r="N498" i="1"/>
  <c r="O498" i="1"/>
  <c r="P498" i="1"/>
  <c r="Q498" i="1"/>
  <c r="N499" i="1"/>
  <c r="O499" i="1"/>
  <c r="P499" i="1"/>
  <c r="Q499" i="1"/>
  <c r="N500" i="1"/>
  <c r="O500" i="1"/>
  <c r="P500" i="1"/>
  <c r="Q500" i="1"/>
  <c r="N501" i="1"/>
  <c r="O501" i="1"/>
  <c r="P501" i="1"/>
  <c r="Q501" i="1"/>
  <c r="N502" i="1"/>
  <c r="O502" i="1"/>
  <c r="P502" i="1"/>
  <c r="Q502" i="1"/>
  <c r="N503" i="1"/>
  <c r="O503" i="1"/>
  <c r="P503" i="1"/>
  <c r="Q503" i="1"/>
  <c r="N504" i="1"/>
  <c r="O504" i="1"/>
  <c r="P504" i="1"/>
  <c r="Q504" i="1"/>
  <c r="N505" i="1"/>
  <c r="O505" i="1"/>
  <c r="P505" i="1"/>
  <c r="Q505" i="1"/>
  <c r="N506" i="1"/>
  <c r="O506" i="1"/>
  <c r="P506" i="1"/>
  <c r="Q506" i="1"/>
  <c r="N507" i="1"/>
  <c r="O507" i="1"/>
  <c r="P507" i="1"/>
  <c r="Q507" i="1"/>
  <c r="N508" i="1"/>
  <c r="O508" i="1"/>
  <c r="P508" i="1"/>
  <c r="Q508" i="1"/>
  <c r="N509" i="1"/>
  <c r="O509" i="1"/>
  <c r="P509" i="1"/>
  <c r="Q509" i="1"/>
  <c r="N510" i="1"/>
  <c r="O510" i="1"/>
  <c r="P510" i="1"/>
  <c r="Q510" i="1"/>
  <c r="N511" i="1"/>
  <c r="O511" i="1"/>
  <c r="P511" i="1"/>
  <c r="Q511" i="1"/>
  <c r="N512" i="1"/>
  <c r="O512" i="1"/>
  <c r="P512" i="1"/>
  <c r="Q512" i="1"/>
  <c r="N513" i="1"/>
  <c r="O513" i="1"/>
  <c r="P513" i="1"/>
  <c r="Q513" i="1"/>
  <c r="N514" i="1"/>
  <c r="O514" i="1"/>
  <c r="P514" i="1"/>
  <c r="Q514" i="1"/>
  <c r="N515" i="1"/>
  <c r="O515" i="1"/>
  <c r="P515" i="1"/>
  <c r="Q515" i="1"/>
  <c r="N516" i="1"/>
  <c r="O516" i="1"/>
  <c r="P516" i="1"/>
  <c r="Q516" i="1"/>
  <c r="N517" i="1"/>
  <c r="O517" i="1"/>
  <c r="P517" i="1"/>
  <c r="Q517" i="1"/>
  <c r="N518" i="1"/>
  <c r="O518" i="1"/>
  <c r="P518" i="1"/>
  <c r="Q518" i="1"/>
  <c r="N519" i="1"/>
  <c r="O519" i="1"/>
  <c r="P519" i="1"/>
  <c r="Q519" i="1"/>
  <c r="N520" i="1"/>
  <c r="O520" i="1"/>
  <c r="P520" i="1"/>
  <c r="Q520" i="1"/>
  <c r="N521" i="1"/>
  <c r="O521" i="1"/>
  <c r="P521" i="1"/>
  <c r="Q521" i="1"/>
  <c r="N522" i="1"/>
  <c r="O522" i="1"/>
  <c r="P522" i="1"/>
  <c r="Q522" i="1"/>
  <c r="N523" i="1"/>
  <c r="O523" i="1"/>
  <c r="P523" i="1"/>
  <c r="Q523" i="1"/>
  <c r="N524" i="1"/>
  <c r="O524" i="1"/>
  <c r="P524" i="1"/>
  <c r="Q524" i="1"/>
  <c r="N525" i="1"/>
  <c r="O525" i="1"/>
  <c r="P525" i="1"/>
  <c r="Q525" i="1"/>
  <c r="N526" i="1"/>
  <c r="O526" i="1"/>
  <c r="P526" i="1"/>
  <c r="Q526" i="1"/>
  <c r="N527" i="1"/>
  <c r="O527" i="1"/>
  <c r="P527" i="1"/>
  <c r="Q527" i="1"/>
  <c r="N528" i="1"/>
  <c r="O528" i="1"/>
  <c r="P528" i="1"/>
  <c r="Q528" i="1"/>
  <c r="N529" i="1"/>
  <c r="O529" i="1"/>
  <c r="P529" i="1"/>
  <c r="Q529" i="1"/>
  <c r="N530" i="1"/>
  <c r="O530" i="1"/>
  <c r="P530" i="1"/>
  <c r="Q530" i="1"/>
  <c r="N531" i="1"/>
  <c r="O531" i="1"/>
  <c r="P531" i="1"/>
  <c r="Q531" i="1"/>
  <c r="N532" i="1"/>
  <c r="O532" i="1"/>
  <c r="P532" i="1"/>
  <c r="Q532" i="1"/>
  <c r="N533" i="1"/>
  <c r="O533" i="1"/>
  <c r="P533" i="1"/>
  <c r="Q533" i="1"/>
  <c r="N534" i="1"/>
  <c r="O534" i="1"/>
  <c r="P534" i="1"/>
  <c r="Q534" i="1"/>
  <c r="N535" i="1"/>
  <c r="O535" i="1"/>
  <c r="P535" i="1"/>
  <c r="Q535" i="1"/>
  <c r="N536" i="1"/>
  <c r="O536" i="1"/>
  <c r="P536" i="1"/>
  <c r="Q536" i="1"/>
  <c r="N537" i="1"/>
  <c r="O537" i="1"/>
  <c r="P537" i="1"/>
  <c r="Q537" i="1"/>
  <c r="N538" i="1"/>
  <c r="O538" i="1"/>
  <c r="P538" i="1"/>
  <c r="Q538" i="1"/>
  <c r="N539" i="1"/>
  <c r="O539" i="1"/>
  <c r="P539" i="1"/>
  <c r="Q539" i="1"/>
  <c r="N540" i="1"/>
  <c r="O540" i="1"/>
  <c r="P540" i="1"/>
  <c r="Q540" i="1"/>
  <c r="N541" i="1"/>
  <c r="O541" i="1"/>
  <c r="P541" i="1"/>
  <c r="Q541" i="1"/>
  <c r="N542" i="1"/>
  <c r="O542" i="1"/>
  <c r="P542" i="1"/>
  <c r="Q542" i="1"/>
  <c r="N543" i="1"/>
  <c r="O543" i="1"/>
  <c r="P543" i="1"/>
  <c r="Q543" i="1"/>
  <c r="N544" i="1"/>
  <c r="O544" i="1"/>
  <c r="P544" i="1"/>
  <c r="Q544" i="1"/>
  <c r="N545" i="1"/>
  <c r="O545" i="1"/>
  <c r="P545" i="1"/>
  <c r="Q545" i="1"/>
  <c r="N546" i="1"/>
  <c r="O546" i="1"/>
  <c r="P546" i="1"/>
  <c r="Q546" i="1"/>
  <c r="N547" i="1"/>
  <c r="O547" i="1"/>
  <c r="P547" i="1"/>
  <c r="Q547" i="1"/>
  <c r="N548" i="1"/>
  <c r="O548" i="1"/>
  <c r="P548" i="1"/>
  <c r="Q548" i="1"/>
  <c r="N549" i="1"/>
  <c r="O549" i="1"/>
  <c r="P549" i="1"/>
  <c r="Q549" i="1"/>
  <c r="N550" i="1"/>
  <c r="O550" i="1"/>
  <c r="P550" i="1"/>
  <c r="Q550" i="1"/>
  <c r="N551" i="1"/>
  <c r="O551" i="1"/>
  <c r="P551" i="1"/>
  <c r="Q551" i="1"/>
  <c r="N552" i="1"/>
  <c r="O552" i="1"/>
  <c r="P552" i="1"/>
  <c r="Q552" i="1"/>
  <c r="N553" i="1"/>
  <c r="O553" i="1"/>
  <c r="P553" i="1"/>
  <c r="Q553" i="1"/>
  <c r="N554" i="1"/>
  <c r="O554" i="1"/>
  <c r="P554" i="1"/>
  <c r="Q554" i="1"/>
  <c r="N555" i="1"/>
  <c r="O555" i="1"/>
  <c r="P555" i="1"/>
  <c r="Q555" i="1"/>
  <c r="N556" i="1"/>
  <c r="O556" i="1"/>
  <c r="P556" i="1"/>
  <c r="Q556" i="1"/>
  <c r="N557" i="1"/>
  <c r="O557" i="1"/>
  <c r="P557" i="1"/>
  <c r="Q557" i="1"/>
  <c r="N558" i="1"/>
  <c r="O558" i="1"/>
  <c r="P558" i="1"/>
  <c r="Q558" i="1"/>
  <c r="N559" i="1"/>
  <c r="O559" i="1"/>
  <c r="P559" i="1"/>
  <c r="Q559" i="1"/>
  <c r="N560" i="1"/>
  <c r="O560" i="1"/>
  <c r="P560" i="1"/>
  <c r="Q560" i="1"/>
  <c r="N561" i="1"/>
  <c r="O561" i="1"/>
  <c r="P561" i="1"/>
  <c r="Q561" i="1"/>
  <c r="N562" i="1"/>
  <c r="O562" i="1"/>
  <c r="P562" i="1"/>
  <c r="Q562" i="1"/>
  <c r="N563" i="1"/>
  <c r="O563" i="1"/>
  <c r="P563" i="1"/>
  <c r="Q563" i="1"/>
  <c r="N564" i="1"/>
  <c r="O564" i="1"/>
  <c r="P564" i="1"/>
  <c r="Q564" i="1"/>
  <c r="N565" i="1"/>
  <c r="O565" i="1"/>
  <c r="P565" i="1"/>
  <c r="Q565" i="1"/>
  <c r="N566" i="1"/>
  <c r="O566" i="1"/>
  <c r="P566" i="1"/>
  <c r="Q566" i="1"/>
  <c r="N567" i="1"/>
  <c r="O567" i="1"/>
  <c r="P567" i="1"/>
  <c r="Q567" i="1"/>
  <c r="N568" i="1"/>
  <c r="O568" i="1"/>
  <c r="P568" i="1"/>
  <c r="Q568" i="1"/>
  <c r="N569" i="1"/>
  <c r="O569" i="1"/>
  <c r="P569" i="1"/>
  <c r="Q569" i="1"/>
  <c r="N570" i="1"/>
  <c r="O570" i="1"/>
  <c r="P570" i="1"/>
  <c r="Q570" i="1"/>
  <c r="N571" i="1"/>
  <c r="O571" i="1"/>
  <c r="P571" i="1"/>
  <c r="Q571" i="1"/>
  <c r="N572" i="1"/>
  <c r="O572" i="1"/>
  <c r="P572" i="1"/>
  <c r="Q572" i="1"/>
  <c r="N573" i="1"/>
  <c r="O573" i="1"/>
  <c r="P573" i="1"/>
  <c r="Q573" i="1"/>
  <c r="N574" i="1"/>
  <c r="O574" i="1"/>
  <c r="P574" i="1"/>
  <c r="Q574" i="1"/>
  <c r="N575" i="1"/>
  <c r="O575" i="1"/>
  <c r="P575" i="1"/>
  <c r="Q575" i="1"/>
  <c r="N576" i="1"/>
  <c r="O576" i="1"/>
  <c r="P576" i="1"/>
  <c r="Q576" i="1"/>
  <c r="N577" i="1"/>
  <c r="O577" i="1"/>
  <c r="P577" i="1"/>
  <c r="Q577" i="1"/>
  <c r="N578" i="1"/>
  <c r="O578" i="1"/>
  <c r="P578" i="1"/>
  <c r="Q578" i="1"/>
  <c r="N579" i="1"/>
  <c r="O579" i="1"/>
  <c r="P579" i="1"/>
  <c r="Q579" i="1"/>
  <c r="N580" i="1"/>
  <c r="O580" i="1"/>
  <c r="P580" i="1"/>
  <c r="Q580" i="1"/>
  <c r="N581" i="1"/>
  <c r="O581" i="1"/>
  <c r="P581" i="1"/>
  <c r="Q581" i="1"/>
  <c r="N582" i="1"/>
  <c r="O582" i="1"/>
  <c r="P582" i="1"/>
  <c r="Q582" i="1"/>
  <c r="N583" i="1"/>
  <c r="O583" i="1"/>
  <c r="P583" i="1"/>
  <c r="Q583" i="1"/>
  <c r="N584" i="1"/>
  <c r="O584" i="1"/>
  <c r="P584" i="1"/>
  <c r="Q584" i="1"/>
  <c r="N585" i="1"/>
  <c r="O585" i="1"/>
  <c r="P585" i="1"/>
  <c r="Q585" i="1"/>
  <c r="N586" i="1"/>
  <c r="O586" i="1"/>
  <c r="P586" i="1"/>
  <c r="Q586" i="1"/>
  <c r="N587" i="1"/>
  <c r="O587" i="1"/>
  <c r="P587" i="1"/>
  <c r="Q587" i="1"/>
  <c r="N588" i="1"/>
  <c r="O588" i="1"/>
  <c r="P588" i="1"/>
  <c r="Q588" i="1"/>
  <c r="N589" i="1"/>
  <c r="O589" i="1"/>
  <c r="P589" i="1"/>
  <c r="Q589" i="1"/>
  <c r="N590" i="1"/>
  <c r="O590" i="1"/>
  <c r="P590" i="1"/>
  <c r="Q590" i="1"/>
  <c r="N591" i="1"/>
  <c r="O591" i="1"/>
  <c r="P591" i="1"/>
  <c r="Q591" i="1"/>
  <c r="N592" i="1"/>
  <c r="O592" i="1"/>
  <c r="P592" i="1"/>
  <c r="Q592" i="1"/>
  <c r="N593" i="1"/>
  <c r="O593" i="1"/>
  <c r="P593" i="1"/>
  <c r="Q593" i="1"/>
  <c r="N594" i="1"/>
  <c r="O594" i="1"/>
  <c r="P594" i="1"/>
  <c r="Q594" i="1"/>
  <c r="N595" i="1"/>
  <c r="O595" i="1"/>
  <c r="P595" i="1"/>
  <c r="Q595" i="1"/>
  <c r="N596" i="1"/>
  <c r="O596" i="1"/>
  <c r="P596" i="1"/>
  <c r="Q596" i="1"/>
  <c r="N597" i="1"/>
  <c r="O597" i="1"/>
  <c r="P597" i="1"/>
  <c r="Q597" i="1"/>
  <c r="N598" i="1"/>
  <c r="O598" i="1"/>
  <c r="P598" i="1"/>
  <c r="Q598" i="1"/>
  <c r="N599" i="1"/>
  <c r="O599" i="1"/>
  <c r="P599" i="1"/>
  <c r="Q599" i="1"/>
  <c r="N600" i="1"/>
  <c r="O600" i="1"/>
  <c r="P600" i="1"/>
  <c r="Q600" i="1"/>
  <c r="N601" i="1"/>
  <c r="O601" i="1"/>
  <c r="P601" i="1"/>
  <c r="Q601" i="1"/>
  <c r="N602" i="1"/>
  <c r="O602" i="1"/>
  <c r="P602" i="1"/>
  <c r="Q602" i="1"/>
  <c r="N603" i="1"/>
  <c r="O603" i="1"/>
  <c r="P603" i="1"/>
  <c r="Q603" i="1"/>
  <c r="N604" i="1"/>
  <c r="O604" i="1"/>
  <c r="P604" i="1"/>
  <c r="Q604" i="1"/>
  <c r="N605" i="1"/>
  <c r="O605" i="1"/>
  <c r="P605" i="1"/>
  <c r="Q605" i="1"/>
  <c r="N606" i="1"/>
  <c r="O606" i="1"/>
  <c r="P606" i="1"/>
  <c r="Q606" i="1"/>
  <c r="N607" i="1"/>
  <c r="O607" i="1"/>
  <c r="P607" i="1"/>
  <c r="Q607" i="1"/>
  <c r="N608" i="1"/>
  <c r="O608" i="1"/>
  <c r="P608" i="1"/>
  <c r="Q608" i="1"/>
  <c r="N609" i="1"/>
  <c r="O609" i="1"/>
  <c r="P609" i="1"/>
  <c r="Q609" i="1"/>
  <c r="N610" i="1"/>
  <c r="O610" i="1"/>
  <c r="P610" i="1"/>
  <c r="Q610" i="1"/>
  <c r="N611" i="1"/>
  <c r="O611" i="1"/>
  <c r="P611" i="1"/>
  <c r="Q611" i="1"/>
  <c r="N612" i="1"/>
  <c r="O612" i="1"/>
  <c r="P612" i="1"/>
  <c r="Q612" i="1"/>
  <c r="N613" i="1"/>
  <c r="O613" i="1"/>
  <c r="P613" i="1"/>
  <c r="Q613" i="1"/>
  <c r="N614" i="1"/>
  <c r="O614" i="1"/>
  <c r="P614" i="1"/>
  <c r="Q614" i="1"/>
  <c r="N615" i="1"/>
  <c r="O615" i="1"/>
  <c r="P615" i="1"/>
  <c r="Q615" i="1"/>
  <c r="N616" i="1"/>
  <c r="O616" i="1"/>
  <c r="P616" i="1"/>
  <c r="Q616" i="1"/>
  <c r="N617" i="1"/>
  <c r="O617" i="1"/>
  <c r="P617" i="1"/>
  <c r="Q617" i="1"/>
  <c r="N618" i="1"/>
  <c r="O618" i="1"/>
  <c r="P618" i="1"/>
  <c r="Q618" i="1"/>
  <c r="N619" i="1"/>
  <c r="O619" i="1"/>
  <c r="P619" i="1"/>
  <c r="Q619" i="1"/>
  <c r="N620" i="1"/>
  <c r="O620" i="1"/>
  <c r="P620" i="1"/>
  <c r="Q620" i="1"/>
  <c r="N621" i="1"/>
  <c r="O621" i="1"/>
  <c r="P621" i="1"/>
  <c r="Q621" i="1"/>
  <c r="N622" i="1"/>
  <c r="O622" i="1"/>
  <c r="P622" i="1"/>
  <c r="Q622" i="1"/>
  <c r="N623" i="1"/>
  <c r="O623" i="1"/>
  <c r="P623" i="1"/>
  <c r="Q623" i="1"/>
  <c r="N624" i="1"/>
  <c r="O624" i="1"/>
  <c r="P624" i="1"/>
  <c r="Q624" i="1"/>
  <c r="N625" i="1"/>
  <c r="O625" i="1"/>
  <c r="P625" i="1"/>
  <c r="Q625" i="1"/>
  <c r="N626" i="1"/>
  <c r="O626" i="1"/>
  <c r="P626" i="1"/>
  <c r="Q626" i="1"/>
  <c r="N627" i="1"/>
  <c r="O627" i="1"/>
  <c r="P627" i="1"/>
  <c r="Q627" i="1"/>
  <c r="N628" i="1"/>
  <c r="O628" i="1"/>
  <c r="P628" i="1"/>
  <c r="Q628" i="1"/>
  <c r="N629" i="1"/>
  <c r="O629" i="1"/>
  <c r="P629" i="1"/>
  <c r="Q629" i="1"/>
  <c r="N630" i="1"/>
  <c r="O630" i="1"/>
  <c r="P630" i="1"/>
  <c r="Q630" i="1"/>
  <c r="N631" i="1"/>
  <c r="O631" i="1"/>
  <c r="P631" i="1"/>
  <c r="Q631" i="1"/>
  <c r="N632" i="1"/>
  <c r="O632" i="1"/>
  <c r="P632" i="1"/>
  <c r="Q632" i="1"/>
  <c r="N633" i="1"/>
  <c r="O633" i="1"/>
  <c r="P633" i="1"/>
  <c r="Q633" i="1"/>
  <c r="N634" i="1"/>
  <c r="O634" i="1"/>
  <c r="P634" i="1"/>
  <c r="Q634" i="1"/>
  <c r="N635" i="1"/>
  <c r="O635" i="1"/>
  <c r="P635" i="1"/>
  <c r="Q635" i="1"/>
  <c r="N636" i="1"/>
  <c r="O636" i="1"/>
  <c r="P636" i="1"/>
  <c r="Q636" i="1"/>
  <c r="N637" i="1"/>
  <c r="O637" i="1"/>
  <c r="P637" i="1"/>
  <c r="Q637" i="1"/>
  <c r="N638" i="1"/>
  <c r="O638" i="1"/>
  <c r="P638" i="1"/>
  <c r="Q638" i="1"/>
  <c r="N639" i="1"/>
  <c r="O639" i="1"/>
  <c r="P639" i="1"/>
  <c r="Q639" i="1"/>
  <c r="N640" i="1"/>
  <c r="O640" i="1"/>
  <c r="P640" i="1"/>
  <c r="Q640" i="1"/>
  <c r="N641" i="1"/>
  <c r="O641" i="1"/>
  <c r="P641" i="1"/>
  <c r="Q641" i="1"/>
  <c r="N642" i="1"/>
  <c r="O642" i="1"/>
  <c r="P642" i="1"/>
  <c r="Q642" i="1"/>
  <c r="N643" i="1"/>
  <c r="O643" i="1"/>
  <c r="P643" i="1"/>
  <c r="Q643" i="1"/>
  <c r="N644" i="1"/>
  <c r="O644" i="1"/>
  <c r="P644" i="1"/>
  <c r="Q644" i="1"/>
  <c r="N645" i="1"/>
  <c r="O645" i="1"/>
  <c r="P645" i="1"/>
  <c r="Q645" i="1"/>
  <c r="N646" i="1"/>
  <c r="O646" i="1"/>
  <c r="P646" i="1"/>
  <c r="Q646" i="1"/>
  <c r="N647" i="1"/>
  <c r="O647" i="1"/>
  <c r="P647" i="1"/>
  <c r="Q647" i="1"/>
  <c r="N648" i="1"/>
  <c r="O648" i="1"/>
  <c r="P648" i="1"/>
  <c r="Q648" i="1"/>
  <c r="N649" i="1"/>
  <c r="O649" i="1"/>
  <c r="P649" i="1"/>
  <c r="Q649" i="1"/>
  <c r="N650" i="1"/>
  <c r="O650" i="1"/>
  <c r="P650" i="1"/>
  <c r="Q650" i="1"/>
  <c r="N651" i="1"/>
  <c r="O651" i="1"/>
  <c r="P651" i="1"/>
  <c r="Q651" i="1"/>
  <c r="N652" i="1"/>
  <c r="O652" i="1"/>
  <c r="P652" i="1"/>
  <c r="Q652" i="1"/>
  <c r="N653" i="1"/>
  <c r="O653" i="1"/>
  <c r="P653" i="1"/>
  <c r="Q653" i="1"/>
  <c r="N654" i="1"/>
  <c r="O654" i="1"/>
  <c r="P654" i="1"/>
  <c r="Q654" i="1"/>
  <c r="N655" i="1"/>
  <c r="O655" i="1"/>
  <c r="P655" i="1"/>
  <c r="Q655" i="1"/>
  <c r="N656" i="1"/>
  <c r="O656" i="1"/>
  <c r="P656" i="1"/>
  <c r="Q656" i="1"/>
  <c r="N657" i="1"/>
  <c r="O657" i="1"/>
  <c r="P657" i="1"/>
  <c r="Q657" i="1"/>
  <c r="N658" i="1"/>
  <c r="O658" i="1"/>
  <c r="P658" i="1"/>
  <c r="Q658" i="1"/>
  <c r="N659" i="1"/>
  <c r="O659" i="1"/>
  <c r="P659" i="1"/>
  <c r="Q659" i="1"/>
  <c r="N660" i="1"/>
  <c r="O660" i="1"/>
  <c r="P660" i="1"/>
  <c r="Q660" i="1"/>
  <c r="N661" i="1"/>
  <c r="O661" i="1"/>
  <c r="P661" i="1"/>
  <c r="Q661" i="1"/>
  <c r="N662" i="1"/>
  <c r="O662" i="1"/>
  <c r="P662" i="1"/>
  <c r="Q662" i="1"/>
  <c r="N663" i="1"/>
  <c r="O663" i="1"/>
  <c r="P663" i="1"/>
  <c r="Q663" i="1"/>
  <c r="N664" i="1"/>
  <c r="O664" i="1"/>
  <c r="P664" i="1"/>
  <c r="Q664" i="1"/>
  <c r="N665" i="1"/>
  <c r="O665" i="1"/>
  <c r="P665" i="1"/>
  <c r="Q665" i="1"/>
  <c r="N666" i="1"/>
  <c r="O666" i="1"/>
  <c r="P666" i="1"/>
  <c r="Q666" i="1"/>
  <c r="N667" i="1"/>
  <c r="O667" i="1"/>
  <c r="P667" i="1"/>
  <c r="Q667" i="1"/>
  <c r="N668" i="1"/>
  <c r="O668" i="1"/>
  <c r="P668" i="1"/>
  <c r="Q668" i="1"/>
  <c r="N669" i="1"/>
  <c r="O669" i="1"/>
  <c r="P669" i="1"/>
  <c r="Q669" i="1"/>
  <c r="N670" i="1"/>
  <c r="O670" i="1"/>
  <c r="P670" i="1"/>
  <c r="Q670" i="1"/>
  <c r="N671" i="1"/>
  <c r="O671" i="1"/>
  <c r="P671" i="1"/>
  <c r="Q671" i="1"/>
  <c r="N672" i="1"/>
  <c r="O672" i="1"/>
  <c r="P672" i="1"/>
  <c r="Q672" i="1"/>
  <c r="N673" i="1"/>
  <c r="O673" i="1"/>
  <c r="P673" i="1"/>
  <c r="Q673" i="1"/>
  <c r="N674" i="1"/>
  <c r="O674" i="1"/>
  <c r="P674" i="1"/>
  <c r="Q674" i="1"/>
  <c r="N675" i="1"/>
  <c r="O675" i="1"/>
  <c r="P675" i="1"/>
  <c r="Q675" i="1"/>
  <c r="N676" i="1"/>
  <c r="O676" i="1"/>
  <c r="P676" i="1"/>
  <c r="Q676" i="1"/>
  <c r="N677" i="1"/>
  <c r="O677" i="1"/>
  <c r="P677" i="1"/>
  <c r="Q677" i="1"/>
  <c r="N678" i="1"/>
  <c r="O678" i="1"/>
  <c r="P678" i="1"/>
  <c r="Q678" i="1"/>
  <c r="N679" i="1"/>
  <c r="O679" i="1"/>
  <c r="P679" i="1"/>
  <c r="Q679" i="1"/>
  <c r="N680" i="1"/>
  <c r="O680" i="1"/>
  <c r="P680" i="1"/>
  <c r="Q680" i="1"/>
  <c r="N681" i="1"/>
  <c r="O681" i="1"/>
  <c r="P681" i="1"/>
  <c r="Q681" i="1"/>
  <c r="N682" i="1"/>
  <c r="O682" i="1"/>
  <c r="P682" i="1"/>
  <c r="Q682" i="1"/>
  <c r="N683" i="1"/>
  <c r="O683" i="1"/>
  <c r="P683" i="1"/>
  <c r="Q683" i="1"/>
  <c r="N684" i="1"/>
  <c r="O684" i="1"/>
  <c r="P684" i="1"/>
  <c r="Q684" i="1"/>
  <c r="N685" i="1"/>
  <c r="O685" i="1"/>
  <c r="P685" i="1"/>
  <c r="Q685" i="1"/>
  <c r="N686" i="1"/>
  <c r="O686" i="1"/>
  <c r="P686" i="1"/>
  <c r="Q686" i="1"/>
  <c r="N687" i="1"/>
  <c r="O687" i="1"/>
  <c r="P687" i="1"/>
  <c r="Q687" i="1"/>
  <c r="N688" i="1"/>
  <c r="O688" i="1"/>
  <c r="P688" i="1"/>
  <c r="Q688" i="1"/>
  <c r="N689" i="1"/>
  <c r="O689" i="1"/>
  <c r="P689" i="1"/>
  <c r="Q689" i="1"/>
  <c r="N690" i="1"/>
  <c r="O690" i="1"/>
  <c r="P690" i="1"/>
  <c r="Q690" i="1"/>
  <c r="N691" i="1"/>
  <c r="O691" i="1"/>
  <c r="P691" i="1"/>
  <c r="Q691" i="1"/>
  <c r="N692" i="1"/>
  <c r="O692" i="1"/>
  <c r="P692" i="1"/>
  <c r="Q692" i="1"/>
  <c r="N693" i="1"/>
  <c r="O693" i="1"/>
  <c r="P693" i="1"/>
  <c r="Q693" i="1"/>
  <c r="N694" i="1"/>
  <c r="O694" i="1"/>
  <c r="P694" i="1"/>
  <c r="Q694" i="1"/>
  <c r="N695" i="1"/>
  <c r="O695" i="1"/>
  <c r="P695" i="1"/>
  <c r="Q695" i="1"/>
  <c r="N696" i="1"/>
  <c r="O696" i="1"/>
  <c r="P696" i="1"/>
  <c r="Q696" i="1"/>
  <c r="N697" i="1"/>
  <c r="O697" i="1"/>
  <c r="P697" i="1"/>
  <c r="Q697" i="1"/>
  <c r="N698" i="1"/>
  <c r="O698" i="1"/>
  <c r="P698" i="1"/>
  <c r="Q698" i="1"/>
  <c r="N699" i="1"/>
  <c r="O699" i="1"/>
  <c r="P699" i="1"/>
  <c r="Q699" i="1"/>
  <c r="N700" i="1"/>
  <c r="O700" i="1"/>
  <c r="P700" i="1"/>
  <c r="Q700" i="1"/>
  <c r="N701" i="1"/>
  <c r="O701" i="1"/>
  <c r="P701" i="1"/>
  <c r="Q701" i="1"/>
  <c r="N702" i="1"/>
  <c r="O702" i="1"/>
  <c r="P702" i="1"/>
  <c r="Q702" i="1"/>
  <c r="N703" i="1"/>
  <c r="O703" i="1"/>
  <c r="P703" i="1"/>
  <c r="Q703" i="1"/>
  <c r="N704" i="1"/>
  <c r="O704" i="1"/>
  <c r="P704" i="1"/>
  <c r="Q704" i="1"/>
  <c r="N705" i="1"/>
  <c r="O705" i="1"/>
  <c r="P705" i="1"/>
  <c r="Q705" i="1"/>
  <c r="N706" i="1"/>
  <c r="O706" i="1"/>
  <c r="P706" i="1"/>
  <c r="Q706" i="1"/>
  <c r="N707" i="1"/>
  <c r="O707" i="1"/>
  <c r="P707" i="1"/>
  <c r="Q707" i="1"/>
  <c r="N708" i="1"/>
  <c r="O708" i="1"/>
  <c r="P708" i="1"/>
  <c r="Q708" i="1"/>
  <c r="N709" i="1"/>
  <c r="O709" i="1"/>
  <c r="P709" i="1"/>
  <c r="Q709" i="1"/>
  <c r="N710" i="1"/>
  <c r="O710" i="1"/>
  <c r="P710" i="1"/>
  <c r="Q710" i="1"/>
  <c r="N711" i="1"/>
  <c r="O711" i="1"/>
  <c r="P711" i="1"/>
  <c r="Q711" i="1"/>
  <c r="N712" i="1"/>
  <c r="O712" i="1"/>
  <c r="P712" i="1"/>
  <c r="Q712" i="1"/>
  <c r="N713" i="1"/>
  <c r="O713" i="1"/>
  <c r="P713" i="1"/>
  <c r="Q713" i="1"/>
  <c r="N714" i="1"/>
  <c r="O714" i="1"/>
  <c r="P714" i="1"/>
  <c r="Q714" i="1"/>
  <c r="N715" i="1"/>
  <c r="O715" i="1"/>
  <c r="P715" i="1"/>
  <c r="Q715" i="1"/>
  <c r="N716" i="1"/>
  <c r="O716" i="1"/>
  <c r="P716" i="1"/>
  <c r="Q716" i="1"/>
  <c r="N717" i="1"/>
  <c r="O717" i="1"/>
  <c r="P717" i="1"/>
  <c r="Q717" i="1"/>
  <c r="N718" i="1"/>
  <c r="O718" i="1"/>
  <c r="P718" i="1"/>
  <c r="Q718" i="1"/>
  <c r="N719" i="1"/>
  <c r="O719" i="1"/>
  <c r="P719" i="1"/>
  <c r="Q719" i="1"/>
  <c r="N720" i="1"/>
  <c r="O720" i="1"/>
  <c r="P720" i="1"/>
  <c r="Q720" i="1"/>
  <c r="N721" i="1"/>
  <c r="O721" i="1"/>
  <c r="P721" i="1"/>
  <c r="Q721" i="1"/>
  <c r="N722" i="1"/>
  <c r="O722" i="1"/>
  <c r="P722" i="1"/>
  <c r="Q722" i="1"/>
  <c r="N723" i="1"/>
  <c r="O723" i="1"/>
  <c r="P723" i="1"/>
  <c r="Q723" i="1"/>
  <c r="N724" i="1"/>
  <c r="O724" i="1"/>
  <c r="P724" i="1"/>
  <c r="Q724" i="1"/>
  <c r="N725" i="1"/>
  <c r="O725" i="1"/>
  <c r="P725" i="1"/>
  <c r="Q725" i="1"/>
  <c r="N726" i="1"/>
  <c r="O726" i="1"/>
  <c r="P726" i="1"/>
  <c r="Q726" i="1"/>
  <c r="N727" i="1"/>
  <c r="O727" i="1"/>
  <c r="P727" i="1"/>
  <c r="Q727" i="1"/>
  <c r="N728" i="1"/>
  <c r="O728" i="1"/>
  <c r="P728" i="1"/>
  <c r="Q728" i="1"/>
  <c r="N729" i="1"/>
  <c r="O729" i="1"/>
  <c r="P729" i="1"/>
  <c r="Q729" i="1"/>
  <c r="N730" i="1"/>
  <c r="O730" i="1"/>
  <c r="P730" i="1"/>
  <c r="Q730" i="1"/>
  <c r="N731" i="1"/>
  <c r="O731" i="1"/>
  <c r="P731" i="1"/>
  <c r="Q731" i="1"/>
  <c r="N732" i="1"/>
  <c r="O732" i="1"/>
  <c r="P732" i="1"/>
  <c r="Q732" i="1"/>
  <c r="N733" i="1"/>
  <c r="O733" i="1"/>
  <c r="P733" i="1"/>
  <c r="Q733" i="1"/>
  <c r="N734" i="1"/>
  <c r="O734" i="1"/>
  <c r="P734" i="1"/>
  <c r="Q734" i="1"/>
  <c r="N735" i="1"/>
  <c r="O735" i="1"/>
  <c r="P735" i="1"/>
  <c r="Q735" i="1"/>
  <c r="N736" i="1"/>
  <c r="O736" i="1"/>
  <c r="P736" i="1"/>
  <c r="Q736" i="1"/>
  <c r="N737" i="1"/>
  <c r="O737" i="1"/>
  <c r="P737" i="1"/>
  <c r="Q737" i="1"/>
  <c r="N738" i="1"/>
  <c r="O738" i="1"/>
  <c r="P738" i="1"/>
  <c r="Q738" i="1"/>
  <c r="N739" i="1"/>
  <c r="O739" i="1"/>
  <c r="P739" i="1"/>
  <c r="Q739" i="1"/>
  <c r="N740" i="1"/>
  <c r="O740" i="1"/>
  <c r="P740" i="1"/>
  <c r="Q740" i="1"/>
  <c r="N741" i="1"/>
  <c r="O741" i="1"/>
  <c r="P741" i="1"/>
  <c r="Q741" i="1"/>
  <c r="N742" i="1"/>
  <c r="O742" i="1"/>
  <c r="P742" i="1"/>
  <c r="Q742" i="1"/>
  <c r="N743" i="1"/>
  <c r="O743" i="1"/>
  <c r="P743" i="1"/>
  <c r="Q743" i="1"/>
  <c r="N744" i="1"/>
  <c r="O744" i="1"/>
  <c r="P744" i="1"/>
  <c r="Q744" i="1"/>
  <c r="N745" i="1"/>
  <c r="O745" i="1"/>
  <c r="P745" i="1"/>
  <c r="Q745" i="1"/>
  <c r="N746" i="1"/>
  <c r="O746" i="1"/>
  <c r="P746" i="1"/>
  <c r="Q746" i="1"/>
  <c r="N747" i="1"/>
  <c r="O747" i="1"/>
  <c r="P747" i="1"/>
  <c r="Q747" i="1"/>
  <c r="N748" i="1"/>
  <c r="O748" i="1"/>
  <c r="P748" i="1"/>
  <c r="Q748" i="1"/>
  <c r="N749" i="1"/>
  <c r="O749" i="1"/>
  <c r="P749" i="1"/>
  <c r="Q749" i="1"/>
  <c r="N750" i="1"/>
  <c r="O750" i="1"/>
  <c r="P750" i="1"/>
  <c r="Q750" i="1"/>
  <c r="N751" i="1"/>
  <c r="O751" i="1"/>
  <c r="P751" i="1"/>
  <c r="Q751" i="1"/>
  <c r="N752" i="1"/>
  <c r="O752" i="1"/>
  <c r="P752" i="1"/>
  <c r="Q752" i="1"/>
  <c r="N753" i="1"/>
  <c r="O753" i="1"/>
  <c r="P753" i="1"/>
  <c r="Q753" i="1"/>
  <c r="N754" i="1"/>
  <c r="O754" i="1"/>
  <c r="P754" i="1"/>
  <c r="Q754" i="1"/>
  <c r="N755" i="1"/>
  <c r="O755" i="1"/>
  <c r="P755" i="1"/>
  <c r="Q755" i="1"/>
  <c r="N756" i="1"/>
  <c r="O756" i="1"/>
  <c r="P756" i="1"/>
  <c r="Q756" i="1"/>
  <c r="N757" i="1"/>
  <c r="O757" i="1"/>
  <c r="P757" i="1"/>
  <c r="Q757" i="1"/>
  <c r="N758" i="1"/>
  <c r="O758" i="1"/>
  <c r="P758" i="1"/>
  <c r="Q758" i="1"/>
  <c r="N759" i="1"/>
  <c r="O759" i="1"/>
  <c r="P759" i="1"/>
  <c r="Q759" i="1"/>
  <c r="N760" i="1"/>
  <c r="O760" i="1"/>
  <c r="P760" i="1"/>
  <c r="Q760" i="1"/>
  <c r="N761" i="1"/>
  <c r="O761" i="1"/>
  <c r="P761" i="1"/>
  <c r="Q761" i="1"/>
  <c r="N762" i="1"/>
  <c r="O762" i="1"/>
  <c r="P762" i="1"/>
  <c r="Q762" i="1"/>
  <c r="N763" i="1"/>
  <c r="O763" i="1"/>
  <c r="P763" i="1"/>
  <c r="Q763" i="1"/>
  <c r="N764" i="1"/>
  <c r="O764" i="1"/>
  <c r="P764" i="1"/>
  <c r="Q764" i="1"/>
  <c r="N765" i="1"/>
  <c r="O765" i="1"/>
  <c r="P765" i="1"/>
  <c r="Q765" i="1"/>
  <c r="N766" i="1"/>
  <c r="O766" i="1"/>
  <c r="P766" i="1"/>
  <c r="Q766" i="1"/>
  <c r="N767" i="1"/>
  <c r="O767" i="1"/>
  <c r="P767" i="1"/>
  <c r="Q767" i="1"/>
  <c r="N768" i="1"/>
  <c r="O768" i="1"/>
  <c r="P768" i="1"/>
  <c r="Q768" i="1"/>
  <c r="N769" i="1"/>
  <c r="O769" i="1"/>
  <c r="P769" i="1"/>
  <c r="Q769" i="1"/>
  <c r="N770" i="1"/>
  <c r="O770" i="1"/>
  <c r="P770" i="1"/>
  <c r="Q770" i="1"/>
  <c r="N771" i="1"/>
  <c r="O771" i="1"/>
  <c r="P771" i="1"/>
  <c r="Q771" i="1"/>
  <c r="N772" i="1"/>
  <c r="O772" i="1"/>
  <c r="P772" i="1"/>
  <c r="Q772" i="1"/>
  <c r="N773" i="1"/>
  <c r="O773" i="1"/>
  <c r="P773" i="1"/>
  <c r="Q773" i="1"/>
  <c r="N774" i="1"/>
  <c r="O774" i="1"/>
  <c r="P774" i="1"/>
  <c r="Q774" i="1"/>
  <c r="N775" i="1"/>
  <c r="O775" i="1"/>
  <c r="P775" i="1"/>
  <c r="Q775" i="1"/>
  <c r="N776" i="1"/>
  <c r="O776" i="1"/>
  <c r="P776" i="1"/>
  <c r="Q776" i="1"/>
  <c r="N777" i="1"/>
  <c r="O777" i="1"/>
  <c r="P777" i="1"/>
  <c r="Q777" i="1"/>
  <c r="N778" i="1"/>
  <c r="O778" i="1"/>
  <c r="P778" i="1"/>
  <c r="Q778" i="1"/>
  <c r="N779" i="1"/>
  <c r="O779" i="1"/>
  <c r="P779" i="1"/>
  <c r="Q779" i="1"/>
  <c r="N780" i="1"/>
  <c r="O780" i="1"/>
  <c r="P780" i="1"/>
  <c r="Q780" i="1"/>
  <c r="N781" i="1"/>
  <c r="O781" i="1"/>
  <c r="P781" i="1"/>
  <c r="Q781" i="1"/>
  <c r="N782" i="1"/>
  <c r="O782" i="1"/>
  <c r="P782" i="1"/>
  <c r="Q782" i="1"/>
  <c r="N783" i="1"/>
  <c r="O783" i="1"/>
  <c r="P783" i="1"/>
  <c r="Q783" i="1"/>
  <c r="N784" i="1"/>
  <c r="O784" i="1"/>
  <c r="P784" i="1"/>
  <c r="Q784" i="1"/>
  <c r="N785" i="1"/>
  <c r="O785" i="1"/>
  <c r="P785" i="1"/>
  <c r="Q785" i="1"/>
  <c r="N786" i="1"/>
  <c r="O786" i="1"/>
  <c r="P786" i="1"/>
  <c r="Q786" i="1"/>
  <c r="N787" i="1"/>
  <c r="O787" i="1"/>
  <c r="P787" i="1"/>
  <c r="Q787" i="1"/>
  <c r="N788" i="1"/>
  <c r="O788" i="1"/>
  <c r="P788" i="1"/>
  <c r="Q788" i="1"/>
  <c r="N789" i="1"/>
  <c r="O789" i="1"/>
  <c r="P789" i="1"/>
  <c r="Q789" i="1"/>
  <c r="N790" i="1"/>
  <c r="O790" i="1"/>
  <c r="P790" i="1"/>
  <c r="Q790" i="1"/>
  <c r="N791" i="1"/>
  <c r="O791" i="1"/>
  <c r="P791" i="1"/>
  <c r="Q791" i="1"/>
  <c r="N792" i="1"/>
  <c r="O792" i="1"/>
  <c r="P792" i="1"/>
  <c r="Q792" i="1"/>
  <c r="N793" i="1"/>
  <c r="O793" i="1"/>
  <c r="P793" i="1"/>
  <c r="Q793" i="1"/>
  <c r="N794" i="1"/>
  <c r="O794" i="1"/>
  <c r="P794" i="1"/>
  <c r="Q794" i="1"/>
  <c r="N795" i="1"/>
  <c r="O795" i="1"/>
  <c r="P795" i="1"/>
  <c r="Q795" i="1"/>
  <c r="N796" i="1"/>
  <c r="O796" i="1"/>
  <c r="P796" i="1"/>
  <c r="Q796" i="1"/>
  <c r="N797" i="1"/>
  <c r="O797" i="1"/>
  <c r="P797" i="1"/>
  <c r="Q797" i="1"/>
  <c r="N798" i="1"/>
  <c r="O798" i="1"/>
  <c r="P798" i="1"/>
  <c r="Q798" i="1"/>
  <c r="N799" i="1"/>
  <c r="O799" i="1"/>
  <c r="P799" i="1"/>
  <c r="Q799" i="1"/>
  <c r="N800" i="1"/>
  <c r="O800" i="1"/>
  <c r="P800" i="1"/>
  <c r="Q800" i="1"/>
  <c r="N801" i="1"/>
  <c r="O801" i="1"/>
  <c r="P801" i="1"/>
  <c r="Q801" i="1"/>
  <c r="N802" i="1"/>
  <c r="O802" i="1"/>
  <c r="P802" i="1"/>
  <c r="Q802" i="1"/>
  <c r="N803" i="1"/>
  <c r="O803" i="1"/>
  <c r="P803" i="1"/>
  <c r="Q803" i="1"/>
  <c r="N804" i="1"/>
  <c r="O804" i="1"/>
  <c r="P804" i="1"/>
  <c r="Q804" i="1"/>
  <c r="N805" i="1"/>
  <c r="O805" i="1"/>
  <c r="P805" i="1"/>
  <c r="Q805" i="1"/>
  <c r="N806" i="1"/>
  <c r="O806" i="1"/>
  <c r="P806" i="1"/>
  <c r="Q806" i="1"/>
  <c r="N807" i="1"/>
  <c r="O807" i="1"/>
  <c r="P807" i="1"/>
  <c r="Q807" i="1"/>
  <c r="N808" i="1"/>
  <c r="O808" i="1"/>
  <c r="P808" i="1"/>
  <c r="Q808" i="1"/>
  <c r="N809" i="1"/>
  <c r="O809" i="1"/>
  <c r="P809" i="1"/>
  <c r="Q809" i="1"/>
  <c r="N810" i="1"/>
  <c r="O810" i="1"/>
  <c r="P810" i="1"/>
  <c r="Q810" i="1"/>
  <c r="N811" i="1"/>
  <c r="O811" i="1"/>
  <c r="P811" i="1"/>
  <c r="Q811" i="1"/>
  <c r="N812" i="1"/>
  <c r="O812" i="1"/>
  <c r="P812" i="1"/>
  <c r="Q812" i="1"/>
  <c r="N813" i="1"/>
  <c r="O813" i="1"/>
  <c r="P813" i="1"/>
  <c r="Q813" i="1"/>
  <c r="N814" i="1"/>
  <c r="O814" i="1"/>
  <c r="P814" i="1"/>
  <c r="Q814" i="1"/>
  <c r="N815" i="1"/>
  <c r="O815" i="1"/>
  <c r="P815" i="1"/>
  <c r="Q815" i="1"/>
  <c r="N816" i="1"/>
  <c r="O816" i="1"/>
  <c r="P816" i="1"/>
  <c r="Q816" i="1"/>
  <c r="N817" i="1"/>
  <c r="O817" i="1"/>
  <c r="P817" i="1"/>
  <c r="Q817" i="1"/>
  <c r="N818" i="1"/>
  <c r="O818" i="1"/>
  <c r="P818" i="1"/>
  <c r="Q818" i="1"/>
  <c r="N819" i="1"/>
  <c r="O819" i="1"/>
  <c r="P819" i="1"/>
  <c r="Q819" i="1"/>
  <c r="N820" i="1"/>
  <c r="O820" i="1"/>
  <c r="P820" i="1"/>
  <c r="Q820" i="1"/>
  <c r="N821" i="1"/>
  <c r="O821" i="1"/>
  <c r="P821" i="1"/>
  <c r="Q821" i="1"/>
  <c r="N822" i="1"/>
  <c r="O822" i="1"/>
  <c r="P822" i="1"/>
  <c r="Q822" i="1"/>
  <c r="N823" i="1"/>
  <c r="O823" i="1"/>
  <c r="P823" i="1"/>
  <c r="Q823" i="1"/>
  <c r="N824" i="1"/>
  <c r="O824" i="1"/>
  <c r="P824" i="1"/>
  <c r="Q824" i="1"/>
  <c r="N825" i="1"/>
  <c r="O825" i="1"/>
  <c r="P825" i="1"/>
  <c r="Q825" i="1"/>
  <c r="N826" i="1"/>
  <c r="O826" i="1"/>
  <c r="P826" i="1"/>
  <c r="Q826" i="1"/>
  <c r="N827" i="1"/>
  <c r="O827" i="1"/>
  <c r="P827" i="1"/>
  <c r="Q827" i="1"/>
  <c r="N828" i="1"/>
  <c r="O828" i="1"/>
  <c r="P828" i="1"/>
  <c r="Q828" i="1"/>
  <c r="N829" i="1"/>
  <c r="O829" i="1"/>
  <c r="P829" i="1"/>
  <c r="Q829" i="1"/>
  <c r="N830" i="1"/>
  <c r="O830" i="1"/>
  <c r="P830" i="1"/>
  <c r="Q830" i="1"/>
  <c r="N831" i="1"/>
  <c r="O831" i="1"/>
  <c r="P831" i="1"/>
  <c r="Q831" i="1"/>
  <c r="N832" i="1"/>
  <c r="O832" i="1"/>
  <c r="P832" i="1"/>
  <c r="Q832" i="1"/>
  <c r="N833" i="1"/>
  <c r="O833" i="1"/>
  <c r="P833" i="1"/>
  <c r="Q833" i="1"/>
  <c r="N834" i="1"/>
  <c r="O834" i="1"/>
  <c r="P834" i="1"/>
  <c r="Q834" i="1"/>
  <c r="N835" i="1"/>
  <c r="O835" i="1"/>
  <c r="P835" i="1"/>
  <c r="Q835" i="1"/>
  <c r="N836" i="1"/>
  <c r="O836" i="1"/>
  <c r="P836" i="1"/>
  <c r="Q836" i="1"/>
  <c r="N837" i="1"/>
  <c r="O837" i="1"/>
  <c r="P837" i="1"/>
  <c r="Q837" i="1"/>
  <c r="N838" i="1"/>
  <c r="O838" i="1"/>
  <c r="P838" i="1"/>
  <c r="Q838" i="1"/>
  <c r="N839" i="1"/>
  <c r="O839" i="1"/>
  <c r="P839" i="1"/>
  <c r="Q839" i="1"/>
  <c r="N840" i="1"/>
  <c r="O840" i="1"/>
  <c r="P840" i="1"/>
  <c r="Q840" i="1"/>
  <c r="N841" i="1"/>
  <c r="O841" i="1"/>
  <c r="P841" i="1"/>
  <c r="Q841" i="1"/>
  <c r="N842" i="1"/>
  <c r="O842" i="1"/>
  <c r="P842" i="1"/>
  <c r="Q842" i="1"/>
  <c r="N843" i="1"/>
  <c r="O843" i="1"/>
  <c r="P843" i="1"/>
  <c r="Q843" i="1"/>
  <c r="N844" i="1"/>
  <c r="O844" i="1"/>
  <c r="P844" i="1"/>
  <c r="Q844" i="1"/>
  <c r="N845" i="1"/>
  <c r="O845" i="1"/>
  <c r="P845" i="1"/>
  <c r="Q845" i="1"/>
  <c r="N846" i="1"/>
  <c r="O846" i="1"/>
  <c r="P846" i="1"/>
  <c r="Q846" i="1"/>
  <c r="N847" i="1"/>
  <c r="O847" i="1"/>
  <c r="P847" i="1"/>
  <c r="Q847" i="1"/>
  <c r="N848" i="1"/>
  <c r="O848" i="1"/>
  <c r="P848" i="1"/>
  <c r="Q848" i="1"/>
  <c r="N849" i="1"/>
  <c r="O849" i="1"/>
  <c r="P849" i="1"/>
  <c r="Q849" i="1"/>
  <c r="N850" i="1"/>
  <c r="O850" i="1"/>
  <c r="P850" i="1"/>
  <c r="Q850" i="1"/>
  <c r="N851" i="1"/>
  <c r="O851" i="1"/>
  <c r="P851" i="1"/>
  <c r="Q851" i="1"/>
  <c r="N852" i="1"/>
  <c r="O852" i="1"/>
  <c r="P852" i="1"/>
  <c r="Q852" i="1"/>
  <c r="N853" i="1"/>
  <c r="O853" i="1"/>
  <c r="P853" i="1"/>
  <c r="Q853" i="1"/>
  <c r="N854" i="1"/>
  <c r="O854" i="1"/>
  <c r="P854" i="1"/>
  <c r="Q854" i="1"/>
  <c r="N855" i="1"/>
  <c r="O855" i="1"/>
  <c r="P855" i="1"/>
  <c r="Q855" i="1"/>
  <c r="N856" i="1"/>
  <c r="O856" i="1"/>
  <c r="P856" i="1"/>
  <c r="Q856" i="1"/>
  <c r="N857" i="1"/>
  <c r="O857" i="1"/>
  <c r="P857" i="1"/>
  <c r="Q857" i="1"/>
  <c r="N858" i="1"/>
  <c r="O858" i="1"/>
  <c r="P858" i="1"/>
  <c r="Q858" i="1"/>
  <c r="N859" i="1"/>
  <c r="O859" i="1"/>
  <c r="P859" i="1"/>
  <c r="Q859" i="1"/>
  <c r="N860" i="1"/>
  <c r="O860" i="1"/>
  <c r="P860" i="1"/>
  <c r="Q860" i="1"/>
  <c r="N861" i="1"/>
  <c r="O861" i="1"/>
  <c r="P861" i="1"/>
  <c r="Q861" i="1"/>
  <c r="N862" i="1"/>
  <c r="O862" i="1"/>
  <c r="P862" i="1"/>
  <c r="Q862" i="1"/>
  <c r="N863" i="1"/>
  <c r="O863" i="1"/>
  <c r="P863" i="1"/>
  <c r="Q863" i="1"/>
  <c r="N864" i="1"/>
  <c r="O864" i="1"/>
  <c r="P864" i="1"/>
  <c r="Q864" i="1"/>
  <c r="N865" i="1"/>
  <c r="O865" i="1"/>
  <c r="P865" i="1"/>
  <c r="Q865" i="1"/>
  <c r="N866" i="1"/>
  <c r="O866" i="1"/>
  <c r="P866" i="1"/>
  <c r="Q866" i="1"/>
  <c r="N867" i="1"/>
  <c r="O867" i="1"/>
  <c r="P867" i="1"/>
  <c r="Q867" i="1"/>
  <c r="N868" i="1"/>
  <c r="O868" i="1"/>
  <c r="P868" i="1"/>
  <c r="Q868" i="1"/>
  <c r="N869" i="1"/>
  <c r="O869" i="1"/>
  <c r="P869" i="1"/>
  <c r="Q869" i="1"/>
  <c r="N870" i="1"/>
  <c r="O870" i="1"/>
  <c r="P870" i="1"/>
  <c r="Q870" i="1"/>
  <c r="N871" i="1"/>
  <c r="O871" i="1"/>
  <c r="P871" i="1"/>
  <c r="Q871" i="1"/>
  <c r="N872" i="1"/>
  <c r="O872" i="1"/>
  <c r="P872" i="1"/>
  <c r="Q872" i="1"/>
  <c r="N873" i="1"/>
  <c r="O873" i="1"/>
  <c r="P873" i="1"/>
  <c r="Q873" i="1"/>
  <c r="N874" i="1"/>
  <c r="O874" i="1"/>
  <c r="P874" i="1"/>
  <c r="Q874" i="1"/>
  <c r="N875" i="1"/>
  <c r="O875" i="1"/>
  <c r="P875" i="1"/>
  <c r="Q875" i="1"/>
  <c r="N876" i="1"/>
  <c r="O876" i="1"/>
  <c r="P876" i="1"/>
  <c r="Q876" i="1"/>
  <c r="N877" i="1"/>
  <c r="O877" i="1"/>
  <c r="P877" i="1"/>
  <c r="Q877" i="1"/>
  <c r="N878" i="1"/>
  <c r="O878" i="1"/>
  <c r="P878" i="1"/>
  <c r="Q878" i="1"/>
  <c r="N879" i="1"/>
  <c r="O879" i="1"/>
  <c r="P879" i="1"/>
  <c r="Q879" i="1"/>
  <c r="N880" i="1"/>
  <c r="O880" i="1"/>
  <c r="P880" i="1"/>
  <c r="Q880" i="1"/>
  <c r="N881" i="1"/>
  <c r="O881" i="1"/>
  <c r="P881" i="1"/>
  <c r="Q881" i="1"/>
  <c r="N882" i="1"/>
  <c r="O882" i="1"/>
  <c r="P882" i="1"/>
  <c r="Q882" i="1"/>
  <c r="N883" i="1"/>
  <c r="O883" i="1"/>
  <c r="P883" i="1"/>
  <c r="Q883" i="1"/>
  <c r="N884" i="1"/>
  <c r="O884" i="1"/>
  <c r="P884" i="1"/>
  <c r="Q884" i="1"/>
  <c r="N885" i="1"/>
  <c r="O885" i="1"/>
  <c r="P885" i="1"/>
  <c r="Q885" i="1"/>
  <c r="N886" i="1"/>
  <c r="O886" i="1"/>
  <c r="P886" i="1"/>
  <c r="Q886" i="1"/>
  <c r="N887" i="1"/>
  <c r="O887" i="1"/>
  <c r="P887" i="1"/>
  <c r="Q887" i="1"/>
  <c r="N888" i="1"/>
  <c r="O888" i="1"/>
  <c r="P888" i="1"/>
  <c r="Q888" i="1"/>
  <c r="N889" i="1"/>
  <c r="O889" i="1"/>
  <c r="P889" i="1"/>
  <c r="Q889" i="1"/>
  <c r="N890" i="1"/>
  <c r="O890" i="1"/>
  <c r="P890" i="1"/>
  <c r="Q890" i="1"/>
  <c r="N891" i="1"/>
  <c r="O891" i="1"/>
  <c r="P891" i="1"/>
  <c r="Q891" i="1"/>
  <c r="N892" i="1"/>
  <c r="O892" i="1"/>
  <c r="P892" i="1"/>
  <c r="Q892" i="1"/>
  <c r="N893" i="1"/>
  <c r="O893" i="1"/>
  <c r="P893" i="1"/>
  <c r="Q893" i="1"/>
  <c r="N894" i="1"/>
  <c r="O894" i="1"/>
  <c r="P894" i="1"/>
  <c r="Q894" i="1"/>
  <c r="N895" i="1"/>
  <c r="O895" i="1"/>
  <c r="P895" i="1"/>
  <c r="Q895" i="1"/>
  <c r="N896" i="1"/>
  <c r="O896" i="1"/>
  <c r="P896" i="1"/>
  <c r="Q896" i="1"/>
  <c r="N897" i="1"/>
  <c r="O897" i="1"/>
  <c r="P897" i="1"/>
  <c r="Q897" i="1"/>
  <c r="N898" i="1"/>
  <c r="O898" i="1"/>
  <c r="P898" i="1"/>
  <c r="Q898" i="1"/>
  <c r="N899" i="1"/>
  <c r="O899" i="1"/>
  <c r="P899" i="1"/>
  <c r="Q899" i="1"/>
  <c r="N900" i="1"/>
  <c r="O900" i="1"/>
  <c r="P900" i="1"/>
  <c r="Q900" i="1"/>
  <c r="N901" i="1"/>
  <c r="O901" i="1"/>
  <c r="P901" i="1"/>
  <c r="Q901" i="1"/>
  <c r="N902" i="1"/>
  <c r="O902" i="1"/>
  <c r="P902" i="1"/>
  <c r="Q902" i="1"/>
  <c r="N903" i="1"/>
  <c r="O903" i="1"/>
  <c r="P903" i="1"/>
  <c r="Q903" i="1"/>
  <c r="N904" i="1"/>
  <c r="O904" i="1"/>
  <c r="P904" i="1"/>
  <c r="Q904" i="1"/>
  <c r="N905" i="1"/>
  <c r="O905" i="1"/>
  <c r="P905" i="1"/>
  <c r="Q905" i="1"/>
  <c r="N906" i="1"/>
  <c r="O906" i="1"/>
  <c r="P906" i="1"/>
  <c r="Q906" i="1"/>
  <c r="N907" i="1"/>
  <c r="O907" i="1"/>
  <c r="P907" i="1"/>
  <c r="Q907" i="1"/>
  <c r="N908" i="1"/>
  <c r="O908" i="1"/>
  <c r="P908" i="1"/>
  <c r="Q908" i="1"/>
  <c r="N909" i="1"/>
  <c r="O909" i="1"/>
  <c r="P909" i="1"/>
  <c r="Q909" i="1"/>
  <c r="N910" i="1"/>
  <c r="O910" i="1"/>
  <c r="P910" i="1"/>
  <c r="Q910" i="1"/>
  <c r="N911" i="1"/>
  <c r="O911" i="1"/>
  <c r="P911" i="1"/>
  <c r="Q911" i="1"/>
  <c r="N912" i="1"/>
  <c r="O912" i="1"/>
  <c r="P912" i="1"/>
  <c r="Q912" i="1"/>
  <c r="N913" i="1"/>
  <c r="O913" i="1"/>
  <c r="P913" i="1"/>
  <c r="Q913" i="1"/>
  <c r="N914" i="1"/>
  <c r="O914" i="1"/>
  <c r="P914" i="1"/>
  <c r="Q914" i="1"/>
  <c r="N915" i="1"/>
  <c r="O915" i="1"/>
  <c r="P915" i="1"/>
  <c r="Q915" i="1"/>
  <c r="N916" i="1"/>
  <c r="O916" i="1"/>
  <c r="P916" i="1"/>
  <c r="Q916" i="1"/>
  <c r="N917" i="1"/>
  <c r="O917" i="1"/>
  <c r="P917" i="1"/>
  <c r="Q917" i="1"/>
  <c r="N918" i="1"/>
  <c r="O918" i="1"/>
  <c r="P918" i="1"/>
  <c r="Q918" i="1"/>
  <c r="N919" i="1"/>
  <c r="O919" i="1"/>
  <c r="P919" i="1"/>
  <c r="Q919" i="1"/>
  <c r="N920" i="1"/>
  <c r="O920" i="1"/>
  <c r="P920" i="1"/>
  <c r="Q920" i="1"/>
  <c r="N921" i="1"/>
  <c r="O921" i="1"/>
  <c r="P921" i="1"/>
  <c r="Q921" i="1"/>
  <c r="N922" i="1"/>
  <c r="O922" i="1"/>
  <c r="P922" i="1"/>
  <c r="Q922" i="1"/>
  <c r="N923" i="1"/>
  <c r="O923" i="1"/>
  <c r="P923" i="1"/>
  <c r="Q923" i="1"/>
  <c r="N924" i="1"/>
  <c r="O924" i="1"/>
  <c r="P924" i="1"/>
  <c r="Q924" i="1"/>
  <c r="N925" i="1"/>
  <c r="O925" i="1"/>
  <c r="P925" i="1"/>
  <c r="Q925" i="1"/>
  <c r="N926" i="1"/>
  <c r="O926" i="1"/>
  <c r="P926" i="1"/>
  <c r="Q926" i="1"/>
  <c r="N927" i="1"/>
  <c r="O927" i="1"/>
  <c r="P927" i="1"/>
  <c r="Q927" i="1"/>
  <c r="N928" i="1"/>
  <c r="O928" i="1"/>
  <c r="P928" i="1"/>
  <c r="Q928" i="1"/>
  <c r="N929" i="1"/>
  <c r="O929" i="1"/>
  <c r="P929" i="1"/>
  <c r="Q929" i="1"/>
  <c r="N930" i="1"/>
  <c r="O930" i="1"/>
  <c r="P930" i="1"/>
  <c r="Q930" i="1"/>
  <c r="N931" i="1"/>
  <c r="O931" i="1"/>
  <c r="P931" i="1"/>
  <c r="Q931" i="1"/>
  <c r="N932" i="1"/>
  <c r="O932" i="1"/>
  <c r="P932" i="1"/>
  <c r="Q932" i="1"/>
  <c r="N933" i="1"/>
  <c r="O933" i="1"/>
  <c r="P933" i="1"/>
  <c r="Q933" i="1"/>
  <c r="N934" i="1"/>
  <c r="O934" i="1"/>
  <c r="P934" i="1"/>
  <c r="Q934" i="1"/>
  <c r="N935" i="1"/>
  <c r="O935" i="1"/>
  <c r="P935" i="1"/>
  <c r="Q935" i="1"/>
  <c r="N936" i="1"/>
  <c r="O936" i="1"/>
  <c r="P936" i="1"/>
  <c r="Q936" i="1"/>
  <c r="N937" i="1"/>
  <c r="O937" i="1"/>
  <c r="P937" i="1"/>
  <c r="Q937" i="1"/>
  <c r="N938" i="1"/>
  <c r="O938" i="1"/>
  <c r="P938" i="1"/>
  <c r="Q938" i="1"/>
  <c r="N939" i="1"/>
  <c r="O939" i="1"/>
  <c r="P939" i="1"/>
  <c r="Q939" i="1"/>
  <c r="N940" i="1"/>
  <c r="O940" i="1"/>
  <c r="P940" i="1"/>
  <c r="Q940" i="1"/>
  <c r="N941" i="1"/>
  <c r="O941" i="1"/>
  <c r="P941" i="1"/>
  <c r="Q941" i="1"/>
  <c r="N942" i="1"/>
  <c r="O942" i="1"/>
  <c r="P942" i="1"/>
  <c r="Q942" i="1"/>
  <c r="N943" i="1"/>
  <c r="O943" i="1"/>
  <c r="P943" i="1"/>
  <c r="Q943" i="1"/>
  <c r="N944" i="1"/>
  <c r="O944" i="1"/>
  <c r="P944" i="1"/>
  <c r="Q944" i="1"/>
  <c r="N945" i="1"/>
  <c r="O945" i="1"/>
  <c r="P945" i="1"/>
  <c r="Q945" i="1"/>
  <c r="N946" i="1"/>
  <c r="O946" i="1"/>
  <c r="P946" i="1"/>
  <c r="Q946" i="1"/>
  <c r="N947" i="1"/>
  <c r="O947" i="1"/>
  <c r="P947" i="1"/>
  <c r="Q947" i="1"/>
  <c r="N948" i="1"/>
  <c r="O948" i="1"/>
  <c r="P948" i="1"/>
  <c r="Q948" i="1"/>
  <c r="N949" i="1"/>
  <c r="O949" i="1"/>
  <c r="P949" i="1"/>
  <c r="Q949" i="1"/>
  <c r="N950" i="1"/>
  <c r="O950" i="1"/>
  <c r="P950" i="1"/>
  <c r="Q950" i="1"/>
  <c r="N951" i="1"/>
  <c r="O951" i="1"/>
  <c r="P951" i="1"/>
  <c r="Q951" i="1"/>
  <c r="N952" i="1"/>
  <c r="O952" i="1"/>
  <c r="P952" i="1"/>
  <c r="Q952" i="1"/>
  <c r="N953" i="1"/>
  <c r="O953" i="1"/>
  <c r="P953" i="1"/>
  <c r="Q953" i="1"/>
  <c r="N954" i="1"/>
  <c r="O954" i="1"/>
  <c r="P954" i="1"/>
  <c r="Q954" i="1"/>
  <c r="N955" i="1"/>
  <c r="O955" i="1"/>
  <c r="P955" i="1"/>
  <c r="Q955" i="1"/>
  <c r="N956" i="1"/>
  <c r="O956" i="1"/>
  <c r="P956" i="1"/>
  <c r="Q956" i="1"/>
  <c r="N957" i="1"/>
  <c r="O957" i="1"/>
  <c r="P957" i="1"/>
  <c r="Q957" i="1"/>
  <c r="N958" i="1"/>
  <c r="O958" i="1"/>
  <c r="P958" i="1"/>
  <c r="Q958" i="1"/>
  <c r="N959" i="1"/>
  <c r="O959" i="1"/>
  <c r="P959" i="1"/>
  <c r="Q959" i="1"/>
  <c r="N960" i="1"/>
  <c r="O960" i="1"/>
  <c r="P960" i="1"/>
  <c r="Q960" i="1"/>
  <c r="N961" i="1"/>
  <c r="O961" i="1"/>
  <c r="P961" i="1"/>
  <c r="Q961" i="1"/>
  <c r="N962" i="1"/>
  <c r="O962" i="1"/>
  <c r="P962" i="1"/>
  <c r="Q962" i="1"/>
  <c r="N963" i="1"/>
  <c r="O963" i="1"/>
  <c r="P963" i="1"/>
  <c r="Q963" i="1"/>
  <c r="N964" i="1"/>
  <c r="O964" i="1"/>
  <c r="P964" i="1"/>
  <c r="Q964" i="1"/>
  <c r="N965" i="1"/>
  <c r="O965" i="1"/>
  <c r="P965" i="1"/>
  <c r="Q965" i="1"/>
  <c r="N966" i="1"/>
  <c r="O966" i="1"/>
  <c r="P966" i="1"/>
  <c r="Q966" i="1"/>
  <c r="N967" i="1"/>
  <c r="O967" i="1"/>
  <c r="P967" i="1"/>
  <c r="Q967" i="1"/>
  <c r="N968" i="1"/>
  <c r="O968" i="1"/>
  <c r="P968" i="1"/>
  <c r="Q968" i="1"/>
  <c r="N969" i="1"/>
  <c r="O969" i="1"/>
  <c r="P969" i="1"/>
  <c r="Q969" i="1"/>
  <c r="N970" i="1"/>
  <c r="O970" i="1"/>
  <c r="P970" i="1"/>
  <c r="Q970" i="1"/>
  <c r="N971" i="1"/>
  <c r="O971" i="1"/>
  <c r="P971" i="1"/>
  <c r="Q971" i="1"/>
  <c r="N972" i="1"/>
  <c r="O972" i="1"/>
  <c r="P972" i="1"/>
  <c r="Q972" i="1"/>
  <c r="N973" i="1"/>
  <c r="O973" i="1"/>
  <c r="P973" i="1"/>
  <c r="Q973" i="1"/>
  <c r="N974" i="1"/>
  <c r="O974" i="1"/>
  <c r="P974" i="1"/>
  <c r="Q974" i="1"/>
  <c r="N975" i="1"/>
  <c r="O975" i="1"/>
  <c r="P975" i="1"/>
  <c r="Q975" i="1"/>
  <c r="N976" i="1"/>
  <c r="O976" i="1"/>
  <c r="P976" i="1"/>
  <c r="Q976" i="1"/>
  <c r="N977" i="1"/>
  <c r="O977" i="1"/>
  <c r="P977" i="1"/>
  <c r="Q977" i="1"/>
  <c r="N978" i="1"/>
  <c r="O978" i="1"/>
  <c r="P978" i="1"/>
  <c r="Q978" i="1"/>
  <c r="N979" i="1"/>
  <c r="O979" i="1"/>
  <c r="P979" i="1"/>
  <c r="Q979" i="1"/>
  <c r="N980" i="1"/>
  <c r="O980" i="1"/>
  <c r="P980" i="1"/>
  <c r="Q980" i="1"/>
  <c r="N981" i="1"/>
  <c r="O981" i="1"/>
  <c r="P981" i="1"/>
  <c r="Q981" i="1"/>
  <c r="N982" i="1"/>
  <c r="O982" i="1"/>
  <c r="P982" i="1"/>
  <c r="Q982" i="1"/>
  <c r="N983" i="1"/>
  <c r="O983" i="1"/>
  <c r="P983" i="1"/>
  <c r="Q983" i="1"/>
  <c r="N984" i="1"/>
  <c r="O984" i="1"/>
  <c r="P984" i="1"/>
  <c r="Q984" i="1"/>
  <c r="N985" i="1"/>
  <c r="O985" i="1"/>
  <c r="P985" i="1"/>
  <c r="Q985" i="1"/>
  <c r="N986" i="1"/>
  <c r="O986" i="1"/>
  <c r="P986" i="1"/>
  <c r="Q986" i="1"/>
  <c r="N987" i="1"/>
  <c r="O987" i="1"/>
  <c r="P987" i="1"/>
  <c r="Q987" i="1"/>
  <c r="N988" i="1"/>
  <c r="O988" i="1"/>
  <c r="P988" i="1"/>
  <c r="Q988" i="1"/>
  <c r="N989" i="1"/>
  <c r="O989" i="1"/>
  <c r="P989" i="1"/>
  <c r="Q989" i="1"/>
  <c r="N990" i="1"/>
  <c r="O990" i="1"/>
  <c r="P990" i="1"/>
  <c r="Q990" i="1"/>
  <c r="N991" i="1"/>
  <c r="O991" i="1"/>
  <c r="P991" i="1"/>
  <c r="Q991" i="1"/>
  <c r="N992" i="1"/>
  <c r="O992" i="1"/>
  <c r="P992" i="1"/>
  <c r="Q992" i="1"/>
  <c r="N993" i="1"/>
  <c r="O993" i="1"/>
  <c r="P993" i="1"/>
  <c r="Q993" i="1"/>
  <c r="N994" i="1"/>
  <c r="O994" i="1"/>
  <c r="P994" i="1"/>
  <c r="Q994" i="1"/>
  <c r="N995" i="1"/>
  <c r="O995" i="1"/>
  <c r="P995" i="1"/>
  <c r="Q995" i="1"/>
  <c r="N996" i="1"/>
  <c r="O996" i="1"/>
  <c r="P996" i="1"/>
  <c r="Q996" i="1"/>
  <c r="N997" i="1"/>
  <c r="O997" i="1"/>
  <c r="P997" i="1"/>
  <c r="Q997" i="1"/>
  <c r="N998" i="1"/>
  <c r="O998" i="1"/>
  <c r="P998" i="1"/>
  <c r="Q998" i="1"/>
  <c r="N999" i="1"/>
  <c r="O999" i="1"/>
  <c r="P999" i="1"/>
  <c r="Q999" i="1"/>
  <c r="N1000" i="1"/>
  <c r="O1000" i="1"/>
  <c r="P1000" i="1"/>
  <c r="Q1000" i="1"/>
  <c r="N1001" i="1"/>
  <c r="O1001" i="1"/>
  <c r="P1001" i="1"/>
  <c r="Q1001" i="1"/>
  <c r="N1002" i="1"/>
  <c r="O1002" i="1"/>
  <c r="P1002" i="1"/>
  <c r="Q1002" i="1"/>
  <c r="N1003" i="1"/>
  <c r="O1003" i="1"/>
  <c r="P1003" i="1"/>
  <c r="Q1003" i="1"/>
  <c r="N1004" i="1"/>
  <c r="O1004" i="1"/>
  <c r="P1004" i="1"/>
  <c r="Q1004" i="1"/>
  <c r="N1005" i="1"/>
  <c r="O1005" i="1"/>
  <c r="P1005" i="1"/>
  <c r="Q1005" i="1"/>
  <c r="N1006" i="1"/>
  <c r="O1006" i="1"/>
  <c r="P1006" i="1"/>
  <c r="Q1006" i="1"/>
  <c r="N1007" i="1"/>
  <c r="O1007" i="1"/>
  <c r="P1007" i="1"/>
  <c r="Q1007" i="1"/>
  <c r="N1008" i="1"/>
  <c r="O1008" i="1"/>
  <c r="P1008" i="1"/>
  <c r="Q1008" i="1"/>
  <c r="N1009" i="1"/>
  <c r="O1009" i="1"/>
  <c r="P1009" i="1"/>
  <c r="Q1009" i="1"/>
  <c r="N1010" i="1"/>
  <c r="O1010" i="1"/>
  <c r="P1010" i="1"/>
  <c r="Q1010" i="1"/>
  <c r="N1011" i="1"/>
  <c r="O1011" i="1"/>
  <c r="P1011" i="1"/>
  <c r="Q1011" i="1"/>
  <c r="N1012" i="1"/>
  <c r="O1012" i="1"/>
  <c r="P1012" i="1"/>
  <c r="Q1012" i="1"/>
  <c r="N1013" i="1"/>
  <c r="O1013" i="1"/>
  <c r="P1013" i="1"/>
  <c r="Q1013" i="1"/>
  <c r="N1014" i="1"/>
  <c r="O1014" i="1"/>
  <c r="P1014" i="1"/>
  <c r="Q1014" i="1"/>
  <c r="N1015" i="1"/>
  <c r="O1015" i="1"/>
  <c r="P1015" i="1"/>
  <c r="Q1015" i="1"/>
  <c r="N1016" i="1"/>
  <c r="O1016" i="1"/>
  <c r="P1016" i="1"/>
  <c r="Q1016" i="1"/>
  <c r="N1017" i="1"/>
  <c r="O1017" i="1"/>
  <c r="P1017" i="1"/>
  <c r="Q1017" i="1"/>
  <c r="N1018" i="1"/>
  <c r="O1018" i="1"/>
  <c r="P1018" i="1"/>
  <c r="Q1018" i="1"/>
  <c r="N1019" i="1"/>
  <c r="O1019" i="1"/>
  <c r="P1019" i="1"/>
  <c r="Q1019" i="1"/>
  <c r="N1020" i="1"/>
  <c r="O1020" i="1"/>
  <c r="P1020" i="1"/>
  <c r="Q1020" i="1"/>
  <c r="N1021" i="1"/>
  <c r="O1021" i="1"/>
  <c r="P1021" i="1"/>
  <c r="Q1021" i="1"/>
  <c r="N1022" i="1"/>
  <c r="O1022" i="1"/>
  <c r="P1022" i="1"/>
  <c r="Q1022" i="1"/>
  <c r="N1023" i="1"/>
  <c r="O1023" i="1"/>
  <c r="P1023" i="1"/>
  <c r="Q1023" i="1"/>
  <c r="N1024" i="1"/>
  <c r="O1024" i="1"/>
  <c r="P1024" i="1"/>
  <c r="Q1024" i="1"/>
  <c r="N1025" i="1"/>
  <c r="O1025" i="1"/>
  <c r="P1025" i="1"/>
  <c r="Q1025" i="1"/>
  <c r="N1026" i="1"/>
  <c r="O1026" i="1"/>
  <c r="P1026" i="1"/>
  <c r="Q1026" i="1"/>
  <c r="N1027" i="1"/>
  <c r="O1027" i="1"/>
  <c r="P1027" i="1"/>
  <c r="Q1027" i="1"/>
  <c r="N1028" i="1"/>
  <c r="O1028" i="1"/>
  <c r="P1028" i="1"/>
  <c r="Q1028" i="1"/>
  <c r="N1029" i="1"/>
  <c r="O1029" i="1"/>
  <c r="P1029" i="1"/>
  <c r="Q1029" i="1"/>
  <c r="N1030" i="1"/>
  <c r="O1030" i="1"/>
  <c r="P1030" i="1"/>
  <c r="Q1030" i="1"/>
  <c r="N1031" i="1"/>
  <c r="O1031" i="1"/>
  <c r="P1031" i="1"/>
  <c r="Q1031" i="1"/>
  <c r="N1032" i="1"/>
  <c r="O1032" i="1"/>
  <c r="P1032" i="1"/>
  <c r="Q1032" i="1"/>
  <c r="N1033" i="1"/>
  <c r="O1033" i="1"/>
  <c r="P1033" i="1"/>
  <c r="Q1033" i="1"/>
  <c r="N1034" i="1"/>
  <c r="O1034" i="1"/>
  <c r="P1034" i="1"/>
  <c r="Q1034" i="1"/>
  <c r="N1035" i="1"/>
  <c r="O1035" i="1"/>
  <c r="P1035" i="1"/>
  <c r="Q1035" i="1"/>
  <c r="N1036" i="1"/>
  <c r="O1036" i="1"/>
  <c r="P1036" i="1"/>
  <c r="Q1036" i="1"/>
  <c r="N1037" i="1"/>
  <c r="O1037" i="1"/>
  <c r="P1037" i="1"/>
  <c r="Q1037" i="1"/>
  <c r="N1038" i="1"/>
  <c r="O1038" i="1"/>
  <c r="P1038" i="1"/>
  <c r="Q1038" i="1"/>
  <c r="N1039" i="1"/>
  <c r="O1039" i="1"/>
  <c r="P1039" i="1"/>
  <c r="Q1039" i="1"/>
  <c r="N1040" i="1"/>
  <c r="O1040" i="1"/>
  <c r="P1040" i="1"/>
  <c r="Q1040" i="1"/>
  <c r="N1041" i="1"/>
  <c r="O1041" i="1"/>
  <c r="P1041" i="1"/>
  <c r="Q1041" i="1"/>
  <c r="N1042" i="1"/>
  <c r="O1042" i="1"/>
  <c r="P1042" i="1"/>
  <c r="Q1042" i="1"/>
  <c r="N1043" i="1"/>
  <c r="O1043" i="1"/>
  <c r="P1043" i="1"/>
  <c r="Q1043" i="1"/>
  <c r="N1044" i="1"/>
  <c r="O1044" i="1"/>
  <c r="P1044" i="1"/>
  <c r="Q1044" i="1"/>
  <c r="N1045" i="1"/>
  <c r="O1045" i="1"/>
  <c r="P1045" i="1"/>
  <c r="Q1045" i="1"/>
  <c r="N1046" i="1"/>
  <c r="O1046" i="1"/>
  <c r="P1046" i="1"/>
  <c r="Q1046" i="1"/>
  <c r="N1047" i="1"/>
  <c r="O1047" i="1"/>
  <c r="P1047" i="1"/>
  <c r="Q1047" i="1"/>
  <c r="N1048" i="1"/>
  <c r="O1048" i="1"/>
  <c r="P1048" i="1"/>
  <c r="Q1048" i="1"/>
  <c r="N1049" i="1"/>
  <c r="O1049" i="1"/>
  <c r="P1049" i="1"/>
  <c r="Q1049" i="1"/>
  <c r="N1050" i="1"/>
  <c r="O1050" i="1"/>
  <c r="P1050" i="1"/>
  <c r="Q1050" i="1"/>
  <c r="N1051" i="1"/>
  <c r="O1051" i="1"/>
  <c r="P1051" i="1"/>
  <c r="Q1051" i="1"/>
  <c r="N1052" i="1"/>
  <c r="O1052" i="1"/>
  <c r="P1052" i="1"/>
  <c r="Q1052" i="1"/>
  <c r="N1053" i="1"/>
  <c r="O1053" i="1"/>
  <c r="P1053" i="1"/>
  <c r="Q1053" i="1"/>
  <c r="N1054" i="1"/>
  <c r="O1054" i="1"/>
  <c r="P1054" i="1"/>
  <c r="Q1054" i="1"/>
  <c r="N1055" i="1"/>
  <c r="O1055" i="1"/>
  <c r="P1055" i="1"/>
  <c r="Q1055" i="1"/>
  <c r="N1056" i="1"/>
  <c r="O1056" i="1"/>
  <c r="P1056" i="1"/>
  <c r="Q1056" i="1"/>
  <c r="N1057" i="1"/>
  <c r="O1057" i="1"/>
  <c r="P1057" i="1"/>
  <c r="Q1057" i="1"/>
  <c r="N1058" i="1"/>
  <c r="O1058" i="1"/>
  <c r="P1058" i="1"/>
  <c r="Q1058" i="1"/>
  <c r="N1059" i="1"/>
  <c r="O1059" i="1"/>
  <c r="P1059" i="1"/>
  <c r="Q1059" i="1"/>
  <c r="N1060" i="1"/>
  <c r="O1060" i="1"/>
  <c r="P1060" i="1"/>
  <c r="Q1060" i="1"/>
  <c r="N1061" i="1"/>
  <c r="O1061" i="1"/>
  <c r="P1061" i="1"/>
  <c r="Q1061" i="1"/>
  <c r="N1062" i="1"/>
  <c r="O1062" i="1"/>
  <c r="P1062" i="1"/>
  <c r="Q1062" i="1"/>
  <c r="N1063" i="1"/>
  <c r="O1063" i="1"/>
  <c r="P1063" i="1"/>
  <c r="Q1063" i="1"/>
  <c r="N1064" i="1"/>
  <c r="O1064" i="1"/>
  <c r="P1064" i="1"/>
  <c r="Q1064" i="1"/>
  <c r="N1065" i="1"/>
  <c r="O1065" i="1"/>
  <c r="P1065" i="1"/>
  <c r="Q1065" i="1"/>
  <c r="N1066" i="1"/>
  <c r="O1066" i="1"/>
  <c r="P1066" i="1"/>
  <c r="Q1066" i="1"/>
  <c r="N1067" i="1"/>
  <c r="O1067" i="1"/>
  <c r="P1067" i="1"/>
  <c r="Q1067" i="1"/>
  <c r="N1068" i="1"/>
  <c r="O1068" i="1"/>
  <c r="P1068" i="1"/>
  <c r="Q1068" i="1"/>
  <c r="N1069" i="1"/>
  <c r="O1069" i="1"/>
  <c r="P1069" i="1"/>
  <c r="Q1069" i="1"/>
  <c r="N1070" i="1"/>
  <c r="O1070" i="1"/>
  <c r="P1070" i="1"/>
  <c r="Q1070" i="1"/>
  <c r="N1071" i="1"/>
  <c r="O1071" i="1"/>
  <c r="P1071" i="1"/>
  <c r="Q1071" i="1"/>
  <c r="N1072" i="1"/>
  <c r="O1072" i="1"/>
  <c r="P1072" i="1"/>
  <c r="Q1072" i="1"/>
  <c r="N1073" i="1"/>
  <c r="O1073" i="1"/>
  <c r="P1073" i="1"/>
  <c r="Q1073" i="1"/>
  <c r="N1074" i="1"/>
  <c r="O1074" i="1"/>
  <c r="P1074" i="1"/>
  <c r="Q1074" i="1"/>
  <c r="N1075" i="1"/>
  <c r="O1075" i="1"/>
  <c r="P1075" i="1"/>
  <c r="Q1075" i="1"/>
  <c r="N1076" i="1"/>
  <c r="O1076" i="1"/>
  <c r="P1076" i="1"/>
  <c r="Q1076" i="1"/>
  <c r="N1077" i="1"/>
  <c r="O1077" i="1"/>
  <c r="P1077" i="1"/>
  <c r="Q1077" i="1"/>
  <c r="N1078" i="1"/>
  <c r="O1078" i="1"/>
  <c r="P1078" i="1"/>
  <c r="Q1078" i="1"/>
  <c r="N1079" i="1"/>
  <c r="O1079" i="1"/>
  <c r="P1079" i="1"/>
  <c r="Q1079" i="1"/>
  <c r="N1080" i="1"/>
  <c r="O1080" i="1"/>
  <c r="P1080" i="1"/>
  <c r="Q1080" i="1"/>
  <c r="N1081" i="1"/>
  <c r="O1081" i="1"/>
  <c r="P1081" i="1"/>
  <c r="Q1081" i="1"/>
  <c r="N1082" i="1"/>
  <c r="O1082" i="1"/>
  <c r="P1082" i="1"/>
  <c r="Q1082" i="1"/>
  <c r="N1083" i="1"/>
  <c r="O1083" i="1"/>
  <c r="P1083" i="1"/>
  <c r="Q1083" i="1"/>
  <c r="N1084" i="1"/>
  <c r="O1084" i="1"/>
  <c r="P1084" i="1"/>
  <c r="Q1084" i="1"/>
  <c r="N1085" i="1"/>
  <c r="O1085" i="1"/>
  <c r="P1085" i="1"/>
  <c r="Q1085" i="1"/>
  <c r="N1086" i="1"/>
  <c r="O1086" i="1"/>
  <c r="P1086" i="1"/>
  <c r="Q1086" i="1"/>
  <c r="N1087" i="1"/>
  <c r="O1087" i="1"/>
  <c r="P1087" i="1"/>
  <c r="Q1087" i="1"/>
  <c r="N1088" i="1"/>
  <c r="O1088" i="1"/>
  <c r="P1088" i="1"/>
  <c r="Q1088" i="1"/>
  <c r="N1089" i="1"/>
  <c r="O1089" i="1"/>
  <c r="P1089" i="1"/>
  <c r="Q1089" i="1"/>
  <c r="N1090" i="1"/>
  <c r="O1090" i="1"/>
  <c r="P1090" i="1"/>
  <c r="Q1090" i="1"/>
  <c r="N1091" i="1"/>
  <c r="O1091" i="1"/>
  <c r="P1091" i="1"/>
  <c r="Q1091" i="1"/>
  <c r="N1092" i="1"/>
  <c r="O1092" i="1"/>
  <c r="P1092" i="1"/>
  <c r="Q1092" i="1"/>
  <c r="N1093" i="1"/>
  <c r="O1093" i="1"/>
  <c r="P1093" i="1"/>
  <c r="Q1093" i="1"/>
  <c r="N1094" i="1"/>
  <c r="O1094" i="1"/>
  <c r="P1094" i="1"/>
  <c r="Q1094" i="1"/>
  <c r="N1095" i="1"/>
  <c r="O1095" i="1"/>
  <c r="P1095" i="1"/>
  <c r="Q1095" i="1"/>
  <c r="N1096" i="1"/>
  <c r="O1096" i="1"/>
  <c r="P1096" i="1"/>
  <c r="Q1096" i="1"/>
  <c r="N1097" i="1"/>
  <c r="O1097" i="1"/>
  <c r="P1097" i="1"/>
  <c r="Q1097" i="1"/>
  <c r="N1098" i="1"/>
  <c r="O1098" i="1"/>
  <c r="P1098" i="1"/>
  <c r="Q1098" i="1"/>
  <c r="N1099" i="1"/>
  <c r="O1099" i="1"/>
  <c r="P1099" i="1"/>
  <c r="Q1099" i="1"/>
  <c r="N1100" i="1"/>
  <c r="O1100" i="1"/>
  <c r="P1100" i="1"/>
  <c r="Q1100" i="1"/>
  <c r="N1101" i="1"/>
  <c r="O1101" i="1"/>
  <c r="P1101" i="1"/>
  <c r="Q1101" i="1"/>
  <c r="N1102" i="1"/>
  <c r="O1102" i="1"/>
  <c r="P1102" i="1"/>
  <c r="Q1102" i="1"/>
  <c r="N1103" i="1"/>
  <c r="O1103" i="1"/>
  <c r="P1103" i="1"/>
  <c r="Q1103" i="1"/>
  <c r="N1104" i="1"/>
  <c r="O1104" i="1"/>
  <c r="P1104" i="1"/>
  <c r="Q1104" i="1"/>
  <c r="N1105" i="1"/>
  <c r="O1105" i="1"/>
  <c r="P1105" i="1"/>
  <c r="Q1105" i="1"/>
  <c r="N1106" i="1"/>
  <c r="O1106" i="1"/>
  <c r="P1106" i="1"/>
  <c r="Q1106" i="1"/>
  <c r="N1107" i="1"/>
  <c r="O1107" i="1"/>
  <c r="P1107" i="1"/>
  <c r="Q1107" i="1"/>
  <c r="N1108" i="1"/>
  <c r="O1108" i="1"/>
  <c r="P1108" i="1"/>
  <c r="Q1108" i="1"/>
  <c r="N1109" i="1"/>
  <c r="O1109" i="1"/>
  <c r="P1109" i="1"/>
  <c r="Q1109" i="1"/>
  <c r="N1110" i="1"/>
  <c r="O1110" i="1"/>
  <c r="P1110" i="1"/>
  <c r="Q1110" i="1"/>
  <c r="N1111" i="1"/>
  <c r="O1111" i="1"/>
  <c r="P1111" i="1"/>
  <c r="Q1111" i="1"/>
  <c r="N1112" i="1"/>
  <c r="O1112" i="1"/>
  <c r="P1112" i="1"/>
  <c r="Q1112" i="1"/>
  <c r="N1113" i="1"/>
  <c r="O1113" i="1"/>
  <c r="P1113" i="1"/>
  <c r="Q1113" i="1"/>
  <c r="N1114" i="1"/>
  <c r="O1114" i="1"/>
  <c r="P1114" i="1"/>
  <c r="Q1114" i="1"/>
  <c r="N1115" i="1"/>
  <c r="O1115" i="1"/>
  <c r="P1115" i="1"/>
  <c r="Q1115" i="1"/>
  <c r="N1116" i="1"/>
  <c r="O1116" i="1"/>
  <c r="P1116" i="1"/>
  <c r="Q1116" i="1"/>
  <c r="N1117" i="1"/>
  <c r="O1117" i="1"/>
  <c r="P1117" i="1"/>
  <c r="Q1117" i="1"/>
  <c r="N1118" i="1"/>
  <c r="O1118" i="1"/>
  <c r="P1118" i="1"/>
  <c r="Q1118" i="1"/>
  <c r="N1119" i="1"/>
  <c r="O1119" i="1"/>
  <c r="P1119" i="1"/>
  <c r="Q1119" i="1"/>
  <c r="N1120" i="1"/>
  <c r="O1120" i="1"/>
  <c r="P1120" i="1"/>
  <c r="Q1120" i="1"/>
  <c r="N1121" i="1"/>
  <c r="O1121" i="1"/>
  <c r="P1121" i="1"/>
  <c r="Q1121" i="1"/>
  <c r="N1122" i="1"/>
  <c r="O1122" i="1"/>
  <c r="P1122" i="1"/>
  <c r="Q1122" i="1"/>
  <c r="N1123" i="1"/>
  <c r="O1123" i="1"/>
  <c r="P1123" i="1"/>
  <c r="Q1123" i="1"/>
  <c r="N1124" i="1"/>
  <c r="O1124" i="1"/>
  <c r="P1124" i="1"/>
  <c r="Q1124" i="1"/>
  <c r="N1125" i="1"/>
  <c r="O1125" i="1"/>
  <c r="P1125" i="1"/>
  <c r="Q1125" i="1"/>
  <c r="N1126" i="1"/>
  <c r="O1126" i="1"/>
  <c r="P1126" i="1"/>
  <c r="Q1126" i="1"/>
  <c r="N1127" i="1"/>
  <c r="O1127" i="1"/>
  <c r="P1127" i="1"/>
  <c r="Q1127" i="1"/>
  <c r="N1128" i="1"/>
  <c r="O1128" i="1"/>
  <c r="P1128" i="1"/>
  <c r="Q1128" i="1"/>
  <c r="N1129" i="1"/>
  <c r="O1129" i="1"/>
  <c r="P1129" i="1"/>
  <c r="Q1129" i="1"/>
  <c r="N1130" i="1"/>
  <c r="O1130" i="1"/>
  <c r="P1130" i="1"/>
  <c r="Q1130" i="1"/>
  <c r="N1131" i="1"/>
  <c r="O1131" i="1"/>
  <c r="P1131" i="1"/>
  <c r="Q1131" i="1"/>
  <c r="N1132" i="1"/>
  <c r="O1132" i="1"/>
  <c r="P1132" i="1"/>
  <c r="Q1132" i="1"/>
  <c r="N1133" i="1"/>
  <c r="O1133" i="1"/>
  <c r="P1133" i="1"/>
  <c r="Q1133" i="1"/>
  <c r="N1134" i="1"/>
  <c r="O1134" i="1"/>
  <c r="P1134" i="1"/>
  <c r="Q1134" i="1"/>
  <c r="N1135" i="1"/>
  <c r="O1135" i="1"/>
  <c r="P1135" i="1"/>
  <c r="Q1135" i="1"/>
  <c r="N1136" i="1"/>
  <c r="O1136" i="1"/>
  <c r="P1136" i="1"/>
  <c r="Q1136" i="1"/>
  <c r="N1137" i="1"/>
  <c r="O1137" i="1"/>
  <c r="P1137" i="1"/>
  <c r="Q1137" i="1"/>
  <c r="N1138" i="1"/>
  <c r="O1138" i="1"/>
  <c r="P1138" i="1"/>
  <c r="Q1138" i="1"/>
  <c r="N1139" i="1"/>
  <c r="O1139" i="1"/>
  <c r="P1139" i="1"/>
  <c r="Q1139" i="1"/>
  <c r="N1140" i="1"/>
  <c r="O1140" i="1"/>
  <c r="P1140" i="1"/>
  <c r="Q1140" i="1"/>
  <c r="N1141" i="1"/>
  <c r="O1141" i="1"/>
  <c r="P1141" i="1"/>
  <c r="Q1141" i="1"/>
  <c r="N1142" i="1"/>
  <c r="O1142" i="1"/>
  <c r="P1142" i="1"/>
  <c r="Q1142" i="1"/>
  <c r="N1143" i="1"/>
  <c r="O1143" i="1"/>
  <c r="P1143" i="1"/>
  <c r="Q1143" i="1"/>
  <c r="N1144" i="1"/>
  <c r="O1144" i="1"/>
  <c r="P1144" i="1"/>
  <c r="Q1144" i="1"/>
  <c r="N1145" i="1"/>
  <c r="O1145" i="1"/>
  <c r="P1145" i="1"/>
  <c r="Q1145" i="1"/>
  <c r="N1146" i="1"/>
  <c r="O1146" i="1"/>
  <c r="P1146" i="1"/>
  <c r="Q1146" i="1"/>
  <c r="N1147" i="1"/>
  <c r="O1147" i="1"/>
  <c r="P1147" i="1"/>
  <c r="Q1147" i="1"/>
  <c r="N1148" i="1"/>
  <c r="O1148" i="1"/>
  <c r="P1148" i="1"/>
  <c r="Q1148" i="1"/>
  <c r="N1149" i="1"/>
  <c r="O1149" i="1"/>
  <c r="P1149" i="1"/>
  <c r="Q1149" i="1"/>
  <c r="N1150" i="1"/>
  <c r="O1150" i="1"/>
  <c r="P1150" i="1"/>
  <c r="Q1150" i="1"/>
  <c r="N1151" i="1"/>
  <c r="O1151" i="1"/>
  <c r="P1151" i="1"/>
  <c r="Q1151" i="1"/>
  <c r="N1152" i="1"/>
  <c r="O1152" i="1"/>
  <c r="P1152" i="1"/>
  <c r="Q1152" i="1"/>
  <c r="N1153" i="1"/>
  <c r="O1153" i="1"/>
  <c r="P1153" i="1"/>
  <c r="Q1153" i="1"/>
  <c r="N1154" i="1"/>
  <c r="O1154" i="1"/>
  <c r="P1154" i="1"/>
  <c r="Q1154" i="1"/>
  <c r="N1155" i="1"/>
  <c r="O1155" i="1"/>
  <c r="P1155" i="1"/>
  <c r="Q1155" i="1"/>
  <c r="N1156" i="1"/>
  <c r="O1156" i="1"/>
  <c r="P1156" i="1"/>
  <c r="Q1156" i="1"/>
  <c r="N1157" i="1"/>
  <c r="O1157" i="1"/>
  <c r="P1157" i="1"/>
  <c r="Q1157" i="1"/>
  <c r="N1158" i="1"/>
  <c r="O1158" i="1"/>
  <c r="P1158" i="1"/>
  <c r="Q1158" i="1"/>
  <c r="N1159" i="1"/>
  <c r="O1159" i="1"/>
  <c r="P1159" i="1"/>
  <c r="Q1159" i="1"/>
  <c r="N1160" i="1"/>
  <c r="O1160" i="1"/>
  <c r="P1160" i="1"/>
  <c r="Q1160" i="1"/>
  <c r="N1161" i="1"/>
  <c r="O1161" i="1"/>
  <c r="P1161" i="1"/>
  <c r="Q1161" i="1"/>
  <c r="N1162" i="1"/>
  <c r="O1162" i="1"/>
  <c r="P1162" i="1"/>
  <c r="Q1162" i="1"/>
  <c r="N1163" i="1"/>
  <c r="O1163" i="1"/>
  <c r="P1163" i="1"/>
  <c r="Q1163" i="1"/>
  <c r="N1164" i="1"/>
  <c r="O1164" i="1"/>
  <c r="P1164" i="1"/>
  <c r="Q1164" i="1"/>
  <c r="N1165" i="1"/>
  <c r="O1165" i="1"/>
  <c r="P1165" i="1"/>
  <c r="Q1165" i="1"/>
  <c r="N1166" i="1"/>
  <c r="O1166" i="1"/>
  <c r="P1166" i="1"/>
  <c r="Q1166" i="1"/>
  <c r="N1167" i="1"/>
  <c r="O1167" i="1"/>
  <c r="P1167" i="1"/>
  <c r="Q1167" i="1"/>
  <c r="N1168" i="1"/>
  <c r="O1168" i="1"/>
  <c r="P1168" i="1"/>
  <c r="Q1168" i="1"/>
  <c r="N1169" i="1"/>
  <c r="O1169" i="1"/>
  <c r="P1169" i="1"/>
  <c r="Q1169" i="1"/>
  <c r="N1170" i="1"/>
  <c r="O1170" i="1"/>
  <c r="P1170" i="1"/>
  <c r="Q1170" i="1"/>
  <c r="N1171" i="1"/>
  <c r="O1171" i="1"/>
  <c r="P1171" i="1"/>
  <c r="Q1171" i="1"/>
  <c r="N1172" i="1"/>
  <c r="O1172" i="1"/>
  <c r="P1172" i="1"/>
  <c r="Q1172" i="1"/>
  <c r="N1173" i="1"/>
  <c r="O1173" i="1"/>
  <c r="P1173" i="1"/>
  <c r="Q1173" i="1"/>
  <c r="N1174" i="1"/>
  <c r="O1174" i="1"/>
  <c r="P1174" i="1"/>
  <c r="Q1174" i="1"/>
  <c r="N1175" i="1"/>
  <c r="O1175" i="1"/>
  <c r="P1175" i="1"/>
  <c r="Q1175" i="1"/>
  <c r="N1176" i="1"/>
  <c r="O1176" i="1"/>
  <c r="P1176" i="1"/>
  <c r="Q1176" i="1"/>
  <c r="N1177" i="1"/>
  <c r="O1177" i="1"/>
  <c r="P1177" i="1"/>
  <c r="Q1177" i="1"/>
  <c r="N1178" i="1"/>
  <c r="O1178" i="1"/>
  <c r="P1178" i="1"/>
  <c r="Q1178" i="1"/>
  <c r="N1179" i="1"/>
  <c r="O1179" i="1"/>
  <c r="P1179" i="1"/>
  <c r="Q1179" i="1"/>
  <c r="N1180" i="1"/>
  <c r="O1180" i="1"/>
  <c r="P1180" i="1"/>
  <c r="Q1180" i="1"/>
  <c r="N1181" i="1"/>
  <c r="O1181" i="1"/>
  <c r="P1181" i="1"/>
  <c r="Q1181" i="1"/>
  <c r="N1182" i="1"/>
  <c r="O1182" i="1"/>
  <c r="P1182" i="1"/>
  <c r="Q1182" i="1"/>
  <c r="N1183" i="1"/>
  <c r="O1183" i="1"/>
  <c r="P1183" i="1"/>
  <c r="Q1183" i="1"/>
  <c r="N1184" i="1"/>
  <c r="O1184" i="1"/>
  <c r="P1184" i="1"/>
  <c r="Q1184" i="1"/>
  <c r="N1185" i="1"/>
  <c r="O1185" i="1"/>
  <c r="P1185" i="1"/>
  <c r="Q1185" i="1"/>
  <c r="N1186" i="1"/>
  <c r="O1186" i="1"/>
  <c r="P1186" i="1"/>
  <c r="Q1186" i="1"/>
  <c r="N1187" i="1"/>
  <c r="O1187" i="1"/>
  <c r="P1187" i="1"/>
  <c r="Q1187" i="1"/>
  <c r="N1188" i="1"/>
  <c r="O1188" i="1"/>
  <c r="P1188" i="1"/>
  <c r="Q1188" i="1"/>
  <c r="N1189" i="1"/>
  <c r="O1189" i="1"/>
  <c r="P1189" i="1"/>
  <c r="Q1189" i="1"/>
  <c r="N1190" i="1"/>
  <c r="O1190" i="1"/>
  <c r="P1190" i="1"/>
  <c r="Q1190" i="1"/>
  <c r="N1191" i="1"/>
  <c r="O1191" i="1"/>
  <c r="P1191" i="1"/>
  <c r="Q1191" i="1"/>
  <c r="N1192" i="1"/>
  <c r="O1192" i="1"/>
  <c r="P1192" i="1"/>
  <c r="Q1192" i="1"/>
  <c r="N1193" i="1"/>
  <c r="O1193" i="1"/>
  <c r="P1193" i="1"/>
  <c r="Q1193" i="1"/>
  <c r="N1194" i="1"/>
  <c r="O1194" i="1"/>
  <c r="P1194" i="1"/>
  <c r="Q1194" i="1"/>
  <c r="N1195" i="1"/>
  <c r="O1195" i="1"/>
  <c r="P1195" i="1"/>
  <c r="Q1195" i="1"/>
  <c r="N1196" i="1"/>
  <c r="O1196" i="1"/>
  <c r="P1196" i="1"/>
  <c r="Q1196" i="1"/>
  <c r="N1197" i="1"/>
  <c r="O1197" i="1"/>
  <c r="P1197" i="1"/>
  <c r="Q1197" i="1"/>
  <c r="N1198" i="1"/>
  <c r="O1198" i="1"/>
  <c r="P1198" i="1"/>
  <c r="Q1198" i="1"/>
  <c r="N1199" i="1"/>
  <c r="O1199" i="1"/>
  <c r="P1199" i="1"/>
  <c r="Q1199" i="1"/>
  <c r="N1200" i="1"/>
  <c r="O1200" i="1"/>
  <c r="P1200" i="1"/>
  <c r="Q1200" i="1"/>
  <c r="N1201" i="1"/>
  <c r="O1201" i="1"/>
  <c r="P1201" i="1"/>
  <c r="Q1201" i="1"/>
  <c r="N1202" i="1"/>
  <c r="O1202" i="1"/>
  <c r="P1202" i="1"/>
  <c r="Q1202" i="1"/>
  <c r="N1203" i="1"/>
  <c r="O1203" i="1"/>
  <c r="P1203" i="1"/>
  <c r="Q1203" i="1"/>
  <c r="N1204" i="1"/>
  <c r="O1204" i="1"/>
  <c r="P1204" i="1"/>
  <c r="Q1204" i="1"/>
  <c r="N1205" i="1"/>
  <c r="O1205" i="1"/>
  <c r="P1205" i="1"/>
  <c r="Q1205" i="1"/>
  <c r="N1206" i="1"/>
  <c r="O1206" i="1"/>
  <c r="P1206" i="1"/>
  <c r="Q1206" i="1"/>
  <c r="N1207" i="1"/>
  <c r="O1207" i="1"/>
  <c r="P1207" i="1"/>
  <c r="Q1207" i="1"/>
  <c r="N1208" i="1"/>
  <c r="O1208" i="1"/>
  <c r="P1208" i="1"/>
  <c r="Q1208" i="1"/>
  <c r="N1209" i="1"/>
  <c r="O1209" i="1"/>
  <c r="P1209" i="1"/>
  <c r="Q1209" i="1"/>
  <c r="N1210" i="1"/>
  <c r="O1210" i="1"/>
  <c r="P1210" i="1"/>
  <c r="Q1210" i="1"/>
  <c r="N1211" i="1"/>
  <c r="O1211" i="1"/>
  <c r="P1211" i="1"/>
  <c r="Q1211" i="1"/>
  <c r="N1212" i="1"/>
  <c r="O1212" i="1"/>
  <c r="P1212" i="1"/>
  <c r="Q1212" i="1"/>
  <c r="N1213" i="1"/>
  <c r="O1213" i="1"/>
  <c r="P1213" i="1"/>
  <c r="Q1213" i="1"/>
  <c r="N1214" i="1"/>
  <c r="O1214" i="1"/>
  <c r="P1214" i="1"/>
  <c r="Q1214" i="1"/>
  <c r="N1215" i="1"/>
  <c r="O1215" i="1"/>
  <c r="P1215" i="1"/>
  <c r="Q1215" i="1"/>
  <c r="N1216" i="1"/>
  <c r="O1216" i="1"/>
  <c r="P1216" i="1"/>
  <c r="Q1216" i="1"/>
  <c r="N1217" i="1"/>
  <c r="O1217" i="1"/>
  <c r="P1217" i="1"/>
  <c r="Q1217" i="1"/>
  <c r="N1218" i="1"/>
  <c r="O1218" i="1"/>
  <c r="P1218" i="1"/>
  <c r="Q1218" i="1"/>
  <c r="N1219" i="1"/>
  <c r="O1219" i="1"/>
  <c r="P1219" i="1"/>
  <c r="Q1219" i="1"/>
  <c r="N1220" i="1"/>
  <c r="O1220" i="1"/>
  <c r="P1220" i="1"/>
  <c r="Q1220" i="1"/>
  <c r="N1221" i="1"/>
  <c r="O1221" i="1"/>
  <c r="P1221" i="1"/>
  <c r="Q1221" i="1"/>
  <c r="N1222" i="1"/>
  <c r="O1222" i="1"/>
  <c r="P1222" i="1"/>
  <c r="Q1222" i="1"/>
  <c r="N1223" i="1"/>
  <c r="O1223" i="1"/>
  <c r="P1223" i="1"/>
  <c r="Q1223" i="1"/>
  <c r="N1224" i="1"/>
  <c r="O1224" i="1"/>
  <c r="P1224" i="1"/>
  <c r="Q1224" i="1"/>
  <c r="N1225" i="1"/>
  <c r="O1225" i="1"/>
  <c r="P1225" i="1"/>
  <c r="Q1225" i="1"/>
  <c r="N1226" i="1"/>
  <c r="O1226" i="1"/>
  <c r="P1226" i="1"/>
  <c r="Q1226" i="1"/>
  <c r="N1227" i="1"/>
  <c r="O1227" i="1"/>
  <c r="P1227" i="1"/>
  <c r="Q1227" i="1"/>
  <c r="N1228" i="1"/>
  <c r="O1228" i="1"/>
  <c r="P1228" i="1"/>
  <c r="Q1228" i="1"/>
  <c r="N1229" i="1"/>
  <c r="O1229" i="1"/>
  <c r="P1229" i="1"/>
  <c r="Q1229" i="1"/>
  <c r="N1230" i="1"/>
  <c r="O1230" i="1"/>
  <c r="P1230" i="1"/>
  <c r="Q1230" i="1"/>
  <c r="N1231" i="1"/>
  <c r="O1231" i="1"/>
  <c r="P1231" i="1"/>
  <c r="Q1231" i="1"/>
  <c r="N1232" i="1"/>
  <c r="O1232" i="1"/>
  <c r="P1232" i="1"/>
  <c r="Q1232" i="1"/>
  <c r="N1233" i="1"/>
  <c r="O1233" i="1"/>
  <c r="P1233" i="1"/>
  <c r="Q1233" i="1"/>
  <c r="N1234" i="1"/>
  <c r="O1234" i="1"/>
  <c r="P1234" i="1"/>
  <c r="Q1234" i="1"/>
  <c r="N1235" i="1"/>
  <c r="O1235" i="1"/>
  <c r="P1235" i="1"/>
  <c r="Q1235" i="1"/>
  <c r="N1236" i="1"/>
  <c r="O1236" i="1"/>
  <c r="P1236" i="1"/>
  <c r="Q1236" i="1"/>
  <c r="N1237" i="1"/>
  <c r="O1237" i="1"/>
  <c r="P1237" i="1"/>
  <c r="Q1237" i="1"/>
  <c r="N1238" i="1"/>
  <c r="O1238" i="1"/>
  <c r="P1238" i="1"/>
  <c r="Q1238" i="1"/>
  <c r="N1239" i="1"/>
  <c r="O1239" i="1"/>
  <c r="P1239" i="1"/>
  <c r="Q1239" i="1"/>
  <c r="N1240" i="1"/>
  <c r="O1240" i="1"/>
  <c r="P1240" i="1"/>
  <c r="Q1240" i="1"/>
  <c r="N1241" i="1"/>
  <c r="O1241" i="1"/>
  <c r="P1241" i="1"/>
  <c r="Q1241" i="1"/>
  <c r="N1242" i="1"/>
  <c r="O1242" i="1"/>
  <c r="P1242" i="1"/>
  <c r="Q1242" i="1"/>
  <c r="N1243" i="1"/>
  <c r="O1243" i="1"/>
  <c r="P1243" i="1"/>
  <c r="Q1243" i="1"/>
  <c r="N1244" i="1"/>
  <c r="O1244" i="1"/>
  <c r="P1244" i="1"/>
  <c r="Q1244" i="1"/>
  <c r="N1245" i="1"/>
  <c r="O1245" i="1"/>
  <c r="P1245" i="1"/>
  <c r="Q1245" i="1"/>
  <c r="N1246" i="1"/>
  <c r="O1246" i="1"/>
  <c r="P1246" i="1"/>
  <c r="Q1246" i="1"/>
  <c r="N1247" i="1"/>
  <c r="O1247" i="1"/>
  <c r="P1247" i="1"/>
  <c r="Q1247" i="1"/>
  <c r="N1248" i="1"/>
  <c r="O1248" i="1"/>
  <c r="P1248" i="1"/>
  <c r="Q1248" i="1"/>
  <c r="N1249" i="1"/>
  <c r="O1249" i="1"/>
  <c r="P1249" i="1"/>
  <c r="Q1249" i="1"/>
  <c r="N1250" i="1"/>
  <c r="O1250" i="1"/>
  <c r="P1250" i="1"/>
  <c r="Q1250" i="1"/>
  <c r="N1251" i="1"/>
  <c r="O1251" i="1"/>
  <c r="P1251" i="1"/>
  <c r="Q1251" i="1"/>
  <c r="N1252" i="1"/>
  <c r="O1252" i="1"/>
  <c r="P1252" i="1"/>
  <c r="Q1252" i="1"/>
  <c r="N1253" i="1"/>
  <c r="O1253" i="1"/>
  <c r="P1253" i="1"/>
  <c r="Q1253" i="1"/>
  <c r="N1254" i="1"/>
  <c r="O1254" i="1"/>
  <c r="P1254" i="1"/>
  <c r="Q1254" i="1"/>
  <c r="N1255" i="1"/>
  <c r="O1255" i="1"/>
  <c r="P1255" i="1"/>
  <c r="Q1255" i="1"/>
  <c r="N1256" i="1"/>
  <c r="O1256" i="1"/>
  <c r="P1256" i="1"/>
  <c r="Q1256" i="1"/>
  <c r="N1257" i="1"/>
  <c r="O1257" i="1"/>
  <c r="P1257" i="1"/>
  <c r="Q1257" i="1"/>
  <c r="N1258" i="1"/>
  <c r="O1258" i="1"/>
  <c r="P1258" i="1"/>
  <c r="Q1258" i="1"/>
  <c r="N1259" i="1"/>
  <c r="O1259" i="1"/>
  <c r="P1259" i="1"/>
  <c r="Q1259" i="1"/>
  <c r="N1260" i="1"/>
  <c r="O1260" i="1"/>
  <c r="P1260" i="1"/>
  <c r="Q1260" i="1"/>
  <c r="N1261" i="1"/>
  <c r="O1261" i="1"/>
  <c r="P1261" i="1"/>
  <c r="Q1261" i="1"/>
  <c r="N1262" i="1"/>
  <c r="O1262" i="1"/>
  <c r="P1262" i="1"/>
  <c r="Q1262" i="1"/>
  <c r="N1263" i="1"/>
  <c r="O1263" i="1"/>
  <c r="P1263" i="1"/>
  <c r="Q1263" i="1"/>
  <c r="N1264" i="1"/>
  <c r="O1264" i="1"/>
  <c r="P1264" i="1"/>
  <c r="Q1264" i="1"/>
  <c r="N1265" i="1"/>
  <c r="O1265" i="1"/>
  <c r="P1265" i="1"/>
  <c r="Q1265" i="1"/>
  <c r="N1266" i="1"/>
  <c r="O1266" i="1"/>
  <c r="P1266" i="1"/>
  <c r="Q1266" i="1"/>
  <c r="N1267" i="1"/>
  <c r="O1267" i="1"/>
  <c r="P1267" i="1"/>
  <c r="Q1267" i="1"/>
  <c r="N1268" i="1"/>
  <c r="O1268" i="1"/>
  <c r="P1268" i="1"/>
  <c r="Q1268" i="1"/>
  <c r="N1269" i="1"/>
  <c r="O1269" i="1"/>
  <c r="P1269" i="1"/>
  <c r="Q1269" i="1"/>
  <c r="N1270" i="1"/>
  <c r="O1270" i="1"/>
  <c r="P1270" i="1"/>
  <c r="Q1270" i="1"/>
  <c r="N1271" i="1"/>
  <c r="O1271" i="1"/>
  <c r="P1271" i="1"/>
  <c r="Q1271" i="1"/>
  <c r="N1272" i="1"/>
  <c r="O1272" i="1"/>
  <c r="P1272" i="1"/>
  <c r="Q1272" i="1"/>
  <c r="N1273" i="1"/>
  <c r="O1273" i="1"/>
  <c r="P1273" i="1"/>
  <c r="Q1273" i="1"/>
  <c r="N1274" i="1"/>
  <c r="O1274" i="1"/>
  <c r="P1274" i="1"/>
  <c r="Q1274" i="1"/>
  <c r="N1275" i="1"/>
  <c r="O1275" i="1"/>
  <c r="P1275" i="1"/>
  <c r="Q1275" i="1"/>
  <c r="N1276" i="1"/>
  <c r="O1276" i="1"/>
  <c r="P1276" i="1"/>
  <c r="Q1276" i="1"/>
  <c r="N1277" i="1"/>
  <c r="O1277" i="1"/>
  <c r="P1277" i="1"/>
  <c r="Q1277" i="1"/>
  <c r="N1278" i="1"/>
  <c r="O1278" i="1"/>
  <c r="P1278" i="1"/>
  <c r="Q1278" i="1"/>
  <c r="N1279" i="1"/>
  <c r="O1279" i="1"/>
  <c r="P1279" i="1"/>
  <c r="Q1279" i="1"/>
  <c r="N1280" i="1"/>
  <c r="O1280" i="1"/>
  <c r="P1280" i="1"/>
  <c r="Q1280" i="1"/>
  <c r="N1281" i="1"/>
  <c r="O1281" i="1"/>
  <c r="P1281" i="1"/>
  <c r="Q1281" i="1"/>
  <c r="N1282" i="1"/>
  <c r="O1282" i="1"/>
  <c r="P1282" i="1"/>
  <c r="Q1282" i="1"/>
  <c r="N1283" i="1"/>
  <c r="O1283" i="1"/>
  <c r="P1283" i="1"/>
  <c r="Q1283" i="1"/>
  <c r="N1284" i="1"/>
  <c r="O1284" i="1"/>
  <c r="P1284" i="1"/>
  <c r="Q1284" i="1"/>
  <c r="N1285" i="1"/>
  <c r="O1285" i="1"/>
  <c r="P1285" i="1"/>
  <c r="Q1285" i="1"/>
  <c r="N1286" i="1"/>
  <c r="O1286" i="1"/>
  <c r="P1286" i="1"/>
  <c r="Q1286" i="1"/>
  <c r="N1287" i="1"/>
  <c r="O1287" i="1"/>
  <c r="P1287" i="1"/>
  <c r="Q1287" i="1"/>
  <c r="N1288" i="1"/>
  <c r="O1288" i="1"/>
  <c r="P1288" i="1"/>
  <c r="Q1288" i="1"/>
  <c r="N1289" i="1"/>
  <c r="O1289" i="1"/>
  <c r="P1289" i="1"/>
  <c r="Q1289" i="1"/>
  <c r="N1290" i="1"/>
  <c r="O1290" i="1"/>
  <c r="P1290" i="1"/>
  <c r="Q1290" i="1"/>
  <c r="N1291" i="1"/>
  <c r="O1291" i="1"/>
  <c r="P1291" i="1"/>
  <c r="Q1291" i="1"/>
  <c r="N1292" i="1"/>
  <c r="O1292" i="1"/>
  <c r="P1292" i="1"/>
  <c r="Q1292" i="1"/>
  <c r="N1293" i="1"/>
  <c r="O1293" i="1"/>
  <c r="P1293" i="1"/>
  <c r="Q1293" i="1"/>
  <c r="N1294" i="1"/>
  <c r="O1294" i="1"/>
  <c r="P1294" i="1"/>
  <c r="Q1294" i="1"/>
  <c r="N1295" i="1"/>
  <c r="O1295" i="1"/>
  <c r="P1295" i="1"/>
  <c r="Q1295" i="1"/>
  <c r="N1296" i="1"/>
  <c r="O1296" i="1"/>
  <c r="P1296" i="1"/>
  <c r="Q1296" i="1"/>
  <c r="N1297" i="1"/>
  <c r="O1297" i="1"/>
  <c r="P1297" i="1"/>
  <c r="Q1297" i="1"/>
  <c r="N1298" i="1"/>
  <c r="O1298" i="1"/>
  <c r="P1298" i="1"/>
  <c r="Q1298" i="1"/>
  <c r="N1299" i="1"/>
  <c r="O1299" i="1"/>
  <c r="P1299" i="1"/>
  <c r="Q1299" i="1"/>
  <c r="N1300" i="1"/>
  <c r="O1300" i="1"/>
  <c r="P1300" i="1"/>
  <c r="Q1300" i="1"/>
  <c r="N1301" i="1"/>
  <c r="O1301" i="1"/>
  <c r="P1301" i="1"/>
  <c r="Q1301" i="1"/>
  <c r="N1302" i="1"/>
  <c r="O1302" i="1"/>
  <c r="P1302" i="1"/>
  <c r="Q1302" i="1"/>
  <c r="N1303" i="1"/>
  <c r="O1303" i="1"/>
  <c r="P1303" i="1"/>
  <c r="Q1303" i="1"/>
  <c r="N1304" i="1"/>
  <c r="O1304" i="1"/>
  <c r="P1304" i="1"/>
  <c r="Q1304" i="1"/>
  <c r="N1305" i="1"/>
  <c r="O1305" i="1"/>
  <c r="P1305" i="1"/>
  <c r="Q1305" i="1"/>
  <c r="N1306" i="1"/>
  <c r="O1306" i="1"/>
  <c r="P1306" i="1"/>
  <c r="Q1306" i="1"/>
  <c r="N1307" i="1"/>
  <c r="O1307" i="1"/>
  <c r="P1307" i="1"/>
  <c r="Q1307" i="1"/>
  <c r="N1308" i="1"/>
  <c r="O1308" i="1"/>
  <c r="P1308" i="1"/>
  <c r="Q1308" i="1"/>
  <c r="N1309" i="1"/>
  <c r="O1309" i="1"/>
  <c r="P1309" i="1"/>
  <c r="Q1309" i="1"/>
  <c r="N1310" i="1"/>
  <c r="O1310" i="1"/>
  <c r="P1310" i="1"/>
  <c r="Q1310" i="1"/>
  <c r="N1311" i="1"/>
  <c r="O1311" i="1"/>
  <c r="P1311" i="1"/>
  <c r="Q1311" i="1"/>
  <c r="N1312" i="1"/>
  <c r="O1312" i="1"/>
  <c r="P1312" i="1"/>
  <c r="Q1312" i="1"/>
  <c r="N1313" i="1"/>
  <c r="O1313" i="1"/>
  <c r="P1313" i="1"/>
  <c r="Q1313" i="1"/>
  <c r="N1314" i="1"/>
  <c r="O1314" i="1"/>
  <c r="P1314" i="1"/>
  <c r="Q1314" i="1"/>
  <c r="N1315" i="1"/>
  <c r="O1315" i="1"/>
  <c r="P1315" i="1"/>
  <c r="Q1315" i="1"/>
  <c r="N1316" i="1"/>
  <c r="O1316" i="1"/>
  <c r="P1316" i="1"/>
  <c r="Q1316" i="1"/>
  <c r="N1317" i="1"/>
  <c r="O1317" i="1"/>
  <c r="P1317" i="1"/>
  <c r="Q1317" i="1"/>
  <c r="N1318" i="1"/>
  <c r="O1318" i="1"/>
  <c r="P1318" i="1"/>
  <c r="Q1318" i="1"/>
  <c r="N1319" i="1"/>
  <c r="O1319" i="1"/>
  <c r="P1319" i="1"/>
  <c r="Q1319" i="1"/>
  <c r="N1320" i="1"/>
  <c r="O1320" i="1"/>
  <c r="P1320" i="1"/>
  <c r="Q1320" i="1"/>
  <c r="N1321" i="1"/>
  <c r="O1321" i="1"/>
  <c r="P1321" i="1"/>
  <c r="Q1321" i="1"/>
  <c r="N1322" i="1"/>
  <c r="O1322" i="1"/>
  <c r="P1322" i="1"/>
  <c r="Q1322" i="1"/>
  <c r="N1323" i="1"/>
  <c r="O1323" i="1"/>
  <c r="P1323" i="1"/>
  <c r="Q1323" i="1"/>
  <c r="N1324" i="1"/>
  <c r="O1324" i="1"/>
  <c r="P1324" i="1"/>
  <c r="Q1324" i="1"/>
  <c r="N1325" i="1"/>
  <c r="O1325" i="1"/>
  <c r="P1325" i="1"/>
  <c r="Q1325" i="1"/>
  <c r="N1326" i="1"/>
  <c r="O1326" i="1"/>
  <c r="P1326" i="1"/>
  <c r="Q1326" i="1"/>
  <c r="N1327" i="1"/>
  <c r="O1327" i="1"/>
  <c r="P1327" i="1"/>
  <c r="Q1327" i="1"/>
  <c r="N1328" i="1"/>
  <c r="O1328" i="1"/>
  <c r="P1328" i="1"/>
  <c r="Q1328" i="1"/>
  <c r="N1329" i="1"/>
  <c r="O1329" i="1"/>
  <c r="P1329" i="1"/>
  <c r="Q1329" i="1"/>
  <c r="N1330" i="1"/>
  <c r="O1330" i="1"/>
  <c r="P1330" i="1"/>
  <c r="Q1330" i="1"/>
  <c r="N1331" i="1"/>
  <c r="O1331" i="1"/>
  <c r="P1331" i="1"/>
  <c r="Q1331" i="1"/>
  <c r="N1332" i="1"/>
  <c r="O1332" i="1"/>
  <c r="P1332" i="1"/>
  <c r="Q1332" i="1"/>
  <c r="N1333" i="1"/>
  <c r="O1333" i="1"/>
  <c r="P1333" i="1"/>
  <c r="Q1333" i="1"/>
  <c r="N1334" i="1"/>
  <c r="O1334" i="1"/>
  <c r="P1334" i="1"/>
  <c r="Q1334" i="1"/>
  <c r="N1335" i="1"/>
  <c r="O1335" i="1"/>
  <c r="P1335" i="1"/>
  <c r="Q1335" i="1"/>
  <c r="N1336" i="1"/>
  <c r="O1336" i="1"/>
  <c r="P1336" i="1"/>
  <c r="Q1336" i="1"/>
  <c r="N1337" i="1"/>
  <c r="O1337" i="1"/>
  <c r="P1337" i="1"/>
  <c r="Q1337" i="1"/>
  <c r="N1338" i="1"/>
  <c r="O1338" i="1"/>
  <c r="P1338" i="1"/>
  <c r="Q1338" i="1"/>
  <c r="N1339" i="1"/>
  <c r="O1339" i="1"/>
  <c r="P1339" i="1"/>
  <c r="Q1339" i="1"/>
  <c r="N1340" i="1"/>
  <c r="O1340" i="1"/>
  <c r="P1340" i="1"/>
  <c r="Q1340" i="1"/>
  <c r="N1341" i="1"/>
  <c r="O1341" i="1"/>
  <c r="P1341" i="1"/>
  <c r="Q1341" i="1"/>
  <c r="N1342" i="1"/>
  <c r="O1342" i="1"/>
  <c r="P1342" i="1"/>
  <c r="Q1342" i="1"/>
  <c r="N1343" i="1"/>
  <c r="O1343" i="1"/>
  <c r="P1343" i="1"/>
  <c r="Q1343" i="1"/>
  <c r="N1344" i="1"/>
  <c r="O1344" i="1"/>
  <c r="P1344" i="1"/>
  <c r="Q1344" i="1"/>
  <c r="N1345" i="1"/>
  <c r="O1345" i="1"/>
  <c r="P1345" i="1"/>
  <c r="Q1345" i="1"/>
  <c r="N1346" i="1"/>
  <c r="O1346" i="1"/>
  <c r="P1346" i="1"/>
  <c r="Q1346" i="1"/>
  <c r="N1347" i="1"/>
  <c r="O1347" i="1"/>
  <c r="P1347" i="1"/>
  <c r="Q1347" i="1"/>
  <c r="N1348" i="1"/>
  <c r="O1348" i="1"/>
  <c r="P1348" i="1"/>
  <c r="Q1348" i="1"/>
  <c r="N1349" i="1"/>
  <c r="O1349" i="1"/>
  <c r="P1349" i="1"/>
  <c r="Q1349" i="1"/>
  <c r="N1350" i="1"/>
  <c r="O1350" i="1"/>
  <c r="P1350" i="1"/>
  <c r="Q1350" i="1"/>
  <c r="N1351" i="1"/>
  <c r="O1351" i="1"/>
  <c r="P1351" i="1"/>
  <c r="Q1351" i="1"/>
  <c r="N1352" i="1"/>
  <c r="O1352" i="1"/>
  <c r="P1352" i="1"/>
  <c r="Q1352" i="1"/>
  <c r="N1353" i="1"/>
  <c r="O1353" i="1"/>
  <c r="P1353" i="1"/>
  <c r="Q1353" i="1"/>
  <c r="N1354" i="1"/>
  <c r="O1354" i="1"/>
  <c r="P1354" i="1"/>
  <c r="Q1354" i="1"/>
  <c r="N1355" i="1"/>
  <c r="O1355" i="1"/>
  <c r="P1355" i="1"/>
  <c r="Q1355" i="1"/>
  <c r="N1356" i="1"/>
  <c r="O1356" i="1"/>
  <c r="P1356" i="1"/>
  <c r="Q1356" i="1"/>
  <c r="N1357" i="1"/>
  <c r="O1357" i="1"/>
  <c r="P1357" i="1"/>
  <c r="Q1357" i="1"/>
  <c r="N1358" i="1"/>
  <c r="O1358" i="1"/>
  <c r="P1358" i="1"/>
  <c r="Q1358" i="1"/>
  <c r="N1359" i="1"/>
  <c r="O1359" i="1"/>
  <c r="P1359" i="1"/>
  <c r="Q1359" i="1"/>
  <c r="N1360" i="1"/>
  <c r="O1360" i="1"/>
  <c r="P1360" i="1"/>
  <c r="Q1360" i="1"/>
  <c r="N1361" i="1"/>
  <c r="O1361" i="1"/>
  <c r="P1361" i="1"/>
  <c r="Q1361" i="1"/>
  <c r="N1362" i="1"/>
  <c r="O1362" i="1"/>
  <c r="P1362" i="1"/>
  <c r="Q1362" i="1"/>
  <c r="N1363" i="1"/>
  <c r="O1363" i="1"/>
  <c r="P1363" i="1"/>
  <c r="Q1363" i="1"/>
  <c r="N1364" i="1"/>
  <c r="O1364" i="1"/>
  <c r="P1364" i="1"/>
  <c r="Q1364" i="1"/>
  <c r="N1365" i="1"/>
  <c r="O1365" i="1"/>
  <c r="P1365" i="1"/>
  <c r="Q1365" i="1"/>
  <c r="N1366" i="1"/>
  <c r="O1366" i="1"/>
  <c r="P1366" i="1"/>
  <c r="Q1366" i="1"/>
  <c r="N1367" i="1"/>
  <c r="O1367" i="1"/>
  <c r="P1367" i="1"/>
  <c r="Q1367" i="1"/>
  <c r="N1368" i="1"/>
  <c r="O1368" i="1"/>
  <c r="P1368" i="1"/>
  <c r="Q1368" i="1"/>
  <c r="N1369" i="1"/>
  <c r="O1369" i="1"/>
  <c r="P1369" i="1"/>
  <c r="Q1369" i="1"/>
  <c r="N1370" i="1"/>
  <c r="O1370" i="1"/>
  <c r="P1370" i="1"/>
  <c r="Q1370" i="1"/>
  <c r="N1371" i="1"/>
  <c r="O1371" i="1"/>
  <c r="P1371" i="1"/>
  <c r="Q1371" i="1"/>
  <c r="N1372" i="1"/>
  <c r="O1372" i="1"/>
  <c r="P1372" i="1"/>
  <c r="Q1372" i="1"/>
  <c r="N1373" i="1"/>
  <c r="O1373" i="1"/>
  <c r="P1373" i="1"/>
  <c r="Q1373" i="1"/>
  <c r="N1374" i="1"/>
  <c r="O1374" i="1"/>
  <c r="P1374" i="1"/>
  <c r="Q1374" i="1"/>
  <c r="N1375" i="1"/>
  <c r="O1375" i="1"/>
  <c r="P1375" i="1"/>
  <c r="Q1375" i="1"/>
  <c r="N1376" i="1"/>
  <c r="O1376" i="1"/>
  <c r="P1376" i="1"/>
  <c r="Q1376" i="1"/>
  <c r="N1377" i="1"/>
  <c r="O1377" i="1"/>
  <c r="P1377" i="1"/>
  <c r="Q1377" i="1"/>
  <c r="N1378" i="1"/>
  <c r="O1378" i="1"/>
  <c r="P1378" i="1"/>
  <c r="Q1378" i="1"/>
  <c r="N1379" i="1"/>
  <c r="O1379" i="1"/>
  <c r="P1379" i="1"/>
  <c r="Q1379" i="1"/>
  <c r="N1380" i="1"/>
  <c r="O1380" i="1"/>
  <c r="P1380" i="1"/>
  <c r="Q1380" i="1"/>
  <c r="N1381" i="1"/>
  <c r="O1381" i="1"/>
  <c r="P1381" i="1"/>
  <c r="Q1381" i="1"/>
  <c r="N1382" i="1"/>
  <c r="O1382" i="1"/>
  <c r="P1382" i="1"/>
  <c r="Q1382" i="1"/>
  <c r="N1383" i="1"/>
  <c r="O1383" i="1"/>
  <c r="P1383" i="1"/>
  <c r="Q1383" i="1"/>
  <c r="N1384" i="1"/>
  <c r="O1384" i="1"/>
  <c r="P1384" i="1"/>
  <c r="Q1384" i="1"/>
  <c r="N1385" i="1"/>
  <c r="O1385" i="1"/>
  <c r="P1385" i="1"/>
  <c r="Q1385" i="1"/>
  <c r="N1386" i="1"/>
  <c r="O1386" i="1"/>
  <c r="P1386" i="1"/>
  <c r="Q1386" i="1"/>
  <c r="N1387" i="1"/>
  <c r="O1387" i="1"/>
  <c r="P1387" i="1"/>
  <c r="Q1387" i="1"/>
  <c r="N1388" i="1"/>
  <c r="O1388" i="1"/>
  <c r="P1388" i="1"/>
  <c r="Q1388" i="1"/>
  <c r="N1389" i="1"/>
  <c r="O1389" i="1"/>
  <c r="P1389" i="1"/>
  <c r="Q1389" i="1"/>
  <c r="N1390" i="1"/>
  <c r="O1390" i="1"/>
  <c r="P1390" i="1"/>
  <c r="Q1390" i="1"/>
  <c r="N1391" i="1"/>
  <c r="O1391" i="1"/>
  <c r="P1391" i="1"/>
  <c r="Q1391" i="1"/>
  <c r="N1392" i="1"/>
  <c r="O1392" i="1"/>
  <c r="P1392" i="1"/>
  <c r="Q1392" i="1"/>
  <c r="N1393" i="1"/>
  <c r="O1393" i="1"/>
  <c r="P1393" i="1"/>
  <c r="Q1393" i="1"/>
  <c r="N1394" i="1"/>
  <c r="O1394" i="1"/>
  <c r="P1394" i="1"/>
  <c r="Q1394" i="1"/>
  <c r="N1395" i="1"/>
  <c r="O1395" i="1"/>
  <c r="P1395" i="1"/>
  <c r="Q1395" i="1"/>
  <c r="N1396" i="1"/>
  <c r="O1396" i="1"/>
  <c r="P1396" i="1"/>
  <c r="Q1396" i="1"/>
  <c r="N1397" i="1"/>
  <c r="O1397" i="1"/>
  <c r="P1397" i="1"/>
  <c r="Q1397" i="1"/>
  <c r="N1398" i="1"/>
  <c r="O1398" i="1"/>
  <c r="P1398" i="1"/>
  <c r="Q1398" i="1"/>
  <c r="N1399" i="1"/>
  <c r="O1399" i="1"/>
  <c r="P1399" i="1"/>
  <c r="Q1399" i="1"/>
  <c r="N1400" i="1"/>
  <c r="O1400" i="1"/>
  <c r="P1400" i="1"/>
  <c r="Q1400" i="1"/>
  <c r="N1401" i="1"/>
  <c r="O1401" i="1"/>
  <c r="P1401" i="1"/>
  <c r="Q1401" i="1"/>
  <c r="N1402" i="1"/>
  <c r="O1402" i="1"/>
  <c r="P1402" i="1"/>
  <c r="Q1402" i="1"/>
  <c r="N1403" i="1"/>
  <c r="O1403" i="1"/>
  <c r="P1403" i="1"/>
  <c r="Q1403" i="1"/>
  <c r="N1404" i="1"/>
  <c r="O1404" i="1"/>
  <c r="P1404" i="1"/>
  <c r="Q1404" i="1"/>
  <c r="N1405" i="1"/>
  <c r="O1405" i="1"/>
  <c r="P1405" i="1"/>
  <c r="Q1405" i="1"/>
  <c r="N1406" i="1"/>
  <c r="O1406" i="1"/>
  <c r="P1406" i="1"/>
  <c r="Q1406" i="1"/>
  <c r="N1407" i="1"/>
  <c r="O1407" i="1"/>
  <c r="P1407" i="1"/>
  <c r="Q1407" i="1"/>
  <c r="N1408" i="1"/>
  <c r="O1408" i="1"/>
  <c r="P1408" i="1"/>
  <c r="Q1408" i="1"/>
  <c r="N1409" i="1"/>
  <c r="O1409" i="1"/>
  <c r="P1409" i="1"/>
  <c r="Q1409" i="1"/>
  <c r="N1410" i="1"/>
  <c r="O1410" i="1"/>
  <c r="P1410" i="1"/>
  <c r="Q1410" i="1"/>
  <c r="N1411" i="1"/>
  <c r="O1411" i="1"/>
  <c r="P1411" i="1"/>
  <c r="Q1411" i="1"/>
  <c r="N1412" i="1"/>
  <c r="O1412" i="1"/>
  <c r="P1412" i="1"/>
  <c r="Q1412" i="1"/>
  <c r="N1413" i="1"/>
  <c r="O1413" i="1"/>
  <c r="P1413" i="1"/>
  <c r="Q1413" i="1"/>
  <c r="N1414" i="1"/>
  <c r="O1414" i="1"/>
  <c r="P1414" i="1"/>
  <c r="Q1414" i="1"/>
  <c r="N1415" i="1"/>
  <c r="O1415" i="1"/>
  <c r="P1415" i="1"/>
  <c r="Q1415" i="1"/>
  <c r="N1416" i="1"/>
  <c r="O1416" i="1"/>
  <c r="P1416" i="1"/>
  <c r="Q1416" i="1"/>
  <c r="N1417" i="1"/>
  <c r="O1417" i="1"/>
  <c r="P1417" i="1"/>
  <c r="Q1417" i="1"/>
  <c r="N1418" i="1"/>
  <c r="O1418" i="1"/>
  <c r="P1418" i="1"/>
  <c r="Q1418" i="1"/>
  <c r="N1419" i="1"/>
  <c r="O1419" i="1"/>
  <c r="P1419" i="1"/>
  <c r="Q1419" i="1"/>
  <c r="N1420" i="1"/>
  <c r="O1420" i="1"/>
  <c r="P1420" i="1"/>
  <c r="Q1420" i="1"/>
  <c r="N1421" i="1"/>
  <c r="O1421" i="1"/>
  <c r="P1421" i="1"/>
  <c r="Q1421" i="1"/>
  <c r="N1422" i="1"/>
  <c r="O1422" i="1"/>
  <c r="P1422" i="1"/>
  <c r="Q1422" i="1"/>
  <c r="N1423" i="1"/>
  <c r="O1423" i="1"/>
  <c r="P1423" i="1"/>
  <c r="Q1423" i="1"/>
  <c r="N1424" i="1"/>
  <c r="O1424" i="1"/>
  <c r="P1424" i="1"/>
  <c r="Q1424" i="1"/>
  <c r="N1425" i="1"/>
  <c r="O1425" i="1"/>
  <c r="P1425" i="1"/>
  <c r="Q1425" i="1"/>
  <c r="N1426" i="1"/>
  <c r="O1426" i="1"/>
  <c r="P1426" i="1"/>
  <c r="Q1426" i="1"/>
  <c r="N1427" i="1"/>
  <c r="O1427" i="1"/>
  <c r="P1427" i="1"/>
  <c r="Q1427" i="1"/>
  <c r="N1428" i="1"/>
  <c r="O1428" i="1"/>
  <c r="P1428" i="1"/>
  <c r="Q1428" i="1"/>
  <c r="N1429" i="1"/>
  <c r="O1429" i="1"/>
  <c r="P1429" i="1"/>
  <c r="Q1429" i="1"/>
  <c r="N1430" i="1"/>
  <c r="O1430" i="1"/>
  <c r="P1430" i="1"/>
  <c r="Q1430" i="1"/>
  <c r="N1431" i="1"/>
  <c r="O1431" i="1"/>
  <c r="P1431" i="1"/>
  <c r="Q1431" i="1"/>
  <c r="N1432" i="1"/>
  <c r="O1432" i="1"/>
  <c r="P1432" i="1"/>
  <c r="Q1432" i="1"/>
  <c r="N1433" i="1"/>
  <c r="O1433" i="1"/>
  <c r="P1433" i="1"/>
  <c r="Q1433" i="1"/>
  <c r="N1434" i="1"/>
  <c r="O1434" i="1"/>
  <c r="P1434" i="1"/>
  <c r="Q1434" i="1"/>
  <c r="N1435" i="1"/>
  <c r="O1435" i="1"/>
  <c r="P1435" i="1"/>
  <c r="Q1435" i="1"/>
  <c r="N1436" i="1"/>
  <c r="O1436" i="1"/>
  <c r="P1436" i="1"/>
  <c r="Q1436" i="1"/>
  <c r="N1437" i="1"/>
  <c r="O1437" i="1"/>
  <c r="P1437" i="1"/>
  <c r="Q1437" i="1"/>
  <c r="N1438" i="1"/>
  <c r="O1438" i="1"/>
  <c r="P1438" i="1"/>
  <c r="Q1438" i="1"/>
  <c r="N1439" i="1"/>
  <c r="O1439" i="1"/>
  <c r="P1439" i="1"/>
  <c r="Q1439" i="1"/>
  <c r="N1440" i="1"/>
  <c r="O1440" i="1"/>
  <c r="P1440" i="1"/>
  <c r="Q1440" i="1"/>
  <c r="N1441" i="1"/>
  <c r="O1441" i="1"/>
  <c r="P1441" i="1"/>
  <c r="Q1441" i="1"/>
  <c r="N1442" i="1"/>
  <c r="O1442" i="1"/>
  <c r="P1442" i="1"/>
  <c r="Q1442" i="1"/>
  <c r="N1443" i="1"/>
  <c r="O1443" i="1"/>
  <c r="P1443" i="1"/>
  <c r="Q1443" i="1"/>
  <c r="N1444" i="1"/>
  <c r="O1444" i="1"/>
  <c r="P1444" i="1"/>
  <c r="Q1444" i="1"/>
  <c r="N1445" i="1"/>
  <c r="O1445" i="1"/>
  <c r="P1445" i="1"/>
  <c r="Q1445" i="1"/>
  <c r="N1446" i="1"/>
  <c r="O1446" i="1"/>
  <c r="P1446" i="1"/>
  <c r="Q1446" i="1"/>
  <c r="N1447" i="1"/>
  <c r="O1447" i="1"/>
  <c r="P1447" i="1"/>
  <c r="Q1447" i="1"/>
  <c r="N1448" i="1"/>
  <c r="O1448" i="1"/>
  <c r="P1448" i="1"/>
  <c r="Q1448" i="1"/>
  <c r="N1449" i="1"/>
  <c r="O1449" i="1"/>
  <c r="P1449" i="1"/>
  <c r="Q1449" i="1"/>
  <c r="N1450" i="1"/>
  <c r="O1450" i="1"/>
  <c r="P1450" i="1"/>
  <c r="Q1450" i="1"/>
  <c r="N1451" i="1"/>
  <c r="O1451" i="1"/>
  <c r="P1451" i="1"/>
  <c r="Q1451" i="1"/>
  <c r="N1452" i="1"/>
  <c r="O1452" i="1"/>
  <c r="P1452" i="1"/>
  <c r="Q1452" i="1"/>
  <c r="N1453" i="1"/>
  <c r="O1453" i="1"/>
  <c r="P1453" i="1"/>
  <c r="Q1453" i="1"/>
  <c r="N1454" i="1"/>
  <c r="O1454" i="1"/>
  <c r="P1454" i="1"/>
  <c r="Q1454" i="1"/>
  <c r="N1455" i="1"/>
  <c r="O1455" i="1"/>
  <c r="P1455" i="1"/>
  <c r="Q1455" i="1"/>
  <c r="N1456" i="1"/>
  <c r="O1456" i="1"/>
  <c r="P1456" i="1"/>
  <c r="Q1456" i="1"/>
  <c r="N1457" i="1"/>
  <c r="O1457" i="1"/>
  <c r="P1457" i="1"/>
  <c r="Q1457" i="1"/>
  <c r="N1458" i="1"/>
  <c r="O1458" i="1"/>
  <c r="P1458" i="1"/>
  <c r="Q1458" i="1"/>
  <c r="N1459" i="1"/>
  <c r="O1459" i="1"/>
  <c r="P1459" i="1"/>
  <c r="Q1459" i="1"/>
  <c r="N1460" i="1"/>
  <c r="O1460" i="1"/>
  <c r="P1460" i="1"/>
  <c r="Q1460" i="1"/>
  <c r="N1461" i="1"/>
  <c r="O1461" i="1"/>
  <c r="P1461" i="1"/>
  <c r="Q1461" i="1"/>
  <c r="N1462" i="1"/>
  <c r="O1462" i="1"/>
  <c r="P1462" i="1"/>
  <c r="Q1462" i="1"/>
  <c r="N1463" i="1"/>
  <c r="O1463" i="1"/>
  <c r="P1463" i="1"/>
  <c r="Q1463" i="1"/>
  <c r="N1464" i="1"/>
  <c r="O1464" i="1"/>
  <c r="P1464" i="1"/>
  <c r="Q1464" i="1"/>
  <c r="N1465" i="1"/>
  <c r="O1465" i="1"/>
  <c r="P1465" i="1"/>
  <c r="Q1465" i="1"/>
  <c r="N1466" i="1"/>
  <c r="O1466" i="1"/>
  <c r="P1466" i="1"/>
  <c r="Q1466" i="1"/>
  <c r="N1467" i="1"/>
  <c r="O1467" i="1"/>
  <c r="P1467" i="1"/>
  <c r="Q1467" i="1"/>
  <c r="N1468" i="1"/>
  <c r="O1468" i="1"/>
  <c r="P1468" i="1"/>
  <c r="Q1468" i="1"/>
  <c r="N1469" i="1"/>
  <c r="O1469" i="1"/>
  <c r="P1469" i="1"/>
  <c r="Q1469" i="1"/>
  <c r="N1470" i="1"/>
  <c r="O1470" i="1"/>
  <c r="P1470" i="1"/>
  <c r="Q1470" i="1"/>
  <c r="N1471" i="1"/>
  <c r="O1471" i="1"/>
  <c r="P1471" i="1"/>
  <c r="Q1471" i="1"/>
  <c r="N1472" i="1"/>
  <c r="O1472" i="1"/>
  <c r="P1472" i="1"/>
  <c r="Q1472" i="1"/>
  <c r="N1473" i="1"/>
  <c r="O1473" i="1"/>
  <c r="P1473" i="1"/>
  <c r="Q1473" i="1"/>
  <c r="N1474" i="1"/>
  <c r="O1474" i="1"/>
  <c r="P1474" i="1"/>
  <c r="Q1474" i="1"/>
  <c r="N1475" i="1"/>
  <c r="O1475" i="1"/>
  <c r="P1475" i="1"/>
  <c r="Q1475" i="1"/>
  <c r="N1476" i="1"/>
  <c r="O1476" i="1"/>
  <c r="P1476" i="1"/>
  <c r="Q1476" i="1"/>
  <c r="N1477" i="1"/>
  <c r="O1477" i="1"/>
  <c r="P1477" i="1"/>
  <c r="Q1477" i="1"/>
  <c r="N1478" i="1"/>
  <c r="O1478" i="1"/>
  <c r="P1478" i="1"/>
  <c r="Q1478" i="1"/>
  <c r="N1479" i="1"/>
  <c r="O1479" i="1"/>
  <c r="P1479" i="1"/>
  <c r="Q1479" i="1"/>
  <c r="N1480" i="1"/>
  <c r="O1480" i="1"/>
  <c r="P1480" i="1"/>
  <c r="Q1480" i="1"/>
  <c r="N1481" i="1"/>
  <c r="O1481" i="1"/>
  <c r="P1481" i="1"/>
  <c r="Q1481" i="1"/>
  <c r="N1482" i="1"/>
  <c r="O1482" i="1"/>
  <c r="P1482" i="1"/>
  <c r="Q1482" i="1"/>
  <c r="N1483" i="1"/>
  <c r="O1483" i="1"/>
  <c r="P1483" i="1"/>
  <c r="Q1483" i="1"/>
  <c r="N1484" i="1"/>
  <c r="O1484" i="1"/>
  <c r="P1484" i="1"/>
  <c r="Q1484" i="1"/>
  <c r="N1485" i="1"/>
  <c r="O1485" i="1"/>
  <c r="P1485" i="1"/>
  <c r="Q1485" i="1"/>
  <c r="N1486" i="1"/>
  <c r="O1486" i="1"/>
  <c r="P1486" i="1"/>
  <c r="Q1486" i="1"/>
  <c r="N1487" i="1"/>
  <c r="O1487" i="1"/>
  <c r="P1487" i="1"/>
  <c r="Q1487" i="1"/>
  <c r="N1488" i="1"/>
  <c r="O1488" i="1"/>
  <c r="P1488" i="1"/>
  <c r="Q1488" i="1"/>
  <c r="N1489" i="1"/>
  <c r="O1489" i="1"/>
  <c r="P1489" i="1"/>
  <c r="Q1489" i="1"/>
  <c r="N1490" i="1"/>
  <c r="O1490" i="1"/>
  <c r="P1490" i="1"/>
  <c r="Q1490" i="1"/>
  <c r="N1491" i="1"/>
  <c r="O1491" i="1"/>
  <c r="P1491" i="1"/>
  <c r="Q1491" i="1"/>
  <c r="N1492" i="1"/>
  <c r="O1492" i="1"/>
  <c r="P1492" i="1"/>
  <c r="Q1492" i="1"/>
  <c r="N1493" i="1"/>
  <c r="O1493" i="1"/>
  <c r="P1493" i="1"/>
  <c r="Q1493" i="1"/>
  <c r="N1494" i="1"/>
  <c r="O1494" i="1"/>
  <c r="P1494" i="1"/>
  <c r="Q1494" i="1"/>
  <c r="N1495" i="1"/>
  <c r="O1495" i="1"/>
  <c r="P1495" i="1"/>
  <c r="Q1495" i="1"/>
  <c r="N1496" i="1"/>
  <c r="O1496" i="1"/>
  <c r="P1496" i="1"/>
  <c r="Q1496" i="1"/>
  <c r="N1497" i="1"/>
  <c r="O1497" i="1"/>
  <c r="P1497" i="1"/>
  <c r="Q1497" i="1"/>
  <c r="N1498" i="1"/>
  <c r="O1498" i="1"/>
  <c r="P1498" i="1"/>
  <c r="Q1498" i="1"/>
  <c r="N1499" i="1"/>
  <c r="O1499" i="1"/>
  <c r="P1499" i="1"/>
  <c r="Q1499" i="1"/>
  <c r="N1500" i="1"/>
  <c r="O1500" i="1"/>
  <c r="P1500" i="1"/>
  <c r="Q1500" i="1"/>
  <c r="N1501" i="1"/>
  <c r="O1501" i="1"/>
  <c r="P1501" i="1"/>
  <c r="Q1501" i="1"/>
  <c r="N1502" i="1"/>
  <c r="O1502" i="1"/>
  <c r="P1502" i="1"/>
  <c r="Q1502" i="1"/>
  <c r="N1503" i="1"/>
  <c r="O1503" i="1"/>
  <c r="P1503" i="1"/>
  <c r="Q1503" i="1"/>
  <c r="N1504" i="1"/>
  <c r="O1504" i="1"/>
  <c r="P1504" i="1"/>
  <c r="Q1504" i="1"/>
  <c r="N1505" i="1"/>
  <c r="O1505" i="1"/>
  <c r="P1505" i="1"/>
  <c r="Q1505" i="1"/>
  <c r="N1506" i="1"/>
  <c r="O1506" i="1"/>
  <c r="P1506" i="1"/>
  <c r="Q1506" i="1"/>
  <c r="N1507" i="1"/>
  <c r="O1507" i="1"/>
  <c r="P1507" i="1"/>
  <c r="Q1507" i="1"/>
  <c r="N1508" i="1"/>
  <c r="O1508" i="1"/>
  <c r="P1508" i="1"/>
  <c r="Q1508" i="1"/>
  <c r="N1509" i="1"/>
  <c r="O1509" i="1"/>
  <c r="P1509" i="1"/>
  <c r="Q1509" i="1"/>
  <c r="N1510" i="1"/>
  <c r="O1510" i="1"/>
  <c r="P1510" i="1"/>
  <c r="Q1510" i="1"/>
  <c r="N1511" i="1"/>
  <c r="O1511" i="1"/>
  <c r="P1511" i="1"/>
  <c r="Q1511" i="1"/>
  <c r="N1512" i="1"/>
  <c r="O1512" i="1"/>
  <c r="P1512" i="1"/>
  <c r="Q1512" i="1"/>
  <c r="N1513" i="1"/>
  <c r="O1513" i="1"/>
  <c r="P1513" i="1"/>
  <c r="Q1513" i="1"/>
  <c r="N1514" i="1"/>
  <c r="O1514" i="1"/>
  <c r="P1514" i="1"/>
  <c r="Q1514" i="1"/>
  <c r="N1515" i="1"/>
  <c r="O1515" i="1"/>
  <c r="P1515" i="1"/>
  <c r="Q1515" i="1"/>
  <c r="N1516" i="1"/>
  <c r="O1516" i="1"/>
  <c r="P1516" i="1"/>
  <c r="Q1516" i="1"/>
  <c r="N1517" i="1"/>
  <c r="O1517" i="1"/>
  <c r="P1517" i="1"/>
  <c r="Q1517" i="1"/>
  <c r="N1518" i="1"/>
  <c r="O1518" i="1"/>
  <c r="P1518" i="1"/>
  <c r="Q1518" i="1"/>
  <c r="N1519" i="1"/>
  <c r="O1519" i="1"/>
  <c r="P1519" i="1"/>
  <c r="Q1519" i="1"/>
  <c r="N1520" i="1"/>
  <c r="O1520" i="1"/>
  <c r="P1520" i="1"/>
  <c r="Q1520" i="1"/>
  <c r="N1521" i="1"/>
  <c r="O1521" i="1"/>
  <c r="P1521" i="1"/>
  <c r="Q1521" i="1"/>
  <c r="N1522" i="1"/>
  <c r="O1522" i="1"/>
  <c r="P1522" i="1"/>
  <c r="Q1522" i="1"/>
  <c r="N1523" i="1"/>
  <c r="O1523" i="1"/>
  <c r="P1523" i="1"/>
  <c r="Q1523" i="1"/>
  <c r="N1524" i="1"/>
  <c r="O1524" i="1"/>
  <c r="P1524" i="1"/>
  <c r="Q1524" i="1"/>
  <c r="N1525" i="1"/>
  <c r="O1525" i="1"/>
  <c r="P1525" i="1"/>
  <c r="Q1525" i="1"/>
  <c r="N1526" i="1"/>
  <c r="O1526" i="1"/>
  <c r="P1526" i="1"/>
  <c r="Q1526" i="1"/>
  <c r="N1527" i="1"/>
  <c r="O1527" i="1"/>
  <c r="P1527" i="1"/>
  <c r="Q1527" i="1"/>
  <c r="N1528" i="1"/>
  <c r="O1528" i="1"/>
  <c r="P1528" i="1"/>
  <c r="Q1528" i="1"/>
  <c r="N1529" i="1"/>
  <c r="O1529" i="1"/>
  <c r="P1529" i="1"/>
  <c r="Q1529" i="1"/>
  <c r="N1530" i="1"/>
  <c r="O1530" i="1"/>
  <c r="P1530" i="1"/>
  <c r="Q1530" i="1"/>
  <c r="N1531" i="1"/>
  <c r="O1531" i="1"/>
  <c r="P1531" i="1"/>
  <c r="Q1531" i="1"/>
  <c r="N1532" i="1"/>
  <c r="O1532" i="1"/>
  <c r="P1532" i="1"/>
  <c r="Q1532" i="1"/>
  <c r="N1533" i="1"/>
  <c r="O1533" i="1"/>
  <c r="P1533" i="1"/>
  <c r="Q1533" i="1"/>
  <c r="N1534" i="1"/>
  <c r="O1534" i="1"/>
  <c r="P1534" i="1"/>
  <c r="Q1534" i="1"/>
  <c r="N1535" i="1"/>
  <c r="O1535" i="1"/>
  <c r="P1535" i="1"/>
  <c r="Q1535" i="1"/>
  <c r="N1536" i="1"/>
  <c r="O1536" i="1"/>
  <c r="P1536" i="1"/>
  <c r="Q1536" i="1"/>
  <c r="N1537" i="1"/>
  <c r="O1537" i="1"/>
  <c r="P1537" i="1"/>
  <c r="Q1537" i="1"/>
  <c r="N1538" i="1"/>
  <c r="O1538" i="1"/>
  <c r="P1538" i="1"/>
  <c r="Q1538" i="1"/>
  <c r="N1539" i="1"/>
  <c r="O1539" i="1"/>
  <c r="P1539" i="1"/>
  <c r="Q1539" i="1"/>
  <c r="N1540" i="1"/>
  <c r="O1540" i="1"/>
  <c r="P1540" i="1"/>
  <c r="Q1540" i="1"/>
  <c r="N1541" i="1"/>
  <c r="O1541" i="1"/>
  <c r="P1541" i="1"/>
  <c r="Q1541" i="1"/>
  <c r="N1542" i="1"/>
  <c r="O1542" i="1"/>
  <c r="P1542" i="1"/>
  <c r="Q1542" i="1"/>
  <c r="N1543" i="1"/>
  <c r="O1543" i="1"/>
  <c r="P1543" i="1"/>
  <c r="Q1543" i="1"/>
  <c r="N1544" i="1"/>
  <c r="O1544" i="1"/>
  <c r="P1544" i="1"/>
  <c r="Q1544" i="1"/>
  <c r="N1545" i="1"/>
  <c r="O1545" i="1"/>
  <c r="P1545" i="1"/>
  <c r="Q1545" i="1"/>
  <c r="N1546" i="1"/>
  <c r="O1546" i="1"/>
  <c r="P1546" i="1"/>
  <c r="Q1546" i="1"/>
  <c r="N1547" i="1"/>
  <c r="O1547" i="1"/>
  <c r="P1547" i="1"/>
  <c r="Q1547" i="1"/>
  <c r="N1548" i="1"/>
  <c r="O1548" i="1"/>
  <c r="P1548" i="1"/>
  <c r="Q1548" i="1"/>
  <c r="N1549" i="1"/>
  <c r="O1549" i="1"/>
  <c r="P1549" i="1"/>
  <c r="Q1549" i="1"/>
  <c r="N1550" i="1"/>
  <c r="O1550" i="1"/>
  <c r="P1550" i="1"/>
  <c r="Q1550" i="1"/>
  <c r="N1551" i="1"/>
  <c r="O1551" i="1"/>
  <c r="P1551" i="1"/>
  <c r="Q1551" i="1"/>
  <c r="N1552" i="1"/>
  <c r="O1552" i="1"/>
  <c r="P1552" i="1"/>
  <c r="Q1552" i="1"/>
  <c r="N1553" i="1"/>
  <c r="O1553" i="1"/>
  <c r="P1553" i="1"/>
  <c r="Q1553" i="1"/>
  <c r="N1554" i="1"/>
  <c r="O1554" i="1"/>
  <c r="P1554" i="1"/>
  <c r="Q1554" i="1"/>
  <c r="N1555" i="1"/>
  <c r="O1555" i="1"/>
  <c r="P1555" i="1"/>
  <c r="Q1555" i="1"/>
  <c r="N1556" i="1"/>
  <c r="O1556" i="1"/>
  <c r="P1556" i="1"/>
  <c r="Q1556" i="1"/>
  <c r="N1557" i="1"/>
  <c r="O1557" i="1"/>
  <c r="P1557" i="1"/>
  <c r="Q1557" i="1"/>
  <c r="N1558" i="1"/>
  <c r="O1558" i="1"/>
  <c r="P1558" i="1"/>
  <c r="Q1558" i="1"/>
  <c r="N1559" i="1"/>
  <c r="O1559" i="1"/>
  <c r="P1559" i="1"/>
  <c r="Q1559" i="1"/>
  <c r="N1560" i="1"/>
  <c r="O1560" i="1"/>
  <c r="P1560" i="1"/>
  <c r="Q1560" i="1"/>
  <c r="N1561" i="1"/>
  <c r="O1561" i="1"/>
  <c r="P1561" i="1"/>
  <c r="Q1561" i="1"/>
  <c r="N1562" i="1"/>
  <c r="O1562" i="1"/>
  <c r="P1562" i="1"/>
  <c r="Q1562" i="1"/>
  <c r="N1563" i="1"/>
  <c r="O1563" i="1"/>
  <c r="P1563" i="1"/>
  <c r="Q1563" i="1"/>
  <c r="N1564" i="1"/>
  <c r="O1564" i="1"/>
  <c r="P1564" i="1"/>
  <c r="Q1564" i="1"/>
  <c r="N1565" i="1"/>
  <c r="O1565" i="1"/>
  <c r="P1565" i="1"/>
  <c r="Q1565" i="1"/>
  <c r="N1566" i="1"/>
  <c r="O1566" i="1"/>
  <c r="P1566" i="1"/>
  <c r="Q1566" i="1"/>
  <c r="N1567" i="1"/>
  <c r="O1567" i="1"/>
  <c r="P1567" i="1"/>
  <c r="Q1567" i="1"/>
  <c r="N1568" i="1"/>
  <c r="O1568" i="1"/>
  <c r="P1568" i="1"/>
  <c r="Q1568" i="1"/>
  <c r="N1569" i="1"/>
  <c r="O1569" i="1"/>
  <c r="P1569" i="1"/>
  <c r="Q1569" i="1"/>
  <c r="N1570" i="1"/>
  <c r="O1570" i="1"/>
  <c r="P1570" i="1"/>
  <c r="Q1570" i="1"/>
  <c r="N1571" i="1"/>
  <c r="O1571" i="1"/>
  <c r="P1571" i="1"/>
  <c r="Q1571" i="1"/>
  <c r="N1572" i="1"/>
  <c r="O1572" i="1"/>
  <c r="P1572" i="1"/>
  <c r="Q1572" i="1"/>
  <c r="N1573" i="1"/>
  <c r="O1573" i="1"/>
  <c r="P1573" i="1"/>
  <c r="Q1573" i="1"/>
  <c r="N1574" i="1"/>
  <c r="O1574" i="1"/>
  <c r="P1574" i="1"/>
  <c r="Q1574" i="1"/>
  <c r="N1575" i="1"/>
  <c r="O1575" i="1"/>
  <c r="P1575" i="1"/>
  <c r="Q1575" i="1"/>
  <c r="N1576" i="1"/>
  <c r="O1576" i="1"/>
  <c r="P1576" i="1"/>
  <c r="Q1576" i="1"/>
  <c r="N1577" i="1"/>
  <c r="O1577" i="1"/>
  <c r="P1577" i="1"/>
  <c r="Q1577" i="1"/>
  <c r="N1578" i="1"/>
  <c r="O1578" i="1"/>
  <c r="P1578" i="1"/>
  <c r="Q1578" i="1"/>
  <c r="N1579" i="1"/>
  <c r="O1579" i="1"/>
  <c r="P1579" i="1"/>
  <c r="Q1579" i="1"/>
  <c r="N1580" i="1"/>
  <c r="O1580" i="1"/>
  <c r="P1580" i="1"/>
  <c r="Q1580" i="1"/>
  <c r="N1581" i="1"/>
  <c r="O1581" i="1"/>
  <c r="P1581" i="1"/>
  <c r="Q1581" i="1"/>
  <c r="N1582" i="1"/>
  <c r="O1582" i="1"/>
  <c r="P1582" i="1"/>
  <c r="Q1582" i="1"/>
  <c r="N1583" i="1"/>
  <c r="O1583" i="1"/>
  <c r="P1583" i="1"/>
  <c r="Q1583" i="1"/>
  <c r="N1584" i="1"/>
  <c r="O1584" i="1"/>
  <c r="P1584" i="1"/>
  <c r="Q1584" i="1"/>
  <c r="N1585" i="1"/>
  <c r="O1585" i="1"/>
  <c r="P1585" i="1"/>
  <c r="Q1585" i="1"/>
  <c r="N1586" i="1"/>
  <c r="O1586" i="1"/>
  <c r="P1586" i="1"/>
  <c r="Q1586" i="1"/>
  <c r="N1587" i="1"/>
  <c r="O1587" i="1"/>
  <c r="P1587" i="1"/>
  <c r="Q1587" i="1"/>
  <c r="N1588" i="1"/>
  <c r="O1588" i="1"/>
  <c r="P1588" i="1"/>
  <c r="Q1588" i="1"/>
  <c r="N1589" i="1"/>
  <c r="O1589" i="1"/>
  <c r="P1589" i="1"/>
  <c r="Q1589" i="1"/>
  <c r="N1590" i="1"/>
  <c r="O1590" i="1"/>
  <c r="P1590" i="1"/>
  <c r="Q1590" i="1"/>
  <c r="N1591" i="1"/>
  <c r="O1591" i="1"/>
  <c r="P1591" i="1"/>
  <c r="Q1591" i="1"/>
  <c r="N1592" i="1"/>
  <c r="O1592" i="1"/>
  <c r="P1592" i="1"/>
  <c r="Q1592" i="1"/>
  <c r="N1593" i="1"/>
  <c r="O1593" i="1"/>
  <c r="P1593" i="1"/>
  <c r="Q1593" i="1"/>
  <c r="N1594" i="1"/>
  <c r="O1594" i="1"/>
  <c r="P1594" i="1"/>
  <c r="Q1594" i="1"/>
  <c r="N1595" i="1"/>
  <c r="O1595" i="1"/>
  <c r="P1595" i="1"/>
  <c r="Q1595" i="1"/>
  <c r="N1596" i="1"/>
  <c r="O1596" i="1"/>
  <c r="P1596" i="1"/>
  <c r="Q1596" i="1"/>
  <c r="N1597" i="1"/>
  <c r="O1597" i="1"/>
  <c r="P1597" i="1"/>
  <c r="Q1597" i="1"/>
  <c r="N1598" i="1"/>
  <c r="O1598" i="1"/>
  <c r="P1598" i="1"/>
  <c r="Q1598" i="1"/>
  <c r="N1599" i="1"/>
  <c r="O1599" i="1"/>
  <c r="P1599" i="1"/>
  <c r="Q1599" i="1"/>
  <c r="N1600" i="1"/>
  <c r="O1600" i="1"/>
  <c r="P1600" i="1"/>
  <c r="Q1600" i="1"/>
  <c r="N1601" i="1"/>
  <c r="O1601" i="1"/>
  <c r="P1601" i="1"/>
  <c r="Q1601" i="1"/>
  <c r="N1602" i="1"/>
  <c r="O1602" i="1"/>
  <c r="P1602" i="1"/>
  <c r="Q1602" i="1"/>
  <c r="N1603" i="1"/>
  <c r="O1603" i="1"/>
  <c r="P1603" i="1"/>
  <c r="Q1603" i="1"/>
  <c r="N1604" i="1"/>
  <c r="O1604" i="1"/>
  <c r="P1604" i="1"/>
  <c r="Q1604" i="1"/>
  <c r="N1605" i="1"/>
  <c r="O1605" i="1"/>
  <c r="P1605" i="1"/>
  <c r="Q1605" i="1"/>
  <c r="N1606" i="1"/>
  <c r="O1606" i="1"/>
  <c r="P1606" i="1"/>
  <c r="Q1606" i="1"/>
  <c r="N1607" i="1"/>
  <c r="O1607" i="1"/>
  <c r="P1607" i="1"/>
  <c r="Q1607" i="1"/>
  <c r="N1608" i="1"/>
  <c r="O1608" i="1"/>
  <c r="P1608" i="1"/>
  <c r="Q1608" i="1"/>
  <c r="N1609" i="1"/>
  <c r="O1609" i="1"/>
  <c r="P1609" i="1"/>
  <c r="Q1609" i="1"/>
  <c r="N1610" i="1"/>
  <c r="O1610" i="1"/>
  <c r="P1610" i="1"/>
  <c r="Q1610" i="1"/>
  <c r="N1611" i="1"/>
  <c r="O1611" i="1"/>
  <c r="P1611" i="1"/>
  <c r="Q1611" i="1"/>
  <c r="N1612" i="1"/>
  <c r="O1612" i="1"/>
  <c r="P1612" i="1"/>
  <c r="Q1612" i="1"/>
  <c r="N1613" i="1"/>
  <c r="O1613" i="1"/>
  <c r="P1613" i="1"/>
  <c r="Q1613" i="1"/>
  <c r="N1614" i="1"/>
  <c r="O1614" i="1"/>
  <c r="P1614" i="1"/>
  <c r="Q1614" i="1"/>
  <c r="N1615" i="1"/>
  <c r="O1615" i="1"/>
  <c r="P1615" i="1"/>
  <c r="Q1615" i="1"/>
  <c r="N1616" i="1"/>
  <c r="O1616" i="1"/>
  <c r="P1616" i="1"/>
  <c r="Q1616" i="1"/>
  <c r="N1617" i="1"/>
  <c r="O1617" i="1"/>
  <c r="P1617" i="1"/>
  <c r="Q1617" i="1"/>
  <c r="N1618" i="1"/>
  <c r="O1618" i="1"/>
  <c r="P1618" i="1"/>
  <c r="Q1618" i="1"/>
  <c r="N1619" i="1"/>
  <c r="O1619" i="1"/>
  <c r="P1619" i="1"/>
  <c r="Q1619" i="1"/>
  <c r="N1620" i="1"/>
  <c r="O1620" i="1"/>
  <c r="P1620" i="1"/>
  <c r="Q1620" i="1"/>
  <c r="N1621" i="1"/>
  <c r="O1621" i="1"/>
  <c r="P1621" i="1"/>
  <c r="Q1621" i="1"/>
  <c r="N1622" i="1"/>
  <c r="O1622" i="1"/>
  <c r="P1622" i="1"/>
  <c r="Q1622" i="1"/>
  <c r="N1623" i="1"/>
  <c r="O1623" i="1"/>
  <c r="P1623" i="1"/>
  <c r="Q1623" i="1"/>
  <c r="N1624" i="1"/>
  <c r="O1624" i="1"/>
  <c r="P1624" i="1"/>
  <c r="Q1624" i="1"/>
  <c r="N1625" i="1"/>
  <c r="O1625" i="1"/>
  <c r="P1625" i="1"/>
  <c r="Q1625" i="1"/>
  <c r="N1626" i="1"/>
  <c r="O1626" i="1"/>
  <c r="P1626" i="1"/>
  <c r="Q1626" i="1"/>
  <c r="N1627" i="1"/>
  <c r="O1627" i="1"/>
  <c r="P1627" i="1"/>
  <c r="Q1627" i="1"/>
  <c r="N1628" i="1"/>
  <c r="O1628" i="1"/>
  <c r="P1628" i="1"/>
  <c r="Q1628" i="1"/>
  <c r="N1629" i="1"/>
  <c r="O1629" i="1"/>
  <c r="P1629" i="1"/>
  <c r="Q1629" i="1"/>
  <c r="N1630" i="1"/>
  <c r="O1630" i="1"/>
  <c r="P1630" i="1"/>
  <c r="Q1630" i="1"/>
  <c r="N1631" i="1"/>
  <c r="O1631" i="1"/>
  <c r="P1631" i="1"/>
  <c r="Q1631" i="1"/>
  <c r="N1632" i="1"/>
  <c r="O1632" i="1"/>
  <c r="P1632" i="1"/>
  <c r="Q1632" i="1"/>
  <c r="N1633" i="1"/>
  <c r="O1633" i="1"/>
  <c r="P1633" i="1"/>
  <c r="Q1633" i="1"/>
  <c r="N1634" i="1"/>
  <c r="O1634" i="1"/>
  <c r="P1634" i="1"/>
  <c r="Q1634" i="1"/>
  <c r="N1635" i="1"/>
  <c r="O1635" i="1"/>
  <c r="P1635" i="1"/>
  <c r="Q1635" i="1"/>
  <c r="N1636" i="1"/>
  <c r="O1636" i="1"/>
  <c r="P1636" i="1"/>
  <c r="Q1636" i="1"/>
  <c r="N1637" i="1"/>
  <c r="O1637" i="1"/>
  <c r="P1637" i="1"/>
  <c r="Q1637" i="1"/>
  <c r="N1638" i="1"/>
  <c r="O1638" i="1"/>
  <c r="P1638" i="1"/>
  <c r="Q1638" i="1"/>
  <c r="N1639" i="1"/>
  <c r="O1639" i="1"/>
  <c r="P1639" i="1"/>
  <c r="Q1639" i="1"/>
  <c r="N1640" i="1"/>
  <c r="O1640" i="1"/>
  <c r="P1640" i="1"/>
  <c r="Q1640" i="1"/>
  <c r="N1641" i="1"/>
  <c r="O1641" i="1"/>
  <c r="P1641" i="1"/>
  <c r="Q1641" i="1"/>
  <c r="N1642" i="1"/>
  <c r="O1642" i="1"/>
  <c r="P1642" i="1"/>
  <c r="Q1642" i="1"/>
  <c r="N1643" i="1"/>
  <c r="O1643" i="1"/>
  <c r="P1643" i="1"/>
  <c r="Q1643" i="1"/>
  <c r="N1644" i="1"/>
  <c r="O1644" i="1"/>
  <c r="P1644" i="1"/>
  <c r="Q1644" i="1"/>
  <c r="N1645" i="1"/>
  <c r="O1645" i="1"/>
  <c r="P1645" i="1"/>
  <c r="Q1645" i="1"/>
  <c r="N1646" i="1"/>
  <c r="O1646" i="1"/>
  <c r="P1646" i="1"/>
  <c r="Q1646" i="1"/>
  <c r="N1647" i="1"/>
  <c r="O1647" i="1"/>
  <c r="P1647" i="1"/>
  <c r="Q1647" i="1"/>
  <c r="N1648" i="1"/>
  <c r="O1648" i="1"/>
  <c r="P1648" i="1"/>
  <c r="Q1648" i="1"/>
  <c r="N1649" i="1"/>
  <c r="O1649" i="1"/>
  <c r="P1649" i="1"/>
  <c r="Q1649" i="1"/>
  <c r="N1650" i="1"/>
  <c r="O1650" i="1"/>
  <c r="P1650" i="1"/>
  <c r="Q1650" i="1"/>
  <c r="N1651" i="1"/>
  <c r="O1651" i="1"/>
  <c r="P1651" i="1"/>
  <c r="Q1651" i="1"/>
  <c r="N1652" i="1"/>
  <c r="O1652" i="1"/>
  <c r="P1652" i="1"/>
  <c r="Q1652" i="1"/>
  <c r="N1653" i="1"/>
  <c r="O1653" i="1"/>
  <c r="P1653" i="1"/>
  <c r="Q1653" i="1"/>
  <c r="N1654" i="1"/>
  <c r="O1654" i="1"/>
  <c r="P1654" i="1"/>
  <c r="Q1654" i="1"/>
  <c r="N1655" i="1"/>
  <c r="O1655" i="1"/>
  <c r="P1655" i="1"/>
  <c r="Q1655" i="1"/>
  <c r="N1656" i="1"/>
  <c r="O1656" i="1"/>
  <c r="P1656" i="1"/>
  <c r="Q1656" i="1"/>
  <c r="N1657" i="1"/>
  <c r="O1657" i="1"/>
  <c r="P1657" i="1"/>
  <c r="Q1657" i="1"/>
  <c r="N1658" i="1"/>
  <c r="O1658" i="1"/>
  <c r="P1658" i="1"/>
  <c r="Q1658" i="1"/>
  <c r="N1659" i="1"/>
  <c r="O1659" i="1"/>
  <c r="P1659" i="1"/>
  <c r="Q1659" i="1"/>
  <c r="N1660" i="1"/>
  <c r="O1660" i="1"/>
  <c r="P1660" i="1"/>
  <c r="Q1660" i="1"/>
  <c r="N1661" i="1"/>
  <c r="O1661" i="1"/>
  <c r="P1661" i="1"/>
  <c r="Q1661" i="1"/>
  <c r="N1662" i="1"/>
  <c r="O1662" i="1"/>
  <c r="P1662" i="1"/>
  <c r="Q1662" i="1"/>
  <c r="N1663" i="1"/>
  <c r="O1663" i="1"/>
  <c r="P1663" i="1"/>
  <c r="Q1663" i="1"/>
  <c r="N1664" i="1"/>
  <c r="O1664" i="1"/>
  <c r="P1664" i="1"/>
  <c r="Q1664" i="1"/>
  <c r="N1665" i="1"/>
  <c r="O1665" i="1"/>
  <c r="P1665" i="1"/>
  <c r="Q1665" i="1"/>
  <c r="N1666" i="1"/>
  <c r="O1666" i="1"/>
  <c r="P1666" i="1"/>
  <c r="Q1666" i="1"/>
  <c r="N1667" i="1"/>
  <c r="O1667" i="1"/>
  <c r="P1667" i="1"/>
  <c r="Q1667" i="1"/>
  <c r="N1668" i="1"/>
  <c r="O1668" i="1"/>
  <c r="P1668" i="1"/>
  <c r="Q1668" i="1"/>
  <c r="N1669" i="1"/>
  <c r="O1669" i="1"/>
  <c r="P1669" i="1"/>
  <c r="Q1669" i="1"/>
  <c r="N1670" i="1"/>
  <c r="O1670" i="1"/>
  <c r="P1670" i="1"/>
  <c r="Q1670" i="1"/>
  <c r="N1671" i="1"/>
  <c r="O1671" i="1"/>
  <c r="P1671" i="1"/>
  <c r="Q1671" i="1"/>
  <c r="N1672" i="1"/>
  <c r="O1672" i="1"/>
  <c r="P1672" i="1"/>
  <c r="Q1672" i="1"/>
  <c r="N1673" i="1"/>
  <c r="O1673" i="1"/>
  <c r="P1673" i="1"/>
  <c r="Q1673" i="1"/>
  <c r="N1674" i="1"/>
  <c r="O1674" i="1"/>
  <c r="P1674" i="1"/>
  <c r="Q1674" i="1"/>
  <c r="N1675" i="1"/>
  <c r="O1675" i="1"/>
  <c r="P1675" i="1"/>
  <c r="Q1675" i="1"/>
  <c r="N1676" i="1"/>
  <c r="O1676" i="1"/>
  <c r="P1676" i="1"/>
  <c r="Q1676" i="1"/>
  <c r="N1677" i="1"/>
  <c r="O1677" i="1"/>
  <c r="P1677" i="1"/>
  <c r="Q1677" i="1"/>
  <c r="N1678" i="1"/>
  <c r="O1678" i="1"/>
  <c r="P1678" i="1"/>
  <c r="Q1678" i="1"/>
  <c r="N1679" i="1"/>
  <c r="O1679" i="1"/>
  <c r="P1679" i="1"/>
  <c r="Q1679" i="1"/>
  <c r="N1680" i="1"/>
  <c r="O1680" i="1"/>
  <c r="P1680" i="1"/>
  <c r="Q1680" i="1"/>
  <c r="N1681" i="1"/>
  <c r="O1681" i="1"/>
  <c r="P1681" i="1"/>
  <c r="Q1681" i="1"/>
  <c r="N1682" i="1"/>
  <c r="O1682" i="1"/>
  <c r="P1682" i="1"/>
  <c r="Q1682" i="1"/>
  <c r="N1683" i="1"/>
  <c r="O1683" i="1"/>
  <c r="P1683" i="1"/>
  <c r="Q1683" i="1"/>
  <c r="N1684" i="1"/>
  <c r="O1684" i="1"/>
  <c r="P1684" i="1"/>
  <c r="Q1684" i="1"/>
  <c r="N1685" i="1"/>
  <c r="O1685" i="1"/>
  <c r="P1685" i="1"/>
  <c r="Q1685" i="1"/>
  <c r="N1686" i="1"/>
  <c r="O1686" i="1"/>
  <c r="P1686" i="1"/>
  <c r="Q1686" i="1"/>
  <c r="N1687" i="1"/>
  <c r="O1687" i="1"/>
  <c r="P1687" i="1"/>
  <c r="Q1687" i="1"/>
  <c r="N1688" i="1"/>
  <c r="O1688" i="1"/>
  <c r="P1688" i="1"/>
  <c r="Q1688" i="1"/>
  <c r="N1689" i="1"/>
  <c r="O1689" i="1"/>
  <c r="P1689" i="1"/>
  <c r="Q1689" i="1"/>
  <c r="N1690" i="1"/>
  <c r="O1690" i="1"/>
  <c r="P1690" i="1"/>
  <c r="Q1690" i="1"/>
  <c r="N1691" i="1"/>
  <c r="O1691" i="1"/>
  <c r="P1691" i="1"/>
  <c r="Q1691" i="1"/>
  <c r="N1692" i="1"/>
  <c r="O1692" i="1"/>
  <c r="P1692" i="1"/>
  <c r="Q1692" i="1"/>
  <c r="N1693" i="1"/>
  <c r="O1693" i="1"/>
  <c r="P1693" i="1"/>
  <c r="Q1693" i="1"/>
  <c r="N1694" i="1"/>
  <c r="O1694" i="1"/>
  <c r="P1694" i="1"/>
  <c r="Q1694" i="1"/>
  <c r="N1695" i="1"/>
  <c r="O1695" i="1"/>
  <c r="P1695" i="1"/>
  <c r="Q1695" i="1"/>
  <c r="N1696" i="1"/>
  <c r="O1696" i="1"/>
  <c r="P1696" i="1"/>
  <c r="Q1696" i="1"/>
  <c r="N1697" i="1"/>
  <c r="O1697" i="1"/>
  <c r="P1697" i="1"/>
  <c r="Q1697" i="1"/>
  <c r="N1698" i="1"/>
  <c r="O1698" i="1"/>
  <c r="P1698" i="1"/>
  <c r="Q1698" i="1"/>
  <c r="N1699" i="1"/>
  <c r="O1699" i="1"/>
  <c r="P1699" i="1"/>
  <c r="Q1699" i="1"/>
  <c r="N1700" i="1"/>
  <c r="O1700" i="1"/>
  <c r="P1700" i="1"/>
  <c r="Q1700" i="1"/>
  <c r="N1701" i="1"/>
  <c r="O1701" i="1"/>
  <c r="P1701" i="1"/>
  <c r="Q1701" i="1"/>
  <c r="N1702" i="1"/>
  <c r="O1702" i="1"/>
  <c r="P1702" i="1"/>
  <c r="Q1702" i="1"/>
  <c r="N1703" i="1"/>
  <c r="O1703" i="1"/>
  <c r="P1703" i="1"/>
  <c r="Q1703" i="1"/>
  <c r="N1704" i="1"/>
  <c r="O1704" i="1"/>
  <c r="P1704" i="1"/>
  <c r="Q1704" i="1"/>
  <c r="N1705" i="1"/>
  <c r="O1705" i="1"/>
  <c r="P1705" i="1"/>
  <c r="Q1705" i="1"/>
  <c r="N1706" i="1"/>
  <c r="O1706" i="1"/>
  <c r="P1706" i="1"/>
  <c r="Q1706" i="1"/>
  <c r="N1707" i="1"/>
  <c r="O1707" i="1"/>
  <c r="P1707" i="1"/>
  <c r="Q1707" i="1"/>
  <c r="N1708" i="1"/>
  <c r="O1708" i="1"/>
  <c r="P1708" i="1"/>
  <c r="Q1708" i="1"/>
  <c r="N1709" i="1"/>
  <c r="O1709" i="1"/>
  <c r="P1709" i="1"/>
  <c r="Q1709" i="1"/>
  <c r="N1710" i="1"/>
  <c r="O1710" i="1"/>
  <c r="P1710" i="1"/>
  <c r="Q1710" i="1"/>
  <c r="N1711" i="1"/>
  <c r="O1711" i="1"/>
  <c r="P1711" i="1"/>
  <c r="Q1711" i="1"/>
  <c r="N1712" i="1"/>
  <c r="O1712" i="1"/>
  <c r="P1712" i="1"/>
  <c r="Q1712" i="1"/>
  <c r="N1713" i="1"/>
  <c r="O1713" i="1"/>
  <c r="P1713" i="1"/>
  <c r="Q1713" i="1"/>
  <c r="N1714" i="1"/>
  <c r="O1714" i="1"/>
  <c r="P1714" i="1"/>
  <c r="Q1714" i="1"/>
  <c r="N1715" i="1"/>
  <c r="O1715" i="1"/>
  <c r="P1715" i="1"/>
  <c r="Q1715" i="1"/>
  <c r="N1716" i="1"/>
  <c r="O1716" i="1"/>
  <c r="P1716" i="1"/>
  <c r="Q1716" i="1"/>
  <c r="N1717" i="1"/>
  <c r="O1717" i="1"/>
  <c r="P1717" i="1"/>
  <c r="Q1717" i="1"/>
  <c r="N1718" i="1"/>
  <c r="O1718" i="1"/>
  <c r="P1718" i="1"/>
  <c r="Q1718" i="1"/>
  <c r="N1719" i="1"/>
  <c r="O1719" i="1"/>
  <c r="P1719" i="1"/>
  <c r="Q1719" i="1"/>
  <c r="N1720" i="1"/>
  <c r="O1720" i="1"/>
  <c r="P1720" i="1"/>
  <c r="Q1720" i="1"/>
  <c r="N1721" i="1"/>
  <c r="O1721" i="1"/>
  <c r="P1721" i="1"/>
  <c r="Q1721" i="1"/>
  <c r="N1722" i="1"/>
  <c r="O1722" i="1"/>
  <c r="P1722" i="1"/>
  <c r="Q1722" i="1"/>
  <c r="N1723" i="1"/>
  <c r="O1723" i="1"/>
  <c r="P1723" i="1"/>
  <c r="Q1723" i="1"/>
  <c r="N1724" i="1"/>
  <c r="O1724" i="1"/>
  <c r="P1724" i="1"/>
  <c r="Q1724" i="1"/>
  <c r="N1725" i="1"/>
  <c r="O1725" i="1"/>
  <c r="P1725" i="1"/>
  <c r="Q1725" i="1"/>
  <c r="N1726" i="1"/>
  <c r="O1726" i="1"/>
  <c r="P1726" i="1"/>
  <c r="Q1726" i="1"/>
  <c r="N1727" i="1"/>
  <c r="O1727" i="1"/>
  <c r="P1727" i="1"/>
  <c r="Q1727" i="1"/>
  <c r="N1728" i="1"/>
  <c r="O1728" i="1"/>
  <c r="P1728" i="1"/>
  <c r="Q1728" i="1"/>
  <c r="N1729" i="1"/>
  <c r="O1729" i="1"/>
  <c r="P1729" i="1"/>
  <c r="Q1729" i="1"/>
  <c r="N1730" i="1"/>
  <c r="O1730" i="1"/>
  <c r="P1730" i="1"/>
  <c r="Q1730" i="1"/>
  <c r="N1731" i="1"/>
  <c r="O1731" i="1"/>
  <c r="P1731" i="1"/>
  <c r="Q1731" i="1"/>
  <c r="N1732" i="1"/>
  <c r="O1732" i="1"/>
  <c r="P1732" i="1"/>
  <c r="Q1732" i="1"/>
  <c r="N1733" i="1"/>
  <c r="O1733" i="1"/>
  <c r="P1733" i="1"/>
  <c r="Q1733" i="1"/>
  <c r="N1734" i="1"/>
  <c r="O1734" i="1"/>
  <c r="P1734" i="1"/>
  <c r="Q1734" i="1"/>
  <c r="N1735" i="1"/>
  <c r="O1735" i="1"/>
  <c r="P1735" i="1"/>
  <c r="Q1735" i="1"/>
  <c r="N1736" i="1"/>
  <c r="O1736" i="1"/>
  <c r="P1736" i="1"/>
  <c r="Q1736" i="1"/>
  <c r="N1737" i="1"/>
  <c r="O1737" i="1"/>
  <c r="P1737" i="1"/>
  <c r="Q1737" i="1"/>
  <c r="N1738" i="1"/>
  <c r="O1738" i="1"/>
  <c r="P1738" i="1"/>
  <c r="Q1738" i="1"/>
  <c r="N1739" i="1"/>
  <c r="O1739" i="1"/>
  <c r="P1739" i="1"/>
  <c r="Q1739" i="1"/>
  <c r="N1740" i="1"/>
  <c r="O1740" i="1"/>
  <c r="P1740" i="1"/>
  <c r="Q1740" i="1"/>
  <c r="N1741" i="1"/>
  <c r="O1741" i="1"/>
  <c r="P1741" i="1"/>
  <c r="Q1741" i="1"/>
  <c r="N1742" i="1"/>
  <c r="O1742" i="1"/>
  <c r="P1742" i="1"/>
  <c r="Q1742" i="1"/>
  <c r="N1743" i="1"/>
  <c r="O1743" i="1"/>
  <c r="P1743" i="1"/>
  <c r="Q1743" i="1"/>
  <c r="N1744" i="1"/>
  <c r="O1744" i="1"/>
  <c r="P1744" i="1"/>
  <c r="Q1744" i="1"/>
  <c r="N1745" i="1"/>
  <c r="O1745" i="1"/>
  <c r="P1745" i="1"/>
  <c r="Q1745" i="1"/>
  <c r="N1746" i="1"/>
  <c r="O1746" i="1"/>
  <c r="P1746" i="1"/>
  <c r="Q1746" i="1"/>
  <c r="N1747" i="1"/>
  <c r="O1747" i="1"/>
  <c r="P1747" i="1"/>
  <c r="Q1747" i="1"/>
  <c r="N1748" i="1"/>
  <c r="O1748" i="1"/>
  <c r="P1748" i="1"/>
  <c r="Q1748" i="1"/>
  <c r="N1749" i="1"/>
  <c r="O1749" i="1"/>
  <c r="P1749" i="1"/>
  <c r="Q1749" i="1"/>
  <c r="N1750" i="1"/>
  <c r="O1750" i="1"/>
  <c r="P1750" i="1"/>
  <c r="Q1750" i="1"/>
  <c r="N1751" i="1"/>
  <c r="O1751" i="1"/>
  <c r="P1751" i="1"/>
  <c r="Q1751" i="1"/>
  <c r="N1752" i="1"/>
  <c r="O1752" i="1"/>
  <c r="P1752" i="1"/>
  <c r="Q1752" i="1"/>
  <c r="N1753" i="1"/>
  <c r="O1753" i="1"/>
  <c r="P1753" i="1"/>
  <c r="Q1753" i="1"/>
  <c r="N1754" i="1"/>
  <c r="O1754" i="1"/>
  <c r="P1754" i="1"/>
  <c r="Q1754" i="1"/>
  <c r="N1755" i="1"/>
  <c r="O1755" i="1"/>
  <c r="P1755" i="1"/>
  <c r="Q1755" i="1"/>
  <c r="N1756" i="1"/>
  <c r="O1756" i="1"/>
  <c r="P1756" i="1"/>
  <c r="Q1756" i="1"/>
  <c r="N1757" i="1"/>
  <c r="O1757" i="1"/>
  <c r="P1757" i="1"/>
  <c r="Q1757" i="1"/>
  <c r="N1758" i="1"/>
  <c r="O1758" i="1"/>
  <c r="P1758" i="1"/>
  <c r="Q1758" i="1"/>
  <c r="N1759" i="1"/>
  <c r="O1759" i="1"/>
  <c r="P1759" i="1"/>
  <c r="Q1759" i="1"/>
  <c r="N1760" i="1"/>
  <c r="O1760" i="1"/>
  <c r="P1760" i="1"/>
  <c r="Q1760" i="1"/>
  <c r="N1761" i="1"/>
  <c r="O1761" i="1"/>
  <c r="P1761" i="1"/>
  <c r="Q1761" i="1"/>
  <c r="N1762" i="1"/>
  <c r="O1762" i="1"/>
  <c r="P1762" i="1"/>
  <c r="Q1762" i="1"/>
  <c r="N1763" i="1"/>
  <c r="O1763" i="1"/>
  <c r="P1763" i="1"/>
  <c r="Q1763" i="1"/>
  <c r="N1764" i="1"/>
  <c r="O1764" i="1"/>
  <c r="P1764" i="1"/>
  <c r="Q1764" i="1"/>
  <c r="N1765" i="1"/>
  <c r="O1765" i="1"/>
  <c r="P1765" i="1"/>
  <c r="Q1765" i="1"/>
  <c r="N1766" i="1"/>
  <c r="O1766" i="1"/>
  <c r="P1766" i="1"/>
  <c r="Q1766" i="1"/>
  <c r="N1767" i="1"/>
  <c r="O1767" i="1"/>
  <c r="P1767" i="1"/>
  <c r="Q1767" i="1"/>
  <c r="N1768" i="1"/>
  <c r="O1768" i="1"/>
  <c r="P1768" i="1"/>
  <c r="Q1768" i="1"/>
  <c r="N1769" i="1"/>
  <c r="O1769" i="1"/>
  <c r="P1769" i="1"/>
  <c r="Q1769" i="1"/>
  <c r="N1770" i="1"/>
  <c r="O1770" i="1"/>
  <c r="P1770" i="1"/>
  <c r="Q1770" i="1"/>
  <c r="N1771" i="1"/>
  <c r="O1771" i="1"/>
  <c r="P1771" i="1"/>
  <c r="Q1771" i="1"/>
  <c r="N1772" i="1"/>
  <c r="O1772" i="1"/>
  <c r="P1772" i="1"/>
  <c r="Q1772" i="1"/>
  <c r="N1773" i="1"/>
  <c r="O1773" i="1"/>
  <c r="P1773" i="1"/>
  <c r="Q1773" i="1"/>
  <c r="N1774" i="1"/>
  <c r="O1774" i="1"/>
  <c r="P1774" i="1"/>
  <c r="Q1774" i="1"/>
  <c r="N1775" i="1"/>
  <c r="O1775" i="1"/>
  <c r="P1775" i="1"/>
  <c r="Q1775" i="1"/>
  <c r="N1776" i="1"/>
  <c r="O1776" i="1"/>
  <c r="P1776" i="1"/>
  <c r="Q1776" i="1"/>
  <c r="N1777" i="1"/>
  <c r="O1777" i="1"/>
  <c r="P1777" i="1"/>
  <c r="Q1777" i="1"/>
  <c r="N1778" i="1"/>
  <c r="O1778" i="1"/>
  <c r="P1778" i="1"/>
  <c r="Q1778" i="1"/>
  <c r="N1779" i="1"/>
  <c r="O1779" i="1"/>
  <c r="P1779" i="1"/>
  <c r="Q1779" i="1"/>
  <c r="N1780" i="1"/>
  <c r="O1780" i="1"/>
  <c r="P1780" i="1"/>
  <c r="Q1780" i="1"/>
  <c r="N1781" i="1"/>
  <c r="O1781" i="1"/>
  <c r="P1781" i="1"/>
  <c r="Q1781" i="1"/>
  <c r="N1782" i="1"/>
  <c r="O1782" i="1"/>
  <c r="P1782" i="1"/>
  <c r="Q1782" i="1"/>
  <c r="N1783" i="1"/>
  <c r="O1783" i="1"/>
  <c r="P1783" i="1"/>
  <c r="Q1783" i="1"/>
  <c r="N1784" i="1"/>
  <c r="O1784" i="1"/>
  <c r="P1784" i="1"/>
  <c r="Q1784" i="1"/>
  <c r="N1785" i="1"/>
  <c r="O1785" i="1"/>
  <c r="P1785" i="1"/>
  <c r="Q1785" i="1"/>
  <c r="N1786" i="1"/>
  <c r="O1786" i="1"/>
  <c r="P1786" i="1"/>
  <c r="Q1786" i="1"/>
  <c r="N1787" i="1"/>
  <c r="O1787" i="1"/>
  <c r="P1787" i="1"/>
  <c r="Q1787" i="1"/>
  <c r="N1788" i="1"/>
  <c r="O1788" i="1"/>
  <c r="P1788" i="1"/>
  <c r="Q1788" i="1"/>
  <c r="N1789" i="1"/>
  <c r="O1789" i="1"/>
  <c r="P1789" i="1"/>
  <c r="Q1789" i="1"/>
  <c r="N1790" i="1"/>
  <c r="O1790" i="1"/>
  <c r="P1790" i="1"/>
  <c r="Q1790" i="1"/>
  <c r="N1791" i="1"/>
  <c r="O1791" i="1"/>
  <c r="P1791" i="1"/>
  <c r="Q1791" i="1"/>
  <c r="N1792" i="1"/>
  <c r="O1792" i="1"/>
  <c r="P1792" i="1"/>
  <c r="Q1792" i="1"/>
  <c r="N1793" i="1"/>
  <c r="O1793" i="1"/>
  <c r="P1793" i="1"/>
  <c r="Q1793" i="1"/>
  <c r="N1794" i="1"/>
  <c r="O1794" i="1"/>
  <c r="P1794" i="1"/>
  <c r="Q1794" i="1"/>
  <c r="N1795" i="1"/>
  <c r="O1795" i="1"/>
  <c r="P1795" i="1"/>
  <c r="Q1795" i="1"/>
  <c r="N1796" i="1"/>
  <c r="O1796" i="1"/>
  <c r="P1796" i="1"/>
  <c r="Q1796" i="1"/>
  <c r="N1797" i="1"/>
  <c r="O1797" i="1"/>
  <c r="P1797" i="1"/>
  <c r="Q1797" i="1"/>
  <c r="N1798" i="1"/>
  <c r="O1798" i="1"/>
  <c r="P1798" i="1"/>
  <c r="Q1798" i="1"/>
  <c r="N1799" i="1"/>
  <c r="O1799" i="1"/>
  <c r="P1799" i="1"/>
  <c r="Q1799" i="1"/>
  <c r="N1800" i="1"/>
  <c r="O1800" i="1"/>
  <c r="P1800" i="1"/>
  <c r="Q1800" i="1"/>
  <c r="N1801" i="1"/>
  <c r="O1801" i="1"/>
  <c r="P1801" i="1"/>
  <c r="Q1801" i="1"/>
  <c r="N1802" i="1"/>
  <c r="O1802" i="1"/>
  <c r="P1802" i="1"/>
  <c r="Q1802" i="1"/>
  <c r="N1803" i="1"/>
  <c r="O1803" i="1"/>
  <c r="P1803" i="1"/>
  <c r="Q1803" i="1"/>
  <c r="N1804" i="1"/>
  <c r="O1804" i="1"/>
  <c r="P1804" i="1"/>
  <c r="Q1804" i="1"/>
  <c r="N1805" i="1"/>
  <c r="O1805" i="1"/>
  <c r="P1805" i="1"/>
  <c r="Q1805" i="1"/>
  <c r="N1806" i="1"/>
  <c r="O1806" i="1"/>
  <c r="P1806" i="1"/>
  <c r="Q1806" i="1"/>
  <c r="N1807" i="1"/>
  <c r="O1807" i="1"/>
  <c r="P1807" i="1"/>
  <c r="Q1807" i="1"/>
  <c r="N1808" i="1"/>
  <c r="O1808" i="1"/>
  <c r="P1808" i="1"/>
  <c r="Q1808" i="1"/>
  <c r="N1809" i="1"/>
  <c r="O1809" i="1"/>
  <c r="P1809" i="1"/>
  <c r="Q1809" i="1"/>
  <c r="N1810" i="1"/>
  <c r="O1810" i="1"/>
  <c r="P1810" i="1"/>
  <c r="Q1810" i="1"/>
  <c r="N1811" i="1"/>
  <c r="O1811" i="1"/>
  <c r="P1811" i="1"/>
  <c r="Q1811" i="1"/>
  <c r="N1812" i="1"/>
  <c r="O1812" i="1"/>
  <c r="P1812" i="1"/>
  <c r="Q1812" i="1"/>
  <c r="N1813" i="1"/>
  <c r="O1813" i="1"/>
  <c r="P1813" i="1"/>
  <c r="Q1813" i="1"/>
  <c r="N1814" i="1"/>
  <c r="O1814" i="1"/>
  <c r="P1814" i="1"/>
  <c r="Q1814" i="1"/>
  <c r="N1815" i="1"/>
  <c r="O1815" i="1"/>
  <c r="P1815" i="1"/>
  <c r="Q1815" i="1"/>
  <c r="N1816" i="1"/>
  <c r="O1816" i="1"/>
  <c r="P1816" i="1"/>
  <c r="Q1816" i="1"/>
  <c r="N1817" i="1"/>
  <c r="O1817" i="1"/>
  <c r="P1817" i="1"/>
  <c r="Q1817" i="1"/>
  <c r="N1818" i="1"/>
  <c r="O1818" i="1"/>
  <c r="P1818" i="1"/>
  <c r="Q1818" i="1"/>
  <c r="N1819" i="1"/>
  <c r="O1819" i="1"/>
  <c r="P1819" i="1"/>
  <c r="Q1819" i="1"/>
  <c r="N1820" i="1"/>
  <c r="O1820" i="1"/>
  <c r="P1820" i="1"/>
  <c r="Q1820" i="1"/>
  <c r="N1821" i="1"/>
  <c r="O1821" i="1"/>
  <c r="P1821" i="1"/>
  <c r="Q1821" i="1"/>
  <c r="N1822" i="1"/>
  <c r="O1822" i="1"/>
  <c r="P1822" i="1"/>
  <c r="Q1822" i="1"/>
  <c r="N1823" i="1"/>
  <c r="O1823" i="1"/>
  <c r="P1823" i="1"/>
  <c r="Q1823" i="1"/>
  <c r="N1824" i="1"/>
  <c r="O1824" i="1"/>
  <c r="P1824" i="1"/>
  <c r="Q1824" i="1"/>
  <c r="N1825" i="1"/>
  <c r="O1825" i="1"/>
  <c r="P1825" i="1"/>
  <c r="Q1825" i="1"/>
  <c r="N1826" i="1"/>
  <c r="O1826" i="1"/>
  <c r="P1826" i="1"/>
  <c r="Q1826" i="1"/>
  <c r="N1827" i="1"/>
  <c r="O1827" i="1"/>
  <c r="P1827" i="1"/>
  <c r="Q1827" i="1"/>
  <c r="N1828" i="1"/>
  <c r="O1828" i="1"/>
  <c r="P1828" i="1"/>
  <c r="Q1828" i="1"/>
  <c r="N1829" i="1"/>
  <c r="O1829" i="1"/>
  <c r="P1829" i="1"/>
  <c r="Q1829" i="1"/>
  <c r="N1830" i="1"/>
  <c r="O1830" i="1"/>
  <c r="P1830" i="1"/>
  <c r="Q1830" i="1"/>
  <c r="N1831" i="1"/>
  <c r="O1831" i="1"/>
  <c r="P1831" i="1"/>
  <c r="Q1831" i="1"/>
  <c r="N1832" i="1"/>
  <c r="O1832" i="1"/>
  <c r="P1832" i="1"/>
  <c r="Q1832" i="1"/>
  <c r="N1833" i="1"/>
  <c r="O1833" i="1"/>
  <c r="P1833" i="1"/>
  <c r="Q1833" i="1"/>
  <c r="N1834" i="1"/>
  <c r="O1834" i="1"/>
  <c r="P1834" i="1"/>
  <c r="Q1834" i="1"/>
  <c r="N1835" i="1"/>
  <c r="O1835" i="1"/>
  <c r="P1835" i="1"/>
  <c r="Q1835" i="1"/>
  <c r="N1836" i="1"/>
  <c r="O1836" i="1"/>
  <c r="P1836" i="1"/>
  <c r="Q1836" i="1"/>
  <c r="N1837" i="1"/>
  <c r="O1837" i="1"/>
  <c r="P1837" i="1"/>
  <c r="Q1837" i="1"/>
  <c r="N1838" i="1"/>
  <c r="O1838" i="1"/>
  <c r="P1838" i="1"/>
  <c r="Q1838" i="1"/>
  <c r="N1839" i="1"/>
  <c r="O1839" i="1"/>
  <c r="P1839" i="1"/>
  <c r="Q1839" i="1"/>
  <c r="N1840" i="1"/>
  <c r="O1840" i="1"/>
  <c r="P1840" i="1"/>
  <c r="Q1840" i="1"/>
  <c r="N1841" i="1"/>
  <c r="O1841" i="1"/>
  <c r="P1841" i="1"/>
  <c r="Q1841" i="1"/>
  <c r="N1842" i="1"/>
  <c r="O1842" i="1"/>
  <c r="P1842" i="1"/>
  <c r="Q1842" i="1"/>
  <c r="N1843" i="1"/>
  <c r="O1843" i="1"/>
  <c r="P1843" i="1"/>
  <c r="Q1843" i="1"/>
  <c r="N1844" i="1"/>
  <c r="O1844" i="1"/>
  <c r="P1844" i="1"/>
  <c r="Q1844" i="1"/>
  <c r="N1845" i="1"/>
  <c r="O1845" i="1"/>
  <c r="P1845" i="1"/>
  <c r="Q1845" i="1"/>
  <c r="N1846" i="1"/>
  <c r="O1846" i="1"/>
  <c r="P1846" i="1"/>
  <c r="Q1846" i="1"/>
  <c r="N1847" i="1"/>
  <c r="O1847" i="1"/>
  <c r="P1847" i="1"/>
  <c r="Q1847" i="1"/>
  <c r="N1848" i="1"/>
  <c r="O1848" i="1"/>
  <c r="P1848" i="1"/>
  <c r="Q1848" i="1"/>
  <c r="N1849" i="1"/>
  <c r="O1849" i="1"/>
  <c r="P1849" i="1"/>
  <c r="Q1849" i="1"/>
  <c r="N1850" i="1"/>
  <c r="O1850" i="1"/>
  <c r="P1850" i="1"/>
  <c r="Q1850" i="1"/>
  <c r="N1851" i="1"/>
  <c r="O1851" i="1"/>
  <c r="P1851" i="1"/>
  <c r="Q1851" i="1"/>
  <c r="N1852" i="1"/>
  <c r="O1852" i="1"/>
  <c r="P1852" i="1"/>
  <c r="Q1852" i="1"/>
  <c r="N1853" i="1"/>
  <c r="O1853" i="1"/>
  <c r="P1853" i="1"/>
  <c r="Q1853" i="1"/>
  <c r="N1854" i="1"/>
  <c r="O1854" i="1"/>
  <c r="P1854" i="1"/>
  <c r="Q1854" i="1"/>
  <c r="N1855" i="1"/>
  <c r="O1855" i="1"/>
  <c r="P1855" i="1"/>
  <c r="Q1855" i="1"/>
  <c r="N1856" i="1"/>
  <c r="O1856" i="1"/>
  <c r="P1856" i="1"/>
  <c r="Q1856" i="1"/>
  <c r="N1857" i="1"/>
  <c r="O1857" i="1"/>
  <c r="P1857" i="1"/>
  <c r="Q1857" i="1"/>
  <c r="N1858" i="1"/>
  <c r="O1858" i="1"/>
  <c r="P1858" i="1"/>
  <c r="Q1858" i="1"/>
  <c r="N1859" i="1"/>
  <c r="O1859" i="1"/>
  <c r="P1859" i="1"/>
  <c r="Q1859" i="1"/>
  <c r="N1860" i="1"/>
  <c r="O1860" i="1"/>
  <c r="P1860" i="1"/>
  <c r="Q1860" i="1"/>
  <c r="N1861" i="1"/>
  <c r="O1861" i="1"/>
  <c r="P1861" i="1"/>
  <c r="Q1861" i="1"/>
  <c r="N1862" i="1"/>
  <c r="O1862" i="1"/>
  <c r="P1862" i="1"/>
  <c r="Q1862" i="1"/>
  <c r="N1863" i="1"/>
  <c r="O1863" i="1"/>
  <c r="P1863" i="1"/>
  <c r="Q1863" i="1"/>
  <c r="N1864" i="1"/>
  <c r="O1864" i="1"/>
  <c r="P1864" i="1"/>
  <c r="Q1864" i="1"/>
  <c r="N1865" i="1"/>
  <c r="O1865" i="1"/>
  <c r="P1865" i="1"/>
  <c r="Q1865" i="1"/>
  <c r="N1866" i="1"/>
  <c r="O1866" i="1"/>
  <c r="P1866" i="1"/>
  <c r="Q1866" i="1"/>
  <c r="N1867" i="1"/>
  <c r="O1867" i="1"/>
  <c r="P1867" i="1"/>
  <c r="Q1867" i="1"/>
  <c r="N1868" i="1"/>
  <c r="O1868" i="1"/>
  <c r="P1868" i="1"/>
  <c r="Q1868" i="1"/>
  <c r="N1869" i="1"/>
  <c r="O1869" i="1"/>
  <c r="P1869" i="1"/>
  <c r="Q1869" i="1"/>
  <c r="N1870" i="1"/>
  <c r="O1870" i="1"/>
  <c r="P1870" i="1"/>
  <c r="Q1870" i="1"/>
  <c r="N1871" i="1"/>
  <c r="O1871" i="1"/>
  <c r="P1871" i="1"/>
  <c r="Q1871" i="1"/>
  <c r="N1872" i="1"/>
  <c r="O1872" i="1"/>
  <c r="P1872" i="1"/>
  <c r="Q1872" i="1"/>
  <c r="N1873" i="1"/>
  <c r="O1873" i="1"/>
  <c r="P1873" i="1"/>
  <c r="Q1873" i="1"/>
  <c r="N1874" i="1"/>
  <c r="O1874" i="1"/>
  <c r="P1874" i="1"/>
  <c r="Q1874" i="1"/>
  <c r="N1875" i="1"/>
  <c r="O1875" i="1"/>
  <c r="P1875" i="1"/>
  <c r="Q1875" i="1"/>
  <c r="N1876" i="1"/>
  <c r="O1876" i="1"/>
  <c r="P1876" i="1"/>
  <c r="Q1876" i="1"/>
  <c r="N1877" i="1"/>
  <c r="O1877" i="1"/>
  <c r="P1877" i="1"/>
  <c r="Q1877" i="1"/>
  <c r="N1878" i="1"/>
  <c r="O1878" i="1"/>
  <c r="P1878" i="1"/>
  <c r="Q1878" i="1"/>
  <c r="N1879" i="1"/>
  <c r="O1879" i="1"/>
  <c r="P1879" i="1"/>
  <c r="Q1879" i="1"/>
  <c r="N1880" i="1"/>
  <c r="O1880" i="1"/>
  <c r="P1880" i="1"/>
  <c r="Q1880" i="1"/>
  <c r="N1881" i="1"/>
  <c r="O1881" i="1"/>
  <c r="P1881" i="1"/>
  <c r="Q1881" i="1"/>
  <c r="N1882" i="1"/>
  <c r="O1882" i="1"/>
  <c r="P1882" i="1"/>
  <c r="Q1882" i="1"/>
  <c r="N1883" i="1"/>
  <c r="O1883" i="1"/>
  <c r="P1883" i="1"/>
  <c r="Q1883" i="1"/>
  <c r="N1884" i="1"/>
  <c r="O1884" i="1"/>
  <c r="P1884" i="1"/>
  <c r="Q1884" i="1"/>
  <c r="N1885" i="1"/>
  <c r="O1885" i="1"/>
  <c r="P1885" i="1"/>
  <c r="Q1885" i="1"/>
  <c r="N1886" i="1"/>
  <c r="O1886" i="1"/>
  <c r="P1886" i="1"/>
  <c r="Q1886" i="1"/>
  <c r="N1887" i="1"/>
  <c r="O1887" i="1"/>
  <c r="P1887" i="1"/>
  <c r="Q1887" i="1"/>
  <c r="N1888" i="1"/>
  <c r="O1888" i="1"/>
  <c r="P1888" i="1"/>
  <c r="Q1888" i="1"/>
  <c r="N1889" i="1"/>
  <c r="O1889" i="1"/>
  <c r="P1889" i="1"/>
  <c r="Q1889" i="1"/>
  <c r="N1890" i="1"/>
  <c r="O1890" i="1"/>
  <c r="P1890" i="1"/>
  <c r="Q1890" i="1"/>
  <c r="N1891" i="1"/>
  <c r="O1891" i="1"/>
  <c r="P1891" i="1"/>
  <c r="Q1891" i="1"/>
  <c r="N1892" i="1"/>
  <c r="O1892" i="1"/>
  <c r="P1892" i="1"/>
  <c r="Q1892" i="1"/>
  <c r="N1893" i="1"/>
  <c r="O1893" i="1"/>
  <c r="P1893" i="1"/>
  <c r="Q1893" i="1"/>
  <c r="N1894" i="1"/>
  <c r="O1894" i="1"/>
  <c r="P1894" i="1"/>
  <c r="Q1894" i="1"/>
  <c r="N1895" i="1"/>
  <c r="O1895" i="1"/>
  <c r="P1895" i="1"/>
  <c r="Q1895" i="1"/>
  <c r="N1896" i="1"/>
  <c r="O1896" i="1"/>
  <c r="P1896" i="1"/>
  <c r="Q1896" i="1"/>
  <c r="N1897" i="1"/>
  <c r="O1897" i="1"/>
  <c r="P1897" i="1"/>
  <c r="Q1897" i="1"/>
  <c r="N1898" i="1"/>
  <c r="O1898" i="1"/>
  <c r="P1898" i="1"/>
  <c r="Q1898" i="1"/>
  <c r="N1899" i="1"/>
  <c r="O1899" i="1"/>
  <c r="P1899" i="1"/>
  <c r="Q1899" i="1"/>
  <c r="N1900" i="1"/>
  <c r="O1900" i="1"/>
  <c r="P1900" i="1"/>
  <c r="Q1900" i="1"/>
  <c r="N1901" i="1"/>
  <c r="O1901" i="1"/>
  <c r="P1901" i="1"/>
  <c r="Q1901" i="1"/>
  <c r="N1902" i="1"/>
  <c r="O1902" i="1"/>
  <c r="P1902" i="1"/>
  <c r="Q1902" i="1"/>
  <c r="N1903" i="1"/>
  <c r="O1903" i="1"/>
  <c r="P1903" i="1"/>
  <c r="Q1903" i="1"/>
  <c r="N1904" i="1"/>
  <c r="O1904" i="1"/>
  <c r="P1904" i="1"/>
  <c r="Q1904" i="1"/>
  <c r="N1905" i="1"/>
  <c r="O1905" i="1"/>
  <c r="P1905" i="1"/>
  <c r="Q1905" i="1"/>
  <c r="N1906" i="1"/>
  <c r="O1906" i="1"/>
  <c r="P1906" i="1"/>
  <c r="Q1906" i="1"/>
  <c r="N1907" i="1"/>
  <c r="O1907" i="1"/>
  <c r="P1907" i="1"/>
  <c r="Q1907" i="1"/>
  <c r="N1908" i="1"/>
  <c r="O1908" i="1"/>
  <c r="P1908" i="1"/>
  <c r="Q1908" i="1"/>
  <c r="N1909" i="1"/>
  <c r="O1909" i="1"/>
  <c r="P1909" i="1"/>
  <c r="Q1909" i="1"/>
  <c r="N1910" i="1"/>
  <c r="O1910" i="1"/>
  <c r="P1910" i="1"/>
  <c r="Q1910" i="1"/>
  <c r="N1911" i="1"/>
  <c r="O1911" i="1"/>
  <c r="P1911" i="1"/>
  <c r="Q1911" i="1"/>
  <c r="N1912" i="1"/>
  <c r="O1912" i="1"/>
  <c r="P1912" i="1"/>
  <c r="Q1912" i="1"/>
  <c r="N1913" i="1"/>
  <c r="O1913" i="1"/>
  <c r="P1913" i="1"/>
  <c r="Q1913" i="1"/>
  <c r="N1914" i="1"/>
  <c r="O1914" i="1"/>
  <c r="P1914" i="1"/>
  <c r="Q1914" i="1"/>
  <c r="N1915" i="1"/>
  <c r="O1915" i="1"/>
  <c r="P1915" i="1"/>
  <c r="Q1915" i="1"/>
  <c r="N1916" i="1"/>
  <c r="O1916" i="1"/>
  <c r="P1916" i="1"/>
  <c r="Q1916" i="1"/>
  <c r="N1917" i="1"/>
  <c r="O1917" i="1"/>
  <c r="P1917" i="1"/>
  <c r="Q1917" i="1"/>
  <c r="N1918" i="1"/>
  <c r="O1918" i="1"/>
  <c r="P1918" i="1"/>
  <c r="Q1918" i="1"/>
  <c r="N1919" i="1"/>
  <c r="O1919" i="1"/>
  <c r="P1919" i="1"/>
  <c r="Q1919" i="1"/>
  <c r="N1920" i="1"/>
  <c r="O1920" i="1"/>
  <c r="P1920" i="1"/>
  <c r="Q1920" i="1"/>
  <c r="N1921" i="1"/>
  <c r="O1921" i="1"/>
  <c r="P1921" i="1"/>
  <c r="Q1921" i="1"/>
  <c r="N1922" i="1"/>
  <c r="O1922" i="1"/>
  <c r="P1922" i="1"/>
  <c r="Q1922" i="1"/>
  <c r="N1923" i="1"/>
  <c r="O1923" i="1"/>
  <c r="P1923" i="1"/>
  <c r="Q1923" i="1"/>
  <c r="N1924" i="1"/>
  <c r="O1924" i="1"/>
  <c r="P1924" i="1"/>
  <c r="Q1924" i="1"/>
  <c r="N1925" i="1"/>
  <c r="O1925" i="1"/>
  <c r="P1925" i="1"/>
  <c r="Q1925" i="1"/>
  <c r="N1926" i="1"/>
  <c r="O1926" i="1"/>
  <c r="P1926" i="1"/>
  <c r="Q1926" i="1"/>
  <c r="N1927" i="1"/>
  <c r="O1927" i="1"/>
  <c r="P1927" i="1"/>
  <c r="Q1927" i="1"/>
  <c r="N1928" i="1"/>
  <c r="O1928" i="1"/>
  <c r="P1928" i="1"/>
  <c r="Q1928" i="1"/>
  <c r="N1929" i="1"/>
  <c r="O1929" i="1"/>
  <c r="P1929" i="1"/>
  <c r="Q1929" i="1"/>
  <c r="N1930" i="1"/>
  <c r="O1930" i="1"/>
  <c r="P1930" i="1"/>
  <c r="Q1930" i="1"/>
  <c r="N1931" i="1"/>
  <c r="O1931" i="1"/>
  <c r="P1931" i="1"/>
  <c r="Q1931" i="1"/>
  <c r="N1932" i="1"/>
  <c r="O1932" i="1"/>
  <c r="P1932" i="1"/>
  <c r="Q1932" i="1"/>
  <c r="N1933" i="1"/>
  <c r="O1933" i="1"/>
  <c r="P1933" i="1"/>
  <c r="Q1933" i="1"/>
  <c r="N1934" i="1"/>
  <c r="O1934" i="1"/>
  <c r="P1934" i="1"/>
  <c r="Q1934" i="1"/>
  <c r="N1935" i="1"/>
  <c r="O1935" i="1"/>
  <c r="P1935" i="1"/>
  <c r="Q1935" i="1"/>
  <c r="N1936" i="1"/>
  <c r="O1936" i="1"/>
  <c r="P1936" i="1"/>
  <c r="Q1936" i="1"/>
  <c r="N1937" i="1"/>
  <c r="O1937" i="1"/>
  <c r="P1937" i="1"/>
  <c r="Q1937" i="1"/>
  <c r="N1938" i="1"/>
  <c r="O1938" i="1"/>
  <c r="P1938" i="1"/>
  <c r="Q1938" i="1"/>
  <c r="N1939" i="1"/>
  <c r="O1939" i="1"/>
  <c r="P1939" i="1"/>
  <c r="Q1939" i="1"/>
  <c r="N1940" i="1"/>
  <c r="O1940" i="1"/>
  <c r="P1940" i="1"/>
  <c r="Q1940" i="1"/>
  <c r="N1941" i="1"/>
  <c r="O1941" i="1"/>
  <c r="P1941" i="1"/>
  <c r="Q1941" i="1"/>
  <c r="N1942" i="1"/>
  <c r="O1942" i="1"/>
  <c r="P1942" i="1"/>
  <c r="Q1942" i="1"/>
  <c r="N1943" i="1"/>
  <c r="O1943" i="1"/>
  <c r="P1943" i="1"/>
  <c r="Q1943" i="1"/>
  <c r="N1944" i="1"/>
  <c r="O1944" i="1"/>
  <c r="P1944" i="1"/>
  <c r="Q1944" i="1"/>
  <c r="N1945" i="1"/>
  <c r="O1945" i="1"/>
  <c r="P1945" i="1"/>
  <c r="Q1945" i="1"/>
  <c r="N1946" i="1"/>
  <c r="O1946" i="1"/>
  <c r="P1946" i="1"/>
  <c r="Q1946" i="1"/>
  <c r="N1947" i="1"/>
  <c r="O1947" i="1"/>
  <c r="P1947" i="1"/>
  <c r="Q1947" i="1"/>
  <c r="N1948" i="1"/>
  <c r="O1948" i="1"/>
  <c r="P1948" i="1"/>
  <c r="Q1948" i="1"/>
  <c r="N1949" i="1"/>
  <c r="O1949" i="1"/>
  <c r="P1949" i="1"/>
  <c r="Q1949" i="1"/>
  <c r="N1950" i="1"/>
  <c r="O1950" i="1"/>
  <c r="P1950" i="1"/>
  <c r="Q1950" i="1"/>
  <c r="N1951" i="1"/>
  <c r="O1951" i="1"/>
  <c r="P1951" i="1"/>
  <c r="Q1951" i="1"/>
  <c r="N1952" i="1"/>
  <c r="O1952" i="1"/>
  <c r="P1952" i="1"/>
  <c r="Q1952" i="1"/>
  <c r="N1953" i="1"/>
  <c r="O1953" i="1"/>
  <c r="P1953" i="1"/>
  <c r="Q1953" i="1"/>
  <c r="N1954" i="1"/>
  <c r="O1954" i="1"/>
  <c r="P1954" i="1"/>
  <c r="Q1954" i="1"/>
  <c r="N1955" i="1"/>
  <c r="O1955" i="1"/>
  <c r="P1955" i="1"/>
  <c r="Q1955" i="1"/>
  <c r="N1956" i="1"/>
  <c r="O1956" i="1"/>
  <c r="P1956" i="1"/>
  <c r="Q1956" i="1"/>
  <c r="N1957" i="1"/>
  <c r="O1957" i="1"/>
  <c r="P1957" i="1"/>
  <c r="Q1957" i="1"/>
  <c r="N1958" i="1"/>
  <c r="O1958" i="1"/>
  <c r="P1958" i="1"/>
  <c r="Q1958" i="1"/>
  <c r="N1959" i="1"/>
  <c r="O1959" i="1"/>
  <c r="P1959" i="1"/>
  <c r="Q1959" i="1"/>
  <c r="N1960" i="1"/>
  <c r="O1960" i="1"/>
  <c r="P1960" i="1"/>
  <c r="Q1960" i="1"/>
  <c r="N1961" i="1"/>
  <c r="O1961" i="1"/>
  <c r="P1961" i="1"/>
  <c r="Q1961" i="1"/>
  <c r="N1962" i="1"/>
  <c r="O1962" i="1"/>
  <c r="P1962" i="1"/>
  <c r="Q1962" i="1"/>
  <c r="N1963" i="1"/>
  <c r="O1963" i="1"/>
  <c r="P1963" i="1"/>
  <c r="Q1963" i="1"/>
  <c r="N1964" i="1"/>
  <c r="O1964" i="1"/>
  <c r="P1964" i="1"/>
  <c r="Q1964" i="1"/>
  <c r="N1965" i="1"/>
  <c r="O1965" i="1"/>
  <c r="P1965" i="1"/>
  <c r="Q1965" i="1"/>
  <c r="N1966" i="1"/>
  <c r="O1966" i="1"/>
  <c r="P1966" i="1"/>
  <c r="Q1966" i="1"/>
  <c r="N1967" i="1"/>
  <c r="O1967" i="1"/>
  <c r="P1967" i="1"/>
  <c r="Q1967" i="1"/>
  <c r="N1968" i="1"/>
  <c r="O1968" i="1"/>
  <c r="P1968" i="1"/>
  <c r="Q1968" i="1"/>
  <c r="N1969" i="1"/>
  <c r="O1969" i="1"/>
  <c r="P1969" i="1"/>
  <c r="Q1969" i="1"/>
  <c r="N1970" i="1"/>
  <c r="O1970" i="1"/>
  <c r="P1970" i="1"/>
  <c r="Q1970" i="1"/>
  <c r="N1971" i="1"/>
  <c r="O1971" i="1"/>
  <c r="P1971" i="1"/>
  <c r="Q1971" i="1"/>
  <c r="N1972" i="1"/>
  <c r="O1972" i="1"/>
  <c r="P1972" i="1"/>
  <c r="Q1972" i="1"/>
  <c r="N1973" i="1"/>
  <c r="O1973" i="1"/>
  <c r="P1973" i="1"/>
  <c r="Q1973" i="1"/>
  <c r="N1974" i="1"/>
  <c r="O1974" i="1"/>
  <c r="P1974" i="1"/>
  <c r="Q1974" i="1"/>
  <c r="N1975" i="1"/>
  <c r="O1975" i="1"/>
  <c r="P1975" i="1"/>
  <c r="Q1975" i="1"/>
  <c r="N1976" i="1"/>
  <c r="O1976" i="1"/>
  <c r="P1976" i="1"/>
  <c r="Q1976" i="1"/>
  <c r="N1977" i="1"/>
  <c r="O1977" i="1"/>
  <c r="P1977" i="1"/>
  <c r="Q1977" i="1"/>
  <c r="N1978" i="1"/>
  <c r="O1978" i="1"/>
  <c r="P1978" i="1"/>
  <c r="Q1978" i="1"/>
  <c r="N1979" i="1"/>
  <c r="O1979" i="1"/>
  <c r="P1979" i="1"/>
  <c r="Q1979" i="1"/>
  <c r="N1980" i="1"/>
  <c r="O1980" i="1"/>
  <c r="P1980" i="1"/>
  <c r="Q1980" i="1"/>
  <c r="N1981" i="1"/>
  <c r="O1981" i="1"/>
  <c r="P1981" i="1"/>
  <c r="Q1981" i="1"/>
  <c r="N1982" i="1"/>
  <c r="O1982" i="1"/>
  <c r="P1982" i="1"/>
  <c r="Q1982" i="1"/>
  <c r="N1983" i="1"/>
  <c r="O1983" i="1"/>
  <c r="P1983" i="1"/>
  <c r="Q1983" i="1"/>
  <c r="N1984" i="1"/>
  <c r="O1984" i="1"/>
  <c r="P1984" i="1"/>
  <c r="Q1984" i="1"/>
  <c r="N1985" i="1"/>
  <c r="O1985" i="1"/>
  <c r="P1985" i="1"/>
  <c r="Q1985" i="1"/>
  <c r="N1986" i="1"/>
  <c r="O1986" i="1"/>
  <c r="P1986" i="1"/>
  <c r="Q1986" i="1"/>
  <c r="N1987" i="1"/>
  <c r="O1987" i="1"/>
  <c r="P1987" i="1"/>
  <c r="Q1987" i="1"/>
  <c r="N1988" i="1"/>
  <c r="O1988" i="1"/>
  <c r="P1988" i="1"/>
  <c r="Q1988" i="1"/>
  <c r="N1989" i="1"/>
  <c r="O1989" i="1"/>
  <c r="P1989" i="1"/>
  <c r="Q1989" i="1"/>
  <c r="N1990" i="1"/>
  <c r="O1990" i="1"/>
  <c r="P1990" i="1"/>
  <c r="Q1990" i="1"/>
  <c r="N1991" i="1"/>
  <c r="O1991" i="1"/>
  <c r="P1991" i="1"/>
  <c r="Q1991" i="1"/>
  <c r="N1992" i="1"/>
  <c r="O1992" i="1"/>
  <c r="P1992" i="1"/>
  <c r="Q1992" i="1"/>
  <c r="N1993" i="1"/>
  <c r="O1993" i="1"/>
  <c r="P1993" i="1"/>
  <c r="Q1993" i="1"/>
  <c r="N1994" i="1"/>
  <c r="O1994" i="1"/>
  <c r="P1994" i="1"/>
  <c r="Q1994" i="1"/>
  <c r="N1995" i="1"/>
  <c r="O1995" i="1"/>
  <c r="P1995" i="1"/>
  <c r="Q1995" i="1"/>
  <c r="N1996" i="1"/>
  <c r="O1996" i="1"/>
  <c r="P1996" i="1"/>
  <c r="Q1996" i="1"/>
  <c r="N1997" i="1"/>
  <c r="O1997" i="1"/>
  <c r="P1997" i="1"/>
  <c r="Q1997" i="1"/>
  <c r="N1998" i="1"/>
  <c r="O1998" i="1"/>
  <c r="P1998" i="1"/>
  <c r="Q1998" i="1"/>
  <c r="N1999" i="1"/>
  <c r="O1999" i="1"/>
  <c r="P1999" i="1"/>
  <c r="Q1999" i="1"/>
  <c r="N2000" i="1"/>
  <c r="O2000" i="1"/>
  <c r="P2000" i="1"/>
  <c r="Q2000" i="1"/>
  <c r="N2001" i="1"/>
  <c r="O2001" i="1"/>
  <c r="P2001" i="1"/>
  <c r="Q2001" i="1"/>
  <c r="N2002" i="1"/>
  <c r="O2002" i="1"/>
  <c r="P2002" i="1"/>
  <c r="Q2002" i="1"/>
  <c r="N2003" i="1"/>
  <c r="O2003" i="1"/>
  <c r="P2003" i="1"/>
  <c r="Q2003" i="1"/>
  <c r="N2004" i="1"/>
  <c r="O2004" i="1"/>
  <c r="P2004" i="1"/>
  <c r="Q2004" i="1"/>
  <c r="N2005" i="1"/>
  <c r="O2005" i="1"/>
  <c r="P2005" i="1"/>
  <c r="Q2005" i="1"/>
  <c r="N2006" i="1"/>
  <c r="O2006" i="1"/>
  <c r="P2006" i="1"/>
  <c r="Q2006" i="1"/>
  <c r="N2007" i="1"/>
  <c r="O2007" i="1"/>
  <c r="P2007" i="1"/>
  <c r="Q2007" i="1"/>
  <c r="N2008" i="1"/>
  <c r="O2008" i="1"/>
  <c r="P2008" i="1"/>
  <c r="Q2008" i="1"/>
  <c r="N2009" i="1"/>
  <c r="O2009" i="1"/>
  <c r="P2009" i="1"/>
  <c r="Q2009" i="1"/>
  <c r="N2010" i="1"/>
  <c r="O2010" i="1"/>
  <c r="P2010" i="1"/>
  <c r="Q2010" i="1"/>
  <c r="N2011" i="1"/>
  <c r="O2011" i="1"/>
  <c r="P2011" i="1"/>
  <c r="Q2011" i="1"/>
  <c r="N2012" i="1"/>
  <c r="O2012" i="1"/>
  <c r="P2012" i="1"/>
  <c r="Q2012" i="1"/>
  <c r="N2013" i="1"/>
  <c r="O2013" i="1"/>
  <c r="P2013" i="1"/>
  <c r="Q2013" i="1"/>
  <c r="N2014" i="1"/>
  <c r="O2014" i="1"/>
  <c r="P2014" i="1"/>
  <c r="Q2014" i="1"/>
  <c r="N2015" i="1"/>
  <c r="O2015" i="1"/>
  <c r="P2015" i="1"/>
  <c r="Q2015" i="1"/>
  <c r="N2016" i="1"/>
  <c r="O2016" i="1"/>
  <c r="P2016" i="1"/>
  <c r="Q2016" i="1"/>
  <c r="N2017" i="1"/>
  <c r="O2017" i="1"/>
  <c r="P2017" i="1"/>
  <c r="Q2017" i="1"/>
  <c r="N2018" i="1"/>
  <c r="O2018" i="1"/>
  <c r="P2018" i="1"/>
  <c r="Q2018" i="1"/>
  <c r="N2019" i="1"/>
  <c r="O2019" i="1"/>
  <c r="P2019" i="1"/>
  <c r="Q2019" i="1"/>
  <c r="N2020" i="1"/>
  <c r="O2020" i="1"/>
  <c r="P2020" i="1"/>
  <c r="Q2020" i="1"/>
  <c r="N2021" i="1"/>
  <c r="O2021" i="1"/>
  <c r="P2021" i="1"/>
  <c r="Q2021" i="1"/>
  <c r="N2022" i="1"/>
  <c r="O2022" i="1"/>
  <c r="P2022" i="1"/>
  <c r="Q2022" i="1"/>
  <c r="N2023" i="1"/>
  <c r="O2023" i="1"/>
  <c r="P2023" i="1"/>
  <c r="Q2023" i="1"/>
  <c r="N2024" i="1"/>
  <c r="O2024" i="1"/>
  <c r="P2024" i="1"/>
  <c r="Q2024" i="1"/>
  <c r="N2025" i="1"/>
  <c r="O2025" i="1"/>
  <c r="P2025" i="1"/>
  <c r="Q2025" i="1"/>
  <c r="N2026" i="1"/>
  <c r="O2026" i="1"/>
  <c r="P2026" i="1"/>
  <c r="Q2026" i="1"/>
  <c r="N2027" i="1"/>
  <c r="O2027" i="1"/>
  <c r="P2027" i="1"/>
  <c r="Q2027" i="1"/>
  <c r="N2028" i="1"/>
  <c r="O2028" i="1"/>
  <c r="P2028" i="1"/>
  <c r="Q2028" i="1"/>
  <c r="N2029" i="1"/>
  <c r="O2029" i="1"/>
  <c r="P2029" i="1"/>
  <c r="Q2029" i="1"/>
  <c r="N2030" i="1"/>
  <c r="O2030" i="1"/>
  <c r="P2030" i="1"/>
  <c r="Q2030" i="1"/>
  <c r="N2031" i="1"/>
  <c r="O2031" i="1"/>
  <c r="P2031" i="1"/>
  <c r="Q2031" i="1"/>
  <c r="N2032" i="1"/>
  <c r="O2032" i="1"/>
  <c r="P2032" i="1"/>
  <c r="Q2032" i="1"/>
  <c r="N2033" i="1"/>
  <c r="O2033" i="1"/>
  <c r="P2033" i="1"/>
  <c r="Q2033" i="1"/>
  <c r="N2034" i="1"/>
  <c r="O2034" i="1"/>
  <c r="P2034" i="1"/>
  <c r="Q2034" i="1"/>
  <c r="N2035" i="1"/>
  <c r="O2035" i="1"/>
  <c r="P2035" i="1"/>
  <c r="Q2035" i="1"/>
  <c r="N2036" i="1"/>
  <c r="O2036" i="1"/>
  <c r="P2036" i="1"/>
  <c r="Q2036" i="1"/>
  <c r="N2037" i="1"/>
  <c r="O2037" i="1"/>
  <c r="P2037" i="1"/>
  <c r="Q2037" i="1"/>
  <c r="N2038" i="1"/>
  <c r="O2038" i="1"/>
  <c r="P2038" i="1"/>
  <c r="Q2038" i="1"/>
  <c r="N2039" i="1"/>
  <c r="O2039" i="1"/>
  <c r="P2039" i="1"/>
  <c r="Q2039" i="1"/>
  <c r="N2040" i="1"/>
  <c r="O2040" i="1"/>
  <c r="P2040" i="1"/>
  <c r="Q2040" i="1"/>
  <c r="N2041" i="1"/>
  <c r="O2041" i="1"/>
  <c r="P2041" i="1"/>
  <c r="Q2041" i="1"/>
  <c r="N2042" i="1"/>
  <c r="O2042" i="1"/>
  <c r="P2042" i="1"/>
  <c r="Q2042" i="1"/>
  <c r="N2043" i="1"/>
  <c r="O2043" i="1"/>
  <c r="P2043" i="1"/>
  <c r="Q2043" i="1"/>
  <c r="N2044" i="1"/>
  <c r="O2044" i="1"/>
  <c r="P2044" i="1"/>
  <c r="Q2044" i="1"/>
  <c r="N2045" i="1"/>
  <c r="O2045" i="1"/>
  <c r="P2045" i="1"/>
  <c r="Q2045" i="1"/>
  <c r="N2046" i="1"/>
  <c r="O2046" i="1"/>
  <c r="P2046" i="1"/>
  <c r="Q2046" i="1"/>
  <c r="N2047" i="1"/>
  <c r="O2047" i="1"/>
  <c r="P2047" i="1"/>
  <c r="Q2047" i="1"/>
  <c r="N2048" i="1"/>
  <c r="O2048" i="1"/>
  <c r="P2048" i="1"/>
  <c r="Q2048" i="1"/>
  <c r="N2049" i="1"/>
  <c r="O2049" i="1"/>
  <c r="P2049" i="1"/>
  <c r="Q2049" i="1"/>
  <c r="N2050" i="1"/>
  <c r="O2050" i="1"/>
  <c r="P2050" i="1"/>
  <c r="Q2050" i="1"/>
  <c r="N2051" i="1"/>
  <c r="O2051" i="1"/>
  <c r="P2051" i="1"/>
  <c r="Q2051" i="1"/>
  <c r="N2052" i="1"/>
  <c r="O2052" i="1"/>
  <c r="P2052" i="1"/>
  <c r="Q2052" i="1"/>
  <c r="N2053" i="1"/>
  <c r="O2053" i="1"/>
  <c r="P2053" i="1"/>
  <c r="Q2053" i="1"/>
  <c r="N2054" i="1"/>
  <c r="O2054" i="1"/>
  <c r="P2054" i="1"/>
  <c r="Q2054" i="1"/>
  <c r="N2055" i="1"/>
  <c r="O2055" i="1"/>
  <c r="P2055" i="1"/>
  <c r="Q2055" i="1"/>
  <c r="N2056" i="1"/>
  <c r="O2056" i="1"/>
  <c r="P2056" i="1"/>
  <c r="Q2056" i="1"/>
  <c r="N2057" i="1"/>
  <c r="O2057" i="1"/>
  <c r="P2057" i="1"/>
  <c r="Q2057" i="1"/>
  <c r="N2058" i="1"/>
  <c r="O2058" i="1"/>
  <c r="P2058" i="1"/>
  <c r="Q2058" i="1"/>
  <c r="N2059" i="1"/>
  <c r="O2059" i="1"/>
  <c r="P2059" i="1"/>
  <c r="Q2059" i="1"/>
  <c r="N2060" i="1"/>
  <c r="O2060" i="1"/>
  <c r="P2060" i="1"/>
  <c r="Q2060" i="1"/>
  <c r="N2061" i="1"/>
  <c r="O2061" i="1"/>
  <c r="P2061" i="1"/>
  <c r="Q2061" i="1"/>
  <c r="N2062" i="1"/>
  <c r="O2062" i="1"/>
  <c r="P2062" i="1"/>
  <c r="Q2062" i="1"/>
  <c r="N2063" i="1"/>
  <c r="O2063" i="1"/>
  <c r="P2063" i="1"/>
  <c r="Q2063" i="1"/>
  <c r="N2064" i="1"/>
  <c r="O2064" i="1"/>
  <c r="P2064" i="1"/>
  <c r="Q2064" i="1"/>
  <c r="N2065" i="1"/>
  <c r="O2065" i="1"/>
  <c r="P2065" i="1"/>
  <c r="Q2065" i="1"/>
  <c r="N2066" i="1"/>
  <c r="O2066" i="1"/>
  <c r="P2066" i="1"/>
  <c r="Q2066" i="1"/>
  <c r="N2067" i="1"/>
  <c r="O2067" i="1"/>
  <c r="P2067" i="1"/>
  <c r="Q2067" i="1"/>
  <c r="N2068" i="1"/>
  <c r="O2068" i="1"/>
  <c r="P2068" i="1"/>
  <c r="Q2068" i="1"/>
  <c r="N2069" i="1"/>
  <c r="O2069" i="1"/>
  <c r="P2069" i="1"/>
  <c r="Q2069" i="1"/>
  <c r="N2070" i="1"/>
  <c r="O2070" i="1"/>
  <c r="P2070" i="1"/>
  <c r="Q2070" i="1"/>
  <c r="N2071" i="1"/>
  <c r="O2071" i="1"/>
  <c r="P2071" i="1"/>
  <c r="Q2071" i="1"/>
  <c r="N2072" i="1"/>
  <c r="O2072" i="1"/>
  <c r="P2072" i="1"/>
  <c r="Q2072" i="1"/>
  <c r="N2073" i="1"/>
  <c r="O2073" i="1"/>
  <c r="P2073" i="1"/>
  <c r="Q2073" i="1"/>
  <c r="N2074" i="1"/>
  <c r="O2074" i="1"/>
  <c r="P2074" i="1"/>
  <c r="Q2074" i="1"/>
  <c r="N2075" i="1"/>
  <c r="O2075" i="1"/>
  <c r="P2075" i="1"/>
  <c r="Q2075" i="1"/>
  <c r="N2076" i="1"/>
  <c r="O2076" i="1"/>
  <c r="P2076" i="1"/>
  <c r="Q2076" i="1"/>
  <c r="N2077" i="1"/>
  <c r="O2077" i="1"/>
  <c r="P2077" i="1"/>
  <c r="Q2077" i="1"/>
  <c r="N2078" i="1"/>
  <c r="O2078" i="1"/>
  <c r="P2078" i="1"/>
  <c r="Q2078" i="1"/>
  <c r="N2079" i="1"/>
  <c r="O2079" i="1"/>
  <c r="P2079" i="1"/>
  <c r="Q2079" i="1"/>
  <c r="N2080" i="1"/>
  <c r="O2080" i="1"/>
  <c r="P2080" i="1"/>
  <c r="Q2080" i="1"/>
  <c r="N2081" i="1"/>
  <c r="O2081" i="1"/>
  <c r="P2081" i="1"/>
  <c r="Q2081" i="1"/>
  <c r="N2082" i="1"/>
  <c r="O2082" i="1"/>
  <c r="P2082" i="1"/>
  <c r="Q2082" i="1"/>
  <c r="N2083" i="1"/>
  <c r="O2083" i="1"/>
  <c r="P2083" i="1"/>
  <c r="Q2083" i="1"/>
  <c r="N2084" i="1"/>
  <c r="O2084" i="1"/>
  <c r="P2084" i="1"/>
  <c r="Q2084" i="1"/>
  <c r="N2085" i="1"/>
  <c r="O2085" i="1"/>
  <c r="P2085" i="1"/>
  <c r="Q2085" i="1"/>
  <c r="N2086" i="1"/>
  <c r="O2086" i="1"/>
  <c r="P2086" i="1"/>
  <c r="Q2086" i="1"/>
  <c r="N2087" i="1"/>
  <c r="O2087" i="1"/>
  <c r="P2087" i="1"/>
  <c r="Q2087" i="1"/>
  <c r="N2088" i="1"/>
  <c r="O2088" i="1"/>
  <c r="P2088" i="1"/>
  <c r="Q2088" i="1"/>
  <c r="N2089" i="1"/>
  <c r="O2089" i="1"/>
  <c r="P2089" i="1"/>
  <c r="Q2089" i="1"/>
  <c r="N2090" i="1"/>
  <c r="O2090" i="1"/>
  <c r="P2090" i="1"/>
  <c r="Q2090" i="1"/>
  <c r="N2091" i="1"/>
  <c r="O2091" i="1"/>
  <c r="P2091" i="1"/>
  <c r="Q2091" i="1"/>
  <c r="N2092" i="1"/>
  <c r="O2092" i="1"/>
  <c r="P2092" i="1"/>
  <c r="Q2092" i="1"/>
  <c r="N2093" i="1"/>
  <c r="O2093" i="1"/>
  <c r="P2093" i="1"/>
  <c r="Q2093" i="1"/>
  <c r="N2094" i="1"/>
  <c r="O2094" i="1"/>
  <c r="P2094" i="1"/>
  <c r="Q2094" i="1"/>
  <c r="N2095" i="1"/>
  <c r="O2095" i="1"/>
  <c r="P2095" i="1"/>
  <c r="Q2095" i="1"/>
  <c r="N2096" i="1"/>
  <c r="O2096" i="1"/>
  <c r="P2096" i="1"/>
  <c r="Q2096" i="1"/>
  <c r="N2097" i="1"/>
  <c r="O2097" i="1"/>
  <c r="P2097" i="1"/>
  <c r="Q2097" i="1"/>
  <c r="N2098" i="1"/>
  <c r="O2098" i="1"/>
  <c r="P2098" i="1"/>
  <c r="Q2098" i="1"/>
  <c r="N2099" i="1"/>
  <c r="O2099" i="1"/>
  <c r="P2099" i="1"/>
  <c r="Q2099" i="1"/>
  <c r="N2100" i="1"/>
  <c r="O2100" i="1"/>
  <c r="P2100" i="1"/>
  <c r="Q2100" i="1"/>
  <c r="N2101" i="1"/>
  <c r="O2101" i="1"/>
  <c r="P2101" i="1"/>
  <c r="Q2101" i="1"/>
  <c r="N2102" i="1"/>
  <c r="O2102" i="1"/>
  <c r="P2102" i="1"/>
  <c r="Q2102" i="1"/>
  <c r="N2103" i="1"/>
  <c r="O2103" i="1"/>
  <c r="P2103" i="1"/>
  <c r="Q2103" i="1"/>
  <c r="N2104" i="1"/>
  <c r="O2104" i="1"/>
  <c r="P2104" i="1"/>
  <c r="Q2104" i="1"/>
  <c r="N2105" i="1"/>
  <c r="O2105" i="1"/>
  <c r="P2105" i="1"/>
  <c r="Q2105" i="1"/>
  <c r="N2106" i="1"/>
  <c r="O2106" i="1"/>
  <c r="P2106" i="1"/>
  <c r="Q2106" i="1"/>
  <c r="N2107" i="1"/>
  <c r="O2107" i="1"/>
  <c r="P2107" i="1"/>
  <c r="Q2107" i="1"/>
  <c r="N2108" i="1"/>
  <c r="O2108" i="1"/>
  <c r="P2108" i="1"/>
  <c r="Q2108" i="1"/>
  <c r="N2109" i="1"/>
  <c r="O2109" i="1"/>
  <c r="P2109" i="1"/>
  <c r="Q2109" i="1"/>
  <c r="N2110" i="1"/>
  <c r="O2110" i="1"/>
  <c r="P2110" i="1"/>
  <c r="Q2110" i="1"/>
  <c r="N2111" i="1"/>
  <c r="O2111" i="1"/>
  <c r="P2111" i="1"/>
  <c r="Q2111" i="1"/>
  <c r="N2112" i="1"/>
  <c r="O2112" i="1"/>
  <c r="P2112" i="1"/>
  <c r="Q2112" i="1"/>
  <c r="N2113" i="1"/>
  <c r="O2113" i="1"/>
  <c r="P2113" i="1"/>
  <c r="Q2113" i="1"/>
  <c r="N2114" i="1"/>
  <c r="O2114" i="1"/>
  <c r="P2114" i="1"/>
  <c r="Q2114" i="1"/>
  <c r="N2115" i="1"/>
  <c r="O2115" i="1"/>
  <c r="P2115" i="1"/>
  <c r="Q2115" i="1"/>
  <c r="N2116" i="1"/>
  <c r="O2116" i="1"/>
  <c r="P2116" i="1"/>
  <c r="Q2116" i="1"/>
  <c r="N2117" i="1"/>
  <c r="O2117" i="1"/>
  <c r="P2117" i="1"/>
  <c r="Q2117" i="1"/>
  <c r="N2118" i="1"/>
  <c r="O2118" i="1"/>
  <c r="P2118" i="1"/>
  <c r="Q2118" i="1"/>
  <c r="N2119" i="1"/>
  <c r="O2119" i="1"/>
  <c r="P2119" i="1"/>
  <c r="Q2119" i="1"/>
  <c r="N2120" i="1"/>
  <c r="O2120" i="1"/>
  <c r="P2120" i="1"/>
  <c r="Q2120" i="1"/>
  <c r="N2121" i="1"/>
  <c r="O2121" i="1"/>
  <c r="P2121" i="1"/>
  <c r="Q2121" i="1"/>
  <c r="N2122" i="1"/>
  <c r="O2122" i="1"/>
  <c r="P2122" i="1"/>
  <c r="Q2122" i="1"/>
  <c r="N2123" i="1"/>
  <c r="O2123" i="1"/>
  <c r="P2123" i="1"/>
  <c r="Q2123" i="1"/>
  <c r="N2124" i="1"/>
  <c r="O2124" i="1"/>
  <c r="P2124" i="1"/>
  <c r="Q2124" i="1"/>
  <c r="N2125" i="1"/>
  <c r="O2125" i="1"/>
  <c r="P2125" i="1"/>
  <c r="Q2125" i="1"/>
  <c r="N2126" i="1"/>
  <c r="O2126" i="1"/>
  <c r="P2126" i="1"/>
  <c r="Q2126" i="1"/>
  <c r="N2127" i="1"/>
  <c r="O2127" i="1"/>
  <c r="P2127" i="1"/>
  <c r="Q2127" i="1"/>
  <c r="N2128" i="1"/>
  <c r="O2128" i="1"/>
  <c r="P2128" i="1"/>
  <c r="Q2128" i="1"/>
  <c r="N2129" i="1"/>
  <c r="O2129" i="1"/>
  <c r="P2129" i="1"/>
  <c r="Q2129" i="1"/>
  <c r="N2130" i="1"/>
  <c r="O2130" i="1"/>
  <c r="P2130" i="1"/>
  <c r="Q2130" i="1"/>
  <c r="N2131" i="1"/>
  <c r="O2131" i="1"/>
  <c r="P2131" i="1"/>
  <c r="Q2131" i="1"/>
  <c r="N2132" i="1"/>
  <c r="O2132" i="1"/>
  <c r="P2132" i="1"/>
  <c r="Q2132" i="1"/>
  <c r="N2133" i="1"/>
  <c r="O2133" i="1"/>
  <c r="P2133" i="1"/>
  <c r="Q2133" i="1"/>
  <c r="N2134" i="1"/>
  <c r="O2134" i="1"/>
  <c r="P2134" i="1"/>
  <c r="Q2134" i="1"/>
  <c r="N2135" i="1"/>
  <c r="O2135" i="1"/>
  <c r="P2135" i="1"/>
  <c r="Q2135" i="1"/>
  <c r="N2136" i="1"/>
  <c r="O2136" i="1"/>
  <c r="P2136" i="1"/>
  <c r="Q2136" i="1"/>
  <c r="N2137" i="1"/>
  <c r="O2137" i="1"/>
  <c r="P2137" i="1"/>
  <c r="Q2137" i="1"/>
  <c r="N2138" i="1"/>
  <c r="O2138" i="1"/>
  <c r="P2138" i="1"/>
  <c r="Q2138" i="1"/>
  <c r="N2139" i="1"/>
  <c r="O2139" i="1"/>
  <c r="P2139" i="1"/>
  <c r="Q2139" i="1"/>
  <c r="N2140" i="1"/>
  <c r="O2140" i="1"/>
  <c r="P2140" i="1"/>
  <c r="Q2140" i="1"/>
  <c r="N2141" i="1"/>
  <c r="O2141" i="1"/>
  <c r="P2141" i="1"/>
  <c r="Q2141" i="1"/>
  <c r="N2142" i="1"/>
  <c r="O2142" i="1"/>
  <c r="P2142" i="1"/>
  <c r="Q2142" i="1"/>
  <c r="N2143" i="1"/>
  <c r="O2143" i="1"/>
  <c r="P2143" i="1"/>
  <c r="Q2143" i="1"/>
  <c r="N2144" i="1"/>
  <c r="O2144" i="1"/>
  <c r="P2144" i="1"/>
  <c r="Q2144" i="1"/>
  <c r="N2145" i="1"/>
  <c r="O2145" i="1"/>
  <c r="P2145" i="1"/>
  <c r="Q2145" i="1"/>
  <c r="N2146" i="1"/>
  <c r="O2146" i="1"/>
  <c r="P2146" i="1"/>
  <c r="Q2146" i="1"/>
  <c r="N2147" i="1"/>
  <c r="O2147" i="1"/>
  <c r="P2147" i="1"/>
  <c r="Q2147" i="1"/>
  <c r="N2148" i="1"/>
  <c r="O2148" i="1"/>
  <c r="P2148" i="1"/>
  <c r="Q2148" i="1"/>
  <c r="N2149" i="1"/>
  <c r="O2149" i="1"/>
  <c r="P2149" i="1"/>
  <c r="Q2149" i="1"/>
  <c r="N2150" i="1"/>
  <c r="O2150" i="1"/>
  <c r="P2150" i="1"/>
  <c r="Q2150" i="1"/>
  <c r="N2151" i="1"/>
  <c r="O2151" i="1"/>
  <c r="P2151" i="1"/>
  <c r="Q2151" i="1"/>
  <c r="N2152" i="1"/>
  <c r="O2152" i="1"/>
  <c r="P2152" i="1"/>
  <c r="Q2152" i="1"/>
  <c r="N2153" i="1"/>
  <c r="O2153" i="1"/>
  <c r="P2153" i="1"/>
  <c r="Q2153" i="1"/>
  <c r="N2154" i="1"/>
  <c r="O2154" i="1"/>
  <c r="P2154" i="1"/>
  <c r="Q2154" i="1"/>
  <c r="N2155" i="1"/>
  <c r="O2155" i="1"/>
  <c r="P2155" i="1"/>
  <c r="Q2155" i="1"/>
  <c r="N2156" i="1"/>
  <c r="O2156" i="1"/>
  <c r="P2156" i="1"/>
  <c r="Q2156" i="1"/>
  <c r="N2157" i="1"/>
  <c r="O2157" i="1"/>
  <c r="P2157" i="1"/>
  <c r="Q2157" i="1"/>
  <c r="N2158" i="1"/>
  <c r="O2158" i="1"/>
  <c r="P2158" i="1"/>
  <c r="Q2158" i="1"/>
  <c r="N2159" i="1"/>
  <c r="O2159" i="1"/>
  <c r="P2159" i="1"/>
  <c r="Q2159" i="1"/>
  <c r="N2160" i="1"/>
  <c r="O2160" i="1"/>
  <c r="P2160" i="1"/>
  <c r="Q2160" i="1"/>
  <c r="N2161" i="1"/>
  <c r="O2161" i="1"/>
  <c r="P2161" i="1"/>
  <c r="Q2161" i="1"/>
  <c r="N2162" i="1"/>
  <c r="O2162" i="1"/>
  <c r="P2162" i="1"/>
  <c r="Q2162" i="1"/>
  <c r="N2163" i="1"/>
  <c r="O2163" i="1"/>
  <c r="P2163" i="1"/>
  <c r="Q2163" i="1"/>
  <c r="N2164" i="1"/>
  <c r="O2164" i="1"/>
  <c r="P2164" i="1"/>
  <c r="Q2164" i="1"/>
  <c r="N2165" i="1"/>
  <c r="O2165" i="1"/>
  <c r="P2165" i="1"/>
  <c r="Q2165" i="1"/>
  <c r="N2166" i="1"/>
  <c r="O2166" i="1"/>
  <c r="P2166" i="1"/>
  <c r="Q2166" i="1"/>
  <c r="N2167" i="1"/>
  <c r="O2167" i="1"/>
  <c r="P2167" i="1"/>
  <c r="Q2167" i="1"/>
  <c r="N2168" i="1"/>
  <c r="O2168" i="1"/>
  <c r="P2168" i="1"/>
  <c r="Q2168" i="1"/>
  <c r="N2169" i="1"/>
  <c r="O2169" i="1"/>
  <c r="P2169" i="1"/>
  <c r="Q2169" i="1"/>
  <c r="N2170" i="1"/>
  <c r="O2170" i="1"/>
  <c r="P2170" i="1"/>
  <c r="Q2170" i="1"/>
  <c r="N2171" i="1"/>
  <c r="O2171" i="1"/>
  <c r="P2171" i="1"/>
  <c r="Q2171" i="1"/>
  <c r="N2172" i="1"/>
  <c r="O2172" i="1"/>
  <c r="P2172" i="1"/>
  <c r="Q2172" i="1"/>
  <c r="N2173" i="1"/>
  <c r="O2173" i="1"/>
  <c r="P2173" i="1"/>
  <c r="Q2173" i="1"/>
  <c r="N2174" i="1"/>
  <c r="O2174" i="1"/>
  <c r="P2174" i="1"/>
  <c r="Q2174" i="1"/>
  <c r="N2175" i="1"/>
  <c r="O2175" i="1"/>
  <c r="P2175" i="1"/>
  <c r="Q2175" i="1"/>
  <c r="N2176" i="1"/>
  <c r="O2176" i="1"/>
  <c r="P2176" i="1"/>
  <c r="Q2176" i="1"/>
  <c r="N2177" i="1"/>
  <c r="O2177" i="1"/>
  <c r="P2177" i="1"/>
  <c r="Q2177" i="1"/>
  <c r="N2178" i="1"/>
  <c r="O2178" i="1"/>
  <c r="P2178" i="1"/>
  <c r="Q2178" i="1"/>
  <c r="N2179" i="1"/>
  <c r="O2179" i="1"/>
  <c r="P2179" i="1"/>
  <c r="Q2179" i="1"/>
  <c r="N2180" i="1"/>
  <c r="O2180" i="1"/>
  <c r="P2180" i="1"/>
  <c r="Q2180" i="1"/>
  <c r="N2181" i="1"/>
  <c r="O2181" i="1"/>
  <c r="P2181" i="1"/>
  <c r="Q2181" i="1"/>
  <c r="N2182" i="1"/>
  <c r="O2182" i="1"/>
  <c r="P2182" i="1"/>
  <c r="Q2182" i="1"/>
  <c r="N2183" i="1"/>
  <c r="O2183" i="1"/>
  <c r="P2183" i="1"/>
  <c r="Q2183" i="1"/>
  <c r="N2184" i="1"/>
  <c r="O2184" i="1"/>
  <c r="P2184" i="1"/>
  <c r="Q2184" i="1"/>
  <c r="N2185" i="1"/>
  <c r="O2185" i="1"/>
  <c r="P2185" i="1"/>
  <c r="Q2185" i="1"/>
  <c r="N2186" i="1"/>
  <c r="O2186" i="1"/>
  <c r="P2186" i="1"/>
  <c r="Q2186" i="1"/>
  <c r="N2187" i="1"/>
  <c r="O2187" i="1"/>
  <c r="P2187" i="1"/>
  <c r="Q2187" i="1"/>
  <c r="N2188" i="1"/>
  <c r="O2188" i="1"/>
  <c r="P2188" i="1"/>
  <c r="Q2188" i="1"/>
  <c r="N2189" i="1"/>
  <c r="O2189" i="1"/>
  <c r="P2189" i="1"/>
  <c r="Q2189" i="1"/>
  <c r="N2190" i="1"/>
  <c r="O2190" i="1"/>
  <c r="P2190" i="1"/>
  <c r="Q2190" i="1"/>
  <c r="N2191" i="1"/>
  <c r="O2191" i="1"/>
  <c r="P2191" i="1"/>
  <c r="Q2191" i="1"/>
  <c r="N2192" i="1"/>
  <c r="O2192" i="1"/>
  <c r="P2192" i="1"/>
  <c r="Q2192" i="1"/>
  <c r="N2193" i="1"/>
  <c r="O2193" i="1"/>
  <c r="P2193" i="1"/>
  <c r="Q2193" i="1"/>
  <c r="N2194" i="1"/>
  <c r="O2194" i="1"/>
  <c r="P2194" i="1"/>
  <c r="Q2194" i="1"/>
  <c r="N2195" i="1"/>
  <c r="O2195" i="1"/>
  <c r="P2195" i="1"/>
  <c r="Q2195" i="1"/>
  <c r="N2196" i="1"/>
  <c r="O2196" i="1"/>
  <c r="P2196" i="1"/>
  <c r="Q2196" i="1"/>
  <c r="N2197" i="1"/>
  <c r="O2197" i="1"/>
  <c r="P2197" i="1"/>
  <c r="Q2197" i="1"/>
  <c r="N2198" i="1"/>
  <c r="O2198" i="1"/>
  <c r="P2198" i="1"/>
  <c r="Q2198" i="1"/>
  <c r="N2199" i="1"/>
  <c r="O2199" i="1"/>
  <c r="P2199" i="1"/>
  <c r="Q2199" i="1"/>
  <c r="N2200" i="1"/>
  <c r="O2200" i="1"/>
  <c r="P2200" i="1"/>
  <c r="Q2200" i="1"/>
  <c r="N2201" i="1"/>
  <c r="O2201" i="1"/>
  <c r="P2201" i="1"/>
  <c r="Q2201" i="1"/>
  <c r="N2202" i="1"/>
  <c r="O2202" i="1"/>
  <c r="P2202" i="1"/>
  <c r="Q2202" i="1"/>
  <c r="N2203" i="1"/>
  <c r="O2203" i="1"/>
  <c r="P2203" i="1"/>
  <c r="Q2203" i="1"/>
  <c r="N2204" i="1"/>
  <c r="O2204" i="1"/>
  <c r="P2204" i="1"/>
  <c r="Q2204" i="1"/>
  <c r="N2205" i="1"/>
  <c r="O2205" i="1"/>
  <c r="P2205" i="1"/>
  <c r="Q2205" i="1"/>
  <c r="N2206" i="1"/>
  <c r="O2206" i="1"/>
  <c r="P2206" i="1"/>
  <c r="Q2206" i="1"/>
  <c r="N2207" i="1"/>
  <c r="O2207" i="1"/>
  <c r="P2207" i="1"/>
  <c r="Q2207" i="1"/>
  <c r="N2208" i="1"/>
  <c r="O2208" i="1"/>
  <c r="P2208" i="1"/>
  <c r="Q2208" i="1"/>
  <c r="N2209" i="1"/>
  <c r="O2209" i="1"/>
  <c r="P2209" i="1"/>
  <c r="Q2209" i="1"/>
  <c r="N2210" i="1"/>
  <c r="O2210" i="1"/>
  <c r="P2210" i="1"/>
  <c r="Q2210" i="1"/>
  <c r="N2211" i="1"/>
  <c r="O2211" i="1"/>
  <c r="P2211" i="1"/>
  <c r="Q2211" i="1"/>
  <c r="N2212" i="1"/>
  <c r="O2212" i="1"/>
  <c r="P2212" i="1"/>
  <c r="Q2212" i="1"/>
  <c r="N2213" i="1"/>
  <c r="O2213" i="1"/>
  <c r="P2213" i="1"/>
  <c r="Q2213" i="1"/>
  <c r="N2214" i="1"/>
  <c r="O2214" i="1"/>
  <c r="P2214" i="1"/>
  <c r="Q2214" i="1"/>
  <c r="N2215" i="1"/>
  <c r="O2215" i="1"/>
  <c r="P2215" i="1"/>
  <c r="Q2215" i="1"/>
  <c r="N2216" i="1"/>
  <c r="O2216" i="1"/>
  <c r="P2216" i="1"/>
  <c r="Q2216" i="1"/>
  <c r="N2217" i="1"/>
  <c r="O2217" i="1"/>
  <c r="P2217" i="1"/>
  <c r="Q2217" i="1"/>
  <c r="N2218" i="1"/>
  <c r="O2218" i="1"/>
  <c r="P2218" i="1"/>
  <c r="Q2218" i="1"/>
  <c r="N2219" i="1"/>
  <c r="O2219" i="1"/>
  <c r="P2219" i="1"/>
  <c r="Q2219" i="1"/>
  <c r="N2220" i="1"/>
  <c r="O2220" i="1"/>
  <c r="P2220" i="1"/>
  <c r="Q2220" i="1"/>
  <c r="N2221" i="1"/>
  <c r="O2221" i="1"/>
  <c r="P2221" i="1"/>
  <c r="Q2221" i="1"/>
  <c r="N2222" i="1"/>
  <c r="O2222" i="1"/>
  <c r="P2222" i="1"/>
  <c r="Q2222" i="1"/>
  <c r="N2223" i="1"/>
  <c r="O2223" i="1"/>
  <c r="P2223" i="1"/>
  <c r="Q2223" i="1"/>
  <c r="N2224" i="1"/>
  <c r="O2224" i="1"/>
  <c r="P2224" i="1"/>
  <c r="Q2224" i="1"/>
  <c r="N2225" i="1"/>
  <c r="O2225" i="1"/>
  <c r="P2225" i="1"/>
  <c r="Q2225" i="1"/>
  <c r="N2226" i="1"/>
  <c r="O2226" i="1"/>
  <c r="P2226" i="1"/>
  <c r="Q2226" i="1"/>
  <c r="N2227" i="1"/>
  <c r="O2227" i="1"/>
  <c r="P2227" i="1"/>
  <c r="Q2227" i="1"/>
  <c r="N2228" i="1"/>
  <c r="O2228" i="1"/>
  <c r="P2228" i="1"/>
  <c r="Q2228" i="1"/>
  <c r="N2229" i="1"/>
  <c r="O2229" i="1"/>
  <c r="P2229" i="1"/>
  <c r="Q2229" i="1"/>
  <c r="N2230" i="1"/>
  <c r="O2230" i="1"/>
  <c r="P2230" i="1"/>
  <c r="Q2230" i="1"/>
  <c r="N2231" i="1"/>
  <c r="O2231" i="1"/>
  <c r="P2231" i="1"/>
  <c r="Q2231" i="1"/>
  <c r="N2232" i="1"/>
  <c r="O2232" i="1"/>
  <c r="P2232" i="1"/>
  <c r="Q2232" i="1"/>
  <c r="N2233" i="1"/>
  <c r="O2233" i="1"/>
  <c r="P2233" i="1"/>
  <c r="Q2233" i="1"/>
  <c r="N2234" i="1"/>
  <c r="O2234" i="1"/>
  <c r="P2234" i="1"/>
  <c r="Q2234" i="1"/>
  <c r="N2235" i="1"/>
  <c r="O2235" i="1"/>
  <c r="P2235" i="1"/>
  <c r="Q2235" i="1"/>
  <c r="N2236" i="1"/>
  <c r="O2236" i="1"/>
  <c r="P2236" i="1"/>
  <c r="Q2236" i="1"/>
  <c r="N2237" i="1"/>
  <c r="O2237" i="1"/>
  <c r="P2237" i="1"/>
  <c r="Q2237" i="1"/>
  <c r="N2238" i="1"/>
  <c r="O2238" i="1"/>
  <c r="P2238" i="1"/>
  <c r="Q2238" i="1"/>
  <c r="N2239" i="1"/>
  <c r="O2239" i="1"/>
  <c r="P2239" i="1"/>
  <c r="Q2239" i="1"/>
  <c r="N2240" i="1"/>
  <c r="O2240" i="1"/>
  <c r="P2240" i="1"/>
  <c r="Q2240" i="1"/>
  <c r="N2241" i="1"/>
  <c r="O2241" i="1"/>
  <c r="P2241" i="1"/>
  <c r="Q2241" i="1"/>
  <c r="N2242" i="1"/>
  <c r="O2242" i="1"/>
  <c r="P2242" i="1"/>
  <c r="Q2242" i="1"/>
  <c r="N2243" i="1"/>
  <c r="O2243" i="1"/>
  <c r="P2243" i="1"/>
  <c r="Q2243" i="1"/>
  <c r="N2244" i="1"/>
  <c r="O2244" i="1"/>
  <c r="P2244" i="1"/>
  <c r="Q2244" i="1"/>
  <c r="N2245" i="1"/>
  <c r="O2245" i="1"/>
  <c r="P2245" i="1"/>
  <c r="Q2245" i="1"/>
  <c r="N2246" i="1"/>
  <c r="O2246" i="1"/>
  <c r="P2246" i="1"/>
  <c r="Q2246" i="1"/>
  <c r="N2247" i="1"/>
  <c r="O2247" i="1"/>
  <c r="P2247" i="1"/>
  <c r="Q2247" i="1"/>
  <c r="N2248" i="1"/>
  <c r="O2248" i="1"/>
  <c r="P2248" i="1"/>
  <c r="Q2248" i="1"/>
  <c r="N2249" i="1"/>
  <c r="O2249" i="1"/>
  <c r="P2249" i="1"/>
  <c r="Q2249" i="1"/>
  <c r="N2250" i="1"/>
  <c r="O2250" i="1"/>
  <c r="P2250" i="1"/>
  <c r="Q2250" i="1"/>
  <c r="N2251" i="1"/>
  <c r="O2251" i="1"/>
  <c r="P2251" i="1"/>
  <c r="Q2251" i="1"/>
  <c r="N2252" i="1"/>
  <c r="O2252" i="1"/>
  <c r="P2252" i="1"/>
  <c r="Q2252" i="1"/>
  <c r="N2253" i="1"/>
  <c r="O2253" i="1"/>
  <c r="P2253" i="1"/>
  <c r="Q2253" i="1"/>
  <c r="N2254" i="1"/>
  <c r="O2254" i="1"/>
  <c r="P2254" i="1"/>
  <c r="Q2254" i="1"/>
  <c r="N2255" i="1"/>
  <c r="O2255" i="1"/>
  <c r="P2255" i="1"/>
  <c r="Q2255" i="1"/>
  <c r="N2256" i="1"/>
  <c r="O2256" i="1"/>
  <c r="P2256" i="1"/>
  <c r="Q2256" i="1"/>
  <c r="N2257" i="1"/>
  <c r="O2257" i="1"/>
  <c r="P2257" i="1"/>
  <c r="Q2257" i="1"/>
  <c r="N2258" i="1"/>
  <c r="O2258" i="1"/>
  <c r="P2258" i="1"/>
  <c r="Q2258" i="1"/>
  <c r="N2259" i="1"/>
  <c r="O2259" i="1"/>
  <c r="P2259" i="1"/>
  <c r="Q2259" i="1"/>
  <c r="N2260" i="1"/>
  <c r="O2260" i="1"/>
  <c r="P2260" i="1"/>
  <c r="Q2260" i="1"/>
  <c r="N2261" i="1"/>
  <c r="O2261" i="1"/>
  <c r="P2261" i="1"/>
  <c r="Q2261" i="1"/>
  <c r="N2262" i="1"/>
  <c r="O2262" i="1"/>
  <c r="P2262" i="1"/>
  <c r="Q2262" i="1"/>
  <c r="N2263" i="1"/>
  <c r="O2263" i="1"/>
  <c r="P2263" i="1"/>
  <c r="Q2263" i="1"/>
  <c r="N2264" i="1"/>
  <c r="O2264" i="1"/>
  <c r="P2264" i="1"/>
  <c r="Q2264" i="1"/>
  <c r="N2265" i="1"/>
  <c r="O2265" i="1"/>
  <c r="P2265" i="1"/>
  <c r="Q2265" i="1"/>
  <c r="N2266" i="1"/>
  <c r="O2266" i="1"/>
  <c r="P2266" i="1"/>
  <c r="Q2266" i="1"/>
  <c r="N2267" i="1"/>
  <c r="O2267" i="1"/>
  <c r="P2267" i="1"/>
  <c r="Q2267" i="1"/>
  <c r="N2268" i="1"/>
  <c r="O2268" i="1"/>
  <c r="P2268" i="1"/>
  <c r="Q2268" i="1"/>
  <c r="N2269" i="1"/>
  <c r="O2269" i="1"/>
  <c r="P2269" i="1"/>
  <c r="Q2269" i="1"/>
  <c r="N2270" i="1"/>
  <c r="O2270" i="1"/>
  <c r="P2270" i="1"/>
  <c r="Q2270" i="1"/>
  <c r="N2271" i="1"/>
  <c r="O2271" i="1"/>
  <c r="P2271" i="1"/>
  <c r="Q2271" i="1"/>
  <c r="N2272" i="1"/>
  <c r="O2272" i="1"/>
  <c r="P2272" i="1"/>
  <c r="Q2272" i="1"/>
  <c r="N2273" i="1"/>
  <c r="O2273" i="1"/>
  <c r="P2273" i="1"/>
  <c r="Q2273" i="1"/>
  <c r="N2274" i="1"/>
  <c r="O2274" i="1"/>
  <c r="P2274" i="1"/>
  <c r="Q2274" i="1"/>
  <c r="N2275" i="1"/>
  <c r="O2275" i="1"/>
  <c r="P2275" i="1"/>
  <c r="Q2275" i="1"/>
  <c r="N2276" i="1"/>
  <c r="O2276" i="1"/>
  <c r="P2276" i="1"/>
  <c r="Q2276" i="1"/>
  <c r="N2277" i="1"/>
  <c r="O2277" i="1"/>
  <c r="P2277" i="1"/>
  <c r="Q2277" i="1"/>
  <c r="N2278" i="1"/>
  <c r="O2278" i="1"/>
  <c r="P2278" i="1"/>
  <c r="Q2278" i="1"/>
  <c r="N2279" i="1"/>
  <c r="O2279" i="1"/>
  <c r="P2279" i="1"/>
  <c r="Q2279" i="1"/>
  <c r="N2280" i="1"/>
  <c r="O2280" i="1"/>
  <c r="P2280" i="1"/>
  <c r="Q2280" i="1"/>
  <c r="N2281" i="1"/>
  <c r="O2281" i="1"/>
  <c r="P2281" i="1"/>
  <c r="Q2281" i="1"/>
  <c r="N2282" i="1"/>
  <c r="O2282" i="1"/>
  <c r="P2282" i="1"/>
  <c r="Q2282" i="1"/>
  <c r="N2283" i="1"/>
  <c r="O2283" i="1"/>
  <c r="P2283" i="1"/>
  <c r="Q2283" i="1"/>
  <c r="N2284" i="1"/>
  <c r="O2284" i="1"/>
  <c r="P2284" i="1"/>
  <c r="Q2284" i="1"/>
  <c r="N2285" i="1"/>
  <c r="O2285" i="1"/>
  <c r="P2285" i="1"/>
  <c r="Q2285" i="1"/>
  <c r="N2286" i="1"/>
  <c r="O2286" i="1"/>
  <c r="P2286" i="1"/>
  <c r="Q2286" i="1"/>
  <c r="N2287" i="1"/>
  <c r="O2287" i="1"/>
  <c r="P2287" i="1"/>
  <c r="Q2287" i="1"/>
  <c r="N2288" i="1"/>
  <c r="O2288" i="1"/>
  <c r="P2288" i="1"/>
  <c r="Q2288" i="1"/>
  <c r="N2289" i="1"/>
  <c r="O2289" i="1"/>
  <c r="P2289" i="1"/>
  <c r="Q2289" i="1"/>
  <c r="N2290" i="1"/>
  <c r="O2290" i="1"/>
  <c r="P2290" i="1"/>
  <c r="Q2290" i="1"/>
  <c r="N2291" i="1"/>
  <c r="O2291" i="1"/>
  <c r="P2291" i="1"/>
  <c r="Q2291" i="1"/>
  <c r="N2292" i="1"/>
  <c r="O2292" i="1"/>
  <c r="P2292" i="1"/>
  <c r="Q2292" i="1"/>
  <c r="N2293" i="1"/>
  <c r="O2293" i="1"/>
  <c r="P2293" i="1"/>
  <c r="Q2293" i="1"/>
  <c r="N2294" i="1"/>
  <c r="O2294" i="1"/>
  <c r="P2294" i="1"/>
  <c r="Q2294" i="1"/>
  <c r="N2295" i="1"/>
  <c r="O2295" i="1"/>
  <c r="P2295" i="1"/>
  <c r="Q2295" i="1"/>
  <c r="N2296" i="1"/>
  <c r="O2296" i="1"/>
  <c r="P2296" i="1"/>
  <c r="Q2296" i="1"/>
  <c r="N2297" i="1"/>
  <c r="O2297" i="1"/>
  <c r="P2297" i="1"/>
  <c r="Q2297" i="1"/>
  <c r="N2298" i="1"/>
  <c r="O2298" i="1"/>
  <c r="P2298" i="1"/>
  <c r="Q2298" i="1"/>
  <c r="N2299" i="1"/>
  <c r="O2299" i="1"/>
  <c r="P2299" i="1"/>
  <c r="Q2299" i="1"/>
  <c r="N2300" i="1"/>
  <c r="O2300" i="1"/>
  <c r="P2300" i="1"/>
  <c r="Q2300" i="1"/>
  <c r="N2301" i="1"/>
  <c r="O2301" i="1"/>
  <c r="P2301" i="1"/>
  <c r="Q2301" i="1"/>
  <c r="N2302" i="1"/>
  <c r="O2302" i="1"/>
  <c r="P2302" i="1"/>
  <c r="Q2302" i="1"/>
  <c r="N2303" i="1"/>
  <c r="O2303" i="1"/>
  <c r="P2303" i="1"/>
  <c r="Q2303" i="1"/>
  <c r="N2304" i="1"/>
  <c r="O2304" i="1"/>
  <c r="P2304" i="1"/>
  <c r="Q2304" i="1"/>
  <c r="N2305" i="1"/>
  <c r="O2305" i="1"/>
  <c r="P2305" i="1"/>
  <c r="Q2305" i="1"/>
  <c r="N2306" i="1"/>
  <c r="O2306" i="1"/>
  <c r="P2306" i="1"/>
  <c r="Q2306" i="1"/>
  <c r="N2307" i="1"/>
  <c r="O2307" i="1"/>
  <c r="P2307" i="1"/>
  <c r="Q2307" i="1"/>
  <c r="N2308" i="1"/>
  <c r="O2308" i="1"/>
  <c r="P2308" i="1"/>
  <c r="Q2308" i="1"/>
  <c r="N2309" i="1"/>
  <c r="O2309" i="1"/>
  <c r="P2309" i="1"/>
  <c r="Q2309" i="1"/>
  <c r="N2310" i="1"/>
  <c r="O2310" i="1"/>
  <c r="P2310" i="1"/>
  <c r="Q2310" i="1"/>
  <c r="N2311" i="1"/>
  <c r="O2311" i="1"/>
  <c r="P2311" i="1"/>
  <c r="Q2311" i="1"/>
  <c r="N2312" i="1"/>
  <c r="O2312" i="1"/>
  <c r="P2312" i="1"/>
  <c r="Q2312" i="1"/>
  <c r="N2313" i="1"/>
  <c r="O2313" i="1"/>
  <c r="P2313" i="1"/>
  <c r="Q2313" i="1"/>
  <c r="N2314" i="1"/>
  <c r="O2314" i="1"/>
  <c r="P2314" i="1"/>
  <c r="Q2314" i="1"/>
  <c r="N2315" i="1"/>
  <c r="O2315" i="1"/>
  <c r="P2315" i="1"/>
  <c r="Q2315" i="1"/>
  <c r="N2316" i="1"/>
  <c r="O2316" i="1"/>
  <c r="P2316" i="1"/>
  <c r="Q2316" i="1"/>
  <c r="N2317" i="1"/>
  <c r="O2317" i="1"/>
  <c r="P2317" i="1"/>
  <c r="Q2317" i="1"/>
  <c r="N2318" i="1"/>
  <c r="O2318" i="1"/>
  <c r="P2318" i="1"/>
  <c r="Q2318" i="1"/>
  <c r="N2319" i="1"/>
  <c r="O2319" i="1"/>
  <c r="P2319" i="1"/>
  <c r="Q2319" i="1"/>
  <c r="N2320" i="1"/>
  <c r="O2320" i="1"/>
  <c r="P2320" i="1"/>
  <c r="Q2320" i="1"/>
  <c r="N2321" i="1"/>
  <c r="O2321" i="1"/>
  <c r="P2321" i="1"/>
  <c r="Q2321" i="1"/>
  <c r="N2322" i="1"/>
  <c r="O2322" i="1"/>
  <c r="P2322" i="1"/>
  <c r="Q2322" i="1"/>
  <c r="N2323" i="1"/>
  <c r="O2323" i="1"/>
  <c r="P2323" i="1"/>
  <c r="Q2323" i="1"/>
  <c r="N2324" i="1"/>
  <c r="O2324" i="1"/>
  <c r="P2324" i="1"/>
  <c r="Q2324" i="1"/>
  <c r="N2325" i="1"/>
  <c r="O2325" i="1"/>
  <c r="P2325" i="1"/>
  <c r="Q2325" i="1"/>
  <c r="N2326" i="1"/>
  <c r="O2326" i="1"/>
  <c r="P2326" i="1"/>
  <c r="Q2326" i="1"/>
  <c r="N2327" i="1"/>
  <c r="O2327" i="1"/>
  <c r="P2327" i="1"/>
  <c r="Q2327" i="1"/>
  <c r="N2328" i="1"/>
  <c r="O2328" i="1"/>
  <c r="P2328" i="1"/>
  <c r="Q2328" i="1"/>
  <c r="N2329" i="1"/>
  <c r="O2329" i="1"/>
  <c r="P2329" i="1"/>
  <c r="Q2329" i="1"/>
  <c r="N2330" i="1"/>
  <c r="O2330" i="1"/>
  <c r="P2330" i="1"/>
  <c r="Q2330" i="1"/>
  <c r="N2331" i="1"/>
  <c r="O2331" i="1"/>
  <c r="P2331" i="1"/>
  <c r="Q2331" i="1"/>
  <c r="N2332" i="1"/>
  <c r="O2332" i="1"/>
  <c r="P2332" i="1"/>
  <c r="Q2332" i="1"/>
  <c r="N2333" i="1"/>
  <c r="O2333" i="1"/>
  <c r="P2333" i="1"/>
  <c r="Q2333" i="1"/>
  <c r="N2334" i="1"/>
  <c r="O2334" i="1"/>
  <c r="P2334" i="1"/>
  <c r="Q2334" i="1"/>
  <c r="N2335" i="1"/>
  <c r="O2335" i="1"/>
  <c r="P2335" i="1"/>
  <c r="Q2335" i="1"/>
  <c r="N2336" i="1"/>
  <c r="O2336" i="1"/>
  <c r="P2336" i="1"/>
  <c r="Q2336" i="1"/>
  <c r="N2337" i="1"/>
  <c r="O2337" i="1"/>
  <c r="P2337" i="1"/>
  <c r="Q2337" i="1"/>
  <c r="N2338" i="1"/>
  <c r="O2338" i="1"/>
  <c r="P2338" i="1"/>
  <c r="Q2338" i="1"/>
  <c r="N2339" i="1"/>
  <c r="O2339" i="1"/>
  <c r="P2339" i="1"/>
  <c r="Q2339" i="1"/>
  <c r="N2340" i="1"/>
  <c r="O2340" i="1"/>
  <c r="P2340" i="1"/>
  <c r="Q2340" i="1"/>
  <c r="N2341" i="1"/>
  <c r="O2341" i="1"/>
  <c r="P2341" i="1"/>
  <c r="Q2341" i="1"/>
  <c r="N2342" i="1"/>
  <c r="O2342" i="1"/>
  <c r="P2342" i="1"/>
  <c r="Q2342" i="1"/>
  <c r="N2343" i="1"/>
  <c r="O2343" i="1"/>
  <c r="P2343" i="1"/>
  <c r="Q2343" i="1"/>
  <c r="N2344" i="1"/>
  <c r="O2344" i="1"/>
  <c r="P2344" i="1"/>
  <c r="Q2344" i="1"/>
  <c r="N2345" i="1"/>
  <c r="O2345" i="1"/>
  <c r="P2345" i="1"/>
  <c r="Q2345" i="1"/>
  <c r="N2346" i="1"/>
  <c r="O2346" i="1"/>
  <c r="P2346" i="1"/>
  <c r="Q2346" i="1"/>
  <c r="N2347" i="1"/>
  <c r="O2347" i="1"/>
  <c r="P2347" i="1"/>
  <c r="Q2347" i="1"/>
  <c r="N2348" i="1"/>
  <c r="O2348" i="1"/>
  <c r="P2348" i="1"/>
  <c r="Q2348" i="1"/>
  <c r="N2349" i="1"/>
  <c r="O2349" i="1"/>
  <c r="P2349" i="1"/>
  <c r="Q2349" i="1"/>
  <c r="N2350" i="1"/>
  <c r="O2350" i="1"/>
  <c r="P2350" i="1"/>
  <c r="Q2350" i="1"/>
  <c r="N2351" i="1"/>
  <c r="O2351" i="1"/>
  <c r="P2351" i="1"/>
  <c r="Q2351" i="1"/>
  <c r="N2352" i="1"/>
  <c r="O2352" i="1"/>
  <c r="P2352" i="1"/>
  <c r="Q2352" i="1"/>
  <c r="N2353" i="1"/>
  <c r="O2353" i="1"/>
  <c r="P2353" i="1"/>
  <c r="Q2353" i="1"/>
  <c r="N2354" i="1"/>
  <c r="O2354" i="1"/>
  <c r="P2354" i="1"/>
  <c r="Q2354" i="1"/>
  <c r="N2355" i="1"/>
  <c r="O2355" i="1"/>
  <c r="P2355" i="1"/>
  <c r="Q2355" i="1"/>
  <c r="N2356" i="1"/>
  <c r="O2356" i="1"/>
  <c r="P2356" i="1"/>
  <c r="Q2356" i="1"/>
  <c r="N2357" i="1"/>
  <c r="O2357" i="1"/>
  <c r="P2357" i="1"/>
  <c r="Q2357" i="1"/>
  <c r="N2358" i="1"/>
  <c r="O2358" i="1"/>
  <c r="P2358" i="1"/>
  <c r="Q2358" i="1"/>
  <c r="N2359" i="1"/>
  <c r="O2359" i="1"/>
  <c r="P2359" i="1"/>
  <c r="Q2359" i="1"/>
  <c r="N2360" i="1"/>
  <c r="O2360" i="1"/>
  <c r="P2360" i="1"/>
  <c r="Q2360" i="1"/>
  <c r="N2361" i="1"/>
  <c r="O2361" i="1"/>
  <c r="P2361" i="1"/>
  <c r="Q2361" i="1"/>
  <c r="N2362" i="1"/>
  <c r="O2362" i="1"/>
  <c r="P2362" i="1"/>
  <c r="Q2362" i="1"/>
  <c r="N2363" i="1"/>
  <c r="O2363" i="1"/>
  <c r="P2363" i="1"/>
  <c r="Q2363" i="1"/>
  <c r="N2364" i="1"/>
  <c r="O2364" i="1"/>
  <c r="P2364" i="1"/>
  <c r="Q2364" i="1"/>
  <c r="N2365" i="1"/>
  <c r="O2365" i="1"/>
  <c r="P2365" i="1"/>
  <c r="Q2365" i="1"/>
  <c r="N2366" i="1"/>
  <c r="O2366" i="1"/>
  <c r="P2366" i="1"/>
  <c r="Q2366" i="1"/>
  <c r="N2367" i="1"/>
  <c r="O2367" i="1"/>
  <c r="P2367" i="1"/>
  <c r="Q2367" i="1"/>
  <c r="N2368" i="1"/>
  <c r="O2368" i="1"/>
  <c r="P2368" i="1"/>
  <c r="Q2368" i="1"/>
  <c r="N2369" i="1"/>
  <c r="O2369" i="1"/>
  <c r="P2369" i="1"/>
  <c r="Q2369" i="1"/>
  <c r="N2370" i="1"/>
  <c r="O2370" i="1"/>
  <c r="P2370" i="1"/>
  <c r="Q2370" i="1"/>
  <c r="N2371" i="1"/>
  <c r="O2371" i="1"/>
  <c r="P2371" i="1"/>
  <c r="Q2371" i="1"/>
  <c r="N2372" i="1"/>
  <c r="O2372" i="1"/>
  <c r="P2372" i="1"/>
  <c r="Q2372" i="1"/>
  <c r="N2373" i="1"/>
  <c r="O2373" i="1"/>
  <c r="P2373" i="1"/>
  <c r="Q2373" i="1"/>
  <c r="N2374" i="1"/>
  <c r="O2374" i="1"/>
  <c r="P2374" i="1"/>
  <c r="Q2374" i="1"/>
  <c r="N2375" i="1"/>
  <c r="O2375" i="1"/>
  <c r="P2375" i="1"/>
  <c r="Q2375" i="1"/>
  <c r="N2376" i="1"/>
  <c r="O2376" i="1"/>
  <c r="P2376" i="1"/>
  <c r="Q2376" i="1"/>
  <c r="N2377" i="1"/>
  <c r="O2377" i="1"/>
  <c r="P2377" i="1"/>
  <c r="Q2377" i="1"/>
  <c r="N2378" i="1"/>
  <c r="O2378" i="1"/>
  <c r="P2378" i="1"/>
  <c r="Q2378" i="1"/>
  <c r="N2379" i="1"/>
  <c r="O2379" i="1"/>
  <c r="P2379" i="1"/>
  <c r="Q2379" i="1"/>
  <c r="N2380" i="1"/>
  <c r="O2380" i="1"/>
  <c r="P2380" i="1"/>
  <c r="Q2380" i="1"/>
  <c r="N2381" i="1"/>
  <c r="O2381" i="1"/>
  <c r="P2381" i="1"/>
  <c r="Q2381" i="1"/>
  <c r="N2382" i="1"/>
  <c r="O2382" i="1"/>
  <c r="P2382" i="1"/>
  <c r="Q2382" i="1"/>
  <c r="N2383" i="1"/>
  <c r="O2383" i="1"/>
  <c r="P2383" i="1"/>
  <c r="Q2383" i="1"/>
  <c r="N2384" i="1"/>
  <c r="O2384" i="1"/>
  <c r="P2384" i="1"/>
  <c r="Q2384" i="1"/>
  <c r="N2385" i="1"/>
  <c r="O2385" i="1"/>
  <c r="P2385" i="1"/>
  <c r="Q2385" i="1"/>
  <c r="N2386" i="1"/>
  <c r="O2386" i="1"/>
  <c r="P2386" i="1"/>
  <c r="Q2386" i="1"/>
  <c r="N2387" i="1"/>
  <c r="O2387" i="1"/>
  <c r="P2387" i="1"/>
  <c r="Q2387" i="1"/>
  <c r="N2388" i="1"/>
  <c r="O2388" i="1"/>
  <c r="P2388" i="1"/>
  <c r="Q2388" i="1"/>
  <c r="N2389" i="1"/>
  <c r="O2389" i="1"/>
  <c r="P2389" i="1"/>
  <c r="Q2389" i="1"/>
  <c r="N2390" i="1"/>
  <c r="O2390" i="1"/>
  <c r="P2390" i="1"/>
  <c r="Q2390" i="1"/>
  <c r="N2391" i="1"/>
  <c r="O2391" i="1"/>
  <c r="P2391" i="1"/>
  <c r="Q2391" i="1"/>
  <c r="N2392" i="1"/>
  <c r="O2392" i="1"/>
  <c r="P2392" i="1"/>
  <c r="Q2392" i="1"/>
  <c r="N2393" i="1"/>
  <c r="O2393" i="1"/>
  <c r="P2393" i="1"/>
  <c r="Q2393" i="1"/>
  <c r="N2394" i="1"/>
  <c r="O2394" i="1"/>
  <c r="P2394" i="1"/>
  <c r="Q2394" i="1"/>
  <c r="N2395" i="1"/>
  <c r="O2395" i="1"/>
  <c r="P2395" i="1"/>
  <c r="Q2395" i="1"/>
  <c r="N2396" i="1"/>
  <c r="O2396" i="1"/>
  <c r="P2396" i="1"/>
  <c r="Q2396" i="1"/>
  <c r="N2397" i="1"/>
  <c r="O2397" i="1"/>
  <c r="P2397" i="1"/>
  <c r="Q2397" i="1"/>
  <c r="N2398" i="1"/>
  <c r="O2398" i="1"/>
  <c r="P2398" i="1"/>
  <c r="Q2398" i="1"/>
  <c r="N2399" i="1"/>
  <c r="O2399" i="1"/>
  <c r="P2399" i="1"/>
  <c r="Q2399" i="1"/>
  <c r="N2400" i="1"/>
  <c r="O2400" i="1"/>
  <c r="P2400" i="1"/>
  <c r="Q2400" i="1"/>
  <c r="N2401" i="1"/>
  <c r="O2401" i="1"/>
  <c r="P2401" i="1"/>
  <c r="Q2401" i="1"/>
  <c r="N2402" i="1"/>
  <c r="O2402" i="1"/>
  <c r="P2402" i="1"/>
  <c r="Q2402" i="1"/>
  <c r="N2403" i="1"/>
  <c r="O2403" i="1"/>
  <c r="P2403" i="1"/>
  <c r="Q2403" i="1"/>
  <c r="N2404" i="1"/>
  <c r="O2404" i="1"/>
  <c r="P2404" i="1"/>
  <c r="Q2404" i="1"/>
  <c r="N2405" i="1"/>
  <c r="O2405" i="1"/>
  <c r="P2405" i="1"/>
  <c r="Q2405" i="1"/>
  <c r="N2406" i="1"/>
  <c r="O2406" i="1"/>
  <c r="P2406" i="1"/>
  <c r="Q2406" i="1"/>
  <c r="N2407" i="1"/>
  <c r="O2407" i="1"/>
  <c r="P2407" i="1"/>
  <c r="Q2407" i="1"/>
  <c r="N2408" i="1"/>
  <c r="O2408" i="1"/>
  <c r="P2408" i="1"/>
  <c r="Q2408" i="1"/>
  <c r="N2409" i="1"/>
  <c r="O2409" i="1"/>
  <c r="P2409" i="1"/>
  <c r="Q2409" i="1"/>
  <c r="N2410" i="1"/>
  <c r="O2410" i="1"/>
  <c r="P2410" i="1"/>
  <c r="Q2410" i="1"/>
  <c r="N2411" i="1"/>
  <c r="O2411" i="1"/>
  <c r="P2411" i="1"/>
  <c r="Q2411" i="1"/>
  <c r="N2412" i="1"/>
  <c r="O2412" i="1"/>
  <c r="P2412" i="1"/>
  <c r="Q2412" i="1"/>
  <c r="N2413" i="1"/>
  <c r="O2413" i="1"/>
  <c r="P2413" i="1"/>
  <c r="Q2413" i="1"/>
  <c r="N2414" i="1"/>
  <c r="O2414" i="1"/>
  <c r="P2414" i="1"/>
  <c r="Q2414" i="1"/>
  <c r="N2415" i="1"/>
  <c r="O2415" i="1"/>
  <c r="P2415" i="1"/>
  <c r="Q2415" i="1"/>
  <c r="N2416" i="1"/>
  <c r="O2416" i="1"/>
  <c r="P2416" i="1"/>
  <c r="Q2416" i="1"/>
  <c r="N2417" i="1"/>
  <c r="O2417" i="1"/>
  <c r="P2417" i="1"/>
  <c r="Q2417" i="1"/>
  <c r="N2418" i="1"/>
  <c r="O2418" i="1"/>
  <c r="P2418" i="1"/>
  <c r="Q2418" i="1"/>
  <c r="N2419" i="1"/>
  <c r="O2419" i="1"/>
  <c r="P2419" i="1"/>
  <c r="Q2419" i="1"/>
  <c r="N2420" i="1"/>
  <c r="O2420" i="1"/>
  <c r="P2420" i="1"/>
  <c r="Q2420" i="1"/>
  <c r="N2421" i="1"/>
  <c r="O2421" i="1"/>
  <c r="P2421" i="1"/>
  <c r="Q2421" i="1"/>
  <c r="N2422" i="1"/>
  <c r="O2422" i="1"/>
  <c r="P2422" i="1"/>
  <c r="Q2422" i="1"/>
  <c r="N2423" i="1"/>
  <c r="O2423" i="1"/>
  <c r="P2423" i="1"/>
  <c r="Q2423" i="1"/>
  <c r="N2424" i="1"/>
  <c r="O2424" i="1"/>
  <c r="P2424" i="1"/>
  <c r="Q2424" i="1"/>
  <c r="N2425" i="1"/>
  <c r="O2425" i="1"/>
  <c r="P2425" i="1"/>
  <c r="Q2425" i="1"/>
  <c r="N2426" i="1"/>
  <c r="O2426" i="1"/>
  <c r="P2426" i="1"/>
  <c r="Q2426" i="1"/>
  <c r="N2427" i="1"/>
  <c r="O2427" i="1"/>
  <c r="P2427" i="1"/>
  <c r="Q2427" i="1"/>
  <c r="N2428" i="1"/>
  <c r="O2428" i="1"/>
  <c r="P2428" i="1"/>
  <c r="Q2428" i="1"/>
  <c r="N2429" i="1"/>
  <c r="O2429" i="1"/>
  <c r="P2429" i="1"/>
  <c r="Q2429" i="1"/>
  <c r="N2430" i="1"/>
  <c r="O2430" i="1"/>
  <c r="P2430" i="1"/>
  <c r="Q2430" i="1"/>
  <c r="N2431" i="1"/>
  <c r="O2431" i="1"/>
  <c r="P2431" i="1"/>
  <c r="Q2431" i="1"/>
  <c r="N2432" i="1"/>
  <c r="O2432" i="1"/>
  <c r="P2432" i="1"/>
  <c r="Q2432" i="1"/>
  <c r="N2433" i="1"/>
  <c r="O2433" i="1"/>
  <c r="P2433" i="1"/>
  <c r="Q2433" i="1"/>
  <c r="N2434" i="1"/>
  <c r="O2434" i="1"/>
  <c r="P2434" i="1"/>
  <c r="Q2434" i="1"/>
  <c r="N2435" i="1"/>
  <c r="O2435" i="1"/>
  <c r="P2435" i="1"/>
  <c r="Q2435" i="1"/>
  <c r="N2436" i="1"/>
  <c r="O2436" i="1"/>
  <c r="P2436" i="1"/>
  <c r="Q2436" i="1"/>
  <c r="N2437" i="1"/>
  <c r="O2437" i="1"/>
  <c r="P2437" i="1"/>
  <c r="Q2437" i="1"/>
  <c r="N2438" i="1"/>
  <c r="O2438" i="1"/>
  <c r="P2438" i="1"/>
  <c r="Q2438" i="1"/>
  <c r="N2439" i="1"/>
  <c r="O2439" i="1"/>
  <c r="P2439" i="1"/>
  <c r="Q2439" i="1"/>
  <c r="N2440" i="1"/>
  <c r="O2440" i="1"/>
  <c r="P2440" i="1"/>
  <c r="Q2440" i="1"/>
  <c r="N2441" i="1"/>
  <c r="O2441" i="1"/>
  <c r="P2441" i="1"/>
  <c r="Q2441" i="1"/>
  <c r="N2442" i="1"/>
  <c r="O2442" i="1"/>
  <c r="P2442" i="1"/>
  <c r="Q2442" i="1"/>
  <c r="N2443" i="1"/>
  <c r="O2443" i="1"/>
  <c r="P2443" i="1"/>
  <c r="Q2443" i="1"/>
  <c r="N2444" i="1"/>
  <c r="O2444" i="1"/>
  <c r="P2444" i="1"/>
  <c r="Q2444" i="1"/>
  <c r="N2445" i="1"/>
  <c r="O2445" i="1"/>
  <c r="P2445" i="1"/>
  <c r="Q2445" i="1"/>
  <c r="N2446" i="1"/>
  <c r="O2446" i="1"/>
  <c r="P2446" i="1"/>
  <c r="Q2446" i="1"/>
  <c r="N2447" i="1"/>
  <c r="O2447" i="1"/>
  <c r="P2447" i="1"/>
  <c r="Q2447" i="1"/>
  <c r="N2448" i="1"/>
  <c r="O2448" i="1"/>
  <c r="P2448" i="1"/>
  <c r="Q2448" i="1"/>
  <c r="N2449" i="1"/>
  <c r="O2449" i="1"/>
  <c r="P2449" i="1"/>
  <c r="Q2449" i="1"/>
  <c r="N2450" i="1"/>
  <c r="O2450" i="1"/>
  <c r="P2450" i="1"/>
  <c r="Q2450" i="1"/>
  <c r="N2451" i="1"/>
  <c r="O2451" i="1"/>
  <c r="P2451" i="1"/>
  <c r="Q2451" i="1"/>
  <c r="N2452" i="1"/>
  <c r="O2452" i="1"/>
  <c r="P2452" i="1"/>
  <c r="Q2452" i="1"/>
  <c r="N2453" i="1"/>
  <c r="O2453" i="1"/>
  <c r="P2453" i="1"/>
  <c r="Q2453" i="1"/>
  <c r="N2454" i="1"/>
  <c r="O2454" i="1"/>
  <c r="P2454" i="1"/>
  <c r="Q2454" i="1"/>
  <c r="N2455" i="1"/>
  <c r="O2455" i="1"/>
  <c r="P2455" i="1"/>
  <c r="Q2455" i="1"/>
  <c r="N2456" i="1"/>
  <c r="O2456" i="1"/>
  <c r="P2456" i="1"/>
  <c r="Q2456" i="1"/>
  <c r="N2457" i="1"/>
  <c r="O2457" i="1"/>
  <c r="P2457" i="1"/>
  <c r="Q2457" i="1"/>
  <c r="N2458" i="1"/>
  <c r="O2458" i="1"/>
  <c r="P2458" i="1"/>
  <c r="Q2458" i="1"/>
  <c r="N2459" i="1"/>
  <c r="O2459" i="1"/>
  <c r="P2459" i="1"/>
  <c r="Q2459" i="1"/>
  <c r="N2460" i="1"/>
  <c r="O2460" i="1"/>
  <c r="P2460" i="1"/>
  <c r="Q2460" i="1"/>
  <c r="N2461" i="1"/>
  <c r="O2461" i="1"/>
  <c r="P2461" i="1"/>
  <c r="Q2461" i="1"/>
  <c r="N2462" i="1"/>
  <c r="O2462" i="1"/>
  <c r="P2462" i="1"/>
  <c r="Q2462" i="1"/>
  <c r="N2463" i="1"/>
  <c r="O2463" i="1"/>
  <c r="P2463" i="1"/>
  <c r="Q2463" i="1"/>
  <c r="N2464" i="1"/>
  <c r="O2464" i="1"/>
  <c r="P2464" i="1"/>
  <c r="Q2464" i="1"/>
  <c r="N2465" i="1"/>
  <c r="O2465" i="1"/>
  <c r="P2465" i="1"/>
  <c r="Q2465" i="1"/>
  <c r="N2466" i="1"/>
  <c r="O2466" i="1"/>
  <c r="P2466" i="1"/>
  <c r="Q2466" i="1"/>
  <c r="N2467" i="1"/>
  <c r="O2467" i="1"/>
  <c r="P2467" i="1"/>
  <c r="Q2467" i="1"/>
  <c r="N2468" i="1"/>
  <c r="O2468" i="1"/>
  <c r="P2468" i="1"/>
  <c r="Q2468" i="1"/>
  <c r="N2469" i="1"/>
  <c r="O2469" i="1"/>
  <c r="P2469" i="1"/>
  <c r="Q2469" i="1"/>
  <c r="N2470" i="1"/>
  <c r="O2470" i="1"/>
  <c r="P2470" i="1"/>
  <c r="Q2470" i="1"/>
  <c r="N2471" i="1"/>
  <c r="O2471" i="1"/>
  <c r="P2471" i="1"/>
  <c r="Q2471" i="1"/>
  <c r="N2472" i="1"/>
  <c r="O2472" i="1"/>
  <c r="P2472" i="1"/>
  <c r="Q2472" i="1"/>
  <c r="N2473" i="1"/>
  <c r="O2473" i="1"/>
  <c r="P2473" i="1"/>
  <c r="Q2473" i="1"/>
  <c r="N2474" i="1"/>
  <c r="O2474" i="1"/>
  <c r="P2474" i="1"/>
  <c r="Q2474" i="1"/>
  <c r="N2475" i="1"/>
  <c r="O2475" i="1"/>
  <c r="P2475" i="1"/>
  <c r="Q2475" i="1"/>
  <c r="N2476" i="1"/>
  <c r="O2476" i="1"/>
  <c r="P2476" i="1"/>
  <c r="Q2476" i="1"/>
  <c r="N2477" i="1"/>
  <c r="O2477" i="1"/>
  <c r="P2477" i="1"/>
  <c r="Q2477" i="1"/>
  <c r="N2478" i="1"/>
  <c r="O2478" i="1"/>
  <c r="P2478" i="1"/>
  <c r="Q2478" i="1"/>
  <c r="N2479" i="1"/>
  <c r="O2479" i="1"/>
  <c r="P2479" i="1"/>
  <c r="Q2479" i="1"/>
  <c r="N2480" i="1"/>
  <c r="O2480" i="1"/>
  <c r="P2480" i="1"/>
  <c r="Q2480" i="1"/>
  <c r="N2481" i="1"/>
  <c r="O2481" i="1"/>
  <c r="P2481" i="1"/>
  <c r="Q2481" i="1"/>
  <c r="N2482" i="1"/>
  <c r="O2482" i="1"/>
  <c r="P2482" i="1"/>
  <c r="Q2482" i="1"/>
  <c r="N2483" i="1"/>
  <c r="O2483" i="1"/>
  <c r="P2483" i="1"/>
  <c r="Q2483" i="1"/>
  <c r="N2484" i="1"/>
  <c r="O2484" i="1"/>
  <c r="P2484" i="1"/>
  <c r="Q2484" i="1"/>
  <c r="N2485" i="1"/>
  <c r="O2485" i="1"/>
  <c r="P2485" i="1"/>
  <c r="Q2485" i="1"/>
  <c r="N2486" i="1"/>
  <c r="O2486" i="1"/>
  <c r="P2486" i="1"/>
  <c r="Q2486" i="1"/>
  <c r="N2487" i="1"/>
  <c r="O2487" i="1"/>
  <c r="P2487" i="1"/>
  <c r="Q2487" i="1"/>
  <c r="N2488" i="1"/>
  <c r="O2488" i="1"/>
  <c r="P2488" i="1"/>
  <c r="Q2488" i="1"/>
  <c r="N2489" i="1"/>
  <c r="O2489" i="1"/>
  <c r="P2489" i="1"/>
  <c r="Q2489" i="1"/>
  <c r="N2490" i="1"/>
  <c r="O2490" i="1"/>
  <c r="P2490" i="1"/>
  <c r="Q2490" i="1"/>
  <c r="N2491" i="1"/>
  <c r="O2491" i="1"/>
  <c r="P2491" i="1"/>
  <c r="Q2491" i="1"/>
  <c r="N2492" i="1"/>
  <c r="O2492" i="1"/>
  <c r="P2492" i="1"/>
  <c r="Q2492" i="1"/>
  <c r="N2493" i="1"/>
  <c r="O2493" i="1"/>
  <c r="P2493" i="1"/>
  <c r="Q2493" i="1"/>
  <c r="N2494" i="1"/>
  <c r="O2494" i="1"/>
  <c r="P2494" i="1"/>
  <c r="Q2494" i="1"/>
  <c r="N2495" i="1"/>
  <c r="O2495" i="1"/>
  <c r="P2495" i="1"/>
  <c r="Q2495" i="1"/>
  <c r="N2496" i="1"/>
  <c r="O2496" i="1"/>
  <c r="P2496" i="1"/>
  <c r="Q2496" i="1"/>
  <c r="N2497" i="1"/>
  <c r="O2497" i="1"/>
  <c r="P2497" i="1"/>
  <c r="Q2497" i="1"/>
  <c r="N2498" i="1"/>
  <c r="O2498" i="1"/>
  <c r="P2498" i="1"/>
  <c r="Q2498" i="1"/>
  <c r="N2499" i="1"/>
  <c r="O2499" i="1"/>
  <c r="P2499" i="1"/>
  <c r="Q2499" i="1"/>
  <c r="N2500" i="1"/>
  <c r="O2500" i="1"/>
  <c r="P2500" i="1"/>
  <c r="Q2500" i="1"/>
  <c r="N2501" i="1"/>
  <c r="O2501" i="1"/>
  <c r="P2501" i="1"/>
  <c r="Q2501" i="1"/>
  <c r="N2502" i="1"/>
  <c r="O2502" i="1"/>
  <c r="P2502" i="1"/>
  <c r="Q2502" i="1"/>
  <c r="N2503" i="1"/>
  <c r="O2503" i="1"/>
  <c r="P2503" i="1"/>
  <c r="Q2503" i="1"/>
  <c r="N2504" i="1"/>
  <c r="O2504" i="1"/>
  <c r="P2504" i="1"/>
  <c r="Q2504" i="1"/>
  <c r="N2505" i="1"/>
  <c r="O2505" i="1"/>
  <c r="P2505" i="1"/>
  <c r="Q2505" i="1"/>
  <c r="N2506" i="1"/>
  <c r="O2506" i="1"/>
  <c r="P2506" i="1"/>
  <c r="Q2506" i="1"/>
  <c r="N2507" i="1"/>
  <c r="O2507" i="1"/>
  <c r="P2507" i="1"/>
  <c r="Q2507" i="1"/>
  <c r="N2508" i="1"/>
  <c r="O2508" i="1"/>
  <c r="P2508" i="1"/>
  <c r="Q2508" i="1"/>
  <c r="N2509" i="1"/>
  <c r="O2509" i="1"/>
  <c r="P2509" i="1"/>
  <c r="Q2509" i="1"/>
  <c r="N2510" i="1"/>
  <c r="O2510" i="1"/>
  <c r="P2510" i="1"/>
  <c r="Q2510" i="1"/>
  <c r="N2511" i="1"/>
  <c r="O2511" i="1"/>
  <c r="P2511" i="1"/>
  <c r="Q2511" i="1"/>
  <c r="N2512" i="1"/>
  <c r="O2512" i="1"/>
  <c r="P2512" i="1"/>
  <c r="Q2512" i="1"/>
  <c r="N2513" i="1"/>
  <c r="O2513" i="1"/>
  <c r="P2513" i="1"/>
  <c r="Q2513" i="1"/>
  <c r="N2514" i="1"/>
  <c r="O2514" i="1"/>
  <c r="P2514" i="1"/>
  <c r="Q2514" i="1"/>
  <c r="N2515" i="1"/>
  <c r="O2515" i="1"/>
  <c r="P2515" i="1"/>
  <c r="Q2515" i="1"/>
  <c r="N2516" i="1"/>
  <c r="O2516" i="1"/>
  <c r="P2516" i="1"/>
  <c r="Q2516" i="1"/>
  <c r="N2517" i="1"/>
  <c r="O2517" i="1"/>
  <c r="P2517" i="1"/>
  <c r="Q2517" i="1"/>
  <c r="N2518" i="1"/>
  <c r="O2518" i="1"/>
  <c r="P2518" i="1"/>
  <c r="Q2518" i="1"/>
  <c r="N2519" i="1"/>
  <c r="O2519" i="1"/>
  <c r="P2519" i="1"/>
  <c r="Q2519" i="1"/>
  <c r="N2520" i="1"/>
  <c r="O2520" i="1"/>
  <c r="P2520" i="1"/>
  <c r="Q2520" i="1"/>
  <c r="N2521" i="1"/>
  <c r="O2521" i="1"/>
  <c r="P2521" i="1"/>
  <c r="Q2521" i="1"/>
  <c r="N2522" i="1"/>
  <c r="O2522" i="1"/>
  <c r="P2522" i="1"/>
  <c r="Q2522" i="1"/>
  <c r="N2523" i="1"/>
  <c r="O2523" i="1"/>
  <c r="P2523" i="1"/>
  <c r="Q2523" i="1"/>
  <c r="N2524" i="1"/>
  <c r="O2524" i="1"/>
  <c r="P2524" i="1"/>
  <c r="Q2524" i="1"/>
  <c r="N2525" i="1"/>
  <c r="O2525" i="1"/>
  <c r="P2525" i="1"/>
  <c r="Q2525" i="1"/>
  <c r="N2526" i="1"/>
  <c r="O2526" i="1"/>
  <c r="P2526" i="1"/>
  <c r="Q2526" i="1"/>
  <c r="N2527" i="1"/>
  <c r="O2527" i="1"/>
  <c r="P2527" i="1"/>
  <c r="Q2527" i="1"/>
  <c r="N2528" i="1"/>
  <c r="O2528" i="1"/>
  <c r="P2528" i="1"/>
  <c r="Q2528" i="1"/>
  <c r="N2529" i="1"/>
  <c r="O2529" i="1"/>
  <c r="P2529" i="1"/>
  <c r="Q2529" i="1"/>
  <c r="N2530" i="1"/>
  <c r="O2530" i="1"/>
  <c r="P2530" i="1"/>
  <c r="Q2530" i="1"/>
  <c r="N2531" i="1"/>
  <c r="O2531" i="1"/>
  <c r="P2531" i="1"/>
  <c r="Q2531" i="1"/>
  <c r="N2532" i="1"/>
  <c r="O2532" i="1"/>
  <c r="P2532" i="1"/>
  <c r="Q2532" i="1"/>
  <c r="N2533" i="1"/>
  <c r="O2533" i="1"/>
  <c r="P2533" i="1"/>
  <c r="Q2533" i="1"/>
  <c r="N2534" i="1"/>
  <c r="O2534" i="1"/>
  <c r="P2534" i="1"/>
  <c r="Q2534" i="1"/>
  <c r="N2535" i="1"/>
  <c r="O2535" i="1"/>
  <c r="P2535" i="1"/>
  <c r="Q2535" i="1"/>
  <c r="N2536" i="1"/>
  <c r="O2536" i="1"/>
  <c r="P2536" i="1"/>
  <c r="Q2536" i="1"/>
  <c r="N2537" i="1"/>
  <c r="O2537" i="1"/>
  <c r="P2537" i="1"/>
  <c r="Q2537" i="1"/>
  <c r="N2538" i="1"/>
  <c r="O2538" i="1"/>
  <c r="P2538" i="1"/>
  <c r="Q2538" i="1"/>
  <c r="N2539" i="1"/>
  <c r="O2539" i="1"/>
  <c r="P2539" i="1"/>
  <c r="Q2539" i="1"/>
  <c r="N2540" i="1"/>
  <c r="O2540" i="1"/>
  <c r="P2540" i="1"/>
  <c r="Q2540" i="1"/>
  <c r="N2541" i="1"/>
  <c r="O2541" i="1"/>
  <c r="P2541" i="1"/>
  <c r="Q2541" i="1"/>
  <c r="N2542" i="1"/>
  <c r="O2542" i="1"/>
  <c r="P2542" i="1"/>
  <c r="Q2542" i="1"/>
  <c r="N2543" i="1"/>
  <c r="O2543" i="1"/>
  <c r="P2543" i="1"/>
  <c r="Q2543" i="1"/>
  <c r="N2544" i="1"/>
  <c r="O2544" i="1"/>
  <c r="P2544" i="1"/>
  <c r="Q2544" i="1"/>
  <c r="N2545" i="1"/>
  <c r="O2545" i="1"/>
  <c r="P2545" i="1"/>
  <c r="Q2545" i="1"/>
  <c r="N2546" i="1"/>
  <c r="O2546" i="1"/>
  <c r="P2546" i="1"/>
  <c r="Q2546" i="1"/>
  <c r="N2547" i="1"/>
  <c r="O2547" i="1"/>
  <c r="P2547" i="1"/>
  <c r="Q2547" i="1"/>
  <c r="N2548" i="1"/>
  <c r="O2548" i="1"/>
  <c r="P2548" i="1"/>
  <c r="Q2548" i="1"/>
  <c r="N2549" i="1"/>
  <c r="O2549" i="1"/>
  <c r="P2549" i="1"/>
  <c r="Q2549" i="1"/>
  <c r="N2550" i="1"/>
  <c r="O2550" i="1"/>
  <c r="P2550" i="1"/>
  <c r="Q2550" i="1"/>
  <c r="N2551" i="1"/>
  <c r="O2551" i="1"/>
  <c r="P2551" i="1"/>
  <c r="Q2551" i="1"/>
  <c r="N2552" i="1"/>
  <c r="O2552" i="1"/>
  <c r="P2552" i="1"/>
  <c r="Q2552" i="1"/>
  <c r="N2553" i="1"/>
  <c r="O2553" i="1"/>
  <c r="P2553" i="1"/>
  <c r="Q2553" i="1"/>
  <c r="N2554" i="1"/>
  <c r="O2554" i="1"/>
  <c r="P2554" i="1"/>
  <c r="Q2554" i="1"/>
  <c r="N2555" i="1"/>
  <c r="O2555" i="1"/>
  <c r="P2555" i="1"/>
  <c r="Q2555" i="1"/>
  <c r="N2556" i="1"/>
  <c r="O2556" i="1"/>
  <c r="P2556" i="1"/>
  <c r="Q2556" i="1"/>
  <c r="N2557" i="1"/>
  <c r="O2557" i="1"/>
  <c r="P2557" i="1"/>
  <c r="Q2557" i="1"/>
  <c r="N2558" i="1"/>
  <c r="O2558" i="1"/>
  <c r="P2558" i="1"/>
  <c r="Q2558" i="1"/>
  <c r="N2559" i="1"/>
  <c r="O2559" i="1"/>
  <c r="P2559" i="1"/>
  <c r="Q2559" i="1"/>
  <c r="N2560" i="1"/>
  <c r="O2560" i="1"/>
  <c r="P2560" i="1"/>
  <c r="Q2560" i="1"/>
  <c r="N2561" i="1"/>
  <c r="O2561" i="1"/>
  <c r="P2561" i="1"/>
  <c r="Q2561" i="1"/>
  <c r="N2562" i="1"/>
  <c r="O2562" i="1"/>
  <c r="P2562" i="1"/>
  <c r="Q2562" i="1"/>
  <c r="N2563" i="1"/>
  <c r="O2563" i="1"/>
  <c r="P2563" i="1"/>
  <c r="Q2563" i="1"/>
  <c r="N2564" i="1"/>
  <c r="O2564" i="1"/>
  <c r="P2564" i="1"/>
  <c r="Q2564" i="1"/>
  <c r="N2565" i="1"/>
  <c r="O2565" i="1"/>
  <c r="P2565" i="1"/>
  <c r="Q2565" i="1"/>
  <c r="N2566" i="1"/>
  <c r="O2566" i="1"/>
  <c r="P2566" i="1"/>
  <c r="Q2566" i="1"/>
  <c r="N2567" i="1"/>
  <c r="O2567" i="1"/>
  <c r="P2567" i="1"/>
  <c r="Q2567" i="1"/>
  <c r="N2568" i="1"/>
  <c r="O2568" i="1"/>
  <c r="P2568" i="1"/>
  <c r="Q2568" i="1"/>
  <c r="N2569" i="1"/>
  <c r="O2569" i="1"/>
  <c r="P2569" i="1"/>
  <c r="Q2569" i="1"/>
  <c r="N2570" i="1"/>
  <c r="O2570" i="1"/>
  <c r="P2570" i="1"/>
  <c r="Q2570" i="1"/>
  <c r="N2571" i="1"/>
  <c r="O2571" i="1"/>
  <c r="P2571" i="1"/>
  <c r="Q2571" i="1"/>
  <c r="N2572" i="1"/>
  <c r="O2572" i="1"/>
  <c r="P2572" i="1"/>
  <c r="Q2572" i="1"/>
  <c r="N2573" i="1"/>
  <c r="O2573" i="1"/>
  <c r="P2573" i="1"/>
  <c r="Q2573" i="1"/>
  <c r="N2574" i="1"/>
  <c r="O2574" i="1"/>
  <c r="P2574" i="1"/>
  <c r="Q2574" i="1"/>
  <c r="N2575" i="1"/>
  <c r="O2575" i="1"/>
  <c r="P2575" i="1"/>
  <c r="Q2575" i="1"/>
  <c r="N2576" i="1"/>
  <c r="O2576" i="1"/>
  <c r="P2576" i="1"/>
  <c r="Q2576" i="1"/>
  <c r="N2577" i="1"/>
  <c r="O2577" i="1"/>
  <c r="P2577" i="1"/>
  <c r="Q2577" i="1"/>
  <c r="N2578" i="1"/>
  <c r="O2578" i="1"/>
  <c r="P2578" i="1"/>
  <c r="Q2578" i="1"/>
  <c r="N2579" i="1"/>
  <c r="O2579" i="1"/>
  <c r="P2579" i="1"/>
  <c r="Q2579" i="1"/>
  <c r="N2580" i="1"/>
  <c r="O2580" i="1"/>
  <c r="P2580" i="1"/>
  <c r="Q2580" i="1"/>
  <c r="N2581" i="1"/>
  <c r="O2581" i="1"/>
  <c r="P2581" i="1"/>
  <c r="Q2581" i="1"/>
  <c r="N2582" i="1"/>
  <c r="O2582" i="1"/>
  <c r="P2582" i="1"/>
  <c r="Q2582" i="1"/>
  <c r="N2583" i="1"/>
  <c r="O2583" i="1"/>
  <c r="P2583" i="1"/>
  <c r="Q2583" i="1"/>
  <c r="N2584" i="1"/>
  <c r="O2584" i="1"/>
  <c r="P2584" i="1"/>
  <c r="Q2584" i="1"/>
  <c r="N2585" i="1"/>
  <c r="O2585" i="1"/>
  <c r="P2585" i="1"/>
  <c r="Q2585" i="1"/>
  <c r="N2586" i="1"/>
  <c r="O2586" i="1"/>
  <c r="P2586" i="1"/>
  <c r="Q2586" i="1"/>
  <c r="N2587" i="1"/>
  <c r="O2587" i="1"/>
  <c r="P2587" i="1"/>
  <c r="Q2587" i="1"/>
  <c r="N2588" i="1"/>
  <c r="O2588" i="1"/>
  <c r="P2588" i="1"/>
  <c r="Q2588" i="1"/>
  <c r="N2589" i="1"/>
  <c r="O2589" i="1"/>
  <c r="P2589" i="1"/>
  <c r="Q2589" i="1"/>
  <c r="N2590" i="1"/>
  <c r="O2590" i="1"/>
  <c r="P2590" i="1"/>
  <c r="Q2590" i="1"/>
  <c r="N2591" i="1"/>
  <c r="O2591" i="1"/>
  <c r="P2591" i="1"/>
  <c r="Q2591" i="1"/>
  <c r="N2592" i="1"/>
  <c r="O2592" i="1"/>
  <c r="P2592" i="1"/>
  <c r="Q2592" i="1"/>
  <c r="N2593" i="1"/>
  <c r="O2593" i="1"/>
  <c r="P2593" i="1"/>
  <c r="Q2593" i="1"/>
  <c r="N2594" i="1"/>
  <c r="O2594" i="1"/>
  <c r="P2594" i="1"/>
  <c r="Q2594" i="1"/>
  <c r="N2595" i="1"/>
  <c r="O2595" i="1"/>
  <c r="P2595" i="1"/>
  <c r="Q2595" i="1"/>
  <c r="N2596" i="1"/>
  <c r="O2596" i="1"/>
  <c r="P2596" i="1"/>
  <c r="Q2596" i="1"/>
  <c r="N2597" i="1"/>
  <c r="O2597" i="1"/>
  <c r="P2597" i="1"/>
  <c r="Q2597" i="1"/>
  <c r="N2598" i="1"/>
  <c r="O2598" i="1"/>
  <c r="P2598" i="1"/>
  <c r="Q2598" i="1"/>
  <c r="N2599" i="1"/>
  <c r="O2599" i="1"/>
  <c r="P2599" i="1"/>
  <c r="Q2599" i="1"/>
  <c r="N2600" i="1"/>
  <c r="O2600" i="1"/>
  <c r="P2600" i="1"/>
  <c r="Q2600" i="1"/>
  <c r="N2601" i="1"/>
  <c r="O2601" i="1"/>
  <c r="P2601" i="1"/>
  <c r="Q2601" i="1"/>
  <c r="N2602" i="1"/>
  <c r="O2602" i="1"/>
  <c r="P2602" i="1"/>
  <c r="Q2602" i="1"/>
  <c r="N2603" i="1"/>
  <c r="O2603" i="1"/>
  <c r="P2603" i="1"/>
  <c r="Q2603" i="1"/>
  <c r="N2604" i="1"/>
  <c r="O2604" i="1"/>
  <c r="P2604" i="1"/>
  <c r="Q2604" i="1"/>
  <c r="N2605" i="1"/>
  <c r="O2605" i="1"/>
  <c r="P2605" i="1"/>
  <c r="Q2605" i="1"/>
  <c r="N2606" i="1"/>
  <c r="O2606" i="1"/>
  <c r="P2606" i="1"/>
  <c r="Q2606" i="1"/>
  <c r="N2607" i="1"/>
  <c r="O2607" i="1"/>
  <c r="P2607" i="1"/>
  <c r="Q2607" i="1"/>
  <c r="N2608" i="1"/>
  <c r="O2608" i="1"/>
  <c r="P2608" i="1"/>
  <c r="Q2608" i="1"/>
  <c r="N2609" i="1"/>
  <c r="O2609" i="1"/>
  <c r="P2609" i="1"/>
  <c r="Q2609" i="1"/>
  <c r="N2610" i="1"/>
  <c r="O2610" i="1"/>
  <c r="P2610" i="1"/>
  <c r="Q2610" i="1"/>
  <c r="N2611" i="1"/>
  <c r="O2611" i="1"/>
  <c r="P2611" i="1"/>
  <c r="Q2611" i="1"/>
  <c r="N2612" i="1"/>
  <c r="O2612" i="1"/>
  <c r="P2612" i="1"/>
  <c r="Q2612" i="1"/>
  <c r="N2613" i="1"/>
  <c r="O2613" i="1"/>
  <c r="P2613" i="1"/>
  <c r="Q2613" i="1"/>
  <c r="N2614" i="1"/>
  <c r="O2614" i="1"/>
  <c r="P2614" i="1"/>
  <c r="Q2614" i="1"/>
  <c r="N2615" i="1"/>
  <c r="O2615" i="1"/>
  <c r="P2615" i="1"/>
  <c r="Q2615" i="1"/>
  <c r="N2616" i="1"/>
  <c r="O2616" i="1"/>
  <c r="P2616" i="1"/>
  <c r="Q2616" i="1"/>
  <c r="N2617" i="1"/>
  <c r="O2617" i="1"/>
  <c r="P2617" i="1"/>
  <c r="Q2617" i="1"/>
  <c r="N2618" i="1"/>
  <c r="O2618" i="1"/>
  <c r="P2618" i="1"/>
  <c r="Q2618" i="1"/>
  <c r="N2619" i="1"/>
  <c r="O2619" i="1"/>
  <c r="P2619" i="1"/>
  <c r="Q2619" i="1"/>
  <c r="N2620" i="1"/>
  <c r="O2620" i="1"/>
  <c r="P2620" i="1"/>
  <c r="Q2620" i="1"/>
  <c r="N2621" i="1"/>
  <c r="O2621" i="1"/>
  <c r="P2621" i="1"/>
  <c r="Q2621" i="1"/>
  <c r="N2622" i="1"/>
  <c r="O2622" i="1"/>
  <c r="P2622" i="1"/>
  <c r="Q2622" i="1"/>
  <c r="N2623" i="1"/>
  <c r="O2623" i="1"/>
  <c r="P2623" i="1"/>
  <c r="Q2623" i="1"/>
  <c r="N2624" i="1"/>
  <c r="O2624" i="1"/>
  <c r="P2624" i="1"/>
  <c r="Q2624" i="1"/>
  <c r="N2625" i="1"/>
  <c r="O2625" i="1"/>
  <c r="P2625" i="1"/>
  <c r="Q2625" i="1"/>
  <c r="N2626" i="1"/>
  <c r="O2626" i="1"/>
  <c r="P2626" i="1"/>
  <c r="Q2626" i="1"/>
  <c r="N2627" i="1"/>
  <c r="O2627" i="1"/>
  <c r="P2627" i="1"/>
  <c r="Q2627" i="1"/>
  <c r="N2628" i="1"/>
  <c r="O2628" i="1"/>
  <c r="P2628" i="1"/>
  <c r="Q2628" i="1"/>
  <c r="N2629" i="1"/>
  <c r="O2629" i="1"/>
  <c r="P2629" i="1"/>
  <c r="Q2629" i="1"/>
  <c r="N2630" i="1"/>
  <c r="O2630" i="1"/>
  <c r="P2630" i="1"/>
  <c r="Q2630" i="1"/>
  <c r="N2631" i="1"/>
  <c r="O2631" i="1"/>
  <c r="P2631" i="1"/>
  <c r="Q2631" i="1"/>
  <c r="N2632" i="1"/>
  <c r="O2632" i="1"/>
  <c r="P2632" i="1"/>
  <c r="Q2632" i="1"/>
  <c r="N2633" i="1"/>
  <c r="O2633" i="1"/>
  <c r="P2633" i="1"/>
  <c r="Q2633" i="1"/>
  <c r="N2634" i="1"/>
  <c r="O2634" i="1"/>
  <c r="P2634" i="1"/>
  <c r="Q2634" i="1"/>
  <c r="N2635" i="1"/>
  <c r="O2635" i="1"/>
  <c r="P2635" i="1"/>
  <c r="Q2635" i="1"/>
  <c r="N2636" i="1"/>
  <c r="O2636" i="1"/>
  <c r="P2636" i="1"/>
  <c r="Q2636" i="1"/>
  <c r="N2637" i="1"/>
  <c r="O2637" i="1"/>
  <c r="P2637" i="1"/>
  <c r="Q2637" i="1"/>
  <c r="N2638" i="1"/>
  <c r="O2638" i="1"/>
  <c r="P2638" i="1"/>
  <c r="Q2638" i="1"/>
  <c r="N2639" i="1"/>
  <c r="O2639" i="1"/>
  <c r="P2639" i="1"/>
  <c r="Q2639" i="1"/>
  <c r="N2640" i="1"/>
  <c r="O2640" i="1"/>
  <c r="P2640" i="1"/>
  <c r="Q2640" i="1"/>
  <c r="N2641" i="1"/>
  <c r="O2641" i="1"/>
  <c r="P2641" i="1"/>
  <c r="Q2641" i="1"/>
  <c r="N2642" i="1"/>
  <c r="O2642" i="1"/>
  <c r="P2642" i="1"/>
  <c r="Q2642" i="1"/>
  <c r="N2643" i="1"/>
  <c r="O2643" i="1"/>
  <c r="P2643" i="1"/>
  <c r="Q2643" i="1"/>
  <c r="N2644" i="1"/>
  <c r="O2644" i="1"/>
  <c r="P2644" i="1"/>
  <c r="Q2644" i="1"/>
  <c r="N2645" i="1"/>
  <c r="O2645" i="1"/>
  <c r="P2645" i="1"/>
  <c r="Q2645" i="1"/>
  <c r="N2646" i="1"/>
  <c r="O2646" i="1"/>
  <c r="P2646" i="1"/>
  <c r="Q2646" i="1"/>
  <c r="N2647" i="1"/>
  <c r="O2647" i="1"/>
  <c r="P2647" i="1"/>
  <c r="Q2647" i="1"/>
  <c r="N2648" i="1"/>
  <c r="O2648" i="1"/>
  <c r="P2648" i="1"/>
  <c r="Q2648" i="1"/>
  <c r="N2649" i="1"/>
  <c r="O2649" i="1"/>
  <c r="P2649" i="1"/>
  <c r="Q2649" i="1"/>
  <c r="N2650" i="1"/>
  <c r="O2650" i="1"/>
  <c r="P2650" i="1"/>
  <c r="Q2650" i="1"/>
  <c r="N2651" i="1"/>
  <c r="O2651" i="1"/>
  <c r="P2651" i="1"/>
  <c r="Q2651" i="1"/>
  <c r="N2652" i="1"/>
  <c r="O2652" i="1"/>
  <c r="P2652" i="1"/>
  <c r="Q2652" i="1"/>
  <c r="N2653" i="1"/>
  <c r="O2653" i="1"/>
  <c r="P2653" i="1"/>
  <c r="Q2653" i="1"/>
  <c r="N2654" i="1"/>
  <c r="O2654" i="1"/>
  <c r="P2654" i="1"/>
  <c r="Q2654" i="1"/>
  <c r="N2655" i="1"/>
  <c r="O2655" i="1"/>
  <c r="P2655" i="1"/>
  <c r="Q2655" i="1"/>
  <c r="N2656" i="1"/>
  <c r="O2656" i="1"/>
  <c r="P2656" i="1"/>
  <c r="Q2656" i="1"/>
  <c r="N2657" i="1"/>
  <c r="O2657" i="1"/>
  <c r="P2657" i="1"/>
  <c r="Q2657" i="1"/>
  <c r="N2658" i="1"/>
  <c r="O2658" i="1"/>
  <c r="P2658" i="1"/>
  <c r="Q2658" i="1"/>
  <c r="N2659" i="1"/>
  <c r="O2659" i="1"/>
  <c r="P2659" i="1"/>
  <c r="Q2659" i="1"/>
  <c r="N2660" i="1"/>
  <c r="O2660" i="1"/>
  <c r="P2660" i="1"/>
  <c r="Q2660" i="1"/>
  <c r="N2661" i="1"/>
  <c r="O2661" i="1"/>
  <c r="P2661" i="1"/>
  <c r="Q2661" i="1"/>
  <c r="N2662" i="1"/>
  <c r="O2662" i="1"/>
  <c r="P2662" i="1"/>
  <c r="Q2662" i="1"/>
  <c r="N2663" i="1"/>
  <c r="O2663" i="1"/>
  <c r="P2663" i="1"/>
  <c r="Q2663" i="1"/>
  <c r="N2664" i="1"/>
  <c r="O2664" i="1"/>
  <c r="P2664" i="1"/>
  <c r="Q2664" i="1"/>
  <c r="N2665" i="1"/>
  <c r="O2665" i="1"/>
  <c r="P2665" i="1"/>
  <c r="Q2665" i="1"/>
  <c r="N2666" i="1"/>
  <c r="O2666" i="1"/>
  <c r="P2666" i="1"/>
  <c r="Q2666" i="1"/>
  <c r="N2667" i="1"/>
  <c r="O2667" i="1"/>
  <c r="P2667" i="1"/>
  <c r="Q2667" i="1"/>
  <c r="N2668" i="1"/>
  <c r="O2668" i="1"/>
  <c r="P2668" i="1"/>
  <c r="Q2668" i="1"/>
  <c r="N2669" i="1"/>
  <c r="O2669" i="1"/>
  <c r="P2669" i="1"/>
  <c r="Q2669" i="1"/>
  <c r="N2670" i="1"/>
  <c r="O2670" i="1"/>
  <c r="P2670" i="1"/>
  <c r="Q2670" i="1"/>
  <c r="N2671" i="1"/>
  <c r="O2671" i="1"/>
  <c r="P2671" i="1"/>
  <c r="Q2671" i="1"/>
  <c r="N2672" i="1"/>
  <c r="O2672" i="1"/>
  <c r="P2672" i="1"/>
  <c r="Q2672" i="1"/>
  <c r="N2673" i="1"/>
  <c r="O2673" i="1"/>
  <c r="P2673" i="1"/>
  <c r="Q2673" i="1"/>
  <c r="N2674" i="1"/>
  <c r="O2674" i="1"/>
  <c r="P2674" i="1"/>
  <c r="Q2674" i="1"/>
  <c r="N2675" i="1"/>
  <c r="O2675" i="1"/>
  <c r="P2675" i="1"/>
  <c r="Q2675" i="1"/>
  <c r="N2676" i="1"/>
  <c r="O2676" i="1"/>
  <c r="P2676" i="1"/>
  <c r="Q2676" i="1"/>
  <c r="N2677" i="1"/>
  <c r="O2677" i="1"/>
  <c r="P2677" i="1"/>
  <c r="Q2677" i="1"/>
  <c r="N2678" i="1"/>
  <c r="O2678" i="1"/>
  <c r="P2678" i="1"/>
  <c r="Q2678" i="1"/>
  <c r="N2679" i="1"/>
  <c r="O2679" i="1"/>
  <c r="P2679" i="1"/>
  <c r="Q2679" i="1"/>
  <c r="N2680" i="1"/>
  <c r="O2680" i="1"/>
  <c r="P2680" i="1"/>
  <c r="Q2680" i="1"/>
  <c r="N2681" i="1"/>
  <c r="O2681" i="1"/>
  <c r="P2681" i="1"/>
  <c r="Q2681" i="1"/>
  <c r="N2682" i="1"/>
  <c r="O2682" i="1"/>
  <c r="P2682" i="1"/>
  <c r="Q2682" i="1"/>
  <c r="N2683" i="1"/>
  <c r="O2683" i="1"/>
  <c r="P2683" i="1"/>
  <c r="Q2683" i="1"/>
  <c r="N2684" i="1"/>
  <c r="O2684" i="1"/>
  <c r="P2684" i="1"/>
  <c r="Q2684" i="1"/>
  <c r="N2685" i="1"/>
  <c r="O2685" i="1"/>
  <c r="P2685" i="1"/>
  <c r="Q2685" i="1"/>
  <c r="N2686" i="1"/>
  <c r="O2686" i="1"/>
  <c r="P2686" i="1"/>
  <c r="Q2686" i="1"/>
  <c r="N2687" i="1"/>
  <c r="O2687" i="1"/>
  <c r="P2687" i="1"/>
  <c r="Q2687" i="1"/>
  <c r="N2688" i="1"/>
  <c r="O2688" i="1"/>
  <c r="P2688" i="1"/>
  <c r="Q2688" i="1"/>
  <c r="N2689" i="1"/>
  <c r="O2689" i="1"/>
  <c r="P2689" i="1"/>
  <c r="Q2689" i="1"/>
  <c r="N2690" i="1"/>
  <c r="O2690" i="1"/>
  <c r="P2690" i="1"/>
  <c r="Q2690" i="1"/>
  <c r="N2691" i="1"/>
  <c r="O2691" i="1"/>
  <c r="P2691" i="1"/>
  <c r="Q2691" i="1"/>
  <c r="N2692" i="1"/>
  <c r="O2692" i="1"/>
  <c r="P2692" i="1"/>
  <c r="Q2692" i="1"/>
  <c r="N2693" i="1"/>
  <c r="O2693" i="1"/>
  <c r="P2693" i="1"/>
  <c r="Q2693" i="1"/>
  <c r="N2694" i="1"/>
  <c r="O2694" i="1"/>
  <c r="P2694" i="1"/>
  <c r="Q2694" i="1"/>
  <c r="N2695" i="1"/>
  <c r="O2695" i="1"/>
  <c r="P2695" i="1"/>
  <c r="Q2695" i="1"/>
  <c r="N2696" i="1"/>
  <c r="O2696" i="1"/>
  <c r="P2696" i="1"/>
  <c r="Q2696" i="1"/>
  <c r="N2697" i="1"/>
  <c r="O2697" i="1"/>
  <c r="P2697" i="1"/>
  <c r="Q2697" i="1"/>
  <c r="N2698" i="1"/>
  <c r="O2698" i="1"/>
  <c r="P2698" i="1"/>
  <c r="Q2698" i="1"/>
  <c r="N2699" i="1"/>
  <c r="O2699" i="1"/>
  <c r="P2699" i="1"/>
  <c r="Q2699" i="1"/>
  <c r="N2700" i="1"/>
  <c r="O2700" i="1"/>
  <c r="P2700" i="1"/>
  <c r="Q2700" i="1"/>
  <c r="N2701" i="1"/>
  <c r="O2701" i="1"/>
  <c r="P2701" i="1"/>
  <c r="Q2701" i="1"/>
  <c r="N2702" i="1"/>
  <c r="O2702" i="1"/>
  <c r="P2702" i="1"/>
  <c r="Q2702" i="1"/>
  <c r="N2703" i="1"/>
  <c r="O2703" i="1"/>
  <c r="P2703" i="1"/>
  <c r="Q2703" i="1"/>
  <c r="N2704" i="1"/>
  <c r="O2704" i="1"/>
  <c r="P2704" i="1"/>
  <c r="Q2704" i="1"/>
  <c r="N2705" i="1"/>
  <c r="O2705" i="1"/>
  <c r="P2705" i="1"/>
  <c r="Q2705" i="1"/>
  <c r="N2706" i="1"/>
  <c r="O2706" i="1"/>
  <c r="P2706" i="1"/>
  <c r="Q2706" i="1"/>
  <c r="N2707" i="1"/>
  <c r="O2707" i="1"/>
  <c r="P2707" i="1"/>
  <c r="Q2707" i="1"/>
  <c r="N2708" i="1"/>
  <c r="O2708" i="1"/>
  <c r="P2708" i="1"/>
  <c r="Q2708" i="1"/>
  <c r="N2709" i="1"/>
  <c r="O2709" i="1"/>
  <c r="P2709" i="1"/>
  <c r="Q2709" i="1"/>
  <c r="N2710" i="1"/>
  <c r="O2710" i="1"/>
  <c r="P2710" i="1"/>
  <c r="Q2710" i="1"/>
  <c r="N2711" i="1"/>
  <c r="O2711" i="1"/>
  <c r="P2711" i="1"/>
  <c r="Q2711" i="1"/>
  <c r="N2712" i="1"/>
  <c r="O2712" i="1"/>
  <c r="P2712" i="1"/>
  <c r="Q2712" i="1"/>
  <c r="N2713" i="1"/>
  <c r="O2713" i="1"/>
  <c r="P2713" i="1"/>
  <c r="Q2713" i="1"/>
  <c r="N2714" i="1"/>
  <c r="O2714" i="1"/>
  <c r="P2714" i="1"/>
  <c r="Q2714" i="1"/>
  <c r="N2715" i="1"/>
  <c r="O2715" i="1"/>
  <c r="P2715" i="1"/>
  <c r="Q2715" i="1"/>
  <c r="N2716" i="1"/>
  <c r="O2716" i="1"/>
  <c r="P2716" i="1"/>
  <c r="Q2716" i="1"/>
  <c r="N2717" i="1"/>
  <c r="O2717" i="1"/>
  <c r="P2717" i="1"/>
  <c r="Q2717" i="1"/>
  <c r="N2718" i="1"/>
  <c r="O2718" i="1"/>
  <c r="P2718" i="1"/>
  <c r="Q2718" i="1"/>
  <c r="N2719" i="1"/>
  <c r="O2719" i="1"/>
  <c r="P2719" i="1"/>
  <c r="Q2719" i="1"/>
  <c r="N2720" i="1"/>
  <c r="O2720" i="1"/>
  <c r="P2720" i="1"/>
  <c r="Q2720" i="1"/>
  <c r="N2721" i="1"/>
  <c r="O2721" i="1"/>
  <c r="P2721" i="1"/>
  <c r="Q2721" i="1"/>
  <c r="N2722" i="1"/>
  <c r="O2722" i="1"/>
  <c r="P2722" i="1"/>
  <c r="Q2722" i="1"/>
  <c r="N2723" i="1"/>
  <c r="O2723" i="1"/>
  <c r="P2723" i="1"/>
  <c r="Q2723" i="1"/>
  <c r="N2724" i="1"/>
  <c r="O2724" i="1"/>
  <c r="P2724" i="1"/>
  <c r="Q2724" i="1"/>
  <c r="N2725" i="1"/>
  <c r="O2725" i="1"/>
  <c r="P2725" i="1"/>
  <c r="Q2725" i="1"/>
  <c r="N2726" i="1"/>
  <c r="O2726" i="1"/>
  <c r="P2726" i="1"/>
  <c r="Q2726" i="1"/>
  <c r="N2727" i="1"/>
  <c r="O2727" i="1"/>
  <c r="P2727" i="1"/>
  <c r="Q2727" i="1"/>
  <c r="N2728" i="1"/>
  <c r="O2728" i="1"/>
  <c r="P2728" i="1"/>
  <c r="Q2728" i="1"/>
  <c r="N2729" i="1"/>
  <c r="O2729" i="1"/>
  <c r="P2729" i="1"/>
  <c r="Q2729" i="1"/>
  <c r="N2730" i="1"/>
  <c r="O2730" i="1"/>
  <c r="P2730" i="1"/>
  <c r="Q2730" i="1"/>
  <c r="N2731" i="1"/>
  <c r="O2731" i="1"/>
  <c r="P2731" i="1"/>
  <c r="Q2731" i="1"/>
  <c r="N2732" i="1"/>
  <c r="O2732" i="1"/>
  <c r="P2732" i="1"/>
  <c r="Q2732" i="1"/>
  <c r="N2733" i="1"/>
  <c r="O2733" i="1"/>
  <c r="P2733" i="1"/>
  <c r="Q2733" i="1"/>
  <c r="N2734" i="1"/>
  <c r="O2734" i="1"/>
  <c r="P2734" i="1"/>
  <c r="Q2734" i="1"/>
  <c r="N2735" i="1"/>
  <c r="O2735" i="1"/>
  <c r="P2735" i="1"/>
  <c r="Q2735" i="1"/>
  <c r="N2736" i="1"/>
  <c r="O2736" i="1"/>
  <c r="P2736" i="1"/>
  <c r="Q2736" i="1"/>
  <c r="N2737" i="1"/>
  <c r="O2737" i="1"/>
  <c r="P2737" i="1"/>
  <c r="Q2737" i="1"/>
  <c r="N2738" i="1"/>
  <c r="O2738" i="1"/>
  <c r="P2738" i="1"/>
  <c r="Q2738" i="1"/>
  <c r="N2739" i="1"/>
  <c r="O2739" i="1"/>
  <c r="P2739" i="1"/>
  <c r="Q2739" i="1"/>
  <c r="N2740" i="1"/>
  <c r="O2740" i="1"/>
  <c r="P2740" i="1"/>
  <c r="Q2740" i="1"/>
  <c r="N2741" i="1"/>
  <c r="O2741" i="1"/>
  <c r="P2741" i="1"/>
  <c r="Q2741" i="1"/>
  <c r="N2742" i="1"/>
  <c r="O2742" i="1"/>
  <c r="P2742" i="1"/>
  <c r="Q2742" i="1"/>
  <c r="N2743" i="1"/>
  <c r="O2743" i="1"/>
  <c r="P2743" i="1"/>
  <c r="Q2743" i="1"/>
  <c r="N2744" i="1"/>
  <c r="O2744" i="1"/>
  <c r="P2744" i="1"/>
  <c r="Q2744" i="1"/>
  <c r="N2745" i="1"/>
  <c r="O2745" i="1"/>
  <c r="P2745" i="1"/>
  <c r="Q2745" i="1"/>
  <c r="N2746" i="1"/>
  <c r="O2746" i="1"/>
  <c r="P2746" i="1"/>
  <c r="Q2746" i="1"/>
  <c r="N2747" i="1"/>
  <c r="O2747" i="1"/>
  <c r="P2747" i="1"/>
  <c r="Q2747" i="1"/>
  <c r="N2748" i="1"/>
  <c r="O2748" i="1"/>
  <c r="P2748" i="1"/>
  <c r="Q2748" i="1"/>
  <c r="N2749" i="1"/>
  <c r="O2749" i="1"/>
  <c r="P2749" i="1"/>
  <c r="Q2749" i="1"/>
  <c r="N2750" i="1"/>
  <c r="O2750" i="1"/>
  <c r="P2750" i="1"/>
  <c r="Q2750" i="1"/>
  <c r="N2751" i="1"/>
  <c r="O2751" i="1"/>
  <c r="P2751" i="1"/>
  <c r="Q2751" i="1"/>
  <c r="N2752" i="1"/>
  <c r="O2752" i="1"/>
  <c r="P2752" i="1"/>
  <c r="Q2752" i="1"/>
  <c r="N2753" i="1"/>
  <c r="O2753" i="1"/>
  <c r="P2753" i="1"/>
  <c r="Q2753" i="1"/>
  <c r="N2754" i="1"/>
  <c r="O2754" i="1"/>
  <c r="P2754" i="1"/>
  <c r="Q2754" i="1"/>
  <c r="N2755" i="1"/>
  <c r="O2755" i="1"/>
  <c r="P2755" i="1"/>
  <c r="Q2755" i="1"/>
  <c r="N2756" i="1"/>
  <c r="O2756" i="1"/>
  <c r="P2756" i="1"/>
  <c r="Q2756" i="1"/>
  <c r="N2757" i="1"/>
  <c r="O2757" i="1"/>
  <c r="P2757" i="1"/>
  <c r="Q2757" i="1"/>
  <c r="N2758" i="1"/>
  <c r="O2758" i="1"/>
  <c r="P2758" i="1"/>
  <c r="Q2758" i="1"/>
  <c r="N2759" i="1"/>
  <c r="O2759" i="1"/>
  <c r="P2759" i="1"/>
  <c r="Q2759" i="1"/>
  <c r="N2760" i="1"/>
  <c r="O2760" i="1"/>
  <c r="P2760" i="1"/>
  <c r="Q2760" i="1"/>
  <c r="N2761" i="1"/>
  <c r="O2761" i="1"/>
  <c r="P2761" i="1"/>
  <c r="Q2761" i="1"/>
  <c r="N2762" i="1"/>
  <c r="O2762" i="1"/>
  <c r="P2762" i="1"/>
  <c r="Q2762" i="1"/>
  <c r="N2763" i="1"/>
  <c r="O2763" i="1"/>
  <c r="P2763" i="1"/>
  <c r="Q2763" i="1"/>
  <c r="N2764" i="1"/>
  <c r="O2764" i="1"/>
  <c r="P2764" i="1"/>
  <c r="Q2764" i="1"/>
  <c r="N2765" i="1"/>
  <c r="O2765" i="1"/>
  <c r="P2765" i="1"/>
  <c r="Q2765" i="1"/>
  <c r="N2766" i="1"/>
  <c r="O2766" i="1"/>
  <c r="P2766" i="1"/>
  <c r="Q2766" i="1"/>
  <c r="N2767" i="1"/>
  <c r="O2767" i="1"/>
  <c r="P2767" i="1"/>
  <c r="Q2767" i="1"/>
  <c r="N2768" i="1"/>
  <c r="O2768" i="1"/>
  <c r="P2768" i="1"/>
  <c r="Q2768" i="1"/>
  <c r="N2769" i="1"/>
  <c r="O2769" i="1"/>
  <c r="P2769" i="1"/>
  <c r="Q2769" i="1"/>
  <c r="N2770" i="1"/>
  <c r="O2770" i="1"/>
  <c r="P2770" i="1"/>
  <c r="Q2770" i="1"/>
  <c r="N2771" i="1"/>
  <c r="O2771" i="1"/>
  <c r="P2771" i="1"/>
  <c r="Q2771" i="1"/>
  <c r="N2772" i="1"/>
  <c r="O2772" i="1"/>
  <c r="P2772" i="1"/>
  <c r="Q2772" i="1"/>
  <c r="N2773" i="1"/>
  <c r="O2773" i="1"/>
  <c r="P2773" i="1"/>
  <c r="Q2773" i="1"/>
  <c r="N2774" i="1"/>
  <c r="O2774" i="1"/>
  <c r="P2774" i="1"/>
  <c r="Q2774" i="1"/>
  <c r="N2775" i="1"/>
  <c r="O2775" i="1"/>
  <c r="P2775" i="1"/>
  <c r="Q2775" i="1"/>
  <c r="N2776" i="1"/>
  <c r="O2776" i="1"/>
  <c r="P2776" i="1"/>
  <c r="Q2776" i="1"/>
  <c r="N2777" i="1"/>
  <c r="O2777" i="1"/>
  <c r="P2777" i="1"/>
  <c r="Q2777" i="1"/>
  <c r="N2778" i="1"/>
  <c r="O2778" i="1"/>
  <c r="P2778" i="1"/>
  <c r="Q2778" i="1"/>
  <c r="N2779" i="1"/>
  <c r="O2779" i="1"/>
  <c r="P2779" i="1"/>
  <c r="Q2779" i="1"/>
  <c r="N2780" i="1"/>
  <c r="O2780" i="1"/>
  <c r="P2780" i="1"/>
  <c r="Q2780" i="1"/>
  <c r="N2781" i="1"/>
  <c r="O2781" i="1"/>
  <c r="P2781" i="1"/>
  <c r="Q2781" i="1"/>
  <c r="N2782" i="1"/>
  <c r="O2782" i="1"/>
  <c r="P2782" i="1"/>
  <c r="Q2782" i="1"/>
  <c r="N2783" i="1"/>
  <c r="O2783" i="1"/>
  <c r="P2783" i="1"/>
  <c r="Q2783" i="1"/>
  <c r="N2784" i="1"/>
  <c r="O2784" i="1"/>
  <c r="P2784" i="1"/>
  <c r="Q2784" i="1"/>
  <c r="N2785" i="1"/>
  <c r="O2785" i="1"/>
  <c r="P2785" i="1"/>
  <c r="Q2785" i="1"/>
  <c r="N2786" i="1"/>
  <c r="O2786" i="1"/>
  <c r="P2786" i="1"/>
  <c r="Q2786" i="1"/>
  <c r="N2787" i="1"/>
  <c r="O2787" i="1"/>
  <c r="P2787" i="1"/>
  <c r="Q2787" i="1"/>
  <c r="N2788" i="1"/>
  <c r="O2788" i="1"/>
  <c r="P2788" i="1"/>
  <c r="Q2788" i="1"/>
  <c r="N2789" i="1"/>
  <c r="O2789" i="1"/>
  <c r="P2789" i="1"/>
  <c r="Q2789" i="1"/>
  <c r="N2790" i="1"/>
  <c r="O2790" i="1"/>
  <c r="P2790" i="1"/>
  <c r="Q2790" i="1"/>
  <c r="N2791" i="1"/>
  <c r="O2791" i="1"/>
  <c r="P2791" i="1"/>
  <c r="Q2791" i="1"/>
  <c r="N2792" i="1"/>
  <c r="O2792" i="1"/>
  <c r="P2792" i="1"/>
  <c r="Q2792" i="1"/>
  <c r="N2793" i="1"/>
  <c r="O2793" i="1"/>
  <c r="P2793" i="1"/>
  <c r="Q2793" i="1"/>
  <c r="N2794" i="1"/>
  <c r="O2794" i="1"/>
  <c r="P2794" i="1"/>
  <c r="Q2794" i="1"/>
  <c r="N2795" i="1"/>
  <c r="O2795" i="1"/>
  <c r="P2795" i="1"/>
  <c r="Q2795" i="1"/>
  <c r="N2796" i="1"/>
  <c r="O2796" i="1"/>
  <c r="P2796" i="1"/>
  <c r="Q2796" i="1"/>
  <c r="N2797" i="1"/>
  <c r="O2797" i="1"/>
  <c r="P2797" i="1"/>
  <c r="Q2797" i="1"/>
  <c r="N2798" i="1"/>
  <c r="O2798" i="1"/>
  <c r="P2798" i="1"/>
  <c r="Q2798" i="1"/>
  <c r="N2799" i="1"/>
  <c r="O2799" i="1"/>
  <c r="P2799" i="1"/>
  <c r="Q2799" i="1"/>
  <c r="N2800" i="1"/>
  <c r="O2800" i="1"/>
  <c r="P2800" i="1"/>
  <c r="Q2800" i="1"/>
  <c r="N2801" i="1"/>
  <c r="O2801" i="1"/>
  <c r="P2801" i="1"/>
  <c r="Q2801" i="1"/>
  <c r="N2802" i="1"/>
  <c r="O2802" i="1"/>
  <c r="P2802" i="1"/>
  <c r="Q2802" i="1"/>
  <c r="N2803" i="1"/>
  <c r="O2803" i="1"/>
  <c r="P2803" i="1"/>
  <c r="Q2803" i="1"/>
  <c r="N2804" i="1"/>
  <c r="O2804" i="1"/>
  <c r="P2804" i="1"/>
  <c r="Q2804" i="1"/>
  <c r="N2805" i="1"/>
  <c r="O2805" i="1"/>
  <c r="P2805" i="1"/>
  <c r="Q2805" i="1"/>
  <c r="N2806" i="1"/>
  <c r="O2806" i="1"/>
  <c r="P2806" i="1"/>
  <c r="Q2806" i="1"/>
  <c r="N2807" i="1"/>
  <c r="O2807" i="1"/>
  <c r="P2807" i="1"/>
  <c r="Q2807" i="1"/>
  <c r="N2808" i="1"/>
  <c r="O2808" i="1"/>
  <c r="P2808" i="1"/>
  <c r="Q2808" i="1"/>
  <c r="N2809" i="1"/>
  <c r="O2809" i="1"/>
  <c r="P2809" i="1"/>
  <c r="Q2809" i="1"/>
  <c r="N2810" i="1"/>
  <c r="O2810" i="1"/>
  <c r="P2810" i="1"/>
  <c r="Q2810" i="1"/>
  <c r="N2811" i="1"/>
  <c r="O2811" i="1"/>
  <c r="P2811" i="1"/>
  <c r="Q2811" i="1"/>
  <c r="N2812" i="1"/>
  <c r="O2812" i="1"/>
  <c r="P2812" i="1"/>
  <c r="Q2812" i="1"/>
  <c r="N2813" i="1"/>
  <c r="O2813" i="1"/>
  <c r="P2813" i="1"/>
  <c r="Q2813" i="1"/>
  <c r="N2814" i="1"/>
  <c r="O2814" i="1"/>
  <c r="P2814" i="1"/>
  <c r="Q2814" i="1"/>
  <c r="N2815" i="1"/>
  <c r="O2815" i="1"/>
  <c r="P2815" i="1"/>
  <c r="Q2815" i="1"/>
  <c r="N2816" i="1"/>
  <c r="O2816" i="1"/>
  <c r="P2816" i="1"/>
  <c r="Q2816" i="1"/>
  <c r="N2817" i="1"/>
  <c r="O2817" i="1"/>
  <c r="P2817" i="1"/>
  <c r="Q2817" i="1"/>
  <c r="N2818" i="1"/>
  <c r="O2818" i="1"/>
  <c r="P2818" i="1"/>
  <c r="Q2818" i="1"/>
  <c r="N2819" i="1"/>
  <c r="O2819" i="1"/>
  <c r="P2819" i="1"/>
  <c r="Q2819" i="1"/>
  <c r="N2820" i="1"/>
  <c r="O2820" i="1"/>
  <c r="P2820" i="1"/>
  <c r="Q2820" i="1"/>
  <c r="N2821" i="1"/>
  <c r="O2821" i="1"/>
  <c r="P2821" i="1"/>
  <c r="Q2821" i="1"/>
  <c r="N2822" i="1"/>
  <c r="O2822" i="1"/>
  <c r="P2822" i="1"/>
  <c r="Q2822" i="1"/>
  <c r="N2823" i="1"/>
  <c r="O2823" i="1"/>
  <c r="P2823" i="1"/>
  <c r="Q2823" i="1"/>
  <c r="N2824" i="1"/>
  <c r="O2824" i="1"/>
  <c r="P2824" i="1"/>
  <c r="Q2824" i="1"/>
  <c r="N2825" i="1"/>
  <c r="O2825" i="1"/>
  <c r="P2825" i="1"/>
  <c r="Q2825" i="1"/>
  <c r="N2826" i="1"/>
  <c r="O2826" i="1"/>
  <c r="P2826" i="1"/>
  <c r="Q2826" i="1"/>
  <c r="N2827" i="1"/>
  <c r="O2827" i="1"/>
  <c r="P2827" i="1"/>
  <c r="Q2827" i="1"/>
  <c r="N2828" i="1"/>
  <c r="O2828" i="1"/>
  <c r="P2828" i="1"/>
  <c r="Q2828" i="1"/>
  <c r="N2829" i="1"/>
  <c r="O2829" i="1"/>
  <c r="P2829" i="1"/>
  <c r="Q2829" i="1"/>
  <c r="N2830" i="1"/>
  <c r="O2830" i="1"/>
  <c r="P2830" i="1"/>
  <c r="Q2830" i="1"/>
  <c r="N2831" i="1"/>
  <c r="O2831" i="1"/>
  <c r="P2831" i="1"/>
  <c r="Q2831" i="1"/>
  <c r="N2832" i="1"/>
  <c r="O2832" i="1"/>
  <c r="P2832" i="1"/>
  <c r="Q2832" i="1"/>
  <c r="N2833" i="1"/>
  <c r="O2833" i="1"/>
  <c r="P2833" i="1"/>
  <c r="Q2833" i="1"/>
  <c r="N2834" i="1"/>
  <c r="O2834" i="1"/>
  <c r="P2834" i="1"/>
  <c r="Q2834" i="1"/>
  <c r="N2835" i="1"/>
  <c r="O2835" i="1"/>
  <c r="P2835" i="1"/>
  <c r="Q2835" i="1"/>
  <c r="N2836" i="1"/>
  <c r="O2836" i="1"/>
  <c r="P2836" i="1"/>
  <c r="Q2836" i="1"/>
  <c r="N2837" i="1"/>
  <c r="O2837" i="1"/>
  <c r="P2837" i="1"/>
  <c r="Q2837" i="1"/>
  <c r="N2838" i="1"/>
  <c r="O2838" i="1"/>
  <c r="P2838" i="1"/>
  <c r="Q2838" i="1"/>
  <c r="N2839" i="1"/>
  <c r="O2839" i="1"/>
  <c r="P2839" i="1"/>
  <c r="Q2839" i="1"/>
  <c r="N2840" i="1"/>
  <c r="O2840" i="1"/>
  <c r="P2840" i="1"/>
  <c r="Q2840" i="1"/>
  <c r="N2841" i="1"/>
  <c r="O2841" i="1"/>
  <c r="P2841" i="1"/>
  <c r="Q2841" i="1"/>
  <c r="N2842" i="1"/>
  <c r="O2842" i="1"/>
  <c r="P2842" i="1"/>
  <c r="Q2842" i="1"/>
  <c r="N2843" i="1"/>
  <c r="O2843" i="1"/>
  <c r="P2843" i="1"/>
  <c r="Q2843" i="1"/>
  <c r="N2844" i="1"/>
  <c r="O2844" i="1"/>
  <c r="P2844" i="1"/>
  <c r="Q2844" i="1"/>
  <c r="N2845" i="1"/>
  <c r="O2845" i="1"/>
  <c r="P2845" i="1"/>
  <c r="Q2845" i="1"/>
  <c r="N2846" i="1"/>
  <c r="O2846" i="1"/>
  <c r="P2846" i="1"/>
  <c r="Q2846" i="1"/>
  <c r="N2847" i="1"/>
  <c r="O2847" i="1"/>
  <c r="P2847" i="1"/>
  <c r="Q2847" i="1"/>
  <c r="N2848" i="1"/>
  <c r="O2848" i="1"/>
  <c r="P2848" i="1"/>
  <c r="Q2848" i="1"/>
  <c r="N2849" i="1"/>
  <c r="O2849" i="1"/>
  <c r="P2849" i="1"/>
  <c r="Q2849" i="1"/>
  <c r="N2850" i="1"/>
  <c r="O2850" i="1"/>
  <c r="P2850" i="1"/>
  <c r="Q2850" i="1"/>
  <c r="N2851" i="1"/>
  <c r="O2851" i="1"/>
  <c r="P2851" i="1"/>
  <c r="Q2851" i="1"/>
  <c r="N2852" i="1"/>
  <c r="O2852" i="1"/>
  <c r="P2852" i="1"/>
  <c r="Q2852" i="1"/>
  <c r="N2853" i="1"/>
  <c r="O2853" i="1"/>
  <c r="P2853" i="1"/>
  <c r="Q2853" i="1"/>
  <c r="N2854" i="1"/>
  <c r="O2854" i="1"/>
  <c r="P2854" i="1"/>
  <c r="Q2854" i="1"/>
  <c r="N2855" i="1"/>
  <c r="O2855" i="1"/>
  <c r="P2855" i="1"/>
  <c r="Q2855" i="1"/>
  <c r="N2856" i="1"/>
  <c r="O2856" i="1"/>
  <c r="P2856" i="1"/>
  <c r="Q2856" i="1"/>
  <c r="N2857" i="1"/>
  <c r="O2857" i="1"/>
  <c r="P2857" i="1"/>
  <c r="Q2857" i="1"/>
  <c r="N2858" i="1"/>
  <c r="O2858" i="1"/>
  <c r="P2858" i="1"/>
  <c r="Q2858" i="1"/>
  <c r="N2859" i="1"/>
  <c r="O2859" i="1"/>
  <c r="P2859" i="1"/>
  <c r="Q2859" i="1"/>
  <c r="N2860" i="1"/>
  <c r="O2860" i="1"/>
  <c r="P2860" i="1"/>
  <c r="Q2860" i="1"/>
  <c r="N2861" i="1"/>
  <c r="O2861" i="1"/>
  <c r="P2861" i="1"/>
  <c r="Q2861" i="1"/>
  <c r="N2862" i="1"/>
  <c r="O2862" i="1"/>
  <c r="P2862" i="1"/>
  <c r="Q2862" i="1"/>
  <c r="N2863" i="1"/>
  <c r="O2863" i="1"/>
  <c r="P2863" i="1"/>
  <c r="Q2863" i="1"/>
  <c r="N2864" i="1"/>
  <c r="O2864" i="1"/>
  <c r="P2864" i="1"/>
  <c r="Q2864" i="1"/>
  <c r="N2865" i="1"/>
  <c r="O2865" i="1"/>
  <c r="P2865" i="1"/>
  <c r="Q2865" i="1"/>
  <c r="N2866" i="1"/>
  <c r="O2866" i="1"/>
  <c r="P2866" i="1"/>
  <c r="Q2866" i="1"/>
  <c r="N2867" i="1"/>
  <c r="O2867" i="1"/>
  <c r="P2867" i="1"/>
  <c r="Q2867" i="1"/>
  <c r="N2868" i="1"/>
  <c r="O2868" i="1"/>
  <c r="P2868" i="1"/>
  <c r="Q2868" i="1"/>
  <c r="N2869" i="1"/>
  <c r="O2869" i="1"/>
  <c r="P2869" i="1"/>
  <c r="Q2869" i="1"/>
  <c r="N2870" i="1"/>
  <c r="O2870" i="1"/>
  <c r="P2870" i="1"/>
  <c r="Q2870" i="1"/>
  <c r="N2871" i="1"/>
  <c r="O2871" i="1"/>
  <c r="P2871" i="1"/>
  <c r="Q2871" i="1"/>
  <c r="N2872" i="1"/>
  <c r="O2872" i="1"/>
  <c r="P2872" i="1"/>
  <c r="Q2872" i="1"/>
  <c r="N2873" i="1"/>
  <c r="O2873" i="1"/>
  <c r="P2873" i="1"/>
  <c r="Q2873" i="1"/>
  <c r="N2874" i="1"/>
  <c r="O2874" i="1"/>
  <c r="P2874" i="1"/>
  <c r="Q2874" i="1"/>
  <c r="N2875" i="1"/>
  <c r="O2875" i="1"/>
  <c r="P2875" i="1"/>
  <c r="Q2875" i="1"/>
  <c r="N2876" i="1"/>
  <c r="O2876" i="1"/>
  <c r="P2876" i="1"/>
  <c r="Q2876" i="1"/>
  <c r="N2877" i="1"/>
  <c r="O2877" i="1"/>
  <c r="P2877" i="1"/>
  <c r="Q2877" i="1"/>
  <c r="N2878" i="1"/>
  <c r="O2878" i="1"/>
  <c r="P2878" i="1"/>
  <c r="Q2878" i="1"/>
  <c r="N2879" i="1"/>
  <c r="O2879" i="1"/>
  <c r="P2879" i="1"/>
  <c r="Q2879" i="1"/>
  <c r="N2880" i="1"/>
  <c r="O2880" i="1"/>
  <c r="P2880" i="1"/>
  <c r="Q2880" i="1"/>
  <c r="N2881" i="1"/>
  <c r="O2881" i="1"/>
  <c r="P2881" i="1"/>
  <c r="Q2881" i="1"/>
  <c r="N2882" i="1"/>
  <c r="O2882" i="1"/>
  <c r="P2882" i="1"/>
  <c r="Q2882" i="1"/>
  <c r="N2883" i="1"/>
  <c r="O2883" i="1"/>
  <c r="P2883" i="1"/>
  <c r="Q2883" i="1"/>
  <c r="N2884" i="1"/>
  <c r="O2884" i="1"/>
  <c r="P2884" i="1"/>
  <c r="Q2884" i="1"/>
  <c r="N2885" i="1"/>
  <c r="O2885" i="1"/>
  <c r="P2885" i="1"/>
  <c r="Q2885" i="1"/>
  <c r="N2886" i="1"/>
  <c r="O2886" i="1"/>
  <c r="P2886" i="1"/>
  <c r="Q2886" i="1"/>
  <c r="N2887" i="1"/>
  <c r="O2887" i="1"/>
  <c r="P2887" i="1"/>
  <c r="Q2887" i="1"/>
  <c r="N2888" i="1"/>
  <c r="O2888" i="1"/>
  <c r="P2888" i="1"/>
  <c r="Q2888" i="1"/>
  <c r="N2889" i="1"/>
  <c r="O2889" i="1"/>
  <c r="P2889" i="1"/>
  <c r="Q2889" i="1"/>
  <c r="N2890" i="1"/>
  <c r="O2890" i="1"/>
  <c r="P2890" i="1"/>
  <c r="Q2890" i="1"/>
  <c r="N2891" i="1"/>
  <c r="O2891" i="1"/>
  <c r="P2891" i="1"/>
  <c r="Q2891" i="1"/>
  <c r="N2892" i="1"/>
  <c r="O2892" i="1"/>
  <c r="P2892" i="1"/>
  <c r="Q2892" i="1"/>
  <c r="N2893" i="1"/>
  <c r="O2893" i="1"/>
  <c r="P2893" i="1"/>
  <c r="Q2893" i="1"/>
  <c r="N2894" i="1"/>
  <c r="O2894" i="1"/>
  <c r="P2894" i="1"/>
  <c r="Q2894" i="1"/>
  <c r="N2895" i="1"/>
  <c r="O2895" i="1"/>
  <c r="P2895" i="1"/>
  <c r="Q2895" i="1"/>
  <c r="N2896" i="1"/>
  <c r="O2896" i="1"/>
  <c r="P2896" i="1"/>
  <c r="Q2896" i="1"/>
  <c r="N2897" i="1"/>
  <c r="O2897" i="1"/>
  <c r="P2897" i="1"/>
  <c r="Q2897" i="1"/>
  <c r="N2898" i="1"/>
  <c r="O2898" i="1"/>
  <c r="P2898" i="1"/>
  <c r="Q2898" i="1"/>
  <c r="N2899" i="1"/>
  <c r="O2899" i="1"/>
  <c r="P2899" i="1"/>
  <c r="Q2899" i="1"/>
  <c r="N2900" i="1"/>
  <c r="O2900" i="1"/>
  <c r="P2900" i="1"/>
  <c r="Q2900" i="1"/>
  <c r="N2901" i="1"/>
  <c r="O2901" i="1"/>
  <c r="P2901" i="1"/>
  <c r="Q2901" i="1"/>
  <c r="N2902" i="1"/>
  <c r="O2902" i="1"/>
  <c r="P2902" i="1"/>
  <c r="Q2902" i="1"/>
  <c r="N2903" i="1"/>
  <c r="O2903" i="1"/>
  <c r="P2903" i="1"/>
  <c r="Q2903" i="1"/>
  <c r="N2904" i="1"/>
  <c r="O2904" i="1"/>
  <c r="P2904" i="1"/>
  <c r="Q2904" i="1"/>
  <c r="N2905" i="1"/>
  <c r="O2905" i="1"/>
  <c r="P2905" i="1"/>
  <c r="Q2905" i="1"/>
  <c r="N2906" i="1"/>
  <c r="O2906" i="1"/>
  <c r="P2906" i="1"/>
  <c r="Q2906" i="1"/>
  <c r="N2907" i="1"/>
  <c r="O2907" i="1"/>
  <c r="P2907" i="1"/>
  <c r="Q2907" i="1"/>
  <c r="N2908" i="1"/>
  <c r="O2908" i="1"/>
  <c r="P2908" i="1"/>
  <c r="Q2908" i="1"/>
  <c r="N2909" i="1"/>
  <c r="O2909" i="1"/>
  <c r="P2909" i="1"/>
  <c r="Q2909" i="1"/>
  <c r="N2910" i="1"/>
  <c r="O2910" i="1"/>
  <c r="P2910" i="1"/>
  <c r="Q2910" i="1"/>
  <c r="N2911" i="1"/>
  <c r="O2911" i="1"/>
  <c r="P2911" i="1"/>
  <c r="Q2911" i="1"/>
  <c r="N2912" i="1"/>
  <c r="O2912" i="1"/>
  <c r="P2912" i="1"/>
  <c r="Q2912" i="1"/>
  <c r="N2913" i="1"/>
  <c r="O2913" i="1"/>
  <c r="P2913" i="1"/>
  <c r="Q2913" i="1"/>
  <c r="N2914" i="1"/>
  <c r="O2914" i="1"/>
  <c r="P2914" i="1"/>
  <c r="Q2914" i="1"/>
  <c r="N2915" i="1"/>
  <c r="O2915" i="1"/>
  <c r="P2915" i="1"/>
  <c r="Q2915" i="1"/>
  <c r="N2916" i="1"/>
  <c r="O2916" i="1"/>
  <c r="P2916" i="1"/>
  <c r="Q2916" i="1"/>
  <c r="N2917" i="1"/>
  <c r="O2917" i="1"/>
  <c r="P2917" i="1"/>
  <c r="Q2917" i="1"/>
  <c r="N2918" i="1"/>
  <c r="O2918" i="1"/>
  <c r="P2918" i="1"/>
  <c r="Q2918" i="1"/>
  <c r="N2919" i="1"/>
  <c r="O2919" i="1"/>
  <c r="P2919" i="1"/>
  <c r="Q2919" i="1"/>
  <c r="N2920" i="1"/>
  <c r="O2920" i="1"/>
  <c r="P2920" i="1"/>
  <c r="Q2920" i="1"/>
  <c r="N2921" i="1"/>
  <c r="O2921" i="1"/>
  <c r="P2921" i="1"/>
  <c r="Q2921" i="1"/>
  <c r="N2922" i="1"/>
  <c r="O2922" i="1"/>
  <c r="P2922" i="1"/>
  <c r="Q2922" i="1"/>
  <c r="N2923" i="1"/>
  <c r="O2923" i="1"/>
  <c r="P2923" i="1"/>
  <c r="Q2923" i="1"/>
  <c r="N2924" i="1"/>
  <c r="O2924" i="1"/>
  <c r="P2924" i="1"/>
  <c r="Q2924" i="1"/>
  <c r="N2925" i="1"/>
  <c r="O2925" i="1"/>
  <c r="P2925" i="1"/>
  <c r="Q2925" i="1"/>
  <c r="N2926" i="1"/>
  <c r="O2926" i="1"/>
  <c r="P2926" i="1"/>
  <c r="Q2926" i="1"/>
  <c r="N2927" i="1"/>
  <c r="O2927" i="1"/>
  <c r="P2927" i="1"/>
  <c r="Q2927" i="1"/>
  <c r="N2928" i="1"/>
  <c r="O2928" i="1"/>
  <c r="P2928" i="1"/>
  <c r="Q2928" i="1"/>
  <c r="N2929" i="1"/>
  <c r="O2929" i="1"/>
  <c r="P2929" i="1"/>
  <c r="Q2929" i="1"/>
  <c r="N2930" i="1"/>
  <c r="O2930" i="1"/>
  <c r="P2930" i="1"/>
  <c r="Q2930" i="1"/>
  <c r="N2931" i="1"/>
  <c r="O2931" i="1"/>
  <c r="P2931" i="1"/>
  <c r="Q2931" i="1"/>
  <c r="N2932" i="1"/>
  <c r="O2932" i="1"/>
  <c r="P2932" i="1"/>
  <c r="Q2932" i="1"/>
  <c r="N2933" i="1"/>
  <c r="O2933" i="1"/>
  <c r="P2933" i="1"/>
  <c r="Q2933" i="1"/>
  <c r="N2934" i="1"/>
  <c r="O2934" i="1"/>
  <c r="P2934" i="1"/>
  <c r="Q2934" i="1"/>
  <c r="N2935" i="1"/>
  <c r="O2935" i="1"/>
  <c r="P2935" i="1"/>
  <c r="Q2935" i="1"/>
  <c r="N2936" i="1"/>
  <c r="O2936" i="1"/>
  <c r="P2936" i="1"/>
  <c r="Q2936" i="1"/>
  <c r="N2937" i="1"/>
  <c r="O2937" i="1"/>
  <c r="P2937" i="1"/>
  <c r="Q2937" i="1"/>
  <c r="N2938" i="1"/>
  <c r="O2938" i="1"/>
  <c r="P2938" i="1"/>
  <c r="Q2938" i="1"/>
  <c r="N2939" i="1"/>
  <c r="O2939" i="1"/>
  <c r="P2939" i="1"/>
  <c r="Q2939" i="1"/>
  <c r="N2940" i="1"/>
  <c r="O2940" i="1"/>
  <c r="P2940" i="1"/>
  <c r="Q2940" i="1"/>
  <c r="N2941" i="1"/>
  <c r="O2941" i="1"/>
  <c r="P2941" i="1"/>
  <c r="Q2941" i="1"/>
  <c r="N2942" i="1"/>
  <c r="O2942" i="1"/>
  <c r="P2942" i="1"/>
  <c r="Q2942" i="1"/>
  <c r="N2943" i="1"/>
  <c r="O2943" i="1"/>
  <c r="P2943" i="1"/>
  <c r="Q2943" i="1"/>
  <c r="N2944" i="1"/>
  <c r="O2944" i="1"/>
  <c r="P2944" i="1"/>
  <c r="Q2944" i="1"/>
  <c r="N2945" i="1"/>
  <c r="O2945" i="1"/>
  <c r="P2945" i="1"/>
  <c r="Q2945" i="1"/>
  <c r="N2946" i="1"/>
  <c r="O2946" i="1"/>
  <c r="P2946" i="1"/>
  <c r="Q2946" i="1"/>
  <c r="N2947" i="1"/>
  <c r="O2947" i="1"/>
  <c r="P2947" i="1"/>
  <c r="Q2947" i="1"/>
  <c r="N2948" i="1"/>
  <c r="O2948" i="1"/>
  <c r="P2948" i="1"/>
  <c r="Q2948" i="1"/>
  <c r="N2949" i="1"/>
  <c r="O2949" i="1"/>
  <c r="P2949" i="1"/>
  <c r="Q2949" i="1"/>
  <c r="N2950" i="1"/>
  <c r="O2950" i="1"/>
  <c r="P2950" i="1"/>
  <c r="Q2950" i="1"/>
  <c r="N2951" i="1"/>
  <c r="O2951" i="1"/>
  <c r="P2951" i="1"/>
  <c r="Q2951" i="1"/>
  <c r="N2952" i="1"/>
  <c r="O2952" i="1"/>
  <c r="P2952" i="1"/>
  <c r="Q2952" i="1"/>
  <c r="N2953" i="1"/>
  <c r="O2953" i="1"/>
  <c r="P2953" i="1"/>
  <c r="Q2953" i="1"/>
  <c r="N2954" i="1"/>
  <c r="O2954" i="1"/>
  <c r="P2954" i="1"/>
  <c r="Q2954" i="1"/>
  <c r="N2955" i="1"/>
  <c r="O2955" i="1"/>
  <c r="P2955" i="1"/>
  <c r="Q2955" i="1"/>
  <c r="N2956" i="1"/>
  <c r="O2956" i="1"/>
  <c r="P2956" i="1"/>
  <c r="Q2956" i="1"/>
  <c r="N2957" i="1"/>
  <c r="O2957" i="1"/>
  <c r="P2957" i="1"/>
  <c r="Q2957" i="1"/>
  <c r="N2958" i="1"/>
  <c r="O2958" i="1"/>
  <c r="P2958" i="1"/>
  <c r="Q2958" i="1"/>
  <c r="N2959" i="1"/>
  <c r="O2959" i="1"/>
  <c r="P2959" i="1"/>
  <c r="Q2959" i="1"/>
  <c r="N2960" i="1"/>
  <c r="O2960" i="1"/>
  <c r="P2960" i="1"/>
  <c r="Q2960" i="1"/>
  <c r="N2961" i="1"/>
  <c r="O2961" i="1"/>
  <c r="P2961" i="1"/>
  <c r="Q2961" i="1"/>
  <c r="N2962" i="1"/>
  <c r="O2962" i="1"/>
  <c r="P2962" i="1"/>
  <c r="Q2962" i="1"/>
  <c r="N2963" i="1"/>
  <c r="O2963" i="1"/>
  <c r="P2963" i="1"/>
  <c r="Q2963" i="1"/>
  <c r="N2964" i="1"/>
  <c r="O2964" i="1"/>
  <c r="P2964" i="1"/>
  <c r="Q2964" i="1"/>
  <c r="N2965" i="1"/>
  <c r="O2965" i="1"/>
  <c r="P2965" i="1"/>
  <c r="Q2965" i="1"/>
  <c r="N2966" i="1"/>
  <c r="O2966" i="1"/>
  <c r="P2966" i="1"/>
  <c r="Q2966" i="1"/>
  <c r="N2967" i="1"/>
  <c r="O2967" i="1"/>
  <c r="P2967" i="1"/>
  <c r="Q2967" i="1"/>
  <c r="N2968" i="1"/>
  <c r="O2968" i="1"/>
  <c r="P2968" i="1"/>
  <c r="Q2968" i="1"/>
  <c r="N2969" i="1"/>
  <c r="O2969" i="1"/>
  <c r="P2969" i="1"/>
  <c r="Q2969" i="1"/>
  <c r="N2970" i="1"/>
  <c r="O2970" i="1"/>
  <c r="P2970" i="1"/>
  <c r="Q2970" i="1"/>
  <c r="N2971" i="1"/>
  <c r="O2971" i="1"/>
  <c r="P2971" i="1"/>
  <c r="Q2971" i="1"/>
  <c r="N2972" i="1"/>
  <c r="O2972" i="1"/>
  <c r="P2972" i="1"/>
  <c r="Q2972" i="1"/>
  <c r="N2973" i="1"/>
  <c r="O2973" i="1"/>
  <c r="P2973" i="1"/>
  <c r="Q2973" i="1"/>
  <c r="N2974" i="1"/>
  <c r="O2974" i="1"/>
  <c r="P2974" i="1"/>
  <c r="Q2974" i="1"/>
  <c r="N2975" i="1"/>
  <c r="O2975" i="1"/>
  <c r="P2975" i="1"/>
  <c r="Q2975" i="1"/>
  <c r="N2976" i="1"/>
  <c r="O2976" i="1"/>
  <c r="P2976" i="1"/>
  <c r="Q2976" i="1"/>
  <c r="N2977" i="1"/>
  <c r="O2977" i="1"/>
  <c r="P2977" i="1"/>
  <c r="Q2977" i="1"/>
  <c r="N2978" i="1"/>
  <c r="O2978" i="1"/>
  <c r="P2978" i="1"/>
  <c r="Q2978" i="1"/>
  <c r="N2979" i="1"/>
  <c r="O2979" i="1"/>
  <c r="P2979" i="1"/>
  <c r="Q2979" i="1"/>
  <c r="N2980" i="1"/>
  <c r="O2980" i="1"/>
  <c r="P2980" i="1"/>
  <c r="Q2980" i="1"/>
  <c r="N2981" i="1"/>
  <c r="O2981" i="1"/>
  <c r="P2981" i="1"/>
  <c r="Q2981" i="1"/>
  <c r="N2982" i="1"/>
  <c r="O2982" i="1"/>
  <c r="P2982" i="1"/>
  <c r="Q2982" i="1"/>
  <c r="N2983" i="1"/>
  <c r="O2983" i="1"/>
  <c r="P2983" i="1"/>
  <c r="Q2983" i="1"/>
  <c r="N2984" i="1"/>
  <c r="O2984" i="1"/>
  <c r="P2984" i="1"/>
  <c r="Q2984" i="1"/>
  <c r="N2985" i="1"/>
  <c r="O2985" i="1"/>
  <c r="P2985" i="1"/>
  <c r="Q2985" i="1"/>
  <c r="N2986" i="1"/>
  <c r="O2986" i="1"/>
  <c r="P2986" i="1"/>
  <c r="Q2986" i="1"/>
  <c r="N2987" i="1"/>
  <c r="O2987" i="1"/>
  <c r="P2987" i="1"/>
  <c r="Q2987" i="1"/>
  <c r="N2988" i="1"/>
  <c r="O2988" i="1"/>
  <c r="P2988" i="1"/>
  <c r="Q2988" i="1"/>
  <c r="N2989" i="1"/>
  <c r="O2989" i="1"/>
  <c r="P2989" i="1"/>
  <c r="Q2989" i="1"/>
  <c r="N2990" i="1"/>
  <c r="O2990" i="1"/>
  <c r="P2990" i="1"/>
  <c r="Q2990" i="1"/>
  <c r="N2991" i="1"/>
  <c r="O2991" i="1"/>
  <c r="P2991" i="1"/>
  <c r="Q2991" i="1"/>
  <c r="N2992" i="1"/>
  <c r="O2992" i="1"/>
  <c r="P2992" i="1"/>
  <c r="Q2992" i="1"/>
  <c r="N2993" i="1"/>
  <c r="O2993" i="1"/>
  <c r="P2993" i="1"/>
  <c r="Q2993" i="1"/>
  <c r="N2994" i="1"/>
  <c r="O2994" i="1"/>
  <c r="P2994" i="1"/>
  <c r="Q2994" i="1"/>
  <c r="N2995" i="1"/>
  <c r="O2995" i="1"/>
  <c r="P2995" i="1"/>
  <c r="Q2995" i="1"/>
  <c r="N2996" i="1"/>
  <c r="O2996" i="1"/>
  <c r="P2996" i="1"/>
  <c r="Q2996" i="1"/>
  <c r="N2997" i="1"/>
  <c r="O2997" i="1"/>
  <c r="P2997" i="1"/>
  <c r="Q2997" i="1"/>
  <c r="N2998" i="1"/>
  <c r="O2998" i="1"/>
  <c r="P2998" i="1"/>
  <c r="Q2998" i="1"/>
  <c r="N2999" i="1"/>
  <c r="O2999" i="1"/>
  <c r="P2999" i="1"/>
  <c r="Q2999" i="1"/>
  <c r="N3000" i="1"/>
  <c r="O3000" i="1"/>
  <c r="P3000" i="1"/>
  <c r="Q3000" i="1"/>
  <c r="N3001" i="1"/>
  <c r="O3001" i="1"/>
  <c r="P3001" i="1"/>
  <c r="Q3001" i="1"/>
  <c r="N3002" i="1"/>
  <c r="O3002" i="1"/>
  <c r="P3002" i="1"/>
  <c r="Q3002" i="1"/>
  <c r="N3003" i="1"/>
  <c r="O3003" i="1"/>
  <c r="P3003" i="1"/>
  <c r="Q3003" i="1"/>
  <c r="N3004" i="1"/>
  <c r="O3004" i="1"/>
  <c r="P3004" i="1"/>
  <c r="Q3004" i="1"/>
  <c r="N3005" i="1"/>
  <c r="O3005" i="1"/>
  <c r="P3005" i="1"/>
  <c r="Q3005" i="1"/>
  <c r="N3006" i="1"/>
  <c r="O3006" i="1"/>
  <c r="P3006" i="1"/>
  <c r="Q3006" i="1"/>
  <c r="N3007" i="1"/>
  <c r="O3007" i="1"/>
  <c r="P3007" i="1"/>
  <c r="Q3007" i="1"/>
  <c r="N3008" i="1"/>
  <c r="O3008" i="1"/>
  <c r="P3008" i="1"/>
  <c r="Q3008" i="1"/>
  <c r="N3009" i="1"/>
  <c r="O3009" i="1"/>
  <c r="P3009" i="1"/>
  <c r="Q3009" i="1"/>
  <c r="N3010" i="1"/>
  <c r="O3010" i="1"/>
  <c r="P3010" i="1"/>
  <c r="Q3010" i="1"/>
  <c r="N3011" i="1"/>
  <c r="O3011" i="1"/>
  <c r="P3011" i="1"/>
  <c r="Q3011" i="1"/>
  <c r="N3012" i="1"/>
  <c r="O3012" i="1"/>
  <c r="P3012" i="1"/>
  <c r="Q3012" i="1"/>
  <c r="N3013" i="1"/>
  <c r="O3013" i="1"/>
  <c r="P3013" i="1"/>
  <c r="Q3013" i="1"/>
  <c r="N3014" i="1"/>
  <c r="O3014" i="1"/>
  <c r="P3014" i="1"/>
  <c r="Q3014" i="1"/>
  <c r="N3015" i="1"/>
  <c r="O3015" i="1"/>
  <c r="P3015" i="1"/>
  <c r="Q3015" i="1"/>
  <c r="N3016" i="1"/>
  <c r="O3016" i="1"/>
  <c r="P3016" i="1"/>
  <c r="Q3016" i="1"/>
  <c r="N3017" i="1"/>
  <c r="O3017" i="1"/>
  <c r="P3017" i="1"/>
  <c r="Q3017" i="1"/>
  <c r="N3018" i="1"/>
  <c r="O3018" i="1"/>
  <c r="P3018" i="1"/>
  <c r="Q3018" i="1"/>
  <c r="N3019" i="1"/>
  <c r="O3019" i="1"/>
  <c r="P3019" i="1"/>
  <c r="Q3019" i="1"/>
  <c r="N3020" i="1"/>
  <c r="O3020" i="1"/>
  <c r="P3020" i="1"/>
  <c r="Q3020" i="1"/>
  <c r="N3021" i="1"/>
  <c r="O3021" i="1"/>
  <c r="P3021" i="1"/>
  <c r="Q3021" i="1"/>
  <c r="N3022" i="1"/>
  <c r="O3022" i="1"/>
  <c r="P3022" i="1"/>
  <c r="Q3022" i="1"/>
  <c r="N3023" i="1"/>
  <c r="O3023" i="1"/>
  <c r="P3023" i="1"/>
  <c r="Q3023" i="1"/>
  <c r="N3024" i="1"/>
  <c r="O3024" i="1"/>
  <c r="P3024" i="1"/>
  <c r="Q3024" i="1"/>
  <c r="N3025" i="1"/>
  <c r="O3025" i="1"/>
  <c r="P3025" i="1"/>
  <c r="Q3025" i="1"/>
  <c r="N3026" i="1"/>
  <c r="O3026" i="1"/>
  <c r="P3026" i="1"/>
  <c r="Q3026" i="1"/>
  <c r="N3027" i="1"/>
  <c r="O3027" i="1"/>
  <c r="P3027" i="1"/>
  <c r="Q3027" i="1"/>
  <c r="N3028" i="1"/>
  <c r="O3028" i="1"/>
  <c r="P3028" i="1"/>
  <c r="Q3028" i="1"/>
  <c r="N3029" i="1"/>
  <c r="O3029" i="1"/>
  <c r="P3029" i="1"/>
  <c r="Q3029" i="1"/>
  <c r="N3030" i="1"/>
  <c r="O3030" i="1"/>
  <c r="P3030" i="1"/>
  <c r="Q3030" i="1"/>
  <c r="N3031" i="1"/>
  <c r="O3031" i="1"/>
  <c r="P3031" i="1"/>
  <c r="Q3031" i="1"/>
  <c r="N3032" i="1"/>
  <c r="O3032" i="1"/>
  <c r="P3032" i="1"/>
  <c r="Q3032" i="1"/>
  <c r="N3033" i="1"/>
  <c r="O3033" i="1"/>
  <c r="P3033" i="1"/>
  <c r="Q3033" i="1"/>
  <c r="N3034" i="1"/>
  <c r="O3034" i="1"/>
  <c r="P3034" i="1"/>
  <c r="Q3034" i="1"/>
  <c r="N3035" i="1"/>
  <c r="O3035" i="1"/>
  <c r="P3035" i="1"/>
  <c r="Q3035" i="1"/>
  <c r="N3036" i="1"/>
  <c r="O3036" i="1"/>
  <c r="P3036" i="1"/>
  <c r="Q3036" i="1"/>
  <c r="N3037" i="1"/>
  <c r="O3037" i="1"/>
  <c r="P3037" i="1"/>
  <c r="Q3037" i="1"/>
  <c r="N3038" i="1"/>
  <c r="O3038" i="1"/>
  <c r="P3038" i="1"/>
  <c r="Q3038" i="1"/>
  <c r="N3039" i="1"/>
  <c r="O3039" i="1"/>
  <c r="P3039" i="1"/>
  <c r="Q3039" i="1"/>
  <c r="N3040" i="1"/>
  <c r="O3040" i="1"/>
  <c r="P3040" i="1"/>
  <c r="Q3040" i="1"/>
  <c r="N3041" i="1"/>
  <c r="O3041" i="1"/>
  <c r="P3041" i="1"/>
  <c r="Q3041" i="1"/>
  <c r="N3042" i="1"/>
  <c r="O3042" i="1"/>
  <c r="P3042" i="1"/>
  <c r="Q3042" i="1"/>
  <c r="N3043" i="1"/>
  <c r="O3043" i="1"/>
  <c r="P3043" i="1"/>
  <c r="Q3043" i="1"/>
  <c r="N3044" i="1"/>
  <c r="O3044" i="1"/>
  <c r="P3044" i="1"/>
  <c r="Q3044" i="1"/>
  <c r="N3045" i="1"/>
  <c r="O3045" i="1"/>
  <c r="P3045" i="1"/>
  <c r="Q3045" i="1"/>
  <c r="N3046" i="1"/>
  <c r="O3046" i="1"/>
  <c r="P3046" i="1"/>
  <c r="Q3046" i="1"/>
  <c r="N3047" i="1"/>
  <c r="O3047" i="1"/>
  <c r="P3047" i="1"/>
  <c r="Q3047" i="1"/>
  <c r="N3048" i="1"/>
  <c r="O3048" i="1"/>
  <c r="P3048" i="1"/>
  <c r="Q3048" i="1"/>
  <c r="N3049" i="1"/>
  <c r="O3049" i="1"/>
  <c r="P3049" i="1"/>
  <c r="Q3049" i="1"/>
  <c r="N3050" i="1"/>
  <c r="O3050" i="1"/>
  <c r="P3050" i="1"/>
  <c r="Q3050" i="1"/>
  <c r="N3051" i="1"/>
  <c r="O3051" i="1"/>
  <c r="P3051" i="1"/>
  <c r="Q3051" i="1"/>
  <c r="N3052" i="1"/>
  <c r="O3052" i="1"/>
  <c r="P3052" i="1"/>
  <c r="Q3052" i="1"/>
  <c r="N3053" i="1"/>
  <c r="O3053" i="1"/>
  <c r="P3053" i="1"/>
  <c r="Q3053" i="1"/>
  <c r="N3054" i="1"/>
  <c r="O3054" i="1"/>
  <c r="P3054" i="1"/>
  <c r="Q3054" i="1"/>
  <c r="N3055" i="1"/>
  <c r="O3055" i="1"/>
  <c r="P3055" i="1"/>
  <c r="Q3055" i="1"/>
  <c r="N3056" i="1"/>
  <c r="O3056" i="1"/>
  <c r="P3056" i="1"/>
  <c r="Q3056" i="1"/>
  <c r="N3057" i="1"/>
  <c r="O3057" i="1"/>
  <c r="P3057" i="1"/>
  <c r="Q3057" i="1"/>
  <c r="N3058" i="1"/>
  <c r="O3058" i="1"/>
  <c r="P3058" i="1"/>
  <c r="Q3058" i="1"/>
  <c r="N3059" i="1"/>
  <c r="O3059" i="1"/>
  <c r="P3059" i="1"/>
  <c r="Q3059" i="1"/>
  <c r="N3060" i="1"/>
  <c r="O3060" i="1"/>
  <c r="P3060" i="1"/>
  <c r="Q3060" i="1"/>
  <c r="N3061" i="1"/>
  <c r="O3061" i="1"/>
  <c r="P3061" i="1"/>
  <c r="Q3061" i="1"/>
  <c r="N3062" i="1"/>
  <c r="O3062" i="1"/>
  <c r="P3062" i="1"/>
  <c r="Q3062" i="1"/>
  <c r="N3063" i="1"/>
  <c r="O3063" i="1"/>
  <c r="P3063" i="1"/>
  <c r="Q3063" i="1"/>
  <c r="N3064" i="1"/>
  <c r="O3064" i="1"/>
  <c r="P3064" i="1"/>
  <c r="Q3064" i="1"/>
  <c r="N3065" i="1"/>
  <c r="O3065" i="1"/>
  <c r="P3065" i="1"/>
  <c r="Q3065" i="1"/>
  <c r="N3066" i="1"/>
  <c r="O3066" i="1"/>
  <c r="P3066" i="1"/>
  <c r="Q3066" i="1"/>
  <c r="N3067" i="1"/>
  <c r="O3067" i="1"/>
  <c r="P3067" i="1"/>
  <c r="Q3067" i="1"/>
  <c r="N3068" i="1"/>
  <c r="O3068" i="1"/>
  <c r="P3068" i="1"/>
  <c r="Q3068" i="1"/>
  <c r="N3069" i="1"/>
  <c r="O3069" i="1"/>
  <c r="P3069" i="1"/>
  <c r="Q3069" i="1"/>
  <c r="N3070" i="1"/>
  <c r="O3070" i="1"/>
  <c r="P3070" i="1"/>
  <c r="Q3070" i="1"/>
  <c r="N3071" i="1"/>
  <c r="O3071" i="1"/>
  <c r="P3071" i="1"/>
  <c r="Q3071" i="1"/>
  <c r="N3072" i="1"/>
  <c r="O3072" i="1"/>
  <c r="P3072" i="1"/>
  <c r="Q3072" i="1"/>
  <c r="N3073" i="1"/>
  <c r="O3073" i="1"/>
  <c r="P3073" i="1"/>
  <c r="Q3073" i="1"/>
  <c r="N3074" i="1"/>
  <c r="O3074" i="1"/>
  <c r="P3074" i="1"/>
  <c r="Q3074" i="1"/>
  <c r="N3075" i="1"/>
  <c r="O3075" i="1"/>
  <c r="P3075" i="1"/>
  <c r="Q3075" i="1"/>
  <c r="N3076" i="1"/>
  <c r="O3076" i="1"/>
  <c r="P3076" i="1"/>
  <c r="Q3076" i="1"/>
  <c r="N3077" i="1"/>
  <c r="O3077" i="1"/>
  <c r="P3077" i="1"/>
  <c r="Q3077" i="1"/>
  <c r="N3078" i="1"/>
  <c r="O3078" i="1"/>
  <c r="P3078" i="1"/>
  <c r="Q3078" i="1"/>
  <c r="N3079" i="1"/>
  <c r="O3079" i="1"/>
  <c r="P3079" i="1"/>
  <c r="Q3079" i="1"/>
  <c r="N3080" i="1"/>
  <c r="O3080" i="1"/>
  <c r="P3080" i="1"/>
  <c r="Q3080" i="1"/>
  <c r="N3081" i="1"/>
  <c r="O3081" i="1"/>
  <c r="P3081" i="1"/>
  <c r="Q3081" i="1"/>
  <c r="N3082" i="1"/>
  <c r="O3082" i="1"/>
  <c r="P3082" i="1"/>
  <c r="Q3082" i="1"/>
  <c r="N3083" i="1"/>
  <c r="O3083" i="1"/>
  <c r="P3083" i="1"/>
  <c r="Q3083" i="1"/>
  <c r="N3084" i="1"/>
  <c r="O3084" i="1"/>
  <c r="P3084" i="1"/>
  <c r="Q3084" i="1"/>
  <c r="N3085" i="1"/>
  <c r="O3085" i="1"/>
  <c r="P3085" i="1"/>
  <c r="Q3085" i="1"/>
  <c r="N3086" i="1"/>
  <c r="O3086" i="1"/>
  <c r="P3086" i="1"/>
  <c r="Q3086" i="1"/>
  <c r="N3087" i="1"/>
  <c r="O3087" i="1"/>
  <c r="P3087" i="1"/>
  <c r="Q3087" i="1"/>
  <c r="N3088" i="1"/>
  <c r="O3088" i="1"/>
  <c r="P3088" i="1"/>
  <c r="Q3088" i="1"/>
  <c r="N3089" i="1"/>
  <c r="O3089" i="1"/>
  <c r="P3089" i="1"/>
  <c r="Q3089" i="1"/>
  <c r="N3090" i="1"/>
  <c r="O3090" i="1"/>
  <c r="P3090" i="1"/>
  <c r="Q3090" i="1"/>
  <c r="N3091" i="1"/>
  <c r="O3091" i="1"/>
  <c r="P3091" i="1"/>
  <c r="Q3091" i="1"/>
  <c r="N3092" i="1"/>
  <c r="O3092" i="1"/>
  <c r="P3092" i="1"/>
  <c r="Q3092" i="1"/>
  <c r="N3093" i="1"/>
  <c r="O3093" i="1"/>
  <c r="P3093" i="1"/>
  <c r="Q3093" i="1"/>
  <c r="N3094" i="1"/>
  <c r="O3094" i="1"/>
  <c r="P3094" i="1"/>
  <c r="Q3094" i="1"/>
  <c r="N3095" i="1"/>
  <c r="O3095" i="1"/>
  <c r="P3095" i="1"/>
  <c r="Q3095" i="1"/>
  <c r="N3096" i="1"/>
  <c r="O3096" i="1"/>
  <c r="P3096" i="1"/>
  <c r="Q3096" i="1"/>
  <c r="N3097" i="1"/>
  <c r="O3097" i="1"/>
  <c r="P3097" i="1"/>
  <c r="Q3097" i="1"/>
  <c r="N3098" i="1"/>
  <c r="O3098" i="1"/>
  <c r="P3098" i="1"/>
  <c r="Q3098" i="1"/>
  <c r="N3099" i="1"/>
  <c r="O3099" i="1"/>
  <c r="P3099" i="1"/>
  <c r="Q3099" i="1"/>
  <c r="N3100" i="1"/>
  <c r="O3100" i="1"/>
  <c r="P3100" i="1"/>
  <c r="Q3100" i="1"/>
  <c r="N3101" i="1"/>
  <c r="O3101" i="1"/>
  <c r="P3101" i="1"/>
  <c r="Q3101" i="1"/>
  <c r="N3102" i="1"/>
  <c r="O3102" i="1"/>
  <c r="P3102" i="1"/>
  <c r="Q3102" i="1"/>
  <c r="N3103" i="1"/>
  <c r="O3103" i="1"/>
  <c r="P3103" i="1"/>
  <c r="Q3103" i="1"/>
  <c r="N3104" i="1"/>
  <c r="O3104" i="1"/>
  <c r="P3104" i="1"/>
  <c r="Q3104" i="1"/>
  <c r="N3105" i="1"/>
  <c r="O3105" i="1"/>
  <c r="P3105" i="1"/>
  <c r="Q3105" i="1"/>
  <c r="N3106" i="1"/>
  <c r="O3106" i="1"/>
  <c r="P3106" i="1"/>
  <c r="Q3106" i="1"/>
  <c r="N3107" i="1"/>
  <c r="O3107" i="1"/>
  <c r="P3107" i="1"/>
  <c r="Q3107" i="1"/>
  <c r="N3108" i="1"/>
  <c r="O3108" i="1"/>
  <c r="P3108" i="1"/>
  <c r="Q3108" i="1"/>
  <c r="N3109" i="1"/>
  <c r="O3109" i="1"/>
  <c r="P3109" i="1"/>
  <c r="Q3109" i="1"/>
  <c r="N3110" i="1"/>
  <c r="O3110" i="1"/>
  <c r="P3110" i="1"/>
  <c r="Q3110" i="1"/>
  <c r="N3111" i="1"/>
  <c r="O3111" i="1"/>
  <c r="P3111" i="1"/>
  <c r="Q3111" i="1"/>
  <c r="N3112" i="1"/>
  <c r="O3112" i="1"/>
  <c r="P3112" i="1"/>
  <c r="Q3112" i="1"/>
  <c r="N3113" i="1"/>
  <c r="O3113" i="1"/>
  <c r="P3113" i="1"/>
  <c r="Q3113" i="1"/>
  <c r="N3114" i="1"/>
  <c r="O3114" i="1"/>
  <c r="P3114" i="1"/>
  <c r="Q3114" i="1"/>
  <c r="N3115" i="1"/>
  <c r="O3115" i="1"/>
  <c r="P3115" i="1"/>
  <c r="Q3115" i="1"/>
  <c r="N3116" i="1"/>
  <c r="O3116" i="1"/>
  <c r="P3116" i="1"/>
  <c r="Q3116" i="1"/>
  <c r="N3117" i="1"/>
  <c r="O3117" i="1"/>
  <c r="P3117" i="1"/>
  <c r="Q3117" i="1"/>
  <c r="N3118" i="1"/>
  <c r="O3118" i="1"/>
  <c r="P3118" i="1"/>
  <c r="Q3118" i="1"/>
  <c r="N3119" i="1"/>
  <c r="O3119" i="1"/>
  <c r="P3119" i="1"/>
  <c r="Q3119" i="1"/>
  <c r="N3120" i="1"/>
  <c r="O3120" i="1"/>
  <c r="P3120" i="1"/>
  <c r="Q3120" i="1"/>
  <c r="N3121" i="1"/>
  <c r="O3121" i="1"/>
  <c r="P3121" i="1"/>
  <c r="Q3121" i="1"/>
  <c r="N3122" i="1"/>
  <c r="O3122" i="1"/>
  <c r="P3122" i="1"/>
  <c r="Q3122" i="1"/>
  <c r="N3123" i="1"/>
  <c r="O3123" i="1"/>
  <c r="P3123" i="1"/>
  <c r="Q3123" i="1"/>
  <c r="N3124" i="1"/>
  <c r="O3124" i="1"/>
  <c r="P3124" i="1"/>
  <c r="Q3124" i="1"/>
  <c r="N3125" i="1"/>
  <c r="O3125" i="1"/>
  <c r="P3125" i="1"/>
  <c r="Q3125" i="1"/>
  <c r="N3126" i="1"/>
  <c r="O3126" i="1"/>
  <c r="P3126" i="1"/>
  <c r="Q3126" i="1"/>
  <c r="N3127" i="1"/>
  <c r="O3127" i="1"/>
  <c r="P3127" i="1"/>
  <c r="Q3127" i="1"/>
  <c r="N3128" i="1"/>
  <c r="O3128" i="1"/>
  <c r="P3128" i="1"/>
  <c r="Q3128" i="1"/>
  <c r="N3129" i="1"/>
  <c r="O3129" i="1"/>
  <c r="P3129" i="1"/>
  <c r="Q3129" i="1"/>
  <c r="N3130" i="1"/>
  <c r="O3130" i="1"/>
  <c r="P3130" i="1"/>
  <c r="Q3130" i="1"/>
  <c r="N3131" i="1"/>
  <c r="O3131" i="1"/>
  <c r="P3131" i="1"/>
  <c r="Q3131" i="1"/>
  <c r="N3132" i="1"/>
  <c r="O3132" i="1"/>
  <c r="P3132" i="1"/>
  <c r="Q3132" i="1"/>
  <c r="N3133" i="1"/>
  <c r="O3133" i="1"/>
  <c r="P3133" i="1"/>
  <c r="Q3133" i="1"/>
  <c r="N3134" i="1"/>
  <c r="O3134" i="1"/>
  <c r="P3134" i="1"/>
  <c r="Q3134" i="1"/>
  <c r="N3135" i="1"/>
  <c r="O3135" i="1"/>
  <c r="P3135" i="1"/>
  <c r="Q3135" i="1"/>
  <c r="N3136" i="1"/>
  <c r="O3136" i="1"/>
  <c r="P3136" i="1"/>
  <c r="Q3136" i="1"/>
  <c r="N3137" i="1"/>
  <c r="O3137" i="1"/>
  <c r="P3137" i="1"/>
  <c r="Q3137" i="1"/>
  <c r="N3138" i="1"/>
  <c r="O3138" i="1"/>
  <c r="P3138" i="1"/>
  <c r="Q3138" i="1"/>
  <c r="N3139" i="1"/>
  <c r="O3139" i="1"/>
  <c r="P3139" i="1"/>
  <c r="Q3139" i="1"/>
  <c r="N3140" i="1"/>
  <c r="O3140" i="1"/>
  <c r="P3140" i="1"/>
  <c r="Q3140" i="1"/>
  <c r="N3141" i="1"/>
  <c r="O3141" i="1"/>
  <c r="P3141" i="1"/>
  <c r="Q3141" i="1"/>
  <c r="N3142" i="1"/>
  <c r="O3142" i="1"/>
  <c r="P3142" i="1"/>
  <c r="Q3142" i="1"/>
  <c r="N3143" i="1"/>
  <c r="O3143" i="1"/>
  <c r="P3143" i="1"/>
  <c r="Q3143" i="1"/>
  <c r="N3144" i="1"/>
  <c r="O3144" i="1"/>
  <c r="P3144" i="1"/>
  <c r="Q3144" i="1"/>
  <c r="N3145" i="1"/>
  <c r="O3145" i="1"/>
  <c r="P3145" i="1"/>
  <c r="Q3145" i="1"/>
  <c r="N3146" i="1"/>
  <c r="O3146" i="1"/>
  <c r="P3146" i="1"/>
  <c r="Q3146" i="1"/>
  <c r="N3147" i="1"/>
  <c r="O3147" i="1"/>
  <c r="P3147" i="1"/>
  <c r="Q3147" i="1"/>
  <c r="N3148" i="1"/>
  <c r="O3148" i="1"/>
  <c r="P3148" i="1"/>
  <c r="Q3148" i="1"/>
  <c r="N3149" i="1"/>
  <c r="O3149" i="1"/>
  <c r="P3149" i="1"/>
  <c r="Q3149" i="1"/>
  <c r="N3150" i="1"/>
  <c r="O3150" i="1"/>
  <c r="P3150" i="1"/>
  <c r="Q3150" i="1"/>
  <c r="N3151" i="1"/>
  <c r="O3151" i="1"/>
  <c r="P3151" i="1"/>
  <c r="Q3151" i="1"/>
  <c r="N3152" i="1"/>
  <c r="O3152" i="1"/>
  <c r="P3152" i="1"/>
  <c r="Q3152" i="1"/>
  <c r="N3153" i="1"/>
  <c r="O3153" i="1"/>
  <c r="P3153" i="1"/>
  <c r="Q3153" i="1"/>
  <c r="N3154" i="1"/>
  <c r="O3154" i="1"/>
  <c r="P3154" i="1"/>
  <c r="Q3154" i="1"/>
  <c r="N3155" i="1"/>
  <c r="O3155" i="1"/>
  <c r="P3155" i="1"/>
  <c r="Q3155" i="1"/>
  <c r="N3156" i="1"/>
  <c r="O3156" i="1"/>
  <c r="P3156" i="1"/>
  <c r="Q3156" i="1"/>
  <c r="N3157" i="1"/>
  <c r="O3157" i="1"/>
  <c r="P3157" i="1"/>
  <c r="Q3157" i="1"/>
  <c r="N3158" i="1"/>
  <c r="O3158" i="1"/>
  <c r="P3158" i="1"/>
  <c r="Q3158" i="1"/>
  <c r="N3159" i="1"/>
  <c r="O3159" i="1"/>
  <c r="P3159" i="1"/>
  <c r="Q3159" i="1"/>
  <c r="N3160" i="1"/>
  <c r="O3160" i="1"/>
  <c r="P3160" i="1"/>
  <c r="Q3160" i="1"/>
  <c r="N3161" i="1"/>
  <c r="O3161" i="1"/>
  <c r="P3161" i="1"/>
  <c r="Q3161" i="1"/>
  <c r="N3162" i="1"/>
  <c r="O3162" i="1"/>
  <c r="P3162" i="1"/>
  <c r="Q3162" i="1"/>
  <c r="N3163" i="1"/>
  <c r="O3163" i="1"/>
  <c r="P3163" i="1"/>
  <c r="Q3163" i="1"/>
  <c r="N3164" i="1"/>
  <c r="O3164" i="1"/>
  <c r="P3164" i="1"/>
  <c r="Q3164" i="1"/>
  <c r="N3165" i="1"/>
  <c r="O3165" i="1"/>
  <c r="P3165" i="1"/>
  <c r="Q3165" i="1"/>
  <c r="N3166" i="1"/>
  <c r="O3166" i="1"/>
  <c r="P3166" i="1"/>
  <c r="Q3166" i="1"/>
  <c r="N3167" i="1"/>
  <c r="O3167" i="1"/>
  <c r="P3167" i="1"/>
  <c r="Q3167" i="1"/>
  <c r="N3168" i="1"/>
  <c r="O3168" i="1"/>
  <c r="P3168" i="1"/>
  <c r="Q3168" i="1"/>
  <c r="N3169" i="1"/>
  <c r="O3169" i="1"/>
  <c r="P3169" i="1"/>
  <c r="Q3169" i="1"/>
  <c r="N3170" i="1"/>
  <c r="O3170" i="1"/>
  <c r="P3170" i="1"/>
  <c r="Q3170" i="1"/>
  <c r="N3171" i="1"/>
  <c r="O3171" i="1"/>
  <c r="P3171" i="1"/>
  <c r="Q3171" i="1"/>
  <c r="N3172" i="1"/>
  <c r="O3172" i="1"/>
  <c r="P3172" i="1"/>
  <c r="Q3172" i="1"/>
  <c r="N3173" i="1"/>
  <c r="O3173" i="1"/>
  <c r="P3173" i="1"/>
  <c r="Q3173" i="1"/>
  <c r="N3174" i="1"/>
  <c r="O3174" i="1"/>
  <c r="P3174" i="1"/>
  <c r="Q3174" i="1"/>
  <c r="N3175" i="1"/>
  <c r="O3175" i="1"/>
  <c r="P3175" i="1"/>
  <c r="Q3175" i="1"/>
  <c r="N3176" i="1"/>
  <c r="O3176" i="1"/>
  <c r="P3176" i="1"/>
  <c r="Q3176" i="1"/>
  <c r="N3177" i="1"/>
  <c r="O3177" i="1"/>
  <c r="P3177" i="1"/>
  <c r="Q3177" i="1"/>
  <c r="N3178" i="1"/>
  <c r="O3178" i="1"/>
  <c r="P3178" i="1"/>
  <c r="Q3178" i="1"/>
  <c r="N3179" i="1"/>
  <c r="O3179" i="1"/>
  <c r="P3179" i="1"/>
  <c r="Q3179" i="1"/>
  <c r="N3180" i="1"/>
  <c r="O3180" i="1"/>
  <c r="P3180" i="1"/>
  <c r="Q3180" i="1"/>
  <c r="N3181" i="1"/>
  <c r="O3181" i="1"/>
  <c r="P3181" i="1"/>
  <c r="Q3181" i="1"/>
  <c r="N3182" i="1"/>
  <c r="O3182" i="1"/>
  <c r="P3182" i="1"/>
  <c r="Q3182" i="1"/>
  <c r="N3183" i="1"/>
  <c r="O3183" i="1"/>
  <c r="P3183" i="1"/>
  <c r="Q3183" i="1"/>
  <c r="N3184" i="1"/>
  <c r="O3184" i="1"/>
  <c r="P3184" i="1"/>
  <c r="Q3184" i="1"/>
  <c r="N3185" i="1"/>
  <c r="O3185" i="1"/>
  <c r="P3185" i="1"/>
  <c r="Q3185" i="1"/>
  <c r="N3186" i="1"/>
  <c r="O3186" i="1"/>
  <c r="P3186" i="1"/>
  <c r="Q3186" i="1"/>
  <c r="N3187" i="1"/>
  <c r="O3187" i="1"/>
  <c r="P3187" i="1"/>
  <c r="Q3187" i="1"/>
  <c r="N3188" i="1"/>
  <c r="O3188" i="1"/>
  <c r="P3188" i="1"/>
  <c r="Q3188" i="1"/>
  <c r="N3189" i="1"/>
  <c r="O3189" i="1"/>
  <c r="P3189" i="1"/>
  <c r="Q3189" i="1"/>
  <c r="N3190" i="1"/>
  <c r="O3190" i="1"/>
  <c r="P3190" i="1"/>
  <c r="Q3190" i="1"/>
  <c r="N3191" i="1"/>
  <c r="O3191" i="1"/>
  <c r="P3191" i="1"/>
  <c r="Q3191" i="1"/>
  <c r="N3192" i="1"/>
  <c r="O3192" i="1"/>
  <c r="P3192" i="1"/>
  <c r="Q3192" i="1"/>
  <c r="N3193" i="1"/>
  <c r="O3193" i="1"/>
  <c r="P3193" i="1"/>
  <c r="Q3193" i="1"/>
  <c r="N3194" i="1"/>
  <c r="O3194" i="1"/>
  <c r="P3194" i="1"/>
  <c r="Q3194" i="1"/>
  <c r="N3195" i="1"/>
  <c r="O3195" i="1"/>
  <c r="P3195" i="1"/>
  <c r="Q3195" i="1"/>
  <c r="N3196" i="1"/>
  <c r="O3196" i="1"/>
  <c r="P3196" i="1"/>
  <c r="Q3196" i="1"/>
  <c r="N3197" i="1"/>
  <c r="O3197" i="1"/>
  <c r="P3197" i="1"/>
  <c r="Q3197" i="1"/>
  <c r="N3198" i="1"/>
  <c r="O3198" i="1"/>
  <c r="P3198" i="1"/>
  <c r="Q3198" i="1"/>
  <c r="N3199" i="1"/>
  <c r="O3199" i="1"/>
  <c r="P3199" i="1"/>
  <c r="Q3199" i="1"/>
  <c r="N3200" i="1"/>
  <c r="O3200" i="1"/>
  <c r="P3200" i="1"/>
  <c r="Q3200" i="1"/>
  <c r="N3201" i="1"/>
  <c r="O3201" i="1"/>
  <c r="P3201" i="1"/>
  <c r="Q3201" i="1"/>
  <c r="N3202" i="1"/>
  <c r="O3202" i="1"/>
  <c r="P3202" i="1"/>
  <c r="Q3202" i="1"/>
  <c r="N3203" i="1"/>
  <c r="O3203" i="1"/>
  <c r="P3203" i="1"/>
  <c r="Q3203" i="1"/>
  <c r="N3204" i="1"/>
  <c r="O3204" i="1"/>
  <c r="P3204" i="1"/>
  <c r="Q3204" i="1"/>
  <c r="N3205" i="1"/>
  <c r="O3205" i="1"/>
  <c r="P3205" i="1"/>
  <c r="Q3205" i="1"/>
  <c r="N3206" i="1"/>
  <c r="O3206" i="1"/>
  <c r="P3206" i="1"/>
  <c r="Q3206" i="1"/>
  <c r="N3207" i="1"/>
  <c r="O3207" i="1"/>
  <c r="P3207" i="1"/>
  <c r="Q3207" i="1"/>
  <c r="N3208" i="1"/>
  <c r="O3208" i="1"/>
  <c r="P3208" i="1"/>
  <c r="Q3208" i="1"/>
  <c r="N3209" i="1"/>
  <c r="O3209" i="1"/>
  <c r="P3209" i="1"/>
  <c r="Q3209" i="1"/>
  <c r="N3210" i="1"/>
  <c r="O3210" i="1"/>
  <c r="P3210" i="1"/>
  <c r="Q3210" i="1"/>
  <c r="N3211" i="1"/>
  <c r="O3211" i="1"/>
  <c r="P3211" i="1"/>
  <c r="Q3211" i="1"/>
  <c r="N3212" i="1"/>
  <c r="O3212" i="1"/>
  <c r="P3212" i="1"/>
  <c r="Q3212" i="1"/>
  <c r="N3213" i="1"/>
  <c r="O3213" i="1"/>
  <c r="P3213" i="1"/>
  <c r="Q3213" i="1"/>
  <c r="N3214" i="1"/>
  <c r="O3214" i="1"/>
  <c r="P3214" i="1"/>
  <c r="Q3214" i="1"/>
  <c r="N3215" i="1"/>
  <c r="O3215" i="1"/>
  <c r="P3215" i="1"/>
  <c r="Q3215" i="1"/>
  <c r="N3216" i="1"/>
  <c r="O3216" i="1"/>
  <c r="P3216" i="1"/>
  <c r="Q3216" i="1"/>
  <c r="N3217" i="1"/>
  <c r="O3217" i="1"/>
  <c r="P3217" i="1"/>
  <c r="Q3217" i="1"/>
  <c r="N3218" i="1"/>
  <c r="O3218" i="1"/>
  <c r="P3218" i="1"/>
  <c r="Q3218" i="1"/>
  <c r="N3219" i="1"/>
  <c r="O3219" i="1"/>
  <c r="P3219" i="1"/>
  <c r="Q3219" i="1"/>
  <c r="N3220" i="1"/>
  <c r="O3220" i="1"/>
  <c r="P3220" i="1"/>
  <c r="Q3220" i="1"/>
  <c r="N3221" i="1"/>
  <c r="O3221" i="1"/>
  <c r="P3221" i="1"/>
  <c r="Q3221" i="1"/>
  <c r="N3222" i="1"/>
  <c r="O3222" i="1"/>
  <c r="P3222" i="1"/>
  <c r="Q3222" i="1"/>
  <c r="N3223" i="1"/>
  <c r="O3223" i="1"/>
  <c r="P3223" i="1"/>
  <c r="Q3223" i="1"/>
  <c r="N3224" i="1"/>
  <c r="O3224" i="1"/>
  <c r="P3224" i="1"/>
  <c r="Q3224" i="1"/>
  <c r="N3225" i="1"/>
  <c r="O3225" i="1"/>
  <c r="P3225" i="1"/>
  <c r="Q3225" i="1"/>
  <c r="N3226" i="1"/>
  <c r="O3226" i="1"/>
  <c r="P3226" i="1"/>
  <c r="Q3226" i="1"/>
  <c r="N3227" i="1"/>
  <c r="O3227" i="1"/>
  <c r="P3227" i="1"/>
  <c r="Q3227" i="1"/>
  <c r="N3228" i="1"/>
  <c r="O3228" i="1"/>
  <c r="P3228" i="1"/>
  <c r="Q3228" i="1"/>
  <c r="N3229" i="1"/>
  <c r="O3229" i="1"/>
  <c r="P3229" i="1"/>
  <c r="Q3229" i="1"/>
  <c r="N3230" i="1"/>
  <c r="O3230" i="1"/>
  <c r="P3230" i="1"/>
  <c r="Q3230" i="1"/>
  <c r="N3231" i="1"/>
  <c r="O3231" i="1"/>
  <c r="P3231" i="1"/>
  <c r="Q3231" i="1"/>
  <c r="N3232" i="1"/>
  <c r="O3232" i="1"/>
  <c r="P3232" i="1"/>
  <c r="Q3232" i="1"/>
  <c r="N3233" i="1"/>
  <c r="O3233" i="1"/>
  <c r="P3233" i="1"/>
  <c r="Q3233" i="1"/>
  <c r="N3234" i="1"/>
  <c r="O3234" i="1"/>
  <c r="P3234" i="1"/>
  <c r="Q3234" i="1"/>
  <c r="N3235" i="1"/>
  <c r="O3235" i="1"/>
  <c r="P3235" i="1"/>
  <c r="Q3235" i="1"/>
  <c r="N3236" i="1"/>
  <c r="O3236" i="1"/>
  <c r="P3236" i="1"/>
  <c r="Q3236" i="1"/>
  <c r="N3237" i="1"/>
  <c r="O3237" i="1"/>
  <c r="P3237" i="1"/>
  <c r="Q3237" i="1"/>
  <c r="N3238" i="1"/>
  <c r="O3238" i="1"/>
  <c r="P3238" i="1"/>
  <c r="Q3238" i="1"/>
  <c r="N3239" i="1"/>
  <c r="O3239" i="1"/>
  <c r="P3239" i="1"/>
  <c r="Q3239" i="1"/>
  <c r="N3240" i="1"/>
  <c r="O3240" i="1"/>
  <c r="P3240" i="1"/>
  <c r="Q3240" i="1"/>
  <c r="N3241" i="1"/>
  <c r="O3241" i="1"/>
  <c r="P3241" i="1"/>
  <c r="Q3241" i="1"/>
  <c r="N3242" i="1"/>
  <c r="O3242" i="1"/>
  <c r="P3242" i="1"/>
  <c r="Q3242" i="1"/>
  <c r="N3243" i="1"/>
  <c r="O3243" i="1"/>
  <c r="P3243" i="1"/>
  <c r="Q3243" i="1"/>
  <c r="N3244" i="1"/>
  <c r="O3244" i="1"/>
  <c r="P3244" i="1"/>
  <c r="Q3244" i="1"/>
  <c r="N3245" i="1"/>
  <c r="O3245" i="1"/>
  <c r="P3245" i="1"/>
  <c r="Q3245" i="1"/>
  <c r="N3246" i="1"/>
  <c r="O3246" i="1"/>
  <c r="P3246" i="1"/>
  <c r="Q3246" i="1"/>
  <c r="N3247" i="1"/>
  <c r="O3247" i="1"/>
  <c r="P3247" i="1"/>
  <c r="Q3247" i="1"/>
  <c r="N3248" i="1"/>
  <c r="O3248" i="1"/>
  <c r="P3248" i="1"/>
  <c r="Q3248" i="1"/>
  <c r="N3249" i="1"/>
  <c r="O3249" i="1"/>
  <c r="P3249" i="1"/>
  <c r="Q3249" i="1"/>
  <c r="N3250" i="1"/>
  <c r="O3250" i="1"/>
  <c r="P3250" i="1"/>
  <c r="Q3250" i="1"/>
  <c r="N3251" i="1"/>
  <c r="O3251" i="1"/>
  <c r="P3251" i="1"/>
  <c r="Q3251" i="1"/>
  <c r="N3252" i="1"/>
  <c r="O3252" i="1"/>
  <c r="P3252" i="1"/>
  <c r="Q3252" i="1"/>
  <c r="N3253" i="1"/>
  <c r="O3253" i="1"/>
  <c r="P3253" i="1"/>
  <c r="Q3253" i="1"/>
  <c r="N3254" i="1"/>
  <c r="O3254" i="1"/>
  <c r="P3254" i="1"/>
  <c r="Q3254" i="1"/>
  <c r="N3255" i="1"/>
  <c r="O3255" i="1"/>
  <c r="P3255" i="1"/>
  <c r="Q3255" i="1"/>
  <c r="N3256" i="1"/>
  <c r="O3256" i="1"/>
  <c r="P3256" i="1"/>
  <c r="Q3256" i="1"/>
  <c r="N3257" i="1"/>
  <c r="O3257" i="1"/>
  <c r="P3257" i="1"/>
  <c r="Q3257" i="1"/>
  <c r="N3258" i="1"/>
  <c r="O3258" i="1"/>
  <c r="P3258" i="1"/>
  <c r="Q3258" i="1"/>
  <c r="N3259" i="1"/>
  <c r="O3259" i="1"/>
  <c r="P3259" i="1"/>
  <c r="Q3259" i="1"/>
  <c r="N3260" i="1"/>
  <c r="O3260" i="1"/>
  <c r="P3260" i="1"/>
  <c r="Q3260" i="1"/>
  <c r="N3261" i="1"/>
  <c r="O3261" i="1"/>
  <c r="P3261" i="1"/>
  <c r="Q3261" i="1"/>
  <c r="N3262" i="1"/>
  <c r="O3262" i="1"/>
  <c r="P3262" i="1"/>
  <c r="Q3262" i="1"/>
  <c r="N3263" i="1"/>
  <c r="O3263" i="1"/>
  <c r="P3263" i="1"/>
  <c r="Q3263" i="1"/>
  <c r="N3264" i="1"/>
  <c r="O3264" i="1"/>
  <c r="P3264" i="1"/>
  <c r="Q3264" i="1"/>
  <c r="N3265" i="1"/>
  <c r="O3265" i="1"/>
  <c r="P3265" i="1"/>
  <c r="Q3265" i="1"/>
  <c r="N3266" i="1"/>
  <c r="O3266" i="1"/>
  <c r="P3266" i="1"/>
  <c r="Q3266" i="1"/>
  <c r="N3267" i="1"/>
  <c r="O3267" i="1"/>
  <c r="P3267" i="1"/>
  <c r="Q3267" i="1"/>
  <c r="N3268" i="1"/>
  <c r="O3268" i="1"/>
  <c r="P3268" i="1"/>
  <c r="Q3268" i="1"/>
  <c r="N3269" i="1"/>
  <c r="O3269" i="1"/>
  <c r="P3269" i="1"/>
  <c r="Q3269" i="1"/>
  <c r="N3270" i="1"/>
  <c r="O3270" i="1"/>
  <c r="P3270" i="1"/>
  <c r="Q3270" i="1"/>
  <c r="N3271" i="1"/>
  <c r="O3271" i="1"/>
  <c r="P3271" i="1"/>
  <c r="Q3271" i="1"/>
  <c r="N3272" i="1"/>
  <c r="O3272" i="1"/>
  <c r="P3272" i="1"/>
  <c r="Q3272" i="1"/>
  <c r="N3273" i="1"/>
  <c r="O3273" i="1"/>
  <c r="P3273" i="1"/>
  <c r="Q3273" i="1"/>
  <c r="N3274" i="1"/>
  <c r="O3274" i="1"/>
  <c r="P3274" i="1"/>
  <c r="Q3274" i="1"/>
  <c r="N3275" i="1"/>
  <c r="O3275" i="1"/>
  <c r="P3275" i="1"/>
  <c r="Q3275" i="1"/>
  <c r="N3276" i="1"/>
  <c r="O3276" i="1"/>
  <c r="P3276" i="1"/>
  <c r="Q3276" i="1"/>
  <c r="N3277" i="1"/>
  <c r="O3277" i="1"/>
  <c r="P3277" i="1"/>
  <c r="Q3277" i="1"/>
  <c r="N3278" i="1"/>
  <c r="O3278" i="1"/>
  <c r="P3278" i="1"/>
  <c r="Q3278" i="1"/>
  <c r="N3279" i="1"/>
  <c r="O3279" i="1"/>
  <c r="P3279" i="1"/>
  <c r="Q3279" i="1"/>
  <c r="N3280" i="1"/>
  <c r="O3280" i="1"/>
  <c r="P3280" i="1"/>
  <c r="Q3280" i="1"/>
  <c r="N3281" i="1"/>
  <c r="O3281" i="1"/>
  <c r="P3281" i="1"/>
  <c r="Q3281" i="1"/>
  <c r="N3282" i="1"/>
  <c r="O3282" i="1"/>
  <c r="P3282" i="1"/>
  <c r="Q3282" i="1"/>
  <c r="N3283" i="1"/>
  <c r="O3283" i="1"/>
  <c r="P3283" i="1"/>
  <c r="Q3283" i="1"/>
  <c r="N3284" i="1"/>
  <c r="O3284" i="1"/>
  <c r="P3284" i="1"/>
  <c r="Q3284" i="1"/>
  <c r="N3285" i="1"/>
  <c r="O3285" i="1"/>
  <c r="P3285" i="1"/>
  <c r="Q3285" i="1"/>
  <c r="N3286" i="1"/>
  <c r="O3286" i="1"/>
  <c r="P3286" i="1"/>
  <c r="Q3286" i="1"/>
  <c r="N3287" i="1"/>
  <c r="O3287" i="1"/>
  <c r="P3287" i="1"/>
  <c r="Q3287" i="1"/>
  <c r="N3288" i="1"/>
  <c r="O3288" i="1"/>
  <c r="P3288" i="1"/>
  <c r="Q3288" i="1"/>
  <c r="N3289" i="1"/>
  <c r="O3289" i="1"/>
  <c r="P3289" i="1"/>
  <c r="Q3289" i="1"/>
  <c r="N3290" i="1"/>
  <c r="O3290" i="1"/>
  <c r="P3290" i="1"/>
  <c r="Q3290" i="1"/>
  <c r="N3291" i="1"/>
  <c r="O3291" i="1"/>
  <c r="P3291" i="1"/>
  <c r="Q3291" i="1"/>
  <c r="N3292" i="1"/>
  <c r="O3292" i="1"/>
  <c r="P3292" i="1"/>
  <c r="Q3292" i="1"/>
  <c r="N3293" i="1"/>
  <c r="O3293" i="1"/>
  <c r="P3293" i="1"/>
  <c r="Q3293" i="1"/>
  <c r="N3294" i="1"/>
  <c r="O3294" i="1"/>
  <c r="P3294" i="1"/>
  <c r="Q3294" i="1"/>
  <c r="N3295" i="1"/>
  <c r="O3295" i="1"/>
  <c r="P3295" i="1"/>
  <c r="Q3295" i="1"/>
  <c r="N3296" i="1"/>
  <c r="O3296" i="1"/>
  <c r="P3296" i="1"/>
  <c r="Q3296" i="1"/>
  <c r="N3297" i="1"/>
  <c r="O3297" i="1"/>
  <c r="P3297" i="1"/>
  <c r="Q3297" i="1"/>
  <c r="N3298" i="1"/>
  <c r="O3298" i="1"/>
  <c r="P3298" i="1"/>
  <c r="Q3298" i="1"/>
  <c r="N3299" i="1"/>
  <c r="O3299" i="1"/>
  <c r="P3299" i="1"/>
  <c r="Q3299" i="1"/>
  <c r="N3300" i="1"/>
  <c r="O3300" i="1"/>
  <c r="P3300" i="1"/>
  <c r="Q3300" i="1"/>
  <c r="N3301" i="1"/>
  <c r="O3301" i="1"/>
  <c r="P3301" i="1"/>
  <c r="Q3301" i="1"/>
  <c r="N3302" i="1"/>
  <c r="O3302" i="1"/>
  <c r="P3302" i="1"/>
  <c r="Q3302" i="1"/>
  <c r="N3303" i="1"/>
  <c r="O3303" i="1"/>
  <c r="P3303" i="1"/>
  <c r="Q3303" i="1"/>
  <c r="N3304" i="1"/>
  <c r="O3304" i="1"/>
  <c r="P3304" i="1"/>
  <c r="Q3304" i="1"/>
  <c r="N3305" i="1"/>
  <c r="O3305" i="1"/>
  <c r="P3305" i="1"/>
  <c r="Q3305" i="1"/>
  <c r="N3306" i="1"/>
  <c r="O3306" i="1"/>
  <c r="P3306" i="1"/>
  <c r="Q3306" i="1"/>
  <c r="N3307" i="1"/>
  <c r="O3307" i="1"/>
  <c r="P3307" i="1"/>
  <c r="Q3307" i="1"/>
  <c r="N3308" i="1"/>
  <c r="O3308" i="1"/>
  <c r="P3308" i="1"/>
  <c r="Q3308" i="1"/>
  <c r="N3309" i="1"/>
  <c r="O3309" i="1"/>
  <c r="P3309" i="1"/>
  <c r="Q3309" i="1"/>
  <c r="N3310" i="1"/>
  <c r="O3310" i="1"/>
  <c r="P3310" i="1"/>
  <c r="Q3310" i="1"/>
  <c r="N3311" i="1"/>
  <c r="O3311" i="1"/>
  <c r="P3311" i="1"/>
  <c r="Q3311" i="1"/>
  <c r="N3312" i="1"/>
  <c r="O3312" i="1"/>
  <c r="P3312" i="1"/>
  <c r="Q3312" i="1"/>
  <c r="N3313" i="1"/>
  <c r="O3313" i="1"/>
  <c r="P3313" i="1"/>
  <c r="Q3313" i="1"/>
  <c r="N3314" i="1"/>
  <c r="O3314" i="1"/>
  <c r="P3314" i="1"/>
  <c r="Q3314" i="1"/>
  <c r="N3315" i="1"/>
  <c r="O3315" i="1"/>
  <c r="P3315" i="1"/>
  <c r="Q3315" i="1"/>
  <c r="N3316" i="1"/>
  <c r="O3316" i="1"/>
  <c r="P3316" i="1"/>
  <c r="Q3316" i="1"/>
  <c r="N3317" i="1"/>
  <c r="O3317" i="1"/>
  <c r="P3317" i="1"/>
  <c r="Q3317" i="1"/>
  <c r="N3318" i="1"/>
  <c r="O3318" i="1"/>
  <c r="P3318" i="1"/>
  <c r="Q3318" i="1"/>
  <c r="N3319" i="1"/>
  <c r="O3319" i="1"/>
  <c r="P3319" i="1"/>
  <c r="Q3319" i="1"/>
  <c r="N3320" i="1"/>
  <c r="O3320" i="1"/>
  <c r="P3320" i="1"/>
  <c r="Q3320" i="1"/>
  <c r="N3321" i="1"/>
  <c r="O3321" i="1"/>
  <c r="P3321" i="1"/>
  <c r="Q3321" i="1"/>
  <c r="N3322" i="1"/>
  <c r="O3322" i="1"/>
  <c r="P3322" i="1"/>
  <c r="Q3322" i="1"/>
  <c r="N3323" i="1"/>
  <c r="O3323" i="1"/>
  <c r="P3323" i="1"/>
  <c r="Q3323" i="1"/>
  <c r="N3324" i="1"/>
  <c r="O3324" i="1"/>
  <c r="P3324" i="1"/>
  <c r="Q3324" i="1"/>
  <c r="N3325" i="1"/>
  <c r="O3325" i="1"/>
  <c r="P3325" i="1"/>
  <c r="Q3325" i="1"/>
  <c r="N3326" i="1"/>
  <c r="O3326" i="1"/>
  <c r="P3326" i="1"/>
  <c r="Q3326" i="1"/>
  <c r="N3327" i="1"/>
  <c r="O3327" i="1"/>
  <c r="P3327" i="1"/>
  <c r="Q3327" i="1"/>
  <c r="N3328" i="1"/>
  <c r="O3328" i="1"/>
  <c r="P3328" i="1"/>
  <c r="Q3328" i="1"/>
  <c r="N3329" i="1"/>
  <c r="O3329" i="1"/>
  <c r="P3329" i="1"/>
  <c r="Q3329" i="1"/>
  <c r="N3330" i="1"/>
  <c r="O3330" i="1"/>
  <c r="P3330" i="1"/>
  <c r="Q3330" i="1"/>
  <c r="N3331" i="1"/>
  <c r="O3331" i="1"/>
  <c r="P3331" i="1"/>
  <c r="Q3331" i="1"/>
  <c r="N3332" i="1"/>
  <c r="O3332" i="1"/>
  <c r="P3332" i="1"/>
  <c r="Q3332" i="1"/>
  <c r="N3333" i="1"/>
  <c r="O3333" i="1"/>
  <c r="P3333" i="1"/>
  <c r="Q3333" i="1"/>
  <c r="N3334" i="1"/>
  <c r="O3334" i="1"/>
  <c r="P3334" i="1"/>
  <c r="Q3334" i="1"/>
  <c r="N3335" i="1"/>
  <c r="O3335" i="1"/>
  <c r="P3335" i="1"/>
  <c r="Q3335" i="1"/>
  <c r="N3336" i="1"/>
  <c r="O3336" i="1"/>
  <c r="P3336" i="1"/>
  <c r="Q3336" i="1"/>
  <c r="N3337" i="1"/>
  <c r="O3337" i="1"/>
  <c r="P3337" i="1"/>
  <c r="Q3337" i="1"/>
  <c r="N3338" i="1"/>
  <c r="O3338" i="1"/>
  <c r="P3338" i="1"/>
  <c r="Q3338" i="1"/>
  <c r="N3339" i="1"/>
  <c r="O3339" i="1"/>
  <c r="P3339" i="1"/>
  <c r="Q3339" i="1"/>
  <c r="N3340" i="1"/>
  <c r="O3340" i="1"/>
  <c r="P3340" i="1"/>
  <c r="Q3340" i="1"/>
  <c r="N3341" i="1"/>
  <c r="O3341" i="1"/>
  <c r="P3341" i="1"/>
  <c r="Q3341" i="1"/>
  <c r="N3342" i="1"/>
  <c r="O3342" i="1"/>
  <c r="P3342" i="1"/>
  <c r="Q3342" i="1"/>
  <c r="N3343" i="1"/>
  <c r="O3343" i="1"/>
  <c r="P3343" i="1"/>
  <c r="Q3343" i="1"/>
  <c r="N3344" i="1"/>
  <c r="O3344" i="1"/>
  <c r="P3344" i="1"/>
  <c r="Q3344" i="1"/>
  <c r="N3345" i="1"/>
  <c r="O3345" i="1"/>
  <c r="P3345" i="1"/>
  <c r="Q3345" i="1"/>
  <c r="N3346" i="1"/>
  <c r="O3346" i="1"/>
  <c r="P3346" i="1"/>
  <c r="Q3346" i="1"/>
  <c r="N3347" i="1"/>
  <c r="O3347" i="1"/>
  <c r="P3347" i="1"/>
  <c r="Q3347" i="1"/>
  <c r="N3348" i="1"/>
  <c r="O3348" i="1"/>
  <c r="P3348" i="1"/>
  <c r="Q3348" i="1"/>
  <c r="N3349" i="1"/>
  <c r="O3349" i="1"/>
  <c r="P3349" i="1"/>
  <c r="Q3349" i="1"/>
  <c r="N3350" i="1"/>
  <c r="O3350" i="1"/>
  <c r="P3350" i="1"/>
  <c r="Q3350" i="1"/>
  <c r="N3351" i="1"/>
  <c r="O3351" i="1"/>
  <c r="P3351" i="1"/>
  <c r="Q3351" i="1"/>
  <c r="N3352" i="1"/>
  <c r="O3352" i="1"/>
  <c r="P3352" i="1"/>
  <c r="Q3352" i="1"/>
  <c r="N3353" i="1"/>
  <c r="O3353" i="1"/>
  <c r="P3353" i="1"/>
  <c r="Q3353" i="1"/>
  <c r="N3354" i="1"/>
  <c r="O3354" i="1"/>
  <c r="P3354" i="1"/>
  <c r="Q3354" i="1"/>
  <c r="N3355" i="1"/>
  <c r="O3355" i="1"/>
  <c r="P3355" i="1"/>
  <c r="Q3355" i="1"/>
  <c r="N3356" i="1"/>
  <c r="O3356" i="1"/>
  <c r="P3356" i="1"/>
  <c r="Q3356" i="1"/>
  <c r="N3357" i="1"/>
  <c r="O3357" i="1"/>
  <c r="P3357" i="1"/>
  <c r="Q3357" i="1"/>
  <c r="N3358" i="1"/>
  <c r="O3358" i="1"/>
  <c r="P3358" i="1"/>
  <c r="Q3358" i="1"/>
  <c r="N3359" i="1"/>
  <c r="O3359" i="1"/>
  <c r="P3359" i="1"/>
  <c r="Q3359" i="1"/>
  <c r="N3360" i="1"/>
  <c r="O3360" i="1"/>
  <c r="P3360" i="1"/>
  <c r="Q3360" i="1"/>
  <c r="N3361" i="1"/>
  <c r="O3361" i="1"/>
  <c r="P3361" i="1"/>
  <c r="Q3361" i="1"/>
  <c r="N3362" i="1"/>
  <c r="O3362" i="1"/>
  <c r="P3362" i="1"/>
  <c r="Q3362" i="1"/>
  <c r="N3363" i="1"/>
  <c r="O3363" i="1"/>
  <c r="P3363" i="1"/>
  <c r="Q3363" i="1"/>
  <c r="N3364" i="1"/>
  <c r="O3364" i="1"/>
  <c r="P3364" i="1"/>
  <c r="Q3364" i="1"/>
  <c r="N3365" i="1"/>
  <c r="O3365" i="1"/>
  <c r="P3365" i="1"/>
  <c r="Q3365" i="1"/>
  <c r="N3366" i="1"/>
  <c r="O3366" i="1"/>
  <c r="P3366" i="1"/>
  <c r="Q3366" i="1"/>
  <c r="N3367" i="1"/>
  <c r="O3367" i="1"/>
  <c r="P3367" i="1"/>
  <c r="Q3367" i="1"/>
  <c r="N3368" i="1"/>
  <c r="O3368" i="1"/>
  <c r="P3368" i="1"/>
  <c r="Q3368" i="1"/>
  <c r="N3369" i="1"/>
  <c r="O3369" i="1"/>
  <c r="P3369" i="1"/>
  <c r="Q3369" i="1"/>
  <c r="N3370" i="1"/>
  <c r="O3370" i="1"/>
  <c r="P3370" i="1"/>
  <c r="Q3370" i="1"/>
  <c r="N3371" i="1"/>
  <c r="O3371" i="1"/>
  <c r="P3371" i="1"/>
  <c r="Q3371" i="1"/>
  <c r="N3372" i="1"/>
  <c r="O3372" i="1"/>
  <c r="P3372" i="1"/>
  <c r="Q3372" i="1"/>
  <c r="N3373" i="1"/>
  <c r="O3373" i="1"/>
  <c r="P3373" i="1"/>
  <c r="Q3373" i="1"/>
  <c r="N3374" i="1"/>
  <c r="O3374" i="1"/>
  <c r="P3374" i="1"/>
  <c r="Q3374" i="1"/>
  <c r="N3375" i="1"/>
  <c r="O3375" i="1"/>
  <c r="P3375" i="1"/>
  <c r="Q3375" i="1"/>
  <c r="N3376" i="1"/>
  <c r="O3376" i="1"/>
  <c r="P3376" i="1"/>
  <c r="Q3376" i="1"/>
  <c r="N3377" i="1"/>
  <c r="O3377" i="1"/>
  <c r="P3377" i="1"/>
  <c r="Q3377" i="1"/>
  <c r="N3378" i="1"/>
  <c r="O3378" i="1"/>
  <c r="P3378" i="1"/>
  <c r="Q3378" i="1"/>
  <c r="N3379" i="1"/>
  <c r="O3379" i="1"/>
  <c r="P3379" i="1"/>
  <c r="Q3379" i="1"/>
  <c r="N3380" i="1"/>
  <c r="O3380" i="1"/>
  <c r="P3380" i="1"/>
  <c r="Q3380" i="1"/>
  <c r="N3381" i="1"/>
  <c r="O3381" i="1"/>
  <c r="P3381" i="1"/>
  <c r="Q3381" i="1"/>
  <c r="N3382" i="1"/>
  <c r="O3382" i="1"/>
  <c r="P3382" i="1"/>
  <c r="Q3382" i="1"/>
  <c r="N3383" i="1"/>
  <c r="O3383" i="1"/>
  <c r="P3383" i="1"/>
  <c r="Q3383" i="1"/>
  <c r="N3384" i="1"/>
  <c r="O3384" i="1"/>
  <c r="P3384" i="1"/>
  <c r="Q3384" i="1"/>
  <c r="N3385" i="1"/>
  <c r="O3385" i="1"/>
  <c r="P3385" i="1"/>
  <c r="Q3385" i="1"/>
  <c r="N3386" i="1"/>
  <c r="O3386" i="1"/>
  <c r="P3386" i="1"/>
  <c r="Q3386" i="1"/>
  <c r="N3387" i="1"/>
  <c r="O3387" i="1"/>
  <c r="P3387" i="1"/>
  <c r="Q3387" i="1"/>
  <c r="N3388" i="1"/>
  <c r="O3388" i="1"/>
  <c r="P3388" i="1"/>
  <c r="Q3388" i="1"/>
  <c r="N3389" i="1"/>
  <c r="O3389" i="1"/>
  <c r="P3389" i="1"/>
  <c r="Q3389" i="1"/>
  <c r="N3390" i="1"/>
  <c r="O3390" i="1"/>
  <c r="P3390" i="1"/>
  <c r="Q3390" i="1"/>
  <c r="N3391" i="1"/>
  <c r="O3391" i="1"/>
  <c r="P3391" i="1"/>
  <c r="Q3391" i="1"/>
  <c r="N3392" i="1"/>
  <c r="O3392" i="1"/>
  <c r="P3392" i="1"/>
  <c r="Q3392" i="1"/>
  <c r="N3393" i="1"/>
  <c r="O3393" i="1"/>
  <c r="P3393" i="1"/>
  <c r="Q3393" i="1"/>
  <c r="N3394" i="1"/>
  <c r="O3394" i="1"/>
  <c r="P3394" i="1"/>
  <c r="Q3394" i="1"/>
  <c r="N3395" i="1"/>
  <c r="O3395" i="1"/>
  <c r="P3395" i="1"/>
  <c r="Q3395" i="1"/>
  <c r="N3396" i="1"/>
  <c r="O3396" i="1"/>
  <c r="P3396" i="1"/>
  <c r="Q3396" i="1"/>
  <c r="N3397" i="1"/>
  <c r="O3397" i="1"/>
  <c r="P3397" i="1"/>
  <c r="Q3397" i="1"/>
  <c r="N3398" i="1"/>
  <c r="O3398" i="1"/>
  <c r="P3398" i="1"/>
  <c r="Q3398" i="1"/>
  <c r="N3399" i="1"/>
  <c r="O3399" i="1"/>
  <c r="P3399" i="1"/>
  <c r="Q3399" i="1"/>
  <c r="N3400" i="1"/>
  <c r="O3400" i="1"/>
  <c r="P3400" i="1"/>
  <c r="Q3400" i="1"/>
  <c r="N3401" i="1"/>
  <c r="O3401" i="1"/>
  <c r="P3401" i="1"/>
  <c r="Q3401" i="1"/>
  <c r="N3402" i="1"/>
  <c r="O3402" i="1"/>
  <c r="P3402" i="1"/>
  <c r="Q3402" i="1"/>
  <c r="N3403" i="1"/>
  <c r="O3403" i="1"/>
  <c r="P3403" i="1"/>
  <c r="Q3403" i="1"/>
  <c r="N3404" i="1"/>
  <c r="O3404" i="1"/>
  <c r="P3404" i="1"/>
  <c r="Q3404" i="1"/>
  <c r="N3405" i="1"/>
  <c r="O3405" i="1"/>
  <c r="P3405" i="1"/>
  <c r="Q3405" i="1"/>
  <c r="N3406" i="1"/>
  <c r="O3406" i="1"/>
  <c r="P3406" i="1"/>
  <c r="Q3406" i="1"/>
  <c r="N3407" i="1"/>
  <c r="O3407" i="1"/>
  <c r="P3407" i="1"/>
  <c r="Q3407" i="1"/>
  <c r="N3408" i="1"/>
  <c r="O3408" i="1"/>
  <c r="P3408" i="1"/>
  <c r="Q3408" i="1"/>
  <c r="N3409" i="1"/>
  <c r="O3409" i="1"/>
  <c r="P3409" i="1"/>
  <c r="Q3409" i="1"/>
  <c r="N3410" i="1"/>
  <c r="O3410" i="1"/>
  <c r="P3410" i="1"/>
  <c r="Q3410" i="1"/>
  <c r="N3411" i="1"/>
  <c r="O3411" i="1"/>
  <c r="P3411" i="1"/>
  <c r="Q3411" i="1"/>
  <c r="N3412" i="1"/>
  <c r="O3412" i="1"/>
  <c r="P3412" i="1"/>
  <c r="Q3412" i="1"/>
  <c r="N3413" i="1"/>
  <c r="O3413" i="1"/>
  <c r="P3413" i="1"/>
  <c r="Q3413" i="1"/>
  <c r="N3414" i="1"/>
  <c r="O3414" i="1"/>
  <c r="P3414" i="1"/>
  <c r="Q3414" i="1"/>
  <c r="N3415" i="1"/>
  <c r="O3415" i="1"/>
  <c r="P3415" i="1"/>
  <c r="Q3415" i="1"/>
  <c r="N3416" i="1"/>
  <c r="O3416" i="1"/>
  <c r="P3416" i="1"/>
  <c r="Q3416" i="1"/>
  <c r="N3417" i="1"/>
  <c r="O3417" i="1"/>
  <c r="P3417" i="1"/>
  <c r="Q3417" i="1"/>
  <c r="N3418" i="1"/>
  <c r="O3418" i="1"/>
  <c r="P3418" i="1"/>
  <c r="Q3418" i="1"/>
  <c r="N3419" i="1"/>
  <c r="O3419" i="1"/>
  <c r="P3419" i="1"/>
  <c r="Q3419" i="1"/>
  <c r="N3420" i="1"/>
  <c r="O3420" i="1"/>
  <c r="P3420" i="1"/>
  <c r="Q3420" i="1"/>
  <c r="N3421" i="1"/>
  <c r="O3421" i="1"/>
  <c r="P3421" i="1"/>
  <c r="Q3421" i="1"/>
  <c r="N3422" i="1"/>
  <c r="O3422" i="1"/>
  <c r="P3422" i="1"/>
  <c r="Q3422" i="1"/>
  <c r="N3423" i="1"/>
  <c r="O3423" i="1"/>
  <c r="P3423" i="1"/>
  <c r="Q3423" i="1"/>
  <c r="N3424" i="1"/>
  <c r="O3424" i="1"/>
  <c r="P3424" i="1"/>
  <c r="Q3424" i="1"/>
  <c r="N3425" i="1"/>
  <c r="O3425" i="1"/>
  <c r="P3425" i="1"/>
  <c r="Q3425" i="1"/>
  <c r="N3426" i="1"/>
  <c r="O3426" i="1"/>
  <c r="P3426" i="1"/>
  <c r="Q3426" i="1"/>
  <c r="N3427" i="1"/>
  <c r="O3427" i="1"/>
  <c r="P3427" i="1"/>
  <c r="Q3427" i="1"/>
  <c r="N3428" i="1"/>
  <c r="O3428" i="1"/>
  <c r="P3428" i="1"/>
  <c r="Q3428" i="1"/>
  <c r="N3429" i="1"/>
  <c r="O3429" i="1"/>
  <c r="P3429" i="1"/>
  <c r="Q3429" i="1"/>
  <c r="N3430" i="1"/>
  <c r="O3430" i="1"/>
  <c r="P3430" i="1"/>
  <c r="Q3430" i="1"/>
  <c r="N3431" i="1"/>
  <c r="O3431" i="1"/>
  <c r="P3431" i="1"/>
  <c r="Q3431" i="1"/>
  <c r="N3432" i="1"/>
  <c r="O3432" i="1"/>
  <c r="P3432" i="1"/>
  <c r="Q3432" i="1"/>
  <c r="N3433" i="1"/>
  <c r="O3433" i="1"/>
  <c r="P3433" i="1"/>
  <c r="Q3433" i="1"/>
  <c r="N3434" i="1"/>
  <c r="O3434" i="1"/>
  <c r="P3434" i="1"/>
  <c r="Q3434" i="1"/>
  <c r="N3435" i="1"/>
  <c r="O3435" i="1"/>
  <c r="P3435" i="1"/>
  <c r="Q3435" i="1"/>
  <c r="N3436" i="1"/>
  <c r="O3436" i="1"/>
  <c r="P3436" i="1"/>
  <c r="Q3436" i="1"/>
  <c r="N3437" i="1"/>
  <c r="O3437" i="1"/>
  <c r="P3437" i="1"/>
  <c r="Q3437" i="1"/>
  <c r="N3438" i="1"/>
  <c r="O3438" i="1"/>
  <c r="P3438" i="1"/>
  <c r="Q3438" i="1"/>
  <c r="N3439" i="1"/>
  <c r="O3439" i="1"/>
  <c r="P3439" i="1"/>
  <c r="Q3439" i="1"/>
  <c r="N3440" i="1"/>
  <c r="O3440" i="1"/>
  <c r="P3440" i="1"/>
  <c r="Q3440" i="1"/>
  <c r="N3441" i="1"/>
  <c r="O3441" i="1"/>
  <c r="P3441" i="1"/>
  <c r="Q3441" i="1"/>
  <c r="N3442" i="1"/>
  <c r="O3442" i="1"/>
  <c r="P3442" i="1"/>
  <c r="Q3442" i="1"/>
  <c r="N3443" i="1"/>
  <c r="O3443" i="1"/>
  <c r="P3443" i="1"/>
  <c r="Q3443" i="1"/>
  <c r="N3444" i="1"/>
  <c r="O3444" i="1"/>
  <c r="P3444" i="1"/>
  <c r="Q3444" i="1"/>
  <c r="N3445" i="1"/>
  <c r="O3445" i="1"/>
  <c r="P3445" i="1"/>
  <c r="Q3445" i="1"/>
  <c r="N3446" i="1"/>
  <c r="O3446" i="1"/>
  <c r="P3446" i="1"/>
  <c r="Q3446" i="1"/>
  <c r="N3447" i="1"/>
  <c r="O3447" i="1"/>
  <c r="P3447" i="1"/>
  <c r="Q3447" i="1"/>
  <c r="N3448" i="1"/>
  <c r="O3448" i="1"/>
  <c r="P3448" i="1"/>
  <c r="Q3448" i="1"/>
  <c r="N3449" i="1"/>
  <c r="O3449" i="1"/>
  <c r="P3449" i="1"/>
  <c r="Q3449" i="1"/>
  <c r="N3450" i="1"/>
  <c r="O3450" i="1"/>
  <c r="P3450" i="1"/>
  <c r="Q3450" i="1"/>
  <c r="N3451" i="1"/>
  <c r="O3451" i="1"/>
  <c r="P3451" i="1"/>
  <c r="Q3451" i="1"/>
  <c r="N3452" i="1"/>
  <c r="O3452" i="1"/>
  <c r="P3452" i="1"/>
  <c r="Q3452" i="1"/>
  <c r="N3453" i="1"/>
  <c r="O3453" i="1"/>
  <c r="P3453" i="1"/>
  <c r="Q3453" i="1"/>
  <c r="N3454" i="1"/>
  <c r="O3454" i="1"/>
  <c r="P3454" i="1"/>
  <c r="Q3454" i="1"/>
  <c r="N3455" i="1"/>
  <c r="O3455" i="1"/>
  <c r="P3455" i="1"/>
  <c r="Q3455" i="1"/>
  <c r="N3456" i="1"/>
  <c r="O3456" i="1"/>
  <c r="P3456" i="1"/>
  <c r="Q3456" i="1"/>
  <c r="N3457" i="1"/>
  <c r="O3457" i="1"/>
  <c r="P3457" i="1"/>
  <c r="Q3457" i="1"/>
  <c r="N3458" i="1"/>
  <c r="O3458" i="1"/>
  <c r="P3458" i="1"/>
  <c r="Q3458" i="1"/>
  <c r="N3459" i="1"/>
  <c r="O3459" i="1"/>
  <c r="P3459" i="1"/>
  <c r="Q3459" i="1"/>
  <c r="N3460" i="1"/>
  <c r="O3460" i="1"/>
  <c r="P3460" i="1"/>
  <c r="Q3460" i="1"/>
  <c r="N3461" i="1"/>
  <c r="O3461" i="1"/>
  <c r="P3461" i="1"/>
  <c r="Q3461" i="1"/>
  <c r="N3462" i="1"/>
  <c r="O3462" i="1"/>
  <c r="P3462" i="1"/>
  <c r="Q3462" i="1"/>
  <c r="N3463" i="1"/>
  <c r="O3463" i="1"/>
  <c r="P3463" i="1"/>
  <c r="Q3463" i="1"/>
  <c r="N3464" i="1"/>
  <c r="O3464" i="1"/>
  <c r="P3464" i="1"/>
  <c r="Q3464" i="1"/>
  <c r="N3465" i="1"/>
  <c r="O3465" i="1"/>
  <c r="P3465" i="1"/>
  <c r="Q3465" i="1"/>
  <c r="N3466" i="1"/>
  <c r="O3466" i="1"/>
  <c r="P3466" i="1"/>
  <c r="Q3466" i="1"/>
  <c r="N3467" i="1"/>
  <c r="O3467" i="1"/>
  <c r="P3467" i="1"/>
  <c r="Q3467" i="1"/>
  <c r="N3468" i="1"/>
  <c r="O3468" i="1"/>
  <c r="P3468" i="1"/>
  <c r="Q3468" i="1"/>
  <c r="N3469" i="1"/>
  <c r="O3469" i="1"/>
  <c r="P3469" i="1"/>
  <c r="Q3469" i="1"/>
  <c r="N3470" i="1"/>
  <c r="O3470" i="1"/>
  <c r="P3470" i="1"/>
  <c r="Q3470" i="1"/>
  <c r="N3471" i="1"/>
  <c r="O3471" i="1"/>
  <c r="P3471" i="1"/>
  <c r="Q3471" i="1"/>
  <c r="N3472" i="1"/>
  <c r="O3472" i="1"/>
  <c r="P3472" i="1"/>
  <c r="Q3472" i="1"/>
  <c r="N3473" i="1"/>
  <c r="O3473" i="1"/>
  <c r="P3473" i="1"/>
  <c r="Q3473" i="1"/>
  <c r="N3474" i="1"/>
  <c r="O3474" i="1"/>
  <c r="P3474" i="1"/>
  <c r="Q3474" i="1"/>
  <c r="N3475" i="1"/>
  <c r="O3475" i="1"/>
  <c r="P3475" i="1"/>
  <c r="Q3475" i="1"/>
  <c r="N3476" i="1"/>
  <c r="O3476" i="1"/>
  <c r="P3476" i="1"/>
  <c r="Q3476" i="1"/>
  <c r="N3477" i="1"/>
  <c r="O3477" i="1"/>
  <c r="P3477" i="1"/>
  <c r="Q3477" i="1"/>
  <c r="N3478" i="1"/>
  <c r="O3478" i="1"/>
  <c r="P3478" i="1"/>
  <c r="Q3478" i="1"/>
  <c r="N3479" i="1"/>
  <c r="O3479" i="1"/>
  <c r="P3479" i="1"/>
  <c r="Q3479" i="1"/>
  <c r="N3480" i="1"/>
  <c r="O3480" i="1"/>
  <c r="P3480" i="1"/>
  <c r="Q3480" i="1"/>
  <c r="N3481" i="1"/>
  <c r="O3481" i="1"/>
  <c r="P3481" i="1"/>
  <c r="Q3481" i="1"/>
  <c r="N3482" i="1"/>
  <c r="O3482" i="1"/>
  <c r="P3482" i="1"/>
  <c r="Q3482" i="1"/>
  <c r="N3483" i="1"/>
  <c r="O3483" i="1"/>
  <c r="P3483" i="1"/>
  <c r="Q3483" i="1"/>
  <c r="N3484" i="1"/>
  <c r="O3484" i="1"/>
  <c r="P3484" i="1"/>
  <c r="Q3484" i="1"/>
  <c r="N3485" i="1"/>
  <c r="O3485" i="1"/>
  <c r="P3485" i="1"/>
  <c r="Q3485" i="1"/>
  <c r="N3486" i="1"/>
  <c r="O3486" i="1"/>
  <c r="P3486" i="1"/>
  <c r="Q3486" i="1"/>
  <c r="N3487" i="1"/>
  <c r="O3487" i="1"/>
  <c r="P3487" i="1"/>
  <c r="Q3487" i="1"/>
  <c r="N3488" i="1"/>
  <c r="O3488" i="1"/>
  <c r="P3488" i="1"/>
  <c r="Q3488" i="1"/>
  <c r="N3489" i="1"/>
  <c r="O3489" i="1"/>
  <c r="P3489" i="1"/>
  <c r="Q3489" i="1"/>
  <c r="N3490" i="1"/>
  <c r="O3490" i="1"/>
  <c r="P3490" i="1"/>
  <c r="Q3490" i="1"/>
  <c r="N3491" i="1"/>
  <c r="O3491" i="1"/>
  <c r="P3491" i="1"/>
  <c r="Q3491" i="1"/>
  <c r="N3492" i="1"/>
  <c r="O3492" i="1"/>
  <c r="P3492" i="1"/>
  <c r="Q3492" i="1"/>
  <c r="N3493" i="1"/>
  <c r="O3493" i="1"/>
  <c r="P3493" i="1"/>
  <c r="Q3493" i="1"/>
  <c r="N3494" i="1"/>
  <c r="O3494" i="1"/>
  <c r="P3494" i="1"/>
  <c r="Q3494" i="1"/>
  <c r="N3495" i="1"/>
  <c r="O3495" i="1"/>
  <c r="P3495" i="1"/>
  <c r="Q3495" i="1"/>
  <c r="N3496" i="1"/>
  <c r="O3496" i="1"/>
  <c r="P3496" i="1"/>
  <c r="Q3496" i="1"/>
  <c r="N3497" i="1"/>
  <c r="O3497" i="1"/>
  <c r="P3497" i="1"/>
  <c r="Q3497" i="1"/>
  <c r="N3498" i="1"/>
  <c r="O3498" i="1"/>
  <c r="P3498" i="1"/>
  <c r="Q3498" i="1"/>
  <c r="N3499" i="1"/>
  <c r="O3499" i="1"/>
  <c r="P3499" i="1"/>
  <c r="Q3499" i="1"/>
  <c r="N3500" i="1"/>
  <c r="O3500" i="1"/>
  <c r="P3500" i="1"/>
  <c r="Q3500" i="1"/>
  <c r="N3501" i="1"/>
  <c r="O3501" i="1"/>
  <c r="P3501" i="1"/>
  <c r="Q3501" i="1"/>
  <c r="N3502" i="1"/>
  <c r="O3502" i="1"/>
  <c r="P3502" i="1"/>
  <c r="Q3502" i="1"/>
  <c r="N3503" i="1"/>
  <c r="O3503" i="1"/>
  <c r="P3503" i="1"/>
  <c r="Q3503" i="1"/>
  <c r="N3504" i="1"/>
  <c r="O3504" i="1"/>
  <c r="P3504" i="1"/>
  <c r="Q3504" i="1"/>
  <c r="N3505" i="1"/>
  <c r="O3505" i="1"/>
  <c r="P3505" i="1"/>
  <c r="Q3505" i="1"/>
  <c r="N3506" i="1"/>
  <c r="O3506" i="1"/>
  <c r="P3506" i="1"/>
  <c r="Q3506" i="1"/>
  <c r="N3507" i="1"/>
  <c r="O3507" i="1"/>
  <c r="P3507" i="1"/>
  <c r="Q3507" i="1"/>
  <c r="N3508" i="1"/>
  <c r="O3508" i="1"/>
  <c r="P3508" i="1"/>
  <c r="Q3508" i="1"/>
  <c r="N3509" i="1"/>
  <c r="O3509" i="1"/>
  <c r="P3509" i="1"/>
  <c r="Q3509" i="1"/>
  <c r="N3510" i="1"/>
  <c r="O3510" i="1"/>
  <c r="P3510" i="1"/>
  <c r="Q3510" i="1"/>
  <c r="N3511" i="1"/>
  <c r="O3511" i="1"/>
  <c r="P3511" i="1"/>
  <c r="Q3511" i="1"/>
  <c r="N3512" i="1"/>
  <c r="O3512" i="1"/>
  <c r="P3512" i="1"/>
  <c r="Q3512" i="1"/>
  <c r="N3513" i="1"/>
  <c r="O3513" i="1"/>
  <c r="P3513" i="1"/>
  <c r="Q3513" i="1"/>
  <c r="N3514" i="1"/>
  <c r="O3514" i="1"/>
  <c r="P3514" i="1"/>
  <c r="Q3514" i="1"/>
  <c r="N3515" i="1"/>
  <c r="O3515" i="1"/>
  <c r="P3515" i="1"/>
  <c r="Q3515" i="1"/>
  <c r="N3516" i="1"/>
  <c r="O3516" i="1"/>
  <c r="P3516" i="1"/>
  <c r="Q3516" i="1"/>
  <c r="N3517" i="1"/>
  <c r="O3517" i="1"/>
  <c r="P3517" i="1"/>
  <c r="Q3517" i="1"/>
  <c r="N3518" i="1"/>
  <c r="O3518" i="1"/>
  <c r="P3518" i="1"/>
  <c r="Q3518" i="1"/>
  <c r="N3519" i="1"/>
  <c r="O3519" i="1"/>
  <c r="P3519" i="1"/>
  <c r="Q3519" i="1"/>
  <c r="N3520" i="1"/>
  <c r="O3520" i="1"/>
  <c r="P3520" i="1"/>
  <c r="Q3520" i="1"/>
  <c r="N3521" i="1"/>
  <c r="O3521" i="1"/>
  <c r="P3521" i="1"/>
  <c r="Q3521" i="1"/>
  <c r="N3522" i="1"/>
  <c r="O3522" i="1"/>
  <c r="P3522" i="1"/>
  <c r="Q3522" i="1"/>
  <c r="N3523" i="1"/>
  <c r="O3523" i="1"/>
  <c r="P3523" i="1"/>
  <c r="Q3523" i="1"/>
  <c r="N3524" i="1"/>
  <c r="O3524" i="1"/>
  <c r="P3524" i="1"/>
  <c r="Q3524" i="1"/>
  <c r="N3525" i="1"/>
  <c r="O3525" i="1"/>
  <c r="P3525" i="1"/>
  <c r="Q3525" i="1"/>
  <c r="N3526" i="1"/>
  <c r="O3526" i="1"/>
  <c r="P3526" i="1"/>
  <c r="Q3526" i="1"/>
  <c r="N3527" i="1"/>
  <c r="O3527" i="1"/>
  <c r="P3527" i="1"/>
  <c r="Q3527" i="1"/>
  <c r="N3528" i="1"/>
  <c r="O3528" i="1"/>
  <c r="P3528" i="1"/>
  <c r="Q3528" i="1"/>
  <c r="N3529" i="1"/>
  <c r="O3529" i="1"/>
  <c r="P3529" i="1"/>
  <c r="Q3529" i="1"/>
  <c r="N3530" i="1"/>
  <c r="O3530" i="1"/>
  <c r="P3530" i="1"/>
  <c r="Q3530" i="1"/>
  <c r="N3531" i="1"/>
  <c r="O3531" i="1"/>
  <c r="P3531" i="1"/>
  <c r="Q3531" i="1"/>
  <c r="N3532" i="1"/>
  <c r="O3532" i="1"/>
  <c r="P3532" i="1"/>
  <c r="Q3532" i="1"/>
  <c r="N3533" i="1"/>
  <c r="O3533" i="1"/>
  <c r="P3533" i="1"/>
  <c r="Q3533" i="1"/>
  <c r="N3534" i="1"/>
  <c r="O3534" i="1"/>
  <c r="P3534" i="1"/>
  <c r="Q3534" i="1"/>
  <c r="N3535" i="1"/>
  <c r="O3535" i="1"/>
  <c r="P3535" i="1"/>
  <c r="Q3535" i="1"/>
  <c r="N3536" i="1"/>
  <c r="O3536" i="1"/>
  <c r="P3536" i="1"/>
  <c r="Q3536" i="1"/>
  <c r="N3537" i="1"/>
  <c r="O3537" i="1"/>
  <c r="P3537" i="1"/>
  <c r="Q3537" i="1"/>
  <c r="N3538" i="1"/>
  <c r="O3538" i="1"/>
  <c r="P3538" i="1"/>
  <c r="Q3538" i="1"/>
  <c r="N3539" i="1"/>
  <c r="O3539" i="1"/>
  <c r="P3539" i="1"/>
  <c r="Q3539" i="1"/>
  <c r="N3540" i="1"/>
  <c r="O3540" i="1"/>
  <c r="P3540" i="1"/>
  <c r="Q3540" i="1"/>
  <c r="N3541" i="1"/>
  <c r="O3541" i="1"/>
  <c r="P3541" i="1"/>
  <c r="Q3541" i="1"/>
  <c r="N3542" i="1"/>
  <c r="O3542" i="1"/>
  <c r="P3542" i="1"/>
  <c r="Q3542" i="1"/>
  <c r="N3543" i="1"/>
  <c r="O3543" i="1"/>
  <c r="P3543" i="1"/>
  <c r="Q3543" i="1"/>
  <c r="N3544" i="1"/>
  <c r="O3544" i="1"/>
  <c r="P3544" i="1"/>
  <c r="Q3544" i="1"/>
  <c r="N3545" i="1"/>
  <c r="O3545" i="1"/>
  <c r="P3545" i="1"/>
  <c r="Q3545" i="1"/>
  <c r="N3546" i="1"/>
  <c r="O3546" i="1"/>
  <c r="P3546" i="1"/>
  <c r="Q3546" i="1"/>
  <c r="N3547" i="1"/>
  <c r="O3547" i="1"/>
  <c r="P3547" i="1"/>
  <c r="Q3547" i="1"/>
  <c r="N3548" i="1"/>
  <c r="O3548" i="1"/>
  <c r="P3548" i="1"/>
  <c r="Q3548" i="1"/>
  <c r="N3549" i="1"/>
  <c r="O3549" i="1"/>
  <c r="P3549" i="1"/>
  <c r="Q3549" i="1"/>
  <c r="N3550" i="1"/>
  <c r="O3550" i="1"/>
  <c r="P3550" i="1"/>
  <c r="Q3550" i="1"/>
  <c r="N3551" i="1"/>
  <c r="O3551" i="1"/>
  <c r="P3551" i="1"/>
  <c r="Q3551" i="1"/>
  <c r="N3552" i="1"/>
  <c r="O3552" i="1"/>
  <c r="P3552" i="1"/>
  <c r="Q3552" i="1"/>
  <c r="N3553" i="1"/>
  <c r="O3553" i="1"/>
  <c r="P3553" i="1"/>
  <c r="Q3553" i="1"/>
  <c r="N3554" i="1"/>
  <c r="O3554" i="1"/>
  <c r="P3554" i="1"/>
  <c r="Q3554" i="1"/>
  <c r="N3555" i="1"/>
  <c r="O3555" i="1"/>
  <c r="P3555" i="1"/>
  <c r="Q3555" i="1"/>
  <c r="N3556" i="1"/>
  <c r="O3556" i="1"/>
  <c r="P3556" i="1"/>
  <c r="Q3556" i="1"/>
  <c r="N3557" i="1"/>
  <c r="O3557" i="1"/>
  <c r="P3557" i="1"/>
  <c r="Q3557" i="1"/>
  <c r="N3558" i="1"/>
  <c r="O3558" i="1"/>
  <c r="P3558" i="1"/>
  <c r="Q3558" i="1"/>
  <c r="N3559" i="1"/>
  <c r="O3559" i="1"/>
  <c r="P3559" i="1"/>
  <c r="Q3559" i="1"/>
  <c r="N3560" i="1"/>
  <c r="O3560" i="1"/>
  <c r="P3560" i="1"/>
  <c r="Q3560" i="1"/>
  <c r="N3561" i="1"/>
  <c r="O3561" i="1"/>
  <c r="P3561" i="1"/>
  <c r="Q3561" i="1"/>
  <c r="N3562" i="1"/>
  <c r="O3562" i="1"/>
  <c r="P3562" i="1"/>
  <c r="Q3562" i="1"/>
  <c r="N3563" i="1"/>
  <c r="O3563" i="1"/>
  <c r="P3563" i="1"/>
  <c r="Q3563" i="1"/>
  <c r="N3564" i="1"/>
  <c r="O3564" i="1"/>
  <c r="P3564" i="1"/>
  <c r="Q3564" i="1"/>
  <c r="N3565" i="1"/>
  <c r="O3565" i="1"/>
  <c r="P3565" i="1"/>
  <c r="Q3565" i="1"/>
  <c r="N3566" i="1"/>
  <c r="O3566" i="1"/>
  <c r="P3566" i="1"/>
  <c r="Q3566" i="1"/>
  <c r="N3567" i="1"/>
  <c r="O3567" i="1"/>
  <c r="P3567" i="1"/>
  <c r="Q3567" i="1"/>
  <c r="N3568" i="1"/>
  <c r="O3568" i="1"/>
  <c r="P3568" i="1"/>
  <c r="Q3568" i="1"/>
  <c r="N3569" i="1"/>
  <c r="O3569" i="1"/>
  <c r="P3569" i="1"/>
  <c r="Q3569" i="1"/>
  <c r="N3570" i="1"/>
  <c r="O3570" i="1"/>
  <c r="P3570" i="1"/>
  <c r="Q3570" i="1"/>
  <c r="N3571" i="1"/>
  <c r="O3571" i="1"/>
  <c r="P3571" i="1"/>
  <c r="Q3571" i="1"/>
  <c r="N3572" i="1"/>
  <c r="O3572" i="1"/>
  <c r="P3572" i="1"/>
  <c r="Q3572" i="1"/>
  <c r="N3573" i="1"/>
  <c r="O3573" i="1"/>
  <c r="P3573" i="1"/>
  <c r="Q3573" i="1"/>
  <c r="N3574" i="1"/>
  <c r="O3574" i="1"/>
  <c r="P3574" i="1"/>
  <c r="Q3574" i="1"/>
  <c r="N3575" i="1"/>
  <c r="O3575" i="1"/>
  <c r="P3575" i="1"/>
  <c r="Q3575" i="1"/>
  <c r="N3576" i="1"/>
  <c r="O3576" i="1"/>
  <c r="P3576" i="1"/>
  <c r="Q3576" i="1"/>
  <c r="N3577" i="1"/>
  <c r="O3577" i="1"/>
  <c r="P3577" i="1"/>
  <c r="Q3577" i="1"/>
  <c r="N3578" i="1"/>
  <c r="O3578" i="1"/>
  <c r="P3578" i="1"/>
  <c r="Q3578" i="1"/>
  <c r="N3579" i="1"/>
  <c r="O3579" i="1"/>
  <c r="P3579" i="1"/>
  <c r="Q3579" i="1"/>
  <c r="N3580" i="1"/>
  <c r="O3580" i="1"/>
  <c r="P3580" i="1"/>
  <c r="Q3580" i="1"/>
  <c r="N3581" i="1"/>
  <c r="O3581" i="1"/>
  <c r="P3581" i="1"/>
  <c r="Q3581" i="1"/>
  <c r="N3582" i="1"/>
  <c r="O3582" i="1"/>
  <c r="P3582" i="1"/>
  <c r="Q3582" i="1"/>
  <c r="N3583" i="1"/>
  <c r="O3583" i="1"/>
  <c r="P3583" i="1"/>
  <c r="Q3583" i="1"/>
  <c r="N3584" i="1"/>
  <c r="O3584" i="1"/>
  <c r="P3584" i="1"/>
  <c r="Q3584" i="1"/>
  <c r="N3585" i="1"/>
  <c r="O3585" i="1"/>
  <c r="P3585" i="1"/>
  <c r="Q3585" i="1"/>
  <c r="N3586" i="1"/>
  <c r="O3586" i="1"/>
  <c r="P3586" i="1"/>
  <c r="Q3586" i="1"/>
  <c r="N3587" i="1"/>
  <c r="O3587" i="1"/>
  <c r="P3587" i="1"/>
  <c r="Q3587" i="1"/>
  <c r="N3588" i="1"/>
  <c r="O3588" i="1"/>
  <c r="P3588" i="1"/>
  <c r="Q3588" i="1"/>
  <c r="N3589" i="1"/>
  <c r="O3589" i="1"/>
  <c r="P3589" i="1"/>
  <c r="Q3589" i="1"/>
  <c r="N3590" i="1"/>
  <c r="O3590" i="1"/>
  <c r="P3590" i="1"/>
  <c r="Q3590" i="1"/>
  <c r="N3591" i="1"/>
  <c r="O3591" i="1"/>
  <c r="P3591" i="1"/>
  <c r="Q3591" i="1"/>
  <c r="N3592" i="1"/>
  <c r="O3592" i="1"/>
  <c r="P3592" i="1"/>
  <c r="Q3592" i="1"/>
  <c r="N3593" i="1"/>
  <c r="O3593" i="1"/>
  <c r="P3593" i="1"/>
  <c r="Q3593" i="1"/>
  <c r="N3594" i="1"/>
  <c r="O3594" i="1"/>
  <c r="P3594" i="1"/>
  <c r="Q3594" i="1"/>
  <c r="N3595" i="1"/>
  <c r="O3595" i="1"/>
  <c r="P3595" i="1"/>
  <c r="Q3595" i="1"/>
  <c r="N3596" i="1"/>
  <c r="O3596" i="1"/>
  <c r="P3596" i="1"/>
  <c r="Q3596" i="1"/>
  <c r="N3597" i="1"/>
  <c r="O3597" i="1"/>
  <c r="P3597" i="1"/>
  <c r="Q3597" i="1"/>
  <c r="N3598" i="1"/>
  <c r="O3598" i="1"/>
  <c r="P3598" i="1"/>
  <c r="Q3598" i="1"/>
  <c r="N3599" i="1"/>
  <c r="O3599" i="1"/>
  <c r="P3599" i="1"/>
  <c r="Q3599" i="1"/>
  <c r="N3600" i="1"/>
  <c r="O3600" i="1"/>
  <c r="P3600" i="1"/>
  <c r="Q3600" i="1"/>
  <c r="N3601" i="1"/>
  <c r="O3601" i="1"/>
  <c r="P3601" i="1"/>
  <c r="Q3601" i="1"/>
  <c r="N3602" i="1"/>
  <c r="O3602" i="1"/>
  <c r="P3602" i="1"/>
  <c r="Q3602" i="1"/>
  <c r="N3603" i="1"/>
  <c r="O3603" i="1"/>
  <c r="P3603" i="1"/>
  <c r="Q3603" i="1"/>
  <c r="N3604" i="1"/>
  <c r="O3604" i="1"/>
  <c r="P3604" i="1"/>
  <c r="Q3604" i="1"/>
  <c r="N3605" i="1"/>
  <c r="O3605" i="1"/>
  <c r="P3605" i="1"/>
  <c r="Q3605" i="1"/>
  <c r="N3606" i="1"/>
  <c r="O3606" i="1"/>
  <c r="P3606" i="1"/>
  <c r="Q3606" i="1"/>
  <c r="N3607" i="1"/>
  <c r="O3607" i="1"/>
  <c r="P3607" i="1"/>
  <c r="Q3607" i="1"/>
  <c r="N3608" i="1"/>
  <c r="O3608" i="1"/>
  <c r="P3608" i="1"/>
  <c r="Q3608" i="1"/>
  <c r="N3609" i="1"/>
  <c r="O3609" i="1"/>
  <c r="P3609" i="1"/>
  <c r="Q3609" i="1"/>
  <c r="N3610" i="1"/>
  <c r="O3610" i="1"/>
  <c r="P3610" i="1"/>
  <c r="Q3610" i="1"/>
  <c r="N3611" i="1"/>
  <c r="O3611" i="1"/>
  <c r="P3611" i="1"/>
  <c r="Q3611" i="1"/>
  <c r="N3612" i="1"/>
  <c r="O3612" i="1"/>
  <c r="P3612" i="1"/>
  <c r="Q3612" i="1"/>
  <c r="N3613" i="1"/>
  <c r="O3613" i="1"/>
  <c r="P3613" i="1"/>
  <c r="Q3613" i="1"/>
  <c r="N3614" i="1"/>
  <c r="O3614" i="1"/>
  <c r="P3614" i="1"/>
  <c r="Q3614" i="1"/>
  <c r="N3615" i="1"/>
  <c r="O3615" i="1"/>
  <c r="P3615" i="1"/>
  <c r="Q3615" i="1"/>
  <c r="N3616" i="1"/>
  <c r="O3616" i="1"/>
  <c r="P3616" i="1"/>
  <c r="Q3616" i="1"/>
  <c r="N3617" i="1"/>
  <c r="O3617" i="1"/>
  <c r="P3617" i="1"/>
  <c r="Q3617" i="1"/>
  <c r="N3618" i="1"/>
  <c r="O3618" i="1"/>
  <c r="P3618" i="1"/>
  <c r="Q3618" i="1"/>
  <c r="N3619" i="1"/>
  <c r="O3619" i="1"/>
  <c r="P3619" i="1"/>
  <c r="Q3619" i="1"/>
  <c r="N3620" i="1"/>
  <c r="O3620" i="1"/>
  <c r="P3620" i="1"/>
  <c r="Q3620" i="1"/>
  <c r="N3621" i="1"/>
  <c r="O3621" i="1"/>
  <c r="P3621" i="1"/>
  <c r="Q3621" i="1"/>
  <c r="N3622" i="1"/>
  <c r="O3622" i="1"/>
  <c r="P3622" i="1"/>
  <c r="Q3622" i="1"/>
  <c r="N3623" i="1"/>
  <c r="O3623" i="1"/>
  <c r="P3623" i="1"/>
  <c r="Q3623" i="1"/>
  <c r="N3624" i="1"/>
  <c r="O3624" i="1"/>
  <c r="P3624" i="1"/>
  <c r="Q3624" i="1"/>
  <c r="N3625" i="1"/>
  <c r="O3625" i="1"/>
  <c r="P3625" i="1"/>
  <c r="Q3625" i="1"/>
  <c r="N3626" i="1"/>
  <c r="O3626" i="1"/>
  <c r="P3626" i="1"/>
  <c r="Q3626" i="1"/>
  <c r="N3627" i="1"/>
  <c r="O3627" i="1"/>
  <c r="P3627" i="1"/>
  <c r="Q3627" i="1"/>
  <c r="N3628" i="1"/>
  <c r="O3628" i="1"/>
  <c r="P3628" i="1"/>
  <c r="Q3628" i="1"/>
  <c r="N3629" i="1"/>
  <c r="O3629" i="1"/>
  <c r="P3629" i="1"/>
  <c r="Q3629" i="1"/>
  <c r="N3630" i="1"/>
  <c r="O3630" i="1"/>
  <c r="P3630" i="1"/>
  <c r="Q3630" i="1"/>
  <c r="N3631" i="1"/>
  <c r="O3631" i="1"/>
  <c r="P3631" i="1"/>
  <c r="Q3631" i="1"/>
  <c r="N3632" i="1"/>
  <c r="O3632" i="1"/>
  <c r="P3632" i="1"/>
  <c r="Q3632" i="1"/>
  <c r="N3633" i="1"/>
  <c r="O3633" i="1"/>
  <c r="P3633" i="1"/>
  <c r="Q3633" i="1"/>
  <c r="N3634" i="1"/>
  <c r="O3634" i="1"/>
  <c r="P3634" i="1"/>
  <c r="Q3634" i="1"/>
  <c r="N3635" i="1"/>
  <c r="O3635" i="1"/>
  <c r="P3635" i="1"/>
  <c r="Q3635" i="1"/>
  <c r="N3636" i="1"/>
  <c r="O3636" i="1"/>
  <c r="P3636" i="1"/>
  <c r="Q3636" i="1"/>
  <c r="N3637" i="1"/>
  <c r="O3637" i="1"/>
  <c r="P3637" i="1"/>
  <c r="Q3637" i="1"/>
  <c r="N3638" i="1"/>
  <c r="O3638" i="1"/>
  <c r="P3638" i="1"/>
  <c r="Q3638" i="1"/>
  <c r="N3639" i="1"/>
  <c r="O3639" i="1"/>
  <c r="P3639" i="1"/>
  <c r="Q3639" i="1"/>
  <c r="N3640" i="1"/>
  <c r="O3640" i="1"/>
  <c r="P3640" i="1"/>
  <c r="Q3640" i="1"/>
  <c r="N3641" i="1"/>
  <c r="O3641" i="1"/>
  <c r="P3641" i="1"/>
  <c r="Q3641" i="1"/>
  <c r="N3642" i="1"/>
  <c r="O3642" i="1"/>
  <c r="P3642" i="1"/>
  <c r="Q3642" i="1"/>
  <c r="N3643" i="1"/>
  <c r="O3643" i="1"/>
  <c r="P3643" i="1"/>
  <c r="Q3643" i="1"/>
  <c r="N3644" i="1"/>
  <c r="O3644" i="1"/>
  <c r="P3644" i="1"/>
  <c r="Q3644" i="1"/>
  <c r="N3645" i="1"/>
  <c r="O3645" i="1"/>
  <c r="P3645" i="1"/>
  <c r="Q3645" i="1"/>
  <c r="N3646" i="1"/>
  <c r="O3646" i="1"/>
  <c r="P3646" i="1"/>
  <c r="Q3646" i="1"/>
  <c r="N3647" i="1"/>
  <c r="O3647" i="1"/>
  <c r="P3647" i="1"/>
  <c r="Q3647" i="1"/>
  <c r="N3648" i="1"/>
  <c r="O3648" i="1"/>
  <c r="P3648" i="1"/>
  <c r="Q3648" i="1"/>
  <c r="N3649" i="1"/>
  <c r="O3649" i="1"/>
  <c r="P3649" i="1"/>
  <c r="Q3649" i="1"/>
  <c r="N3650" i="1"/>
  <c r="O3650" i="1"/>
  <c r="P3650" i="1"/>
  <c r="Q3650" i="1"/>
  <c r="N3651" i="1"/>
  <c r="O3651" i="1"/>
  <c r="P3651" i="1"/>
  <c r="Q3651" i="1"/>
  <c r="N3652" i="1"/>
  <c r="O3652" i="1"/>
  <c r="P3652" i="1"/>
  <c r="Q3652" i="1"/>
  <c r="N3653" i="1"/>
  <c r="O3653" i="1"/>
  <c r="P3653" i="1"/>
  <c r="Q3653" i="1"/>
  <c r="N3654" i="1"/>
  <c r="O3654" i="1"/>
  <c r="P3654" i="1"/>
  <c r="Q3654" i="1"/>
  <c r="N3655" i="1"/>
  <c r="O3655" i="1"/>
  <c r="P3655" i="1"/>
  <c r="Q3655" i="1"/>
  <c r="N3656" i="1"/>
  <c r="O3656" i="1"/>
  <c r="P3656" i="1"/>
  <c r="Q3656" i="1"/>
  <c r="N3657" i="1"/>
  <c r="O3657" i="1"/>
  <c r="P3657" i="1"/>
  <c r="Q3657" i="1"/>
  <c r="N3658" i="1"/>
  <c r="O3658" i="1"/>
  <c r="P3658" i="1"/>
  <c r="Q3658" i="1"/>
  <c r="N3659" i="1"/>
  <c r="O3659" i="1"/>
  <c r="P3659" i="1"/>
  <c r="Q3659" i="1"/>
  <c r="N3660" i="1"/>
  <c r="O3660" i="1"/>
  <c r="P3660" i="1"/>
  <c r="Q3660" i="1"/>
  <c r="N3661" i="1"/>
  <c r="O3661" i="1"/>
  <c r="P3661" i="1"/>
  <c r="Q3661" i="1"/>
  <c r="N3662" i="1"/>
  <c r="O3662" i="1"/>
  <c r="P3662" i="1"/>
  <c r="Q3662" i="1"/>
  <c r="N3663" i="1"/>
  <c r="O3663" i="1"/>
  <c r="P3663" i="1"/>
  <c r="Q3663" i="1"/>
  <c r="N3664" i="1"/>
  <c r="O3664" i="1"/>
  <c r="P3664" i="1"/>
  <c r="Q3664" i="1"/>
  <c r="N3665" i="1"/>
  <c r="O3665" i="1"/>
  <c r="P3665" i="1"/>
  <c r="Q3665" i="1"/>
  <c r="N3666" i="1"/>
  <c r="O3666" i="1"/>
  <c r="P3666" i="1"/>
  <c r="Q3666" i="1"/>
  <c r="N3667" i="1"/>
  <c r="O3667" i="1"/>
  <c r="P3667" i="1"/>
  <c r="Q3667" i="1"/>
  <c r="N3668" i="1"/>
  <c r="O3668" i="1"/>
  <c r="P3668" i="1"/>
  <c r="Q3668" i="1"/>
  <c r="N3669" i="1"/>
  <c r="O3669" i="1"/>
  <c r="P3669" i="1"/>
  <c r="Q3669" i="1"/>
  <c r="N3670" i="1"/>
  <c r="O3670" i="1"/>
  <c r="P3670" i="1"/>
  <c r="Q3670" i="1"/>
  <c r="N3671" i="1"/>
  <c r="O3671" i="1"/>
  <c r="P3671" i="1"/>
  <c r="Q3671" i="1"/>
  <c r="N3672" i="1"/>
  <c r="O3672" i="1"/>
  <c r="P3672" i="1"/>
  <c r="Q3672" i="1"/>
  <c r="N3673" i="1"/>
  <c r="O3673" i="1"/>
  <c r="P3673" i="1"/>
  <c r="Q3673" i="1"/>
  <c r="N3674" i="1"/>
  <c r="O3674" i="1"/>
  <c r="P3674" i="1"/>
  <c r="Q3674" i="1"/>
  <c r="N3675" i="1"/>
  <c r="O3675" i="1"/>
  <c r="P3675" i="1"/>
  <c r="Q3675" i="1"/>
  <c r="N3676" i="1"/>
  <c r="O3676" i="1"/>
  <c r="P3676" i="1"/>
  <c r="Q3676" i="1"/>
  <c r="N3677" i="1"/>
  <c r="O3677" i="1"/>
  <c r="P3677" i="1"/>
  <c r="Q3677" i="1"/>
  <c r="N3678" i="1"/>
  <c r="O3678" i="1"/>
  <c r="P3678" i="1"/>
  <c r="Q3678" i="1"/>
  <c r="N3679" i="1"/>
  <c r="O3679" i="1"/>
  <c r="P3679" i="1"/>
  <c r="Q3679" i="1"/>
  <c r="N3680" i="1"/>
  <c r="O3680" i="1"/>
  <c r="P3680" i="1"/>
  <c r="Q3680" i="1"/>
  <c r="N3681" i="1"/>
  <c r="O3681" i="1"/>
  <c r="P3681" i="1"/>
  <c r="Q3681" i="1"/>
  <c r="N3682" i="1"/>
  <c r="O3682" i="1"/>
  <c r="P3682" i="1"/>
  <c r="Q3682" i="1"/>
  <c r="N3683" i="1"/>
  <c r="O3683" i="1"/>
  <c r="P3683" i="1"/>
  <c r="Q3683" i="1"/>
  <c r="N3684" i="1"/>
  <c r="O3684" i="1"/>
  <c r="P3684" i="1"/>
  <c r="Q3684" i="1"/>
  <c r="N3685" i="1"/>
  <c r="O3685" i="1"/>
  <c r="P3685" i="1"/>
  <c r="Q3685" i="1"/>
  <c r="N3686" i="1"/>
  <c r="O3686" i="1"/>
  <c r="P3686" i="1"/>
  <c r="Q3686" i="1"/>
  <c r="N3687" i="1"/>
  <c r="O3687" i="1"/>
  <c r="P3687" i="1"/>
  <c r="Q3687" i="1"/>
  <c r="N3688" i="1"/>
  <c r="O3688" i="1"/>
  <c r="P3688" i="1"/>
  <c r="Q3688" i="1"/>
  <c r="N3689" i="1"/>
  <c r="O3689" i="1"/>
  <c r="P3689" i="1"/>
  <c r="Q3689" i="1"/>
  <c r="N3690" i="1"/>
  <c r="O3690" i="1"/>
  <c r="P3690" i="1"/>
  <c r="Q3690" i="1"/>
  <c r="N3691" i="1"/>
  <c r="O3691" i="1"/>
  <c r="P3691" i="1"/>
  <c r="Q3691" i="1"/>
  <c r="N3692" i="1"/>
  <c r="O3692" i="1"/>
  <c r="P3692" i="1"/>
  <c r="Q3692" i="1"/>
  <c r="N3693" i="1"/>
  <c r="O3693" i="1"/>
  <c r="P3693" i="1"/>
  <c r="Q3693" i="1"/>
  <c r="N3694" i="1"/>
  <c r="O3694" i="1"/>
  <c r="P3694" i="1"/>
  <c r="Q3694" i="1"/>
  <c r="N3695" i="1"/>
  <c r="O3695" i="1"/>
  <c r="P3695" i="1"/>
  <c r="Q3695" i="1"/>
  <c r="N3696" i="1"/>
  <c r="O3696" i="1"/>
  <c r="P3696" i="1"/>
  <c r="Q3696" i="1"/>
  <c r="N3697" i="1"/>
  <c r="O3697" i="1"/>
  <c r="P3697" i="1"/>
  <c r="Q3697" i="1"/>
  <c r="N3698" i="1"/>
  <c r="O3698" i="1"/>
  <c r="P3698" i="1"/>
  <c r="Q3698" i="1"/>
  <c r="N3699" i="1"/>
  <c r="O3699" i="1"/>
  <c r="P3699" i="1"/>
  <c r="Q3699" i="1"/>
  <c r="N3700" i="1"/>
  <c r="O3700" i="1"/>
  <c r="P3700" i="1"/>
  <c r="Q3700" i="1"/>
  <c r="N3701" i="1"/>
  <c r="O3701" i="1"/>
  <c r="P3701" i="1"/>
  <c r="Q3701" i="1"/>
  <c r="N3702" i="1"/>
  <c r="O3702" i="1"/>
  <c r="P3702" i="1"/>
  <c r="Q3702" i="1"/>
  <c r="N3703" i="1"/>
  <c r="O3703" i="1"/>
  <c r="P3703" i="1"/>
  <c r="Q3703" i="1"/>
  <c r="N3704" i="1"/>
  <c r="O3704" i="1"/>
  <c r="P3704" i="1"/>
  <c r="Q3704" i="1"/>
  <c r="N3705" i="1"/>
  <c r="O3705" i="1"/>
  <c r="P3705" i="1"/>
  <c r="Q3705" i="1"/>
  <c r="N3706" i="1"/>
  <c r="O3706" i="1"/>
  <c r="P3706" i="1"/>
  <c r="Q3706" i="1"/>
  <c r="N3707" i="1"/>
  <c r="O3707" i="1"/>
  <c r="P3707" i="1"/>
  <c r="Q3707" i="1"/>
  <c r="N3708" i="1"/>
  <c r="O3708" i="1"/>
  <c r="P3708" i="1"/>
  <c r="Q3708" i="1"/>
  <c r="N3709" i="1"/>
  <c r="O3709" i="1"/>
  <c r="P3709" i="1"/>
  <c r="Q3709" i="1"/>
  <c r="N3710" i="1"/>
  <c r="O3710" i="1"/>
  <c r="P3710" i="1"/>
  <c r="Q3710" i="1"/>
  <c r="N3711" i="1"/>
  <c r="O3711" i="1"/>
  <c r="P3711" i="1"/>
  <c r="Q3711" i="1"/>
  <c r="N3712" i="1"/>
  <c r="O3712" i="1"/>
  <c r="P3712" i="1"/>
  <c r="Q3712" i="1"/>
  <c r="N3713" i="1"/>
  <c r="O3713" i="1"/>
  <c r="P3713" i="1"/>
  <c r="Q3713" i="1"/>
  <c r="N3714" i="1"/>
  <c r="O3714" i="1"/>
  <c r="P3714" i="1"/>
  <c r="Q3714" i="1"/>
  <c r="N3715" i="1"/>
  <c r="O3715" i="1"/>
  <c r="P3715" i="1"/>
  <c r="Q3715" i="1"/>
  <c r="N3716" i="1"/>
  <c r="O3716" i="1"/>
  <c r="P3716" i="1"/>
  <c r="Q3716" i="1"/>
  <c r="N3717" i="1"/>
  <c r="O3717" i="1"/>
  <c r="P3717" i="1"/>
  <c r="Q3717" i="1"/>
  <c r="N3718" i="1"/>
  <c r="O3718" i="1"/>
  <c r="P3718" i="1"/>
  <c r="Q3718" i="1"/>
  <c r="N3719" i="1"/>
  <c r="O3719" i="1"/>
  <c r="P3719" i="1"/>
  <c r="Q3719" i="1"/>
  <c r="N3720" i="1"/>
  <c r="O3720" i="1"/>
  <c r="P3720" i="1"/>
  <c r="Q3720" i="1"/>
  <c r="N3721" i="1"/>
  <c r="O3721" i="1"/>
  <c r="P3721" i="1"/>
  <c r="Q3721" i="1"/>
  <c r="N3722" i="1"/>
  <c r="O3722" i="1"/>
  <c r="P3722" i="1"/>
  <c r="Q3722" i="1"/>
  <c r="N3723" i="1"/>
  <c r="O3723" i="1"/>
  <c r="P3723" i="1"/>
  <c r="Q3723" i="1"/>
  <c r="N3724" i="1"/>
  <c r="O3724" i="1"/>
  <c r="P3724" i="1"/>
  <c r="Q3724" i="1"/>
  <c r="N3725" i="1"/>
  <c r="O3725" i="1"/>
  <c r="P3725" i="1"/>
  <c r="Q3725" i="1"/>
  <c r="N3726" i="1"/>
  <c r="O3726" i="1"/>
  <c r="P3726" i="1"/>
  <c r="Q3726" i="1"/>
  <c r="N3727" i="1"/>
  <c r="O3727" i="1"/>
  <c r="P3727" i="1"/>
  <c r="Q3727" i="1"/>
  <c r="N3728" i="1"/>
  <c r="O3728" i="1"/>
  <c r="P3728" i="1"/>
  <c r="Q3728" i="1"/>
  <c r="N3729" i="1"/>
  <c r="O3729" i="1"/>
  <c r="P3729" i="1"/>
  <c r="Q3729" i="1"/>
  <c r="N3730" i="1"/>
  <c r="O3730" i="1"/>
  <c r="P3730" i="1"/>
  <c r="Q3730" i="1"/>
  <c r="N3731" i="1"/>
  <c r="O3731" i="1"/>
  <c r="P3731" i="1"/>
  <c r="Q3731" i="1"/>
  <c r="N3732" i="1"/>
  <c r="O3732" i="1"/>
  <c r="P3732" i="1"/>
  <c r="Q3732" i="1"/>
  <c r="N3733" i="1"/>
  <c r="O3733" i="1"/>
  <c r="P3733" i="1"/>
  <c r="Q3733" i="1"/>
  <c r="N3734" i="1"/>
  <c r="O3734" i="1"/>
  <c r="P3734" i="1"/>
  <c r="Q3734" i="1"/>
  <c r="N3735" i="1"/>
  <c r="O3735" i="1"/>
  <c r="P3735" i="1"/>
  <c r="Q3735" i="1"/>
  <c r="N3736" i="1"/>
  <c r="O3736" i="1"/>
  <c r="P3736" i="1"/>
  <c r="Q3736" i="1"/>
  <c r="N3737" i="1"/>
  <c r="O3737" i="1"/>
  <c r="P3737" i="1"/>
  <c r="Q3737" i="1"/>
  <c r="N3738" i="1"/>
  <c r="O3738" i="1"/>
  <c r="P3738" i="1"/>
  <c r="Q3738" i="1"/>
  <c r="N3739" i="1"/>
  <c r="O3739" i="1"/>
  <c r="P3739" i="1"/>
  <c r="Q3739" i="1"/>
  <c r="N3740" i="1"/>
  <c r="O3740" i="1"/>
  <c r="P3740" i="1"/>
  <c r="Q3740" i="1"/>
  <c r="N3741" i="1"/>
  <c r="O3741" i="1"/>
  <c r="P3741" i="1"/>
  <c r="Q3741" i="1"/>
  <c r="N3742" i="1"/>
  <c r="O3742" i="1"/>
  <c r="P3742" i="1"/>
  <c r="Q3742" i="1"/>
  <c r="N3743" i="1"/>
  <c r="O3743" i="1"/>
  <c r="P3743" i="1"/>
  <c r="Q3743" i="1"/>
  <c r="N3744" i="1"/>
  <c r="O3744" i="1"/>
  <c r="P3744" i="1"/>
  <c r="Q3744" i="1"/>
  <c r="N3745" i="1"/>
  <c r="O3745" i="1"/>
  <c r="P3745" i="1"/>
  <c r="Q3745" i="1"/>
  <c r="N3746" i="1"/>
  <c r="O3746" i="1"/>
  <c r="P3746" i="1"/>
  <c r="Q3746" i="1"/>
  <c r="N3747" i="1"/>
  <c r="O3747" i="1"/>
  <c r="P3747" i="1"/>
  <c r="Q3747" i="1"/>
  <c r="N3748" i="1"/>
  <c r="O3748" i="1"/>
  <c r="P3748" i="1"/>
  <c r="Q3748" i="1"/>
  <c r="N3749" i="1"/>
  <c r="O3749" i="1"/>
  <c r="P3749" i="1"/>
  <c r="Q3749" i="1"/>
  <c r="N3750" i="1"/>
  <c r="O3750" i="1"/>
  <c r="P3750" i="1"/>
  <c r="Q3750" i="1"/>
  <c r="N3751" i="1"/>
  <c r="O3751" i="1"/>
  <c r="P3751" i="1"/>
  <c r="Q3751" i="1"/>
  <c r="N3752" i="1"/>
  <c r="O3752" i="1"/>
  <c r="P3752" i="1"/>
  <c r="Q3752" i="1"/>
  <c r="N3753" i="1"/>
  <c r="O3753" i="1"/>
  <c r="P3753" i="1"/>
  <c r="Q3753" i="1"/>
  <c r="N3754" i="1"/>
  <c r="O3754" i="1"/>
  <c r="P3754" i="1"/>
  <c r="Q3754" i="1"/>
  <c r="N3755" i="1"/>
  <c r="O3755" i="1"/>
  <c r="P3755" i="1"/>
  <c r="Q3755" i="1"/>
  <c r="N3756" i="1"/>
  <c r="O3756" i="1"/>
  <c r="P3756" i="1"/>
  <c r="Q3756" i="1"/>
  <c r="N3757" i="1"/>
  <c r="O3757" i="1"/>
  <c r="P3757" i="1"/>
  <c r="Q3757" i="1"/>
  <c r="N3758" i="1"/>
  <c r="O3758" i="1"/>
  <c r="P3758" i="1"/>
  <c r="Q3758" i="1"/>
  <c r="N3759" i="1"/>
  <c r="O3759" i="1"/>
  <c r="P3759" i="1"/>
  <c r="Q3759" i="1"/>
  <c r="N3760" i="1"/>
  <c r="O3760" i="1"/>
  <c r="P3760" i="1"/>
  <c r="Q3760" i="1"/>
  <c r="N3761" i="1"/>
  <c r="O3761" i="1"/>
  <c r="P3761" i="1"/>
  <c r="Q3761" i="1"/>
  <c r="N3762" i="1"/>
  <c r="O3762" i="1"/>
  <c r="P3762" i="1"/>
  <c r="Q3762" i="1"/>
  <c r="N3763" i="1"/>
  <c r="O3763" i="1"/>
  <c r="P3763" i="1"/>
  <c r="Q3763" i="1"/>
  <c r="N3764" i="1"/>
  <c r="O3764" i="1"/>
  <c r="P3764" i="1"/>
  <c r="Q3764" i="1"/>
  <c r="N3765" i="1"/>
  <c r="O3765" i="1"/>
  <c r="P3765" i="1"/>
  <c r="Q3765" i="1"/>
  <c r="N3766" i="1"/>
  <c r="O3766" i="1"/>
  <c r="P3766" i="1"/>
  <c r="Q3766" i="1"/>
  <c r="N3767" i="1"/>
  <c r="O3767" i="1"/>
  <c r="P3767" i="1"/>
  <c r="Q3767" i="1"/>
  <c r="N3768" i="1"/>
  <c r="O3768" i="1"/>
  <c r="P3768" i="1"/>
  <c r="Q3768" i="1"/>
  <c r="N3769" i="1"/>
  <c r="O3769" i="1"/>
  <c r="P3769" i="1"/>
  <c r="Q3769" i="1"/>
  <c r="N3770" i="1"/>
  <c r="O3770" i="1"/>
  <c r="P3770" i="1"/>
  <c r="Q3770" i="1"/>
  <c r="N3771" i="1"/>
  <c r="O3771" i="1"/>
  <c r="P3771" i="1"/>
  <c r="Q3771" i="1"/>
  <c r="N3772" i="1"/>
  <c r="O3772" i="1"/>
  <c r="P3772" i="1"/>
  <c r="Q3772" i="1"/>
  <c r="N3773" i="1"/>
  <c r="O3773" i="1"/>
  <c r="P3773" i="1"/>
  <c r="Q3773" i="1"/>
  <c r="N3774" i="1"/>
  <c r="O3774" i="1"/>
  <c r="P3774" i="1"/>
  <c r="Q3774" i="1"/>
  <c r="N3775" i="1"/>
  <c r="O3775" i="1"/>
  <c r="P3775" i="1"/>
  <c r="Q3775" i="1"/>
  <c r="N3776" i="1"/>
  <c r="O3776" i="1"/>
  <c r="P3776" i="1"/>
  <c r="Q3776" i="1"/>
  <c r="N3777" i="1"/>
  <c r="O3777" i="1"/>
  <c r="P3777" i="1"/>
  <c r="Q3777" i="1"/>
  <c r="N3778" i="1"/>
  <c r="O3778" i="1"/>
  <c r="P3778" i="1"/>
  <c r="Q3778" i="1"/>
  <c r="N3779" i="1"/>
  <c r="O3779" i="1"/>
  <c r="P3779" i="1"/>
  <c r="Q3779" i="1"/>
  <c r="N3780" i="1"/>
  <c r="O3780" i="1"/>
  <c r="P3780" i="1"/>
  <c r="Q3780" i="1"/>
  <c r="N3781" i="1"/>
  <c r="O3781" i="1"/>
  <c r="P3781" i="1"/>
  <c r="Q3781" i="1"/>
  <c r="N3782" i="1"/>
  <c r="O3782" i="1"/>
  <c r="P3782" i="1"/>
  <c r="Q3782" i="1"/>
  <c r="N3783" i="1"/>
  <c r="O3783" i="1"/>
  <c r="P3783" i="1"/>
  <c r="Q3783" i="1"/>
  <c r="N3784" i="1"/>
  <c r="O3784" i="1"/>
  <c r="P3784" i="1"/>
  <c r="Q3784" i="1"/>
  <c r="N3785" i="1"/>
  <c r="O3785" i="1"/>
  <c r="P3785" i="1"/>
  <c r="Q3785" i="1"/>
  <c r="N3786" i="1"/>
  <c r="O3786" i="1"/>
  <c r="P3786" i="1"/>
  <c r="Q3786" i="1"/>
  <c r="N3787" i="1"/>
  <c r="O3787" i="1"/>
  <c r="P3787" i="1"/>
  <c r="Q3787" i="1"/>
  <c r="N3788" i="1"/>
  <c r="O3788" i="1"/>
  <c r="P3788" i="1"/>
  <c r="Q3788" i="1"/>
  <c r="N3789" i="1"/>
  <c r="O3789" i="1"/>
  <c r="P3789" i="1"/>
  <c r="Q3789" i="1"/>
  <c r="N3790" i="1"/>
  <c r="O3790" i="1"/>
  <c r="P3790" i="1"/>
  <c r="Q3790" i="1"/>
  <c r="N3791" i="1"/>
  <c r="O3791" i="1"/>
  <c r="P3791" i="1"/>
  <c r="Q3791" i="1"/>
  <c r="N3792" i="1"/>
  <c r="O3792" i="1"/>
  <c r="P3792" i="1"/>
  <c r="Q3792" i="1"/>
  <c r="N3793" i="1"/>
  <c r="O3793" i="1"/>
  <c r="P3793" i="1"/>
  <c r="Q3793" i="1"/>
  <c r="N3794" i="1"/>
  <c r="O3794" i="1"/>
  <c r="P3794" i="1"/>
  <c r="Q3794" i="1"/>
  <c r="N3795" i="1"/>
  <c r="O3795" i="1"/>
  <c r="P3795" i="1"/>
  <c r="Q3795" i="1"/>
  <c r="N3796" i="1"/>
  <c r="O3796" i="1"/>
  <c r="P3796" i="1"/>
  <c r="Q3796" i="1"/>
  <c r="N3797" i="1"/>
  <c r="O3797" i="1"/>
  <c r="P3797" i="1"/>
  <c r="Q3797" i="1"/>
  <c r="N3798" i="1"/>
  <c r="O3798" i="1"/>
  <c r="P3798" i="1"/>
  <c r="Q3798" i="1"/>
  <c r="N3799" i="1"/>
  <c r="O3799" i="1"/>
  <c r="P3799" i="1"/>
  <c r="Q3799" i="1"/>
  <c r="N3800" i="1"/>
  <c r="O3800" i="1"/>
  <c r="P3800" i="1"/>
  <c r="Q3800" i="1"/>
  <c r="N3801" i="1"/>
  <c r="O3801" i="1"/>
  <c r="P3801" i="1"/>
  <c r="Q3801" i="1"/>
  <c r="N3802" i="1"/>
  <c r="O3802" i="1"/>
  <c r="P3802" i="1"/>
  <c r="Q3802" i="1"/>
  <c r="N3803" i="1"/>
  <c r="O3803" i="1"/>
  <c r="P3803" i="1"/>
  <c r="Q3803" i="1"/>
  <c r="N3804" i="1"/>
  <c r="O3804" i="1"/>
  <c r="P3804" i="1"/>
  <c r="Q3804" i="1"/>
  <c r="N3805" i="1"/>
  <c r="O3805" i="1"/>
  <c r="P3805" i="1"/>
  <c r="Q3805" i="1"/>
  <c r="N3806" i="1"/>
  <c r="O3806" i="1"/>
  <c r="P3806" i="1"/>
  <c r="Q3806" i="1"/>
  <c r="N3807" i="1"/>
  <c r="O3807" i="1"/>
  <c r="P3807" i="1"/>
  <c r="Q3807" i="1"/>
  <c r="N3808" i="1"/>
  <c r="O3808" i="1"/>
  <c r="P3808" i="1"/>
  <c r="Q3808" i="1"/>
  <c r="N3809" i="1"/>
  <c r="O3809" i="1"/>
  <c r="P3809" i="1"/>
  <c r="Q3809" i="1"/>
  <c r="N3810" i="1"/>
  <c r="O3810" i="1"/>
  <c r="P3810" i="1"/>
  <c r="Q3810" i="1"/>
  <c r="N3811" i="1"/>
  <c r="O3811" i="1"/>
  <c r="P3811" i="1"/>
  <c r="Q3811" i="1"/>
  <c r="N3812" i="1"/>
  <c r="O3812" i="1"/>
  <c r="P3812" i="1"/>
  <c r="Q3812" i="1"/>
  <c r="N3813" i="1"/>
  <c r="O3813" i="1"/>
  <c r="P3813" i="1"/>
  <c r="Q3813" i="1"/>
  <c r="N3814" i="1"/>
  <c r="O3814" i="1"/>
  <c r="P3814" i="1"/>
  <c r="Q3814" i="1"/>
  <c r="N3815" i="1"/>
  <c r="O3815" i="1"/>
  <c r="P3815" i="1"/>
  <c r="Q3815" i="1"/>
  <c r="N3816" i="1"/>
  <c r="O3816" i="1"/>
  <c r="P3816" i="1"/>
  <c r="Q3816" i="1"/>
  <c r="N3817" i="1"/>
  <c r="O3817" i="1"/>
  <c r="P3817" i="1"/>
  <c r="Q3817" i="1"/>
  <c r="N3818" i="1"/>
  <c r="O3818" i="1"/>
  <c r="P3818" i="1"/>
  <c r="Q3818" i="1"/>
  <c r="N3819" i="1"/>
  <c r="O3819" i="1"/>
  <c r="P3819" i="1"/>
  <c r="Q3819" i="1"/>
  <c r="N3820" i="1"/>
  <c r="O3820" i="1"/>
  <c r="P3820" i="1"/>
  <c r="Q3820" i="1"/>
  <c r="N3821" i="1"/>
  <c r="O3821" i="1"/>
  <c r="P3821" i="1"/>
  <c r="Q3821" i="1"/>
  <c r="N3822" i="1"/>
  <c r="O3822" i="1"/>
  <c r="P3822" i="1"/>
  <c r="Q3822" i="1"/>
  <c r="N3823" i="1"/>
  <c r="O3823" i="1"/>
  <c r="P3823" i="1"/>
  <c r="Q3823" i="1"/>
  <c r="N3824" i="1"/>
  <c r="O3824" i="1"/>
  <c r="P3824" i="1"/>
  <c r="Q3824" i="1"/>
  <c r="N3825" i="1"/>
  <c r="O3825" i="1"/>
  <c r="P3825" i="1"/>
  <c r="Q3825" i="1"/>
  <c r="N3826" i="1"/>
  <c r="O3826" i="1"/>
  <c r="P3826" i="1"/>
  <c r="Q3826" i="1"/>
  <c r="N3827" i="1"/>
  <c r="O3827" i="1"/>
  <c r="P3827" i="1"/>
  <c r="Q3827" i="1"/>
  <c r="N3828" i="1"/>
  <c r="O3828" i="1"/>
  <c r="P3828" i="1"/>
  <c r="Q3828" i="1"/>
  <c r="N3829" i="1"/>
  <c r="O3829" i="1"/>
  <c r="P3829" i="1"/>
  <c r="Q3829" i="1"/>
  <c r="N3830" i="1"/>
  <c r="O3830" i="1"/>
  <c r="P3830" i="1"/>
  <c r="Q3830" i="1"/>
  <c r="N3831" i="1"/>
  <c r="O3831" i="1"/>
  <c r="P3831" i="1"/>
  <c r="Q3831" i="1"/>
  <c r="N3832" i="1"/>
  <c r="O3832" i="1"/>
  <c r="P3832" i="1"/>
  <c r="Q3832" i="1"/>
  <c r="N3833" i="1"/>
  <c r="O3833" i="1"/>
  <c r="P3833" i="1"/>
  <c r="Q3833" i="1"/>
  <c r="N3834" i="1"/>
  <c r="O3834" i="1"/>
  <c r="P3834" i="1"/>
  <c r="Q3834" i="1"/>
  <c r="N3835" i="1"/>
  <c r="O3835" i="1"/>
  <c r="P3835" i="1"/>
  <c r="Q3835" i="1"/>
  <c r="N3836" i="1"/>
  <c r="O3836" i="1"/>
  <c r="P3836" i="1"/>
  <c r="Q3836" i="1"/>
  <c r="N3837" i="1"/>
  <c r="O3837" i="1"/>
  <c r="P3837" i="1"/>
  <c r="Q3837" i="1"/>
  <c r="N3838" i="1"/>
  <c r="O3838" i="1"/>
  <c r="P3838" i="1"/>
  <c r="Q3838" i="1"/>
  <c r="N3839" i="1"/>
  <c r="O3839" i="1"/>
  <c r="P3839" i="1"/>
  <c r="Q3839" i="1"/>
  <c r="N3840" i="1"/>
  <c r="O3840" i="1"/>
  <c r="P3840" i="1"/>
  <c r="Q3840" i="1"/>
  <c r="N3841" i="1"/>
  <c r="O3841" i="1"/>
  <c r="P3841" i="1"/>
  <c r="Q3841" i="1"/>
  <c r="N3842" i="1"/>
  <c r="O3842" i="1"/>
  <c r="P3842" i="1"/>
  <c r="Q3842" i="1"/>
  <c r="N3843" i="1"/>
  <c r="O3843" i="1"/>
  <c r="P3843" i="1"/>
  <c r="Q3843" i="1"/>
  <c r="N3844" i="1"/>
  <c r="O3844" i="1"/>
  <c r="P3844" i="1"/>
  <c r="Q3844" i="1"/>
  <c r="N3845" i="1"/>
  <c r="O3845" i="1"/>
  <c r="P3845" i="1"/>
  <c r="Q3845" i="1"/>
  <c r="N3846" i="1"/>
  <c r="O3846" i="1"/>
  <c r="P3846" i="1"/>
  <c r="Q3846" i="1"/>
  <c r="N3847" i="1"/>
  <c r="O3847" i="1"/>
  <c r="P3847" i="1"/>
  <c r="Q3847" i="1"/>
  <c r="N3848" i="1"/>
  <c r="O3848" i="1"/>
  <c r="P3848" i="1"/>
  <c r="Q3848" i="1"/>
  <c r="N3849" i="1"/>
  <c r="O3849" i="1"/>
  <c r="P3849" i="1"/>
  <c r="Q3849" i="1"/>
  <c r="N3850" i="1"/>
  <c r="O3850" i="1"/>
  <c r="P3850" i="1"/>
  <c r="Q3850" i="1"/>
  <c r="N3851" i="1"/>
  <c r="O3851" i="1"/>
  <c r="P3851" i="1"/>
  <c r="Q3851" i="1"/>
  <c r="N3852" i="1"/>
  <c r="O3852" i="1"/>
  <c r="P3852" i="1"/>
  <c r="Q3852" i="1"/>
  <c r="N3853" i="1"/>
  <c r="O3853" i="1"/>
  <c r="P3853" i="1"/>
  <c r="Q3853" i="1"/>
  <c r="N3854" i="1"/>
  <c r="O3854" i="1"/>
  <c r="P3854" i="1"/>
  <c r="Q3854" i="1"/>
  <c r="N3855" i="1"/>
  <c r="O3855" i="1"/>
  <c r="P3855" i="1"/>
  <c r="Q3855" i="1"/>
  <c r="N3856" i="1"/>
  <c r="O3856" i="1"/>
  <c r="P3856" i="1"/>
  <c r="Q3856" i="1"/>
  <c r="N3857" i="1"/>
  <c r="O3857" i="1"/>
  <c r="P3857" i="1"/>
  <c r="Q3857" i="1"/>
  <c r="N3858" i="1"/>
  <c r="O3858" i="1"/>
  <c r="P3858" i="1"/>
  <c r="Q3858" i="1"/>
  <c r="N3859" i="1"/>
  <c r="O3859" i="1"/>
  <c r="P3859" i="1"/>
  <c r="Q3859" i="1"/>
  <c r="N3860" i="1"/>
  <c r="O3860" i="1"/>
  <c r="P3860" i="1"/>
  <c r="Q3860" i="1"/>
  <c r="N3861" i="1"/>
  <c r="O3861" i="1"/>
  <c r="P3861" i="1"/>
  <c r="Q3861" i="1"/>
  <c r="N3862" i="1"/>
  <c r="O3862" i="1"/>
  <c r="P3862" i="1"/>
  <c r="Q3862" i="1"/>
  <c r="N3863" i="1"/>
  <c r="O3863" i="1"/>
  <c r="P3863" i="1"/>
  <c r="Q3863" i="1"/>
  <c r="N3864" i="1"/>
  <c r="O3864" i="1"/>
  <c r="P3864" i="1"/>
  <c r="Q3864" i="1"/>
  <c r="N3865" i="1"/>
  <c r="O3865" i="1"/>
  <c r="P3865" i="1"/>
  <c r="Q3865" i="1"/>
  <c r="N3866" i="1"/>
  <c r="O3866" i="1"/>
  <c r="P3866" i="1"/>
  <c r="Q3866" i="1"/>
  <c r="N3867" i="1"/>
  <c r="O3867" i="1"/>
  <c r="P3867" i="1"/>
  <c r="Q3867" i="1"/>
  <c r="N3868" i="1"/>
  <c r="O3868" i="1"/>
  <c r="P3868" i="1"/>
  <c r="Q3868" i="1"/>
  <c r="N3869" i="1"/>
  <c r="O3869" i="1"/>
  <c r="P3869" i="1"/>
  <c r="Q3869" i="1"/>
  <c r="N3870" i="1"/>
  <c r="O3870" i="1"/>
  <c r="P3870" i="1"/>
  <c r="Q3870" i="1"/>
  <c r="N3871" i="1"/>
  <c r="O3871" i="1"/>
  <c r="P3871" i="1"/>
  <c r="Q3871" i="1"/>
  <c r="N3872" i="1"/>
  <c r="O3872" i="1"/>
  <c r="P3872" i="1"/>
  <c r="Q3872" i="1"/>
  <c r="N3873" i="1"/>
  <c r="O3873" i="1"/>
  <c r="P3873" i="1"/>
  <c r="Q3873" i="1"/>
  <c r="N3874" i="1"/>
  <c r="O3874" i="1"/>
  <c r="P3874" i="1"/>
  <c r="Q3874" i="1"/>
  <c r="N3875" i="1"/>
  <c r="O3875" i="1"/>
  <c r="P3875" i="1"/>
  <c r="Q3875" i="1"/>
  <c r="N3876" i="1"/>
  <c r="O3876" i="1"/>
  <c r="P3876" i="1"/>
  <c r="Q3876" i="1"/>
  <c r="N3877" i="1"/>
  <c r="O3877" i="1"/>
  <c r="P3877" i="1"/>
  <c r="Q3877" i="1"/>
  <c r="N3878" i="1"/>
  <c r="O3878" i="1"/>
  <c r="P3878" i="1"/>
  <c r="Q3878" i="1"/>
  <c r="N3879" i="1"/>
  <c r="O3879" i="1"/>
  <c r="P3879" i="1"/>
  <c r="Q3879" i="1"/>
  <c r="N3880" i="1"/>
  <c r="O3880" i="1"/>
  <c r="P3880" i="1"/>
  <c r="Q3880" i="1"/>
  <c r="N3881" i="1"/>
  <c r="O3881" i="1"/>
  <c r="P3881" i="1"/>
  <c r="Q3881" i="1"/>
  <c r="N3882" i="1"/>
  <c r="O3882" i="1"/>
  <c r="P3882" i="1"/>
  <c r="Q3882" i="1"/>
  <c r="N3883" i="1"/>
  <c r="O3883" i="1"/>
  <c r="P3883" i="1"/>
  <c r="Q3883" i="1"/>
  <c r="N3884" i="1"/>
  <c r="O3884" i="1"/>
  <c r="P3884" i="1"/>
  <c r="Q3884" i="1"/>
  <c r="N3885" i="1"/>
  <c r="O3885" i="1"/>
  <c r="P3885" i="1"/>
  <c r="Q3885" i="1"/>
  <c r="N3886" i="1"/>
  <c r="O3886" i="1"/>
  <c r="P3886" i="1"/>
  <c r="Q3886" i="1"/>
  <c r="N3887" i="1"/>
  <c r="O3887" i="1"/>
  <c r="P3887" i="1"/>
  <c r="Q3887" i="1"/>
  <c r="N3888" i="1"/>
  <c r="O3888" i="1"/>
  <c r="P3888" i="1"/>
  <c r="Q3888" i="1"/>
  <c r="N3889" i="1"/>
  <c r="O3889" i="1"/>
  <c r="P3889" i="1"/>
  <c r="Q3889" i="1"/>
  <c r="N3890" i="1"/>
  <c r="O3890" i="1"/>
  <c r="P3890" i="1"/>
  <c r="Q3890" i="1"/>
  <c r="N3891" i="1"/>
  <c r="O3891" i="1"/>
  <c r="P3891" i="1"/>
  <c r="Q3891" i="1"/>
  <c r="N3892" i="1"/>
  <c r="O3892" i="1"/>
  <c r="P3892" i="1"/>
  <c r="Q3892" i="1"/>
  <c r="N3893" i="1"/>
  <c r="O3893" i="1"/>
  <c r="P3893" i="1"/>
  <c r="Q3893" i="1"/>
  <c r="N3894" i="1"/>
  <c r="O3894" i="1"/>
  <c r="P3894" i="1"/>
  <c r="Q3894" i="1"/>
  <c r="N3895" i="1"/>
  <c r="O3895" i="1"/>
  <c r="P3895" i="1"/>
  <c r="Q3895" i="1"/>
  <c r="N3896" i="1"/>
  <c r="O3896" i="1"/>
  <c r="P3896" i="1"/>
  <c r="Q3896" i="1"/>
  <c r="N3897" i="1"/>
  <c r="O3897" i="1"/>
  <c r="P3897" i="1"/>
  <c r="Q3897" i="1"/>
  <c r="N3898" i="1"/>
  <c r="O3898" i="1"/>
  <c r="P3898" i="1"/>
  <c r="Q3898" i="1"/>
  <c r="N3899" i="1"/>
  <c r="O3899" i="1"/>
  <c r="P3899" i="1"/>
  <c r="Q3899" i="1"/>
  <c r="N3900" i="1"/>
  <c r="O3900" i="1"/>
  <c r="P3900" i="1"/>
  <c r="Q3900" i="1"/>
  <c r="N3901" i="1"/>
  <c r="O3901" i="1"/>
  <c r="P3901" i="1"/>
  <c r="Q3901" i="1"/>
  <c r="N3902" i="1"/>
  <c r="O3902" i="1"/>
  <c r="P3902" i="1"/>
  <c r="Q3902" i="1"/>
  <c r="N3903" i="1"/>
  <c r="O3903" i="1"/>
  <c r="P3903" i="1"/>
  <c r="Q3903" i="1"/>
  <c r="N3904" i="1"/>
  <c r="O3904" i="1"/>
  <c r="P3904" i="1"/>
  <c r="Q3904" i="1"/>
  <c r="N3905" i="1"/>
  <c r="O3905" i="1"/>
  <c r="P3905" i="1"/>
  <c r="Q3905" i="1"/>
  <c r="N3906" i="1"/>
  <c r="O3906" i="1"/>
  <c r="P3906" i="1"/>
  <c r="Q3906" i="1"/>
  <c r="N3907" i="1"/>
  <c r="O3907" i="1"/>
  <c r="P3907" i="1"/>
  <c r="Q3907" i="1"/>
  <c r="N3908" i="1"/>
  <c r="O3908" i="1"/>
  <c r="P3908" i="1"/>
  <c r="Q3908" i="1"/>
  <c r="N3909" i="1"/>
  <c r="O3909" i="1"/>
  <c r="P3909" i="1"/>
  <c r="Q3909" i="1"/>
  <c r="N3910" i="1"/>
  <c r="O3910" i="1"/>
  <c r="P3910" i="1"/>
  <c r="Q3910" i="1"/>
  <c r="N3911" i="1"/>
  <c r="O3911" i="1"/>
  <c r="P3911" i="1"/>
  <c r="Q3911" i="1"/>
  <c r="N3912" i="1"/>
  <c r="O3912" i="1"/>
  <c r="P3912" i="1"/>
  <c r="Q3912" i="1"/>
  <c r="N3913" i="1"/>
  <c r="O3913" i="1"/>
  <c r="P3913" i="1"/>
  <c r="Q3913" i="1"/>
  <c r="N3914" i="1"/>
  <c r="O3914" i="1"/>
  <c r="P3914" i="1"/>
  <c r="Q3914" i="1"/>
  <c r="N3915" i="1"/>
  <c r="O3915" i="1"/>
  <c r="P3915" i="1"/>
  <c r="Q3915" i="1"/>
  <c r="N3916" i="1"/>
  <c r="O3916" i="1"/>
  <c r="P3916" i="1"/>
  <c r="Q3916" i="1"/>
  <c r="N3917" i="1"/>
  <c r="O3917" i="1"/>
  <c r="P3917" i="1"/>
  <c r="Q3917" i="1"/>
  <c r="N3918" i="1"/>
  <c r="O3918" i="1"/>
  <c r="P3918" i="1"/>
  <c r="Q3918" i="1"/>
  <c r="N3919" i="1"/>
  <c r="O3919" i="1"/>
  <c r="P3919" i="1"/>
  <c r="Q3919" i="1"/>
  <c r="N3920" i="1"/>
  <c r="O3920" i="1"/>
  <c r="P3920" i="1"/>
  <c r="Q3920" i="1"/>
  <c r="N3921" i="1"/>
  <c r="O3921" i="1"/>
  <c r="P3921" i="1"/>
  <c r="Q3921" i="1"/>
  <c r="N3922" i="1"/>
  <c r="O3922" i="1"/>
  <c r="P3922" i="1"/>
  <c r="Q3922" i="1"/>
  <c r="N3923" i="1"/>
  <c r="O3923" i="1"/>
  <c r="P3923" i="1"/>
  <c r="Q3923" i="1"/>
  <c r="N3924" i="1"/>
  <c r="O3924" i="1"/>
  <c r="P3924" i="1"/>
  <c r="Q3924" i="1"/>
  <c r="N3925" i="1"/>
  <c r="O3925" i="1"/>
  <c r="P3925" i="1"/>
  <c r="Q3925" i="1"/>
  <c r="N3926" i="1"/>
  <c r="O3926" i="1"/>
  <c r="P3926" i="1"/>
  <c r="Q3926" i="1"/>
  <c r="N3927" i="1"/>
  <c r="O3927" i="1"/>
  <c r="P3927" i="1"/>
  <c r="Q3927" i="1"/>
  <c r="N3928" i="1"/>
  <c r="O3928" i="1"/>
  <c r="P3928" i="1"/>
  <c r="Q3928" i="1"/>
  <c r="N3929" i="1"/>
  <c r="O3929" i="1"/>
  <c r="P3929" i="1"/>
  <c r="Q3929" i="1"/>
  <c r="N3930" i="1"/>
  <c r="O3930" i="1"/>
  <c r="P3930" i="1"/>
  <c r="Q3930" i="1"/>
  <c r="N3931" i="1"/>
  <c r="O3931" i="1"/>
  <c r="P3931" i="1"/>
  <c r="Q3931" i="1"/>
  <c r="N3932" i="1"/>
  <c r="O3932" i="1"/>
  <c r="P3932" i="1"/>
  <c r="Q3932" i="1"/>
  <c r="N3933" i="1"/>
  <c r="O3933" i="1"/>
  <c r="P3933" i="1"/>
  <c r="Q3933" i="1"/>
  <c r="N3934" i="1"/>
  <c r="O3934" i="1"/>
  <c r="P3934" i="1"/>
  <c r="Q3934" i="1"/>
  <c r="N3935" i="1"/>
  <c r="O3935" i="1"/>
  <c r="P3935" i="1"/>
  <c r="Q3935" i="1"/>
  <c r="N3936" i="1"/>
  <c r="O3936" i="1"/>
  <c r="P3936" i="1"/>
  <c r="Q3936" i="1"/>
  <c r="N3937" i="1"/>
  <c r="O3937" i="1"/>
  <c r="P3937" i="1"/>
  <c r="Q3937" i="1"/>
  <c r="N3938" i="1"/>
  <c r="O3938" i="1"/>
  <c r="P3938" i="1"/>
  <c r="Q3938" i="1"/>
  <c r="N3939" i="1"/>
  <c r="O3939" i="1"/>
  <c r="P3939" i="1"/>
  <c r="Q3939" i="1"/>
  <c r="N3940" i="1"/>
  <c r="O3940" i="1"/>
  <c r="P3940" i="1"/>
  <c r="Q3940" i="1"/>
  <c r="N3941" i="1"/>
  <c r="O3941" i="1"/>
  <c r="P3941" i="1"/>
  <c r="Q3941" i="1"/>
  <c r="N3942" i="1"/>
  <c r="O3942" i="1"/>
  <c r="P3942" i="1"/>
  <c r="Q3942" i="1"/>
  <c r="N3943" i="1"/>
  <c r="O3943" i="1"/>
  <c r="P3943" i="1"/>
  <c r="Q3943" i="1"/>
  <c r="N3944" i="1"/>
  <c r="O3944" i="1"/>
  <c r="P3944" i="1"/>
  <c r="Q3944" i="1"/>
  <c r="N3945" i="1"/>
  <c r="O3945" i="1"/>
  <c r="P3945" i="1"/>
  <c r="Q3945" i="1"/>
  <c r="N3946" i="1"/>
  <c r="O3946" i="1"/>
  <c r="P3946" i="1"/>
  <c r="Q3946" i="1"/>
  <c r="N3947" i="1"/>
  <c r="O3947" i="1"/>
  <c r="P3947" i="1"/>
  <c r="Q3947" i="1"/>
  <c r="N3948" i="1"/>
  <c r="O3948" i="1"/>
  <c r="P3948" i="1"/>
  <c r="Q3948" i="1"/>
  <c r="N3949" i="1"/>
  <c r="O3949" i="1"/>
  <c r="P3949" i="1"/>
  <c r="Q3949" i="1"/>
  <c r="N3950" i="1"/>
  <c r="O3950" i="1"/>
  <c r="P3950" i="1"/>
  <c r="Q3950" i="1"/>
  <c r="N3951" i="1"/>
  <c r="O3951" i="1"/>
  <c r="P3951" i="1"/>
  <c r="Q3951" i="1"/>
  <c r="N3952" i="1"/>
  <c r="O3952" i="1"/>
  <c r="P3952" i="1"/>
  <c r="Q3952" i="1"/>
  <c r="N3953" i="1"/>
  <c r="O3953" i="1"/>
  <c r="P3953" i="1"/>
  <c r="Q3953" i="1"/>
  <c r="N3954" i="1"/>
  <c r="O3954" i="1"/>
  <c r="P3954" i="1"/>
  <c r="Q3954" i="1"/>
  <c r="N3955" i="1"/>
  <c r="O3955" i="1"/>
  <c r="P3955" i="1"/>
  <c r="Q3955" i="1"/>
  <c r="N3956" i="1"/>
  <c r="O3956" i="1"/>
  <c r="P3956" i="1"/>
  <c r="Q3956" i="1"/>
  <c r="N3957" i="1"/>
  <c r="O3957" i="1"/>
  <c r="P3957" i="1"/>
  <c r="Q3957" i="1"/>
  <c r="N3958" i="1"/>
  <c r="O3958" i="1"/>
  <c r="P3958" i="1"/>
  <c r="Q3958" i="1"/>
  <c r="N3959" i="1"/>
  <c r="O3959" i="1"/>
  <c r="P3959" i="1"/>
  <c r="Q3959" i="1"/>
  <c r="N3960" i="1"/>
  <c r="O3960" i="1"/>
  <c r="P3960" i="1"/>
  <c r="Q3960" i="1"/>
  <c r="N3961" i="1"/>
  <c r="O3961" i="1"/>
  <c r="P3961" i="1"/>
  <c r="Q3961" i="1"/>
  <c r="N3962" i="1"/>
  <c r="O3962" i="1"/>
  <c r="P3962" i="1"/>
  <c r="Q3962" i="1"/>
  <c r="N3963" i="1"/>
  <c r="O3963" i="1"/>
  <c r="P3963" i="1"/>
  <c r="Q3963" i="1"/>
  <c r="N3964" i="1"/>
  <c r="O3964" i="1"/>
  <c r="P3964" i="1"/>
  <c r="Q3964" i="1"/>
  <c r="N3965" i="1"/>
  <c r="O3965" i="1"/>
  <c r="P3965" i="1"/>
  <c r="Q3965" i="1"/>
  <c r="N3966" i="1"/>
  <c r="O3966" i="1"/>
  <c r="P3966" i="1"/>
  <c r="Q3966" i="1"/>
  <c r="N3967" i="1"/>
  <c r="O3967" i="1"/>
  <c r="P3967" i="1"/>
  <c r="Q3967" i="1"/>
  <c r="N3968" i="1"/>
  <c r="O3968" i="1"/>
  <c r="P3968" i="1"/>
  <c r="Q3968" i="1"/>
  <c r="N3969" i="1"/>
  <c r="O3969" i="1"/>
  <c r="P3969" i="1"/>
  <c r="Q3969" i="1"/>
  <c r="N3970" i="1"/>
  <c r="O3970" i="1"/>
  <c r="P3970" i="1"/>
  <c r="Q3970" i="1"/>
  <c r="N3971" i="1"/>
  <c r="O3971" i="1"/>
  <c r="P3971" i="1"/>
  <c r="Q3971" i="1"/>
  <c r="N3972" i="1"/>
  <c r="O3972" i="1"/>
  <c r="P3972" i="1"/>
  <c r="Q3972" i="1"/>
  <c r="N3973" i="1"/>
  <c r="O3973" i="1"/>
  <c r="P3973" i="1"/>
  <c r="Q3973" i="1"/>
  <c r="N3974" i="1"/>
  <c r="O3974" i="1"/>
  <c r="P3974" i="1"/>
  <c r="Q3974" i="1"/>
  <c r="N3975" i="1"/>
  <c r="O3975" i="1"/>
  <c r="P3975" i="1"/>
  <c r="Q3975" i="1"/>
  <c r="N3976" i="1"/>
  <c r="O3976" i="1"/>
  <c r="P3976" i="1"/>
  <c r="Q3976" i="1"/>
  <c r="N3977" i="1"/>
  <c r="O3977" i="1"/>
  <c r="P3977" i="1"/>
  <c r="Q3977" i="1"/>
  <c r="N3978" i="1"/>
  <c r="O3978" i="1"/>
  <c r="P3978" i="1"/>
  <c r="Q3978" i="1"/>
  <c r="N3979" i="1"/>
  <c r="O3979" i="1"/>
  <c r="P3979" i="1"/>
  <c r="Q3979" i="1"/>
  <c r="N3980" i="1"/>
  <c r="O3980" i="1"/>
  <c r="P3980" i="1"/>
  <c r="Q3980" i="1"/>
  <c r="N3981" i="1"/>
  <c r="O3981" i="1"/>
  <c r="P3981" i="1"/>
  <c r="Q3981" i="1"/>
  <c r="N3982" i="1"/>
  <c r="O3982" i="1"/>
  <c r="P3982" i="1"/>
  <c r="Q3982" i="1"/>
  <c r="N3983" i="1"/>
  <c r="O3983" i="1"/>
  <c r="P3983" i="1"/>
  <c r="Q3983" i="1"/>
  <c r="N3984" i="1"/>
  <c r="O3984" i="1"/>
  <c r="P3984" i="1"/>
  <c r="Q3984" i="1"/>
  <c r="N3985" i="1"/>
  <c r="O3985" i="1"/>
  <c r="P3985" i="1"/>
  <c r="Q3985" i="1"/>
  <c r="N3986" i="1"/>
  <c r="O3986" i="1"/>
  <c r="P3986" i="1"/>
  <c r="Q3986" i="1"/>
  <c r="N3987" i="1"/>
  <c r="O3987" i="1"/>
  <c r="P3987" i="1"/>
  <c r="Q3987" i="1"/>
  <c r="N3988" i="1"/>
  <c r="O3988" i="1"/>
  <c r="P3988" i="1"/>
  <c r="Q3988" i="1"/>
  <c r="N3989" i="1"/>
  <c r="O3989" i="1"/>
  <c r="P3989" i="1"/>
  <c r="Q3989" i="1"/>
  <c r="N3990" i="1"/>
  <c r="O3990" i="1"/>
  <c r="P3990" i="1"/>
  <c r="Q3990" i="1"/>
  <c r="N3991" i="1"/>
  <c r="O3991" i="1"/>
  <c r="P3991" i="1"/>
  <c r="Q3991" i="1"/>
  <c r="N3992" i="1"/>
  <c r="O3992" i="1"/>
  <c r="P3992" i="1"/>
  <c r="Q3992" i="1"/>
  <c r="N3993" i="1"/>
  <c r="O3993" i="1"/>
  <c r="P3993" i="1"/>
  <c r="Q3993" i="1"/>
  <c r="N3994" i="1"/>
  <c r="O3994" i="1"/>
  <c r="P3994" i="1"/>
  <c r="Q3994" i="1"/>
  <c r="N3995" i="1"/>
  <c r="O3995" i="1"/>
  <c r="P3995" i="1"/>
  <c r="Q3995" i="1"/>
  <c r="N3996" i="1"/>
  <c r="O3996" i="1"/>
  <c r="P3996" i="1"/>
  <c r="Q3996" i="1"/>
  <c r="N3997" i="1"/>
  <c r="O3997" i="1"/>
  <c r="P3997" i="1"/>
  <c r="Q3997" i="1"/>
  <c r="N3998" i="1"/>
  <c r="O3998" i="1"/>
  <c r="P3998" i="1"/>
  <c r="Q3998" i="1"/>
  <c r="N3999" i="1"/>
  <c r="O3999" i="1"/>
  <c r="P3999" i="1"/>
  <c r="Q3999" i="1"/>
  <c r="N4000" i="1"/>
  <c r="O4000" i="1"/>
  <c r="P4000" i="1"/>
  <c r="Q4000" i="1"/>
  <c r="N4001" i="1"/>
  <c r="O4001" i="1"/>
  <c r="P4001" i="1"/>
  <c r="Q4001" i="1"/>
  <c r="N4002" i="1"/>
  <c r="O4002" i="1"/>
  <c r="P4002" i="1"/>
  <c r="Q4002" i="1"/>
  <c r="N4003" i="1"/>
  <c r="O4003" i="1"/>
  <c r="P4003" i="1"/>
  <c r="Q4003" i="1"/>
  <c r="N4004" i="1"/>
  <c r="O4004" i="1"/>
  <c r="P4004" i="1"/>
  <c r="Q4004" i="1"/>
  <c r="N4005" i="1"/>
  <c r="O4005" i="1"/>
  <c r="P4005" i="1"/>
  <c r="Q4005" i="1"/>
  <c r="N4006" i="1"/>
  <c r="O4006" i="1"/>
  <c r="P4006" i="1"/>
  <c r="Q4006" i="1"/>
  <c r="N4007" i="1"/>
  <c r="O4007" i="1"/>
  <c r="P4007" i="1"/>
  <c r="Q4007" i="1"/>
  <c r="N4008" i="1"/>
  <c r="O4008" i="1"/>
  <c r="P4008" i="1"/>
  <c r="Q4008" i="1"/>
  <c r="N4009" i="1"/>
  <c r="O4009" i="1"/>
  <c r="P4009" i="1"/>
  <c r="Q4009" i="1"/>
  <c r="N4010" i="1"/>
  <c r="O4010" i="1"/>
  <c r="P4010" i="1"/>
  <c r="Q4010" i="1"/>
  <c r="N4011" i="1"/>
  <c r="O4011" i="1"/>
  <c r="P4011" i="1"/>
  <c r="Q4011" i="1"/>
  <c r="N4012" i="1"/>
  <c r="O4012" i="1"/>
  <c r="P4012" i="1"/>
  <c r="Q4012" i="1"/>
  <c r="N4013" i="1"/>
  <c r="O4013" i="1"/>
  <c r="P4013" i="1"/>
  <c r="Q4013" i="1"/>
  <c r="N4014" i="1"/>
  <c r="O4014" i="1"/>
  <c r="P4014" i="1"/>
  <c r="Q4014" i="1"/>
  <c r="N4015" i="1"/>
  <c r="O4015" i="1"/>
  <c r="P4015" i="1"/>
  <c r="Q4015" i="1"/>
  <c r="N4016" i="1"/>
  <c r="O4016" i="1"/>
  <c r="P4016" i="1"/>
  <c r="Q4016" i="1"/>
  <c r="N4017" i="1"/>
  <c r="O4017" i="1"/>
  <c r="P4017" i="1"/>
  <c r="Q4017" i="1"/>
  <c r="N4018" i="1"/>
  <c r="O4018" i="1"/>
  <c r="P4018" i="1"/>
  <c r="Q4018" i="1"/>
  <c r="N4019" i="1"/>
  <c r="O4019" i="1"/>
  <c r="P4019" i="1"/>
  <c r="Q4019" i="1"/>
  <c r="N4020" i="1"/>
  <c r="O4020" i="1"/>
  <c r="P4020" i="1"/>
  <c r="Q4020" i="1"/>
  <c r="N4021" i="1"/>
  <c r="O4021" i="1"/>
  <c r="P4021" i="1"/>
  <c r="Q4021" i="1"/>
  <c r="N4022" i="1"/>
  <c r="O4022" i="1"/>
  <c r="P4022" i="1"/>
  <c r="Q4022" i="1"/>
  <c r="N4023" i="1"/>
  <c r="O4023" i="1"/>
  <c r="P4023" i="1"/>
  <c r="Q4023" i="1"/>
  <c r="N4024" i="1"/>
  <c r="O4024" i="1"/>
  <c r="P4024" i="1"/>
  <c r="Q4024" i="1"/>
  <c r="N4025" i="1"/>
  <c r="O4025" i="1"/>
  <c r="P4025" i="1"/>
  <c r="Q4025" i="1"/>
  <c r="N4026" i="1"/>
  <c r="O4026" i="1"/>
  <c r="P4026" i="1"/>
  <c r="Q4026" i="1"/>
  <c r="N4027" i="1"/>
  <c r="O4027" i="1"/>
  <c r="P4027" i="1"/>
  <c r="Q4027" i="1"/>
  <c r="N4028" i="1"/>
  <c r="O4028" i="1"/>
  <c r="P4028" i="1"/>
  <c r="Q4028" i="1"/>
  <c r="N4029" i="1"/>
  <c r="O4029" i="1"/>
  <c r="P4029" i="1"/>
  <c r="Q4029" i="1"/>
  <c r="Q2" i="1"/>
  <c r="P2" i="1"/>
  <c r="O2" i="1"/>
  <c r="N2" i="1"/>
  <c r="H9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AF107B-C546-4560-9B6C-47377C6A7058}" keepAlive="1" name="Query - Sheet2" description="Connection to the 'Sheet2' query in the workbook." type="5" refreshedVersion="0" background="1">
    <dbPr connection="Provider=Microsoft.Mashup.OleDb.1;Data Source=$Workbook$;Location=Sheet2;Extended Properties=&quot;&quot;" command="SELECT * FROM [Sheet2]"/>
  </connection>
  <connection id="2" xr16:uid="{DE7879E8-6666-45B8-821E-FFDEF9B3C539}" keepAlive="1" name="Query - Sheet2 (2)" description="Connection to the 'Sheet2 (2)' query in the workbook." type="5" refreshedVersion="0" background="1">
    <dbPr connection="Provider=Microsoft.Mashup.OleDb.1;Data Source=$Workbook$;Location=&quot;Sheet2 (2)&quot;;Extended Properties=&quot;&quot;" command="SELECT * FROM [Sheet2 (2)]"/>
  </connection>
  <connection id="3" xr16:uid="{920686E0-0737-406D-B72E-C958BDF85BB3}" keepAlive="1" name="Query - vlookup_table" description="Connection to the 'vlookup_table' query in the workbook." type="5" refreshedVersion="0" background="1">
    <dbPr connection="Provider=Microsoft.Mashup.OleDb.1;Data Source=$Workbook$;Location=vlookup_table;Extended Properties=&quot;&quot;" command="SELECT * FROM [vlookup_table]"/>
  </connection>
  <connection id="4" xr16:uid="{549EEC2F-1A56-436C-9ACE-3546FA0F4DD3}" keepAlive="1" name="Query - vlookup_table (2)" description="Connection to the 'vlookup_table (2)' query in the workbook." type="5" refreshedVersion="0" background="1">
    <dbPr connection="Provider=Microsoft.Mashup.OleDb.1;Data Source=$Workbook$;Location=&quot;vlookup_table (2)&quot;;Extended Properties=&quot;&quot;" command="SELECT * FROM [vlookup_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<sst xmlns="http://schemas.openxmlformats.org/spreadsheetml/2006/main" count="19771" uniqueCount="161">
  <si>
    <t>CONTROLN</t>
  </si>
  <si>
    <t>STATE</t>
  </si>
  <si>
    <t>GENDER</t>
  </si>
  <si>
    <t>HV1</t>
  </si>
  <si>
    <t>IC1</t>
  </si>
  <si>
    <t>IC4</t>
  </si>
  <si>
    <t>HVP1</t>
  </si>
  <si>
    <t>IC5</t>
  </si>
  <si>
    <t>POBC1</t>
  </si>
  <si>
    <t>POBC2</t>
  </si>
  <si>
    <t>IC2</t>
  </si>
  <si>
    <t>IC3</t>
  </si>
  <si>
    <t>AVGGIFT</t>
  </si>
  <si>
    <t>FL</t>
  </si>
  <si>
    <t>M</t>
  </si>
  <si>
    <t>AAA896</t>
  </si>
  <si>
    <t>IL</t>
  </si>
  <si>
    <t>F</t>
  </si>
  <si>
    <t>NC</t>
  </si>
  <si>
    <t>AAA1095</t>
  </si>
  <si>
    <t>female</t>
  </si>
  <si>
    <t>TX</t>
  </si>
  <si>
    <t>CA</t>
  </si>
  <si>
    <t>AAA2294</t>
  </si>
  <si>
    <t>NV</t>
  </si>
  <si>
    <t>Cali</t>
  </si>
  <si>
    <t>AP</t>
  </si>
  <si>
    <t>Male</t>
  </si>
  <si>
    <t>KS</t>
  </si>
  <si>
    <t>MI</t>
  </si>
  <si>
    <t>U</t>
  </si>
  <si>
    <t>OK</t>
  </si>
  <si>
    <t>AR</t>
  </si>
  <si>
    <t>IN</t>
  </si>
  <si>
    <t>MT</t>
  </si>
  <si>
    <t>WI</t>
  </si>
  <si>
    <t>MO</t>
  </si>
  <si>
    <t>HI</t>
  </si>
  <si>
    <t>UT</t>
  </si>
  <si>
    <t>GA</t>
  </si>
  <si>
    <t>WA</t>
  </si>
  <si>
    <t>ID</t>
  </si>
  <si>
    <t>CT</t>
  </si>
  <si>
    <t>AL</t>
  </si>
  <si>
    <t>J</t>
  </si>
  <si>
    <t>ND</t>
  </si>
  <si>
    <t>SC</t>
  </si>
  <si>
    <t>IA</t>
  </si>
  <si>
    <t>CO</t>
  </si>
  <si>
    <t>LA</t>
  </si>
  <si>
    <t>OR</t>
  </si>
  <si>
    <t>male</t>
  </si>
  <si>
    <t>SD</t>
  </si>
  <si>
    <t>TN</t>
  </si>
  <si>
    <t>NM</t>
  </si>
  <si>
    <t>AZ</t>
  </si>
  <si>
    <t>MN</t>
  </si>
  <si>
    <t>KY</t>
  </si>
  <si>
    <t>NJ</t>
  </si>
  <si>
    <t>NE</t>
  </si>
  <si>
    <t>Female</t>
  </si>
  <si>
    <t>California</t>
  </si>
  <si>
    <t>MS</t>
  </si>
  <si>
    <t>NY</t>
  </si>
  <si>
    <t>Arizona</t>
  </si>
  <si>
    <t>feamale</t>
  </si>
  <si>
    <t>WY</t>
  </si>
  <si>
    <t>10909@</t>
  </si>
  <si>
    <t>Tennessee</t>
  </si>
  <si>
    <t>MD</t>
  </si>
  <si>
    <t>AK</t>
  </si>
  <si>
    <t>VA</t>
  </si>
  <si>
    <t>AE</t>
  </si>
  <si>
    <t>AA</t>
  </si>
  <si>
    <t>PA</t>
  </si>
  <si>
    <t>VT</t>
  </si>
  <si>
    <t>A</t>
  </si>
  <si>
    <t>AAA1229</t>
  </si>
  <si>
    <t>WV</t>
  </si>
  <si>
    <t>AAA1305</t>
  </si>
  <si>
    <t>AAA1119</t>
  </si>
  <si>
    <t>GU</t>
  </si>
  <si>
    <t>AAA689</t>
  </si>
  <si>
    <t>AAA713</t>
  </si>
  <si>
    <t>TCODE</t>
  </si>
  <si>
    <t>DOB</t>
  </si>
  <si>
    <t>DOMAIN</t>
  </si>
  <si>
    <t>TARGET_D</t>
  </si>
  <si>
    <t>C2</t>
  </si>
  <si>
    <t>T2</t>
  </si>
  <si>
    <t>S2</t>
  </si>
  <si>
    <t>R2</t>
  </si>
  <si>
    <t>C1</t>
  </si>
  <si>
    <t>S1</t>
  </si>
  <si>
    <t>T1</t>
  </si>
  <si>
    <t>U1</t>
  </si>
  <si>
    <t>C3</t>
  </si>
  <si>
    <t>S3</t>
  </si>
  <si>
    <t>R3</t>
  </si>
  <si>
    <t>7.5</t>
  </si>
  <si>
    <t>R1</t>
  </si>
  <si>
    <t>U3</t>
  </si>
  <si>
    <t>U4</t>
  </si>
  <si>
    <t>U2</t>
  </si>
  <si>
    <t>T3</t>
  </si>
  <si>
    <t>13.92</t>
  </si>
  <si>
    <t>12.5</t>
  </si>
  <si>
    <t>16.87</t>
  </si>
  <si>
    <t>4.5</t>
  </si>
  <si>
    <t>18.25</t>
  </si>
  <si>
    <t>5.25</t>
  </si>
  <si>
    <t>2.5</t>
  </si>
  <si>
    <t>10.7</t>
  </si>
  <si>
    <t>17.5</t>
  </si>
  <si>
    <t>AGE</t>
  </si>
  <si>
    <t>NEIGHBORHOOD_TYPE</t>
  </si>
  <si>
    <t>GENDER_CLEAN</t>
  </si>
  <si>
    <t>STATE_CLEAN</t>
  </si>
  <si>
    <t>IC5_CLEAN</t>
  </si>
  <si>
    <t>Función</t>
  </si>
  <si>
    <t>Fórmula</t>
  </si>
  <si>
    <t>Resultado</t>
  </si>
  <si>
    <t>SUMA (Donaciones TARGET_D)</t>
  </si>
  <si>
    <t>PROMEDIO (AVGGIFT)</t>
  </si>
  <si>
    <t>CONTAR (Edades numéricas)</t>
  </si>
  <si>
    <t>CONTAR.SI (Edad &gt; 50)</t>
  </si>
  <si>
    <t>CONTAR.SI (Género = M)</t>
  </si>
  <si>
    <t>MAX (Edad máxima)</t>
  </si>
  <si>
    <t>MIN (Donación mínima &gt;0)</t>
  </si>
  <si>
    <t>MAX (Donación máxima)</t>
  </si>
  <si>
    <t>SI (Clasificación edad fila 2)</t>
  </si>
  <si>
    <t>BUSCARV (TARGET_D de CONTROLN 44060)</t>
  </si>
  <si>
    <t>CONCATENAR (Estado + Vecindario fila 2)</t>
  </si>
  <si>
    <t>HOY (Fecha actual)</t>
  </si>
  <si>
    <t>AHORA (Fecha y hora actual)</t>
  </si>
  <si>
    <t>REDONDEAR (AVGGIFT fila 3 a 2 dec)</t>
  </si>
  <si>
    <t>=SUMA(Todos!Q:Q)</t>
  </si>
  <si>
    <t>=PROMEDIO(Todos!M:M)</t>
  </si>
  <si>
    <t>=CONTAR(Todos!R:R)</t>
  </si>
  <si>
    <t>=CONTAR.SI(Todos!R:R,"&gt;50")</t>
  </si>
  <si>
    <t>=CONTAR.SI(Todos!T:T,"M")</t>
  </si>
  <si>
    <t>=MAX(Todos!R:R)</t>
  </si>
  <si>
    <t>=MIN.SI(Todos!M:M,"&gt;0")</t>
  </si>
  <si>
    <t>=MAX(Todos!M:M)</t>
  </si>
  <si>
    <t>=SI(Todos!R2&gt;65,"Mayor","Joven")</t>
  </si>
  <si>
    <t>=BUSCARV(44060,vlookup_table!A:G,7,FALSO)</t>
  </si>
  <si>
    <t>=CONCATENAR(Todos!U2," - ",Todos!S2)</t>
  </si>
  <si>
    <t>=HOY()</t>
  </si>
  <si>
    <t>=AHORA()</t>
  </si>
  <si>
    <t>=REDONDEAR(Todos!M3,2)</t>
  </si>
  <si>
    <t>--- ESTADÍSTICAS ADICIONALES ---</t>
  </si>
  <si>
    <t>CONTAR.SI (Género = F)</t>
  </si>
  <si>
    <t>=CONTAR.SI(Todos!T:T,"F")</t>
  </si>
  <si>
    <t>CONTAR.SI (Vecindario = Ciudad)</t>
  </si>
  <si>
    <t>=CONTAR.SI(Todos!S:S,"Ciudad")</t>
  </si>
  <si>
    <t>PROMEDIO (Edad)</t>
  </si>
  <si>
    <t>=PROMEDIO(Todos!R:R)</t>
  </si>
  <si>
    <t>CONTARA (Total registros)</t>
  </si>
  <si>
    <t>=CONTARA(Todos!A:A)-1</t>
  </si>
  <si>
    <t>SUMA (IC5 original)</t>
  </si>
  <si>
    <t>=SUMA(Todos!H:H)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</si>
</sst>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0" fontId="1" fillId="0" borderId="0" xfId="1"/>
    <xf numFmtId="1" fontId="0" fillId="0" borderId="0" xfId="0" applyNumberForma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/>
    <xf numFmtId="49" fontId="0" fillId="0" borderId="1" xfId="0" quotePrefix="1" applyNumberFormat="1" applyBorder="1"/>
    <xf numFmtId="2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49" fontId="0" fillId="0" borderId="1" xfId="0" applyNumberFormat="1" applyBorder="1"/>
    <xf numFmtId="3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0909@" TargetMode="External"/><Relationship Id="rId2" Type="http://schemas.openxmlformats.org/officeDocument/2006/relationships/hyperlink" Target="mailto:10909@" TargetMode="External"/><Relationship Id="rId1" Type="http://schemas.openxmlformats.org/officeDocument/2006/relationships/hyperlink" Target="mailto:10755@" TargetMode="External"/><Relationship Id="rId6" Type="http://schemas.openxmlformats.org/officeDocument/2006/relationships/hyperlink" Target="mailto:10909@" TargetMode="External"/><Relationship Id="rId5" Type="http://schemas.openxmlformats.org/officeDocument/2006/relationships/hyperlink" Target="mailto:10909@" TargetMode="External"/><Relationship Id="rId4" Type="http://schemas.openxmlformats.org/officeDocument/2006/relationships/hyperlink" Target="mailto:10909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B44C-91E7-9F44-B4E6-4CFA5392556B}">
  <dimension ref="A1:V4029"/>
  <sheetViews>
    <sheetView tabSelected="1" workbookViewId="0">
      <selection activeCell="H17" sqref="H17"/>
    </sheetView>
  </sheetViews>
  <sheetFormatPr defaultColWidth="10.58203125" defaultRowHeight="15.5" x14ac:dyDescent="0.35"/>
  <cols>
    <col min="1" max="1" width="12.25" bestFit="1" customWidth="1"/>
    <col min="2" max="2" width="9.4140625" bestFit="1" customWidth="1"/>
    <col min="3" max="3" width="9.83203125" bestFit="1" customWidth="1"/>
    <col min="4" max="4" width="8.25" bestFit="1" customWidth="1"/>
    <col min="5" max="6" width="5.4140625" bestFit="1" customWidth="1"/>
    <col min="7" max="7" width="7.33203125" bestFit="1" customWidth="1"/>
    <col min="8" max="8" width="7.5" bestFit="1" customWidth="1"/>
    <col min="9" max="10" width="8.4140625" bestFit="1" customWidth="1"/>
    <col min="11" max="12" width="5.4140625" bestFit="1" customWidth="1"/>
    <col min="13" max="13" width="11.75" bestFit="1" customWidth="1"/>
    <col min="14" max="14" width="8.5" bestFit="1" customWidth="1"/>
    <col min="15" max="15" width="6.5" bestFit="1" customWidth="1"/>
    <col min="16" max="16" width="10.25" bestFit="1" customWidth="1"/>
    <col min="17" max="17" width="11.75" bestFit="1" customWidth="1"/>
    <col min="18" max="18" width="6.33203125" bestFit="1" customWidth="1"/>
    <col min="19" max="19" width="22.1640625" bestFit="1" customWidth="1"/>
    <col min="20" max="20" width="16.4140625" bestFit="1" customWidth="1"/>
    <col min="21" max="21" width="14.5" bestFit="1" customWidth="1"/>
    <col min="22" max="22" width="11.9140625" bestFit="1" customWidth="1"/>
    <col min="24" max="24" width="11.1640625" customWidth="1"/>
  </cols>
  <sheetData>
    <row r="1" spans="1:22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84</v>
      </c>
      <c r="O1" s="5" t="s">
        <v>85</v>
      </c>
      <c r="P1" s="5" t="s">
        <v>86</v>
      </c>
      <c r="Q1" s="5" t="s">
        <v>87</v>
      </c>
      <c r="R1" s="5" t="s">
        <v>114</v>
      </c>
      <c r="S1" s="5" t="s">
        <v>115</v>
      </c>
      <c r="T1" s="5" t="s">
        <v>116</v>
      </c>
      <c r="U1" s="5" t="s">
        <v>117</v>
      </c>
      <c r="V1" s="5" t="s">
        <v>118</v>
      </c>
    </row>
    <row r="2" spans="1:22" x14ac:dyDescent="0.35">
      <c r="A2" s="3">
        <v>44060</v>
      </c>
      <c r="B2" t="s">
        <v>13</v>
      </c>
      <c r="C2" t="s">
        <v>14</v>
      </c>
      <c r="D2" s="1" t="s">
        <v>15</v>
      </c>
      <c r="E2">
        <v>392</v>
      </c>
      <c r="F2">
        <v>520</v>
      </c>
      <c r="G2">
        <v>7</v>
      </c>
      <c r="H2">
        <v>21975</v>
      </c>
      <c r="I2">
        <v>6</v>
      </c>
      <c r="J2">
        <v>16</v>
      </c>
      <c r="K2">
        <v>430</v>
      </c>
      <c r="L2">
        <v>466</v>
      </c>
      <c r="M2">
        <v>28</v>
      </c>
      <c r="N2">
        <f>IFERROR(VLOOKUP(A2,vlookup_table!$A:$G,2,FALSE),"")</f>
        <v>1</v>
      </c>
      <c r="O2">
        <f>IFERROR(VLOOKUP(A2,vlookup_table!$A:$G,4,FALSE),"")</f>
        <v>1901</v>
      </c>
      <c r="P2" t="str">
        <f>IFERROR(VLOOKUP(A2,vlookup_table!$A:$G,5,FALSE),"")</f>
        <v>C2</v>
      </c>
      <c r="Q2">
        <f>IFERROR(VLOOKUP(A2,vlookup_table!$A:$G,7,FALSE),"")</f>
        <v>100</v>
      </c>
      <c r="R2">
        <f t="shared" ref="R2:R65" si="0">IF(O2="","",97-INT(O2/100))</f>
        <v>78</v>
      </c>
      <c r="S2" t="str" cm="1">
        <f t="array" ref="S2">IF(P2="","",_xlfn.SWITCH(LEFT(P2,1),"C","Ciudad","T","Pueblo","R","Rural","S","Suburbano","U","Urbano",""))</f>
        <v>Ciudad</v>
      </c>
      <c r="T2" t="str">
        <f t="shared" ref="T2:T65" si="1">IF(C2="","",IF(OR(UPPER(C2)="M",UPPER(C2)="MALE"),"M",IF(OR(UPPER(C2)="F",UPPER(C2)="FEMALE",UPPER(C2)="FEAMALE"),"F",C2)))</f>
        <v>M</v>
      </c>
      <c r="U2" t="str">
        <f t="shared" ref="U2:U65" si="2">IF(OR(UPPER(B2)="CALIFORNIA",UPPER(B2)="CALI"),"CA",B2)</f>
        <v>FL</v>
      </c>
      <c r="V2" t="str">
        <f t="shared" ref="V2:V65" si="3">SUBSTITUTE(H2,"@","")</f>
        <v>21975</v>
      </c>
    </row>
    <row r="3" spans="1:22" x14ac:dyDescent="0.35">
      <c r="A3" s="3">
        <v>96093</v>
      </c>
      <c r="B3" t="s">
        <v>16</v>
      </c>
      <c r="C3" t="s">
        <v>14</v>
      </c>
      <c r="D3" s="1">
        <v>537</v>
      </c>
      <c r="E3">
        <v>365</v>
      </c>
      <c r="F3">
        <v>473</v>
      </c>
      <c r="G3">
        <v>0</v>
      </c>
      <c r="H3">
        <v>19387</v>
      </c>
      <c r="I3">
        <v>1</v>
      </c>
      <c r="J3">
        <v>89</v>
      </c>
      <c r="K3">
        <v>415</v>
      </c>
      <c r="L3">
        <v>410</v>
      </c>
      <c r="M3">
        <v>5.6666666670000003</v>
      </c>
      <c r="N3">
        <f>IFERROR(VLOOKUP(A3,vlookup_table!$A:$G,2,FALSE),"")</f>
        <v>0</v>
      </c>
      <c r="O3">
        <f>IFERROR(VLOOKUP(A3,vlookup_table!$A:$G,4,FALSE),"")</f>
        <v>0</v>
      </c>
      <c r="P3" t="str">
        <f>IFERROR(VLOOKUP(A3,vlookup_table!$A:$G,5,FALSE),"")</f>
        <v>T2</v>
      </c>
      <c r="Q3">
        <f>IFERROR(VLOOKUP(A3,vlookup_table!$A:$G,7,FALSE),"")</f>
        <v>7</v>
      </c>
      <c r="R3">
        <f t="shared" si="0"/>
        <v>97</v>
      </c>
      <c r="S3" t="str" cm="1">
        <f t="array" ref="S3">IF(P3="","",_xlfn.SWITCH(LEFT(P3,1),"C","Ciudad","T","Pueblo","R","Rural","S","Suburbano","U","Urbano",""))</f>
        <v>Pueblo</v>
      </c>
      <c r="T3" t="str">
        <f t="shared" si="1"/>
        <v>M</v>
      </c>
      <c r="U3" t="str">
        <f t="shared" si="2"/>
        <v>IL</v>
      </c>
      <c r="V3" t="str">
        <f t="shared" si="3"/>
        <v>19387</v>
      </c>
    </row>
    <row r="4" spans="1:22" x14ac:dyDescent="0.35">
      <c r="A4" s="3">
        <v>43333</v>
      </c>
      <c r="B4" t="s">
        <v>13</v>
      </c>
      <c r="C4" t="s">
        <v>17</v>
      </c>
      <c r="D4" s="1">
        <v>725</v>
      </c>
      <c r="E4">
        <v>301</v>
      </c>
      <c r="F4">
        <v>436</v>
      </c>
      <c r="G4">
        <v>3</v>
      </c>
      <c r="H4">
        <v>18837</v>
      </c>
      <c r="I4">
        <v>11</v>
      </c>
      <c r="J4">
        <v>17</v>
      </c>
      <c r="K4">
        <v>340</v>
      </c>
      <c r="L4">
        <v>361</v>
      </c>
      <c r="M4">
        <v>4.1111111109999996</v>
      </c>
      <c r="N4">
        <f>IFERROR(VLOOKUP(A4,vlookup_table!$A:$G,2,FALSE),"")</f>
        <v>0</v>
      </c>
      <c r="O4">
        <f>IFERROR(VLOOKUP(A4,vlookup_table!$A:$G,4,FALSE),"")</f>
        <v>2501</v>
      </c>
      <c r="P4" t="str">
        <f>IFERROR(VLOOKUP(A4,vlookup_table!$A:$G,5,FALSE),"")</f>
        <v>C2</v>
      </c>
      <c r="Q4">
        <f>IFERROR(VLOOKUP(A4,vlookup_table!$A:$G,7,FALSE),"")</f>
        <v>5</v>
      </c>
      <c r="R4">
        <f t="shared" si="0"/>
        <v>72</v>
      </c>
      <c r="S4" t="str" cm="1">
        <f t="array" ref="S4">IF(P4="","",_xlfn.SWITCH(LEFT(P4,1),"C","Ciudad","T","Pueblo","R","Rural","S","Suburbano","U","Urbano",""))</f>
        <v>Ciudad</v>
      </c>
      <c r="T4" t="str">
        <f t="shared" si="1"/>
        <v>F</v>
      </c>
      <c r="U4" t="str">
        <f t="shared" si="2"/>
        <v>FL</v>
      </c>
      <c r="V4" t="str">
        <f t="shared" si="3"/>
        <v>18837</v>
      </c>
    </row>
    <row r="5" spans="1:22" x14ac:dyDescent="0.35">
      <c r="A5" s="3">
        <v>21885</v>
      </c>
      <c r="B5" t="s">
        <v>18</v>
      </c>
      <c r="C5" t="s">
        <v>14</v>
      </c>
      <c r="D5" s="1" t="s">
        <v>19</v>
      </c>
      <c r="E5">
        <v>401</v>
      </c>
      <c r="F5">
        <v>413</v>
      </c>
      <c r="G5">
        <v>7</v>
      </c>
      <c r="H5">
        <v>14014</v>
      </c>
      <c r="I5">
        <v>1</v>
      </c>
      <c r="J5">
        <v>74</v>
      </c>
      <c r="K5">
        <v>407</v>
      </c>
      <c r="L5">
        <v>399</v>
      </c>
      <c r="M5">
        <v>27.277777780000001</v>
      </c>
      <c r="N5">
        <f>IFERROR(VLOOKUP(A5,vlookup_table!$A:$G,2,FALSE),"")</f>
        <v>0</v>
      </c>
      <c r="O5">
        <f>IFERROR(VLOOKUP(A5,vlookup_table!$A:$G,4,FALSE),"")</f>
        <v>2208</v>
      </c>
      <c r="P5" t="str">
        <f>IFERROR(VLOOKUP(A5,vlookup_table!$A:$G,5,FALSE),"")</f>
        <v>T2</v>
      </c>
      <c r="Q5">
        <f>IFERROR(VLOOKUP(A5,vlookup_table!$A:$G,7,FALSE),"")</f>
        <v>38</v>
      </c>
      <c r="R5">
        <f t="shared" si="0"/>
        <v>75</v>
      </c>
      <c r="S5" t="str" cm="1">
        <f t="array" ref="S5">IF(P5="","",_xlfn.SWITCH(LEFT(P5,1),"C","Ciudad","T","Pueblo","R","Rural","S","Suburbano","U","Urbano",""))</f>
        <v>Pueblo</v>
      </c>
      <c r="T5" t="str">
        <f t="shared" si="1"/>
        <v>M</v>
      </c>
      <c r="U5" t="str">
        <f t="shared" si="2"/>
        <v>NC</v>
      </c>
      <c r="V5" t="str">
        <f t="shared" si="3"/>
        <v>14014</v>
      </c>
    </row>
    <row r="6" spans="1:22" x14ac:dyDescent="0.35">
      <c r="A6" s="3">
        <v>190108</v>
      </c>
      <c r="B6" t="s">
        <v>13</v>
      </c>
      <c r="C6" t="s">
        <v>17</v>
      </c>
      <c r="D6" s="1">
        <v>995</v>
      </c>
      <c r="E6">
        <v>252</v>
      </c>
      <c r="F6">
        <v>348</v>
      </c>
      <c r="G6">
        <v>0</v>
      </c>
      <c r="H6">
        <v>17991</v>
      </c>
      <c r="I6">
        <v>5</v>
      </c>
      <c r="J6">
        <v>6</v>
      </c>
      <c r="K6">
        <v>280</v>
      </c>
      <c r="L6">
        <v>316</v>
      </c>
      <c r="M6">
        <v>6</v>
      </c>
      <c r="N6">
        <f>IFERROR(VLOOKUP(A6,vlookup_table!$A:$G,2,FALSE),"")</f>
        <v>28</v>
      </c>
      <c r="O6">
        <f>IFERROR(VLOOKUP(A6,vlookup_table!$A:$G,4,FALSE),"")</f>
        <v>0</v>
      </c>
      <c r="P6" t="str">
        <f>IFERROR(VLOOKUP(A6,vlookup_table!$A:$G,5,FALSE),"")</f>
        <v>C2</v>
      </c>
      <c r="Q6">
        <f>IFERROR(VLOOKUP(A6,vlookup_table!$A:$G,7,FALSE),"")</f>
        <v>5</v>
      </c>
      <c r="R6">
        <f t="shared" si="0"/>
        <v>97</v>
      </c>
      <c r="S6" t="str" cm="1">
        <f t="array" ref="S6">IF(P6="","",_xlfn.SWITCH(LEFT(P6,1),"C","Ciudad","T","Pueblo","R","Rural","S","Suburbano","U","Urbano",""))</f>
        <v>Ciudad</v>
      </c>
      <c r="T6" t="str">
        <f t="shared" si="1"/>
        <v>F</v>
      </c>
      <c r="U6" t="str">
        <f t="shared" si="2"/>
        <v>FL</v>
      </c>
      <c r="V6" t="str">
        <f t="shared" si="3"/>
        <v>17991</v>
      </c>
    </row>
    <row r="7" spans="1:22" x14ac:dyDescent="0.35">
      <c r="A7" s="3">
        <v>100640</v>
      </c>
      <c r="B7" t="s">
        <v>16</v>
      </c>
      <c r="C7" t="s">
        <v>14</v>
      </c>
      <c r="D7" s="1">
        <v>764</v>
      </c>
      <c r="E7">
        <v>457</v>
      </c>
      <c r="F7">
        <v>501</v>
      </c>
      <c r="G7">
        <v>1</v>
      </c>
      <c r="H7">
        <v>16022</v>
      </c>
      <c r="I7">
        <v>2</v>
      </c>
      <c r="J7">
        <v>75</v>
      </c>
      <c r="K7">
        <v>477</v>
      </c>
      <c r="L7">
        <v>480</v>
      </c>
      <c r="M7">
        <v>25.571428569999998</v>
      </c>
      <c r="N7">
        <f>IFERROR(VLOOKUP(A7,vlookup_table!$A:$G,2,FALSE),"")</f>
        <v>1</v>
      </c>
      <c r="O7">
        <f>IFERROR(VLOOKUP(A7,vlookup_table!$A:$G,4,FALSE),"")</f>
        <v>6104</v>
      </c>
      <c r="P7" t="str">
        <f>IFERROR(VLOOKUP(A7,vlookup_table!$A:$G,5,FALSE),"")</f>
        <v>S2</v>
      </c>
      <c r="Q7">
        <f>IFERROR(VLOOKUP(A7,vlookup_table!$A:$G,7,FALSE),"")</f>
        <v>30</v>
      </c>
      <c r="R7">
        <f t="shared" si="0"/>
        <v>36</v>
      </c>
      <c r="S7" t="str" cm="1">
        <f t="array" ref="S7">IF(P7="","",_xlfn.SWITCH(LEFT(P7,1),"C","Ciudad","T","Pueblo","R","Rural","S","Suburbano","U","Urbano",""))</f>
        <v>Suburbano</v>
      </c>
      <c r="T7" t="str">
        <f t="shared" si="1"/>
        <v>M</v>
      </c>
      <c r="U7" t="str">
        <f t="shared" si="2"/>
        <v>IL</v>
      </c>
      <c r="V7" t="str">
        <f t="shared" si="3"/>
        <v>16022</v>
      </c>
    </row>
    <row r="8" spans="1:22" x14ac:dyDescent="0.35">
      <c r="A8" s="3">
        <v>18581</v>
      </c>
      <c r="B8" t="s">
        <v>18</v>
      </c>
      <c r="C8" t="s">
        <v>20</v>
      </c>
      <c r="D8" s="1">
        <v>775</v>
      </c>
      <c r="E8">
        <v>318</v>
      </c>
      <c r="F8">
        <v>419</v>
      </c>
      <c r="G8">
        <v>5</v>
      </c>
      <c r="H8">
        <v>13491</v>
      </c>
      <c r="I8">
        <v>0</v>
      </c>
      <c r="J8">
        <v>73</v>
      </c>
      <c r="K8">
        <v>364</v>
      </c>
      <c r="L8">
        <v>380</v>
      </c>
      <c r="M8">
        <v>4.625</v>
      </c>
      <c r="N8">
        <f>IFERROR(VLOOKUP(A8,vlookup_table!$A:$G,2,FALSE),"")</f>
        <v>0</v>
      </c>
      <c r="O8">
        <f>IFERROR(VLOOKUP(A8,vlookup_table!$A:$G,4,FALSE),"")</f>
        <v>4407</v>
      </c>
      <c r="P8" t="str">
        <f>IFERROR(VLOOKUP(A8,vlookup_table!$A:$G,5,FALSE),"")</f>
        <v>R2</v>
      </c>
      <c r="Q8">
        <f>IFERROR(VLOOKUP(A8,vlookup_table!$A:$G,7,FALSE),"")</f>
        <v>12</v>
      </c>
      <c r="R8">
        <f t="shared" si="0"/>
        <v>53</v>
      </c>
      <c r="S8" t="str" cm="1">
        <f t="array" ref="S8">IF(P8="","",_xlfn.SWITCH(LEFT(P8,1),"C","Ciudad","T","Pueblo","R","Rural","S","Suburbano","U","Urbano",""))</f>
        <v>Rural</v>
      </c>
      <c r="T8" t="str">
        <f t="shared" si="1"/>
        <v>F</v>
      </c>
      <c r="U8" t="str">
        <f t="shared" si="2"/>
        <v>NC</v>
      </c>
      <c r="V8" t="str">
        <f t="shared" si="3"/>
        <v>13491</v>
      </c>
    </row>
    <row r="9" spans="1:22" x14ac:dyDescent="0.35">
      <c r="A9" s="3">
        <v>119038</v>
      </c>
      <c r="B9" t="s">
        <v>21</v>
      </c>
      <c r="C9" t="s">
        <v>14</v>
      </c>
      <c r="D9" s="1">
        <v>890</v>
      </c>
      <c r="E9">
        <v>519</v>
      </c>
      <c r="F9">
        <v>560</v>
      </c>
      <c r="G9">
        <v>0</v>
      </c>
      <c r="H9">
        <v>17872</v>
      </c>
      <c r="I9">
        <v>2</v>
      </c>
      <c r="J9">
        <v>46</v>
      </c>
      <c r="K9">
        <v>525</v>
      </c>
      <c r="L9">
        <v>551</v>
      </c>
      <c r="M9">
        <v>6.1749999999999998</v>
      </c>
      <c r="N9">
        <f>IFERROR(VLOOKUP(A9,vlookup_table!$A:$G,2,FALSE),"")</f>
        <v>1002</v>
      </c>
      <c r="O9">
        <f>IFERROR(VLOOKUP(A9,vlookup_table!$A:$G,4,FALSE),"")</f>
        <v>0</v>
      </c>
      <c r="P9" t="str">
        <f>IFERROR(VLOOKUP(A9,vlookup_table!$A:$G,5,FALSE),"")</f>
        <v>C1</v>
      </c>
      <c r="Q9">
        <f>IFERROR(VLOOKUP(A9,vlookup_table!$A:$G,7,FALSE),"")</f>
        <v>7</v>
      </c>
      <c r="R9">
        <f t="shared" si="0"/>
        <v>97</v>
      </c>
      <c r="S9" t="str" cm="1">
        <f t="array" ref="S9">IF(P9="","",_xlfn.SWITCH(LEFT(P9,1),"C","Ciudad","T","Pueblo","R","Rural","S","Suburbano","U","Urbano",""))</f>
        <v>Ciudad</v>
      </c>
      <c r="T9" t="str">
        <f t="shared" si="1"/>
        <v>M</v>
      </c>
      <c r="U9" t="str">
        <f t="shared" si="2"/>
        <v>TX</v>
      </c>
      <c r="V9" t="str">
        <f t="shared" si="3"/>
        <v>17872</v>
      </c>
    </row>
    <row r="10" spans="1:22" x14ac:dyDescent="0.35">
      <c r="A10" s="3">
        <v>173223</v>
      </c>
      <c r="B10" t="s">
        <v>22</v>
      </c>
      <c r="C10" t="s">
        <v>17</v>
      </c>
      <c r="D10" s="1"/>
      <c r="E10">
        <v>184</v>
      </c>
      <c r="F10">
        <v>250</v>
      </c>
      <c r="G10">
        <v>0</v>
      </c>
      <c r="H10">
        <v>8708</v>
      </c>
      <c r="I10">
        <v>2</v>
      </c>
      <c r="J10">
        <v>63</v>
      </c>
      <c r="K10">
        <v>206</v>
      </c>
      <c r="L10">
        <v>235</v>
      </c>
      <c r="M10">
        <v>8.8181818179999993</v>
      </c>
      <c r="N10">
        <f>IFERROR(VLOOKUP(A10,vlookup_table!$A:$G,2,FALSE),"")</f>
        <v>0</v>
      </c>
      <c r="O10">
        <f>IFERROR(VLOOKUP(A10,vlookup_table!$A:$G,4,FALSE),"")</f>
        <v>1801</v>
      </c>
      <c r="P10" t="str">
        <f>IFERROR(VLOOKUP(A10,vlookup_table!$A:$G,5,FALSE),"")</f>
        <v>T2</v>
      </c>
      <c r="Q10">
        <f>IFERROR(VLOOKUP(A10,vlookup_table!$A:$G,7,FALSE),"")</f>
        <v>10</v>
      </c>
      <c r="R10">
        <f t="shared" si="0"/>
        <v>79</v>
      </c>
      <c r="S10" t="str" cm="1">
        <f t="array" ref="S10">IF(P10="","",_xlfn.SWITCH(LEFT(P10,1),"C","Ciudad","T","Pueblo","R","Rural","S","Suburbano","U","Urbano",""))</f>
        <v>Pueblo</v>
      </c>
      <c r="T10" t="str">
        <f t="shared" si="1"/>
        <v>F</v>
      </c>
      <c r="U10" t="str">
        <f t="shared" si="2"/>
        <v>CA</v>
      </c>
      <c r="V10" t="str">
        <f t="shared" si="3"/>
        <v>8708</v>
      </c>
    </row>
    <row r="11" spans="1:22" x14ac:dyDescent="0.35">
      <c r="A11" s="3">
        <v>157988</v>
      </c>
      <c r="B11" t="s">
        <v>22</v>
      </c>
      <c r="C11" t="s">
        <v>17</v>
      </c>
      <c r="D11" s="1" t="s">
        <v>23</v>
      </c>
      <c r="E11">
        <v>593</v>
      </c>
      <c r="F11">
        <v>617</v>
      </c>
      <c r="G11">
        <v>61</v>
      </c>
      <c r="H11">
        <v>17838</v>
      </c>
      <c r="I11">
        <v>7</v>
      </c>
      <c r="J11">
        <v>62</v>
      </c>
      <c r="L11">
        <v>619</v>
      </c>
      <c r="M11">
        <v>6.6666666670000003</v>
      </c>
      <c r="N11">
        <f>IFERROR(VLOOKUP(A11,vlookup_table!$A:$G,2,FALSE),"")</f>
        <v>28</v>
      </c>
      <c r="O11">
        <f>IFERROR(VLOOKUP(A11,vlookup_table!$A:$G,4,FALSE),"")</f>
        <v>0</v>
      </c>
      <c r="P11" t="str">
        <f>IFERROR(VLOOKUP(A11,vlookup_table!$A:$G,5,FALSE),"")</f>
        <v>S1</v>
      </c>
      <c r="Q11">
        <f>IFERROR(VLOOKUP(A11,vlookup_table!$A:$G,7,FALSE),"")</f>
        <v>10</v>
      </c>
      <c r="R11">
        <f t="shared" si="0"/>
        <v>97</v>
      </c>
      <c r="S11" t="str" cm="1">
        <f t="array" ref="S11">IF(P11="","",_xlfn.SWITCH(LEFT(P11,1),"C","Ciudad","T","Pueblo","R","Rural","S","Suburbano","U","Urbano",""))</f>
        <v>Suburbano</v>
      </c>
      <c r="T11" t="str">
        <f t="shared" si="1"/>
        <v>F</v>
      </c>
      <c r="U11" t="str">
        <f t="shared" si="2"/>
        <v>CA</v>
      </c>
      <c r="V11" t="str">
        <f t="shared" si="3"/>
        <v>17838</v>
      </c>
    </row>
    <row r="12" spans="1:22" x14ac:dyDescent="0.35">
      <c r="A12" s="3">
        <v>141720</v>
      </c>
      <c r="B12" t="s">
        <v>24</v>
      </c>
      <c r="C12" t="s">
        <v>17</v>
      </c>
      <c r="D12">
        <v>1569</v>
      </c>
      <c r="E12">
        <v>673</v>
      </c>
      <c r="F12">
        <v>781</v>
      </c>
      <c r="G12">
        <v>22</v>
      </c>
      <c r="H12">
        <v>25775</v>
      </c>
      <c r="I12">
        <v>3</v>
      </c>
      <c r="J12">
        <v>44</v>
      </c>
      <c r="K12">
        <v>672</v>
      </c>
      <c r="L12">
        <v>785</v>
      </c>
      <c r="M12">
        <v>13</v>
      </c>
      <c r="N12">
        <f>IFERROR(VLOOKUP(A12,vlookup_table!$A:$G,2,FALSE),"")</f>
        <v>28</v>
      </c>
      <c r="O12">
        <f>IFERROR(VLOOKUP(A12,vlookup_table!$A:$G,4,FALSE),"")</f>
        <v>5401</v>
      </c>
      <c r="P12" t="str">
        <f>IFERROR(VLOOKUP(A12,vlookup_table!$A:$G,5,FALSE),"")</f>
        <v>T1</v>
      </c>
      <c r="Q12">
        <f>IFERROR(VLOOKUP(A12,vlookup_table!$A:$G,7,FALSE),"")</f>
        <v>5</v>
      </c>
      <c r="R12">
        <f t="shared" si="0"/>
        <v>43</v>
      </c>
      <c r="S12" t="str" cm="1">
        <f t="array" ref="S12">IF(P12="","",_xlfn.SWITCH(LEFT(P12,1),"C","Ciudad","T","Pueblo","R","Rural","S","Suburbano","U","Urbano",""))</f>
        <v>Pueblo</v>
      </c>
      <c r="T12" t="str">
        <f t="shared" si="1"/>
        <v>F</v>
      </c>
      <c r="U12" t="str">
        <f t="shared" si="2"/>
        <v>NV</v>
      </c>
      <c r="V12" t="str">
        <f t="shared" si="3"/>
        <v>25775</v>
      </c>
    </row>
    <row r="13" spans="1:22" x14ac:dyDescent="0.35">
      <c r="A13" s="3">
        <v>186272</v>
      </c>
      <c r="B13" t="s">
        <v>22</v>
      </c>
      <c r="C13" t="s">
        <v>17</v>
      </c>
      <c r="D13">
        <v>3515</v>
      </c>
      <c r="E13">
        <v>521</v>
      </c>
      <c r="F13">
        <v>588</v>
      </c>
      <c r="G13">
        <v>97</v>
      </c>
      <c r="H13">
        <v>20068</v>
      </c>
      <c r="I13">
        <v>11</v>
      </c>
      <c r="J13">
        <v>54</v>
      </c>
      <c r="K13">
        <v>565</v>
      </c>
      <c r="L13">
        <v>549</v>
      </c>
      <c r="M13">
        <v>8.64</v>
      </c>
      <c r="N13">
        <f>IFERROR(VLOOKUP(A13,vlookup_table!$A:$G,2,FALSE),"")</f>
        <v>2</v>
      </c>
      <c r="O13">
        <f>IFERROR(VLOOKUP(A13,vlookup_table!$A:$G,4,FALSE),"")</f>
        <v>3401</v>
      </c>
      <c r="P13" t="str">
        <f>IFERROR(VLOOKUP(A13,vlookup_table!$A:$G,5,FALSE),"")</f>
        <v>U1</v>
      </c>
      <c r="Q13">
        <f>IFERROR(VLOOKUP(A13,vlookup_table!$A:$G,7,FALSE),"")</f>
        <v>10</v>
      </c>
      <c r="R13">
        <f t="shared" si="0"/>
        <v>63</v>
      </c>
      <c r="S13" t="str" cm="1">
        <f t="array" ref="S13">IF(P13="","",_xlfn.SWITCH(LEFT(P13,1),"C","Ciudad","T","Pueblo","R","Rural","S","Suburbano","U","Urbano",""))</f>
        <v>Urbano</v>
      </c>
      <c r="T13" t="str">
        <f t="shared" si="1"/>
        <v>F</v>
      </c>
      <c r="U13" t="str">
        <f t="shared" si="2"/>
        <v>CA</v>
      </c>
      <c r="V13" t="str">
        <f t="shared" si="3"/>
        <v>20068</v>
      </c>
    </row>
    <row r="14" spans="1:22" x14ac:dyDescent="0.35">
      <c r="A14" s="3">
        <v>154301</v>
      </c>
      <c r="B14" t="s">
        <v>25</v>
      </c>
      <c r="C14" t="s">
        <v>17</v>
      </c>
      <c r="D14">
        <v>1026</v>
      </c>
      <c r="E14">
        <v>459</v>
      </c>
      <c r="F14">
        <v>496</v>
      </c>
      <c r="G14">
        <v>1</v>
      </c>
      <c r="H14">
        <v>13803</v>
      </c>
      <c r="I14">
        <v>12</v>
      </c>
      <c r="J14">
        <v>52</v>
      </c>
      <c r="K14">
        <v>470</v>
      </c>
      <c r="L14">
        <v>491</v>
      </c>
      <c r="M14">
        <v>11.25</v>
      </c>
      <c r="N14">
        <f>IFERROR(VLOOKUP(A14,vlookup_table!$A:$G,2,FALSE),"")</f>
        <v>2</v>
      </c>
      <c r="O14">
        <f>IFERROR(VLOOKUP(A14,vlookup_table!$A:$G,4,FALSE),"")</f>
        <v>2801</v>
      </c>
      <c r="P14" t="str">
        <f>IFERROR(VLOOKUP(A14,vlookup_table!$A:$G,5,FALSE),"")</f>
        <v>T2</v>
      </c>
      <c r="Q14">
        <f>IFERROR(VLOOKUP(A14,vlookup_table!$A:$G,7,FALSE),"")</f>
        <v>10</v>
      </c>
      <c r="R14">
        <f t="shared" si="0"/>
        <v>69</v>
      </c>
      <c r="S14" t="str" cm="1">
        <f t="array" ref="S14">IF(P14="","",_xlfn.SWITCH(LEFT(P14,1),"C","Ciudad","T","Pueblo","R","Rural","S","Suburbano","U","Urbano",""))</f>
        <v>Pueblo</v>
      </c>
      <c r="T14" t="str">
        <f t="shared" si="1"/>
        <v>F</v>
      </c>
      <c r="U14" t="str">
        <f t="shared" si="2"/>
        <v>CA</v>
      </c>
      <c r="V14" t="str">
        <f t="shared" si="3"/>
        <v>13803</v>
      </c>
    </row>
    <row r="15" spans="1:22" x14ac:dyDescent="0.35">
      <c r="A15" s="3">
        <v>189722</v>
      </c>
      <c r="B15" t="s">
        <v>26</v>
      </c>
      <c r="C15" t="s">
        <v>27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5.7272727269999999</v>
      </c>
      <c r="N15">
        <f>IFERROR(VLOOKUP(A15,vlookup_table!$A:$G,2,FALSE),"")</f>
        <v>1</v>
      </c>
      <c r="O15">
        <f>IFERROR(VLOOKUP(A15,vlookup_table!$A:$G,4,FALSE),"")</f>
        <v>0</v>
      </c>
      <c r="P15">
        <f>IFERROR(VLOOKUP(A15,vlookup_table!$A:$G,5,FALSE),"")</f>
        <v>0</v>
      </c>
      <c r="Q15">
        <f>IFERROR(VLOOKUP(A15,vlookup_table!$A:$G,7,FALSE),"")</f>
        <v>6</v>
      </c>
      <c r="R15">
        <f t="shared" si="0"/>
        <v>97</v>
      </c>
      <c r="S15" t="str" cm="1">
        <f t="array" ref="S15">IF(P15="","",_xlfn.SWITCH(LEFT(P15,1),"C","Ciudad","T","Pueblo","R","Rural","S","Suburbano","U","Urbano",""))</f>
        <v/>
      </c>
      <c r="T15" t="str">
        <f t="shared" si="1"/>
        <v>M</v>
      </c>
      <c r="U15" t="str">
        <f t="shared" si="2"/>
        <v>AP</v>
      </c>
      <c r="V15" t="str">
        <f t="shared" si="3"/>
        <v>0</v>
      </c>
    </row>
    <row r="16" spans="1:22" x14ac:dyDescent="0.35">
      <c r="A16" s="3">
        <v>188304</v>
      </c>
      <c r="B16" t="s">
        <v>28</v>
      </c>
      <c r="C16" t="s">
        <v>17</v>
      </c>
      <c r="D16">
        <v>376</v>
      </c>
      <c r="E16">
        <v>263</v>
      </c>
      <c r="F16">
        <v>316</v>
      </c>
      <c r="G16">
        <v>0</v>
      </c>
      <c r="H16" s="2">
        <v>10755</v>
      </c>
      <c r="I16">
        <v>1</v>
      </c>
      <c r="J16">
        <v>75</v>
      </c>
      <c r="K16">
        <v>303</v>
      </c>
      <c r="L16">
        <v>287</v>
      </c>
      <c r="M16">
        <v>10.55</v>
      </c>
      <c r="N16">
        <f>IFERROR(VLOOKUP(A16,vlookup_table!$A:$G,2,FALSE),"")</f>
        <v>0</v>
      </c>
      <c r="O16">
        <f>IFERROR(VLOOKUP(A16,vlookup_table!$A:$G,4,FALSE),"")</f>
        <v>2405</v>
      </c>
      <c r="P16" t="str">
        <f>IFERROR(VLOOKUP(A16,vlookup_table!$A:$G,5,FALSE),"")</f>
        <v>T2</v>
      </c>
      <c r="Q16">
        <f>IFERROR(VLOOKUP(A16,vlookup_table!$A:$G,7,FALSE),"")</f>
        <v>10</v>
      </c>
      <c r="R16">
        <f t="shared" si="0"/>
        <v>73</v>
      </c>
      <c r="S16" t="str" cm="1">
        <f t="array" ref="S16">IF(P16="","",_xlfn.SWITCH(LEFT(P16,1),"C","Ciudad","T","Pueblo","R","Rural","S","Suburbano","U","Urbano",""))</f>
        <v>Pueblo</v>
      </c>
      <c r="T16" t="str">
        <f t="shared" si="1"/>
        <v>F</v>
      </c>
      <c r="U16" t="str">
        <f t="shared" si="2"/>
        <v>KS</v>
      </c>
      <c r="V16" t="str">
        <f t="shared" si="3"/>
        <v>10755</v>
      </c>
    </row>
    <row r="17" spans="1:22" x14ac:dyDescent="0.35">
      <c r="A17" s="3">
        <v>73699</v>
      </c>
      <c r="B17" t="s">
        <v>29</v>
      </c>
      <c r="D17">
        <v>890</v>
      </c>
      <c r="E17">
        <v>463</v>
      </c>
      <c r="F17">
        <v>523</v>
      </c>
      <c r="G17">
        <v>1</v>
      </c>
      <c r="H17">
        <v>9493</v>
      </c>
      <c r="I17">
        <v>5</v>
      </c>
      <c r="J17">
        <v>53</v>
      </c>
      <c r="K17">
        <v>474</v>
      </c>
      <c r="L17">
        <v>512</v>
      </c>
      <c r="M17">
        <v>11.28571429</v>
      </c>
      <c r="N17">
        <f>IFERROR(VLOOKUP(A17,vlookup_table!$A:$G,2,FALSE),"")</f>
        <v>1</v>
      </c>
      <c r="O17">
        <f>IFERROR(VLOOKUP(A17,vlookup_table!$A:$G,4,FALSE),"")</f>
        <v>5102</v>
      </c>
      <c r="P17" t="str">
        <f>IFERROR(VLOOKUP(A17,vlookup_table!$A:$G,5,FALSE),"")</f>
        <v>S1</v>
      </c>
      <c r="Q17">
        <f>IFERROR(VLOOKUP(A17,vlookup_table!$A:$G,7,FALSE),"")</f>
        <v>15</v>
      </c>
      <c r="R17">
        <f t="shared" si="0"/>
        <v>46</v>
      </c>
      <c r="S17" t="str" cm="1">
        <f t="array" ref="S17">IF(P17="","",_xlfn.SWITCH(LEFT(P17,1),"C","Ciudad","T","Pueblo","R","Rural","S","Suburbano","U","Urbano",""))</f>
        <v>Suburbano</v>
      </c>
      <c r="T17" t="str">
        <f t="shared" si="1"/>
        <v/>
      </c>
      <c r="U17" t="str">
        <f t="shared" si="2"/>
        <v>MI</v>
      </c>
      <c r="V17" t="str">
        <f t="shared" si="3"/>
        <v>9493</v>
      </c>
    </row>
    <row r="18" spans="1:22" x14ac:dyDescent="0.35">
      <c r="A18" s="3">
        <v>31977</v>
      </c>
      <c r="B18" t="s">
        <v>13</v>
      </c>
      <c r="C18" t="s">
        <v>17</v>
      </c>
      <c r="D18">
        <v>1513</v>
      </c>
      <c r="E18">
        <v>521</v>
      </c>
      <c r="F18">
        <v>702</v>
      </c>
      <c r="G18">
        <v>31</v>
      </c>
      <c r="H18">
        <v>28124</v>
      </c>
      <c r="I18">
        <v>3</v>
      </c>
      <c r="J18">
        <v>24</v>
      </c>
      <c r="K18">
        <v>599</v>
      </c>
      <c r="L18">
        <v>615</v>
      </c>
      <c r="M18">
        <v>18.5</v>
      </c>
      <c r="N18">
        <f>IFERROR(VLOOKUP(A18,vlookup_table!$A:$G,2,FALSE),"")</f>
        <v>2</v>
      </c>
      <c r="O18">
        <f>IFERROR(VLOOKUP(A18,vlookup_table!$A:$G,4,FALSE),"")</f>
        <v>2701</v>
      </c>
      <c r="P18" t="str">
        <f>IFERROR(VLOOKUP(A18,vlookup_table!$A:$G,5,FALSE),"")</f>
        <v>T1</v>
      </c>
      <c r="Q18">
        <f>IFERROR(VLOOKUP(A18,vlookup_table!$A:$G,7,FALSE),"")</f>
        <v>28</v>
      </c>
      <c r="R18">
        <f t="shared" si="0"/>
        <v>70</v>
      </c>
      <c r="S18" t="str" cm="1">
        <f t="array" ref="S18">IF(P18="","",_xlfn.SWITCH(LEFT(P18,1),"C","Ciudad","T","Pueblo","R","Rural","S","Suburbano","U","Urbano",""))</f>
        <v>Pueblo</v>
      </c>
      <c r="T18" t="str">
        <f t="shared" si="1"/>
        <v>F</v>
      </c>
      <c r="U18" t="str">
        <f t="shared" si="2"/>
        <v>FL</v>
      </c>
      <c r="V18" t="str">
        <f t="shared" si="3"/>
        <v>28124</v>
      </c>
    </row>
    <row r="19" spans="1:22" x14ac:dyDescent="0.35">
      <c r="A19" s="3">
        <v>44336</v>
      </c>
      <c r="B19" t="s">
        <v>13</v>
      </c>
      <c r="C19" t="s">
        <v>17</v>
      </c>
      <c r="D19">
        <v>948</v>
      </c>
      <c r="E19">
        <v>330</v>
      </c>
      <c r="F19">
        <v>411</v>
      </c>
      <c r="G19">
        <v>4</v>
      </c>
      <c r="H19">
        <v>17728</v>
      </c>
      <c r="I19">
        <v>6</v>
      </c>
      <c r="J19">
        <v>8</v>
      </c>
      <c r="K19">
        <v>365</v>
      </c>
      <c r="L19">
        <v>368</v>
      </c>
      <c r="M19">
        <v>15</v>
      </c>
      <c r="N19">
        <f>IFERROR(VLOOKUP(A19,vlookup_table!$A:$G,2,FALSE),"")</f>
        <v>0</v>
      </c>
      <c r="O19">
        <f>IFERROR(VLOOKUP(A19,vlookup_table!$A:$G,4,FALSE),"")</f>
        <v>6501</v>
      </c>
      <c r="P19" t="str">
        <f>IFERROR(VLOOKUP(A19,vlookup_table!$A:$G,5,FALSE),"")</f>
        <v>C2</v>
      </c>
      <c r="Q19">
        <f>IFERROR(VLOOKUP(A19,vlookup_table!$A:$G,7,FALSE),"")</f>
        <v>15</v>
      </c>
      <c r="R19">
        <f t="shared" si="0"/>
        <v>32</v>
      </c>
      <c r="S19" t="str" cm="1">
        <f t="array" ref="S19">IF(P19="","",_xlfn.SWITCH(LEFT(P19,1),"C","Ciudad","T","Pueblo","R","Rural","S","Suburbano","U","Urbano",""))</f>
        <v>Ciudad</v>
      </c>
      <c r="T19" t="str">
        <f t="shared" si="1"/>
        <v>F</v>
      </c>
      <c r="U19" t="str">
        <f t="shared" si="2"/>
        <v>FL</v>
      </c>
      <c r="V19" t="str">
        <f t="shared" si="3"/>
        <v>17728</v>
      </c>
    </row>
    <row r="20" spans="1:22" x14ac:dyDescent="0.35">
      <c r="A20" s="3">
        <v>127823</v>
      </c>
      <c r="B20" t="s">
        <v>21</v>
      </c>
      <c r="C20" t="s">
        <v>17</v>
      </c>
      <c r="D20">
        <v>258</v>
      </c>
      <c r="E20">
        <v>64</v>
      </c>
      <c r="F20">
        <v>74</v>
      </c>
      <c r="G20">
        <v>0</v>
      </c>
      <c r="H20">
        <v>4236</v>
      </c>
      <c r="I20">
        <v>0</v>
      </c>
      <c r="J20">
        <v>94</v>
      </c>
      <c r="K20">
        <v>60</v>
      </c>
      <c r="L20">
        <v>93</v>
      </c>
      <c r="M20">
        <v>5.45</v>
      </c>
      <c r="N20">
        <f>IFERROR(VLOOKUP(A20,vlookup_table!$A:$G,2,FALSE),"")</f>
        <v>2</v>
      </c>
      <c r="O20">
        <f>IFERROR(VLOOKUP(A20,vlookup_table!$A:$G,4,FALSE),"")</f>
        <v>2301</v>
      </c>
      <c r="P20" t="str">
        <f>IFERROR(VLOOKUP(A20,vlookup_table!$A:$G,5,FALSE),"")</f>
        <v>C3</v>
      </c>
      <c r="Q20">
        <f>IFERROR(VLOOKUP(A20,vlookup_table!$A:$G,7,FALSE),"")</f>
        <v>6</v>
      </c>
      <c r="R20">
        <f t="shared" si="0"/>
        <v>74</v>
      </c>
      <c r="S20" t="str" cm="1">
        <f t="array" ref="S20">IF(P20="","",_xlfn.SWITCH(LEFT(P20,1),"C","Ciudad","T","Pueblo","R","Rural","S","Suburbano","U","Urbano",""))</f>
        <v>Ciudad</v>
      </c>
      <c r="T20" t="str">
        <f t="shared" si="1"/>
        <v>F</v>
      </c>
      <c r="U20" t="str">
        <f t="shared" si="2"/>
        <v>TX</v>
      </c>
      <c r="V20" t="str">
        <f t="shared" si="3"/>
        <v>4236</v>
      </c>
    </row>
    <row r="21" spans="1:22" x14ac:dyDescent="0.35">
      <c r="A21" s="3">
        <v>150739</v>
      </c>
      <c r="B21" t="s">
        <v>22</v>
      </c>
      <c r="C21" t="s">
        <v>30</v>
      </c>
      <c r="D21">
        <v>1951</v>
      </c>
      <c r="E21">
        <v>556</v>
      </c>
      <c r="F21">
        <v>625</v>
      </c>
      <c r="G21">
        <v>44</v>
      </c>
      <c r="H21">
        <v>17208</v>
      </c>
      <c r="I21">
        <v>10</v>
      </c>
      <c r="J21">
        <v>66</v>
      </c>
      <c r="K21">
        <v>578</v>
      </c>
      <c r="L21">
        <v>619</v>
      </c>
      <c r="M21">
        <v>9.6818181820000007</v>
      </c>
      <c r="N21">
        <f>IFERROR(VLOOKUP(A21,vlookup_table!$A:$G,2,FALSE),"")</f>
        <v>2</v>
      </c>
      <c r="O21">
        <f>IFERROR(VLOOKUP(A21,vlookup_table!$A:$G,4,FALSE),"")</f>
        <v>5410</v>
      </c>
      <c r="P21" t="str">
        <f>IFERROR(VLOOKUP(A21,vlookup_table!$A:$G,5,FALSE),"")</f>
        <v>S1</v>
      </c>
      <c r="Q21">
        <f>IFERROR(VLOOKUP(A21,vlookup_table!$A:$G,7,FALSE),"")</f>
        <v>12</v>
      </c>
      <c r="R21">
        <f t="shared" si="0"/>
        <v>43</v>
      </c>
      <c r="S21" t="str" cm="1">
        <f t="array" ref="S21">IF(P21="","",_xlfn.SWITCH(LEFT(P21,1),"C","Ciudad","T","Pueblo","R","Rural","S","Suburbano","U","Urbano",""))</f>
        <v>Suburbano</v>
      </c>
      <c r="T21" t="str">
        <f t="shared" si="1"/>
        <v>U</v>
      </c>
      <c r="U21" t="str">
        <f t="shared" si="2"/>
        <v>CA</v>
      </c>
      <c r="V21" t="str">
        <f t="shared" si="3"/>
        <v>17208</v>
      </c>
    </row>
    <row r="22" spans="1:22" x14ac:dyDescent="0.35">
      <c r="A22" s="3">
        <v>41384</v>
      </c>
      <c r="B22" t="s">
        <v>13</v>
      </c>
      <c r="C22" t="s">
        <v>17</v>
      </c>
      <c r="D22">
        <v>556</v>
      </c>
      <c r="E22">
        <v>318</v>
      </c>
      <c r="G22">
        <v>0</v>
      </c>
      <c r="H22">
        <v>11779</v>
      </c>
      <c r="I22">
        <v>16</v>
      </c>
      <c r="J22">
        <v>22</v>
      </c>
      <c r="K22">
        <v>358</v>
      </c>
      <c r="L22">
        <v>320</v>
      </c>
      <c r="M22">
        <v>9.4285714289999998</v>
      </c>
      <c r="N22">
        <f>IFERROR(VLOOKUP(A22,vlookup_table!$A:$G,2,FALSE),"")</f>
        <v>28</v>
      </c>
      <c r="O22">
        <f>IFERROR(VLOOKUP(A22,vlookup_table!$A:$G,4,FALSE),"")</f>
        <v>5107</v>
      </c>
      <c r="P22" t="str">
        <f>IFERROR(VLOOKUP(A22,vlookup_table!$A:$G,5,FALSE),"")</f>
        <v>S3</v>
      </c>
      <c r="Q22">
        <f>IFERROR(VLOOKUP(A22,vlookup_table!$A:$G,7,FALSE),"")</f>
        <v>12</v>
      </c>
      <c r="R22">
        <f t="shared" si="0"/>
        <v>46</v>
      </c>
      <c r="S22" t="str" cm="1">
        <f t="array" ref="S22">IF(P22="","",_xlfn.SWITCH(LEFT(P22,1),"C","Ciudad","T","Pueblo","R","Rural","S","Suburbano","U","Urbano",""))</f>
        <v>Suburbano</v>
      </c>
      <c r="T22" t="str">
        <f t="shared" si="1"/>
        <v>F</v>
      </c>
      <c r="U22" t="str">
        <f t="shared" si="2"/>
        <v>FL</v>
      </c>
      <c r="V22" t="str">
        <f t="shared" si="3"/>
        <v>11779</v>
      </c>
    </row>
    <row r="23" spans="1:22" x14ac:dyDescent="0.35">
      <c r="A23" s="3">
        <v>114721</v>
      </c>
      <c r="B23" t="s">
        <v>31</v>
      </c>
      <c r="D23">
        <v>1040</v>
      </c>
      <c r="E23">
        <v>472</v>
      </c>
      <c r="F23">
        <v>656</v>
      </c>
      <c r="G23">
        <v>0</v>
      </c>
      <c r="H23">
        <v>26962</v>
      </c>
      <c r="I23">
        <v>2</v>
      </c>
      <c r="J23">
        <v>56</v>
      </c>
      <c r="K23">
        <v>609</v>
      </c>
      <c r="L23">
        <v>579</v>
      </c>
      <c r="M23">
        <v>11.66666667</v>
      </c>
      <c r="N23">
        <f>IFERROR(VLOOKUP(A23,vlookup_table!$A:$G,2,FALSE),"")</f>
        <v>0</v>
      </c>
      <c r="O23">
        <f>IFERROR(VLOOKUP(A23,vlookup_table!$A:$G,4,FALSE),"")</f>
        <v>0</v>
      </c>
      <c r="P23" t="str">
        <f>IFERROR(VLOOKUP(A23,vlookup_table!$A:$G,5,FALSE),"")</f>
        <v>C2</v>
      </c>
      <c r="Q23">
        <f>IFERROR(VLOOKUP(A23,vlookup_table!$A:$G,7,FALSE),"")</f>
        <v>15</v>
      </c>
      <c r="R23">
        <f t="shared" si="0"/>
        <v>97</v>
      </c>
      <c r="S23" t="str" cm="1">
        <f t="array" ref="S23">IF(P23="","",_xlfn.SWITCH(LEFT(P23,1),"C","Ciudad","T","Pueblo","R","Rural","S","Suburbano","U","Urbano",""))</f>
        <v>Ciudad</v>
      </c>
      <c r="T23" t="str">
        <f t="shared" si="1"/>
        <v/>
      </c>
      <c r="U23" t="str">
        <f t="shared" si="2"/>
        <v>OK</v>
      </c>
      <c r="V23" t="str">
        <f t="shared" si="3"/>
        <v>26962</v>
      </c>
    </row>
    <row r="24" spans="1:22" x14ac:dyDescent="0.35">
      <c r="A24" s="3">
        <v>111795</v>
      </c>
      <c r="B24" t="s">
        <v>32</v>
      </c>
      <c r="D24">
        <v>603</v>
      </c>
      <c r="E24">
        <v>208</v>
      </c>
      <c r="F24">
        <v>341</v>
      </c>
      <c r="G24">
        <v>2</v>
      </c>
      <c r="H24">
        <v>12038</v>
      </c>
      <c r="I24">
        <v>1</v>
      </c>
      <c r="J24">
        <v>70</v>
      </c>
      <c r="K24">
        <v>264</v>
      </c>
      <c r="L24">
        <v>288</v>
      </c>
      <c r="M24">
        <v>5</v>
      </c>
      <c r="N24">
        <f>IFERROR(VLOOKUP(A24,vlookup_table!$A:$G,2,FALSE),"")</f>
        <v>0</v>
      </c>
      <c r="O24">
        <f>IFERROR(VLOOKUP(A24,vlookup_table!$A:$G,4,FALSE),"")</f>
        <v>0</v>
      </c>
      <c r="P24">
        <f>IFERROR(VLOOKUP(A24,vlookup_table!$A:$G,5,FALSE),"")</f>
        <v>0</v>
      </c>
      <c r="Q24">
        <f>IFERROR(VLOOKUP(A24,vlookup_table!$A:$G,7,FALSE),"")</f>
        <v>5</v>
      </c>
      <c r="R24">
        <f t="shared" si="0"/>
        <v>97</v>
      </c>
      <c r="S24" t="str" cm="1">
        <f t="array" ref="S24">IF(P24="","",_xlfn.SWITCH(LEFT(P24,1),"C","Ciudad","T","Pueblo","R","Rural","S","Suburbano","U","Urbano",""))</f>
        <v/>
      </c>
      <c r="T24" t="str">
        <f t="shared" si="1"/>
        <v/>
      </c>
      <c r="U24" t="str">
        <f t="shared" si="2"/>
        <v>AR</v>
      </c>
      <c r="V24" t="str">
        <f t="shared" si="3"/>
        <v>12038</v>
      </c>
    </row>
    <row r="25" spans="1:22" x14ac:dyDescent="0.35">
      <c r="A25" s="3">
        <v>64480</v>
      </c>
      <c r="B25" t="s">
        <v>33</v>
      </c>
      <c r="C25" t="s">
        <v>17</v>
      </c>
      <c r="D25">
        <v>526</v>
      </c>
      <c r="E25">
        <v>277</v>
      </c>
      <c r="F25">
        <v>370</v>
      </c>
      <c r="G25">
        <v>1</v>
      </c>
      <c r="H25">
        <v>12826</v>
      </c>
      <c r="I25">
        <v>1</v>
      </c>
      <c r="J25">
        <v>80</v>
      </c>
      <c r="K25">
        <v>336</v>
      </c>
      <c r="L25">
        <v>317</v>
      </c>
      <c r="M25">
        <v>7.1428571429999996</v>
      </c>
      <c r="N25">
        <f>IFERROR(VLOOKUP(A25,vlookup_table!$A:$G,2,FALSE),"")</f>
        <v>28</v>
      </c>
      <c r="O25">
        <f>IFERROR(VLOOKUP(A25,vlookup_table!$A:$G,4,FALSE),"")</f>
        <v>0</v>
      </c>
      <c r="P25" t="str">
        <f>IFERROR(VLOOKUP(A25,vlookup_table!$A:$G,5,FALSE),"")</f>
        <v>T2</v>
      </c>
      <c r="Q25">
        <f>IFERROR(VLOOKUP(A25,vlookup_table!$A:$G,7,FALSE),"")</f>
        <v>10</v>
      </c>
      <c r="R25">
        <f t="shared" si="0"/>
        <v>97</v>
      </c>
      <c r="S25" t="str" cm="1">
        <f t="array" ref="S25">IF(P25="","",_xlfn.SWITCH(LEFT(P25,1),"C","Ciudad","T","Pueblo","R","Rural","S","Suburbano","U","Urbano",""))</f>
        <v>Pueblo</v>
      </c>
      <c r="T25" t="str">
        <f t="shared" si="1"/>
        <v>F</v>
      </c>
      <c r="U25" t="str">
        <f t="shared" si="2"/>
        <v>IN</v>
      </c>
      <c r="V25" t="str">
        <f t="shared" si="3"/>
        <v>12826</v>
      </c>
    </row>
    <row r="26" spans="1:22" x14ac:dyDescent="0.35">
      <c r="A26" s="3">
        <v>87259</v>
      </c>
      <c r="B26" t="s">
        <v>34</v>
      </c>
      <c r="C26" t="s">
        <v>14</v>
      </c>
      <c r="D26">
        <v>717</v>
      </c>
      <c r="E26">
        <v>302</v>
      </c>
      <c r="F26">
        <v>432</v>
      </c>
      <c r="G26">
        <v>1</v>
      </c>
      <c r="H26">
        <v>15614</v>
      </c>
      <c r="I26">
        <v>1</v>
      </c>
      <c r="J26">
        <v>53</v>
      </c>
      <c r="K26">
        <v>458</v>
      </c>
      <c r="L26">
        <v>349</v>
      </c>
      <c r="M26">
        <v>9.6999999999999993</v>
      </c>
      <c r="N26">
        <f>IFERROR(VLOOKUP(A26,vlookup_table!$A:$G,2,FALSE),"")</f>
        <v>2</v>
      </c>
      <c r="O26">
        <f>IFERROR(VLOOKUP(A26,vlookup_table!$A:$G,4,FALSE),"")</f>
        <v>4304</v>
      </c>
      <c r="P26" t="str">
        <f>IFERROR(VLOOKUP(A26,vlookup_table!$A:$G,5,FALSE),"")</f>
        <v>C1</v>
      </c>
      <c r="Q26">
        <f>IFERROR(VLOOKUP(A26,vlookup_table!$A:$G,7,FALSE),"")</f>
        <v>25</v>
      </c>
      <c r="R26" s="1">
        <f t="shared" si="0"/>
        <v>54</v>
      </c>
      <c r="S26" t="str" cm="1">
        <f t="array" ref="S26">IF(P26="","",_xlfn.SWITCH(LEFT(P26,1),"C","Ciudad","T","Pueblo","R","Rural","S","Suburbano","U","Urbano",""))</f>
        <v>Ciudad</v>
      </c>
      <c r="T26" t="str">
        <f t="shared" si="1"/>
        <v>M</v>
      </c>
      <c r="U26" t="str">
        <f t="shared" si="2"/>
        <v>MT</v>
      </c>
      <c r="V26" t="str">
        <f t="shared" si="3"/>
        <v>15614</v>
      </c>
    </row>
    <row r="27" spans="1:22" x14ac:dyDescent="0.35">
      <c r="A27" s="3">
        <v>115823</v>
      </c>
      <c r="B27" t="s">
        <v>21</v>
      </c>
      <c r="C27" t="s">
        <v>14</v>
      </c>
      <c r="D27">
        <v>1011</v>
      </c>
      <c r="E27">
        <v>593</v>
      </c>
      <c r="F27">
        <v>650</v>
      </c>
      <c r="G27">
        <v>1</v>
      </c>
      <c r="H27">
        <v>17606</v>
      </c>
      <c r="I27">
        <v>5</v>
      </c>
      <c r="J27">
        <v>61</v>
      </c>
      <c r="K27">
        <v>588</v>
      </c>
      <c r="L27">
        <v>650</v>
      </c>
      <c r="M27">
        <v>6.5</v>
      </c>
      <c r="N27">
        <f>IFERROR(VLOOKUP(A27,vlookup_table!$A:$G,2,FALSE),"")</f>
        <v>0</v>
      </c>
      <c r="O27">
        <f>IFERROR(VLOOKUP(A27,vlookup_table!$A:$G,4,FALSE),"")</f>
        <v>0</v>
      </c>
      <c r="P27" t="str">
        <f>IFERROR(VLOOKUP(A27,vlookup_table!$A:$G,5,FALSE),"")</f>
        <v>S1</v>
      </c>
      <c r="Q27">
        <f>IFERROR(VLOOKUP(A27,vlookup_table!$A:$G,7,FALSE),"")</f>
        <v>15</v>
      </c>
      <c r="R27" s="1">
        <f t="shared" si="0"/>
        <v>97</v>
      </c>
      <c r="S27" t="str" cm="1">
        <f t="array" ref="S27">IF(P27="","",_xlfn.SWITCH(LEFT(P27,1),"C","Ciudad","T","Pueblo","R","Rural","S","Suburbano","U","Urbano",""))</f>
        <v>Suburbano</v>
      </c>
      <c r="T27" t="str">
        <f t="shared" si="1"/>
        <v>M</v>
      </c>
      <c r="U27" t="str">
        <f t="shared" si="2"/>
        <v>TX</v>
      </c>
      <c r="V27" t="str">
        <f t="shared" si="3"/>
        <v>17606</v>
      </c>
    </row>
    <row r="28" spans="1:22" x14ac:dyDescent="0.35">
      <c r="A28" s="3">
        <v>95701</v>
      </c>
      <c r="B28" t="s">
        <v>16</v>
      </c>
      <c r="C28" t="s">
        <v>14</v>
      </c>
      <c r="D28">
        <v>1063</v>
      </c>
      <c r="E28">
        <v>255</v>
      </c>
      <c r="F28">
        <v>317</v>
      </c>
      <c r="G28">
        <v>3</v>
      </c>
      <c r="H28">
        <v>14023</v>
      </c>
      <c r="I28">
        <v>16</v>
      </c>
      <c r="J28">
        <v>53</v>
      </c>
      <c r="K28">
        <v>260</v>
      </c>
      <c r="L28">
        <v>312</v>
      </c>
      <c r="M28">
        <v>8.3727906979999993</v>
      </c>
      <c r="N28">
        <f>IFERROR(VLOOKUP(A28,vlookup_table!$A:$G,2,FALSE),"")</f>
        <v>1</v>
      </c>
      <c r="O28">
        <f>IFERROR(VLOOKUP(A28,vlookup_table!$A:$G,4,FALSE),"")</f>
        <v>4406</v>
      </c>
      <c r="P28" t="str">
        <f>IFERROR(VLOOKUP(A28,vlookup_table!$A:$G,5,FALSE),"")</f>
        <v>S2</v>
      </c>
      <c r="Q28">
        <f>IFERROR(VLOOKUP(A28,vlookup_table!$A:$G,7,FALSE),"")</f>
        <v>5</v>
      </c>
      <c r="R28" s="1">
        <f t="shared" si="0"/>
        <v>53</v>
      </c>
      <c r="S28" t="str" cm="1">
        <f t="array" ref="S28">IF(P28="","",_xlfn.SWITCH(LEFT(P28,1),"C","Ciudad","T","Pueblo","R","Rural","S","Suburbano","U","Urbano",""))</f>
        <v>Suburbano</v>
      </c>
      <c r="T28" t="str">
        <f t="shared" si="1"/>
        <v>M</v>
      </c>
      <c r="U28" t="str">
        <f t="shared" si="2"/>
        <v>IL</v>
      </c>
      <c r="V28" t="str">
        <f t="shared" si="3"/>
        <v>14023</v>
      </c>
    </row>
    <row r="29" spans="1:22" x14ac:dyDescent="0.35">
      <c r="A29" s="3">
        <v>5172</v>
      </c>
      <c r="B29" t="s">
        <v>16</v>
      </c>
      <c r="C29" t="s">
        <v>14</v>
      </c>
      <c r="D29">
        <v>291</v>
      </c>
      <c r="E29">
        <v>136</v>
      </c>
      <c r="F29">
        <v>212</v>
      </c>
      <c r="G29">
        <v>0</v>
      </c>
      <c r="H29">
        <v>8370</v>
      </c>
      <c r="I29">
        <v>5</v>
      </c>
      <c r="J29">
        <v>67</v>
      </c>
      <c r="K29">
        <v>168</v>
      </c>
      <c r="L29">
        <v>180</v>
      </c>
      <c r="M29">
        <v>10.61111111</v>
      </c>
      <c r="N29">
        <f>IFERROR(VLOOKUP(A29,vlookup_table!$A:$G,2,FALSE),"")</f>
        <v>1</v>
      </c>
      <c r="O29">
        <f>IFERROR(VLOOKUP(A29,vlookup_table!$A:$G,4,FALSE),"")</f>
        <v>6105</v>
      </c>
      <c r="P29" t="str">
        <f>IFERROR(VLOOKUP(A29,vlookup_table!$A:$G,5,FALSE),"")</f>
        <v>R3</v>
      </c>
      <c r="Q29">
        <f>IFERROR(VLOOKUP(A29,vlookup_table!$A:$G,7,FALSE),"")</f>
        <v>10</v>
      </c>
      <c r="R29" s="1">
        <f t="shared" si="0"/>
        <v>36</v>
      </c>
      <c r="S29" t="str" cm="1">
        <f t="array" ref="S29">IF(P29="","",_xlfn.SWITCH(LEFT(P29,1),"C","Ciudad","T","Pueblo","R","Rural","S","Suburbano","U","Urbano",""))</f>
        <v>Rural</v>
      </c>
      <c r="T29" t="str">
        <f t="shared" si="1"/>
        <v>M</v>
      </c>
      <c r="U29" t="str">
        <f t="shared" si="2"/>
        <v>IL</v>
      </c>
      <c r="V29" t="str">
        <f t="shared" si="3"/>
        <v>8370</v>
      </c>
    </row>
    <row r="30" spans="1:22" x14ac:dyDescent="0.35">
      <c r="A30" s="3">
        <v>152486</v>
      </c>
      <c r="B30" t="s">
        <v>22</v>
      </c>
      <c r="C30" t="s">
        <v>14</v>
      </c>
      <c r="D30">
        <v>1538</v>
      </c>
      <c r="E30">
        <v>271</v>
      </c>
      <c r="F30">
        <v>393</v>
      </c>
      <c r="G30">
        <v>11</v>
      </c>
      <c r="H30">
        <v>15627</v>
      </c>
      <c r="I30">
        <v>5</v>
      </c>
      <c r="J30">
        <v>49</v>
      </c>
      <c r="K30">
        <v>317</v>
      </c>
      <c r="L30">
        <v>342</v>
      </c>
      <c r="M30">
        <v>5.5</v>
      </c>
      <c r="N30">
        <f>IFERROR(VLOOKUP(A30,vlookup_table!$A:$G,2,FALSE),"")</f>
        <v>1</v>
      </c>
      <c r="O30">
        <f>IFERROR(VLOOKUP(A30,vlookup_table!$A:$G,4,FALSE),"")</f>
        <v>2401</v>
      </c>
      <c r="P30" t="str">
        <f>IFERROR(VLOOKUP(A30,vlookup_table!$A:$G,5,FALSE),"")</f>
        <v>S2</v>
      </c>
      <c r="Q30">
        <f>IFERROR(VLOOKUP(A30,vlookup_table!$A:$G,7,FALSE),"")</f>
        <v>5</v>
      </c>
      <c r="R30" s="1">
        <f t="shared" si="0"/>
        <v>73</v>
      </c>
      <c r="S30" t="str" cm="1">
        <f t="array" ref="S30">IF(P30="","",_xlfn.SWITCH(LEFT(P30,1),"C","Ciudad","T","Pueblo","R","Rural","S","Suburbano","U","Urbano",""))</f>
        <v>Suburbano</v>
      </c>
      <c r="T30" t="str">
        <f t="shared" si="1"/>
        <v>M</v>
      </c>
      <c r="U30" t="str">
        <f t="shared" si="2"/>
        <v>CA</v>
      </c>
      <c r="V30" t="str">
        <f t="shared" si="3"/>
        <v>15627</v>
      </c>
    </row>
    <row r="31" spans="1:22" x14ac:dyDescent="0.35">
      <c r="A31" s="3">
        <v>153880</v>
      </c>
      <c r="B31" t="s">
        <v>35</v>
      </c>
      <c r="C31" t="s">
        <v>17</v>
      </c>
      <c r="D31">
        <v>592</v>
      </c>
      <c r="E31">
        <v>244</v>
      </c>
      <c r="F31">
        <v>392</v>
      </c>
      <c r="G31">
        <v>1</v>
      </c>
      <c r="H31">
        <v>12220</v>
      </c>
      <c r="I31">
        <v>3</v>
      </c>
      <c r="J31">
        <v>74</v>
      </c>
      <c r="K31">
        <v>341</v>
      </c>
      <c r="L31">
        <v>306</v>
      </c>
      <c r="M31">
        <v>12.5</v>
      </c>
      <c r="N31">
        <f>IFERROR(VLOOKUP(A31,vlookup_table!$A:$G,2,FALSE),"")</f>
        <v>2</v>
      </c>
      <c r="O31">
        <f>IFERROR(VLOOKUP(A31,vlookup_table!$A:$G,4,FALSE),"")</f>
        <v>5001</v>
      </c>
      <c r="P31" t="str">
        <f>IFERROR(VLOOKUP(A31,vlookup_table!$A:$G,5,FALSE),"")</f>
        <v>S1</v>
      </c>
      <c r="Q31">
        <f>IFERROR(VLOOKUP(A31,vlookup_table!$A:$G,7,FALSE),"")</f>
        <v>5</v>
      </c>
      <c r="R31" s="1">
        <f t="shared" si="0"/>
        <v>47</v>
      </c>
      <c r="S31" t="str" cm="1">
        <f t="array" ref="S31">IF(P31="","",_xlfn.SWITCH(LEFT(P31,1),"C","Ciudad","T","Pueblo","R","Rural","S","Suburbano","U","Urbano",""))</f>
        <v>Suburbano</v>
      </c>
      <c r="T31" t="str">
        <f t="shared" si="1"/>
        <v>F</v>
      </c>
      <c r="U31" t="str">
        <f t="shared" si="2"/>
        <v>WI</v>
      </c>
      <c r="V31" t="str">
        <f t="shared" si="3"/>
        <v>12220</v>
      </c>
    </row>
    <row r="32" spans="1:22" x14ac:dyDescent="0.35">
      <c r="A32" s="3">
        <v>101855</v>
      </c>
      <c r="B32" t="s">
        <v>36</v>
      </c>
      <c r="C32" t="s">
        <v>14</v>
      </c>
      <c r="D32">
        <v>871</v>
      </c>
      <c r="E32">
        <v>340</v>
      </c>
      <c r="F32">
        <v>416</v>
      </c>
      <c r="G32">
        <v>6</v>
      </c>
      <c r="H32">
        <v>15336</v>
      </c>
      <c r="I32">
        <v>0</v>
      </c>
      <c r="J32">
        <v>71</v>
      </c>
      <c r="K32">
        <v>385</v>
      </c>
      <c r="L32">
        <v>365</v>
      </c>
      <c r="M32">
        <v>7.8571428570000004</v>
      </c>
      <c r="N32">
        <f>IFERROR(VLOOKUP(A32,vlookup_table!$A:$G,2,FALSE),"")</f>
        <v>1</v>
      </c>
      <c r="O32">
        <f>IFERROR(VLOOKUP(A32,vlookup_table!$A:$G,4,FALSE),"")</f>
        <v>2401</v>
      </c>
      <c r="P32" t="str">
        <f>IFERROR(VLOOKUP(A32,vlookup_table!$A:$G,5,FALSE),"")</f>
        <v>C2</v>
      </c>
      <c r="Q32">
        <f>IFERROR(VLOOKUP(A32,vlookup_table!$A:$G,7,FALSE),"")</f>
        <v>10</v>
      </c>
      <c r="R32" s="1">
        <f t="shared" si="0"/>
        <v>73</v>
      </c>
      <c r="S32" t="str" cm="1">
        <f t="array" ref="S32">IF(P32="","",_xlfn.SWITCH(LEFT(P32,1),"C","Ciudad","T","Pueblo","R","Rural","S","Suburbano","U","Urbano",""))</f>
        <v>Ciudad</v>
      </c>
      <c r="T32" t="str">
        <f t="shared" si="1"/>
        <v>M</v>
      </c>
      <c r="U32" t="str">
        <f t="shared" si="2"/>
        <v>MO</v>
      </c>
      <c r="V32" t="str">
        <f t="shared" si="3"/>
        <v>15336</v>
      </c>
    </row>
    <row r="33" spans="1:22" x14ac:dyDescent="0.35">
      <c r="A33" s="3">
        <v>62932</v>
      </c>
      <c r="B33" t="s">
        <v>33</v>
      </c>
      <c r="C33" t="s">
        <v>14</v>
      </c>
      <c r="D33">
        <v>403</v>
      </c>
      <c r="E33">
        <v>174</v>
      </c>
      <c r="F33">
        <v>264</v>
      </c>
      <c r="G33">
        <v>1</v>
      </c>
      <c r="H33">
        <v>9704</v>
      </c>
      <c r="I33">
        <v>0</v>
      </c>
      <c r="J33">
        <v>45</v>
      </c>
      <c r="K33">
        <v>240</v>
      </c>
      <c r="L33">
        <v>201</v>
      </c>
      <c r="M33">
        <v>8</v>
      </c>
      <c r="N33">
        <f>IFERROR(VLOOKUP(A33,vlookup_table!$A:$G,2,FALSE),"")</f>
        <v>1</v>
      </c>
      <c r="O33">
        <f>IFERROR(VLOOKUP(A33,vlookup_table!$A:$G,4,FALSE),"")</f>
        <v>0</v>
      </c>
      <c r="P33" t="str">
        <f>IFERROR(VLOOKUP(A33,vlookup_table!$A:$G,5,FALSE),"")</f>
        <v>S3</v>
      </c>
      <c r="Q33">
        <f>IFERROR(VLOOKUP(A33,vlookup_table!$A:$G,7,FALSE),"")</f>
        <v>10</v>
      </c>
      <c r="R33" s="1">
        <f t="shared" si="0"/>
        <v>97</v>
      </c>
      <c r="S33" t="str" cm="1">
        <f t="array" ref="S33">IF(P33="","",_xlfn.SWITCH(LEFT(P33,1),"C","Ciudad","T","Pueblo","R","Rural","S","Suburbano","U","Urbano",""))</f>
        <v>Suburbano</v>
      </c>
      <c r="T33" t="str">
        <f t="shared" si="1"/>
        <v>M</v>
      </c>
      <c r="U33" t="str">
        <f t="shared" si="2"/>
        <v>IN</v>
      </c>
      <c r="V33" t="str">
        <f t="shared" si="3"/>
        <v>9704</v>
      </c>
    </row>
    <row r="34" spans="1:22" x14ac:dyDescent="0.35">
      <c r="A34" s="3">
        <v>125930</v>
      </c>
      <c r="B34" t="s">
        <v>21</v>
      </c>
      <c r="C34" t="s">
        <v>17</v>
      </c>
      <c r="D34">
        <v>715</v>
      </c>
      <c r="E34">
        <v>339</v>
      </c>
      <c r="F34">
        <v>396</v>
      </c>
      <c r="G34">
        <v>1</v>
      </c>
      <c r="H34">
        <v>12617</v>
      </c>
      <c r="I34">
        <v>3</v>
      </c>
      <c r="J34">
        <v>88</v>
      </c>
      <c r="K34">
        <v>378</v>
      </c>
      <c r="L34">
        <v>371</v>
      </c>
      <c r="M34">
        <v>6</v>
      </c>
      <c r="N34">
        <f>IFERROR(VLOOKUP(A34,vlookup_table!$A:$G,2,FALSE),"")</f>
        <v>0</v>
      </c>
      <c r="O34">
        <f>IFERROR(VLOOKUP(A34,vlookup_table!$A:$G,4,FALSE),"")</f>
        <v>4806</v>
      </c>
      <c r="P34" t="str">
        <f>IFERROR(VLOOKUP(A34,vlookup_table!$A:$G,5,FALSE),"")</f>
        <v>R2</v>
      </c>
      <c r="Q34" t="str">
        <f>IFERROR(VLOOKUP(A34,vlookup_table!$A:$G,7,FALSE),"")</f>
        <v>7.5</v>
      </c>
      <c r="R34" s="1">
        <f t="shared" si="0"/>
        <v>49</v>
      </c>
      <c r="S34" t="str" cm="1">
        <f t="array" ref="S34">IF(P34="","",_xlfn.SWITCH(LEFT(P34,1),"C","Ciudad","T","Pueblo","R","Rural","S","Suburbano","U","Urbano",""))</f>
        <v>Rural</v>
      </c>
      <c r="T34" t="str">
        <f t="shared" si="1"/>
        <v>F</v>
      </c>
      <c r="U34" t="str">
        <f t="shared" si="2"/>
        <v>TX</v>
      </c>
      <c r="V34" t="str">
        <f t="shared" si="3"/>
        <v>12617</v>
      </c>
    </row>
    <row r="35" spans="1:22" x14ac:dyDescent="0.35">
      <c r="A35" s="3">
        <v>173653</v>
      </c>
      <c r="B35" t="s">
        <v>37</v>
      </c>
      <c r="C35" t="s">
        <v>17</v>
      </c>
      <c r="D35">
        <v>2346</v>
      </c>
      <c r="E35">
        <v>420</v>
      </c>
      <c r="F35">
        <v>503</v>
      </c>
      <c r="G35">
        <v>67</v>
      </c>
      <c r="H35">
        <v>14552</v>
      </c>
      <c r="I35">
        <v>5</v>
      </c>
      <c r="J35">
        <v>78</v>
      </c>
      <c r="K35">
        <v>446</v>
      </c>
      <c r="L35">
        <v>468</v>
      </c>
      <c r="M35">
        <v>15.5</v>
      </c>
      <c r="N35">
        <f>IFERROR(VLOOKUP(A35,vlookup_table!$A:$G,2,FALSE),"")</f>
        <v>28</v>
      </c>
      <c r="O35">
        <f>IFERROR(VLOOKUP(A35,vlookup_table!$A:$G,4,FALSE),"")</f>
        <v>2401</v>
      </c>
      <c r="P35" t="str">
        <f>IFERROR(VLOOKUP(A35,vlookup_table!$A:$G,5,FALSE),"")</f>
        <v>C2</v>
      </c>
      <c r="Q35">
        <f>IFERROR(VLOOKUP(A35,vlookup_table!$A:$G,7,FALSE),"")</f>
        <v>21</v>
      </c>
      <c r="R35" s="1">
        <f t="shared" si="0"/>
        <v>73</v>
      </c>
      <c r="S35" t="str" cm="1">
        <f t="array" ref="S35">IF(P35="","",_xlfn.SWITCH(LEFT(P35,1),"C","Ciudad","T","Pueblo","R","Rural","S","Suburbano","U","Urbano",""))</f>
        <v>Ciudad</v>
      </c>
      <c r="T35" t="str">
        <f t="shared" si="1"/>
        <v>F</v>
      </c>
      <c r="U35" t="str">
        <f t="shared" si="2"/>
        <v>HI</v>
      </c>
      <c r="V35" t="str">
        <f t="shared" si="3"/>
        <v>14552</v>
      </c>
    </row>
    <row r="36" spans="1:22" x14ac:dyDescent="0.35">
      <c r="A36" s="3">
        <v>11011</v>
      </c>
      <c r="B36" t="s">
        <v>13</v>
      </c>
      <c r="C36" t="s">
        <v>14</v>
      </c>
      <c r="D36">
        <v>559</v>
      </c>
      <c r="E36">
        <v>232</v>
      </c>
      <c r="F36">
        <v>269</v>
      </c>
      <c r="G36">
        <v>0</v>
      </c>
      <c r="H36">
        <v>10511</v>
      </c>
      <c r="I36">
        <v>11</v>
      </c>
      <c r="J36">
        <v>20</v>
      </c>
      <c r="K36">
        <v>270</v>
      </c>
      <c r="L36">
        <v>257</v>
      </c>
      <c r="M36">
        <v>12.61111111</v>
      </c>
      <c r="N36">
        <f>IFERROR(VLOOKUP(A36,vlookup_table!$A:$G,2,FALSE),"")</f>
        <v>1002</v>
      </c>
      <c r="O36">
        <f>IFERROR(VLOOKUP(A36,vlookup_table!$A:$G,4,FALSE),"")</f>
        <v>2601</v>
      </c>
      <c r="P36" t="str">
        <f>IFERROR(VLOOKUP(A36,vlookup_table!$A:$G,5,FALSE),"")</f>
        <v>S3</v>
      </c>
      <c r="Q36">
        <f>IFERROR(VLOOKUP(A36,vlookup_table!$A:$G,7,FALSE),"")</f>
        <v>20</v>
      </c>
      <c r="R36">
        <f t="shared" si="0"/>
        <v>71</v>
      </c>
      <c r="S36" t="str" cm="1">
        <f t="array" ref="S36">IF(P36="","",_xlfn.SWITCH(LEFT(P36,1),"C","Ciudad","T","Pueblo","R","Rural","S","Suburbano","U","Urbano",""))</f>
        <v>Suburbano</v>
      </c>
      <c r="T36" t="str">
        <f t="shared" si="1"/>
        <v>M</v>
      </c>
      <c r="U36" t="str">
        <f t="shared" si="2"/>
        <v>FL</v>
      </c>
      <c r="V36" t="str">
        <f t="shared" si="3"/>
        <v>10511</v>
      </c>
    </row>
    <row r="37" spans="1:22" x14ac:dyDescent="0.35">
      <c r="A37" s="3">
        <v>116894</v>
      </c>
      <c r="B37" t="s">
        <v>21</v>
      </c>
      <c r="C37" t="s">
        <v>14</v>
      </c>
      <c r="E37">
        <v>368</v>
      </c>
      <c r="F37">
        <v>531</v>
      </c>
      <c r="G37">
        <v>5</v>
      </c>
      <c r="H37">
        <v>33797</v>
      </c>
      <c r="I37">
        <v>2</v>
      </c>
      <c r="J37">
        <v>42</v>
      </c>
      <c r="K37">
        <v>457</v>
      </c>
      <c r="L37">
        <v>450</v>
      </c>
      <c r="M37">
        <v>12.25</v>
      </c>
      <c r="N37">
        <f>IFERROR(VLOOKUP(A37,vlookup_table!$A:$G,2,FALSE),"")</f>
        <v>1</v>
      </c>
      <c r="O37">
        <f>IFERROR(VLOOKUP(A37,vlookup_table!$A:$G,4,FALSE),"")</f>
        <v>2201</v>
      </c>
      <c r="P37" t="str">
        <f>IFERROR(VLOOKUP(A37,vlookup_table!$A:$G,5,FALSE),"")</f>
        <v>U1</v>
      </c>
      <c r="Q37">
        <f>IFERROR(VLOOKUP(A37,vlookup_table!$A:$G,7,FALSE),"")</f>
        <v>20</v>
      </c>
      <c r="R37">
        <f t="shared" si="0"/>
        <v>75</v>
      </c>
      <c r="S37" t="str" cm="1">
        <f t="array" ref="S37">IF(P37="","",_xlfn.SWITCH(LEFT(P37,1),"C","Ciudad","T","Pueblo","R","Rural","S","Suburbano","U","Urbano",""))</f>
        <v>Urbano</v>
      </c>
      <c r="T37" t="str">
        <f t="shared" si="1"/>
        <v>M</v>
      </c>
      <c r="U37" t="str">
        <f t="shared" si="2"/>
        <v>TX</v>
      </c>
      <c r="V37" t="str">
        <f t="shared" si="3"/>
        <v>33797</v>
      </c>
    </row>
    <row r="38" spans="1:22" x14ac:dyDescent="0.35">
      <c r="A38" s="3">
        <v>154245</v>
      </c>
      <c r="B38" t="s">
        <v>22</v>
      </c>
      <c r="C38" t="s">
        <v>17</v>
      </c>
      <c r="D38">
        <v>596</v>
      </c>
      <c r="E38">
        <v>164</v>
      </c>
      <c r="F38">
        <v>190</v>
      </c>
      <c r="G38">
        <v>0</v>
      </c>
      <c r="H38">
        <v>5273</v>
      </c>
      <c r="I38">
        <v>23</v>
      </c>
      <c r="J38">
        <v>57</v>
      </c>
      <c r="K38">
        <v>168</v>
      </c>
      <c r="L38">
        <v>181</v>
      </c>
      <c r="M38">
        <v>16.5</v>
      </c>
      <c r="N38">
        <f>IFERROR(VLOOKUP(A38,vlookup_table!$A:$G,2,FALSE),"")</f>
        <v>2</v>
      </c>
      <c r="O38">
        <f>IFERROR(VLOOKUP(A38,vlookup_table!$A:$G,4,FALSE),"")</f>
        <v>4304</v>
      </c>
      <c r="P38" t="str">
        <f>IFERROR(VLOOKUP(A38,vlookup_table!$A:$G,5,FALSE),"")</f>
        <v>R1</v>
      </c>
      <c r="Q38">
        <f>IFERROR(VLOOKUP(A38,vlookup_table!$A:$G,7,FALSE),"")</f>
        <v>15</v>
      </c>
      <c r="R38">
        <f t="shared" si="0"/>
        <v>54</v>
      </c>
      <c r="S38" t="str" cm="1">
        <f t="array" ref="S38">IF(P38="","",_xlfn.SWITCH(LEFT(P38,1),"C","Ciudad","T","Pueblo","R","Rural","S","Suburbano","U","Urbano",""))</f>
        <v>Rural</v>
      </c>
      <c r="T38" t="str">
        <f t="shared" si="1"/>
        <v>F</v>
      </c>
      <c r="U38" t="str">
        <f t="shared" si="2"/>
        <v>CA</v>
      </c>
      <c r="V38" t="str">
        <f t="shared" si="3"/>
        <v>5273</v>
      </c>
    </row>
    <row r="39" spans="1:22" x14ac:dyDescent="0.35">
      <c r="A39" s="3">
        <v>134773</v>
      </c>
      <c r="B39" t="s">
        <v>38</v>
      </c>
      <c r="C39" t="s">
        <v>14</v>
      </c>
      <c r="D39">
        <v>706</v>
      </c>
      <c r="E39">
        <v>362</v>
      </c>
      <c r="F39">
        <v>394</v>
      </c>
      <c r="G39">
        <v>1</v>
      </c>
      <c r="H39">
        <v>10420</v>
      </c>
      <c r="I39">
        <v>1</v>
      </c>
      <c r="J39">
        <v>82</v>
      </c>
      <c r="K39">
        <v>376</v>
      </c>
      <c r="L39">
        <v>379</v>
      </c>
      <c r="M39">
        <v>15</v>
      </c>
      <c r="N39">
        <f>IFERROR(VLOOKUP(A39,vlookup_table!$A:$G,2,FALSE),"")</f>
        <v>1</v>
      </c>
      <c r="O39">
        <f>IFERROR(VLOOKUP(A39,vlookup_table!$A:$G,4,FALSE),"")</f>
        <v>3201</v>
      </c>
      <c r="P39" t="str">
        <f>IFERROR(VLOOKUP(A39,vlookup_table!$A:$G,5,FALSE),"")</f>
        <v>C3</v>
      </c>
      <c r="Q39">
        <f>IFERROR(VLOOKUP(A39,vlookup_table!$A:$G,7,FALSE),"")</f>
        <v>25</v>
      </c>
      <c r="R39">
        <f t="shared" si="0"/>
        <v>65</v>
      </c>
      <c r="S39" t="str" cm="1">
        <f t="array" ref="S39">IF(P39="","",_xlfn.SWITCH(LEFT(P39,1),"C","Ciudad","T","Pueblo","R","Rural","S","Suburbano","U","Urbano",""))</f>
        <v>Ciudad</v>
      </c>
      <c r="T39" t="str">
        <f t="shared" si="1"/>
        <v>M</v>
      </c>
      <c r="U39" t="str">
        <f t="shared" si="2"/>
        <v>UT</v>
      </c>
      <c r="V39" t="str">
        <f t="shared" si="3"/>
        <v>10420</v>
      </c>
    </row>
    <row r="40" spans="1:22" x14ac:dyDescent="0.35">
      <c r="A40" s="3">
        <v>26271</v>
      </c>
      <c r="B40" t="s">
        <v>39</v>
      </c>
      <c r="C40" t="s">
        <v>17</v>
      </c>
      <c r="D40">
        <v>878</v>
      </c>
      <c r="E40">
        <v>310</v>
      </c>
      <c r="F40">
        <v>588</v>
      </c>
      <c r="G40">
        <v>30</v>
      </c>
      <c r="H40">
        <v>22281</v>
      </c>
      <c r="I40">
        <v>4</v>
      </c>
      <c r="J40">
        <v>55</v>
      </c>
      <c r="K40">
        <v>517</v>
      </c>
      <c r="L40">
        <v>433</v>
      </c>
      <c r="M40">
        <v>10.133333329999999</v>
      </c>
      <c r="N40">
        <f>IFERROR(VLOOKUP(A40,vlookup_table!$A:$G,2,FALSE),"")</f>
        <v>28</v>
      </c>
      <c r="O40">
        <f>IFERROR(VLOOKUP(A40,vlookup_table!$A:$G,4,FALSE),"")</f>
        <v>3701</v>
      </c>
      <c r="P40" t="str">
        <f>IFERROR(VLOOKUP(A40,vlookup_table!$A:$G,5,FALSE),"")</f>
        <v>C2</v>
      </c>
      <c r="Q40">
        <f>IFERROR(VLOOKUP(A40,vlookup_table!$A:$G,7,FALSE),"")</f>
        <v>16</v>
      </c>
      <c r="R40">
        <f t="shared" si="0"/>
        <v>60</v>
      </c>
      <c r="S40" t="str" cm="1">
        <f t="array" ref="S40">IF(P40="","",_xlfn.SWITCH(LEFT(P40,1),"C","Ciudad","T","Pueblo","R","Rural","S","Suburbano","U","Urbano",""))</f>
        <v>Ciudad</v>
      </c>
      <c r="T40" t="str">
        <f t="shared" si="1"/>
        <v>F</v>
      </c>
      <c r="U40" t="str">
        <f t="shared" si="2"/>
        <v>GA</v>
      </c>
      <c r="V40" t="str">
        <f t="shared" si="3"/>
        <v>22281</v>
      </c>
    </row>
    <row r="41" spans="1:22" x14ac:dyDescent="0.35">
      <c r="A41" s="3">
        <v>180292</v>
      </c>
      <c r="B41" t="s">
        <v>40</v>
      </c>
      <c r="C41" t="s">
        <v>17</v>
      </c>
      <c r="D41">
        <v>1275</v>
      </c>
      <c r="E41">
        <v>405</v>
      </c>
      <c r="F41">
        <v>545</v>
      </c>
      <c r="G41">
        <v>21</v>
      </c>
      <c r="H41">
        <v>20971</v>
      </c>
      <c r="I41">
        <v>6</v>
      </c>
      <c r="J41">
        <v>51</v>
      </c>
      <c r="K41">
        <v>453</v>
      </c>
      <c r="L41">
        <v>500</v>
      </c>
      <c r="M41">
        <v>6.6</v>
      </c>
      <c r="N41">
        <f>IFERROR(VLOOKUP(A41,vlookup_table!$A:$G,2,FALSE),"")</f>
        <v>28</v>
      </c>
      <c r="O41">
        <f>IFERROR(VLOOKUP(A41,vlookup_table!$A:$G,4,FALSE),"")</f>
        <v>2105</v>
      </c>
      <c r="P41" t="str">
        <f>IFERROR(VLOOKUP(A41,vlookup_table!$A:$G,5,FALSE),"")</f>
        <v>C2</v>
      </c>
      <c r="Q41">
        <f>IFERROR(VLOOKUP(A41,vlookup_table!$A:$G,7,FALSE),"")</f>
        <v>10</v>
      </c>
      <c r="R41">
        <f t="shared" si="0"/>
        <v>76</v>
      </c>
      <c r="S41" t="str" cm="1">
        <f t="array" ref="S41">IF(P41="","",_xlfn.SWITCH(LEFT(P41,1),"C","Ciudad","T","Pueblo","R","Rural","S","Suburbano","U","Urbano",""))</f>
        <v>Ciudad</v>
      </c>
      <c r="T41" t="str">
        <f t="shared" si="1"/>
        <v>F</v>
      </c>
      <c r="U41" t="str">
        <f t="shared" si="2"/>
        <v>WA</v>
      </c>
      <c r="V41" t="str">
        <f t="shared" si="3"/>
        <v>20971</v>
      </c>
    </row>
    <row r="42" spans="1:22" x14ac:dyDescent="0.35">
      <c r="A42" s="3">
        <v>10145</v>
      </c>
      <c r="B42" t="s">
        <v>22</v>
      </c>
      <c r="C42" t="s">
        <v>17</v>
      </c>
      <c r="D42">
        <v>2362</v>
      </c>
      <c r="E42">
        <v>613</v>
      </c>
      <c r="F42">
        <v>678</v>
      </c>
      <c r="G42">
        <v>74</v>
      </c>
      <c r="H42">
        <v>21179</v>
      </c>
      <c r="I42">
        <v>9</v>
      </c>
      <c r="J42">
        <v>61</v>
      </c>
      <c r="K42">
        <v>632</v>
      </c>
      <c r="L42">
        <v>655</v>
      </c>
      <c r="M42">
        <v>8.9285714289999998</v>
      </c>
      <c r="N42">
        <f>IFERROR(VLOOKUP(A42,vlookup_table!$A:$G,2,FALSE),"")</f>
        <v>2</v>
      </c>
      <c r="O42">
        <f>IFERROR(VLOOKUP(A42,vlookup_table!$A:$G,4,FALSE),"")</f>
        <v>5401</v>
      </c>
      <c r="P42" t="str">
        <f>IFERROR(VLOOKUP(A42,vlookup_table!$A:$G,5,FALSE),"")</f>
        <v>C1</v>
      </c>
      <c r="Q42">
        <f>IFERROR(VLOOKUP(A42,vlookup_table!$A:$G,7,FALSE),"")</f>
        <v>5</v>
      </c>
      <c r="R42">
        <f t="shared" si="0"/>
        <v>43</v>
      </c>
      <c r="S42" t="str" cm="1">
        <f t="array" ref="S42">IF(P42="","",_xlfn.SWITCH(LEFT(P42,1),"C","Ciudad","T","Pueblo","R","Rural","S","Suburbano","U","Urbano",""))</f>
        <v>Ciudad</v>
      </c>
      <c r="T42" t="str">
        <f t="shared" si="1"/>
        <v>F</v>
      </c>
      <c r="U42" t="str">
        <f t="shared" si="2"/>
        <v>CA</v>
      </c>
      <c r="V42" t="str">
        <f t="shared" si="3"/>
        <v>21179</v>
      </c>
    </row>
    <row r="43" spans="1:22" x14ac:dyDescent="0.35">
      <c r="A43" s="3">
        <v>133806</v>
      </c>
      <c r="B43" t="s">
        <v>41</v>
      </c>
      <c r="C43" t="s">
        <v>30</v>
      </c>
      <c r="D43">
        <v>718</v>
      </c>
      <c r="E43">
        <v>226</v>
      </c>
      <c r="F43">
        <v>357</v>
      </c>
      <c r="G43">
        <v>0</v>
      </c>
      <c r="H43">
        <v>17292</v>
      </c>
      <c r="I43">
        <v>0</v>
      </c>
      <c r="J43">
        <v>39</v>
      </c>
      <c r="K43">
        <v>280</v>
      </c>
      <c r="L43">
        <v>278</v>
      </c>
      <c r="M43">
        <v>20</v>
      </c>
      <c r="N43">
        <f>IFERROR(VLOOKUP(A43,vlookup_table!$A:$G,2,FALSE),"")</f>
        <v>0</v>
      </c>
      <c r="O43">
        <f>IFERROR(VLOOKUP(A43,vlookup_table!$A:$G,4,FALSE),"")</f>
        <v>0</v>
      </c>
      <c r="P43" t="str">
        <f>IFERROR(VLOOKUP(A43,vlookup_table!$A:$G,5,FALSE),"")</f>
        <v>T2</v>
      </c>
      <c r="Q43">
        <f>IFERROR(VLOOKUP(A43,vlookup_table!$A:$G,7,FALSE),"")</f>
        <v>15</v>
      </c>
      <c r="R43">
        <f t="shared" si="0"/>
        <v>97</v>
      </c>
      <c r="S43" t="str" cm="1">
        <f t="array" ref="S43">IF(P43="","",_xlfn.SWITCH(LEFT(P43,1),"C","Ciudad","T","Pueblo","R","Rural","S","Suburbano","U","Urbano",""))</f>
        <v>Pueblo</v>
      </c>
      <c r="T43" t="str">
        <f t="shared" si="1"/>
        <v>U</v>
      </c>
      <c r="U43" t="str">
        <f t="shared" si="2"/>
        <v>ID</v>
      </c>
      <c r="V43" t="str">
        <f t="shared" si="3"/>
        <v>17292</v>
      </c>
    </row>
    <row r="44" spans="1:22" x14ac:dyDescent="0.35">
      <c r="A44" s="3">
        <v>112632</v>
      </c>
      <c r="B44" t="s">
        <v>42</v>
      </c>
      <c r="C44" t="s">
        <v>14</v>
      </c>
      <c r="D44">
        <v>2531</v>
      </c>
      <c r="E44">
        <v>669</v>
      </c>
      <c r="F44">
        <v>750</v>
      </c>
      <c r="G44">
        <v>77</v>
      </c>
      <c r="H44">
        <v>21094</v>
      </c>
      <c r="I44">
        <v>6</v>
      </c>
      <c r="J44">
        <v>51</v>
      </c>
      <c r="K44">
        <v>730</v>
      </c>
      <c r="L44">
        <v>696</v>
      </c>
      <c r="M44">
        <v>8.2727272729999992</v>
      </c>
      <c r="N44">
        <f>IFERROR(VLOOKUP(A44,vlookup_table!$A:$G,2,FALSE),"")</f>
        <v>2</v>
      </c>
      <c r="O44">
        <f>IFERROR(VLOOKUP(A44,vlookup_table!$A:$G,4,FALSE),"")</f>
        <v>5001</v>
      </c>
      <c r="P44">
        <f>IFERROR(VLOOKUP(A44,vlookup_table!$A:$G,5,FALSE),"")</f>
        <v>0</v>
      </c>
      <c r="Q44">
        <f>IFERROR(VLOOKUP(A44,vlookup_table!$A:$G,7,FALSE),"")</f>
        <v>11</v>
      </c>
      <c r="R44">
        <f t="shared" si="0"/>
        <v>47</v>
      </c>
      <c r="S44" t="str" cm="1">
        <f t="array" ref="S44">IF(P44="","",_xlfn.SWITCH(LEFT(P44,1),"C","Ciudad","T","Pueblo","R","Rural","S","Suburbano","U","Urbano",""))</f>
        <v/>
      </c>
      <c r="T44" t="str">
        <f t="shared" si="1"/>
        <v>M</v>
      </c>
      <c r="U44" t="str">
        <f t="shared" si="2"/>
        <v>CT</v>
      </c>
      <c r="V44" t="str">
        <f t="shared" si="3"/>
        <v>21094</v>
      </c>
    </row>
    <row r="45" spans="1:22" x14ac:dyDescent="0.35">
      <c r="A45" s="3">
        <v>143253</v>
      </c>
      <c r="B45" t="s">
        <v>22</v>
      </c>
      <c r="C45" t="s">
        <v>17</v>
      </c>
      <c r="D45">
        <v>2089</v>
      </c>
      <c r="E45">
        <v>275</v>
      </c>
      <c r="F45">
        <v>356</v>
      </c>
      <c r="G45">
        <v>56</v>
      </c>
      <c r="H45">
        <v>10484</v>
      </c>
      <c r="I45">
        <v>53</v>
      </c>
      <c r="J45">
        <v>36</v>
      </c>
      <c r="K45">
        <v>296</v>
      </c>
      <c r="L45">
        <v>322</v>
      </c>
      <c r="M45">
        <v>7.125</v>
      </c>
      <c r="N45">
        <f>IFERROR(VLOOKUP(A45,vlookup_table!$A:$G,2,FALSE),"")</f>
        <v>0</v>
      </c>
      <c r="O45">
        <f>IFERROR(VLOOKUP(A45,vlookup_table!$A:$G,4,FALSE),"")</f>
        <v>2101</v>
      </c>
      <c r="P45" t="str">
        <f>IFERROR(VLOOKUP(A45,vlookup_table!$A:$G,5,FALSE),"")</f>
        <v>U3</v>
      </c>
      <c r="Q45">
        <f>IFERROR(VLOOKUP(A45,vlookup_table!$A:$G,7,FALSE),"")</f>
        <v>5</v>
      </c>
      <c r="R45">
        <f t="shared" si="0"/>
        <v>76</v>
      </c>
      <c r="S45" t="str" cm="1">
        <f t="array" ref="S45">IF(P45="","",_xlfn.SWITCH(LEFT(P45,1),"C","Ciudad","T","Pueblo","R","Rural","S","Suburbano","U","Urbano",""))</f>
        <v>Urbano</v>
      </c>
      <c r="T45" t="str">
        <f t="shared" si="1"/>
        <v>F</v>
      </c>
      <c r="U45" t="str">
        <f t="shared" si="2"/>
        <v>CA</v>
      </c>
      <c r="V45" t="str">
        <f t="shared" si="3"/>
        <v>10484</v>
      </c>
    </row>
    <row r="46" spans="1:22" x14ac:dyDescent="0.35">
      <c r="A46" s="3">
        <v>403</v>
      </c>
      <c r="B46" t="s">
        <v>43</v>
      </c>
      <c r="C46" t="s">
        <v>44</v>
      </c>
      <c r="D46">
        <v>765</v>
      </c>
      <c r="E46">
        <v>408</v>
      </c>
      <c r="F46">
        <v>472</v>
      </c>
      <c r="G46">
        <v>1</v>
      </c>
      <c r="H46">
        <v>15150</v>
      </c>
      <c r="I46">
        <v>1</v>
      </c>
      <c r="J46">
        <v>68</v>
      </c>
      <c r="K46">
        <v>430</v>
      </c>
      <c r="L46">
        <v>441</v>
      </c>
      <c r="M46">
        <v>33.5</v>
      </c>
      <c r="N46">
        <f>IFERROR(VLOOKUP(A46,vlookup_table!$A:$G,2,FALSE),"")</f>
        <v>0</v>
      </c>
      <c r="O46">
        <f>IFERROR(VLOOKUP(A46,vlookup_table!$A:$G,4,FALSE),"")</f>
        <v>3901</v>
      </c>
      <c r="P46">
        <f>IFERROR(VLOOKUP(A46,vlookup_table!$A:$G,5,FALSE),"")</f>
        <v>0</v>
      </c>
      <c r="Q46">
        <f>IFERROR(VLOOKUP(A46,vlookup_table!$A:$G,7,FALSE),"")</f>
        <v>35</v>
      </c>
      <c r="R46">
        <f t="shared" si="0"/>
        <v>58</v>
      </c>
      <c r="S46" t="str" cm="1">
        <f t="array" ref="S46">IF(P46="","",_xlfn.SWITCH(LEFT(P46,1),"C","Ciudad","T","Pueblo","R","Rural","S","Suburbano","U","Urbano",""))</f>
        <v/>
      </c>
      <c r="T46" t="str">
        <f t="shared" si="1"/>
        <v>J</v>
      </c>
      <c r="U46" t="str">
        <f t="shared" si="2"/>
        <v>AL</v>
      </c>
      <c r="V46" t="str">
        <f t="shared" si="3"/>
        <v>15150</v>
      </c>
    </row>
    <row r="47" spans="1:22" x14ac:dyDescent="0.35">
      <c r="A47" s="3">
        <v>189882</v>
      </c>
      <c r="B47" t="s">
        <v>45</v>
      </c>
      <c r="C47" t="s">
        <v>17</v>
      </c>
      <c r="D47">
        <v>832</v>
      </c>
      <c r="E47">
        <v>310</v>
      </c>
      <c r="F47">
        <v>376</v>
      </c>
      <c r="G47">
        <v>0</v>
      </c>
      <c r="H47">
        <v>11972</v>
      </c>
      <c r="I47">
        <v>1</v>
      </c>
      <c r="J47">
        <v>85</v>
      </c>
      <c r="K47">
        <v>338</v>
      </c>
      <c r="L47">
        <v>348</v>
      </c>
      <c r="M47">
        <v>10</v>
      </c>
      <c r="N47">
        <f>IFERROR(VLOOKUP(A47,vlookup_table!$A:$G,2,FALSE),"")</f>
        <v>0</v>
      </c>
      <c r="O47">
        <f>IFERROR(VLOOKUP(A47,vlookup_table!$A:$G,4,FALSE),"")</f>
        <v>4201</v>
      </c>
      <c r="P47" t="str">
        <f>IFERROR(VLOOKUP(A47,vlookup_table!$A:$G,5,FALSE),"")</f>
        <v>C2</v>
      </c>
      <c r="Q47">
        <f>IFERROR(VLOOKUP(A47,vlookup_table!$A:$G,7,FALSE),"")</f>
        <v>10</v>
      </c>
      <c r="R47">
        <f t="shared" si="0"/>
        <v>55</v>
      </c>
      <c r="S47" t="str" cm="1">
        <f t="array" ref="S47">IF(P47="","",_xlfn.SWITCH(LEFT(P47,1),"C","Ciudad","T","Pueblo","R","Rural","S","Suburbano","U","Urbano",""))</f>
        <v>Ciudad</v>
      </c>
      <c r="T47" t="str">
        <f t="shared" si="1"/>
        <v>F</v>
      </c>
      <c r="U47" t="str">
        <f t="shared" si="2"/>
        <v>ND</v>
      </c>
      <c r="V47" t="str">
        <f t="shared" si="3"/>
        <v>11972</v>
      </c>
    </row>
    <row r="48" spans="1:22" x14ac:dyDescent="0.35">
      <c r="A48" s="3">
        <v>119570</v>
      </c>
      <c r="B48" t="s">
        <v>21</v>
      </c>
      <c r="C48" t="s">
        <v>14</v>
      </c>
      <c r="D48">
        <v>1458</v>
      </c>
      <c r="E48">
        <v>299</v>
      </c>
      <c r="F48">
        <v>446</v>
      </c>
      <c r="G48">
        <v>8</v>
      </c>
      <c r="H48">
        <v>19185</v>
      </c>
      <c r="I48">
        <v>4</v>
      </c>
      <c r="J48">
        <v>56</v>
      </c>
      <c r="K48">
        <v>354</v>
      </c>
      <c r="L48">
        <v>356</v>
      </c>
      <c r="M48">
        <v>6.1818181819999998</v>
      </c>
      <c r="N48">
        <f>IFERROR(VLOOKUP(A48,vlookup_table!$A:$G,2,FALSE),"")</f>
        <v>1</v>
      </c>
      <c r="O48">
        <f>IFERROR(VLOOKUP(A48,vlookup_table!$A:$G,4,FALSE),"")</f>
        <v>5201</v>
      </c>
      <c r="P48" t="str">
        <f>IFERROR(VLOOKUP(A48,vlookup_table!$A:$G,5,FALSE),"")</f>
        <v>S1</v>
      </c>
      <c r="Q48">
        <f>IFERROR(VLOOKUP(A48,vlookup_table!$A:$G,7,FALSE),"")</f>
        <v>10</v>
      </c>
      <c r="R48">
        <f t="shared" si="0"/>
        <v>45</v>
      </c>
      <c r="S48" t="str" cm="1">
        <f t="array" ref="S48">IF(P48="","",_xlfn.SWITCH(LEFT(P48,1),"C","Ciudad","T","Pueblo","R","Rural","S","Suburbano","U","Urbano",""))</f>
        <v>Suburbano</v>
      </c>
      <c r="T48" t="str">
        <f t="shared" si="1"/>
        <v>M</v>
      </c>
      <c r="U48" t="str">
        <f t="shared" si="2"/>
        <v>TX</v>
      </c>
      <c r="V48" t="str">
        <f t="shared" si="3"/>
        <v>19185</v>
      </c>
    </row>
    <row r="49" spans="1:22" x14ac:dyDescent="0.35">
      <c r="A49" s="3">
        <v>144021</v>
      </c>
      <c r="B49" t="s">
        <v>22</v>
      </c>
      <c r="C49" t="s">
        <v>17</v>
      </c>
      <c r="D49">
        <v>1590</v>
      </c>
      <c r="E49">
        <v>240</v>
      </c>
      <c r="F49">
        <v>257</v>
      </c>
      <c r="G49">
        <v>25</v>
      </c>
      <c r="H49">
        <v>7559</v>
      </c>
      <c r="I49">
        <v>57</v>
      </c>
      <c r="J49">
        <v>34</v>
      </c>
      <c r="K49">
        <v>238</v>
      </c>
      <c r="L49">
        <v>262</v>
      </c>
      <c r="M49">
        <v>13.5</v>
      </c>
      <c r="N49">
        <f>IFERROR(VLOOKUP(A49,vlookup_table!$A:$G,2,FALSE),"")</f>
        <v>0</v>
      </c>
      <c r="O49">
        <f>IFERROR(VLOOKUP(A49,vlookup_table!$A:$G,4,FALSE),"")</f>
        <v>4903</v>
      </c>
      <c r="P49" t="str">
        <f>IFERROR(VLOOKUP(A49,vlookup_table!$A:$G,5,FALSE),"")</f>
        <v>U4</v>
      </c>
      <c r="Q49">
        <f>IFERROR(VLOOKUP(A49,vlookup_table!$A:$G,7,FALSE),"")</f>
        <v>15</v>
      </c>
      <c r="R49">
        <f t="shared" si="0"/>
        <v>48</v>
      </c>
      <c r="S49" t="str" cm="1">
        <f t="array" ref="S49">IF(P49="","",_xlfn.SWITCH(LEFT(P49,1),"C","Ciudad","T","Pueblo","R","Rural","S","Suburbano","U","Urbano",""))</f>
        <v>Urbano</v>
      </c>
      <c r="T49" t="str">
        <f t="shared" si="1"/>
        <v>F</v>
      </c>
      <c r="U49" t="str">
        <f t="shared" si="2"/>
        <v>CA</v>
      </c>
      <c r="V49" t="str">
        <f t="shared" si="3"/>
        <v>7559</v>
      </c>
    </row>
    <row r="50" spans="1:22" x14ac:dyDescent="0.35">
      <c r="A50" s="3">
        <v>93356</v>
      </c>
      <c r="B50" t="s">
        <v>16</v>
      </c>
      <c r="C50" t="s">
        <v>17</v>
      </c>
      <c r="D50">
        <v>613</v>
      </c>
      <c r="E50">
        <v>212</v>
      </c>
      <c r="F50">
        <v>355</v>
      </c>
      <c r="G50">
        <v>0</v>
      </c>
      <c r="H50">
        <v>11792</v>
      </c>
      <c r="I50">
        <v>1</v>
      </c>
      <c r="J50">
        <v>60</v>
      </c>
      <c r="K50">
        <v>245</v>
      </c>
      <c r="L50">
        <v>294</v>
      </c>
      <c r="M50">
        <v>11.83333333</v>
      </c>
      <c r="N50">
        <f>IFERROR(VLOOKUP(A50,vlookup_table!$A:$G,2,FALSE),"")</f>
        <v>0</v>
      </c>
      <c r="O50">
        <f>IFERROR(VLOOKUP(A50,vlookup_table!$A:$G,4,FALSE),"")</f>
        <v>3705</v>
      </c>
      <c r="P50" t="str">
        <f>IFERROR(VLOOKUP(A50,vlookup_table!$A:$G,5,FALSE),"")</f>
        <v>U2</v>
      </c>
      <c r="Q50">
        <f>IFERROR(VLOOKUP(A50,vlookup_table!$A:$G,7,FALSE),"")</f>
        <v>25</v>
      </c>
      <c r="R50">
        <f t="shared" si="0"/>
        <v>60</v>
      </c>
      <c r="S50" t="str" cm="1">
        <f t="array" ref="S50">IF(P50="","",_xlfn.SWITCH(LEFT(P50,1),"C","Ciudad","T","Pueblo","R","Rural","S","Suburbano","U","Urbano",""))</f>
        <v>Urbano</v>
      </c>
      <c r="T50" t="str">
        <f t="shared" si="1"/>
        <v>F</v>
      </c>
      <c r="U50" t="str">
        <f t="shared" si="2"/>
        <v>IL</v>
      </c>
      <c r="V50" t="str">
        <f t="shared" si="3"/>
        <v>11792</v>
      </c>
    </row>
    <row r="51" spans="1:22" x14ac:dyDescent="0.35">
      <c r="A51" s="3">
        <v>24711</v>
      </c>
      <c r="B51" t="s">
        <v>46</v>
      </c>
      <c r="C51" t="s">
        <v>17</v>
      </c>
      <c r="D51">
        <v>477</v>
      </c>
      <c r="E51">
        <v>256</v>
      </c>
      <c r="F51">
        <v>316</v>
      </c>
      <c r="G51">
        <v>0</v>
      </c>
      <c r="H51">
        <v>10621</v>
      </c>
      <c r="I51">
        <v>1</v>
      </c>
      <c r="J51">
        <v>80</v>
      </c>
      <c r="K51">
        <v>282</v>
      </c>
      <c r="L51">
        <v>292</v>
      </c>
      <c r="M51">
        <v>5.875</v>
      </c>
      <c r="N51">
        <f>IFERROR(VLOOKUP(A51,vlookup_table!$A:$G,2,FALSE),"")</f>
        <v>0</v>
      </c>
      <c r="O51">
        <f>IFERROR(VLOOKUP(A51,vlookup_table!$A:$G,4,FALSE),"")</f>
        <v>0</v>
      </c>
      <c r="P51" t="str">
        <f>IFERROR(VLOOKUP(A51,vlookup_table!$A:$G,5,FALSE),"")</f>
        <v>T2</v>
      </c>
      <c r="Q51">
        <f>IFERROR(VLOOKUP(A51,vlookup_table!$A:$G,7,FALSE),"")</f>
        <v>10</v>
      </c>
      <c r="R51">
        <f t="shared" si="0"/>
        <v>97</v>
      </c>
      <c r="S51" t="str" cm="1">
        <f t="array" ref="S51">IF(P51="","",_xlfn.SWITCH(LEFT(P51,1),"C","Ciudad","T","Pueblo","R","Rural","S","Suburbano","U","Urbano",""))</f>
        <v>Pueblo</v>
      </c>
      <c r="T51" t="str">
        <f t="shared" si="1"/>
        <v>F</v>
      </c>
      <c r="U51" t="str">
        <f t="shared" si="2"/>
        <v>SC</v>
      </c>
      <c r="V51" t="str">
        <f t="shared" si="3"/>
        <v>10621</v>
      </c>
    </row>
    <row r="52" spans="1:22" x14ac:dyDescent="0.35">
      <c r="A52" s="3">
        <v>74914</v>
      </c>
      <c r="B52" t="s">
        <v>47</v>
      </c>
      <c r="C52" t="s">
        <v>17</v>
      </c>
      <c r="D52">
        <v>424</v>
      </c>
      <c r="E52">
        <v>192</v>
      </c>
      <c r="F52">
        <v>256</v>
      </c>
      <c r="G52">
        <v>0</v>
      </c>
      <c r="H52">
        <v>9497</v>
      </c>
      <c r="I52">
        <v>1</v>
      </c>
      <c r="J52">
        <v>78</v>
      </c>
      <c r="K52">
        <v>256</v>
      </c>
      <c r="L52">
        <v>230</v>
      </c>
      <c r="M52">
        <v>4.8636363640000004</v>
      </c>
      <c r="N52">
        <f>IFERROR(VLOOKUP(A52,vlookup_table!$A:$G,2,FALSE),"")</f>
        <v>0</v>
      </c>
      <c r="O52">
        <f>IFERROR(VLOOKUP(A52,vlookup_table!$A:$G,4,FALSE),"")</f>
        <v>1501</v>
      </c>
      <c r="P52" t="str">
        <f>IFERROR(VLOOKUP(A52,vlookup_table!$A:$G,5,FALSE),"")</f>
        <v>T2</v>
      </c>
      <c r="Q52">
        <f>IFERROR(VLOOKUP(A52,vlookup_table!$A:$G,7,FALSE),"")</f>
        <v>6</v>
      </c>
      <c r="R52">
        <f t="shared" si="0"/>
        <v>82</v>
      </c>
      <c r="S52" t="str" cm="1">
        <f t="array" ref="S52">IF(P52="","",_xlfn.SWITCH(LEFT(P52,1),"C","Ciudad","T","Pueblo","R","Rural","S","Suburbano","U","Urbano",""))</f>
        <v>Pueblo</v>
      </c>
      <c r="T52" t="str">
        <f t="shared" si="1"/>
        <v>F</v>
      </c>
      <c r="U52" t="str">
        <f t="shared" si="2"/>
        <v>IA</v>
      </c>
      <c r="V52" t="str">
        <f t="shared" si="3"/>
        <v>9497</v>
      </c>
    </row>
    <row r="53" spans="1:22" x14ac:dyDescent="0.35">
      <c r="A53" s="3">
        <v>6909</v>
      </c>
      <c r="B53" t="s">
        <v>48</v>
      </c>
      <c r="C53" t="s">
        <v>14</v>
      </c>
      <c r="D53">
        <v>383</v>
      </c>
      <c r="E53">
        <v>252</v>
      </c>
      <c r="F53">
        <v>380</v>
      </c>
      <c r="G53">
        <v>0</v>
      </c>
      <c r="H53">
        <v>14045</v>
      </c>
      <c r="I53">
        <v>0</v>
      </c>
      <c r="J53">
        <v>78</v>
      </c>
      <c r="K53">
        <v>256</v>
      </c>
      <c r="L53">
        <v>359</v>
      </c>
      <c r="M53">
        <v>13.823529410000001</v>
      </c>
      <c r="N53">
        <f>IFERROR(VLOOKUP(A53,vlookup_table!$A:$G,2,FALSE),"")</f>
        <v>1</v>
      </c>
      <c r="O53">
        <f>IFERROR(VLOOKUP(A53,vlookup_table!$A:$G,4,FALSE),"")</f>
        <v>2801</v>
      </c>
      <c r="P53" t="str">
        <f>IFERROR(VLOOKUP(A53,vlookup_table!$A:$G,5,FALSE),"")</f>
        <v>R3</v>
      </c>
      <c r="Q53">
        <f>IFERROR(VLOOKUP(A53,vlookup_table!$A:$G,7,FALSE),"")</f>
        <v>15</v>
      </c>
      <c r="R53">
        <f t="shared" si="0"/>
        <v>69</v>
      </c>
      <c r="S53" t="str" cm="1">
        <f t="array" ref="S53">IF(P53="","",_xlfn.SWITCH(LEFT(P53,1),"C","Ciudad","T","Pueblo","R","Rural","S","Suburbano","U","Urbano",""))</f>
        <v>Rural</v>
      </c>
      <c r="T53" t="str">
        <f t="shared" si="1"/>
        <v>M</v>
      </c>
      <c r="U53" t="str">
        <f t="shared" si="2"/>
        <v>CO</v>
      </c>
      <c r="V53" t="str">
        <f t="shared" si="3"/>
        <v>14045</v>
      </c>
    </row>
    <row r="54" spans="1:22" x14ac:dyDescent="0.35">
      <c r="A54" s="3">
        <v>124543</v>
      </c>
      <c r="B54" t="s">
        <v>21</v>
      </c>
      <c r="C54" t="s">
        <v>14</v>
      </c>
      <c r="D54">
        <v>688</v>
      </c>
      <c r="E54">
        <v>422</v>
      </c>
      <c r="F54">
        <v>490</v>
      </c>
      <c r="G54">
        <v>0</v>
      </c>
      <c r="H54">
        <v>16561</v>
      </c>
      <c r="I54">
        <v>0</v>
      </c>
      <c r="J54">
        <v>84</v>
      </c>
      <c r="K54">
        <v>466</v>
      </c>
      <c r="L54">
        <v>457</v>
      </c>
      <c r="M54">
        <v>11.06666667</v>
      </c>
      <c r="N54">
        <f>IFERROR(VLOOKUP(A54,vlookup_table!$A:$G,2,FALSE),"")</f>
        <v>1002</v>
      </c>
      <c r="O54">
        <f>IFERROR(VLOOKUP(A54,vlookup_table!$A:$G,4,FALSE),"")</f>
        <v>5811</v>
      </c>
      <c r="P54" t="str">
        <f>IFERROR(VLOOKUP(A54,vlookup_table!$A:$G,5,FALSE),"")</f>
        <v>T1</v>
      </c>
      <c r="Q54">
        <f>IFERROR(VLOOKUP(A54,vlookup_table!$A:$G,7,FALSE),"")</f>
        <v>18</v>
      </c>
      <c r="R54">
        <f t="shared" si="0"/>
        <v>39</v>
      </c>
      <c r="S54" t="str" cm="1">
        <f t="array" ref="S54">IF(P54="","",_xlfn.SWITCH(LEFT(P54,1),"C","Ciudad","T","Pueblo","R","Rural","S","Suburbano","U","Urbano",""))</f>
        <v>Pueblo</v>
      </c>
      <c r="T54" t="str">
        <f t="shared" si="1"/>
        <v>M</v>
      </c>
      <c r="U54" t="str">
        <f t="shared" si="2"/>
        <v>TX</v>
      </c>
      <c r="V54" t="str">
        <f t="shared" si="3"/>
        <v>16561</v>
      </c>
    </row>
    <row r="55" spans="1:22" x14ac:dyDescent="0.35">
      <c r="A55" s="3">
        <v>163018</v>
      </c>
      <c r="B55" t="s">
        <v>22</v>
      </c>
      <c r="C55" t="s">
        <v>14</v>
      </c>
      <c r="D55">
        <v>3500</v>
      </c>
      <c r="E55">
        <v>351</v>
      </c>
      <c r="F55">
        <v>407</v>
      </c>
      <c r="G55">
        <v>57</v>
      </c>
      <c r="H55">
        <v>26034</v>
      </c>
      <c r="I55">
        <v>36</v>
      </c>
      <c r="J55">
        <v>28</v>
      </c>
      <c r="K55">
        <v>260</v>
      </c>
      <c r="L55">
        <v>463</v>
      </c>
      <c r="M55">
        <v>15.66666667</v>
      </c>
      <c r="N55">
        <f>IFERROR(VLOOKUP(A55,vlookup_table!$A:$G,2,FALSE),"")</f>
        <v>1</v>
      </c>
      <c r="O55">
        <f>IFERROR(VLOOKUP(A55,vlookup_table!$A:$G,4,FALSE),"")</f>
        <v>0</v>
      </c>
      <c r="P55" t="str">
        <f>IFERROR(VLOOKUP(A55,vlookup_table!$A:$G,5,FALSE),"")</f>
        <v>U1</v>
      </c>
      <c r="Q55">
        <f>IFERROR(VLOOKUP(A55,vlookup_table!$A:$G,7,FALSE),"")</f>
        <v>24</v>
      </c>
      <c r="R55">
        <f t="shared" si="0"/>
        <v>97</v>
      </c>
      <c r="S55" t="str" cm="1">
        <f t="array" ref="S55">IF(P55="","",_xlfn.SWITCH(LEFT(P55,1),"C","Ciudad","T","Pueblo","R","Rural","S","Suburbano","U","Urbano",""))</f>
        <v>Urbano</v>
      </c>
      <c r="T55" t="str">
        <f t="shared" si="1"/>
        <v>M</v>
      </c>
      <c r="U55" t="str">
        <f t="shared" si="2"/>
        <v>CA</v>
      </c>
      <c r="V55" t="str">
        <f t="shared" si="3"/>
        <v>26034</v>
      </c>
    </row>
    <row r="56" spans="1:22" x14ac:dyDescent="0.35">
      <c r="A56" s="3">
        <v>190671</v>
      </c>
      <c r="B56" t="s">
        <v>22</v>
      </c>
      <c r="D56">
        <v>2143</v>
      </c>
      <c r="E56">
        <v>280</v>
      </c>
      <c r="F56">
        <v>373</v>
      </c>
      <c r="G56">
        <v>63</v>
      </c>
      <c r="H56">
        <v>12935</v>
      </c>
      <c r="I56">
        <v>29</v>
      </c>
      <c r="J56">
        <v>36</v>
      </c>
      <c r="K56">
        <v>353</v>
      </c>
      <c r="L56">
        <v>328</v>
      </c>
      <c r="M56">
        <v>9.2608695650000001</v>
      </c>
      <c r="N56">
        <f>IFERROR(VLOOKUP(A56,vlookup_table!$A:$G,2,FALSE),"")</f>
        <v>0</v>
      </c>
      <c r="O56">
        <f>IFERROR(VLOOKUP(A56,vlookup_table!$A:$G,4,FALSE),"")</f>
        <v>1901</v>
      </c>
      <c r="P56">
        <f>IFERROR(VLOOKUP(A56,vlookup_table!$A:$G,5,FALSE),"")</f>
        <v>0</v>
      </c>
      <c r="Q56">
        <f>IFERROR(VLOOKUP(A56,vlookup_table!$A:$G,7,FALSE),"")</f>
        <v>14</v>
      </c>
      <c r="R56">
        <f t="shared" si="0"/>
        <v>78</v>
      </c>
      <c r="S56" t="str" cm="1">
        <f t="array" ref="S56">IF(P56="","",_xlfn.SWITCH(LEFT(P56,1),"C","Ciudad","T","Pueblo","R","Rural","S","Suburbano","U","Urbano",""))</f>
        <v/>
      </c>
      <c r="T56" t="str">
        <f t="shared" si="1"/>
        <v/>
      </c>
      <c r="U56" t="str">
        <f t="shared" si="2"/>
        <v>CA</v>
      </c>
      <c r="V56" t="str">
        <f t="shared" si="3"/>
        <v>12935</v>
      </c>
    </row>
    <row r="57" spans="1:22" x14ac:dyDescent="0.35">
      <c r="A57" s="3">
        <v>33356</v>
      </c>
      <c r="B57" t="s">
        <v>13</v>
      </c>
      <c r="C57" t="s">
        <v>17</v>
      </c>
      <c r="D57">
        <v>625</v>
      </c>
      <c r="E57">
        <v>246</v>
      </c>
      <c r="F57">
        <v>536</v>
      </c>
      <c r="G57">
        <v>3</v>
      </c>
      <c r="H57">
        <v>19102</v>
      </c>
      <c r="I57">
        <v>1</v>
      </c>
      <c r="J57">
        <v>47</v>
      </c>
      <c r="K57">
        <v>466</v>
      </c>
      <c r="L57">
        <v>362</v>
      </c>
      <c r="M57">
        <v>14.09090909</v>
      </c>
      <c r="N57">
        <f>IFERROR(VLOOKUP(A57,vlookup_table!$A:$G,2,FALSE),"")</f>
        <v>0</v>
      </c>
      <c r="O57">
        <f>IFERROR(VLOOKUP(A57,vlookup_table!$A:$G,4,FALSE),"")</f>
        <v>1401</v>
      </c>
      <c r="P57" t="str">
        <f>IFERROR(VLOOKUP(A57,vlookup_table!$A:$G,5,FALSE),"")</f>
        <v>S1</v>
      </c>
      <c r="Q57">
        <f>IFERROR(VLOOKUP(A57,vlookup_table!$A:$G,7,FALSE),"")</f>
        <v>20</v>
      </c>
      <c r="R57">
        <f t="shared" si="0"/>
        <v>83</v>
      </c>
      <c r="S57" t="str" cm="1">
        <f t="array" ref="S57">IF(P57="","",_xlfn.SWITCH(LEFT(P57,1),"C","Ciudad","T","Pueblo","R","Rural","S","Suburbano","U","Urbano",""))</f>
        <v>Suburbano</v>
      </c>
      <c r="T57" t="str">
        <f t="shared" si="1"/>
        <v>F</v>
      </c>
      <c r="U57" t="str">
        <f t="shared" si="2"/>
        <v>FL</v>
      </c>
      <c r="V57" t="str">
        <f t="shared" si="3"/>
        <v>19102</v>
      </c>
    </row>
    <row r="58" spans="1:22" x14ac:dyDescent="0.35">
      <c r="A58" s="3">
        <v>151600</v>
      </c>
      <c r="B58" t="s">
        <v>25</v>
      </c>
      <c r="C58" t="s">
        <v>14</v>
      </c>
      <c r="D58">
        <v>1560</v>
      </c>
      <c r="E58">
        <v>500</v>
      </c>
      <c r="F58">
        <v>485</v>
      </c>
      <c r="G58">
        <v>5</v>
      </c>
      <c r="H58">
        <v>13816</v>
      </c>
      <c r="I58">
        <v>22</v>
      </c>
      <c r="J58">
        <v>38</v>
      </c>
      <c r="K58">
        <v>488</v>
      </c>
      <c r="L58">
        <v>487</v>
      </c>
      <c r="M58">
        <v>15</v>
      </c>
      <c r="N58">
        <f>IFERROR(VLOOKUP(A58,vlookup_table!$A:$G,2,FALSE),"")</f>
        <v>1</v>
      </c>
      <c r="O58">
        <f>IFERROR(VLOOKUP(A58,vlookup_table!$A:$G,4,FALSE),"")</f>
        <v>6601</v>
      </c>
      <c r="P58" t="str">
        <f>IFERROR(VLOOKUP(A58,vlookup_table!$A:$G,5,FALSE),"")</f>
        <v>S2</v>
      </c>
      <c r="Q58">
        <f>IFERROR(VLOOKUP(A58,vlookup_table!$A:$G,7,FALSE),"")</f>
        <v>21</v>
      </c>
      <c r="R58">
        <f t="shared" si="0"/>
        <v>31</v>
      </c>
      <c r="S58" t="str" cm="1">
        <f t="array" ref="S58">IF(P58="","",_xlfn.SWITCH(LEFT(P58,1),"C","Ciudad","T","Pueblo","R","Rural","S","Suburbano","U","Urbano",""))</f>
        <v>Suburbano</v>
      </c>
      <c r="T58" t="str">
        <f t="shared" si="1"/>
        <v>M</v>
      </c>
      <c r="U58" t="str">
        <f t="shared" si="2"/>
        <v>CA</v>
      </c>
      <c r="V58" t="str">
        <f t="shared" si="3"/>
        <v>13816</v>
      </c>
    </row>
    <row r="59" spans="1:22" x14ac:dyDescent="0.35">
      <c r="A59" s="3">
        <v>21259</v>
      </c>
      <c r="B59" t="s">
        <v>18</v>
      </c>
      <c r="C59" t="s">
        <v>20</v>
      </c>
      <c r="D59">
        <v>716</v>
      </c>
      <c r="E59">
        <v>146</v>
      </c>
      <c r="F59">
        <v>382</v>
      </c>
      <c r="G59">
        <v>1</v>
      </c>
      <c r="H59">
        <v>11136</v>
      </c>
      <c r="I59">
        <v>2</v>
      </c>
      <c r="J59">
        <v>66</v>
      </c>
      <c r="K59">
        <v>339</v>
      </c>
      <c r="L59">
        <v>227</v>
      </c>
      <c r="M59">
        <v>12.47826087</v>
      </c>
      <c r="N59">
        <f>IFERROR(VLOOKUP(A59,vlookup_table!$A:$G,2,FALSE),"")</f>
        <v>0</v>
      </c>
      <c r="O59">
        <f>IFERROR(VLOOKUP(A59,vlookup_table!$A:$G,4,FALSE),"")</f>
        <v>4001</v>
      </c>
      <c r="P59" t="str">
        <f>IFERROR(VLOOKUP(A59,vlookup_table!$A:$G,5,FALSE),"")</f>
        <v>C2</v>
      </c>
      <c r="Q59">
        <f>IFERROR(VLOOKUP(A59,vlookup_table!$A:$G,7,FALSE),"")</f>
        <v>15</v>
      </c>
      <c r="R59">
        <f t="shared" si="0"/>
        <v>57</v>
      </c>
      <c r="S59" t="str" cm="1">
        <f t="array" ref="S59">IF(P59="","",_xlfn.SWITCH(LEFT(P59,1),"C","Ciudad","T","Pueblo","R","Rural","S","Suburbano","U","Urbano",""))</f>
        <v>Ciudad</v>
      </c>
      <c r="T59" t="str">
        <f t="shared" si="1"/>
        <v>F</v>
      </c>
      <c r="U59" t="str">
        <f t="shared" si="2"/>
        <v>NC</v>
      </c>
      <c r="V59" t="str">
        <f t="shared" si="3"/>
        <v>11136</v>
      </c>
    </row>
    <row r="60" spans="1:22" x14ac:dyDescent="0.35">
      <c r="A60" s="3">
        <v>128987</v>
      </c>
      <c r="B60" t="s">
        <v>21</v>
      </c>
      <c r="C60" t="s">
        <v>17</v>
      </c>
      <c r="D60">
        <v>1247</v>
      </c>
      <c r="E60">
        <v>215</v>
      </c>
      <c r="F60">
        <v>444</v>
      </c>
      <c r="G60">
        <v>17</v>
      </c>
      <c r="H60">
        <v>16891</v>
      </c>
      <c r="I60">
        <v>16</v>
      </c>
      <c r="J60">
        <v>50</v>
      </c>
      <c r="K60">
        <v>313</v>
      </c>
      <c r="L60">
        <v>350</v>
      </c>
      <c r="M60">
        <v>26.333333329999999</v>
      </c>
      <c r="N60">
        <f>IFERROR(VLOOKUP(A60,vlookup_table!$A:$G,2,FALSE),"")</f>
        <v>28</v>
      </c>
      <c r="O60">
        <f>IFERROR(VLOOKUP(A60,vlookup_table!$A:$G,4,FALSE),"")</f>
        <v>3912</v>
      </c>
      <c r="P60" t="str">
        <f>IFERROR(VLOOKUP(A60,vlookup_table!$A:$G,5,FALSE),"")</f>
        <v>U1</v>
      </c>
      <c r="Q60">
        <f>IFERROR(VLOOKUP(A60,vlookup_table!$A:$G,7,FALSE),"")</f>
        <v>41</v>
      </c>
      <c r="R60">
        <f t="shared" si="0"/>
        <v>58</v>
      </c>
      <c r="S60" t="str" cm="1">
        <f t="array" ref="S60">IF(P60="","",_xlfn.SWITCH(LEFT(P60,1),"C","Ciudad","T","Pueblo","R","Rural","S","Suburbano","U","Urbano",""))</f>
        <v>Urbano</v>
      </c>
      <c r="T60" t="str">
        <f t="shared" si="1"/>
        <v>F</v>
      </c>
      <c r="U60" t="str">
        <f t="shared" si="2"/>
        <v>TX</v>
      </c>
      <c r="V60" t="str">
        <f t="shared" si="3"/>
        <v>16891</v>
      </c>
    </row>
    <row r="61" spans="1:22" x14ac:dyDescent="0.35">
      <c r="A61" s="3">
        <v>108926</v>
      </c>
      <c r="B61" t="s">
        <v>49</v>
      </c>
      <c r="C61" t="s">
        <v>14</v>
      </c>
      <c r="D61">
        <v>611</v>
      </c>
      <c r="E61">
        <v>265</v>
      </c>
      <c r="F61">
        <v>337</v>
      </c>
      <c r="G61">
        <v>1</v>
      </c>
      <c r="H61">
        <v>12313</v>
      </c>
      <c r="I61">
        <v>4</v>
      </c>
      <c r="J61">
        <v>52</v>
      </c>
      <c r="K61">
        <v>323</v>
      </c>
      <c r="L61">
        <v>302</v>
      </c>
      <c r="M61">
        <v>15</v>
      </c>
      <c r="N61">
        <f>IFERROR(VLOOKUP(A61,vlookup_table!$A:$G,2,FALSE),"")</f>
        <v>1</v>
      </c>
      <c r="O61">
        <f>IFERROR(VLOOKUP(A61,vlookup_table!$A:$G,4,FALSE),"")</f>
        <v>2601</v>
      </c>
      <c r="P61" t="str">
        <f>IFERROR(VLOOKUP(A61,vlookup_table!$A:$G,5,FALSE),"")</f>
        <v>T2</v>
      </c>
      <c r="Q61">
        <f>IFERROR(VLOOKUP(A61,vlookup_table!$A:$G,7,FALSE),"")</f>
        <v>20</v>
      </c>
      <c r="R61">
        <f t="shared" si="0"/>
        <v>71</v>
      </c>
      <c r="S61" t="str" cm="1">
        <f t="array" ref="S61">IF(P61="","",_xlfn.SWITCH(LEFT(P61,1),"C","Ciudad","T","Pueblo","R","Rural","S","Suburbano","U","Urbano",""))</f>
        <v>Pueblo</v>
      </c>
      <c r="T61" t="str">
        <f t="shared" si="1"/>
        <v>M</v>
      </c>
      <c r="U61" t="str">
        <f t="shared" si="2"/>
        <v>LA</v>
      </c>
      <c r="V61" t="str">
        <f t="shared" si="3"/>
        <v>12313</v>
      </c>
    </row>
    <row r="62" spans="1:22" x14ac:dyDescent="0.35">
      <c r="A62" s="3">
        <v>154709</v>
      </c>
      <c r="B62" t="s">
        <v>25</v>
      </c>
      <c r="C62" t="s">
        <v>17</v>
      </c>
      <c r="D62">
        <v>1431</v>
      </c>
      <c r="E62">
        <v>291</v>
      </c>
      <c r="F62">
        <v>376</v>
      </c>
      <c r="G62">
        <v>24</v>
      </c>
      <c r="H62">
        <v>10498</v>
      </c>
      <c r="I62">
        <v>18</v>
      </c>
      <c r="J62">
        <v>48</v>
      </c>
      <c r="K62">
        <v>390</v>
      </c>
      <c r="L62">
        <v>315</v>
      </c>
      <c r="M62">
        <v>13</v>
      </c>
      <c r="N62">
        <f>IFERROR(VLOOKUP(A62,vlookup_table!$A:$G,2,FALSE),"")</f>
        <v>0</v>
      </c>
      <c r="O62">
        <f>IFERROR(VLOOKUP(A62,vlookup_table!$A:$G,4,FALSE),"")</f>
        <v>0</v>
      </c>
      <c r="P62" t="str">
        <f>IFERROR(VLOOKUP(A62,vlookup_table!$A:$G,5,FALSE),"")</f>
        <v>S2</v>
      </c>
      <c r="Q62">
        <f>IFERROR(VLOOKUP(A62,vlookup_table!$A:$G,7,FALSE),"")</f>
        <v>5</v>
      </c>
      <c r="R62">
        <f t="shared" si="0"/>
        <v>97</v>
      </c>
      <c r="S62" t="str" cm="1">
        <f t="array" ref="S62">IF(P62="","",_xlfn.SWITCH(LEFT(P62,1),"C","Ciudad","T","Pueblo","R","Rural","S","Suburbano","U","Urbano",""))</f>
        <v>Suburbano</v>
      </c>
      <c r="T62" t="str">
        <f t="shared" si="1"/>
        <v>F</v>
      </c>
      <c r="U62" t="str">
        <f t="shared" si="2"/>
        <v>CA</v>
      </c>
      <c r="V62" t="str">
        <f t="shared" si="3"/>
        <v>10498</v>
      </c>
    </row>
    <row r="63" spans="1:22" x14ac:dyDescent="0.35">
      <c r="A63" s="3">
        <v>108050</v>
      </c>
      <c r="B63" t="s">
        <v>49</v>
      </c>
      <c r="C63" t="s">
        <v>17</v>
      </c>
      <c r="D63">
        <v>1089</v>
      </c>
      <c r="E63">
        <v>431</v>
      </c>
      <c r="F63">
        <v>538</v>
      </c>
      <c r="G63">
        <v>1</v>
      </c>
      <c r="H63">
        <v>16777</v>
      </c>
      <c r="I63">
        <v>2</v>
      </c>
      <c r="J63">
        <v>64</v>
      </c>
      <c r="K63">
        <v>520</v>
      </c>
      <c r="L63">
        <v>480</v>
      </c>
      <c r="M63">
        <v>5.2</v>
      </c>
      <c r="N63">
        <f>IFERROR(VLOOKUP(A63,vlookup_table!$A:$G,2,FALSE),"")</f>
        <v>0</v>
      </c>
      <c r="O63">
        <f>IFERROR(VLOOKUP(A63,vlookup_table!$A:$G,4,FALSE),"")</f>
        <v>1401</v>
      </c>
      <c r="P63" t="str">
        <f>IFERROR(VLOOKUP(A63,vlookup_table!$A:$G,5,FALSE),"")</f>
        <v>T1</v>
      </c>
      <c r="Q63">
        <f>IFERROR(VLOOKUP(A63,vlookup_table!$A:$G,7,FALSE),"")</f>
        <v>16</v>
      </c>
      <c r="R63">
        <f t="shared" si="0"/>
        <v>83</v>
      </c>
      <c r="S63" t="str" cm="1">
        <f t="array" ref="S63">IF(P63="","",_xlfn.SWITCH(LEFT(P63,1),"C","Ciudad","T","Pueblo","R","Rural","S","Suburbano","U","Urbano",""))</f>
        <v>Pueblo</v>
      </c>
      <c r="T63" t="str">
        <f t="shared" si="1"/>
        <v>F</v>
      </c>
      <c r="U63" t="str">
        <f t="shared" si="2"/>
        <v>LA</v>
      </c>
      <c r="V63" t="str">
        <f t="shared" si="3"/>
        <v>16777</v>
      </c>
    </row>
    <row r="64" spans="1:22" x14ac:dyDescent="0.35">
      <c r="A64" s="3">
        <v>187274</v>
      </c>
      <c r="B64" t="s">
        <v>47</v>
      </c>
      <c r="C64" t="s">
        <v>17</v>
      </c>
      <c r="D64">
        <v>435</v>
      </c>
      <c r="E64">
        <v>244</v>
      </c>
      <c r="F64">
        <v>329</v>
      </c>
      <c r="G64">
        <v>0</v>
      </c>
      <c r="H64">
        <v>10692</v>
      </c>
      <c r="I64">
        <v>2</v>
      </c>
      <c r="J64">
        <v>76</v>
      </c>
      <c r="K64">
        <v>298</v>
      </c>
      <c r="L64">
        <v>281</v>
      </c>
      <c r="M64">
        <v>15</v>
      </c>
      <c r="N64">
        <f>IFERROR(VLOOKUP(A64,vlookup_table!$A:$G,2,FALSE),"")</f>
        <v>0</v>
      </c>
      <c r="O64">
        <f>IFERROR(VLOOKUP(A64,vlookup_table!$A:$G,4,FALSE),"")</f>
        <v>0</v>
      </c>
      <c r="P64" t="str">
        <f>IFERROR(VLOOKUP(A64,vlookup_table!$A:$G,5,FALSE),"")</f>
        <v>R2</v>
      </c>
      <c r="Q64">
        <f>IFERROR(VLOOKUP(A64,vlookup_table!$A:$G,7,FALSE),"")</f>
        <v>15</v>
      </c>
      <c r="R64">
        <f t="shared" si="0"/>
        <v>97</v>
      </c>
      <c r="S64" t="str" cm="1">
        <f t="array" ref="S64">IF(P64="","",_xlfn.SWITCH(LEFT(P64,1),"C","Ciudad","T","Pueblo","R","Rural","S","Suburbano","U","Urbano",""))</f>
        <v>Rural</v>
      </c>
      <c r="T64" t="str">
        <f t="shared" si="1"/>
        <v>F</v>
      </c>
      <c r="U64" t="str">
        <f t="shared" si="2"/>
        <v>IA</v>
      </c>
      <c r="V64" t="str">
        <f t="shared" si="3"/>
        <v>10692</v>
      </c>
    </row>
    <row r="65" spans="1:22" x14ac:dyDescent="0.35">
      <c r="A65" s="3">
        <v>171655</v>
      </c>
      <c r="B65" t="s">
        <v>25</v>
      </c>
      <c r="C65" t="s">
        <v>17</v>
      </c>
      <c r="D65">
        <v>1409</v>
      </c>
      <c r="E65">
        <v>321</v>
      </c>
      <c r="F65">
        <v>428</v>
      </c>
      <c r="G65">
        <v>21</v>
      </c>
      <c r="H65">
        <v>15611</v>
      </c>
      <c r="I65">
        <v>3</v>
      </c>
      <c r="J65">
        <v>57</v>
      </c>
      <c r="K65">
        <v>405</v>
      </c>
      <c r="L65">
        <v>377</v>
      </c>
      <c r="M65">
        <v>12.66666667</v>
      </c>
      <c r="N65">
        <f>IFERROR(VLOOKUP(A65,vlookup_table!$A:$G,2,FALSE),"")</f>
        <v>0</v>
      </c>
      <c r="O65">
        <f>IFERROR(VLOOKUP(A65,vlookup_table!$A:$G,4,FALSE),"")</f>
        <v>0</v>
      </c>
      <c r="P65" t="str">
        <f>IFERROR(VLOOKUP(A65,vlookup_table!$A:$G,5,FALSE),"")</f>
        <v>S3</v>
      </c>
      <c r="Q65">
        <f>IFERROR(VLOOKUP(A65,vlookup_table!$A:$G,7,FALSE),"")</f>
        <v>12</v>
      </c>
      <c r="R65">
        <f t="shared" si="0"/>
        <v>97</v>
      </c>
      <c r="S65" t="str" cm="1">
        <f t="array" ref="S65">IF(P65="","",_xlfn.SWITCH(LEFT(P65,1),"C","Ciudad","T","Pueblo","R","Rural","S","Suburbano","U","Urbano",""))</f>
        <v>Suburbano</v>
      </c>
      <c r="T65" t="str">
        <f t="shared" si="1"/>
        <v>F</v>
      </c>
      <c r="U65" t="str">
        <f t="shared" si="2"/>
        <v>CA</v>
      </c>
      <c r="V65" t="str">
        <f t="shared" si="3"/>
        <v>15611</v>
      </c>
    </row>
    <row r="66" spans="1:22" x14ac:dyDescent="0.35">
      <c r="A66" s="3">
        <v>160488</v>
      </c>
      <c r="B66" t="s">
        <v>50</v>
      </c>
      <c r="C66" t="s">
        <v>14</v>
      </c>
      <c r="D66">
        <v>647</v>
      </c>
      <c r="E66">
        <v>369</v>
      </c>
      <c r="F66">
        <v>463</v>
      </c>
      <c r="G66">
        <v>0</v>
      </c>
      <c r="H66">
        <v>18492</v>
      </c>
      <c r="I66">
        <v>6</v>
      </c>
      <c r="J66">
        <v>34</v>
      </c>
      <c r="K66">
        <v>422</v>
      </c>
      <c r="L66">
        <v>401</v>
      </c>
      <c r="M66">
        <v>9.5</v>
      </c>
      <c r="N66">
        <f>IFERROR(VLOOKUP(A66,vlookup_table!$A:$G,2,FALSE),"")</f>
        <v>0</v>
      </c>
      <c r="O66">
        <f>IFERROR(VLOOKUP(A66,vlookup_table!$A:$G,4,FALSE),"")</f>
        <v>0</v>
      </c>
      <c r="P66" t="str">
        <f>IFERROR(VLOOKUP(A66,vlookup_table!$A:$G,5,FALSE),"")</f>
        <v>C2</v>
      </c>
      <c r="Q66">
        <f>IFERROR(VLOOKUP(A66,vlookup_table!$A:$G,7,FALSE),"")</f>
        <v>10</v>
      </c>
      <c r="R66">
        <f t="shared" ref="R66:R129" si="4">IF(O66="","",97-INT(O66/100))</f>
        <v>97</v>
      </c>
      <c r="S66" t="str" cm="1">
        <f t="array" ref="S66">IF(P66="","",_xlfn.SWITCH(LEFT(P66,1),"C","Ciudad","T","Pueblo","R","Rural","S","Suburbano","U","Urbano",""))</f>
        <v>Ciudad</v>
      </c>
      <c r="T66" t="str">
        <f t="shared" ref="T66:T129" si="5">IF(C66="","",IF(OR(UPPER(C66)="M",UPPER(C66)="MALE"),"M",IF(OR(UPPER(C66)="F",UPPER(C66)="FEMALE",UPPER(C66)="FEAMALE"),"F",C66)))</f>
        <v>M</v>
      </c>
      <c r="U66" t="str">
        <f t="shared" ref="U66:U129" si="6">IF(OR(UPPER(B66)="CALIFORNIA",UPPER(B66)="CALI"),"CA",B66)</f>
        <v>OR</v>
      </c>
      <c r="V66" t="str">
        <f t="shared" ref="V66:V129" si="7">SUBSTITUTE(H66,"@","")</f>
        <v>18492</v>
      </c>
    </row>
    <row r="67" spans="1:22" x14ac:dyDescent="0.35">
      <c r="A67" s="3">
        <v>21305</v>
      </c>
      <c r="B67" t="s">
        <v>18</v>
      </c>
      <c r="C67" t="s">
        <v>14</v>
      </c>
      <c r="D67">
        <v>415</v>
      </c>
      <c r="E67">
        <v>199</v>
      </c>
      <c r="F67">
        <v>300</v>
      </c>
      <c r="G67">
        <v>0</v>
      </c>
      <c r="H67">
        <v>11449</v>
      </c>
      <c r="I67">
        <v>0</v>
      </c>
      <c r="J67">
        <v>86</v>
      </c>
      <c r="K67">
        <v>308</v>
      </c>
      <c r="L67">
        <v>242</v>
      </c>
      <c r="M67">
        <v>8.3333333330000006</v>
      </c>
      <c r="N67">
        <f>IFERROR(VLOOKUP(A67,vlookup_table!$A:$G,2,FALSE),"")</f>
        <v>1</v>
      </c>
      <c r="O67">
        <f>IFERROR(VLOOKUP(A67,vlookup_table!$A:$G,4,FALSE),"")</f>
        <v>5601</v>
      </c>
      <c r="P67" t="str">
        <f>IFERROR(VLOOKUP(A67,vlookup_table!$A:$G,5,FALSE),"")</f>
        <v>R2</v>
      </c>
      <c r="Q67">
        <f>IFERROR(VLOOKUP(A67,vlookup_table!$A:$G,7,FALSE),"")</f>
        <v>10</v>
      </c>
      <c r="R67">
        <f t="shared" si="4"/>
        <v>41</v>
      </c>
      <c r="S67" t="str" cm="1">
        <f t="array" ref="S67">IF(P67="","",_xlfn.SWITCH(LEFT(P67,1),"C","Ciudad","T","Pueblo","R","Rural","S","Suburbano","U","Urbano",""))</f>
        <v>Rural</v>
      </c>
      <c r="T67" t="str">
        <f t="shared" si="5"/>
        <v>M</v>
      </c>
      <c r="U67" t="str">
        <f t="shared" si="6"/>
        <v>NC</v>
      </c>
      <c r="V67" t="str">
        <f t="shared" si="7"/>
        <v>11449</v>
      </c>
    </row>
    <row r="68" spans="1:22" x14ac:dyDescent="0.35">
      <c r="A68" s="3">
        <v>98470</v>
      </c>
      <c r="B68" t="s">
        <v>16</v>
      </c>
      <c r="C68" t="s">
        <v>17</v>
      </c>
      <c r="D68">
        <v>492</v>
      </c>
      <c r="E68">
        <v>172</v>
      </c>
      <c r="F68">
        <v>399</v>
      </c>
      <c r="G68">
        <v>0</v>
      </c>
      <c r="H68">
        <v>13218</v>
      </c>
      <c r="I68">
        <v>3</v>
      </c>
      <c r="J68">
        <v>85</v>
      </c>
      <c r="K68">
        <v>384</v>
      </c>
      <c r="L68">
        <v>276</v>
      </c>
      <c r="M68">
        <v>8.75</v>
      </c>
      <c r="N68">
        <f>IFERROR(VLOOKUP(A68,vlookup_table!$A:$G,2,FALSE),"")</f>
        <v>2</v>
      </c>
      <c r="O68">
        <f>IFERROR(VLOOKUP(A68,vlookup_table!$A:$G,4,FALSE),"")</f>
        <v>1108</v>
      </c>
      <c r="P68" t="str">
        <f>IFERROR(VLOOKUP(A68,vlookup_table!$A:$G,5,FALSE),"")</f>
        <v>T2</v>
      </c>
      <c r="Q68">
        <f>IFERROR(VLOOKUP(A68,vlookup_table!$A:$G,7,FALSE),"")</f>
        <v>14</v>
      </c>
      <c r="R68">
        <f t="shared" si="4"/>
        <v>86</v>
      </c>
      <c r="S68" t="str" cm="1">
        <f t="array" ref="S68">IF(P68="","",_xlfn.SWITCH(LEFT(P68,1),"C","Ciudad","T","Pueblo","R","Rural","S","Suburbano","U","Urbano",""))</f>
        <v>Pueblo</v>
      </c>
      <c r="T68" t="str">
        <f t="shared" si="5"/>
        <v>F</v>
      </c>
      <c r="U68" t="str">
        <f t="shared" si="6"/>
        <v>IL</v>
      </c>
      <c r="V68" t="str">
        <f t="shared" si="7"/>
        <v>13218</v>
      </c>
    </row>
    <row r="69" spans="1:22" x14ac:dyDescent="0.35">
      <c r="A69" s="3">
        <v>140586</v>
      </c>
      <c r="B69" t="s">
        <v>21</v>
      </c>
      <c r="C69" t="s">
        <v>14</v>
      </c>
      <c r="D69">
        <v>1043</v>
      </c>
      <c r="E69">
        <v>610</v>
      </c>
      <c r="F69">
        <v>788</v>
      </c>
      <c r="G69">
        <v>13</v>
      </c>
      <c r="H69">
        <v>49744</v>
      </c>
      <c r="I69">
        <v>2</v>
      </c>
      <c r="J69">
        <v>70</v>
      </c>
      <c r="K69">
        <v>682</v>
      </c>
      <c r="L69">
        <v>731</v>
      </c>
      <c r="M69">
        <v>13.25</v>
      </c>
      <c r="N69">
        <f>IFERROR(VLOOKUP(A69,vlookup_table!$A:$G,2,FALSE),"")</f>
        <v>1</v>
      </c>
      <c r="O69">
        <f>IFERROR(VLOOKUP(A69,vlookup_table!$A:$G,4,FALSE),"")</f>
        <v>0</v>
      </c>
      <c r="P69" t="str">
        <f>IFERROR(VLOOKUP(A69,vlookup_table!$A:$G,5,FALSE),"")</f>
        <v>T1</v>
      </c>
      <c r="Q69">
        <f>IFERROR(VLOOKUP(A69,vlookup_table!$A:$G,7,FALSE),"")</f>
        <v>20</v>
      </c>
      <c r="R69">
        <f t="shared" si="4"/>
        <v>97</v>
      </c>
      <c r="S69" t="str" cm="1">
        <f t="array" ref="S69">IF(P69="","",_xlfn.SWITCH(LEFT(P69,1),"C","Ciudad","T","Pueblo","R","Rural","S","Suburbano","U","Urbano",""))</f>
        <v>Pueblo</v>
      </c>
      <c r="T69" t="str">
        <f t="shared" si="5"/>
        <v>M</v>
      </c>
      <c r="U69" t="str">
        <f t="shared" si="6"/>
        <v>TX</v>
      </c>
      <c r="V69" t="str">
        <f t="shared" si="7"/>
        <v>49744</v>
      </c>
    </row>
    <row r="70" spans="1:22" x14ac:dyDescent="0.35">
      <c r="A70" s="3">
        <v>158101</v>
      </c>
      <c r="B70" t="s">
        <v>25</v>
      </c>
      <c r="C70" t="s">
        <v>14</v>
      </c>
      <c r="D70">
        <v>3668</v>
      </c>
      <c r="E70">
        <v>690</v>
      </c>
      <c r="F70">
        <v>780</v>
      </c>
      <c r="G70">
        <v>97</v>
      </c>
      <c r="H70">
        <v>32964</v>
      </c>
      <c r="I70">
        <v>10</v>
      </c>
      <c r="J70">
        <v>44</v>
      </c>
      <c r="K70">
        <v>693</v>
      </c>
      <c r="L70">
        <v>781</v>
      </c>
      <c r="M70">
        <v>15</v>
      </c>
      <c r="N70">
        <f>IFERROR(VLOOKUP(A70,vlookup_table!$A:$G,2,FALSE),"")</f>
        <v>1</v>
      </c>
      <c r="O70">
        <f>IFERROR(VLOOKUP(A70,vlookup_table!$A:$G,4,FALSE),"")</f>
        <v>1701</v>
      </c>
      <c r="P70" t="str">
        <f>IFERROR(VLOOKUP(A70,vlookup_table!$A:$G,5,FALSE),"")</f>
        <v>S1</v>
      </c>
      <c r="Q70">
        <f>IFERROR(VLOOKUP(A70,vlookup_table!$A:$G,7,FALSE),"")</f>
        <v>15</v>
      </c>
      <c r="R70">
        <f t="shared" si="4"/>
        <v>80</v>
      </c>
      <c r="S70" t="str" cm="1">
        <f t="array" ref="S70">IF(P70="","",_xlfn.SWITCH(LEFT(P70,1),"C","Ciudad","T","Pueblo","R","Rural","S","Suburbano","U","Urbano",""))</f>
        <v>Suburbano</v>
      </c>
      <c r="T70" t="str">
        <f t="shared" si="5"/>
        <v>M</v>
      </c>
      <c r="U70" t="str">
        <f t="shared" si="6"/>
        <v>CA</v>
      </c>
      <c r="V70" t="str">
        <f t="shared" si="7"/>
        <v>32964</v>
      </c>
    </row>
    <row r="71" spans="1:22" x14ac:dyDescent="0.35">
      <c r="A71" s="3">
        <v>150043</v>
      </c>
      <c r="B71" t="s">
        <v>25</v>
      </c>
      <c r="C71" t="s">
        <v>14</v>
      </c>
      <c r="D71">
        <v>3491</v>
      </c>
      <c r="E71">
        <v>791</v>
      </c>
      <c r="F71">
        <v>903</v>
      </c>
      <c r="G71">
        <v>94</v>
      </c>
      <c r="H71">
        <v>32718</v>
      </c>
      <c r="I71">
        <v>18</v>
      </c>
      <c r="J71">
        <v>44</v>
      </c>
      <c r="K71">
        <v>828</v>
      </c>
      <c r="L71">
        <v>853</v>
      </c>
      <c r="M71">
        <v>20</v>
      </c>
      <c r="N71">
        <f>IFERROR(VLOOKUP(A71,vlookup_table!$A:$G,2,FALSE),"")</f>
        <v>1002</v>
      </c>
      <c r="O71">
        <f>IFERROR(VLOOKUP(A71,vlookup_table!$A:$G,4,FALSE),"")</f>
        <v>3201</v>
      </c>
      <c r="P71" t="str">
        <f>IFERROR(VLOOKUP(A71,vlookup_table!$A:$G,5,FALSE),"")</f>
        <v>S1</v>
      </c>
      <c r="Q71">
        <f>IFERROR(VLOOKUP(A71,vlookup_table!$A:$G,7,FALSE),"")</f>
        <v>20</v>
      </c>
      <c r="R71">
        <f t="shared" si="4"/>
        <v>65</v>
      </c>
      <c r="S71" t="str" cm="1">
        <f t="array" ref="S71">IF(P71="","",_xlfn.SWITCH(LEFT(P71,1),"C","Ciudad","T","Pueblo","R","Rural","S","Suburbano","U","Urbano",""))</f>
        <v>Suburbano</v>
      </c>
      <c r="T71" t="str">
        <f t="shared" si="5"/>
        <v>M</v>
      </c>
      <c r="U71" t="str">
        <f t="shared" si="6"/>
        <v>CA</v>
      </c>
      <c r="V71" t="str">
        <f t="shared" si="7"/>
        <v>32718</v>
      </c>
    </row>
    <row r="72" spans="1:22" x14ac:dyDescent="0.35">
      <c r="A72" s="3">
        <v>96251</v>
      </c>
      <c r="B72" t="s">
        <v>16</v>
      </c>
      <c r="C72" t="s">
        <v>17</v>
      </c>
      <c r="D72">
        <v>192</v>
      </c>
      <c r="E72">
        <v>164</v>
      </c>
      <c r="F72">
        <v>224</v>
      </c>
      <c r="G72">
        <v>0</v>
      </c>
      <c r="H72">
        <v>7361</v>
      </c>
      <c r="I72">
        <v>3</v>
      </c>
      <c r="J72">
        <v>89</v>
      </c>
      <c r="K72">
        <v>211</v>
      </c>
      <c r="L72">
        <v>186</v>
      </c>
      <c r="M72">
        <v>5.8666666669999996</v>
      </c>
      <c r="N72">
        <f>IFERROR(VLOOKUP(A72,vlookup_table!$A:$G,2,FALSE),"")</f>
        <v>0</v>
      </c>
      <c r="O72">
        <f>IFERROR(VLOOKUP(A72,vlookup_table!$A:$G,4,FALSE),"")</f>
        <v>4401</v>
      </c>
      <c r="P72" t="str">
        <f>IFERROR(VLOOKUP(A72,vlookup_table!$A:$G,5,FALSE),"")</f>
        <v>T3</v>
      </c>
      <c r="Q72">
        <f>IFERROR(VLOOKUP(A72,vlookup_table!$A:$G,7,FALSE),"")</f>
        <v>10</v>
      </c>
      <c r="R72">
        <f t="shared" si="4"/>
        <v>53</v>
      </c>
      <c r="S72" t="str" cm="1">
        <f t="array" ref="S72">IF(P72="","",_xlfn.SWITCH(LEFT(P72,1),"C","Ciudad","T","Pueblo","R","Rural","S","Suburbano","U","Urbano",""))</f>
        <v>Pueblo</v>
      </c>
      <c r="T72" t="str">
        <f t="shared" si="5"/>
        <v>F</v>
      </c>
      <c r="U72" t="str">
        <f t="shared" si="6"/>
        <v>IL</v>
      </c>
      <c r="V72" t="str">
        <f t="shared" si="7"/>
        <v>7361</v>
      </c>
    </row>
    <row r="73" spans="1:22" x14ac:dyDescent="0.35">
      <c r="A73" s="3">
        <v>188547</v>
      </c>
      <c r="B73" t="s">
        <v>25</v>
      </c>
      <c r="C73" t="s">
        <v>14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20.260869570000001</v>
      </c>
      <c r="N73">
        <f>IFERROR(VLOOKUP(A73,vlookup_table!$A:$G,2,FALSE),"")</f>
        <v>1</v>
      </c>
      <c r="O73">
        <f>IFERROR(VLOOKUP(A73,vlookup_table!$A:$G,4,FALSE),"")</f>
        <v>0</v>
      </c>
      <c r="P73" t="str">
        <f>IFERROR(VLOOKUP(A73,vlookup_table!$A:$G,5,FALSE),"")</f>
        <v>U4</v>
      </c>
      <c r="Q73">
        <f>IFERROR(VLOOKUP(A73,vlookup_table!$A:$G,7,FALSE),"")</f>
        <v>25</v>
      </c>
      <c r="R73">
        <f t="shared" si="4"/>
        <v>97</v>
      </c>
      <c r="S73" t="str" cm="1">
        <f t="array" ref="S73">IF(P73="","",_xlfn.SWITCH(LEFT(P73,1),"C","Ciudad","T","Pueblo","R","Rural","S","Suburbano","U","Urbano",""))</f>
        <v>Urbano</v>
      </c>
      <c r="T73" t="str">
        <f t="shared" si="5"/>
        <v>M</v>
      </c>
      <c r="U73" t="str">
        <f t="shared" si="6"/>
        <v>CA</v>
      </c>
      <c r="V73" t="str">
        <f t="shared" si="7"/>
        <v>0</v>
      </c>
    </row>
    <row r="74" spans="1:22" x14ac:dyDescent="0.35">
      <c r="A74" s="3">
        <v>180617</v>
      </c>
      <c r="B74" t="s">
        <v>40</v>
      </c>
      <c r="C74" t="s">
        <v>51</v>
      </c>
      <c r="D74">
        <v>824</v>
      </c>
      <c r="E74">
        <v>225</v>
      </c>
      <c r="F74">
        <v>383</v>
      </c>
      <c r="G74">
        <v>10</v>
      </c>
      <c r="H74">
        <v>13090</v>
      </c>
      <c r="I74">
        <v>7</v>
      </c>
      <c r="J74">
        <v>52</v>
      </c>
      <c r="K74">
        <v>308</v>
      </c>
      <c r="L74">
        <v>293</v>
      </c>
      <c r="M74">
        <v>7.483333333</v>
      </c>
      <c r="N74">
        <f>IFERROR(VLOOKUP(A74,vlookup_table!$A:$G,2,FALSE),"")</f>
        <v>1002</v>
      </c>
      <c r="O74">
        <f>IFERROR(VLOOKUP(A74,vlookup_table!$A:$G,4,FALSE),"")</f>
        <v>2101</v>
      </c>
      <c r="P74" t="str">
        <f>IFERROR(VLOOKUP(A74,vlookup_table!$A:$G,5,FALSE),"")</f>
        <v>C2</v>
      </c>
      <c r="Q74">
        <f>IFERROR(VLOOKUP(A74,vlookup_table!$A:$G,7,FALSE),"")</f>
        <v>11</v>
      </c>
      <c r="R74">
        <f t="shared" si="4"/>
        <v>76</v>
      </c>
      <c r="S74" t="str" cm="1">
        <f t="array" ref="S74">IF(P74="","",_xlfn.SWITCH(LEFT(P74,1),"C","Ciudad","T","Pueblo","R","Rural","S","Suburbano","U","Urbano",""))</f>
        <v>Ciudad</v>
      </c>
      <c r="T74" t="str">
        <f t="shared" si="5"/>
        <v>M</v>
      </c>
      <c r="U74" t="str">
        <f t="shared" si="6"/>
        <v>WA</v>
      </c>
      <c r="V74" t="str">
        <f t="shared" si="7"/>
        <v>13090</v>
      </c>
    </row>
    <row r="75" spans="1:22" x14ac:dyDescent="0.35">
      <c r="A75" s="3">
        <v>86000</v>
      </c>
      <c r="B75" t="s">
        <v>52</v>
      </c>
      <c r="C75" t="s">
        <v>17</v>
      </c>
      <c r="D75">
        <v>428</v>
      </c>
      <c r="E75">
        <v>205</v>
      </c>
      <c r="F75">
        <v>309</v>
      </c>
      <c r="G75">
        <v>0</v>
      </c>
      <c r="H75">
        <v>11192</v>
      </c>
      <c r="I75">
        <v>2</v>
      </c>
      <c r="J75">
        <v>62</v>
      </c>
      <c r="K75">
        <v>318</v>
      </c>
      <c r="L75">
        <v>245</v>
      </c>
      <c r="M75">
        <v>11.25</v>
      </c>
      <c r="N75">
        <f>IFERROR(VLOOKUP(A75,vlookup_table!$A:$G,2,FALSE),"")</f>
        <v>0</v>
      </c>
      <c r="O75">
        <f>IFERROR(VLOOKUP(A75,vlookup_table!$A:$G,4,FALSE),"")</f>
        <v>1201</v>
      </c>
      <c r="P75" t="str">
        <f>IFERROR(VLOOKUP(A75,vlookup_table!$A:$G,5,FALSE),"")</f>
        <v>C2</v>
      </c>
      <c r="Q75">
        <f>IFERROR(VLOOKUP(A75,vlookup_table!$A:$G,7,FALSE),"")</f>
        <v>10</v>
      </c>
      <c r="R75">
        <f t="shared" si="4"/>
        <v>85</v>
      </c>
      <c r="S75" t="str" cm="1">
        <f t="array" ref="S75">IF(P75="","",_xlfn.SWITCH(LEFT(P75,1),"C","Ciudad","T","Pueblo","R","Rural","S","Suburbano","U","Urbano",""))</f>
        <v>Ciudad</v>
      </c>
      <c r="T75" t="str">
        <f t="shared" si="5"/>
        <v>F</v>
      </c>
      <c r="U75" t="str">
        <f t="shared" si="6"/>
        <v>SD</v>
      </c>
      <c r="V75" t="str">
        <f t="shared" si="7"/>
        <v>11192</v>
      </c>
    </row>
    <row r="76" spans="1:22" x14ac:dyDescent="0.35">
      <c r="A76" s="3">
        <v>13265</v>
      </c>
      <c r="B76" t="s">
        <v>43</v>
      </c>
      <c r="C76" t="s">
        <v>17</v>
      </c>
      <c r="D76">
        <v>417</v>
      </c>
      <c r="E76">
        <v>122</v>
      </c>
      <c r="F76">
        <v>250</v>
      </c>
      <c r="G76">
        <v>0</v>
      </c>
      <c r="H76">
        <v>9715</v>
      </c>
      <c r="I76">
        <v>0</v>
      </c>
      <c r="J76">
        <v>64</v>
      </c>
      <c r="K76">
        <v>283</v>
      </c>
      <c r="L76">
        <v>160</v>
      </c>
      <c r="M76">
        <v>7.75</v>
      </c>
      <c r="N76">
        <f>IFERROR(VLOOKUP(A76,vlookup_table!$A:$G,2,FALSE),"")</f>
        <v>28</v>
      </c>
      <c r="O76">
        <f>IFERROR(VLOOKUP(A76,vlookup_table!$A:$G,4,FALSE),"")</f>
        <v>1901</v>
      </c>
      <c r="P76" t="str">
        <f>IFERROR(VLOOKUP(A76,vlookup_table!$A:$G,5,FALSE),"")</f>
        <v>C3</v>
      </c>
      <c r="Q76">
        <f>IFERROR(VLOOKUP(A76,vlookup_table!$A:$G,7,FALSE),"")</f>
        <v>11</v>
      </c>
      <c r="R76">
        <f t="shared" si="4"/>
        <v>78</v>
      </c>
      <c r="S76" t="str" cm="1">
        <f t="array" ref="S76">IF(P76="","",_xlfn.SWITCH(LEFT(P76,1),"C","Ciudad","T","Pueblo","R","Rural","S","Suburbano","U","Urbano",""))</f>
        <v>Ciudad</v>
      </c>
      <c r="T76" t="str">
        <f t="shared" si="5"/>
        <v>F</v>
      </c>
      <c r="U76" t="str">
        <f t="shared" si="6"/>
        <v>AL</v>
      </c>
      <c r="V76" t="str">
        <f t="shared" si="7"/>
        <v>9715</v>
      </c>
    </row>
    <row r="77" spans="1:22" x14ac:dyDescent="0.35">
      <c r="A77" s="3">
        <v>71</v>
      </c>
      <c r="B77" t="s">
        <v>53</v>
      </c>
      <c r="C77" t="s">
        <v>17</v>
      </c>
      <c r="D77">
        <v>399</v>
      </c>
      <c r="E77">
        <v>307</v>
      </c>
      <c r="F77">
        <v>352</v>
      </c>
      <c r="G77">
        <v>0</v>
      </c>
      <c r="H77">
        <v>11428</v>
      </c>
      <c r="I77">
        <v>0</v>
      </c>
      <c r="J77">
        <v>85</v>
      </c>
      <c r="K77">
        <v>315</v>
      </c>
      <c r="L77">
        <v>336</v>
      </c>
      <c r="M77">
        <v>6.8181818180000002</v>
      </c>
      <c r="N77">
        <f>IFERROR(VLOOKUP(A77,vlookup_table!$A:$G,2,FALSE),"")</f>
        <v>0</v>
      </c>
      <c r="O77">
        <f>IFERROR(VLOOKUP(A77,vlookup_table!$A:$G,4,FALSE),"")</f>
        <v>3401</v>
      </c>
      <c r="P77" t="str">
        <f>IFERROR(VLOOKUP(A77,vlookup_table!$A:$G,5,FALSE),"")</f>
        <v>R2</v>
      </c>
      <c r="Q77">
        <f>IFERROR(VLOOKUP(A77,vlookup_table!$A:$G,7,FALSE),"")</f>
        <v>16</v>
      </c>
      <c r="R77">
        <f t="shared" si="4"/>
        <v>63</v>
      </c>
      <c r="S77" t="str" cm="1">
        <f t="array" ref="S77">IF(P77="","",_xlfn.SWITCH(LEFT(P77,1),"C","Ciudad","T","Pueblo","R","Rural","S","Suburbano","U","Urbano",""))</f>
        <v>Rural</v>
      </c>
      <c r="T77" t="str">
        <f t="shared" si="5"/>
        <v>F</v>
      </c>
      <c r="U77" t="str">
        <f t="shared" si="6"/>
        <v>TN</v>
      </c>
      <c r="V77" t="str">
        <f t="shared" si="7"/>
        <v>11428</v>
      </c>
    </row>
    <row r="78" spans="1:22" x14ac:dyDescent="0.35">
      <c r="A78" s="3">
        <v>148969</v>
      </c>
      <c r="B78" t="s">
        <v>25</v>
      </c>
      <c r="C78" t="s">
        <v>17</v>
      </c>
      <c r="D78">
        <v>2377</v>
      </c>
      <c r="E78">
        <v>633</v>
      </c>
      <c r="F78">
        <v>663</v>
      </c>
      <c r="G78">
        <v>85</v>
      </c>
      <c r="H78">
        <v>19545</v>
      </c>
      <c r="I78">
        <v>13</v>
      </c>
      <c r="J78">
        <v>53</v>
      </c>
      <c r="K78">
        <v>637</v>
      </c>
      <c r="L78">
        <v>652</v>
      </c>
      <c r="M78">
        <v>9.1111111109999996</v>
      </c>
      <c r="N78">
        <f>IFERROR(VLOOKUP(A78,vlookup_table!$A:$G,2,FALSE),"")</f>
        <v>0</v>
      </c>
      <c r="O78">
        <f>IFERROR(VLOOKUP(A78,vlookup_table!$A:$G,4,FALSE),"")</f>
        <v>0</v>
      </c>
      <c r="P78" t="str">
        <f>IFERROR(VLOOKUP(A78,vlookup_table!$A:$G,5,FALSE),"")</f>
        <v>C1</v>
      </c>
      <c r="Q78">
        <f>IFERROR(VLOOKUP(A78,vlookup_table!$A:$G,7,FALSE),"")</f>
        <v>10</v>
      </c>
      <c r="R78">
        <f t="shared" si="4"/>
        <v>97</v>
      </c>
      <c r="S78" t="str" cm="1">
        <f t="array" ref="S78">IF(P78="","",_xlfn.SWITCH(LEFT(P78,1),"C","Ciudad","T","Pueblo","R","Rural","S","Suburbano","U","Urbano",""))</f>
        <v>Ciudad</v>
      </c>
      <c r="T78" t="str">
        <f t="shared" si="5"/>
        <v>F</v>
      </c>
      <c r="U78" t="str">
        <f t="shared" si="6"/>
        <v>CA</v>
      </c>
      <c r="V78" t="str">
        <f t="shared" si="7"/>
        <v>19545</v>
      </c>
    </row>
    <row r="79" spans="1:22" x14ac:dyDescent="0.35">
      <c r="A79" s="3">
        <v>156324</v>
      </c>
      <c r="B79" t="s">
        <v>25</v>
      </c>
      <c r="D79">
        <v>2016</v>
      </c>
      <c r="E79">
        <v>431</v>
      </c>
      <c r="F79">
        <v>497</v>
      </c>
      <c r="G79">
        <v>51</v>
      </c>
      <c r="H79">
        <v>17882</v>
      </c>
      <c r="I79">
        <v>11</v>
      </c>
      <c r="J79">
        <v>53</v>
      </c>
      <c r="K79">
        <v>465</v>
      </c>
      <c r="L79">
        <v>459</v>
      </c>
      <c r="M79">
        <v>8.75</v>
      </c>
      <c r="N79">
        <f>IFERROR(VLOOKUP(A79,vlookup_table!$A:$G,2,FALSE),"")</f>
        <v>0</v>
      </c>
      <c r="O79">
        <f>IFERROR(VLOOKUP(A79,vlookup_table!$A:$G,4,FALSE),"")</f>
        <v>0</v>
      </c>
      <c r="P79" t="str">
        <f>IFERROR(VLOOKUP(A79,vlookup_table!$A:$G,5,FALSE),"")</f>
        <v>S1</v>
      </c>
      <c r="Q79">
        <f>IFERROR(VLOOKUP(A79,vlookup_table!$A:$G,7,FALSE),"")</f>
        <v>15</v>
      </c>
      <c r="R79">
        <f t="shared" si="4"/>
        <v>97</v>
      </c>
      <c r="S79" t="str" cm="1">
        <f t="array" ref="S79">IF(P79="","",_xlfn.SWITCH(LEFT(P79,1),"C","Ciudad","T","Pueblo","R","Rural","S","Suburbano","U","Urbano",""))</f>
        <v>Suburbano</v>
      </c>
      <c r="T79" t="str">
        <f t="shared" si="5"/>
        <v/>
      </c>
      <c r="U79" t="str">
        <f t="shared" si="6"/>
        <v>CA</v>
      </c>
      <c r="V79" t="str">
        <f t="shared" si="7"/>
        <v>17882</v>
      </c>
    </row>
    <row r="80" spans="1:22" x14ac:dyDescent="0.35">
      <c r="A80" s="3">
        <v>130976</v>
      </c>
      <c r="B80" t="s">
        <v>48</v>
      </c>
      <c r="C80" t="s">
        <v>17</v>
      </c>
      <c r="D80">
        <v>933</v>
      </c>
      <c r="E80">
        <v>289</v>
      </c>
      <c r="F80">
        <v>379</v>
      </c>
      <c r="G80">
        <v>0</v>
      </c>
      <c r="H80">
        <v>14104</v>
      </c>
      <c r="I80">
        <v>6</v>
      </c>
      <c r="J80">
        <v>42</v>
      </c>
      <c r="K80">
        <v>332</v>
      </c>
      <c r="L80">
        <v>349</v>
      </c>
      <c r="M80">
        <v>8.1428571430000005</v>
      </c>
      <c r="N80">
        <f>IFERROR(VLOOKUP(A80,vlookup_table!$A:$G,2,FALSE),"")</f>
        <v>2</v>
      </c>
      <c r="O80">
        <f>IFERROR(VLOOKUP(A80,vlookup_table!$A:$G,4,FALSE),"")</f>
        <v>1412</v>
      </c>
      <c r="P80" t="str">
        <f>IFERROR(VLOOKUP(A80,vlookup_table!$A:$G,5,FALSE),"")</f>
        <v>C2</v>
      </c>
      <c r="Q80">
        <f>IFERROR(VLOOKUP(A80,vlookup_table!$A:$G,7,FALSE),"")</f>
        <v>7</v>
      </c>
      <c r="R80">
        <f t="shared" si="4"/>
        <v>83</v>
      </c>
      <c r="S80" t="str" cm="1">
        <f t="array" ref="S80">IF(P80="","",_xlfn.SWITCH(LEFT(P80,1),"C","Ciudad","T","Pueblo","R","Rural","S","Suburbano","U","Urbano",""))</f>
        <v>Ciudad</v>
      </c>
      <c r="T80" t="str">
        <f t="shared" si="5"/>
        <v>F</v>
      </c>
      <c r="U80" t="str">
        <f t="shared" si="6"/>
        <v>CO</v>
      </c>
      <c r="V80" t="str">
        <f t="shared" si="7"/>
        <v>14104</v>
      </c>
    </row>
    <row r="81" spans="1:22" x14ac:dyDescent="0.35">
      <c r="A81" s="3">
        <v>140141</v>
      </c>
      <c r="B81" t="s">
        <v>54</v>
      </c>
      <c r="C81" t="s">
        <v>17</v>
      </c>
      <c r="D81">
        <v>619</v>
      </c>
      <c r="E81">
        <v>215</v>
      </c>
      <c r="F81">
        <v>268</v>
      </c>
      <c r="G81">
        <v>4</v>
      </c>
      <c r="H81">
        <v>10427</v>
      </c>
      <c r="I81">
        <v>2</v>
      </c>
      <c r="J81">
        <v>50</v>
      </c>
      <c r="K81">
        <v>222</v>
      </c>
      <c r="L81">
        <v>260</v>
      </c>
      <c r="M81">
        <v>12.8</v>
      </c>
      <c r="N81">
        <f>IFERROR(VLOOKUP(A81,vlookup_table!$A:$G,2,FALSE),"")</f>
        <v>0</v>
      </c>
      <c r="O81">
        <f>IFERROR(VLOOKUP(A81,vlookup_table!$A:$G,4,FALSE),"")</f>
        <v>4401</v>
      </c>
      <c r="P81" t="str">
        <f>IFERROR(VLOOKUP(A81,vlookup_table!$A:$G,5,FALSE),"")</f>
        <v>R2</v>
      </c>
      <c r="Q81">
        <f>IFERROR(VLOOKUP(A81,vlookup_table!$A:$G,7,FALSE),"")</f>
        <v>14</v>
      </c>
      <c r="R81">
        <f t="shared" si="4"/>
        <v>53</v>
      </c>
      <c r="S81" t="str" cm="1">
        <f t="array" ref="S81">IF(P81="","",_xlfn.SWITCH(LEFT(P81,1),"C","Ciudad","T","Pueblo","R","Rural","S","Suburbano","U","Urbano",""))</f>
        <v>Rural</v>
      </c>
      <c r="T81" t="str">
        <f t="shared" si="5"/>
        <v>F</v>
      </c>
      <c r="U81" t="str">
        <f t="shared" si="6"/>
        <v>NM</v>
      </c>
      <c r="V81" t="str">
        <f t="shared" si="7"/>
        <v>10427</v>
      </c>
    </row>
    <row r="82" spans="1:22" x14ac:dyDescent="0.35">
      <c r="A82" s="3">
        <v>85416</v>
      </c>
      <c r="B82" t="s">
        <v>25</v>
      </c>
      <c r="C82" t="s">
        <v>17</v>
      </c>
      <c r="D82">
        <v>3303</v>
      </c>
      <c r="E82">
        <v>533</v>
      </c>
      <c r="F82">
        <v>614</v>
      </c>
      <c r="G82">
        <v>94</v>
      </c>
      <c r="H82">
        <v>24251</v>
      </c>
      <c r="I82">
        <v>13</v>
      </c>
      <c r="J82">
        <v>45</v>
      </c>
      <c r="K82">
        <v>568</v>
      </c>
      <c r="L82">
        <v>586</v>
      </c>
      <c r="M82">
        <v>14</v>
      </c>
      <c r="N82">
        <f>IFERROR(VLOOKUP(A82,vlookup_table!$A:$G,2,FALSE),"")</f>
        <v>0</v>
      </c>
      <c r="O82">
        <f>IFERROR(VLOOKUP(A82,vlookup_table!$A:$G,4,FALSE),"")</f>
        <v>0</v>
      </c>
      <c r="P82" t="str">
        <f>IFERROR(VLOOKUP(A82,vlookup_table!$A:$G,5,FALSE),"")</f>
        <v>C2</v>
      </c>
      <c r="Q82">
        <f>IFERROR(VLOOKUP(A82,vlookup_table!$A:$G,7,FALSE),"")</f>
        <v>25</v>
      </c>
      <c r="R82">
        <f t="shared" si="4"/>
        <v>97</v>
      </c>
      <c r="S82" t="str" cm="1">
        <f t="array" ref="S82">IF(P82="","",_xlfn.SWITCH(LEFT(P82,1),"C","Ciudad","T","Pueblo","R","Rural","S","Suburbano","U","Urbano",""))</f>
        <v>Ciudad</v>
      </c>
      <c r="T82" t="str">
        <f t="shared" si="5"/>
        <v>F</v>
      </c>
      <c r="U82" t="str">
        <f t="shared" si="6"/>
        <v>CA</v>
      </c>
      <c r="V82" t="str">
        <f t="shared" si="7"/>
        <v>24251</v>
      </c>
    </row>
    <row r="83" spans="1:22" x14ac:dyDescent="0.35">
      <c r="A83" s="3">
        <v>108150</v>
      </c>
      <c r="B83" t="s">
        <v>49</v>
      </c>
      <c r="C83" t="s">
        <v>17</v>
      </c>
      <c r="D83">
        <v>960</v>
      </c>
      <c r="E83">
        <v>479</v>
      </c>
      <c r="F83">
        <v>613</v>
      </c>
      <c r="G83">
        <v>0</v>
      </c>
      <c r="H83">
        <v>19518</v>
      </c>
      <c r="I83">
        <v>10</v>
      </c>
      <c r="J83">
        <v>57</v>
      </c>
      <c r="K83">
        <v>526</v>
      </c>
      <c r="L83">
        <v>548</v>
      </c>
      <c r="M83">
        <v>15.2</v>
      </c>
      <c r="N83">
        <f>IFERROR(VLOOKUP(A83,vlookup_table!$A:$G,2,FALSE),"")</f>
        <v>2</v>
      </c>
      <c r="O83">
        <f>IFERROR(VLOOKUP(A83,vlookup_table!$A:$G,4,FALSE),"")</f>
        <v>6312</v>
      </c>
      <c r="P83" t="str">
        <f>IFERROR(VLOOKUP(A83,vlookup_table!$A:$G,5,FALSE),"")</f>
        <v>S1</v>
      </c>
      <c r="Q83">
        <f>IFERROR(VLOOKUP(A83,vlookup_table!$A:$G,7,FALSE),"")</f>
        <v>20</v>
      </c>
      <c r="R83">
        <f t="shared" si="4"/>
        <v>34</v>
      </c>
      <c r="S83" t="str" cm="1">
        <f t="array" ref="S83">IF(P83="","",_xlfn.SWITCH(LEFT(P83,1),"C","Ciudad","T","Pueblo","R","Rural","S","Suburbano","U","Urbano",""))</f>
        <v>Suburbano</v>
      </c>
      <c r="T83" t="str">
        <f t="shared" si="5"/>
        <v>F</v>
      </c>
      <c r="U83" t="str">
        <f t="shared" si="6"/>
        <v>LA</v>
      </c>
      <c r="V83" t="str">
        <f t="shared" si="7"/>
        <v>19518</v>
      </c>
    </row>
    <row r="84" spans="1:22" x14ac:dyDescent="0.35">
      <c r="A84" s="3">
        <v>129823</v>
      </c>
      <c r="B84" t="s">
        <v>48</v>
      </c>
      <c r="C84" t="s">
        <v>14</v>
      </c>
      <c r="D84">
        <v>1236</v>
      </c>
      <c r="E84">
        <v>622</v>
      </c>
      <c r="F84">
        <v>737</v>
      </c>
      <c r="G84">
        <v>13</v>
      </c>
      <c r="H84">
        <v>25882</v>
      </c>
      <c r="I84">
        <v>2</v>
      </c>
      <c r="J84">
        <v>29</v>
      </c>
      <c r="K84">
        <v>630</v>
      </c>
      <c r="L84">
        <v>727</v>
      </c>
      <c r="M84">
        <v>6.076923077</v>
      </c>
      <c r="N84">
        <f>IFERROR(VLOOKUP(A84,vlookup_table!$A:$G,2,FALSE),"")</f>
        <v>1002</v>
      </c>
      <c r="O84">
        <f>IFERROR(VLOOKUP(A84,vlookup_table!$A:$G,4,FALSE),"")</f>
        <v>5601</v>
      </c>
      <c r="P84" t="str">
        <f>IFERROR(VLOOKUP(A84,vlookup_table!$A:$G,5,FALSE),"")</f>
        <v>S1</v>
      </c>
      <c r="Q84">
        <f>IFERROR(VLOOKUP(A84,vlookup_table!$A:$G,7,FALSE),"")</f>
        <v>10</v>
      </c>
      <c r="R84">
        <f t="shared" si="4"/>
        <v>41</v>
      </c>
      <c r="S84" t="str" cm="1">
        <f t="array" ref="S84">IF(P84="","",_xlfn.SWITCH(LEFT(P84,1),"C","Ciudad","T","Pueblo","R","Rural","S","Suburbano","U","Urbano",""))</f>
        <v>Suburbano</v>
      </c>
      <c r="T84" t="str">
        <f t="shared" si="5"/>
        <v>M</v>
      </c>
      <c r="U84" t="str">
        <f t="shared" si="6"/>
        <v>CO</v>
      </c>
      <c r="V84" t="str">
        <f t="shared" si="7"/>
        <v>25882</v>
      </c>
    </row>
    <row r="85" spans="1:22" x14ac:dyDescent="0.35">
      <c r="A85" s="3">
        <v>104413</v>
      </c>
      <c r="B85" t="s">
        <v>55</v>
      </c>
      <c r="C85" t="s">
        <v>14</v>
      </c>
      <c r="D85">
        <v>473</v>
      </c>
      <c r="E85">
        <v>164</v>
      </c>
      <c r="F85">
        <v>215</v>
      </c>
      <c r="G85">
        <v>1</v>
      </c>
      <c r="H85">
        <v>9819</v>
      </c>
      <c r="I85">
        <v>6</v>
      </c>
      <c r="J85">
        <v>23</v>
      </c>
      <c r="K85">
        <v>179</v>
      </c>
      <c r="L85">
        <v>207</v>
      </c>
      <c r="M85">
        <v>5.5</v>
      </c>
      <c r="N85">
        <f>IFERROR(VLOOKUP(A85,vlookup_table!$A:$G,2,FALSE),"")</f>
        <v>1</v>
      </c>
      <c r="O85">
        <f>IFERROR(VLOOKUP(A85,vlookup_table!$A:$G,4,FALSE),"")</f>
        <v>4201</v>
      </c>
      <c r="P85" t="str">
        <f>IFERROR(VLOOKUP(A85,vlookup_table!$A:$G,5,FALSE),"")</f>
        <v>R2</v>
      </c>
      <c r="Q85">
        <f>IFERROR(VLOOKUP(A85,vlookup_table!$A:$G,7,FALSE),"")</f>
        <v>6</v>
      </c>
      <c r="R85">
        <f t="shared" si="4"/>
        <v>55</v>
      </c>
      <c r="S85" t="str" cm="1">
        <f t="array" ref="S85">IF(P85="","",_xlfn.SWITCH(LEFT(P85,1),"C","Ciudad","T","Pueblo","R","Rural","S","Suburbano","U","Urbano",""))</f>
        <v>Rural</v>
      </c>
      <c r="T85" t="str">
        <f t="shared" si="5"/>
        <v>M</v>
      </c>
      <c r="U85" t="str">
        <f t="shared" si="6"/>
        <v>AZ</v>
      </c>
      <c r="V85" t="str">
        <f t="shared" si="7"/>
        <v>9819</v>
      </c>
    </row>
    <row r="86" spans="1:22" x14ac:dyDescent="0.35">
      <c r="A86" s="3">
        <v>60512</v>
      </c>
      <c r="B86" t="s">
        <v>16</v>
      </c>
      <c r="D86">
        <v>1055</v>
      </c>
      <c r="E86">
        <v>366</v>
      </c>
      <c r="F86">
        <v>400</v>
      </c>
      <c r="G86">
        <v>0</v>
      </c>
      <c r="H86">
        <v>11289</v>
      </c>
      <c r="I86">
        <v>8</v>
      </c>
      <c r="J86">
        <v>74</v>
      </c>
      <c r="K86">
        <v>462</v>
      </c>
      <c r="L86">
        <v>379</v>
      </c>
      <c r="M86">
        <v>20.8</v>
      </c>
      <c r="N86">
        <f>IFERROR(VLOOKUP(A86,vlookup_table!$A:$G,2,FALSE),"")</f>
        <v>2</v>
      </c>
      <c r="O86">
        <f>IFERROR(VLOOKUP(A86,vlookup_table!$A:$G,4,FALSE),"")</f>
        <v>2801</v>
      </c>
      <c r="P86" t="str">
        <f>IFERROR(VLOOKUP(A86,vlookup_table!$A:$G,5,FALSE),"")</f>
        <v>S2</v>
      </c>
      <c r="Q86">
        <f>IFERROR(VLOOKUP(A86,vlookup_table!$A:$G,7,FALSE),"")</f>
        <v>25</v>
      </c>
      <c r="R86">
        <f t="shared" si="4"/>
        <v>69</v>
      </c>
      <c r="S86" t="str" cm="1">
        <f t="array" ref="S86">IF(P86="","",_xlfn.SWITCH(LEFT(P86,1),"C","Ciudad","T","Pueblo","R","Rural","S","Suburbano","U","Urbano",""))</f>
        <v>Suburbano</v>
      </c>
      <c r="T86" t="str">
        <f t="shared" si="5"/>
        <v/>
      </c>
      <c r="U86" t="str">
        <f t="shared" si="6"/>
        <v>IL</v>
      </c>
      <c r="V86" t="str">
        <f t="shared" si="7"/>
        <v>11289</v>
      </c>
    </row>
    <row r="87" spans="1:22" x14ac:dyDescent="0.35">
      <c r="A87" s="3">
        <v>90480</v>
      </c>
      <c r="B87" t="s">
        <v>16</v>
      </c>
      <c r="C87" t="s">
        <v>17</v>
      </c>
      <c r="D87">
        <v>1509</v>
      </c>
      <c r="E87">
        <v>545</v>
      </c>
      <c r="F87">
        <v>680</v>
      </c>
      <c r="G87">
        <v>19</v>
      </c>
      <c r="H87">
        <v>23170</v>
      </c>
      <c r="I87">
        <v>7</v>
      </c>
      <c r="J87">
        <v>75</v>
      </c>
      <c r="K87">
        <v>617</v>
      </c>
      <c r="L87">
        <v>599</v>
      </c>
      <c r="M87">
        <v>9</v>
      </c>
      <c r="N87">
        <f>IFERROR(VLOOKUP(A87,vlookup_table!$A:$G,2,FALSE),"")</f>
        <v>0</v>
      </c>
      <c r="O87">
        <f>IFERROR(VLOOKUP(A87,vlookup_table!$A:$G,4,FALSE),"")</f>
        <v>4201</v>
      </c>
      <c r="P87" t="str">
        <f>IFERROR(VLOOKUP(A87,vlookup_table!$A:$G,5,FALSE),"")</f>
        <v>C1</v>
      </c>
      <c r="Q87">
        <f>IFERROR(VLOOKUP(A87,vlookup_table!$A:$G,7,FALSE),"")</f>
        <v>11</v>
      </c>
      <c r="R87">
        <f t="shared" si="4"/>
        <v>55</v>
      </c>
      <c r="S87" t="str" cm="1">
        <f t="array" ref="S87">IF(P87="","",_xlfn.SWITCH(LEFT(P87,1),"C","Ciudad","T","Pueblo","R","Rural","S","Suburbano","U","Urbano",""))</f>
        <v>Ciudad</v>
      </c>
      <c r="T87" t="str">
        <f t="shared" si="5"/>
        <v>F</v>
      </c>
      <c r="U87" t="str">
        <f t="shared" si="6"/>
        <v>IL</v>
      </c>
      <c r="V87" t="str">
        <f t="shared" si="7"/>
        <v>23170</v>
      </c>
    </row>
    <row r="88" spans="1:22" x14ac:dyDescent="0.35">
      <c r="A88" s="3">
        <v>148911</v>
      </c>
      <c r="B88" t="s">
        <v>25</v>
      </c>
      <c r="C88" t="s">
        <v>17</v>
      </c>
      <c r="D88">
        <v>1953</v>
      </c>
      <c r="E88">
        <v>454</v>
      </c>
      <c r="F88">
        <v>564</v>
      </c>
      <c r="G88">
        <v>47</v>
      </c>
      <c r="H88">
        <v>21667</v>
      </c>
      <c r="I88">
        <v>11</v>
      </c>
      <c r="J88">
        <v>47</v>
      </c>
      <c r="K88">
        <v>526</v>
      </c>
      <c r="L88">
        <v>478</v>
      </c>
      <c r="M88">
        <v>15.5</v>
      </c>
      <c r="N88">
        <f>IFERROR(VLOOKUP(A88,vlookup_table!$A:$G,2,FALSE),"")</f>
        <v>28</v>
      </c>
      <c r="O88">
        <f>IFERROR(VLOOKUP(A88,vlookup_table!$A:$G,4,FALSE),"")</f>
        <v>7201</v>
      </c>
      <c r="P88" t="str">
        <f>IFERROR(VLOOKUP(A88,vlookup_table!$A:$G,5,FALSE),"")</f>
        <v>C2</v>
      </c>
      <c r="Q88">
        <f>IFERROR(VLOOKUP(A88,vlookup_table!$A:$G,7,FALSE),"")</f>
        <v>10</v>
      </c>
      <c r="R88">
        <f t="shared" si="4"/>
        <v>25</v>
      </c>
      <c r="S88" t="str" cm="1">
        <f t="array" ref="S88">IF(P88="","",_xlfn.SWITCH(LEFT(P88,1),"C","Ciudad","T","Pueblo","R","Rural","S","Suburbano","U","Urbano",""))</f>
        <v>Ciudad</v>
      </c>
      <c r="T88" t="str">
        <f t="shared" si="5"/>
        <v>F</v>
      </c>
      <c r="U88" t="str">
        <f t="shared" si="6"/>
        <v>CA</v>
      </c>
      <c r="V88" t="str">
        <f t="shared" si="7"/>
        <v>21667</v>
      </c>
    </row>
    <row r="89" spans="1:22" x14ac:dyDescent="0.35">
      <c r="A89" s="3">
        <v>52990</v>
      </c>
      <c r="B89" t="s">
        <v>53</v>
      </c>
      <c r="C89" t="s">
        <v>14</v>
      </c>
      <c r="D89">
        <v>927</v>
      </c>
      <c r="E89">
        <v>299</v>
      </c>
      <c r="F89">
        <v>410</v>
      </c>
      <c r="G89">
        <v>1</v>
      </c>
      <c r="H89">
        <v>14428</v>
      </c>
      <c r="I89">
        <v>1</v>
      </c>
      <c r="J89">
        <v>56</v>
      </c>
      <c r="K89">
        <v>322</v>
      </c>
      <c r="L89">
        <v>372</v>
      </c>
      <c r="M89">
        <v>5</v>
      </c>
      <c r="N89">
        <f>IFERROR(VLOOKUP(A89,vlookup_table!$A:$G,2,FALSE),"")</f>
        <v>1002</v>
      </c>
      <c r="O89">
        <f>IFERROR(VLOOKUP(A89,vlookup_table!$A:$G,4,FALSE),"")</f>
        <v>3801</v>
      </c>
      <c r="P89" t="str">
        <f>IFERROR(VLOOKUP(A89,vlookup_table!$A:$G,5,FALSE),"")</f>
        <v>T2</v>
      </c>
      <c r="Q89">
        <f>IFERROR(VLOOKUP(A89,vlookup_table!$A:$G,7,FALSE),"")</f>
        <v>26</v>
      </c>
      <c r="R89">
        <f t="shared" si="4"/>
        <v>59</v>
      </c>
      <c r="S89" t="str" cm="1">
        <f t="array" ref="S89">IF(P89="","",_xlfn.SWITCH(LEFT(P89,1),"C","Ciudad","T","Pueblo","R","Rural","S","Suburbano","U","Urbano",""))</f>
        <v>Pueblo</v>
      </c>
      <c r="T89" t="str">
        <f t="shared" si="5"/>
        <v>M</v>
      </c>
      <c r="U89" t="str">
        <f t="shared" si="6"/>
        <v>TN</v>
      </c>
      <c r="V89" t="str">
        <f t="shared" si="7"/>
        <v>14428</v>
      </c>
    </row>
    <row r="90" spans="1:22" x14ac:dyDescent="0.35">
      <c r="A90" s="3">
        <v>148022</v>
      </c>
      <c r="B90" t="s">
        <v>25</v>
      </c>
      <c r="C90" t="s">
        <v>17</v>
      </c>
      <c r="D90">
        <v>2098</v>
      </c>
      <c r="E90">
        <v>305</v>
      </c>
      <c r="F90">
        <v>368</v>
      </c>
      <c r="G90">
        <v>56</v>
      </c>
      <c r="H90">
        <v>13564</v>
      </c>
      <c r="I90">
        <v>56</v>
      </c>
      <c r="J90">
        <v>25</v>
      </c>
      <c r="K90">
        <v>311</v>
      </c>
      <c r="L90">
        <v>352</v>
      </c>
      <c r="M90">
        <v>6.076923077</v>
      </c>
      <c r="N90">
        <f>IFERROR(VLOOKUP(A90,vlookup_table!$A:$G,2,FALSE),"")</f>
        <v>0</v>
      </c>
      <c r="O90">
        <f>IFERROR(VLOOKUP(A90,vlookup_table!$A:$G,4,FALSE),"")</f>
        <v>4608</v>
      </c>
      <c r="P90" t="str">
        <f>IFERROR(VLOOKUP(A90,vlookup_table!$A:$G,5,FALSE),"")</f>
        <v>U2</v>
      </c>
      <c r="Q90">
        <f>IFERROR(VLOOKUP(A90,vlookup_table!$A:$G,7,FALSE),"")</f>
        <v>10</v>
      </c>
      <c r="R90">
        <f t="shared" si="4"/>
        <v>51</v>
      </c>
      <c r="S90" t="str" cm="1">
        <f t="array" ref="S90">IF(P90="","",_xlfn.SWITCH(LEFT(P90,1),"C","Ciudad","T","Pueblo","R","Rural","S","Suburbano","U","Urbano",""))</f>
        <v>Urbano</v>
      </c>
      <c r="T90" t="str">
        <f t="shared" si="5"/>
        <v>F</v>
      </c>
      <c r="U90" t="str">
        <f t="shared" si="6"/>
        <v>CA</v>
      </c>
      <c r="V90" t="str">
        <f t="shared" si="7"/>
        <v>13564</v>
      </c>
    </row>
    <row r="91" spans="1:22" x14ac:dyDescent="0.35">
      <c r="A91" s="3">
        <v>147406</v>
      </c>
      <c r="B91" t="s">
        <v>25</v>
      </c>
      <c r="C91" t="s">
        <v>14</v>
      </c>
      <c r="D91">
        <v>5209</v>
      </c>
      <c r="E91">
        <v>1054</v>
      </c>
      <c r="F91">
        <v>1128</v>
      </c>
      <c r="G91">
        <v>99</v>
      </c>
      <c r="H91">
        <v>52654</v>
      </c>
      <c r="I91">
        <v>7</v>
      </c>
      <c r="J91">
        <v>47</v>
      </c>
      <c r="K91">
        <v>1220</v>
      </c>
      <c r="L91">
        <v>1058</v>
      </c>
      <c r="M91">
        <v>30.941176469999998</v>
      </c>
      <c r="N91">
        <f>IFERROR(VLOOKUP(A91,vlookup_table!$A:$G,2,FALSE),"")</f>
        <v>1002</v>
      </c>
      <c r="O91">
        <f>IFERROR(VLOOKUP(A91,vlookup_table!$A:$G,4,FALSE),"")</f>
        <v>2801</v>
      </c>
      <c r="P91" t="str">
        <f>IFERROR(VLOOKUP(A91,vlookup_table!$A:$G,5,FALSE),"")</f>
        <v>U1</v>
      </c>
      <c r="Q91">
        <f>IFERROR(VLOOKUP(A91,vlookup_table!$A:$G,7,FALSE),"")</f>
        <v>38</v>
      </c>
      <c r="R91">
        <f t="shared" si="4"/>
        <v>69</v>
      </c>
      <c r="S91" t="str" cm="1">
        <f t="array" ref="S91">IF(P91="","",_xlfn.SWITCH(LEFT(P91,1),"C","Ciudad","T","Pueblo","R","Rural","S","Suburbano","U","Urbano",""))</f>
        <v>Urbano</v>
      </c>
      <c r="T91" t="str">
        <f t="shared" si="5"/>
        <v>M</v>
      </c>
      <c r="U91" t="str">
        <f t="shared" si="6"/>
        <v>CA</v>
      </c>
      <c r="V91" t="str">
        <f t="shared" si="7"/>
        <v>52654</v>
      </c>
    </row>
    <row r="92" spans="1:22" x14ac:dyDescent="0.35">
      <c r="A92" s="3">
        <v>103468</v>
      </c>
      <c r="B92" t="s">
        <v>36</v>
      </c>
      <c r="C92" t="s">
        <v>17</v>
      </c>
      <c r="D92">
        <v>476</v>
      </c>
      <c r="E92">
        <v>219</v>
      </c>
      <c r="F92">
        <v>319</v>
      </c>
      <c r="G92">
        <v>0</v>
      </c>
      <c r="H92">
        <v>10966</v>
      </c>
      <c r="I92">
        <v>1</v>
      </c>
      <c r="J92">
        <v>74</v>
      </c>
      <c r="K92">
        <v>280</v>
      </c>
      <c r="L92">
        <v>272</v>
      </c>
      <c r="M92">
        <v>7.1</v>
      </c>
      <c r="N92">
        <f>IFERROR(VLOOKUP(A92,vlookup_table!$A:$G,2,FALSE),"")</f>
        <v>0</v>
      </c>
      <c r="O92">
        <f>IFERROR(VLOOKUP(A92,vlookup_table!$A:$G,4,FALSE),"")</f>
        <v>4103</v>
      </c>
      <c r="P92" t="str">
        <f>IFERROR(VLOOKUP(A92,vlookup_table!$A:$G,5,FALSE),"")</f>
        <v>T2</v>
      </c>
      <c r="Q92">
        <f>IFERROR(VLOOKUP(A92,vlookup_table!$A:$G,7,FALSE),"")</f>
        <v>15</v>
      </c>
      <c r="R92">
        <f t="shared" si="4"/>
        <v>56</v>
      </c>
      <c r="S92" t="str" cm="1">
        <f t="array" ref="S92">IF(P92="","",_xlfn.SWITCH(LEFT(P92,1),"C","Ciudad","T","Pueblo","R","Rural","S","Suburbano","U","Urbano",""))</f>
        <v>Pueblo</v>
      </c>
      <c r="T92" t="str">
        <f t="shared" si="5"/>
        <v>F</v>
      </c>
      <c r="U92" t="str">
        <f t="shared" si="6"/>
        <v>MO</v>
      </c>
      <c r="V92" t="str">
        <f t="shared" si="7"/>
        <v>10966</v>
      </c>
    </row>
    <row r="93" spans="1:22" x14ac:dyDescent="0.35">
      <c r="A93" s="3">
        <v>84100</v>
      </c>
      <c r="B93" t="s">
        <v>56</v>
      </c>
      <c r="C93" t="s">
        <v>14</v>
      </c>
      <c r="D93">
        <v>1515</v>
      </c>
      <c r="E93">
        <v>648</v>
      </c>
      <c r="F93">
        <v>781</v>
      </c>
      <c r="G93">
        <v>17</v>
      </c>
      <c r="H93">
        <v>25787</v>
      </c>
      <c r="I93">
        <v>6</v>
      </c>
      <c r="J93">
        <v>63</v>
      </c>
      <c r="K93">
        <v>684</v>
      </c>
      <c r="L93">
        <v>717</v>
      </c>
      <c r="M93">
        <v>14</v>
      </c>
      <c r="N93">
        <f>IFERROR(VLOOKUP(A93,vlookup_table!$A:$G,2,FALSE),"")</f>
        <v>72</v>
      </c>
      <c r="O93">
        <f>IFERROR(VLOOKUP(A93,vlookup_table!$A:$G,4,FALSE),"")</f>
        <v>3201</v>
      </c>
      <c r="P93" t="str">
        <f>IFERROR(VLOOKUP(A93,vlookup_table!$A:$G,5,FALSE),"")</f>
        <v>S1</v>
      </c>
      <c r="Q93">
        <f>IFERROR(VLOOKUP(A93,vlookup_table!$A:$G,7,FALSE),"")</f>
        <v>14</v>
      </c>
      <c r="R93">
        <f t="shared" si="4"/>
        <v>65</v>
      </c>
      <c r="S93" t="str" cm="1">
        <f t="array" ref="S93">IF(P93="","",_xlfn.SWITCH(LEFT(P93,1),"C","Ciudad","T","Pueblo","R","Rural","S","Suburbano","U","Urbano",""))</f>
        <v>Suburbano</v>
      </c>
      <c r="T93" t="str">
        <f t="shared" si="5"/>
        <v>M</v>
      </c>
      <c r="U93" t="str">
        <f t="shared" si="6"/>
        <v>MN</v>
      </c>
      <c r="V93" t="str">
        <f t="shared" si="7"/>
        <v>25787</v>
      </c>
    </row>
    <row r="94" spans="1:22" x14ac:dyDescent="0.35">
      <c r="A94" s="3">
        <v>137548</v>
      </c>
      <c r="B94" t="s">
        <v>55</v>
      </c>
      <c r="C94" t="s">
        <v>14</v>
      </c>
      <c r="D94">
        <v>2158</v>
      </c>
      <c r="E94">
        <v>411</v>
      </c>
      <c r="F94">
        <v>640</v>
      </c>
      <c r="G94">
        <v>54</v>
      </c>
      <c r="H94">
        <v>33235</v>
      </c>
      <c r="I94">
        <v>7</v>
      </c>
      <c r="J94">
        <v>12</v>
      </c>
      <c r="K94">
        <v>516</v>
      </c>
      <c r="L94">
        <v>535</v>
      </c>
      <c r="M94">
        <v>7.9333333330000002</v>
      </c>
      <c r="N94">
        <f>IFERROR(VLOOKUP(A94,vlookup_table!$A:$G,2,FALSE),"")</f>
        <v>0</v>
      </c>
      <c r="O94">
        <f>IFERROR(VLOOKUP(A94,vlookup_table!$A:$G,4,FALSE),"")</f>
        <v>2009</v>
      </c>
      <c r="P94" t="str">
        <f>IFERROR(VLOOKUP(A94,vlookup_table!$A:$G,5,FALSE),"")</f>
        <v>C1</v>
      </c>
      <c r="Q94">
        <f>IFERROR(VLOOKUP(A94,vlookup_table!$A:$G,7,FALSE),"")</f>
        <v>9</v>
      </c>
      <c r="R94">
        <f t="shared" si="4"/>
        <v>77</v>
      </c>
      <c r="S94" t="str" cm="1">
        <f t="array" ref="S94">IF(P94="","",_xlfn.SWITCH(LEFT(P94,1),"C","Ciudad","T","Pueblo","R","Rural","S","Suburbano","U","Urbano",""))</f>
        <v>Ciudad</v>
      </c>
      <c r="T94" t="str">
        <f t="shared" si="5"/>
        <v>M</v>
      </c>
      <c r="U94" t="str">
        <f t="shared" si="6"/>
        <v>AZ</v>
      </c>
      <c r="V94" t="str">
        <f t="shared" si="7"/>
        <v>33235</v>
      </c>
    </row>
    <row r="95" spans="1:22" x14ac:dyDescent="0.35">
      <c r="A95" s="3">
        <v>6932</v>
      </c>
      <c r="B95" t="s">
        <v>36</v>
      </c>
      <c r="C95" t="s">
        <v>14</v>
      </c>
      <c r="D95">
        <v>1110</v>
      </c>
      <c r="E95">
        <v>460</v>
      </c>
      <c r="F95">
        <v>624</v>
      </c>
      <c r="G95">
        <v>5</v>
      </c>
      <c r="H95">
        <v>21875</v>
      </c>
      <c r="I95">
        <v>2</v>
      </c>
      <c r="J95">
        <v>58</v>
      </c>
      <c r="K95">
        <v>544</v>
      </c>
      <c r="L95">
        <v>538</v>
      </c>
      <c r="M95">
        <v>7.2647058820000003</v>
      </c>
      <c r="N95">
        <f>IFERROR(VLOOKUP(A95,vlookup_table!$A:$G,2,FALSE),"")</f>
        <v>1</v>
      </c>
      <c r="O95">
        <f>IFERROR(VLOOKUP(A95,vlookup_table!$A:$G,4,FALSE),"")</f>
        <v>1708</v>
      </c>
      <c r="P95" t="str">
        <f>IFERROR(VLOOKUP(A95,vlookup_table!$A:$G,5,FALSE),"")</f>
        <v>S1</v>
      </c>
      <c r="Q95">
        <f>IFERROR(VLOOKUP(A95,vlookup_table!$A:$G,7,FALSE),"")</f>
        <v>10</v>
      </c>
      <c r="R95">
        <f t="shared" si="4"/>
        <v>80</v>
      </c>
      <c r="S95" t="str" cm="1">
        <f t="array" ref="S95">IF(P95="","",_xlfn.SWITCH(LEFT(P95,1),"C","Ciudad","T","Pueblo","R","Rural","S","Suburbano","U","Urbano",""))</f>
        <v>Suburbano</v>
      </c>
      <c r="T95" t="str">
        <f t="shared" si="5"/>
        <v>M</v>
      </c>
      <c r="U95" t="str">
        <f t="shared" si="6"/>
        <v>MO</v>
      </c>
      <c r="V95" t="str">
        <f t="shared" si="7"/>
        <v>21875</v>
      </c>
    </row>
    <row r="96" spans="1:22" x14ac:dyDescent="0.35">
      <c r="A96" s="3">
        <v>37118</v>
      </c>
      <c r="B96" t="s">
        <v>13</v>
      </c>
      <c r="D96">
        <v>581</v>
      </c>
      <c r="E96">
        <v>349</v>
      </c>
      <c r="F96">
        <v>373</v>
      </c>
      <c r="G96">
        <v>0</v>
      </c>
      <c r="H96">
        <v>9667</v>
      </c>
      <c r="I96">
        <v>19</v>
      </c>
      <c r="J96">
        <v>53</v>
      </c>
      <c r="K96">
        <v>361</v>
      </c>
      <c r="L96">
        <v>359</v>
      </c>
      <c r="M96">
        <v>9.8571428569999995</v>
      </c>
      <c r="N96">
        <f>IFERROR(VLOOKUP(A96,vlookup_table!$A:$G,2,FALSE),"")</f>
        <v>0</v>
      </c>
      <c r="O96">
        <f>IFERROR(VLOOKUP(A96,vlookup_table!$A:$G,4,FALSE),"")</f>
        <v>2607</v>
      </c>
      <c r="P96" t="str">
        <f>IFERROR(VLOOKUP(A96,vlookup_table!$A:$G,5,FALSE),"")</f>
        <v>S2</v>
      </c>
      <c r="Q96">
        <f>IFERROR(VLOOKUP(A96,vlookup_table!$A:$G,7,FALSE),"")</f>
        <v>15</v>
      </c>
      <c r="R96">
        <f t="shared" si="4"/>
        <v>71</v>
      </c>
      <c r="S96" t="str" cm="1">
        <f t="array" ref="S96">IF(P96="","",_xlfn.SWITCH(LEFT(P96,1),"C","Ciudad","T","Pueblo","R","Rural","S","Suburbano","U","Urbano",""))</f>
        <v>Suburbano</v>
      </c>
      <c r="T96" t="str">
        <f t="shared" si="5"/>
        <v/>
      </c>
      <c r="U96" t="str">
        <f t="shared" si="6"/>
        <v>FL</v>
      </c>
      <c r="V96" t="str">
        <f t="shared" si="7"/>
        <v>9667</v>
      </c>
    </row>
    <row r="97" spans="1:22" x14ac:dyDescent="0.35">
      <c r="A97" s="3">
        <v>109179</v>
      </c>
      <c r="B97" t="s">
        <v>49</v>
      </c>
      <c r="C97" t="s">
        <v>14</v>
      </c>
      <c r="D97">
        <v>563</v>
      </c>
      <c r="E97">
        <v>259</v>
      </c>
      <c r="F97">
        <v>342</v>
      </c>
      <c r="G97">
        <v>3</v>
      </c>
      <c r="H97">
        <v>10726</v>
      </c>
      <c r="I97">
        <v>1</v>
      </c>
      <c r="J97">
        <v>90</v>
      </c>
      <c r="K97">
        <v>301</v>
      </c>
      <c r="L97">
        <v>308</v>
      </c>
      <c r="M97">
        <v>10.18181818</v>
      </c>
      <c r="N97">
        <f>IFERROR(VLOOKUP(A97,vlookup_table!$A:$G,2,FALSE),"")</f>
        <v>0</v>
      </c>
      <c r="O97">
        <f>IFERROR(VLOOKUP(A97,vlookup_table!$A:$G,4,FALSE),"")</f>
        <v>4201</v>
      </c>
      <c r="P97" t="str">
        <f>IFERROR(VLOOKUP(A97,vlookup_table!$A:$G,5,FALSE),"")</f>
        <v>R2</v>
      </c>
      <c r="Q97">
        <f>IFERROR(VLOOKUP(A97,vlookup_table!$A:$G,7,FALSE),"")</f>
        <v>14</v>
      </c>
      <c r="R97">
        <f t="shared" si="4"/>
        <v>55</v>
      </c>
      <c r="S97" t="str" cm="1">
        <f t="array" ref="S97">IF(P97="","",_xlfn.SWITCH(LEFT(P97,1),"C","Ciudad","T","Pueblo","R","Rural","S","Suburbano","U","Urbano",""))</f>
        <v>Rural</v>
      </c>
      <c r="T97" t="str">
        <f t="shared" si="5"/>
        <v>M</v>
      </c>
      <c r="U97" t="str">
        <f t="shared" si="6"/>
        <v>LA</v>
      </c>
      <c r="V97" t="str">
        <f t="shared" si="7"/>
        <v>10726</v>
      </c>
    </row>
    <row r="98" spans="1:22" x14ac:dyDescent="0.35">
      <c r="A98" s="3">
        <v>140642</v>
      </c>
      <c r="B98" t="s">
        <v>54</v>
      </c>
      <c r="C98" t="s">
        <v>17</v>
      </c>
      <c r="D98">
        <v>740</v>
      </c>
      <c r="E98">
        <v>240</v>
      </c>
      <c r="F98">
        <v>324</v>
      </c>
      <c r="G98">
        <v>2</v>
      </c>
      <c r="H98">
        <v>10701</v>
      </c>
      <c r="I98">
        <v>9</v>
      </c>
      <c r="J98">
        <v>26</v>
      </c>
      <c r="K98">
        <v>288</v>
      </c>
      <c r="L98">
        <v>294</v>
      </c>
      <c r="M98">
        <v>5</v>
      </c>
      <c r="N98">
        <f>IFERROR(VLOOKUP(A98,vlookup_table!$A:$G,2,FALSE),"")</f>
        <v>2</v>
      </c>
      <c r="O98">
        <f>IFERROR(VLOOKUP(A98,vlookup_table!$A:$G,4,FALSE),"")</f>
        <v>2710</v>
      </c>
      <c r="P98" t="str">
        <f>IFERROR(VLOOKUP(A98,vlookup_table!$A:$G,5,FALSE),"")</f>
        <v>T2</v>
      </c>
      <c r="Q98">
        <f>IFERROR(VLOOKUP(A98,vlookup_table!$A:$G,7,FALSE),"")</f>
        <v>5</v>
      </c>
      <c r="R98">
        <f t="shared" si="4"/>
        <v>70</v>
      </c>
      <c r="S98" t="str" cm="1">
        <f t="array" ref="S98">IF(P98="","",_xlfn.SWITCH(LEFT(P98,1),"C","Ciudad","T","Pueblo","R","Rural","S","Suburbano","U","Urbano",""))</f>
        <v>Pueblo</v>
      </c>
      <c r="T98" t="str">
        <f t="shared" si="5"/>
        <v>F</v>
      </c>
      <c r="U98" t="str">
        <f t="shared" si="6"/>
        <v>NM</v>
      </c>
      <c r="V98" t="str">
        <f t="shared" si="7"/>
        <v>10701</v>
      </c>
    </row>
    <row r="99" spans="1:22" x14ac:dyDescent="0.35">
      <c r="A99" s="3">
        <v>77057</v>
      </c>
      <c r="B99" t="s">
        <v>47</v>
      </c>
      <c r="C99" t="s">
        <v>17</v>
      </c>
      <c r="D99">
        <v>516</v>
      </c>
      <c r="E99">
        <v>332</v>
      </c>
      <c r="F99">
        <v>379</v>
      </c>
      <c r="G99">
        <v>0</v>
      </c>
      <c r="H99">
        <v>13293</v>
      </c>
      <c r="I99">
        <v>2</v>
      </c>
      <c r="J99">
        <v>75</v>
      </c>
      <c r="K99">
        <v>378</v>
      </c>
      <c r="L99">
        <v>347</v>
      </c>
      <c r="M99">
        <v>12.33333333</v>
      </c>
      <c r="N99">
        <f>IFERROR(VLOOKUP(A99,vlookup_table!$A:$G,2,FALSE),"")</f>
        <v>0</v>
      </c>
      <c r="O99">
        <f>IFERROR(VLOOKUP(A99,vlookup_table!$A:$G,4,FALSE),"")</f>
        <v>3601</v>
      </c>
      <c r="P99" t="str">
        <f>IFERROR(VLOOKUP(A99,vlookup_table!$A:$G,5,FALSE),"")</f>
        <v>S2</v>
      </c>
      <c r="Q99">
        <f>IFERROR(VLOOKUP(A99,vlookup_table!$A:$G,7,FALSE),"")</f>
        <v>15</v>
      </c>
      <c r="R99">
        <f t="shared" si="4"/>
        <v>61</v>
      </c>
      <c r="S99" t="str" cm="1">
        <f t="array" ref="S99">IF(P99="","",_xlfn.SWITCH(LEFT(P99,1),"C","Ciudad","T","Pueblo","R","Rural","S","Suburbano","U","Urbano",""))</f>
        <v>Suburbano</v>
      </c>
      <c r="T99" t="str">
        <f t="shared" si="5"/>
        <v>F</v>
      </c>
      <c r="U99" t="str">
        <f t="shared" si="6"/>
        <v>IA</v>
      </c>
      <c r="V99" t="str">
        <f t="shared" si="7"/>
        <v>13293</v>
      </c>
    </row>
    <row r="100" spans="1:22" x14ac:dyDescent="0.35">
      <c r="A100" s="3">
        <v>83131</v>
      </c>
      <c r="B100" t="s">
        <v>56</v>
      </c>
      <c r="C100" t="s">
        <v>14</v>
      </c>
      <c r="D100">
        <v>575</v>
      </c>
      <c r="E100">
        <v>249</v>
      </c>
      <c r="F100">
        <v>316</v>
      </c>
      <c r="G100">
        <v>0</v>
      </c>
      <c r="H100">
        <v>9843</v>
      </c>
      <c r="I100">
        <v>0</v>
      </c>
      <c r="J100">
        <v>86</v>
      </c>
      <c r="K100">
        <v>282</v>
      </c>
      <c r="L100">
        <v>290</v>
      </c>
      <c r="M100">
        <v>10</v>
      </c>
      <c r="N100">
        <f>IFERROR(VLOOKUP(A100,vlookup_table!$A:$G,2,FALSE),"")</f>
        <v>1</v>
      </c>
      <c r="O100">
        <f>IFERROR(VLOOKUP(A100,vlookup_table!$A:$G,4,FALSE),"")</f>
        <v>0</v>
      </c>
      <c r="P100" t="str">
        <f>IFERROR(VLOOKUP(A100,vlookup_table!$A:$G,5,FALSE),"")</f>
        <v>R2</v>
      </c>
      <c r="Q100">
        <f>IFERROR(VLOOKUP(A100,vlookup_table!$A:$G,7,FALSE),"")</f>
        <v>20</v>
      </c>
      <c r="R100">
        <f t="shared" si="4"/>
        <v>97</v>
      </c>
      <c r="S100" t="str" cm="1">
        <f t="array" ref="S100">IF(P100="","",_xlfn.SWITCH(LEFT(P100,1),"C","Ciudad","T","Pueblo","R","Rural","S","Suburbano","U","Urbano",""))</f>
        <v>Rural</v>
      </c>
      <c r="T100" t="str">
        <f t="shared" si="5"/>
        <v>M</v>
      </c>
      <c r="U100" t="str">
        <f t="shared" si="6"/>
        <v>MN</v>
      </c>
      <c r="V100" t="str">
        <f t="shared" si="7"/>
        <v>9843</v>
      </c>
    </row>
    <row r="101" spans="1:22" x14ac:dyDescent="0.35">
      <c r="A101" s="3">
        <v>168078</v>
      </c>
      <c r="B101" t="s">
        <v>25</v>
      </c>
      <c r="C101" t="s">
        <v>14</v>
      </c>
      <c r="D101">
        <v>2357</v>
      </c>
      <c r="E101">
        <v>511</v>
      </c>
      <c r="F101">
        <v>609</v>
      </c>
      <c r="G101">
        <v>81</v>
      </c>
      <c r="H101">
        <v>23786</v>
      </c>
      <c r="I101">
        <v>26</v>
      </c>
      <c r="J101">
        <v>55</v>
      </c>
      <c r="K101">
        <v>540</v>
      </c>
      <c r="L101">
        <v>570</v>
      </c>
      <c r="M101">
        <v>13.66666667</v>
      </c>
      <c r="N101">
        <f>IFERROR(VLOOKUP(A101,vlookup_table!$A:$G,2,FALSE),"")</f>
        <v>1</v>
      </c>
      <c r="O101">
        <f>IFERROR(VLOOKUP(A101,vlookup_table!$A:$G,4,FALSE),"")</f>
        <v>3501</v>
      </c>
      <c r="P101" t="str">
        <f>IFERROR(VLOOKUP(A101,vlookup_table!$A:$G,5,FALSE),"")</f>
        <v>S1</v>
      </c>
      <c r="Q101">
        <f>IFERROR(VLOOKUP(A101,vlookup_table!$A:$G,7,FALSE),"")</f>
        <v>19</v>
      </c>
      <c r="R101">
        <f t="shared" si="4"/>
        <v>62</v>
      </c>
      <c r="S101" t="str" cm="1">
        <f t="array" ref="S101">IF(P101="","",_xlfn.SWITCH(LEFT(P101,1),"C","Ciudad","T","Pueblo","R","Rural","S","Suburbano","U","Urbano",""))</f>
        <v>Suburbano</v>
      </c>
      <c r="T101" t="str">
        <f t="shared" si="5"/>
        <v>M</v>
      </c>
      <c r="U101" t="str">
        <f t="shared" si="6"/>
        <v>CA</v>
      </c>
      <c r="V101" t="str">
        <f t="shared" si="7"/>
        <v>23786</v>
      </c>
    </row>
    <row r="102" spans="1:22" x14ac:dyDescent="0.35">
      <c r="A102" s="3">
        <v>32975</v>
      </c>
      <c r="B102" t="s">
        <v>46</v>
      </c>
      <c r="C102" t="s">
        <v>14</v>
      </c>
      <c r="D102">
        <v>645</v>
      </c>
      <c r="E102">
        <v>304</v>
      </c>
      <c r="F102">
        <v>376</v>
      </c>
      <c r="G102">
        <v>0</v>
      </c>
      <c r="H102">
        <v>6826</v>
      </c>
      <c r="I102">
        <v>3</v>
      </c>
      <c r="J102">
        <v>15</v>
      </c>
      <c r="K102">
        <v>360</v>
      </c>
      <c r="L102">
        <v>306</v>
      </c>
      <c r="M102">
        <v>10.875</v>
      </c>
      <c r="N102">
        <f>IFERROR(VLOOKUP(A102,vlookup_table!$A:$G,2,FALSE),"")</f>
        <v>1</v>
      </c>
      <c r="O102">
        <f>IFERROR(VLOOKUP(A102,vlookup_table!$A:$G,4,FALSE),"")</f>
        <v>5908</v>
      </c>
      <c r="P102" t="str">
        <f>IFERROR(VLOOKUP(A102,vlookup_table!$A:$G,5,FALSE),"")</f>
        <v>S2</v>
      </c>
      <c r="Q102">
        <f>IFERROR(VLOOKUP(A102,vlookup_table!$A:$G,7,FALSE),"")</f>
        <v>25</v>
      </c>
      <c r="R102">
        <f t="shared" si="4"/>
        <v>38</v>
      </c>
      <c r="S102" t="str" cm="1">
        <f t="array" ref="S102">IF(P102="","",_xlfn.SWITCH(LEFT(P102,1),"C","Ciudad","T","Pueblo","R","Rural","S","Suburbano","U","Urbano",""))</f>
        <v>Suburbano</v>
      </c>
      <c r="T102" t="str">
        <f t="shared" si="5"/>
        <v>M</v>
      </c>
      <c r="U102" t="str">
        <f t="shared" si="6"/>
        <v>SC</v>
      </c>
      <c r="V102" t="str">
        <f t="shared" si="7"/>
        <v>6826</v>
      </c>
    </row>
    <row r="103" spans="1:22" x14ac:dyDescent="0.35">
      <c r="A103" s="3">
        <v>37472</v>
      </c>
      <c r="B103" t="s">
        <v>13</v>
      </c>
      <c r="C103" t="s">
        <v>14</v>
      </c>
      <c r="D103">
        <v>825</v>
      </c>
      <c r="E103">
        <v>233</v>
      </c>
      <c r="F103">
        <v>301</v>
      </c>
      <c r="G103">
        <v>0</v>
      </c>
      <c r="H103">
        <v>9747</v>
      </c>
      <c r="I103">
        <v>63</v>
      </c>
      <c r="J103">
        <v>21</v>
      </c>
      <c r="K103">
        <v>239</v>
      </c>
      <c r="L103">
        <v>290</v>
      </c>
      <c r="M103">
        <v>20</v>
      </c>
      <c r="N103">
        <f>IFERROR(VLOOKUP(A103,vlookup_table!$A:$G,2,FALSE),"")</f>
        <v>1</v>
      </c>
      <c r="O103">
        <f>IFERROR(VLOOKUP(A103,vlookup_table!$A:$G,4,FALSE),"")</f>
        <v>0</v>
      </c>
      <c r="P103" t="str">
        <f>IFERROR(VLOOKUP(A103,vlookup_table!$A:$G,5,FALSE),"")</f>
        <v>C3</v>
      </c>
      <c r="Q103">
        <f>IFERROR(VLOOKUP(A103,vlookup_table!$A:$G,7,FALSE),"")</f>
        <v>20</v>
      </c>
      <c r="R103">
        <f t="shared" si="4"/>
        <v>97</v>
      </c>
      <c r="S103" t="str" cm="1">
        <f t="array" ref="S103">IF(P103="","",_xlfn.SWITCH(LEFT(P103,1),"C","Ciudad","T","Pueblo","R","Rural","S","Suburbano","U","Urbano",""))</f>
        <v>Ciudad</v>
      </c>
      <c r="T103" t="str">
        <f t="shared" si="5"/>
        <v>M</v>
      </c>
      <c r="U103" t="str">
        <f t="shared" si="6"/>
        <v>FL</v>
      </c>
      <c r="V103" t="str">
        <f t="shared" si="7"/>
        <v>9747</v>
      </c>
    </row>
    <row r="104" spans="1:22" x14ac:dyDescent="0.35">
      <c r="A104" s="3">
        <v>63113</v>
      </c>
      <c r="B104" t="s">
        <v>33</v>
      </c>
      <c r="C104" t="s">
        <v>14</v>
      </c>
      <c r="D104">
        <v>531</v>
      </c>
      <c r="E104">
        <v>246</v>
      </c>
      <c r="F104">
        <v>290</v>
      </c>
      <c r="G104">
        <v>0</v>
      </c>
      <c r="H104">
        <v>10423</v>
      </c>
      <c r="I104">
        <v>2</v>
      </c>
      <c r="J104">
        <v>70</v>
      </c>
      <c r="K104">
        <v>278</v>
      </c>
      <c r="L104">
        <v>272</v>
      </c>
      <c r="M104">
        <v>5.375</v>
      </c>
      <c r="N104">
        <f>IFERROR(VLOOKUP(A104,vlookup_table!$A:$G,2,FALSE),"")</f>
        <v>0</v>
      </c>
      <c r="O104">
        <f>IFERROR(VLOOKUP(A104,vlookup_table!$A:$G,4,FALSE),"")</f>
        <v>2805</v>
      </c>
      <c r="P104" t="str">
        <f>IFERROR(VLOOKUP(A104,vlookup_table!$A:$G,5,FALSE),"")</f>
        <v>T2</v>
      </c>
      <c r="Q104">
        <f>IFERROR(VLOOKUP(A104,vlookup_table!$A:$G,7,FALSE),"")</f>
        <v>5</v>
      </c>
      <c r="R104">
        <f t="shared" si="4"/>
        <v>69</v>
      </c>
      <c r="S104" t="str" cm="1">
        <f t="array" ref="S104">IF(P104="","",_xlfn.SWITCH(LEFT(P104,1),"C","Ciudad","T","Pueblo","R","Rural","S","Suburbano","U","Urbano",""))</f>
        <v>Pueblo</v>
      </c>
      <c r="T104" t="str">
        <f t="shared" si="5"/>
        <v>M</v>
      </c>
      <c r="U104" t="str">
        <f t="shared" si="6"/>
        <v>IN</v>
      </c>
      <c r="V104" t="str">
        <f t="shared" si="7"/>
        <v>10423</v>
      </c>
    </row>
    <row r="105" spans="1:22" x14ac:dyDescent="0.35">
      <c r="A105" s="3">
        <v>57039</v>
      </c>
      <c r="B105" t="s">
        <v>57</v>
      </c>
      <c r="C105" t="s">
        <v>17</v>
      </c>
      <c r="D105">
        <v>195</v>
      </c>
      <c r="E105">
        <v>131</v>
      </c>
      <c r="F105">
        <v>179</v>
      </c>
      <c r="G105">
        <v>0</v>
      </c>
      <c r="H105">
        <v>5727</v>
      </c>
      <c r="I105">
        <v>0</v>
      </c>
      <c r="J105">
        <v>94</v>
      </c>
      <c r="K105">
        <v>148</v>
      </c>
      <c r="L105">
        <v>159</v>
      </c>
      <c r="M105">
        <v>4.3023255809999998</v>
      </c>
      <c r="N105">
        <f>IFERROR(VLOOKUP(A105,vlookup_table!$A:$G,2,FALSE),"")</f>
        <v>0</v>
      </c>
      <c r="O105">
        <f>IFERROR(VLOOKUP(A105,vlookup_table!$A:$G,4,FALSE),"")</f>
        <v>2911</v>
      </c>
      <c r="P105" t="str">
        <f>IFERROR(VLOOKUP(A105,vlookup_table!$A:$G,5,FALSE),"")</f>
        <v>R3</v>
      </c>
      <c r="Q105">
        <f>IFERROR(VLOOKUP(A105,vlookup_table!$A:$G,7,FALSE),"")</f>
        <v>5</v>
      </c>
      <c r="R105">
        <f t="shared" si="4"/>
        <v>68</v>
      </c>
      <c r="S105" t="str" cm="1">
        <f t="array" ref="S105">IF(P105="","",_xlfn.SWITCH(LEFT(P105,1),"C","Ciudad","T","Pueblo","R","Rural","S","Suburbano","U","Urbano",""))</f>
        <v>Rural</v>
      </c>
      <c r="T105" t="str">
        <f t="shared" si="5"/>
        <v>F</v>
      </c>
      <c r="U105" t="str">
        <f t="shared" si="6"/>
        <v>KY</v>
      </c>
      <c r="V105" t="str">
        <f t="shared" si="7"/>
        <v>5727</v>
      </c>
    </row>
    <row r="106" spans="1:22" x14ac:dyDescent="0.35">
      <c r="A106" s="3">
        <v>58786</v>
      </c>
      <c r="B106" t="s">
        <v>57</v>
      </c>
      <c r="C106" t="s">
        <v>17</v>
      </c>
      <c r="D106">
        <v>423</v>
      </c>
      <c r="E106">
        <v>293</v>
      </c>
      <c r="F106">
        <v>279</v>
      </c>
      <c r="G106">
        <v>0</v>
      </c>
      <c r="H106">
        <v>10343</v>
      </c>
      <c r="I106">
        <v>0</v>
      </c>
      <c r="J106">
        <v>82</v>
      </c>
      <c r="K106">
        <v>297</v>
      </c>
      <c r="L106">
        <v>274</v>
      </c>
      <c r="M106">
        <v>6.0555555559999998</v>
      </c>
      <c r="N106">
        <f>IFERROR(VLOOKUP(A106,vlookup_table!$A:$G,2,FALSE),"")</f>
        <v>0</v>
      </c>
      <c r="O106">
        <f>IFERROR(VLOOKUP(A106,vlookup_table!$A:$G,4,FALSE),"")</f>
        <v>2701</v>
      </c>
      <c r="P106" t="str">
        <f>IFERROR(VLOOKUP(A106,vlookup_table!$A:$G,5,FALSE),"")</f>
        <v>R2</v>
      </c>
      <c r="Q106">
        <f>IFERROR(VLOOKUP(A106,vlookup_table!$A:$G,7,FALSE),"")</f>
        <v>20</v>
      </c>
      <c r="R106">
        <f t="shared" si="4"/>
        <v>70</v>
      </c>
      <c r="S106" t="str" cm="1">
        <f t="array" ref="S106">IF(P106="","",_xlfn.SWITCH(LEFT(P106,1),"C","Ciudad","T","Pueblo","R","Rural","S","Suburbano","U","Urbano",""))</f>
        <v>Rural</v>
      </c>
      <c r="T106" t="str">
        <f t="shared" si="5"/>
        <v>F</v>
      </c>
      <c r="U106" t="str">
        <f t="shared" si="6"/>
        <v>KY</v>
      </c>
      <c r="V106" t="str">
        <f t="shared" si="7"/>
        <v>10343</v>
      </c>
    </row>
    <row r="107" spans="1:22" x14ac:dyDescent="0.35">
      <c r="A107" s="3">
        <v>164306</v>
      </c>
      <c r="B107" t="s">
        <v>25</v>
      </c>
      <c r="C107" t="s">
        <v>17</v>
      </c>
      <c r="D107">
        <v>2725</v>
      </c>
      <c r="E107">
        <v>629</v>
      </c>
      <c r="F107">
        <v>734</v>
      </c>
      <c r="G107">
        <v>83</v>
      </c>
      <c r="H107">
        <v>24424</v>
      </c>
      <c r="I107">
        <v>9</v>
      </c>
      <c r="J107">
        <v>51</v>
      </c>
      <c r="K107">
        <v>684</v>
      </c>
      <c r="L107">
        <v>662</v>
      </c>
      <c r="M107">
        <v>15</v>
      </c>
      <c r="N107">
        <f>IFERROR(VLOOKUP(A107,vlookup_table!$A:$G,2,FALSE),"")</f>
        <v>0</v>
      </c>
      <c r="O107">
        <f>IFERROR(VLOOKUP(A107,vlookup_table!$A:$G,4,FALSE),"")</f>
        <v>0</v>
      </c>
      <c r="P107" t="str">
        <f>IFERROR(VLOOKUP(A107,vlookup_table!$A:$G,5,FALSE),"")</f>
        <v>S2</v>
      </c>
      <c r="Q107">
        <f>IFERROR(VLOOKUP(A107,vlookup_table!$A:$G,7,FALSE),"")</f>
        <v>30</v>
      </c>
      <c r="R107">
        <f t="shared" si="4"/>
        <v>97</v>
      </c>
      <c r="S107" t="str" cm="1">
        <f t="array" ref="S107">IF(P107="","",_xlfn.SWITCH(LEFT(P107,1),"C","Ciudad","T","Pueblo","R","Rural","S","Suburbano","U","Urbano",""))</f>
        <v>Suburbano</v>
      </c>
      <c r="T107" t="str">
        <f t="shared" si="5"/>
        <v>F</v>
      </c>
      <c r="U107" t="str">
        <f t="shared" si="6"/>
        <v>CA</v>
      </c>
      <c r="V107" t="str">
        <f t="shared" si="7"/>
        <v>24424</v>
      </c>
    </row>
    <row r="108" spans="1:22" x14ac:dyDescent="0.35">
      <c r="A108" s="3">
        <v>113129</v>
      </c>
      <c r="B108" t="s">
        <v>31</v>
      </c>
      <c r="C108" t="s">
        <v>17</v>
      </c>
      <c r="D108">
        <v>359</v>
      </c>
      <c r="E108">
        <v>220</v>
      </c>
      <c r="F108">
        <v>299</v>
      </c>
      <c r="G108">
        <v>0</v>
      </c>
      <c r="H108">
        <v>13024</v>
      </c>
      <c r="I108">
        <v>0</v>
      </c>
      <c r="J108">
        <v>64</v>
      </c>
      <c r="K108">
        <v>247</v>
      </c>
      <c r="L108">
        <v>270</v>
      </c>
      <c r="M108">
        <v>20</v>
      </c>
      <c r="N108">
        <f>IFERROR(VLOOKUP(A108,vlookup_table!$A:$G,2,FALSE),"")</f>
        <v>0</v>
      </c>
      <c r="O108">
        <f>IFERROR(VLOOKUP(A108,vlookup_table!$A:$G,4,FALSE),"")</f>
        <v>1501</v>
      </c>
      <c r="P108" t="str">
        <f>IFERROR(VLOOKUP(A108,vlookup_table!$A:$G,5,FALSE),"")</f>
        <v>S1</v>
      </c>
      <c r="Q108">
        <f>IFERROR(VLOOKUP(A108,vlookup_table!$A:$G,7,FALSE),"")</f>
        <v>20</v>
      </c>
      <c r="R108">
        <f t="shared" si="4"/>
        <v>82</v>
      </c>
      <c r="S108" t="str" cm="1">
        <f t="array" ref="S108">IF(P108="","",_xlfn.SWITCH(LEFT(P108,1),"C","Ciudad","T","Pueblo","R","Rural","S","Suburbano","U","Urbano",""))</f>
        <v>Suburbano</v>
      </c>
      <c r="T108" t="str">
        <f t="shared" si="5"/>
        <v>F</v>
      </c>
      <c r="U108" t="str">
        <f t="shared" si="6"/>
        <v>OK</v>
      </c>
      <c r="V108" t="str">
        <f t="shared" si="7"/>
        <v>13024</v>
      </c>
    </row>
    <row r="109" spans="1:22" x14ac:dyDescent="0.35">
      <c r="A109" s="3">
        <v>19094</v>
      </c>
      <c r="B109" t="s">
        <v>42</v>
      </c>
      <c r="C109" t="s">
        <v>17</v>
      </c>
      <c r="D109">
        <v>1373</v>
      </c>
      <c r="E109">
        <v>472</v>
      </c>
      <c r="F109">
        <v>517</v>
      </c>
      <c r="G109">
        <v>2</v>
      </c>
      <c r="H109">
        <v>17363</v>
      </c>
      <c r="I109">
        <v>5</v>
      </c>
      <c r="J109">
        <v>71</v>
      </c>
      <c r="K109">
        <v>463</v>
      </c>
      <c r="L109">
        <v>504</v>
      </c>
      <c r="M109">
        <v>28.333333329999999</v>
      </c>
      <c r="N109">
        <f>IFERROR(VLOOKUP(A109,vlookup_table!$A:$G,2,FALSE),"")</f>
        <v>28</v>
      </c>
      <c r="O109">
        <f>IFERROR(VLOOKUP(A109,vlookup_table!$A:$G,4,FALSE),"")</f>
        <v>0</v>
      </c>
      <c r="P109" t="str">
        <f>IFERROR(VLOOKUP(A109,vlookup_table!$A:$G,5,FALSE),"")</f>
        <v>T1</v>
      </c>
      <c r="Q109">
        <f>IFERROR(VLOOKUP(A109,vlookup_table!$A:$G,7,FALSE),"")</f>
        <v>40</v>
      </c>
      <c r="R109">
        <f t="shared" si="4"/>
        <v>97</v>
      </c>
      <c r="S109" t="str" cm="1">
        <f t="array" ref="S109">IF(P109="","",_xlfn.SWITCH(LEFT(P109,1),"C","Ciudad","T","Pueblo","R","Rural","S","Suburbano","U","Urbano",""))</f>
        <v>Pueblo</v>
      </c>
      <c r="T109" t="str">
        <f t="shared" si="5"/>
        <v>F</v>
      </c>
      <c r="U109" t="str">
        <f t="shared" si="6"/>
        <v>CT</v>
      </c>
      <c r="V109" t="str">
        <f t="shared" si="7"/>
        <v>17363</v>
      </c>
    </row>
    <row r="110" spans="1:22" x14ac:dyDescent="0.35">
      <c r="A110" s="3">
        <v>102224</v>
      </c>
      <c r="B110" t="s">
        <v>58</v>
      </c>
      <c r="C110" t="s">
        <v>44</v>
      </c>
      <c r="D110">
        <v>1439</v>
      </c>
      <c r="E110">
        <v>370</v>
      </c>
      <c r="F110">
        <v>464</v>
      </c>
      <c r="G110">
        <v>3</v>
      </c>
      <c r="H110">
        <v>13353</v>
      </c>
      <c r="I110">
        <v>15</v>
      </c>
      <c r="J110">
        <v>61</v>
      </c>
      <c r="K110">
        <v>414</v>
      </c>
      <c r="L110">
        <v>417</v>
      </c>
      <c r="M110">
        <v>6.125</v>
      </c>
      <c r="N110">
        <f>IFERROR(VLOOKUP(A110,vlookup_table!$A:$G,2,FALSE),"")</f>
        <v>1002</v>
      </c>
      <c r="O110">
        <f>IFERROR(VLOOKUP(A110,vlookup_table!$A:$G,4,FALSE),"")</f>
        <v>0</v>
      </c>
      <c r="P110" t="str">
        <f>IFERROR(VLOOKUP(A110,vlookup_table!$A:$G,5,FALSE),"")</f>
        <v>S1</v>
      </c>
      <c r="Q110">
        <f>IFERROR(VLOOKUP(A110,vlookup_table!$A:$G,7,FALSE),"")</f>
        <v>6</v>
      </c>
      <c r="R110">
        <f t="shared" si="4"/>
        <v>97</v>
      </c>
      <c r="S110" t="str" cm="1">
        <f t="array" ref="S110">IF(P110="","",_xlfn.SWITCH(LEFT(P110,1),"C","Ciudad","T","Pueblo","R","Rural","S","Suburbano","U","Urbano",""))</f>
        <v>Suburbano</v>
      </c>
      <c r="T110" t="str">
        <f t="shared" si="5"/>
        <v>J</v>
      </c>
      <c r="U110" t="str">
        <f t="shared" si="6"/>
        <v>NJ</v>
      </c>
      <c r="V110" t="str">
        <f t="shared" si="7"/>
        <v>13353</v>
      </c>
    </row>
    <row r="111" spans="1:22" x14ac:dyDescent="0.35">
      <c r="A111" s="3">
        <v>155375</v>
      </c>
      <c r="B111" t="s">
        <v>25</v>
      </c>
      <c r="C111" t="s">
        <v>17</v>
      </c>
      <c r="D111">
        <v>889</v>
      </c>
      <c r="E111">
        <v>398</v>
      </c>
      <c r="F111">
        <v>495</v>
      </c>
      <c r="G111">
        <v>0</v>
      </c>
      <c r="H111">
        <v>13782</v>
      </c>
      <c r="I111">
        <v>7</v>
      </c>
      <c r="J111">
        <v>68</v>
      </c>
      <c r="K111">
        <v>488</v>
      </c>
      <c r="L111">
        <v>450</v>
      </c>
      <c r="M111">
        <v>5.846153846</v>
      </c>
      <c r="N111">
        <f>IFERROR(VLOOKUP(A111,vlookup_table!$A:$G,2,FALSE),"")</f>
        <v>2</v>
      </c>
      <c r="O111">
        <f>IFERROR(VLOOKUP(A111,vlookup_table!$A:$G,4,FALSE),"")</f>
        <v>2201</v>
      </c>
      <c r="P111" t="str">
        <f>IFERROR(VLOOKUP(A111,vlookup_table!$A:$G,5,FALSE),"")</f>
        <v>S2</v>
      </c>
      <c r="Q111">
        <f>IFERROR(VLOOKUP(A111,vlookup_table!$A:$G,7,FALSE),"")</f>
        <v>6</v>
      </c>
      <c r="R111">
        <f t="shared" si="4"/>
        <v>75</v>
      </c>
      <c r="S111" t="str" cm="1">
        <f t="array" ref="S111">IF(P111="","",_xlfn.SWITCH(LEFT(P111,1),"C","Ciudad","T","Pueblo","R","Rural","S","Suburbano","U","Urbano",""))</f>
        <v>Suburbano</v>
      </c>
      <c r="T111" t="str">
        <f t="shared" si="5"/>
        <v>F</v>
      </c>
      <c r="U111" t="str">
        <f t="shared" si="6"/>
        <v>CA</v>
      </c>
      <c r="V111" t="str">
        <f t="shared" si="7"/>
        <v>13782</v>
      </c>
    </row>
    <row r="112" spans="1:22" x14ac:dyDescent="0.35">
      <c r="A112" s="3">
        <v>185030</v>
      </c>
      <c r="B112" t="s">
        <v>13</v>
      </c>
      <c r="C112" t="s">
        <v>14</v>
      </c>
      <c r="D112">
        <v>824</v>
      </c>
      <c r="E112">
        <v>248</v>
      </c>
      <c r="F112">
        <v>326</v>
      </c>
      <c r="G112">
        <v>0</v>
      </c>
      <c r="H112">
        <v>15008</v>
      </c>
      <c r="I112">
        <v>15</v>
      </c>
      <c r="J112">
        <v>7</v>
      </c>
      <c r="K112">
        <v>274</v>
      </c>
      <c r="L112">
        <v>288</v>
      </c>
      <c r="M112">
        <v>10.15384615</v>
      </c>
      <c r="N112">
        <f>IFERROR(VLOOKUP(A112,vlookup_table!$A:$G,2,FALSE),"")</f>
        <v>0</v>
      </c>
      <c r="O112">
        <f>IFERROR(VLOOKUP(A112,vlookup_table!$A:$G,4,FALSE),"")</f>
        <v>1704</v>
      </c>
      <c r="P112" t="str">
        <f>IFERROR(VLOOKUP(A112,vlookup_table!$A:$G,5,FALSE),"")</f>
        <v>U1</v>
      </c>
      <c r="Q112">
        <f>IFERROR(VLOOKUP(A112,vlookup_table!$A:$G,7,FALSE),"")</f>
        <v>10</v>
      </c>
      <c r="R112">
        <f t="shared" si="4"/>
        <v>80</v>
      </c>
      <c r="S112" t="str" cm="1">
        <f t="array" ref="S112">IF(P112="","",_xlfn.SWITCH(LEFT(P112,1),"C","Ciudad","T","Pueblo","R","Rural","S","Suburbano","U","Urbano",""))</f>
        <v>Urbano</v>
      </c>
      <c r="T112" t="str">
        <f t="shared" si="5"/>
        <v>M</v>
      </c>
      <c r="U112" t="str">
        <f t="shared" si="6"/>
        <v>FL</v>
      </c>
      <c r="V112" t="str">
        <f t="shared" si="7"/>
        <v>15008</v>
      </c>
    </row>
    <row r="113" spans="1:22" x14ac:dyDescent="0.35">
      <c r="A113" s="3">
        <v>149887</v>
      </c>
      <c r="B113" t="s">
        <v>25</v>
      </c>
      <c r="C113" t="s">
        <v>14</v>
      </c>
      <c r="D113">
        <v>1993</v>
      </c>
      <c r="E113">
        <v>442</v>
      </c>
      <c r="F113">
        <v>520</v>
      </c>
      <c r="G113">
        <v>49</v>
      </c>
      <c r="H113">
        <v>16427</v>
      </c>
      <c r="I113">
        <v>15</v>
      </c>
      <c r="J113">
        <v>53</v>
      </c>
      <c r="K113">
        <v>472</v>
      </c>
      <c r="L113">
        <v>484</v>
      </c>
      <c r="M113">
        <v>10.83333333</v>
      </c>
      <c r="N113">
        <f>IFERROR(VLOOKUP(A113,vlookup_table!$A:$G,2,FALSE),"")</f>
        <v>1</v>
      </c>
      <c r="O113">
        <f>IFERROR(VLOOKUP(A113,vlookup_table!$A:$G,4,FALSE),"")</f>
        <v>0</v>
      </c>
      <c r="P113" t="str">
        <f>IFERROR(VLOOKUP(A113,vlookup_table!$A:$G,5,FALSE),"")</f>
        <v>C3</v>
      </c>
      <c r="Q113">
        <f>IFERROR(VLOOKUP(A113,vlookup_table!$A:$G,7,FALSE),"")</f>
        <v>15</v>
      </c>
      <c r="R113">
        <f t="shared" si="4"/>
        <v>97</v>
      </c>
      <c r="S113" t="str" cm="1">
        <f t="array" ref="S113">IF(P113="","",_xlfn.SWITCH(LEFT(P113,1),"C","Ciudad","T","Pueblo","R","Rural","S","Suburbano","U","Urbano",""))</f>
        <v>Ciudad</v>
      </c>
      <c r="T113" t="str">
        <f t="shared" si="5"/>
        <v>M</v>
      </c>
      <c r="U113" t="str">
        <f t="shared" si="6"/>
        <v>CA</v>
      </c>
      <c r="V113" t="str">
        <f t="shared" si="7"/>
        <v>16427</v>
      </c>
    </row>
    <row r="114" spans="1:22" x14ac:dyDescent="0.35">
      <c r="A114" s="3">
        <v>117216</v>
      </c>
      <c r="B114" t="s">
        <v>21</v>
      </c>
      <c r="C114" t="s">
        <v>17</v>
      </c>
      <c r="D114">
        <v>618</v>
      </c>
      <c r="E114">
        <v>233</v>
      </c>
      <c r="F114">
        <v>394</v>
      </c>
      <c r="G114">
        <v>0</v>
      </c>
      <c r="H114">
        <v>12864</v>
      </c>
      <c r="I114">
        <v>9</v>
      </c>
      <c r="J114">
        <v>75</v>
      </c>
      <c r="K114">
        <v>310</v>
      </c>
      <c r="L114">
        <v>302</v>
      </c>
      <c r="M114">
        <v>10.25</v>
      </c>
      <c r="N114">
        <f>IFERROR(VLOOKUP(A114,vlookup_table!$A:$G,2,FALSE),"")</f>
        <v>2</v>
      </c>
      <c r="O114">
        <f>IFERROR(VLOOKUP(A114,vlookup_table!$A:$G,4,FALSE),"")</f>
        <v>6201</v>
      </c>
      <c r="P114" t="str">
        <f>IFERROR(VLOOKUP(A114,vlookup_table!$A:$G,5,FALSE),"")</f>
        <v>S2</v>
      </c>
      <c r="Q114">
        <f>IFERROR(VLOOKUP(A114,vlookup_table!$A:$G,7,FALSE),"")</f>
        <v>30</v>
      </c>
      <c r="R114">
        <f t="shared" si="4"/>
        <v>35</v>
      </c>
      <c r="S114" t="str" cm="1">
        <f t="array" ref="S114">IF(P114="","",_xlfn.SWITCH(LEFT(P114,1),"C","Ciudad","T","Pueblo","R","Rural","S","Suburbano","U","Urbano",""))</f>
        <v>Suburbano</v>
      </c>
      <c r="T114" t="str">
        <f t="shared" si="5"/>
        <v>F</v>
      </c>
      <c r="U114" t="str">
        <f t="shared" si="6"/>
        <v>TX</v>
      </c>
      <c r="V114" t="str">
        <f t="shared" si="7"/>
        <v>12864</v>
      </c>
    </row>
    <row r="115" spans="1:22" x14ac:dyDescent="0.35">
      <c r="A115" s="3">
        <v>167892</v>
      </c>
      <c r="B115" t="s">
        <v>25</v>
      </c>
      <c r="C115" t="s">
        <v>17</v>
      </c>
      <c r="D115">
        <v>3259</v>
      </c>
      <c r="E115">
        <v>267</v>
      </c>
      <c r="F115">
        <v>591</v>
      </c>
      <c r="G115">
        <v>83</v>
      </c>
      <c r="H115">
        <v>19399</v>
      </c>
      <c r="I115">
        <v>17</v>
      </c>
      <c r="J115">
        <v>49</v>
      </c>
      <c r="K115">
        <v>626</v>
      </c>
      <c r="L115">
        <v>508</v>
      </c>
      <c r="M115">
        <v>7.6666666670000003</v>
      </c>
      <c r="N115">
        <f>IFERROR(VLOOKUP(A115,vlookup_table!$A:$G,2,FALSE),"")</f>
        <v>0</v>
      </c>
      <c r="O115">
        <f>IFERROR(VLOOKUP(A115,vlookup_table!$A:$G,4,FALSE),"")</f>
        <v>0</v>
      </c>
      <c r="P115" t="str">
        <f>IFERROR(VLOOKUP(A115,vlookup_table!$A:$G,5,FALSE),"")</f>
        <v>U1</v>
      </c>
      <c r="Q115">
        <f>IFERROR(VLOOKUP(A115,vlookup_table!$A:$G,7,FALSE),"")</f>
        <v>10</v>
      </c>
      <c r="R115">
        <f t="shared" si="4"/>
        <v>97</v>
      </c>
      <c r="S115" t="str" cm="1">
        <f t="array" ref="S115">IF(P115="","",_xlfn.SWITCH(LEFT(P115,1),"C","Ciudad","T","Pueblo","R","Rural","S","Suburbano","U","Urbano",""))</f>
        <v>Urbano</v>
      </c>
      <c r="T115" t="str">
        <f t="shared" si="5"/>
        <v>F</v>
      </c>
      <c r="U115" t="str">
        <f t="shared" si="6"/>
        <v>CA</v>
      </c>
      <c r="V115" t="str">
        <f t="shared" si="7"/>
        <v>19399</v>
      </c>
    </row>
    <row r="116" spans="1:22" x14ac:dyDescent="0.35">
      <c r="A116" s="3">
        <v>107618</v>
      </c>
      <c r="B116" t="s">
        <v>59</v>
      </c>
      <c r="C116" t="s">
        <v>17</v>
      </c>
      <c r="D116">
        <v>151</v>
      </c>
      <c r="E116">
        <v>180</v>
      </c>
      <c r="F116">
        <v>273</v>
      </c>
      <c r="G116">
        <v>0</v>
      </c>
      <c r="H116">
        <v>9138</v>
      </c>
      <c r="I116">
        <v>0</v>
      </c>
      <c r="J116">
        <v>68</v>
      </c>
      <c r="K116">
        <v>208</v>
      </c>
      <c r="L116">
        <v>230</v>
      </c>
      <c r="M116">
        <v>2.361111111</v>
      </c>
      <c r="N116">
        <f>IFERROR(VLOOKUP(A116,vlookup_table!$A:$G,2,FALSE),"")</f>
        <v>0</v>
      </c>
      <c r="O116">
        <f>IFERROR(VLOOKUP(A116,vlookup_table!$A:$G,4,FALSE),"")</f>
        <v>1801</v>
      </c>
      <c r="P116" t="str">
        <f>IFERROR(VLOOKUP(A116,vlookup_table!$A:$G,5,FALSE),"")</f>
        <v>R3</v>
      </c>
      <c r="Q116">
        <f>IFERROR(VLOOKUP(A116,vlookup_table!$A:$G,7,FALSE),"")</f>
        <v>2</v>
      </c>
      <c r="R116">
        <f t="shared" si="4"/>
        <v>79</v>
      </c>
      <c r="S116" t="str" cm="1">
        <f t="array" ref="S116">IF(P116="","",_xlfn.SWITCH(LEFT(P116,1),"C","Ciudad","T","Pueblo","R","Rural","S","Suburbano","U","Urbano",""))</f>
        <v>Rural</v>
      </c>
      <c r="T116" t="str">
        <f t="shared" si="5"/>
        <v>F</v>
      </c>
      <c r="U116" t="str">
        <f t="shared" si="6"/>
        <v>NE</v>
      </c>
      <c r="V116" t="str">
        <f t="shared" si="7"/>
        <v>9138</v>
      </c>
    </row>
    <row r="117" spans="1:22" x14ac:dyDescent="0.35">
      <c r="A117" s="3">
        <v>72410</v>
      </c>
      <c r="B117" t="s">
        <v>29</v>
      </c>
      <c r="C117" t="s">
        <v>14</v>
      </c>
      <c r="D117">
        <v>492</v>
      </c>
      <c r="E117">
        <v>272</v>
      </c>
      <c r="F117">
        <v>402</v>
      </c>
      <c r="G117">
        <v>0</v>
      </c>
      <c r="H117">
        <v>14442</v>
      </c>
      <c r="I117">
        <v>1</v>
      </c>
      <c r="J117">
        <v>55</v>
      </c>
      <c r="K117">
        <v>370</v>
      </c>
      <c r="L117">
        <v>317</v>
      </c>
      <c r="M117">
        <v>14.57142857</v>
      </c>
      <c r="N117">
        <f>IFERROR(VLOOKUP(A117,vlookup_table!$A:$G,2,FALSE),"")</f>
        <v>0</v>
      </c>
      <c r="O117">
        <f>IFERROR(VLOOKUP(A117,vlookup_table!$A:$G,4,FALSE),"")</f>
        <v>0</v>
      </c>
      <c r="P117" t="str">
        <f>IFERROR(VLOOKUP(A117,vlookup_table!$A:$G,5,FALSE),"")</f>
        <v>T2</v>
      </c>
      <c r="Q117">
        <f>IFERROR(VLOOKUP(A117,vlookup_table!$A:$G,7,FALSE),"")</f>
        <v>20</v>
      </c>
      <c r="R117">
        <f t="shared" si="4"/>
        <v>97</v>
      </c>
      <c r="S117" t="str" cm="1">
        <f t="array" ref="S117">IF(P117="","",_xlfn.SWITCH(LEFT(P117,1),"C","Ciudad","T","Pueblo","R","Rural","S","Suburbano","U","Urbano",""))</f>
        <v>Pueblo</v>
      </c>
      <c r="T117" t="str">
        <f t="shared" si="5"/>
        <v>M</v>
      </c>
      <c r="U117" t="str">
        <f t="shared" si="6"/>
        <v>MI</v>
      </c>
      <c r="V117" t="str">
        <f t="shared" si="7"/>
        <v>14442</v>
      </c>
    </row>
    <row r="118" spans="1:22" x14ac:dyDescent="0.35">
      <c r="A118" s="3">
        <v>112319</v>
      </c>
      <c r="B118" t="s">
        <v>32</v>
      </c>
      <c r="C118" t="s">
        <v>60</v>
      </c>
      <c r="D118">
        <v>892</v>
      </c>
      <c r="E118">
        <v>380</v>
      </c>
      <c r="F118">
        <v>468</v>
      </c>
      <c r="G118">
        <v>5</v>
      </c>
      <c r="H118">
        <v>19444</v>
      </c>
      <c r="I118">
        <v>2</v>
      </c>
      <c r="J118">
        <v>21</v>
      </c>
      <c r="K118">
        <v>406</v>
      </c>
      <c r="L118">
        <v>426</v>
      </c>
      <c r="M118">
        <v>17</v>
      </c>
      <c r="N118">
        <f>IFERROR(VLOOKUP(A118,vlookup_table!$A:$G,2,FALSE),"")</f>
        <v>2</v>
      </c>
      <c r="O118">
        <f>IFERROR(VLOOKUP(A118,vlookup_table!$A:$G,4,FALSE),"")</f>
        <v>3201</v>
      </c>
      <c r="P118" t="str">
        <f>IFERROR(VLOOKUP(A118,vlookup_table!$A:$G,5,FALSE),"")</f>
        <v>C1</v>
      </c>
      <c r="Q118">
        <f>IFERROR(VLOOKUP(A118,vlookup_table!$A:$G,7,FALSE),"")</f>
        <v>30</v>
      </c>
      <c r="R118">
        <f t="shared" si="4"/>
        <v>65</v>
      </c>
      <c r="S118" t="str" cm="1">
        <f t="array" ref="S118">IF(P118="","",_xlfn.SWITCH(LEFT(P118,1),"C","Ciudad","T","Pueblo","R","Rural","S","Suburbano","U","Urbano",""))</f>
        <v>Ciudad</v>
      </c>
      <c r="T118" t="str">
        <f t="shared" si="5"/>
        <v>F</v>
      </c>
      <c r="U118" t="str">
        <f t="shared" si="6"/>
        <v>AR</v>
      </c>
      <c r="V118" t="str">
        <f t="shared" si="7"/>
        <v>19444</v>
      </c>
    </row>
    <row r="119" spans="1:22" x14ac:dyDescent="0.35">
      <c r="A119" s="3">
        <v>28061</v>
      </c>
      <c r="B119" t="s">
        <v>39</v>
      </c>
      <c r="C119" t="s">
        <v>17</v>
      </c>
      <c r="D119">
        <v>948</v>
      </c>
      <c r="E119">
        <v>531</v>
      </c>
      <c r="F119">
        <v>584</v>
      </c>
      <c r="G119">
        <v>1</v>
      </c>
      <c r="H119">
        <v>19537</v>
      </c>
      <c r="I119">
        <v>2</v>
      </c>
      <c r="J119">
        <v>65</v>
      </c>
      <c r="K119">
        <v>530</v>
      </c>
      <c r="L119">
        <v>585</v>
      </c>
      <c r="M119">
        <v>5.4848484849999997</v>
      </c>
      <c r="N119">
        <f>IFERROR(VLOOKUP(A119,vlookup_table!$A:$G,2,FALSE),"")</f>
        <v>0</v>
      </c>
      <c r="O119">
        <f>IFERROR(VLOOKUP(A119,vlookup_table!$A:$G,4,FALSE),"")</f>
        <v>5902</v>
      </c>
      <c r="P119" t="str">
        <f>IFERROR(VLOOKUP(A119,vlookup_table!$A:$G,5,FALSE),"")</f>
        <v>T2</v>
      </c>
      <c r="Q119">
        <f>IFERROR(VLOOKUP(A119,vlookup_table!$A:$G,7,FALSE),"")</f>
        <v>5</v>
      </c>
      <c r="R119">
        <f t="shared" si="4"/>
        <v>38</v>
      </c>
      <c r="S119" t="str" cm="1">
        <f t="array" ref="S119">IF(P119="","",_xlfn.SWITCH(LEFT(P119,1),"C","Ciudad","T","Pueblo","R","Rural","S","Suburbano","U","Urbano",""))</f>
        <v>Pueblo</v>
      </c>
      <c r="T119" t="str">
        <f t="shared" si="5"/>
        <v>F</v>
      </c>
      <c r="U119" t="str">
        <f t="shared" si="6"/>
        <v>GA</v>
      </c>
      <c r="V119" t="str">
        <f t="shared" si="7"/>
        <v>19537</v>
      </c>
    </row>
    <row r="120" spans="1:22" x14ac:dyDescent="0.35">
      <c r="A120" s="3">
        <v>108371</v>
      </c>
      <c r="B120" t="s">
        <v>49</v>
      </c>
      <c r="C120" t="s">
        <v>17</v>
      </c>
      <c r="D120">
        <v>717</v>
      </c>
      <c r="E120">
        <v>190</v>
      </c>
      <c r="F120">
        <v>302</v>
      </c>
      <c r="G120">
        <v>0</v>
      </c>
      <c r="H120">
        <v>10888</v>
      </c>
      <c r="I120">
        <v>21</v>
      </c>
      <c r="J120">
        <v>62</v>
      </c>
      <c r="K120">
        <v>313</v>
      </c>
      <c r="L120">
        <v>235</v>
      </c>
      <c r="M120">
        <v>24.166666670000001</v>
      </c>
      <c r="N120">
        <f>IFERROR(VLOOKUP(A120,vlookup_table!$A:$G,2,FALSE),"")</f>
        <v>28</v>
      </c>
      <c r="O120">
        <f>IFERROR(VLOOKUP(A120,vlookup_table!$A:$G,4,FALSE),"")</f>
        <v>1401</v>
      </c>
      <c r="P120" t="str">
        <f>IFERROR(VLOOKUP(A120,vlookup_table!$A:$G,5,FALSE),"")</f>
        <v>U2</v>
      </c>
      <c r="Q120">
        <f>IFERROR(VLOOKUP(A120,vlookup_table!$A:$G,7,FALSE),"")</f>
        <v>20</v>
      </c>
      <c r="R120">
        <f t="shared" si="4"/>
        <v>83</v>
      </c>
      <c r="S120" t="str" cm="1">
        <f t="array" ref="S120">IF(P120="","",_xlfn.SWITCH(LEFT(P120,1),"C","Ciudad","T","Pueblo","R","Rural","S","Suburbano","U","Urbano",""))</f>
        <v>Urbano</v>
      </c>
      <c r="T120" t="str">
        <f t="shared" si="5"/>
        <v>F</v>
      </c>
      <c r="U120" t="str">
        <f t="shared" si="6"/>
        <v>LA</v>
      </c>
      <c r="V120" t="str">
        <f t="shared" si="7"/>
        <v>10888</v>
      </c>
    </row>
    <row r="121" spans="1:22" x14ac:dyDescent="0.35">
      <c r="A121" s="3">
        <v>187807</v>
      </c>
      <c r="B121" t="s">
        <v>29</v>
      </c>
      <c r="C121" t="s">
        <v>14</v>
      </c>
      <c r="D121">
        <v>612</v>
      </c>
      <c r="E121">
        <v>330</v>
      </c>
      <c r="F121">
        <v>400</v>
      </c>
      <c r="G121">
        <v>1</v>
      </c>
      <c r="H121">
        <v>13162</v>
      </c>
      <c r="I121">
        <v>1</v>
      </c>
      <c r="J121">
        <v>27</v>
      </c>
      <c r="K121">
        <v>326</v>
      </c>
      <c r="L121">
        <v>392</v>
      </c>
      <c r="M121">
        <v>12.1</v>
      </c>
      <c r="N121">
        <f>IFERROR(VLOOKUP(A121,vlookup_table!$A:$G,2,FALSE),"")</f>
        <v>1</v>
      </c>
      <c r="O121">
        <f>IFERROR(VLOOKUP(A121,vlookup_table!$A:$G,4,FALSE),"")</f>
        <v>8305</v>
      </c>
      <c r="P121" t="str">
        <f>IFERROR(VLOOKUP(A121,vlookup_table!$A:$G,5,FALSE),"")</f>
        <v>R2</v>
      </c>
      <c r="Q121">
        <f>IFERROR(VLOOKUP(A121,vlookup_table!$A:$G,7,FALSE),"")</f>
        <v>22</v>
      </c>
      <c r="R121">
        <f t="shared" si="4"/>
        <v>14</v>
      </c>
      <c r="S121" t="str" cm="1">
        <f t="array" ref="S121">IF(P121="","",_xlfn.SWITCH(LEFT(P121,1),"C","Ciudad","T","Pueblo","R","Rural","S","Suburbano","U","Urbano",""))</f>
        <v>Rural</v>
      </c>
      <c r="T121" t="str">
        <f t="shared" si="5"/>
        <v>M</v>
      </c>
      <c r="U121" t="str">
        <f t="shared" si="6"/>
        <v>MI</v>
      </c>
      <c r="V121" t="str">
        <f t="shared" si="7"/>
        <v>13162</v>
      </c>
    </row>
    <row r="122" spans="1:22" x14ac:dyDescent="0.35">
      <c r="A122" s="3">
        <v>180383</v>
      </c>
      <c r="B122" t="s">
        <v>40</v>
      </c>
      <c r="C122" t="s">
        <v>17</v>
      </c>
      <c r="D122">
        <v>919</v>
      </c>
      <c r="E122">
        <v>338</v>
      </c>
      <c r="F122">
        <v>346</v>
      </c>
      <c r="G122">
        <v>1</v>
      </c>
      <c r="H122">
        <v>12507</v>
      </c>
      <c r="I122">
        <v>5</v>
      </c>
      <c r="J122">
        <v>56</v>
      </c>
      <c r="K122">
        <v>337</v>
      </c>
      <c r="L122">
        <v>349</v>
      </c>
      <c r="M122">
        <v>8.2142857140000007</v>
      </c>
      <c r="N122">
        <f>IFERROR(VLOOKUP(A122,vlookup_table!$A:$G,2,FALSE),"")</f>
        <v>0</v>
      </c>
      <c r="O122">
        <f>IFERROR(VLOOKUP(A122,vlookup_table!$A:$G,4,FALSE),"")</f>
        <v>609</v>
      </c>
      <c r="P122" t="str">
        <f>IFERROR(VLOOKUP(A122,vlookup_table!$A:$G,5,FALSE),"")</f>
        <v>C3</v>
      </c>
      <c r="Q122">
        <f>IFERROR(VLOOKUP(A122,vlookup_table!$A:$G,7,FALSE),"")</f>
        <v>11</v>
      </c>
      <c r="R122">
        <f t="shared" si="4"/>
        <v>91</v>
      </c>
      <c r="S122" t="str" cm="1">
        <f t="array" ref="S122">IF(P122="","",_xlfn.SWITCH(LEFT(P122,1),"C","Ciudad","T","Pueblo","R","Rural","S","Suburbano","U","Urbano",""))</f>
        <v>Ciudad</v>
      </c>
      <c r="T122" t="str">
        <f t="shared" si="5"/>
        <v>F</v>
      </c>
      <c r="U122" t="str">
        <f t="shared" si="6"/>
        <v>WA</v>
      </c>
      <c r="V122" t="str">
        <f t="shared" si="7"/>
        <v>12507</v>
      </c>
    </row>
    <row r="123" spans="1:22" x14ac:dyDescent="0.35">
      <c r="A123" s="3">
        <v>183013</v>
      </c>
      <c r="B123" t="s">
        <v>40</v>
      </c>
      <c r="C123" t="s">
        <v>51</v>
      </c>
      <c r="D123">
        <v>697</v>
      </c>
      <c r="E123">
        <v>317</v>
      </c>
      <c r="F123">
        <v>406</v>
      </c>
      <c r="G123">
        <v>0</v>
      </c>
      <c r="H123">
        <v>13561</v>
      </c>
      <c r="I123">
        <v>3</v>
      </c>
      <c r="J123">
        <v>34</v>
      </c>
      <c r="K123">
        <v>364</v>
      </c>
      <c r="L123">
        <v>337</v>
      </c>
      <c r="M123">
        <v>10</v>
      </c>
      <c r="N123">
        <f>IFERROR(VLOOKUP(A123,vlookup_table!$A:$G,2,FALSE),"")</f>
        <v>1</v>
      </c>
      <c r="O123">
        <f>IFERROR(VLOOKUP(A123,vlookup_table!$A:$G,4,FALSE),"")</f>
        <v>3001</v>
      </c>
      <c r="P123" t="str">
        <f>IFERROR(VLOOKUP(A123,vlookup_table!$A:$G,5,FALSE),"")</f>
        <v>S2</v>
      </c>
      <c r="Q123">
        <f>IFERROR(VLOOKUP(A123,vlookup_table!$A:$G,7,FALSE),"")</f>
        <v>11</v>
      </c>
      <c r="R123">
        <f t="shared" si="4"/>
        <v>67</v>
      </c>
      <c r="S123" t="str" cm="1">
        <f t="array" ref="S123">IF(P123="","",_xlfn.SWITCH(LEFT(P123,1),"C","Ciudad","T","Pueblo","R","Rural","S","Suburbano","U","Urbano",""))</f>
        <v>Suburbano</v>
      </c>
      <c r="T123" t="str">
        <f t="shared" si="5"/>
        <v>M</v>
      </c>
      <c r="U123" t="str">
        <f t="shared" si="6"/>
        <v>WA</v>
      </c>
      <c r="V123" t="str">
        <f t="shared" si="7"/>
        <v>13561</v>
      </c>
    </row>
    <row r="124" spans="1:22" x14ac:dyDescent="0.35">
      <c r="A124" s="3">
        <v>187769</v>
      </c>
      <c r="B124" t="s">
        <v>25</v>
      </c>
      <c r="C124" t="s">
        <v>14</v>
      </c>
      <c r="D124">
        <v>5059</v>
      </c>
      <c r="E124">
        <v>693</v>
      </c>
      <c r="F124">
        <v>847</v>
      </c>
      <c r="G124">
        <v>99</v>
      </c>
      <c r="H124">
        <v>29368</v>
      </c>
      <c r="I124">
        <v>10</v>
      </c>
      <c r="J124">
        <v>48</v>
      </c>
      <c r="K124">
        <v>752</v>
      </c>
      <c r="L124">
        <v>751</v>
      </c>
      <c r="M124">
        <v>10.6</v>
      </c>
      <c r="N124">
        <f>IFERROR(VLOOKUP(A124,vlookup_table!$A:$G,2,FALSE),"")</f>
        <v>1</v>
      </c>
      <c r="O124">
        <f>IFERROR(VLOOKUP(A124,vlookup_table!$A:$G,4,FALSE),"")</f>
        <v>5403</v>
      </c>
      <c r="P124" t="str">
        <f>IFERROR(VLOOKUP(A124,vlookup_table!$A:$G,5,FALSE),"")</f>
        <v>S1</v>
      </c>
      <c r="Q124">
        <f>IFERROR(VLOOKUP(A124,vlookup_table!$A:$G,7,FALSE),"")</f>
        <v>25</v>
      </c>
      <c r="R124">
        <f t="shared" si="4"/>
        <v>43</v>
      </c>
      <c r="S124" t="str" cm="1">
        <f t="array" ref="S124">IF(P124="","",_xlfn.SWITCH(LEFT(P124,1),"C","Ciudad","T","Pueblo","R","Rural","S","Suburbano","U","Urbano",""))</f>
        <v>Suburbano</v>
      </c>
      <c r="T124" t="str">
        <f t="shared" si="5"/>
        <v>M</v>
      </c>
      <c r="U124" t="str">
        <f t="shared" si="6"/>
        <v>CA</v>
      </c>
      <c r="V124" t="str">
        <f t="shared" si="7"/>
        <v>29368</v>
      </c>
    </row>
    <row r="125" spans="1:22" x14ac:dyDescent="0.35">
      <c r="A125" s="3">
        <v>191056</v>
      </c>
      <c r="B125" t="s">
        <v>25</v>
      </c>
      <c r="C125" t="s">
        <v>14</v>
      </c>
      <c r="D125">
        <v>5667</v>
      </c>
      <c r="E125">
        <v>492</v>
      </c>
      <c r="F125">
        <v>848</v>
      </c>
      <c r="G125">
        <v>98</v>
      </c>
      <c r="H125">
        <v>51280</v>
      </c>
      <c r="I125">
        <v>11</v>
      </c>
      <c r="J125">
        <v>35</v>
      </c>
      <c r="K125">
        <v>808</v>
      </c>
      <c r="L125">
        <v>594</v>
      </c>
      <c r="M125">
        <v>28.833333329999999</v>
      </c>
      <c r="N125">
        <f>IFERROR(VLOOKUP(A125,vlookup_table!$A:$G,2,FALSE),"")</f>
        <v>1</v>
      </c>
      <c r="O125">
        <f>IFERROR(VLOOKUP(A125,vlookup_table!$A:$G,4,FALSE),"")</f>
        <v>801</v>
      </c>
      <c r="P125" t="str">
        <f>IFERROR(VLOOKUP(A125,vlookup_table!$A:$G,5,FALSE),"")</f>
        <v>U1</v>
      </c>
      <c r="Q125">
        <f>IFERROR(VLOOKUP(A125,vlookup_table!$A:$G,7,FALSE),"")</f>
        <v>47</v>
      </c>
      <c r="R125">
        <f t="shared" si="4"/>
        <v>89</v>
      </c>
      <c r="S125" t="str" cm="1">
        <f t="array" ref="S125">IF(P125="","",_xlfn.SWITCH(LEFT(P125,1),"C","Ciudad","T","Pueblo","R","Rural","S","Suburbano","U","Urbano",""))</f>
        <v>Urbano</v>
      </c>
      <c r="T125" t="str">
        <f t="shared" si="5"/>
        <v>M</v>
      </c>
      <c r="U125" t="str">
        <f t="shared" si="6"/>
        <v>CA</v>
      </c>
      <c r="V125" t="str">
        <f t="shared" si="7"/>
        <v>51280</v>
      </c>
    </row>
    <row r="126" spans="1:22" x14ac:dyDescent="0.35">
      <c r="A126" s="3">
        <v>151891</v>
      </c>
      <c r="B126" t="s">
        <v>25</v>
      </c>
      <c r="C126" t="s">
        <v>17</v>
      </c>
      <c r="D126">
        <v>2750</v>
      </c>
      <c r="E126">
        <v>668</v>
      </c>
      <c r="F126">
        <v>781</v>
      </c>
      <c r="G126">
        <v>91</v>
      </c>
      <c r="H126">
        <v>26199</v>
      </c>
      <c r="I126">
        <v>10</v>
      </c>
      <c r="J126">
        <v>44</v>
      </c>
      <c r="K126">
        <v>701</v>
      </c>
      <c r="L126">
        <v>717</v>
      </c>
      <c r="M126">
        <v>11.44444444</v>
      </c>
      <c r="N126">
        <f>IFERROR(VLOOKUP(A126,vlookup_table!$A:$G,2,FALSE),"")</f>
        <v>0</v>
      </c>
      <c r="O126">
        <f>IFERROR(VLOOKUP(A126,vlookup_table!$A:$G,4,FALSE),"")</f>
        <v>0</v>
      </c>
      <c r="P126" t="str">
        <f>IFERROR(VLOOKUP(A126,vlookup_table!$A:$G,5,FALSE),"")</f>
        <v>S2</v>
      </c>
      <c r="Q126">
        <f>IFERROR(VLOOKUP(A126,vlookup_table!$A:$G,7,FALSE),"")</f>
        <v>15</v>
      </c>
      <c r="R126">
        <f t="shared" si="4"/>
        <v>97</v>
      </c>
      <c r="S126" t="str" cm="1">
        <f t="array" ref="S126">IF(P126="","",_xlfn.SWITCH(LEFT(P126,1),"C","Ciudad","T","Pueblo","R","Rural","S","Suburbano","U","Urbano",""))</f>
        <v>Suburbano</v>
      </c>
      <c r="T126" t="str">
        <f t="shared" si="5"/>
        <v>F</v>
      </c>
      <c r="U126" t="str">
        <f t="shared" si="6"/>
        <v>CA</v>
      </c>
      <c r="V126" t="str">
        <f t="shared" si="7"/>
        <v>26199</v>
      </c>
    </row>
    <row r="127" spans="1:22" x14ac:dyDescent="0.35">
      <c r="A127" s="3">
        <v>5822</v>
      </c>
      <c r="B127" t="s">
        <v>28</v>
      </c>
      <c r="C127" t="s">
        <v>17</v>
      </c>
      <c r="D127">
        <v>513</v>
      </c>
      <c r="E127">
        <v>400</v>
      </c>
      <c r="F127">
        <v>482</v>
      </c>
      <c r="G127">
        <v>0</v>
      </c>
      <c r="H127">
        <v>20842</v>
      </c>
      <c r="I127">
        <v>3</v>
      </c>
      <c r="J127">
        <v>66</v>
      </c>
      <c r="K127">
        <v>434</v>
      </c>
      <c r="L127">
        <v>436</v>
      </c>
      <c r="M127">
        <v>6.0767499999999997</v>
      </c>
      <c r="N127">
        <f>IFERROR(VLOOKUP(A127,vlookup_table!$A:$G,2,FALSE),"")</f>
        <v>2</v>
      </c>
      <c r="O127">
        <f>IFERROR(VLOOKUP(A127,vlookup_table!$A:$G,4,FALSE),"")</f>
        <v>2901</v>
      </c>
      <c r="P127" t="str">
        <f>IFERROR(VLOOKUP(A127,vlookup_table!$A:$G,5,FALSE),"")</f>
        <v>S2</v>
      </c>
      <c r="Q127">
        <f>IFERROR(VLOOKUP(A127,vlookup_table!$A:$G,7,FALSE),"")</f>
        <v>11</v>
      </c>
      <c r="R127">
        <f t="shared" si="4"/>
        <v>68</v>
      </c>
      <c r="S127" t="str" cm="1">
        <f t="array" ref="S127">IF(P127="","",_xlfn.SWITCH(LEFT(P127,1),"C","Ciudad","T","Pueblo","R","Rural","S","Suburbano","U","Urbano",""))</f>
        <v>Suburbano</v>
      </c>
      <c r="T127" t="str">
        <f t="shared" si="5"/>
        <v>F</v>
      </c>
      <c r="U127" t="str">
        <f t="shared" si="6"/>
        <v>KS</v>
      </c>
      <c r="V127" t="str">
        <f t="shared" si="7"/>
        <v>20842</v>
      </c>
    </row>
    <row r="128" spans="1:22" x14ac:dyDescent="0.35">
      <c r="A128" s="3">
        <v>164969</v>
      </c>
      <c r="B128" t="s">
        <v>25</v>
      </c>
      <c r="C128" t="s">
        <v>17</v>
      </c>
      <c r="D128">
        <v>1848</v>
      </c>
      <c r="E128">
        <v>505</v>
      </c>
      <c r="F128">
        <v>581</v>
      </c>
      <c r="G128">
        <v>33</v>
      </c>
      <c r="H128">
        <v>19729</v>
      </c>
      <c r="I128">
        <v>28</v>
      </c>
      <c r="J128">
        <v>49</v>
      </c>
      <c r="K128">
        <v>515</v>
      </c>
      <c r="L128">
        <v>560</v>
      </c>
      <c r="M128">
        <v>5.6842105260000002</v>
      </c>
      <c r="N128">
        <f>IFERROR(VLOOKUP(A128,vlookup_table!$A:$G,2,FALSE),"")</f>
        <v>0</v>
      </c>
      <c r="O128">
        <f>IFERROR(VLOOKUP(A128,vlookup_table!$A:$G,4,FALSE),"")</f>
        <v>6001</v>
      </c>
      <c r="P128" t="str">
        <f>IFERROR(VLOOKUP(A128,vlookup_table!$A:$G,5,FALSE),"")</f>
        <v>S1</v>
      </c>
      <c r="Q128">
        <f>IFERROR(VLOOKUP(A128,vlookup_table!$A:$G,7,FALSE),"")</f>
        <v>7</v>
      </c>
      <c r="R128">
        <f t="shared" si="4"/>
        <v>37</v>
      </c>
      <c r="S128" t="str" cm="1">
        <f t="array" ref="S128">IF(P128="","",_xlfn.SWITCH(LEFT(P128,1),"C","Ciudad","T","Pueblo","R","Rural","S","Suburbano","U","Urbano",""))</f>
        <v>Suburbano</v>
      </c>
      <c r="T128" t="str">
        <f t="shared" si="5"/>
        <v>F</v>
      </c>
      <c r="U128" t="str">
        <f t="shared" si="6"/>
        <v>CA</v>
      </c>
      <c r="V128" t="str">
        <f t="shared" si="7"/>
        <v>19729</v>
      </c>
    </row>
    <row r="129" spans="1:22" x14ac:dyDescent="0.35">
      <c r="A129" s="3">
        <v>172846</v>
      </c>
      <c r="B129" t="s">
        <v>25</v>
      </c>
      <c r="C129" t="s">
        <v>14</v>
      </c>
      <c r="D129">
        <v>1417</v>
      </c>
      <c r="E129">
        <v>406</v>
      </c>
      <c r="F129">
        <v>508</v>
      </c>
      <c r="G129">
        <v>18</v>
      </c>
      <c r="H129">
        <v>18590</v>
      </c>
      <c r="I129">
        <v>29</v>
      </c>
      <c r="J129">
        <v>49</v>
      </c>
      <c r="K129">
        <v>341</v>
      </c>
      <c r="L129">
        <v>519</v>
      </c>
      <c r="M129">
        <v>14.11111111</v>
      </c>
      <c r="N129">
        <f>IFERROR(VLOOKUP(A129,vlookup_table!$A:$G,2,FALSE),"")</f>
        <v>0</v>
      </c>
      <c r="O129">
        <f>IFERROR(VLOOKUP(A129,vlookup_table!$A:$G,4,FALSE),"")</f>
        <v>4201</v>
      </c>
      <c r="P129" t="str">
        <f>IFERROR(VLOOKUP(A129,vlookup_table!$A:$G,5,FALSE),"")</f>
        <v>C2</v>
      </c>
      <c r="Q129">
        <f>IFERROR(VLOOKUP(A129,vlookup_table!$A:$G,7,FALSE),"")</f>
        <v>10</v>
      </c>
      <c r="R129">
        <f t="shared" si="4"/>
        <v>55</v>
      </c>
      <c r="S129" t="str" cm="1">
        <f t="array" ref="S129">IF(P129="","",_xlfn.SWITCH(LEFT(P129,1),"C","Ciudad","T","Pueblo","R","Rural","S","Suburbano","U","Urbano",""))</f>
        <v>Ciudad</v>
      </c>
      <c r="T129" t="str">
        <f t="shared" si="5"/>
        <v>M</v>
      </c>
      <c r="U129" t="str">
        <f t="shared" si="6"/>
        <v>CA</v>
      </c>
      <c r="V129" t="str">
        <f t="shared" si="7"/>
        <v>18590</v>
      </c>
    </row>
    <row r="130" spans="1:22" x14ac:dyDescent="0.35">
      <c r="A130" s="3">
        <v>95951</v>
      </c>
      <c r="B130" t="s">
        <v>16</v>
      </c>
      <c r="C130" t="s">
        <v>17</v>
      </c>
      <c r="D130">
        <v>347</v>
      </c>
      <c r="E130">
        <v>210</v>
      </c>
      <c r="F130">
        <v>286</v>
      </c>
      <c r="G130">
        <v>0</v>
      </c>
      <c r="H130">
        <v>10356</v>
      </c>
      <c r="I130">
        <v>6</v>
      </c>
      <c r="J130">
        <v>74</v>
      </c>
      <c r="K130">
        <v>255</v>
      </c>
      <c r="L130">
        <v>229</v>
      </c>
      <c r="M130">
        <v>8.076923077</v>
      </c>
      <c r="N130">
        <f>IFERROR(VLOOKUP(A130,vlookup_table!$A:$G,2,FALSE),"")</f>
        <v>0</v>
      </c>
      <c r="O130">
        <f>IFERROR(VLOOKUP(A130,vlookup_table!$A:$G,4,FALSE),"")</f>
        <v>4804</v>
      </c>
      <c r="P130" t="str">
        <f>IFERROR(VLOOKUP(A130,vlookup_table!$A:$G,5,FALSE),"")</f>
        <v>C3</v>
      </c>
      <c r="Q130">
        <f>IFERROR(VLOOKUP(A130,vlookup_table!$A:$G,7,FALSE),"")</f>
        <v>20</v>
      </c>
      <c r="R130">
        <f t="shared" ref="R130:R193" si="8">IF(O130="","",97-INT(O130/100))</f>
        <v>49</v>
      </c>
      <c r="S130" t="str" cm="1">
        <f t="array" ref="S130">IF(P130="","",_xlfn.SWITCH(LEFT(P130,1),"C","Ciudad","T","Pueblo","R","Rural","S","Suburbano","U","Urbano",""))</f>
        <v>Ciudad</v>
      </c>
      <c r="T130" t="str">
        <f t="shared" ref="T130:T193" si="9">IF(C130="","",IF(OR(UPPER(C130)="M",UPPER(C130)="MALE"),"M",IF(OR(UPPER(C130)="F",UPPER(C130)="FEMALE",UPPER(C130)="FEAMALE"),"F",C130)))</f>
        <v>F</v>
      </c>
      <c r="U130" t="str">
        <f t="shared" ref="U130:U193" si="10">IF(OR(UPPER(B130)="CALIFORNIA",UPPER(B130)="CALI"),"CA",B130)</f>
        <v>IL</v>
      </c>
      <c r="V130" t="str">
        <f t="shared" ref="V130:V193" si="11">SUBSTITUTE(H130,"@","")</f>
        <v>10356</v>
      </c>
    </row>
    <row r="131" spans="1:22" x14ac:dyDescent="0.35">
      <c r="A131" s="3">
        <v>18089</v>
      </c>
      <c r="B131" t="s">
        <v>18</v>
      </c>
      <c r="C131" t="s">
        <v>14</v>
      </c>
      <c r="D131">
        <v>994</v>
      </c>
      <c r="E131">
        <v>404</v>
      </c>
      <c r="F131">
        <v>530</v>
      </c>
      <c r="G131">
        <v>2</v>
      </c>
      <c r="H131">
        <v>17420</v>
      </c>
      <c r="I131">
        <v>1</v>
      </c>
      <c r="J131">
        <v>70</v>
      </c>
      <c r="K131">
        <v>475</v>
      </c>
      <c r="L131">
        <v>485</v>
      </c>
      <c r="M131">
        <v>13.777777779999999</v>
      </c>
      <c r="N131">
        <f>IFERROR(VLOOKUP(A131,vlookup_table!$A:$G,2,FALSE),"")</f>
        <v>2</v>
      </c>
      <c r="O131">
        <f>IFERROR(VLOOKUP(A131,vlookup_table!$A:$G,4,FALSE),"")</f>
        <v>5001</v>
      </c>
      <c r="P131" t="str">
        <f>IFERROR(VLOOKUP(A131,vlookup_table!$A:$G,5,FALSE),"")</f>
        <v>C1</v>
      </c>
      <c r="Q131">
        <f>IFERROR(VLOOKUP(A131,vlookup_table!$A:$G,7,FALSE),"")</f>
        <v>25</v>
      </c>
      <c r="R131">
        <f t="shared" si="8"/>
        <v>47</v>
      </c>
      <c r="S131" t="str" cm="1">
        <f t="array" ref="S131">IF(P131="","",_xlfn.SWITCH(LEFT(P131,1),"C","Ciudad","T","Pueblo","R","Rural","S","Suburbano","U","Urbano",""))</f>
        <v>Ciudad</v>
      </c>
      <c r="T131" t="str">
        <f t="shared" si="9"/>
        <v>M</v>
      </c>
      <c r="U131" t="str">
        <f t="shared" si="10"/>
        <v>NC</v>
      </c>
      <c r="V131" t="str">
        <f t="shared" si="11"/>
        <v>17420</v>
      </c>
    </row>
    <row r="132" spans="1:22" x14ac:dyDescent="0.35">
      <c r="A132" s="3">
        <v>35276</v>
      </c>
      <c r="B132" t="s">
        <v>13</v>
      </c>
      <c r="D132">
        <v>3542</v>
      </c>
      <c r="E132">
        <v>642</v>
      </c>
      <c r="F132">
        <v>843</v>
      </c>
      <c r="G132">
        <v>76</v>
      </c>
      <c r="H132">
        <v>53131</v>
      </c>
      <c r="I132">
        <v>3</v>
      </c>
      <c r="J132">
        <v>31</v>
      </c>
      <c r="K132">
        <v>690</v>
      </c>
      <c r="L132">
        <v>807</v>
      </c>
      <c r="M132">
        <v>6.6428571429999996</v>
      </c>
      <c r="N132">
        <f>IFERROR(VLOOKUP(A132,vlookup_table!$A:$G,2,FALSE),"")</f>
        <v>2</v>
      </c>
      <c r="O132">
        <f>IFERROR(VLOOKUP(A132,vlookup_table!$A:$G,4,FALSE),"")</f>
        <v>1701</v>
      </c>
      <c r="P132" t="str">
        <f>IFERROR(VLOOKUP(A132,vlookup_table!$A:$G,5,FALSE),"")</f>
        <v>C1</v>
      </c>
      <c r="Q132">
        <f>IFERROR(VLOOKUP(A132,vlookup_table!$A:$G,7,FALSE),"")</f>
        <v>10</v>
      </c>
      <c r="R132">
        <f t="shared" si="8"/>
        <v>80</v>
      </c>
      <c r="S132" t="str" cm="1">
        <f t="array" ref="S132">IF(P132="","",_xlfn.SWITCH(LEFT(P132,1),"C","Ciudad","T","Pueblo","R","Rural","S","Suburbano","U","Urbano",""))</f>
        <v>Ciudad</v>
      </c>
      <c r="T132" t="str">
        <f t="shared" si="9"/>
        <v/>
      </c>
      <c r="U132" t="str">
        <f t="shared" si="10"/>
        <v>FL</v>
      </c>
      <c r="V132" t="str">
        <f t="shared" si="11"/>
        <v>53131</v>
      </c>
    </row>
    <row r="133" spans="1:22" x14ac:dyDescent="0.35">
      <c r="A133" s="3">
        <v>18607</v>
      </c>
      <c r="B133" t="s">
        <v>18</v>
      </c>
      <c r="C133" t="s">
        <v>14</v>
      </c>
      <c r="D133">
        <v>797</v>
      </c>
      <c r="E133">
        <v>377</v>
      </c>
      <c r="F133">
        <v>451</v>
      </c>
      <c r="G133">
        <v>2</v>
      </c>
      <c r="H133">
        <v>16163</v>
      </c>
      <c r="I133">
        <v>0</v>
      </c>
      <c r="J133">
        <v>74</v>
      </c>
      <c r="K133">
        <v>418</v>
      </c>
      <c r="L133">
        <v>423</v>
      </c>
      <c r="M133">
        <v>7.769230769</v>
      </c>
      <c r="N133">
        <f>IFERROR(VLOOKUP(A133,vlookup_table!$A:$G,2,FALSE),"")</f>
        <v>1</v>
      </c>
      <c r="O133">
        <f>IFERROR(VLOOKUP(A133,vlookup_table!$A:$G,4,FALSE),"")</f>
        <v>6001</v>
      </c>
      <c r="P133" t="str">
        <f>IFERROR(VLOOKUP(A133,vlookup_table!$A:$G,5,FALSE),"")</f>
        <v>T2</v>
      </c>
      <c r="Q133">
        <f>IFERROR(VLOOKUP(A133,vlookup_table!$A:$G,7,FALSE),"")</f>
        <v>23</v>
      </c>
      <c r="R133">
        <f t="shared" si="8"/>
        <v>37</v>
      </c>
      <c r="S133" t="str" cm="1">
        <f t="array" ref="S133">IF(P133="","",_xlfn.SWITCH(LEFT(P133,1),"C","Ciudad","T","Pueblo","R","Rural","S","Suburbano","U","Urbano",""))</f>
        <v>Pueblo</v>
      </c>
      <c r="T133" t="str">
        <f t="shared" si="9"/>
        <v>M</v>
      </c>
      <c r="U133" t="str">
        <f t="shared" si="10"/>
        <v>NC</v>
      </c>
      <c r="V133" t="str">
        <f t="shared" si="11"/>
        <v>16163</v>
      </c>
    </row>
    <row r="134" spans="1:22" x14ac:dyDescent="0.35">
      <c r="A134" s="3">
        <v>61275</v>
      </c>
      <c r="B134" t="s">
        <v>33</v>
      </c>
      <c r="C134" t="s">
        <v>14</v>
      </c>
      <c r="D134">
        <v>791</v>
      </c>
      <c r="E134">
        <v>361</v>
      </c>
      <c r="F134">
        <v>428</v>
      </c>
      <c r="G134">
        <v>1</v>
      </c>
      <c r="H134">
        <v>13805</v>
      </c>
      <c r="I134">
        <v>1</v>
      </c>
      <c r="J134">
        <v>74</v>
      </c>
      <c r="K134">
        <v>407</v>
      </c>
      <c r="L134">
        <v>390</v>
      </c>
      <c r="M134">
        <v>7.6363636359999996</v>
      </c>
      <c r="N134">
        <f>IFERROR(VLOOKUP(A134,vlookup_table!$A:$G,2,FALSE),"")</f>
        <v>1</v>
      </c>
      <c r="O134">
        <f>IFERROR(VLOOKUP(A134,vlookup_table!$A:$G,4,FALSE),"")</f>
        <v>4801</v>
      </c>
      <c r="P134" t="str">
        <f>IFERROR(VLOOKUP(A134,vlookup_table!$A:$G,5,FALSE),"")</f>
        <v>T2</v>
      </c>
      <c r="Q134">
        <f>IFERROR(VLOOKUP(A134,vlookup_table!$A:$G,7,FALSE),"")</f>
        <v>12</v>
      </c>
      <c r="R134">
        <f t="shared" si="8"/>
        <v>49</v>
      </c>
      <c r="S134" t="str" cm="1">
        <f t="array" ref="S134">IF(P134="","",_xlfn.SWITCH(LEFT(P134,1),"C","Ciudad","T","Pueblo","R","Rural","S","Suburbano","U","Urbano",""))</f>
        <v>Pueblo</v>
      </c>
      <c r="T134" t="str">
        <f t="shared" si="9"/>
        <v>M</v>
      </c>
      <c r="U134" t="str">
        <f t="shared" si="10"/>
        <v>IN</v>
      </c>
      <c r="V134" t="str">
        <f t="shared" si="11"/>
        <v>13805</v>
      </c>
    </row>
    <row r="135" spans="1:22" x14ac:dyDescent="0.35">
      <c r="A135" s="3">
        <v>36141</v>
      </c>
      <c r="B135" t="s">
        <v>13</v>
      </c>
      <c r="C135" t="s">
        <v>17</v>
      </c>
      <c r="D135">
        <v>957</v>
      </c>
      <c r="E135">
        <v>408</v>
      </c>
      <c r="F135">
        <v>459</v>
      </c>
      <c r="G135">
        <v>16</v>
      </c>
      <c r="H135">
        <v>17718</v>
      </c>
      <c r="I135">
        <v>5</v>
      </c>
      <c r="J135">
        <v>17</v>
      </c>
      <c r="K135">
        <v>399</v>
      </c>
      <c r="L135">
        <v>450</v>
      </c>
      <c r="M135">
        <v>15</v>
      </c>
      <c r="N135">
        <f>IFERROR(VLOOKUP(A135,vlookup_table!$A:$G,2,FALSE),"")</f>
        <v>28</v>
      </c>
      <c r="O135">
        <f>IFERROR(VLOOKUP(A135,vlookup_table!$A:$G,4,FALSE),"")</f>
        <v>2805</v>
      </c>
      <c r="P135" t="str">
        <f>IFERROR(VLOOKUP(A135,vlookup_table!$A:$G,5,FALSE),"")</f>
        <v>C1</v>
      </c>
      <c r="Q135">
        <f>IFERROR(VLOOKUP(A135,vlookup_table!$A:$G,7,FALSE),"")</f>
        <v>10</v>
      </c>
      <c r="R135">
        <f t="shared" si="8"/>
        <v>69</v>
      </c>
      <c r="S135" t="str" cm="1">
        <f t="array" ref="S135">IF(P135="","",_xlfn.SWITCH(LEFT(P135,1),"C","Ciudad","T","Pueblo","R","Rural","S","Suburbano","U","Urbano",""))</f>
        <v>Ciudad</v>
      </c>
      <c r="T135" t="str">
        <f t="shared" si="9"/>
        <v>F</v>
      </c>
      <c r="U135" t="str">
        <f t="shared" si="10"/>
        <v>FL</v>
      </c>
      <c r="V135" t="str">
        <f t="shared" si="11"/>
        <v>17718</v>
      </c>
    </row>
    <row r="136" spans="1:22" x14ac:dyDescent="0.35">
      <c r="A136" s="3">
        <v>85716</v>
      </c>
      <c r="B136" t="s">
        <v>56</v>
      </c>
      <c r="C136" t="s">
        <v>17</v>
      </c>
      <c r="D136">
        <v>357</v>
      </c>
      <c r="E136">
        <v>164</v>
      </c>
      <c r="F136">
        <v>254</v>
      </c>
      <c r="G136">
        <v>0</v>
      </c>
      <c r="H136">
        <v>8443</v>
      </c>
      <c r="I136">
        <v>1</v>
      </c>
      <c r="J136">
        <v>78</v>
      </c>
      <c r="K136">
        <v>214</v>
      </c>
      <c r="L136">
        <v>215</v>
      </c>
      <c r="M136">
        <v>25</v>
      </c>
      <c r="N136">
        <f>IFERROR(VLOOKUP(A136,vlookup_table!$A:$G,2,FALSE),"")</f>
        <v>0</v>
      </c>
      <c r="O136">
        <f>IFERROR(VLOOKUP(A136,vlookup_table!$A:$G,4,FALSE),"")</f>
        <v>2401</v>
      </c>
      <c r="P136" t="str">
        <f>IFERROR(VLOOKUP(A136,vlookup_table!$A:$G,5,FALSE),"")</f>
        <v>R3</v>
      </c>
      <c r="Q136">
        <f>IFERROR(VLOOKUP(A136,vlookup_table!$A:$G,7,FALSE),"")</f>
        <v>25</v>
      </c>
      <c r="R136">
        <f t="shared" si="8"/>
        <v>73</v>
      </c>
      <c r="S136" t="str" cm="1">
        <f t="array" ref="S136">IF(P136="","",_xlfn.SWITCH(LEFT(P136,1),"C","Ciudad","T","Pueblo","R","Rural","S","Suburbano","U","Urbano",""))</f>
        <v>Rural</v>
      </c>
      <c r="T136" t="str">
        <f t="shared" si="9"/>
        <v>F</v>
      </c>
      <c r="U136" t="str">
        <f t="shared" si="10"/>
        <v>MN</v>
      </c>
      <c r="V136" t="str">
        <f t="shared" si="11"/>
        <v>8443</v>
      </c>
    </row>
    <row r="137" spans="1:22" x14ac:dyDescent="0.35">
      <c r="A137" s="3">
        <v>154195</v>
      </c>
      <c r="B137" t="s">
        <v>25</v>
      </c>
      <c r="C137" t="s">
        <v>17</v>
      </c>
      <c r="D137">
        <v>896</v>
      </c>
      <c r="E137">
        <v>336</v>
      </c>
      <c r="F137">
        <v>418</v>
      </c>
      <c r="G137">
        <v>2</v>
      </c>
      <c r="H137">
        <v>14513</v>
      </c>
      <c r="I137">
        <v>7</v>
      </c>
      <c r="J137">
        <v>46</v>
      </c>
      <c r="K137">
        <v>362</v>
      </c>
      <c r="L137">
        <v>389</v>
      </c>
      <c r="M137">
        <v>20</v>
      </c>
      <c r="N137">
        <f>IFERROR(VLOOKUP(A137,vlookup_table!$A:$G,2,FALSE),"")</f>
        <v>0</v>
      </c>
      <c r="O137">
        <f>IFERROR(VLOOKUP(A137,vlookup_table!$A:$G,4,FALSE),"")</f>
        <v>0</v>
      </c>
      <c r="P137" t="str">
        <f>IFERROR(VLOOKUP(A137,vlookup_table!$A:$G,5,FALSE),"")</f>
        <v>T2</v>
      </c>
      <c r="Q137">
        <f>IFERROR(VLOOKUP(A137,vlookup_table!$A:$G,7,FALSE),"")</f>
        <v>20</v>
      </c>
      <c r="R137">
        <f t="shared" si="8"/>
        <v>97</v>
      </c>
      <c r="S137" t="str" cm="1">
        <f t="array" ref="S137">IF(P137="","",_xlfn.SWITCH(LEFT(P137,1),"C","Ciudad","T","Pueblo","R","Rural","S","Suburbano","U","Urbano",""))</f>
        <v>Pueblo</v>
      </c>
      <c r="T137" t="str">
        <f t="shared" si="9"/>
        <v>F</v>
      </c>
      <c r="U137" t="str">
        <f t="shared" si="10"/>
        <v>CA</v>
      </c>
      <c r="V137" t="str">
        <f t="shared" si="11"/>
        <v>14513</v>
      </c>
    </row>
    <row r="138" spans="1:22" x14ac:dyDescent="0.35">
      <c r="A138" s="3">
        <v>46755</v>
      </c>
      <c r="B138" t="s">
        <v>43</v>
      </c>
      <c r="C138" t="s">
        <v>17</v>
      </c>
      <c r="D138">
        <v>402</v>
      </c>
      <c r="E138">
        <v>232</v>
      </c>
      <c r="F138">
        <v>300</v>
      </c>
      <c r="G138">
        <v>0</v>
      </c>
      <c r="H138">
        <v>10540</v>
      </c>
      <c r="I138">
        <v>1</v>
      </c>
      <c r="J138">
        <v>86</v>
      </c>
      <c r="K138">
        <v>249</v>
      </c>
      <c r="L138">
        <v>276</v>
      </c>
      <c r="M138">
        <v>4.8333333329999997</v>
      </c>
      <c r="N138">
        <f>IFERROR(VLOOKUP(A138,vlookup_table!$A:$G,2,FALSE),"")</f>
        <v>0</v>
      </c>
      <c r="O138">
        <f>IFERROR(VLOOKUP(A138,vlookup_table!$A:$G,4,FALSE),"")</f>
        <v>0</v>
      </c>
      <c r="P138" t="str">
        <f>IFERROR(VLOOKUP(A138,vlookup_table!$A:$G,5,FALSE),"")</f>
        <v>R2</v>
      </c>
      <c r="Q138">
        <f>IFERROR(VLOOKUP(A138,vlookup_table!$A:$G,7,FALSE),"")</f>
        <v>5</v>
      </c>
      <c r="R138">
        <f t="shared" si="8"/>
        <v>97</v>
      </c>
      <c r="S138" t="str" cm="1">
        <f t="array" ref="S138">IF(P138="","",_xlfn.SWITCH(LEFT(P138,1),"C","Ciudad","T","Pueblo","R","Rural","S","Suburbano","U","Urbano",""))</f>
        <v>Rural</v>
      </c>
      <c r="T138" t="str">
        <f t="shared" si="9"/>
        <v>F</v>
      </c>
      <c r="U138" t="str">
        <f t="shared" si="10"/>
        <v>AL</v>
      </c>
      <c r="V138" t="str">
        <f t="shared" si="11"/>
        <v>10540</v>
      </c>
    </row>
    <row r="139" spans="1:22" x14ac:dyDescent="0.35">
      <c r="A139" s="3">
        <v>13239</v>
      </c>
      <c r="B139" t="s">
        <v>13</v>
      </c>
      <c r="C139" t="s">
        <v>14</v>
      </c>
      <c r="D139">
        <v>3083</v>
      </c>
      <c r="E139">
        <v>166</v>
      </c>
      <c r="F139">
        <v>332</v>
      </c>
      <c r="G139">
        <v>52</v>
      </c>
      <c r="H139">
        <v>16019</v>
      </c>
      <c r="I139">
        <v>26</v>
      </c>
      <c r="J139">
        <v>3</v>
      </c>
      <c r="K139">
        <v>270</v>
      </c>
      <c r="L139">
        <v>233</v>
      </c>
      <c r="M139">
        <v>2.9166666669999999</v>
      </c>
      <c r="N139">
        <f>IFERROR(VLOOKUP(A139,vlookup_table!$A:$G,2,FALSE),"")</f>
        <v>1</v>
      </c>
      <c r="O139">
        <f>IFERROR(VLOOKUP(A139,vlookup_table!$A:$G,4,FALSE),"")</f>
        <v>2901</v>
      </c>
      <c r="P139" t="str">
        <f>IFERROR(VLOOKUP(A139,vlookup_table!$A:$G,5,FALSE),"")</f>
        <v>C1</v>
      </c>
      <c r="Q139">
        <f>IFERROR(VLOOKUP(A139,vlookup_table!$A:$G,7,FALSE),"")</f>
        <v>3</v>
      </c>
      <c r="R139">
        <f t="shared" si="8"/>
        <v>68</v>
      </c>
      <c r="S139" t="str" cm="1">
        <f t="array" ref="S139">IF(P139="","",_xlfn.SWITCH(LEFT(P139,1),"C","Ciudad","T","Pueblo","R","Rural","S","Suburbano","U","Urbano",""))</f>
        <v>Ciudad</v>
      </c>
      <c r="T139" t="str">
        <f t="shared" si="9"/>
        <v>M</v>
      </c>
      <c r="U139" t="str">
        <f t="shared" si="10"/>
        <v>FL</v>
      </c>
      <c r="V139" t="str">
        <f t="shared" si="11"/>
        <v>16019</v>
      </c>
    </row>
    <row r="140" spans="1:22" x14ac:dyDescent="0.35">
      <c r="A140" s="3">
        <v>86068</v>
      </c>
      <c r="B140" t="s">
        <v>52</v>
      </c>
      <c r="C140" t="s">
        <v>17</v>
      </c>
      <c r="D140">
        <v>460</v>
      </c>
      <c r="E140">
        <v>247</v>
      </c>
      <c r="F140">
        <v>372</v>
      </c>
      <c r="G140">
        <v>0</v>
      </c>
      <c r="H140">
        <v>11245</v>
      </c>
      <c r="I140">
        <v>1</v>
      </c>
      <c r="J140">
        <v>69</v>
      </c>
      <c r="K140">
        <v>357</v>
      </c>
      <c r="L140">
        <v>300</v>
      </c>
      <c r="M140">
        <v>9.3636363639999995</v>
      </c>
      <c r="N140">
        <f>IFERROR(VLOOKUP(A140,vlookup_table!$A:$G,2,FALSE),"")</f>
        <v>0</v>
      </c>
      <c r="O140">
        <f>IFERROR(VLOOKUP(A140,vlookup_table!$A:$G,4,FALSE),"")</f>
        <v>0</v>
      </c>
      <c r="P140" t="str">
        <f>IFERROR(VLOOKUP(A140,vlookup_table!$A:$G,5,FALSE),"")</f>
        <v>R2</v>
      </c>
      <c r="Q140">
        <f>IFERROR(VLOOKUP(A140,vlookup_table!$A:$G,7,FALSE),"")</f>
        <v>5</v>
      </c>
      <c r="R140">
        <f t="shared" si="8"/>
        <v>97</v>
      </c>
      <c r="S140" t="str" cm="1">
        <f t="array" ref="S140">IF(P140="","",_xlfn.SWITCH(LEFT(P140,1),"C","Ciudad","T","Pueblo","R","Rural","S","Suburbano","U","Urbano",""))</f>
        <v>Rural</v>
      </c>
      <c r="T140" t="str">
        <f t="shared" si="9"/>
        <v>F</v>
      </c>
      <c r="U140" t="str">
        <f t="shared" si="10"/>
        <v>SD</v>
      </c>
      <c r="V140" t="str">
        <f t="shared" si="11"/>
        <v>11245</v>
      </c>
    </row>
    <row r="141" spans="1:22" x14ac:dyDescent="0.35">
      <c r="A141" s="3">
        <v>67900</v>
      </c>
      <c r="B141" t="s">
        <v>29</v>
      </c>
      <c r="C141" t="s">
        <v>14</v>
      </c>
      <c r="D141">
        <v>294</v>
      </c>
      <c r="E141">
        <v>279</v>
      </c>
      <c r="F141">
        <v>404</v>
      </c>
      <c r="G141">
        <v>0</v>
      </c>
      <c r="H141">
        <v>10385</v>
      </c>
      <c r="I141">
        <v>2</v>
      </c>
      <c r="J141">
        <v>80</v>
      </c>
      <c r="K141">
        <v>355</v>
      </c>
      <c r="L141">
        <v>391</v>
      </c>
      <c r="M141">
        <v>17.5</v>
      </c>
      <c r="N141">
        <f>IFERROR(VLOOKUP(A141,vlookup_table!$A:$G,2,FALSE),"")</f>
        <v>1</v>
      </c>
      <c r="O141">
        <f>IFERROR(VLOOKUP(A141,vlookup_table!$A:$G,4,FALSE),"")</f>
        <v>4801</v>
      </c>
      <c r="P141" t="str">
        <f>IFERROR(VLOOKUP(A141,vlookup_table!$A:$G,5,FALSE),"")</f>
        <v>U4</v>
      </c>
      <c r="Q141">
        <f>IFERROR(VLOOKUP(A141,vlookup_table!$A:$G,7,FALSE),"")</f>
        <v>20</v>
      </c>
      <c r="R141">
        <f t="shared" si="8"/>
        <v>49</v>
      </c>
      <c r="S141" t="str" cm="1">
        <f t="array" ref="S141">IF(P141="","",_xlfn.SWITCH(LEFT(P141,1),"C","Ciudad","T","Pueblo","R","Rural","S","Suburbano","U","Urbano",""))</f>
        <v>Urbano</v>
      </c>
      <c r="T141" t="str">
        <f t="shared" si="9"/>
        <v>M</v>
      </c>
      <c r="U141" t="str">
        <f t="shared" si="10"/>
        <v>MI</v>
      </c>
      <c r="V141" t="str">
        <f t="shared" si="11"/>
        <v>10385</v>
      </c>
    </row>
    <row r="142" spans="1:22" x14ac:dyDescent="0.35">
      <c r="A142" s="3">
        <v>59610</v>
      </c>
      <c r="B142" t="s">
        <v>33</v>
      </c>
      <c r="C142" t="s">
        <v>17</v>
      </c>
      <c r="D142">
        <v>1199</v>
      </c>
      <c r="E142">
        <v>547</v>
      </c>
      <c r="F142">
        <v>605</v>
      </c>
      <c r="G142">
        <v>2</v>
      </c>
      <c r="H142">
        <v>20694</v>
      </c>
      <c r="I142">
        <v>0</v>
      </c>
      <c r="J142">
        <v>69</v>
      </c>
      <c r="K142">
        <v>556</v>
      </c>
      <c r="L142">
        <v>597</v>
      </c>
      <c r="M142">
        <v>10</v>
      </c>
      <c r="N142">
        <f>IFERROR(VLOOKUP(A142,vlookup_table!$A:$G,2,FALSE),"")</f>
        <v>28</v>
      </c>
      <c r="O142">
        <f>IFERROR(VLOOKUP(A142,vlookup_table!$A:$G,4,FALSE),"")</f>
        <v>2301</v>
      </c>
      <c r="P142" t="str">
        <f>IFERROR(VLOOKUP(A142,vlookup_table!$A:$G,5,FALSE),"")</f>
        <v>T1</v>
      </c>
      <c r="Q142">
        <f>IFERROR(VLOOKUP(A142,vlookup_table!$A:$G,7,FALSE),"")</f>
        <v>15</v>
      </c>
      <c r="R142">
        <f t="shared" si="8"/>
        <v>74</v>
      </c>
      <c r="S142" t="str" cm="1">
        <f t="array" ref="S142">IF(P142="","",_xlfn.SWITCH(LEFT(P142,1),"C","Ciudad","T","Pueblo","R","Rural","S","Suburbano","U","Urbano",""))</f>
        <v>Pueblo</v>
      </c>
      <c r="T142" t="str">
        <f t="shared" si="9"/>
        <v>F</v>
      </c>
      <c r="U142" t="str">
        <f t="shared" si="10"/>
        <v>IN</v>
      </c>
      <c r="V142" t="str">
        <f t="shared" si="11"/>
        <v>20694</v>
      </c>
    </row>
    <row r="143" spans="1:22" x14ac:dyDescent="0.35">
      <c r="A143" s="3">
        <v>13378</v>
      </c>
      <c r="B143" t="s">
        <v>22</v>
      </c>
      <c r="C143" t="s">
        <v>17</v>
      </c>
      <c r="D143">
        <v>1125</v>
      </c>
      <c r="E143">
        <v>280</v>
      </c>
      <c r="F143">
        <v>362</v>
      </c>
      <c r="G143">
        <v>15</v>
      </c>
      <c r="H143">
        <v>10857</v>
      </c>
      <c r="I143">
        <v>10</v>
      </c>
      <c r="J143">
        <v>51</v>
      </c>
      <c r="K143">
        <v>336</v>
      </c>
      <c r="L143">
        <v>305</v>
      </c>
      <c r="M143">
        <v>5.7142857139999998</v>
      </c>
      <c r="N143">
        <f>IFERROR(VLOOKUP(A143,vlookup_table!$A:$G,2,FALSE),"")</f>
        <v>0</v>
      </c>
      <c r="O143">
        <f>IFERROR(VLOOKUP(A143,vlookup_table!$A:$G,4,FALSE),"")</f>
        <v>2401</v>
      </c>
      <c r="P143" t="str">
        <f>IFERROR(VLOOKUP(A143,vlookup_table!$A:$G,5,FALSE),"")</f>
        <v>T2</v>
      </c>
      <c r="Q143">
        <f>IFERROR(VLOOKUP(A143,vlookup_table!$A:$G,7,FALSE),"")</f>
        <v>7</v>
      </c>
      <c r="R143">
        <f t="shared" si="8"/>
        <v>73</v>
      </c>
      <c r="S143" t="str" cm="1">
        <f t="array" ref="S143">IF(P143="","",_xlfn.SWITCH(LEFT(P143,1),"C","Ciudad","T","Pueblo","R","Rural","S","Suburbano","U","Urbano",""))</f>
        <v>Pueblo</v>
      </c>
      <c r="T143" t="str">
        <f t="shared" si="9"/>
        <v>F</v>
      </c>
      <c r="U143" t="str">
        <f t="shared" si="10"/>
        <v>CA</v>
      </c>
      <c r="V143" t="str">
        <f t="shared" si="11"/>
        <v>10857</v>
      </c>
    </row>
    <row r="144" spans="1:22" x14ac:dyDescent="0.35">
      <c r="A144" s="3">
        <v>20752</v>
      </c>
      <c r="B144" t="s">
        <v>18</v>
      </c>
      <c r="C144" t="s">
        <v>14</v>
      </c>
      <c r="D144">
        <v>974</v>
      </c>
      <c r="E144">
        <v>252</v>
      </c>
      <c r="F144">
        <v>330</v>
      </c>
      <c r="G144">
        <v>3</v>
      </c>
      <c r="H144">
        <v>13321</v>
      </c>
      <c r="I144">
        <v>2</v>
      </c>
      <c r="J144">
        <v>32</v>
      </c>
      <c r="K144">
        <v>279</v>
      </c>
      <c r="L144">
        <v>300</v>
      </c>
      <c r="M144">
        <v>8.5333333329999999</v>
      </c>
      <c r="N144">
        <f>IFERROR(VLOOKUP(A144,vlookup_table!$A:$G,2,FALSE),"")</f>
        <v>2</v>
      </c>
      <c r="O144">
        <f>IFERROR(VLOOKUP(A144,vlookup_table!$A:$G,4,FALSE),"")</f>
        <v>2001</v>
      </c>
      <c r="P144" t="str">
        <f>IFERROR(VLOOKUP(A144,vlookup_table!$A:$G,5,FALSE),"")</f>
        <v>C2</v>
      </c>
      <c r="Q144">
        <f>IFERROR(VLOOKUP(A144,vlookup_table!$A:$G,7,FALSE),"")</f>
        <v>13</v>
      </c>
      <c r="R144">
        <f t="shared" si="8"/>
        <v>77</v>
      </c>
      <c r="S144" t="str" cm="1">
        <f t="array" ref="S144">IF(P144="","",_xlfn.SWITCH(LEFT(P144,1),"C","Ciudad","T","Pueblo","R","Rural","S","Suburbano","U","Urbano",""))</f>
        <v>Ciudad</v>
      </c>
      <c r="T144" t="str">
        <f t="shared" si="9"/>
        <v>M</v>
      </c>
      <c r="U144" t="str">
        <f t="shared" si="10"/>
        <v>NC</v>
      </c>
      <c r="V144" t="str">
        <f t="shared" si="11"/>
        <v>13321</v>
      </c>
    </row>
    <row r="145" spans="1:22" x14ac:dyDescent="0.35">
      <c r="A145" s="3">
        <v>30934</v>
      </c>
      <c r="B145" t="s">
        <v>39</v>
      </c>
      <c r="C145" t="s">
        <v>14</v>
      </c>
      <c r="D145">
        <v>316</v>
      </c>
      <c r="E145">
        <v>213</v>
      </c>
      <c r="F145">
        <v>280</v>
      </c>
      <c r="G145">
        <v>0</v>
      </c>
      <c r="H145">
        <v>8956</v>
      </c>
      <c r="I145">
        <v>0</v>
      </c>
      <c r="J145">
        <v>79</v>
      </c>
      <c r="K145">
        <v>238</v>
      </c>
      <c r="L145">
        <v>254</v>
      </c>
      <c r="M145">
        <v>12.5</v>
      </c>
      <c r="N145">
        <f>IFERROR(VLOOKUP(A145,vlookup_table!$A:$G,2,FALSE),"")</f>
        <v>0</v>
      </c>
      <c r="O145">
        <f>IFERROR(VLOOKUP(A145,vlookup_table!$A:$G,4,FALSE),"")</f>
        <v>905</v>
      </c>
      <c r="P145" t="str">
        <f>IFERROR(VLOOKUP(A145,vlookup_table!$A:$G,5,FALSE),"")</f>
        <v>R2</v>
      </c>
      <c r="Q145">
        <f>IFERROR(VLOOKUP(A145,vlookup_table!$A:$G,7,FALSE),"")</f>
        <v>15</v>
      </c>
      <c r="R145">
        <f t="shared" si="8"/>
        <v>88</v>
      </c>
      <c r="S145" t="str" cm="1">
        <f t="array" ref="S145">IF(P145="","",_xlfn.SWITCH(LEFT(P145,1),"C","Ciudad","T","Pueblo","R","Rural","S","Suburbano","U","Urbano",""))</f>
        <v>Rural</v>
      </c>
      <c r="T145" t="str">
        <f t="shared" si="9"/>
        <v>M</v>
      </c>
      <c r="U145" t="str">
        <f t="shared" si="10"/>
        <v>GA</v>
      </c>
      <c r="V145" t="str">
        <f t="shared" si="11"/>
        <v>8956</v>
      </c>
    </row>
    <row r="146" spans="1:22" x14ac:dyDescent="0.35">
      <c r="A146" s="3">
        <v>102163</v>
      </c>
      <c r="B146" t="s">
        <v>36</v>
      </c>
      <c r="C146" t="s">
        <v>17</v>
      </c>
      <c r="D146">
        <v>825</v>
      </c>
      <c r="E146">
        <v>401</v>
      </c>
      <c r="F146">
        <v>555</v>
      </c>
      <c r="G146">
        <v>1</v>
      </c>
      <c r="H146">
        <v>28003</v>
      </c>
      <c r="I146">
        <v>4</v>
      </c>
      <c r="J146">
        <v>49</v>
      </c>
      <c r="K146">
        <v>463</v>
      </c>
      <c r="L146">
        <v>464</v>
      </c>
      <c r="M146">
        <v>25</v>
      </c>
      <c r="N146">
        <f>IFERROR(VLOOKUP(A146,vlookup_table!$A:$G,2,FALSE),"")</f>
        <v>0</v>
      </c>
      <c r="O146">
        <f>IFERROR(VLOOKUP(A146,vlookup_table!$A:$G,4,FALSE),"")</f>
        <v>4301</v>
      </c>
      <c r="P146" t="str">
        <f>IFERROR(VLOOKUP(A146,vlookup_table!$A:$G,5,FALSE),"")</f>
        <v>C1</v>
      </c>
      <c r="Q146">
        <f>IFERROR(VLOOKUP(A146,vlookup_table!$A:$G,7,FALSE),"")</f>
        <v>30</v>
      </c>
      <c r="R146">
        <f t="shared" si="8"/>
        <v>54</v>
      </c>
      <c r="S146" t="str" cm="1">
        <f t="array" ref="S146">IF(P146="","",_xlfn.SWITCH(LEFT(P146,1),"C","Ciudad","T","Pueblo","R","Rural","S","Suburbano","U","Urbano",""))</f>
        <v>Ciudad</v>
      </c>
      <c r="T146" t="str">
        <f t="shared" si="9"/>
        <v>F</v>
      </c>
      <c r="U146" t="str">
        <f t="shared" si="10"/>
        <v>MO</v>
      </c>
      <c r="V146" t="str">
        <f t="shared" si="11"/>
        <v>28003</v>
      </c>
    </row>
    <row r="147" spans="1:22" x14ac:dyDescent="0.35">
      <c r="A147" s="3">
        <v>128976</v>
      </c>
      <c r="B147" t="s">
        <v>21</v>
      </c>
      <c r="C147" t="s">
        <v>17</v>
      </c>
      <c r="D147">
        <v>642</v>
      </c>
      <c r="E147">
        <v>271</v>
      </c>
      <c r="F147">
        <v>312</v>
      </c>
      <c r="G147">
        <v>0</v>
      </c>
      <c r="H147">
        <v>9453</v>
      </c>
      <c r="I147">
        <v>12</v>
      </c>
      <c r="J147">
        <v>35</v>
      </c>
      <c r="K147">
        <v>284</v>
      </c>
      <c r="L147">
        <v>306</v>
      </c>
      <c r="M147">
        <v>6.1428571429999996</v>
      </c>
      <c r="N147">
        <f>IFERROR(VLOOKUP(A147,vlookup_table!$A:$G,2,FALSE),"")</f>
        <v>0</v>
      </c>
      <c r="O147">
        <f>IFERROR(VLOOKUP(A147,vlookup_table!$A:$G,4,FALSE),"")</f>
        <v>7001</v>
      </c>
      <c r="P147" t="str">
        <f>IFERROR(VLOOKUP(A147,vlookup_table!$A:$G,5,FALSE),"")</f>
        <v>S2</v>
      </c>
      <c r="Q147">
        <f>IFERROR(VLOOKUP(A147,vlookup_table!$A:$G,7,FALSE),"")</f>
        <v>10</v>
      </c>
      <c r="R147">
        <f t="shared" si="8"/>
        <v>27</v>
      </c>
      <c r="S147" t="str" cm="1">
        <f t="array" ref="S147">IF(P147="","",_xlfn.SWITCH(LEFT(P147,1),"C","Ciudad","T","Pueblo","R","Rural","S","Suburbano","U","Urbano",""))</f>
        <v>Suburbano</v>
      </c>
      <c r="T147" t="str">
        <f t="shared" si="9"/>
        <v>F</v>
      </c>
      <c r="U147" t="str">
        <f t="shared" si="10"/>
        <v>TX</v>
      </c>
      <c r="V147" t="str">
        <f t="shared" si="11"/>
        <v>9453</v>
      </c>
    </row>
    <row r="148" spans="1:22" x14ac:dyDescent="0.35">
      <c r="A148" s="3">
        <v>44088</v>
      </c>
      <c r="B148" t="s">
        <v>33</v>
      </c>
      <c r="C148" t="s">
        <v>14</v>
      </c>
      <c r="D148">
        <v>1263</v>
      </c>
      <c r="E148">
        <v>468</v>
      </c>
      <c r="F148">
        <v>601</v>
      </c>
      <c r="G148">
        <v>21</v>
      </c>
      <c r="H148">
        <v>26265</v>
      </c>
      <c r="I148">
        <v>4</v>
      </c>
      <c r="J148">
        <v>58</v>
      </c>
      <c r="K148">
        <v>517</v>
      </c>
      <c r="L148">
        <v>548</v>
      </c>
      <c r="M148">
        <v>7.6875</v>
      </c>
      <c r="N148">
        <f>IFERROR(VLOOKUP(A148,vlookup_table!$A:$G,2,FALSE),"")</f>
        <v>1</v>
      </c>
      <c r="O148">
        <f>IFERROR(VLOOKUP(A148,vlookup_table!$A:$G,4,FALSE),"")</f>
        <v>3602</v>
      </c>
      <c r="P148" t="str">
        <f>IFERROR(VLOOKUP(A148,vlookup_table!$A:$G,5,FALSE),"")</f>
        <v>C1</v>
      </c>
      <c r="Q148">
        <f>IFERROR(VLOOKUP(A148,vlookup_table!$A:$G,7,FALSE),"")</f>
        <v>10</v>
      </c>
      <c r="R148">
        <f t="shared" si="8"/>
        <v>61</v>
      </c>
      <c r="S148" t="str" cm="1">
        <f t="array" ref="S148">IF(P148="","",_xlfn.SWITCH(LEFT(P148,1),"C","Ciudad","T","Pueblo","R","Rural","S","Suburbano","U","Urbano",""))</f>
        <v>Ciudad</v>
      </c>
      <c r="T148" t="str">
        <f t="shared" si="9"/>
        <v>M</v>
      </c>
      <c r="U148" t="str">
        <f t="shared" si="10"/>
        <v>IN</v>
      </c>
      <c r="V148" t="str">
        <f t="shared" si="11"/>
        <v>26265</v>
      </c>
    </row>
    <row r="149" spans="1:22" x14ac:dyDescent="0.35">
      <c r="A149" s="3">
        <v>154931</v>
      </c>
      <c r="B149" t="s">
        <v>22</v>
      </c>
      <c r="C149" t="s">
        <v>17</v>
      </c>
      <c r="D149">
        <v>1809</v>
      </c>
      <c r="E149">
        <v>454</v>
      </c>
      <c r="F149">
        <v>543</v>
      </c>
      <c r="G149">
        <v>35</v>
      </c>
      <c r="H149">
        <v>15886</v>
      </c>
      <c r="I149">
        <v>12</v>
      </c>
      <c r="J149">
        <v>44</v>
      </c>
      <c r="K149">
        <v>466</v>
      </c>
      <c r="L149">
        <v>503</v>
      </c>
      <c r="M149">
        <v>8</v>
      </c>
      <c r="N149">
        <f>IFERROR(VLOOKUP(A149,vlookup_table!$A:$G,2,FALSE),"")</f>
        <v>28</v>
      </c>
      <c r="O149">
        <f>IFERROR(VLOOKUP(A149,vlookup_table!$A:$G,4,FALSE),"")</f>
        <v>0</v>
      </c>
      <c r="P149" t="str">
        <f>IFERROR(VLOOKUP(A149,vlookup_table!$A:$G,5,FALSE),"")</f>
        <v>C2</v>
      </c>
      <c r="Q149">
        <f>IFERROR(VLOOKUP(A149,vlookup_table!$A:$G,7,FALSE),"")</f>
        <v>10</v>
      </c>
      <c r="R149">
        <f t="shared" si="8"/>
        <v>97</v>
      </c>
      <c r="S149" t="str" cm="1">
        <f t="array" ref="S149">IF(P149="","",_xlfn.SWITCH(LEFT(P149,1),"C","Ciudad","T","Pueblo","R","Rural","S","Suburbano","U","Urbano",""))</f>
        <v>Ciudad</v>
      </c>
      <c r="T149" t="str">
        <f t="shared" si="9"/>
        <v>F</v>
      </c>
      <c r="U149" t="str">
        <f t="shared" si="10"/>
        <v>CA</v>
      </c>
      <c r="V149" t="str">
        <f t="shared" si="11"/>
        <v>15886</v>
      </c>
    </row>
    <row r="150" spans="1:22" x14ac:dyDescent="0.35">
      <c r="A150" s="3">
        <v>87939</v>
      </c>
      <c r="B150" t="s">
        <v>16</v>
      </c>
      <c r="C150" t="s">
        <v>14</v>
      </c>
      <c r="D150">
        <v>5294</v>
      </c>
      <c r="E150">
        <v>1035</v>
      </c>
      <c r="F150">
        <v>1065</v>
      </c>
      <c r="G150">
        <v>96</v>
      </c>
      <c r="H150">
        <v>60053</v>
      </c>
      <c r="I150">
        <v>12</v>
      </c>
      <c r="J150">
        <v>57</v>
      </c>
      <c r="K150">
        <v>1165</v>
      </c>
      <c r="L150">
        <v>1012</v>
      </c>
      <c r="M150">
        <v>13</v>
      </c>
      <c r="N150">
        <f>IFERROR(VLOOKUP(A150,vlookup_table!$A:$G,2,FALSE),"")</f>
        <v>2</v>
      </c>
      <c r="O150">
        <f>IFERROR(VLOOKUP(A150,vlookup_table!$A:$G,4,FALSE),"")</f>
        <v>901</v>
      </c>
      <c r="P150" t="str">
        <f>IFERROR(VLOOKUP(A150,vlookup_table!$A:$G,5,FALSE),"")</f>
        <v>S1</v>
      </c>
      <c r="Q150">
        <f>IFERROR(VLOOKUP(A150,vlookup_table!$A:$G,7,FALSE),"")</f>
        <v>30</v>
      </c>
      <c r="R150">
        <f t="shared" si="8"/>
        <v>88</v>
      </c>
      <c r="S150" t="str" cm="1">
        <f t="array" ref="S150">IF(P150="","",_xlfn.SWITCH(LEFT(P150,1),"C","Ciudad","T","Pueblo","R","Rural","S","Suburbano","U","Urbano",""))</f>
        <v>Suburbano</v>
      </c>
      <c r="T150" t="str">
        <f t="shared" si="9"/>
        <v>M</v>
      </c>
      <c r="U150" t="str">
        <f t="shared" si="10"/>
        <v>IL</v>
      </c>
      <c r="V150" t="str">
        <f t="shared" si="11"/>
        <v>60053</v>
      </c>
    </row>
    <row r="151" spans="1:22" x14ac:dyDescent="0.35">
      <c r="A151" s="3">
        <v>140779</v>
      </c>
      <c r="B151" t="s">
        <v>24</v>
      </c>
      <c r="C151" t="s">
        <v>17</v>
      </c>
      <c r="D151">
        <v>1161</v>
      </c>
      <c r="E151">
        <v>448</v>
      </c>
      <c r="F151">
        <v>570</v>
      </c>
      <c r="G151">
        <v>5</v>
      </c>
      <c r="H151">
        <v>20691</v>
      </c>
      <c r="I151">
        <v>8</v>
      </c>
      <c r="J151">
        <v>14</v>
      </c>
      <c r="K151">
        <v>484</v>
      </c>
      <c r="L151">
        <v>536</v>
      </c>
      <c r="M151">
        <v>5.75</v>
      </c>
      <c r="N151">
        <f>IFERROR(VLOOKUP(A151,vlookup_table!$A:$G,2,FALSE),"")</f>
        <v>0</v>
      </c>
      <c r="O151">
        <f>IFERROR(VLOOKUP(A151,vlookup_table!$A:$G,4,FALSE),"")</f>
        <v>4601</v>
      </c>
      <c r="P151" t="str">
        <f>IFERROR(VLOOKUP(A151,vlookup_table!$A:$G,5,FALSE),"")</f>
        <v>S1</v>
      </c>
      <c r="Q151">
        <f>IFERROR(VLOOKUP(A151,vlookup_table!$A:$G,7,FALSE),"")</f>
        <v>6</v>
      </c>
      <c r="R151">
        <f t="shared" si="8"/>
        <v>51</v>
      </c>
      <c r="S151" t="str" cm="1">
        <f t="array" ref="S151">IF(P151="","",_xlfn.SWITCH(LEFT(P151,1),"C","Ciudad","T","Pueblo","R","Rural","S","Suburbano","U","Urbano",""))</f>
        <v>Suburbano</v>
      </c>
      <c r="T151" t="str">
        <f t="shared" si="9"/>
        <v>F</v>
      </c>
      <c r="U151" t="str">
        <f t="shared" si="10"/>
        <v>NV</v>
      </c>
      <c r="V151" t="str">
        <f t="shared" si="11"/>
        <v>20691</v>
      </c>
    </row>
    <row r="152" spans="1:22" x14ac:dyDescent="0.35">
      <c r="A152" s="3">
        <v>113838</v>
      </c>
      <c r="B152" t="s">
        <v>31</v>
      </c>
      <c r="C152" t="s">
        <v>17</v>
      </c>
      <c r="D152">
        <v>295</v>
      </c>
      <c r="E152">
        <v>150</v>
      </c>
      <c r="F152">
        <v>248</v>
      </c>
      <c r="G152">
        <v>0</v>
      </c>
      <c r="H152">
        <v>8962</v>
      </c>
      <c r="I152">
        <v>1</v>
      </c>
      <c r="J152">
        <v>62</v>
      </c>
      <c r="K152">
        <v>203</v>
      </c>
      <c r="L152">
        <v>195</v>
      </c>
      <c r="M152">
        <v>6.3333333329999997</v>
      </c>
      <c r="N152">
        <f>IFERROR(VLOOKUP(A152,vlookup_table!$A:$G,2,FALSE),"")</f>
        <v>2</v>
      </c>
      <c r="O152">
        <f>IFERROR(VLOOKUP(A152,vlookup_table!$A:$G,4,FALSE),"")</f>
        <v>0</v>
      </c>
      <c r="P152" t="str">
        <f>IFERROR(VLOOKUP(A152,vlookup_table!$A:$G,5,FALSE),"")</f>
        <v>R3</v>
      </c>
      <c r="Q152">
        <f>IFERROR(VLOOKUP(A152,vlookup_table!$A:$G,7,FALSE),"")</f>
        <v>8</v>
      </c>
      <c r="R152">
        <f t="shared" si="8"/>
        <v>97</v>
      </c>
      <c r="S152" t="str" cm="1">
        <f t="array" ref="S152">IF(P152="","",_xlfn.SWITCH(LEFT(P152,1),"C","Ciudad","T","Pueblo","R","Rural","S","Suburbano","U","Urbano",""))</f>
        <v>Rural</v>
      </c>
      <c r="T152" t="str">
        <f t="shared" si="9"/>
        <v>F</v>
      </c>
      <c r="U152" t="str">
        <f t="shared" si="10"/>
        <v>OK</v>
      </c>
      <c r="V152" t="str">
        <f t="shared" si="11"/>
        <v>8962</v>
      </c>
    </row>
    <row r="153" spans="1:22" x14ac:dyDescent="0.35">
      <c r="A153" s="3">
        <v>156568</v>
      </c>
      <c r="B153" t="s">
        <v>22</v>
      </c>
      <c r="D153">
        <v>3020</v>
      </c>
      <c r="E153">
        <v>756</v>
      </c>
      <c r="F153">
        <v>823</v>
      </c>
      <c r="G153">
        <v>95</v>
      </c>
      <c r="H153">
        <v>26135</v>
      </c>
      <c r="I153">
        <v>4</v>
      </c>
      <c r="J153">
        <v>46</v>
      </c>
      <c r="K153">
        <v>765</v>
      </c>
      <c r="L153">
        <v>809</v>
      </c>
      <c r="M153">
        <v>40.083333330000002</v>
      </c>
      <c r="N153">
        <f>IFERROR(VLOOKUP(A153,vlookup_table!$A:$G,2,FALSE),"")</f>
        <v>0</v>
      </c>
      <c r="O153">
        <f>IFERROR(VLOOKUP(A153,vlookup_table!$A:$G,4,FALSE),"")</f>
        <v>4812</v>
      </c>
      <c r="P153" t="str">
        <f>IFERROR(VLOOKUP(A153,vlookup_table!$A:$G,5,FALSE),"")</f>
        <v>S1</v>
      </c>
      <c r="Q153">
        <f>IFERROR(VLOOKUP(A153,vlookup_table!$A:$G,7,FALSE),"")</f>
        <v>75</v>
      </c>
      <c r="R153">
        <f t="shared" si="8"/>
        <v>49</v>
      </c>
      <c r="S153" t="str" cm="1">
        <f t="array" ref="S153">IF(P153="","",_xlfn.SWITCH(LEFT(P153,1),"C","Ciudad","T","Pueblo","R","Rural","S","Suburbano","U","Urbano",""))</f>
        <v>Suburbano</v>
      </c>
      <c r="T153" t="str">
        <f t="shared" si="9"/>
        <v/>
      </c>
      <c r="U153" t="str">
        <f t="shared" si="10"/>
        <v>CA</v>
      </c>
      <c r="V153" t="str">
        <f t="shared" si="11"/>
        <v>26135</v>
      </c>
    </row>
    <row r="154" spans="1:22" x14ac:dyDescent="0.35">
      <c r="A154" s="3">
        <v>130485</v>
      </c>
      <c r="B154" t="s">
        <v>48</v>
      </c>
      <c r="C154" t="s">
        <v>17</v>
      </c>
      <c r="D154">
        <v>431</v>
      </c>
      <c r="E154">
        <v>258</v>
      </c>
      <c r="F154">
        <v>541</v>
      </c>
      <c r="G154">
        <v>0</v>
      </c>
      <c r="H154">
        <v>25828</v>
      </c>
      <c r="I154">
        <v>3</v>
      </c>
      <c r="J154">
        <v>32</v>
      </c>
      <c r="K154">
        <v>342</v>
      </c>
      <c r="L154">
        <v>386</v>
      </c>
      <c r="M154">
        <v>8.5714285710000002</v>
      </c>
      <c r="N154">
        <f>IFERROR(VLOOKUP(A154,vlookup_table!$A:$G,2,FALSE),"")</f>
        <v>0</v>
      </c>
      <c r="O154">
        <f>IFERROR(VLOOKUP(A154,vlookup_table!$A:$G,4,FALSE),"")</f>
        <v>3001</v>
      </c>
      <c r="P154" t="str">
        <f>IFERROR(VLOOKUP(A154,vlookup_table!$A:$G,5,FALSE),"")</f>
        <v>U2</v>
      </c>
      <c r="Q154">
        <f>IFERROR(VLOOKUP(A154,vlookup_table!$A:$G,7,FALSE),"")</f>
        <v>16</v>
      </c>
      <c r="R154">
        <f t="shared" si="8"/>
        <v>67</v>
      </c>
      <c r="S154" t="str" cm="1">
        <f t="array" ref="S154">IF(P154="","",_xlfn.SWITCH(LEFT(P154,1),"C","Ciudad","T","Pueblo","R","Rural","S","Suburbano","U","Urbano",""))</f>
        <v>Urbano</v>
      </c>
      <c r="T154" t="str">
        <f t="shared" si="9"/>
        <v>F</v>
      </c>
      <c r="U154" t="str">
        <f t="shared" si="10"/>
        <v>CO</v>
      </c>
      <c r="V154" t="str">
        <f t="shared" si="11"/>
        <v>25828</v>
      </c>
    </row>
    <row r="155" spans="1:22" x14ac:dyDescent="0.35">
      <c r="A155" s="3">
        <v>101803</v>
      </c>
      <c r="B155" t="s">
        <v>36</v>
      </c>
      <c r="C155" t="s">
        <v>17</v>
      </c>
      <c r="D155">
        <v>544</v>
      </c>
      <c r="E155">
        <v>264</v>
      </c>
      <c r="F155">
        <v>340</v>
      </c>
      <c r="G155">
        <v>0</v>
      </c>
      <c r="H155">
        <v>16194</v>
      </c>
      <c r="I155">
        <v>1</v>
      </c>
      <c r="J155">
        <v>71</v>
      </c>
      <c r="K155">
        <v>283</v>
      </c>
      <c r="L155">
        <v>326</v>
      </c>
      <c r="M155">
        <v>11</v>
      </c>
      <c r="N155">
        <f>IFERROR(VLOOKUP(A155,vlookup_table!$A:$G,2,FALSE),"")</f>
        <v>0</v>
      </c>
      <c r="O155">
        <f>IFERROR(VLOOKUP(A155,vlookup_table!$A:$G,4,FALSE),"")</f>
        <v>4701</v>
      </c>
      <c r="P155" t="str">
        <f>IFERROR(VLOOKUP(A155,vlookup_table!$A:$G,5,FALSE),"")</f>
        <v>C3</v>
      </c>
      <c r="Q155">
        <f>IFERROR(VLOOKUP(A155,vlookup_table!$A:$G,7,FALSE),"")</f>
        <v>25</v>
      </c>
      <c r="R155">
        <f t="shared" si="8"/>
        <v>50</v>
      </c>
      <c r="S155" t="str" cm="1">
        <f t="array" ref="S155">IF(P155="","",_xlfn.SWITCH(LEFT(P155,1),"C","Ciudad","T","Pueblo","R","Rural","S","Suburbano","U","Urbano",""))</f>
        <v>Ciudad</v>
      </c>
      <c r="T155" t="str">
        <f t="shared" si="9"/>
        <v>F</v>
      </c>
      <c r="U155" t="str">
        <f t="shared" si="10"/>
        <v>MO</v>
      </c>
      <c r="V155" t="str">
        <f t="shared" si="11"/>
        <v>16194</v>
      </c>
    </row>
    <row r="156" spans="1:22" x14ac:dyDescent="0.35">
      <c r="A156" s="3">
        <v>41899</v>
      </c>
      <c r="B156" t="s">
        <v>13</v>
      </c>
      <c r="C156" t="s">
        <v>14</v>
      </c>
      <c r="D156">
        <v>618</v>
      </c>
      <c r="E156">
        <v>223</v>
      </c>
      <c r="F156">
        <v>335</v>
      </c>
      <c r="G156">
        <v>2</v>
      </c>
      <c r="H156">
        <v>13341</v>
      </c>
      <c r="I156">
        <v>7</v>
      </c>
      <c r="J156">
        <v>22</v>
      </c>
      <c r="K156">
        <v>278</v>
      </c>
      <c r="L156">
        <v>278</v>
      </c>
      <c r="M156">
        <v>7.846153846</v>
      </c>
      <c r="N156">
        <f>IFERROR(VLOOKUP(A156,vlookup_table!$A:$G,2,FALSE),"")</f>
        <v>1002</v>
      </c>
      <c r="O156">
        <f>IFERROR(VLOOKUP(A156,vlookup_table!$A:$G,4,FALSE),"")</f>
        <v>0</v>
      </c>
      <c r="P156" t="str">
        <f>IFERROR(VLOOKUP(A156,vlookup_table!$A:$G,5,FALSE),"")</f>
        <v>U3</v>
      </c>
      <c r="Q156">
        <f>IFERROR(VLOOKUP(A156,vlookup_table!$A:$G,7,FALSE),"")</f>
        <v>10</v>
      </c>
      <c r="R156">
        <f t="shared" si="8"/>
        <v>97</v>
      </c>
      <c r="S156" t="str" cm="1">
        <f t="array" ref="S156">IF(P156="","",_xlfn.SWITCH(LEFT(P156,1),"C","Ciudad","T","Pueblo","R","Rural","S","Suburbano","U","Urbano",""))</f>
        <v>Urbano</v>
      </c>
      <c r="T156" t="str">
        <f t="shared" si="9"/>
        <v>M</v>
      </c>
      <c r="U156" t="str">
        <f t="shared" si="10"/>
        <v>FL</v>
      </c>
      <c r="V156" t="str">
        <f t="shared" si="11"/>
        <v>13341</v>
      </c>
    </row>
    <row r="157" spans="1:22" x14ac:dyDescent="0.35">
      <c r="A157" s="3">
        <v>30795</v>
      </c>
      <c r="B157" t="s">
        <v>39</v>
      </c>
      <c r="C157" t="s">
        <v>14</v>
      </c>
      <c r="D157">
        <v>323</v>
      </c>
      <c r="E157">
        <v>183</v>
      </c>
      <c r="F157">
        <v>210</v>
      </c>
      <c r="G157">
        <v>2</v>
      </c>
      <c r="H157">
        <v>7139</v>
      </c>
      <c r="I157">
        <v>0</v>
      </c>
      <c r="J157">
        <v>77</v>
      </c>
      <c r="K157">
        <v>207</v>
      </c>
      <c r="L157">
        <v>201</v>
      </c>
      <c r="M157">
        <v>5.4444444440000002</v>
      </c>
      <c r="N157">
        <f>IFERROR(VLOOKUP(A157,vlookup_table!$A:$G,2,FALSE),"")</f>
        <v>2</v>
      </c>
      <c r="O157">
        <f>IFERROR(VLOOKUP(A157,vlookup_table!$A:$G,4,FALSE),"")</f>
        <v>0</v>
      </c>
      <c r="P157" t="str">
        <f>IFERROR(VLOOKUP(A157,vlookup_table!$A:$G,5,FALSE),"")</f>
        <v>T3</v>
      </c>
      <c r="Q157">
        <f>IFERROR(VLOOKUP(A157,vlookup_table!$A:$G,7,FALSE),"")</f>
        <v>10</v>
      </c>
      <c r="R157">
        <f t="shared" si="8"/>
        <v>97</v>
      </c>
      <c r="S157" t="str" cm="1">
        <f t="array" ref="S157">IF(P157="","",_xlfn.SWITCH(LEFT(P157,1),"C","Ciudad","T","Pueblo","R","Rural","S","Suburbano","U","Urbano",""))</f>
        <v>Pueblo</v>
      </c>
      <c r="T157" t="str">
        <f t="shared" si="9"/>
        <v>M</v>
      </c>
      <c r="U157" t="str">
        <f t="shared" si="10"/>
        <v>GA</v>
      </c>
      <c r="V157" t="str">
        <f t="shared" si="11"/>
        <v>7139</v>
      </c>
    </row>
    <row r="158" spans="1:22" x14ac:dyDescent="0.35">
      <c r="A158" s="3">
        <v>133256</v>
      </c>
      <c r="B158" t="s">
        <v>41</v>
      </c>
      <c r="C158" t="s">
        <v>14</v>
      </c>
      <c r="D158">
        <v>1104</v>
      </c>
      <c r="E158">
        <v>511</v>
      </c>
      <c r="F158">
        <v>566</v>
      </c>
      <c r="G158">
        <v>7</v>
      </c>
      <c r="H158">
        <v>17366</v>
      </c>
      <c r="I158">
        <v>3</v>
      </c>
      <c r="J158">
        <v>50</v>
      </c>
      <c r="K158">
        <v>528</v>
      </c>
      <c r="L158">
        <v>534</v>
      </c>
      <c r="M158">
        <v>13</v>
      </c>
      <c r="N158">
        <f>IFERROR(VLOOKUP(A158,vlookup_table!$A:$G,2,FALSE),"")</f>
        <v>2</v>
      </c>
      <c r="O158">
        <f>IFERROR(VLOOKUP(A158,vlookup_table!$A:$G,4,FALSE),"")</f>
        <v>2002</v>
      </c>
      <c r="P158" t="str">
        <f>IFERROR(VLOOKUP(A158,vlookup_table!$A:$G,5,FALSE),"")</f>
        <v>C1</v>
      </c>
      <c r="Q158">
        <f>IFERROR(VLOOKUP(A158,vlookup_table!$A:$G,7,FALSE),"")</f>
        <v>10</v>
      </c>
      <c r="R158">
        <f t="shared" si="8"/>
        <v>77</v>
      </c>
      <c r="S158" t="str" cm="1">
        <f t="array" ref="S158">IF(P158="","",_xlfn.SWITCH(LEFT(P158,1),"C","Ciudad","T","Pueblo","R","Rural","S","Suburbano","U","Urbano",""))</f>
        <v>Ciudad</v>
      </c>
      <c r="T158" t="str">
        <f t="shared" si="9"/>
        <v>M</v>
      </c>
      <c r="U158" t="str">
        <f t="shared" si="10"/>
        <v>ID</v>
      </c>
      <c r="V158" t="str">
        <f t="shared" si="11"/>
        <v>17366</v>
      </c>
    </row>
    <row r="159" spans="1:22" x14ac:dyDescent="0.35">
      <c r="A159" s="3">
        <v>151203</v>
      </c>
      <c r="B159" t="s">
        <v>22</v>
      </c>
      <c r="C159" t="s">
        <v>30</v>
      </c>
      <c r="D159">
        <v>2135</v>
      </c>
      <c r="E159">
        <v>417</v>
      </c>
      <c r="F159">
        <v>456</v>
      </c>
      <c r="G159">
        <v>58</v>
      </c>
      <c r="H159">
        <v>18907</v>
      </c>
      <c r="I159">
        <v>10</v>
      </c>
      <c r="J159">
        <v>55</v>
      </c>
      <c r="K159">
        <v>417</v>
      </c>
      <c r="L159">
        <v>433</v>
      </c>
      <c r="M159">
        <v>8.1999999999999993</v>
      </c>
      <c r="N159">
        <f>IFERROR(VLOOKUP(A159,vlookup_table!$A:$G,2,FALSE),"")</f>
        <v>0</v>
      </c>
      <c r="O159">
        <f>IFERROR(VLOOKUP(A159,vlookup_table!$A:$G,4,FALSE),"")</f>
        <v>0</v>
      </c>
      <c r="P159">
        <f>IFERROR(VLOOKUP(A159,vlookup_table!$A:$G,5,FALSE),"")</f>
        <v>0</v>
      </c>
      <c r="Q159">
        <f>IFERROR(VLOOKUP(A159,vlookup_table!$A:$G,7,FALSE),"")</f>
        <v>5</v>
      </c>
      <c r="R159">
        <f t="shared" si="8"/>
        <v>97</v>
      </c>
      <c r="S159" t="str" cm="1">
        <f t="array" ref="S159">IF(P159="","",_xlfn.SWITCH(LEFT(P159,1),"C","Ciudad","T","Pueblo","R","Rural","S","Suburbano","U","Urbano",""))</f>
        <v/>
      </c>
      <c r="T159" t="str">
        <f t="shared" si="9"/>
        <v>U</v>
      </c>
      <c r="U159" t="str">
        <f t="shared" si="10"/>
        <v>CA</v>
      </c>
      <c r="V159" t="str">
        <f t="shared" si="11"/>
        <v>18907</v>
      </c>
    </row>
    <row r="160" spans="1:22" x14ac:dyDescent="0.35">
      <c r="A160" s="3">
        <v>31425</v>
      </c>
      <c r="B160" t="s">
        <v>39</v>
      </c>
      <c r="C160" t="s">
        <v>14</v>
      </c>
      <c r="D160">
        <v>671</v>
      </c>
      <c r="E160">
        <v>287</v>
      </c>
      <c r="F160">
        <v>441</v>
      </c>
      <c r="G160">
        <v>3</v>
      </c>
      <c r="H160">
        <v>16517</v>
      </c>
      <c r="I160">
        <v>4</v>
      </c>
      <c r="J160">
        <v>70</v>
      </c>
      <c r="K160">
        <v>365</v>
      </c>
      <c r="L160">
        <v>372</v>
      </c>
      <c r="M160">
        <v>4.8888888890000004</v>
      </c>
      <c r="N160">
        <f>IFERROR(VLOOKUP(A160,vlookup_table!$A:$G,2,FALSE),"")</f>
        <v>0</v>
      </c>
      <c r="O160">
        <f>IFERROR(VLOOKUP(A160,vlookup_table!$A:$G,4,FALSE),"")</f>
        <v>3901</v>
      </c>
      <c r="P160" t="str">
        <f>IFERROR(VLOOKUP(A160,vlookup_table!$A:$G,5,FALSE),"")</f>
        <v>T3</v>
      </c>
      <c r="Q160">
        <f>IFERROR(VLOOKUP(A160,vlookup_table!$A:$G,7,FALSE),"")</f>
        <v>16</v>
      </c>
      <c r="R160">
        <f t="shared" si="8"/>
        <v>58</v>
      </c>
      <c r="S160" t="str" cm="1">
        <f t="array" ref="S160">IF(P160="","",_xlfn.SWITCH(LEFT(P160,1),"C","Ciudad","T","Pueblo","R","Rural","S","Suburbano","U","Urbano",""))</f>
        <v>Pueblo</v>
      </c>
      <c r="T160" t="str">
        <f t="shared" si="9"/>
        <v>M</v>
      </c>
      <c r="U160" t="str">
        <f t="shared" si="10"/>
        <v>GA</v>
      </c>
      <c r="V160" t="str">
        <f t="shared" si="11"/>
        <v>16517</v>
      </c>
    </row>
    <row r="161" spans="1:22" x14ac:dyDescent="0.35">
      <c r="A161" s="3">
        <v>70524</v>
      </c>
      <c r="B161" t="s">
        <v>29</v>
      </c>
      <c r="C161" t="s">
        <v>17</v>
      </c>
      <c r="D161">
        <v>510</v>
      </c>
      <c r="E161">
        <v>228</v>
      </c>
      <c r="F161">
        <v>394</v>
      </c>
      <c r="G161">
        <v>0</v>
      </c>
      <c r="H161">
        <v>12576</v>
      </c>
      <c r="I161">
        <v>1</v>
      </c>
      <c r="J161">
        <v>80</v>
      </c>
      <c r="K161">
        <v>370</v>
      </c>
      <c r="L161">
        <v>324</v>
      </c>
      <c r="M161">
        <v>10.8</v>
      </c>
      <c r="N161">
        <f>IFERROR(VLOOKUP(A161,vlookup_table!$A:$G,2,FALSE),"")</f>
        <v>0</v>
      </c>
      <c r="O161">
        <f>IFERROR(VLOOKUP(A161,vlookup_table!$A:$G,4,FALSE),"")</f>
        <v>3204</v>
      </c>
      <c r="P161" t="str">
        <f>IFERROR(VLOOKUP(A161,vlookup_table!$A:$G,5,FALSE),"")</f>
        <v>R2</v>
      </c>
      <c r="Q161">
        <f>IFERROR(VLOOKUP(A161,vlookup_table!$A:$G,7,FALSE),"")</f>
        <v>23</v>
      </c>
      <c r="R161">
        <f t="shared" si="8"/>
        <v>65</v>
      </c>
      <c r="S161" t="str" cm="1">
        <f t="array" ref="S161">IF(P161="","",_xlfn.SWITCH(LEFT(P161,1),"C","Ciudad","T","Pueblo","R","Rural","S","Suburbano","U","Urbano",""))</f>
        <v>Rural</v>
      </c>
      <c r="T161" t="str">
        <f t="shared" si="9"/>
        <v>F</v>
      </c>
      <c r="U161" t="str">
        <f t="shared" si="10"/>
        <v>MI</v>
      </c>
      <c r="V161" t="str">
        <f t="shared" si="11"/>
        <v>12576</v>
      </c>
    </row>
    <row r="162" spans="1:22" x14ac:dyDescent="0.35">
      <c r="A162" s="3">
        <v>161229</v>
      </c>
      <c r="B162" t="s">
        <v>22</v>
      </c>
      <c r="C162" t="s">
        <v>17</v>
      </c>
      <c r="D162">
        <v>650</v>
      </c>
      <c r="E162">
        <v>302</v>
      </c>
      <c r="F162">
        <v>318</v>
      </c>
      <c r="G162">
        <v>13</v>
      </c>
      <c r="H162">
        <v>7080</v>
      </c>
      <c r="I162">
        <v>43</v>
      </c>
      <c r="J162">
        <v>49</v>
      </c>
      <c r="K162">
        <v>302</v>
      </c>
      <c r="L162">
        <v>315</v>
      </c>
      <c r="M162">
        <v>8.6666666669999994</v>
      </c>
      <c r="N162">
        <f>IFERROR(VLOOKUP(A162,vlookup_table!$A:$G,2,FALSE),"")</f>
        <v>0</v>
      </c>
      <c r="O162">
        <f>IFERROR(VLOOKUP(A162,vlookup_table!$A:$G,4,FALSE),"")</f>
        <v>4201</v>
      </c>
      <c r="P162" t="str">
        <f>IFERROR(VLOOKUP(A162,vlookup_table!$A:$G,5,FALSE),"")</f>
        <v>R2</v>
      </c>
      <c r="Q162">
        <f>IFERROR(VLOOKUP(A162,vlookup_table!$A:$G,7,FALSE),"")</f>
        <v>21</v>
      </c>
      <c r="R162">
        <f t="shared" si="8"/>
        <v>55</v>
      </c>
      <c r="S162" t="str" cm="1">
        <f t="array" ref="S162">IF(P162="","",_xlfn.SWITCH(LEFT(P162,1),"C","Ciudad","T","Pueblo","R","Rural","S","Suburbano","U","Urbano",""))</f>
        <v>Rural</v>
      </c>
      <c r="T162" t="str">
        <f t="shared" si="9"/>
        <v>F</v>
      </c>
      <c r="U162" t="str">
        <f t="shared" si="10"/>
        <v>CA</v>
      </c>
      <c r="V162" t="str">
        <f t="shared" si="11"/>
        <v>7080</v>
      </c>
    </row>
    <row r="163" spans="1:22" x14ac:dyDescent="0.35">
      <c r="A163" s="3">
        <v>83181</v>
      </c>
      <c r="B163" t="s">
        <v>56</v>
      </c>
      <c r="C163" t="s">
        <v>17</v>
      </c>
      <c r="D163">
        <v>487</v>
      </c>
      <c r="E163">
        <v>248</v>
      </c>
      <c r="F163">
        <v>327</v>
      </c>
      <c r="G163">
        <v>0</v>
      </c>
      <c r="H163">
        <v>10792</v>
      </c>
      <c r="I163">
        <v>1</v>
      </c>
      <c r="J163">
        <v>88</v>
      </c>
      <c r="K163">
        <v>287</v>
      </c>
      <c r="L163">
        <v>286</v>
      </c>
      <c r="M163">
        <v>12.727272729999999</v>
      </c>
      <c r="N163">
        <f>IFERROR(VLOOKUP(A163,vlookup_table!$A:$G,2,FALSE),"")</f>
        <v>0</v>
      </c>
      <c r="O163">
        <f>IFERROR(VLOOKUP(A163,vlookup_table!$A:$G,4,FALSE),"")</f>
        <v>0</v>
      </c>
      <c r="P163" t="str">
        <f>IFERROR(VLOOKUP(A163,vlookup_table!$A:$G,5,FALSE),"")</f>
        <v>R2</v>
      </c>
      <c r="Q163">
        <f>IFERROR(VLOOKUP(A163,vlookup_table!$A:$G,7,FALSE),"")</f>
        <v>15</v>
      </c>
      <c r="R163">
        <f t="shared" si="8"/>
        <v>97</v>
      </c>
      <c r="S163" t="str" cm="1">
        <f t="array" ref="S163">IF(P163="","",_xlfn.SWITCH(LEFT(P163,1),"C","Ciudad","T","Pueblo","R","Rural","S","Suburbano","U","Urbano",""))</f>
        <v>Rural</v>
      </c>
      <c r="T163" t="str">
        <f t="shared" si="9"/>
        <v>F</v>
      </c>
      <c r="U163" t="str">
        <f t="shared" si="10"/>
        <v>MN</v>
      </c>
      <c r="V163" t="str">
        <f t="shared" si="11"/>
        <v>10792</v>
      </c>
    </row>
    <row r="164" spans="1:22" x14ac:dyDescent="0.35">
      <c r="A164" s="3">
        <v>143528</v>
      </c>
      <c r="B164" t="s">
        <v>22</v>
      </c>
      <c r="C164" t="s">
        <v>17</v>
      </c>
      <c r="D164">
        <v>2925</v>
      </c>
      <c r="E164">
        <v>288</v>
      </c>
      <c r="F164">
        <v>376</v>
      </c>
      <c r="G164">
        <v>83</v>
      </c>
      <c r="H164">
        <v>23046</v>
      </c>
      <c r="I164">
        <v>27</v>
      </c>
      <c r="J164">
        <v>21</v>
      </c>
      <c r="K164">
        <v>305</v>
      </c>
      <c r="L164">
        <v>353</v>
      </c>
      <c r="M164">
        <v>7.5238095239999998</v>
      </c>
      <c r="N164">
        <f>IFERROR(VLOOKUP(A164,vlookup_table!$A:$G,2,FALSE),"")</f>
        <v>0</v>
      </c>
      <c r="O164">
        <f>IFERROR(VLOOKUP(A164,vlookup_table!$A:$G,4,FALSE),"")</f>
        <v>4905</v>
      </c>
      <c r="P164" t="str">
        <f>IFERROR(VLOOKUP(A164,vlookup_table!$A:$G,5,FALSE),"")</f>
        <v>U1</v>
      </c>
      <c r="Q164">
        <f>IFERROR(VLOOKUP(A164,vlookup_table!$A:$G,7,FALSE),"")</f>
        <v>10</v>
      </c>
      <c r="R164">
        <f t="shared" si="8"/>
        <v>48</v>
      </c>
      <c r="S164" t="str" cm="1">
        <f t="array" ref="S164">IF(P164="","",_xlfn.SWITCH(LEFT(P164,1),"C","Ciudad","T","Pueblo","R","Rural","S","Suburbano","U","Urbano",""))</f>
        <v>Urbano</v>
      </c>
      <c r="T164" t="str">
        <f t="shared" si="9"/>
        <v>F</v>
      </c>
      <c r="U164" t="str">
        <f t="shared" si="10"/>
        <v>CA</v>
      </c>
      <c r="V164" t="str">
        <f t="shared" si="11"/>
        <v>23046</v>
      </c>
    </row>
    <row r="165" spans="1:22" x14ac:dyDescent="0.35">
      <c r="A165" s="3">
        <v>42970</v>
      </c>
      <c r="B165" t="s">
        <v>13</v>
      </c>
      <c r="C165" t="s">
        <v>14</v>
      </c>
      <c r="D165">
        <v>884</v>
      </c>
      <c r="E165">
        <v>242</v>
      </c>
      <c r="F165">
        <v>313</v>
      </c>
      <c r="G165">
        <v>1</v>
      </c>
      <c r="H165">
        <v>13491</v>
      </c>
      <c r="I165">
        <v>6</v>
      </c>
      <c r="J165">
        <v>6</v>
      </c>
      <c r="K165">
        <v>268</v>
      </c>
      <c r="L165">
        <v>271</v>
      </c>
      <c r="M165">
        <v>4.4285714289999998</v>
      </c>
      <c r="N165">
        <f>IFERROR(VLOOKUP(A165,vlookup_table!$A:$G,2,FALSE),"")</f>
        <v>1</v>
      </c>
      <c r="O165">
        <f>IFERROR(VLOOKUP(A165,vlookup_table!$A:$G,4,FALSE),"")</f>
        <v>0</v>
      </c>
      <c r="P165" t="str">
        <f>IFERROR(VLOOKUP(A165,vlookup_table!$A:$G,5,FALSE),"")</f>
        <v>T2</v>
      </c>
      <c r="Q165">
        <f>IFERROR(VLOOKUP(A165,vlookup_table!$A:$G,7,FALSE),"")</f>
        <v>3</v>
      </c>
      <c r="R165">
        <f t="shared" si="8"/>
        <v>97</v>
      </c>
      <c r="S165" t="str" cm="1">
        <f t="array" ref="S165">IF(P165="","",_xlfn.SWITCH(LEFT(P165,1),"C","Ciudad","T","Pueblo","R","Rural","S","Suburbano","U","Urbano",""))</f>
        <v>Pueblo</v>
      </c>
      <c r="T165" t="str">
        <f t="shared" si="9"/>
        <v>M</v>
      </c>
      <c r="U165" t="str">
        <f t="shared" si="10"/>
        <v>FL</v>
      </c>
      <c r="V165" t="str">
        <f t="shared" si="11"/>
        <v>13491</v>
      </c>
    </row>
    <row r="166" spans="1:22" x14ac:dyDescent="0.35">
      <c r="A166" s="3">
        <v>83708</v>
      </c>
      <c r="B166" t="s">
        <v>56</v>
      </c>
      <c r="C166" t="s">
        <v>17</v>
      </c>
      <c r="D166">
        <v>753</v>
      </c>
      <c r="E166">
        <v>341</v>
      </c>
      <c r="F166">
        <v>442</v>
      </c>
      <c r="G166">
        <v>0</v>
      </c>
      <c r="H166">
        <v>15502</v>
      </c>
      <c r="I166">
        <v>1</v>
      </c>
      <c r="J166">
        <v>80</v>
      </c>
      <c r="K166">
        <v>393</v>
      </c>
      <c r="L166">
        <v>373</v>
      </c>
      <c r="M166">
        <v>8.4</v>
      </c>
      <c r="N166">
        <f>IFERROR(VLOOKUP(A166,vlookup_table!$A:$G,2,FALSE),"")</f>
        <v>28</v>
      </c>
      <c r="O166">
        <f>IFERROR(VLOOKUP(A166,vlookup_table!$A:$G,4,FALSE),"")</f>
        <v>5609</v>
      </c>
      <c r="P166" t="str">
        <f>IFERROR(VLOOKUP(A166,vlookup_table!$A:$G,5,FALSE),"")</f>
        <v>S1</v>
      </c>
      <c r="Q166">
        <f>IFERROR(VLOOKUP(A166,vlookup_table!$A:$G,7,FALSE),"")</f>
        <v>10</v>
      </c>
      <c r="R166">
        <f t="shared" si="8"/>
        <v>41</v>
      </c>
      <c r="S166" t="str" cm="1">
        <f t="array" ref="S166">IF(P166="","",_xlfn.SWITCH(LEFT(P166,1),"C","Ciudad","T","Pueblo","R","Rural","S","Suburbano","U","Urbano",""))</f>
        <v>Suburbano</v>
      </c>
      <c r="T166" t="str">
        <f t="shared" si="9"/>
        <v>F</v>
      </c>
      <c r="U166" t="str">
        <f t="shared" si="10"/>
        <v>MN</v>
      </c>
      <c r="V166" t="str">
        <f t="shared" si="11"/>
        <v>15502</v>
      </c>
    </row>
    <row r="167" spans="1:22" x14ac:dyDescent="0.35">
      <c r="A167" s="3">
        <v>101390</v>
      </c>
      <c r="B167" t="s">
        <v>36</v>
      </c>
      <c r="C167" t="s">
        <v>17</v>
      </c>
      <c r="D167">
        <v>594</v>
      </c>
      <c r="E167">
        <v>337</v>
      </c>
      <c r="F167">
        <v>347</v>
      </c>
      <c r="G167">
        <v>1</v>
      </c>
      <c r="H167">
        <v>13094</v>
      </c>
      <c r="I167">
        <v>0</v>
      </c>
      <c r="J167">
        <v>79</v>
      </c>
      <c r="K167">
        <v>350</v>
      </c>
      <c r="L167">
        <v>343</v>
      </c>
      <c r="M167">
        <v>2.5714285710000002</v>
      </c>
      <c r="N167">
        <f>IFERROR(VLOOKUP(A167,vlookup_table!$A:$G,2,FALSE),"")</f>
        <v>2</v>
      </c>
      <c r="O167">
        <f>IFERROR(VLOOKUP(A167,vlookup_table!$A:$G,4,FALSE),"")</f>
        <v>5701</v>
      </c>
      <c r="P167" t="str">
        <f>IFERROR(VLOOKUP(A167,vlookup_table!$A:$G,5,FALSE),"")</f>
        <v>C2</v>
      </c>
      <c r="Q167">
        <f>IFERROR(VLOOKUP(A167,vlookup_table!$A:$G,7,FALSE),"")</f>
        <v>2</v>
      </c>
      <c r="R167">
        <f t="shared" si="8"/>
        <v>40</v>
      </c>
      <c r="S167" t="str" cm="1">
        <f t="array" ref="S167">IF(P167="","",_xlfn.SWITCH(LEFT(P167,1),"C","Ciudad","T","Pueblo","R","Rural","S","Suburbano","U","Urbano",""))</f>
        <v>Ciudad</v>
      </c>
      <c r="T167" t="str">
        <f t="shared" si="9"/>
        <v>F</v>
      </c>
      <c r="U167" t="str">
        <f t="shared" si="10"/>
        <v>MO</v>
      </c>
      <c r="V167" t="str">
        <f t="shared" si="11"/>
        <v>13094</v>
      </c>
    </row>
    <row r="168" spans="1:22" x14ac:dyDescent="0.35">
      <c r="A168" s="3">
        <v>77898</v>
      </c>
      <c r="B168" t="s">
        <v>35</v>
      </c>
      <c r="C168" t="s">
        <v>51</v>
      </c>
      <c r="D168">
        <v>627</v>
      </c>
      <c r="E168">
        <v>367</v>
      </c>
      <c r="F168">
        <v>444</v>
      </c>
      <c r="G168">
        <v>0</v>
      </c>
      <c r="H168">
        <v>15350</v>
      </c>
      <c r="I168">
        <v>6</v>
      </c>
      <c r="J168">
        <v>71</v>
      </c>
      <c r="K168">
        <v>427</v>
      </c>
      <c r="L168">
        <v>394</v>
      </c>
      <c r="M168">
        <v>7.5</v>
      </c>
      <c r="N168">
        <f>IFERROR(VLOOKUP(A168,vlookup_table!$A:$G,2,FALSE),"")</f>
        <v>1</v>
      </c>
      <c r="O168">
        <f>IFERROR(VLOOKUP(A168,vlookup_table!$A:$G,4,FALSE),"")</f>
        <v>2808</v>
      </c>
      <c r="P168" t="str">
        <f>IFERROR(VLOOKUP(A168,vlookup_table!$A:$G,5,FALSE),"")</f>
        <v>S2</v>
      </c>
      <c r="Q168">
        <f>IFERROR(VLOOKUP(A168,vlookup_table!$A:$G,7,FALSE),"")</f>
        <v>10</v>
      </c>
      <c r="R168">
        <f t="shared" si="8"/>
        <v>69</v>
      </c>
      <c r="S168" t="str" cm="1">
        <f t="array" ref="S168">IF(P168="","",_xlfn.SWITCH(LEFT(P168,1),"C","Ciudad","T","Pueblo","R","Rural","S","Suburbano","U","Urbano",""))</f>
        <v>Suburbano</v>
      </c>
      <c r="T168" t="str">
        <f t="shared" si="9"/>
        <v>M</v>
      </c>
      <c r="U168" t="str">
        <f t="shared" si="10"/>
        <v>WI</v>
      </c>
      <c r="V168" t="str">
        <f t="shared" si="11"/>
        <v>15350</v>
      </c>
    </row>
    <row r="169" spans="1:22" x14ac:dyDescent="0.35">
      <c r="A169" s="3">
        <v>77345</v>
      </c>
      <c r="B169" t="s">
        <v>35</v>
      </c>
      <c r="C169" t="s">
        <v>51</v>
      </c>
      <c r="D169">
        <v>806</v>
      </c>
      <c r="E169">
        <v>331</v>
      </c>
      <c r="F169">
        <v>447</v>
      </c>
      <c r="G169">
        <v>0</v>
      </c>
      <c r="H169">
        <v>15120</v>
      </c>
      <c r="I169">
        <v>1</v>
      </c>
      <c r="J169">
        <v>85</v>
      </c>
      <c r="K169">
        <v>420</v>
      </c>
      <c r="L169">
        <v>382</v>
      </c>
      <c r="M169">
        <v>13.2</v>
      </c>
      <c r="N169">
        <f>IFERROR(VLOOKUP(A169,vlookup_table!$A:$G,2,FALSE),"")</f>
        <v>1</v>
      </c>
      <c r="O169">
        <f>IFERROR(VLOOKUP(A169,vlookup_table!$A:$G,4,FALSE),"")</f>
        <v>0</v>
      </c>
      <c r="P169" t="str">
        <f>IFERROR(VLOOKUP(A169,vlookup_table!$A:$G,5,FALSE),"")</f>
        <v>S1</v>
      </c>
      <c r="Q169">
        <f>IFERROR(VLOOKUP(A169,vlookup_table!$A:$G,7,FALSE),"")</f>
        <v>16</v>
      </c>
      <c r="R169">
        <f t="shared" si="8"/>
        <v>97</v>
      </c>
      <c r="S169" t="str" cm="1">
        <f t="array" ref="S169">IF(P169="","",_xlfn.SWITCH(LEFT(P169,1),"C","Ciudad","T","Pueblo","R","Rural","S","Suburbano","U","Urbano",""))</f>
        <v>Suburbano</v>
      </c>
      <c r="T169" t="str">
        <f t="shared" si="9"/>
        <v>M</v>
      </c>
      <c r="U169" t="str">
        <f t="shared" si="10"/>
        <v>WI</v>
      </c>
      <c r="V169" t="str">
        <f t="shared" si="11"/>
        <v>15120</v>
      </c>
    </row>
    <row r="170" spans="1:22" x14ac:dyDescent="0.35">
      <c r="A170" s="3">
        <v>142579</v>
      </c>
      <c r="B170" t="s">
        <v>22</v>
      </c>
      <c r="C170" t="s">
        <v>17</v>
      </c>
      <c r="D170">
        <v>3149</v>
      </c>
      <c r="E170">
        <v>504</v>
      </c>
      <c r="F170">
        <v>672</v>
      </c>
      <c r="G170">
        <v>80</v>
      </c>
      <c r="H170">
        <v>22033</v>
      </c>
      <c r="I170">
        <v>8</v>
      </c>
      <c r="J170">
        <v>33</v>
      </c>
      <c r="K170">
        <v>601</v>
      </c>
      <c r="L170">
        <v>562</v>
      </c>
      <c r="M170">
        <v>10.71428571</v>
      </c>
      <c r="N170">
        <f>IFERROR(VLOOKUP(A170,vlookup_table!$A:$G,2,FALSE),"")</f>
        <v>0</v>
      </c>
      <c r="O170">
        <f>IFERROR(VLOOKUP(A170,vlookup_table!$A:$G,4,FALSE),"")</f>
        <v>201</v>
      </c>
      <c r="P170" t="str">
        <f>IFERROR(VLOOKUP(A170,vlookup_table!$A:$G,5,FALSE),"")</f>
        <v>U1</v>
      </c>
      <c r="Q170">
        <f>IFERROR(VLOOKUP(A170,vlookup_table!$A:$G,7,FALSE),"")</f>
        <v>20</v>
      </c>
      <c r="R170">
        <f t="shared" si="8"/>
        <v>95</v>
      </c>
      <c r="S170" t="str" cm="1">
        <f t="array" ref="S170">IF(P170="","",_xlfn.SWITCH(LEFT(P170,1),"C","Ciudad","T","Pueblo","R","Rural","S","Suburbano","U","Urbano",""))</f>
        <v>Urbano</v>
      </c>
      <c r="T170" t="str">
        <f t="shared" si="9"/>
        <v>F</v>
      </c>
      <c r="U170" t="str">
        <f t="shared" si="10"/>
        <v>CA</v>
      </c>
      <c r="V170" t="str">
        <f t="shared" si="11"/>
        <v>22033</v>
      </c>
    </row>
    <row r="171" spans="1:22" x14ac:dyDescent="0.35">
      <c r="A171" s="3">
        <v>162209</v>
      </c>
      <c r="B171" t="s">
        <v>22</v>
      </c>
      <c r="C171" t="s">
        <v>17</v>
      </c>
      <c r="D171">
        <v>5266</v>
      </c>
      <c r="E171">
        <v>495</v>
      </c>
      <c r="F171">
        <v>785</v>
      </c>
      <c r="G171">
        <v>96</v>
      </c>
      <c r="H171">
        <v>43828</v>
      </c>
      <c r="I171">
        <v>17</v>
      </c>
      <c r="J171">
        <v>36</v>
      </c>
      <c r="K171">
        <v>675</v>
      </c>
      <c r="L171">
        <v>669</v>
      </c>
      <c r="M171">
        <v>9.1999999999999993</v>
      </c>
      <c r="N171">
        <f>IFERROR(VLOOKUP(A171,vlookup_table!$A:$G,2,FALSE),"")</f>
        <v>0</v>
      </c>
      <c r="O171">
        <f>IFERROR(VLOOKUP(A171,vlookup_table!$A:$G,4,FALSE),"")</f>
        <v>2005</v>
      </c>
      <c r="P171" t="str">
        <f>IFERROR(VLOOKUP(A171,vlookup_table!$A:$G,5,FALSE),"")</f>
        <v>S1</v>
      </c>
      <c r="Q171">
        <f>IFERROR(VLOOKUP(A171,vlookup_table!$A:$G,7,FALSE),"")</f>
        <v>10</v>
      </c>
      <c r="R171">
        <f t="shared" si="8"/>
        <v>77</v>
      </c>
      <c r="S171" t="str" cm="1">
        <f t="array" ref="S171">IF(P171="","",_xlfn.SWITCH(LEFT(P171,1),"C","Ciudad","T","Pueblo","R","Rural","S","Suburbano","U","Urbano",""))</f>
        <v>Suburbano</v>
      </c>
      <c r="T171" t="str">
        <f t="shared" si="9"/>
        <v>F</v>
      </c>
      <c r="U171" t="str">
        <f t="shared" si="10"/>
        <v>CA</v>
      </c>
      <c r="V171" t="str">
        <f t="shared" si="11"/>
        <v>43828</v>
      </c>
    </row>
    <row r="172" spans="1:22" x14ac:dyDescent="0.35">
      <c r="A172" s="3">
        <v>171396</v>
      </c>
      <c r="B172" t="s">
        <v>22</v>
      </c>
      <c r="C172" t="s">
        <v>14</v>
      </c>
      <c r="D172">
        <v>1401</v>
      </c>
      <c r="E172">
        <v>441</v>
      </c>
      <c r="F172">
        <v>466</v>
      </c>
      <c r="G172">
        <v>1</v>
      </c>
      <c r="H172">
        <v>15438</v>
      </c>
      <c r="I172">
        <v>6</v>
      </c>
      <c r="J172">
        <v>49</v>
      </c>
      <c r="K172">
        <v>445</v>
      </c>
      <c r="L172">
        <v>462</v>
      </c>
      <c r="M172">
        <v>5</v>
      </c>
      <c r="N172">
        <f>IFERROR(VLOOKUP(A172,vlookup_table!$A:$G,2,FALSE),"")</f>
        <v>0</v>
      </c>
      <c r="O172">
        <f>IFERROR(VLOOKUP(A172,vlookup_table!$A:$G,4,FALSE),"")</f>
        <v>0</v>
      </c>
      <c r="P172" t="str">
        <f>IFERROR(VLOOKUP(A172,vlookup_table!$A:$G,5,FALSE),"")</f>
        <v>C2</v>
      </c>
      <c r="Q172">
        <f>IFERROR(VLOOKUP(A172,vlookup_table!$A:$G,7,FALSE),"")</f>
        <v>6</v>
      </c>
      <c r="R172">
        <f t="shared" si="8"/>
        <v>97</v>
      </c>
      <c r="S172" t="str" cm="1">
        <f t="array" ref="S172">IF(P172="","",_xlfn.SWITCH(LEFT(P172,1),"C","Ciudad","T","Pueblo","R","Rural","S","Suburbano","U","Urbano",""))</f>
        <v>Ciudad</v>
      </c>
      <c r="T172" t="str">
        <f t="shared" si="9"/>
        <v>M</v>
      </c>
      <c r="U172" t="str">
        <f t="shared" si="10"/>
        <v>CA</v>
      </c>
      <c r="V172" t="str">
        <f t="shared" si="11"/>
        <v>15438</v>
      </c>
    </row>
    <row r="173" spans="1:22" x14ac:dyDescent="0.35">
      <c r="A173" s="3">
        <v>129530</v>
      </c>
      <c r="B173" t="s">
        <v>48</v>
      </c>
      <c r="C173" t="s">
        <v>14</v>
      </c>
      <c r="D173">
        <v>593</v>
      </c>
      <c r="E173">
        <v>163</v>
      </c>
      <c r="F173">
        <v>230</v>
      </c>
      <c r="G173">
        <v>0</v>
      </c>
      <c r="H173">
        <v>9520</v>
      </c>
      <c r="I173">
        <v>8</v>
      </c>
      <c r="J173">
        <v>33</v>
      </c>
      <c r="K173">
        <v>180</v>
      </c>
      <c r="L173">
        <v>207</v>
      </c>
      <c r="M173">
        <v>12.5</v>
      </c>
      <c r="N173">
        <f>IFERROR(VLOOKUP(A173,vlookup_table!$A:$G,2,FALSE),"")</f>
        <v>1</v>
      </c>
      <c r="O173">
        <f>IFERROR(VLOOKUP(A173,vlookup_table!$A:$G,4,FALSE),"")</f>
        <v>5401</v>
      </c>
      <c r="P173" t="str">
        <f>IFERROR(VLOOKUP(A173,vlookup_table!$A:$G,5,FALSE),"")</f>
        <v>S2</v>
      </c>
      <c r="Q173">
        <f>IFERROR(VLOOKUP(A173,vlookup_table!$A:$G,7,FALSE),"")</f>
        <v>10</v>
      </c>
      <c r="R173">
        <f t="shared" si="8"/>
        <v>43</v>
      </c>
      <c r="S173" t="str" cm="1">
        <f t="array" ref="S173">IF(P173="","",_xlfn.SWITCH(LEFT(P173,1),"C","Ciudad","T","Pueblo","R","Rural","S","Suburbano","U","Urbano",""))</f>
        <v>Suburbano</v>
      </c>
      <c r="T173" t="str">
        <f t="shared" si="9"/>
        <v>M</v>
      </c>
      <c r="U173" t="str">
        <f t="shared" si="10"/>
        <v>CO</v>
      </c>
      <c r="V173" t="str">
        <f t="shared" si="11"/>
        <v>9520</v>
      </c>
    </row>
    <row r="174" spans="1:22" x14ac:dyDescent="0.35">
      <c r="A174" s="3">
        <v>33773</v>
      </c>
      <c r="B174" t="s">
        <v>13</v>
      </c>
      <c r="C174" t="s">
        <v>17</v>
      </c>
      <c r="D174">
        <v>915</v>
      </c>
      <c r="E174">
        <v>308</v>
      </c>
      <c r="F174">
        <v>438</v>
      </c>
      <c r="G174">
        <v>13</v>
      </c>
      <c r="H174">
        <v>17783</v>
      </c>
      <c r="I174">
        <v>8</v>
      </c>
      <c r="J174">
        <v>19</v>
      </c>
      <c r="K174">
        <v>357</v>
      </c>
      <c r="L174">
        <v>367</v>
      </c>
      <c r="M174">
        <v>13</v>
      </c>
      <c r="N174">
        <f>IFERROR(VLOOKUP(A174,vlookup_table!$A:$G,2,FALSE),"")</f>
        <v>0</v>
      </c>
      <c r="O174">
        <f>IFERROR(VLOOKUP(A174,vlookup_table!$A:$G,4,FALSE),"")</f>
        <v>0</v>
      </c>
      <c r="P174" t="str">
        <f>IFERROR(VLOOKUP(A174,vlookup_table!$A:$G,5,FALSE),"")</f>
        <v>R1</v>
      </c>
      <c r="Q174">
        <f>IFERROR(VLOOKUP(A174,vlookup_table!$A:$G,7,FALSE),"")</f>
        <v>20</v>
      </c>
      <c r="R174">
        <f t="shared" si="8"/>
        <v>97</v>
      </c>
      <c r="S174" t="str" cm="1">
        <f t="array" ref="S174">IF(P174="","",_xlfn.SWITCH(LEFT(P174,1),"C","Ciudad","T","Pueblo","R","Rural","S","Suburbano","U","Urbano",""))</f>
        <v>Rural</v>
      </c>
      <c r="T174" t="str">
        <f t="shared" si="9"/>
        <v>F</v>
      </c>
      <c r="U174" t="str">
        <f t="shared" si="10"/>
        <v>FL</v>
      </c>
      <c r="V174" t="str">
        <f t="shared" si="11"/>
        <v>17783</v>
      </c>
    </row>
    <row r="175" spans="1:22" x14ac:dyDescent="0.35">
      <c r="A175" s="3">
        <v>10031</v>
      </c>
      <c r="B175" t="s">
        <v>59</v>
      </c>
      <c r="C175" t="s">
        <v>17</v>
      </c>
      <c r="D175">
        <v>456</v>
      </c>
      <c r="E175">
        <v>258</v>
      </c>
      <c r="F175">
        <v>381</v>
      </c>
      <c r="G175">
        <v>2</v>
      </c>
      <c r="H175">
        <v>13411</v>
      </c>
      <c r="I175">
        <v>2</v>
      </c>
      <c r="J175">
        <v>75</v>
      </c>
      <c r="K175">
        <v>311</v>
      </c>
      <c r="L175">
        <v>314</v>
      </c>
      <c r="M175">
        <v>7.2857142860000002</v>
      </c>
      <c r="N175">
        <f>IFERROR(VLOOKUP(A175,vlookup_table!$A:$G,2,FALSE),"")</f>
        <v>0</v>
      </c>
      <c r="O175">
        <f>IFERROR(VLOOKUP(A175,vlookup_table!$A:$G,4,FALSE),"")</f>
        <v>3001</v>
      </c>
      <c r="P175" t="str">
        <f>IFERROR(VLOOKUP(A175,vlookup_table!$A:$G,5,FALSE),"")</f>
        <v>T2</v>
      </c>
      <c r="Q175">
        <f>IFERROR(VLOOKUP(A175,vlookup_table!$A:$G,7,FALSE),"")</f>
        <v>10</v>
      </c>
      <c r="R175">
        <f t="shared" si="8"/>
        <v>67</v>
      </c>
      <c r="S175" t="str" cm="1">
        <f t="array" ref="S175">IF(P175="","",_xlfn.SWITCH(LEFT(P175,1),"C","Ciudad","T","Pueblo","R","Rural","S","Suburbano","U","Urbano",""))</f>
        <v>Pueblo</v>
      </c>
      <c r="T175" t="str">
        <f t="shared" si="9"/>
        <v>F</v>
      </c>
      <c r="U175" t="str">
        <f t="shared" si="10"/>
        <v>NE</v>
      </c>
      <c r="V175" t="str">
        <f t="shared" si="11"/>
        <v>13411</v>
      </c>
    </row>
    <row r="176" spans="1:22" x14ac:dyDescent="0.35">
      <c r="A176" s="3">
        <v>62056</v>
      </c>
      <c r="B176" t="s">
        <v>33</v>
      </c>
      <c r="C176" t="s">
        <v>14</v>
      </c>
      <c r="D176">
        <v>610</v>
      </c>
      <c r="E176">
        <v>319</v>
      </c>
      <c r="F176">
        <v>407</v>
      </c>
      <c r="G176">
        <v>0</v>
      </c>
      <c r="H176">
        <v>11815</v>
      </c>
      <c r="I176">
        <v>0</v>
      </c>
      <c r="J176">
        <v>86</v>
      </c>
      <c r="K176">
        <v>336</v>
      </c>
      <c r="L176">
        <v>384</v>
      </c>
      <c r="M176">
        <v>4.625</v>
      </c>
      <c r="N176">
        <f>IFERROR(VLOOKUP(A176,vlookup_table!$A:$G,2,FALSE),"")</f>
        <v>0</v>
      </c>
      <c r="O176">
        <f>IFERROR(VLOOKUP(A176,vlookup_table!$A:$G,4,FALSE),"")</f>
        <v>4601</v>
      </c>
      <c r="P176" t="str">
        <f>IFERROR(VLOOKUP(A176,vlookup_table!$A:$G,5,FALSE),"")</f>
        <v>R2</v>
      </c>
      <c r="Q176">
        <f>IFERROR(VLOOKUP(A176,vlookup_table!$A:$G,7,FALSE),"")</f>
        <v>7</v>
      </c>
      <c r="R176">
        <f t="shared" si="8"/>
        <v>51</v>
      </c>
      <c r="S176" t="str" cm="1">
        <f t="array" ref="S176">IF(P176="","",_xlfn.SWITCH(LEFT(P176,1),"C","Ciudad","T","Pueblo","R","Rural","S","Suburbano","U","Urbano",""))</f>
        <v>Rural</v>
      </c>
      <c r="T176" t="str">
        <f t="shared" si="9"/>
        <v>M</v>
      </c>
      <c r="U176" t="str">
        <f t="shared" si="10"/>
        <v>IN</v>
      </c>
      <c r="V176" t="str">
        <f t="shared" si="11"/>
        <v>11815</v>
      </c>
    </row>
    <row r="177" spans="1:22" x14ac:dyDescent="0.35">
      <c r="A177" s="3">
        <v>11494</v>
      </c>
      <c r="B177" t="s">
        <v>13</v>
      </c>
      <c r="C177" t="s">
        <v>14</v>
      </c>
      <c r="D177">
        <v>1229</v>
      </c>
      <c r="E177">
        <v>469</v>
      </c>
      <c r="F177">
        <v>544</v>
      </c>
      <c r="G177">
        <v>21</v>
      </c>
      <c r="H177">
        <v>17313</v>
      </c>
      <c r="I177">
        <v>2</v>
      </c>
      <c r="J177">
        <v>30</v>
      </c>
      <c r="K177">
        <v>502</v>
      </c>
      <c r="L177">
        <v>507</v>
      </c>
      <c r="M177">
        <v>8.4</v>
      </c>
      <c r="N177">
        <f>IFERROR(VLOOKUP(A177,vlookup_table!$A:$G,2,FALSE),"")</f>
        <v>2</v>
      </c>
      <c r="O177">
        <f>IFERROR(VLOOKUP(A177,vlookup_table!$A:$G,4,FALSE),"")</f>
        <v>6501</v>
      </c>
      <c r="P177" t="str">
        <f>IFERROR(VLOOKUP(A177,vlookup_table!$A:$G,5,FALSE),"")</f>
        <v>T1</v>
      </c>
      <c r="Q177">
        <f>IFERROR(VLOOKUP(A177,vlookup_table!$A:$G,7,FALSE),"")</f>
        <v>5</v>
      </c>
      <c r="R177">
        <f t="shared" si="8"/>
        <v>32</v>
      </c>
      <c r="S177" t="str" cm="1">
        <f t="array" ref="S177">IF(P177="","",_xlfn.SWITCH(LEFT(P177,1),"C","Ciudad","T","Pueblo","R","Rural","S","Suburbano","U","Urbano",""))</f>
        <v>Pueblo</v>
      </c>
      <c r="T177" t="str">
        <f t="shared" si="9"/>
        <v>M</v>
      </c>
      <c r="U177" t="str">
        <f t="shared" si="10"/>
        <v>FL</v>
      </c>
      <c r="V177" t="str">
        <f t="shared" si="11"/>
        <v>17313</v>
      </c>
    </row>
    <row r="178" spans="1:22" x14ac:dyDescent="0.35">
      <c r="A178" s="3">
        <v>44847</v>
      </c>
      <c r="B178" t="s">
        <v>13</v>
      </c>
      <c r="C178" t="s">
        <v>14</v>
      </c>
      <c r="D178">
        <v>428</v>
      </c>
      <c r="E178">
        <v>140</v>
      </c>
      <c r="F178">
        <v>208</v>
      </c>
      <c r="G178">
        <v>1</v>
      </c>
      <c r="H178">
        <v>9064</v>
      </c>
      <c r="I178">
        <v>7</v>
      </c>
      <c r="J178">
        <v>35</v>
      </c>
      <c r="K178">
        <v>196</v>
      </c>
      <c r="L178">
        <v>171</v>
      </c>
      <c r="M178">
        <v>9.769230769</v>
      </c>
      <c r="N178">
        <f>IFERROR(VLOOKUP(A178,vlookup_table!$A:$G,2,FALSE),"")</f>
        <v>0</v>
      </c>
      <c r="O178">
        <f>IFERROR(VLOOKUP(A178,vlookup_table!$A:$G,4,FALSE),"")</f>
        <v>5201</v>
      </c>
      <c r="P178" t="str">
        <f>IFERROR(VLOOKUP(A178,vlookup_table!$A:$G,5,FALSE),"")</f>
        <v>T2</v>
      </c>
      <c r="Q178">
        <f>IFERROR(VLOOKUP(A178,vlookup_table!$A:$G,7,FALSE),"")</f>
        <v>10</v>
      </c>
      <c r="R178">
        <f t="shared" si="8"/>
        <v>45</v>
      </c>
      <c r="S178" t="str" cm="1">
        <f t="array" ref="S178">IF(P178="","",_xlfn.SWITCH(LEFT(P178,1),"C","Ciudad","T","Pueblo","R","Rural","S","Suburbano","U","Urbano",""))</f>
        <v>Pueblo</v>
      </c>
      <c r="T178" t="str">
        <f t="shared" si="9"/>
        <v>M</v>
      </c>
      <c r="U178" t="str">
        <f t="shared" si="10"/>
        <v>FL</v>
      </c>
      <c r="V178" t="str">
        <f t="shared" si="11"/>
        <v>9064</v>
      </c>
    </row>
    <row r="179" spans="1:22" x14ac:dyDescent="0.35">
      <c r="A179" s="3">
        <v>94851</v>
      </c>
      <c r="B179" t="s">
        <v>16</v>
      </c>
      <c r="C179" t="s">
        <v>17</v>
      </c>
      <c r="D179">
        <v>2333</v>
      </c>
      <c r="E179">
        <v>316</v>
      </c>
      <c r="F179">
        <v>744</v>
      </c>
      <c r="G179">
        <v>61</v>
      </c>
      <c r="H179">
        <v>33535</v>
      </c>
      <c r="I179">
        <v>18</v>
      </c>
      <c r="J179">
        <v>45</v>
      </c>
      <c r="K179">
        <v>643</v>
      </c>
      <c r="L179">
        <v>420</v>
      </c>
      <c r="M179">
        <v>7.307692308</v>
      </c>
      <c r="N179">
        <f>IFERROR(VLOOKUP(A179,vlookup_table!$A:$G,2,FALSE),"")</f>
        <v>2</v>
      </c>
      <c r="O179">
        <f>IFERROR(VLOOKUP(A179,vlookup_table!$A:$G,4,FALSE),"")</f>
        <v>1601</v>
      </c>
      <c r="P179" t="str">
        <f>IFERROR(VLOOKUP(A179,vlookup_table!$A:$G,5,FALSE),"")</f>
        <v>U1</v>
      </c>
      <c r="Q179">
        <f>IFERROR(VLOOKUP(A179,vlookup_table!$A:$G,7,FALSE),"")</f>
        <v>10</v>
      </c>
      <c r="R179">
        <f t="shared" si="8"/>
        <v>81</v>
      </c>
      <c r="S179" t="str" cm="1">
        <f t="array" ref="S179">IF(P179="","",_xlfn.SWITCH(LEFT(P179,1),"C","Ciudad","T","Pueblo","R","Rural","S","Suburbano","U","Urbano",""))</f>
        <v>Urbano</v>
      </c>
      <c r="T179" t="str">
        <f t="shared" si="9"/>
        <v>F</v>
      </c>
      <c r="U179" t="str">
        <f t="shared" si="10"/>
        <v>IL</v>
      </c>
      <c r="V179" t="str">
        <f t="shared" si="11"/>
        <v>33535</v>
      </c>
    </row>
    <row r="180" spans="1:22" x14ac:dyDescent="0.35">
      <c r="A180" s="3">
        <v>15668</v>
      </c>
      <c r="B180" t="s">
        <v>18</v>
      </c>
      <c r="C180" t="s">
        <v>14</v>
      </c>
      <c r="D180">
        <v>707</v>
      </c>
      <c r="E180">
        <v>383</v>
      </c>
      <c r="F180">
        <v>433</v>
      </c>
      <c r="G180">
        <v>0</v>
      </c>
      <c r="H180">
        <v>13852</v>
      </c>
      <c r="I180">
        <v>0</v>
      </c>
      <c r="J180">
        <v>84</v>
      </c>
      <c r="K180">
        <v>400</v>
      </c>
      <c r="L180">
        <v>398</v>
      </c>
      <c r="M180">
        <v>9.3333333330000006</v>
      </c>
      <c r="N180">
        <f>IFERROR(VLOOKUP(A180,vlookup_table!$A:$G,2,FALSE),"")</f>
        <v>0</v>
      </c>
      <c r="O180">
        <f>IFERROR(VLOOKUP(A180,vlookup_table!$A:$G,4,FALSE),"")</f>
        <v>4101</v>
      </c>
      <c r="P180" t="str">
        <f>IFERROR(VLOOKUP(A180,vlookup_table!$A:$G,5,FALSE),"")</f>
        <v>R2</v>
      </c>
      <c r="Q180">
        <f>IFERROR(VLOOKUP(A180,vlookup_table!$A:$G,7,FALSE),"")</f>
        <v>45</v>
      </c>
      <c r="R180">
        <f t="shared" si="8"/>
        <v>56</v>
      </c>
      <c r="S180" t="str" cm="1">
        <f t="array" ref="S180">IF(P180="","",_xlfn.SWITCH(LEFT(P180,1),"C","Ciudad","T","Pueblo","R","Rural","S","Suburbano","U","Urbano",""))</f>
        <v>Rural</v>
      </c>
      <c r="T180" t="str">
        <f t="shared" si="9"/>
        <v>M</v>
      </c>
      <c r="U180" t="str">
        <f t="shared" si="10"/>
        <v>NC</v>
      </c>
      <c r="V180" t="str">
        <f t="shared" si="11"/>
        <v>13852</v>
      </c>
    </row>
    <row r="181" spans="1:22" x14ac:dyDescent="0.35">
      <c r="A181" s="3">
        <v>175579</v>
      </c>
      <c r="B181" t="s">
        <v>50</v>
      </c>
      <c r="C181" t="s">
        <v>17</v>
      </c>
      <c r="D181">
        <v>377</v>
      </c>
      <c r="E181">
        <v>171</v>
      </c>
      <c r="F181">
        <v>187</v>
      </c>
      <c r="G181">
        <v>0</v>
      </c>
      <c r="H181">
        <v>21980</v>
      </c>
      <c r="I181">
        <v>16</v>
      </c>
      <c r="J181">
        <v>42</v>
      </c>
      <c r="K181">
        <v>199</v>
      </c>
      <c r="L181">
        <v>219</v>
      </c>
      <c r="M181">
        <v>16.666666670000001</v>
      </c>
      <c r="N181">
        <f>IFERROR(VLOOKUP(A181,vlookup_table!$A:$G,2,FALSE),"")</f>
        <v>0</v>
      </c>
      <c r="O181">
        <f>IFERROR(VLOOKUP(A181,vlookup_table!$A:$G,4,FALSE),"")</f>
        <v>4806</v>
      </c>
      <c r="P181" t="str">
        <f>IFERROR(VLOOKUP(A181,vlookup_table!$A:$G,5,FALSE),"")</f>
        <v>U4</v>
      </c>
      <c r="Q181">
        <f>IFERROR(VLOOKUP(A181,vlookup_table!$A:$G,7,FALSE),"")</f>
        <v>20</v>
      </c>
      <c r="R181">
        <f t="shared" si="8"/>
        <v>49</v>
      </c>
      <c r="S181" t="str" cm="1">
        <f t="array" ref="S181">IF(P181="","",_xlfn.SWITCH(LEFT(P181,1),"C","Ciudad","T","Pueblo","R","Rural","S","Suburbano","U","Urbano",""))</f>
        <v>Urbano</v>
      </c>
      <c r="T181" t="str">
        <f t="shared" si="9"/>
        <v>F</v>
      </c>
      <c r="U181" t="str">
        <f t="shared" si="10"/>
        <v>OR</v>
      </c>
      <c r="V181" t="str">
        <f t="shared" si="11"/>
        <v>21980</v>
      </c>
    </row>
    <row r="182" spans="1:22" x14ac:dyDescent="0.35">
      <c r="A182" s="3">
        <v>150534</v>
      </c>
      <c r="B182" t="s">
        <v>22</v>
      </c>
      <c r="C182" t="s">
        <v>30</v>
      </c>
      <c r="D182">
        <v>1624</v>
      </c>
      <c r="E182">
        <v>380</v>
      </c>
      <c r="F182">
        <v>408</v>
      </c>
      <c r="G182">
        <v>13</v>
      </c>
      <c r="H182">
        <v>9685</v>
      </c>
      <c r="I182">
        <v>38</v>
      </c>
      <c r="J182">
        <v>47</v>
      </c>
      <c r="K182">
        <v>382</v>
      </c>
      <c r="L182">
        <v>407</v>
      </c>
      <c r="M182">
        <v>5</v>
      </c>
      <c r="N182">
        <f>IFERROR(VLOOKUP(A182,vlookup_table!$A:$G,2,FALSE),"")</f>
        <v>980</v>
      </c>
      <c r="O182">
        <f>IFERROR(VLOOKUP(A182,vlookup_table!$A:$G,4,FALSE),"")</f>
        <v>0</v>
      </c>
      <c r="P182" t="str">
        <f>IFERROR(VLOOKUP(A182,vlookup_table!$A:$G,5,FALSE),"")</f>
        <v>U3</v>
      </c>
      <c r="Q182">
        <f>IFERROR(VLOOKUP(A182,vlookup_table!$A:$G,7,FALSE),"")</f>
        <v>4</v>
      </c>
      <c r="R182">
        <f t="shared" si="8"/>
        <v>97</v>
      </c>
      <c r="S182" t="str" cm="1">
        <f t="array" ref="S182">IF(P182="","",_xlfn.SWITCH(LEFT(P182,1),"C","Ciudad","T","Pueblo","R","Rural","S","Suburbano","U","Urbano",""))</f>
        <v>Urbano</v>
      </c>
      <c r="T182" t="str">
        <f t="shared" si="9"/>
        <v>U</v>
      </c>
      <c r="U182" t="str">
        <f t="shared" si="10"/>
        <v>CA</v>
      </c>
      <c r="V182" t="str">
        <f t="shared" si="11"/>
        <v>9685</v>
      </c>
    </row>
    <row r="183" spans="1:22" x14ac:dyDescent="0.35">
      <c r="A183" s="3">
        <v>68441</v>
      </c>
      <c r="B183" t="s">
        <v>29</v>
      </c>
      <c r="C183" t="s">
        <v>17</v>
      </c>
      <c r="D183">
        <v>348</v>
      </c>
      <c r="E183">
        <v>184</v>
      </c>
      <c r="F183">
        <v>316</v>
      </c>
      <c r="G183">
        <v>0</v>
      </c>
      <c r="H183">
        <v>11686</v>
      </c>
      <c r="I183">
        <v>0</v>
      </c>
      <c r="J183">
        <v>71</v>
      </c>
      <c r="K183">
        <v>269</v>
      </c>
      <c r="L183">
        <v>264</v>
      </c>
      <c r="M183">
        <v>27.5</v>
      </c>
      <c r="N183">
        <f>IFERROR(VLOOKUP(A183,vlookup_table!$A:$G,2,FALSE),"")</f>
        <v>0</v>
      </c>
      <c r="O183">
        <f>IFERROR(VLOOKUP(A183,vlookup_table!$A:$G,4,FALSE),"")</f>
        <v>4201</v>
      </c>
      <c r="P183" t="str">
        <f>IFERROR(VLOOKUP(A183,vlookup_table!$A:$G,5,FALSE),"")</f>
        <v>U4</v>
      </c>
      <c r="Q183">
        <f>IFERROR(VLOOKUP(A183,vlookup_table!$A:$G,7,FALSE),"")</f>
        <v>30</v>
      </c>
      <c r="R183">
        <f t="shared" si="8"/>
        <v>55</v>
      </c>
      <c r="S183" t="str" cm="1">
        <f t="array" ref="S183">IF(P183="","",_xlfn.SWITCH(LEFT(P183,1),"C","Ciudad","T","Pueblo","R","Rural","S","Suburbano","U","Urbano",""))</f>
        <v>Urbano</v>
      </c>
      <c r="T183" t="str">
        <f t="shared" si="9"/>
        <v>F</v>
      </c>
      <c r="U183" t="str">
        <f t="shared" si="10"/>
        <v>MI</v>
      </c>
      <c r="V183" t="str">
        <f t="shared" si="11"/>
        <v>11686</v>
      </c>
    </row>
    <row r="184" spans="1:22" x14ac:dyDescent="0.35">
      <c r="A184" s="3">
        <v>157185</v>
      </c>
      <c r="B184" t="s">
        <v>22</v>
      </c>
      <c r="C184" t="s">
        <v>17</v>
      </c>
      <c r="D184">
        <v>1878</v>
      </c>
      <c r="E184">
        <v>523</v>
      </c>
      <c r="F184">
        <v>566</v>
      </c>
      <c r="G184">
        <v>35</v>
      </c>
      <c r="H184">
        <v>16084</v>
      </c>
      <c r="I184">
        <v>8</v>
      </c>
      <c r="J184">
        <v>62</v>
      </c>
      <c r="K184">
        <v>526</v>
      </c>
      <c r="L184">
        <v>564</v>
      </c>
      <c r="M184">
        <v>6.785652174</v>
      </c>
      <c r="N184">
        <f>IFERROR(VLOOKUP(A184,vlookup_table!$A:$G,2,FALSE),"")</f>
        <v>0</v>
      </c>
      <c r="O184">
        <f>IFERROR(VLOOKUP(A184,vlookup_table!$A:$G,4,FALSE),"")</f>
        <v>0</v>
      </c>
      <c r="P184" t="str">
        <f>IFERROR(VLOOKUP(A184,vlookup_table!$A:$G,5,FALSE),"")</f>
        <v>C1</v>
      </c>
      <c r="Q184">
        <f>IFERROR(VLOOKUP(A184,vlookup_table!$A:$G,7,FALSE),"")</f>
        <v>5</v>
      </c>
      <c r="R184">
        <f t="shared" si="8"/>
        <v>97</v>
      </c>
      <c r="S184" t="str" cm="1">
        <f t="array" ref="S184">IF(P184="","",_xlfn.SWITCH(LEFT(P184,1),"C","Ciudad","T","Pueblo","R","Rural","S","Suburbano","U","Urbano",""))</f>
        <v>Ciudad</v>
      </c>
      <c r="T184" t="str">
        <f t="shared" si="9"/>
        <v>F</v>
      </c>
      <c r="U184" t="str">
        <f t="shared" si="10"/>
        <v>CA</v>
      </c>
      <c r="V184" t="str">
        <f t="shared" si="11"/>
        <v>16084</v>
      </c>
    </row>
    <row r="185" spans="1:22" x14ac:dyDescent="0.35">
      <c r="A185" s="3">
        <v>90816</v>
      </c>
      <c r="B185" t="s">
        <v>16</v>
      </c>
      <c r="C185" t="s">
        <v>17</v>
      </c>
      <c r="D185">
        <v>777</v>
      </c>
      <c r="E185">
        <v>378</v>
      </c>
      <c r="F185">
        <v>423</v>
      </c>
      <c r="G185">
        <v>0</v>
      </c>
      <c r="H185">
        <v>14106</v>
      </c>
      <c r="I185">
        <v>6</v>
      </c>
      <c r="J185">
        <v>84</v>
      </c>
      <c r="K185">
        <v>386</v>
      </c>
      <c r="L185">
        <v>396</v>
      </c>
      <c r="M185">
        <v>17.8</v>
      </c>
      <c r="N185">
        <f>IFERROR(VLOOKUP(A185,vlookup_table!$A:$G,2,FALSE),"")</f>
        <v>0</v>
      </c>
      <c r="O185">
        <f>IFERROR(VLOOKUP(A185,vlookup_table!$A:$G,4,FALSE),"")</f>
        <v>5309</v>
      </c>
      <c r="P185" t="str">
        <f>IFERROR(VLOOKUP(A185,vlookup_table!$A:$G,5,FALSE),"")</f>
        <v>S2</v>
      </c>
      <c r="Q185">
        <f>IFERROR(VLOOKUP(A185,vlookup_table!$A:$G,7,FALSE),"")</f>
        <v>20</v>
      </c>
      <c r="R185">
        <f t="shared" si="8"/>
        <v>44</v>
      </c>
      <c r="S185" t="str" cm="1">
        <f t="array" ref="S185">IF(P185="","",_xlfn.SWITCH(LEFT(P185,1),"C","Ciudad","T","Pueblo","R","Rural","S","Suburbano","U","Urbano",""))</f>
        <v>Suburbano</v>
      </c>
      <c r="T185" t="str">
        <f t="shared" si="9"/>
        <v>F</v>
      </c>
      <c r="U185" t="str">
        <f t="shared" si="10"/>
        <v>IL</v>
      </c>
      <c r="V185" t="str">
        <f t="shared" si="11"/>
        <v>14106</v>
      </c>
    </row>
    <row r="186" spans="1:22" x14ac:dyDescent="0.35">
      <c r="A186" s="3">
        <v>94915</v>
      </c>
      <c r="B186" t="s">
        <v>16</v>
      </c>
      <c r="C186" t="s">
        <v>17</v>
      </c>
      <c r="D186">
        <v>1463</v>
      </c>
      <c r="E186">
        <v>117</v>
      </c>
      <c r="F186">
        <v>523</v>
      </c>
      <c r="G186">
        <v>8</v>
      </c>
      <c r="H186">
        <v>13344</v>
      </c>
      <c r="I186">
        <v>26</v>
      </c>
      <c r="J186">
        <v>60</v>
      </c>
      <c r="K186">
        <v>439</v>
      </c>
      <c r="L186">
        <v>266</v>
      </c>
      <c r="M186">
        <v>12.16666667</v>
      </c>
      <c r="N186">
        <f>IFERROR(VLOOKUP(A186,vlookup_table!$A:$G,2,FALSE),"")</f>
        <v>0</v>
      </c>
      <c r="O186">
        <f>IFERROR(VLOOKUP(A186,vlookup_table!$A:$G,4,FALSE),"")</f>
        <v>4309</v>
      </c>
      <c r="P186" t="str">
        <f>IFERROR(VLOOKUP(A186,vlookup_table!$A:$G,5,FALSE),"")</f>
        <v>U1</v>
      </c>
      <c r="Q186">
        <f>IFERROR(VLOOKUP(A186,vlookup_table!$A:$G,7,FALSE),"")</f>
        <v>15</v>
      </c>
      <c r="R186">
        <f t="shared" si="8"/>
        <v>54</v>
      </c>
      <c r="S186" t="str" cm="1">
        <f t="array" ref="S186">IF(P186="","",_xlfn.SWITCH(LEFT(P186,1),"C","Ciudad","T","Pueblo","R","Rural","S","Suburbano","U","Urbano",""))</f>
        <v>Urbano</v>
      </c>
      <c r="T186" t="str">
        <f t="shared" si="9"/>
        <v>F</v>
      </c>
      <c r="U186" t="str">
        <f t="shared" si="10"/>
        <v>IL</v>
      </c>
      <c r="V186" t="str">
        <f t="shared" si="11"/>
        <v>13344</v>
      </c>
    </row>
    <row r="187" spans="1:22" x14ac:dyDescent="0.35">
      <c r="A187" s="3">
        <v>118392</v>
      </c>
      <c r="B187" t="s">
        <v>21</v>
      </c>
      <c r="C187" t="s">
        <v>14</v>
      </c>
      <c r="D187">
        <v>375</v>
      </c>
      <c r="E187">
        <v>153</v>
      </c>
      <c r="F187">
        <v>248</v>
      </c>
      <c r="G187">
        <v>0</v>
      </c>
      <c r="H187">
        <v>7798</v>
      </c>
      <c r="I187">
        <v>1</v>
      </c>
      <c r="J187">
        <v>84</v>
      </c>
      <c r="K187">
        <v>214</v>
      </c>
      <c r="L187">
        <v>206</v>
      </c>
      <c r="M187">
        <v>5.3478260869999996</v>
      </c>
      <c r="N187">
        <f>IFERROR(VLOOKUP(A187,vlookup_table!$A:$G,2,FALSE),"")</f>
        <v>2</v>
      </c>
      <c r="O187">
        <f>IFERROR(VLOOKUP(A187,vlookup_table!$A:$G,4,FALSE),"")</f>
        <v>1701</v>
      </c>
      <c r="P187" t="str">
        <f>IFERROR(VLOOKUP(A187,vlookup_table!$A:$G,5,FALSE),"")</f>
        <v>R3</v>
      </c>
      <c r="Q187">
        <f>IFERROR(VLOOKUP(A187,vlookup_table!$A:$G,7,FALSE),"")</f>
        <v>12</v>
      </c>
      <c r="R187">
        <f t="shared" si="8"/>
        <v>80</v>
      </c>
      <c r="S187" t="str" cm="1">
        <f t="array" ref="S187">IF(P187="","",_xlfn.SWITCH(LEFT(P187,1),"C","Ciudad","T","Pueblo","R","Rural","S","Suburbano","U","Urbano",""))</f>
        <v>Rural</v>
      </c>
      <c r="T187" t="str">
        <f t="shared" si="9"/>
        <v>M</v>
      </c>
      <c r="U187" t="str">
        <f t="shared" si="10"/>
        <v>TX</v>
      </c>
      <c r="V187" t="str">
        <f t="shared" si="11"/>
        <v>7798</v>
      </c>
    </row>
    <row r="188" spans="1:22" x14ac:dyDescent="0.35">
      <c r="A188" s="3">
        <v>187571</v>
      </c>
      <c r="B188" t="s">
        <v>33</v>
      </c>
      <c r="D188">
        <v>561</v>
      </c>
      <c r="E188">
        <v>302</v>
      </c>
      <c r="F188">
        <v>331</v>
      </c>
      <c r="G188">
        <v>1</v>
      </c>
      <c r="H188">
        <v>10873</v>
      </c>
      <c r="I188">
        <v>0</v>
      </c>
      <c r="J188">
        <v>60</v>
      </c>
      <c r="K188">
        <v>301</v>
      </c>
      <c r="L188">
        <v>323</v>
      </c>
      <c r="M188">
        <v>19.666666670000001</v>
      </c>
      <c r="N188">
        <f>IFERROR(VLOOKUP(A188,vlookup_table!$A:$G,2,FALSE),"")</f>
        <v>0</v>
      </c>
      <c r="O188">
        <f>IFERROR(VLOOKUP(A188,vlookup_table!$A:$G,4,FALSE),"")</f>
        <v>0</v>
      </c>
      <c r="P188" t="str">
        <f>IFERROR(VLOOKUP(A188,vlookup_table!$A:$G,5,FALSE),"")</f>
        <v>R2</v>
      </c>
      <c r="Q188">
        <f>IFERROR(VLOOKUP(A188,vlookup_table!$A:$G,7,FALSE),"")</f>
        <v>26</v>
      </c>
      <c r="R188">
        <f t="shared" si="8"/>
        <v>97</v>
      </c>
      <c r="S188" t="str" cm="1">
        <f t="array" ref="S188">IF(P188="","",_xlfn.SWITCH(LEFT(P188,1),"C","Ciudad","T","Pueblo","R","Rural","S","Suburbano","U","Urbano",""))</f>
        <v>Rural</v>
      </c>
      <c r="T188" t="str">
        <f t="shared" si="9"/>
        <v/>
      </c>
      <c r="U188" t="str">
        <f t="shared" si="10"/>
        <v>IN</v>
      </c>
      <c r="V188" t="str">
        <f t="shared" si="11"/>
        <v>10873</v>
      </c>
    </row>
    <row r="189" spans="1:22" x14ac:dyDescent="0.35">
      <c r="A189" s="3">
        <v>21659</v>
      </c>
      <c r="B189" t="s">
        <v>18</v>
      </c>
      <c r="C189" t="s">
        <v>14</v>
      </c>
      <c r="D189">
        <v>502</v>
      </c>
      <c r="E189">
        <v>199</v>
      </c>
      <c r="F189">
        <v>261</v>
      </c>
      <c r="G189">
        <v>1</v>
      </c>
      <c r="H189">
        <v>8726</v>
      </c>
      <c r="I189">
        <v>0</v>
      </c>
      <c r="J189">
        <v>85</v>
      </c>
      <c r="K189">
        <v>250</v>
      </c>
      <c r="L189">
        <v>229</v>
      </c>
      <c r="M189">
        <v>7.875</v>
      </c>
      <c r="N189">
        <f>IFERROR(VLOOKUP(A189,vlookup_table!$A:$G,2,FALSE),"")</f>
        <v>1002</v>
      </c>
      <c r="O189">
        <f>IFERROR(VLOOKUP(A189,vlookup_table!$A:$G,4,FALSE),"")</f>
        <v>5401</v>
      </c>
      <c r="P189" t="str">
        <f>IFERROR(VLOOKUP(A189,vlookup_table!$A:$G,5,FALSE),"")</f>
        <v>R2</v>
      </c>
      <c r="Q189">
        <f>IFERROR(VLOOKUP(A189,vlookup_table!$A:$G,7,FALSE),"")</f>
        <v>10</v>
      </c>
      <c r="R189">
        <f t="shared" si="8"/>
        <v>43</v>
      </c>
      <c r="S189" t="str" cm="1">
        <f t="array" ref="S189">IF(P189="","",_xlfn.SWITCH(LEFT(P189,1),"C","Ciudad","T","Pueblo","R","Rural","S","Suburbano","U","Urbano",""))</f>
        <v>Rural</v>
      </c>
      <c r="T189" t="str">
        <f t="shared" si="9"/>
        <v>M</v>
      </c>
      <c r="U189" t="str">
        <f t="shared" si="10"/>
        <v>NC</v>
      </c>
      <c r="V189" t="str">
        <f t="shared" si="11"/>
        <v>8726</v>
      </c>
    </row>
    <row r="190" spans="1:22" x14ac:dyDescent="0.35">
      <c r="A190" s="3">
        <v>157672</v>
      </c>
      <c r="B190" t="s">
        <v>22</v>
      </c>
      <c r="C190" t="s">
        <v>14</v>
      </c>
      <c r="D190">
        <v>4206</v>
      </c>
      <c r="E190">
        <v>789</v>
      </c>
      <c r="F190">
        <v>850</v>
      </c>
      <c r="G190">
        <v>93</v>
      </c>
      <c r="H190">
        <v>37411</v>
      </c>
      <c r="I190">
        <v>19</v>
      </c>
      <c r="J190">
        <v>36</v>
      </c>
      <c r="K190">
        <v>804</v>
      </c>
      <c r="L190">
        <v>834</v>
      </c>
      <c r="M190">
        <v>12.66666667</v>
      </c>
      <c r="N190">
        <f>IFERROR(VLOOKUP(A190,vlookup_table!$A:$G,2,FALSE),"")</f>
        <v>2</v>
      </c>
      <c r="O190">
        <f>IFERROR(VLOOKUP(A190,vlookup_table!$A:$G,4,FALSE),"")</f>
        <v>3101</v>
      </c>
      <c r="P190" t="str">
        <f>IFERROR(VLOOKUP(A190,vlookup_table!$A:$G,5,FALSE),"")</f>
        <v>C1</v>
      </c>
      <c r="Q190">
        <f>IFERROR(VLOOKUP(A190,vlookup_table!$A:$G,7,FALSE),"")</f>
        <v>10</v>
      </c>
      <c r="R190">
        <f t="shared" si="8"/>
        <v>66</v>
      </c>
      <c r="S190" t="str" cm="1">
        <f t="array" ref="S190">IF(P190="","",_xlfn.SWITCH(LEFT(P190,1),"C","Ciudad","T","Pueblo","R","Rural","S","Suburbano","U","Urbano",""))</f>
        <v>Ciudad</v>
      </c>
      <c r="T190" t="str">
        <f t="shared" si="9"/>
        <v>M</v>
      </c>
      <c r="U190" t="str">
        <f t="shared" si="10"/>
        <v>CA</v>
      </c>
      <c r="V190" t="str">
        <f t="shared" si="11"/>
        <v>37411</v>
      </c>
    </row>
    <row r="191" spans="1:22" x14ac:dyDescent="0.35">
      <c r="A191" s="3">
        <v>64166</v>
      </c>
      <c r="B191" t="s">
        <v>33</v>
      </c>
      <c r="C191" t="s">
        <v>14</v>
      </c>
      <c r="D191">
        <v>800</v>
      </c>
      <c r="E191">
        <v>283</v>
      </c>
      <c r="F191">
        <v>425</v>
      </c>
      <c r="G191">
        <v>4</v>
      </c>
      <c r="H191">
        <v>15160</v>
      </c>
      <c r="I191">
        <v>7</v>
      </c>
      <c r="J191">
        <v>60</v>
      </c>
      <c r="K191">
        <v>398</v>
      </c>
      <c r="L191">
        <v>338</v>
      </c>
      <c r="M191">
        <v>16.600000000000001</v>
      </c>
      <c r="N191">
        <f>IFERROR(VLOOKUP(A191,vlookup_table!$A:$G,2,FALSE),"")</f>
        <v>1</v>
      </c>
      <c r="O191">
        <f>IFERROR(VLOOKUP(A191,vlookup_table!$A:$G,4,FALSE),"")</f>
        <v>1701</v>
      </c>
      <c r="P191" t="str">
        <f>IFERROR(VLOOKUP(A191,vlookup_table!$A:$G,5,FALSE),"")</f>
        <v>T2</v>
      </c>
      <c r="Q191">
        <f>IFERROR(VLOOKUP(A191,vlookup_table!$A:$G,7,FALSE),"")</f>
        <v>23</v>
      </c>
      <c r="R191">
        <f t="shared" si="8"/>
        <v>80</v>
      </c>
      <c r="S191" t="str" cm="1">
        <f t="array" ref="S191">IF(P191="","",_xlfn.SWITCH(LEFT(P191,1),"C","Ciudad","T","Pueblo","R","Rural","S","Suburbano","U","Urbano",""))</f>
        <v>Pueblo</v>
      </c>
      <c r="T191" t="str">
        <f t="shared" si="9"/>
        <v>M</v>
      </c>
      <c r="U191" t="str">
        <f t="shared" si="10"/>
        <v>IN</v>
      </c>
      <c r="V191" t="str">
        <f t="shared" si="11"/>
        <v>15160</v>
      </c>
    </row>
    <row r="192" spans="1:22" x14ac:dyDescent="0.35">
      <c r="A192" s="3">
        <v>185304</v>
      </c>
      <c r="B192" t="s">
        <v>48</v>
      </c>
      <c r="C192" t="s">
        <v>14</v>
      </c>
      <c r="D192">
        <v>1472</v>
      </c>
      <c r="E192">
        <v>625</v>
      </c>
      <c r="F192">
        <v>732</v>
      </c>
      <c r="G192">
        <v>27</v>
      </c>
      <c r="H192">
        <v>27469</v>
      </c>
      <c r="I192">
        <v>3</v>
      </c>
      <c r="J192">
        <v>24</v>
      </c>
      <c r="K192">
        <v>653</v>
      </c>
      <c r="L192">
        <v>687</v>
      </c>
      <c r="M192">
        <v>15.21428571</v>
      </c>
      <c r="N192">
        <f>IFERROR(VLOOKUP(A192,vlookup_table!$A:$G,2,FALSE),"")</f>
        <v>1</v>
      </c>
      <c r="O192">
        <f>IFERROR(VLOOKUP(A192,vlookup_table!$A:$G,4,FALSE),"")</f>
        <v>2505</v>
      </c>
      <c r="P192" t="str">
        <f>IFERROR(VLOOKUP(A192,vlookup_table!$A:$G,5,FALSE),"")</f>
        <v>T1</v>
      </c>
      <c r="Q192">
        <f>IFERROR(VLOOKUP(A192,vlookup_table!$A:$G,7,FALSE),"")</f>
        <v>21</v>
      </c>
      <c r="R192">
        <f t="shared" si="8"/>
        <v>72</v>
      </c>
      <c r="S192" t="str" cm="1">
        <f t="array" ref="S192">IF(P192="","",_xlfn.SWITCH(LEFT(P192,1),"C","Ciudad","T","Pueblo","R","Rural","S","Suburbano","U","Urbano",""))</f>
        <v>Pueblo</v>
      </c>
      <c r="T192" t="str">
        <f t="shared" si="9"/>
        <v>M</v>
      </c>
      <c r="U192" t="str">
        <f t="shared" si="10"/>
        <v>CO</v>
      </c>
      <c r="V192" t="str">
        <f t="shared" si="11"/>
        <v>27469</v>
      </c>
    </row>
    <row r="193" spans="1:22" x14ac:dyDescent="0.35">
      <c r="A193" s="3">
        <v>57963</v>
      </c>
      <c r="B193" t="s">
        <v>57</v>
      </c>
      <c r="C193" t="s">
        <v>17</v>
      </c>
      <c r="D193">
        <v>492</v>
      </c>
      <c r="E193">
        <v>332</v>
      </c>
      <c r="F193">
        <v>471</v>
      </c>
      <c r="G193">
        <v>3</v>
      </c>
      <c r="H193">
        <v>21410</v>
      </c>
      <c r="I193">
        <v>0</v>
      </c>
      <c r="J193">
        <v>71</v>
      </c>
      <c r="K193">
        <v>450</v>
      </c>
      <c r="L193">
        <v>425</v>
      </c>
      <c r="M193">
        <v>8.4375</v>
      </c>
      <c r="N193">
        <f>IFERROR(VLOOKUP(A193,vlookup_table!$A:$G,2,FALSE),"")</f>
        <v>28</v>
      </c>
      <c r="O193">
        <f>IFERROR(VLOOKUP(A193,vlookup_table!$A:$G,4,FALSE),"")</f>
        <v>2709</v>
      </c>
      <c r="P193" t="str">
        <f>IFERROR(VLOOKUP(A193,vlookup_table!$A:$G,5,FALSE),"")</f>
        <v>C2</v>
      </c>
      <c r="Q193">
        <f>IFERROR(VLOOKUP(A193,vlookup_table!$A:$G,7,FALSE),"")</f>
        <v>10</v>
      </c>
      <c r="R193">
        <f t="shared" si="8"/>
        <v>70</v>
      </c>
      <c r="S193" t="str" cm="1">
        <f t="array" ref="S193">IF(P193="","",_xlfn.SWITCH(LEFT(P193,1),"C","Ciudad","T","Pueblo","R","Rural","S","Suburbano","U","Urbano",""))</f>
        <v>Ciudad</v>
      </c>
      <c r="T193" t="str">
        <f t="shared" si="9"/>
        <v>F</v>
      </c>
      <c r="U193" t="str">
        <f t="shared" si="10"/>
        <v>KY</v>
      </c>
      <c r="V193" t="str">
        <f t="shared" si="11"/>
        <v>21410</v>
      </c>
    </row>
    <row r="194" spans="1:22" x14ac:dyDescent="0.35">
      <c r="A194" s="3">
        <v>98249</v>
      </c>
      <c r="B194" t="s">
        <v>16</v>
      </c>
      <c r="C194" t="s">
        <v>17</v>
      </c>
      <c r="D194">
        <v>609</v>
      </c>
      <c r="E194">
        <v>314</v>
      </c>
      <c r="F194">
        <v>385</v>
      </c>
      <c r="G194">
        <v>1</v>
      </c>
      <c r="H194">
        <v>11360</v>
      </c>
      <c r="I194">
        <v>0</v>
      </c>
      <c r="J194">
        <v>92</v>
      </c>
      <c r="K194">
        <v>347</v>
      </c>
      <c r="L194">
        <v>349</v>
      </c>
      <c r="M194">
        <v>6.6666666670000003</v>
      </c>
      <c r="N194">
        <f>IFERROR(VLOOKUP(A194,vlookup_table!$A:$G,2,FALSE),"")</f>
        <v>0</v>
      </c>
      <c r="O194">
        <f>IFERROR(VLOOKUP(A194,vlookup_table!$A:$G,4,FALSE),"")</f>
        <v>0</v>
      </c>
      <c r="P194" t="str">
        <f>IFERROR(VLOOKUP(A194,vlookup_table!$A:$G,5,FALSE),"")</f>
        <v>R2</v>
      </c>
      <c r="Q194">
        <f>IFERROR(VLOOKUP(A194,vlookup_table!$A:$G,7,FALSE),"")</f>
        <v>10</v>
      </c>
      <c r="R194">
        <f t="shared" ref="R194:R257" si="12">IF(O194="","",97-INT(O194/100))</f>
        <v>97</v>
      </c>
      <c r="S194" t="str" cm="1">
        <f t="array" ref="S194">IF(P194="","",_xlfn.SWITCH(LEFT(P194,1),"C","Ciudad","T","Pueblo","R","Rural","S","Suburbano","U","Urbano",""))</f>
        <v>Rural</v>
      </c>
      <c r="T194" t="str">
        <f t="shared" ref="T194:T257" si="13">IF(C194="","",IF(OR(UPPER(C194)="M",UPPER(C194)="MALE"),"M",IF(OR(UPPER(C194)="F",UPPER(C194)="FEMALE",UPPER(C194)="FEAMALE"),"F",C194)))</f>
        <v>F</v>
      </c>
      <c r="U194" t="str">
        <f t="shared" ref="U194:U257" si="14">IF(OR(UPPER(B194)="CALIFORNIA",UPPER(B194)="CALI"),"CA",B194)</f>
        <v>IL</v>
      </c>
      <c r="V194" t="str">
        <f t="shared" ref="V194:V257" si="15">SUBSTITUTE(H194,"@","")</f>
        <v>11360</v>
      </c>
    </row>
    <row r="195" spans="1:22" x14ac:dyDescent="0.35">
      <c r="A195" s="3">
        <v>153689</v>
      </c>
      <c r="B195" t="s">
        <v>22</v>
      </c>
      <c r="C195" t="s">
        <v>17</v>
      </c>
      <c r="D195">
        <v>2430</v>
      </c>
      <c r="E195">
        <v>604</v>
      </c>
      <c r="F195">
        <v>669</v>
      </c>
      <c r="G195">
        <v>85</v>
      </c>
      <c r="H195">
        <v>20529</v>
      </c>
      <c r="I195">
        <v>11</v>
      </c>
      <c r="J195">
        <v>42</v>
      </c>
      <c r="K195">
        <v>610</v>
      </c>
      <c r="L195">
        <v>659</v>
      </c>
      <c r="M195">
        <v>9.5</v>
      </c>
      <c r="N195">
        <f>IFERROR(VLOOKUP(A195,vlookup_table!$A:$G,2,FALSE),"")</f>
        <v>0</v>
      </c>
      <c r="O195">
        <f>IFERROR(VLOOKUP(A195,vlookup_table!$A:$G,4,FALSE),"")</f>
        <v>3001</v>
      </c>
      <c r="P195" t="str">
        <f>IFERROR(VLOOKUP(A195,vlookup_table!$A:$G,5,FALSE),"")</f>
        <v>S1</v>
      </c>
      <c r="Q195">
        <f>IFERROR(VLOOKUP(A195,vlookup_table!$A:$G,7,FALSE),"")</f>
        <v>20</v>
      </c>
      <c r="R195">
        <f t="shared" si="12"/>
        <v>67</v>
      </c>
      <c r="S195" t="str" cm="1">
        <f t="array" ref="S195">IF(P195="","",_xlfn.SWITCH(LEFT(P195,1),"C","Ciudad","T","Pueblo","R","Rural","S","Suburbano","U","Urbano",""))</f>
        <v>Suburbano</v>
      </c>
      <c r="T195" t="str">
        <f t="shared" si="13"/>
        <v>F</v>
      </c>
      <c r="U195" t="str">
        <f t="shared" si="14"/>
        <v>CA</v>
      </c>
      <c r="V195" t="str">
        <f t="shared" si="15"/>
        <v>20529</v>
      </c>
    </row>
    <row r="196" spans="1:22" x14ac:dyDescent="0.35">
      <c r="A196" s="3">
        <v>157807</v>
      </c>
      <c r="B196" t="s">
        <v>22</v>
      </c>
      <c r="C196" t="s">
        <v>14</v>
      </c>
      <c r="D196">
        <v>2559</v>
      </c>
      <c r="E196">
        <v>581</v>
      </c>
      <c r="F196">
        <v>651</v>
      </c>
      <c r="G196">
        <v>84</v>
      </c>
      <c r="H196">
        <v>21559</v>
      </c>
      <c r="I196">
        <v>13</v>
      </c>
      <c r="J196">
        <v>51</v>
      </c>
      <c r="K196">
        <v>591</v>
      </c>
      <c r="L196">
        <v>614</v>
      </c>
      <c r="M196">
        <v>10.25</v>
      </c>
      <c r="N196">
        <f>IFERROR(VLOOKUP(A196,vlookup_table!$A:$G,2,FALSE),"")</f>
        <v>1</v>
      </c>
      <c r="O196">
        <f>IFERROR(VLOOKUP(A196,vlookup_table!$A:$G,4,FALSE),"")</f>
        <v>2401</v>
      </c>
      <c r="P196" t="str">
        <f>IFERROR(VLOOKUP(A196,vlookup_table!$A:$G,5,FALSE),"")</f>
        <v>S1</v>
      </c>
      <c r="Q196">
        <f>IFERROR(VLOOKUP(A196,vlookup_table!$A:$G,7,FALSE),"")</f>
        <v>16</v>
      </c>
      <c r="R196">
        <f t="shared" si="12"/>
        <v>73</v>
      </c>
      <c r="S196" t="str" cm="1">
        <f t="array" ref="S196">IF(P196="","",_xlfn.SWITCH(LEFT(P196,1),"C","Ciudad","T","Pueblo","R","Rural","S","Suburbano","U","Urbano",""))</f>
        <v>Suburbano</v>
      </c>
      <c r="T196" t="str">
        <f t="shared" si="13"/>
        <v>M</v>
      </c>
      <c r="U196" t="str">
        <f t="shared" si="14"/>
        <v>CA</v>
      </c>
      <c r="V196" t="str">
        <f t="shared" si="15"/>
        <v>21559</v>
      </c>
    </row>
    <row r="197" spans="1:22" x14ac:dyDescent="0.35">
      <c r="A197" s="3">
        <v>41715</v>
      </c>
      <c r="B197" t="s">
        <v>13</v>
      </c>
      <c r="D197">
        <v>696</v>
      </c>
      <c r="E197">
        <v>272</v>
      </c>
      <c r="F197">
        <v>427</v>
      </c>
      <c r="G197">
        <v>7</v>
      </c>
      <c r="H197">
        <v>16474</v>
      </c>
      <c r="I197">
        <v>7</v>
      </c>
      <c r="J197">
        <v>22</v>
      </c>
      <c r="K197">
        <v>357</v>
      </c>
      <c r="L197">
        <v>358</v>
      </c>
      <c r="M197">
        <v>3.3</v>
      </c>
      <c r="N197">
        <f>IFERROR(VLOOKUP(A197,vlookup_table!$A:$G,2,FALSE),"")</f>
        <v>0</v>
      </c>
      <c r="O197">
        <f>IFERROR(VLOOKUP(A197,vlookup_table!$A:$G,4,FALSE),"")</f>
        <v>0</v>
      </c>
      <c r="P197" t="str">
        <f>IFERROR(VLOOKUP(A197,vlookup_table!$A:$G,5,FALSE),"")</f>
        <v>U3</v>
      </c>
      <c r="Q197">
        <f>IFERROR(VLOOKUP(A197,vlookup_table!$A:$G,7,FALSE),"")</f>
        <v>3</v>
      </c>
      <c r="R197">
        <f t="shared" si="12"/>
        <v>97</v>
      </c>
      <c r="S197" t="str" cm="1">
        <f t="array" ref="S197">IF(P197="","",_xlfn.SWITCH(LEFT(P197,1),"C","Ciudad","T","Pueblo","R","Rural","S","Suburbano","U","Urbano",""))</f>
        <v>Urbano</v>
      </c>
      <c r="T197" t="str">
        <f t="shared" si="13"/>
        <v/>
      </c>
      <c r="U197" t="str">
        <f t="shared" si="14"/>
        <v>FL</v>
      </c>
      <c r="V197" t="str">
        <f t="shared" si="15"/>
        <v>16474</v>
      </c>
    </row>
    <row r="198" spans="1:22" x14ac:dyDescent="0.35">
      <c r="A198" s="3">
        <v>45356</v>
      </c>
      <c r="B198" t="s">
        <v>13</v>
      </c>
      <c r="C198" t="s">
        <v>14</v>
      </c>
      <c r="D198">
        <v>762</v>
      </c>
      <c r="E198">
        <v>254</v>
      </c>
      <c r="F198">
        <v>411</v>
      </c>
      <c r="G198">
        <v>7</v>
      </c>
      <c r="H198">
        <v>17458</v>
      </c>
      <c r="I198">
        <v>7</v>
      </c>
      <c r="J198">
        <v>13</v>
      </c>
      <c r="K198">
        <v>355</v>
      </c>
      <c r="L198">
        <v>327</v>
      </c>
      <c r="M198">
        <v>6.6086956519999998</v>
      </c>
      <c r="N198">
        <f>IFERROR(VLOOKUP(A198,vlookup_table!$A:$G,2,FALSE),"")</f>
        <v>1</v>
      </c>
      <c r="O198">
        <f>IFERROR(VLOOKUP(A198,vlookup_table!$A:$G,4,FALSE),"")</f>
        <v>2006</v>
      </c>
      <c r="P198" t="str">
        <f>IFERROR(VLOOKUP(A198,vlookup_table!$A:$G,5,FALSE),"")</f>
        <v>U2</v>
      </c>
      <c r="Q198">
        <f>IFERROR(VLOOKUP(A198,vlookup_table!$A:$G,7,FALSE),"")</f>
        <v>8</v>
      </c>
      <c r="R198">
        <f t="shared" si="12"/>
        <v>77</v>
      </c>
      <c r="S198" t="str" cm="1">
        <f t="array" ref="S198">IF(P198="","",_xlfn.SWITCH(LEFT(P198,1),"C","Ciudad","T","Pueblo","R","Rural","S","Suburbano","U","Urbano",""))</f>
        <v>Urbano</v>
      </c>
      <c r="T198" t="str">
        <f t="shared" si="13"/>
        <v>M</v>
      </c>
      <c r="U198" t="str">
        <f t="shared" si="14"/>
        <v>FL</v>
      </c>
      <c r="V198" t="str">
        <f t="shared" si="15"/>
        <v>17458</v>
      </c>
    </row>
    <row r="199" spans="1:22" x14ac:dyDescent="0.35">
      <c r="A199" s="3">
        <v>163506</v>
      </c>
      <c r="B199" t="s">
        <v>22</v>
      </c>
      <c r="C199" t="s">
        <v>17</v>
      </c>
      <c r="D199">
        <v>3556</v>
      </c>
      <c r="E199">
        <v>735</v>
      </c>
      <c r="F199">
        <v>805</v>
      </c>
      <c r="G199">
        <v>98</v>
      </c>
      <c r="H199">
        <v>34382</v>
      </c>
      <c r="I199">
        <v>9</v>
      </c>
      <c r="J199">
        <v>55</v>
      </c>
      <c r="K199">
        <v>701</v>
      </c>
      <c r="L199">
        <v>838</v>
      </c>
      <c r="M199">
        <v>15.85714286</v>
      </c>
      <c r="N199">
        <f>IFERROR(VLOOKUP(A199,vlookup_table!$A:$G,2,FALSE),"")</f>
        <v>0</v>
      </c>
      <c r="O199">
        <f>IFERROR(VLOOKUP(A199,vlookup_table!$A:$G,4,FALSE),"")</f>
        <v>0</v>
      </c>
      <c r="P199" t="str">
        <f>IFERROR(VLOOKUP(A199,vlookup_table!$A:$G,5,FALSE),"")</f>
        <v>U1</v>
      </c>
      <c r="Q199">
        <f>IFERROR(VLOOKUP(A199,vlookup_table!$A:$G,7,FALSE),"")</f>
        <v>15</v>
      </c>
      <c r="R199">
        <f t="shared" si="12"/>
        <v>97</v>
      </c>
      <c r="S199" t="str" cm="1">
        <f t="array" ref="S199">IF(P199="","",_xlfn.SWITCH(LEFT(P199,1),"C","Ciudad","T","Pueblo","R","Rural","S","Suburbano","U","Urbano",""))</f>
        <v>Urbano</v>
      </c>
      <c r="T199" t="str">
        <f t="shared" si="13"/>
        <v>F</v>
      </c>
      <c r="U199" t="str">
        <f t="shared" si="14"/>
        <v>CA</v>
      </c>
      <c r="V199" t="str">
        <f t="shared" si="15"/>
        <v>34382</v>
      </c>
    </row>
    <row r="200" spans="1:22" x14ac:dyDescent="0.35">
      <c r="A200" s="3">
        <v>107727</v>
      </c>
      <c r="B200" t="s">
        <v>59</v>
      </c>
      <c r="C200" t="s">
        <v>17</v>
      </c>
      <c r="D200">
        <v>441</v>
      </c>
      <c r="E200">
        <v>260</v>
      </c>
      <c r="F200">
        <v>353</v>
      </c>
      <c r="G200">
        <v>0</v>
      </c>
      <c r="H200">
        <v>12452</v>
      </c>
      <c r="I200">
        <v>1</v>
      </c>
      <c r="J200">
        <v>75</v>
      </c>
      <c r="K200">
        <v>321</v>
      </c>
      <c r="L200">
        <v>300</v>
      </c>
      <c r="M200">
        <v>5.2790697670000002</v>
      </c>
      <c r="N200">
        <f>IFERROR(VLOOKUP(A200,vlookup_table!$A:$G,2,FALSE),"")</f>
        <v>0</v>
      </c>
      <c r="O200">
        <f>IFERROR(VLOOKUP(A200,vlookup_table!$A:$G,4,FALSE),"")</f>
        <v>4007</v>
      </c>
      <c r="P200" t="str">
        <f>IFERROR(VLOOKUP(A200,vlookup_table!$A:$G,5,FALSE),"")</f>
        <v>T2</v>
      </c>
      <c r="Q200">
        <f>IFERROR(VLOOKUP(A200,vlookup_table!$A:$G,7,FALSE),"")</f>
        <v>7</v>
      </c>
      <c r="R200">
        <f t="shared" si="12"/>
        <v>57</v>
      </c>
      <c r="S200" t="str" cm="1">
        <f t="array" ref="S200">IF(P200="","",_xlfn.SWITCH(LEFT(P200,1),"C","Ciudad","T","Pueblo","R","Rural","S","Suburbano","U","Urbano",""))</f>
        <v>Pueblo</v>
      </c>
      <c r="T200" t="str">
        <f t="shared" si="13"/>
        <v>F</v>
      </c>
      <c r="U200" t="str">
        <f t="shared" si="14"/>
        <v>NE</v>
      </c>
      <c r="V200" t="str">
        <f t="shared" si="15"/>
        <v>12452</v>
      </c>
    </row>
    <row r="201" spans="1:22" x14ac:dyDescent="0.35">
      <c r="A201" s="3">
        <v>64212</v>
      </c>
      <c r="B201" t="s">
        <v>33</v>
      </c>
      <c r="C201" t="s">
        <v>17</v>
      </c>
      <c r="D201">
        <v>502</v>
      </c>
      <c r="E201">
        <v>319</v>
      </c>
      <c r="F201">
        <v>388</v>
      </c>
      <c r="G201">
        <v>0</v>
      </c>
      <c r="H201">
        <v>12989</v>
      </c>
      <c r="I201">
        <v>1</v>
      </c>
      <c r="J201">
        <v>80</v>
      </c>
      <c r="K201">
        <v>363</v>
      </c>
      <c r="L201">
        <v>341</v>
      </c>
      <c r="M201">
        <v>15.66666667</v>
      </c>
      <c r="N201">
        <f>IFERROR(VLOOKUP(A201,vlookup_table!$A:$G,2,FALSE),"")</f>
        <v>0</v>
      </c>
      <c r="O201">
        <f>IFERROR(VLOOKUP(A201,vlookup_table!$A:$G,4,FALSE),"")</f>
        <v>2601</v>
      </c>
      <c r="P201" t="str">
        <f>IFERROR(VLOOKUP(A201,vlookup_table!$A:$G,5,FALSE),"")</f>
        <v>C2</v>
      </c>
      <c r="Q201">
        <f>IFERROR(VLOOKUP(A201,vlookup_table!$A:$G,7,FALSE),"")</f>
        <v>20</v>
      </c>
      <c r="R201">
        <f t="shared" si="12"/>
        <v>71</v>
      </c>
      <c r="S201" t="str" cm="1">
        <f t="array" ref="S201">IF(P201="","",_xlfn.SWITCH(LEFT(P201,1),"C","Ciudad","T","Pueblo","R","Rural","S","Suburbano","U","Urbano",""))</f>
        <v>Ciudad</v>
      </c>
      <c r="T201" t="str">
        <f t="shared" si="13"/>
        <v>F</v>
      </c>
      <c r="U201" t="str">
        <f t="shared" si="14"/>
        <v>IN</v>
      </c>
      <c r="V201" t="str">
        <f t="shared" si="15"/>
        <v>12989</v>
      </c>
    </row>
    <row r="202" spans="1:22" x14ac:dyDescent="0.35">
      <c r="A202" s="3">
        <v>60252</v>
      </c>
      <c r="B202" t="s">
        <v>33</v>
      </c>
      <c r="C202" t="s">
        <v>14</v>
      </c>
      <c r="D202">
        <v>673</v>
      </c>
      <c r="E202">
        <v>284</v>
      </c>
      <c r="F202">
        <v>373</v>
      </c>
      <c r="G202">
        <v>0</v>
      </c>
      <c r="H202">
        <v>15149</v>
      </c>
      <c r="I202">
        <v>1</v>
      </c>
      <c r="J202">
        <v>67</v>
      </c>
      <c r="K202">
        <v>330</v>
      </c>
      <c r="L202">
        <v>335</v>
      </c>
      <c r="M202">
        <v>13.45454546</v>
      </c>
      <c r="N202">
        <f>IFERROR(VLOOKUP(A202,vlookup_table!$A:$G,2,FALSE),"")</f>
        <v>1</v>
      </c>
      <c r="O202">
        <f>IFERROR(VLOOKUP(A202,vlookup_table!$A:$G,4,FALSE),"")</f>
        <v>0</v>
      </c>
      <c r="P202" t="str">
        <f>IFERROR(VLOOKUP(A202,vlookup_table!$A:$G,5,FALSE),"")</f>
        <v>S2</v>
      </c>
      <c r="Q202">
        <f>IFERROR(VLOOKUP(A202,vlookup_table!$A:$G,7,FALSE),"")</f>
        <v>15</v>
      </c>
      <c r="R202">
        <f t="shared" si="12"/>
        <v>97</v>
      </c>
      <c r="S202" t="str" cm="1">
        <f t="array" ref="S202">IF(P202="","",_xlfn.SWITCH(LEFT(P202,1),"C","Ciudad","T","Pueblo","R","Rural","S","Suburbano","U","Urbano",""))</f>
        <v>Suburbano</v>
      </c>
      <c r="T202" t="str">
        <f t="shared" si="13"/>
        <v>M</v>
      </c>
      <c r="U202" t="str">
        <f t="shared" si="14"/>
        <v>IN</v>
      </c>
      <c r="V202" t="str">
        <f t="shared" si="15"/>
        <v>15149</v>
      </c>
    </row>
    <row r="203" spans="1:22" x14ac:dyDescent="0.35">
      <c r="A203" s="3">
        <v>45101</v>
      </c>
      <c r="B203" t="s">
        <v>13</v>
      </c>
      <c r="C203" t="s">
        <v>17</v>
      </c>
      <c r="D203">
        <v>1173</v>
      </c>
      <c r="E203">
        <v>322</v>
      </c>
      <c r="F203">
        <v>494</v>
      </c>
      <c r="G203">
        <v>5</v>
      </c>
      <c r="H203">
        <v>18738</v>
      </c>
      <c r="I203">
        <v>7</v>
      </c>
      <c r="J203">
        <v>14</v>
      </c>
      <c r="K203">
        <v>424</v>
      </c>
      <c r="L203">
        <v>407</v>
      </c>
      <c r="M203">
        <v>4.125</v>
      </c>
      <c r="N203">
        <f>IFERROR(VLOOKUP(A203,vlookup_table!$A:$G,2,FALSE),"")</f>
        <v>2</v>
      </c>
      <c r="O203">
        <f>IFERROR(VLOOKUP(A203,vlookup_table!$A:$G,4,FALSE),"")</f>
        <v>0</v>
      </c>
      <c r="P203" t="str">
        <f>IFERROR(VLOOKUP(A203,vlookup_table!$A:$G,5,FALSE),"")</f>
        <v>C1</v>
      </c>
      <c r="Q203">
        <f>IFERROR(VLOOKUP(A203,vlookup_table!$A:$G,7,FALSE),"")</f>
        <v>3</v>
      </c>
      <c r="R203">
        <f t="shared" si="12"/>
        <v>97</v>
      </c>
      <c r="S203" t="str" cm="1">
        <f t="array" ref="S203">IF(P203="","",_xlfn.SWITCH(LEFT(P203,1),"C","Ciudad","T","Pueblo","R","Rural","S","Suburbano","U","Urbano",""))</f>
        <v>Ciudad</v>
      </c>
      <c r="T203" t="str">
        <f t="shared" si="13"/>
        <v>F</v>
      </c>
      <c r="U203" t="str">
        <f t="shared" si="14"/>
        <v>FL</v>
      </c>
      <c r="V203" t="str">
        <f t="shared" si="15"/>
        <v>18738</v>
      </c>
    </row>
    <row r="204" spans="1:22" x14ac:dyDescent="0.35">
      <c r="A204" s="3">
        <v>36528</v>
      </c>
      <c r="B204" t="s">
        <v>13</v>
      </c>
      <c r="C204" t="s">
        <v>17</v>
      </c>
      <c r="D204">
        <v>934</v>
      </c>
      <c r="E204">
        <v>323</v>
      </c>
      <c r="F204">
        <v>400</v>
      </c>
      <c r="G204">
        <v>1</v>
      </c>
      <c r="H204">
        <v>9980</v>
      </c>
      <c r="I204">
        <v>73</v>
      </c>
      <c r="J204">
        <v>17</v>
      </c>
      <c r="K204">
        <v>373</v>
      </c>
      <c r="L204">
        <v>376</v>
      </c>
      <c r="M204">
        <v>25</v>
      </c>
      <c r="N204">
        <f>IFERROR(VLOOKUP(A204,vlookup_table!$A:$G,2,FALSE),"")</f>
        <v>0</v>
      </c>
      <c r="O204">
        <f>IFERROR(VLOOKUP(A204,vlookup_table!$A:$G,4,FALSE),"")</f>
        <v>2303</v>
      </c>
      <c r="P204" t="str">
        <f>IFERROR(VLOOKUP(A204,vlookup_table!$A:$G,5,FALSE),"")</f>
        <v>S2</v>
      </c>
      <c r="Q204">
        <f>IFERROR(VLOOKUP(A204,vlookup_table!$A:$G,7,FALSE),"")</f>
        <v>25</v>
      </c>
      <c r="R204">
        <f t="shared" si="12"/>
        <v>74</v>
      </c>
      <c r="S204" t="str" cm="1">
        <f t="array" ref="S204">IF(P204="","",_xlfn.SWITCH(LEFT(P204,1),"C","Ciudad","T","Pueblo","R","Rural","S","Suburbano","U","Urbano",""))</f>
        <v>Suburbano</v>
      </c>
      <c r="T204" t="str">
        <f t="shared" si="13"/>
        <v>F</v>
      </c>
      <c r="U204" t="str">
        <f t="shared" si="14"/>
        <v>FL</v>
      </c>
      <c r="V204" t="str">
        <f t="shared" si="15"/>
        <v>9980</v>
      </c>
    </row>
    <row r="205" spans="1:22" x14ac:dyDescent="0.35">
      <c r="A205" s="3">
        <v>38820</v>
      </c>
      <c r="B205" t="s">
        <v>13</v>
      </c>
      <c r="C205" t="s">
        <v>14</v>
      </c>
      <c r="D205">
        <v>1332</v>
      </c>
      <c r="E205">
        <v>357</v>
      </c>
      <c r="F205">
        <v>497</v>
      </c>
      <c r="G205">
        <v>2</v>
      </c>
      <c r="H205">
        <v>21444</v>
      </c>
      <c r="I205">
        <v>14</v>
      </c>
      <c r="J205">
        <v>15</v>
      </c>
      <c r="K205">
        <v>411</v>
      </c>
      <c r="L205">
        <v>422</v>
      </c>
      <c r="M205">
        <v>9.576923077</v>
      </c>
      <c r="N205">
        <f>IFERROR(VLOOKUP(A205,vlookup_table!$A:$G,2,FALSE),"")</f>
        <v>2</v>
      </c>
      <c r="O205">
        <f>IFERROR(VLOOKUP(A205,vlookup_table!$A:$G,4,FALSE),"")</f>
        <v>1306</v>
      </c>
      <c r="P205" t="str">
        <f>IFERROR(VLOOKUP(A205,vlookup_table!$A:$G,5,FALSE),"")</f>
        <v>C1</v>
      </c>
      <c r="Q205">
        <f>IFERROR(VLOOKUP(A205,vlookup_table!$A:$G,7,FALSE),"")</f>
        <v>20</v>
      </c>
      <c r="R205">
        <f t="shared" si="12"/>
        <v>84</v>
      </c>
      <c r="S205" t="str" cm="1">
        <f t="array" ref="S205">IF(P205="","",_xlfn.SWITCH(LEFT(P205,1),"C","Ciudad","T","Pueblo","R","Rural","S","Suburbano","U","Urbano",""))</f>
        <v>Ciudad</v>
      </c>
      <c r="T205" t="str">
        <f t="shared" si="13"/>
        <v>M</v>
      </c>
      <c r="U205" t="str">
        <f t="shared" si="14"/>
        <v>FL</v>
      </c>
      <c r="V205" t="str">
        <f t="shared" si="15"/>
        <v>21444</v>
      </c>
    </row>
    <row r="206" spans="1:22" x14ac:dyDescent="0.35">
      <c r="A206" s="3">
        <v>133906</v>
      </c>
      <c r="B206" t="s">
        <v>41</v>
      </c>
      <c r="C206" t="s">
        <v>17</v>
      </c>
      <c r="D206">
        <v>451</v>
      </c>
      <c r="E206">
        <v>225</v>
      </c>
      <c r="F206">
        <v>294</v>
      </c>
      <c r="G206">
        <v>1</v>
      </c>
      <c r="H206">
        <v>10244</v>
      </c>
      <c r="I206">
        <v>1</v>
      </c>
      <c r="J206">
        <v>43</v>
      </c>
      <c r="K206">
        <v>261</v>
      </c>
      <c r="L206">
        <v>262</v>
      </c>
      <c r="M206">
        <v>15</v>
      </c>
      <c r="N206">
        <f>IFERROR(VLOOKUP(A206,vlookup_table!$A:$G,2,FALSE),"")</f>
        <v>0</v>
      </c>
      <c r="O206">
        <f>IFERROR(VLOOKUP(A206,vlookup_table!$A:$G,4,FALSE),"")</f>
        <v>0</v>
      </c>
      <c r="P206" t="str">
        <f>IFERROR(VLOOKUP(A206,vlookup_table!$A:$G,5,FALSE),"")</f>
        <v>R2</v>
      </c>
      <c r="Q206">
        <f>IFERROR(VLOOKUP(A206,vlookup_table!$A:$G,7,FALSE),"")</f>
        <v>10</v>
      </c>
      <c r="R206">
        <f t="shared" si="12"/>
        <v>97</v>
      </c>
      <c r="S206" t="str" cm="1">
        <f t="array" ref="S206">IF(P206="","",_xlfn.SWITCH(LEFT(P206,1),"C","Ciudad","T","Pueblo","R","Rural","S","Suburbano","U","Urbano",""))</f>
        <v>Rural</v>
      </c>
      <c r="T206" t="str">
        <f t="shared" si="13"/>
        <v>F</v>
      </c>
      <c r="U206" t="str">
        <f t="shared" si="14"/>
        <v>ID</v>
      </c>
      <c r="V206" t="str">
        <f t="shared" si="15"/>
        <v>10244</v>
      </c>
    </row>
    <row r="207" spans="1:22" x14ac:dyDescent="0.35">
      <c r="A207" s="3">
        <v>12226</v>
      </c>
      <c r="B207" t="s">
        <v>48</v>
      </c>
      <c r="C207" t="s">
        <v>17</v>
      </c>
      <c r="D207">
        <v>649</v>
      </c>
      <c r="E207">
        <v>238</v>
      </c>
      <c r="F207">
        <v>302</v>
      </c>
      <c r="G207">
        <v>0</v>
      </c>
      <c r="H207">
        <v>10417</v>
      </c>
      <c r="I207">
        <v>7</v>
      </c>
      <c r="J207">
        <v>60</v>
      </c>
      <c r="K207">
        <v>273</v>
      </c>
      <c r="L207">
        <v>272</v>
      </c>
      <c r="M207">
        <v>5.4117647059999996</v>
      </c>
      <c r="N207">
        <f>IFERROR(VLOOKUP(A207,vlookup_table!$A:$G,2,FALSE),"")</f>
        <v>0</v>
      </c>
      <c r="O207">
        <f>IFERROR(VLOOKUP(A207,vlookup_table!$A:$G,4,FALSE),"")</f>
        <v>1301</v>
      </c>
      <c r="P207" t="str">
        <f>IFERROR(VLOOKUP(A207,vlookup_table!$A:$G,5,FALSE),"")</f>
        <v>C2</v>
      </c>
      <c r="Q207">
        <f>IFERROR(VLOOKUP(A207,vlookup_table!$A:$G,7,FALSE),"")</f>
        <v>8</v>
      </c>
      <c r="R207">
        <f t="shared" si="12"/>
        <v>84</v>
      </c>
      <c r="S207" t="str" cm="1">
        <f t="array" ref="S207">IF(P207="","",_xlfn.SWITCH(LEFT(P207,1),"C","Ciudad","T","Pueblo","R","Rural","S","Suburbano","U","Urbano",""))</f>
        <v>Ciudad</v>
      </c>
      <c r="T207" t="str">
        <f t="shared" si="13"/>
        <v>F</v>
      </c>
      <c r="U207" t="str">
        <f t="shared" si="14"/>
        <v>CO</v>
      </c>
      <c r="V207" t="str">
        <f t="shared" si="15"/>
        <v>10417</v>
      </c>
    </row>
    <row r="208" spans="1:22" x14ac:dyDescent="0.35">
      <c r="A208" s="3">
        <v>8696</v>
      </c>
      <c r="B208" t="s">
        <v>31</v>
      </c>
      <c r="C208" t="s">
        <v>17</v>
      </c>
      <c r="D208">
        <v>590</v>
      </c>
      <c r="E208">
        <v>410</v>
      </c>
      <c r="F208">
        <v>456</v>
      </c>
      <c r="G208">
        <v>0</v>
      </c>
      <c r="H208">
        <v>13115</v>
      </c>
      <c r="I208">
        <v>1</v>
      </c>
      <c r="J208">
        <v>65</v>
      </c>
      <c r="K208">
        <v>439</v>
      </c>
      <c r="L208">
        <v>433</v>
      </c>
      <c r="M208">
        <v>13</v>
      </c>
      <c r="N208">
        <f>IFERROR(VLOOKUP(A208,vlookup_table!$A:$G,2,FALSE),"")</f>
        <v>2</v>
      </c>
      <c r="O208">
        <f>IFERROR(VLOOKUP(A208,vlookup_table!$A:$G,4,FALSE),"")</f>
        <v>0</v>
      </c>
      <c r="P208" t="str">
        <f>IFERROR(VLOOKUP(A208,vlookup_table!$A:$G,5,FALSE),"")</f>
        <v>T2</v>
      </c>
      <c r="Q208">
        <f>IFERROR(VLOOKUP(A208,vlookup_table!$A:$G,7,FALSE),"")</f>
        <v>11</v>
      </c>
      <c r="R208">
        <f t="shared" si="12"/>
        <v>97</v>
      </c>
      <c r="S208" t="str" cm="1">
        <f t="array" ref="S208">IF(P208="","",_xlfn.SWITCH(LEFT(P208,1),"C","Ciudad","T","Pueblo","R","Rural","S","Suburbano","U","Urbano",""))</f>
        <v>Pueblo</v>
      </c>
      <c r="T208" t="str">
        <f t="shared" si="13"/>
        <v>F</v>
      </c>
      <c r="U208" t="str">
        <f t="shared" si="14"/>
        <v>OK</v>
      </c>
      <c r="V208" t="str">
        <f t="shared" si="15"/>
        <v>13115</v>
      </c>
    </row>
    <row r="209" spans="1:22" x14ac:dyDescent="0.35">
      <c r="A209" s="3">
        <v>119368</v>
      </c>
      <c r="B209" t="s">
        <v>21</v>
      </c>
      <c r="C209" t="s">
        <v>17</v>
      </c>
      <c r="D209">
        <v>500</v>
      </c>
      <c r="E209">
        <v>291</v>
      </c>
      <c r="F209">
        <v>379</v>
      </c>
      <c r="G209">
        <v>0</v>
      </c>
      <c r="H209">
        <v>19609</v>
      </c>
      <c r="I209">
        <v>6</v>
      </c>
      <c r="J209">
        <v>50</v>
      </c>
      <c r="K209">
        <v>316</v>
      </c>
      <c r="L209">
        <v>314</v>
      </c>
      <c r="M209">
        <v>11.5</v>
      </c>
      <c r="N209">
        <f>IFERROR(VLOOKUP(A209,vlookup_table!$A:$G,2,FALSE),"")</f>
        <v>28</v>
      </c>
      <c r="O209">
        <f>IFERROR(VLOOKUP(A209,vlookup_table!$A:$G,4,FALSE),"")</f>
        <v>4008</v>
      </c>
      <c r="P209" t="str">
        <f>IFERROR(VLOOKUP(A209,vlookup_table!$A:$G,5,FALSE),"")</f>
        <v>C1</v>
      </c>
      <c r="Q209">
        <f>IFERROR(VLOOKUP(A209,vlookup_table!$A:$G,7,FALSE),"")</f>
        <v>25</v>
      </c>
      <c r="R209">
        <f t="shared" si="12"/>
        <v>57</v>
      </c>
      <c r="S209" t="str" cm="1">
        <f t="array" ref="S209">IF(P209="","",_xlfn.SWITCH(LEFT(P209,1),"C","Ciudad","T","Pueblo","R","Rural","S","Suburbano","U","Urbano",""))</f>
        <v>Ciudad</v>
      </c>
      <c r="T209" t="str">
        <f t="shared" si="13"/>
        <v>F</v>
      </c>
      <c r="U209" t="str">
        <f t="shared" si="14"/>
        <v>TX</v>
      </c>
      <c r="V209" t="str">
        <f t="shared" si="15"/>
        <v>19609</v>
      </c>
    </row>
    <row r="210" spans="1:22" x14ac:dyDescent="0.35">
      <c r="A210" s="3">
        <v>14319</v>
      </c>
      <c r="B210" t="s">
        <v>13</v>
      </c>
      <c r="C210" t="s">
        <v>14</v>
      </c>
      <c r="D210">
        <v>368</v>
      </c>
      <c r="E210">
        <v>230</v>
      </c>
      <c r="F210">
        <v>295</v>
      </c>
      <c r="G210">
        <v>0</v>
      </c>
      <c r="H210">
        <v>9547</v>
      </c>
      <c r="I210">
        <v>0</v>
      </c>
      <c r="J210">
        <v>68</v>
      </c>
      <c r="K210">
        <v>271</v>
      </c>
      <c r="L210">
        <v>261</v>
      </c>
      <c r="M210">
        <v>10.7</v>
      </c>
      <c r="N210">
        <f>IFERROR(VLOOKUP(A210,vlookup_table!$A:$G,2,FALSE),"")</f>
        <v>1</v>
      </c>
      <c r="O210">
        <f>IFERROR(VLOOKUP(A210,vlookup_table!$A:$G,4,FALSE),"")</f>
        <v>2601</v>
      </c>
      <c r="P210" t="str">
        <f>IFERROR(VLOOKUP(A210,vlookup_table!$A:$G,5,FALSE),"")</f>
        <v>S3</v>
      </c>
      <c r="Q210">
        <f>IFERROR(VLOOKUP(A210,vlookup_table!$A:$G,7,FALSE),"")</f>
        <v>19</v>
      </c>
      <c r="R210">
        <f t="shared" si="12"/>
        <v>71</v>
      </c>
      <c r="S210" t="str" cm="1">
        <f t="array" ref="S210">IF(P210="","",_xlfn.SWITCH(LEFT(P210,1),"C","Ciudad","T","Pueblo","R","Rural","S","Suburbano","U","Urbano",""))</f>
        <v>Suburbano</v>
      </c>
      <c r="T210" t="str">
        <f t="shared" si="13"/>
        <v>M</v>
      </c>
      <c r="U210" t="str">
        <f t="shared" si="14"/>
        <v>FL</v>
      </c>
      <c r="V210" t="str">
        <f t="shared" si="15"/>
        <v>9547</v>
      </c>
    </row>
    <row r="211" spans="1:22" x14ac:dyDescent="0.35">
      <c r="A211" s="3">
        <v>118408</v>
      </c>
      <c r="B211" t="s">
        <v>21</v>
      </c>
      <c r="C211" t="s">
        <v>14</v>
      </c>
      <c r="D211">
        <v>427</v>
      </c>
      <c r="E211">
        <v>315</v>
      </c>
      <c r="F211">
        <v>377</v>
      </c>
      <c r="G211">
        <v>0</v>
      </c>
      <c r="H211">
        <v>11299</v>
      </c>
      <c r="I211">
        <v>2</v>
      </c>
      <c r="J211">
        <v>86</v>
      </c>
      <c r="K211">
        <v>365</v>
      </c>
      <c r="L211">
        <v>340</v>
      </c>
      <c r="M211">
        <v>9</v>
      </c>
      <c r="N211">
        <f>IFERROR(VLOOKUP(A211,vlookup_table!$A:$G,2,FALSE),"")</f>
        <v>1</v>
      </c>
      <c r="O211">
        <f>IFERROR(VLOOKUP(A211,vlookup_table!$A:$G,4,FALSE),"")</f>
        <v>2109</v>
      </c>
      <c r="P211" t="str">
        <f>IFERROR(VLOOKUP(A211,vlookup_table!$A:$G,5,FALSE),"")</f>
        <v>R2</v>
      </c>
      <c r="Q211">
        <f>IFERROR(VLOOKUP(A211,vlookup_table!$A:$G,7,FALSE),"")</f>
        <v>15</v>
      </c>
      <c r="R211">
        <f t="shared" si="12"/>
        <v>76</v>
      </c>
      <c r="S211" t="str" cm="1">
        <f t="array" ref="S211">IF(P211="","",_xlfn.SWITCH(LEFT(P211,1),"C","Ciudad","T","Pueblo","R","Rural","S","Suburbano","U","Urbano",""))</f>
        <v>Rural</v>
      </c>
      <c r="T211" t="str">
        <f t="shared" si="13"/>
        <v>M</v>
      </c>
      <c r="U211" t="str">
        <f t="shared" si="14"/>
        <v>TX</v>
      </c>
      <c r="V211" t="str">
        <f t="shared" si="15"/>
        <v>11299</v>
      </c>
    </row>
    <row r="212" spans="1:22" x14ac:dyDescent="0.35">
      <c r="A212" s="3">
        <v>146585</v>
      </c>
      <c r="B212" t="s">
        <v>22</v>
      </c>
      <c r="C212" t="s">
        <v>17</v>
      </c>
      <c r="D212">
        <v>1458</v>
      </c>
      <c r="E212">
        <v>173</v>
      </c>
      <c r="F212">
        <v>249</v>
      </c>
      <c r="G212">
        <v>7</v>
      </c>
      <c r="H212">
        <v>8381</v>
      </c>
      <c r="I212">
        <v>40</v>
      </c>
      <c r="J212">
        <v>38</v>
      </c>
      <c r="K212">
        <v>191</v>
      </c>
      <c r="L212">
        <v>220</v>
      </c>
      <c r="M212">
        <v>4.2432432430000002</v>
      </c>
      <c r="N212">
        <f>IFERROR(VLOOKUP(A212,vlookup_table!$A:$G,2,FALSE),"")</f>
        <v>0</v>
      </c>
      <c r="O212">
        <f>IFERROR(VLOOKUP(A212,vlookup_table!$A:$G,4,FALSE),"")</f>
        <v>0</v>
      </c>
      <c r="P212" t="str">
        <f>IFERROR(VLOOKUP(A212,vlookup_table!$A:$G,5,FALSE),"")</f>
        <v>U3</v>
      </c>
      <c r="Q212">
        <f>IFERROR(VLOOKUP(A212,vlookup_table!$A:$G,7,FALSE),"")</f>
        <v>8</v>
      </c>
      <c r="R212">
        <f t="shared" si="12"/>
        <v>97</v>
      </c>
      <c r="S212" t="str" cm="1">
        <f t="array" ref="S212">IF(P212="","",_xlfn.SWITCH(LEFT(P212,1),"C","Ciudad","T","Pueblo","R","Rural","S","Suburbano","U","Urbano",""))</f>
        <v>Urbano</v>
      </c>
      <c r="T212" t="str">
        <f t="shared" si="13"/>
        <v>F</v>
      </c>
      <c r="U212" t="str">
        <f t="shared" si="14"/>
        <v>CA</v>
      </c>
      <c r="V212" t="str">
        <f t="shared" si="15"/>
        <v>8381</v>
      </c>
    </row>
    <row r="213" spans="1:22" x14ac:dyDescent="0.35">
      <c r="A213" s="3">
        <v>120115</v>
      </c>
      <c r="B213" t="s">
        <v>21</v>
      </c>
      <c r="C213" t="s">
        <v>14</v>
      </c>
      <c r="D213">
        <v>274</v>
      </c>
      <c r="E213">
        <v>154</v>
      </c>
      <c r="F213">
        <v>256</v>
      </c>
      <c r="G213">
        <v>1</v>
      </c>
      <c r="H213">
        <v>8881</v>
      </c>
      <c r="I213">
        <v>6</v>
      </c>
      <c r="J213">
        <v>84</v>
      </c>
      <c r="K213">
        <v>214</v>
      </c>
      <c r="L213">
        <v>199</v>
      </c>
      <c r="M213">
        <v>40.875</v>
      </c>
      <c r="N213">
        <f>IFERROR(VLOOKUP(A213,vlookup_table!$A:$G,2,FALSE),"")</f>
        <v>1</v>
      </c>
      <c r="O213">
        <f>IFERROR(VLOOKUP(A213,vlookup_table!$A:$G,4,FALSE),"")</f>
        <v>701</v>
      </c>
      <c r="P213" t="str">
        <f>IFERROR(VLOOKUP(A213,vlookup_table!$A:$G,5,FALSE),"")</f>
        <v>R3</v>
      </c>
      <c r="Q213">
        <f>IFERROR(VLOOKUP(A213,vlookup_table!$A:$G,7,FALSE),"")</f>
        <v>200</v>
      </c>
      <c r="R213">
        <f t="shared" si="12"/>
        <v>90</v>
      </c>
      <c r="S213" t="str" cm="1">
        <f t="array" ref="S213">IF(P213="","",_xlfn.SWITCH(LEFT(P213,1),"C","Ciudad","T","Pueblo","R","Rural","S","Suburbano","U","Urbano",""))</f>
        <v>Rural</v>
      </c>
      <c r="T213" t="str">
        <f t="shared" si="13"/>
        <v>M</v>
      </c>
      <c r="U213" t="str">
        <f t="shared" si="14"/>
        <v>TX</v>
      </c>
      <c r="V213" t="str">
        <f t="shared" si="15"/>
        <v>8881</v>
      </c>
    </row>
    <row r="214" spans="1:22" x14ac:dyDescent="0.35">
      <c r="A214" s="3">
        <v>57463</v>
      </c>
      <c r="B214" t="s">
        <v>57</v>
      </c>
      <c r="C214" t="s">
        <v>17</v>
      </c>
      <c r="D214">
        <v>584</v>
      </c>
      <c r="E214">
        <v>274</v>
      </c>
      <c r="F214">
        <v>341</v>
      </c>
      <c r="G214">
        <v>0</v>
      </c>
      <c r="H214">
        <v>15105</v>
      </c>
      <c r="I214">
        <v>3</v>
      </c>
      <c r="J214">
        <v>62</v>
      </c>
      <c r="K214">
        <v>287</v>
      </c>
      <c r="L214">
        <v>336</v>
      </c>
      <c r="M214">
        <v>11.14285714</v>
      </c>
      <c r="N214">
        <f>IFERROR(VLOOKUP(A214,vlookup_table!$A:$G,2,FALSE),"")</f>
        <v>0</v>
      </c>
      <c r="O214">
        <f>IFERROR(VLOOKUP(A214,vlookup_table!$A:$G,4,FALSE),"")</f>
        <v>2512</v>
      </c>
      <c r="P214" t="str">
        <f>IFERROR(VLOOKUP(A214,vlookup_table!$A:$G,5,FALSE),"")</f>
        <v>S2</v>
      </c>
      <c r="Q214">
        <f>IFERROR(VLOOKUP(A214,vlookup_table!$A:$G,7,FALSE),"")</f>
        <v>10</v>
      </c>
      <c r="R214">
        <f t="shared" si="12"/>
        <v>72</v>
      </c>
      <c r="S214" t="str" cm="1">
        <f t="array" ref="S214">IF(P214="","",_xlfn.SWITCH(LEFT(P214,1),"C","Ciudad","T","Pueblo","R","Rural","S","Suburbano","U","Urbano",""))</f>
        <v>Suburbano</v>
      </c>
      <c r="T214" t="str">
        <f t="shared" si="13"/>
        <v>F</v>
      </c>
      <c r="U214" t="str">
        <f t="shared" si="14"/>
        <v>KY</v>
      </c>
      <c r="V214" t="str">
        <f t="shared" si="15"/>
        <v>15105</v>
      </c>
    </row>
    <row r="215" spans="1:22" x14ac:dyDescent="0.35">
      <c r="A215" s="3">
        <v>94394</v>
      </c>
      <c r="B215" t="s">
        <v>16</v>
      </c>
      <c r="C215" t="s">
        <v>17</v>
      </c>
      <c r="D215">
        <v>553</v>
      </c>
      <c r="E215">
        <v>306</v>
      </c>
      <c r="F215">
        <v>348</v>
      </c>
      <c r="G215">
        <v>0</v>
      </c>
      <c r="H215">
        <v>9296</v>
      </c>
      <c r="I215">
        <v>2</v>
      </c>
      <c r="J215">
        <v>72</v>
      </c>
      <c r="K215">
        <v>309</v>
      </c>
      <c r="L215">
        <v>333</v>
      </c>
      <c r="M215">
        <v>8.9166666669999994</v>
      </c>
      <c r="N215">
        <f>IFERROR(VLOOKUP(A215,vlookup_table!$A:$G,2,FALSE),"")</f>
        <v>2</v>
      </c>
      <c r="O215">
        <f>IFERROR(VLOOKUP(A215,vlookup_table!$A:$G,4,FALSE),"")</f>
        <v>3308</v>
      </c>
      <c r="P215" t="str">
        <f>IFERROR(VLOOKUP(A215,vlookup_table!$A:$G,5,FALSE),"")</f>
        <v>U3</v>
      </c>
      <c r="Q215">
        <f>IFERROR(VLOOKUP(A215,vlookup_table!$A:$G,7,FALSE),"")</f>
        <v>10</v>
      </c>
      <c r="R215">
        <f t="shared" si="12"/>
        <v>64</v>
      </c>
      <c r="S215" t="str" cm="1">
        <f t="array" ref="S215">IF(P215="","",_xlfn.SWITCH(LEFT(P215,1),"C","Ciudad","T","Pueblo","R","Rural","S","Suburbano","U","Urbano",""))</f>
        <v>Urbano</v>
      </c>
      <c r="T215" t="str">
        <f t="shared" si="13"/>
        <v>F</v>
      </c>
      <c r="U215" t="str">
        <f t="shared" si="14"/>
        <v>IL</v>
      </c>
      <c r="V215" t="str">
        <f t="shared" si="15"/>
        <v>9296</v>
      </c>
    </row>
    <row r="216" spans="1:22" x14ac:dyDescent="0.35">
      <c r="A216" s="3">
        <v>155135</v>
      </c>
      <c r="B216" t="s">
        <v>22</v>
      </c>
      <c r="C216" t="s">
        <v>14</v>
      </c>
      <c r="D216">
        <v>903</v>
      </c>
      <c r="E216">
        <v>321</v>
      </c>
      <c r="F216">
        <v>390</v>
      </c>
      <c r="G216">
        <v>0</v>
      </c>
      <c r="H216">
        <v>10985</v>
      </c>
      <c r="I216">
        <v>8</v>
      </c>
      <c r="J216">
        <v>54</v>
      </c>
      <c r="K216">
        <v>406</v>
      </c>
      <c r="L216">
        <v>358</v>
      </c>
      <c r="M216">
        <v>6.75</v>
      </c>
      <c r="N216">
        <f>IFERROR(VLOOKUP(A216,vlookup_table!$A:$G,2,FALSE),"")</f>
        <v>1</v>
      </c>
      <c r="O216">
        <f>IFERROR(VLOOKUP(A216,vlookup_table!$A:$G,4,FALSE),"")</f>
        <v>3001</v>
      </c>
      <c r="P216" t="str">
        <f>IFERROR(VLOOKUP(A216,vlookup_table!$A:$G,5,FALSE),"")</f>
        <v>S3</v>
      </c>
      <c r="Q216">
        <f>IFERROR(VLOOKUP(A216,vlookup_table!$A:$G,7,FALSE),"")</f>
        <v>7</v>
      </c>
      <c r="R216">
        <f t="shared" si="12"/>
        <v>67</v>
      </c>
      <c r="S216" t="str" cm="1">
        <f t="array" ref="S216">IF(P216="","",_xlfn.SWITCH(LEFT(P216,1),"C","Ciudad","T","Pueblo","R","Rural","S","Suburbano","U","Urbano",""))</f>
        <v>Suburbano</v>
      </c>
      <c r="T216" t="str">
        <f t="shared" si="13"/>
        <v>M</v>
      </c>
      <c r="U216" t="str">
        <f t="shared" si="14"/>
        <v>CA</v>
      </c>
      <c r="V216" t="str">
        <f t="shared" si="15"/>
        <v>10985</v>
      </c>
    </row>
    <row r="217" spans="1:22" x14ac:dyDescent="0.35">
      <c r="A217" s="3">
        <v>149595</v>
      </c>
      <c r="B217" t="s">
        <v>22</v>
      </c>
      <c r="C217" t="s">
        <v>14</v>
      </c>
      <c r="D217">
        <v>2545</v>
      </c>
      <c r="E217">
        <v>361</v>
      </c>
      <c r="F217">
        <v>358</v>
      </c>
      <c r="G217">
        <v>80</v>
      </c>
      <c r="H217">
        <v>14300</v>
      </c>
      <c r="I217">
        <v>38</v>
      </c>
      <c r="J217">
        <v>37</v>
      </c>
      <c r="K217">
        <v>304</v>
      </c>
      <c r="L217">
        <v>386</v>
      </c>
      <c r="M217">
        <v>12.5</v>
      </c>
      <c r="N217">
        <f>IFERROR(VLOOKUP(A217,vlookup_table!$A:$G,2,FALSE),"")</f>
        <v>1</v>
      </c>
      <c r="O217">
        <f>IFERROR(VLOOKUP(A217,vlookup_table!$A:$G,4,FALSE),"")</f>
        <v>6008</v>
      </c>
      <c r="P217" t="str">
        <f>IFERROR(VLOOKUP(A217,vlookup_table!$A:$G,5,FALSE),"")</f>
        <v>S2</v>
      </c>
      <c r="Q217">
        <f>IFERROR(VLOOKUP(A217,vlookup_table!$A:$G,7,FALSE),"")</f>
        <v>17</v>
      </c>
      <c r="R217">
        <f t="shared" si="12"/>
        <v>37</v>
      </c>
      <c r="S217" t="str" cm="1">
        <f t="array" ref="S217">IF(P217="","",_xlfn.SWITCH(LEFT(P217,1),"C","Ciudad","T","Pueblo","R","Rural","S","Suburbano","U","Urbano",""))</f>
        <v>Suburbano</v>
      </c>
      <c r="T217" t="str">
        <f t="shared" si="13"/>
        <v>M</v>
      </c>
      <c r="U217" t="str">
        <f t="shared" si="14"/>
        <v>CA</v>
      </c>
      <c r="V217" t="str">
        <f t="shared" si="15"/>
        <v>14300</v>
      </c>
    </row>
    <row r="218" spans="1:22" x14ac:dyDescent="0.35">
      <c r="A218" s="3">
        <v>166606</v>
      </c>
      <c r="B218" t="s">
        <v>22</v>
      </c>
      <c r="C218" t="s">
        <v>17</v>
      </c>
      <c r="D218">
        <v>1778</v>
      </c>
      <c r="E218">
        <v>411</v>
      </c>
      <c r="F218">
        <v>503</v>
      </c>
      <c r="G218">
        <v>27</v>
      </c>
      <c r="H218">
        <v>18236</v>
      </c>
      <c r="I218">
        <v>21</v>
      </c>
      <c r="J218">
        <v>41</v>
      </c>
      <c r="K218">
        <v>480</v>
      </c>
      <c r="L218">
        <v>439</v>
      </c>
      <c r="M218">
        <v>39.444444439999998</v>
      </c>
      <c r="N218">
        <f>IFERROR(VLOOKUP(A218,vlookup_table!$A:$G,2,FALSE),"")</f>
        <v>0</v>
      </c>
      <c r="O218">
        <f>IFERROR(VLOOKUP(A218,vlookup_table!$A:$G,4,FALSE),"")</f>
        <v>3401</v>
      </c>
      <c r="P218" t="str">
        <f>IFERROR(VLOOKUP(A218,vlookup_table!$A:$G,5,FALSE),"")</f>
        <v>U1</v>
      </c>
      <c r="Q218">
        <f>IFERROR(VLOOKUP(A218,vlookup_table!$A:$G,7,FALSE),"")</f>
        <v>50</v>
      </c>
      <c r="R218">
        <f t="shared" si="12"/>
        <v>63</v>
      </c>
      <c r="S218" t="str" cm="1">
        <f t="array" ref="S218">IF(P218="","",_xlfn.SWITCH(LEFT(P218,1),"C","Ciudad","T","Pueblo","R","Rural","S","Suburbano","U","Urbano",""))</f>
        <v>Urbano</v>
      </c>
      <c r="T218" t="str">
        <f t="shared" si="13"/>
        <v>F</v>
      </c>
      <c r="U218" t="str">
        <f t="shared" si="14"/>
        <v>CA</v>
      </c>
      <c r="V218" t="str">
        <f t="shared" si="15"/>
        <v>18236</v>
      </c>
    </row>
    <row r="219" spans="1:22" x14ac:dyDescent="0.35">
      <c r="A219" s="3">
        <v>8240</v>
      </c>
      <c r="B219" t="s">
        <v>22</v>
      </c>
      <c r="D219">
        <v>1187</v>
      </c>
      <c r="E219">
        <v>328</v>
      </c>
      <c r="F219">
        <v>428</v>
      </c>
      <c r="G219">
        <v>11</v>
      </c>
      <c r="H219">
        <v>13978</v>
      </c>
      <c r="I219">
        <v>11</v>
      </c>
      <c r="J219">
        <v>49</v>
      </c>
      <c r="K219">
        <v>366</v>
      </c>
      <c r="L219">
        <v>393</v>
      </c>
      <c r="M219">
        <v>10.81481482</v>
      </c>
      <c r="N219">
        <f>IFERROR(VLOOKUP(A219,vlookup_table!$A:$G,2,FALSE),"")</f>
        <v>1</v>
      </c>
      <c r="O219">
        <f>IFERROR(VLOOKUP(A219,vlookup_table!$A:$G,4,FALSE),"")</f>
        <v>0</v>
      </c>
      <c r="P219">
        <f>IFERROR(VLOOKUP(A219,vlookup_table!$A:$G,5,FALSE),"")</f>
        <v>0</v>
      </c>
      <c r="Q219">
        <f>IFERROR(VLOOKUP(A219,vlookup_table!$A:$G,7,FALSE),"")</f>
        <v>10</v>
      </c>
      <c r="R219">
        <f t="shared" si="12"/>
        <v>97</v>
      </c>
      <c r="S219" t="str" cm="1">
        <f t="array" ref="S219">IF(P219="","",_xlfn.SWITCH(LEFT(P219,1),"C","Ciudad","T","Pueblo","R","Rural","S","Suburbano","U","Urbano",""))</f>
        <v/>
      </c>
      <c r="T219" t="str">
        <f t="shared" si="13"/>
        <v/>
      </c>
      <c r="U219" t="str">
        <f t="shared" si="14"/>
        <v>CA</v>
      </c>
      <c r="V219" t="str">
        <f t="shared" si="15"/>
        <v>13978</v>
      </c>
    </row>
    <row r="220" spans="1:22" x14ac:dyDescent="0.35">
      <c r="A220" s="3">
        <v>185904</v>
      </c>
      <c r="B220" t="s">
        <v>21</v>
      </c>
      <c r="C220" t="s">
        <v>17</v>
      </c>
      <c r="D220">
        <v>1448</v>
      </c>
      <c r="E220">
        <v>651</v>
      </c>
      <c r="F220">
        <v>724</v>
      </c>
      <c r="G220">
        <v>18</v>
      </c>
      <c r="H220">
        <v>24736</v>
      </c>
      <c r="I220">
        <v>3</v>
      </c>
      <c r="J220">
        <v>49</v>
      </c>
      <c r="K220">
        <v>667</v>
      </c>
      <c r="L220">
        <v>698</v>
      </c>
      <c r="M220">
        <v>7.076923077</v>
      </c>
      <c r="N220">
        <f>IFERROR(VLOOKUP(A220,vlookup_table!$A:$G,2,FALSE),"")</f>
        <v>0</v>
      </c>
      <c r="O220">
        <f>IFERROR(VLOOKUP(A220,vlookup_table!$A:$G,4,FALSE),"")</f>
        <v>5801</v>
      </c>
      <c r="P220" t="str">
        <f>IFERROR(VLOOKUP(A220,vlookup_table!$A:$G,5,FALSE),"")</f>
        <v>S1</v>
      </c>
      <c r="Q220">
        <f>IFERROR(VLOOKUP(A220,vlookup_table!$A:$G,7,FALSE),"")</f>
        <v>13</v>
      </c>
      <c r="R220">
        <f t="shared" si="12"/>
        <v>39</v>
      </c>
      <c r="S220" t="str" cm="1">
        <f t="array" ref="S220">IF(P220="","",_xlfn.SWITCH(LEFT(P220,1),"C","Ciudad","T","Pueblo","R","Rural","S","Suburbano","U","Urbano",""))</f>
        <v>Suburbano</v>
      </c>
      <c r="T220" t="str">
        <f t="shared" si="13"/>
        <v>F</v>
      </c>
      <c r="U220" t="str">
        <f t="shared" si="14"/>
        <v>TX</v>
      </c>
      <c r="V220" t="str">
        <f t="shared" si="15"/>
        <v>24736</v>
      </c>
    </row>
    <row r="221" spans="1:22" x14ac:dyDescent="0.35">
      <c r="A221" s="3">
        <v>49351</v>
      </c>
      <c r="B221" t="s">
        <v>43</v>
      </c>
      <c r="C221" t="s">
        <v>27</v>
      </c>
      <c r="D221">
        <v>712</v>
      </c>
      <c r="E221">
        <v>377</v>
      </c>
      <c r="F221">
        <v>472</v>
      </c>
      <c r="G221">
        <v>1</v>
      </c>
      <c r="H221">
        <v>15013</v>
      </c>
      <c r="I221">
        <v>0</v>
      </c>
      <c r="J221">
        <v>73</v>
      </c>
      <c r="K221">
        <v>398</v>
      </c>
      <c r="L221">
        <v>446</v>
      </c>
      <c r="M221">
        <v>14.2</v>
      </c>
      <c r="N221">
        <f>IFERROR(VLOOKUP(A221,vlookup_table!$A:$G,2,FALSE),"")</f>
        <v>1</v>
      </c>
      <c r="O221">
        <f>IFERROR(VLOOKUP(A221,vlookup_table!$A:$G,4,FALSE),"")</f>
        <v>3401</v>
      </c>
      <c r="P221" t="str">
        <f>IFERROR(VLOOKUP(A221,vlookup_table!$A:$G,5,FALSE),"")</f>
        <v>T2</v>
      </c>
      <c r="Q221">
        <f>IFERROR(VLOOKUP(A221,vlookup_table!$A:$G,7,FALSE),"")</f>
        <v>15</v>
      </c>
      <c r="R221">
        <f t="shared" si="12"/>
        <v>63</v>
      </c>
      <c r="S221" t="str" cm="1">
        <f t="array" ref="S221">IF(P221="","",_xlfn.SWITCH(LEFT(P221,1),"C","Ciudad","T","Pueblo","R","Rural","S","Suburbano","U","Urbano",""))</f>
        <v>Pueblo</v>
      </c>
      <c r="T221" t="str">
        <f t="shared" si="13"/>
        <v>M</v>
      </c>
      <c r="U221" t="str">
        <f t="shared" si="14"/>
        <v>AL</v>
      </c>
      <c r="V221" t="str">
        <f t="shared" si="15"/>
        <v>15013</v>
      </c>
    </row>
    <row r="222" spans="1:22" x14ac:dyDescent="0.35">
      <c r="A222" s="3">
        <v>191779</v>
      </c>
      <c r="B222" t="s">
        <v>13</v>
      </c>
      <c r="C222" t="s">
        <v>14</v>
      </c>
      <c r="D222">
        <v>1432</v>
      </c>
      <c r="E222">
        <v>636</v>
      </c>
      <c r="F222">
        <v>772</v>
      </c>
      <c r="G222">
        <v>24</v>
      </c>
      <c r="H222">
        <v>35544</v>
      </c>
      <c r="I222">
        <v>0</v>
      </c>
      <c r="J222">
        <v>44</v>
      </c>
      <c r="K222">
        <v>693</v>
      </c>
      <c r="L222">
        <v>680</v>
      </c>
      <c r="M222">
        <v>25</v>
      </c>
      <c r="N222">
        <f>IFERROR(VLOOKUP(A222,vlookup_table!$A:$G,2,FALSE),"")</f>
        <v>1</v>
      </c>
      <c r="O222">
        <f>IFERROR(VLOOKUP(A222,vlookup_table!$A:$G,4,FALSE),"")</f>
        <v>2701</v>
      </c>
      <c r="P222">
        <f>IFERROR(VLOOKUP(A222,vlookup_table!$A:$G,5,FALSE),"")</f>
        <v>0</v>
      </c>
      <c r="Q222">
        <f>IFERROR(VLOOKUP(A222,vlookup_table!$A:$G,7,FALSE),"")</f>
        <v>150</v>
      </c>
      <c r="R222">
        <f t="shared" si="12"/>
        <v>70</v>
      </c>
      <c r="S222" t="str" cm="1">
        <f t="array" ref="S222">IF(P222="","",_xlfn.SWITCH(LEFT(P222,1),"C","Ciudad","T","Pueblo","R","Rural","S","Suburbano","U","Urbano",""))</f>
        <v/>
      </c>
      <c r="T222" t="str">
        <f t="shared" si="13"/>
        <v>M</v>
      </c>
      <c r="U222" t="str">
        <f t="shared" si="14"/>
        <v>FL</v>
      </c>
      <c r="V222" t="str">
        <f t="shared" si="15"/>
        <v>35544</v>
      </c>
    </row>
    <row r="223" spans="1:22" x14ac:dyDescent="0.35">
      <c r="A223" s="3">
        <v>169881</v>
      </c>
      <c r="B223" t="s">
        <v>22</v>
      </c>
      <c r="C223" t="s">
        <v>17</v>
      </c>
      <c r="D223">
        <v>2598</v>
      </c>
      <c r="E223">
        <v>470</v>
      </c>
      <c r="F223">
        <v>661</v>
      </c>
      <c r="G223">
        <v>74</v>
      </c>
      <c r="H223">
        <v>31631</v>
      </c>
      <c r="I223">
        <v>9</v>
      </c>
      <c r="J223">
        <v>36</v>
      </c>
      <c r="K223">
        <v>557</v>
      </c>
      <c r="L223">
        <v>562</v>
      </c>
      <c r="M223">
        <v>8.2222222219999992</v>
      </c>
      <c r="N223">
        <f>IFERROR(VLOOKUP(A223,vlookup_table!$A:$G,2,FALSE),"")</f>
        <v>0</v>
      </c>
      <c r="O223">
        <f>IFERROR(VLOOKUP(A223,vlookup_table!$A:$G,4,FALSE),"")</f>
        <v>0</v>
      </c>
      <c r="P223" t="str">
        <f>IFERROR(VLOOKUP(A223,vlookup_table!$A:$G,5,FALSE),"")</f>
        <v>C1</v>
      </c>
      <c r="Q223">
        <f>IFERROR(VLOOKUP(A223,vlookup_table!$A:$G,7,FALSE),"")</f>
        <v>15</v>
      </c>
      <c r="R223">
        <f t="shared" si="12"/>
        <v>97</v>
      </c>
      <c r="S223" t="str" cm="1">
        <f t="array" ref="S223">IF(P223="","",_xlfn.SWITCH(LEFT(P223,1),"C","Ciudad","T","Pueblo","R","Rural","S","Suburbano","U","Urbano",""))</f>
        <v>Ciudad</v>
      </c>
      <c r="T223" t="str">
        <f t="shared" si="13"/>
        <v>F</v>
      </c>
      <c r="U223" t="str">
        <f t="shared" si="14"/>
        <v>CA</v>
      </c>
      <c r="V223" t="str">
        <f t="shared" si="15"/>
        <v>31631</v>
      </c>
    </row>
    <row r="224" spans="1:22" x14ac:dyDescent="0.35">
      <c r="A224" s="3">
        <v>144356</v>
      </c>
      <c r="B224" t="s">
        <v>22</v>
      </c>
      <c r="C224" t="s">
        <v>17</v>
      </c>
      <c r="D224">
        <v>2855</v>
      </c>
      <c r="E224">
        <v>311</v>
      </c>
      <c r="F224">
        <v>537</v>
      </c>
      <c r="G224">
        <v>78</v>
      </c>
      <c r="H224">
        <v>18525</v>
      </c>
      <c r="I224">
        <v>28</v>
      </c>
      <c r="J224">
        <v>47</v>
      </c>
      <c r="K224">
        <v>385</v>
      </c>
      <c r="L224">
        <v>484</v>
      </c>
      <c r="M224">
        <v>6.538461539</v>
      </c>
      <c r="N224">
        <f>IFERROR(VLOOKUP(A224,vlookup_table!$A:$G,2,FALSE),"")</f>
        <v>3</v>
      </c>
      <c r="O224">
        <f>IFERROR(VLOOKUP(A224,vlookup_table!$A:$G,4,FALSE),"")</f>
        <v>0</v>
      </c>
      <c r="P224" t="str">
        <f>IFERROR(VLOOKUP(A224,vlookup_table!$A:$G,5,FALSE),"")</f>
        <v>U2</v>
      </c>
      <c r="Q224">
        <f>IFERROR(VLOOKUP(A224,vlookup_table!$A:$G,7,FALSE),"")</f>
        <v>20</v>
      </c>
      <c r="R224">
        <f t="shared" si="12"/>
        <v>97</v>
      </c>
      <c r="S224" t="str" cm="1">
        <f t="array" ref="S224">IF(P224="","",_xlfn.SWITCH(LEFT(P224,1),"C","Ciudad","T","Pueblo","R","Rural","S","Suburbano","U","Urbano",""))</f>
        <v>Urbano</v>
      </c>
      <c r="T224" t="str">
        <f t="shared" si="13"/>
        <v>F</v>
      </c>
      <c r="U224" t="str">
        <f t="shared" si="14"/>
        <v>CA</v>
      </c>
      <c r="V224" t="str">
        <f t="shared" si="15"/>
        <v>18525</v>
      </c>
    </row>
    <row r="225" spans="1:22" x14ac:dyDescent="0.35">
      <c r="A225" s="3">
        <v>186528</v>
      </c>
      <c r="B225" t="s">
        <v>21</v>
      </c>
      <c r="C225" t="s">
        <v>17</v>
      </c>
      <c r="D225">
        <v>535</v>
      </c>
      <c r="E225">
        <v>244</v>
      </c>
      <c r="F225">
        <v>402</v>
      </c>
      <c r="G225">
        <v>3</v>
      </c>
      <c r="H225">
        <v>17053</v>
      </c>
      <c r="I225">
        <v>8</v>
      </c>
      <c r="J225">
        <v>86</v>
      </c>
      <c r="K225">
        <v>437</v>
      </c>
      <c r="L225">
        <v>317</v>
      </c>
      <c r="M225">
        <v>9.8125</v>
      </c>
      <c r="N225">
        <f>IFERROR(VLOOKUP(A225,vlookup_table!$A:$G,2,FALSE),"")</f>
        <v>2</v>
      </c>
      <c r="O225">
        <f>IFERROR(VLOOKUP(A225,vlookup_table!$A:$G,4,FALSE),"")</f>
        <v>2212</v>
      </c>
      <c r="P225" t="str">
        <f>IFERROR(VLOOKUP(A225,vlookup_table!$A:$G,5,FALSE),"")</f>
        <v>C2</v>
      </c>
      <c r="Q225">
        <f>IFERROR(VLOOKUP(A225,vlookup_table!$A:$G,7,FALSE),"")</f>
        <v>15</v>
      </c>
      <c r="R225">
        <f t="shared" si="12"/>
        <v>75</v>
      </c>
      <c r="S225" t="str" cm="1">
        <f t="array" ref="S225">IF(P225="","",_xlfn.SWITCH(LEFT(P225,1),"C","Ciudad","T","Pueblo","R","Rural","S","Suburbano","U","Urbano",""))</f>
        <v>Ciudad</v>
      </c>
      <c r="T225" t="str">
        <f t="shared" si="13"/>
        <v>F</v>
      </c>
      <c r="U225" t="str">
        <f t="shared" si="14"/>
        <v>TX</v>
      </c>
      <c r="V225" t="str">
        <f t="shared" si="15"/>
        <v>17053</v>
      </c>
    </row>
    <row r="226" spans="1:22" x14ac:dyDescent="0.35">
      <c r="A226" s="3">
        <v>14161</v>
      </c>
      <c r="B226" t="s">
        <v>40</v>
      </c>
      <c r="C226" t="s">
        <v>51</v>
      </c>
      <c r="D226">
        <v>703</v>
      </c>
      <c r="E226">
        <v>161</v>
      </c>
      <c r="F226">
        <v>232</v>
      </c>
      <c r="G226">
        <v>0</v>
      </c>
      <c r="H226">
        <v>8860</v>
      </c>
      <c r="I226">
        <v>2</v>
      </c>
      <c r="J226">
        <v>55</v>
      </c>
      <c r="K226">
        <v>206</v>
      </c>
      <c r="L226">
        <v>206</v>
      </c>
      <c r="M226">
        <v>7.8181818180000002</v>
      </c>
      <c r="N226">
        <f>IFERROR(VLOOKUP(A226,vlookup_table!$A:$G,2,FALSE),"")</f>
        <v>0</v>
      </c>
      <c r="O226">
        <f>IFERROR(VLOOKUP(A226,vlookup_table!$A:$G,4,FALSE),"")</f>
        <v>2805</v>
      </c>
      <c r="P226" t="str">
        <f>IFERROR(VLOOKUP(A226,vlookup_table!$A:$G,5,FALSE),"")</f>
        <v>T3</v>
      </c>
      <c r="Q226">
        <f>IFERROR(VLOOKUP(A226,vlookup_table!$A:$G,7,FALSE),"")</f>
        <v>10</v>
      </c>
      <c r="R226">
        <f t="shared" si="12"/>
        <v>69</v>
      </c>
      <c r="S226" t="str" cm="1">
        <f t="array" ref="S226">IF(P226="","",_xlfn.SWITCH(LEFT(P226,1),"C","Ciudad","T","Pueblo","R","Rural","S","Suburbano","U","Urbano",""))</f>
        <v>Pueblo</v>
      </c>
      <c r="T226" t="str">
        <f t="shared" si="13"/>
        <v>M</v>
      </c>
      <c r="U226" t="str">
        <f t="shared" si="14"/>
        <v>WA</v>
      </c>
      <c r="V226" t="str">
        <f t="shared" si="15"/>
        <v>8860</v>
      </c>
    </row>
    <row r="227" spans="1:22" x14ac:dyDescent="0.35">
      <c r="A227" s="3">
        <v>190839</v>
      </c>
      <c r="B227" t="s">
        <v>16</v>
      </c>
      <c r="C227" t="s">
        <v>14</v>
      </c>
      <c r="D227">
        <v>662</v>
      </c>
      <c r="E227">
        <v>352</v>
      </c>
      <c r="F227">
        <v>456</v>
      </c>
      <c r="G227">
        <v>1</v>
      </c>
      <c r="H227">
        <v>13460</v>
      </c>
      <c r="I227">
        <v>17</v>
      </c>
      <c r="J227">
        <v>60</v>
      </c>
      <c r="K227">
        <v>406</v>
      </c>
      <c r="L227">
        <v>394</v>
      </c>
      <c r="M227">
        <v>12.5</v>
      </c>
      <c r="N227">
        <f>IFERROR(VLOOKUP(A227,vlookup_table!$A:$G,2,FALSE),"")</f>
        <v>1</v>
      </c>
      <c r="O227">
        <f>IFERROR(VLOOKUP(A227,vlookup_table!$A:$G,4,FALSE),"")</f>
        <v>5601</v>
      </c>
      <c r="P227" t="str">
        <f>IFERROR(VLOOKUP(A227,vlookup_table!$A:$G,5,FALSE),"")</f>
        <v>U3</v>
      </c>
      <c r="Q227">
        <f>IFERROR(VLOOKUP(A227,vlookup_table!$A:$G,7,FALSE),"")</f>
        <v>15</v>
      </c>
      <c r="R227">
        <f t="shared" si="12"/>
        <v>41</v>
      </c>
      <c r="S227" t="str" cm="1">
        <f t="array" ref="S227">IF(P227="","",_xlfn.SWITCH(LEFT(P227,1),"C","Ciudad","T","Pueblo","R","Rural","S","Suburbano","U","Urbano",""))</f>
        <v>Urbano</v>
      </c>
      <c r="T227" t="str">
        <f t="shared" si="13"/>
        <v>M</v>
      </c>
      <c r="U227" t="str">
        <f t="shared" si="14"/>
        <v>IL</v>
      </c>
      <c r="V227" t="str">
        <f t="shared" si="15"/>
        <v>13460</v>
      </c>
    </row>
    <row r="228" spans="1:22" x14ac:dyDescent="0.35">
      <c r="A228" s="3">
        <v>146269</v>
      </c>
      <c r="B228" t="s">
        <v>22</v>
      </c>
      <c r="C228" t="s">
        <v>17</v>
      </c>
      <c r="D228">
        <v>2973</v>
      </c>
      <c r="E228">
        <v>576</v>
      </c>
      <c r="F228">
        <v>654</v>
      </c>
      <c r="G228">
        <v>85</v>
      </c>
      <c r="H228">
        <v>18497</v>
      </c>
      <c r="I228">
        <v>39</v>
      </c>
      <c r="J228">
        <v>41</v>
      </c>
      <c r="K228">
        <v>591</v>
      </c>
      <c r="L228">
        <v>624</v>
      </c>
      <c r="M228">
        <v>7.25</v>
      </c>
      <c r="N228">
        <f>IFERROR(VLOOKUP(A228,vlookup_table!$A:$G,2,FALSE),"")</f>
        <v>2</v>
      </c>
      <c r="O228">
        <f>IFERROR(VLOOKUP(A228,vlookup_table!$A:$G,4,FALSE),"")</f>
        <v>4601</v>
      </c>
      <c r="P228" t="str">
        <f>IFERROR(VLOOKUP(A228,vlookup_table!$A:$G,5,FALSE),"")</f>
        <v>U1</v>
      </c>
      <c r="Q228">
        <f>IFERROR(VLOOKUP(A228,vlookup_table!$A:$G,7,FALSE),"")</f>
        <v>10</v>
      </c>
      <c r="R228">
        <f t="shared" si="12"/>
        <v>51</v>
      </c>
      <c r="S228" t="str" cm="1">
        <f t="array" ref="S228">IF(P228="","",_xlfn.SWITCH(LEFT(P228,1),"C","Ciudad","T","Pueblo","R","Rural","S","Suburbano","U","Urbano",""))</f>
        <v>Urbano</v>
      </c>
      <c r="T228" t="str">
        <f t="shared" si="13"/>
        <v>F</v>
      </c>
      <c r="U228" t="str">
        <f t="shared" si="14"/>
        <v>CA</v>
      </c>
      <c r="V228" t="str">
        <f t="shared" si="15"/>
        <v>18497</v>
      </c>
    </row>
    <row r="229" spans="1:22" x14ac:dyDescent="0.35">
      <c r="A229" s="3">
        <v>188507</v>
      </c>
      <c r="B229" t="s">
        <v>22</v>
      </c>
      <c r="C229" t="s">
        <v>17</v>
      </c>
      <c r="D229">
        <v>2289</v>
      </c>
      <c r="E229">
        <v>631</v>
      </c>
      <c r="F229">
        <v>679</v>
      </c>
      <c r="G229">
        <v>66</v>
      </c>
      <c r="H229">
        <v>22571</v>
      </c>
      <c r="I229">
        <v>8</v>
      </c>
      <c r="J229">
        <v>61</v>
      </c>
      <c r="K229">
        <v>647</v>
      </c>
      <c r="L229">
        <v>657</v>
      </c>
      <c r="M229">
        <v>9.769230769</v>
      </c>
      <c r="N229">
        <f>IFERROR(VLOOKUP(A229,vlookup_table!$A:$G,2,FALSE),"")</f>
        <v>2</v>
      </c>
      <c r="O229">
        <f>IFERROR(VLOOKUP(A229,vlookup_table!$A:$G,4,FALSE),"")</f>
        <v>2601</v>
      </c>
      <c r="P229" t="str">
        <f>IFERROR(VLOOKUP(A229,vlookup_table!$A:$G,5,FALSE),"")</f>
        <v>T1</v>
      </c>
      <c r="Q229">
        <f>IFERROR(VLOOKUP(A229,vlookup_table!$A:$G,7,FALSE),"")</f>
        <v>10</v>
      </c>
      <c r="R229">
        <f t="shared" si="12"/>
        <v>71</v>
      </c>
      <c r="S229" t="str" cm="1">
        <f t="array" ref="S229">IF(P229="","",_xlfn.SWITCH(LEFT(P229,1),"C","Ciudad","T","Pueblo","R","Rural","S","Suburbano","U","Urbano",""))</f>
        <v>Pueblo</v>
      </c>
      <c r="T229" t="str">
        <f t="shared" si="13"/>
        <v>F</v>
      </c>
      <c r="U229" t="str">
        <f t="shared" si="14"/>
        <v>CA</v>
      </c>
      <c r="V229" t="str">
        <f t="shared" si="15"/>
        <v>22571</v>
      </c>
    </row>
    <row r="230" spans="1:22" x14ac:dyDescent="0.35">
      <c r="A230" s="3">
        <v>116251</v>
      </c>
      <c r="B230" t="s">
        <v>21</v>
      </c>
      <c r="C230" t="s">
        <v>17</v>
      </c>
      <c r="D230">
        <v>1274</v>
      </c>
      <c r="E230">
        <v>789</v>
      </c>
      <c r="F230">
        <v>825</v>
      </c>
      <c r="G230">
        <v>1</v>
      </c>
      <c r="H230">
        <v>26360</v>
      </c>
      <c r="I230">
        <v>4</v>
      </c>
      <c r="J230">
        <v>31</v>
      </c>
      <c r="K230">
        <v>798</v>
      </c>
      <c r="L230">
        <v>804</v>
      </c>
      <c r="M230">
        <v>6.4090909089999997</v>
      </c>
      <c r="N230">
        <f>IFERROR(VLOOKUP(A230,vlookup_table!$A:$G,2,FALSE),"")</f>
        <v>0</v>
      </c>
      <c r="O230">
        <f>IFERROR(VLOOKUP(A230,vlookup_table!$A:$G,4,FALSE),"")</f>
        <v>505</v>
      </c>
      <c r="P230" t="str">
        <f>IFERROR(VLOOKUP(A230,vlookup_table!$A:$G,5,FALSE),"")</f>
        <v>S1</v>
      </c>
      <c r="Q230">
        <f>IFERROR(VLOOKUP(A230,vlookup_table!$A:$G,7,FALSE),"")</f>
        <v>10</v>
      </c>
      <c r="R230">
        <f t="shared" si="12"/>
        <v>92</v>
      </c>
      <c r="S230" t="str" cm="1">
        <f t="array" ref="S230">IF(P230="","",_xlfn.SWITCH(LEFT(P230,1),"C","Ciudad","T","Pueblo","R","Rural","S","Suburbano","U","Urbano",""))</f>
        <v>Suburbano</v>
      </c>
      <c r="T230" t="str">
        <f t="shared" si="13"/>
        <v>F</v>
      </c>
      <c r="U230" t="str">
        <f t="shared" si="14"/>
        <v>TX</v>
      </c>
      <c r="V230" t="str">
        <f t="shared" si="15"/>
        <v>26360</v>
      </c>
    </row>
    <row r="231" spans="1:22" x14ac:dyDescent="0.35">
      <c r="A231" s="3">
        <v>81945</v>
      </c>
      <c r="B231" t="s">
        <v>35</v>
      </c>
      <c r="C231" t="s">
        <v>51</v>
      </c>
      <c r="D231">
        <v>840</v>
      </c>
      <c r="E231">
        <v>458</v>
      </c>
      <c r="F231">
        <v>548</v>
      </c>
      <c r="G231">
        <v>11</v>
      </c>
      <c r="H231">
        <v>20327</v>
      </c>
      <c r="I231">
        <v>1</v>
      </c>
      <c r="J231">
        <v>79</v>
      </c>
      <c r="K231">
        <v>471</v>
      </c>
      <c r="L231">
        <v>513</v>
      </c>
      <c r="M231">
        <v>15</v>
      </c>
      <c r="N231">
        <f>IFERROR(VLOOKUP(A231,vlookup_table!$A:$G,2,FALSE),"")</f>
        <v>1</v>
      </c>
      <c r="O231">
        <f>IFERROR(VLOOKUP(A231,vlookup_table!$A:$G,4,FALSE),"")</f>
        <v>6401</v>
      </c>
      <c r="P231" t="str">
        <f>IFERROR(VLOOKUP(A231,vlookup_table!$A:$G,5,FALSE),"")</f>
        <v>S1</v>
      </c>
      <c r="Q231">
        <f>IFERROR(VLOOKUP(A231,vlookup_table!$A:$G,7,FALSE),"")</f>
        <v>20</v>
      </c>
      <c r="R231">
        <f t="shared" si="12"/>
        <v>33</v>
      </c>
      <c r="S231" t="str" cm="1">
        <f t="array" ref="S231">IF(P231="","",_xlfn.SWITCH(LEFT(P231,1),"C","Ciudad","T","Pueblo","R","Rural","S","Suburbano","U","Urbano",""))</f>
        <v>Suburbano</v>
      </c>
      <c r="T231" t="str">
        <f t="shared" si="13"/>
        <v>M</v>
      </c>
      <c r="U231" t="str">
        <f t="shared" si="14"/>
        <v>WI</v>
      </c>
      <c r="V231" t="str">
        <f t="shared" si="15"/>
        <v>20327</v>
      </c>
    </row>
    <row r="232" spans="1:22" x14ac:dyDescent="0.35">
      <c r="A232" s="3">
        <v>8989</v>
      </c>
      <c r="B232" t="s">
        <v>40</v>
      </c>
      <c r="C232" t="s">
        <v>17</v>
      </c>
      <c r="D232">
        <v>1024</v>
      </c>
      <c r="E232">
        <v>441</v>
      </c>
      <c r="F232">
        <v>472</v>
      </c>
      <c r="G232">
        <v>5</v>
      </c>
      <c r="H232">
        <v>13462</v>
      </c>
      <c r="I232">
        <v>5</v>
      </c>
      <c r="J232">
        <v>46</v>
      </c>
      <c r="K232">
        <v>451</v>
      </c>
      <c r="L232">
        <v>446</v>
      </c>
      <c r="M232">
        <v>10.5</v>
      </c>
      <c r="N232">
        <f>IFERROR(VLOOKUP(A232,vlookup_table!$A:$G,2,FALSE),"")</f>
        <v>2</v>
      </c>
      <c r="O232">
        <f>IFERROR(VLOOKUP(A232,vlookup_table!$A:$G,4,FALSE),"")</f>
        <v>1401</v>
      </c>
      <c r="P232" t="str">
        <f>IFERROR(VLOOKUP(A232,vlookup_table!$A:$G,5,FALSE),"")</f>
        <v>T2</v>
      </c>
      <c r="Q232">
        <f>IFERROR(VLOOKUP(A232,vlookup_table!$A:$G,7,FALSE),"")</f>
        <v>32</v>
      </c>
      <c r="R232">
        <f t="shared" si="12"/>
        <v>83</v>
      </c>
      <c r="S232" t="str" cm="1">
        <f t="array" ref="S232">IF(P232="","",_xlfn.SWITCH(LEFT(P232,1),"C","Ciudad","T","Pueblo","R","Rural","S","Suburbano","U","Urbano",""))</f>
        <v>Pueblo</v>
      </c>
      <c r="T232" t="str">
        <f t="shared" si="13"/>
        <v>F</v>
      </c>
      <c r="U232" t="str">
        <f t="shared" si="14"/>
        <v>WA</v>
      </c>
      <c r="V232" t="str">
        <f t="shared" si="15"/>
        <v>13462</v>
      </c>
    </row>
    <row r="233" spans="1:22" x14ac:dyDescent="0.35">
      <c r="A233" s="3">
        <v>47282</v>
      </c>
      <c r="B233" t="s">
        <v>43</v>
      </c>
      <c r="C233" t="s">
        <v>17</v>
      </c>
      <c r="D233">
        <v>558</v>
      </c>
      <c r="E233">
        <v>336</v>
      </c>
      <c r="F233">
        <v>398</v>
      </c>
      <c r="G233">
        <v>0</v>
      </c>
      <c r="H233">
        <v>13299</v>
      </c>
      <c r="I233">
        <v>2</v>
      </c>
      <c r="J233">
        <v>77</v>
      </c>
      <c r="K233">
        <v>354</v>
      </c>
      <c r="L233">
        <v>382</v>
      </c>
      <c r="M233">
        <v>7.5</v>
      </c>
      <c r="N233">
        <f>IFERROR(VLOOKUP(A233,vlookup_table!$A:$G,2,FALSE),"")</f>
        <v>0</v>
      </c>
      <c r="O233">
        <f>IFERROR(VLOOKUP(A233,vlookup_table!$A:$G,4,FALSE),"")</f>
        <v>5701</v>
      </c>
      <c r="P233" t="str">
        <f>IFERROR(VLOOKUP(A233,vlookup_table!$A:$G,5,FALSE),"")</f>
        <v>S2</v>
      </c>
      <c r="Q233">
        <f>IFERROR(VLOOKUP(A233,vlookup_table!$A:$G,7,FALSE),"")</f>
        <v>15</v>
      </c>
      <c r="R233">
        <f t="shared" si="12"/>
        <v>40</v>
      </c>
      <c r="S233" t="str" cm="1">
        <f t="array" ref="S233">IF(P233="","",_xlfn.SWITCH(LEFT(P233,1),"C","Ciudad","T","Pueblo","R","Rural","S","Suburbano","U","Urbano",""))</f>
        <v>Suburbano</v>
      </c>
      <c r="T233" t="str">
        <f t="shared" si="13"/>
        <v>F</v>
      </c>
      <c r="U233" t="str">
        <f t="shared" si="14"/>
        <v>AL</v>
      </c>
      <c r="V233" t="str">
        <f t="shared" si="15"/>
        <v>13299</v>
      </c>
    </row>
    <row r="234" spans="1:22" x14ac:dyDescent="0.35">
      <c r="A234" s="3">
        <v>2950</v>
      </c>
      <c r="B234" t="s">
        <v>34</v>
      </c>
      <c r="C234" t="s">
        <v>14</v>
      </c>
      <c r="D234">
        <v>717</v>
      </c>
      <c r="E234">
        <v>306</v>
      </c>
      <c r="F234">
        <v>358</v>
      </c>
      <c r="G234">
        <v>1</v>
      </c>
      <c r="H234">
        <v>11279</v>
      </c>
      <c r="I234">
        <v>2</v>
      </c>
      <c r="J234">
        <v>37</v>
      </c>
      <c r="K234">
        <v>315</v>
      </c>
      <c r="L234">
        <v>333</v>
      </c>
      <c r="M234">
        <v>4.8499999999999996</v>
      </c>
      <c r="N234">
        <f>IFERROR(VLOOKUP(A234,vlookup_table!$A:$G,2,FALSE),"")</f>
        <v>0</v>
      </c>
      <c r="O234">
        <f>IFERROR(VLOOKUP(A234,vlookup_table!$A:$G,4,FALSE),"")</f>
        <v>0</v>
      </c>
      <c r="P234" t="str">
        <f>IFERROR(VLOOKUP(A234,vlookup_table!$A:$G,5,FALSE),"")</f>
        <v>R1</v>
      </c>
      <c r="Q234">
        <f>IFERROR(VLOOKUP(A234,vlookup_table!$A:$G,7,FALSE),"")</f>
        <v>2</v>
      </c>
      <c r="R234">
        <f t="shared" si="12"/>
        <v>97</v>
      </c>
      <c r="S234" t="str" cm="1">
        <f t="array" ref="S234">IF(P234="","",_xlfn.SWITCH(LEFT(P234,1),"C","Ciudad","T","Pueblo","R","Rural","S","Suburbano","U","Urbano",""))</f>
        <v>Rural</v>
      </c>
      <c r="T234" t="str">
        <f t="shared" si="13"/>
        <v>M</v>
      </c>
      <c r="U234" t="str">
        <f t="shared" si="14"/>
        <v>MT</v>
      </c>
      <c r="V234" t="str">
        <f t="shared" si="15"/>
        <v>11279</v>
      </c>
    </row>
    <row r="235" spans="1:22" x14ac:dyDescent="0.35">
      <c r="A235" s="3">
        <v>87771</v>
      </c>
      <c r="B235" t="s">
        <v>16</v>
      </c>
      <c r="C235" t="s">
        <v>17</v>
      </c>
      <c r="D235">
        <v>1667</v>
      </c>
      <c r="E235">
        <v>541</v>
      </c>
      <c r="F235">
        <v>624</v>
      </c>
      <c r="G235">
        <v>26</v>
      </c>
      <c r="H235">
        <v>21458</v>
      </c>
      <c r="I235">
        <v>8</v>
      </c>
      <c r="J235">
        <v>65</v>
      </c>
      <c r="K235">
        <v>603</v>
      </c>
      <c r="L235">
        <v>592</v>
      </c>
      <c r="M235">
        <v>13.33333333</v>
      </c>
      <c r="N235">
        <f>IFERROR(VLOOKUP(A235,vlookup_table!$A:$G,2,FALSE),"")</f>
        <v>0</v>
      </c>
      <c r="O235">
        <f>IFERROR(VLOOKUP(A235,vlookup_table!$A:$G,4,FALSE),"")</f>
        <v>6401</v>
      </c>
      <c r="P235" t="str">
        <f>IFERROR(VLOOKUP(A235,vlookup_table!$A:$G,5,FALSE),"")</f>
        <v>U1</v>
      </c>
      <c r="Q235">
        <f>IFERROR(VLOOKUP(A235,vlookup_table!$A:$G,7,FALSE),"")</f>
        <v>20</v>
      </c>
      <c r="R235">
        <f t="shared" si="12"/>
        <v>33</v>
      </c>
      <c r="S235" t="str" cm="1">
        <f t="array" ref="S235">IF(P235="","",_xlfn.SWITCH(LEFT(P235,1),"C","Ciudad","T","Pueblo","R","Rural","S","Suburbano","U","Urbano",""))</f>
        <v>Urbano</v>
      </c>
      <c r="T235" t="str">
        <f t="shared" si="13"/>
        <v>F</v>
      </c>
      <c r="U235" t="str">
        <f t="shared" si="14"/>
        <v>IL</v>
      </c>
      <c r="V235" t="str">
        <f t="shared" si="15"/>
        <v>21458</v>
      </c>
    </row>
    <row r="236" spans="1:22" x14ac:dyDescent="0.35">
      <c r="A236" s="3">
        <v>167934</v>
      </c>
      <c r="B236" t="s">
        <v>40</v>
      </c>
      <c r="C236" t="s">
        <v>17</v>
      </c>
      <c r="D236">
        <v>843</v>
      </c>
      <c r="E236">
        <v>423</v>
      </c>
      <c r="F236">
        <v>486</v>
      </c>
      <c r="G236">
        <v>5</v>
      </c>
      <c r="H236">
        <v>16476</v>
      </c>
      <c r="I236">
        <v>6</v>
      </c>
      <c r="J236">
        <v>32</v>
      </c>
      <c r="K236">
        <v>424</v>
      </c>
      <c r="L236">
        <v>475</v>
      </c>
      <c r="M236">
        <v>10.727272729999999</v>
      </c>
      <c r="N236">
        <f>IFERROR(VLOOKUP(A236,vlookup_table!$A:$G,2,FALSE),"")</f>
        <v>28</v>
      </c>
      <c r="O236">
        <f>IFERROR(VLOOKUP(A236,vlookup_table!$A:$G,4,FALSE),"")</f>
        <v>3201</v>
      </c>
      <c r="P236" t="str">
        <f>IFERROR(VLOOKUP(A236,vlookup_table!$A:$G,5,FALSE),"")</f>
        <v>S2</v>
      </c>
      <c r="Q236">
        <f>IFERROR(VLOOKUP(A236,vlookup_table!$A:$G,7,FALSE),"")</f>
        <v>21</v>
      </c>
      <c r="R236">
        <f t="shared" si="12"/>
        <v>65</v>
      </c>
      <c r="S236" t="str" cm="1">
        <f t="array" ref="S236">IF(P236="","",_xlfn.SWITCH(LEFT(P236,1),"C","Ciudad","T","Pueblo","R","Rural","S","Suburbano","U","Urbano",""))</f>
        <v>Suburbano</v>
      </c>
      <c r="T236" t="str">
        <f t="shared" si="13"/>
        <v>F</v>
      </c>
      <c r="U236" t="str">
        <f t="shared" si="14"/>
        <v>WA</v>
      </c>
      <c r="V236" t="str">
        <f t="shared" si="15"/>
        <v>16476</v>
      </c>
    </row>
    <row r="237" spans="1:22" x14ac:dyDescent="0.35">
      <c r="A237" s="3">
        <v>26045</v>
      </c>
      <c r="B237" t="s">
        <v>39</v>
      </c>
      <c r="C237" t="s">
        <v>17</v>
      </c>
      <c r="D237">
        <v>583</v>
      </c>
      <c r="E237">
        <v>360</v>
      </c>
      <c r="F237">
        <v>434</v>
      </c>
      <c r="G237">
        <v>5</v>
      </c>
      <c r="H237">
        <v>24198</v>
      </c>
      <c r="I237">
        <v>4</v>
      </c>
      <c r="J237">
        <v>22</v>
      </c>
      <c r="K237">
        <v>374</v>
      </c>
      <c r="L237">
        <v>405</v>
      </c>
      <c r="M237">
        <v>9.6666666669999994</v>
      </c>
      <c r="N237">
        <f>IFERROR(VLOOKUP(A237,vlookup_table!$A:$G,2,FALSE),"")</f>
        <v>28</v>
      </c>
      <c r="O237">
        <f>IFERROR(VLOOKUP(A237,vlookup_table!$A:$G,4,FALSE),"")</f>
        <v>4801</v>
      </c>
      <c r="P237" t="str">
        <f>IFERROR(VLOOKUP(A237,vlookup_table!$A:$G,5,FALSE),"")</f>
        <v>C1</v>
      </c>
      <c r="Q237">
        <f>IFERROR(VLOOKUP(A237,vlookup_table!$A:$G,7,FALSE),"")</f>
        <v>14</v>
      </c>
      <c r="R237">
        <f t="shared" si="12"/>
        <v>49</v>
      </c>
      <c r="S237" t="str" cm="1">
        <f t="array" ref="S237">IF(P237="","",_xlfn.SWITCH(LEFT(P237,1),"C","Ciudad","T","Pueblo","R","Rural","S","Suburbano","U","Urbano",""))</f>
        <v>Ciudad</v>
      </c>
      <c r="T237" t="str">
        <f t="shared" si="13"/>
        <v>F</v>
      </c>
      <c r="U237" t="str">
        <f t="shared" si="14"/>
        <v>GA</v>
      </c>
      <c r="V237" t="str">
        <f t="shared" si="15"/>
        <v>24198</v>
      </c>
    </row>
    <row r="238" spans="1:22" x14ac:dyDescent="0.35">
      <c r="A238" s="3">
        <v>661</v>
      </c>
      <c r="B238" t="s">
        <v>22</v>
      </c>
      <c r="C238" t="s">
        <v>14</v>
      </c>
      <c r="D238">
        <v>1801</v>
      </c>
      <c r="E238">
        <v>495</v>
      </c>
      <c r="F238">
        <v>525</v>
      </c>
      <c r="G238">
        <v>34</v>
      </c>
      <c r="H238">
        <v>18663</v>
      </c>
      <c r="I238">
        <v>3</v>
      </c>
      <c r="J238">
        <v>48</v>
      </c>
      <c r="K238">
        <v>534</v>
      </c>
      <c r="L238">
        <v>475</v>
      </c>
      <c r="M238">
        <v>19.470588240000001</v>
      </c>
      <c r="N238">
        <f>IFERROR(VLOOKUP(A238,vlookup_table!$A:$G,2,FALSE),"")</f>
        <v>0</v>
      </c>
      <c r="O238">
        <f>IFERROR(VLOOKUP(A238,vlookup_table!$A:$G,4,FALSE),"")</f>
        <v>6509</v>
      </c>
      <c r="P238" t="str">
        <f>IFERROR(VLOOKUP(A238,vlookup_table!$A:$G,5,FALSE),"")</f>
        <v>U2</v>
      </c>
      <c r="Q238">
        <f>IFERROR(VLOOKUP(A238,vlookup_table!$A:$G,7,FALSE),"")</f>
        <v>20</v>
      </c>
      <c r="R238">
        <f t="shared" si="12"/>
        <v>32</v>
      </c>
      <c r="S238" t="str" cm="1">
        <f t="array" ref="S238">IF(P238="","",_xlfn.SWITCH(LEFT(P238,1),"C","Ciudad","T","Pueblo","R","Rural","S","Suburbano","U","Urbano",""))</f>
        <v>Urbano</v>
      </c>
      <c r="T238" t="str">
        <f t="shared" si="13"/>
        <v>M</v>
      </c>
      <c r="U238" t="str">
        <f t="shared" si="14"/>
        <v>CA</v>
      </c>
      <c r="V238" t="str">
        <f t="shared" si="15"/>
        <v>18663</v>
      </c>
    </row>
    <row r="239" spans="1:22" x14ac:dyDescent="0.35">
      <c r="A239" s="3">
        <v>47569</v>
      </c>
      <c r="B239" t="s">
        <v>43</v>
      </c>
      <c r="C239" t="s">
        <v>17</v>
      </c>
      <c r="D239">
        <v>863</v>
      </c>
      <c r="E239">
        <v>406</v>
      </c>
      <c r="F239">
        <v>562</v>
      </c>
      <c r="G239">
        <v>2</v>
      </c>
      <c r="H239">
        <v>19862</v>
      </c>
      <c r="I239">
        <v>3</v>
      </c>
      <c r="J239">
        <v>58</v>
      </c>
      <c r="K239">
        <v>527</v>
      </c>
      <c r="L239">
        <v>459</v>
      </c>
      <c r="M239">
        <v>9.153846154</v>
      </c>
      <c r="N239">
        <f>IFERROR(VLOOKUP(A239,vlookup_table!$A:$G,2,FALSE),"")</f>
        <v>0</v>
      </c>
      <c r="O239">
        <f>IFERROR(VLOOKUP(A239,vlookup_table!$A:$G,4,FALSE),"")</f>
        <v>0</v>
      </c>
      <c r="P239" t="str">
        <f>IFERROR(VLOOKUP(A239,vlookup_table!$A:$G,5,FALSE),"")</f>
        <v>C2</v>
      </c>
      <c r="Q239">
        <f>IFERROR(VLOOKUP(A239,vlookup_table!$A:$G,7,FALSE),"")</f>
        <v>10</v>
      </c>
      <c r="R239">
        <f t="shared" si="12"/>
        <v>97</v>
      </c>
      <c r="S239" t="str" cm="1">
        <f t="array" ref="S239">IF(P239="","",_xlfn.SWITCH(LEFT(P239,1),"C","Ciudad","T","Pueblo","R","Rural","S","Suburbano","U","Urbano",""))</f>
        <v>Ciudad</v>
      </c>
      <c r="T239" t="str">
        <f t="shared" si="13"/>
        <v>F</v>
      </c>
      <c r="U239" t="str">
        <f t="shared" si="14"/>
        <v>AL</v>
      </c>
      <c r="V239" t="str">
        <f t="shared" si="15"/>
        <v>19862</v>
      </c>
    </row>
    <row r="240" spans="1:22" x14ac:dyDescent="0.35">
      <c r="A240" s="3">
        <v>176743</v>
      </c>
      <c r="B240" t="s">
        <v>50</v>
      </c>
      <c r="C240" t="s">
        <v>14</v>
      </c>
      <c r="D240">
        <v>335</v>
      </c>
      <c r="E240">
        <v>140</v>
      </c>
      <c r="F240">
        <v>170</v>
      </c>
      <c r="G240">
        <v>0</v>
      </c>
      <c r="H240">
        <v>6682</v>
      </c>
      <c r="I240">
        <v>7</v>
      </c>
      <c r="J240">
        <v>36</v>
      </c>
      <c r="K240">
        <v>157</v>
      </c>
      <c r="L240">
        <v>154</v>
      </c>
      <c r="M240">
        <v>4.8571428570000004</v>
      </c>
      <c r="N240">
        <f>IFERROR(VLOOKUP(A240,vlookup_table!$A:$G,2,FALSE),"")</f>
        <v>1</v>
      </c>
      <c r="O240">
        <f>IFERROR(VLOOKUP(A240,vlookup_table!$A:$G,4,FALSE),"")</f>
        <v>201</v>
      </c>
      <c r="P240" t="str">
        <f>IFERROR(VLOOKUP(A240,vlookup_table!$A:$G,5,FALSE),"")</f>
        <v>C3</v>
      </c>
      <c r="Q240">
        <f>IFERROR(VLOOKUP(A240,vlookup_table!$A:$G,7,FALSE),"")</f>
        <v>7</v>
      </c>
      <c r="R240">
        <f t="shared" si="12"/>
        <v>95</v>
      </c>
      <c r="S240" t="str" cm="1">
        <f t="array" ref="S240">IF(P240="","",_xlfn.SWITCH(LEFT(P240,1),"C","Ciudad","T","Pueblo","R","Rural","S","Suburbano","U","Urbano",""))</f>
        <v>Ciudad</v>
      </c>
      <c r="T240" t="str">
        <f t="shared" si="13"/>
        <v>M</v>
      </c>
      <c r="U240" t="str">
        <f t="shared" si="14"/>
        <v>OR</v>
      </c>
      <c r="V240" t="str">
        <f t="shared" si="15"/>
        <v>6682</v>
      </c>
    </row>
    <row r="241" spans="1:22" x14ac:dyDescent="0.35">
      <c r="A241" s="3">
        <v>188164</v>
      </c>
      <c r="B241" t="s">
        <v>21</v>
      </c>
      <c r="D241">
        <v>1362</v>
      </c>
      <c r="E241">
        <v>575</v>
      </c>
      <c r="F241">
        <v>718</v>
      </c>
      <c r="G241">
        <v>8</v>
      </c>
      <c r="H241">
        <v>21447</v>
      </c>
      <c r="I241">
        <v>4</v>
      </c>
      <c r="J241">
        <v>63</v>
      </c>
      <c r="K241">
        <v>645</v>
      </c>
      <c r="L241">
        <v>627</v>
      </c>
      <c r="M241">
        <v>8.5333333329999999</v>
      </c>
      <c r="N241">
        <f>IFERROR(VLOOKUP(A241,vlookup_table!$A:$G,2,FALSE),"")</f>
        <v>0</v>
      </c>
      <c r="O241">
        <f>IFERROR(VLOOKUP(A241,vlookup_table!$A:$G,4,FALSE),"")</f>
        <v>0</v>
      </c>
      <c r="P241" t="str">
        <f>IFERROR(VLOOKUP(A241,vlookup_table!$A:$G,5,FALSE),"")</f>
        <v>S1</v>
      </c>
      <c r="Q241">
        <f>IFERROR(VLOOKUP(A241,vlookup_table!$A:$G,7,FALSE),"")</f>
        <v>10</v>
      </c>
      <c r="R241">
        <f t="shared" si="12"/>
        <v>97</v>
      </c>
      <c r="S241" t="str" cm="1">
        <f t="array" ref="S241">IF(P241="","",_xlfn.SWITCH(LEFT(P241,1),"C","Ciudad","T","Pueblo","R","Rural","S","Suburbano","U","Urbano",""))</f>
        <v>Suburbano</v>
      </c>
      <c r="T241" t="str">
        <f t="shared" si="13"/>
        <v/>
      </c>
      <c r="U241" t="str">
        <f t="shared" si="14"/>
        <v>TX</v>
      </c>
      <c r="V241" t="str">
        <f t="shared" si="15"/>
        <v>21447</v>
      </c>
    </row>
    <row r="242" spans="1:22" x14ac:dyDescent="0.35">
      <c r="A242" s="3">
        <v>134364</v>
      </c>
      <c r="B242" t="s">
        <v>38</v>
      </c>
      <c r="C242" t="s">
        <v>17</v>
      </c>
      <c r="D242">
        <v>700</v>
      </c>
      <c r="E242">
        <v>252</v>
      </c>
      <c r="F242">
        <v>302</v>
      </c>
      <c r="G242">
        <v>0</v>
      </c>
      <c r="H242">
        <v>12806</v>
      </c>
      <c r="I242">
        <v>6</v>
      </c>
      <c r="J242">
        <v>63</v>
      </c>
      <c r="K242">
        <v>257</v>
      </c>
      <c r="L242">
        <v>281</v>
      </c>
      <c r="M242">
        <v>20</v>
      </c>
      <c r="N242">
        <f>IFERROR(VLOOKUP(A242,vlookup_table!$A:$G,2,FALSE),"")</f>
        <v>0</v>
      </c>
      <c r="O242">
        <f>IFERROR(VLOOKUP(A242,vlookup_table!$A:$G,4,FALSE),"")</f>
        <v>0</v>
      </c>
      <c r="P242" t="str">
        <f>IFERROR(VLOOKUP(A242,vlookup_table!$A:$G,5,FALSE),"")</f>
        <v>U2</v>
      </c>
      <c r="Q242">
        <f>IFERROR(VLOOKUP(A242,vlookup_table!$A:$G,7,FALSE),"")</f>
        <v>20</v>
      </c>
      <c r="R242">
        <f t="shared" si="12"/>
        <v>97</v>
      </c>
      <c r="S242" t="str" cm="1">
        <f t="array" ref="S242">IF(P242="","",_xlfn.SWITCH(LEFT(P242,1),"C","Ciudad","T","Pueblo","R","Rural","S","Suburbano","U","Urbano",""))</f>
        <v>Urbano</v>
      </c>
      <c r="T242" t="str">
        <f t="shared" si="13"/>
        <v>F</v>
      </c>
      <c r="U242" t="str">
        <f t="shared" si="14"/>
        <v>UT</v>
      </c>
      <c r="V242" t="str">
        <f t="shared" si="15"/>
        <v>12806</v>
      </c>
    </row>
    <row r="243" spans="1:22" x14ac:dyDescent="0.35">
      <c r="A243" s="3">
        <v>93742</v>
      </c>
      <c r="B243" t="s">
        <v>16</v>
      </c>
      <c r="C243" t="s">
        <v>17</v>
      </c>
      <c r="D243">
        <v>562</v>
      </c>
      <c r="E243">
        <v>360</v>
      </c>
      <c r="F243">
        <v>474</v>
      </c>
      <c r="G243">
        <v>0</v>
      </c>
      <c r="H243">
        <v>12391</v>
      </c>
      <c r="I243">
        <v>24</v>
      </c>
      <c r="J243">
        <v>69</v>
      </c>
      <c r="K243">
        <v>480</v>
      </c>
      <c r="L243">
        <v>388</v>
      </c>
      <c r="M243">
        <v>20</v>
      </c>
      <c r="N243">
        <f>IFERROR(VLOOKUP(A243,vlookup_table!$A:$G,2,FALSE),"")</f>
        <v>2</v>
      </c>
      <c r="O243">
        <f>IFERROR(VLOOKUP(A243,vlookup_table!$A:$G,4,FALSE),"")</f>
        <v>3504</v>
      </c>
      <c r="P243" t="str">
        <f>IFERROR(VLOOKUP(A243,vlookup_table!$A:$G,5,FALSE),"")</f>
        <v>U3</v>
      </c>
      <c r="Q243">
        <f>IFERROR(VLOOKUP(A243,vlookup_table!$A:$G,7,FALSE),"")</f>
        <v>30</v>
      </c>
      <c r="R243">
        <f t="shared" si="12"/>
        <v>62</v>
      </c>
      <c r="S243" t="str" cm="1">
        <f t="array" ref="S243">IF(P243="","",_xlfn.SWITCH(LEFT(P243,1),"C","Ciudad","T","Pueblo","R","Rural","S","Suburbano","U","Urbano",""))</f>
        <v>Urbano</v>
      </c>
      <c r="T243" t="str">
        <f t="shared" si="13"/>
        <v>F</v>
      </c>
      <c r="U243" t="str">
        <f t="shared" si="14"/>
        <v>IL</v>
      </c>
      <c r="V243" t="str">
        <f t="shared" si="15"/>
        <v>12391</v>
      </c>
    </row>
    <row r="244" spans="1:22" x14ac:dyDescent="0.35">
      <c r="A244" s="3">
        <v>39479</v>
      </c>
      <c r="B244" t="s">
        <v>13</v>
      </c>
      <c r="C244" t="s">
        <v>14</v>
      </c>
      <c r="D244">
        <v>1287</v>
      </c>
      <c r="E244">
        <v>479</v>
      </c>
      <c r="F244">
        <v>616</v>
      </c>
      <c r="G244">
        <v>7</v>
      </c>
      <c r="H244">
        <v>20795</v>
      </c>
      <c r="I244">
        <v>15</v>
      </c>
      <c r="J244">
        <v>35</v>
      </c>
      <c r="K244">
        <v>508</v>
      </c>
      <c r="L244">
        <v>567</v>
      </c>
      <c r="M244">
        <v>4.105769231</v>
      </c>
      <c r="N244">
        <f>IFERROR(VLOOKUP(A244,vlookup_table!$A:$G,2,FALSE),"")</f>
        <v>2</v>
      </c>
      <c r="O244">
        <f>IFERROR(VLOOKUP(A244,vlookup_table!$A:$G,4,FALSE),"")</f>
        <v>3306</v>
      </c>
      <c r="P244" t="str">
        <f>IFERROR(VLOOKUP(A244,vlookup_table!$A:$G,5,FALSE),"")</f>
        <v>C2</v>
      </c>
      <c r="Q244">
        <f>IFERROR(VLOOKUP(A244,vlookup_table!$A:$G,7,FALSE),"")</f>
        <v>4</v>
      </c>
      <c r="R244">
        <f t="shared" si="12"/>
        <v>64</v>
      </c>
      <c r="S244" t="str" cm="1">
        <f t="array" ref="S244">IF(P244="","",_xlfn.SWITCH(LEFT(P244,1),"C","Ciudad","T","Pueblo","R","Rural","S","Suburbano","U","Urbano",""))</f>
        <v>Ciudad</v>
      </c>
      <c r="T244" t="str">
        <f t="shared" si="13"/>
        <v>M</v>
      </c>
      <c r="U244" t="str">
        <f t="shared" si="14"/>
        <v>FL</v>
      </c>
      <c r="V244" t="str">
        <f t="shared" si="15"/>
        <v>20795</v>
      </c>
    </row>
    <row r="245" spans="1:22" x14ac:dyDescent="0.35">
      <c r="A245" s="3">
        <v>54142</v>
      </c>
      <c r="B245" t="s">
        <v>53</v>
      </c>
      <c r="C245" t="s">
        <v>17</v>
      </c>
      <c r="D245">
        <v>476</v>
      </c>
      <c r="E245">
        <v>210</v>
      </c>
      <c r="F245">
        <v>310</v>
      </c>
      <c r="G245">
        <v>0</v>
      </c>
      <c r="H245">
        <v>10171</v>
      </c>
      <c r="I245">
        <v>0</v>
      </c>
      <c r="J245">
        <v>55</v>
      </c>
      <c r="K245">
        <v>254</v>
      </c>
      <c r="L245">
        <v>272</v>
      </c>
      <c r="M245">
        <v>13</v>
      </c>
      <c r="N245">
        <f>IFERROR(VLOOKUP(A245,vlookup_table!$A:$G,2,FALSE),"")</f>
        <v>2</v>
      </c>
      <c r="O245">
        <f>IFERROR(VLOOKUP(A245,vlookup_table!$A:$G,4,FALSE),"")</f>
        <v>4601</v>
      </c>
      <c r="P245" t="str">
        <f>IFERROR(VLOOKUP(A245,vlookup_table!$A:$G,5,FALSE),"")</f>
        <v>R2</v>
      </c>
      <c r="Q245">
        <f>IFERROR(VLOOKUP(A245,vlookup_table!$A:$G,7,FALSE),"")</f>
        <v>21</v>
      </c>
      <c r="R245">
        <f t="shared" si="12"/>
        <v>51</v>
      </c>
      <c r="S245" t="str" cm="1">
        <f t="array" ref="S245">IF(P245="","",_xlfn.SWITCH(LEFT(P245,1),"C","Ciudad","T","Pueblo","R","Rural","S","Suburbano","U","Urbano",""))</f>
        <v>Rural</v>
      </c>
      <c r="T245" t="str">
        <f t="shared" si="13"/>
        <v>F</v>
      </c>
      <c r="U245" t="str">
        <f t="shared" si="14"/>
        <v>TN</v>
      </c>
      <c r="V245" t="str">
        <f t="shared" si="15"/>
        <v>10171</v>
      </c>
    </row>
    <row r="246" spans="1:22" x14ac:dyDescent="0.35">
      <c r="A246" s="3">
        <v>168038</v>
      </c>
      <c r="B246" t="s">
        <v>22</v>
      </c>
      <c r="C246" t="s">
        <v>14</v>
      </c>
      <c r="D246">
        <v>5939</v>
      </c>
      <c r="E246">
        <v>1214</v>
      </c>
      <c r="F246">
        <v>1085</v>
      </c>
      <c r="G246">
        <v>99</v>
      </c>
      <c r="H246">
        <v>64833</v>
      </c>
      <c r="I246">
        <v>19</v>
      </c>
      <c r="J246">
        <v>42</v>
      </c>
      <c r="K246">
        <v>1211</v>
      </c>
      <c r="L246">
        <v>1080</v>
      </c>
      <c r="M246">
        <v>20</v>
      </c>
      <c r="N246">
        <f>IFERROR(VLOOKUP(A246,vlookup_table!$A:$G,2,FALSE),"")</f>
        <v>0</v>
      </c>
      <c r="O246">
        <f>IFERROR(VLOOKUP(A246,vlookup_table!$A:$G,4,FALSE),"")</f>
        <v>4703</v>
      </c>
      <c r="P246" t="str">
        <f>IFERROR(VLOOKUP(A246,vlookup_table!$A:$G,5,FALSE),"")</f>
        <v>S1</v>
      </c>
      <c r="Q246">
        <f>IFERROR(VLOOKUP(A246,vlookup_table!$A:$G,7,FALSE),"")</f>
        <v>36</v>
      </c>
      <c r="R246">
        <f t="shared" si="12"/>
        <v>50</v>
      </c>
      <c r="S246" t="str" cm="1">
        <f t="array" ref="S246">IF(P246="","",_xlfn.SWITCH(LEFT(P246,1),"C","Ciudad","T","Pueblo","R","Rural","S","Suburbano","U","Urbano",""))</f>
        <v>Suburbano</v>
      </c>
      <c r="T246" t="str">
        <f t="shared" si="13"/>
        <v>M</v>
      </c>
      <c r="U246" t="str">
        <f t="shared" si="14"/>
        <v>CA</v>
      </c>
      <c r="V246" t="str">
        <f t="shared" si="15"/>
        <v>64833</v>
      </c>
    </row>
    <row r="247" spans="1:22" x14ac:dyDescent="0.35">
      <c r="A247" s="3">
        <v>48675</v>
      </c>
      <c r="B247" t="s">
        <v>43</v>
      </c>
      <c r="C247" t="s">
        <v>17</v>
      </c>
      <c r="D247">
        <v>648</v>
      </c>
      <c r="E247">
        <v>353</v>
      </c>
      <c r="F247">
        <v>453</v>
      </c>
      <c r="G247">
        <v>0</v>
      </c>
      <c r="H247">
        <v>16873</v>
      </c>
      <c r="I247">
        <v>0</v>
      </c>
      <c r="J247">
        <v>77</v>
      </c>
      <c r="K247">
        <v>418</v>
      </c>
      <c r="L247">
        <v>357</v>
      </c>
      <c r="M247">
        <v>7</v>
      </c>
      <c r="N247">
        <f>IFERROR(VLOOKUP(A247,vlookup_table!$A:$G,2,FALSE),"")</f>
        <v>0</v>
      </c>
      <c r="O247">
        <f>IFERROR(VLOOKUP(A247,vlookup_table!$A:$G,4,FALSE),"")</f>
        <v>2601</v>
      </c>
      <c r="P247" t="str">
        <f>IFERROR(VLOOKUP(A247,vlookup_table!$A:$G,5,FALSE),"")</f>
        <v>C1</v>
      </c>
      <c r="Q247">
        <f>IFERROR(VLOOKUP(A247,vlookup_table!$A:$G,7,FALSE),"")</f>
        <v>5</v>
      </c>
      <c r="R247">
        <f t="shared" si="12"/>
        <v>71</v>
      </c>
      <c r="S247" t="str" cm="1">
        <f t="array" ref="S247">IF(P247="","",_xlfn.SWITCH(LEFT(P247,1),"C","Ciudad","T","Pueblo","R","Rural","S","Suburbano","U","Urbano",""))</f>
        <v>Ciudad</v>
      </c>
      <c r="T247" t="str">
        <f t="shared" si="13"/>
        <v>F</v>
      </c>
      <c r="U247" t="str">
        <f t="shared" si="14"/>
        <v>AL</v>
      </c>
      <c r="V247" t="str">
        <f t="shared" si="15"/>
        <v>16873</v>
      </c>
    </row>
    <row r="248" spans="1:22" x14ac:dyDescent="0.35">
      <c r="A248" s="3">
        <v>158980</v>
      </c>
      <c r="B248" t="s">
        <v>22</v>
      </c>
      <c r="C248" t="s">
        <v>14</v>
      </c>
      <c r="D248">
        <v>1862</v>
      </c>
      <c r="E248">
        <v>365</v>
      </c>
      <c r="F248">
        <v>425</v>
      </c>
      <c r="G248">
        <v>23</v>
      </c>
      <c r="H248">
        <v>10521</v>
      </c>
      <c r="I248">
        <v>25</v>
      </c>
      <c r="J248">
        <v>45</v>
      </c>
      <c r="K248">
        <v>372</v>
      </c>
      <c r="L248">
        <v>401</v>
      </c>
      <c r="M248">
        <v>17.85714286</v>
      </c>
      <c r="N248">
        <f>IFERROR(VLOOKUP(A248,vlookup_table!$A:$G,2,FALSE),"")</f>
        <v>0</v>
      </c>
      <c r="O248">
        <f>IFERROR(VLOOKUP(A248,vlookup_table!$A:$G,4,FALSE),"")</f>
        <v>6201</v>
      </c>
      <c r="P248" t="str">
        <f>IFERROR(VLOOKUP(A248,vlookup_table!$A:$G,5,FALSE),"")</f>
        <v>S2</v>
      </c>
      <c r="Q248">
        <f>IFERROR(VLOOKUP(A248,vlookup_table!$A:$G,7,FALSE),"")</f>
        <v>20</v>
      </c>
      <c r="R248">
        <f t="shared" si="12"/>
        <v>35</v>
      </c>
      <c r="S248" t="str" cm="1">
        <f t="array" ref="S248">IF(P248="","",_xlfn.SWITCH(LEFT(P248,1),"C","Ciudad","T","Pueblo","R","Rural","S","Suburbano","U","Urbano",""))</f>
        <v>Suburbano</v>
      </c>
      <c r="T248" t="str">
        <f t="shared" si="13"/>
        <v>M</v>
      </c>
      <c r="U248" t="str">
        <f t="shared" si="14"/>
        <v>CA</v>
      </c>
      <c r="V248" t="str">
        <f t="shared" si="15"/>
        <v>10521</v>
      </c>
    </row>
    <row r="249" spans="1:22" x14ac:dyDescent="0.35">
      <c r="A249" s="3">
        <v>153888</v>
      </c>
      <c r="B249" t="s">
        <v>22</v>
      </c>
      <c r="C249" t="s">
        <v>17</v>
      </c>
      <c r="D249">
        <v>1843</v>
      </c>
      <c r="E249">
        <v>515</v>
      </c>
      <c r="F249">
        <v>582</v>
      </c>
      <c r="G249">
        <v>34</v>
      </c>
      <c r="H249">
        <v>23660</v>
      </c>
      <c r="I249">
        <v>15</v>
      </c>
      <c r="J249">
        <v>29</v>
      </c>
      <c r="K249">
        <v>511</v>
      </c>
      <c r="L249">
        <v>575</v>
      </c>
      <c r="M249">
        <v>19</v>
      </c>
      <c r="N249">
        <f>IFERROR(VLOOKUP(A249,vlookup_table!$A:$G,2,FALSE),"")</f>
        <v>0</v>
      </c>
      <c r="O249">
        <f>IFERROR(VLOOKUP(A249,vlookup_table!$A:$G,4,FALSE),"")</f>
        <v>3801</v>
      </c>
      <c r="P249" t="str">
        <f>IFERROR(VLOOKUP(A249,vlookup_table!$A:$G,5,FALSE),"")</f>
        <v>S1</v>
      </c>
      <c r="Q249">
        <f>IFERROR(VLOOKUP(A249,vlookup_table!$A:$G,7,FALSE),"")</f>
        <v>10</v>
      </c>
      <c r="R249">
        <f t="shared" si="12"/>
        <v>59</v>
      </c>
      <c r="S249" t="str" cm="1">
        <f t="array" ref="S249">IF(P249="","",_xlfn.SWITCH(LEFT(P249,1),"C","Ciudad","T","Pueblo","R","Rural","S","Suburbano","U","Urbano",""))</f>
        <v>Suburbano</v>
      </c>
      <c r="T249" t="str">
        <f t="shared" si="13"/>
        <v>F</v>
      </c>
      <c r="U249" t="str">
        <f t="shared" si="14"/>
        <v>CA</v>
      </c>
      <c r="V249" t="str">
        <f t="shared" si="15"/>
        <v>23660</v>
      </c>
    </row>
    <row r="250" spans="1:22" x14ac:dyDescent="0.35">
      <c r="A250" s="3">
        <v>162300</v>
      </c>
      <c r="B250" t="s">
        <v>22</v>
      </c>
      <c r="C250" t="s">
        <v>14</v>
      </c>
      <c r="D250">
        <v>5190</v>
      </c>
      <c r="E250">
        <v>870</v>
      </c>
      <c r="F250">
        <v>918</v>
      </c>
      <c r="G250">
        <v>98</v>
      </c>
      <c r="H250">
        <v>39481</v>
      </c>
      <c r="I250">
        <v>10</v>
      </c>
      <c r="J250">
        <v>47</v>
      </c>
      <c r="K250">
        <v>892</v>
      </c>
      <c r="L250">
        <v>871</v>
      </c>
      <c r="M250">
        <v>9.8888888890000004</v>
      </c>
      <c r="N250">
        <f>IFERROR(VLOOKUP(A250,vlookup_table!$A:$G,2,FALSE),"")</f>
        <v>1002</v>
      </c>
      <c r="O250">
        <f>IFERROR(VLOOKUP(A250,vlookup_table!$A:$G,4,FALSE),"")</f>
        <v>2001</v>
      </c>
      <c r="P250" t="str">
        <f>IFERROR(VLOOKUP(A250,vlookup_table!$A:$G,5,FALSE),"")</f>
        <v>S1</v>
      </c>
      <c r="Q250">
        <f>IFERROR(VLOOKUP(A250,vlookup_table!$A:$G,7,FALSE),"")</f>
        <v>20</v>
      </c>
      <c r="R250">
        <f t="shared" si="12"/>
        <v>77</v>
      </c>
      <c r="S250" t="str" cm="1">
        <f t="array" ref="S250">IF(P250="","",_xlfn.SWITCH(LEFT(P250,1),"C","Ciudad","T","Pueblo","R","Rural","S","Suburbano","U","Urbano",""))</f>
        <v>Suburbano</v>
      </c>
      <c r="T250" t="str">
        <f t="shared" si="13"/>
        <v>M</v>
      </c>
      <c r="U250" t="str">
        <f t="shared" si="14"/>
        <v>CA</v>
      </c>
      <c r="V250" t="str">
        <f t="shared" si="15"/>
        <v>39481</v>
      </c>
    </row>
    <row r="251" spans="1:22" x14ac:dyDescent="0.35">
      <c r="A251" s="3">
        <v>163081</v>
      </c>
      <c r="B251" t="s">
        <v>22</v>
      </c>
      <c r="C251" t="s">
        <v>14</v>
      </c>
      <c r="D251">
        <v>3912</v>
      </c>
      <c r="E251">
        <v>351</v>
      </c>
      <c r="F251">
        <v>454</v>
      </c>
      <c r="G251">
        <v>98</v>
      </c>
      <c r="H251">
        <v>19508</v>
      </c>
      <c r="I251">
        <v>22</v>
      </c>
      <c r="J251">
        <v>32</v>
      </c>
      <c r="K251">
        <v>410</v>
      </c>
      <c r="L251">
        <v>404</v>
      </c>
      <c r="M251">
        <v>6</v>
      </c>
      <c r="N251">
        <f>IFERROR(VLOOKUP(A251,vlookup_table!$A:$G,2,FALSE),"")</f>
        <v>1</v>
      </c>
      <c r="O251">
        <f>IFERROR(VLOOKUP(A251,vlookup_table!$A:$G,4,FALSE),"")</f>
        <v>0</v>
      </c>
      <c r="P251" t="str">
        <f>IFERROR(VLOOKUP(A251,vlookup_table!$A:$G,5,FALSE),"")</f>
        <v>U1</v>
      </c>
      <c r="Q251">
        <f>IFERROR(VLOOKUP(A251,vlookup_table!$A:$G,7,FALSE),"")</f>
        <v>7</v>
      </c>
      <c r="R251">
        <f t="shared" si="12"/>
        <v>97</v>
      </c>
      <c r="S251" t="str" cm="1">
        <f t="array" ref="S251">IF(P251="","",_xlfn.SWITCH(LEFT(P251,1),"C","Ciudad","T","Pueblo","R","Rural","S","Suburbano","U","Urbano",""))</f>
        <v>Urbano</v>
      </c>
      <c r="T251" t="str">
        <f t="shared" si="13"/>
        <v>M</v>
      </c>
      <c r="U251" t="str">
        <f t="shared" si="14"/>
        <v>CA</v>
      </c>
      <c r="V251" t="str">
        <f t="shared" si="15"/>
        <v>19508</v>
      </c>
    </row>
    <row r="252" spans="1:22" x14ac:dyDescent="0.35">
      <c r="A252" s="3">
        <v>14000</v>
      </c>
      <c r="B252" t="s">
        <v>31</v>
      </c>
      <c r="C252" t="s">
        <v>17</v>
      </c>
      <c r="D252">
        <v>1537</v>
      </c>
      <c r="E252">
        <v>791</v>
      </c>
      <c r="F252">
        <v>949</v>
      </c>
      <c r="G252">
        <v>26</v>
      </c>
      <c r="H252">
        <v>32640</v>
      </c>
      <c r="I252">
        <v>2</v>
      </c>
      <c r="J252">
        <v>54</v>
      </c>
      <c r="K252">
        <v>783</v>
      </c>
      <c r="L252">
        <v>916</v>
      </c>
      <c r="M252">
        <v>11.0625</v>
      </c>
      <c r="N252">
        <f>IFERROR(VLOOKUP(A252,vlookup_table!$A:$G,2,FALSE),"")</f>
        <v>0</v>
      </c>
      <c r="O252">
        <f>IFERROR(VLOOKUP(A252,vlookup_table!$A:$G,4,FALSE),"")</f>
        <v>2101</v>
      </c>
      <c r="P252" t="str">
        <f>IFERROR(VLOOKUP(A252,vlookup_table!$A:$G,5,FALSE),"")</f>
        <v>S1</v>
      </c>
      <c r="Q252">
        <f>IFERROR(VLOOKUP(A252,vlookup_table!$A:$G,7,FALSE),"")</f>
        <v>12</v>
      </c>
      <c r="R252">
        <f t="shared" si="12"/>
        <v>76</v>
      </c>
      <c r="S252" t="str" cm="1">
        <f t="array" ref="S252">IF(P252="","",_xlfn.SWITCH(LEFT(P252,1),"C","Ciudad","T","Pueblo","R","Rural","S","Suburbano","U","Urbano",""))</f>
        <v>Suburbano</v>
      </c>
      <c r="T252" t="str">
        <f t="shared" si="13"/>
        <v>F</v>
      </c>
      <c r="U252" t="str">
        <f t="shared" si="14"/>
        <v>OK</v>
      </c>
      <c r="V252" t="str">
        <f t="shared" si="15"/>
        <v>32640</v>
      </c>
    </row>
    <row r="253" spans="1:22" x14ac:dyDescent="0.35">
      <c r="A253" s="3">
        <v>6599</v>
      </c>
      <c r="B253" t="s">
        <v>40</v>
      </c>
      <c r="C253" t="s">
        <v>17</v>
      </c>
      <c r="D253">
        <v>719</v>
      </c>
      <c r="E253">
        <v>330</v>
      </c>
      <c r="F253">
        <v>416</v>
      </c>
      <c r="G253">
        <v>1</v>
      </c>
      <c r="H253">
        <v>14248</v>
      </c>
      <c r="I253">
        <v>3</v>
      </c>
      <c r="J253">
        <v>57</v>
      </c>
      <c r="K253">
        <v>340</v>
      </c>
      <c r="L253">
        <v>389</v>
      </c>
      <c r="M253">
        <v>10.866666670000001</v>
      </c>
      <c r="N253">
        <f>IFERROR(VLOOKUP(A253,vlookup_table!$A:$G,2,FALSE),"")</f>
        <v>0</v>
      </c>
      <c r="O253">
        <f>IFERROR(VLOOKUP(A253,vlookup_table!$A:$G,4,FALSE),"")</f>
        <v>3601</v>
      </c>
      <c r="P253" t="str">
        <f>IFERROR(VLOOKUP(A253,vlookup_table!$A:$G,5,FALSE),"")</f>
        <v>S2</v>
      </c>
      <c r="Q253">
        <f>IFERROR(VLOOKUP(A253,vlookup_table!$A:$G,7,FALSE),"")</f>
        <v>11</v>
      </c>
      <c r="R253">
        <f t="shared" si="12"/>
        <v>61</v>
      </c>
      <c r="S253" t="str" cm="1">
        <f t="array" ref="S253">IF(P253="","",_xlfn.SWITCH(LEFT(P253,1),"C","Ciudad","T","Pueblo","R","Rural","S","Suburbano","U","Urbano",""))</f>
        <v>Suburbano</v>
      </c>
      <c r="T253" t="str">
        <f t="shared" si="13"/>
        <v>F</v>
      </c>
      <c r="U253" t="str">
        <f t="shared" si="14"/>
        <v>WA</v>
      </c>
      <c r="V253" t="str">
        <f t="shared" si="15"/>
        <v>14248</v>
      </c>
    </row>
    <row r="254" spans="1:22" x14ac:dyDescent="0.35">
      <c r="A254" s="3">
        <v>135454</v>
      </c>
      <c r="B254" t="s">
        <v>55</v>
      </c>
      <c r="C254" t="s">
        <v>14</v>
      </c>
      <c r="D254">
        <v>1074</v>
      </c>
      <c r="E254">
        <v>469</v>
      </c>
      <c r="F254">
        <v>516</v>
      </c>
      <c r="G254">
        <v>11</v>
      </c>
      <c r="H254">
        <v>18042</v>
      </c>
      <c r="I254">
        <v>2</v>
      </c>
      <c r="J254">
        <v>34</v>
      </c>
      <c r="K254">
        <v>472</v>
      </c>
      <c r="L254">
        <v>510</v>
      </c>
      <c r="M254">
        <v>8.8235294119999992</v>
      </c>
      <c r="N254">
        <f>IFERROR(VLOOKUP(A254,vlookup_table!$A:$G,2,FALSE),"")</f>
        <v>0</v>
      </c>
      <c r="O254">
        <f>IFERROR(VLOOKUP(A254,vlookup_table!$A:$G,4,FALSE),"")</f>
        <v>0</v>
      </c>
      <c r="P254" t="str">
        <f>IFERROR(VLOOKUP(A254,vlookup_table!$A:$G,5,FALSE),"")</f>
        <v>T1</v>
      </c>
      <c r="Q254">
        <f>IFERROR(VLOOKUP(A254,vlookup_table!$A:$G,7,FALSE),"")</f>
        <v>15</v>
      </c>
      <c r="R254">
        <f t="shared" si="12"/>
        <v>97</v>
      </c>
      <c r="S254" t="str" cm="1">
        <f t="array" ref="S254">IF(P254="","",_xlfn.SWITCH(LEFT(P254,1),"C","Ciudad","T","Pueblo","R","Rural","S","Suburbano","U","Urbano",""))</f>
        <v>Pueblo</v>
      </c>
      <c r="T254" t="str">
        <f t="shared" si="13"/>
        <v>M</v>
      </c>
      <c r="U254" t="str">
        <f t="shared" si="14"/>
        <v>AZ</v>
      </c>
      <c r="V254" t="str">
        <f t="shared" si="15"/>
        <v>18042</v>
      </c>
    </row>
    <row r="255" spans="1:22" x14ac:dyDescent="0.35">
      <c r="A255" s="3">
        <v>128643</v>
      </c>
      <c r="B255" t="s">
        <v>21</v>
      </c>
      <c r="C255" t="s">
        <v>14</v>
      </c>
      <c r="D255">
        <v>298</v>
      </c>
      <c r="E255">
        <v>268</v>
      </c>
      <c r="F255">
        <v>303</v>
      </c>
      <c r="G255">
        <v>0</v>
      </c>
      <c r="H255">
        <v>9838</v>
      </c>
      <c r="I255">
        <v>3</v>
      </c>
      <c r="J255">
        <v>75</v>
      </c>
      <c r="K255">
        <v>281</v>
      </c>
      <c r="L255">
        <v>267</v>
      </c>
      <c r="M255">
        <v>6.625</v>
      </c>
      <c r="N255">
        <f>IFERROR(VLOOKUP(A255,vlookup_table!$A:$G,2,FALSE),"")</f>
        <v>1</v>
      </c>
      <c r="O255">
        <f>IFERROR(VLOOKUP(A255,vlookup_table!$A:$G,4,FALSE),"")</f>
        <v>2809</v>
      </c>
      <c r="P255" t="str">
        <f>IFERROR(VLOOKUP(A255,vlookup_table!$A:$G,5,FALSE),"")</f>
        <v>C3</v>
      </c>
      <c r="Q255">
        <f>IFERROR(VLOOKUP(A255,vlookup_table!$A:$G,7,FALSE),"")</f>
        <v>4</v>
      </c>
      <c r="R255">
        <f t="shared" si="12"/>
        <v>69</v>
      </c>
      <c r="S255" t="str" cm="1">
        <f t="array" ref="S255">IF(P255="","",_xlfn.SWITCH(LEFT(P255,1),"C","Ciudad","T","Pueblo","R","Rural","S","Suburbano","U","Urbano",""))</f>
        <v>Ciudad</v>
      </c>
      <c r="T255" t="str">
        <f t="shared" si="13"/>
        <v>M</v>
      </c>
      <c r="U255" t="str">
        <f t="shared" si="14"/>
        <v>TX</v>
      </c>
      <c r="V255" t="str">
        <f t="shared" si="15"/>
        <v>9838</v>
      </c>
    </row>
    <row r="256" spans="1:22" x14ac:dyDescent="0.35">
      <c r="A256" s="3">
        <v>116420</v>
      </c>
      <c r="B256" t="s">
        <v>21</v>
      </c>
      <c r="C256" t="s">
        <v>14</v>
      </c>
      <c r="D256">
        <v>1951</v>
      </c>
      <c r="E256">
        <v>807</v>
      </c>
      <c r="F256">
        <v>896</v>
      </c>
      <c r="G256">
        <v>49</v>
      </c>
      <c r="H256">
        <v>31111</v>
      </c>
      <c r="I256">
        <v>6</v>
      </c>
      <c r="J256">
        <v>32</v>
      </c>
      <c r="K256">
        <v>838</v>
      </c>
      <c r="L256">
        <v>870</v>
      </c>
      <c r="M256">
        <v>9.3333333330000006</v>
      </c>
      <c r="N256">
        <f>IFERROR(VLOOKUP(A256,vlookup_table!$A:$G,2,FALSE),"")</f>
        <v>0</v>
      </c>
      <c r="O256">
        <f>IFERROR(VLOOKUP(A256,vlookup_table!$A:$G,4,FALSE),"")</f>
        <v>0</v>
      </c>
      <c r="P256" t="str">
        <f>IFERROR(VLOOKUP(A256,vlookup_table!$A:$G,5,FALSE),"")</f>
        <v>S1</v>
      </c>
      <c r="Q256">
        <f>IFERROR(VLOOKUP(A256,vlookup_table!$A:$G,7,FALSE),"")</f>
        <v>20</v>
      </c>
      <c r="R256">
        <f t="shared" si="12"/>
        <v>97</v>
      </c>
      <c r="S256" t="str" cm="1">
        <f t="array" ref="S256">IF(P256="","",_xlfn.SWITCH(LEFT(P256,1),"C","Ciudad","T","Pueblo","R","Rural","S","Suburbano","U","Urbano",""))</f>
        <v>Suburbano</v>
      </c>
      <c r="T256" t="str">
        <f t="shared" si="13"/>
        <v>M</v>
      </c>
      <c r="U256" t="str">
        <f t="shared" si="14"/>
        <v>TX</v>
      </c>
      <c r="V256" t="str">
        <f t="shared" si="15"/>
        <v>31111</v>
      </c>
    </row>
    <row r="257" spans="1:22" x14ac:dyDescent="0.35">
      <c r="A257" s="3">
        <v>35101</v>
      </c>
      <c r="B257" t="s">
        <v>13</v>
      </c>
      <c r="C257" t="s">
        <v>14</v>
      </c>
      <c r="D257">
        <v>1434</v>
      </c>
      <c r="E257">
        <v>388</v>
      </c>
      <c r="F257">
        <v>577</v>
      </c>
      <c r="G257">
        <v>25</v>
      </c>
      <c r="H257">
        <v>18405</v>
      </c>
      <c r="I257">
        <v>3</v>
      </c>
      <c r="J257">
        <v>37</v>
      </c>
      <c r="K257">
        <v>479</v>
      </c>
      <c r="L257">
        <v>513</v>
      </c>
      <c r="M257">
        <v>18</v>
      </c>
      <c r="N257">
        <f>IFERROR(VLOOKUP(A257,vlookup_table!$A:$G,2,FALSE),"")</f>
        <v>1</v>
      </c>
      <c r="O257">
        <f>IFERROR(VLOOKUP(A257,vlookup_table!$A:$G,4,FALSE),"")</f>
        <v>1911</v>
      </c>
      <c r="P257" t="str">
        <f>IFERROR(VLOOKUP(A257,vlookup_table!$A:$G,5,FALSE),"")</f>
        <v>S1</v>
      </c>
      <c r="Q257">
        <f>IFERROR(VLOOKUP(A257,vlookup_table!$A:$G,7,FALSE),"")</f>
        <v>20</v>
      </c>
      <c r="R257">
        <f t="shared" si="12"/>
        <v>78</v>
      </c>
      <c r="S257" t="str" cm="1">
        <f t="array" ref="S257">IF(P257="","",_xlfn.SWITCH(LEFT(P257,1),"C","Ciudad","T","Pueblo","R","Rural","S","Suburbano","U","Urbano",""))</f>
        <v>Suburbano</v>
      </c>
      <c r="T257" t="str">
        <f t="shared" si="13"/>
        <v>M</v>
      </c>
      <c r="U257" t="str">
        <f t="shared" si="14"/>
        <v>FL</v>
      </c>
      <c r="V257" t="str">
        <f t="shared" si="15"/>
        <v>18405</v>
      </c>
    </row>
    <row r="258" spans="1:22" x14ac:dyDescent="0.35">
      <c r="A258" s="3">
        <v>75474</v>
      </c>
      <c r="B258" t="s">
        <v>47</v>
      </c>
      <c r="C258" t="s">
        <v>14</v>
      </c>
      <c r="D258">
        <v>206</v>
      </c>
      <c r="E258">
        <v>229</v>
      </c>
      <c r="F258">
        <v>288</v>
      </c>
      <c r="G258">
        <v>0</v>
      </c>
      <c r="H258">
        <v>9248</v>
      </c>
      <c r="I258">
        <v>0</v>
      </c>
      <c r="J258">
        <v>86</v>
      </c>
      <c r="K258">
        <v>251</v>
      </c>
      <c r="L258">
        <v>267</v>
      </c>
      <c r="M258">
        <v>11.66666667</v>
      </c>
      <c r="N258">
        <f>IFERROR(VLOOKUP(A258,vlookup_table!$A:$G,2,FALSE),"")</f>
        <v>0</v>
      </c>
      <c r="O258">
        <f>IFERROR(VLOOKUP(A258,vlookup_table!$A:$G,4,FALSE),"")</f>
        <v>0</v>
      </c>
      <c r="P258" t="str">
        <f>IFERROR(VLOOKUP(A258,vlookup_table!$A:$G,5,FALSE),"")</f>
        <v>R3</v>
      </c>
      <c r="Q258">
        <f>IFERROR(VLOOKUP(A258,vlookup_table!$A:$G,7,FALSE),"")</f>
        <v>15</v>
      </c>
      <c r="R258">
        <f t="shared" ref="R258:R321" si="16">IF(O258="","",97-INT(O258/100))</f>
        <v>97</v>
      </c>
      <c r="S258" t="str" cm="1">
        <f t="array" ref="S258">IF(P258="","",_xlfn.SWITCH(LEFT(P258,1),"C","Ciudad","T","Pueblo","R","Rural","S","Suburbano","U","Urbano",""))</f>
        <v>Rural</v>
      </c>
      <c r="T258" t="str">
        <f t="shared" ref="T258:T321" si="17">IF(C258="","",IF(OR(UPPER(C258)="M",UPPER(C258)="MALE"),"M",IF(OR(UPPER(C258)="F",UPPER(C258)="FEMALE",UPPER(C258)="FEAMALE"),"F",C258)))</f>
        <v>M</v>
      </c>
      <c r="U258" t="str">
        <f t="shared" ref="U258:U321" si="18">IF(OR(UPPER(B258)="CALIFORNIA",UPPER(B258)="CALI"),"CA",B258)</f>
        <v>IA</v>
      </c>
      <c r="V258" t="str">
        <f t="shared" ref="V258:V321" si="19">SUBSTITUTE(H258,"@","")</f>
        <v>9248</v>
      </c>
    </row>
    <row r="259" spans="1:22" x14ac:dyDescent="0.35">
      <c r="A259" s="3">
        <v>785</v>
      </c>
      <c r="B259" t="s">
        <v>29</v>
      </c>
      <c r="C259" t="s">
        <v>14</v>
      </c>
      <c r="D259">
        <v>613</v>
      </c>
      <c r="E259">
        <v>146</v>
      </c>
      <c r="F259">
        <v>349</v>
      </c>
      <c r="G259">
        <v>0</v>
      </c>
      <c r="H259">
        <v>13209</v>
      </c>
      <c r="I259">
        <v>39</v>
      </c>
      <c r="J259">
        <v>42</v>
      </c>
      <c r="K259">
        <v>267</v>
      </c>
      <c r="L259">
        <v>209</v>
      </c>
      <c r="M259">
        <v>17.5</v>
      </c>
      <c r="N259">
        <f>IFERROR(VLOOKUP(A259,vlookup_table!$A:$G,2,FALSE),"")</f>
        <v>0</v>
      </c>
      <c r="O259">
        <f>IFERROR(VLOOKUP(A259,vlookup_table!$A:$G,4,FALSE),"")</f>
        <v>4507</v>
      </c>
      <c r="P259" t="str">
        <f>IFERROR(VLOOKUP(A259,vlookup_table!$A:$G,5,FALSE),"")</f>
        <v>C1</v>
      </c>
      <c r="Q259">
        <f>IFERROR(VLOOKUP(A259,vlookup_table!$A:$G,7,FALSE),"")</f>
        <v>18</v>
      </c>
      <c r="R259">
        <f t="shared" si="16"/>
        <v>52</v>
      </c>
      <c r="S259" t="str" cm="1">
        <f t="array" ref="S259">IF(P259="","",_xlfn.SWITCH(LEFT(P259,1),"C","Ciudad","T","Pueblo","R","Rural","S","Suburbano","U","Urbano",""))</f>
        <v>Ciudad</v>
      </c>
      <c r="T259" t="str">
        <f t="shared" si="17"/>
        <v>M</v>
      </c>
      <c r="U259" t="str">
        <f t="shared" si="18"/>
        <v>MI</v>
      </c>
      <c r="V259" t="str">
        <f t="shared" si="19"/>
        <v>13209</v>
      </c>
    </row>
    <row r="260" spans="1:22" x14ac:dyDescent="0.35">
      <c r="A260" s="3">
        <v>27624</v>
      </c>
      <c r="B260" t="s">
        <v>39</v>
      </c>
      <c r="C260" t="s">
        <v>17</v>
      </c>
      <c r="D260">
        <v>991</v>
      </c>
      <c r="E260">
        <v>493</v>
      </c>
      <c r="F260">
        <v>548</v>
      </c>
      <c r="G260">
        <v>3</v>
      </c>
      <c r="H260">
        <v>17344</v>
      </c>
      <c r="I260">
        <v>2</v>
      </c>
      <c r="J260">
        <v>46</v>
      </c>
      <c r="K260">
        <v>506</v>
      </c>
      <c r="L260">
        <v>532</v>
      </c>
      <c r="M260">
        <v>7.769230769</v>
      </c>
      <c r="N260">
        <f>IFERROR(VLOOKUP(A260,vlookup_table!$A:$G,2,FALSE),"")</f>
        <v>2</v>
      </c>
      <c r="O260">
        <f>IFERROR(VLOOKUP(A260,vlookup_table!$A:$G,4,FALSE),"")</f>
        <v>3701</v>
      </c>
      <c r="P260" t="str">
        <f>IFERROR(VLOOKUP(A260,vlookup_table!$A:$G,5,FALSE),"")</f>
        <v>T1</v>
      </c>
      <c r="Q260">
        <f>IFERROR(VLOOKUP(A260,vlookup_table!$A:$G,7,FALSE),"")</f>
        <v>8</v>
      </c>
      <c r="R260">
        <f t="shared" si="16"/>
        <v>60</v>
      </c>
      <c r="S260" t="str" cm="1">
        <f t="array" ref="S260">IF(P260="","",_xlfn.SWITCH(LEFT(P260,1),"C","Ciudad","T","Pueblo","R","Rural","S","Suburbano","U","Urbano",""))</f>
        <v>Pueblo</v>
      </c>
      <c r="T260" t="str">
        <f t="shared" si="17"/>
        <v>F</v>
      </c>
      <c r="U260" t="str">
        <f t="shared" si="18"/>
        <v>GA</v>
      </c>
      <c r="V260" t="str">
        <f t="shared" si="19"/>
        <v>17344</v>
      </c>
    </row>
    <row r="261" spans="1:22" x14ac:dyDescent="0.35">
      <c r="A261" s="3">
        <v>73754</v>
      </c>
      <c r="B261" t="s">
        <v>29</v>
      </c>
      <c r="C261" t="s">
        <v>17</v>
      </c>
      <c r="D261">
        <v>900</v>
      </c>
      <c r="E261">
        <v>343</v>
      </c>
      <c r="F261">
        <v>465</v>
      </c>
      <c r="G261">
        <v>0</v>
      </c>
      <c r="H261">
        <v>16254</v>
      </c>
      <c r="I261">
        <v>3</v>
      </c>
      <c r="J261">
        <v>74</v>
      </c>
      <c r="K261">
        <v>420</v>
      </c>
      <c r="L261">
        <v>386</v>
      </c>
      <c r="M261">
        <v>13.31818182</v>
      </c>
      <c r="N261">
        <f>IFERROR(VLOOKUP(A261,vlookup_table!$A:$G,2,FALSE),"")</f>
        <v>0</v>
      </c>
      <c r="O261">
        <f>IFERROR(VLOOKUP(A261,vlookup_table!$A:$G,4,FALSE),"")</f>
        <v>1801</v>
      </c>
      <c r="P261" t="str">
        <f>IFERROR(VLOOKUP(A261,vlookup_table!$A:$G,5,FALSE),"")</f>
        <v>S1</v>
      </c>
      <c r="Q261">
        <f>IFERROR(VLOOKUP(A261,vlookup_table!$A:$G,7,FALSE),"")</f>
        <v>25</v>
      </c>
      <c r="R261">
        <f t="shared" si="16"/>
        <v>79</v>
      </c>
      <c r="S261" t="str" cm="1">
        <f t="array" ref="S261">IF(P261="","",_xlfn.SWITCH(LEFT(P261,1),"C","Ciudad","T","Pueblo","R","Rural","S","Suburbano","U","Urbano",""))</f>
        <v>Suburbano</v>
      </c>
      <c r="T261" t="str">
        <f t="shared" si="17"/>
        <v>F</v>
      </c>
      <c r="U261" t="str">
        <f t="shared" si="18"/>
        <v>MI</v>
      </c>
      <c r="V261" t="str">
        <f t="shared" si="19"/>
        <v>16254</v>
      </c>
    </row>
    <row r="262" spans="1:22" x14ac:dyDescent="0.35">
      <c r="A262" s="3">
        <v>141189</v>
      </c>
      <c r="B262" t="s">
        <v>24</v>
      </c>
      <c r="C262" t="s">
        <v>17</v>
      </c>
      <c r="D262">
        <v>1163</v>
      </c>
      <c r="E262">
        <v>468</v>
      </c>
      <c r="F262">
        <v>548</v>
      </c>
      <c r="G262">
        <v>7</v>
      </c>
      <c r="H262">
        <v>18824</v>
      </c>
      <c r="I262">
        <v>3</v>
      </c>
      <c r="J262">
        <v>26</v>
      </c>
      <c r="K262">
        <v>493</v>
      </c>
      <c r="L262">
        <v>511</v>
      </c>
      <c r="M262">
        <v>53</v>
      </c>
      <c r="N262">
        <f>IFERROR(VLOOKUP(A262,vlookup_table!$A:$G,2,FALSE),"")</f>
        <v>0</v>
      </c>
      <c r="O262">
        <f>IFERROR(VLOOKUP(A262,vlookup_table!$A:$G,4,FALSE),"")</f>
        <v>0</v>
      </c>
      <c r="P262" t="str">
        <f>IFERROR(VLOOKUP(A262,vlookup_table!$A:$G,5,FALSE),"")</f>
        <v>S2</v>
      </c>
      <c r="Q262">
        <f>IFERROR(VLOOKUP(A262,vlookup_table!$A:$G,7,FALSE),"")</f>
        <v>25</v>
      </c>
      <c r="R262">
        <f t="shared" si="16"/>
        <v>97</v>
      </c>
      <c r="S262" t="str" cm="1">
        <f t="array" ref="S262">IF(P262="","",_xlfn.SWITCH(LEFT(P262,1),"C","Ciudad","T","Pueblo","R","Rural","S","Suburbano","U","Urbano",""))</f>
        <v>Suburbano</v>
      </c>
      <c r="T262" t="str">
        <f t="shared" si="17"/>
        <v>F</v>
      </c>
      <c r="U262" t="str">
        <f t="shared" si="18"/>
        <v>NV</v>
      </c>
      <c r="V262" t="str">
        <f t="shared" si="19"/>
        <v>18824</v>
      </c>
    </row>
    <row r="263" spans="1:22" x14ac:dyDescent="0.35">
      <c r="A263" s="3">
        <v>1544</v>
      </c>
      <c r="B263" t="s">
        <v>37</v>
      </c>
      <c r="C263" t="s">
        <v>17</v>
      </c>
      <c r="D263">
        <v>3260</v>
      </c>
      <c r="E263">
        <v>509</v>
      </c>
      <c r="F263">
        <v>581</v>
      </c>
      <c r="G263">
        <v>87</v>
      </c>
      <c r="H263">
        <v>19165</v>
      </c>
      <c r="I263">
        <v>19</v>
      </c>
      <c r="J263">
        <v>52</v>
      </c>
      <c r="K263">
        <v>542</v>
      </c>
      <c r="L263">
        <v>552</v>
      </c>
      <c r="M263">
        <v>13</v>
      </c>
      <c r="N263">
        <f>IFERROR(VLOOKUP(A263,vlookup_table!$A:$G,2,FALSE),"")</f>
        <v>28</v>
      </c>
      <c r="O263">
        <f>IFERROR(VLOOKUP(A263,vlookup_table!$A:$G,4,FALSE),"")</f>
        <v>5201</v>
      </c>
      <c r="P263" t="str">
        <f>IFERROR(VLOOKUP(A263,vlookup_table!$A:$G,5,FALSE),"")</f>
        <v>S1</v>
      </c>
      <c r="Q263">
        <f>IFERROR(VLOOKUP(A263,vlookup_table!$A:$G,7,FALSE),"")</f>
        <v>10</v>
      </c>
      <c r="R263">
        <f t="shared" si="16"/>
        <v>45</v>
      </c>
      <c r="S263" t="str" cm="1">
        <f t="array" ref="S263">IF(P263="","",_xlfn.SWITCH(LEFT(P263,1),"C","Ciudad","T","Pueblo","R","Rural","S","Suburbano","U","Urbano",""))</f>
        <v>Suburbano</v>
      </c>
      <c r="T263" t="str">
        <f t="shared" si="17"/>
        <v>F</v>
      </c>
      <c r="U263" t="str">
        <f t="shared" si="18"/>
        <v>HI</v>
      </c>
      <c r="V263" t="str">
        <f t="shared" si="19"/>
        <v>19165</v>
      </c>
    </row>
    <row r="264" spans="1:22" x14ac:dyDescent="0.35">
      <c r="A264" s="3">
        <v>124149</v>
      </c>
      <c r="B264" t="s">
        <v>21</v>
      </c>
      <c r="C264" t="s">
        <v>14</v>
      </c>
      <c r="D264">
        <v>430</v>
      </c>
      <c r="E264">
        <v>237</v>
      </c>
      <c r="F264">
        <v>320</v>
      </c>
      <c r="G264">
        <v>0</v>
      </c>
      <c r="H264">
        <v>10269</v>
      </c>
      <c r="I264">
        <v>1</v>
      </c>
      <c r="J264">
        <v>82</v>
      </c>
      <c r="K264">
        <v>283</v>
      </c>
      <c r="L264">
        <v>281</v>
      </c>
      <c r="M264">
        <v>12</v>
      </c>
      <c r="N264">
        <f>IFERROR(VLOOKUP(A264,vlookup_table!$A:$G,2,FALSE),"")</f>
        <v>0</v>
      </c>
      <c r="O264">
        <f>IFERROR(VLOOKUP(A264,vlookup_table!$A:$G,4,FALSE),"")</f>
        <v>1801</v>
      </c>
      <c r="P264" t="str">
        <f>IFERROR(VLOOKUP(A264,vlookup_table!$A:$G,5,FALSE),"")</f>
        <v>T2</v>
      </c>
      <c r="Q264">
        <f>IFERROR(VLOOKUP(A264,vlookup_table!$A:$G,7,FALSE),"")</f>
        <v>14</v>
      </c>
      <c r="R264">
        <f t="shared" si="16"/>
        <v>79</v>
      </c>
      <c r="S264" t="str" cm="1">
        <f t="array" ref="S264">IF(P264="","",_xlfn.SWITCH(LEFT(P264,1),"C","Ciudad","T","Pueblo","R","Rural","S","Suburbano","U","Urbano",""))</f>
        <v>Pueblo</v>
      </c>
      <c r="T264" t="str">
        <f t="shared" si="17"/>
        <v>M</v>
      </c>
      <c r="U264" t="str">
        <f t="shared" si="18"/>
        <v>TX</v>
      </c>
      <c r="V264" t="str">
        <f t="shared" si="19"/>
        <v>10269</v>
      </c>
    </row>
    <row r="265" spans="1:22" x14ac:dyDescent="0.35">
      <c r="A265" s="3">
        <v>85890</v>
      </c>
      <c r="B265" t="s">
        <v>52</v>
      </c>
      <c r="C265" t="s">
        <v>17</v>
      </c>
      <c r="D265">
        <v>167</v>
      </c>
      <c r="E265">
        <v>214</v>
      </c>
      <c r="F265">
        <v>290</v>
      </c>
      <c r="G265">
        <v>0</v>
      </c>
      <c r="H265">
        <v>9452</v>
      </c>
      <c r="I265">
        <v>0</v>
      </c>
      <c r="J265">
        <v>85</v>
      </c>
      <c r="K265">
        <v>273</v>
      </c>
      <c r="L265">
        <v>247</v>
      </c>
      <c r="M265">
        <v>14.41176471</v>
      </c>
      <c r="N265">
        <f>IFERROR(VLOOKUP(A265,vlookup_table!$A:$G,2,FALSE),"")</f>
        <v>2</v>
      </c>
      <c r="O265">
        <f>IFERROR(VLOOKUP(A265,vlookup_table!$A:$G,4,FALSE),"")</f>
        <v>0</v>
      </c>
      <c r="P265" t="str">
        <f>IFERROR(VLOOKUP(A265,vlookup_table!$A:$G,5,FALSE),"")</f>
        <v>R3</v>
      </c>
      <c r="Q265">
        <f>IFERROR(VLOOKUP(A265,vlookup_table!$A:$G,7,FALSE),"")</f>
        <v>20</v>
      </c>
      <c r="R265">
        <f t="shared" si="16"/>
        <v>97</v>
      </c>
      <c r="S265" t="str" cm="1">
        <f t="array" ref="S265">IF(P265="","",_xlfn.SWITCH(LEFT(P265,1),"C","Ciudad","T","Pueblo","R","Rural","S","Suburbano","U","Urbano",""))</f>
        <v>Rural</v>
      </c>
      <c r="T265" t="str">
        <f t="shared" si="17"/>
        <v>F</v>
      </c>
      <c r="U265" t="str">
        <f t="shared" si="18"/>
        <v>SD</v>
      </c>
      <c r="V265" t="str">
        <f t="shared" si="19"/>
        <v>9452</v>
      </c>
    </row>
    <row r="266" spans="1:22" x14ac:dyDescent="0.35">
      <c r="A266" s="3">
        <v>37005</v>
      </c>
      <c r="B266" t="s">
        <v>13</v>
      </c>
      <c r="C266" t="s">
        <v>17</v>
      </c>
      <c r="D266">
        <v>1380</v>
      </c>
      <c r="E266">
        <v>260</v>
      </c>
      <c r="F266">
        <v>371</v>
      </c>
      <c r="G266">
        <v>14</v>
      </c>
      <c r="H266">
        <v>13011</v>
      </c>
      <c r="I266">
        <v>8</v>
      </c>
      <c r="J266">
        <v>26</v>
      </c>
      <c r="K266">
        <v>325</v>
      </c>
      <c r="L266">
        <v>299</v>
      </c>
      <c r="M266">
        <v>7.875</v>
      </c>
      <c r="N266">
        <f>IFERROR(VLOOKUP(A266,vlookup_table!$A:$G,2,FALSE),"")</f>
        <v>0</v>
      </c>
      <c r="O266">
        <f>IFERROR(VLOOKUP(A266,vlookup_table!$A:$G,4,FALSE),"")</f>
        <v>0</v>
      </c>
      <c r="P266" t="str">
        <f>IFERROR(VLOOKUP(A266,vlookup_table!$A:$G,5,FALSE),"")</f>
        <v>T2</v>
      </c>
      <c r="Q266">
        <f>IFERROR(VLOOKUP(A266,vlookup_table!$A:$G,7,FALSE),"")</f>
        <v>11</v>
      </c>
      <c r="R266">
        <f t="shared" si="16"/>
        <v>97</v>
      </c>
      <c r="S266" t="str" cm="1">
        <f t="array" ref="S266">IF(P266="","",_xlfn.SWITCH(LEFT(P266,1),"C","Ciudad","T","Pueblo","R","Rural","S","Suburbano","U","Urbano",""))</f>
        <v>Pueblo</v>
      </c>
      <c r="T266" t="str">
        <f t="shared" si="17"/>
        <v>F</v>
      </c>
      <c r="U266" t="str">
        <f t="shared" si="18"/>
        <v>FL</v>
      </c>
      <c r="V266" t="str">
        <f t="shared" si="19"/>
        <v>13011</v>
      </c>
    </row>
    <row r="267" spans="1:22" x14ac:dyDescent="0.35">
      <c r="A267" s="3">
        <v>166324</v>
      </c>
      <c r="B267" t="s">
        <v>22</v>
      </c>
      <c r="C267" t="s">
        <v>30</v>
      </c>
      <c r="D267">
        <v>3357</v>
      </c>
      <c r="E267">
        <v>284</v>
      </c>
      <c r="F267">
        <v>447</v>
      </c>
      <c r="G267">
        <v>73</v>
      </c>
      <c r="H267">
        <v>24240</v>
      </c>
      <c r="I267">
        <v>15</v>
      </c>
      <c r="J267">
        <v>33</v>
      </c>
      <c r="K267">
        <v>455</v>
      </c>
      <c r="L267">
        <v>343</v>
      </c>
      <c r="M267">
        <v>11.85714286</v>
      </c>
      <c r="N267">
        <f>IFERROR(VLOOKUP(A267,vlookup_table!$A:$G,2,FALSE),"")</f>
        <v>0</v>
      </c>
      <c r="O267">
        <f>IFERROR(VLOOKUP(A267,vlookup_table!$A:$G,4,FALSE),"")</f>
        <v>0</v>
      </c>
      <c r="P267" t="str">
        <f>IFERROR(VLOOKUP(A267,vlookup_table!$A:$G,5,FALSE),"")</f>
        <v>U1</v>
      </c>
      <c r="Q267">
        <f>IFERROR(VLOOKUP(A267,vlookup_table!$A:$G,7,FALSE),"")</f>
        <v>19</v>
      </c>
      <c r="R267">
        <f t="shared" si="16"/>
        <v>97</v>
      </c>
      <c r="S267" t="str" cm="1">
        <f t="array" ref="S267">IF(P267="","",_xlfn.SWITCH(LEFT(P267,1),"C","Ciudad","T","Pueblo","R","Rural","S","Suburbano","U","Urbano",""))</f>
        <v>Urbano</v>
      </c>
      <c r="T267" t="str">
        <f t="shared" si="17"/>
        <v>U</v>
      </c>
      <c r="U267" t="str">
        <f t="shared" si="18"/>
        <v>CA</v>
      </c>
      <c r="V267" t="str">
        <f t="shared" si="19"/>
        <v>24240</v>
      </c>
    </row>
    <row r="268" spans="1:22" x14ac:dyDescent="0.35">
      <c r="A268" s="3">
        <v>13448</v>
      </c>
      <c r="B268" t="s">
        <v>22</v>
      </c>
      <c r="C268" t="s">
        <v>17</v>
      </c>
      <c r="D268">
        <v>1518</v>
      </c>
      <c r="E268">
        <v>150</v>
      </c>
      <c r="F268">
        <v>218</v>
      </c>
      <c r="G268">
        <v>13</v>
      </c>
      <c r="H268">
        <v>5043</v>
      </c>
      <c r="I268">
        <v>64</v>
      </c>
      <c r="J268">
        <v>27</v>
      </c>
      <c r="K268">
        <v>171</v>
      </c>
      <c r="L268">
        <v>208</v>
      </c>
      <c r="M268">
        <v>5.0555555559999998</v>
      </c>
      <c r="N268">
        <f>IFERROR(VLOOKUP(A268,vlookup_table!$A:$G,2,FALSE),"")</f>
        <v>28</v>
      </c>
      <c r="O268">
        <f>IFERROR(VLOOKUP(A268,vlookup_table!$A:$G,4,FALSE),"")</f>
        <v>3001</v>
      </c>
      <c r="P268" t="str">
        <f>IFERROR(VLOOKUP(A268,vlookup_table!$A:$G,5,FALSE),"")</f>
        <v>U4</v>
      </c>
      <c r="Q268">
        <f>IFERROR(VLOOKUP(A268,vlookup_table!$A:$G,7,FALSE),"")</f>
        <v>5</v>
      </c>
      <c r="R268">
        <f t="shared" si="16"/>
        <v>67</v>
      </c>
      <c r="S268" t="str" cm="1">
        <f t="array" ref="S268">IF(P268="","",_xlfn.SWITCH(LEFT(P268,1),"C","Ciudad","T","Pueblo","R","Rural","S","Suburbano","U","Urbano",""))</f>
        <v>Urbano</v>
      </c>
      <c r="T268" t="str">
        <f t="shared" si="17"/>
        <v>F</v>
      </c>
      <c r="U268" t="str">
        <f t="shared" si="18"/>
        <v>CA</v>
      </c>
      <c r="V268" t="str">
        <f t="shared" si="19"/>
        <v>5043</v>
      </c>
    </row>
    <row r="269" spans="1:22" x14ac:dyDescent="0.35">
      <c r="A269" s="3">
        <v>180428</v>
      </c>
      <c r="B269" t="s">
        <v>40</v>
      </c>
      <c r="C269" t="s">
        <v>51</v>
      </c>
      <c r="D269">
        <v>1390</v>
      </c>
      <c r="E269">
        <v>426</v>
      </c>
      <c r="F269">
        <v>470</v>
      </c>
      <c r="G269">
        <v>12</v>
      </c>
      <c r="H269">
        <v>15022</v>
      </c>
      <c r="I269">
        <v>3</v>
      </c>
      <c r="J269">
        <v>63</v>
      </c>
      <c r="K269">
        <v>430</v>
      </c>
      <c r="L269">
        <v>463</v>
      </c>
      <c r="M269">
        <v>18</v>
      </c>
      <c r="N269">
        <f>IFERROR(VLOOKUP(A269,vlookup_table!$A:$G,2,FALSE),"")</f>
        <v>1</v>
      </c>
      <c r="O269">
        <f>IFERROR(VLOOKUP(A269,vlookup_table!$A:$G,4,FALSE),"")</f>
        <v>4811</v>
      </c>
      <c r="P269" t="str">
        <f>IFERROR(VLOOKUP(A269,vlookup_table!$A:$G,5,FALSE),"")</f>
        <v>T2</v>
      </c>
      <c r="Q269">
        <f>IFERROR(VLOOKUP(A269,vlookup_table!$A:$G,7,FALSE),"")</f>
        <v>20</v>
      </c>
      <c r="R269">
        <f t="shared" si="16"/>
        <v>49</v>
      </c>
      <c r="S269" t="str" cm="1">
        <f t="array" ref="S269">IF(P269="","",_xlfn.SWITCH(LEFT(P269,1),"C","Ciudad","T","Pueblo","R","Rural","S","Suburbano","U","Urbano",""))</f>
        <v>Pueblo</v>
      </c>
      <c r="T269" t="str">
        <f t="shared" si="17"/>
        <v>M</v>
      </c>
      <c r="U269" t="str">
        <f t="shared" si="18"/>
        <v>WA</v>
      </c>
      <c r="V269" t="str">
        <f t="shared" si="19"/>
        <v>15022</v>
      </c>
    </row>
    <row r="270" spans="1:22" x14ac:dyDescent="0.35">
      <c r="A270" s="3">
        <v>12517</v>
      </c>
      <c r="B270" t="s">
        <v>36</v>
      </c>
      <c r="C270" t="s">
        <v>14</v>
      </c>
      <c r="D270">
        <v>1224</v>
      </c>
      <c r="E270">
        <v>575</v>
      </c>
      <c r="F270">
        <v>611</v>
      </c>
      <c r="G270">
        <v>7</v>
      </c>
      <c r="H270">
        <v>18029</v>
      </c>
      <c r="I270">
        <v>2</v>
      </c>
      <c r="J270">
        <v>77</v>
      </c>
      <c r="K270">
        <v>577</v>
      </c>
      <c r="L270">
        <v>608</v>
      </c>
      <c r="M270">
        <v>2.8125</v>
      </c>
      <c r="N270">
        <f>IFERROR(VLOOKUP(A270,vlookup_table!$A:$G,2,FALSE),"")</f>
        <v>1</v>
      </c>
      <c r="O270">
        <f>IFERROR(VLOOKUP(A270,vlookup_table!$A:$G,4,FALSE),"")</f>
        <v>3201</v>
      </c>
      <c r="P270" t="str">
        <f>IFERROR(VLOOKUP(A270,vlookup_table!$A:$G,5,FALSE),"")</f>
        <v>S1</v>
      </c>
      <c r="Q270">
        <f>IFERROR(VLOOKUP(A270,vlookup_table!$A:$G,7,FALSE),"")</f>
        <v>1</v>
      </c>
      <c r="R270">
        <f t="shared" si="16"/>
        <v>65</v>
      </c>
      <c r="S270" t="str" cm="1">
        <f t="array" ref="S270">IF(P270="","",_xlfn.SWITCH(LEFT(P270,1),"C","Ciudad","T","Pueblo","R","Rural","S","Suburbano","U","Urbano",""))</f>
        <v>Suburbano</v>
      </c>
      <c r="T270" t="str">
        <f t="shared" si="17"/>
        <v>M</v>
      </c>
      <c r="U270" t="str">
        <f t="shared" si="18"/>
        <v>MO</v>
      </c>
      <c r="V270" t="str">
        <f t="shared" si="19"/>
        <v>18029</v>
      </c>
    </row>
    <row r="271" spans="1:22" x14ac:dyDescent="0.35">
      <c r="A271" s="3">
        <v>99246</v>
      </c>
      <c r="B271" t="s">
        <v>16</v>
      </c>
      <c r="C271" t="s">
        <v>17</v>
      </c>
      <c r="D271">
        <v>182</v>
      </c>
      <c r="E271">
        <v>171</v>
      </c>
      <c r="F271">
        <v>278</v>
      </c>
      <c r="G271">
        <v>0</v>
      </c>
      <c r="H271">
        <v>9240</v>
      </c>
      <c r="I271">
        <v>0</v>
      </c>
      <c r="J271">
        <v>64</v>
      </c>
      <c r="K271">
        <v>217</v>
      </c>
      <c r="L271">
        <v>242</v>
      </c>
      <c r="M271">
        <v>10.266666669999999</v>
      </c>
      <c r="N271">
        <f>IFERROR(VLOOKUP(A271,vlookup_table!$A:$G,2,FALSE),"")</f>
        <v>0</v>
      </c>
      <c r="O271">
        <f>IFERROR(VLOOKUP(A271,vlookup_table!$A:$G,4,FALSE),"")</f>
        <v>2201</v>
      </c>
      <c r="P271" t="str">
        <f>IFERROR(VLOOKUP(A271,vlookup_table!$A:$G,5,FALSE),"")</f>
        <v>R3</v>
      </c>
      <c r="Q271">
        <f>IFERROR(VLOOKUP(A271,vlookup_table!$A:$G,7,FALSE),"")</f>
        <v>20</v>
      </c>
      <c r="R271">
        <f t="shared" si="16"/>
        <v>75</v>
      </c>
      <c r="S271" t="str" cm="1">
        <f t="array" ref="S271">IF(P271="","",_xlfn.SWITCH(LEFT(P271,1),"C","Ciudad","T","Pueblo","R","Rural","S","Suburbano","U","Urbano",""))</f>
        <v>Rural</v>
      </c>
      <c r="T271" t="str">
        <f t="shared" si="17"/>
        <v>F</v>
      </c>
      <c r="U271" t="str">
        <f t="shared" si="18"/>
        <v>IL</v>
      </c>
      <c r="V271" t="str">
        <f t="shared" si="19"/>
        <v>9240</v>
      </c>
    </row>
    <row r="272" spans="1:22" x14ac:dyDescent="0.35">
      <c r="A272" s="3">
        <v>174760</v>
      </c>
      <c r="B272" t="s">
        <v>50</v>
      </c>
      <c r="C272" t="s">
        <v>17</v>
      </c>
      <c r="D272">
        <v>786</v>
      </c>
      <c r="E272">
        <v>419</v>
      </c>
      <c r="F272">
        <v>466</v>
      </c>
      <c r="G272">
        <v>1</v>
      </c>
      <c r="H272">
        <v>15010</v>
      </c>
      <c r="I272">
        <v>1</v>
      </c>
      <c r="J272">
        <v>59</v>
      </c>
      <c r="K272">
        <v>452</v>
      </c>
      <c r="L272">
        <v>444</v>
      </c>
      <c r="M272">
        <v>4.5555555559999998</v>
      </c>
      <c r="N272">
        <f>IFERROR(VLOOKUP(A272,vlookup_table!$A:$G,2,FALSE),"")</f>
        <v>2</v>
      </c>
      <c r="O272">
        <f>IFERROR(VLOOKUP(A272,vlookup_table!$A:$G,4,FALSE),"")</f>
        <v>2501</v>
      </c>
      <c r="P272" t="str">
        <f>IFERROR(VLOOKUP(A272,vlookup_table!$A:$G,5,FALSE),"")</f>
        <v>T2</v>
      </c>
      <c r="Q272">
        <f>IFERROR(VLOOKUP(A272,vlookup_table!$A:$G,7,FALSE),"")</f>
        <v>5</v>
      </c>
      <c r="R272">
        <f t="shared" si="16"/>
        <v>72</v>
      </c>
      <c r="S272" t="str" cm="1">
        <f t="array" ref="S272">IF(P272="","",_xlfn.SWITCH(LEFT(P272,1),"C","Ciudad","T","Pueblo","R","Rural","S","Suburbano","U","Urbano",""))</f>
        <v>Pueblo</v>
      </c>
      <c r="T272" t="str">
        <f t="shared" si="17"/>
        <v>F</v>
      </c>
      <c r="U272" t="str">
        <f t="shared" si="18"/>
        <v>OR</v>
      </c>
      <c r="V272" t="str">
        <f t="shared" si="19"/>
        <v>15010</v>
      </c>
    </row>
    <row r="273" spans="1:22" x14ac:dyDescent="0.35">
      <c r="A273" s="3">
        <v>124379</v>
      </c>
      <c r="B273" t="s">
        <v>21</v>
      </c>
      <c r="C273" t="s">
        <v>14</v>
      </c>
      <c r="D273">
        <v>308</v>
      </c>
      <c r="E273">
        <v>161</v>
      </c>
      <c r="F273">
        <v>219</v>
      </c>
      <c r="G273">
        <v>0</v>
      </c>
      <c r="H273">
        <v>6576</v>
      </c>
      <c r="I273">
        <v>10</v>
      </c>
      <c r="J273">
        <v>72</v>
      </c>
      <c r="K273">
        <v>186</v>
      </c>
      <c r="L273">
        <v>204</v>
      </c>
      <c r="M273">
        <v>4.5</v>
      </c>
      <c r="N273">
        <f>IFERROR(VLOOKUP(A273,vlookup_table!$A:$G,2,FALSE),"")</f>
        <v>1</v>
      </c>
      <c r="O273">
        <f>IFERROR(VLOOKUP(A273,vlookup_table!$A:$G,4,FALSE),"")</f>
        <v>4401</v>
      </c>
      <c r="P273">
        <f>IFERROR(VLOOKUP(A273,vlookup_table!$A:$G,5,FALSE),"")</f>
        <v>0</v>
      </c>
      <c r="Q273">
        <f>IFERROR(VLOOKUP(A273,vlookup_table!$A:$G,7,FALSE),"")</f>
        <v>5</v>
      </c>
      <c r="R273">
        <f t="shared" si="16"/>
        <v>53</v>
      </c>
      <c r="S273" t="str" cm="1">
        <f t="array" ref="S273">IF(P273="","",_xlfn.SWITCH(LEFT(P273,1),"C","Ciudad","T","Pueblo","R","Rural","S","Suburbano","U","Urbano",""))</f>
        <v/>
      </c>
      <c r="T273" t="str">
        <f t="shared" si="17"/>
        <v>M</v>
      </c>
      <c r="U273" t="str">
        <f t="shared" si="18"/>
        <v>TX</v>
      </c>
      <c r="V273" t="str">
        <f t="shared" si="19"/>
        <v>6576</v>
      </c>
    </row>
    <row r="274" spans="1:22" x14ac:dyDescent="0.35">
      <c r="A274" s="3">
        <v>176862</v>
      </c>
      <c r="B274" t="s">
        <v>50</v>
      </c>
      <c r="C274" t="s">
        <v>17</v>
      </c>
      <c r="D274">
        <v>1074</v>
      </c>
      <c r="E274">
        <v>232</v>
      </c>
      <c r="F274">
        <v>309</v>
      </c>
      <c r="G274">
        <v>15</v>
      </c>
      <c r="H274">
        <v>15070</v>
      </c>
      <c r="I274">
        <v>1</v>
      </c>
      <c r="J274">
        <v>18</v>
      </c>
      <c r="K274">
        <v>252</v>
      </c>
      <c r="L274">
        <v>294</v>
      </c>
      <c r="M274">
        <v>10.043478260000001</v>
      </c>
      <c r="N274">
        <f>IFERROR(VLOOKUP(A274,vlookup_table!$A:$G,2,FALSE),"")</f>
        <v>2</v>
      </c>
      <c r="O274">
        <f>IFERROR(VLOOKUP(A274,vlookup_table!$A:$G,4,FALSE),"")</f>
        <v>0</v>
      </c>
      <c r="P274" t="str">
        <f>IFERROR(VLOOKUP(A274,vlookup_table!$A:$G,5,FALSE),"")</f>
        <v>T2</v>
      </c>
      <c r="Q274">
        <f>IFERROR(VLOOKUP(A274,vlookup_table!$A:$G,7,FALSE),"")</f>
        <v>20</v>
      </c>
      <c r="R274">
        <f t="shared" si="16"/>
        <v>97</v>
      </c>
      <c r="S274" t="str" cm="1">
        <f t="array" ref="S274">IF(P274="","",_xlfn.SWITCH(LEFT(P274,1),"C","Ciudad","T","Pueblo","R","Rural","S","Suburbano","U","Urbano",""))</f>
        <v>Pueblo</v>
      </c>
      <c r="T274" t="str">
        <f t="shared" si="17"/>
        <v>F</v>
      </c>
      <c r="U274" t="str">
        <f t="shared" si="18"/>
        <v>OR</v>
      </c>
      <c r="V274" t="str">
        <f t="shared" si="19"/>
        <v>15070</v>
      </c>
    </row>
    <row r="275" spans="1:22" x14ac:dyDescent="0.35">
      <c r="A275" s="3">
        <v>188986</v>
      </c>
      <c r="B275" t="s">
        <v>55</v>
      </c>
      <c r="C275" t="s">
        <v>14</v>
      </c>
      <c r="D275">
        <v>885</v>
      </c>
      <c r="E275">
        <v>367</v>
      </c>
      <c r="F275">
        <v>454</v>
      </c>
      <c r="G275">
        <v>12</v>
      </c>
      <c r="H275">
        <v>21767</v>
      </c>
      <c r="I275">
        <v>8</v>
      </c>
      <c r="J275">
        <v>1</v>
      </c>
      <c r="K275">
        <v>408</v>
      </c>
      <c r="L275">
        <v>417</v>
      </c>
      <c r="M275">
        <v>9.7142857140000007</v>
      </c>
      <c r="N275">
        <f>IFERROR(VLOOKUP(A275,vlookup_table!$A:$G,2,FALSE),"")</f>
        <v>1</v>
      </c>
      <c r="O275">
        <f>IFERROR(VLOOKUP(A275,vlookup_table!$A:$G,4,FALSE),"")</f>
        <v>2101</v>
      </c>
      <c r="P275" t="str">
        <f>IFERROR(VLOOKUP(A275,vlookup_table!$A:$G,5,FALSE),"")</f>
        <v>C2</v>
      </c>
      <c r="Q275">
        <f>IFERROR(VLOOKUP(A275,vlookup_table!$A:$G,7,FALSE),"")</f>
        <v>9</v>
      </c>
      <c r="R275">
        <f t="shared" si="16"/>
        <v>76</v>
      </c>
      <c r="S275" t="str" cm="1">
        <f t="array" ref="S275">IF(P275="","",_xlfn.SWITCH(LEFT(P275,1),"C","Ciudad","T","Pueblo","R","Rural","S","Suburbano","U","Urbano",""))</f>
        <v>Ciudad</v>
      </c>
      <c r="T275" t="str">
        <f t="shared" si="17"/>
        <v>M</v>
      </c>
      <c r="U275" t="str">
        <f t="shared" si="18"/>
        <v>AZ</v>
      </c>
      <c r="V275" t="str">
        <f t="shared" si="19"/>
        <v>21767</v>
      </c>
    </row>
    <row r="276" spans="1:22" x14ac:dyDescent="0.35">
      <c r="A276" s="3">
        <v>148906</v>
      </c>
      <c r="B276" t="s">
        <v>22</v>
      </c>
      <c r="C276" t="s">
        <v>17</v>
      </c>
      <c r="D276">
        <v>2375</v>
      </c>
      <c r="E276">
        <v>371</v>
      </c>
      <c r="F276">
        <v>363</v>
      </c>
      <c r="G276">
        <v>71</v>
      </c>
      <c r="H276">
        <v>15361</v>
      </c>
      <c r="I276">
        <v>21</v>
      </c>
      <c r="J276">
        <v>39</v>
      </c>
      <c r="K276">
        <v>363</v>
      </c>
      <c r="L276">
        <v>411</v>
      </c>
      <c r="M276">
        <v>4.1428571429999996</v>
      </c>
      <c r="N276">
        <f>IFERROR(VLOOKUP(A276,vlookup_table!$A:$G,2,FALSE),"")</f>
        <v>0</v>
      </c>
      <c r="O276">
        <f>IFERROR(VLOOKUP(A276,vlookup_table!$A:$G,4,FALSE),"")</f>
        <v>6201</v>
      </c>
      <c r="P276" t="str">
        <f>IFERROR(VLOOKUP(A276,vlookup_table!$A:$G,5,FALSE),"")</f>
        <v>C2</v>
      </c>
      <c r="Q276">
        <f>IFERROR(VLOOKUP(A276,vlookup_table!$A:$G,7,FALSE),"")</f>
        <v>6</v>
      </c>
      <c r="R276">
        <f t="shared" si="16"/>
        <v>35</v>
      </c>
      <c r="S276" t="str" cm="1">
        <f t="array" ref="S276">IF(P276="","",_xlfn.SWITCH(LEFT(P276,1),"C","Ciudad","T","Pueblo","R","Rural","S","Suburbano","U","Urbano",""))</f>
        <v>Ciudad</v>
      </c>
      <c r="T276" t="str">
        <f t="shared" si="17"/>
        <v>F</v>
      </c>
      <c r="U276" t="str">
        <f t="shared" si="18"/>
        <v>CA</v>
      </c>
      <c r="V276" t="str">
        <f t="shared" si="19"/>
        <v>15361</v>
      </c>
    </row>
    <row r="277" spans="1:22" x14ac:dyDescent="0.35">
      <c r="A277" s="3">
        <v>109646</v>
      </c>
      <c r="B277" t="s">
        <v>49</v>
      </c>
      <c r="C277" t="s">
        <v>14</v>
      </c>
      <c r="D277">
        <v>657</v>
      </c>
      <c r="E277">
        <v>265</v>
      </c>
      <c r="F277">
        <v>325</v>
      </c>
      <c r="G277">
        <v>3</v>
      </c>
      <c r="H277">
        <v>12509</v>
      </c>
      <c r="I277">
        <v>0</v>
      </c>
      <c r="J277">
        <v>87</v>
      </c>
      <c r="K277">
        <v>293</v>
      </c>
      <c r="L277">
        <v>303</v>
      </c>
      <c r="M277">
        <v>9.4722222219999992</v>
      </c>
      <c r="N277">
        <f>IFERROR(VLOOKUP(A277,vlookup_table!$A:$G,2,FALSE),"")</f>
        <v>1</v>
      </c>
      <c r="O277">
        <f>IFERROR(VLOOKUP(A277,vlookup_table!$A:$G,4,FALSE),"")</f>
        <v>5201</v>
      </c>
      <c r="P277" t="str">
        <f>IFERROR(VLOOKUP(A277,vlookup_table!$A:$G,5,FALSE),"")</f>
        <v>T3</v>
      </c>
      <c r="Q277">
        <f>IFERROR(VLOOKUP(A277,vlookup_table!$A:$G,7,FALSE),"")</f>
        <v>10</v>
      </c>
      <c r="R277">
        <f t="shared" si="16"/>
        <v>45</v>
      </c>
      <c r="S277" t="str" cm="1">
        <f t="array" ref="S277">IF(P277="","",_xlfn.SWITCH(LEFT(P277,1),"C","Ciudad","T","Pueblo","R","Rural","S","Suburbano","U","Urbano",""))</f>
        <v>Pueblo</v>
      </c>
      <c r="T277" t="str">
        <f t="shared" si="17"/>
        <v>M</v>
      </c>
      <c r="U277" t="str">
        <f t="shared" si="18"/>
        <v>LA</v>
      </c>
      <c r="V277" t="str">
        <f t="shared" si="19"/>
        <v>12509</v>
      </c>
    </row>
    <row r="278" spans="1:22" x14ac:dyDescent="0.35">
      <c r="A278" s="3">
        <v>62295</v>
      </c>
      <c r="B278" t="s">
        <v>33</v>
      </c>
      <c r="C278" t="s">
        <v>17</v>
      </c>
      <c r="D278">
        <v>581</v>
      </c>
      <c r="E278">
        <v>369</v>
      </c>
      <c r="F278">
        <v>383</v>
      </c>
      <c r="G278">
        <v>0</v>
      </c>
      <c r="H278">
        <v>12835</v>
      </c>
      <c r="I278">
        <v>7</v>
      </c>
      <c r="J278">
        <v>70</v>
      </c>
      <c r="K278">
        <v>372</v>
      </c>
      <c r="L278">
        <v>369</v>
      </c>
      <c r="M278">
        <v>25.5</v>
      </c>
      <c r="N278">
        <f>IFERROR(VLOOKUP(A278,vlookup_table!$A:$G,2,FALSE),"")</f>
        <v>0</v>
      </c>
      <c r="O278">
        <f>IFERROR(VLOOKUP(A278,vlookup_table!$A:$G,4,FALSE),"")</f>
        <v>5601</v>
      </c>
      <c r="P278" t="str">
        <f>IFERROR(VLOOKUP(A278,vlookup_table!$A:$G,5,FALSE),"")</f>
        <v>C2</v>
      </c>
      <c r="Q278">
        <f>IFERROR(VLOOKUP(A278,vlookup_table!$A:$G,7,FALSE),"")</f>
        <v>20</v>
      </c>
      <c r="R278">
        <f t="shared" si="16"/>
        <v>41</v>
      </c>
      <c r="S278" t="str" cm="1">
        <f t="array" ref="S278">IF(P278="","",_xlfn.SWITCH(LEFT(P278,1),"C","Ciudad","T","Pueblo","R","Rural","S","Suburbano","U","Urbano",""))</f>
        <v>Ciudad</v>
      </c>
      <c r="T278" t="str">
        <f t="shared" si="17"/>
        <v>F</v>
      </c>
      <c r="U278" t="str">
        <f t="shared" si="18"/>
        <v>IN</v>
      </c>
      <c r="V278" t="str">
        <f t="shared" si="19"/>
        <v>12835</v>
      </c>
    </row>
    <row r="279" spans="1:22" x14ac:dyDescent="0.35">
      <c r="A279" s="3">
        <v>162650</v>
      </c>
      <c r="B279" t="s">
        <v>22</v>
      </c>
      <c r="C279" t="s">
        <v>14</v>
      </c>
      <c r="D279">
        <v>3010</v>
      </c>
      <c r="E279">
        <v>410</v>
      </c>
      <c r="F279">
        <v>559</v>
      </c>
      <c r="G279">
        <v>93</v>
      </c>
      <c r="H279">
        <v>19149</v>
      </c>
      <c r="I279">
        <v>20</v>
      </c>
      <c r="J279">
        <v>56</v>
      </c>
      <c r="K279">
        <v>518</v>
      </c>
      <c r="L279">
        <v>431</v>
      </c>
      <c r="M279">
        <v>8.3333333330000006</v>
      </c>
      <c r="N279">
        <f>IFERROR(VLOOKUP(A279,vlookup_table!$A:$G,2,FALSE),"")</f>
        <v>1</v>
      </c>
      <c r="O279">
        <f>IFERROR(VLOOKUP(A279,vlookup_table!$A:$G,4,FALSE),"")</f>
        <v>0</v>
      </c>
      <c r="P279" t="str">
        <f>IFERROR(VLOOKUP(A279,vlookup_table!$A:$G,5,FALSE),"")</f>
        <v>S1</v>
      </c>
      <c r="Q279">
        <f>IFERROR(VLOOKUP(A279,vlookup_table!$A:$G,7,FALSE),"")</f>
        <v>5</v>
      </c>
      <c r="R279">
        <f t="shared" si="16"/>
        <v>97</v>
      </c>
      <c r="S279" t="str" cm="1">
        <f t="array" ref="S279">IF(P279="","",_xlfn.SWITCH(LEFT(P279,1),"C","Ciudad","T","Pueblo","R","Rural","S","Suburbano","U","Urbano",""))</f>
        <v>Suburbano</v>
      </c>
      <c r="T279" t="str">
        <f t="shared" si="17"/>
        <v>M</v>
      </c>
      <c r="U279" t="str">
        <f t="shared" si="18"/>
        <v>CA</v>
      </c>
      <c r="V279" t="str">
        <f t="shared" si="19"/>
        <v>19149</v>
      </c>
    </row>
    <row r="280" spans="1:22" x14ac:dyDescent="0.35">
      <c r="A280" s="3">
        <v>99836</v>
      </c>
      <c r="B280" t="s">
        <v>36</v>
      </c>
      <c r="C280" t="s">
        <v>14</v>
      </c>
      <c r="D280">
        <v>548</v>
      </c>
      <c r="E280">
        <v>262</v>
      </c>
      <c r="F280">
        <v>342</v>
      </c>
      <c r="G280">
        <v>0</v>
      </c>
      <c r="H280">
        <v>12621</v>
      </c>
      <c r="I280">
        <v>0</v>
      </c>
      <c r="J280">
        <v>96</v>
      </c>
      <c r="K280">
        <v>355</v>
      </c>
      <c r="L280">
        <v>298</v>
      </c>
      <c r="M280">
        <v>15</v>
      </c>
      <c r="N280">
        <f>IFERROR(VLOOKUP(A280,vlookup_table!$A:$G,2,FALSE),"")</f>
        <v>1</v>
      </c>
      <c r="O280">
        <f>IFERROR(VLOOKUP(A280,vlookup_table!$A:$G,4,FALSE),"")</f>
        <v>3101</v>
      </c>
      <c r="P280" t="str">
        <f>IFERROR(VLOOKUP(A280,vlookup_table!$A:$G,5,FALSE),"")</f>
        <v>S3</v>
      </c>
      <c r="Q280">
        <f>IFERROR(VLOOKUP(A280,vlookup_table!$A:$G,7,FALSE),"")</f>
        <v>21</v>
      </c>
      <c r="R280">
        <f t="shared" si="16"/>
        <v>66</v>
      </c>
      <c r="S280" t="str" cm="1">
        <f t="array" ref="S280">IF(P280="","",_xlfn.SWITCH(LEFT(P280,1),"C","Ciudad","T","Pueblo","R","Rural","S","Suburbano","U","Urbano",""))</f>
        <v>Suburbano</v>
      </c>
      <c r="T280" t="str">
        <f t="shared" si="17"/>
        <v>M</v>
      </c>
      <c r="U280" t="str">
        <f t="shared" si="18"/>
        <v>MO</v>
      </c>
      <c r="V280" t="str">
        <f t="shared" si="19"/>
        <v>12621</v>
      </c>
    </row>
    <row r="281" spans="1:22" x14ac:dyDescent="0.35">
      <c r="A281" s="3">
        <v>33994</v>
      </c>
      <c r="B281" t="s">
        <v>13</v>
      </c>
      <c r="C281" t="s">
        <v>14</v>
      </c>
      <c r="D281">
        <v>819</v>
      </c>
      <c r="E281">
        <v>348</v>
      </c>
      <c r="F281">
        <v>459</v>
      </c>
      <c r="G281">
        <v>3</v>
      </c>
      <c r="H281">
        <v>15958</v>
      </c>
      <c r="I281">
        <v>1</v>
      </c>
      <c r="J281">
        <v>47</v>
      </c>
      <c r="K281">
        <v>388</v>
      </c>
      <c r="L281">
        <v>421</v>
      </c>
      <c r="M281">
        <v>7.0909090910000003</v>
      </c>
      <c r="N281">
        <f>IFERROR(VLOOKUP(A281,vlookup_table!$A:$G,2,FALSE),"")</f>
        <v>1</v>
      </c>
      <c r="O281">
        <f>IFERROR(VLOOKUP(A281,vlookup_table!$A:$G,4,FALSE),"")</f>
        <v>5304</v>
      </c>
      <c r="P281" t="str">
        <f>IFERROR(VLOOKUP(A281,vlookup_table!$A:$G,5,FALSE),"")</f>
        <v>T2</v>
      </c>
      <c r="Q281">
        <f>IFERROR(VLOOKUP(A281,vlookup_table!$A:$G,7,FALSE),"")</f>
        <v>6</v>
      </c>
      <c r="R281">
        <f t="shared" si="16"/>
        <v>44</v>
      </c>
      <c r="S281" t="str" cm="1">
        <f t="array" ref="S281">IF(P281="","",_xlfn.SWITCH(LEFT(P281,1),"C","Ciudad","T","Pueblo","R","Rural","S","Suburbano","U","Urbano",""))</f>
        <v>Pueblo</v>
      </c>
      <c r="T281" t="str">
        <f t="shared" si="17"/>
        <v>M</v>
      </c>
      <c r="U281" t="str">
        <f t="shared" si="18"/>
        <v>FL</v>
      </c>
      <c r="V281" t="str">
        <f t="shared" si="19"/>
        <v>15958</v>
      </c>
    </row>
    <row r="282" spans="1:22" x14ac:dyDescent="0.35">
      <c r="A282" s="3">
        <v>93432</v>
      </c>
      <c r="B282" t="s">
        <v>16</v>
      </c>
      <c r="C282" t="s">
        <v>17</v>
      </c>
      <c r="D282">
        <v>613</v>
      </c>
      <c r="E282">
        <v>212</v>
      </c>
      <c r="F282">
        <v>355</v>
      </c>
      <c r="G282">
        <v>0</v>
      </c>
      <c r="H282">
        <v>11792</v>
      </c>
      <c r="I282">
        <v>1</v>
      </c>
      <c r="J282">
        <v>60</v>
      </c>
      <c r="K282">
        <v>245</v>
      </c>
      <c r="L282">
        <v>294</v>
      </c>
      <c r="M282">
        <v>6</v>
      </c>
      <c r="N282">
        <f>IFERROR(VLOOKUP(A282,vlookup_table!$A:$G,2,FALSE),"")</f>
        <v>28</v>
      </c>
      <c r="O282">
        <f>IFERROR(VLOOKUP(A282,vlookup_table!$A:$G,4,FALSE),"")</f>
        <v>0</v>
      </c>
      <c r="P282" t="str">
        <f>IFERROR(VLOOKUP(A282,vlookup_table!$A:$G,5,FALSE),"")</f>
        <v>U3</v>
      </c>
      <c r="Q282">
        <f>IFERROR(VLOOKUP(A282,vlookup_table!$A:$G,7,FALSE),"")</f>
        <v>11</v>
      </c>
      <c r="R282">
        <f t="shared" si="16"/>
        <v>97</v>
      </c>
      <c r="S282" t="str" cm="1">
        <f t="array" ref="S282">IF(P282="","",_xlfn.SWITCH(LEFT(P282,1),"C","Ciudad","T","Pueblo","R","Rural","S","Suburbano","U","Urbano",""))</f>
        <v>Urbano</v>
      </c>
      <c r="T282" t="str">
        <f t="shared" si="17"/>
        <v>F</v>
      </c>
      <c r="U282" t="str">
        <f t="shared" si="18"/>
        <v>IL</v>
      </c>
      <c r="V282" t="str">
        <f t="shared" si="19"/>
        <v>11792</v>
      </c>
    </row>
    <row r="283" spans="1:22" x14ac:dyDescent="0.35">
      <c r="A283" s="3">
        <v>62786</v>
      </c>
      <c r="B283" t="s">
        <v>33</v>
      </c>
      <c r="C283" t="s">
        <v>17</v>
      </c>
      <c r="D283">
        <v>431</v>
      </c>
      <c r="E283">
        <v>280</v>
      </c>
      <c r="F283">
        <v>347</v>
      </c>
      <c r="G283">
        <v>0</v>
      </c>
      <c r="H283">
        <v>11052</v>
      </c>
      <c r="I283">
        <v>0</v>
      </c>
      <c r="J283">
        <v>62</v>
      </c>
      <c r="K283">
        <v>314</v>
      </c>
      <c r="L283">
        <v>310</v>
      </c>
      <c r="M283">
        <v>8.2352941180000006</v>
      </c>
      <c r="N283">
        <f>IFERROR(VLOOKUP(A283,vlookup_table!$A:$G,2,FALSE),"")</f>
        <v>2</v>
      </c>
      <c r="O283">
        <f>IFERROR(VLOOKUP(A283,vlookup_table!$A:$G,4,FALSE),"")</f>
        <v>3501</v>
      </c>
      <c r="P283" t="str">
        <f>IFERROR(VLOOKUP(A283,vlookup_table!$A:$G,5,FALSE),"")</f>
        <v>R2</v>
      </c>
      <c r="Q283">
        <f>IFERROR(VLOOKUP(A283,vlookup_table!$A:$G,7,FALSE),"")</f>
        <v>11</v>
      </c>
      <c r="R283">
        <f t="shared" si="16"/>
        <v>62</v>
      </c>
      <c r="S283" t="str" cm="1">
        <f t="array" ref="S283">IF(P283="","",_xlfn.SWITCH(LEFT(P283,1),"C","Ciudad","T","Pueblo","R","Rural","S","Suburbano","U","Urbano",""))</f>
        <v>Rural</v>
      </c>
      <c r="T283" t="str">
        <f t="shared" si="17"/>
        <v>F</v>
      </c>
      <c r="U283" t="str">
        <f t="shared" si="18"/>
        <v>IN</v>
      </c>
      <c r="V283" t="str">
        <f t="shared" si="19"/>
        <v>11052</v>
      </c>
    </row>
    <row r="284" spans="1:22" x14ac:dyDescent="0.35">
      <c r="A284" s="3">
        <v>44634</v>
      </c>
      <c r="B284" t="s">
        <v>13</v>
      </c>
      <c r="C284" t="s">
        <v>14</v>
      </c>
      <c r="D284">
        <v>710</v>
      </c>
      <c r="E284">
        <v>254</v>
      </c>
      <c r="F284">
        <v>391</v>
      </c>
      <c r="G284">
        <v>6</v>
      </c>
      <c r="H284">
        <v>15970</v>
      </c>
      <c r="I284">
        <v>4</v>
      </c>
      <c r="J284">
        <v>30</v>
      </c>
      <c r="K284">
        <v>287</v>
      </c>
      <c r="L284">
        <v>325</v>
      </c>
      <c r="M284">
        <v>7.2857142860000002</v>
      </c>
      <c r="N284">
        <f>IFERROR(VLOOKUP(A284,vlookup_table!$A:$G,2,FALSE),"")</f>
        <v>1</v>
      </c>
      <c r="O284">
        <f>IFERROR(VLOOKUP(A284,vlookup_table!$A:$G,4,FALSE),"")</f>
        <v>3701</v>
      </c>
      <c r="P284" t="str">
        <f>IFERROR(VLOOKUP(A284,vlookup_table!$A:$G,5,FALSE),"")</f>
        <v>C2</v>
      </c>
      <c r="Q284">
        <f>IFERROR(VLOOKUP(A284,vlookup_table!$A:$G,7,FALSE),"")</f>
        <v>10</v>
      </c>
      <c r="R284">
        <f t="shared" si="16"/>
        <v>60</v>
      </c>
      <c r="S284" t="str" cm="1">
        <f t="array" ref="S284">IF(P284="","",_xlfn.SWITCH(LEFT(P284,1),"C","Ciudad","T","Pueblo","R","Rural","S","Suburbano","U","Urbano",""))</f>
        <v>Ciudad</v>
      </c>
      <c r="T284" t="str">
        <f t="shared" si="17"/>
        <v>M</v>
      </c>
      <c r="U284" t="str">
        <f t="shared" si="18"/>
        <v>FL</v>
      </c>
      <c r="V284" t="str">
        <f t="shared" si="19"/>
        <v>15970</v>
      </c>
    </row>
    <row r="285" spans="1:22" x14ac:dyDescent="0.35">
      <c r="A285" s="3">
        <v>146914</v>
      </c>
      <c r="B285" t="s">
        <v>22</v>
      </c>
      <c r="C285" t="s">
        <v>17</v>
      </c>
      <c r="D285">
        <v>3673</v>
      </c>
      <c r="E285">
        <v>515</v>
      </c>
      <c r="F285">
        <v>725</v>
      </c>
      <c r="G285">
        <v>97</v>
      </c>
      <c r="H285">
        <v>31773</v>
      </c>
      <c r="I285">
        <v>10</v>
      </c>
      <c r="J285">
        <v>39</v>
      </c>
      <c r="K285">
        <v>675</v>
      </c>
      <c r="L285">
        <v>589</v>
      </c>
      <c r="M285">
        <v>6.5</v>
      </c>
      <c r="N285">
        <f>IFERROR(VLOOKUP(A285,vlookup_table!$A:$G,2,FALSE),"")</f>
        <v>0</v>
      </c>
      <c r="O285">
        <f>IFERROR(VLOOKUP(A285,vlookup_table!$A:$G,4,FALSE),"")</f>
        <v>5401</v>
      </c>
      <c r="P285" t="str">
        <f>IFERROR(VLOOKUP(A285,vlookup_table!$A:$G,5,FALSE),"")</f>
        <v>U1</v>
      </c>
      <c r="Q285">
        <f>IFERROR(VLOOKUP(A285,vlookup_table!$A:$G,7,FALSE),"")</f>
        <v>10</v>
      </c>
      <c r="R285">
        <f t="shared" si="16"/>
        <v>43</v>
      </c>
      <c r="S285" t="str" cm="1">
        <f t="array" ref="S285">IF(P285="","",_xlfn.SWITCH(LEFT(P285,1),"C","Ciudad","T","Pueblo","R","Rural","S","Suburbano","U","Urbano",""))</f>
        <v>Urbano</v>
      </c>
      <c r="T285" t="str">
        <f t="shared" si="17"/>
        <v>F</v>
      </c>
      <c r="U285" t="str">
        <f t="shared" si="18"/>
        <v>CA</v>
      </c>
      <c r="V285" t="str">
        <f t="shared" si="19"/>
        <v>31773</v>
      </c>
    </row>
    <row r="286" spans="1:22" x14ac:dyDescent="0.35">
      <c r="A286" s="3">
        <v>70079</v>
      </c>
      <c r="B286" t="s">
        <v>29</v>
      </c>
      <c r="C286" t="s">
        <v>17</v>
      </c>
      <c r="D286">
        <v>365</v>
      </c>
      <c r="E286">
        <v>98</v>
      </c>
      <c r="F286">
        <v>330</v>
      </c>
      <c r="G286">
        <v>0</v>
      </c>
      <c r="H286">
        <v>9470</v>
      </c>
      <c r="I286">
        <v>0</v>
      </c>
      <c r="J286">
        <v>53</v>
      </c>
      <c r="K286">
        <v>310</v>
      </c>
      <c r="L286">
        <v>221</v>
      </c>
      <c r="M286">
        <v>15</v>
      </c>
      <c r="N286">
        <f>IFERROR(VLOOKUP(A286,vlookup_table!$A:$G,2,FALSE),"")</f>
        <v>2</v>
      </c>
      <c r="O286">
        <f>IFERROR(VLOOKUP(A286,vlookup_table!$A:$G,4,FALSE),"")</f>
        <v>4701</v>
      </c>
      <c r="P286" t="str">
        <f>IFERROR(VLOOKUP(A286,vlookup_table!$A:$G,5,FALSE),"")</f>
        <v>C3</v>
      </c>
      <c r="Q286">
        <f>IFERROR(VLOOKUP(A286,vlookup_table!$A:$G,7,FALSE),"")</f>
        <v>15</v>
      </c>
      <c r="R286">
        <f t="shared" si="16"/>
        <v>50</v>
      </c>
      <c r="S286" t="str" cm="1">
        <f t="array" ref="S286">IF(P286="","",_xlfn.SWITCH(LEFT(P286,1),"C","Ciudad","T","Pueblo","R","Rural","S","Suburbano","U","Urbano",""))</f>
        <v>Ciudad</v>
      </c>
      <c r="T286" t="str">
        <f t="shared" si="17"/>
        <v>F</v>
      </c>
      <c r="U286" t="str">
        <f t="shared" si="18"/>
        <v>MI</v>
      </c>
      <c r="V286" t="str">
        <f t="shared" si="19"/>
        <v>9470</v>
      </c>
    </row>
    <row r="287" spans="1:22" x14ac:dyDescent="0.35">
      <c r="A287" s="3">
        <v>24871</v>
      </c>
      <c r="B287" t="s">
        <v>46</v>
      </c>
      <c r="C287" t="s">
        <v>17</v>
      </c>
      <c r="D287">
        <v>682</v>
      </c>
      <c r="E287">
        <v>366</v>
      </c>
      <c r="F287">
        <v>498</v>
      </c>
      <c r="G287">
        <v>2</v>
      </c>
      <c r="H287">
        <v>14538</v>
      </c>
      <c r="I287">
        <v>3</v>
      </c>
      <c r="J287">
        <v>63</v>
      </c>
      <c r="K287">
        <v>464</v>
      </c>
      <c r="L287">
        <v>421</v>
      </c>
      <c r="M287">
        <v>9.6666666669999994</v>
      </c>
      <c r="N287">
        <f>IFERROR(VLOOKUP(A287,vlookup_table!$A:$G,2,FALSE),"")</f>
        <v>2</v>
      </c>
      <c r="O287">
        <f>IFERROR(VLOOKUP(A287,vlookup_table!$A:$G,4,FALSE),"")</f>
        <v>4401</v>
      </c>
      <c r="P287" t="str">
        <f>IFERROR(VLOOKUP(A287,vlookup_table!$A:$G,5,FALSE),"")</f>
        <v>T2</v>
      </c>
      <c r="Q287">
        <f>IFERROR(VLOOKUP(A287,vlookup_table!$A:$G,7,FALSE),"")</f>
        <v>16</v>
      </c>
      <c r="R287">
        <f t="shared" si="16"/>
        <v>53</v>
      </c>
      <c r="S287" t="str" cm="1">
        <f t="array" ref="S287">IF(P287="","",_xlfn.SWITCH(LEFT(P287,1),"C","Ciudad","T","Pueblo","R","Rural","S","Suburbano","U","Urbano",""))</f>
        <v>Pueblo</v>
      </c>
      <c r="T287" t="str">
        <f t="shared" si="17"/>
        <v>F</v>
      </c>
      <c r="U287" t="str">
        <f t="shared" si="18"/>
        <v>SC</v>
      </c>
      <c r="V287" t="str">
        <f t="shared" si="19"/>
        <v>14538</v>
      </c>
    </row>
    <row r="288" spans="1:22" x14ac:dyDescent="0.35">
      <c r="A288" s="3">
        <v>150660</v>
      </c>
      <c r="B288" t="s">
        <v>38</v>
      </c>
      <c r="C288" t="s">
        <v>17</v>
      </c>
      <c r="D288">
        <v>901</v>
      </c>
      <c r="E288">
        <v>327</v>
      </c>
      <c r="F288">
        <v>437</v>
      </c>
      <c r="G288">
        <v>1</v>
      </c>
      <c r="H288">
        <v>17854</v>
      </c>
      <c r="I288">
        <v>8</v>
      </c>
      <c r="J288">
        <v>61</v>
      </c>
      <c r="K288">
        <v>336</v>
      </c>
      <c r="L288">
        <v>411</v>
      </c>
      <c r="M288">
        <v>10.20588235</v>
      </c>
      <c r="N288">
        <f>IFERROR(VLOOKUP(A288,vlookup_table!$A:$G,2,FALSE),"")</f>
        <v>0</v>
      </c>
      <c r="O288">
        <f>IFERROR(VLOOKUP(A288,vlookup_table!$A:$G,4,FALSE),"")</f>
        <v>4601</v>
      </c>
      <c r="P288" t="str">
        <f>IFERROR(VLOOKUP(A288,vlookup_table!$A:$G,5,FALSE),"")</f>
        <v>U1</v>
      </c>
      <c r="Q288">
        <f>IFERROR(VLOOKUP(A288,vlookup_table!$A:$G,7,FALSE),"")</f>
        <v>12</v>
      </c>
      <c r="R288">
        <f t="shared" si="16"/>
        <v>51</v>
      </c>
      <c r="S288" t="str" cm="1">
        <f t="array" ref="S288">IF(P288="","",_xlfn.SWITCH(LEFT(P288,1),"C","Ciudad","T","Pueblo","R","Rural","S","Suburbano","U","Urbano",""))</f>
        <v>Urbano</v>
      </c>
      <c r="T288" t="str">
        <f t="shared" si="17"/>
        <v>F</v>
      </c>
      <c r="U288" t="str">
        <f t="shared" si="18"/>
        <v>UT</v>
      </c>
      <c r="V288" t="str">
        <f t="shared" si="19"/>
        <v>17854</v>
      </c>
    </row>
    <row r="289" spans="1:22" x14ac:dyDescent="0.35">
      <c r="A289" s="3">
        <v>169700</v>
      </c>
      <c r="B289" t="s">
        <v>61</v>
      </c>
      <c r="C289" t="s">
        <v>14</v>
      </c>
      <c r="D289">
        <v>1676</v>
      </c>
      <c r="E289">
        <v>371</v>
      </c>
      <c r="F289">
        <v>372</v>
      </c>
      <c r="G289">
        <v>9</v>
      </c>
      <c r="H289">
        <v>13231</v>
      </c>
      <c r="I289">
        <v>6</v>
      </c>
      <c r="J289">
        <v>69</v>
      </c>
      <c r="K289">
        <v>336</v>
      </c>
      <c r="L289">
        <v>398</v>
      </c>
      <c r="M289">
        <v>5.5714285710000002</v>
      </c>
      <c r="N289">
        <f>IFERROR(VLOOKUP(A289,vlookup_table!$A:$G,2,FALSE),"")</f>
        <v>1</v>
      </c>
      <c r="O289">
        <f>IFERROR(VLOOKUP(A289,vlookup_table!$A:$G,4,FALSE),"")</f>
        <v>0</v>
      </c>
      <c r="P289" t="str">
        <f>IFERROR(VLOOKUP(A289,vlookup_table!$A:$G,5,FALSE),"")</f>
        <v>C2</v>
      </c>
      <c r="Q289">
        <f>IFERROR(VLOOKUP(A289,vlookup_table!$A:$G,7,FALSE),"")</f>
        <v>25</v>
      </c>
      <c r="R289">
        <f t="shared" si="16"/>
        <v>97</v>
      </c>
      <c r="S289" t="str" cm="1">
        <f t="array" ref="S289">IF(P289="","",_xlfn.SWITCH(LEFT(P289,1),"C","Ciudad","T","Pueblo","R","Rural","S","Suburbano","U","Urbano",""))</f>
        <v>Ciudad</v>
      </c>
      <c r="T289" t="str">
        <f t="shared" si="17"/>
        <v>M</v>
      </c>
      <c r="U289" t="str">
        <f t="shared" si="18"/>
        <v>CA</v>
      </c>
      <c r="V289" t="str">
        <f t="shared" si="19"/>
        <v>13231</v>
      </c>
    </row>
    <row r="290" spans="1:22" x14ac:dyDescent="0.35">
      <c r="A290" s="3">
        <v>63542</v>
      </c>
      <c r="B290" t="s">
        <v>33</v>
      </c>
      <c r="C290" t="s">
        <v>17</v>
      </c>
      <c r="D290">
        <v>445</v>
      </c>
      <c r="E290">
        <v>332</v>
      </c>
      <c r="F290">
        <v>423</v>
      </c>
      <c r="G290">
        <v>0</v>
      </c>
      <c r="H290">
        <v>13662</v>
      </c>
      <c r="I290">
        <v>0</v>
      </c>
      <c r="J290">
        <v>78</v>
      </c>
      <c r="K290">
        <v>398</v>
      </c>
      <c r="L290">
        <v>370</v>
      </c>
      <c r="M290">
        <v>14.55555556</v>
      </c>
      <c r="N290">
        <f>IFERROR(VLOOKUP(A290,vlookup_table!$A:$G,2,FALSE),"")</f>
        <v>0</v>
      </c>
      <c r="O290">
        <f>IFERROR(VLOOKUP(A290,vlookup_table!$A:$G,4,FALSE),"")</f>
        <v>4801</v>
      </c>
      <c r="P290" t="str">
        <f>IFERROR(VLOOKUP(A290,vlookup_table!$A:$G,5,FALSE),"")</f>
        <v>T2</v>
      </c>
      <c r="Q290">
        <f>IFERROR(VLOOKUP(A290,vlookup_table!$A:$G,7,FALSE),"")</f>
        <v>26</v>
      </c>
      <c r="R290">
        <f t="shared" si="16"/>
        <v>49</v>
      </c>
      <c r="S290" t="str" cm="1">
        <f t="array" ref="S290">IF(P290="","",_xlfn.SWITCH(LEFT(P290,1),"C","Ciudad","T","Pueblo","R","Rural","S","Suburbano","U","Urbano",""))</f>
        <v>Pueblo</v>
      </c>
      <c r="T290" t="str">
        <f t="shared" si="17"/>
        <v>F</v>
      </c>
      <c r="U290" t="str">
        <f t="shared" si="18"/>
        <v>IN</v>
      </c>
      <c r="V290" t="str">
        <f t="shared" si="19"/>
        <v>13662</v>
      </c>
    </row>
    <row r="291" spans="1:22" x14ac:dyDescent="0.35">
      <c r="A291" s="3">
        <v>125164</v>
      </c>
      <c r="B291" t="s">
        <v>21</v>
      </c>
      <c r="C291" t="s">
        <v>17</v>
      </c>
      <c r="D291">
        <v>588</v>
      </c>
      <c r="E291">
        <v>316</v>
      </c>
      <c r="F291">
        <v>381</v>
      </c>
      <c r="G291">
        <v>0</v>
      </c>
      <c r="H291">
        <v>14293</v>
      </c>
      <c r="I291">
        <v>5</v>
      </c>
      <c r="J291">
        <v>85</v>
      </c>
      <c r="K291">
        <v>383</v>
      </c>
      <c r="L291">
        <v>344</v>
      </c>
      <c r="M291">
        <v>22.6</v>
      </c>
      <c r="N291">
        <f>IFERROR(VLOOKUP(A291,vlookup_table!$A:$G,2,FALSE),"")</f>
        <v>2</v>
      </c>
      <c r="O291">
        <f>IFERROR(VLOOKUP(A291,vlookup_table!$A:$G,4,FALSE),"")</f>
        <v>1601</v>
      </c>
      <c r="P291" t="str">
        <f>IFERROR(VLOOKUP(A291,vlookup_table!$A:$G,5,FALSE),"")</f>
        <v>S2</v>
      </c>
      <c r="Q291">
        <f>IFERROR(VLOOKUP(A291,vlookup_table!$A:$G,7,FALSE),"")</f>
        <v>50</v>
      </c>
      <c r="R291">
        <f t="shared" si="16"/>
        <v>81</v>
      </c>
      <c r="S291" t="str" cm="1">
        <f t="array" ref="S291">IF(P291="","",_xlfn.SWITCH(LEFT(P291,1),"C","Ciudad","T","Pueblo","R","Rural","S","Suburbano","U","Urbano",""))</f>
        <v>Suburbano</v>
      </c>
      <c r="T291" t="str">
        <f t="shared" si="17"/>
        <v>F</v>
      </c>
      <c r="U291" t="str">
        <f t="shared" si="18"/>
        <v>TX</v>
      </c>
      <c r="V291" t="str">
        <f t="shared" si="19"/>
        <v>14293</v>
      </c>
    </row>
    <row r="292" spans="1:22" x14ac:dyDescent="0.35">
      <c r="A292" s="3">
        <v>65634</v>
      </c>
      <c r="B292" t="s">
        <v>29</v>
      </c>
      <c r="C292" t="s">
        <v>17</v>
      </c>
      <c r="D292">
        <v>413</v>
      </c>
      <c r="E292">
        <v>95</v>
      </c>
      <c r="F292">
        <v>231</v>
      </c>
      <c r="G292">
        <v>0</v>
      </c>
      <c r="H292">
        <v>9020</v>
      </c>
      <c r="I292">
        <v>12</v>
      </c>
      <c r="J292">
        <v>46</v>
      </c>
      <c r="K292">
        <v>171</v>
      </c>
      <c r="L292">
        <v>123</v>
      </c>
      <c r="M292">
        <v>10.16666667</v>
      </c>
      <c r="N292">
        <f>IFERROR(VLOOKUP(A292,vlookup_table!$A:$G,2,FALSE),"")</f>
        <v>0</v>
      </c>
      <c r="O292">
        <f>IFERROR(VLOOKUP(A292,vlookup_table!$A:$G,4,FALSE),"")</f>
        <v>801</v>
      </c>
      <c r="P292" t="str">
        <f>IFERROR(VLOOKUP(A292,vlookup_table!$A:$G,5,FALSE),"")</f>
        <v>C3</v>
      </c>
      <c r="Q292">
        <f>IFERROR(VLOOKUP(A292,vlookup_table!$A:$G,7,FALSE),"")</f>
        <v>12</v>
      </c>
      <c r="R292">
        <f t="shared" si="16"/>
        <v>89</v>
      </c>
      <c r="S292" t="str" cm="1">
        <f t="array" ref="S292">IF(P292="","",_xlfn.SWITCH(LEFT(P292,1),"C","Ciudad","T","Pueblo","R","Rural","S","Suburbano","U","Urbano",""))</f>
        <v>Ciudad</v>
      </c>
      <c r="T292" t="str">
        <f t="shared" si="17"/>
        <v>F</v>
      </c>
      <c r="U292" t="str">
        <f t="shared" si="18"/>
        <v>MI</v>
      </c>
      <c r="V292" t="str">
        <f t="shared" si="19"/>
        <v>9020</v>
      </c>
    </row>
    <row r="293" spans="1:22" x14ac:dyDescent="0.35">
      <c r="A293" s="3">
        <v>59285</v>
      </c>
      <c r="B293" t="s">
        <v>33</v>
      </c>
      <c r="C293" t="s">
        <v>17</v>
      </c>
      <c r="D293">
        <v>522</v>
      </c>
      <c r="E293">
        <v>225</v>
      </c>
      <c r="F293">
        <v>403</v>
      </c>
      <c r="G293">
        <v>0</v>
      </c>
      <c r="H293">
        <v>13669</v>
      </c>
      <c r="I293">
        <v>1</v>
      </c>
      <c r="J293">
        <v>84</v>
      </c>
      <c r="K293">
        <v>349</v>
      </c>
      <c r="L293">
        <v>326</v>
      </c>
      <c r="M293">
        <v>12</v>
      </c>
      <c r="N293">
        <f>IFERROR(VLOOKUP(A293,vlookup_table!$A:$G,2,FALSE),"")</f>
        <v>2</v>
      </c>
      <c r="O293">
        <f>IFERROR(VLOOKUP(A293,vlookup_table!$A:$G,4,FALSE),"")</f>
        <v>5101</v>
      </c>
      <c r="P293" t="str">
        <f>IFERROR(VLOOKUP(A293,vlookup_table!$A:$G,5,FALSE),"")</f>
        <v>T3</v>
      </c>
      <c r="Q293">
        <f>IFERROR(VLOOKUP(A293,vlookup_table!$A:$G,7,FALSE),"")</f>
        <v>10</v>
      </c>
      <c r="R293">
        <f t="shared" si="16"/>
        <v>46</v>
      </c>
      <c r="S293" t="str" cm="1">
        <f t="array" ref="S293">IF(P293="","",_xlfn.SWITCH(LEFT(P293,1),"C","Ciudad","T","Pueblo","R","Rural","S","Suburbano","U","Urbano",""))</f>
        <v>Pueblo</v>
      </c>
      <c r="T293" t="str">
        <f t="shared" si="17"/>
        <v>F</v>
      </c>
      <c r="U293" t="str">
        <f t="shared" si="18"/>
        <v>IN</v>
      </c>
      <c r="V293" t="str">
        <f t="shared" si="19"/>
        <v>13669</v>
      </c>
    </row>
    <row r="294" spans="1:22" x14ac:dyDescent="0.35">
      <c r="A294" s="3">
        <v>78802</v>
      </c>
      <c r="B294" t="s">
        <v>35</v>
      </c>
      <c r="C294" t="s">
        <v>44</v>
      </c>
      <c r="D294">
        <v>667</v>
      </c>
      <c r="E294">
        <v>293</v>
      </c>
      <c r="F294">
        <v>422</v>
      </c>
      <c r="G294">
        <v>0</v>
      </c>
      <c r="H294">
        <v>17527</v>
      </c>
      <c r="I294">
        <v>5</v>
      </c>
      <c r="J294">
        <v>68</v>
      </c>
      <c r="K294">
        <v>385</v>
      </c>
      <c r="L294">
        <v>334</v>
      </c>
      <c r="M294">
        <v>15</v>
      </c>
      <c r="N294">
        <f>IFERROR(VLOOKUP(A294,vlookup_table!$A:$G,2,FALSE),"")</f>
        <v>1002</v>
      </c>
      <c r="O294">
        <f>IFERROR(VLOOKUP(A294,vlookup_table!$A:$G,4,FALSE),"")</f>
        <v>1301</v>
      </c>
      <c r="P294" t="str">
        <f>IFERROR(VLOOKUP(A294,vlookup_table!$A:$G,5,FALSE),"")</f>
        <v>S2</v>
      </c>
      <c r="Q294">
        <f>IFERROR(VLOOKUP(A294,vlookup_table!$A:$G,7,FALSE),"")</f>
        <v>15</v>
      </c>
      <c r="R294">
        <f t="shared" si="16"/>
        <v>84</v>
      </c>
      <c r="S294" t="str" cm="1">
        <f t="array" ref="S294">IF(P294="","",_xlfn.SWITCH(LEFT(P294,1),"C","Ciudad","T","Pueblo","R","Rural","S","Suburbano","U","Urbano",""))</f>
        <v>Suburbano</v>
      </c>
      <c r="T294" t="str">
        <f t="shared" si="17"/>
        <v>J</v>
      </c>
      <c r="U294" t="str">
        <f t="shared" si="18"/>
        <v>WI</v>
      </c>
      <c r="V294" t="str">
        <f t="shared" si="19"/>
        <v>17527</v>
      </c>
    </row>
    <row r="295" spans="1:22" x14ac:dyDescent="0.35">
      <c r="A295" s="3">
        <v>186460</v>
      </c>
      <c r="B295" t="s">
        <v>35</v>
      </c>
      <c r="C295" t="s">
        <v>17</v>
      </c>
      <c r="D295">
        <v>303</v>
      </c>
      <c r="E295">
        <v>175</v>
      </c>
      <c r="F295">
        <v>253</v>
      </c>
      <c r="G295">
        <v>0</v>
      </c>
      <c r="H295">
        <v>7115</v>
      </c>
      <c r="I295">
        <v>1</v>
      </c>
      <c r="J295">
        <v>76</v>
      </c>
      <c r="K295">
        <v>217</v>
      </c>
      <c r="L295">
        <v>219</v>
      </c>
      <c r="M295">
        <v>10.375</v>
      </c>
      <c r="N295">
        <f>IFERROR(VLOOKUP(A295,vlookup_table!$A:$G,2,FALSE),"")</f>
        <v>2</v>
      </c>
      <c r="O295">
        <f>IFERROR(VLOOKUP(A295,vlookup_table!$A:$G,4,FALSE),"")</f>
        <v>0</v>
      </c>
      <c r="P295" t="str">
        <f>IFERROR(VLOOKUP(A295,vlookup_table!$A:$G,5,FALSE),"")</f>
        <v>R3</v>
      </c>
      <c r="Q295">
        <f>IFERROR(VLOOKUP(A295,vlookup_table!$A:$G,7,FALSE),"")</f>
        <v>20</v>
      </c>
      <c r="R295">
        <f t="shared" si="16"/>
        <v>97</v>
      </c>
      <c r="S295" t="str" cm="1">
        <f t="array" ref="S295">IF(P295="","",_xlfn.SWITCH(LEFT(P295,1),"C","Ciudad","T","Pueblo","R","Rural","S","Suburbano","U","Urbano",""))</f>
        <v>Rural</v>
      </c>
      <c r="T295" t="str">
        <f t="shared" si="17"/>
        <v>F</v>
      </c>
      <c r="U295" t="str">
        <f t="shared" si="18"/>
        <v>WI</v>
      </c>
      <c r="V295" t="str">
        <f t="shared" si="19"/>
        <v>7115</v>
      </c>
    </row>
    <row r="296" spans="1:22" x14ac:dyDescent="0.35">
      <c r="A296" s="3">
        <v>114579</v>
      </c>
      <c r="B296" t="s">
        <v>31</v>
      </c>
      <c r="C296" t="s">
        <v>14</v>
      </c>
      <c r="D296">
        <v>633</v>
      </c>
      <c r="E296">
        <v>399</v>
      </c>
      <c r="F296">
        <v>517</v>
      </c>
      <c r="G296">
        <v>0</v>
      </c>
      <c r="H296">
        <v>17637</v>
      </c>
      <c r="I296">
        <v>0</v>
      </c>
      <c r="J296">
        <v>63</v>
      </c>
      <c r="K296">
        <v>442</v>
      </c>
      <c r="L296">
        <v>439</v>
      </c>
      <c r="M296">
        <v>13.16666667</v>
      </c>
      <c r="N296">
        <f>IFERROR(VLOOKUP(A296,vlookup_table!$A:$G,2,FALSE),"")</f>
        <v>1</v>
      </c>
      <c r="O296">
        <f>IFERROR(VLOOKUP(A296,vlookup_table!$A:$G,4,FALSE),"")</f>
        <v>2112</v>
      </c>
      <c r="P296" t="str">
        <f>IFERROR(VLOOKUP(A296,vlookup_table!$A:$G,5,FALSE),"")</f>
        <v>C1</v>
      </c>
      <c r="Q296">
        <f>IFERROR(VLOOKUP(A296,vlookup_table!$A:$G,7,FALSE),"")</f>
        <v>10</v>
      </c>
      <c r="R296">
        <f t="shared" si="16"/>
        <v>76</v>
      </c>
      <c r="S296" t="str" cm="1">
        <f t="array" ref="S296">IF(P296="","",_xlfn.SWITCH(LEFT(P296,1),"C","Ciudad","T","Pueblo","R","Rural","S","Suburbano","U","Urbano",""))</f>
        <v>Ciudad</v>
      </c>
      <c r="T296" t="str">
        <f t="shared" si="17"/>
        <v>M</v>
      </c>
      <c r="U296" t="str">
        <f t="shared" si="18"/>
        <v>OK</v>
      </c>
      <c r="V296" t="str">
        <f t="shared" si="19"/>
        <v>17637</v>
      </c>
    </row>
    <row r="297" spans="1:22" x14ac:dyDescent="0.35">
      <c r="A297" s="3">
        <v>23184</v>
      </c>
      <c r="B297" t="s">
        <v>46</v>
      </c>
      <c r="C297" t="s">
        <v>17</v>
      </c>
      <c r="D297">
        <v>391</v>
      </c>
      <c r="E297">
        <v>214</v>
      </c>
      <c r="F297">
        <v>269</v>
      </c>
      <c r="G297">
        <v>0</v>
      </c>
      <c r="H297">
        <v>9853</v>
      </c>
      <c r="I297">
        <v>0</v>
      </c>
      <c r="J297">
        <v>77</v>
      </c>
      <c r="K297">
        <v>243</v>
      </c>
      <c r="L297">
        <v>242</v>
      </c>
      <c r="M297">
        <v>14</v>
      </c>
      <c r="N297">
        <f>IFERROR(VLOOKUP(A297,vlookup_table!$A:$G,2,FALSE),"")</f>
        <v>0</v>
      </c>
      <c r="O297">
        <f>IFERROR(VLOOKUP(A297,vlookup_table!$A:$G,4,FALSE),"")</f>
        <v>0</v>
      </c>
      <c r="P297" t="str">
        <f>IFERROR(VLOOKUP(A297,vlookup_table!$A:$G,5,FALSE),"")</f>
        <v>C3</v>
      </c>
      <c r="Q297">
        <f>IFERROR(VLOOKUP(A297,vlookup_table!$A:$G,7,FALSE),"")</f>
        <v>10</v>
      </c>
      <c r="R297">
        <f t="shared" si="16"/>
        <v>97</v>
      </c>
      <c r="S297" t="str" cm="1">
        <f t="array" ref="S297">IF(P297="","",_xlfn.SWITCH(LEFT(P297,1),"C","Ciudad","T","Pueblo","R","Rural","S","Suburbano","U","Urbano",""))</f>
        <v>Ciudad</v>
      </c>
      <c r="T297" t="str">
        <f t="shared" si="17"/>
        <v>F</v>
      </c>
      <c r="U297" t="str">
        <f t="shared" si="18"/>
        <v>SC</v>
      </c>
      <c r="V297" t="str">
        <f t="shared" si="19"/>
        <v>9853</v>
      </c>
    </row>
    <row r="298" spans="1:22" x14ac:dyDescent="0.35">
      <c r="A298" s="3">
        <v>125289</v>
      </c>
      <c r="B298" t="s">
        <v>21</v>
      </c>
      <c r="C298" t="s">
        <v>17</v>
      </c>
      <c r="D298">
        <v>707</v>
      </c>
      <c r="E298">
        <v>246</v>
      </c>
      <c r="F298">
        <v>327</v>
      </c>
      <c r="G298">
        <v>0</v>
      </c>
      <c r="H298">
        <v>15322</v>
      </c>
      <c r="I298">
        <v>13</v>
      </c>
      <c r="J298">
        <v>63</v>
      </c>
      <c r="K298">
        <v>283</v>
      </c>
      <c r="L298">
        <v>291</v>
      </c>
      <c r="M298">
        <v>5.25</v>
      </c>
      <c r="N298">
        <f>IFERROR(VLOOKUP(A298,vlookup_table!$A:$G,2,FALSE),"")</f>
        <v>0</v>
      </c>
      <c r="O298">
        <f>IFERROR(VLOOKUP(A298,vlookup_table!$A:$G,4,FALSE),"")</f>
        <v>1802</v>
      </c>
      <c r="P298" t="str">
        <f>IFERROR(VLOOKUP(A298,vlookup_table!$A:$G,5,FALSE),"")</f>
        <v>S2</v>
      </c>
      <c r="Q298">
        <f>IFERROR(VLOOKUP(A298,vlookup_table!$A:$G,7,FALSE),"")</f>
        <v>7</v>
      </c>
      <c r="R298">
        <f t="shared" si="16"/>
        <v>79</v>
      </c>
      <c r="S298" t="str" cm="1">
        <f t="array" ref="S298">IF(P298="","",_xlfn.SWITCH(LEFT(P298,1),"C","Ciudad","T","Pueblo","R","Rural","S","Suburbano","U","Urbano",""))</f>
        <v>Suburbano</v>
      </c>
      <c r="T298" t="str">
        <f t="shared" si="17"/>
        <v>F</v>
      </c>
      <c r="U298" t="str">
        <f t="shared" si="18"/>
        <v>TX</v>
      </c>
      <c r="V298" t="str">
        <f t="shared" si="19"/>
        <v>15322</v>
      </c>
    </row>
    <row r="299" spans="1:22" x14ac:dyDescent="0.35">
      <c r="A299" s="3">
        <v>10502</v>
      </c>
      <c r="B299" t="s">
        <v>29</v>
      </c>
      <c r="C299" t="s">
        <v>14</v>
      </c>
      <c r="D299">
        <v>1179</v>
      </c>
      <c r="E299">
        <v>464</v>
      </c>
      <c r="F299">
        <v>501</v>
      </c>
      <c r="G299">
        <v>2</v>
      </c>
      <c r="H299">
        <v>15910</v>
      </c>
      <c r="I299">
        <v>2</v>
      </c>
      <c r="J299">
        <v>82</v>
      </c>
      <c r="K299">
        <v>496</v>
      </c>
      <c r="L299">
        <v>462</v>
      </c>
      <c r="M299">
        <v>13.46666667</v>
      </c>
      <c r="N299">
        <f>IFERROR(VLOOKUP(A299,vlookup_table!$A:$G,2,FALSE),"")</f>
        <v>0</v>
      </c>
      <c r="O299">
        <f>IFERROR(VLOOKUP(A299,vlookup_table!$A:$G,4,FALSE),"")</f>
        <v>0</v>
      </c>
      <c r="P299" t="str">
        <f>IFERROR(VLOOKUP(A299,vlookup_table!$A:$G,5,FALSE),"")</f>
        <v>T2</v>
      </c>
      <c r="Q299">
        <f>IFERROR(VLOOKUP(A299,vlookup_table!$A:$G,7,FALSE),"")</f>
        <v>15</v>
      </c>
      <c r="R299">
        <f t="shared" si="16"/>
        <v>97</v>
      </c>
      <c r="S299" t="str" cm="1">
        <f t="array" ref="S299">IF(P299="","",_xlfn.SWITCH(LEFT(P299,1),"C","Ciudad","T","Pueblo","R","Rural","S","Suburbano","U","Urbano",""))</f>
        <v>Pueblo</v>
      </c>
      <c r="T299" t="str">
        <f t="shared" si="17"/>
        <v>M</v>
      </c>
      <c r="U299" t="str">
        <f t="shared" si="18"/>
        <v>MI</v>
      </c>
      <c r="V299" t="str">
        <f t="shared" si="19"/>
        <v>15910</v>
      </c>
    </row>
    <row r="300" spans="1:22" x14ac:dyDescent="0.35">
      <c r="A300" s="3">
        <v>46844</v>
      </c>
      <c r="B300" t="s">
        <v>43</v>
      </c>
      <c r="C300" t="s">
        <v>27</v>
      </c>
      <c r="D300">
        <v>453</v>
      </c>
      <c r="E300">
        <v>219</v>
      </c>
      <c r="F300">
        <v>299</v>
      </c>
      <c r="G300">
        <v>0</v>
      </c>
      <c r="H300">
        <v>9654</v>
      </c>
      <c r="I300">
        <v>0</v>
      </c>
      <c r="J300">
        <v>90</v>
      </c>
      <c r="K300">
        <v>264</v>
      </c>
      <c r="L300">
        <v>263</v>
      </c>
      <c r="M300">
        <v>7</v>
      </c>
      <c r="N300">
        <f>IFERROR(VLOOKUP(A300,vlookup_table!$A:$G,2,FALSE),"")</f>
        <v>0</v>
      </c>
      <c r="O300">
        <f>IFERROR(VLOOKUP(A300,vlookup_table!$A:$G,4,FALSE),"")</f>
        <v>0</v>
      </c>
      <c r="P300" t="str">
        <f>IFERROR(VLOOKUP(A300,vlookup_table!$A:$G,5,FALSE),"")</f>
        <v>R3</v>
      </c>
      <c r="Q300">
        <f>IFERROR(VLOOKUP(A300,vlookup_table!$A:$G,7,FALSE),"")</f>
        <v>10</v>
      </c>
      <c r="R300">
        <f t="shared" si="16"/>
        <v>97</v>
      </c>
      <c r="S300" t="str" cm="1">
        <f t="array" ref="S300">IF(P300="","",_xlfn.SWITCH(LEFT(P300,1),"C","Ciudad","T","Pueblo","R","Rural","S","Suburbano","U","Urbano",""))</f>
        <v>Rural</v>
      </c>
      <c r="T300" t="str">
        <f t="shared" si="17"/>
        <v>M</v>
      </c>
      <c r="U300" t="str">
        <f t="shared" si="18"/>
        <v>AL</v>
      </c>
      <c r="V300" t="str">
        <f t="shared" si="19"/>
        <v>9654</v>
      </c>
    </row>
    <row r="301" spans="1:22" x14ac:dyDescent="0.35">
      <c r="A301" s="3">
        <v>162814</v>
      </c>
      <c r="B301" t="s">
        <v>22</v>
      </c>
      <c r="C301" t="s">
        <v>14</v>
      </c>
      <c r="D301">
        <v>3365</v>
      </c>
      <c r="E301">
        <v>544</v>
      </c>
      <c r="F301">
        <v>621</v>
      </c>
      <c r="G301">
        <v>94</v>
      </c>
      <c r="H301">
        <v>27608</v>
      </c>
      <c r="I301">
        <v>8</v>
      </c>
      <c r="J301">
        <v>59</v>
      </c>
      <c r="K301">
        <v>525</v>
      </c>
      <c r="L301">
        <v>655</v>
      </c>
      <c r="M301">
        <v>6.2</v>
      </c>
      <c r="N301">
        <f>IFERROR(VLOOKUP(A301,vlookup_table!$A:$G,2,FALSE),"")</f>
        <v>1</v>
      </c>
      <c r="O301">
        <f>IFERROR(VLOOKUP(A301,vlookup_table!$A:$G,4,FALSE),"")</f>
        <v>3701</v>
      </c>
      <c r="P301" t="str">
        <f>IFERROR(VLOOKUP(A301,vlookup_table!$A:$G,5,FALSE),"")</f>
        <v>U1</v>
      </c>
      <c r="Q301">
        <f>IFERROR(VLOOKUP(A301,vlookup_table!$A:$G,7,FALSE),"")</f>
        <v>10</v>
      </c>
      <c r="R301">
        <f t="shared" si="16"/>
        <v>60</v>
      </c>
      <c r="S301" t="str" cm="1">
        <f t="array" ref="S301">IF(P301="","",_xlfn.SWITCH(LEFT(P301,1),"C","Ciudad","T","Pueblo","R","Rural","S","Suburbano","U","Urbano",""))</f>
        <v>Urbano</v>
      </c>
      <c r="T301" t="str">
        <f t="shared" si="17"/>
        <v>M</v>
      </c>
      <c r="U301" t="str">
        <f t="shared" si="18"/>
        <v>CA</v>
      </c>
      <c r="V301" t="str">
        <f t="shared" si="19"/>
        <v>27608</v>
      </c>
    </row>
    <row r="302" spans="1:22" x14ac:dyDescent="0.35">
      <c r="A302" s="3">
        <v>89653</v>
      </c>
      <c r="B302" t="s">
        <v>16</v>
      </c>
      <c r="C302" t="s">
        <v>14</v>
      </c>
      <c r="D302">
        <v>1315</v>
      </c>
      <c r="E302">
        <v>328</v>
      </c>
      <c r="F302">
        <v>472</v>
      </c>
      <c r="G302">
        <v>9</v>
      </c>
      <c r="H302">
        <v>15767</v>
      </c>
      <c r="I302">
        <v>5</v>
      </c>
      <c r="J302">
        <v>64</v>
      </c>
      <c r="K302">
        <v>384</v>
      </c>
      <c r="L302">
        <v>398</v>
      </c>
      <c r="M302">
        <v>4.8181818180000002</v>
      </c>
      <c r="N302">
        <f>IFERROR(VLOOKUP(A302,vlookup_table!$A:$G,2,FALSE),"")</f>
        <v>0</v>
      </c>
      <c r="O302">
        <f>IFERROR(VLOOKUP(A302,vlookup_table!$A:$G,4,FALSE),"")</f>
        <v>1708</v>
      </c>
      <c r="P302" t="str">
        <f>IFERROR(VLOOKUP(A302,vlookup_table!$A:$G,5,FALSE),"")</f>
        <v>C2</v>
      </c>
      <c r="Q302">
        <f>IFERROR(VLOOKUP(A302,vlookup_table!$A:$G,7,FALSE),"")</f>
        <v>3</v>
      </c>
      <c r="R302">
        <f t="shared" si="16"/>
        <v>80</v>
      </c>
      <c r="S302" t="str" cm="1">
        <f t="array" ref="S302">IF(P302="","",_xlfn.SWITCH(LEFT(P302,1),"C","Ciudad","T","Pueblo","R","Rural","S","Suburbano","U","Urbano",""))</f>
        <v>Ciudad</v>
      </c>
      <c r="T302" t="str">
        <f t="shared" si="17"/>
        <v>M</v>
      </c>
      <c r="U302" t="str">
        <f t="shared" si="18"/>
        <v>IL</v>
      </c>
      <c r="V302" t="str">
        <f t="shared" si="19"/>
        <v>15767</v>
      </c>
    </row>
    <row r="303" spans="1:22" x14ac:dyDescent="0.35">
      <c r="A303" s="3">
        <v>170818</v>
      </c>
      <c r="B303" t="s">
        <v>22</v>
      </c>
      <c r="C303" t="s">
        <v>17</v>
      </c>
      <c r="D303">
        <v>668</v>
      </c>
      <c r="E303">
        <v>187</v>
      </c>
      <c r="F303">
        <v>240</v>
      </c>
      <c r="G303">
        <v>0</v>
      </c>
      <c r="H303">
        <v>6845</v>
      </c>
      <c r="I303">
        <v>32</v>
      </c>
      <c r="J303">
        <v>39</v>
      </c>
      <c r="K303">
        <v>191</v>
      </c>
      <c r="L303">
        <v>239</v>
      </c>
      <c r="M303">
        <v>6</v>
      </c>
      <c r="N303">
        <f>IFERROR(VLOOKUP(A303,vlookup_table!$A:$G,2,FALSE),"")</f>
        <v>2</v>
      </c>
      <c r="O303">
        <f>IFERROR(VLOOKUP(A303,vlookup_table!$A:$G,4,FALSE),"")</f>
        <v>6209</v>
      </c>
      <c r="P303" t="str">
        <f>IFERROR(VLOOKUP(A303,vlookup_table!$A:$G,5,FALSE),"")</f>
        <v>S1</v>
      </c>
      <c r="Q303">
        <f>IFERROR(VLOOKUP(A303,vlookup_table!$A:$G,7,FALSE),"")</f>
        <v>10</v>
      </c>
      <c r="R303">
        <f t="shared" si="16"/>
        <v>35</v>
      </c>
      <c r="S303" t="str" cm="1">
        <f t="array" ref="S303">IF(P303="","",_xlfn.SWITCH(LEFT(P303,1),"C","Ciudad","T","Pueblo","R","Rural","S","Suburbano","U","Urbano",""))</f>
        <v>Suburbano</v>
      </c>
      <c r="T303" t="str">
        <f t="shared" si="17"/>
        <v>F</v>
      </c>
      <c r="U303" t="str">
        <f t="shared" si="18"/>
        <v>CA</v>
      </c>
      <c r="V303" t="str">
        <f t="shared" si="19"/>
        <v>6845</v>
      </c>
    </row>
    <row r="304" spans="1:22" x14ac:dyDescent="0.35">
      <c r="A304" s="3">
        <v>6147</v>
      </c>
      <c r="B304" t="s">
        <v>46</v>
      </c>
      <c r="C304" t="s">
        <v>14</v>
      </c>
      <c r="D304">
        <v>399</v>
      </c>
      <c r="E304">
        <v>221</v>
      </c>
      <c r="F304">
        <v>302</v>
      </c>
      <c r="G304">
        <v>0</v>
      </c>
      <c r="H304">
        <v>10150</v>
      </c>
      <c r="I304">
        <v>0</v>
      </c>
      <c r="J304">
        <v>88</v>
      </c>
      <c r="K304">
        <v>266</v>
      </c>
      <c r="L304">
        <v>259</v>
      </c>
      <c r="M304">
        <v>13.90909091</v>
      </c>
      <c r="N304">
        <f>IFERROR(VLOOKUP(A304,vlookup_table!$A:$G,2,FALSE),"")</f>
        <v>1</v>
      </c>
      <c r="O304">
        <f>IFERROR(VLOOKUP(A304,vlookup_table!$A:$G,4,FALSE),"")</f>
        <v>2101</v>
      </c>
      <c r="P304" t="str">
        <f>IFERROR(VLOOKUP(A304,vlookup_table!$A:$G,5,FALSE),"")</f>
        <v>T2</v>
      </c>
      <c r="Q304">
        <f>IFERROR(VLOOKUP(A304,vlookup_table!$A:$G,7,FALSE),"")</f>
        <v>24</v>
      </c>
      <c r="R304">
        <f t="shared" si="16"/>
        <v>76</v>
      </c>
      <c r="S304" t="str" cm="1">
        <f t="array" ref="S304">IF(P304="","",_xlfn.SWITCH(LEFT(P304,1),"C","Ciudad","T","Pueblo","R","Rural","S","Suburbano","U","Urbano",""))</f>
        <v>Pueblo</v>
      </c>
      <c r="T304" t="str">
        <f t="shared" si="17"/>
        <v>M</v>
      </c>
      <c r="U304" t="str">
        <f t="shared" si="18"/>
        <v>SC</v>
      </c>
      <c r="V304" t="str">
        <f t="shared" si="19"/>
        <v>10150</v>
      </c>
    </row>
    <row r="305" spans="1:22" x14ac:dyDescent="0.35">
      <c r="A305" s="3">
        <v>14276</v>
      </c>
      <c r="B305" t="s">
        <v>22</v>
      </c>
      <c r="C305" t="s">
        <v>17</v>
      </c>
      <c r="D305">
        <v>3200</v>
      </c>
      <c r="E305">
        <v>267</v>
      </c>
      <c r="F305">
        <v>338</v>
      </c>
      <c r="G305">
        <v>87</v>
      </c>
      <c r="H305">
        <v>11115</v>
      </c>
      <c r="I305">
        <v>36</v>
      </c>
      <c r="J305">
        <v>43</v>
      </c>
      <c r="K305">
        <v>292</v>
      </c>
      <c r="L305">
        <v>325</v>
      </c>
      <c r="M305">
        <v>13.2</v>
      </c>
      <c r="N305">
        <f>IFERROR(VLOOKUP(A305,vlookup_table!$A:$G,2,FALSE),"")</f>
        <v>0</v>
      </c>
      <c r="O305">
        <f>IFERROR(VLOOKUP(A305,vlookup_table!$A:$G,4,FALSE),"")</f>
        <v>2801</v>
      </c>
      <c r="P305" t="str">
        <f>IFERROR(VLOOKUP(A305,vlookup_table!$A:$G,5,FALSE),"")</f>
        <v>U2</v>
      </c>
      <c r="Q305">
        <f>IFERROR(VLOOKUP(A305,vlookup_table!$A:$G,7,FALSE),"")</f>
        <v>15</v>
      </c>
      <c r="R305">
        <f t="shared" si="16"/>
        <v>69</v>
      </c>
      <c r="S305" t="str" cm="1">
        <f t="array" ref="S305">IF(P305="","",_xlfn.SWITCH(LEFT(P305,1),"C","Ciudad","T","Pueblo","R","Rural","S","Suburbano","U","Urbano",""))</f>
        <v>Urbano</v>
      </c>
      <c r="T305" t="str">
        <f t="shared" si="17"/>
        <v>F</v>
      </c>
      <c r="U305" t="str">
        <f t="shared" si="18"/>
        <v>CA</v>
      </c>
      <c r="V305" t="str">
        <f t="shared" si="19"/>
        <v>11115</v>
      </c>
    </row>
    <row r="306" spans="1:22" x14ac:dyDescent="0.35">
      <c r="A306" s="3">
        <v>120166</v>
      </c>
      <c r="B306" t="s">
        <v>21</v>
      </c>
      <c r="C306" t="s">
        <v>17</v>
      </c>
      <c r="D306">
        <v>289</v>
      </c>
      <c r="E306">
        <v>171</v>
      </c>
      <c r="F306">
        <v>283</v>
      </c>
      <c r="G306">
        <v>0</v>
      </c>
      <c r="H306">
        <v>9765</v>
      </c>
      <c r="I306">
        <v>3</v>
      </c>
      <c r="J306">
        <v>83</v>
      </c>
      <c r="K306">
        <v>226</v>
      </c>
      <c r="L306">
        <v>224</v>
      </c>
      <c r="M306">
        <v>9.2142857140000007</v>
      </c>
      <c r="N306">
        <f>IFERROR(VLOOKUP(A306,vlookup_table!$A:$G,2,FALSE),"")</f>
        <v>28</v>
      </c>
      <c r="O306">
        <f>IFERROR(VLOOKUP(A306,vlookup_table!$A:$G,4,FALSE),"")</f>
        <v>2608</v>
      </c>
      <c r="P306" t="str">
        <f>IFERROR(VLOOKUP(A306,vlookup_table!$A:$G,5,FALSE),"")</f>
        <v>R3</v>
      </c>
      <c r="Q306">
        <f>IFERROR(VLOOKUP(A306,vlookup_table!$A:$G,7,FALSE),"")</f>
        <v>12</v>
      </c>
      <c r="R306">
        <f t="shared" si="16"/>
        <v>71</v>
      </c>
      <c r="S306" t="str" cm="1">
        <f t="array" ref="S306">IF(P306="","",_xlfn.SWITCH(LEFT(P306,1),"C","Ciudad","T","Pueblo","R","Rural","S","Suburbano","U","Urbano",""))</f>
        <v>Rural</v>
      </c>
      <c r="T306" t="str">
        <f t="shared" si="17"/>
        <v>F</v>
      </c>
      <c r="U306" t="str">
        <f t="shared" si="18"/>
        <v>TX</v>
      </c>
      <c r="V306" t="str">
        <f t="shared" si="19"/>
        <v>9765</v>
      </c>
    </row>
    <row r="307" spans="1:22" x14ac:dyDescent="0.35">
      <c r="A307" s="3">
        <v>156817</v>
      </c>
      <c r="B307" t="s">
        <v>22</v>
      </c>
      <c r="C307" t="s">
        <v>17</v>
      </c>
      <c r="D307">
        <v>1796</v>
      </c>
      <c r="E307">
        <v>266</v>
      </c>
      <c r="F307">
        <v>337</v>
      </c>
      <c r="G307">
        <v>33</v>
      </c>
      <c r="H307">
        <v>10720</v>
      </c>
      <c r="I307">
        <v>48</v>
      </c>
      <c r="J307">
        <v>32</v>
      </c>
      <c r="K307">
        <v>271</v>
      </c>
      <c r="L307">
        <v>334</v>
      </c>
      <c r="M307">
        <v>20</v>
      </c>
      <c r="N307">
        <f>IFERROR(VLOOKUP(A307,vlookup_table!$A:$G,2,FALSE),"")</f>
        <v>0</v>
      </c>
      <c r="O307">
        <f>IFERROR(VLOOKUP(A307,vlookup_table!$A:$G,4,FALSE),"")</f>
        <v>0</v>
      </c>
      <c r="P307" t="str">
        <f>IFERROR(VLOOKUP(A307,vlookup_table!$A:$G,5,FALSE),"")</f>
        <v>U2</v>
      </c>
      <c r="Q307">
        <f>IFERROR(VLOOKUP(A307,vlookup_table!$A:$G,7,FALSE),"")</f>
        <v>20</v>
      </c>
      <c r="R307">
        <f t="shared" si="16"/>
        <v>97</v>
      </c>
      <c r="S307" t="str" cm="1">
        <f t="array" ref="S307">IF(P307="","",_xlfn.SWITCH(LEFT(P307,1),"C","Ciudad","T","Pueblo","R","Rural","S","Suburbano","U","Urbano",""))</f>
        <v>Urbano</v>
      </c>
      <c r="T307" t="str">
        <f t="shared" si="17"/>
        <v>F</v>
      </c>
      <c r="U307" t="str">
        <f t="shared" si="18"/>
        <v>CA</v>
      </c>
      <c r="V307" t="str">
        <f t="shared" si="19"/>
        <v>10720</v>
      </c>
    </row>
    <row r="308" spans="1:22" x14ac:dyDescent="0.35">
      <c r="A308" s="3">
        <v>35476</v>
      </c>
      <c r="B308" t="s">
        <v>13</v>
      </c>
      <c r="C308" t="s">
        <v>14</v>
      </c>
      <c r="D308">
        <v>625</v>
      </c>
      <c r="E308">
        <v>259</v>
      </c>
      <c r="F308">
        <v>309</v>
      </c>
      <c r="G308">
        <v>0</v>
      </c>
      <c r="H308">
        <v>11072</v>
      </c>
      <c r="I308">
        <v>17</v>
      </c>
      <c r="J308">
        <v>16</v>
      </c>
      <c r="K308">
        <v>282</v>
      </c>
      <c r="L308">
        <v>299</v>
      </c>
      <c r="M308">
        <v>17.14285714</v>
      </c>
      <c r="N308">
        <f>IFERROR(VLOOKUP(A308,vlookup_table!$A:$G,2,FALSE),"")</f>
        <v>1</v>
      </c>
      <c r="O308">
        <f>IFERROR(VLOOKUP(A308,vlookup_table!$A:$G,4,FALSE),"")</f>
        <v>3609</v>
      </c>
      <c r="P308" t="str">
        <f>IFERROR(VLOOKUP(A308,vlookup_table!$A:$G,5,FALSE),"")</f>
        <v>C3</v>
      </c>
      <c r="Q308">
        <f>IFERROR(VLOOKUP(A308,vlookup_table!$A:$G,7,FALSE),"")</f>
        <v>25</v>
      </c>
      <c r="R308">
        <f t="shared" si="16"/>
        <v>61</v>
      </c>
      <c r="S308" t="str" cm="1">
        <f t="array" ref="S308">IF(P308="","",_xlfn.SWITCH(LEFT(P308,1),"C","Ciudad","T","Pueblo","R","Rural","S","Suburbano","U","Urbano",""))</f>
        <v>Ciudad</v>
      </c>
      <c r="T308" t="str">
        <f t="shared" si="17"/>
        <v>M</v>
      </c>
      <c r="U308" t="str">
        <f t="shared" si="18"/>
        <v>FL</v>
      </c>
      <c r="V308" t="str">
        <f t="shared" si="19"/>
        <v>11072</v>
      </c>
    </row>
    <row r="309" spans="1:22" x14ac:dyDescent="0.35">
      <c r="A309" s="3">
        <v>155382</v>
      </c>
      <c r="B309" t="s">
        <v>22</v>
      </c>
      <c r="C309" t="s">
        <v>17</v>
      </c>
      <c r="D309">
        <v>978</v>
      </c>
      <c r="E309">
        <v>290</v>
      </c>
      <c r="F309">
        <v>381</v>
      </c>
      <c r="G309">
        <v>6</v>
      </c>
      <c r="H309">
        <v>13490</v>
      </c>
      <c r="I309">
        <v>9</v>
      </c>
      <c r="J309">
        <v>50</v>
      </c>
      <c r="K309">
        <v>324</v>
      </c>
      <c r="L309">
        <v>349</v>
      </c>
      <c r="M309">
        <v>15.85</v>
      </c>
      <c r="N309">
        <f>IFERROR(VLOOKUP(A309,vlookup_table!$A:$G,2,FALSE),"")</f>
        <v>0</v>
      </c>
      <c r="O309">
        <f>IFERROR(VLOOKUP(A309,vlookup_table!$A:$G,4,FALSE),"")</f>
        <v>3301</v>
      </c>
      <c r="P309" t="str">
        <f>IFERROR(VLOOKUP(A309,vlookup_table!$A:$G,5,FALSE),"")</f>
        <v>U2</v>
      </c>
      <c r="Q309">
        <f>IFERROR(VLOOKUP(A309,vlookup_table!$A:$G,7,FALSE),"")</f>
        <v>30</v>
      </c>
      <c r="R309">
        <f t="shared" si="16"/>
        <v>64</v>
      </c>
      <c r="S309" t="str" cm="1">
        <f t="array" ref="S309">IF(P309="","",_xlfn.SWITCH(LEFT(P309,1),"C","Ciudad","T","Pueblo","R","Rural","S","Suburbano","U","Urbano",""))</f>
        <v>Urbano</v>
      </c>
      <c r="T309" t="str">
        <f t="shared" si="17"/>
        <v>F</v>
      </c>
      <c r="U309" t="str">
        <f t="shared" si="18"/>
        <v>CA</v>
      </c>
      <c r="V309" t="str">
        <f t="shared" si="19"/>
        <v>13490</v>
      </c>
    </row>
    <row r="310" spans="1:22" x14ac:dyDescent="0.35">
      <c r="A310" s="3">
        <v>104049</v>
      </c>
      <c r="B310" t="s">
        <v>36</v>
      </c>
      <c r="C310" t="s">
        <v>14</v>
      </c>
      <c r="D310">
        <v>367</v>
      </c>
      <c r="E310">
        <v>159</v>
      </c>
      <c r="F310">
        <v>222</v>
      </c>
      <c r="G310">
        <v>0</v>
      </c>
      <c r="H310">
        <v>8893</v>
      </c>
      <c r="I310">
        <v>0</v>
      </c>
      <c r="J310">
        <v>63</v>
      </c>
      <c r="K310">
        <v>186</v>
      </c>
      <c r="L310">
        <v>193</v>
      </c>
      <c r="M310">
        <v>3.1666666669999999</v>
      </c>
      <c r="N310">
        <f>IFERROR(VLOOKUP(A310,vlookup_table!$A:$G,2,FALSE),"")</f>
        <v>0</v>
      </c>
      <c r="O310">
        <f>IFERROR(VLOOKUP(A310,vlookup_table!$A:$G,4,FALSE),"")</f>
        <v>0</v>
      </c>
      <c r="P310" t="str">
        <f>IFERROR(VLOOKUP(A310,vlookup_table!$A:$G,5,FALSE),"")</f>
        <v>R3</v>
      </c>
      <c r="Q310">
        <f>IFERROR(VLOOKUP(A310,vlookup_table!$A:$G,7,FALSE),"")</f>
        <v>3</v>
      </c>
      <c r="R310">
        <f t="shared" si="16"/>
        <v>97</v>
      </c>
      <c r="S310" t="str" cm="1">
        <f t="array" ref="S310">IF(P310="","",_xlfn.SWITCH(LEFT(P310,1),"C","Ciudad","T","Pueblo","R","Rural","S","Suburbano","U","Urbano",""))</f>
        <v>Rural</v>
      </c>
      <c r="T310" t="str">
        <f t="shared" si="17"/>
        <v>M</v>
      </c>
      <c r="U310" t="str">
        <f t="shared" si="18"/>
        <v>MO</v>
      </c>
      <c r="V310" t="str">
        <f t="shared" si="19"/>
        <v>8893</v>
      </c>
    </row>
    <row r="311" spans="1:22" x14ac:dyDescent="0.35">
      <c r="A311" s="3">
        <v>112461</v>
      </c>
      <c r="B311" t="s">
        <v>32</v>
      </c>
      <c r="C311" t="s">
        <v>14</v>
      </c>
      <c r="D311">
        <v>376</v>
      </c>
      <c r="E311">
        <v>178</v>
      </c>
      <c r="F311">
        <v>256</v>
      </c>
      <c r="G311">
        <v>3</v>
      </c>
      <c r="H311">
        <v>8246</v>
      </c>
      <c r="I311">
        <v>0</v>
      </c>
      <c r="J311">
        <v>57</v>
      </c>
      <c r="K311">
        <v>195</v>
      </c>
      <c r="L311">
        <v>231</v>
      </c>
      <c r="M311">
        <v>9.4117647059999996</v>
      </c>
      <c r="N311">
        <f>IFERROR(VLOOKUP(A311,vlookup_table!$A:$G,2,FALSE),"")</f>
        <v>1</v>
      </c>
      <c r="O311">
        <f>IFERROR(VLOOKUP(A311,vlookup_table!$A:$G,4,FALSE),"")</f>
        <v>2401</v>
      </c>
      <c r="P311" t="str">
        <f>IFERROR(VLOOKUP(A311,vlookup_table!$A:$G,5,FALSE),"")</f>
        <v>R3</v>
      </c>
      <c r="Q311">
        <f>IFERROR(VLOOKUP(A311,vlookup_table!$A:$G,7,FALSE),"")</f>
        <v>10</v>
      </c>
      <c r="R311">
        <f t="shared" si="16"/>
        <v>73</v>
      </c>
      <c r="S311" t="str" cm="1">
        <f t="array" ref="S311">IF(P311="","",_xlfn.SWITCH(LEFT(P311,1),"C","Ciudad","T","Pueblo","R","Rural","S","Suburbano","U","Urbano",""))</f>
        <v>Rural</v>
      </c>
      <c r="T311" t="str">
        <f t="shared" si="17"/>
        <v>M</v>
      </c>
      <c r="U311" t="str">
        <f t="shared" si="18"/>
        <v>AR</v>
      </c>
      <c r="V311" t="str">
        <f t="shared" si="19"/>
        <v>8246</v>
      </c>
    </row>
    <row r="312" spans="1:22" x14ac:dyDescent="0.35">
      <c r="A312" s="3">
        <v>79580</v>
      </c>
      <c r="B312" t="s">
        <v>35</v>
      </c>
      <c r="C312" t="s">
        <v>17</v>
      </c>
      <c r="D312">
        <v>937</v>
      </c>
      <c r="E312">
        <v>321</v>
      </c>
      <c r="F312">
        <v>545</v>
      </c>
      <c r="G312">
        <v>7</v>
      </c>
      <c r="H312">
        <v>18567</v>
      </c>
      <c r="I312">
        <v>13</v>
      </c>
      <c r="J312">
        <v>52</v>
      </c>
      <c r="K312">
        <v>441</v>
      </c>
      <c r="L312">
        <v>433</v>
      </c>
      <c r="M312">
        <v>15</v>
      </c>
      <c r="N312">
        <f>IFERROR(VLOOKUP(A312,vlookup_table!$A:$G,2,FALSE),"")</f>
        <v>2</v>
      </c>
      <c r="O312">
        <f>IFERROR(VLOOKUP(A312,vlookup_table!$A:$G,4,FALSE),"")</f>
        <v>201</v>
      </c>
      <c r="P312" t="str">
        <f>IFERROR(VLOOKUP(A312,vlookup_table!$A:$G,5,FALSE),"")</f>
        <v>U1</v>
      </c>
      <c r="Q312">
        <f>IFERROR(VLOOKUP(A312,vlookup_table!$A:$G,7,FALSE),"")</f>
        <v>21</v>
      </c>
      <c r="R312">
        <f t="shared" si="16"/>
        <v>95</v>
      </c>
      <c r="S312" t="str" cm="1">
        <f t="array" ref="S312">IF(P312="","",_xlfn.SWITCH(LEFT(P312,1),"C","Ciudad","T","Pueblo","R","Rural","S","Suburbano","U","Urbano",""))</f>
        <v>Urbano</v>
      </c>
      <c r="T312" t="str">
        <f t="shared" si="17"/>
        <v>F</v>
      </c>
      <c r="U312" t="str">
        <f t="shared" si="18"/>
        <v>WI</v>
      </c>
      <c r="V312" t="str">
        <f t="shared" si="19"/>
        <v>18567</v>
      </c>
    </row>
    <row r="313" spans="1:22" x14ac:dyDescent="0.35">
      <c r="A313" s="3">
        <v>86528</v>
      </c>
      <c r="B313" t="s">
        <v>45</v>
      </c>
      <c r="C313" t="s">
        <v>17</v>
      </c>
      <c r="D313">
        <v>675</v>
      </c>
      <c r="E313">
        <v>272</v>
      </c>
      <c r="F313">
        <v>358</v>
      </c>
      <c r="G313">
        <v>1</v>
      </c>
      <c r="H313">
        <v>13135</v>
      </c>
      <c r="I313">
        <v>1</v>
      </c>
      <c r="J313">
        <v>81</v>
      </c>
      <c r="K313">
        <v>310</v>
      </c>
      <c r="L313">
        <v>301</v>
      </c>
      <c r="M313">
        <v>3.0833333330000001</v>
      </c>
      <c r="N313">
        <f>IFERROR(VLOOKUP(A313,vlookup_table!$A:$G,2,FALSE),"")</f>
        <v>2</v>
      </c>
      <c r="O313">
        <f>IFERROR(VLOOKUP(A313,vlookup_table!$A:$G,4,FALSE),"")</f>
        <v>0</v>
      </c>
      <c r="P313" t="str">
        <f>IFERROR(VLOOKUP(A313,vlookup_table!$A:$G,5,FALSE),"")</f>
        <v>T2</v>
      </c>
      <c r="Q313">
        <f>IFERROR(VLOOKUP(A313,vlookup_table!$A:$G,7,FALSE),"")</f>
        <v>3</v>
      </c>
      <c r="R313">
        <f t="shared" si="16"/>
        <v>97</v>
      </c>
      <c r="S313" t="str" cm="1">
        <f t="array" ref="S313">IF(P313="","",_xlfn.SWITCH(LEFT(P313,1),"C","Ciudad","T","Pueblo","R","Rural","S","Suburbano","U","Urbano",""))</f>
        <v>Pueblo</v>
      </c>
      <c r="T313" t="str">
        <f t="shared" si="17"/>
        <v>F</v>
      </c>
      <c r="U313" t="str">
        <f t="shared" si="18"/>
        <v>ND</v>
      </c>
      <c r="V313" t="str">
        <f t="shared" si="19"/>
        <v>13135</v>
      </c>
    </row>
    <row r="314" spans="1:22" x14ac:dyDescent="0.35">
      <c r="A314" s="3">
        <v>107658</v>
      </c>
      <c r="B314" t="s">
        <v>59</v>
      </c>
      <c r="C314" t="s">
        <v>17</v>
      </c>
      <c r="D314">
        <v>232</v>
      </c>
      <c r="E314">
        <v>197</v>
      </c>
      <c r="F314">
        <v>280</v>
      </c>
      <c r="G314">
        <v>0</v>
      </c>
      <c r="H314">
        <v>9480</v>
      </c>
      <c r="I314">
        <v>1</v>
      </c>
      <c r="J314">
        <v>81</v>
      </c>
      <c r="K314">
        <v>259</v>
      </c>
      <c r="L314">
        <v>229</v>
      </c>
      <c r="M314">
        <v>6.9285714289999998</v>
      </c>
      <c r="N314">
        <f>IFERROR(VLOOKUP(A314,vlookup_table!$A:$G,2,FALSE),"")</f>
        <v>28</v>
      </c>
      <c r="O314">
        <f>IFERROR(VLOOKUP(A314,vlookup_table!$A:$G,4,FALSE),"")</f>
        <v>0</v>
      </c>
      <c r="P314" t="str">
        <f>IFERROR(VLOOKUP(A314,vlookup_table!$A:$G,5,FALSE),"")</f>
        <v>R2</v>
      </c>
      <c r="Q314">
        <f>IFERROR(VLOOKUP(A314,vlookup_table!$A:$G,7,FALSE),"")</f>
        <v>10</v>
      </c>
      <c r="R314">
        <f t="shared" si="16"/>
        <v>97</v>
      </c>
      <c r="S314" t="str" cm="1">
        <f t="array" ref="S314">IF(P314="","",_xlfn.SWITCH(LEFT(P314,1),"C","Ciudad","T","Pueblo","R","Rural","S","Suburbano","U","Urbano",""))</f>
        <v>Rural</v>
      </c>
      <c r="T314" t="str">
        <f t="shared" si="17"/>
        <v>F</v>
      </c>
      <c r="U314" t="str">
        <f t="shared" si="18"/>
        <v>NE</v>
      </c>
      <c r="V314" t="str">
        <f t="shared" si="19"/>
        <v>9480</v>
      </c>
    </row>
    <row r="315" spans="1:22" x14ac:dyDescent="0.35">
      <c r="A315" s="3">
        <v>69537</v>
      </c>
      <c r="B315" t="s">
        <v>29</v>
      </c>
      <c r="C315" t="s">
        <v>17</v>
      </c>
      <c r="D315">
        <v>545</v>
      </c>
      <c r="E315">
        <v>364</v>
      </c>
      <c r="F315">
        <v>416</v>
      </c>
      <c r="G315">
        <v>0</v>
      </c>
      <c r="H315">
        <v>11401</v>
      </c>
      <c r="I315">
        <v>2</v>
      </c>
      <c r="J315">
        <v>89</v>
      </c>
      <c r="K315">
        <v>382</v>
      </c>
      <c r="L315">
        <v>400</v>
      </c>
      <c r="M315">
        <v>8.6</v>
      </c>
      <c r="N315">
        <f>IFERROR(VLOOKUP(A315,vlookup_table!$A:$G,2,FALSE),"")</f>
        <v>0</v>
      </c>
      <c r="O315">
        <f>IFERROR(VLOOKUP(A315,vlookup_table!$A:$G,4,FALSE),"")</f>
        <v>2801</v>
      </c>
      <c r="P315" t="str">
        <f>IFERROR(VLOOKUP(A315,vlookup_table!$A:$G,5,FALSE),"")</f>
        <v>R2</v>
      </c>
      <c r="Q315">
        <f>IFERROR(VLOOKUP(A315,vlookup_table!$A:$G,7,FALSE),"")</f>
        <v>15</v>
      </c>
      <c r="R315">
        <f t="shared" si="16"/>
        <v>69</v>
      </c>
      <c r="S315" t="str" cm="1">
        <f t="array" ref="S315">IF(P315="","",_xlfn.SWITCH(LEFT(P315,1),"C","Ciudad","T","Pueblo","R","Rural","S","Suburbano","U","Urbano",""))</f>
        <v>Rural</v>
      </c>
      <c r="T315" t="str">
        <f t="shared" si="17"/>
        <v>F</v>
      </c>
      <c r="U315" t="str">
        <f t="shared" si="18"/>
        <v>MI</v>
      </c>
      <c r="V315" t="str">
        <f t="shared" si="19"/>
        <v>11401</v>
      </c>
    </row>
    <row r="316" spans="1:22" x14ac:dyDescent="0.35">
      <c r="A316" s="3">
        <v>81284</v>
      </c>
      <c r="B316" t="s">
        <v>35</v>
      </c>
      <c r="C316" t="s">
        <v>17</v>
      </c>
      <c r="D316">
        <v>458</v>
      </c>
      <c r="E316">
        <v>228</v>
      </c>
      <c r="F316">
        <v>318</v>
      </c>
      <c r="G316">
        <v>0</v>
      </c>
      <c r="H316">
        <v>10731</v>
      </c>
      <c r="I316">
        <v>4</v>
      </c>
      <c r="J316">
        <v>82</v>
      </c>
      <c r="K316">
        <v>270</v>
      </c>
      <c r="L316">
        <v>276</v>
      </c>
      <c r="M316">
        <v>13.4</v>
      </c>
      <c r="N316">
        <f>IFERROR(VLOOKUP(A316,vlookup_table!$A:$G,2,FALSE),"")</f>
        <v>2</v>
      </c>
      <c r="O316">
        <f>IFERROR(VLOOKUP(A316,vlookup_table!$A:$G,4,FALSE),"")</f>
        <v>4308</v>
      </c>
      <c r="P316" t="str">
        <f>IFERROR(VLOOKUP(A316,vlookup_table!$A:$G,5,FALSE),"")</f>
        <v>C2</v>
      </c>
      <c r="Q316">
        <f>IFERROR(VLOOKUP(A316,vlookup_table!$A:$G,7,FALSE),"")</f>
        <v>25</v>
      </c>
      <c r="R316">
        <f t="shared" si="16"/>
        <v>54</v>
      </c>
      <c r="S316" t="str" cm="1">
        <f t="array" ref="S316">IF(P316="","",_xlfn.SWITCH(LEFT(P316,1),"C","Ciudad","T","Pueblo","R","Rural","S","Suburbano","U","Urbano",""))</f>
        <v>Ciudad</v>
      </c>
      <c r="T316" t="str">
        <f t="shared" si="17"/>
        <v>F</v>
      </c>
      <c r="U316" t="str">
        <f t="shared" si="18"/>
        <v>WI</v>
      </c>
      <c r="V316" t="str">
        <f t="shared" si="19"/>
        <v>10731</v>
      </c>
    </row>
    <row r="317" spans="1:22" x14ac:dyDescent="0.35">
      <c r="A317" s="3">
        <v>32475</v>
      </c>
      <c r="B317" t="s">
        <v>13</v>
      </c>
      <c r="C317" t="s">
        <v>14</v>
      </c>
      <c r="D317">
        <v>814</v>
      </c>
      <c r="E317">
        <v>271</v>
      </c>
      <c r="F317">
        <v>324</v>
      </c>
      <c r="G317">
        <v>3</v>
      </c>
      <c r="H317">
        <v>10488</v>
      </c>
      <c r="I317">
        <v>2</v>
      </c>
      <c r="J317">
        <v>52</v>
      </c>
      <c r="K317">
        <v>268</v>
      </c>
      <c r="L317">
        <v>312</v>
      </c>
      <c r="M317">
        <v>16.399999999999999</v>
      </c>
      <c r="N317">
        <f>IFERROR(VLOOKUP(A317,vlookup_table!$A:$G,2,FALSE),"")</f>
        <v>1</v>
      </c>
      <c r="O317">
        <f>IFERROR(VLOOKUP(A317,vlookup_table!$A:$G,4,FALSE),"")</f>
        <v>0</v>
      </c>
      <c r="P317" t="str">
        <f>IFERROR(VLOOKUP(A317,vlookup_table!$A:$G,5,FALSE),"")</f>
        <v>T2</v>
      </c>
      <c r="Q317">
        <f>IFERROR(VLOOKUP(A317,vlookup_table!$A:$G,7,FALSE),"")</f>
        <v>20</v>
      </c>
      <c r="R317">
        <f t="shared" si="16"/>
        <v>97</v>
      </c>
      <c r="S317" t="str" cm="1">
        <f t="array" ref="S317">IF(P317="","",_xlfn.SWITCH(LEFT(P317,1),"C","Ciudad","T","Pueblo","R","Rural","S","Suburbano","U","Urbano",""))</f>
        <v>Pueblo</v>
      </c>
      <c r="T317" t="str">
        <f t="shared" si="17"/>
        <v>M</v>
      </c>
      <c r="U317" t="str">
        <f t="shared" si="18"/>
        <v>FL</v>
      </c>
      <c r="V317" t="str">
        <f t="shared" si="19"/>
        <v>10488</v>
      </c>
    </row>
    <row r="318" spans="1:22" x14ac:dyDescent="0.35">
      <c r="A318" s="3">
        <v>104505</v>
      </c>
      <c r="B318" t="s">
        <v>28</v>
      </c>
      <c r="C318" t="s">
        <v>17</v>
      </c>
      <c r="D318">
        <v>671</v>
      </c>
      <c r="E318">
        <v>320</v>
      </c>
      <c r="F318">
        <v>376</v>
      </c>
      <c r="G318">
        <v>0</v>
      </c>
      <c r="H318">
        <v>12950</v>
      </c>
      <c r="I318">
        <v>0</v>
      </c>
      <c r="J318">
        <v>57</v>
      </c>
      <c r="K318">
        <v>340</v>
      </c>
      <c r="L318">
        <v>349</v>
      </c>
      <c r="M318">
        <v>10</v>
      </c>
      <c r="N318">
        <f>IFERROR(VLOOKUP(A318,vlookup_table!$A:$G,2,FALSE),"")</f>
        <v>2</v>
      </c>
      <c r="O318">
        <f>IFERROR(VLOOKUP(A318,vlookup_table!$A:$G,4,FALSE),"")</f>
        <v>3801</v>
      </c>
      <c r="P318" t="str">
        <f>IFERROR(VLOOKUP(A318,vlookup_table!$A:$G,5,FALSE),"")</f>
        <v>R2</v>
      </c>
      <c r="Q318">
        <f>IFERROR(VLOOKUP(A318,vlookup_table!$A:$G,7,FALSE),"")</f>
        <v>25</v>
      </c>
      <c r="R318">
        <f t="shared" si="16"/>
        <v>59</v>
      </c>
      <c r="S318" t="str" cm="1">
        <f t="array" ref="S318">IF(P318="","",_xlfn.SWITCH(LEFT(P318,1),"C","Ciudad","T","Pueblo","R","Rural","S","Suburbano","U","Urbano",""))</f>
        <v>Rural</v>
      </c>
      <c r="T318" t="str">
        <f t="shared" si="17"/>
        <v>F</v>
      </c>
      <c r="U318" t="str">
        <f t="shared" si="18"/>
        <v>KS</v>
      </c>
      <c r="V318" t="str">
        <f t="shared" si="19"/>
        <v>12950</v>
      </c>
    </row>
    <row r="319" spans="1:22" x14ac:dyDescent="0.35">
      <c r="A319" s="3">
        <v>13483</v>
      </c>
      <c r="B319" t="s">
        <v>35</v>
      </c>
      <c r="C319" t="s">
        <v>17</v>
      </c>
      <c r="D319">
        <v>452</v>
      </c>
      <c r="E319">
        <v>293</v>
      </c>
      <c r="F319">
        <v>371</v>
      </c>
      <c r="G319">
        <v>0</v>
      </c>
      <c r="H319">
        <v>10979</v>
      </c>
      <c r="I319">
        <v>0</v>
      </c>
      <c r="J319">
        <v>91</v>
      </c>
      <c r="K319">
        <v>316</v>
      </c>
      <c r="L319">
        <v>339</v>
      </c>
      <c r="M319">
        <v>6.34</v>
      </c>
      <c r="N319">
        <f>IFERROR(VLOOKUP(A319,vlookup_table!$A:$G,2,FALSE),"")</f>
        <v>0</v>
      </c>
      <c r="O319">
        <f>IFERROR(VLOOKUP(A319,vlookup_table!$A:$G,4,FALSE),"")</f>
        <v>0</v>
      </c>
      <c r="P319" t="str">
        <f>IFERROR(VLOOKUP(A319,vlookup_table!$A:$G,5,FALSE),"")</f>
        <v>R3</v>
      </c>
      <c r="Q319">
        <f>IFERROR(VLOOKUP(A319,vlookup_table!$A:$G,7,FALSE),"")</f>
        <v>17</v>
      </c>
      <c r="R319">
        <f t="shared" si="16"/>
        <v>97</v>
      </c>
      <c r="S319" t="str" cm="1">
        <f t="array" ref="S319">IF(P319="","",_xlfn.SWITCH(LEFT(P319,1),"C","Ciudad","T","Pueblo","R","Rural","S","Suburbano","U","Urbano",""))</f>
        <v>Rural</v>
      </c>
      <c r="T319" t="str">
        <f t="shared" si="17"/>
        <v>F</v>
      </c>
      <c r="U319" t="str">
        <f t="shared" si="18"/>
        <v>WI</v>
      </c>
      <c r="V319" t="str">
        <f t="shared" si="19"/>
        <v>10979</v>
      </c>
    </row>
    <row r="320" spans="1:22" x14ac:dyDescent="0.35">
      <c r="A320" s="3">
        <v>1042</v>
      </c>
      <c r="B320" t="s">
        <v>50</v>
      </c>
      <c r="C320" t="s">
        <v>14</v>
      </c>
      <c r="D320">
        <v>826</v>
      </c>
      <c r="E320">
        <v>314</v>
      </c>
      <c r="F320">
        <v>426</v>
      </c>
      <c r="G320">
        <v>7</v>
      </c>
      <c r="H320">
        <v>14958</v>
      </c>
      <c r="I320">
        <v>3</v>
      </c>
      <c r="J320">
        <v>34</v>
      </c>
      <c r="K320">
        <v>348</v>
      </c>
      <c r="L320">
        <v>390</v>
      </c>
      <c r="M320">
        <v>9.1875</v>
      </c>
      <c r="N320">
        <f>IFERROR(VLOOKUP(A320,vlookup_table!$A:$G,2,FALSE),"")</f>
        <v>1</v>
      </c>
      <c r="O320">
        <f>IFERROR(VLOOKUP(A320,vlookup_table!$A:$G,4,FALSE),"")</f>
        <v>810</v>
      </c>
      <c r="P320" t="str">
        <f>IFERROR(VLOOKUP(A320,vlookup_table!$A:$G,5,FALSE),"")</f>
        <v>T1</v>
      </c>
      <c r="Q320">
        <f>IFERROR(VLOOKUP(A320,vlookup_table!$A:$G,7,FALSE),"")</f>
        <v>8</v>
      </c>
      <c r="R320">
        <f t="shared" si="16"/>
        <v>89</v>
      </c>
      <c r="S320" t="str" cm="1">
        <f t="array" ref="S320">IF(P320="","",_xlfn.SWITCH(LEFT(P320,1),"C","Ciudad","T","Pueblo","R","Rural","S","Suburbano","U","Urbano",""))</f>
        <v>Pueblo</v>
      </c>
      <c r="T320" t="str">
        <f t="shared" si="17"/>
        <v>M</v>
      </c>
      <c r="U320" t="str">
        <f t="shared" si="18"/>
        <v>OR</v>
      </c>
      <c r="V320" t="str">
        <f t="shared" si="19"/>
        <v>14958</v>
      </c>
    </row>
    <row r="321" spans="1:22" x14ac:dyDescent="0.35">
      <c r="A321" s="3">
        <v>28337</v>
      </c>
      <c r="B321" t="s">
        <v>39</v>
      </c>
      <c r="C321" t="s">
        <v>14</v>
      </c>
      <c r="D321">
        <v>860</v>
      </c>
      <c r="E321">
        <v>324</v>
      </c>
      <c r="F321">
        <v>375</v>
      </c>
      <c r="G321">
        <v>0</v>
      </c>
      <c r="H321">
        <v>15491</v>
      </c>
      <c r="I321">
        <v>15</v>
      </c>
      <c r="J321">
        <v>35</v>
      </c>
      <c r="K321">
        <v>351</v>
      </c>
      <c r="L321">
        <v>346</v>
      </c>
      <c r="M321">
        <v>11.33333333</v>
      </c>
      <c r="N321">
        <f>IFERROR(VLOOKUP(A321,vlookup_table!$A:$G,2,FALSE),"")</f>
        <v>1</v>
      </c>
      <c r="O321">
        <f>IFERROR(VLOOKUP(A321,vlookup_table!$A:$G,4,FALSE),"")</f>
        <v>2801</v>
      </c>
      <c r="P321" t="str">
        <f>IFERROR(VLOOKUP(A321,vlookup_table!$A:$G,5,FALSE),"")</f>
        <v>S2</v>
      </c>
      <c r="Q321">
        <f>IFERROR(VLOOKUP(A321,vlookup_table!$A:$G,7,FALSE),"")</f>
        <v>20</v>
      </c>
      <c r="R321">
        <f t="shared" si="16"/>
        <v>69</v>
      </c>
      <c r="S321" t="str" cm="1">
        <f t="array" ref="S321">IF(P321="","",_xlfn.SWITCH(LEFT(P321,1),"C","Ciudad","T","Pueblo","R","Rural","S","Suburbano","U","Urbano",""))</f>
        <v>Suburbano</v>
      </c>
      <c r="T321" t="str">
        <f t="shared" si="17"/>
        <v>M</v>
      </c>
      <c r="U321" t="str">
        <f t="shared" si="18"/>
        <v>GA</v>
      </c>
      <c r="V321" t="str">
        <f t="shared" si="19"/>
        <v>15491</v>
      </c>
    </row>
    <row r="322" spans="1:22" x14ac:dyDescent="0.35">
      <c r="A322" s="3">
        <v>67808</v>
      </c>
      <c r="B322" t="s">
        <v>29</v>
      </c>
      <c r="C322" t="s">
        <v>17</v>
      </c>
      <c r="D322">
        <v>185</v>
      </c>
      <c r="E322">
        <v>277</v>
      </c>
      <c r="F322">
        <v>286</v>
      </c>
      <c r="G322">
        <v>0</v>
      </c>
      <c r="H322">
        <v>10788</v>
      </c>
      <c r="I322">
        <v>8</v>
      </c>
      <c r="J322">
        <v>63</v>
      </c>
      <c r="K322">
        <v>283</v>
      </c>
      <c r="L322">
        <v>312</v>
      </c>
      <c r="M322">
        <v>8.7878787880000004</v>
      </c>
      <c r="N322">
        <f>IFERROR(VLOOKUP(A322,vlookup_table!$A:$G,2,FALSE),"")</f>
        <v>0</v>
      </c>
      <c r="O322">
        <f>IFERROR(VLOOKUP(A322,vlookup_table!$A:$G,4,FALSE),"")</f>
        <v>2207</v>
      </c>
      <c r="P322" t="str">
        <f>IFERROR(VLOOKUP(A322,vlookup_table!$A:$G,5,FALSE),"")</f>
        <v>U4</v>
      </c>
      <c r="Q322">
        <f>IFERROR(VLOOKUP(A322,vlookup_table!$A:$G,7,FALSE),"")</f>
        <v>10</v>
      </c>
      <c r="R322">
        <f t="shared" ref="R322:R385" si="20">IF(O322="","",97-INT(O322/100))</f>
        <v>75</v>
      </c>
      <c r="S322" t="str" cm="1">
        <f t="array" ref="S322">IF(P322="","",_xlfn.SWITCH(LEFT(P322,1),"C","Ciudad","T","Pueblo","R","Rural","S","Suburbano","U","Urbano",""))</f>
        <v>Urbano</v>
      </c>
      <c r="T322" t="str">
        <f t="shared" ref="T322:T385" si="21">IF(C322="","",IF(OR(UPPER(C322)="M",UPPER(C322)="MALE"),"M",IF(OR(UPPER(C322)="F",UPPER(C322)="FEMALE",UPPER(C322)="FEAMALE"),"F",C322)))</f>
        <v>F</v>
      </c>
      <c r="U322" t="str">
        <f t="shared" ref="U322:U385" si="22">IF(OR(UPPER(B322)="CALIFORNIA",UPPER(B322)="CALI"),"CA",B322)</f>
        <v>MI</v>
      </c>
      <c r="V322" t="str">
        <f t="shared" ref="V322:V385" si="23">SUBSTITUTE(H322,"@","")</f>
        <v>10788</v>
      </c>
    </row>
    <row r="323" spans="1:22" x14ac:dyDescent="0.35">
      <c r="A323" s="3">
        <v>35017</v>
      </c>
      <c r="B323" t="s">
        <v>13</v>
      </c>
      <c r="C323" t="s">
        <v>14</v>
      </c>
      <c r="D323">
        <v>576</v>
      </c>
      <c r="E323">
        <v>200</v>
      </c>
      <c r="F323">
        <v>324</v>
      </c>
      <c r="G323">
        <v>0</v>
      </c>
      <c r="H323">
        <v>12518</v>
      </c>
      <c r="I323">
        <v>8</v>
      </c>
      <c r="J323">
        <v>12</v>
      </c>
      <c r="K323">
        <v>280</v>
      </c>
      <c r="L323">
        <v>244</v>
      </c>
      <c r="M323">
        <v>12.90909091</v>
      </c>
      <c r="N323">
        <f>IFERROR(VLOOKUP(A323,vlookup_table!$A:$G,2,FALSE),"")</f>
        <v>2</v>
      </c>
      <c r="O323">
        <f>IFERROR(VLOOKUP(A323,vlookup_table!$A:$G,4,FALSE),"")</f>
        <v>2101</v>
      </c>
      <c r="P323" t="str">
        <f>IFERROR(VLOOKUP(A323,vlookup_table!$A:$G,5,FALSE),"")</f>
        <v>T2</v>
      </c>
      <c r="Q323">
        <f>IFERROR(VLOOKUP(A323,vlookup_table!$A:$G,7,FALSE),"")</f>
        <v>10</v>
      </c>
      <c r="R323">
        <f t="shared" si="20"/>
        <v>76</v>
      </c>
      <c r="S323" t="str" cm="1">
        <f t="array" ref="S323">IF(P323="","",_xlfn.SWITCH(LEFT(P323,1),"C","Ciudad","T","Pueblo","R","Rural","S","Suburbano","U","Urbano",""))</f>
        <v>Pueblo</v>
      </c>
      <c r="T323" t="str">
        <f t="shared" si="21"/>
        <v>M</v>
      </c>
      <c r="U323" t="str">
        <f t="shared" si="22"/>
        <v>FL</v>
      </c>
      <c r="V323" t="str">
        <f t="shared" si="23"/>
        <v>12518</v>
      </c>
    </row>
    <row r="324" spans="1:22" x14ac:dyDescent="0.35">
      <c r="A324" s="3">
        <v>10973</v>
      </c>
      <c r="B324" t="s">
        <v>22</v>
      </c>
      <c r="C324" t="s">
        <v>14</v>
      </c>
      <c r="D324">
        <v>2431</v>
      </c>
      <c r="E324">
        <v>563</v>
      </c>
      <c r="F324">
        <v>660</v>
      </c>
      <c r="G324">
        <v>75</v>
      </c>
      <c r="H324">
        <v>24290</v>
      </c>
      <c r="I324">
        <v>8</v>
      </c>
      <c r="J324">
        <v>59</v>
      </c>
      <c r="K324">
        <v>579</v>
      </c>
      <c r="L324">
        <v>655</v>
      </c>
      <c r="M324">
        <v>10.89473684</v>
      </c>
      <c r="N324">
        <f>IFERROR(VLOOKUP(A324,vlookup_table!$A:$G,2,FALSE),"")</f>
        <v>1</v>
      </c>
      <c r="O324">
        <f>IFERROR(VLOOKUP(A324,vlookup_table!$A:$G,4,FALSE),"")</f>
        <v>2305</v>
      </c>
      <c r="P324" t="str">
        <f>IFERROR(VLOOKUP(A324,vlookup_table!$A:$G,5,FALSE),"")</f>
        <v>T1</v>
      </c>
      <c r="Q324">
        <f>IFERROR(VLOOKUP(A324,vlookup_table!$A:$G,7,FALSE),"")</f>
        <v>12</v>
      </c>
      <c r="R324">
        <f t="shared" si="20"/>
        <v>74</v>
      </c>
      <c r="S324" t="str" cm="1">
        <f t="array" ref="S324">IF(P324="","",_xlfn.SWITCH(LEFT(P324,1),"C","Ciudad","T","Pueblo","R","Rural","S","Suburbano","U","Urbano",""))</f>
        <v>Pueblo</v>
      </c>
      <c r="T324" t="str">
        <f t="shared" si="21"/>
        <v>M</v>
      </c>
      <c r="U324" t="str">
        <f t="shared" si="22"/>
        <v>CA</v>
      </c>
      <c r="V324" t="str">
        <f t="shared" si="23"/>
        <v>24290</v>
      </c>
    </row>
    <row r="325" spans="1:22" x14ac:dyDescent="0.35">
      <c r="A325" s="3">
        <v>67030</v>
      </c>
      <c r="B325" t="s">
        <v>29</v>
      </c>
      <c r="C325" t="s">
        <v>14</v>
      </c>
      <c r="D325">
        <v>388</v>
      </c>
      <c r="E325">
        <v>364</v>
      </c>
      <c r="F325">
        <v>433</v>
      </c>
      <c r="G325">
        <v>0</v>
      </c>
      <c r="H325">
        <v>12601</v>
      </c>
      <c r="I325">
        <v>2</v>
      </c>
      <c r="J325">
        <v>70</v>
      </c>
      <c r="K325">
        <v>410</v>
      </c>
      <c r="L325">
        <v>413</v>
      </c>
      <c r="M325">
        <v>33.333333330000002</v>
      </c>
      <c r="N325">
        <f>IFERROR(VLOOKUP(A325,vlookup_table!$A:$G,2,FALSE),"")</f>
        <v>1</v>
      </c>
      <c r="O325">
        <f>IFERROR(VLOOKUP(A325,vlookup_table!$A:$G,4,FALSE),"")</f>
        <v>0</v>
      </c>
      <c r="P325" t="str">
        <f>IFERROR(VLOOKUP(A325,vlookup_table!$A:$G,5,FALSE),"")</f>
        <v>S3</v>
      </c>
      <c r="Q325">
        <f>IFERROR(VLOOKUP(A325,vlookup_table!$A:$G,7,FALSE),"")</f>
        <v>50</v>
      </c>
      <c r="R325">
        <f t="shared" si="20"/>
        <v>97</v>
      </c>
      <c r="S325" t="str" cm="1">
        <f t="array" ref="S325">IF(P325="","",_xlfn.SWITCH(LEFT(P325,1),"C","Ciudad","T","Pueblo","R","Rural","S","Suburbano","U","Urbano",""))</f>
        <v>Suburbano</v>
      </c>
      <c r="T325" t="str">
        <f t="shared" si="21"/>
        <v>M</v>
      </c>
      <c r="U325" t="str">
        <f t="shared" si="22"/>
        <v>MI</v>
      </c>
      <c r="V325" t="str">
        <f t="shared" si="23"/>
        <v>12601</v>
      </c>
    </row>
    <row r="326" spans="1:22" x14ac:dyDescent="0.35">
      <c r="A326" s="3">
        <v>122279</v>
      </c>
      <c r="B326" t="s">
        <v>21</v>
      </c>
      <c r="C326" t="s">
        <v>17</v>
      </c>
      <c r="D326">
        <v>1680</v>
      </c>
      <c r="E326">
        <v>884</v>
      </c>
      <c r="F326">
        <v>935</v>
      </c>
      <c r="G326">
        <v>20</v>
      </c>
      <c r="H326">
        <v>27875</v>
      </c>
      <c r="I326">
        <v>7</v>
      </c>
      <c r="J326">
        <v>36</v>
      </c>
      <c r="K326">
        <v>878</v>
      </c>
      <c r="L326">
        <v>943</v>
      </c>
      <c r="M326">
        <v>5.076923077</v>
      </c>
      <c r="N326">
        <f>IFERROR(VLOOKUP(A326,vlookup_table!$A:$G,2,FALSE),"")</f>
        <v>2</v>
      </c>
      <c r="O326">
        <f>IFERROR(VLOOKUP(A326,vlookup_table!$A:$G,4,FALSE),"")</f>
        <v>4903</v>
      </c>
      <c r="P326" t="str">
        <f>IFERROR(VLOOKUP(A326,vlookup_table!$A:$G,5,FALSE),"")</f>
        <v>U4</v>
      </c>
      <c r="Q326">
        <f>IFERROR(VLOOKUP(A326,vlookup_table!$A:$G,7,FALSE),"")</f>
        <v>5</v>
      </c>
      <c r="R326">
        <f t="shared" si="20"/>
        <v>48</v>
      </c>
      <c r="S326" t="str" cm="1">
        <f t="array" ref="S326">IF(P326="","",_xlfn.SWITCH(LEFT(P326,1),"C","Ciudad","T","Pueblo","R","Rural","S","Suburbano","U","Urbano",""))</f>
        <v>Urbano</v>
      </c>
      <c r="T326" t="str">
        <f t="shared" si="21"/>
        <v>F</v>
      </c>
      <c r="U326" t="str">
        <f t="shared" si="22"/>
        <v>TX</v>
      </c>
      <c r="V326" t="str">
        <f t="shared" si="23"/>
        <v>27875</v>
      </c>
    </row>
    <row r="327" spans="1:22" x14ac:dyDescent="0.35">
      <c r="A327" s="3">
        <v>18802</v>
      </c>
      <c r="B327" t="s">
        <v>18</v>
      </c>
      <c r="C327" t="s">
        <v>14</v>
      </c>
      <c r="D327">
        <v>1128</v>
      </c>
      <c r="E327">
        <v>409</v>
      </c>
      <c r="F327">
        <v>481</v>
      </c>
      <c r="G327">
        <v>3</v>
      </c>
      <c r="H327">
        <v>15936</v>
      </c>
      <c r="I327">
        <v>2</v>
      </c>
      <c r="J327">
        <v>67</v>
      </c>
      <c r="K327">
        <v>467</v>
      </c>
      <c r="L327">
        <v>442</v>
      </c>
      <c r="M327">
        <v>14.5</v>
      </c>
      <c r="N327">
        <f>IFERROR(VLOOKUP(A327,vlookup_table!$A:$G,2,FALSE),"")</f>
        <v>1</v>
      </c>
      <c r="O327">
        <f>IFERROR(VLOOKUP(A327,vlookup_table!$A:$G,4,FALSE),"")</f>
        <v>5101</v>
      </c>
      <c r="P327" t="str">
        <f>IFERROR(VLOOKUP(A327,vlookup_table!$A:$G,5,FALSE),"")</f>
        <v>T2</v>
      </c>
      <c r="Q327">
        <f>IFERROR(VLOOKUP(A327,vlookup_table!$A:$G,7,FALSE),"")</f>
        <v>20</v>
      </c>
      <c r="R327">
        <f t="shared" si="20"/>
        <v>46</v>
      </c>
      <c r="S327" t="str" cm="1">
        <f t="array" ref="S327">IF(P327="","",_xlfn.SWITCH(LEFT(P327,1),"C","Ciudad","T","Pueblo","R","Rural","S","Suburbano","U","Urbano",""))</f>
        <v>Pueblo</v>
      </c>
      <c r="T327" t="str">
        <f t="shared" si="21"/>
        <v>M</v>
      </c>
      <c r="U327" t="str">
        <f t="shared" si="22"/>
        <v>NC</v>
      </c>
      <c r="V327" t="str">
        <f t="shared" si="23"/>
        <v>15936</v>
      </c>
    </row>
    <row r="328" spans="1:22" x14ac:dyDescent="0.35">
      <c r="A328" s="3">
        <v>90092</v>
      </c>
      <c r="B328" t="s">
        <v>16</v>
      </c>
      <c r="C328" t="s">
        <v>17</v>
      </c>
      <c r="D328">
        <v>916</v>
      </c>
      <c r="E328">
        <v>434</v>
      </c>
      <c r="F328">
        <v>457</v>
      </c>
      <c r="G328">
        <v>0</v>
      </c>
      <c r="H328">
        <v>12450</v>
      </c>
      <c r="I328">
        <v>7</v>
      </c>
      <c r="J328">
        <v>82</v>
      </c>
      <c r="K328">
        <v>421</v>
      </c>
      <c r="L328">
        <v>458</v>
      </c>
      <c r="M328">
        <v>18.46153846</v>
      </c>
      <c r="N328">
        <f>IFERROR(VLOOKUP(A328,vlookup_table!$A:$G,2,FALSE),"")</f>
        <v>2</v>
      </c>
      <c r="O328">
        <f>IFERROR(VLOOKUP(A328,vlookup_table!$A:$G,4,FALSE),"")</f>
        <v>3905</v>
      </c>
      <c r="P328" t="str">
        <f>IFERROR(VLOOKUP(A328,vlookup_table!$A:$G,5,FALSE),"")</f>
        <v>S2</v>
      </c>
      <c r="Q328">
        <f>IFERROR(VLOOKUP(A328,vlookup_table!$A:$G,7,FALSE),"")</f>
        <v>10</v>
      </c>
      <c r="R328">
        <f t="shared" si="20"/>
        <v>58</v>
      </c>
      <c r="S328" t="str" cm="1">
        <f t="array" ref="S328">IF(P328="","",_xlfn.SWITCH(LEFT(P328,1),"C","Ciudad","T","Pueblo","R","Rural","S","Suburbano","U","Urbano",""))</f>
        <v>Suburbano</v>
      </c>
      <c r="T328" t="str">
        <f t="shared" si="21"/>
        <v>F</v>
      </c>
      <c r="U328" t="str">
        <f t="shared" si="22"/>
        <v>IL</v>
      </c>
      <c r="V328" t="str">
        <f t="shared" si="23"/>
        <v>12450</v>
      </c>
    </row>
    <row r="329" spans="1:22" x14ac:dyDescent="0.35">
      <c r="A329" s="3">
        <v>98821</v>
      </c>
      <c r="B329" t="s">
        <v>16</v>
      </c>
      <c r="C329" t="s">
        <v>17</v>
      </c>
      <c r="D329">
        <v>340</v>
      </c>
      <c r="E329">
        <v>185</v>
      </c>
      <c r="F329">
        <v>275</v>
      </c>
      <c r="G329">
        <v>0</v>
      </c>
      <c r="H329">
        <v>10719</v>
      </c>
      <c r="I329">
        <v>3</v>
      </c>
      <c r="J329">
        <v>78</v>
      </c>
      <c r="K329">
        <v>228</v>
      </c>
      <c r="L329">
        <v>235</v>
      </c>
      <c r="M329">
        <v>9</v>
      </c>
      <c r="N329">
        <f>IFERROR(VLOOKUP(A329,vlookup_table!$A:$G,2,FALSE),"")</f>
        <v>0</v>
      </c>
      <c r="O329">
        <f>IFERROR(VLOOKUP(A329,vlookup_table!$A:$G,4,FALSE),"")</f>
        <v>2601</v>
      </c>
      <c r="P329" t="str">
        <f>IFERROR(VLOOKUP(A329,vlookup_table!$A:$G,5,FALSE),"")</f>
        <v>T2</v>
      </c>
      <c r="Q329">
        <f>IFERROR(VLOOKUP(A329,vlookup_table!$A:$G,7,FALSE),"")</f>
        <v>10</v>
      </c>
      <c r="R329">
        <f t="shared" si="20"/>
        <v>71</v>
      </c>
      <c r="S329" t="str" cm="1">
        <f t="array" ref="S329">IF(P329="","",_xlfn.SWITCH(LEFT(P329,1),"C","Ciudad","T","Pueblo","R","Rural","S","Suburbano","U","Urbano",""))</f>
        <v>Pueblo</v>
      </c>
      <c r="T329" t="str">
        <f t="shared" si="21"/>
        <v>F</v>
      </c>
      <c r="U329" t="str">
        <f t="shared" si="22"/>
        <v>IL</v>
      </c>
      <c r="V329" t="str">
        <f t="shared" si="23"/>
        <v>10719</v>
      </c>
    </row>
    <row r="330" spans="1:22" x14ac:dyDescent="0.35">
      <c r="A330" s="3">
        <v>116186</v>
      </c>
      <c r="B330" t="s">
        <v>21</v>
      </c>
      <c r="C330" t="s">
        <v>14</v>
      </c>
      <c r="D330">
        <v>711</v>
      </c>
      <c r="E330">
        <v>322</v>
      </c>
      <c r="F330">
        <v>378</v>
      </c>
      <c r="G330">
        <v>1</v>
      </c>
      <c r="H330">
        <v>12630</v>
      </c>
      <c r="I330">
        <v>1</v>
      </c>
      <c r="J330">
        <v>76</v>
      </c>
      <c r="K330">
        <v>353</v>
      </c>
      <c r="L330">
        <v>360</v>
      </c>
      <c r="M330">
        <v>11.95454546</v>
      </c>
      <c r="N330">
        <f>IFERROR(VLOOKUP(A330,vlookup_table!$A:$G,2,FALSE),"")</f>
        <v>1</v>
      </c>
      <c r="O330">
        <f>IFERROR(VLOOKUP(A330,vlookup_table!$A:$G,4,FALSE),"")</f>
        <v>4212</v>
      </c>
      <c r="P330" t="str">
        <f>IFERROR(VLOOKUP(A330,vlookup_table!$A:$G,5,FALSE),"")</f>
        <v>R2</v>
      </c>
      <c r="Q330">
        <f>IFERROR(VLOOKUP(A330,vlookup_table!$A:$G,7,FALSE),"")</f>
        <v>10</v>
      </c>
      <c r="R330">
        <f t="shared" si="20"/>
        <v>55</v>
      </c>
      <c r="S330" t="str" cm="1">
        <f t="array" ref="S330">IF(P330="","",_xlfn.SWITCH(LEFT(P330,1),"C","Ciudad","T","Pueblo","R","Rural","S","Suburbano","U","Urbano",""))</f>
        <v>Rural</v>
      </c>
      <c r="T330" t="str">
        <f t="shared" si="21"/>
        <v>M</v>
      </c>
      <c r="U330" t="str">
        <f t="shared" si="22"/>
        <v>TX</v>
      </c>
      <c r="V330" t="str">
        <f t="shared" si="23"/>
        <v>12630</v>
      </c>
    </row>
    <row r="331" spans="1:22" x14ac:dyDescent="0.35">
      <c r="A331" s="3">
        <v>18359</v>
      </c>
      <c r="B331" t="s">
        <v>18</v>
      </c>
      <c r="C331" t="s">
        <v>20</v>
      </c>
      <c r="D331">
        <v>412</v>
      </c>
      <c r="E331">
        <v>215</v>
      </c>
      <c r="F331">
        <v>315</v>
      </c>
      <c r="G331">
        <v>0</v>
      </c>
      <c r="H331">
        <v>9706</v>
      </c>
      <c r="I331">
        <v>0</v>
      </c>
      <c r="J331">
        <v>94</v>
      </c>
      <c r="K331">
        <v>259</v>
      </c>
      <c r="L331">
        <v>271</v>
      </c>
      <c r="M331">
        <v>6.4444444440000002</v>
      </c>
      <c r="N331">
        <f>IFERROR(VLOOKUP(A331,vlookup_table!$A:$G,2,FALSE),"")</f>
        <v>28</v>
      </c>
      <c r="O331">
        <f>IFERROR(VLOOKUP(A331,vlookup_table!$A:$G,4,FALSE),"")</f>
        <v>0</v>
      </c>
      <c r="P331" t="str">
        <f>IFERROR(VLOOKUP(A331,vlookup_table!$A:$G,5,FALSE),"")</f>
        <v>R3</v>
      </c>
      <c r="Q331">
        <f>IFERROR(VLOOKUP(A331,vlookup_table!$A:$G,7,FALSE),"")</f>
        <v>10</v>
      </c>
      <c r="R331">
        <f t="shared" si="20"/>
        <v>97</v>
      </c>
      <c r="S331" t="str" cm="1">
        <f t="array" ref="S331">IF(P331="","",_xlfn.SWITCH(LEFT(P331,1),"C","Ciudad","T","Pueblo","R","Rural","S","Suburbano","U","Urbano",""))</f>
        <v>Rural</v>
      </c>
      <c r="T331" t="str">
        <f t="shared" si="21"/>
        <v>F</v>
      </c>
      <c r="U331" t="str">
        <f t="shared" si="22"/>
        <v>NC</v>
      </c>
      <c r="V331" t="str">
        <f t="shared" si="23"/>
        <v>9706</v>
      </c>
    </row>
    <row r="332" spans="1:22" x14ac:dyDescent="0.35">
      <c r="A332" s="3">
        <v>128970</v>
      </c>
      <c r="B332" t="s">
        <v>21</v>
      </c>
      <c r="C332" t="s">
        <v>17</v>
      </c>
      <c r="D332">
        <v>893</v>
      </c>
      <c r="E332">
        <v>443</v>
      </c>
      <c r="F332">
        <v>527</v>
      </c>
      <c r="G332">
        <v>2</v>
      </c>
      <c r="H332">
        <v>17519</v>
      </c>
      <c r="I332">
        <v>6</v>
      </c>
      <c r="J332">
        <v>57</v>
      </c>
      <c r="K332">
        <v>463</v>
      </c>
      <c r="L332">
        <v>508</v>
      </c>
      <c r="M332">
        <v>9.25</v>
      </c>
      <c r="N332">
        <f>IFERROR(VLOOKUP(A332,vlookup_table!$A:$G,2,FALSE),"")</f>
        <v>28</v>
      </c>
      <c r="O332">
        <f>IFERROR(VLOOKUP(A332,vlookup_table!$A:$G,4,FALSE),"")</f>
        <v>0</v>
      </c>
      <c r="P332" t="str">
        <f>IFERROR(VLOOKUP(A332,vlookup_table!$A:$G,5,FALSE),"")</f>
        <v>S1</v>
      </c>
      <c r="Q332">
        <f>IFERROR(VLOOKUP(A332,vlookup_table!$A:$G,7,FALSE),"")</f>
        <v>14</v>
      </c>
      <c r="R332">
        <f t="shared" si="20"/>
        <v>97</v>
      </c>
      <c r="S332" t="str" cm="1">
        <f t="array" ref="S332">IF(P332="","",_xlfn.SWITCH(LEFT(P332,1),"C","Ciudad","T","Pueblo","R","Rural","S","Suburbano","U","Urbano",""))</f>
        <v>Suburbano</v>
      </c>
      <c r="T332" t="str">
        <f t="shared" si="21"/>
        <v>F</v>
      </c>
      <c r="U332" t="str">
        <f t="shared" si="22"/>
        <v>TX</v>
      </c>
      <c r="V332" t="str">
        <f t="shared" si="23"/>
        <v>17519</v>
      </c>
    </row>
    <row r="333" spans="1:22" x14ac:dyDescent="0.35">
      <c r="A333" s="3">
        <v>172635</v>
      </c>
      <c r="B333" t="s">
        <v>22</v>
      </c>
      <c r="C333" t="s">
        <v>14</v>
      </c>
      <c r="D333">
        <v>644</v>
      </c>
      <c r="E333">
        <v>191</v>
      </c>
      <c r="F333">
        <v>272</v>
      </c>
      <c r="G333">
        <v>3</v>
      </c>
      <c r="H333">
        <v>9569</v>
      </c>
      <c r="I333">
        <v>8</v>
      </c>
      <c r="J333">
        <v>57</v>
      </c>
      <c r="K333">
        <v>222</v>
      </c>
      <c r="L333">
        <v>243</v>
      </c>
      <c r="M333">
        <v>11.44444444</v>
      </c>
      <c r="N333">
        <f>IFERROR(VLOOKUP(A333,vlookup_table!$A:$G,2,FALSE),"")</f>
        <v>0</v>
      </c>
      <c r="O333">
        <f>IFERROR(VLOOKUP(A333,vlookup_table!$A:$G,4,FALSE),"")</f>
        <v>0</v>
      </c>
      <c r="P333" t="str">
        <f>IFERROR(VLOOKUP(A333,vlookup_table!$A:$G,5,FALSE),"")</f>
        <v>T3</v>
      </c>
      <c r="Q333">
        <f>IFERROR(VLOOKUP(A333,vlookup_table!$A:$G,7,FALSE),"")</f>
        <v>16</v>
      </c>
      <c r="R333">
        <f t="shared" si="20"/>
        <v>97</v>
      </c>
      <c r="S333" t="str" cm="1">
        <f t="array" ref="S333">IF(P333="","",_xlfn.SWITCH(LEFT(P333,1),"C","Ciudad","T","Pueblo","R","Rural","S","Suburbano","U","Urbano",""))</f>
        <v>Pueblo</v>
      </c>
      <c r="T333" t="str">
        <f t="shared" si="21"/>
        <v>M</v>
      </c>
      <c r="U333" t="str">
        <f t="shared" si="22"/>
        <v>CA</v>
      </c>
      <c r="V333" t="str">
        <f t="shared" si="23"/>
        <v>9569</v>
      </c>
    </row>
    <row r="334" spans="1:22" x14ac:dyDescent="0.35">
      <c r="A334" s="3">
        <v>106508</v>
      </c>
      <c r="B334" t="s">
        <v>28</v>
      </c>
      <c r="C334" t="s">
        <v>17</v>
      </c>
      <c r="D334">
        <v>440</v>
      </c>
      <c r="E334">
        <v>219</v>
      </c>
      <c r="F334">
        <v>288</v>
      </c>
      <c r="G334">
        <v>0</v>
      </c>
      <c r="H334">
        <v>10985</v>
      </c>
      <c r="I334">
        <v>9</v>
      </c>
      <c r="J334">
        <v>41</v>
      </c>
      <c r="K334">
        <v>261</v>
      </c>
      <c r="L334">
        <v>260</v>
      </c>
      <c r="M334">
        <v>12</v>
      </c>
      <c r="N334">
        <f>IFERROR(VLOOKUP(A334,vlookup_table!$A:$G,2,FALSE),"")</f>
        <v>2</v>
      </c>
      <c r="O334">
        <f>IFERROR(VLOOKUP(A334,vlookup_table!$A:$G,4,FALSE),"")</f>
        <v>1401</v>
      </c>
      <c r="P334" t="str">
        <f>IFERROR(VLOOKUP(A334,vlookup_table!$A:$G,5,FALSE),"")</f>
        <v>T1</v>
      </c>
      <c r="Q334">
        <f>IFERROR(VLOOKUP(A334,vlookup_table!$A:$G,7,FALSE),"")</f>
        <v>20</v>
      </c>
      <c r="R334">
        <f t="shared" si="20"/>
        <v>83</v>
      </c>
      <c r="S334" t="str" cm="1">
        <f t="array" ref="S334">IF(P334="","",_xlfn.SWITCH(LEFT(P334,1),"C","Ciudad","T","Pueblo","R","Rural","S","Suburbano","U","Urbano",""))</f>
        <v>Pueblo</v>
      </c>
      <c r="T334" t="str">
        <f t="shared" si="21"/>
        <v>F</v>
      </c>
      <c r="U334" t="str">
        <f t="shared" si="22"/>
        <v>KS</v>
      </c>
      <c r="V334" t="str">
        <f t="shared" si="23"/>
        <v>10985</v>
      </c>
    </row>
    <row r="335" spans="1:22" x14ac:dyDescent="0.35">
      <c r="A335" s="3">
        <v>81067</v>
      </c>
      <c r="B335" t="s">
        <v>35</v>
      </c>
      <c r="C335" t="s">
        <v>17</v>
      </c>
      <c r="D335">
        <v>363</v>
      </c>
      <c r="E335">
        <v>76</v>
      </c>
      <c r="F335">
        <v>158</v>
      </c>
      <c r="G335">
        <v>0</v>
      </c>
      <c r="H335">
        <v>9086</v>
      </c>
      <c r="I335">
        <v>2</v>
      </c>
      <c r="J335">
        <v>67</v>
      </c>
      <c r="K335">
        <v>127</v>
      </c>
      <c r="L335">
        <v>115</v>
      </c>
      <c r="M335">
        <v>15</v>
      </c>
      <c r="N335">
        <f>IFERROR(VLOOKUP(A335,vlookup_table!$A:$G,2,FALSE),"")</f>
        <v>0</v>
      </c>
      <c r="O335">
        <f>IFERROR(VLOOKUP(A335,vlookup_table!$A:$G,4,FALSE),"")</f>
        <v>0</v>
      </c>
      <c r="P335" t="str">
        <f>IFERROR(VLOOKUP(A335,vlookup_table!$A:$G,5,FALSE),"")</f>
        <v>C3</v>
      </c>
      <c r="Q335">
        <f>IFERROR(VLOOKUP(A335,vlookup_table!$A:$G,7,FALSE),"")</f>
        <v>15</v>
      </c>
      <c r="R335">
        <f t="shared" si="20"/>
        <v>97</v>
      </c>
      <c r="S335" t="str" cm="1">
        <f t="array" ref="S335">IF(P335="","",_xlfn.SWITCH(LEFT(P335,1),"C","Ciudad","T","Pueblo","R","Rural","S","Suburbano","U","Urbano",""))</f>
        <v>Ciudad</v>
      </c>
      <c r="T335" t="str">
        <f t="shared" si="21"/>
        <v>F</v>
      </c>
      <c r="U335" t="str">
        <f t="shared" si="22"/>
        <v>WI</v>
      </c>
      <c r="V335" t="str">
        <f t="shared" si="23"/>
        <v>9086</v>
      </c>
    </row>
    <row r="336" spans="1:22" x14ac:dyDescent="0.35">
      <c r="A336" s="3">
        <v>169106</v>
      </c>
      <c r="B336" t="s">
        <v>61</v>
      </c>
      <c r="C336" t="s">
        <v>17</v>
      </c>
      <c r="D336">
        <v>1745</v>
      </c>
      <c r="E336">
        <v>397</v>
      </c>
      <c r="F336">
        <v>521</v>
      </c>
      <c r="G336">
        <v>20</v>
      </c>
      <c r="H336">
        <v>18427</v>
      </c>
      <c r="I336">
        <v>9</v>
      </c>
      <c r="J336">
        <v>80</v>
      </c>
      <c r="K336">
        <v>512</v>
      </c>
      <c r="L336">
        <v>485</v>
      </c>
      <c r="M336">
        <v>8</v>
      </c>
      <c r="N336">
        <f>IFERROR(VLOOKUP(A336,vlookup_table!$A:$G,2,FALSE),"")</f>
        <v>2</v>
      </c>
      <c r="O336">
        <f>IFERROR(VLOOKUP(A336,vlookup_table!$A:$G,4,FALSE),"")</f>
        <v>4501</v>
      </c>
      <c r="P336" t="str">
        <f>IFERROR(VLOOKUP(A336,vlookup_table!$A:$G,5,FALSE),"")</f>
        <v>T2</v>
      </c>
      <c r="Q336">
        <f>IFERROR(VLOOKUP(A336,vlookup_table!$A:$G,7,FALSE),"")</f>
        <v>5</v>
      </c>
      <c r="R336">
        <f t="shared" si="20"/>
        <v>52</v>
      </c>
      <c r="S336" t="str" cm="1">
        <f t="array" ref="S336">IF(P336="","",_xlfn.SWITCH(LEFT(P336,1),"C","Ciudad","T","Pueblo","R","Rural","S","Suburbano","U","Urbano",""))</f>
        <v>Pueblo</v>
      </c>
      <c r="T336" t="str">
        <f t="shared" si="21"/>
        <v>F</v>
      </c>
      <c r="U336" t="str">
        <f t="shared" si="22"/>
        <v>CA</v>
      </c>
      <c r="V336" t="str">
        <f t="shared" si="23"/>
        <v>18427</v>
      </c>
    </row>
    <row r="337" spans="1:22" x14ac:dyDescent="0.35">
      <c r="A337" s="3">
        <v>106898</v>
      </c>
      <c r="B337" t="s">
        <v>59</v>
      </c>
      <c r="C337" t="s">
        <v>17</v>
      </c>
      <c r="D337">
        <v>672</v>
      </c>
      <c r="E337">
        <v>302</v>
      </c>
      <c r="F337">
        <v>449</v>
      </c>
      <c r="G337">
        <v>0</v>
      </c>
      <c r="H337">
        <v>14981</v>
      </c>
      <c r="I337">
        <v>2</v>
      </c>
      <c r="J337">
        <v>58</v>
      </c>
      <c r="K337">
        <v>416</v>
      </c>
      <c r="L337">
        <v>348</v>
      </c>
      <c r="M337">
        <v>6.6315789470000004</v>
      </c>
      <c r="N337">
        <f>IFERROR(VLOOKUP(A337,vlookup_table!$A:$G,2,FALSE),"")</f>
        <v>0</v>
      </c>
      <c r="O337">
        <f>IFERROR(VLOOKUP(A337,vlookup_table!$A:$G,4,FALSE),"")</f>
        <v>3801</v>
      </c>
      <c r="P337" t="str">
        <f>IFERROR(VLOOKUP(A337,vlookup_table!$A:$G,5,FALSE),"")</f>
        <v>S2</v>
      </c>
      <c r="Q337">
        <f>IFERROR(VLOOKUP(A337,vlookup_table!$A:$G,7,FALSE),"")</f>
        <v>5</v>
      </c>
      <c r="R337">
        <f t="shared" si="20"/>
        <v>59</v>
      </c>
      <c r="S337" t="str" cm="1">
        <f t="array" ref="S337">IF(P337="","",_xlfn.SWITCH(LEFT(P337,1),"C","Ciudad","T","Pueblo","R","Rural","S","Suburbano","U","Urbano",""))</f>
        <v>Suburbano</v>
      </c>
      <c r="T337" t="str">
        <f t="shared" si="21"/>
        <v>F</v>
      </c>
      <c r="U337" t="str">
        <f t="shared" si="22"/>
        <v>NE</v>
      </c>
      <c r="V337" t="str">
        <f t="shared" si="23"/>
        <v>14981</v>
      </c>
    </row>
    <row r="338" spans="1:22" x14ac:dyDescent="0.35">
      <c r="A338" s="3">
        <v>24747</v>
      </c>
      <c r="B338" t="s">
        <v>46</v>
      </c>
      <c r="C338" t="s">
        <v>17</v>
      </c>
      <c r="D338">
        <v>1419</v>
      </c>
      <c r="E338">
        <v>661</v>
      </c>
      <c r="F338">
        <v>741</v>
      </c>
      <c r="G338">
        <v>16</v>
      </c>
      <c r="H338">
        <v>23212</v>
      </c>
      <c r="I338">
        <v>4</v>
      </c>
      <c r="J338">
        <v>26</v>
      </c>
      <c r="K338">
        <v>697</v>
      </c>
      <c r="L338">
        <v>700</v>
      </c>
      <c r="M338">
        <v>9</v>
      </c>
      <c r="N338">
        <f>IFERROR(VLOOKUP(A338,vlookup_table!$A:$G,2,FALSE),"")</f>
        <v>0</v>
      </c>
      <c r="O338">
        <f>IFERROR(VLOOKUP(A338,vlookup_table!$A:$G,4,FALSE),"")</f>
        <v>4405</v>
      </c>
      <c r="P338" t="str">
        <f>IFERROR(VLOOKUP(A338,vlookup_table!$A:$G,5,FALSE),"")</f>
        <v>S1</v>
      </c>
      <c r="Q338">
        <f>IFERROR(VLOOKUP(A338,vlookup_table!$A:$G,7,FALSE),"")</f>
        <v>15</v>
      </c>
      <c r="R338">
        <f t="shared" si="20"/>
        <v>53</v>
      </c>
      <c r="S338" t="str" cm="1">
        <f t="array" ref="S338">IF(P338="","",_xlfn.SWITCH(LEFT(P338,1),"C","Ciudad","T","Pueblo","R","Rural","S","Suburbano","U","Urbano",""))</f>
        <v>Suburbano</v>
      </c>
      <c r="T338" t="str">
        <f t="shared" si="21"/>
        <v>F</v>
      </c>
      <c r="U338" t="str">
        <f t="shared" si="22"/>
        <v>SC</v>
      </c>
      <c r="V338" t="str">
        <f t="shared" si="23"/>
        <v>23212</v>
      </c>
    </row>
    <row r="339" spans="1:22" x14ac:dyDescent="0.35">
      <c r="A339" s="3">
        <v>144906</v>
      </c>
      <c r="B339" t="s">
        <v>61</v>
      </c>
      <c r="C339" t="s">
        <v>30</v>
      </c>
      <c r="D339">
        <v>3781</v>
      </c>
      <c r="E339">
        <v>494</v>
      </c>
      <c r="F339">
        <v>606</v>
      </c>
      <c r="G339">
        <v>95</v>
      </c>
      <c r="H339">
        <v>22770</v>
      </c>
      <c r="I339">
        <v>10</v>
      </c>
      <c r="J339">
        <v>46</v>
      </c>
      <c r="K339">
        <v>609</v>
      </c>
      <c r="L339">
        <v>543</v>
      </c>
      <c r="M339">
        <v>20</v>
      </c>
      <c r="N339">
        <f>IFERROR(VLOOKUP(A339,vlookup_table!$A:$G,2,FALSE),"")</f>
        <v>1</v>
      </c>
      <c r="O339">
        <f>IFERROR(VLOOKUP(A339,vlookup_table!$A:$G,4,FALSE),"")</f>
        <v>2501</v>
      </c>
      <c r="P339" t="str">
        <f>IFERROR(VLOOKUP(A339,vlookup_table!$A:$G,5,FALSE),"")</f>
        <v>U1</v>
      </c>
      <c r="Q339">
        <f>IFERROR(VLOOKUP(A339,vlookup_table!$A:$G,7,FALSE),"")</f>
        <v>20</v>
      </c>
      <c r="R339">
        <f t="shared" si="20"/>
        <v>72</v>
      </c>
      <c r="S339" t="str" cm="1">
        <f t="array" ref="S339">IF(P339="","",_xlfn.SWITCH(LEFT(P339,1),"C","Ciudad","T","Pueblo","R","Rural","S","Suburbano","U","Urbano",""))</f>
        <v>Urbano</v>
      </c>
      <c r="T339" t="str">
        <f t="shared" si="21"/>
        <v>U</v>
      </c>
      <c r="U339" t="str">
        <f t="shared" si="22"/>
        <v>CA</v>
      </c>
      <c r="V339" t="str">
        <f t="shared" si="23"/>
        <v>22770</v>
      </c>
    </row>
    <row r="340" spans="1:22" x14ac:dyDescent="0.35">
      <c r="A340" s="3">
        <v>40516</v>
      </c>
      <c r="B340" t="s">
        <v>13</v>
      </c>
      <c r="C340" t="s">
        <v>17</v>
      </c>
      <c r="D340">
        <v>1938</v>
      </c>
      <c r="E340">
        <v>483</v>
      </c>
      <c r="F340">
        <v>807</v>
      </c>
      <c r="G340">
        <v>48</v>
      </c>
      <c r="H340">
        <v>47363</v>
      </c>
      <c r="I340">
        <v>2</v>
      </c>
      <c r="J340">
        <v>4</v>
      </c>
      <c r="K340">
        <v>787</v>
      </c>
      <c r="L340">
        <v>629</v>
      </c>
      <c r="M340">
        <v>12.33333333</v>
      </c>
      <c r="N340">
        <f>IFERROR(VLOOKUP(A340,vlookup_table!$A:$G,2,FALSE),"")</f>
        <v>0</v>
      </c>
      <c r="O340">
        <f>IFERROR(VLOOKUP(A340,vlookup_table!$A:$G,4,FALSE),"")</f>
        <v>1509</v>
      </c>
      <c r="P340" t="str">
        <f>IFERROR(VLOOKUP(A340,vlookup_table!$A:$G,5,FALSE),"")</f>
        <v>C1</v>
      </c>
      <c r="Q340">
        <f>IFERROR(VLOOKUP(A340,vlookup_table!$A:$G,7,FALSE),"")</f>
        <v>21</v>
      </c>
      <c r="R340">
        <f t="shared" si="20"/>
        <v>82</v>
      </c>
      <c r="S340" t="str" cm="1">
        <f t="array" ref="S340">IF(P340="","",_xlfn.SWITCH(LEFT(P340,1),"C","Ciudad","T","Pueblo","R","Rural","S","Suburbano","U","Urbano",""))</f>
        <v>Ciudad</v>
      </c>
      <c r="T340" t="str">
        <f t="shared" si="21"/>
        <v>F</v>
      </c>
      <c r="U340" t="str">
        <f t="shared" si="22"/>
        <v>FL</v>
      </c>
      <c r="V340" t="str">
        <f t="shared" si="23"/>
        <v>47363</v>
      </c>
    </row>
    <row r="341" spans="1:22" x14ac:dyDescent="0.35">
      <c r="A341" s="3">
        <v>172530</v>
      </c>
      <c r="B341" t="s">
        <v>61</v>
      </c>
      <c r="C341" t="s">
        <v>17</v>
      </c>
      <c r="D341">
        <v>1495</v>
      </c>
      <c r="E341">
        <v>323</v>
      </c>
      <c r="F341">
        <v>351</v>
      </c>
      <c r="G341">
        <v>22</v>
      </c>
      <c r="H341">
        <v>14923</v>
      </c>
      <c r="I341">
        <v>4</v>
      </c>
      <c r="J341">
        <v>57</v>
      </c>
      <c r="K341">
        <v>334</v>
      </c>
      <c r="L341">
        <v>348</v>
      </c>
      <c r="M341">
        <v>5.7142857139999998</v>
      </c>
      <c r="N341">
        <f>IFERROR(VLOOKUP(A341,vlookup_table!$A:$G,2,FALSE),"")</f>
        <v>0</v>
      </c>
      <c r="O341">
        <f>IFERROR(VLOOKUP(A341,vlookup_table!$A:$G,4,FALSE),"")</f>
        <v>3601</v>
      </c>
      <c r="P341" t="str">
        <f>IFERROR(VLOOKUP(A341,vlookup_table!$A:$G,5,FALSE),"")</f>
        <v>T1</v>
      </c>
      <c r="Q341">
        <f>IFERROR(VLOOKUP(A341,vlookup_table!$A:$G,7,FALSE),"")</f>
        <v>7</v>
      </c>
      <c r="R341">
        <f t="shared" si="20"/>
        <v>61</v>
      </c>
      <c r="S341" t="str" cm="1">
        <f t="array" ref="S341">IF(P341="","",_xlfn.SWITCH(LEFT(P341,1),"C","Ciudad","T","Pueblo","R","Rural","S","Suburbano","U","Urbano",""))</f>
        <v>Pueblo</v>
      </c>
      <c r="T341" t="str">
        <f t="shared" si="21"/>
        <v>F</v>
      </c>
      <c r="U341" t="str">
        <f t="shared" si="22"/>
        <v>CA</v>
      </c>
      <c r="V341" t="str">
        <f t="shared" si="23"/>
        <v>14923</v>
      </c>
    </row>
    <row r="342" spans="1:22" x14ac:dyDescent="0.35">
      <c r="A342" s="3">
        <v>72438</v>
      </c>
      <c r="B342" t="s">
        <v>29</v>
      </c>
      <c r="C342" t="s">
        <v>14</v>
      </c>
      <c r="D342">
        <v>561</v>
      </c>
      <c r="E342">
        <v>351</v>
      </c>
      <c r="F342">
        <v>373</v>
      </c>
      <c r="G342">
        <v>0</v>
      </c>
      <c r="H342">
        <v>13150</v>
      </c>
      <c r="I342">
        <v>1</v>
      </c>
      <c r="J342">
        <v>89</v>
      </c>
      <c r="K342">
        <v>353</v>
      </c>
      <c r="L342">
        <v>368</v>
      </c>
      <c r="M342">
        <v>8.75</v>
      </c>
      <c r="N342">
        <f>IFERROR(VLOOKUP(A342,vlookup_table!$A:$G,2,FALSE),"")</f>
        <v>1</v>
      </c>
      <c r="O342">
        <f>IFERROR(VLOOKUP(A342,vlookup_table!$A:$G,4,FALSE),"")</f>
        <v>1701</v>
      </c>
      <c r="P342" t="str">
        <f>IFERROR(VLOOKUP(A342,vlookup_table!$A:$G,5,FALSE),"")</f>
        <v>T2</v>
      </c>
      <c r="Q342">
        <f>IFERROR(VLOOKUP(A342,vlookup_table!$A:$G,7,FALSE),"")</f>
        <v>10</v>
      </c>
      <c r="R342">
        <f t="shared" si="20"/>
        <v>80</v>
      </c>
      <c r="S342" t="str" cm="1">
        <f t="array" ref="S342">IF(P342="","",_xlfn.SWITCH(LEFT(P342,1),"C","Ciudad","T","Pueblo","R","Rural","S","Suburbano","U","Urbano",""))</f>
        <v>Pueblo</v>
      </c>
      <c r="T342" t="str">
        <f t="shared" si="21"/>
        <v>M</v>
      </c>
      <c r="U342" t="str">
        <f t="shared" si="22"/>
        <v>MI</v>
      </c>
      <c r="V342" t="str">
        <f t="shared" si="23"/>
        <v>13150</v>
      </c>
    </row>
    <row r="343" spans="1:22" x14ac:dyDescent="0.35">
      <c r="A343" s="3">
        <v>144076</v>
      </c>
      <c r="B343" t="s">
        <v>61</v>
      </c>
      <c r="C343" t="s">
        <v>14</v>
      </c>
      <c r="D343">
        <v>5980</v>
      </c>
      <c r="E343">
        <v>1500</v>
      </c>
      <c r="F343">
        <v>1217</v>
      </c>
      <c r="G343">
        <v>99</v>
      </c>
      <c r="H343">
        <v>94863</v>
      </c>
      <c r="I343">
        <v>27</v>
      </c>
      <c r="J343">
        <v>41</v>
      </c>
      <c r="K343">
        <v>1500</v>
      </c>
      <c r="L343">
        <v>1124</v>
      </c>
      <c r="M343">
        <v>38.75</v>
      </c>
      <c r="N343">
        <f>IFERROR(VLOOKUP(A343,vlookup_table!$A:$G,2,FALSE),"")</f>
        <v>1</v>
      </c>
      <c r="O343">
        <f>IFERROR(VLOOKUP(A343,vlookup_table!$A:$G,4,FALSE),"")</f>
        <v>1201</v>
      </c>
      <c r="P343" t="str">
        <f>IFERROR(VLOOKUP(A343,vlookup_table!$A:$G,5,FALSE),"")</f>
        <v>S1</v>
      </c>
      <c r="Q343">
        <f>IFERROR(VLOOKUP(A343,vlookup_table!$A:$G,7,FALSE),"")</f>
        <v>50</v>
      </c>
      <c r="R343">
        <f t="shared" si="20"/>
        <v>85</v>
      </c>
      <c r="S343" t="str" cm="1">
        <f t="array" ref="S343">IF(P343="","",_xlfn.SWITCH(LEFT(P343,1),"C","Ciudad","T","Pueblo","R","Rural","S","Suburbano","U","Urbano",""))</f>
        <v>Suburbano</v>
      </c>
      <c r="T343" t="str">
        <f t="shared" si="21"/>
        <v>M</v>
      </c>
      <c r="U343" t="str">
        <f t="shared" si="22"/>
        <v>CA</v>
      </c>
      <c r="V343" t="str">
        <f t="shared" si="23"/>
        <v>94863</v>
      </c>
    </row>
    <row r="344" spans="1:22" x14ac:dyDescent="0.35">
      <c r="A344" s="3">
        <v>130609</v>
      </c>
      <c r="B344" t="s">
        <v>48</v>
      </c>
      <c r="C344" t="s">
        <v>14</v>
      </c>
      <c r="D344">
        <v>1412</v>
      </c>
      <c r="E344">
        <v>499</v>
      </c>
      <c r="F344">
        <v>606</v>
      </c>
      <c r="G344">
        <v>14</v>
      </c>
      <c r="H344">
        <v>24758</v>
      </c>
      <c r="I344">
        <v>3</v>
      </c>
      <c r="J344">
        <v>46</v>
      </c>
      <c r="K344">
        <v>601</v>
      </c>
      <c r="L344">
        <v>538</v>
      </c>
      <c r="M344">
        <v>12</v>
      </c>
      <c r="N344">
        <f>IFERROR(VLOOKUP(A344,vlookup_table!$A:$G,2,FALSE),"")</f>
        <v>1</v>
      </c>
      <c r="O344">
        <f>IFERROR(VLOOKUP(A344,vlookup_table!$A:$G,4,FALSE),"")</f>
        <v>1404</v>
      </c>
      <c r="P344" t="str">
        <f>IFERROR(VLOOKUP(A344,vlookup_table!$A:$G,5,FALSE),"")</f>
        <v>S1</v>
      </c>
      <c r="Q344">
        <f>IFERROR(VLOOKUP(A344,vlookup_table!$A:$G,7,FALSE),"")</f>
        <v>16</v>
      </c>
      <c r="R344">
        <f t="shared" si="20"/>
        <v>83</v>
      </c>
      <c r="S344" t="str" cm="1">
        <f t="array" ref="S344">IF(P344="","",_xlfn.SWITCH(LEFT(P344,1),"C","Ciudad","T","Pueblo","R","Rural","S","Suburbano","U","Urbano",""))</f>
        <v>Suburbano</v>
      </c>
      <c r="T344" t="str">
        <f t="shared" si="21"/>
        <v>M</v>
      </c>
      <c r="U344" t="str">
        <f t="shared" si="22"/>
        <v>CO</v>
      </c>
      <c r="V344" t="str">
        <f t="shared" si="23"/>
        <v>24758</v>
      </c>
    </row>
    <row r="345" spans="1:22" x14ac:dyDescent="0.35">
      <c r="A345" s="3">
        <v>43974</v>
      </c>
      <c r="B345" t="s">
        <v>13</v>
      </c>
      <c r="C345" t="s">
        <v>14</v>
      </c>
      <c r="D345">
        <v>1869</v>
      </c>
      <c r="E345">
        <v>452</v>
      </c>
      <c r="F345">
        <v>640</v>
      </c>
      <c r="G345">
        <v>44</v>
      </c>
      <c r="H345">
        <v>29990</v>
      </c>
      <c r="I345">
        <v>6</v>
      </c>
      <c r="J345">
        <v>9</v>
      </c>
      <c r="K345">
        <v>542</v>
      </c>
      <c r="L345">
        <v>553</v>
      </c>
      <c r="M345">
        <v>3.8181818179999998</v>
      </c>
      <c r="N345">
        <f>IFERROR(VLOOKUP(A345,vlookup_table!$A:$G,2,FALSE),"")</f>
        <v>2</v>
      </c>
      <c r="O345">
        <f>IFERROR(VLOOKUP(A345,vlookup_table!$A:$G,4,FALSE),"")</f>
        <v>4601</v>
      </c>
      <c r="P345" t="str">
        <f>IFERROR(VLOOKUP(A345,vlookup_table!$A:$G,5,FALSE),"")</f>
        <v>S2</v>
      </c>
      <c r="Q345">
        <f>IFERROR(VLOOKUP(A345,vlookup_table!$A:$G,7,FALSE),"")</f>
        <v>5</v>
      </c>
      <c r="R345">
        <f t="shared" si="20"/>
        <v>51</v>
      </c>
      <c r="S345" t="str" cm="1">
        <f t="array" ref="S345">IF(P345="","",_xlfn.SWITCH(LEFT(P345,1),"C","Ciudad","T","Pueblo","R","Rural","S","Suburbano","U","Urbano",""))</f>
        <v>Suburbano</v>
      </c>
      <c r="T345" t="str">
        <f t="shared" si="21"/>
        <v>M</v>
      </c>
      <c r="U345" t="str">
        <f t="shared" si="22"/>
        <v>FL</v>
      </c>
      <c r="V345" t="str">
        <f t="shared" si="23"/>
        <v>29990</v>
      </c>
    </row>
    <row r="346" spans="1:22" x14ac:dyDescent="0.35">
      <c r="A346" s="3">
        <v>32709</v>
      </c>
      <c r="B346" t="s">
        <v>13</v>
      </c>
      <c r="C346" t="s">
        <v>17</v>
      </c>
      <c r="D346">
        <v>556</v>
      </c>
      <c r="E346">
        <v>229</v>
      </c>
      <c r="F346">
        <v>280</v>
      </c>
      <c r="G346">
        <v>0</v>
      </c>
      <c r="H346">
        <v>12960</v>
      </c>
      <c r="I346">
        <v>4</v>
      </c>
      <c r="J346">
        <v>39</v>
      </c>
      <c r="K346">
        <v>272</v>
      </c>
      <c r="L346">
        <v>258</v>
      </c>
      <c r="M346">
        <v>13.25</v>
      </c>
      <c r="N346">
        <f>IFERROR(VLOOKUP(A346,vlookup_table!$A:$G,2,FALSE),"")</f>
        <v>0</v>
      </c>
      <c r="O346">
        <f>IFERROR(VLOOKUP(A346,vlookup_table!$A:$G,4,FALSE),"")</f>
        <v>5601</v>
      </c>
      <c r="P346" t="str">
        <f>IFERROR(VLOOKUP(A346,vlookup_table!$A:$G,5,FALSE),"")</f>
        <v>C2</v>
      </c>
      <c r="Q346">
        <f>IFERROR(VLOOKUP(A346,vlookup_table!$A:$G,7,FALSE),"")</f>
        <v>15</v>
      </c>
      <c r="R346">
        <f t="shared" si="20"/>
        <v>41</v>
      </c>
      <c r="S346" t="str" cm="1">
        <f t="array" ref="S346">IF(P346="","",_xlfn.SWITCH(LEFT(P346,1),"C","Ciudad","T","Pueblo","R","Rural","S","Suburbano","U","Urbano",""))</f>
        <v>Ciudad</v>
      </c>
      <c r="T346" t="str">
        <f t="shared" si="21"/>
        <v>F</v>
      </c>
      <c r="U346" t="str">
        <f t="shared" si="22"/>
        <v>FL</v>
      </c>
      <c r="V346" t="str">
        <f t="shared" si="23"/>
        <v>12960</v>
      </c>
    </row>
    <row r="347" spans="1:22" x14ac:dyDescent="0.35">
      <c r="A347" s="3">
        <v>187298</v>
      </c>
      <c r="B347" t="s">
        <v>46</v>
      </c>
      <c r="D347">
        <v>1015</v>
      </c>
      <c r="E347">
        <v>478</v>
      </c>
      <c r="F347">
        <v>533</v>
      </c>
      <c r="G347">
        <v>0</v>
      </c>
      <c r="H347">
        <v>17763</v>
      </c>
      <c r="I347">
        <v>14</v>
      </c>
      <c r="J347">
        <v>40</v>
      </c>
      <c r="K347">
        <v>500</v>
      </c>
      <c r="L347">
        <v>516</v>
      </c>
      <c r="M347">
        <v>7</v>
      </c>
      <c r="N347">
        <f>IFERROR(VLOOKUP(A347,vlookup_table!$A:$G,2,FALSE),"")</f>
        <v>0</v>
      </c>
      <c r="O347">
        <f>IFERROR(VLOOKUP(A347,vlookup_table!$A:$G,4,FALSE),"")</f>
        <v>0</v>
      </c>
      <c r="P347" t="str">
        <f>IFERROR(VLOOKUP(A347,vlookup_table!$A:$G,5,FALSE),"")</f>
        <v>S1</v>
      </c>
      <c r="Q347">
        <f>IFERROR(VLOOKUP(A347,vlookup_table!$A:$G,7,FALSE),"")</f>
        <v>10</v>
      </c>
      <c r="R347">
        <f t="shared" si="20"/>
        <v>97</v>
      </c>
      <c r="S347" t="str" cm="1">
        <f t="array" ref="S347">IF(P347="","",_xlfn.SWITCH(LEFT(P347,1),"C","Ciudad","T","Pueblo","R","Rural","S","Suburbano","U","Urbano",""))</f>
        <v>Suburbano</v>
      </c>
      <c r="T347" t="str">
        <f t="shared" si="21"/>
        <v/>
      </c>
      <c r="U347" t="str">
        <f t="shared" si="22"/>
        <v>SC</v>
      </c>
      <c r="V347" t="str">
        <f t="shared" si="23"/>
        <v>17763</v>
      </c>
    </row>
    <row r="348" spans="1:22" x14ac:dyDescent="0.35">
      <c r="A348" s="3">
        <v>50905</v>
      </c>
      <c r="B348" t="s">
        <v>53</v>
      </c>
      <c r="C348" t="s">
        <v>17</v>
      </c>
      <c r="D348">
        <v>736</v>
      </c>
      <c r="E348">
        <v>331</v>
      </c>
      <c r="F348">
        <v>432</v>
      </c>
      <c r="G348">
        <v>1</v>
      </c>
      <c r="H348">
        <v>16926</v>
      </c>
      <c r="I348">
        <v>1</v>
      </c>
      <c r="J348">
        <v>61</v>
      </c>
      <c r="K348">
        <v>390</v>
      </c>
      <c r="L348">
        <v>379</v>
      </c>
      <c r="M348">
        <v>8.6666666669999994</v>
      </c>
      <c r="N348">
        <f>IFERROR(VLOOKUP(A348,vlookup_table!$A:$G,2,FALSE),"")</f>
        <v>28</v>
      </c>
      <c r="O348">
        <f>IFERROR(VLOOKUP(A348,vlookup_table!$A:$G,4,FALSE),"")</f>
        <v>2301</v>
      </c>
      <c r="P348" t="str">
        <f>IFERROR(VLOOKUP(A348,vlookup_table!$A:$G,5,FALSE),"")</f>
        <v>S2</v>
      </c>
      <c r="Q348">
        <f>IFERROR(VLOOKUP(A348,vlookup_table!$A:$G,7,FALSE),"")</f>
        <v>16</v>
      </c>
      <c r="R348">
        <f t="shared" si="20"/>
        <v>74</v>
      </c>
      <c r="S348" t="str" cm="1">
        <f t="array" ref="S348">IF(P348="","",_xlfn.SWITCH(LEFT(P348,1),"C","Ciudad","T","Pueblo","R","Rural","S","Suburbano","U","Urbano",""))</f>
        <v>Suburbano</v>
      </c>
      <c r="T348" t="str">
        <f t="shared" si="21"/>
        <v>F</v>
      </c>
      <c r="U348" t="str">
        <f t="shared" si="22"/>
        <v>TN</v>
      </c>
      <c r="V348" t="str">
        <f t="shared" si="23"/>
        <v>16926</v>
      </c>
    </row>
    <row r="349" spans="1:22" x14ac:dyDescent="0.35">
      <c r="A349" s="3">
        <v>55552</v>
      </c>
      <c r="B349" t="s">
        <v>62</v>
      </c>
      <c r="C349" t="s">
        <v>14</v>
      </c>
      <c r="D349">
        <v>363</v>
      </c>
      <c r="E349">
        <v>156</v>
      </c>
      <c r="F349">
        <v>244</v>
      </c>
      <c r="G349">
        <v>0</v>
      </c>
      <c r="H349">
        <v>7079</v>
      </c>
      <c r="I349">
        <v>0</v>
      </c>
      <c r="J349">
        <v>91</v>
      </c>
      <c r="K349">
        <v>193</v>
      </c>
      <c r="L349">
        <v>214</v>
      </c>
      <c r="M349">
        <v>8.4</v>
      </c>
      <c r="N349">
        <f>IFERROR(VLOOKUP(A349,vlookup_table!$A:$G,2,FALSE),"")</f>
        <v>2</v>
      </c>
      <c r="O349">
        <f>IFERROR(VLOOKUP(A349,vlookup_table!$A:$G,4,FALSE),"")</f>
        <v>3203</v>
      </c>
      <c r="P349" t="str">
        <f>IFERROR(VLOOKUP(A349,vlookup_table!$A:$G,5,FALSE),"")</f>
        <v>R3</v>
      </c>
      <c r="Q349">
        <f>IFERROR(VLOOKUP(A349,vlookup_table!$A:$G,7,FALSE),"")</f>
        <v>20</v>
      </c>
      <c r="R349">
        <f t="shared" si="20"/>
        <v>65</v>
      </c>
      <c r="S349" t="str" cm="1">
        <f t="array" ref="S349">IF(P349="","",_xlfn.SWITCH(LEFT(P349,1),"C","Ciudad","T","Pueblo","R","Rural","S","Suburbano","U","Urbano",""))</f>
        <v>Rural</v>
      </c>
      <c r="T349" t="str">
        <f t="shared" si="21"/>
        <v>M</v>
      </c>
      <c r="U349" t="str">
        <f t="shared" si="22"/>
        <v>MS</v>
      </c>
      <c r="V349" t="str">
        <f t="shared" si="23"/>
        <v>7079</v>
      </c>
    </row>
    <row r="350" spans="1:22" x14ac:dyDescent="0.35">
      <c r="A350" s="3">
        <v>28550</v>
      </c>
      <c r="B350" t="s">
        <v>39</v>
      </c>
      <c r="C350" t="s">
        <v>17</v>
      </c>
      <c r="D350">
        <v>803</v>
      </c>
      <c r="E350">
        <v>423</v>
      </c>
      <c r="F350">
        <v>508</v>
      </c>
      <c r="G350">
        <v>0</v>
      </c>
      <c r="H350">
        <v>19029</v>
      </c>
      <c r="I350">
        <v>9</v>
      </c>
      <c r="J350">
        <v>51</v>
      </c>
      <c r="K350">
        <v>512</v>
      </c>
      <c r="L350">
        <v>467</v>
      </c>
      <c r="M350">
        <v>11.66666667</v>
      </c>
      <c r="N350">
        <f>IFERROR(VLOOKUP(A350,vlookup_table!$A:$G,2,FALSE),"")</f>
        <v>28</v>
      </c>
      <c r="O350">
        <f>IFERROR(VLOOKUP(A350,vlookup_table!$A:$G,4,FALSE),"")</f>
        <v>5204</v>
      </c>
      <c r="P350" t="str">
        <f>IFERROR(VLOOKUP(A350,vlookup_table!$A:$G,5,FALSE),"")</f>
        <v>S2</v>
      </c>
      <c r="Q350">
        <f>IFERROR(VLOOKUP(A350,vlookup_table!$A:$G,7,FALSE),"")</f>
        <v>15</v>
      </c>
      <c r="R350">
        <f t="shared" si="20"/>
        <v>45</v>
      </c>
      <c r="S350" t="str" cm="1">
        <f t="array" ref="S350">IF(P350="","",_xlfn.SWITCH(LEFT(P350,1),"C","Ciudad","T","Pueblo","R","Rural","S","Suburbano","U","Urbano",""))</f>
        <v>Suburbano</v>
      </c>
      <c r="T350" t="str">
        <f t="shared" si="21"/>
        <v>F</v>
      </c>
      <c r="U350" t="str">
        <f t="shared" si="22"/>
        <v>GA</v>
      </c>
      <c r="V350" t="str">
        <f t="shared" si="23"/>
        <v>19029</v>
      </c>
    </row>
    <row r="351" spans="1:22" x14ac:dyDescent="0.35">
      <c r="A351" s="3">
        <v>158460</v>
      </c>
      <c r="B351" t="s">
        <v>61</v>
      </c>
      <c r="C351" t="s">
        <v>17</v>
      </c>
      <c r="D351">
        <v>1818</v>
      </c>
      <c r="E351">
        <v>258</v>
      </c>
      <c r="F351">
        <v>350</v>
      </c>
      <c r="G351">
        <v>28</v>
      </c>
      <c r="H351">
        <v>10324</v>
      </c>
      <c r="I351">
        <v>35</v>
      </c>
      <c r="J351">
        <v>36</v>
      </c>
      <c r="K351">
        <v>316</v>
      </c>
      <c r="L351">
        <v>299</v>
      </c>
      <c r="M351">
        <v>13.7</v>
      </c>
      <c r="N351">
        <f>IFERROR(VLOOKUP(A351,vlookup_table!$A:$G,2,FALSE),"")</f>
        <v>0</v>
      </c>
      <c r="O351">
        <f>IFERROR(VLOOKUP(A351,vlookup_table!$A:$G,4,FALSE),"")</f>
        <v>2910</v>
      </c>
      <c r="P351" t="str">
        <f>IFERROR(VLOOKUP(A351,vlookup_table!$A:$G,5,FALSE),"")</f>
        <v>U3</v>
      </c>
      <c r="Q351">
        <f>IFERROR(VLOOKUP(A351,vlookup_table!$A:$G,7,FALSE),"")</f>
        <v>15</v>
      </c>
      <c r="R351">
        <f t="shared" si="20"/>
        <v>68</v>
      </c>
      <c r="S351" t="str" cm="1">
        <f t="array" ref="S351">IF(P351="","",_xlfn.SWITCH(LEFT(P351,1),"C","Ciudad","T","Pueblo","R","Rural","S","Suburbano","U","Urbano",""))</f>
        <v>Urbano</v>
      </c>
      <c r="T351" t="str">
        <f t="shared" si="21"/>
        <v>F</v>
      </c>
      <c r="U351" t="str">
        <f t="shared" si="22"/>
        <v>CA</v>
      </c>
      <c r="V351" t="str">
        <f t="shared" si="23"/>
        <v>10324</v>
      </c>
    </row>
    <row r="352" spans="1:22" x14ac:dyDescent="0.35">
      <c r="A352" s="3">
        <v>56449</v>
      </c>
      <c r="B352" t="s">
        <v>57</v>
      </c>
      <c r="C352" t="s">
        <v>17</v>
      </c>
      <c r="D352">
        <v>640</v>
      </c>
      <c r="E352">
        <v>381</v>
      </c>
      <c r="F352">
        <v>450</v>
      </c>
      <c r="G352">
        <v>0</v>
      </c>
      <c r="H352">
        <v>15499</v>
      </c>
      <c r="I352">
        <v>0</v>
      </c>
      <c r="J352">
        <v>82</v>
      </c>
      <c r="K352">
        <v>414</v>
      </c>
      <c r="L352">
        <v>403</v>
      </c>
      <c r="M352">
        <v>6.9285714289999998</v>
      </c>
      <c r="N352">
        <f>IFERROR(VLOOKUP(A352,vlookup_table!$A:$G,2,FALSE),"")</f>
        <v>0</v>
      </c>
      <c r="O352">
        <f>IFERROR(VLOOKUP(A352,vlookup_table!$A:$G,4,FALSE),"")</f>
        <v>0</v>
      </c>
      <c r="P352" t="str">
        <f>IFERROR(VLOOKUP(A352,vlookup_table!$A:$G,5,FALSE),"")</f>
        <v>R2</v>
      </c>
      <c r="Q352">
        <f>IFERROR(VLOOKUP(A352,vlookup_table!$A:$G,7,FALSE),"")</f>
        <v>5</v>
      </c>
      <c r="R352">
        <f t="shared" si="20"/>
        <v>97</v>
      </c>
      <c r="S352" t="str" cm="1">
        <f t="array" ref="S352">IF(P352="","",_xlfn.SWITCH(LEFT(P352,1),"C","Ciudad","T","Pueblo","R","Rural","S","Suburbano","U","Urbano",""))</f>
        <v>Rural</v>
      </c>
      <c r="T352" t="str">
        <f t="shared" si="21"/>
        <v>F</v>
      </c>
      <c r="U352" t="str">
        <f t="shared" si="22"/>
        <v>KY</v>
      </c>
      <c r="V352" t="str">
        <f t="shared" si="23"/>
        <v>15499</v>
      </c>
    </row>
    <row r="353" spans="1:22" x14ac:dyDescent="0.35">
      <c r="A353" s="3">
        <v>133315</v>
      </c>
      <c r="B353" t="s">
        <v>40</v>
      </c>
      <c r="C353" t="s">
        <v>17</v>
      </c>
      <c r="D353">
        <v>698</v>
      </c>
      <c r="E353">
        <v>355</v>
      </c>
      <c r="F353">
        <v>416</v>
      </c>
      <c r="G353">
        <v>1</v>
      </c>
      <c r="H353">
        <v>13184</v>
      </c>
      <c r="I353">
        <v>1</v>
      </c>
      <c r="J353">
        <v>34</v>
      </c>
      <c r="K353">
        <v>377</v>
      </c>
      <c r="L353">
        <v>393</v>
      </c>
      <c r="M353">
        <v>8.5</v>
      </c>
      <c r="N353">
        <f>IFERROR(VLOOKUP(A353,vlookup_table!$A:$G,2,FALSE),"")</f>
        <v>0</v>
      </c>
      <c r="O353">
        <f>IFERROR(VLOOKUP(A353,vlookup_table!$A:$G,4,FALSE),"")</f>
        <v>3603</v>
      </c>
      <c r="P353" t="str">
        <f>IFERROR(VLOOKUP(A353,vlookup_table!$A:$G,5,FALSE),"")</f>
        <v>T2</v>
      </c>
      <c r="Q353">
        <f>IFERROR(VLOOKUP(A353,vlookup_table!$A:$G,7,FALSE),"")</f>
        <v>10</v>
      </c>
      <c r="R353">
        <f t="shared" si="20"/>
        <v>61</v>
      </c>
      <c r="S353" t="str" cm="1">
        <f t="array" ref="S353">IF(P353="","",_xlfn.SWITCH(LEFT(P353,1),"C","Ciudad","T","Pueblo","R","Rural","S","Suburbano","U","Urbano",""))</f>
        <v>Pueblo</v>
      </c>
      <c r="T353" t="str">
        <f t="shared" si="21"/>
        <v>F</v>
      </c>
      <c r="U353" t="str">
        <f t="shared" si="22"/>
        <v>WA</v>
      </c>
      <c r="V353" t="str">
        <f t="shared" si="23"/>
        <v>13184</v>
      </c>
    </row>
    <row r="354" spans="1:22" x14ac:dyDescent="0.35">
      <c r="A354" s="3">
        <v>164251</v>
      </c>
      <c r="B354" t="s">
        <v>61</v>
      </c>
      <c r="C354" t="s">
        <v>17</v>
      </c>
      <c r="D354">
        <v>1449</v>
      </c>
      <c r="E354">
        <v>378</v>
      </c>
      <c r="F354">
        <v>470</v>
      </c>
      <c r="G354">
        <v>4</v>
      </c>
      <c r="H354">
        <v>16190</v>
      </c>
      <c r="I354">
        <v>6</v>
      </c>
      <c r="J354">
        <v>46</v>
      </c>
      <c r="K354">
        <v>439</v>
      </c>
      <c r="L354">
        <v>395</v>
      </c>
      <c r="M354">
        <v>15</v>
      </c>
      <c r="N354">
        <f>IFERROR(VLOOKUP(A354,vlookup_table!$A:$G,2,FALSE),"")</f>
        <v>0</v>
      </c>
      <c r="O354">
        <f>IFERROR(VLOOKUP(A354,vlookup_table!$A:$G,4,FALSE),"")</f>
        <v>4001</v>
      </c>
      <c r="P354" t="str">
        <f>IFERROR(VLOOKUP(A354,vlookup_table!$A:$G,5,FALSE),"")</f>
        <v>S2</v>
      </c>
      <c r="Q354">
        <f>IFERROR(VLOOKUP(A354,vlookup_table!$A:$G,7,FALSE),"")</f>
        <v>5</v>
      </c>
      <c r="R354">
        <f t="shared" si="20"/>
        <v>57</v>
      </c>
      <c r="S354" t="str" cm="1">
        <f t="array" ref="S354">IF(P354="","",_xlfn.SWITCH(LEFT(P354,1),"C","Ciudad","T","Pueblo","R","Rural","S","Suburbano","U","Urbano",""))</f>
        <v>Suburbano</v>
      </c>
      <c r="T354" t="str">
        <f t="shared" si="21"/>
        <v>F</v>
      </c>
      <c r="U354" t="str">
        <f t="shared" si="22"/>
        <v>CA</v>
      </c>
      <c r="V354" t="str">
        <f t="shared" si="23"/>
        <v>16190</v>
      </c>
    </row>
    <row r="355" spans="1:22" x14ac:dyDescent="0.35">
      <c r="A355" s="3">
        <v>149626</v>
      </c>
      <c r="B355" t="s">
        <v>24</v>
      </c>
      <c r="D355">
        <v>1557</v>
      </c>
      <c r="E355">
        <v>290</v>
      </c>
      <c r="F355">
        <v>361</v>
      </c>
      <c r="G355">
        <v>17</v>
      </c>
      <c r="H355">
        <v>13837</v>
      </c>
      <c r="I355">
        <v>5</v>
      </c>
      <c r="J355">
        <v>6</v>
      </c>
      <c r="K355">
        <v>311</v>
      </c>
      <c r="L355">
        <v>342</v>
      </c>
      <c r="M355">
        <v>10.5</v>
      </c>
      <c r="N355">
        <f>IFERROR(VLOOKUP(A355,vlookup_table!$A:$G,2,FALSE),"")</f>
        <v>0</v>
      </c>
      <c r="O355">
        <f>IFERROR(VLOOKUP(A355,vlookup_table!$A:$G,4,FALSE),"")</f>
        <v>0</v>
      </c>
      <c r="P355" t="str">
        <f>IFERROR(VLOOKUP(A355,vlookup_table!$A:$G,5,FALSE),"")</f>
        <v>S1</v>
      </c>
      <c r="Q355">
        <f>IFERROR(VLOOKUP(A355,vlookup_table!$A:$G,7,FALSE),"")</f>
        <v>10</v>
      </c>
      <c r="R355">
        <f t="shared" si="20"/>
        <v>97</v>
      </c>
      <c r="S355" t="str" cm="1">
        <f t="array" ref="S355">IF(P355="","",_xlfn.SWITCH(LEFT(P355,1),"C","Ciudad","T","Pueblo","R","Rural","S","Suburbano","U","Urbano",""))</f>
        <v>Suburbano</v>
      </c>
      <c r="T355" t="str">
        <f t="shared" si="21"/>
        <v/>
      </c>
      <c r="U355" t="str">
        <f t="shared" si="22"/>
        <v>NV</v>
      </c>
      <c r="V355" t="str">
        <f t="shared" si="23"/>
        <v>13837</v>
      </c>
    </row>
    <row r="356" spans="1:22" x14ac:dyDescent="0.35">
      <c r="A356" s="3">
        <v>123805</v>
      </c>
      <c r="B356" t="s">
        <v>21</v>
      </c>
      <c r="C356" t="s">
        <v>17</v>
      </c>
      <c r="D356">
        <v>518</v>
      </c>
      <c r="E356">
        <v>223</v>
      </c>
      <c r="F356">
        <v>302</v>
      </c>
      <c r="G356">
        <v>1</v>
      </c>
      <c r="H356">
        <v>10041</v>
      </c>
      <c r="I356">
        <v>4</v>
      </c>
      <c r="J356">
        <v>70</v>
      </c>
      <c r="K356">
        <v>256</v>
      </c>
      <c r="L356">
        <v>273</v>
      </c>
      <c r="M356">
        <v>4.5833333329999997</v>
      </c>
      <c r="N356">
        <f>IFERROR(VLOOKUP(A356,vlookup_table!$A:$G,2,FALSE),"")</f>
        <v>2</v>
      </c>
      <c r="O356">
        <f>IFERROR(VLOOKUP(A356,vlookup_table!$A:$G,4,FALSE),"")</f>
        <v>2801</v>
      </c>
      <c r="P356" t="str">
        <f>IFERROR(VLOOKUP(A356,vlookup_table!$A:$G,5,FALSE),"")</f>
        <v>R2</v>
      </c>
      <c r="Q356">
        <f>IFERROR(VLOOKUP(A356,vlookup_table!$A:$G,7,FALSE),"")</f>
        <v>7</v>
      </c>
      <c r="R356">
        <f t="shared" si="20"/>
        <v>69</v>
      </c>
      <c r="S356" t="str" cm="1">
        <f t="array" ref="S356">IF(P356="","",_xlfn.SWITCH(LEFT(P356,1),"C","Ciudad","T","Pueblo","R","Rural","S","Suburbano","U","Urbano",""))</f>
        <v>Rural</v>
      </c>
      <c r="T356" t="str">
        <f t="shared" si="21"/>
        <v>F</v>
      </c>
      <c r="U356" t="str">
        <f t="shared" si="22"/>
        <v>TX</v>
      </c>
      <c r="V356" t="str">
        <f t="shared" si="23"/>
        <v>10041</v>
      </c>
    </row>
    <row r="357" spans="1:22" x14ac:dyDescent="0.35">
      <c r="A357" s="3">
        <v>156077</v>
      </c>
      <c r="B357" t="s">
        <v>61</v>
      </c>
      <c r="C357" t="s">
        <v>17</v>
      </c>
      <c r="D357">
        <v>1180</v>
      </c>
      <c r="E357">
        <v>232</v>
      </c>
      <c r="F357">
        <v>307</v>
      </c>
      <c r="G357">
        <v>9</v>
      </c>
      <c r="H357">
        <v>7582</v>
      </c>
      <c r="I357">
        <v>20</v>
      </c>
      <c r="J357">
        <v>40</v>
      </c>
      <c r="K357">
        <v>248</v>
      </c>
      <c r="L357">
        <v>277</v>
      </c>
      <c r="M357">
        <v>9.6666666669999994</v>
      </c>
      <c r="N357">
        <f>IFERROR(VLOOKUP(A357,vlookup_table!$A:$G,2,FALSE),"")</f>
        <v>0</v>
      </c>
      <c r="O357">
        <f>IFERROR(VLOOKUP(A357,vlookup_table!$A:$G,4,FALSE),"")</f>
        <v>5601</v>
      </c>
      <c r="P357" t="str">
        <f>IFERROR(VLOOKUP(A357,vlookup_table!$A:$G,5,FALSE),"")</f>
        <v>T2</v>
      </c>
      <c r="Q357">
        <f>IFERROR(VLOOKUP(A357,vlookup_table!$A:$G,7,FALSE),"")</f>
        <v>15</v>
      </c>
      <c r="R357">
        <f t="shared" si="20"/>
        <v>41</v>
      </c>
      <c r="S357" t="str" cm="1">
        <f t="array" ref="S357">IF(P357="","",_xlfn.SWITCH(LEFT(P357,1),"C","Ciudad","T","Pueblo","R","Rural","S","Suburbano","U","Urbano",""))</f>
        <v>Pueblo</v>
      </c>
      <c r="T357" t="str">
        <f t="shared" si="21"/>
        <v>F</v>
      </c>
      <c r="U357" t="str">
        <f t="shared" si="22"/>
        <v>CA</v>
      </c>
      <c r="V357" t="str">
        <f t="shared" si="23"/>
        <v>7582</v>
      </c>
    </row>
    <row r="358" spans="1:22" x14ac:dyDescent="0.35">
      <c r="A358" s="3">
        <v>183858</v>
      </c>
      <c r="B358" t="s">
        <v>40</v>
      </c>
      <c r="C358" t="s">
        <v>51</v>
      </c>
      <c r="D358">
        <v>511</v>
      </c>
      <c r="E358">
        <v>268</v>
      </c>
      <c r="F358">
        <v>354</v>
      </c>
      <c r="G358">
        <v>0</v>
      </c>
      <c r="H358">
        <v>12388</v>
      </c>
      <c r="I358">
        <v>2</v>
      </c>
      <c r="J358">
        <v>56</v>
      </c>
      <c r="K358">
        <v>309</v>
      </c>
      <c r="L358">
        <v>317</v>
      </c>
      <c r="M358">
        <v>16</v>
      </c>
      <c r="N358">
        <f>IFERROR(VLOOKUP(A358,vlookup_table!$A:$G,2,FALSE),"")</f>
        <v>1</v>
      </c>
      <c r="O358">
        <f>IFERROR(VLOOKUP(A358,vlookup_table!$A:$G,4,FALSE),"")</f>
        <v>4801</v>
      </c>
      <c r="P358" t="str">
        <f>IFERROR(VLOOKUP(A358,vlookup_table!$A:$G,5,FALSE),"")</f>
        <v>R2</v>
      </c>
      <c r="Q358">
        <f>IFERROR(VLOOKUP(A358,vlookup_table!$A:$G,7,FALSE),"")</f>
        <v>25</v>
      </c>
      <c r="R358">
        <f t="shared" si="20"/>
        <v>49</v>
      </c>
      <c r="S358" t="str" cm="1">
        <f t="array" ref="S358">IF(P358="","",_xlfn.SWITCH(LEFT(P358,1),"C","Ciudad","T","Pueblo","R","Rural","S","Suburbano","U","Urbano",""))</f>
        <v>Rural</v>
      </c>
      <c r="T358" t="str">
        <f t="shared" si="21"/>
        <v>M</v>
      </c>
      <c r="U358" t="str">
        <f t="shared" si="22"/>
        <v>WA</v>
      </c>
      <c r="V358" t="str">
        <f t="shared" si="23"/>
        <v>12388</v>
      </c>
    </row>
    <row r="359" spans="1:22" x14ac:dyDescent="0.35">
      <c r="A359" s="3">
        <v>164217</v>
      </c>
      <c r="B359" t="s">
        <v>61</v>
      </c>
      <c r="C359" t="s">
        <v>14</v>
      </c>
      <c r="D359">
        <v>2869</v>
      </c>
      <c r="E359">
        <v>630</v>
      </c>
      <c r="F359">
        <v>745</v>
      </c>
      <c r="G359">
        <v>74</v>
      </c>
      <c r="H359">
        <v>24945</v>
      </c>
      <c r="I359">
        <v>6</v>
      </c>
      <c r="J359">
        <v>46</v>
      </c>
      <c r="K359">
        <v>668</v>
      </c>
      <c r="L359">
        <v>686</v>
      </c>
      <c r="M359">
        <v>14.16666667</v>
      </c>
      <c r="N359">
        <f>IFERROR(VLOOKUP(A359,vlookup_table!$A:$G,2,FALSE),"")</f>
        <v>0</v>
      </c>
      <c r="O359">
        <f>IFERROR(VLOOKUP(A359,vlookup_table!$A:$G,4,FALSE),"")</f>
        <v>4011</v>
      </c>
      <c r="P359" t="str">
        <f>IFERROR(VLOOKUP(A359,vlookup_table!$A:$G,5,FALSE),"")</f>
        <v>T1</v>
      </c>
      <c r="Q359">
        <f>IFERROR(VLOOKUP(A359,vlookup_table!$A:$G,7,FALSE),"")</f>
        <v>25</v>
      </c>
      <c r="R359">
        <f t="shared" si="20"/>
        <v>57</v>
      </c>
      <c r="S359" t="str" cm="1">
        <f t="array" ref="S359">IF(P359="","",_xlfn.SWITCH(LEFT(P359,1),"C","Ciudad","T","Pueblo","R","Rural","S","Suburbano","U","Urbano",""))</f>
        <v>Pueblo</v>
      </c>
      <c r="T359" t="str">
        <f t="shared" si="21"/>
        <v>M</v>
      </c>
      <c r="U359" t="str">
        <f t="shared" si="22"/>
        <v>CA</v>
      </c>
      <c r="V359" t="str">
        <f t="shared" si="23"/>
        <v>24945</v>
      </c>
    </row>
    <row r="360" spans="1:22" x14ac:dyDescent="0.35">
      <c r="A360" s="3">
        <v>169973</v>
      </c>
      <c r="B360" t="s">
        <v>61</v>
      </c>
      <c r="C360" t="s">
        <v>17</v>
      </c>
      <c r="D360">
        <v>1514</v>
      </c>
      <c r="E360">
        <v>325</v>
      </c>
      <c r="F360">
        <v>517</v>
      </c>
      <c r="G360">
        <v>17</v>
      </c>
      <c r="H360">
        <v>18572</v>
      </c>
      <c r="I360">
        <v>3</v>
      </c>
      <c r="J360">
        <v>53</v>
      </c>
      <c r="K360">
        <v>451</v>
      </c>
      <c r="L360">
        <v>439</v>
      </c>
      <c r="M360">
        <v>11.4</v>
      </c>
      <c r="N360">
        <f>IFERROR(VLOOKUP(A360,vlookup_table!$A:$G,2,FALSE),"")</f>
        <v>2</v>
      </c>
      <c r="O360">
        <f>IFERROR(VLOOKUP(A360,vlookup_table!$A:$G,4,FALSE),"")</f>
        <v>4001</v>
      </c>
      <c r="P360" t="str">
        <f>IFERROR(VLOOKUP(A360,vlookup_table!$A:$G,5,FALSE),"")</f>
        <v>R1</v>
      </c>
      <c r="Q360">
        <f>IFERROR(VLOOKUP(A360,vlookup_table!$A:$G,7,FALSE),"")</f>
        <v>15</v>
      </c>
      <c r="R360">
        <f t="shared" si="20"/>
        <v>57</v>
      </c>
      <c r="S360" t="str" cm="1">
        <f t="array" ref="S360">IF(P360="","",_xlfn.SWITCH(LEFT(P360,1),"C","Ciudad","T","Pueblo","R","Rural","S","Suburbano","U","Urbano",""))</f>
        <v>Rural</v>
      </c>
      <c r="T360" t="str">
        <f t="shared" si="21"/>
        <v>F</v>
      </c>
      <c r="U360" t="str">
        <f t="shared" si="22"/>
        <v>CA</v>
      </c>
      <c r="V360" t="str">
        <f t="shared" si="23"/>
        <v>18572</v>
      </c>
    </row>
    <row r="361" spans="1:22" x14ac:dyDescent="0.35">
      <c r="A361" s="3">
        <v>15066</v>
      </c>
      <c r="B361" t="s">
        <v>18</v>
      </c>
      <c r="C361" t="s">
        <v>20</v>
      </c>
      <c r="D361">
        <v>444</v>
      </c>
      <c r="E361">
        <v>260</v>
      </c>
      <c r="F361">
        <v>341</v>
      </c>
      <c r="G361">
        <v>0</v>
      </c>
      <c r="H361">
        <v>11387</v>
      </c>
      <c r="I361">
        <v>0</v>
      </c>
      <c r="J361">
        <v>87</v>
      </c>
      <c r="K361">
        <v>296</v>
      </c>
      <c r="L361">
        <v>288</v>
      </c>
      <c r="M361">
        <v>8.9583333330000006</v>
      </c>
      <c r="N361">
        <f>IFERROR(VLOOKUP(A361,vlookup_table!$A:$G,2,FALSE),"")</f>
        <v>2</v>
      </c>
      <c r="O361">
        <f>IFERROR(VLOOKUP(A361,vlookup_table!$A:$G,4,FALSE),"")</f>
        <v>4601</v>
      </c>
      <c r="P361" t="str">
        <f>IFERROR(VLOOKUP(A361,vlookup_table!$A:$G,5,FALSE),"")</f>
        <v>R3</v>
      </c>
      <c r="Q361">
        <f>IFERROR(VLOOKUP(A361,vlookup_table!$A:$G,7,FALSE),"")</f>
        <v>10</v>
      </c>
      <c r="R361">
        <f t="shared" si="20"/>
        <v>51</v>
      </c>
      <c r="S361" t="str" cm="1">
        <f t="array" ref="S361">IF(P361="","",_xlfn.SWITCH(LEFT(P361,1),"C","Ciudad","T","Pueblo","R","Rural","S","Suburbano","U","Urbano",""))</f>
        <v>Rural</v>
      </c>
      <c r="T361" t="str">
        <f t="shared" si="21"/>
        <v>F</v>
      </c>
      <c r="U361" t="str">
        <f t="shared" si="22"/>
        <v>NC</v>
      </c>
      <c r="V361" t="str">
        <f t="shared" si="23"/>
        <v>11387</v>
      </c>
    </row>
    <row r="362" spans="1:22" x14ac:dyDescent="0.35">
      <c r="A362" s="3">
        <v>64467</v>
      </c>
      <c r="B362" t="s">
        <v>33</v>
      </c>
      <c r="C362" t="s">
        <v>17</v>
      </c>
      <c r="D362">
        <v>444</v>
      </c>
      <c r="E362">
        <v>270</v>
      </c>
      <c r="F362">
        <v>364</v>
      </c>
      <c r="G362">
        <v>0</v>
      </c>
      <c r="H362">
        <v>13896</v>
      </c>
      <c r="I362">
        <v>1</v>
      </c>
      <c r="J362">
        <v>39</v>
      </c>
      <c r="K362">
        <v>318</v>
      </c>
      <c r="L362">
        <v>310</v>
      </c>
      <c r="M362">
        <v>12.69230769</v>
      </c>
      <c r="N362">
        <f>IFERROR(VLOOKUP(A362,vlookup_table!$A:$G,2,FALSE),"")</f>
        <v>0</v>
      </c>
      <c r="O362">
        <f>IFERROR(VLOOKUP(A362,vlookup_table!$A:$G,4,FALSE),"")</f>
        <v>4801</v>
      </c>
      <c r="P362" t="str">
        <f>IFERROR(VLOOKUP(A362,vlookup_table!$A:$G,5,FALSE),"")</f>
        <v>R2</v>
      </c>
      <c r="Q362">
        <f>IFERROR(VLOOKUP(A362,vlookup_table!$A:$G,7,FALSE),"")</f>
        <v>12</v>
      </c>
      <c r="R362">
        <f t="shared" si="20"/>
        <v>49</v>
      </c>
      <c r="S362" t="str" cm="1">
        <f t="array" ref="S362">IF(P362="","",_xlfn.SWITCH(LEFT(P362,1),"C","Ciudad","T","Pueblo","R","Rural","S","Suburbano","U","Urbano",""))</f>
        <v>Rural</v>
      </c>
      <c r="T362" t="str">
        <f t="shared" si="21"/>
        <v>F</v>
      </c>
      <c r="U362" t="str">
        <f t="shared" si="22"/>
        <v>IN</v>
      </c>
      <c r="V362" t="str">
        <f t="shared" si="23"/>
        <v>13896</v>
      </c>
    </row>
    <row r="363" spans="1:22" x14ac:dyDescent="0.35">
      <c r="A363" s="3">
        <v>133814</v>
      </c>
      <c r="B363" t="s">
        <v>41</v>
      </c>
      <c r="C363" t="s">
        <v>14</v>
      </c>
      <c r="D363">
        <v>654</v>
      </c>
      <c r="E363">
        <v>250</v>
      </c>
      <c r="F363">
        <v>366</v>
      </c>
      <c r="G363">
        <v>3</v>
      </c>
      <c r="H363">
        <v>13433</v>
      </c>
      <c r="I363">
        <v>2</v>
      </c>
      <c r="J363">
        <v>32</v>
      </c>
      <c r="K363">
        <v>306</v>
      </c>
      <c r="L363">
        <v>312</v>
      </c>
      <c r="M363">
        <v>18.714285709999999</v>
      </c>
      <c r="N363">
        <f>IFERROR(VLOOKUP(A363,vlookup_table!$A:$G,2,FALSE),"")</f>
        <v>2</v>
      </c>
      <c r="O363">
        <f>IFERROR(VLOOKUP(A363,vlookup_table!$A:$G,4,FALSE),"")</f>
        <v>2412</v>
      </c>
      <c r="P363" t="str">
        <f>IFERROR(VLOOKUP(A363,vlookup_table!$A:$G,5,FALSE),"")</f>
        <v>T2</v>
      </c>
      <c r="Q363">
        <f>IFERROR(VLOOKUP(A363,vlookup_table!$A:$G,7,FALSE),"")</f>
        <v>25</v>
      </c>
      <c r="R363">
        <f t="shared" si="20"/>
        <v>73</v>
      </c>
      <c r="S363" t="str" cm="1">
        <f t="array" ref="S363">IF(P363="","",_xlfn.SWITCH(LEFT(P363,1),"C","Ciudad","T","Pueblo","R","Rural","S","Suburbano","U","Urbano",""))</f>
        <v>Pueblo</v>
      </c>
      <c r="T363" t="str">
        <f t="shared" si="21"/>
        <v>M</v>
      </c>
      <c r="U363" t="str">
        <f t="shared" si="22"/>
        <v>ID</v>
      </c>
      <c r="V363" t="str">
        <f t="shared" si="23"/>
        <v>13433</v>
      </c>
    </row>
    <row r="364" spans="1:22" x14ac:dyDescent="0.35">
      <c r="A364" s="3">
        <v>31852</v>
      </c>
      <c r="B364" t="s">
        <v>13</v>
      </c>
      <c r="C364" t="s">
        <v>17</v>
      </c>
      <c r="D364">
        <v>985</v>
      </c>
      <c r="E364">
        <v>480</v>
      </c>
      <c r="F364">
        <v>506</v>
      </c>
      <c r="G364">
        <v>0</v>
      </c>
      <c r="H364">
        <v>15195</v>
      </c>
      <c r="I364">
        <v>3</v>
      </c>
      <c r="J364">
        <v>25</v>
      </c>
      <c r="K364">
        <v>495</v>
      </c>
      <c r="L364">
        <v>487</v>
      </c>
      <c r="M364">
        <v>15.2</v>
      </c>
      <c r="N364">
        <f>IFERROR(VLOOKUP(A364,vlookup_table!$A:$G,2,FALSE),"")</f>
        <v>0</v>
      </c>
      <c r="O364">
        <f>IFERROR(VLOOKUP(A364,vlookup_table!$A:$G,4,FALSE),"")</f>
        <v>4802</v>
      </c>
      <c r="P364" t="str">
        <f>IFERROR(VLOOKUP(A364,vlookup_table!$A:$G,5,FALSE),"")</f>
        <v>S1</v>
      </c>
      <c r="Q364">
        <f>IFERROR(VLOOKUP(A364,vlookup_table!$A:$G,7,FALSE),"")</f>
        <v>26</v>
      </c>
      <c r="R364">
        <f t="shared" si="20"/>
        <v>49</v>
      </c>
      <c r="S364" t="str" cm="1">
        <f t="array" ref="S364">IF(P364="","",_xlfn.SWITCH(LEFT(P364,1),"C","Ciudad","T","Pueblo","R","Rural","S","Suburbano","U","Urbano",""))</f>
        <v>Suburbano</v>
      </c>
      <c r="T364" t="str">
        <f t="shared" si="21"/>
        <v>F</v>
      </c>
      <c r="U364" t="str">
        <f t="shared" si="22"/>
        <v>FL</v>
      </c>
      <c r="V364" t="str">
        <f t="shared" si="23"/>
        <v>15195</v>
      </c>
    </row>
    <row r="365" spans="1:22" x14ac:dyDescent="0.35">
      <c r="A365" s="3">
        <v>82610</v>
      </c>
      <c r="B365" t="s">
        <v>56</v>
      </c>
      <c r="C365" t="s">
        <v>44</v>
      </c>
      <c r="D365">
        <v>280</v>
      </c>
      <c r="E365">
        <v>249</v>
      </c>
      <c r="F365">
        <v>304</v>
      </c>
      <c r="G365">
        <v>0</v>
      </c>
      <c r="H365">
        <v>10337</v>
      </c>
      <c r="I365">
        <v>0</v>
      </c>
      <c r="J365">
        <v>86</v>
      </c>
      <c r="K365">
        <v>282</v>
      </c>
      <c r="L365">
        <v>277</v>
      </c>
      <c r="M365">
        <v>3.6</v>
      </c>
      <c r="N365">
        <f>IFERROR(VLOOKUP(A365,vlookup_table!$A:$G,2,FALSE),"")</f>
        <v>0</v>
      </c>
      <c r="O365">
        <f>IFERROR(VLOOKUP(A365,vlookup_table!$A:$G,4,FALSE),"")</f>
        <v>2308</v>
      </c>
      <c r="P365" t="str">
        <f>IFERROR(VLOOKUP(A365,vlookup_table!$A:$G,5,FALSE),"")</f>
        <v>S2</v>
      </c>
      <c r="Q365">
        <f>IFERROR(VLOOKUP(A365,vlookup_table!$A:$G,7,FALSE),"")</f>
        <v>5</v>
      </c>
      <c r="R365">
        <f t="shared" si="20"/>
        <v>74</v>
      </c>
      <c r="S365" t="str" cm="1">
        <f t="array" ref="S365">IF(P365="","",_xlfn.SWITCH(LEFT(P365,1),"C","Ciudad","T","Pueblo","R","Rural","S","Suburbano","U","Urbano",""))</f>
        <v>Suburbano</v>
      </c>
      <c r="T365" t="str">
        <f t="shared" si="21"/>
        <v>J</v>
      </c>
      <c r="U365" t="str">
        <f t="shared" si="22"/>
        <v>MN</v>
      </c>
      <c r="V365" t="str">
        <f t="shared" si="23"/>
        <v>10337</v>
      </c>
    </row>
    <row r="366" spans="1:22" x14ac:dyDescent="0.35">
      <c r="A366" s="3">
        <v>34319</v>
      </c>
      <c r="B366" t="s">
        <v>13</v>
      </c>
      <c r="C366" t="s">
        <v>14</v>
      </c>
      <c r="D366">
        <v>714</v>
      </c>
      <c r="E366">
        <v>390</v>
      </c>
      <c r="F366">
        <v>507</v>
      </c>
      <c r="G366">
        <v>0</v>
      </c>
      <c r="H366">
        <v>18391</v>
      </c>
      <c r="I366">
        <v>5</v>
      </c>
      <c r="J366">
        <v>30</v>
      </c>
      <c r="K366">
        <v>465</v>
      </c>
      <c r="L366">
        <v>437</v>
      </c>
      <c r="M366">
        <v>50</v>
      </c>
      <c r="N366">
        <f>IFERROR(VLOOKUP(A366,vlookup_table!$A:$G,2,FALSE),"")</f>
        <v>0</v>
      </c>
      <c r="O366">
        <f>IFERROR(VLOOKUP(A366,vlookup_table!$A:$G,4,FALSE),"")</f>
        <v>3001</v>
      </c>
      <c r="P366" t="str">
        <f>IFERROR(VLOOKUP(A366,vlookup_table!$A:$G,5,FALSE),"")</f>
        <v>C1</v>
      </c>
      <c r="Q366">
        <f>IFERROR(VLOOKUP(A366,vlookup_table!$A:$G,7,FALSE),"")</f>
        <v>25</v>
      </c>
      <c r="R366">
        <f t="shared" si="20"/>
        <v>67</v>
      </c>
      <c r="S366" t="str" cm="1">
        <f t="array" ref="S366">IF(P366="","",_xlfn.SWITCH(LEFT(P366,1),"C","Ciudad","T","Pueblo","R","Rural","S","Suburbano","U","Urbano",""))</f>
        <v>Ciudad</v>
      </c>
      <c r="T366" t="str">
        <f t="shared" si="21"/>
        <v>M</v>
      </c>
      <c r="U366" t="str">
        <f t="shared" si="22"/>
        <v>FL</v>
      </c>
      <c r="V366" t="str">
        <f t="shared" si="23"/>
        <v>18391</v>
      </c>
    </row>
    <row r="367" spans="1:22" x14ac:dyDescent="0.35">
      <c r="A367" s="3">
        <v>152527</v>
      </c>
      <c r="B367" t="s">
        <v>61</v>
      </c>
      <c r="C367" t="s">
        <v>17</v>
      </c>
      <c r="D367">
        <v>1854</v>
      </c>
      <c r="E367">
        <v>289</v>
      </c>
      <c r="F367">
        <v>402</v>
      </c>
      <c r="G367">
        <v>37</v>
      </c>
      <c r="H367">
        <v>11567</v>
      </c>
      <c r="I367">
        <v>9</v>
      </c>
      <c r="J367">
        <v>50</v>
      </c>
      <c r="K367">
        <v>377</v>
      </c>
      <c r="L367">
        <v>339</v>
      </c>
      <c r="M367">
        <v>23</v>
      </c>
      <c r="N367">
        <f>IFERROR(VLOOKUP(A367,vlookup_table!$A:$G,2,FALSE),"")</f>
        <v>28</v>
      </c>
      <c r="O367">
        <f>IFERROR(VLOOKUP(A367,vlookup_table!$A:$G,4,FALSE),"")</f>
        <v>4501</v>
      </c>
      <c r="P367" t="str">
        <f>IFERROR(VLOOKUP(A367,vlookup_table!$A:$G,5,FALSE),"")</f>
        <v>C2</v>
      </c>
      <c r="Q367">
        <f>IFERROR(VLOOKUP(A367,vlookup_table!$A:$G,7,FALSE),"")</f>
        <v>23</v>
      </c>
      <c r="R367">
        <f t="shared" si="20"/>
        <v>52</v>
      </c>
      <c r="S367" t="str" cm="1">
        <f t="array" ref="S367">IF(P367="","",_xlfn.SWITCH(LEFT(P367,1),"C","Ciudad","T","Pueblo","R","Rural","S","Suburbano","U","Urbano",""))</f>
        <v>Ciudad</v>
      </c>
      <c r="T367" t="str">
        <f t="shared" si="21"/>
        <v>F</v>
      </c>
      <c r="U367" t="str">
        <f t="shared" si="22"/>
        <v>CA</v>
      </c>
      <c r="V367" t="str">
        <f t="shared" si="23"/>
        <v>11567</v>
      </c>
    </row>
    <row r="368" spans="1:22" x14ac:dyDescent="0.35">
      <c r="A368" s="3">
        <v>178290</v>
      </c>
      <c r="B368" t="s">
        <v>40</v>
      </c>
      <c r="C368" t="s">
        <v>51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5.375</v>
      </c>
      <c r="N368">
        <f>IFERROR(VLOOKUP(A368,vlookup_table!$A:$G,2,FALSE),"")</f>
        <v>1</v>
      </c>
      <c r="O368">
        <f>IFERROR(VLOOKUP(A368,vlookup_table!$A:$G,4,FALSE),"")</f>
        <v>0</v>
      </c>
      <c r="P368" t="str">
        <f>IFERROR(VLOOKUP(A368,vlookup_table!$A:$G,5,FALSE),"")</f>
        <v>S1</v>
      </c>
      <c r="Q368">
        <f>IFERROR(VLOOKUP(A368,vlookup_table!$A:$G,7,FALSE),"")</f>
        <v>6</v>
      </c>
      <c r="R368">
        <f t="shared" si="20"/>
        <v>97</v>
      </c>
      <c r="S368" t="str" cm="1">
        <f t="array" ref="S368">IF(P368="","",_xlfn.SWITCH(LEFT(P368,1),"C","Ciudad","T","Pueblo","R","Rural","S","Suburbano","U","Urbano",""))</f>
        <v>Suburbano</v>
      </c>
      <c r="T368" t="str">
        <f t="shared" si="21"/>
        <v>M</v>
      </c>
      <c r="U368" t="str">
        <f t="shared" si="22"/>
        <v>WA</v>
      </c>
      <c r="V368" t="str">
        <f t="shared" si="23"/>
        <v>0</v>
      </c>
    </row>
    <row r="369" spans="1:22" x14ac:dyDescent="0.35">
      <c r="A369" s="3">
        <v>153818</v>
      </c>
      <c r="B369" t="s">
        <v>61</v>
      </c>
      <c r="C369" t="s">
        <v>17</v>
      </c>
      <c r="D369">
        <v>2780</v>
      </c>
      <c r="E369">
        <v>574</v>
      </c>
      <c r="F369">
        <v>677</v>
      </c>
      <c r="G369">
        <v>86</v>
      </c>
      <c r="H369">
        <v>29871</v>
      </c>
      <c r="I369">
        <v>5</v>
      </c>
      <c r="J369">
        <v>14</v>
      </c>
      <c r="K369">
        <v>587</v>
      </c>
      <c r="L369">
        <v>653</v>
      </c>
      <c r="M369">
        <v>9.8285714290000001</v>
      </c>
      <c r="N369">
        <f>IFERROR(VLOOKUP(A369,vlookup_table!$A:$G,2,FALSE),"")</f>
        <v>0</v>
      </c>
      <c r="O369">
        <f>IFERROR(VLOOKUP(A369,vlookup_table!$A:$G,4,FALSE),"")</f>
        <v>0</v>
      </c>
      <c r="P369" t="str">
        <f>IFERROR(VLOOKUP(A369,vlookup_table!$A:$G,5,FALSE),"")</f>
        <v>S1</v>
      </c>
      <c r="Q369">
        <f>IFERROR(VLOOKUP(A369,vlookup_table!$A:$G,7,FALSE),"")</f>
        <v>10</v>
      </c>
      <c r="R369">
        <f t="shared" si="20"/>
        <v>97</v>
      </c>
      <c r="S369" t="str" cm="1">
        <f t="array" ref="S369">IF(P369="","",_xlfn.SWITCH(LEFT(P369,1),"C","Ciudad","T","Pueblo","R","Rural","S","Suburbano","U","Urbano",""))</f>
        <v>Suburbano</v>
      </c>
      <c r="T369" t="str">
        <f t="shared" si="21"/>
        <v>F</v>
      </c>
      <c r="U369" t="str">
        <f t="shared" si="22"/>
        <v>CA</v>
      </c>
      <c r="V369" t="str">
        <f t="shared" si="23"/>
        <v>29871</v>
      </c>
    </row>
    <row r="370" spans="1:22" x14ac:dyDescent="0.35">
      <c r="A370" s="3">
        <v>152641</v>
      </c>
      <c r="B370" t="s">
        <v>61</v>
      </c>
      <c r="C370" t="s">
        <v>17</v>
      </c>
      <c r="D370">
        <v>1538</v>
      </c>
      <c r="E370">
        <v>319</v>
      </c>
      <c r="F370">
        <v>351</v>
      </c>
      <c r="G370">
        <v>1</v>
      </c>
      <c r="H370">
        <v>11046</v>
      </c>
      <c r="I370">
        <v>11</v>
      </c>
      <c r="J370">
        <v>43</v>
      </c>
      <c r="K370">
        <v>305</v>
      </c>
      <c r="L370">
        <v>349</v>
      </c>
      <c r="M370">
        <v>30</v>
      </c>
      <c r="N370">
        <f>IFERROR(VLOOKUP(A370,vlookup_table!$A:$G,2,FALSE),"")</f>
        <v>0</v>
      </c>
      <c r="O370">
        <f>IFERROR(VLOOKUP(A370,vlookup_table!$A:$G,4,FALSE),"")</f>
        <v>0</v>
      </c>
      <c r="P370" t="str">
        <f>IFERROR(VLOOKUP(A370,vlookup_table!$A:$G,5,FALSE),"")</f>
        <v>S3</v>
      </c>
      <c r="Q370">
        <f>IFERROR(VLOOKUP(A370,vlookup_table!$A:$G,7,FALSE),"")</f>
        <v>50</v>
      </c>
      <c r="R370">
        <f t="shared" si="20"/>
        <v>97</v>
      </c>
      <c r="S370" t="str" cm="1">
        <f t="array" ref="S370">IF(P370="","",_xlfn.SWITCH(LEFT(P370,1),"C","Ciudad","T","Pueblo","R","Rural","S","Suburbano","U","Urbano",""))</f>
        <v>Suburbano</v>
      </c>
      <c r="T370" t="str">
        <f t="shared" si="21"/>
        <v>F</v>
      </c>
      <c r="U370" t="str">
        <f t="shared" si="22"/>
        <v>CA</v>
      </c>
      <c r="V370" t="str">
        <f t="shared" si="23"/>
        <v>11046</v>
      </c>
    </row>
    <row r="371" spans="1:22" x14ac:dyDescent="0.35">
      <c r="A371" s="3">
        <v>161691</v>
      </c>
      <c r="B371" t="s">
        <v>61</v>
      </c>
      <c r="C371" t="s">
        <v>17</v>
      </c>
      <c r="D371">
        <v>1528</v>
      </c>
      <c r="E371">
        <v>327</v>
      </c>
      <c r="F371">
        <v>391</v>
      </c>
      <c r="G371">
        <v>8</v>
      </c>
      <c r="H371">
        <v>13190</v>
      </c>
      <c r="I371">
        <v>17</v>
      </c>
      <c r="J371">
        <v>51</v>
      </c>
      <c r="K371">
        <v>358</v>
      </c>
      <c r="L371">
        <v>370</v>
      </c>
      <c r="M371">
        <v>19.166666670000001</v>
      </c>
      <c r="N371">
        <f>IFERROR(VLOOKUP(A371,vlookup_table!$A:$G,2,FALSE),"")</f>
        <v>0</v>
      </c>
      <c r="O371">
        <f>IFERROR(VLOOKUP(A371,vlookup_table!$A:$G,4,FALSE),"")</f>
        <v>3401</v>
      </c>
      <c r="P371" t="str">
        <f>IFERROR(VLOOKUP(A371,vlookup_table!$A:$G,5,FALSE),"")</f>
        <v>C2</v>
      </c>
      <c r="Q371">
        <f>IFERROR(VLOOKUP(A371,vlookup_table!$A:$G,7,FALSE),"")</f>
        <v>25</v>
      </c>
      <c r="R371">
        <f t="shared" si="20"/>
        <v>63</v>
      </c>
      <c r="S371" t="str" cm="1">
        <f t="array" ref="S371">IF(P371="","",_xlfn.SWITCH(LEFT(P371,1),"C","Ciudad","T","Pueblo","R","Rural","S","Suburbano","U","Urbano",""))</f>
        <v>Ciudad</v>
      </c>
      <c r="T371" t="str">
        <f t="shared" si="21"/>
        <v>F</v>
      </c>
      <c r="U371" t="str">
        <f t="shared" si="22"/>
        <v>CA</v>
      </c>
      <c r="V371" t="str">
        <f t="shared" si="23"/>
        <v>13190</v>
      </c>
    </row>
    <row r="372" spans="1:22" x14ac:dyDescent="0.35">
      <c r="A372" s="3">
        <v>8404</v>
      </c>
      <c r="B372" t="s">
        <v>21</v>
      </c>
      <c r="C372" t="s">
        <v>30</v>
      </c>
      <c r="D372">
        <v>605</v>
      </c>
      <c r="E372">
        <v>272</v>
      </c>
      <c r="F372">
        <v>364</v>
      </c>
      <c r="G372">
        <v>1</v>
      </c>
      <c r="H372">
        <v>10897</v>
      </c>
      <c r="I372">
        <v>5</v>
      </c>
      <c r="J372">
        <v>73</v>
      </c>
      <c r="K372">
        <v>313</v>
      </c>
      <c r="L372">
        <v>335</v>
      </c>
      <c r="M372">
        <v>37.200000000000003</v>
      </c>
      <c r="N372">
        <f>IFERROR(VLOOKUP(A372,vlookup_table!$A:$G,2,FALSE),"")</f>
        <v>0</v>
      </c>
      <c r="O372">
        <f>IFERROR(VLOOKUP(A372,vlookup_table!$A:$G,4,FALSE),"")</f>
        <v>1501</v>
      </c>
      <c r="P372" t="str">
        <f>IFERROR(VLOOKUP(A372,vlookup_table!$A:$G,5,FALSE),"")</f>
        <v>R2</v>
      </c>
      <c r="Q372">
        <f>IFERROR(VLOOKUP(A372,vlookup_table!$A:$G,7,FALSE),"")</f>
        <v>10</v>
      </c>
      <c r="R372">
        <f t="shared" si="20"/>
        <v>82</v>
      </c>
      <c r="S372" t="str" cm="1">
        <f t="array" ref="S372">IF(P372="","",_xlfn.SWITCH(LEFT(P372,1),"C","Ciudad","T","Pueblo","R","Rural","S","Suburbano","U","Urbano",""))</f>
        <v>Rural</v>
      </c>
      <c r="T372" t="str">
        <f t="shared" si="21"/>
        <v>U</v>
      </c>
      <c r="U372" t="str">
        <f t="shared" si="22"/>
        <v>TX</v>
      </c>
      <c r="V372" t="str">
        <f t="shared" si="23"/>
        <v>10897</v>
      </c>
    </row>
    <row r="373" spans="1:22" x14ac:dyDescent="0.35">
      <c r="A373" s="3">
        <v>88119</v>
      </c>
      <c r="B373" t="s">
        <v>16</v>
      </c>
      <c r="C373" t="s">
        <v>17</v>
      </c>
      <c r="D373">
        <v>1165</v>
      </c>
      <c r="E373">
        <v>391</v>
      </c>
      <c r="F373">
        <v>533</v>
      </c>
      <c r="G373">
        <v>0</v>
      </c>
      <c r="H373">
        <v>22667</v>
      </c>
      <c r="I373">
        <v>3</v>
      </c>
      <c r="J373">
        <v>82</v>
      </c>
      <c r="K373">
        <v>518</v>
      </c>
      <c r="L373">
        <v>454</v>
      </c>
      <c r="M373">
        <v>7</v>
      </c>
      <c r="N373">
        <f>IFERROR(VLOOKUP(A373,vlookup_table!$A:$G,2,FALSE),"")</f>
        <v>28</v>
      </c>
      <c r="O373">
        <f>IFERROR(VLOOKUP(A373,vlookup_table!$A:$G,4,FALSE),"")</f>
        <v>3001</v>
      </c>
      <c r="P373" t="str">
        <f>IFERROR(VLOOKUP(A373,vlookup_table!$A:$G,5,FALSE),"")</f>
        <v>S1</v>
      </c>
      <c r="Q373">
        <f>IFERROR(VLOOKUP(A373,vlookup_table!$A:$G,7,FALSE),"")</f>
        <v>10</v>
      </c>
      <c r="R373">
        <f t="shared" si="20"/>
        <v>67</v>
      </c>
      <c r="S373" t="str" cm="1">
        <f t="array" ref="S373">IF(P373="","",_xlfn.SWITCH(LEFT(P373,1),"C","Ciudad","T","Pueblo","R","Rural","S","Suburbano","U","Urbano",""))</f>
        <v>Suburbano</v>
      </c>
      <c r="T373" t="str">
        <f t="shared" si="21"/>
        <v>F</v>
      </c>
      <c r="U373" t="str">
        <f t="shared" si="22"/>
        <v>IL</v>
      </c>
      <c r="V373" t="str">
        <f t="shared" si="23"/>
        <v>22667</v>
      </c>
    </row>
    <row r="374" spans="1:22" x14ac:dyDescent="0.35">
      <c r="A374" s="3">
        <v>122167</v>
      </c>
      <c r="B374" t="s">
        <v>21</v>
      </c>
      <c r="C374" t="s">
        <v>17</v>
      </c>
      <c r="D374">
        <v>439</v>
      </c>
      <c r="E374">
        <v>255</v>
      </c>
      <c r="F374">
        <v>294</v>
      </c>
      <c r="G374">
        <v>0</v>
      </c>
      <c r="H374">
        <v>9346</v>
      </c>
      <c r="I374">
        <v>33</v>
      </c>
      <c r="J374">
        <v>49</v>
      </c>
      <c r="K374">
        <v>262</v>
      </c>
      <c r="L374">
        <v>303</v>
      </c>
      <c r="M374">
        <v>12.4</v>
      </c>
      <c r="N374">
        <f>IFERROR(VLOOKUP(A374,vlookup_table!$A:$G,2,FALSE),"")</f>
        <v>0</v>
      </c>
      <c r="O374">
        <f>IFERROR(VLOOKUP(A374,vlookup_table!$A:$G,4,FALSE),"")</f>
        <v>0</v>
      </c>
      <c r="P374" t="str">
        <f>IFERROR(VLOOKUP(A374,vlookup_table!$A:$G,5,FALSE),"")</f>
        <v>C2</v>
      </c>
      <c r="Q374">
        <f>IFERROR(VLOOKUP(A374,vlookup_table!$A:$G,7,FALSE),"")</f>
        <v>10</v>
      </c>
      <c r="R374">
        <f t="shared" si="20"/>
        <v>97</v>
      </c>
      <c r="S374" t="str" cm="1">
        <f t="array" ref="S374">IF(P374="","",_xlfn.SWITCH(LEFT(P374,1),"C","Ciudad","T","Pueblo","R","Rural","S","Suburbano","U","Urbano",""))</f>
        <v>Ciudad</v>
      </c>
      <c r="T374" t="str">
        <f t="shared" si="21"/>
        <v>F</v>
      </c>
      <c r="U374" t="str">
        <f t="shared" si="22"/>
        <v>TX</v>
      </c>
      <c r="V374" t="str">
        <f t="shared" si="23"/>
        <v>9346</v>
      </c>
    </row>
    <row r="375" spans="1:22" x14ac:dyDescent="0.35">
      <c r="A375" s="3">
        <v>106639</v>
      </c>
      <c r="B375" t="s">
        <v>59</v>
      </c>
      <c r="C375" t="s">
        <v>17</v>
      </c>
      <c r="D375">
        <v>681</v>
      </c>
      <c r="E375">
        <v>387</v>
      </c>
      <c r="F375">
        <v>477</v>
      </c>
      <c r="G375">
        <v>0</v>
      </c>
      <c r="H375">
        <v>13753</v>
      </c>
      <c r="I375">
        <v>1</v>
      </c>
      <c r="J375">
        <v>47</v>
      </c>
      <c r="K375">
        <v>422</v>
      </c>
      <c r="L375">
        <v>428</v>
      </c>
      <c r="M375">
        <v>15</v>
      </c>
      <c r="N375">
        <f>IFERROR(VLOOKUP(A375,vlookup_table!$A:$G,2,FALSE),"")</f>
        <v>0</v>
      </c>
      <c r="O375">
        <f>IFERROR(VLOOKUP(A375,vlookup_table!$A:$G,4,FALSE),"")</f>
        <v>2001</v>
      </c>
      <c r="P375" t="str">
        <f>IFERROR(VLOOKUP(A375,vlookup_table!$A:$G,5,FALSE),"")</f>
        <v>S1</v>
      </c>
      <c r="Q375">
        <f>IFERROR(VLOOKUP(A375,vlookup_table!$A:$G,7,FALSE),"")</f>
        <v>15</v>
      </c>
      <c r="R375">
        <f t="shared" si="20"/>
        <v>77</v>
      </c>
      <c r="S375" t="str" cm="1">
        <f t="array" ref="S375">IF(P375="","",_xlfn.SWITCH(LEFT(P375,1),"C","Ciudad","T","Pueblo","R","Rural","S","Suburbano","U","Urbano",""))</f>
        <v>Suburbano</v>
      </c>
      <c r="T375" t="str">
        <f t="shared" si="21"/>
        <v>F</v>
      </c>
      <c r="U375" t="str">
        <f t="shared" si="22"/>
        <v>NE</v>
      </c>
      <c r="V375" t="str">
        <f t="shared" si="23"/>
        <v>13753</v>
      </c>
    </row>
    <row r="376" spans="1:22" x14ac:dyDescent="0.35">
      <c r="A376" s="3">
        <v>153450</v>
      </c>
      <c r="B376" t="s">
        <v>61</v>
      </c>
      <c r="D376">
        <v>1865</v>
      </c>
      <c r="E376">
        <v>256</v>
      </c>
      <c r="F376">
        <v>362</v>
      </c>
      <c r="G376">
        <v>44</v>
      </c>
      <c r="H376">
        <v>16069</v>
      </c>
      <c r="I376">
        <v>13</v>
      </c>
      <c r="J376">
        <v>36</v>
      </c>
      <c r="K376">
        <v>295</v>
      </c>
      <c r="L376">
        <v>317</v>
      </c>
      <c r="M376">
        <v>24.5</v>
      </c>
      <c r="N376">
        <f>IFERROR(VLOOKUP(A376,vlookup_table!$A:$G,2,FALSE),"")</f>
        <v>0</v>
      </c>
      <c r="O376">
        <f>IFERROR(VLOOKUP(A376,vlookup_table!$A:$G,4,FALSE),"")</f>
        <v>0</v>
      </c>
      <c r="P376" t="str">
        <f>IFERROR(VLOOKUP(A376,vlookup_table!$A:$G,5,FALSE),"")</f>
        <v>U3</v>
      </c>
      <c r="Q376">
        <f>IFERROR(VLOOKUP(A376,vlookup_table!$A:$G,7,FALSE),"")</f>
        <v>47</v>
      </c>
      <c r="R376">
        <f t="shared" si="20"/>
        <v>97</v>
      </c>
      <c r="S376" t="str" cm="1">
        <f t="array" ref="S376">IF(P376="","",_xlfn.SWITCH(LEFT(P376,1),"C","Ciudad","T","Pueblo","R","Rural","S","Suburbano","U","Urbano",""))</f>
        <v>Urbano</v>
      </c>
      <c r="T376" t="str">
        <f t="shared" si="21"/>
        <v/>
      </c>
      <c r="U376" t="str">
        <f t="shared" si="22"/>
        <v>CA</v>
      </c>
      <c r="V376" t="str">
        <f t="shared" si="23"/>
        <v>16069</v>
      </c>
    </row>
    <row r="377" spans="1:22" x14ac:dyDescent="0.35">
      <c r="A377" s="3">
        <v>120107</v>
      </c>
      <c r="B377" t="s">
        <v>21</v>
      </c>
      <c r="C377" t="s">
        <v>14</v>
      </c>
      <c r="D377">
        <v>225</v>
      </c>
      <c r="E377">
        <v>157</v>
      </c>
      <c r="F377">
        <v>263</v>
      </c>
      <c r="G377">
        <v>0</v>
      </c>
      <c r="H377">
        <v>8947</v>
      </c>
      <c r="I377">
        <v>1</v>
      </c>
      <c r="J377">
        <v>81</v>
      </c>
      <c r="K377">
        <v>204</v>
      </c>
      <c r="L377">
        <v>217</v>
      </c>
      <c r="M377">
        <v>18.083333329999999</v>
      </c>
      <c r="N377">
        <f>IFERROR(VLOOKUP(A377,vlookup_table!$A:$G,2,FALSE),"")</f>
        <v>1</v>
      </c>
      <c r="O377">
        <f>IFERROR(VLOOKUP(A377,vlookup_table!$A:$G,4,FALSE),"")</f>
        <v>1803</v>
      </c>
      <c r="P377" t="str">
        <f>IFERROR(VLOOKUP(A377,vlookup_table!$A:$G,5,FALSE),"")</f>
        <v>R3</v>
      </c>
      <c r="Q377">
        <f>IFERROR(VLOOKUP(A377,vlookup_table!$A:$G,7,FALSE),"")</f>
        <v>26</v>
      </c>
      <c r="R377">
        <f t="shared" si="20"/>
        <v>79</v>
      </c>
      <c r="S377" t="str" cm="1">
        <f t="array" ref="S377">IF(P377="","",_xlfn.SWITCH(LEFT(P377,1),"C","Ciudad","T","Pueblo","R","Rural","S","Suburbano","U","Urbano",""))</f>
        <v>Rural</v>
      </c>
      <c r="T377" t="str">
        <f t="shared" si="21"/>
        <v>M</v>
      </c>
      <c r="U377" t="str">
        <f t="shared" si="22"/>
        <v>TX</v>
      </c>
      <c r="V377" t="str">
        <f t="shared" si="23"/>
        <v>8947</v>
      </c>
    </row>
    <row r="378" spans="1:22" x14ac:dyDescent="0.35">
      <c r="A378" s="3">
        <v>72617</v>
      </c>
      <c r="B378" t="s">
        <v>29</v>
      </c>
      <c r="C378" t="s">
        <v>14</v>
      </c>
      <c r="D378">
        <v>258</v>
      </c>
      <c r="E378">
        <v>216</v>
      </c>
      <c r="F378">
        <v>274</v>
      </c>
      <c r="G378">
        <v>0</v>
      </c>
      <c r="H378">
        <v>8231</v>
      </c>
      <c r="I378">
        <v>0</v>
      </c>
      <c r="J378">
        <v>65</v>
      </c>
      <c r="K378">
        <v>244</v>
      </c>
      <c r="L378">
        <v>245</v>
      </c>
      <c r="M378">
        <v>5.4545454549999999</v>
      </c>
      <c r="N378">
        <f>IFERROR(VLOOKUP(A378,vlookup_table!$A:$G,2,FALSE),"")</f>
        <v>2</v>
      </c>
      <c r="O378">
        <f>IFERROR(VLOOKUP(A378,vlookup_table!$A:$G,4,FALSE),"")</f>
        <v>0</v>
      </c>
      <c r="P378" t="str">
        <f>IFERROR(VLOOKUP(A378,vlookup_table!$A:$G,5,FALSE),"")</f>
        <v>R3</v>
      </c>
      <c r="Q378">
        <f>IFERROR(VLOOKUP(A378,vlookup_table!$A:$G,7,FALSE),"")</f>
        <v>9</v>
      </c>
      <c r="R378">
        <f t="shared" si="20"/>
        <v>97</v>
      </c>
      <c r="S378" t="str" cm="1">
        <f t="array" ref="S378">IF(P378="","",_xlfn.SWITCH(LEFT(P378,1),"C","Ciudad","T","Pueblo","R","Rural","S","Suburbano","U","Urbano",""))</f>
        <v>Rural</v>
      </c>
      <c r="T378" t="str">
        <f t="shared" si="21"/>
        <v>M</v>
      </c>
      <c r="U378" t="str">
        <f t="shared" si="22"/>
        <v>MI</v>
      </c>
      <c r="V378" t="str">
        <f t="shared" si="23"/>
        <v>8231</v>
      </c>
    </row>
    <row r="379" spans="1:22" x14ac:dyDescent="0.35">
      <c r="A379" s="3">
        <v>155541</v>
      </c>
      <c r="B379" t="s">
        <v>61</v>
      </c>
      <c r="C379" t="s">
        <v>14</v>
      </c>
      <c r="D379">
        <v>2236</v>
      </c>
      <c r="E379">
        <v>546</v>
      </c>
      <c r="F379">
        <v>620</v>
      </c>
      <c r="G379">
        <v>59</v>
      </c>
      <c r="H379">
        <v>19923</v>
      </c>
      <c r="I379">
        <v>9</v>
      </c>
      <c r="J379">
        <v>57</v>
      </c>
      <c r="K379">
        <v>563</v>
      </c>
      <c r="L379">
        <v>612</v>
      </c>
      <c r="M379">
        <v>9.7857142859999993</v>
      </c>
      <c r="N379">
        <f>IFERROR(VLOOKUP(A379,vlookup_table!$A:$G,2,FALSE),"")</f>
        <v>0</v>
      </c>
      <c r="O379">
        <f>IFERROR(VLOOKUP(A379,vlookup_table!$A:$G,4,FALSE),"")</f>
        <v>3410</v>
      </c>
      <c r="P379" t="str">
        <f>IFERROR(VLOOKUP(A379,vlookup_table!$A:$G,5,FALSE),"")</f>
        <v>T1</v>
      </c>
      <c r="Q379">
        <f>IFERROR(VLOOKUP(A379,vlookup_table!$A:$G,7,FALSE),"")</f>
        <v>10</v>
      </c>
      <c r="R379">
        <f t="shared" si="20"/>
        <v>63</v>
      </c>
      <c r="S379" t="str" cm="1">
        <f t="array" ref="S379">IF(P379="","",_xlfn.SWITCH(LEFT(P379,1),"C","Ciudad","T","Pueblo","R","Rural","S","Suburbano","U","Urbano",""))</f>
        <v>Pueblo</v>
      </c>
      <c r="T379" t="str">
        <f t="shared" si="21"/>
        <v>M</v>
      </c>
      <c r="U379" t="str">
        <f t="shared" si="22"/>
        <v>CA</v>
      </c>
      <c r="V379" t="str">
        <f t="shared" si="23"/>
        <v>19923</v>
      </c>
    </row>
    <row r="380" spans="1:22" x14ac:dyDescent="0.35">
      <c r="A380" s="3">
        <v>77107</v>
      </c>
      <c r="B380" t="s">
        <v>35</v>
      </c>
      <c r="C380" t="s">
        <v>51</v>
      </c>
      <c r="D380">
        <v>1438</v>
      </c>
      <c r="E380">
        <v>619</v>
      </c>
      <c r="F380">
        <v>801</v>
      </c>
      <c r="G380">
        <v>19</v>
      </c>
      <c r="H380">
        <v>30386</v>
      </c>
      <c r="I380">
        <v>6</v>
      </c>
      <c r="J380">
        <v>67</v>
      </c>
      <c r="K380">
        <v>691</v>
      </c>
      <c r="L380">
        <v>744</v>
      </c>
      <c r="M380">
        <v>11.7</v>
      </c>
      <c r="N380">
        <f>IFERROR(VLOOKUP(A380,vlookup_table!$A:$G,2,FALSE),"")</f>
        <v>0</v>
      </c>
      <c r="O380">
        <f>IFERROR(VLOOKUP(A380,vlookup_table!$A:$G,4,FALSE),"")</f>
        <v>4306</v>
      </c>
      <c r="P380" t="str">
        <f>IFERROR(VLOOKUP(A380,vlookup_table!$A:$G,5,FALSE),"")</f>
        <v>S1</v>
      </c>
      <c r="Q380">
        <f>IFERROR(VLOOKUP(A380,vlookup_table!$A:$G,7,FALSE),"")</f>
        <v>14</v>
      </c>
      <c r="R380">
        <f t="shared" si="20"/>
        <v>54</v>
      </c>
      <c r="S380" t="str" cm="1">
        <f t="array" ref="S380">IF(P380="","",_xlfn.SWITCH(LEFT(P380,1),"C","Ciudad","T","Pueblo","R","Rural","S","Suburbano","U","Urbano",""))</f>
        <v>Suburbano</v>
      </c>
      <c r="T380" t="str">
        <f t="shared" si="21"/>
        <v>M</v>
      </c>
      <c r="U380" t="str">
        <f t="shared" si="22"/>
        <v>WI</v>
      </c>
      <c r="V380" t="str">
        <f t="shared" si="23"/>
        <v>30386</v>
      </c>
    </row>
    <row r="381" spans="1:22" x14ac:dyDescent="0.35">
      <c r="A381" s="3">
        <v>186016</v>
      </c>
      <c r="B381" t="s">
        <v>53</v>
      </c>
      <c r="C381" t="s">
        <v>14</v>
      </c>
      <c r="D381">
        <v>403</v>
      </c>
      <c r="E381">
        <v>209</v>
      </c>
      <c r="F381">
        <v>244</v>
      </c>
      <c r="G381">
        <v>0</v>
      </c>
      <c r="H381">
        <v>9078</v>
      </c>
      <c r="I381">
        <v>0</v>
      </c>
      <c r="J381">
        <v>79</v>
      </c>
      <c r="K381">
        <v>223</v>
      </c>
      <c r="L381">
        <v>213</v>
      </c>
      <c r="M381">
        <v>8.6190476189999998</v>
      </c>
      <c r="N381">
        <f>IFERROR(VLOOKUP(A381,vlookup_table!$A:$G,2,FALSE),"")</f>
        <v>1</v>
      </c>
      <c r="O381">
        <f>IFERROR(VLOOKUP(A381,vlookup_table!$A:$G,4,FALSE),"")</f>
        <v>0</v>
      </c>
      <c r="P381" t="str">
        <f>IFERROR(VLOOKUP(A381,vlookup_table!$A:$G,5,FALSE),"")</f>
        <v>R2</v>
      </c>
      <c r="Q381">
        <f>IFERROR(VLOOKUP(A381,vlookup_table!$A:$G,7,FALSE),"")</f>
        <v>10</v>
      </c>
      <c r="R381">
        <f t="shared" si="20"/>
        <v>97</v>
      </c>
      <c r="S381" t="str" cm="1">
        <f t="array" ref="S381">IF(P381="","",_xlfn.SWITCH(LEFT(P381,1),"C","Ciudad","T","Pueblo","R","Rural","S","Suburbano","U","Urbano",""))</f>
        <v>Rural</v>
      </c>
      <c r="T381" t="str">
        <f t="shared" si="21"/>
        <v>M</v>
      </c>
      <c r="U381" t="str">
        <f t="shared" si="22"/>
        <v>TN</v>
      </c>
      <c r="V381" t="str">
        <f t="shared" si="23"/>
        <v>9078</v>
      </c>
    </row>
    <row r="382" spans="1:22" x14ac:dyDescent="0.35">
      <c r="A382" s="3">
        <v>152053</v>
      </c>
      <c r="B382" t="s">
        <v>61</v>
      </c>
      <c r="C382" t="s">
        <v>17</v>
      </c>
      <c r="D382">
        <v>3071</v>
      </c>
      <c r="E382">
        <v>626</v>
      </c>
      <c r="F382">
        <v>746</v>
      </c>
      <c r="G382">
        <v>76</v>
      </c>
      <c r="H382">
        <v>24844</v>
      </c>
      <c r="I382">
        <v>3</v>
      </c>
      <c r="J382">
        <v>51</v>
      </c>
      <c r="K382">
        <v>694</v>
      </c>
      <c r="L382">
        <v>704</v>
      </c>
      <c r="M382">
        <v>12.53333333</v>
      </c>
      <c r="N382">
        <f>IFERROR(VLOOKUP(A382,vlookup_table!$A:$G,2,FALSE),"")</f>
        <v>2</v>
      </c>
      <c r="O382">
        <f>IFERROR(VLOOKUP(A382,vlookup_table!$A:$G,4,FALSE),"")</f>
        <v>5305</v>
      </c>
      <c r="P382" t="str">
        <f>IFERROR(VLOOKUP(A382,vlookup_table!$A:$G,5,FALSE),"")</f>
        <v>S1</v>
      </c>
      <c r="Q382">
        <f>IFERROR(VLOOKUP(A382,vlookup_table!$A:$G,7,FALSE),"")</f>
        <v>25</v>
      </c>
      <c r="R382">
        <f t="shared" si="20"/>
        <v>44</v>
      </c>
      <c r="S382" t="str" cm="1">
        <f t="array" ref="S382">IF(P382="","",_xlfn.SWITCH(LEFT(P382,1),"C","Ciudad","T","Pueblo","R","Rural","S","Suburbano","U","Urbano",""))</f>
        <v>Suburbano</v>
      </c>
      <c r="T382" t="str">
        <f t="shared" si="21"/>
        <v>F</v>
      </c>
      <c r="U382" t="str">
        <f t="shared" si="22"/>
        <v>CA</v>
      </c>
      <c r="V382" t="str">
        <f t="shared" si="23"/>
        <v>24844</v>
      </c>
    </row>
    <row r="383" spans="1:22" x14ac:dyDescent="0.35">
      <c r="A383" s="3">
        <v>12880</v>
      </c>
      <c r="B383" t="s">
        <v>13</v>
      </c>
      <c r="C383" t="s">
        <v>14</v>
      </c>
      <c r="D383">
        <v>1442</v>
      </c>
      <c r="E383">
        <v>369</v>
      </c>
      <c r="F383">
        <v>488</v>
      </c>
      <c r="G383">
        <v>32</v>
      </c>
      <c r="H383">
        <v>26462</v>
      </c>
      <c r="I383">
        <v>7</v>
      </c>
      <c r="J383">
        <v>4</v>
      </c>
      <c r="K383">
        <v>394</v>
      </c>
      <c r="L383">
        <v>445</v>
      </c>
      <c r="M383">
        <v>7.846153846</v>
      </c>
      <c r="N383">
        <f>IFERROR(VLOOKUP(A383,vlookup_table!$A:$G,2,FALSE),"")</f>
        <v>1</v>
      </c>
      <c r="O383">
        <f>IFERROR(VLOOKUP(A383,vlookup_table!$A:$G,4,FALSE),"")</f>
        <v>1401</v>
      </c>
      <c r="P383" t="str">
        <f>IFERROR(VLOOKUP(A383,vlookup_table!$A:$G,5,FALSE),"")</f>
        <v>C1</v>
      </c>
      <c r="Q383">
        <f>IFERROR(VLOOKUP(A383,vlookup_table!$A:$G,7,FALSE),"")</f>
        <v>10</v>
      </c>
      <c r="R383">
        <f t="shared" si="20"/>
        <v>83</v>
      </c>
      <c r="S383" t="str" cm="1">
        <f t="array" ref="S383">IF(P383="","",_xlfn.SWITCH(LEFT(P383,1),"C","Ciudad","T","Pueblo","R","Rural","S","Suburbano","U","Urbano",""))</f>
        <v>Ciudad</v>
      </c>
      <c r="T383" t="str">
        <f t="shared" si="21"/>
        <v>M</v>
      </c>
      <c r="U383" t="str">
        <f t="shared" si="22"/>
        <v>FL</v>
      </c>
      <c r="V383" t="str">
        <f t="shared" si="23"/>
        <v>26462</v>
      </c>
    </row>
    <row r="384" spans="1:22" x14ac:dyDescent="0.35">
      <c r="A384" s="3">
        <v>16099</v>
      </c>
      <c r="B384" t="s">
        <v>18</v>
      </c>
      <c r="C384" t="s">
        <v>20</v>
      </c>
      <c r="D384">
        <v>660</v>
      </c>
      <c r="E384">
        <v>282</v>
      </c>
      <c r="F384">
        <v>335</v>
      </c>
      <c r="G384">
        <v>1</v>
      </c>
      <c r="H384">
        <v>10743</v>
      </c>
      <c r="I384">
        <v>0</v>
      </c>
      <c r="J384">
        <v>81</v>
      </c>
      <c r="K384">
        <v>291</v>
      </c>
      <c r="L384">
        <v>327</v>
      </c>
      <c r="M384">
        <v>5.5</v>
      </c>
      <c r="N384">
        <f>IFERROR(VLOOKUP(A384,vlookup_table!$A:$G,2,FALSE),"")</f>
        <v>0</v>
      </c>
      <c r="O384">
        <f>IFERROR(VLOOKUP(A384,vlookup_table!$A:$G,4,FALSE),"")</f>
        <v>2701</v>
      </c>
      <c r="P384" t="str">
        <f>IFERROR(VLOOKUP(A384,vlookup_table!$A:$G,5,FALSE),"")</f>
        <v>R2</v>
      </c>
      <c r="Q384">
        <f>IFERROR(VLOOKUP(A384,vlookup_table!$A:$G,7,FALSE),"")</f>
        <v>12</v>
      </c>
      <c r="R384">
        <f t="shared" si="20"/>
        <v>70</v>
      </c>
      <c r="S384" t="str" cm="1">
        <f t="array" ref="S384">IF(P384="","",_xlfn.SWITCH(LEFT(P384,1),"C","Ciudad","T","Pueblo","R","Rural","S","Suburbano","U","Urbano",""))</f>
        <v>Rural</v>
      </c>
      <c r="T384" t="str">
        <f t="shared" si="21"/>
        <v>F</v>
      </c>
      <c r="U384" t="str">
        <f t="shared" si="22"/>
        <v>NC</v>
      </c>
      <c r="V384" t="str">
        <f t="shared" si="23"/>
        <v>10743</v>
      </c>
    </row>
    <row r="385" spans="1:22" x14ac:dyDescent="0.35">
      <c r="A385" s="3">
        <v>166337</v>
      </c>
      <c r="B385" t="s">
        <v>61</v>
      </c>
      <c r="C385" t="s">
        <v>14</v>
      </c>
      <c r="D385">
        <v>5813</v>
      </c>
      <c r="E385">
        <v>1221</v>
      </c>
      <c r="F385">
        <v>1191</v>
      </c>
      <c r="G385">
        <v>98</v>
      </c>
      <c r="H385">
        <v>60492</v>
      </c>
      <c r="I385">
        <v>8</v>
      </c>
      <c r="J385">
        <v>52</v>
      </c>
      <c r="K385">
        <v>1302</v>
      </c>
      <c r="L385">
        <v>1077</v>
      </c>
      <c r="M385">
        <v>15</v>
      </c>
      <c r="N385">
        <f>IFERROR(VLOOKUP(A385,vlookup_table!$A:$G,2,FALSE),"")</f>
        <v>1002</v>
      </c>
      <c r="O385">
        <f>IFERROR(VLOOKUP(A385,vlookup_table!$A:$G,4,FALSE),"")</f>
        <v>5401</v>
      </c>
      <c r="P385" t="str">
        <f>IFERROR(VLOOKUP(A385,vlookup_table!$A:$G,5,FALSE),"")</f>
        <v>S1</v>
      </c>
      <c r="Q385">
        <f>IFERROR(VLOOKUP(A385,vlookup_table!$A:$G,7,FALSE),"")</f>
        <v>15</v>
      </c>
      <c r="R385">
        <f t="shared" si="20"/>
        <v>43</v>
      </c>
      <c r="S385" t="str" cm="1">
        <f t="array" ref="S385">IF(P385="","",_xlfn.SWITCH(LEFT(P385,1),"C","Ciudad","T","Pueblo","R","Rural","S","Suburbano","U","Urbano",""))</f>
        <v>Suburbano</v>
      </c>
      <c r="T385" t="str">
        <f t="shared" si="21"/>
        <v>M</v>
      </c>
      <c r="U385" t="str">
        <f t="shared" si="22"/>
        <v>CA</v>
      </c>
      <c r="V385" t="str">
        <f t="shared" si="23"/>
        <v>60492</v>
      </c>
    </row>
    <row r="386" spans="1:22" x14ac:dyDescent="0.35">
      <c r="A386" s="3">
        <v>142495</v>
      </c>
      <c r="B386" t="s">
        <v>61</v>
      </c>
      <c r="C386" t="s">
        <v>17</v>
      </c>
      <c r="D386">
        <v>2250</v>
      </c>
      <c r="E386">
        <v>340</v>
      </c>
      <c r="F386">
        <v>444</v>
      </c>
      <c r="G386">
        <v>60</v>
      </c>
      <c r="H386">
        <v>19170</v>
      </c>
      <c r="I386">
        <v>35</v>
      </c>
      <c r="J386">
        <v>28</v>
      </c>
      <c r="K386">
        <v>375</v>
      </c>
      <c r="L386">
        <v>379</v>
      </c>
      <c r="M386">
        <v>11.4</v>
      </c>
      <c r="N386">
        <f>IFERROR(VLOOKUP(A386,vlookup_table!$A:$G,2,FALSE),"")</f>
        <v>28</v>
      </c>
      <c r="O386">
        <f>IFERROR(VLOOKUP(A386,vlookup_table!$A:$G,4,FALSE),"")</f>
        <v>0</v>
      </c>
      <c r="P386" t="str">
        <f>IFERROR(VLOOKUP(A386,vlookup_table!$A:$G,5,FALSE),"")</f>
        <v>U1</v>
      </c>
      <c r="Q386">
        <f>IFERROR(VLOOKUP(A386,vlookup_table!$A:$G,7,FALSE),"")</f>
        <v>21</v>
      </c>
      <c r="R386">
        <f t="shared" ref="R386:R449" si="24">IF(O386="","",97-INT(O386/100))</f>
        <v>97</v>
      </c>
      <c r="S386" t="str" cm="1">
        <f t="array" ref="S386">IF(P386="","",_xlfn.SWITCH(LEFT(P386,1),"C","Ciudad","T","Pueblo","R","Rural","S","Suburbano","U","Urbano",""))</f>
        <v>Urbano</v>
      </c>
      <c r="T386" t="str">
        <f t="shared" ref="T386:T449" si="25">IF(C386="","",IF(OR(UPPER(C386)="M",UPPER(C386)="MALE"),"M",IF(OR(UPPER(C386)="F",UPPER(C386)="FEMALE",UPPER(C386)="FEAMALE"),"F",C386)))</f>
        <v>F</v>
      </c>
      <c r="U386" t="str">
        <f t="shared" ref="U386:U449" si="26">IF(OR(UPPER(B386)="CALIFORNIA",UPPER(B386)="CALI"),"CA",B386)</f>
        <v>CA</v>
      </c>
      <c r="V386" t="str">
        <f t="shared" ref="V386:V449" si="27">SUBSTITUTE(H386,"@","")</f>
        <v>19170</v>
      </c>
    </row>
    <row r="387" spans="1:22" x14ac:dyDescent="0.35">
      <c r="A387" s="3">
        <v>66891</v>
      </c>
      <c r="B387" t="s">
        <v>29</v>
      </c>
      <c r="C387" t="s">
        <v>30</v>
      </c>
      <c r="D387">
        <v>1115</v>
      </c>
      <c r="E387">
        <v>512</v>
      </c>
      <c r="F387">
        <v>619</v>
      </c>
      <c r="G387">
        <v>4</v>
      </c>
      <c r="H387">
        <v>20171</v>
      </c>
      <c r="I387">
        <v>3</v>
      </c>
      <c r="J387">
        <v>64</v>
      </c>
      <c r="K387">
        <v>582</v>
      </c>
      <c r="L387">
        <v>517</v>
      </c>
      <c r="M387">
        <v>3.8571428569999999</v>
      </c>
      <c r="N387">
        <f>IFERROR(VLOOKUP(A387,vlookup_table!$A:$G,2,FALSE),"")</f>
        <v>0</v>
      </c>
      <c r="O387">
        <f>IFERROR(VLOOKUP(A387,vlookup_table!$A:$G,4,FALSE),"")</f>
        <v>0</v>
      </c>
      <c r="P387" t="str">
        <f>IFERROR(VLOOKUP(A387,vlookup_table!$A:$G,5,FALSE),"")</f>
        <v>S1</v>
      </c>
      <c r="Q387">
        <f>IFERROR(VLOOKUP(A387,vlookup_table!$A:$G,7,FALSE),"")</f>
        <v>5</v>
      </c>
      <c r="R387">
        <f t="shared" si="24"/>
        <v>97</v>
      </c>
      <c r="S387" t="str" cm="1">
        <f t="array" ref="S387">IF(P387="","",_xlfn.SWITCH(LEFT(P387,1),"C","Ciudad","T","Pueblo","R","Rural","S","Suburbano","U","Urbano",""))</f>
        <v>Suburbano</v>
      </c>
      <c r="T387" t="str">
        <f t="shared" si="25"/>
        <v>U</v>
      </c>
      <c r="U387" t="str">
        <f t="shared" si="26"/>
        <v>MI</v>
      </c>
      <c r="V387" t="str">
        <f t="shared" si="27"/>
        <v>20171</v>
      </c>
    </row>
    <row r="388" spans="1:22" x14ac:dyDescent="0.35">
      <c r="A388" s="3">
        <v>118673</v>
      </c>
      <c r="B388" t="s">
        <v>21</v>
      </c>
      <c r="C388" t="s">
        <v>17</v>
      </c>
      <c r="D388">
        <v>761</v>
      </c>
      <c r="E388">
        <v>321</v>
      </c>
      <c r="F388">
        <v>354</v>
      </c>
      <c r="G388">
        <v>2</v>
      </c>
      <c r="H388">
        <v>12145</v>
      </c>
      <c r="I388">
        <v>2</v>
      </c>
      <c r="J388">
        <v>76</v>
      </c>
      <c r="K388">
        <v>347</v>
      </c>
      <c r="L388">
        <v>351</v>
      </c>
      <c r="M388">
        <v>10.81818182</v>
      </c>
      <c r="N388">
        <f>IFERROR(VLOOKUP(A388,vlookup_table!$A:$G,2,FALSE),"")</f>
        <v>0</v>
      </c>
      <c r="O388">
        <f>IFERROR(VLOOKUP(A388,vlookup_table!$A:$G,4,FALSE),"")</f>
        <v>0</v>
      </c>
      <c r="P388" t="str">
        <f>IFERROR(VLOOKUP(A388,vlookup_table!$A:$G,5,FALSE),"")</f>
        <v>R2</v>
      </c>
      <c r="Q388">
        <f>IFERROR(VLOOKUP(A388,vlookup_table!$A:$G,7,FALSE),"")</f>
        <v>10</v>
      </c>
      <c r="R388">
        <f t="shared" si="24"/>
        <v>97</v>
      </c>
      <c r="S388" t="str" cm="1">
        <f t="array" ref="S388">IF(P388="","",_xlfn.SWITCH(LEFT(P388,1),"C","Ciudad","T","Pueblo","R","Rural","S","Suburbano","U","Urbano",""))</f>
        <v>Rural</v>
      </c>
      <c r="T388" t="str">
        <f t="shared" si="25"/>
        <v>F</v>
      </c>
      <c r="U388" t="str">
        <f t="shared" si="26"/>
        <v>TX</v>
      </c>
      <c r="V388" t="str">
        <f t="shared" si="27"/>
        <v>12145</v>
      </c>
    </row>
    <row r="389" spans="1:22" x14ac:dyDescent="0.35">
      <c r="A389" s="3">
        <v>168389</v>
      </c>
      <c r="B389" t="s">
        <v>61</v>
      </c>
      <c r="C389" t="s">
        <v>17</v>
      </c>
      <c r="D389">
        <v>2930</v>
      </c>
      <c r="E389">
        <v>372</v>
      </c>
      <c r="F389">
        <v>491</v>
      </c>
      <c r="G389">
        <v>91</v>
      </c>
      <c r="H389">
        <v>24747</v>
      </c>
      <c r="I389">
        <v>19</v>
      </c>
      <c r="J389">
        <v>49</v>
      </c>
      <c r="K389">
        <v>454</v>
      </c>
      <c r="L389">
        <v>456</v>
      </c>
      <c r="M389">
        <v>15</v>
      </c>
      <c r="N389">
        <f>IFERROR(VLOOKUP(A389,vlookup_table!$A:$G,2,FALSE),"")</f>
        <v>28</v>
      </c>
      <c r="O389">
        <f>IFERROR(VLOOKUP(A389,vlookup_table!$A:$G,4,FALSE),"")</f>
        <v>0</v>
      </c>
      <c r="P389" t="str">
        <f>IFERROR(VLOOKUP(A389,vlookup_table!$A:$G,5,FALSE),"")</f>
        <v>U1</v>
      </c>
      <c r="Q389">
        <f>IFERROR(VLOOKUP(A389,vlookup_table!$A:$G,7,FALSE),"")</f>
        <v>20</v>
      </c>
      <c r="R389">
        <f t="shared" si="24"/>
        <v>97</v>
      </c>
      <c r="S389" t="str" cm="1">
        <f t="array" ref="S389">IF(P389="","",_xlfn.SWITCH(LEFT(P389,1),"C","Ciudad","T","Pueblo","R","Rural","S","Suburbano","U","Urbano",""))</f>
        <v>Urbano</v>
      </c>
      <c r="T389" t="str">
        <f t="shared" si="25"/>
        <v>F</v>
      </c>
      <c r="U389" t="str">
        <f t="shared" si="26"/>
        <v>CA</v>
      </c>
      <c r="V389" t="str">
        <f t="shared" si="27"/>
        <v>24747</v>
      </c>
    </row>
    <row r="390" spans="1:22" x14ac:dyDescent="0.35">
      <c r="A390" s="3">
        <v>14982</v>
      </c>
      <c r="B390" t="s">
        <v>61</v>
      </c>
      <c r="C390" t="s">
        <v>17</v>
      </c>
      <c r="D390">
        <v>3370</v>
      </c>
      <c r="E390">
        <v>342</v>
      </c>
      <c r="F390">
        <v>401</v>
      </c>
      <c r="G390">
        <v>94</v>
      </c>
      <c r="H390">
        <v>15765</v>
      </c>
      <c r="I390">
        <v>22</v>
      </c>
      <c r="J390">
        <v>40</v>
      </c>
      <c r="K390">
        <v>346</v>
      </c>
      <c r="L390">
        <v>356</v>
      </c>
      <c r="M390">
        <v>16.06666667</v>
      </c>
      <c r="N390">
        <f>IFERROR(VLOOKUP(A390,vlookup_table!$A:$G,2,FALSE),"")</f>
        <v>0</v>
      </c>
      <c r="O390">
        <f>IFERROR(VLOOKUP(A390,vlookup_table!$A:$G,4,FALSE),"")</f>
        <v>0</v>
      </c>
      <c r="P390" t="str">
        <f>IFERROR(VLOOKUP(A390,vlookup_table!$A:$G,5,FALSE),"")</f>
        <v>U1</v>
      </c>
      <c r="Q390">
        <f>IFERROR(VLOOKUP(A390,vlookup_table!$A:$G,7,FALSE),"")</f>
        <v>15</v>
      </c>
      <c r="R390">
        <f t="shared" si="24"/>
        <v>97</v>
      </c>
      <c r="S390" t="str" cm="1">
        <f t="array" ref="S390">IF(P390="","",_xlfn.SWITCH(LEFT(P390,1),"C","Ciudad","T","Pueblo","R","Rural","S","Suburbano","U","Urbano",""))</f>
        <v>Urbano</v>
      </c>
      <c r="T390" t="str">
        <f t="shared" si="25"/>
        <v>F</v>
      </c>
      <c r="U390" t="str">
        <f t="shared" si="26"/>
        <v>CA</v>
      </c>
      <c r="V390" t="str">
        <f t="shared" si="27"/>
        <v>15765</v>
      </c>
    </row>
    <row r="391" spans="1:22" x14ac:dyDescent="0.35">
      <c r="A391" s="3">
        <v>185925</v>
      </c>
      <c r="B391" t="s">
        <v>56</v>
      </c>
      <c r="C391" t="s">
        <v>14</v>
      </c>
      <c r="D391">
        <v>966</v>
      </c>
      <c r="E391">
        <v>418</v>
      </c>
      <c r="F391">
        <v>569</v>
      </c>
      <c r="G391">
        <v>3</v>
      </c>
      <c r="H391">
        <v>22845</v>
      </c>
      <c r="I391">
        <v>7</v>
      </c>
      <c r="J391">
        <v>58</v>
      </c>
      <c r="K391">
        <v>463</v>
      </c>
      <c r="L391">
        <v>479</v>
      </c>
      <c r="M391">
        <v>7.3636363640000004</v>
      </c>
      <c r="N391">
        <f>IFERROR(VLOOKUP(A391,vlookup_table!$A:$G,2,FALSE),"")</f>
        <v>1</v>
      </c>
      <c r="O391">
        <f>IFERROR(VLOOKUP(A391,vlookup_table!$A:$G,4,FALSE),"")</f>
        <v>4701</v>
      </c>
      <c r="P391" t="str">
        <f>IFERROR(VLOOKUP(A391,vlookup_table!$A:$G,5,FALSE),"")</f>
        <v>C1</v>
      </c>
      <c r="Q391">
        <f>IFERROR(VLOOKUP(A391,vlookup_table!$A:$G,7,FALSE),"")</f>
        <v>10</v>
      </c>
      <c r="R391">
        <f t="shared" si="24"/>
        <v>50</v>
      </c>
      <c r="S391" t="str" cm="1">
        <f t="array" ref="S391">IF(P391="","",_xlfn.SWITCH(LEFT(P391,1),"C","Ciudad","T","Pueblo","R","Rural","S","Suburbano","U","Urbano",""))</f>
        <v>Ciudad</v>
      </c>
      <c r="T391" t="str">
        <f t="shared" si="25"/>
        <v>M</v>
      </c>
      <c r="U391" t="str">
        <f t="shared" si="26"/>
        <v>MN</v>
      </c>
      <c r="V391" t="str">
        <f t="shared" si="27"/>
        <v>22845</v>
      </c>
    </row>
    <row r="392" spans="1:22" x14ac:dyDescent="0.35">
      <c r="A392" s="3">
        <v>144393</v>
      </c>
      <c r="B392" t="s">
        <v>61</v>
      </c>
      <c r="C392" t="s">
        <v>17</v>
      </c>
      <c r="D392">
        <v>2024</v>
      </c>
      <c r="E392">
        <v>352</v>
      </c>
      <c r="F392">
        <v>427</v>
      </c>
      <c r="G392">
        <v>51</v>
      </c>
      <c r="H392">
        <v>11885</v>
      </c>
      <c r="I392">
        <v>24</v>
      </c>
      <c r="J392">
        <v>43</v>
      </c>
      <c r="K392">
        <v>400</v>
      </c>
      <c r="L392">
        <v>392</v>
      </c>
      <c r="M392">
        <v>8.6315789469999995</v>
      </c>
      <c r="N392">
        <f>IFERROR(VLOOKUP(A392,vlookup_table!$A:$G,2,FALSE),"")</f>
        <v>0</v>
      </c>
      <c r="O392">
        <f>IFERROR(VLOOKUP(A392,vlookup_table!$A:$G,4,FALSE),"")</f>
        <v>1909</v>
      </c>
      <c r="P392" t="str">
        <f>IFERROR(VLOOKUP(A392,vlookup_table!$A:$G,5,FALSE),"")</f>
        <v>U2</v>
      </c>
      <c r="Q392">
        <f>IFERROR(VLOOKUP(A392,vlookup_table!$A:$G,7,FALSE),"")</f>
        <v>15</v>
      </c>
      <c r="R392">
        <f t="shared" si="24"/>
        <v>78</v>
      </c>
      <c r="S392" t="str" cm="1">
        <f t="array" ref="S392">IF(P392="","",_xlfn.SWITCH(LEFT(P392,1),"C","Ciudad","T","Pueblo","R","Rural","S","Suburbano","U","Urbano",""))</f>
        <v>Urbano</v>
      </c>
      <c r="T392" t="str">
        <f t="shared" si="25"/>
        <v>F</v>
      </c>
      <c r="U392" t="str">
        <f t="shared" si="26"/>
        <v>CA</v>
      </c>
      <c r="V392" t="str">
        <f t="shared" si="27"/>
        <v>11885</v>
      </c>
    </row>
    <row r="393" spans="1:22" x14ac:dyDescent="0.35">
      <c r="A393" s="3">
        <v>4907</v>
      </c>
      <c r="B393" t="s">
        <v>34</v>
      </c>
      <c r="C393" t="s">
        <v>20</v>
      </c>
      <c r="D393">
        <v>553</v>
      </c>
      <c r="E393">
        <v>238</v>
      </c>
      <c r="F393">
        <v>323</v>
      </c>
      <c r="G393">
        <v>0</v>
      </c>
      <c r="H393">
        <v>12885</v>
      </c>
      <c r="I393">
        <v>2</v>
      </c>
      <c r="J393">
        <v>56</v>
      </c>
      <c r="K393">
        <v>381</v>
      </c>
      <c r="L393">
        <v>270</v>
      </c>
      <c r="M393">
        <v>13.65909091</v>
      </c>
      <c r="N393">
        <f>IFERROR(VLOOKUP(A393,vlookup_table!$A:$G,2,FALSE),"")</f>
        <v>2</v>
      </c>
      <c r="O393">
        <f>IFERROR(VLOOKUP(A393,vlookup_table!$A:$G,4,FALSE),"")</f>
        <v>0</v>
      </c>
      <c r="P393" t="str">
        <f>IFERROR(VLOOKUP(A393,vlookup_table!$A:$G,5,FALSE),"")</f>
        <v>C2</v>
      </c>
      <c r="Q393">
        <f>IFERROR(VLOOKUP(A393,vlookup_table!$A:$G,7,FALSE),"")</f>
        <v>22</v>
      </c>
      <c r="R393">
        <f t="shared" si="24"/>
        <v>97</v>
      </c>
      <c r="S393" t="str" cm="1">
        <f t="array" ref="S393">IF(P393="","",_xlfn.SWITCH(LEFT(P393,1),"C","Ciudad","T","Pueblo","R","Rural","S","Suburbano","U","Urbano",""))</f>
        <v>Ciudad</v>
      </c>
      <c r="T393" t="str">
        <f t="shared" si="25"/>
        <v>F</v>
      </c>
      <c r="U393" t="str">
        <f t="shared" si="26"/>
        <v>MT</v>
      </c>
      <c r="V393" t="str">
        <f t="shared" si="27"/>
        <v>12885</v>
      </c>
    </row>
    <row r="394" spans="1:22" x14ac:dyDescent="0.35">
      <c r="A394" s="3">
        <v>99298</v>
      </c>
      <c r="B394" t="s">
        <v>36</v>
      </c>
      <c r="C394" t="s">
        <v>14</v>
      </c>
      <c r="D394">
        <v>703</v>
      </c>
      <c r="E394">
        <v>314</v>
      </c>
      <c r="F394">
        <v>376</v>
      </c>
      <c r="G394">
        <v>0</v>
      </c>
      <c r="H394">
        <v>12799</v>
      </c>
      <c r="I394">
        <v>0</v>
      </c>
      <c r="J394">
        <v>78</v>
      </c>
      <c r="K394">
        <v>357</v>
      </c>
      <c r="L394">
        <v>350</v>
      </c>
      <c r="M394">
        <v>16.5</v>
      </c>
      <c r="N394">
        <f>IFERROR(VLOOKUP(A394,vlookup_table!$A:$G,2,FALSE),"")</f>
        <v>1</v>
      </c>
      <c r="O394">
        <f>IFERROR(VLOOKUP(A394,vlookup_table!$A:$G,4,FALSE),"")</f>
        <v>4001</v>
      </c>
      <c r="P394" t="str">
        <f>IFERROR(VLOOKUP(A394,vlookup_table!$A:$G,5,FALSE),"")</f>
        <v>S2</v>
      </c>
      <c r="Q394">
        <f>IFERROR(VLOOKUP(A394,vlookup_table!$A:$G,7,FALSE),"")</f>
        <v>32</v>
      </c>
      <c r="R394">
        <f t="shared" si="24"/>
        <v>57</v>
      </c>
      <c r="S394" t="str" cm="1">
        <f t="array" ref="S394">IF(P394="","",_xlfn.SWITCH(LEFT(P394,1),"C","Ciudad","T","Pueblo","R","Rural","S","Suburbano","U","Urbano",""))</f>
        <v>Suburbano</v>
      </c>
      <c r="T394" t="str">
        <f t="shared" si="25"/>
        <v>M</v>
      </c>
      <c r="U394" t="str">
        <f t="shared" si="26"/>
        <v>MO</v>
      </c>
      <c r="V394" t="str">
        <f t="shared" si="27"/>
        <v>12799</v>
      </c>
    </row>
    <row r="395" spans="1:22" x14ac:dyDescent="0.35">
      <c r="A395" s="3">
        <v>187532</v>
      </c>
      <c r="B395" t="s">
        <v>13</v>
      </c>
      <c r="C395" t="s">
        <v>14</v>
      </c>
      <c r="D395">
        <v>1286</v>
      </c>
      <c r="E395">
        <v>500</v>
      </c>
      <c r="F395">
        <v>551</v>
      </c>
      <c r="G395">
        <v>9</v>
      </c>
      <c r="H395">
        <v>19082</v>
      </c>
      <c r="I395">
        <v>14</v>
      </c>
      <c r="J395">
        <v>8</v>
      </c>
      <c r="K395">
        <v>502</v>
      </c>
      <c r="L395">
        <v>542</v>
      </c>
      <c r="M395">
        <v>15</v>
      </c>
      <c r="N395">
        <f>IFERROR(VLOOKUP(A395,vlookup_table!$A:$G,2,FALSE),"")</f>
        <v>1</v>
      </c>
      <c r="O395">
        <f>IFERROR(VLOOKUP(A395,vlookup_table!$A:$G,4,FALSE),"")</f>
        <v>0</v>
      </c>
      <c r="P395" t="str">
        <f>IFERROR(VLOOKUP(A395,vlookup_table!$A:$G,5,FALSE),"")</f>
        <v>T1</v>
      </c>
      <c r="Q395">
        <f>IFERROR(VLOOKUP(A395,vlookup_table!$A:$G,7,FALSE),"")</f>
        <v>15</v>
      </c>
      <c r="R395">
        <f t="shared" si="24"/>
        <v>97</v>
      </c>
      <c r="S395" t="str" cm="1">
        <f t="array" ref="S395">IF(P395="","",_xlfn.SWITCH(LEFT(P395,1),"C","Ciudad","T","Pueblo","R","Rural","S","Suburbano","U","Urbano",""))</f>
        <v>Pueblo</v>
      </c>
      <c r="T395" t="str">
        <f t="shared" si="25"/>
        <v>M</v>
      </c>
      <c r="U395" t="str">
        <f t="shared" si="26"/>
        <v>FL</v>
      </c>
      <c r="V395" t="str">
        <f t="shared" si="27"/>
        <v>19082</v>
      </c>
    </row>
    <row r="396" spans="1:22" x14ac:dyDescent="0.35">
      <c r="A396" s="3">
        <v>119496</v>
      </c>
      <c r="B396" t="s">
        <v>21</v>
      </c>
      <c r="C396" t="s">
        <v>17</v>
      </c>
      <c r="D396">
        <v>758</v>
      </c>
      <c r="E396">
        <v>390</v>
      </c>
      <c r="F396">
        <v>461</v>
      </c>
      <c r="G396">
        <v>4</v>
      </c>
      <c r="H396">
        <v>14397</v>
      </c>
      <c r="I396">
        <v>4</v>
      </c>
      <c r="J396">
        <v>56</v>
      </c>
      <c r="K396">
        <v>397</v>
      </c>
      <c r="L396">
        <v>448</v>
      </c>
      <c r="M396">
        <v>7.8571428570000004</v>
      </c>
      <c r="N396">
        <f>IFERROR(VLOOKUP(A396,vlookup_table!$A:$G,2,FALSE),"")</f>
        <v>0</v>
      </c>
      <c r="O396">
        <f>IFERROR(VLOOKUP(A396,vlookup_table!$A:$G,4,FALSE),"")</f>
        <v>0</v>
      </c>
      <c r="P396" t="str">
        <f>IFERROR(VLOOKUP(A396,vlookup_table!$A:$G,5,FALSE),"")</f>
        <v>S1</v>
      </c>
      <c r="Q396">
        <f>IFERROR(VLOOKUP(A396,vlookup_table!$A:$G,7,FALSE),"")</f>
        <v>5</v>
      </c>
      <c r="R396">
        <f t="shared" si="24"/>
        <v>97</v>
      </c>
      <c r="S396" t="str" cm="1">
        <f t="array" ref="S396">IF(P396="","",_xlfn.SWITCH(LEFT(P396,1),"C","Ciudad","T","Pueblo","R","Rural","S","Suburbano","U","Urbano",""))</f>
        <v>Suburbano</v>
      </c>
      <c r="T396" t="str">
        <f t="shared" si="25"/>
        <v>F</v>
      </c>
      <c r="U396" t="str">
        <f t="shared" si="26"/>
        <v>TX</v>
      </c>
      <c r="V396" t="str">
        <f t="shared" si="27"/>
        <v>14397</v>
      </c>
    </row>
    <row r="397" spans="1:22" x14ac:dyDescent="0.35">
      <c r="A397" s="3">
        <v>169919</v>
      </c>
      <c r="B397" t="s">
        <v>61</v>
      </c>
      <c r="C397" t="s">
        <v>17</v>
      </c>
      <c r="D397">
        <v>657</v>
      </c>
      <c r="E397">
        <v>169</v>
      </c>
      <c r="F397">
        <v>254</v>
      </c>
      <c r="G397">
        <v>2</v>
      </c>
      <c r="H397">
        <v>9583</v>
      </c>
      <c r="I397">
        <v>3</v>
      </c>
      <c r="J397">
        <v>59</v>
      </c>
      <c r="K397">
        <v>216</v>
      </c>
      <c r="L397">
        <v>220</v>
      </c>
      <c r="M397">
        <v>8.6666666669999994</v>
      </c>
      <c r="N397">
        <f>IFERROR(VLOOKUP(A397,vlookup_table!$A:$G,2,FALSE),"")</f>
        <v>0</v>
      </c>
      <c r="O397">
        <f>IFERROR(VLOOKUP(A397,vlookup_table!$A:$G,4,FALSE),"")</f>
        <v>4801</v>
      </c>
      <c r="P397" t="str">
        <f>IFERROR(VLOOKUP(A397,vlookup_table!$A:$G,5,FALSE),"")</f>
        <v>T2</v>
      </c>
      <c r="Q397">
        <f>IFERROR(VLOOKUP(A397,vlookup_table!$A:$G,7,FALSE),"")</f>
        <v>20</v>
      </c>
      <c r="R397">
        <f t="shared" si="24"/>
        <v>49</v>
      </c>
      <c r="S397" t="str" cm="1">
        <f t="array" ref="S397">IF(P397="","",_xlfn.SWITCH(LEFT(P397,1),"C","Ciudad","T","Pueblo","R","Rural","S","Suburbano","U","Urbano",""))</f>
        <v>Pueblo</v>
      </c>
      <c r="T397" t="str">
        <f t="shared" si="25"/>
        <v>F</v>
      </c>
      <c r="U397" t="str">
        <f t="shared" si="26"/>
        <v>CA</v>
      </c>
      <c r="V397" t="str">
        <f t="shared" si="27"/>
        <v>9583</v>
      </c>
    </row>
    <row r="398" spans="1:22" x14ac:dyDescent="0.35">
      <c r="A398" s="3">
        <v>106963</v>
      </c>
      <c r="B398" t="s">
        <v>59</v>
      </c>
      <c r="C398" t="s">
        <v>14</v>
      </c>
      <c r="D398">
        <v>581</v>
      </c>
      <c r="E398">
        <v>315</v>
      </c>
      <c r="F398">
        <v>411</v>
      </c>
      <c r="G398">
        <v>0</v>
      </c>
      <c r="H398">
        <v>16473</v>
      </c>
      <c r="I398">
        <v>1</v>
      </c>
      <c r="J398">
        <v>57</v>
      </c>
      <c r="K398">
        <v>368</v>
      </c>
      <c r="L398">
        <v>378</v>
      </c>
      <c r="M398">
        <v>10.85714286</v>
      </c>
      <c r="N398">
        <f>IFERROR(VLOOKUP(A398,vlookup_table!$A:$G,2,FALSE),"")</f>
        <v>1</v>
      </c>
      <c r="O398">
        <f>IFERROR(VLOOKUP(A398,vlookup_table!$A:$G,4,FALSE),"")</f>
        <v>6102</v>
      </c>
      <c r="P398" t="str">
        <f>IFERROR(VLOOKUP(A398,vlookup_table!$A:$G,5,FALSE),"")</f>
        <v>S2</v>
      </c>
      <c r="Q398">
        <f>IFERROR(VLOOKUP(A398,vlookup_table!$A:$G,7,FALSE),"")</f>
        <v>15</v>
      </c>
      <c r="R398">
        <f t="shared" si="24"/>
        <v>36</v>
      </c>
      <c r="S398" t="str" cm="1">
        <f t="array" ref="S398">IF(P398="","",_xlfn.SWITCH(LEFT(P398,1),"C","Ciudad","T","Pueblo","R","Rural","S","Suburbano","U","Urbano",""))</f>
        <v>Suburbano</v>
      </c>
      <c r="T398" t="str">
        <f t="shared" si="25"/>
        <v>M</v>
      </c>
      <c r="U398" t="str">
        <f t="shared" si="26"/>
        <v>NE</v>
      </c>
      <c r="V398" t="str">
        <f t="shared" si="27"/>
        <v>16473</v>
      </c>
    </row>
    <row r="399" spans="1:22" x14ac:dyDescent="0.35">
      <c r="A399" s="3">
        <v>145838</v>
      </c>
      <c r="B399" t="s">
        <v>61</v>
      </c>
      <c r="C399" t="s">
        <v>30</v>
      </c>
      <c r="D399">
        <v>2019</v>
      </c>
      <c r="E399">
        <v>406</v>
      </c>
      <c r="F399">
        <v>512</v>
      </c>
      <c r="G399">
        <v>52</v>
      </c>
      <c r="H399">
        <v>12623</v>
      </c>
      <c r="I399">
        <v>29</v>
      </c>
      <c r="J399">
        <v>39</v>
      </c>
      <c r="K399">
        <v>423</v>
      </c>
      <c r="L399">
        <v>478</v>
      </c>
      <c r="M399">
        <v>20</v>
      </c>
      <c r="N399">
        <f>IFERROR(VLOOKUP(A399,vlookup_table!$A:$G,2,FALSE),"")</f>
        <v>0</v>
      </c>
      <c r="O399">
        <f>IFERROR(VLOOKUP(A399,vlookup_table!$A:$G,4,FALSE),"")</f>
        <v>0</v>
      </c>
      <c r="P399" t="str">
        <f>IFERROR(VLOOKUP(A399,vlookup_table!$A:$G,5,FALSE),"")</f>
        <v>S1</v>
      </c>
      <c r="Q399">
        <f>IFERROR(VLOOKUP(A399,vlookup_table!$A:$G,7,FALSE),"")</f>
        <v>8</v>
      </c>
      <c r="R399">
        <f t="shared" si="24"/>
        <v>97</v>
      </c>
      <c r="S399" t="str" cm="1">
        <f t="array" ref="S399">IF(P399="","",_xlfn.SWITCH(LEFT(P399,1),"C","Ciudad","T","Pueblo","R","Rural","S","Suburbano","U","Urbano",""))</f>
        <v>Suburbano</v>
      </c>
      <c r="T399" t="str">
        <f t="shared" si="25"/>
        <v>U</v>
      </c>
      <c r="U399" t="str">
        <f t="shared" si="26"/>
        <v>CA</v>
      </c>
      <c r="V399" t="str">
        <f t="shared" si="27"/>
        <v>12623</v>
      </c>
    </row>
    <row r="400" spans="1:22" x14ac:dyDescent="0.35">
      <c r="A400" s="3">
        <v>150624</v>
      </c>
      <c r="B400" t="s">
        <v>61</v>
      </c>
      <c r="C400" t="s">
        <v>14</v>
      </c>
      <c r="D400">
        <v>1247</v>
      </c>
      <c r="E400">
        <v>321</v>
      </c>
      <c r="F400">
        <v>385</v>
      </c>
      <c r="G400">
        <v>8</v>
      </c>
      <c r="H400">
        <v>10994</v>
      </c>
      <c r="I400">
        <v>22</v>
      </c>
      <c r="J400">
        <v>48</v>
      </c>
      <c r="K400">
        <v>358</v>
      </c>
      <c r="L400">
        <v>357</v>
      </c>
      <c r="M400">
        <v>7.3764583330000004</v>
      </c>
      <c r="N400">
        <f>IFERROR(VLOOKUP(A400,vlookup_table!$A:$G,2,FALSE),"")</f>
        <v>1</v>
      </c>
      <c r="O400">
        <f>IFERROR(VLOOKUP(A400,vlookup_table!$A:$G,4,FALSE),"")</f>
        <v>0</v>
      </c>
      <c r="P400" t="str">
        <f>IFERROR(VLOOKUP(A400,vlookup_table!$A:$G,5,FALSE),"")</f>
        <v>S2</v>
      </c>
      <c r="Q400">
        <f>IFERROR(VLOOKUP(A400,vlookup_table!$A:$G,7,FALSE),"")</f>
        <v>8</v>
      </c>
      <c r="R400">
        <f t="shared" si="24"/>
        <v>97</v>
      </c>
      <c r="S400" t="str" cm="1">
        <f t="array" ref="S400">IF(P400="","",_xlfn.SWITCH(LEFT(P400,1),"C","Ciudad","T","Pueblo","R","Rural","S","Suburbano","U","Urbano",""))</f>
        <v>Suburbano</v>
      </c>
      <c r="T400" t="str">
        <f t="shared" si="25"/>
        <v>M</v>
      </c>
      <c r="U400" t="str">
        <f t="shared" si="26"/>
        <v>CA</v>
      </c>
      <c r="V400" t="str">
        <f t="shared" si="27"/>
        <v>10994</v>
      </c>
    </row>
    <row r="401" spans="1:22" x14ac:dyDescent="0.35">
      <c r="A401" s="3">
        <v>182144</v>
      </c>
      <c r="B401" t="s">
        <v>13</v>
      </c>
      <c r="C401" t="s">
        <v>17</v>
      </c>
      <c r="D401">
        <v>559</v>
      </c>
      <c r="E401">
        <v>229</v>
      </c>
      <c r="F401">
        <v>278</v>
      </c>
      <c r="G401">
        <v>0</v>
      </c>
      <c r="H401">
        <v>8359</v>
      </c>
      <c r="I401">
        <v>1</v>
      </c>
      <c r="J401">
        <v>44</v>
      </c>
      <c r="K401">
        <v>277</v>
      </c>
      <c r="L401">
        <v>244</v>
      </c>
      <c r="M401">
        <v>7.1363636359999996</v>
      </c>
      <c r="N401">
        <f>IFERROR(VLOOKUP(A401,vlookup_table!$A:$G,2,FALSE),"")</f>
        <v>0</v>
      </c>
      <c r="O401">
        <f>IFERROR(VLOOKUP(A401,vlookup_table!$A:$G,4,FALSE),"")</f>
        <v>5208</v>
      </c>
      <c r="P401" t="str">
        <f>IFERROR(VLOOKUP(A401,vlookup_table!$A:$G,5,FALSE),"")</f>
        <v>S2</v>
      </c>
      <c r="Q401">
        <f>IFERROR(VLOOKUP(A401,vlookup_table!$A:$G,7,FALSE),"")</f>
        <v>7</v>
      </c>
      <c r="R401">
        <f t="shared" si="24"/>
        <v>45</v>
      </c>
      <c r="S401" t="str" cm="1">
        <f t="array" ref="S401">IF(P401="","",_xlfn.SWITCH(LEFT(P401,1),"C","Ciudad","T","Pueblo","R","Rural","S","Suburbano","U","Urbano",""))</f>
        <v>Suburbano</v>
      </c>
      <c r="T401" t="str">
        <f t="shared" si="25"/>
        <v>F</v>
      </c>
      <c r="U401" t="str">
        <f t="shared" si="26"/>
        <v>FL</v>
      </c>
      <c r="V401" t="str">
        <f t="shared" si="27"/>
        <v>8359</v>
      </c>
    </row>
    <row r="402" spans="1:22" x14ac:dyDescent="0.35">
      <c r="A402" s="3">
        <v>135449</v>
      </c>
      <c r="B402" t="s">
        <v>55</v>
      </c>
      <c r="C402" t="s">
        <v>14</v>
      </c>
      <c r="D402">
        <v>687</v>
      </c>
      <c r="E402">
        <v>369</v>
      </c>
      <c r="F402">
        <v>403</v>
      </c>
      <c r="G402">
        <v>0</v>
      </c>
      <c r="H402">
        <v>9781</v>
      </c>
      <c r="I402">
        <v>6</v>
      </c>
      <c r="J402">
        <v>37</v>
      </c>
      <c r="K402">
        <v>375</v>
      </c>
      <c r="L402">
        <v>390</v>
      </c>
      <c r="M402">
        <v>7.1818181819999998</v>
      </c>
      <c r="N402">
        <f>IFERROR(VLOOKUP(A402,vlookup_table!$A:$G,2,FALSE),"")</f>
        <v>1</v>
      </c>
      <c r="O402">
        <f>IFERROR(VLOOKUP(A402,vlookup_table!$A:$G,4,FALSE),"")</f>
        <v>4801</v>
      </c>
      <c r="P402" t="str">
        <f>IFERROR(VLOOKUP(A402,vlookup_table!$A:$G,5,FALSE),"")</f>
        <v>S2</v>
      </c>
      <c r="Q402">
        <f>IFERROR(VLOOKUP(A402,vlookup_table!$A:$G,7,FALSE),"")</f>
        <v>10</v>
      </c>
      <c r="R402">
        <f t="shared" si="24"/>
        <v>49</v>
      </c>
      <c r="S402" t="str" cm="1">
        <f t="array" ref="S402">IF(P402="","",_xlfn.SWITCH(LEFT(P402,1),"C","Ciudad","T","Pueblo","R","Rural","S","Suburbano","U","Urbano",""))</f>
        <v>Suburbano</v>
      </c>
      <c r="T402" t="str">
        <f t="shared" si="25"/>
        <v>M</v>
      </c>
      <c r="U402" t="str">
        <f t="shared" si="26"/>
        <v>AZ</v>
      </c>
      <c r="V402" t="str">
        <f t="shared" si="27"/>
        <v>9781</v>
      </c>
    </row>
    <row r="403" spans="1:22" x14ac:dyDescent="0.35">
      <c r="A403" s="3">
        <v>49743</v>
      </c>
      <c r="B403" t="s">
        <v>43</v>
      </c>
      <c r="C403" t="s">
        <v>27</v>
      </c>
      <c r="D403">
        <v>582</v>
      </c>
      <c r="E403">
        <v>217</v>
      </c>
      <c r="F403">
        <v>375</v>
      </c>
      <c r="G403">
        <v>2</v>
      </c>
      <c r="H403">
        <v>12588</v>
      </c>
      <c r="I403">
        <v>1</v>
      </c>
      <c r="J403">
        <v>59</v>
      </c>
      <c r="K403">
        <v>363</v>
      </c>
      <c r="L403">
        <v>275</v>
      </c>
      <c r="M403">
        <v>16</v>
      </c>
      <c r="N403">
        <f>IFERROR(VLOOKUP(A403,vlookup_table!$A:$G,2,FALSE),"")</f>
        <v>1</v>
      </c>
      <c r="O403">
        <f>IFERROR(VLOOKUP(A403,vlookup_table!$A:$G,4,FALSE),"")</f>
        <v>1901</v>
      </c>
      <c r="P403" t="str">
        <f>IFERROR(VLOOKUP(A403,vlookup_table!$A:$G,5,FALSE),"")</f>
        <v>T2</v>
      </c>
      <c r="Q403">
        <f>IFERROR(VLOOKUP(A403,vlookup_table!$A:$G,7,FALSE),"")</f>
        <v>22</v>
      </c>
      <c r="R403">
        <f t="shared" si="24"/>
        <v>78</v>
      </c>
      <c r="S403" t="str" cm="1">
        <f t="array" ref="S403">IF(P403="","",_xlfn.SWITCH(LEFT(P403,1),"C","Ciudad","T","Pueblo","R","Rural","S","Suburbano","U","Urbano",""))</f>
        <v>Pueblo</v>
      </c>
      <c r="T403" t="str">
        <f t="shared" si="25"/>
        <v>M</v>
      </c>
      <c r="U403" t="str">
        <f t="shared" si="26"/>
        <v>AL</v>
      </c>
      <c r="V403" t="str">
        <f t="shared" si="27"/>
        <v>12588</v>
      </c>
    </row>
    <row r="404" spans="1:22" x14ac:dyDescent="0.35">
      <c r="A404" s="3">
        <v>65500</v>
      </c>
      <c r="B404" t="s">
        <v>29</v>
      </c>
      <c r="C404" t="s">
        <v>14</v>
      </c>
      <c r="D404">
        <v>690</v>
      </c>
      <c r="E404">
        <v>419</v>
      </c>
      <c r="F404">
        <v>490</v>
      </c>
      <c r="G404">
        <v>0</v>
      </c>
      <c r="H404">
        <v>15715</v>
      </c>
      <c r="I404">
        <v>1</v>
      </c>
      <c r="J404">
        <v>19</v>
      </c>
      <c r="K404">
        <v>451</v>
      </c>
      <c r="L404">
        <v>468</v>
      </c>
      <c r="M404">
        <v>12.33333333</v>
      </c>
      <c r="N404">
        <f>IFERROR(VLOOKUP(A404,vlookup_table!$A:$G,2,FALSE),"")</f>
        <v>1</v>
      </c>
      <c r="O404">
        <f>IFERROR(VLOOKUP(A404,vlookup_table!$A:$G,4,FALSE),"")</f>
        <v>7001</v>
      </c>
      <c r="P404" t="str">
        <f>IFERROR(VLOOKUP(A404,vlookup_table!$A:$G,5,FALSE),"")</f>
        <v>S1</v>
      </c>
      <c r="Q404">
        <f>IFERROR(VLOOKUP(A404,vlookup_table!$A:$G,7,FALSE),"")</f>
        <v>15</v>
      </c>
      <c r="R404">
        <f t="shared" si="24"/>
        <v>27</v>
      </c>
      <c r="S404" t="str" cm="1">
        <f t="array" ref="S404">IF(P404="","",_xlfn.SWITCH(LEFT(P404,1),"C","Ciudad","T","Pueblo","R","Rural","S","Suburbano","U","Urbano",""))</f>
        <v>Suburbano</v>
      </c>
      <c r="T404" t="str">
        <f t="shared" si="25"/>
        <v>M</v>
      </c>
      <c r="U404" t="str">
        <f t="shared" si="26"/>
        <v>MI</v>
      </c>
      <c r="V404" t="str">
        <f t="shared" si="27"/>
        <v>15715</v>
      </c>
    </row>
    <row r="405" spans="1:22" x14ac:dyDescent="0.35">
      <c r="A405" s="3">
        <v>172420</v>
      </c>
      <c r="B405" t="s">
        <v>61</v>
      </c>
      <c r="C405" t="s">
        <v>17</v>
      </c>
      <c r="D405">
        <v>988</v>
      </c>
      <c r="E405">
        <v>169</v>
      </c>
      <c r="F405">
        <v>344</v>
      </c>
      <c r="G405">
        <v>9</v>
      </c>
      <c r="H405">
        <v>9190</v>
      </c>
      <c r="I405">
        <v>5</v>
      </c>
      <c r="J405">
        <v>67</v>
      </c>
      <c r="K405">
        <v>246</v>
      </c>
      <c r="L405">
        <v>247</v>
      </c>
      <c r="M405">
        <v>6.25</v>
      </c>
      <c r="N405">
        <f>IFERROR(VLOOKUP(A405,vlookup_table!$A:$G,2,FALSE),"")</f>
        <v>0</v>
      </c>
      <c r="O405">
        <f>IFERROR(VLOOKUP(A405,vlookup_table!$A:$G,4,FALSE),"")</f>
        <v>6601</v>
      </c>
      <c r="P405" t="str">
        <f>IFERROR(VLOOKUP(A405,vlookup_table!$A:$G,5,FALSE),"")</f>
        <v>C2</v>
      </c>
      <c r="Q405">
        <f>IFERROR(VLOOKUP(A405,vlookup_table!$A:$G,7,FALSE),"")</f>
        <v>6</v>
      </c>
      <c r="R405">
        <f t="shared" si="24"/>
        <v>31</v>
      </c>
      <c r="S405" t="str" cm="1">
        <f t="array" ref="S405">IF(P405="","",_xlfn.SWITCH(LEFT(P405,1),"C","Ciudad","T","Pueblo","R","Rural","S","Suburbano","U","Urbano",""))</f>
        <v>Ciudad</v>
      </c>
      <c r="T405" t="str">
        <f t="shared" si="25"/>
        <v>F</v>
      </c>
      <c r="U405" t="str">
        <f t="shared" si="26"/>
        <v>CA</v>
      </c>
      <c r="V405" t="str">
        <f t="shared" si="27"/>
        <v>9190</v>
      </c>
    </row>
    <row r="406" spans="1:22" x14ac:dyDescent="0.35">
      <c r="A406" s="3">
        <v>7494</v>
      </c>
      <c r="B406" t="s">
        <v>61</v>
      </c>
      <c r="C406" t="s">
        <v>17</v>
      </c>
      <c r="D406">
        <v>1500</v>
      </c>
      <c r="E406">
        <v>282</v>
      </c>
      <c r="F406">
        <v>382</v>
      </c>
      <c r="G406">
        <v>4</v>
      </c>
      <c r="H406">
        <v>13859</v>
      </c>
      <c r="I406">
        <v>10</v>
      </c>
      <c r="J406">
        <v>42</v>
      </c>
      <c r="K406">
        <v>353</v>
      </c>
      <c r="L406">
        <v>332</v>
      </c>
      <c r="M406">
        <v>5.24</v>
      </c>
      <c r="N406">
        <f>IFERROR(VLOOKUP(A406,vlookup_table!$A:$G,2,FALSE),"")</f>
        <v>0</v>
      </c>
      <c r="O406">
        <f>IFERROR(VLOOKUP(A406,vlookup_table!$A:$G,4,FALSE),"")</f>
        <v>2301</v>
      </c>
      <c r="P406" t="str">
        <f>IFERROR(VLOOKUP(A406,vlookup_table!$A:$G,5,FALSE),"")</f>
        <v>C2</v>
      </c>
      <c r="Q406">
        <f>IFERROR(VLOOKUP(A406,vlookup_table!$A:$G,7,FALSE),"")</f>
        <v>6</v>
      </c>
      <c r="R406">
        <f t="shared" si="24"/>
        <v>74</v>
      </c>
      <c r="S406" t="str" cm="1">
        <f t="array" ref="S406">IF(P406="","",_xlfn.SWITCH(LEFT(P406,1),"C","Ciudad","T","Pueblo","R","Rural","S","Suburbano","U","Urbano",""))</f>
        <v>Ciudad</v>
      </c>
      <c r="T406" t="str">
        <f t="shared" si="25"/>
        <v>F</v>
      </c>
      <c r="U406" t="str">
        <f t="shared" si="26"/>
        <v>CA</v>
      </c>
      <c r="V406" t="str">
        <f t="shared" si="27"/>
        <v>13859</v>
      </c>
    </row>
    <row r="407" spans="1:22" x14ac:dyDescent="0.35">
      <c r="A407" s="3">
        <v>149498</v>
      </c>
      <c r="B407" t="s">
        <v>61</v>
      </c>
      <c r="C407" t="s">
        <v>44</v>
      </c>
      <c r="D407">
        <v>5742</v>
      </c>
      <c r="E407">
        <v>1289</v>
      </c>
      <c r="F407">
        <v>1119</v>
      </c>
      <c r="G407">
        <v>99</v>
      </c>
      <c r="H407">
        <v>64190</v>
      </c>
      <c r="I407">
        <v>27</v>
      </c>
      <c r="J407">
        <v>35</v>
      </c>
      <c r="K407">
        <v>1369</v>
      </c>
      <c r="L407">
        <v>1085</v>
      </c>
      <c r="M407">
        <v>21.666666670000001</v>
      </c>
      <c r="N407">
        <f>IFERROR(VLOOKUP(A407,vlookup_table!$A:$G,2,FALSE),"")</f>
        <v>4002</v>
      </c>
      <c r="O407">
        <f>IFERROR(VLOOKUP(A407,vlookup_table!$A:$G,4,FALSE),"")</f>
        <v>3803</v>
      </c>
      <c r="P407" t="str">
        <f>IFERROR(VLOOKUP(A407,vlookup_table!$A:$G,5,FALSE),"")</f>
        <v>S1</v>
      </c>
      <c r="Q407">
        <f>IFERROR(VLOOKUP(A407,vlookup_table!$A:$G,7,FALSE),"")</f>
        <v>20</v>
      </c>
      <c r="R407">
        <f t="shared" si="24"/>
        <v>59</v>
      </c>
      <c r="S407" t="str" cm="1">
        <f t="array" ref="S407">IF(P407="","",_xlfn.SWITCH(LEFT(P407,1),"C","Ciudad","T","Pueblo","R","Rural","S","Suburbano","U","Urbano",""))</f>
        <v>Suburbano</v>
      </c>
      <c r="T407" t="str">
        <f t="shared" si="25"/>
        <v>J</v>
      </c>
      <c r="U407" t="str">
        <f t="shared" si="26"/>
        <v>CA</v>
      </c>
      <c r="V407" t="str">
        <f t="shared" si="27"/>
        <v>64190</v>
      </c>
    </row>
    <row r="408" spans="1:22" x14ac:dyDescent="0.35">
      <c r="A408" s="3">
        <v>169780</v>
      </c>
      <c r="B408" t="s">
        <v>61</v>
      </c>
      <c r="D408">
        <v>1650</v>
      </c>
      <c r="E408">
        <v>219</v>
      </c>
      <c r="F408">
        <v>319</v>
      </c>
      <c r="G408">
        <v>18</v>
      </c>
      <c r="H408">
        <v>12994</v>
      </c>
      <c r="I408">
        <v>18</v>
      </c>
      <c r="J408">
        <v>56</v>
      </c>
      <c r="K408">
        <v>225</v>
      </c>
      <c r="L408">
        <v>304</v>
      </c>
      <c r="M408">
        <v>12.5</v>
      </c>
      <c r="N408">
        <f>IFERROR(VLOOKUP(A408,vlookup_table!$A:$G,2,FALSE),"")</f>
        <v>0</v>
      </c>
      <c r="O408">
        <f>IFERROR(VLOOKUP(A408,vlookup_table!$A:$G,4,FALSE),"")</f>
        <v>0</v>
      </c>
      <c r="P408" t="str">
        <f>IFERROR(VLOOKUP(A408,vlookup_table!$A:$G,5,FALSE),"")</f>
        <v>C2</v>
      </c>
      <c r="Q408">
        <f>IFERROR(VLOOKUP(A408,vlookup_table!$A:$G,7,FALSE),"")</f>
        <v>10</v>
      </c>
      <c r="R408">
        <f t="shared" si="24"/>
        <v>97</v>
      </c>
      <c r="S408" t="str" cm="1">
        <f t="array" ref="S408">IF(P408="","",_xlfn.SWITCH(LEFT(P408,1),"C","Ciudad","T","Pueblo","R","Rural","S","Suburbano","U","Urbano",""))</f>
        <v>Ciudad</v>
      </c>
      <c r="T408" t="str">
        <f t="shared" si="25"/>
        <v/>
      </c>
      <c r="U408" t="str">
        <f t="shared" si="26"/>
        <v>CA</v>
      </c>
      <c r="V408" t="str">
        <f t="shared" si="27"/>
        <v>12994</v>
      </c>
    </row>
    <row r="409" spans="1:22" x14ac:dyDescent="0.35">
      <c r="A409" s="3">
        <v>70944</v>
      </c>
      <c r="B409" t="s">
        <v>29</v>
      </c>
      <c r="C409" t="s">
        <v>17</v>
      </c>
      <c r="D409">
        <v>357</v>
      </c>
      <c r="E409">
        <v>205</v>
      </c>
      <c r="F409">
        <v>303</v>
      </c>
      <c r="G409">
        <v>0</v>
      </c>
      <c r="H409">
        <v>9192</v>
      </c>
      <c r="I409">
        <v>3</v>
      </c>
      <c r="J409">
        <v>81</v>
      </c>
      <c r="K409">
        <v>268</v>
      </c>
      <c r="L409">
        <v>260</v>
      </c>
      <c r="M409">
        <v>20</v>
      </c>
      <c r="N409">
        <f>IFERROR(VLOOKUP(A409,vlookup_table!$A:$G,2,FALSE),"")</f>
        <v>0</v>
      </c>
      <c r="O409">
        <f>IFERROR(VLOOKUP(A409,vlookup_table!$A:$G,4,FALSE),"")</f>
        <v>7501</v>
      </c>
      <c r="P409" t="str">
        <f>IFERROR(VLOOKUP(A409,vlookup_table!$A:$G,5,FALSE),"")</f>
        <v>T2</v>
      </c>
      <c r="Q409">
        <f>IFERROR(VLOOKUP(A409,vlookup_table!$A:$G,7,FALSE),"")</f>
        <v>20</v>
      </c>
      <c r="R409">
        <f t="shared" si="24"/>
        <v>22</v>
      </c>
      <c r="S409" t="str" cm="1">
        <f t="array" ref="S409">IF(P409="","",_xlfn.SWITCH(LEFT(P409,1),"C","Ciudad","T","Pueblo","R","Rural","S","Suburbano","U","Urbano",""))</f>
        <v>Pueblo</v>
      </c>
      <c r="T409" t="str">
        <f t="shared" si="25"/>
        <v>F</v>
      </c>
      <c r="U409" t="str">
        <f t="shared" si="26"/>
        <v>MI</v>
      </c>
      <c r="V409" t="str">
        <f t="shared" si="27"/>
        <v>9192</v>
      </c>
    </row>
    <row r="410" spans="1:22" x14ac:dyDescent="0.35">
      <c r="A410" s="3">
        <v>117230</v>
      </c>
      <c r="B410" t="s">
        <v>21</v>
      </c>
      <c r="C410" t="s">
        <v>14</v>
      </c>
      <c r="D410">
        <v>406</v>
      </c>
      <c r="E410">
        <v>186</v>
      </c>
      <c r="F410">
        <v>203</v>
      </c>
      <c r="G410">
        <v>0</v>
      </c>
      <c r="H410">
        <v>8797</v>
      </c>
      <c r="I410">
        <v>8</v>
      </c>
      <c r="J410">
        <v>67</v>
      </c>
      <c r="K410">
        <v>226</v>
      </c>
      <c r="L410">
        <v>183</v>
      </c>
      <c r="M410">
        <v>5.7</v>
      </c>
      <c r="N410">
        <f>IFERROR(VLOOKUP(A410,vlookup_table!$A:$G,2,FALSE),"")</f>
        <v>1</v>
      </c>
      <c r="O410">
        <f>IFERROR(VLOOKUP(A410,vlookup_table!$A:$G,4,FALSE),"")</f>
        <v>801</v>
      </c>
      <c r="P410" t="str">
        <f>IFERROR(VLOOKUP(A410,vlookup_table!$A:$G,5,FALSE),"")</f>
        <v>C3</v>
      </c>
      <c r="Q410">
        <f>IFERROR(VLOOKUP(A410,vlookup_table!$A:$G,7,FALSE),"")</f>
        <v>11</v>
      </c>
      <c r="R410">
        <f t="shared" si="24"/>
        <v>89</v>
      </c>
      <c r="S410" t="str" cm="1">
        <f t="array" ref="S410">IF(P410="","",_xlfn.SWITCH(LEFT(P410,1),"C","Ciudad","T","Pueblo","R","Rural","S","Suburbano","U","Urbano",""))</f>
        <v>Ciudad</v>
      </c>
      <c r="T410" t="str">
        <f t="shared" si="25"/>
        <v>M</v>
      </c>
      <c r="U410" t="str">
        <f t="shared" si="26"/>
        <v>TX</v>
      </c>
      <c r="V410" t="str">
        <f t="shared" si="27"/>
        <v>8797</v>
      </c>
    </row>
    <row r="411" spans="1:22" x14ac:dyDescent="0.35">
      <c r="A411" s="3">
        <v>50427</v>
      </c>
      <c r="B411" t="s">
        <v>53</v>
      </c>
      <c r="C411" t="s">
        <v>17</v>
      </c>
      <c r="D411">
        <v>871</v>
      </c>
      <c r="E411">
        <v>464</v>
      </c>
      <c r="F411">
        <v>539</v>
      </c>
      <c r="G411">
        <v>0</v>
      </c>
      <c r="H411">
        <v>18279</v>
      </c>
      <c r="I411">
        <v>3</v>
      </c>
      <c r="J411">
        <v>47</v>
      </c>
      <c r="K411">
        <v>501</v>
      </c>
      <c r="L411">
        <v>503</v>
      </c>
      <c r="M411">
        <v>9.1</v>
      </c>
      <c r="N411">
        <f>IFERROR(VLOOKUP(A411,vlookup_table!$A:$G,2,FALSE),"")</f>
        <v>28</v>
      </c>
      <c r="O411">
        <f>IFERROR(VLOOKUP(A411,vlookup_table!$A:$G,4,FALSE),"")</f>
        <v>5406</v>
      </c>
      <c r="P411" t="str">
        <f>IFERROR(VLOOKUP(A411,vlookup_table!$A:$G,5,FALSE),"")</f>
        <v>T2</v>
      </c>
      <c r="Q411">
        <f>IFERROR(VLOOKUP(A411,vlookup_table!$A:$G,7,FALSE),"")</f>
        <v>15</v>
      </c>
      <c r="R411">
        <f t="shared" si="24"/>
        <v>43</v>
      </c>
      <c r="S411" t="str" cm="1">
        <f t="array" ref="S411">IF(P411="","",_xlfn.SWITCH(LEFT(P411,1),"C","Ciudad","T","Pueblo","R","Rural","S","Suburbano","U","Urbano",""))</f>
        <v>Pueblo</v>
      </c>
      <c r="T411" t="str">
        <f t="shared" si="25"/>
        <v>F</v>
      </c>
      <c r="U411" t="str">
        <f t="shared" si="26"/>
        <v>TN</v>
      </c>
      <c r="V411" t="str">
        <f t="shared" si="27"/>
        <v>18279</v>
      </c>
    </row>
    <row r="412" spans="1:22" x14ac:dyDescent="0.35">
      <c r="A412" s="3">
        <v>43998</v>
      </c>
      <c r="B412" t="s">
        <v>13</v>
      </c>
      <c r="C412" t="s">
        <v>14</v>
      </c>
      <c r="D412">
        <v>768</v>
      </c>
      <c r="E412">
        <v>256</v>
      </c>
      <c r="F412">
        <v>385</v>
      </c>
      <c r="G412">
        <v>4</v>
      </c>
      <c r="H412">
        <v>13696</v>
      </c>
      <c r="I412">
        <v>6</v>
      </c>
      <c r="J412">
        <v>22</v>
      </c>
      <c r="K412">
        <v>310</v>
      </c>
      <c r="L412">
        <v>323</v>
      </c>
      <c r="M412">
        <v>16.75</v>
      </c>
      <c r="N412">
        <f>IFERROR(VLOOKUP(A412,vlookup_table!$A:$G,2,FALSE),"")</f>
        <v>1</v>
      </c>
      <c r="O412">
        <f>IFERROR(VLOOKUP(A412,vlookup_table!$A:$G,4,FALSE),"")</f>
        <v>2108</v>
      </c>
      <c r="P412" t="str">
        <f>IFERROR(VLOOKUP(A412,vlookup_table!$A:$G,5,FALSE),"")</f>
        <v>C2</v>
      </c>
      <c r="Q412">
        <f>IFERROR(VLOOKUP(A412,vlookup_table!$A:$G,7,FALSE),"")</f>
        <v>22</v>
      </c>
      <c r="R412">
        <f t="shared" si="24"/>
        <v>76</v>
      </c>
      <c r="S412" t="str" cm="1">
        <f t="array" ref="S412">IF(P412="","",_xlfn.SWITCH(LEFT(P412,1),"C","Ciudad","T","Pueblo","R","Rural","S","Suburbano","U","Urbano",""))</f>
        <v>Ciudad</v>
      </c>
      <c r="T412" t="str">
        <f t="shared" si="25"/>
        <v>M</v>
      </c>
      <c r="U412" t="str">
        <f t="shared" si="26"/>
        <v>FL</v>
      </c>
      <c r="V412" t="str">
        <f t="shared" si="27"/>
        <v>13696</v>
      </c>
    </row>
    <row r="413" spans="1:22" x14ac:dyDescent="0.35">
      <c r="A413" s="3">
        <v>71255</v>
      </c>
      <c r="B413" t="s">
        <v>29</v>
      </c>
      <c r="C413" t="s">
        <v>14</v>
      </c>
      <c r="D413">
        <v>458</v>
      </c>
      <c r="E413">
        <v>231</v>
      </c>
      <c r="F413">
        <v>323</v>
      </c>
      <c r="G413">
        <v>0</v>
      </c>
      <c r="H413">
        <v>12539</v>
      </c>
      <c r="I413">
        <v>4</v>
      </c>
      <c r="J413">
        <v>86</v>
      </c>
      <c r="K413">
        <v>241</v>
      </c>
      <c r="L413">
        <v>308</v>
      </c>
      <c r="M413">
        <v>12.16666667</v>
      </c>
      <c r="N413">
        <f>IFERROR(VLOOKUP(A413,vlookup_table!$A:$G,2,FALSE),"")</f>
        <v>2</v>
      </c>
      <c r="O413">
        <f>IFERROR(VLOOKUP(A413,vlookup_table!$A:$G,4,FALSE),"")</f>
        <v>1511</v>
      </c>
      <c r="P413" t="str">
        <f>IFERROR(VLOOKUP(A413,vlookup_table!$A:$G,5,FALSE),"")</f>
        <v>T1</v>
      </c>
      <c r="Q413">
        <f>IFERROR(VLOOKUP(A413,vlookup_table!$A:$G,7,FALSE),"")</f>
        <v>13</v>
      </c>
      <c r="R413">
        <f t="shared" si="24"/>
        <v>82</v>
      </c>
      <c r="S413" t="str" cm="1">
        <f t="array" ref="S413">IF(P413="","",_xlfn.SWITCH(LEFT(P413,1),"C","Ciudad","T","Pueblo","R","Rural","S","Suburbano","U","Urbano",""))</f>
        <v>Pueblo</v>
      </c>
      <c r="T413" t="str">
        <f t="shared" si="25"/>
        <v>M</v>
      </c>
      <c r="U413" t="str">
        <f t="shared" si="26"/>
        <v>MI</v>
      </c>
      <c r="V413" t="str">
        <f t="shared" si="27"/>
        <v>12539</v>
      </c>
    </row>
    <row r="414" spans="1:22" x14ac:dyDescent="0.35">
      <c r="A414" s="3">
        <v>63308</v>
      </c>
      <c r="B414" t="s">
        <v>33</v>
      </c>
      <c r="C414" t="s">
        <v>14</v>
      </c>
      <c r="D414">
        <v>485</v>
      </c>
      <c r="E414">
        <v>344</v>
      </c>
      <c r="F414">
        <v>422</v>
      </c>
      <c r="G414">
        <v>0</v>
      </c>
      <c r="H414">
        <v>17697</v>
      </c>
      <c r="I414">
        <v>0</v>
      </c>
      <c r="J414">
        <v>76</v>
      </c>
      <c r="K414">
        <v>382</v>
      </c>
      <c r="L414">
        <v>402</v>
      </c>
      <c r="M414">
        <v>8</v>
      </c>
      <c r="N414">
        <f>IFERROR(VLOOKUP(A414,vlookup_table!$A:$G,2,FALSE),"")</f>
        <v>1</v>
      </c>
      <c r="O414">
        <f>IFERROR(VLOOKUP(A414,vlookup_table!$A:$G,4,FALSE),"")</f>
        <v>2301</v>
      </c>
      <c r="P414" t="str">
        <f>IFERROR(VLOOKUP(A414,vlookup_table!$A:$G,5,FALSE),"")</f>
        <v>C2</v>
      </c>
      <c r="Q414">
        <f>IFERROR(VLOOKUP(A414,vlookup_table!$A:$G,7,FALSE),"")</f>
        <v>10</v>
      </c>
      <c r="R414">
        <f t="shared" si="24"/>
        <v>74</v>
      </c>
      <c r="S414" t="str" cm="1">
        <f t="array" ref="S414">IF(P414="","",_xlfn.SWITCH(LEFT(P414,1),"C","Ciudad","T","Pueblo","R","Rural","S","Suburbano","U","Urbano",""))</f>
        <v>Ciudad</v>
      </c>
      <c r="T414" t="str">
        <f t="shared" si="25"/>
        <v>M</v>
      </c>
      <c r="U414" t="str">
        <f t="shared" si="26"/>
        <v>IN</v>
      </c>
      <c r="V414" t="str">
        <f t="shared" si="27"/>
        <v>17697</v>
      </c>
    </row>
    <row r="415" spans="1:22" x14ac:dyDescent="0.35">
      <c r="A415" s="3">
        <v>82196</v>
      </c>
      <c r="B415" t="s">
        <v>56</v>
      </c>
      <c r="C415" t="s">
        <v>17</v>
      </c>
      <c r="D415">
        <v>405</v>
      </c>
      <c r="E415">
        <v>212</v>
      </c>
      <c r="F415">
        <v>309</v>
      </c>
      <c r="G415">
        <v>0</v>
      </c>
      <c r="H415">
        <v>9715</v>
      </c>
      <c r="I415">
        <v>1</v>
      </c>
      <c r="J415">
        <v>81</v>
      </c>
      <c r="K415">
        <v>267</v>
      </c>
      <c r="L415">
        <v>261</v>
      </c>
      <c r="M415">
        <v>5.923076923</v>
      </c>
      <c r="N415">
        <f>IFERROR(VLOOKUP(A415,vlookup_table!$A:$G,2,FALSE),"")</f>
        <v>0</v>
      </c>
      <c r="O415">
        <f>IFERROR(VLOOKUP(A415,vlookup_table!$A:$G,4,FALSE),"")</f>
        <v>2001</v>
      </c>
      <c r="P415" t="str">
        <f>IFERROR(VLOOKUP(A415,vlookup_table!$A:$G,5,FALSE),"")</f>
        <v>R2</v>
      </c>
      <c r="Q415">
        <f>IFERROR(VLOOKUP(A415,vlookup_table!$A:$G,7,FALSE),"")</f>
        <v>5</v>
      </c>
      <c r="R415">
        <f t="shared" si="24"/>
        <v>77</v>
      </c>
      <c r="S415" t="str" cm="1">
        <f t="array" ref="S415">IF(P415="","",_xlfn.SWITCH(LEFT(P415,1),"C","Ciudad","T","Pueblo","R","Rural","S","Suburbano","U","Urbano",""))</f>
        <v>Rural</v>
      </c>
      <c r="T415" t="str">
        <f t="shared" si="25"/>
        <v>F</v>
      </c>
      <c r="U415" t="str">
        <f t="shared" si="26"/>
        <v>MN</v>
      </c>
      <c r="V415" t="str">
        <f t="shared" si="27"/>
        <v>9715</v>
      </c>
    </row>
    <row r="416" spans="1:22" x14ac:dyDescent="0.35">
      <c r="A416" s="3">
        <v>114820</v>
      </c>
      <c r="B416" t="s">
        <v>36</v>
      </c>
      <c r="C416" t="s">
        <v>17</v>
      </c>
      <c r="D416">
        <v>459</v>
      </c>
      <c r="E416">
        <v>240</v>
      </c>
      <c r="F416">
        <v>299</v>
      </c>
      <c r="G416">
        <v>1</v>
      </c>
      <c r="H416">
        <v>9637</v>
      </c>
      <c r="I416">
        <v>1</v>
      </c>
      <c r="J416">
        <v>71</v>
      </c>
      <c r="K416">
        <v>253</v>
      </c>
      <c r="L416">
        <v>272</v>
      </c>
      <c r="M416">
        <v>6.2941176470000002</v>
      </c>
      <c r="N416">
        <f>IFERROR(VLOOKUP(A416,vlookup_table!$A:$G,2,FALSE),"")</f>
        <v>28</v>
      </c>
      <c r="O416">
        <f>IFERROR(VLOOKUP(A416,vlookup_table!$A:$G,4,FALSE),"")</f>
        <v>0</v>
      </c>
      <c r="P416" t="str">
        <f>IFERROR(VLOOKUP(A416,vlookup_table!$A:$G,5,FALSE),"")</f>
        <v>T2</v>
      </c>
      <c r="Q416">
        <f>IFERROR(VLOOKUP(A416,vlookup_table!$A:$G,7,FALSE),"")</f>
        <v>10</v>
      </c>
      <c r="R416">
        <f t="shared" si="24"/>
        <v>97</v>
      </c>
      <c r="S416" t="str" cm="1">
        <f t="array" ref="S416">IF(P416="","",_xlfn.SWITCH(LEFT(P416,1),"C","Ciudad","T","Pueblo","R","Rural","S","Suburbano","U","Urbano",""))</f>
        <v>Pueblo</v>
      </c>
      <c r="T416" t="str">
        <f t="shared" si="25"/>
        <v>F</v>
      </c>
      <c r="U416" t="str">
        <f t="shared" si="26"/>
        <v>MO</v>
      </c>
      <c r="V416" t="str">
        <f t="shared" si="27"/>
        <v>9637</v>
      </c>
    </row>
    <row r="417" spans="1:22" x14ac:dyDescent="0.35">
      <c r="A417" s="3">
        <v>176781</v>
      </c>
      <c r="B417" t="s">
        <v>50</v>
      </c>
      <c r="C417" t="s">
        <v>14</v>
      </c>
      <c r="D417">
        <v>811</v>
      </c>
      <c r="E417">
        <v>324</v>
      </c>
      <c r="F417">
        <v>463</v>
      </c>
      <c r="G417">
        <v>4</v>
      </c>
      <c r="H417">
        <v>16399</v>
      </c>
      <c r="I417">
        <v>5</v>
      </c>
      <c r="J417">
        <v>38</v>
      </c>
      <c r="K417">
        <v>394</v>
      </c>
      <c r="L417">
        <v>395</v>
      </c>
      <c r="M417">
        <v>8.75</v>
      </c>
      <c r="N417">
        <f>IFERROR(VLOOKUP(A417,vlookup_table!$A:$G,2,FALSE),"")</f>
        <v>0</v>
      </c>
      <c r="O417">
        <f>IFERROR(VLOOKUP(A417,vlookup_table!$A:$G,4,FALSE),"")</f>
        <v>3101</v>
      </c>
      <c r="P417" t="str">
        <f>IFERROR(VLOOKUP(A417,vlookup_table!$A:$G,5,FALSE),"")</f>
        <v>C1</v>
      </c>
      <c r="Q417">
        <f>IFERROR(VLOOKUP(A417,vlookup_table!$A:$G,7,FALSE),"")</f>
        <v>10</v>
      </c>
      <c r="R417">
        <f t="shared" si="24"/>
        <v>66</v>
      </c>
      <c r="S417" t="str" cm="1">
        <f t="array" ref="S417">IF(P417="","",_xlfn.SWITCH(LEFT(P417,1),"C","Ciudad","T","Pueblo","R","Rural","S","Suburbano","U","Urbano",""))</f>
        <v>Ciudad</v>
      </c>
      <c r="T417" t="str">
        <f t="shared" si="25"/>
        <v>M</v>
      </c>
      <c r="U417" t="str">
        <f t="shared" si="26"/>
        <v>OR</v>
      </c>
      <c r="V417" t="str">
        <f t="shared" si="27"/>
        <v>16399</v>
      </c>
    </row>
    <row r="418" spans="1:22" x14ac:dyDescent="0.35">
      <c r="A418" s="3">
        <v>20438</v>
      </c>
      <c r="B418" t="s">
        <v>18</v>
      </c>
      <c r="C418" t="s">
        <v>14</v>
      </c>
      <c r="D418">
        <v>509</v>
      </c>
      <c r="E418">
        <v>248</v>
      </c>
      <c r="F418">
        <v>282</v>
      </c>
      <c r="G418">
        <v>0</v>
      </c>
      <c r="H418">
        <v>9114</v>
      </c>
      <c r="I418">
        <v>4</v>
      </c>
      <c r="J418">
        <v>38</v>
      </c>
      <c r="K418">
        <v>254</v>
      </c>
      <c r="L418">
        <v>288</v>
      </c>
      <c r="M418">
        <v>7.1428571429999996</v>
      </c>
      <c r="N418">
        <f>IFERROR(VLOOKUP(A418,vlookup_table!$A:$G,2,FALSE),"")</f>
        <v>1</v>
      </c>
      <c r="O418">
        <f>IFERROR(VLOOKUP(A418,vlookup_table!$A:$G,4,FALSE),"")</f>
        <v>2601</v>
      </c>
      <c r="P418" t="str">
        <f>IFERROR(VLOOKUP(A418,vlookup_table!$A:$G,5,FALSE),"")</f>
        <v>T2</v>
      </c>
      <c r="Q418">
        <f>IFERROR(VLOOKUP(A418,vlookup_table!$A:$G,7,FALSE),"")</f>
        <v>10</v>
      </c>
      <c r="R418">
        <f t="shared" si="24"/>
        <v>71</v>
      </c>
      <c r="S418" t="str" cm="1">
        <f t="array" ref="S418">IF(P418="","",_xlfn.SWITCH(LEFT(P418,1),"C","Ciudad","T","Pueblo","R","Rural","S","Suburbano","U","Urbano",""))</f>
        <v>Pueblo</v>
      </c>
      <c r="T418" t="str">
        <f t="shared" si="25"/>
        <v>M</v>
      </c>
      <c r="U418" t="str">
        <f t="shared" si="26"/>
        <v>NC</v>
      </c>
      <c r="V418" t="str">
        <f t="shared" si="27"/>
        <v>9114</v>
      </c>
    </row>
    <row r="419" spans="1:22" x14ac:dyDescent="0.35">
      <c r="A419" s="3">
        <v>91879</v>
      </c>
      <c r="B419" t="s">
        <v>16</v>
      </c>
      <c r="C419" t="s">
        <v>17</v>
      </c>
      <c r="D419">
        <v>1030</v>
      </c>
      <c r="E419">
        <v>375</v>
      </c>
      <c r="F419">
        <v>585</v>
      </c>
      <c r="G419">
        <v>0</v>
      </c>
      <c r="H419">
        <v>17204</v>
      </c>
      <c r="I419">
        <v>5</v>
      </c>
      <c r="J419">
        <v>65</v>
      </c>
      <c r="K419">
        <v>553</v>
      </c>
      <c r="L419">
        <v>473</v>
      </c>
      <c r="M419">
        <v>12</v>
      </c>
      <c r="N419">
        <f>IFERROR(VLOOKUP(A419,vlookup_table!$A:$G,2,FALSE),"")</f>
        <v>0</v>
      </c>
      <c r="O419">
        <f>IFERROR(VLOOKUP(A419,vlookup_table!$A:$G,4,FALSE),"")</f>
        <v>0</v>
      </c>
      <c r="P419" t="str">
        <f>IFERROR(VLOOKUP(A419,vlookup_table!$A:$G,5,FALSE),"")</f>
        <v>S2</v>
      </c>
      <c r="Q419">
        <f>IFERROR(VLOOKUP(A419,vlookup_table!$A:$G,7,FALSE),"")</f>
        <v>20</v>
      </c>
      <c r="R419">
        <f t="shared" si="24"/>
        <v>97</v>
      </c>
      <c r="S419" t="str" cm="1">
        <f t="array" ref="S419">IF(P419="","",_xlfn.SWITCH(LEFT(P419,1),"C","Ciudad","T","Pueblo","R","Rural","S","Suburbano","U","Urbano",""))</f>
        <v>Suburbano</v>
      </c>
      <c r="T419" t="str">
        <f t="shared" si="25"/>
        <v>F</v>
      </c>
      <c r="U419" t="str">
        <f t="shared" si="26"/>
        <v>IL</v>
      </c>
      <c r="V419" t="str">
        <f t="shared" si="27"/>
        <v>17204</v>
      </c>
    </row>
    <row r="420" spans="1:22" x14ac:dyDescent="0.35">
      <c r="A420" s="3">
        <v>92443</v>
      </c>
      <c r="B420" t="s">
        <v>16</v>
      </c>
      <c r="C420" t="s">
        <v>17</v>
      </c>
      <c r="D420">
        <v>881</v>
      </c>
      <c r="E420">
        <v>392</v>
      </c>
      <c r="F420">
        <v>437</v>
      </c>
      <c r="G420">
        <v>0</v>
      </c>
      <c r="H420">
        <v>14377</v>
      </c>
      <c r="I420">
        <v>3</v>
      </c>
      <c r="J420">
        <v>90</v>
      </c>
      <c r="K420">
        <v>393</v>
      </c>
      <c r="L420">
        <v>414</v>
      </c>
      <c r="M420">
        <v>6.153846154</v>
      </c>
      <c r="N420">
        <f>IFERROR(VLOOKUP(A420,vlookup_table!$A:$G,2,FALSE),"")</f>
        <v>2</v>
      </c>
      <c r="O420">
        <f>IFERROR(VLOOKUP(A420,vlookup_table!$A:$G,4,FALSE),"")</f>
        <v>0</v>
      </c>
      <c r="P420" t="str">
        <f>IFERROR(VLOOKUP(A420,vlookup_table!$A:$G,5,FALSE),"")</f>
        <v>S2</v>
      </c>
      <c r="Q420">
        <f>IFERROR(VLOOKUP(A420,vlookup_table!$A:$G,7,FALSE),"")</f>
        <v>10</v>
      </c>
      <c r="R420">
        <f t="shared" si="24"/>
        <v>97</v>
      </c>
      <c r="S420" t="str" cm="1">
        <f t="array" ref="S420">IF(P420="","",_xlfn.SWITCH(LEFT(P420,1),"C","Ciudad","T","Pueblo","R","Rural","S","Suburbano","U","Urbano",""))</f>
        <v>Suburbano</v>
      </c>
      <c r="T420" t="str">
        <f t="shared" si="25"/>
        <v>F</v>
      </c>
      <c r="U420" t="str">
        <f t="shared" si="26"/>
        <v>IL</v>
      </c>
      <c r="V420" t="str">
        <f t="shared" si="27"/>
        <v>14377</v>
      </c>
    </row>
    <row r="421" spans="1:22" x14ac:dyDescent="0.35">
      <c r="A421" s="3">
        <v>168189</v>
      </c>
      <c r="B421" t="s">
        <v>61</v>
      </c>
      <c r="C421" t="s">
        <v>14</v>
      </c>
      <c r="D421">
        <v>2794</v>
      </c>
      <c r="E421">
        <v>637</v>
      </c>
      <c r="F421">
        <v>678</v>
      </c>
      <c r="G421">
        <v>93</v>
      </c>
      <c r="H421">
        <v>23035</v>
      </c>
      <c r="I421">
        <v>11</v>
      </c>
      <c r="J421">
        <v>54</v>
      </c>
      <c r="K421">
        <v>630</v>
      </c>
      <c r="L421">
        <v>671</v>
      </c>
      <c r="M421">
        <v>8</v>
      </c>
      <c r="N421">
        <f>IFERROR(VLOOKUP(A421,vlookup_table!$A:$G,2,FALSE),"")</f>
        <v>1</v>
      </c>
      <c r="O421">
        <f>IFERROR(VLOOKUP(A421,vlookup_table!$A:$G,4,FALSE),"")</f>
        <v>5001</v>
      </c>
      <c r="P421" t="str">
        <f>IFERROR(VLOOKUP(A421,vlookup_table!$A:$G,5,FALSE),"")</f>
        <v>U1</v>
      </c>
      <c r="Q421">
        <f>IFERROR(VLOOKUP(A421,vlookup_table!$A:$G,7,FALSE),"")</f>
        <v>15</v>
      </c>
      <c r="R421">
        <f t="shared" si="24"/>
        <v>47</v>
      </c>
      <c r="S421" t="str" cm="1">
        <f t="array" ref="S421">IF(P421="","",_xlfn.SWITCH(LEFT(P421,1),"C","Ciudad","T","Pueblo","R","Rural","S","Suburbano","U","Urbano",""))</f>
        <v>Urbano</v>
      </c>
      <c r="T421" t="str">
        <f t="shared" si="25"/>
        <v>M</v>
      </c>
      <c r="U421" t="str">
        <f t="shared" si="26"/>
        <v>CA</v>
      </c>
      <c r="V421" t="str">
        <f t="shared" si="27"/>
        <v>23035</v>
      </c>
    </row>
    <row r="422" spans="1:22" x14ac:dyDescent="0.35">
      <c r="A422" s="3">
        <v>148998</v>
      </c>
      <c r="B422" t="s">
        <v>61</v>
      </c>
      <c r="D422">
        <v>3233</v>
      </c>
      <c r="E422">
        <v>684</v>
      </c>
      <c r="F422">
        <v>781</v>
      </c>
      <c r="G422">
        <v>95</v>
      </c>
      <c r="H422">
        <v>26104</v>
      </c>
      <c r="I422">
        <v>8</v>
      </c>
      <c r="J422">
        <v>50</v>
      </c>
      <c r="K422">
        <v>753</v>
      </c>
      <c r="L422">
        <v>714</v>
      </c>
      <c r="M422">
        <v>16.81818182</v>
      </c>
      <c r="N422">
        <f>IFERROR(VLOOKUP(A422,vlookup_table!$A:$G,2,FALSE),"")</f>
        <v>1</v>
      </c>
      <c r="O422">
        <f>IFERROR(VLOOKUP(A422,vlookup_table!$A:$G,4,FALSE),"")</f>
        <v>4709</v>
      </c>
      <c r="P422" t="str">
        <f>IFERROR(VLOOKUP(A422,vlookup_table!$A:$G,5,FALSE),"")</f>
        <v>C1</v>
      </c>
      <c r="Q422">
        <f>IFERROR(VLOOKUP(A422,vlookup_table!$A:$G,7,FALSE),"")</f>
        <v>25</v>
      </c>
      <c r="R422">
        <f t="shared" si="24"/>
        <v>50</v>
      </c>
      <c r="S422" t="str" cm="1">
        <f t="array" ref="S422">IF(P422="","",_xlfn.SWITCH(LEFT(P422,1),"C","Ciudad","T","Pueblo","R","Rural","S","Suburbano","U","Urbano",""))</f>
        <v>Ciudad</v>
      </c>
      <c r="T422" t="str">
        <f t="shared" si="25"/>
        <v/>
      </c>
      <c r="U422" t="str">
        <f t="shared" si="26"/>
        <v>CA</v>
      </c>
      <c r="V422" t="str">
        <f t="shared" si="27"/>
        <v>26104</v>
      </c>
    </row>
    <row r="423" spans="1:22" x14ac:dyDescent="0.35">
      <c r="A423" s="3">
        <v>186292</v>
      </c>
      <c r="B423" t="s">
        <v>61</v>
      </c>
      <c r="C423" t="s">
        <v>14</v>
      </c>
      <c r="D423">
        <v>931</v>
      </c>
      <c r="E423">
        <v>155</v>
      </c>
      <c r="F423">
        <v>222</v>
      </c>
      <c r="G423">
        <v>9</v>
      </c>
      <c r="H423">
        <v>7968</v>
      </c>
      <c r="I423">
        <v>20</v>
      </c>
      <c r="J423">
        <v>46</v>
      </c>
      <c r="K423">
        <v>192</v>
      </c>
      <c r="L423">
        <v>180</v>
      </c>
      <c r="M423">
        <v>5.5714285710000002</v>
      </c>
      <c r="N423">
        <f>IFERROR(VLOOKUP(A423,vlookup_table!$A:$G,2,FALSE),"")</f>
        <v>1</v>
      </c>
      <c r="O423">
        <f>IFERROR(VLOOKUP(A423,vlookup_table!$A:$G,4,FALSE),"")</f>
        <v>509</v>
      </c>
      <c r="P423" t="str">
        <f>IFERROR(VLOOKUP(A423,vlookup_table!$A:$G,5,FALSE),"")</f>
        <v>C2</v>
      </c>
      <c r="Q423">
        <f>IFERROR(VLOOKUP(A423,vlookup_table!$A:$G,7,FALSE),"")</f>
        <v>10</v>
      </c>
      <c r="R423">
        <f t="shared" si="24"/>
        <v>92</v>
      </c>
      <c r="S423" t="str" cm="1">
        <f t="array" ref="S423">IF(P423="","",_xlfn.SWITCH(LEFT(P423,1),"C","Ciudad","T","Pueblo","R","Rural","S","Suburbano","U","Urbano",""))</f>
        <v>Ciudad</v>
      </c>
      <c r="T423" t="str">
        <f t="shared" si="25"/>
        <v>M</v>
      </c>
      <c r="U423" t="str">
        <f t="shared" si="26"/>
        <v>CA</v>
      </c>
      <c r="V423" t="str">
        <f t="shared" si="27"/>
        <v>7968</v>
      </c>
    </row>
    <row r="424" spans="1:22" x14ac:dyDescent="0.35">
      <c r="A424" s="3">
        <v>75180</v>
      </c>
      <c r="B424" t="s">
        <v>47</v>
      </c>
      <c r="C424" t="s">
        <v>17</v>
      </c>
      <c r="D424">
        <v>529</v>
      </c>
      <c r="E424">
        <v>317</v>
      </c>
      <c r="F424">
        <v>326</v>
      </c>
      <c r="G424">
        <v>0</v>
      </c>
      <c r="H424">
        <v>12494</v>
      </c>
      <c r="I424">
        <v>3</v>
      </c>
      <c r="J424">
        <v>76</v>
      </c>
      <c r="K424">
        <v>340</v>
      </c>
      <c r="L424">
        <v>319</v>
      </c>
      <c r="M424">
        <v>10.5</v>
      </c>
      <c r="N424">
        <f>IFERROR(VLOOKUP(A424,vlookup_table!$A:$G,2,FALSE),"")</f>
        <v>28</v>
      </c>
      <c r="O424">
        <f>IFERROR(VLOOKUP(A424,vlookup_table!$A:$G,4,FALSE),"")</f>
        <v>4409</v>
      </c>
      <c r="P424" t="str">
        <f>IFERROR(VLOOKUP(A424,vlookup_table!$A:$G,5,FALSE),"")</f>
        <v>C2</v>
      </c>
      <c r="Q424">
        <f>IFERROR(VLOOKUP(A424,vlookup_table!$A:$G,7,FALSE),"")</f>
        <v>15</v>
      </c>
      <c r="R424">
        <f t="shared" si="24"/>
        <v>53</v>
      </c>
      <c r="S424" t="str" cm="1">
        <f t="array" ref="S424">IF(P424="","",_xlfn.SWITCH(LEFT(P424,1),"C","Ciudad","T","Pueblo","R","Rural","S","Suburbano","U","Urbano",""))</f>
        <v>Ciudad</v>
      </c>
      <c r="T424" t="str">
        <f t="shared" si="25"/>
        <v>F</v>
      </c>
      <c r="U424" t="str">
        <f t="shared" si="26"/>
        <v>IA</v>
      </c>
      <c r="V424" t="str">
        <f t="shared" si="27"/>
        <v>12494</v>
      </c>
    </row>
    <row r="425" spans="1:22" x14ac:dyDescent="0.35">
      <c r="A425" s="3">
        <v>88596</v>
      </c>
      <c r="B425" t="s">
        <v>16</v>
      </c>
      <c r="C425" t="s">
        <v>17</v>
      </c>
      <c r="D425">
        <v>1897</v>
      </c>
      <c r="E425">
        <v>406</v>
      </c>
      <c r="F425">
        <v>664</v>
      </c>
      <c r="G425">
        <v>44</v>
      </c>
      <c r="H425">
        <v>26951</v>
      </c>
      <c r="I425">
        <v>15</v>
      </c>
      <c r="J425">
        <v>67</v>
      </c>
      <c r="K425">
        <v>519</v>
      </c>
      <c r="L425">
        <v>476</v>
      </c>
      <c r="M425">
        <v>10</v>
      </c>
      <c r="N425">
        <f>IFERROR(VLOOKUP(A425,vlookup_table!$A:$G,2,FALSE),"")</f>
        <v>28</v>
      </c>
      <c r="O425">
        <f>IFERROR(VLOOKUP(A425,vlookup_table!$A:$G,4,FALSE),"")</f>
        <v>912</v>
      </c>
      <c r="P425" t="str">
        <f>IFERROR(VLOOKUP(A425,vlookup_table!$A:$G,5,FALSE),"")</f>
        <v>U1</v>
      </c>
      <c r="Q425">
        <f>IFERROR(VLOOKUP(A425,vlookup_table!$A:$G,7,FALSE),"")</f>
        <v>14</v>
      </c>
      <c r="R425">
        <f t="shared" si="24"/>
        <v>88</v>
      </c>
      <c r="S425" t="str" cm="1">
        <f t="array" ref="S425">IF(P425="","",_xlfn.SWITCH(LEFT(P425,1),"C","Ciudad","T","Pueblo","R","Rural","S","Suburbano","U","Urbano",""))</f>
        <v>Urbano</v>
      </c>
      <c r="T425" t="str">
        <f t="shared" si="25"/>
        <v>F</v>
      </c>
      <c r="U425" t="str">
        <f t="shared" si="26"/>
        <v>IL</v>
      </c>
      <c r="V425" t="str">
        <f t="shared" si="27"/>
        <v>26951</v>
      </c>
    </row>
    <row r="426" spans="1:22" x14ac:dyDescent="0.35">
      <c r="A426" s="3">
        <v>155266</v>
      </c>
      <c r="B426" t="s">
        <v>61</v>
      </c>
      <c r="C426" t="s">
        <v>17</v>
      </c>
      <c r="D426">
        <v>641</v>
      </c>
      <c r="E426">
        <v>123</v>
      </c>
      <c r="F426">
        <v>279</v>
      </c>
      <c r="G426">
        <v>3</v>
      </c>
      <c r="H426">
        <v>8046</v>
      </c>
      <c r="I426">
        <v>37</v>
      </c>
      <c r="J426">
        <v>38</v>
      </c>
      <c r="K426">
        <v>168</v>
      </c>
      <c r="L426">
        <v>236</v>
      </c>
      <c r="M426">
        <v>9.4629629630000007</v>
      </c>
      <c r="N426">
        <f>IFERROR(VLOOKUP(A426,vlookup_table!$A:$G,2,FALSE),"")</f>
        <v>0</v>
      </c>
      <c r="O426">
        <f>IFERROR(VLOOKUP(A426,vlookup_table!$A:$G,4,FALSE),"")</f>
        <v>0</v>
      </c>
      <c r="P426" t="str">
        <f>IFERROR(VLOOKUP(A426,vlookup_table!$A:$G,5,FALSE),"")</f>
        <v>C3</v>
      </c>
      <c r="Q426">
        <f>IFERROR(VLOOKUP(A426,vlookup_table!$A:$G,7,FALSE),"")</f>
        <v>11</v>
      </c>
      <c r="R426">
        <f t="shared" si="24"/>
        <v>97</v>
      </c>
      <c r="S426" t="str" cm="1">
        <f t="array" ref="S426">IF(P426="","",_xlfn.SWITCH(LEFT(P426,1),"C","Ciudad","T","Pueblo","R","Rural","S","Suburbano","U","Urbano",""))</f>
        <v>Ciudad</v>
      </c>
      <c r="T426" t="str">
        <f t="shared" si="25"/>
        <v>F</v>
      </c>
      <c r="U426" t="str">
        <f t="shared" si="26"/>
        <v>CA</v>
      </c>
      <c r="V426" t="str">
        <f t="shared" si="27"/>
        <v>8046</v>
      </c>
    </row>
    <row r="427" spans="1:22" x14ac:dyDescent="0.35">
      <c r="A427" s="3">
        <v>13622</v>
      </c>
      <c r="B427" t="s">
        <v>13</v>
      </c>
      <c r="C427" t="s">
        <v>14</v>
      </c>
      <c r="D427">
        <v>715</v>
      </c>
      <c r="E427">
        <v>247</v>
      </c>
      <c r="F427">
        <v>342</v>
      </c>
      <c r="G427">
        <v>2</v>
      </c>
      <c r="H427">
        <v>15360</v>
      </c>
      <c r="I427">
        <v>4</v>
      </c>
      <c r="J427">
        <v>11</v>
      </c>
      <c r="K427">
        <v>283</v>
      </c>
      <c r="L427">
        <v>317</v>
      </c>
      <c r="M427">
        <v>14.866666670000001</v>
      </c>
      <c r="N427">
        <f>IFERROR(VLOOKUP(A427,vlookup_table!$A:$G,2,FALSE),"")</f>
        <v>0</v>
      </c>
      <c r="O427">
        <f>IFERROR(VLOOKUP(A427,vlookup_table!$A:$G,4,FALSE),"")</f>
        <v>3201</v>
      </c>
      <c r="P427" t="str">
        <f>IFERROR(VLOOKUP(A427,vlookup_table!$A:$G,5,FALSE),"")</f>
        <v>S2</v>
      </c>
      <c r="Q427">
        <f>IFERROR(VLOOKUP(A427,vlookup_table!$A:$G,7,FALSE),"")</f>
        <v>10</v>
      </c>
      <c r="R427">
        <f t="shared" si="24"/>
        <v>65</v>
      </c>
      <c r="S427" t="str" cm="1">
        <f t="array" ref="S427">IF(P427="","",_xlfn.SWITCH(LEFT(P427,1),"C","Ciudad","T","Pueblo","R","Rural","S","Suburbano","U","Urbano",""))</f>
        <v>Suburbano</v>
      </c>
      <c r="T427" t="str">
        <f t="shared" si="25"/>
        <v>M</v>
      </c>
      <c r="U427" t="str">
        <f t="shared" si="26"/>
        <v>FL</v>
      </c>
      <c r="V427" t="str">
        <f t="shared" si="27"/>
        <v>15360</v>
      </c>
    </row>
    <row r="428" spans="1:22" x14ac:dyDescent="0.35">
      <c r="A428" s="3">
        <v>189853</v>
      </c>
      <c r="B428" t="s">
        <v>62</v>
      </c>
      <c r="C428" t="s">
        <v>20</v>
      </c>
      <c r="D428">
        <v>440</v>
      </c>
      <c r="E428">
        <v>205</v>
      </c>
      <c r="F428">
        <v>280</v>
      </c>
      <c r="G428">
        <v>0</v>
      </c>
      <c r="H428">
        <v>8314</v>
      </c>
      <c r="I428">
        <v>0</v>
      </c>
      <c r="J428">
        <v>63</v>
      </c>
      <c r="K428">
        <v>238</v>
      </c>
      <c r="L428">
        <v>249</v>
      </c>
      <c r="M428">
        <v>7.1666666670000003</v>
      </c>
      <c r="N428">
        <f>IFERROR(VLOOKUP(A428,vlookup_table!$A:$G,2,FALSE),"")</f>
        <v>1002</v>
      </c>
      <c r="O428">
        <f>IFERROR(VLOOKUP(A428,vlookup_table!$A:$G,4,FALSE),"")</f>
        <v>4306</v>
      </c>
      <c r="P428">
        <f>IFERROR(VLOOKUP(A428,vlookup_table!$A:$G,5,FALSE),"")</f>
        <v>0</v>
      </c>
      <c r="Q428">
        <f>IFERROR(VLOOKUP(A428,vlookup_table!$A:$G,7,FALSE),"")</f>
        <v>8</v>
      </c>
      <c r="R428">
        <f t="shared" si="24"/>
        <v>54</v>
      </c>
      <c r="S428" t="str" cm="1">
        <f t="array" ref="S428">IF(P428="","",_xlfn.SWITCH(LEFT(P428,1),"C","Ciudad","T","Pueblo","R","Rural","S","Suburbano","U","Urbano",""))</f>
        <v/>
      </c>
      <c r="T428" t="str">
        <f t="shared" si="25"/>
        <v>F</v>
      </c>
      <c r="U428" t="str">
        <f t="shared" si="26"/>
        <v>MS</v>
      </c>
      <c r="V428" t="str">
        <f t="shared" si="27"/>
        <v>8314</v>
      </c>
    </row>
    <row r="429" spans="1:22" x14ac:dyDescent="0.35">
      <c r="A429" s="3">
        <v>175708</v>
      </c>
      <c r="B429" t="s">
        <v>50</v>
      </c>
      <c r="C429" t="s">
        <v>14</v>
      </c>
      <c r="D429">
        <v>532</v>
      </c>
      <c r="E429">
        <v>436</v>
      </c>
      <c r="F429">
        <v>428</v>
      </c>
      <c r="G429">
        <v>0</v>
      </c>
      <c r="H429">
        <v>12734</v>
      </c>
      <c r="I429">
        <v>0</v>
      </c>
      <c r="J429">
        <v>42</v>
      </c>
      <c r="K429">
        <v>436</v>
      </c>
      <c r="L429">
        <v>486</v>
      </c>
      <c r="M429">
        <v>25</v>
      </c>
      <c r="N429">
        <f>IFERROR(VLOOKUP(A429,vlookup_table!$A:$G,2,FALSE),"")</f>
        <v>1</v>
      </c>
      <c r="O429">
        <f>IFERROR(VLOOKUP(A429,vlookup_table!$A:$G,4,FALSE),"")</f>
        <v>4201</v>
      </c>
      <c r="P429" t="str">
        <f>IFERROR(VLOOKUP(A429,vlookup_table!$A:$G,5,FALSE),"")</f>
        <v>S2</v>
      </c>
      <c r="Q429">
        <f>IFERROR(VLOOKUP(A429,vlookup_table!$A:$G,7,FALSE),"")</f>
        <v>30</v>
      </c>
      <c r="R429">
        <f t="shared" si="24"/>
        <v>55</v>
      </c>
      <c r="S429" t="str" cm="1">
        <f t="array" ref="S429">IF(P429="","",_xlfn.SWITCH(LEFT(P429,1),"C","Ciudad","T","Pueblo","R","Rural","S","Suburbano","U","Urbano",""))</f>
        <v>Suburbano</v>
      </c>
      <c r="T429" t="str">
        <f t="shared" si="25"/>
        <v>M</v>
      </c>
      <c r="U429" t="str">
        <f t="shared" si="26"/>
        <v>OR</v>
      </c>
      <c r="V429" t="str">
        <f t="shared" si="27"/>
        <v>12734</v>
      </c>
    </row>
    <row r="430" spans="1:22" x14ac:dyDescent="0.35">
      <c r="A430" s="3">
        <v>182243</v>
      </c>
      <c r="B430" t="s">
        <v>40</v>
      </c>
      <c r="C430" t="s">
        <v>17</v>
      </c>
      <c r="D430">
        <v>876</v>
      </c>
      <c r="E430">
        <v>335</v>
      </c>
      <c r="F430">
        <v>481</v>
      </c>
      <c r="G430">
        <v>18</v>
      </c>
      <c r="H430">
        <v>15179</v>
      </c>
      <c r="I430">
        <v>6</v>
      </c>
      <c r="J430">
        <v>31</v>
      </c>
      <c r="K430">
        <v>409</v>
      </c>
      <c r="L430">
        <v>426</v>
      </c>
      <c r="M430">
        <v>8.3000000000000007</v>
      </c>
      <c r="N430">
        <f>IFERROR(VLOOKUP(A430,vlookup_table!$A:$G,2,FALSE),"")</f>
        <v>0</v>
      </c>
      <c r="O430">
        <f>IFERROR(VLOOKUP(A430,vlookup_table!$A:$G,4,FALSE),"")</f>
        <v>3605</v>
      </c>
      <c r="P430" t="str">
        <f>IFERROR(VLOOKUP(A430,vlookup_table!$A:$G,5,FALSE),"")</f>
        <v>S2</v>
      </c>
      <c r="Q430">
        <f>IFERROR(VLOOKUP(A430,vlookup_table!$A:$G,7,FALSE),"")</f>
        <v>10</v>
      </c>
      <c r="R430">
        <f t="shared" si="24"/>
        <v>61</v>
      </c>
      <c r="S430" t="str" cm="1">
        <f t="array" ref="S430">IF(P430="","",_xlfn.SWITCH(LEFT(P430,1),"C","Ciudad","T","Pueblo","R","Rural","S","Suburbano","U","Urbano",""))</f>
        <v>Suburbano</v>
      </c>
      <c r="T430" t="str">
        <f t="shared" si="25"/>
        <v>F</v>
      </c>
      <c r="U430" t="str">
        <f t="shared" si="26"/>
        <v>WA</v>
      </c>
      <c r="V430" t="str">
        <f t="shared" si="27"/>
        <v>15179</v>
      </c>
    </row>
    <row r="431" spans="1:22" x14ac:dyDescent="0.35">
      <c r="A431" s="3">
        <v>171566</v>
      </c>
      <c r="B431" t="s">
        <v>61</v>
      </c>
      <c r="C431" t="s">
        <v>14</v>
      </c>
      <c r="D431">
        <v>1175</v>
      </c>
      <c r="E431">
        <v>272</v>
      </c>
      <c r="F431">
        <v>396</v>
      </c>
      <c r="G431">
        <v>7</v>
      </c>
      <c r="H431">
        <v>12987</v>
      </c>
      <c r="I431">
        <v>4</v>
      </c>
      <c r="J431">
        <v>68</v>
      </c>
      <c r="K431">
        <v>318</v>
      </c>
      <c r="L431">
        <v>376</v>
      </c>
      <c r="M431">
        <v>10.25</v>
      </c>
      <c r="N431">
        <f>IFERROR(VLOOKUP(A431,vlookup_table!$A:$G,2,FALSE),"")</f>
        <v>1</v>
      </c>
      <c r="O431">
        <f>IFERROR(VLOOKUP(A431,vlookup_table!$A:$G,4,FALSE),"")</f>
        <v>2201</v>
      </c>
      <c r="P431" t="str">
        <f>IFERROR(VLOOKUP(A431,vlookup_table!$A:$G,5,FALSE),"")</f>
        <v>T2</v>
      </c>
      <c r="Q431">
        <f>IFERROR(VLOOKUP(A431,vlookup_table!$A:$G,7,FALSE),"")</f>
        <v>15</v>
      </c>
      <c r="R431">
        <f t="shared" si="24"/>
        <v>75</v>
      </c>
      <c r="S431" t="str" cm="1">
        <f t="array" ref="S431">IF(P431="","",_xlfn.SWITCH(LEFT(P431,1),"C","Ciudad","T","Pueblo","R","Rural","S","Suburbano","U","Urbano",""))</f>
        <v>Pueblo</v>
      </c>
      <c r="T431" t="str">
        <f t="shared" si="25"/>
        <v>M</v>
      </c>
      <c r="U431" t="str">
        <f t="shared" si="26"/>
        <v>CA</v>
      </c>
      <c r="V431" t="str">
        <f t="shared" si="27"/>
        <v>12987</v>
      </c>
    </row>
    <row r="432" spans="1:22" x14ac:dyDescent="0.35">
      <c r="A432" s="3">
        <v>156266</v>
      </c>
      <c r="B432" t="s">
        <v>61</v>
      </c>
      <c r="C432" t="s">
        <v>17</v>
      </c>
      <c r="D432">
        <v>3921</v>
      </c>
      <c r="E432">
        <v>413</v>
      </c>
      <c r="F432">
        <v>583</v>
      </c>
      <c r="G432">
        <v>87</v>
      </c>
      <c r="H432">
        <v>21648</v>
      </c>
      <c r="I432">
        <v>10</v>
      </c>
      <c r="J432">
        <v>55</v>
      </c>
      <c r="K432">
        <v>410</v>
      </c>
      <c r="L432">
        <v>575</v>
      </c>
      <c r="M432">
        <v>13.57142857</v>
      </c>
      <c r="N432">
        <f>IFERROR(VLOOKUP(A432,vlookup_table!$A:$G,2,FALSE),"")</f>
        <v>0</v>
      </c>
      <c r="O432">
        <f>IFERROR(VLOOKUP(A432,vlookup_table!$A:$G,4,FALSE),"")</f>
        <v>3701</v>
      </c>
      <c r="P432" t="str">
        <f>IFERROR(VLOOKUP(A432,vlookup_table!$A:$G,5,FALSE),"")</f>
        <v>R1</v>
      </c>
      <c r="Q432">
        <f>IFERROR(VLOOKUP(A432,vlookup_table!$A:$G,7,FALSE),"")</f>
        <v>20</v>
      </c>
      <c r="R432">
        <f t="shared" si="24"/>
        <v>60</v>
      </c>
      <c r="S432" t="str" cm="1">
        <f t="array" ref="S432">IF(P432="","",_xlfn.SWITCH(LEFT(P432,1),"C","Ciudad","T","Pueblo","R","Rural","S","Suburbano","U","Urbano",""))</f>
        <v>Rural</v>
      </c>
      <c r="T432" t="str">
        <f t="shared" si="25"/>
        <v>F</v>
      </c>
      <c r="U432" t="str">
        <f t="shared" si="26"/>
        <v>CA</v>
      </c>
      <c r="V432" t="str">
        <f t="shared" si="27"/>
        <v>21648</v>
      </c>
    </row>
    <row r="433" spans="1:22" x14ac:dyDescent="0.35">
      <c r="A433" s="3">
        <v>41604</v>
      </c>
      <c r="B433" t="s">
        <v>13</v>
      </c>
      <c r="C433" t="s">
        <v>17</v>
      </c>
      <c r="D433">
        <v>919</v>
      </c>
      <c r="E433">
        <v>413</v>
      </c>
      <c r="F433">
        <v>532</v>
      </c>
      <c r="G433">
        <v>0</v>
      </c>
      <c r="H433">
        <v>17653</v>
      </c>
      <c r="I433">
        <v>14</v>
      </c>
      <c r="J433">
        <v>26</v>
      </c>
      <c r="K433">
        <v>538</v>
      </c>
      <c r="L433">
        <v>446</v>
      </c>
      <c r="M433">
        <v>8.307692308</v>
      </c>
      <c r="N433">
        <f>IFERROR(VLOOKUP(A433,vlookup_table!$A:$G,2,FALSE),"")</f>
        <v>0</v>
      </c>
      <c r="O433">
        <f>IFERROR(VLOOKUP(A433,vlookup_table!$A:$G,4,FALSE),"")</f>
        <v>2401</v>
      </c>
      <c r="P433" t="str">
        <f>IFERROR(VLOOKUP(A433,vlookup_table!$A:$G,5,FALSE),"")</f>
        <v>S1</v>
      </c>
      <c r="Q433">
        <f>IFERROR(VLOOKUP(A433,vlookup_table!$A:$G,7,FALSE),"")</f>
        <v>10</v>
      </c>
      <c r="R433">
        <f t="shared" si="24"/>
        <v>73</v>
      </c>
      <c r="S433" t="str" cm="1">
        <f t="array" ref="S433">IF(P433="","",_xlfn.SWITCH(LEFT(P433,1),"C","Ciudad","T","Pueblo","R","Rural","S","Suburbano","U","Urbano",""))</f>
        <v>Suburbano</v>
      </c>
      <c r="T433" t="str">
        <f t="shared" si="25"/>
        <v>F</v>
      </c>
      <c r="U433" t="str">
        <f t="shared" si="26"/>
        <v>FL</v>
      </c>
      <c r="V433" t="str">
        <f t="shared" si="27"/>
        <v>17653</v>
      </c>
    </row>
    <row r="434" spans="1:22" x14ac:dyDescent="0.35">
      <c r="A434" s="3">
        <v>187678</v>
      </c>
      <c r="B434" t="s">
        <v>63</v>
      </c>
      <c r="C434" t="s">
        <v>17</v>
      </c>
      <c r="D434">
        <v>625</v>
      </c>
      <c r="E434">
        <v>266</v>
      </c>
      <c r="F434">
        <v>330</v>
      </c>
      <c r="G434">
        <v>0</v>
      </c>
      <c r="H434">
        <v>10031</v>
      </c>
      <c r="I434">
        <v>2</v>
      </c>
      <c r="J434">
        <v>68</v>
      </c>
      <c r="K434">
        <v>276</v>
      </c>
      <c r="L434">
        <v>316</v>
      </c>
      <c r="M434">
        <v>5.2222222220000001</v>
      </c>
      <c r="N434">
        <f>IFERROR(VLOOKUP(A434,vlookup_table!$A:$G,2,FALSE),"")</f>
        <v>0</v>
      </c>
      <c r="O434">
        <f>IFERROR(VLOOKUP(A434,vlookup_table!$A:$G,4,FALSE),"")</f>
        <v>0</v>
      </c>
      <c r="P434" t="str">
        <f>IFERROR(VLOOKUP(A434,vlookup_table!$A:$G,5,FALSE),"")</f>
        <v>S2</v>
      </c>
      <c r="Q434">
        <f>IFERROR(VLOOKUP(A434,vlookup_table!$A:$G,7,FALSE),"")</f>
        <v>5</v>
      </c>
      <c r="R434">
        <f t="shared" si="24"/>
        <v>97</v>
      </c>
      <c r="S434" t="str" cm="1">
        <f t="array" ref="S434">IF(P434="","",_xlfn.SWITCH(LEFT(P434,1),"C","Ciudad","T","Pueblo","R","Rural","S","Suburbano","U","Urbano",""))</f>
        <v>Suburbano</v>
      </c>
      <c r="T434" t="str">
        <f t="shared" si="25"/>
        <v>F</v>
      </c>
      <c r="U434" t="str">
        <f t="shared" si="26"/>
        <v>NY</v>
      </c>
      <c r="V434" t="str">
        <f t="shared" si="27"/>
        <v>10031</v>
      </c>
    </row>
    <row r="435" spans="1:22" x14ac:dyDescent="0.35">
      <c r="A435" s="3">
        <v>42165</v>
      </c>
      <c r="B435" t="s">
        <v>13</v>
      </c>
      <c r="C435" t="s">
        <v>14</v>
      </c>
      <c r="D435">
        <v>734</v>
      </c>
      <c r="E435">
        <v>310</v>
      </c>
      <c r="F435">
        <v>399</v>
      </c>
      <c r="G435">
        <v>1</v>
      </c>
      <c r="H435">
        <v>12868</v>
      </c>
      <c r="I435">
        <v>3</v>
      </c>
      <c r="J435">
        <v>45</v>
      </c>
      <c r="K435">
        <v>348</v>
      </c>
      <c r="L435">
        <v>365</v>
      </c>
      <c r="M435">
        <v>16.5</v>
      </c>
      <c r="N435">
        <f>IFERROR(VLOOKUP(A435,vlookup_table!$A:$G,2,FALSE),"")</f>
        <v>0</v>
      </c>
      <c r="O435">
        <f>IFERROR(VLOOKUP(A435,vlookup_table!$A:$G,4,FALSE),"")</f>
        <v>0</v>
      </c>
      <c r="P435" t="str">
        <f>IFERROR(VLOOKUP(A435,vlookup_table!$A:$G,5,FALSE),"")</f>
        <v>T2</v>
      </c>
      <c r="Q435">
        <f>IFERROR(VLOOKUP(A435,vlookup_table!$A:$G,7,FALSE),"")</f>
        <v>10</v>
      </c>
      <c r="R435">
        <f t="shared" si="24"/>
        <v>97</v>
      </c>
      <c r="S435" t="str" cm="1">
        <f t="array" ref="S435">IF(P435="","",_xlfn.SWITCH(LEFT(P435,1),"C","Ciudad","T","Pueblo","R","Rural","S","Suburbano","U","Urbano",""))</f>
        <v>Pueblo</v>
      </c>
      <c r="T435" t="str">
        <f t="shared" si="25"/>
        <v>M</v>
      </c>
      <c r="U435" t="str">
        <f t="shared" si="26"/>
        <v>FL</v>
      </c>
      <c r="V435" t="str">
        <f t="shared" si="27"/>
        <v>12868</v>
      </c>
    </row>
    <row r="436" spans="1:22" x14ac:dyDescent="0.35">
      <c r="A436" s="3">
        <v>24507</v>
      </c>
      <c r="B436" t="s">
        <v>46</v>
      </c>
      <c r="C436" t="s">
        <v>14</v>
      </c>
      <c r="D436">
        <v>468</v>
      </c>
      <c r="E436">
        <v>228</v>
      </c>
      <c r="F436">
        <v>326</v>
      </c>
      <c r="G436">
        <v>0</v>
      </c>
      <c r="H436">
        <v>10910</v>
      </c>
      <c r="I436">
        <v>1</v>
      </c>
      <c r="J436">
        <v>84</v>
      </c>
      <c r="K436">
        <v>300</v>
      </c>
      <c r="L436">
        <v>278</v>
      </c>
      <c r="M436">
        <v>21.5</v>
      </c>
      <c r="N436">
        <f>IFERROR(VLOOKUP(A436,vlookup_table!$A:$G,2,FALSE),"")</f>
        <v>1</v>
      </c>
      <c r="O436">
        <f>IFERROR(VLOOKUP(A436,vlookup_table!$A:$G,4,FALSE),"")</f>
        <v>3411</v>
      </c>
      <c r="P436" t="str">
        <f>IFERROR(VLOOKUP(A436,vlookup_table!$A:$G,5,FALSE),"")</f>
        <v>R2</v>
      </c>
      <c r="Q436">
        <f>IFERROR(VLOOKUP(A436,vlookup_table!$A:$G,7,FALSE),"")</f>
        <v>25</v>
      </c>
      <c r="R436">
        <f t="shared" si="24"/>
        <v>63</v>
      </c>
      <c r="S436" t="str" cm="1">
        <f t="array" ref="S436">IF(P436="","",_xlfn.SWITCH(LEFT(P436,1),"C","Ciudad","T","Pueblo","R","Rural","S","Suburbano","U","Urbano",""))</f>
        <v>Rural</v>
      </c>
      <c r="T436" t="str">
        <f t="shared" si="25"/>
        <v>M</v>
      </c>
      <c r="U436" t="str">
        <f t="shared" si="26"/>
        <v>SC</v>
      </c>
      <c r="V436" t="str">
        <f t="shared" si="27"/>
        <v>10910</v>
      </c>
    </row>
    <row r="437" spans="1:22" x14ac:dyDescent="0.35">
      <c r="A437" s="3">
        <v>44657</v>
      </c>
      <c r="B437" t="s">
        <v>13</v>
      </c>
      <c r="C437" t="s">
        <v>14</v>
      </c>
      <c r="D437">
        <v>583</v>
      </c>
      <c r="E437">
        <v>302</v>
      </c>
      <c r="F437">
        <v>362</v>
      </c>
      <c r="G437">
        <v>0</v>
      </c>
      <c r="H437">
        <v>13351</v>
      </c>
      <c r="I437">
        <v>9</v>
      </c>
      <c r="J437">
        <v>32</v>
      </c>
      <c r="K437">
        <v>317</v>
      </c>
      <c r="L437">
        <v>343</v>
      </c>
      <c r="M437">
        <v>4</v>
      </c>
      <c r="N437">
        <f>IFERROR(VLOOKUP(A437,vlookup_table!$A:$G,2,FALSE),"")</f>
        <v>1002</v>
      </c>
      <c r="O437">
        <f>IFERROR(VLOOKUP(A437,vlookup_table!$A:$G,4,FALSE),"")</f>
        <v>4201</v>
      </c>
      <c r="P437" t="str">
        <f>IFERROR(VLOOKUP(A437,vlookup_table!$A:$G,5,FALSE),"")</f>
        <v>T2</v>
      </c>
      <c r="Q437">
        <f>IFERROR(VLOOKUP(A437,vlookup_table!$A:$G,7,FALSE),"")</f>
        <v>5</v>
      </c>
      <c r="R437">
        <f t="shared" si="24"/>
        <v>55</v>
      </c>
      <c r="S437" t="str" cm="1">
        <f t="array" ref="S437">IF(P437="","",_xlfn.SWITCH(LEFT(P437,1),"C","Ciudad","T","Pueblo","R","Rural","S","Suburbano","U","Urbano",""))</f>
        <v>Pueblo</v>
      </c>
      <c r="T437" t="str">
        <f t="shared" si="25"/>
        <v>M</v>
      </c>
      <c r="U437" t="str">
        <f t="shared" si="26"/>
        <v>FL</v>
      </c>
      <c r="V437" t="str">
        <f t="shared" si="27"/>
        <v>13351</v>
      </c>
    </row>
    <row r="438" spans="1:22" x14ac:dyDescent="0.35">
      <c r="A438" s="3">
        <v>10554</v>
      </c>
      <c r="B438" t="s">
        <v>16</v>
      </c>
      <c r="C438" t="s">
        <v>14</v>
      </c>
      <c r="D438">
        <v>314</v>
      </c>
      <c r="E438">
        <v>206</v>
      </c>
      <c r="F438">
        <v>280</v>
      </c>
      <c r="G438">
        <v>0</v>
      </c>
      <c r="H438">
        <v>10245</v>
      </c>
      <c r="I438">
        <v>0</v>
      </c>
      <c r="J438">
        <v>90</v>
      </c>
      <c r="K438">
        <v>224</v>
      </c>
      <c r="L438">
        <v>236</v>
      </c>
      <c r="M438">
        <v>13.33333333</v>
      </c>
      <c r="N438">
        <f>IFERROR(VLOOKUP(A438,vlookup_table!$A:$G,2,FALSE),"")</f>
        <v>2</v>
      </c>
      <c r="O438">
        <f>IFERROR(VLOOKUP(A438,vlookup_table!$A:$G,4,FALSE),"")</f>
        <v>0</v>
      </c>
      <c r="P438" t="str">
        <f>IFERROR(VLOOKUP(A438,vlookup_table!$A:$G,5,FALSE),"")</f>
        <v>R3</v>
      </c>
      <c r="Q438">
        <f>IFERROR(VLOOKUP(A438,vlookup_table!$A:$G,7,FALSE),"")</f>
        <v>20</v>
      </c>
      <c r="R438">
        <f t="shared" si="24"/>
        <v>97</v>
      </c>
      <c r="S438" t="str" cm="1">
        <f t="array" ref="S438">IF(P438="","",_xlfn.SWITCH(LEFT(P438,1),"C","Ciudad","T","Pueblo","R","Rural","S","Suburbano","U","Urbano",""))</f>
        <v>Rural</v>
      </c>
      <c r="T438" t="str">
        <f t="shared" si="25"/>
        <v>M</v>
      </c>
      <c r="U438" t="str">
        <f t="shared" si="26"/>
        <v>IL</v>
      </c>
      <c r="V438" t="str">
        <f t="shared" si="27"/>
        <v>10245</v>
      </c>
    </row>
    <row r="439" spans="1:22" x14ac:dyDescent="0.35">
      <c r="A439" s="3">
        <v>33192</v>
      </c>
      <c r="B439" t="s">
        <v>13</v>
      </c>
      <c r="C439" t="s">
        <v>17</v>
      </c>
      <c r="D439">
        <v>671</v>
      </c>
      <c r="E439">
        <v>341</v>
      </c>
      <c r="F439">
        <v>385</v>
      </c>
      <c r="G439">
        <v>0</v>
      </c>
      <c r="H439">
        <v>12982</v>
      </c>
      <c r="I439">
        <v>2</v>
      </c>
      <c r="J439">
        <v>39</v>
      </c>
      <c r="K439">
        <v>354</v>
      </c>
      <c r="L439">
        <v>363</v>
      </c>
      <c r="M439">
        <v>6.25</v>
      </c>
      <c r="N439">
        <f>IFERROR(VLOOKUP(A439,vlookup_table!$A:$G,2,FALSE),"")</f>
        <v>0</v>
      </c>
      <c r="O439">
        <f>IFERROR(VLOOKUP(A439,vlookup_table!$A:$G,4,FALSE),"")</f>
        <v>3501</v>
      </c>
      <c r="P439" t="str">
        <f>IFERROR(VLOOKUP(A439,vlookup_table!$A:$G,5,FALSE),"")</f>
        <v>C2</v>
      </c>
      <c r="Q439">
        <f>IFERROR(VLOOKUP(A439,vlookup_table!$A:$G,7,FALSE),"")</f>
        <v>10</v>
      </c>
      <c r="R439">
        <f t="shared" si="24"/>
        <v>62</v>
      </c>
      <c r="S439" t="str" cm="1">
        <f t="array" ref="S439">IF(P439="","",_xlfn.SWITCH(LEFT(P439,1),"C","Ciudad","T","Pueblo","R","Rural","S","Suburbano","U","Urbano",""))</f>
        <v>Ciudad</v>
      </c>
      <c r="T439" t="str">
        <f t="shared" si="25"/>
        <v>F</v>
      </c>
      <c r="U439" t="str">
        <f t="shared" si="26"/>
        <v>FL</v>
      </c>
      <c r="V439" t="str">
        <f t="shared" si="27"/>
        <v>12982</v>
      </c>
    </row>
    <row r="440" spans="1:22" x14ac:dyDescent="0.35">
      <c r="A440" s="3">
        <v>76470</v>
      </c>
      <c r="B440" t="s">
        <v>47</v>
      </c>
      <c r="C440" t="s">
        <v>14</v>
      </c>
      <c r="D440">
        <v>550</v>
      </c>
      <c r="E440">
        <v>288</v>
      </c>
      <c r="F440">
        <v>349</v>
      </c>
      <c r="G440">
        <v>0</v>
      </c>
      <c r="H440">
        <v>13538</v>
      </c>
      <c r="I440">
        <v>1</v>
      </c>
      <c r="J440">
        <v>82</v>
      </c>
      <c r="K440">
        <v>344</v>
      </c>
      <c r="L440">
        <v>303</v>
      </c>
      <c r="M440">
        <v>9.6428571430000005</v>
      </c>
      <c r="N440">
        <f>IFERROR(VLOOKUP(A440,vlookup_table!$A:$G,2,FALSE),"")</f>
        <v>1002</v>
      </c>
      <c r="O440">
        <f>IFERROR(VLOOKUP(A440,vlookup_table!$A:$G,4,FALSE),"")</f>
        <v>3307</v>
      </c>
      <c r="P440" t="str">
        <f>IFERROR(VLOOKUP(A440,vlookup_table!$A:$G,5,FALSE),"")</f>
        <v>T2</v>
      </c>
      <c r="Q440">
        <f>IFERROR(VLOOKUP(A440,vlookup_table!$A:$G,7,FALSE),"")</f>
        <v>10</v>
      </c>
      <c r="R440">
        <f t="shared" si="24"/>
        <v>64</v>
      </c>
      <c r="S440" t="str" cm="1">
        <f t="array" ref="S440">IF(P440="","",_xlfn.SWITCH(LEFT(P440,1),"C","Ciudad","T","Pueblo","R","Rural","S","Suburbano","U","Urbano",""))</f>
        <v>Pueblo</v>
      </c>
      <c r="T440" t="str">
        <f t="shared" si="25"/>
        <v>M</v>
      </c>
      <c r="U440" t="str">
        <f t="shared" si="26"/>
        <v>IA</v>
      </c>
      <c r="V440" t="str">
        <f t="shared" si="27"/>
        <v>13538</v>
      </c>
    </row>
    <row r="441" spans="1:22" x14ac:dyDescent="0.35">
      <c r="A441" s="3">
        <v>67075</v>
      </c>
      <c r="B441" t="s">
        <v>29</v>
      </c>
      <c r="C441" t="s">
        <v>17</v>
      </c>
      <c r="D441">
        <v>609</v>
      </c>
      <c r="E441">
        <v>410</v>
      </c>
      <c r="F441">
        <v>540</v>
      </c>
      <c r="G441">
        <v>0</v>
      </c>
      <c r="H441">
        <v>23275</v>
      </c>
      <c r="I441">
        <v>1</v>
      </c>
      <c r="J441">
        <v>72</v>
      </c>
      <c r="K441">
        <v>551</v>
      </c>
      <c r="L441">
        <v>490</v>
      </c>
      <c r="M441">
        <v>13.23076923</v>
      </c>
      <c r="N441">
        <f>IFERROR(VLOOKUP(A441,vlookup_table!$A:$G,2,FALSE),"")</f>
        <v>2</v>
      </c>
      <c r="O441">
        <f>IFERROR(VLOOKUP(A441,vlookup_table!$A:$G,4,FALSE),"")</f>
        <v>4601</v>
      </c>
      <c r="P441" t="str">
        <f>IFERROR(VLOOKUP(A441,vlookup_table!$A:$G,5,FALSE),"")</f>
        <v>S2</v>
      </c>
      <c r="Q441">
        <f>IFERROR(VLOOKUP(A441,vlookup_table!$A:$G,7,FALSE),"")</f>
        <v>18</v>
      </c>
      <c r="R441">
        <f t="shared" si="24"/>
        <v>51</v>
      </c>
      <c r="S441" t="str" cm="1">
        <f t="array" ref="S441">IF(P441="","",_xlfn.SWITCH(LEFT(P441,1),"C","Ciudad","T","Pueblo","R","Rural","S","Suburbano","U","Urbano",""))</f>
        <v>Suburbano</v>
      </c>
      <c r="T441" t="str">
        <f t="shared" si="25"/>
        <v>F</v>
      </c>
      <c r="U441" t="str">
        <f t="shared" si="26"/>
        <v>MI</v>
      </c>
      <c r="V441" t="str">
        <f t="shared" si="27"/>
        <v>23275</v>
      </c>
    </row>
    <row r="442" spans="1:22" x14ac:dyDescent="0.35">
      <c r="A442" s="3">
        <v>169827</v>
      </c>
      <c r="B442" t="s">
        <v>61</v>
      </c>
      <c r="C442" t="s">
        <v>17</v>
      </c>
      <c r="D442">
        <v>1650</v>
      </c>
      <c r="E442">
        <v>397</v>
      </c>
      <c r="F442">
        <v>479</v>
      </c>
      <c r="G442">
        <v>19</v>
      </c>
      <c r="H442">
        <v>15002</v>
      </c>
      <c r="I442">
        <v>14</v>
      </c>
      <c r="J442">
        <v>60</v>
      </c>
      <c r="K442">
        <v>404</v>
      </c>
      <c r="L442">
        <v>477</v>
      </c>
      <c r="M442">
        <v>15</v>
      </c>
      <c r="N442">
        <f>IFERROR(VLOOKUP(A442,vlookup_table!$A:$G,2,FALSE),"")</f>
        <v>0</v>
      </c>
      <c r="O442">
        <f>IFERROR(VLOOKUP(A442,vlookup_table!$A:$G,4,FALSE),"")</f>
        <v>4801</v>
      </c>
      <c r="P442" t="str">
        <f>IFERROR(VLOOKUP(A442,vlookup_table!$A:$G,5,FALSE),"")</f>
        <v>S2</v>
      </c>
      <c r="Q442">
        <f>IFERROR(VLOOKUP(A442,vlookup_table!$A:$G,7,FALSE),"")</f>
        <v>21</v>
      </c>
      <c r="R442">
        <f t="shared" si="24"/>
        <v>49</v>
      </c>
      <c r="S442" t="str" cm="1">
        <f t="array" ref="S442">IF(P442="","",_xlfn.SWITCH(LEFT(P442,1),"C","Ciudad","T","Pueblo","R","Rural","S","Suburbano","U","Urbano",""))</f>
        <v>Suburbano</v>
      </c>
      <c r="T442" t="str">
        <f t="shared" si="25"/>
        <v>F</v>
      </c>
      <c r="U442" t="str">
        <f t="shared" si="26"/>
        <v>CA</v>
      </c>
      <c r="V442" t="str">
        <f t="shared" si="27"/>
        <v>15002</v>
      </c>
    </row>
    <row r="443" spans="1:22" x14ac:dyDescent="0.35">
      <c r="A443" s="3">
        <v>38734</v>
      </c>
      <c r="B443" t="s">
        <v>13</v>
      </c>
      <c r="C443" t="s">
        <v>17</v>
      </c>
      <c r="D443">
        <v>1979</v>
      </c>
      <c r="E443">
        <v>350</v>
      </c>
      <c r="F443">
        <v>738</v>
      </c>
      <c r="G443">
        <v>50</v>
      </c>
      <c r="H443">
        <v>42356</v>
      </c>
      <c r="I443">
        <v>22</v>
      </c>
      <c r="J443">
        <v>6</v>
      </c>
      <c r="K443">
        <v>640</v>
      </c>
      <c r="L443">
        <v>526</v>
      </c>
      <c r="M443">
        <v>16</v>
      </c>
      <c r="N443">
        <f>IFERROR(VLOOKUP(A443,vlookup_table!$A:$G,2,FALSE),"")</f>
        <v>0</v>
      </c>
      <c r="O443">
        <f>IFERROR(VLOOKUP(A443,vlookup_table!$A:$G,4,FALSE),"")</f>
        <v>709</v>
      </c>
      <c r="P443" t="str">
        <f>IFERROR(VLOOKUP(A443,vlookup_table!$A:$G,5,FALSE),"")</f>
        <v>C1</v>
      </c>
      <c r="Q443">
        <f>IFERROR(VLOOKUP(A443,vlookup_table!$A:$G,7,FALSE),"")</f>
        <v>26</v>
      </c>
      <c r="R443">
        <f t="shared" si="24"/>
        <v>90</v>
      </c>
      <c r="S443" t="str" cm="1">
        <f t="array" ref="S443">IF(P443="","",_xlfn.SWITCH(LEFT(P443,1),"C","Ciudad","T","Pueblo","R","Rural","S","Suburbano","U","Urbano",""))</f>
        <v>Ciudad</v>
      </c>
      <c r="T443" t="str">
        <f t="shared" si="25"/>
        <v>F</v>
      </c>
      <c r="U443" t="str">
        <f t="shared" si="26"/>
        <v>FL</v>
      </c>
      <c r="V443" t="str">
        <f t="shared" si="27"/>
        <v>42356</v>
      </c>
    </row>
    <row r="444" spans="1:22" x14ac:dyDescent="0.35">
      <c r="A444" s="3">
        <v>65245</v>
      </c>
      <c r="B444" t="s">
        <v>29</v>
      </c>
      <c r="C444" t="s">
        <v>17</v>
      </c>
      <c r="D444">
        <v>473</v>
      </c>
      <c r="E444">
        <v>302</v>
      </c>
      <c r="F444">
        <v>409</v>
      </c>
      <c r="G444">
        <v>0</v>
      </c>
      <c r="H444">
        <v>13445</v>
      </c>
      <c r="I444">
        <v>8</v>
      </c>
      <c r="J444">
        <v>82</v>
      </c>
      <c r="K444">
        <v>364</v>
      </c>
      <c r="L444">
        <v>319</v>
      </c>
      <c r="M444">
        <v>10.83333333</v>
      </c>
      <c r="N444">
        <f>IFERROR(VLOOKUP(A444,vlookup_table!$A:$G,2,FALSE),"")</f>
        <v>2</v>
      </c>
      <c r="O444">
        <f>IFERROR(VLOOKUP(A444,vlookup_table!$A:$G,4,FALSE),"")</f>
        <v>3101</v>
      </c>
      <c r="P444" t="str">
        <f>IFERROR(VLOOKUP(A444,vlookup_table!$A:$G,5,FALSE),"")</f>
        <v>U3</v>
      </c>
      <c r="Q444">
        <f>IFERROR(VLOOKUP(A444,vlookup_table!$A:$G,7,FALSE),"")</f>
        <v>10</v>
      </c>
      <c r="R444">
        <f t="shared" si="24"/>
        <v>66</v>
      </c>
      <c r="S444" t="str" cm="1">
        <f t="array" ref="S444">IF(P444="","",_xlfn.SWITCH(LEFT(P444,1),"C","Ciudad","T","Pueblo","R","Rural","S","Suburbano","U","Urbano",""))</f>
        <v>Urbano</v>
      </c>
      <c r="T444" t="str">
        <f t="shared" si="25"/>
        <v>F</v>
      </c>
      <c r="U444" t="str">
        <f t="shared" si="26"/>
        <v>MI</v>
      </c>
      <c r="V444" t="str">
        <f t="shared" si="27"/>
        <v>13445</v>
      </c>
    </row>
    <row r="445" spans="1:22" x14ac:dyDescent="0.35">
      <c r="A445" s="3">
        <v>186396</v>
      </c>
      <c r="B445" t="s">
        <v>43</v>
      </c>
      <c r="C445" t="s">
        <v>27</v>
      </c>
      <c r="D445">
        <v>679</v>
      </c>
      <c r="E445">
        <v>277</v>
      </c>
      <c r="F445">
        <v>347</v>
      </c>
      <c r="G445">
        <v>0</v>
      </c>
      <c r="H445">
        <v>13133</v>
      </c>
      <c r="I445">
        <v>4</v>
      </c>
      <c r="J445">
        <v>50</v>
      </c>
      <c r="K445">
        <v>295</v>
      </c>
      <c r="L445">
        <v>317</v>
      </c>
      <c r="M445">
        <v>13.14285714</v>
      </c>
      <c r="N445">
        <f>IFERROR(VLOOKUP(A445,vlookup_table!$A:$G,2,FALSE),"")</f>
        <v>0</v>
      </c>
      <c r="O445">
        <f>IFERROR(VLOOKUP(A445,vlookup_table!$A:$G,4,FALSE),"")</f>
        <v>4311</v>
      </c>
      <c r="P445" t="str">
        <f>IFERROR(VLOOKUP(A445,vlookup_table!$A:$G,5,FALSE),"")</f>
        <v>T2</v>
      </c>
      <c r="Q445">
        <f>IFERROR(VLOOKUP(A445,vlookup_table!$A:$G,7,FALSE),"")</f>
        <v>20</v>
      </c>
      <c r="R445">
        <f t="shared" si="24"/>
        <v>54</v>
      </c>
      <c r="S445" t="str" cm="1">
        <f t="array" ref="S445">IF(P445="","",_xlfn.SWITCH(LEFT(P445,1),"C","Ciudad","T","Pueblo","R","Rural","S","Suburbano","U","Urbano",""))</f>
        <v>Pueblo</v>
      </c>
      <c r="T445" t="str">
        <f t="shared" si="25"/>
        <v>M</v>
      </c>
      <c r="U445" t="str">
        <f t="shared" si="26"/>
        <v>AL</v>
      </c>
      <c r="V445" t="str">
        <f t="shared" si="27"/>
        <v>13133</v>
      </c>
    </row>
    <row r="446" spans="1:22" x14ac:dyDescent="0.35">
      <c r="A446" s="3">
        <v>54160</v>
      </c>
      <c r="B446" t="s">
        <v>53</v>
      </c>
      <c r="C446" t="s">
        <v>17</v>
      </c>
      <c r="D446">
        <v>475</v>
      </c>
      <c r="E446">
        <v>226</v>
      </c>
      <c r="F446">
        <v>261</v>
      </c>
      <c r="G446">
        <v>0</v>
      </c>
      <c r="H446">
        <v>8709</v>
      </c>
      <c r="I446">
        <v>0</v>
      </c>
      <c r="J446">
        <v>73</v>
      </c>
      <c r="K446">
        <v>260</v>
      </c>
      <c r="L446">
        <v>241</v>
      </c>
      <c r="M446">
        <v>15</v>
      </c>
      <c r="N446">
        <f>IFERROR(VLOOKUP(A446,vlookup_table!$A:$G,2,FALSE),"")</f>
        <v>0</v>
      </c>
      <c r="O446">
        <f>IFERROR(VLOOKUP(A446,vlookup_table!$A:$G,4,FALSE),"")</f>
        <v>2801</v>
      </c>
      <c r="P446" t="str">
        <f>IFERROR(VLOOKUP(A446,vlookup_table!$A:$G,5,FALSE),"")</f>
        <v>R3</v>
      </c>
      <c r="Q446">
        <f>IFERROR(VLOOKUP(A446,vlookup_table!$A:$G,7,FALSE),"")</f>
        <v>10</v>
      </c>
      <c r="R446">
        <f t="shared" si="24"/>
        <v>69</v>
      </c>
      <c r="S446" t="str" cm="1">
        <f t="array" ref="S446">IF(P446="","",_xlfn.SWITCH(LEFT(P446,1),"C","Ciudad","T","Pueblo","R","Rural","S","Suburbano","U","Urbano",""))</f>
        <v>Rural</v>
      </c>
      <c r="T446" t="str">
        <f t="shared" si="25"/>
        <v>F</v>
      </c>
      <c r="U446" t="str">
        <f t="shared" si="26"/>
        <v>TN</v>
      </c>
      <c r="V446" t="str">
        <f t="shared" si="27"/>
        <v>8709</v>
      </c>
    </row>
    <row r="447" spans="1:22" x14ac:dyDescent="0.35">
      <c r="A447" s="3">
        <v>178826</v>
      </c>
      <c r="B447" t="s">
        <v>48</v>
      </c>
      <c r="D447">
        <v>872</v>
      </c>
      <c r="E447">
        <v>418</v>
      </c>
      <c r="F447">
        <v>482</v>
      </c>
      <c r="G447">
        <v>1</v>
      </c>
      <c r="H447">
        <v>15287</v>
      </c>
      <c r="I447">
        <v>5</v>
      </c>
      <c r="J447">
        <v>40</v>
      </c>
      <c r="K447">
        <v>424</v>
      </c>
      <c r="L447">
        <v>458</v>
      </c>
      <c r="M447">
        <v>10.83333333</v>
      </c>
      <c r="N447">
        <f>IFERROR(VLOOKUP(A447,vlookup_table!$A:$G,2,FALSE),"")</f>
        <v>0</v>
      </c>
      <c r="O447">
        <f>IFERROR(VLOOKUP(A447,vlookup_table!$A:$G,4,FALSE),"")</f>
        <v>5102</v>
      </c>
      <c r="P447" t="str">
        <f>IFERROR(VLOOKUP(A447,vlookup_table!$A:$G,5,FALSE),"")</f>
        <v>S1</v>
      </c>
      <c r="Q447">
        <f>IFERROR(VLOOKUP(A447,vlookup_table!$A:$G,7,FALSE),"")</f>
        <v>20</v>
      </c>
      <c r="R447">
        <f t="shared" si="24"/>
        <v>46</v>
      </c>
      <c r="S447" t="str" cm="1">
        <f t="array" ref="S447">IF(P447="","",_xlfn.SWITCH(LEFT(P447,1),"C","Ciudad","T","Pueblo","R","Rural","S","Suburbano","U","Urbano",""))</f>
        <v>Suburbano</v>
      </c>
      <c r="T447" t="str">
        <f t="shared" si="25"/>
        <v/>
      </c>
      <c r="U447" t="str">
        <f t="shared" si="26"/>
        <v>CO</v>
      </c>
      <c r="V447" t="str">
        <f t="shared" si="27"/>
        <v>15287</v>
      </c>
    </row>
    <row r="448" spans="1:22" x14ac:dyDescent="0.35">
      <c r="A448" s="3">
        <v>7507</v>
      </c>
      <c r="B448" t="s">
        <v>16</v>
      </c>
      <c r="C448" t="s">
        <v>14</v>
      </c>
      <c r="D448">
        <v>1075</v>
      </c>
      <c r="E448">
        <v>366</v>
      </c>
      <c r="F448">
        <v>455</v>
      </c>
      <c r="G448">
        <v>0</v>
      </c>
      <c r="H448">
        <v>14394</v>
      </c>
      <c r="I448">
        <v>1</v>
      </c>
      <c r="J448">
        <v>90</v>
      </c>
      <c r="K448">
        <v>449</v>
      </c>
      <c r="L448">
        <v>373</v>
      </c>
      <c r="M448">
        <v>10.10526316</v>
      </c>
      <c r="N448">
        <f>IFERROR(VLOOKUP(A448,vlookup_table!$A:$G,2,FALSE),"")</f>
        <v>1</v>
      </c>
      <c r="O448">
        <f>IFERROR(VLOOKUP(A448,vlookup_table!$A:$G,4,FALSE),"")</f>
        <v>2504</v>
      </c>
      <c r="P448" t="str">
        <f>IFERROR(VLOOKUP(A448,vlookup_table!$A:$G,5,FALSE),"")</f>
        <v>S2</v>
      </c>
      <c r="Q448">
        <f>IFERROR(VLOOKUP(A448,vlookup_table!$A:$G,7,FALSE),"")</f>
        <v>10</v>
      </c>
      <c r="R448">
        <f t="shared" si="24"/>
        <v>72</v>
      </c>
      <c r="S448" t="str" cm="1">
        <f t="array" ref="S448">IF(P448="","",_xlfn.SWITCH(LEFT(P448,1),"C","Ciudad","T","Pueblo","R","Rural","S","Suburbano","U","Urbano",""))</f>
        <v>Suburbano</v>
      </c>
      <c r="T448" t="str">
        <f t="shared" si="25"/>
        <v>M</v>
      </c>
      <c r="U448" t="str">
        <f t="shared" si="26"/>
        <v>IL</v>
      </c>
      <c r="V448" t="str">
        <f t="shared" si="27"/>
        <v>14394</v>
      </c>
    </row>
    <row r="449" spans="1:22" x14ac:dyDescent="0.35">
      <c r="A449" s="3">
        <v>4150</v>
      </c>
      <c r="B449" t="s">
        <v>36</v>
      </c>
      <c r="C449" t="s">
        <v>17</v>
      </c>
      <c r="D449">
        <v>580</v>
      </c>
      <c r="E449">
        <v>310</v>
      </c>
      <c r="F449">
        <v>374</v>
      </c>
      <c r="G449">
        <v>0</v>
      </c>
      <c r="H449">
        <v>12273</v>
      </c>
      <c r="I449">
        <v>2</v>
      </c>
      <c r="J449">
        <v>75</v>
      </c>
      <c r="K449">
        <v>322</v>
      </c>
      <c r="L449">
        <v>347</v>
      </c>
      <c r="M449">
        <v>10.75</v>
      </c>
      <c r="N449">
        <f>IFERROR(VLOOKUP(A449,vlookup_table!$A:$G,2,FALSE),"")</f>
        <v>0</v>
      </c>
      <c r="O449">
        <f>IFERROR(VLOOKUP(A449,vlookup_table!$A:$G,4,FALSE),"")</f>
        <v>4412</v>
      </c>
      <c r="P449" t="str">
        <f>IFERROR(VLOOKUP(A449,vlookup_table!$A:$G,5,FALSE),"")</f>
        <v>C2</v>
      </c>
      <c r="Q449">
        <f>IFERROR(VLOOKUP(A449,vlookup_table!$A:$G,7,FALSE),"")</f>
        <v>14</v>
      </c>
      <c r="R449">
        <f t="shared" si="24"/>
        <v>53</v>
      </c>
      <c r="S449" t="str" cm="1">
        <f t="array" ref="S449">IF(P449="","",_xlfn.SWITCH(LEFT(P449,1),"C","Ciudad","T","Pueblo","R","Rural","S","Suburbano","U","Urbano",""))</f>
        <v>Ciudad</v>
      </c>
      <c r="T449" t="str">
        <f t="shared" si="25"/>
        <v>F</v>
      </c>
      <c r="U449" t="str">
        <f t="shared" si="26"/>
        <v>MO</v>
      </c>
      <c r="V449" t="str">
        <f t="shared" si="27"/>
        <v>12273</v>
      </c>
    </row>
    <row r="450" spans="1:22" x14ac:dyDescent="0.35">
      <c r="A450" s="3">
        <v>120041</v>
      </c>
      <c r="B450" t="s">
        <v>21</v>
      </c>
      <c r="C450" t="s">
        <v>17</v>
      </c>
      <c r="D450">
        <v>442</v>
      </c>
      <c r="E450">
        <v>252</v>
      </c>
      <c r="F450">
        <v>390</v>
      </c>
      <c r="G450">
        <v>0</v>
      </c>
      <c r="H450">
        <v>12929</v>
      </c>
      <c r="I450">
        <v>2</v>
      </c>
      <c r="J450">
        <v>69</v>
      </c>
      <c r="K450">
        <v>341</v>
      </c>
      <c r="L450">
        <v>325</v>
      </c>
      <c r="M450">
        <v>6.2857142860000002</v>
      </c>
      <c r="N450">
        <f>IFERROR(VLOOKUP(A450,vlookup_table!$A:$G,2,FALSE),"")</f>
        <v>2</v>
      </c>
      <c r="O450">
        <f>IFERROR(VLOOKUP(A450,vlookup_table!$A:$G,4,FALSE),"")</f>
        <v>5901</v>
      </c>
      <c r="P450" t="str">
        <f>IFERROR(VLOOKUP(A450,vlookup_table!$A:$G,5,FALSE),"")</f>
        <v>T2</v>
      </c>
      <c r="Q450">
        <f>IFERROR(VLOOKUP(A450,vlookup_table!$A:$G,7,FALSE),"")</f>
        <v>8</v>
      </c>
      <c r="R450">
        <f t="shared" ref="R450:R513" si="28">IF(O450="","",97-INT(O450/100))</f>
        <v>38</v>
      </c>
      <c r="S450" t="str" cm="1">
        <f t="array" ref="S450">IF(P450="","",_xlfn.SWITCH(LEFT(P450,1),"C","Ciudad","T","Pueblo","R","Rural","S","Suburbano","U","Urbano",""))</f>
        <v>Pueblo</v>
      </c>
      <c r="T450" t="str">
        <f t="shared" ref="T450:T513" si="29">IF(C450="","",IF(OR(UPPER(C450)="M",UPPER(C450)="MALE"),"M",IF(OR(UPPER(C450)="F",UPPER(C450)="FEMALE",UPPER(C450)="FEAMALE"),"F",C450)))</f>
        <v>F</v>
      </c>
      <c r="U450" t="str">
        <f t="shared" ref="U450:U513" si="30">IF(OR(UPPER(B450)="CALIFORNIA",UPPER(B450)="CALI"),"CA",B450)</f>
        <v>TX</v>
      </c>
      <c r="V450" t="str">
        <f t="shared" ref="V450:V513" si="31">SUBSTITUTE(H450,"@","")</f>
        <v>12929</v>
      </c>
    </row>
    <row r="451" spans="1:22" x14ac:dyDescent="0.35">
      <c r="A451" s="3">
        <v>51486</v>
      </c>
      <c r="B451" t="s">
        <v>53</v>
      </c>
      <c r="C451" t="s">
        <v>14</v>
      </c>
      <c r="D451">
        <v>325</v>
      </c>
      <c r="E451">
        <v>119</v>
      </c>
      <c r="F451">
        <v>210</v>
      </c>
      <c r="G451">
        <v>0</v>
      </c>
      <c r="H451">
        <v>8856</v>
      </c>
      <c r="I451">
        <v>2</v>
      </c>
      <c r="J451">
        <v>78</v>
      </c>
      <c r="K451">
        <v>133</v>
      </c>
      <c r="L451">
        <v>188</v>
      </c>
      <c r="M451">
        <v>6.3636363640000004</v>
      </c>
      <c r="N451">
        <f>IFERROR(VLOOKUP(A451,vlookup_table!$A:$G,2,FALSE),"")</f>
        <v>2</v>
      </c>
      <c r="O451">
        <f>IFERROR(VLOOKUP(A451,vlookup_table!$A:$G,4,FALSE),"")</f>
        <v>2805</v>
      </c>
      <c r="P451" t="str">
        <f>IFERROR(VLOOKUP(A451,vlookup_table!$A:$G,5,FALSE),"")</f>
        <v>C3</v>
      </c>
      <c r="Q451">
        <f>IFERROR(VLOOKUP(A451,vlookup_table!$A:$G,7,FALSE),"")</f>
        <v>6</v>
      </c>
      <c r="R451">
        <f t="shared" si="28"/>
        <v>69</v>
      </c>
      <c r="S451" t="str" cm="1">
        <f t="array" ref="S451">IF(P451="","",_xlfn.SWITCH(LEFT(P451,1),"C","Ciudad","T","Pueblo","R","Rural","S","Suburbano","U","Urbano",""))</f>
        <v>Ciudad</v>
      </c>
      <c r="T451" t="str">
        <f t="shared" si="29"/>
        <v>M</v>
      </c>
      <c r="U451" t="str">
        <f t="shared" si="30"/>
        <v>TN</v>
      </c>
      <c r="V451" t="str">
        <f t="shared" si="31"/>
        <v>8856</v>
      </c>
    </row>
    <row r="452" spans="1:22" x14ac:dyDescent="0.35">
      <c r="A452" s="3">
        <v>173348</v>
      </c>
      <c r="B452" t="s">
        <v>61</v>
      </c>
      <c r="C452" t="s">
        <v>14</v>
      </c>
      <c r="D452">
        <v>1276</v>
      </c>
      <c r="E452">
        <v>423</v>
      </c>
      <c r="F452">
        <v>521</v>
      </c>
      <c r="G452">
        <v>7</v>
      </c>
      <c r="H452">
        <v>17032</v>
      </c>
      <c r="I452">
        <v>5</v>
      </c>
      <c r="J452">
        <v>51</v>
      </c>
      <c r="K452">
        <v>524</v>
      </c>
      <c r="L452">
        <v>497</v>
      </c>
      <c r="M452">
        <v>5.5</v>
      </c>
      <c r="N452">
        <f>IFERROR(VLOOKUP(A452,vlookup_table!$A:$G,2,FALSE),"")</f>
        <v>28</v>
      </c>
      <c r="O452">
        <f>IFERROR(VLOOKUP(A452,vlookup_table!$A:$G,4,FALSE),"")</f>
        <v>2701</v>
      </c>
      <c r="P452" t="str">
        <f>IFERROR(VLOOKUP(A452,vlookup_table!$A:$G,5,FALSE),"")</f>
        <v>T2</v>
      </c>
      <c r="Q452">
        <f>IFERROR(VLOOKUP(A452,vlookup_table!$A:$G,7,FALSE),"")</f>
        <v>8</v>
      </c>
      <c r="R452">
        <f t="shared" si="28"/>
        <v>70</v>
      </c>
      <c r="S452" t="str" cm="1">
        <f t="array" ref="S452">IF(P452="","",_xlfn.SWITCH(LEFT(P452,1),"C","Ciudad","T","Pueblo","R","Rural","S","Suburbano","U","Urbano",""))</f>
        <v>Pueblo</v>
      </c>
      <c r="T452" t="str">
        <f t="shared" si="29"/>
        <v>M</v>
      </c>
      <c r="U452" t="str">
        <f t="shared" si="30"/>
        <v>CA</v>
      </c>
      <c r="V452" t="str">
        <f t="shared" si="31"/>
        <v>17032</v>
      </c>
    </row>
    <row r="453" spans="1:22" x14ac:dyDescent="0.35">
      <c r="A453" s="3">
        <v>74669</v>
      </c>
      <c r="B453" t="s">
        <v>29</v>
      </c>
      <c r="C453" t="s">
        <v>17</v>
      </c>
      <c r="D453">
        <v>438</v>
      </c>
      <c r="E453">
        <v>267</v>
      </c>
      <c r="F453">
        <v>314</v>
      </c>
      <c r="G453">
        <v>0</v>
      </c>
      <c r="H453">
        <v>10329</v>
      </c>
      <c r="I453">
        <v>1</v>
      </c>
      <c r="J453">
        <v>75</v>
      </c>
      <c r="K453">
        <v>302</v>
      </c>
      <c r="L453">
        <v>287</v>
      </c>
      <c r="M453">
        <v>12.25</v>
      </c>
      <c r="N453">
        <f>IFERROR(VLOOKUP(A453,vlookup_table!$A:$G,2,FALSE),"")</f>
        <v>0</v>
      </c>
      <c r="O453">
        <f>IFERROR(VLOOKUP(A453,vlookup_table!$A:$G,4,FALSE),"")</f>
        <v>0</v>
      </c>
      <c r="P453" t="str">
        <f>IFERROR(VLOOKUP(A453,vlookup_table!$A:$G,5,FALSE),"")</f>
        <v>R2</v>
      </c>
      <c r="Q453">
        <f>IFERROR(VLOOKUP(A453,vlookup_table!$A:$G,7,FALSE),"")</f>
        <v>20</v>
      </c>
      <c r="R453">
        <f t="shared" si="28"/>
        <v>97</v>
      </c>
      <c r="S453" t="str" cm="1">
        <f t="array" ref="S453">IF(P453="","",_xlfn.SWITCH(LEFT(P453,1),"C","Ciudad","T","Pueblo","R","Rural","S","Suburbano","U","Urbano",""))</f>
        <v>Rural</v>
      </c>
      <c r="T453" t="str">
        <f t="shared" si="29"/>
        <v>F</v>
      </c>
      <c r="U453" t="str">
        <f t="shared" si="30"/>
        <v>MI</v>
      </c>
      <c r="V453" t="str">
        <f t="shared" si="31"/>
        <v>10329</v>
      </c>
    </row>
    <row r="454" spans="1:22" x14ac:dyDescent="0.35">
      <c r="A454" s="3">
        <v>64430</v>
      </c>
      <c r="B454" t="s">
        <v>33</v>
      </c>
      <c r="C454" t="s">
        <v>17</v>
      </c>
      <c r="D454">
        <v>386</v>
      </c>
      <c r="E454">
        <v>258</v>
      </c>
      <c r="F454">
        <v>358</v>
      </c>
      <c r="G454">
        <v>1</v>
      </c>
      <c r="H454">
        <v>12513</v>
      </c>
      <c r="I454">
        <v>0</v>
      </c>
      <c r="J454">
        <v>75</v>
      </c>
      <c r="K454">
        <v>301</v>
      </c>
      <c r="L454">
        <v>313</v>
      </c>
      <c r="M454">
        <v>11.66666667</v>
      </c>
      <c r="N454">
        <f>IFERROR(VLOOKUP(A454,vlookup_table!$A:$G,2,FALSE),"")</f>
        <v>0</v>
      </c>
      <c r="O454">
        <f>IFERROR(VLOOKUP(A454,vlookup_table!$A:$G,4,FALSE),"")</f>
        <v>0</v>
      </c>
      <c r="P454" t="str">
        <f>IFERROR(VLOOKUP(A454,vlookup_table!$A:$G,5,FALSE),"")</f>
        <v>R2</v>
      </c>
      <c r="Q454">
        <f>IFERROR(VLOOKUP(A454,vlookup_table!$A:$G,7,FALSE),"")</f>
        <v>13</v>
      </c>
      <c r="R454">
        <f t="shared" si="28"/>
        <v>97</v>
      </c>
      <c r="S454" t="str" cm="1">
        <f t="array" ref="S454">IF(P454="","",_xlfn.SWITCH(LEFT(P454,1),"C","Ciudad","T","Pueblo","R","Rural","S","Suburbano","U","Urbano",""))</f>
        <v>Rural</v>
      </c>
      <c r="T454" t="str">
        <f t="shared" si="29"/>
        <v>F</v>
      </c>
      <c r="U454" t="str">
        <f t="shared" si="30"/>
        <v>IN</v>
      </c>
      <c r="V454" t="str">
        <f t="shared" si="31"/>
        <v>12513</v>
      </c>
    </row>
    <row r="455" spans="1:22" x14ac:dyDescent="0.35">
      <c r="A455" s="3">
        <v>156485</v>
      </c>
      <c r="B455" t="s">
        <v>61</v>
      </c>
      <c r="C455" t="s">
        <v>17</v>
      </c>
      <c r="D455">
        <v>2433</v>
      </c>
      <c r="E455">
        <v>403</v>
      </c>
      <c r="F455">
        <v>502</v>
      </c>
      <c r="G455">
        <v>86</v>
      </c>
      <c r="H455">
        <v>18284</v>
      </c>
      <c r="I455">
        <v>18</v>
      </c>
      <c r="J455">
        <v>41</v>
      </c>
      <c r="K455">
        <v>459</v>
      </c>
      <c r="L455">
        <v>449</v>
      </c>
      <c r="M455">
        <v>6.266666667</v>
      </c>
      <c r="N455">
        <f>IFERROR(VLOOKUP(A455,vlookup_table!$A:$G,2,FALSE),"")</f>
        <v>0</v>
      </c>
      <c r="O455">
        <f>IFERROR(VLOOKUP(A455,vlookup_table!$A:$G,4,FALSE),"")</f>
        <v>4101</v>
      </c>
      <c r="P455" t="str">
        <f>IFERROR(VLOOKUP(A455,vlookup_table!$A:$G,5,FALSE),"")</f>
        <v>U1</v>
      </c>
      <c r="Q455">
        <f>IFERROR(VLOOKUP(A455,vlookup_table!$A:$G,7,FALSE),"")</f>
        <v>10</v>
      </c>
      <c r="R455">
        <f t="shared" si="28"/>
        <v>56</v>
      </c>
      <c r="S455" t="str" cm="1">
        <f t="array" ref="S455">IF(P455="","",_xlfn.SWITCH(LEFT(P455,1),"C","Ciudad","T","Pueblo","R","Rural","S","Suburbano","U","Urbano",""))</f>
        <v>Urbano</v>
      </c>
      <c r="T455" t="str">
        <f t="shared" si="29"/>
        <v>F</v>
      </c>
      <c r="U455" t="str">
        <f t="shared" si="30"/>
        <v>CA</v>
      </c>
      <c r="V455" t="str">
        <f t="shared" si="31"/>
        <v>18284</v>
      </c>
    </row>
    <row r="456" spans="1:22" x14ac:dyDescent="0.35">
      <c r="A456" s="3">
        <v>39935</v>
      </c>
      <c r="B456" t="s">
        <v>13</v>
      </c>
      <c r="C456" t="s">
        <v>14</v>
      </c>
      <c r="D456">
        <v>1464</v>
      </c>
      <c r="E456">
        <v>305</v>
      </c>
      <c r="F456">
        <v>472</v>
      </c>
      <c r="G456">
        <v>7</v>
      </c>
      <c r="H456">
        <v>22648</v>
      </c>
      <c r="I456">
        <v>11</v>
      </c>
      <c r="J456">
        <v>13</v>
      </c>
      <c r="K456">
        <v>413</v>
      </c>
      <c r="L456">
        <v>377</v>
      </c>
      <c r="M456">
        <v>4</v>
      </c>
      <c r="N456">
        <f>IFERROR(VLOOKUP(A456,vlookup_table!$A:$G,2,FALSE),"")</f>
        <v>0</v>
      </c>
      <c r="O456">
        <f>IFERROR(VLOOKUP(A456,vlookup_table!$A:$G,4,FALSE),"")</f>
        <v>6001</v>
      </c>
      <c r="P456" t="str">
        <f>IFERROR(VLOOKUP(A456,vlookup_table!$A:$G,5,FALSE),"")</f>
        <v>C3</v>
      </c>
      <c r="Q456">
        <f>IFERROR(VLOOKUP(A456,vlookup_table!$A:$G,7,FALSE),"")</f>
        <v>4</v>
      </c>
      <c r="R456">
        <f t="shared" si="28"/>
        <v>37</v>
      </c>
      <c r="S456" t="str" cm="1">
        <f t="array" ref="S456">IF(P456="","",_xlfn.SWITCH(LEFT(P456,1),"C","Ciudad","T","Pueblo","R","Rural","S","Suburbano","U","Urbano",""))</f>
        <v>Ciudad</v>
      </c>
      <c r="T456" t="str">
        <f t="shared" si="29"/>
        <v>M</v>
      </c>
      <c r="U456" t="str">
        <f t="shared" si="30"/>
        <v>FL</v>
      </c>
      <c r="V456" t="str">
        <f t="shared" si="31"/>
        <v>22648</v>
      </c>
    </row>
    <row r="457" spans="1:22" x14ac:dyDescent="0.35">
      <c r="A457" s="3">
        <v>50187</v>
      </c>
      <c r="B457" t="s">
        <v>53</v>
      </c>
      <c r="C457" t="s">
        <v>30</v>
      </c>
      <c r="D457">
        <v>1052</v>
      </c>
      <c r="E457">
        <v>482</v>
      </c>
      <c r="F457">
        <v>541</v>
      </c>
      <c r="G457">
        <v>9</v>
      </c>
      <c r="H457">
        <v>20492</v>
      </c>
      <c r="I457">
        <v>1</v>
      </c>
      <c r="J457">
        <v>44</v>
      </c>
      <c r="K457">
        <v>499</v>
      </c>
      <c r="L457">
        <v>516</v>
      </c>
      <c r="M457">
        <v>20</v>
      </c>
      <c r="N457">
        <f>IFERROR(VLOOKUP(A457,vlookup_table!$A:$G,2,FALSE),"")</f>
        <v>0</v>
      </c>
      <c r="O457">
        <f>IFERROR(VLOOKUP(A457,vlookup_table!$A:$G,4,FALSE),"")</f>
        <v>0</v>
      </c>
      <c r="P457" t="str">
        <f>IFERROR(VLOOKUP(A457,vlookup_table!$A:$G,5,FALSE),"")</f>
        <v>C1</v>
      </c>
      <c r="Q457">
        <f>IFERROR(VLOOKUP(A457,vlookup_table!$A:$G,7,FALSE),"")</f>
        <v>20</v>
      </c>
      <c r="R457">
        <f t="shared" si="28"/>
        <v>97</v>
      </c>
      <c r="S457" t="str" cm="1">
        <f t="array" ref="S457">IF(P457="","",_xlfn.SWITCH(LEFT(P457,1),"C","Ciudad","T","Pueblo","R","Rural","S","Suburbano","U","Urbano",""))</f>
        <v>Ciudad</v>
      </c>
      <c r="T457" t="str">
        <f t="shared" si="29"/>
        <v>U</v>
      </c>
      <c r="U457" t="str">
        <f t="shared" si="30"/>
        <v>TN</v>
      </c>
      <c r="V457" t="str">
        <f t="shared" si="31"/>
        <v>20492</v>
      </c>
    </row>
    <row r="458" spans="1:22" x14ac:dyDescent="0.35">
      <c r="A458" s="3">
        <v>26254</v>
      </c>
      <c r="B458" t="s">
        <v>39</v>
      </c>
      <c r="C458" t="s">
        <v>17</v>
      </c>
      <c r="D458">
        <v>998</v>
      </c>
      <c r="E458">
        <v>488</v>
      </c>
      <c r="F458">
        <v>602</v>
      </c>
      <c r="G458">
        <v>21</v>
      </c>
      <c r="H458">
        <v>29540</v>
      </c>
      <c r="I458">
        <v>5</v>
      </c>
      <c r="J458">
        <v>51</v>
      </c>
      <c r="K458">
        <v>550</v>
      </c>
      <c r="L458">
        <v>581</v>
      </c>
      <c r="M458">
        <v>6.25</v>
      </c>
      <c r="N458">
        <f>IFERROR(VLOOKUP(A458,vlookup_table!$A:$G,2,FALSE),"")</f>
        <v>0</v>
      </c>
      <c r="O458">
        <f>IFERROR(VLOOKUP(A458,vlookup_table!$A:$G,4,FALSE),"")</f>
        <v>6801</v>
      </c>
      <c r="P458" t="str">
        <f>IFERROR(VLOOKUP(A458,vlookup_table!$A:$G,5,FALSE),"")</f>
        <v>C1</v>
      </c>
      <c r="Q458">
        <f>IFERROR(VLOOKUP(A458,vlookup_table!$A:$G,7,FALSE),"")</f>
        <v>10</v>
      </c>
      <c r="R458">
        <f t="shared" si="28"/>
        <v>29</v>
      </c>
      <c r="S458" t="str" cm="1">
        <f t="array" ref="S458">IF(P458="","",_xlfn.SWITCH(LEFT(P458,1),"C","Ciudad","T","Pueblo","R","Rural","S","Suburbano","U","Urbano",""))</f>
        <v>Ciudad</v>
      </c>
      <c r="T458" t="str">
        <f t="shared" si="29"/>
        <v>F</v>
      </c>
      <c r="U458" t="str">
        <f t="shared" si="30"/>
        <v>GA</v>
      </c>
      <c r="V458" t="str">
        <f t="shared" si="31"/>
        <v>29540</v>
      </c>
    </row>
    <row r="459" spans="1:22" x14ac:dyDescent="0.35">
      <c r="A459" s="3">
        <v>30433</v>
      </c>
      <c r="B459" t="s">
        <v>39</v>
      </c>
      <c r="C459" t="s">
        <v>17</v>
      </c>
      <c r="D459">
        <v>821</v>
      </c>
      <c r="E459">
        <v>390</v>
      </c>
      <c r="F459">
        <v>526</v>
      </c>
      <c r="G459">
        <v>1</v>
      </c>
      <c r="H459">
        <v>19734</v>
      </c>
      <c r="I459">
        <v>2</v>
      </c>
      <c r="J459">
        <v>58</v>
      </c>
      <c r="K459">
        <v>475</v>
      </c>
      <c r="L459">
        <v>425</v>
      </c>
      <c r="M459">
        <v>17.1875</v>
      </c>
      <c r="N459">
        <f>IFERROR(VLOOKUP(A459,vlookup_table!$A:$G,2,FALSE),"")</f>
        <v>28</v>
      </c>
      <c r="O459">
        <f>IFERROR(VLOOKUP(A459,vlookup_table!$A:$G,4,FALSE),"")</f>
        <v>2201</v>
      </c>
      <c r="P459" t="str">
        <f>IFERROR(VLOOKUP(A459,vlookup_table!$A:$G,5,FALSE),"")</f>
        <v>C1</v>
      </c>
      <c r="Q459">
        <f>IFERROR(VLOOKUP(A459,vlookup_table!$A:$G,7,FALSE),"")</f>
        <v>15</v>
      </c>
      <c r="R459">
        <f t="shared" si="28"/>
        <v>75</v>
      </c>
      <c r="S459" t="str" cm="1">
        <f t="array" ref="S459">IF(P459="","",_xlfn.SWITCH(LEFT(P459,1),"C","Ciudad","T","Pueblo","R","Rural","S","Suburbano","U","Urbano",""))</f>
        <v>Ciudad</v>
      </c>
      <c r="T459" t="str">
        <f t="shared" si="29"/>
        <v>F</v>
      </c>
      <c r="U459" t="str">
        <f t="shared" si="30"/>
        <v>GA</v>
      </c>
      <c r="V459" t="str">
        <f t="shared" si="31"/>
        <v>19734</v>
      </c>
    </row>
    <row r="460" spans="1:22" x14ac:dyDescent="0.35">
      <c r="A460" s="3">
        <v>189373</v>
      </c>
      <c r="B460" t="s">
        <v>61</v>
      </c>
      <c r="C460" t="s">
        <v>17</v>
      </c>
      <c r="D460">
        <v>2300</v>
      </c>
      <c r="E460">
        <v>311</v>
      </c>
      <c r="F460">
        <v>375</v>
      </c>
      <c r="G460">
        <v>68</v>
      </c>
      <c r="H460">
        <v>16133</v>
      </c>
      <c r="I460">
        <v>27</v>
      </c>
      <c r="J460">
        <v>42</v>
      </c>
      <c r="K460">
        <v>345</v>
      </c>
      <c r="L460">
        <v>350</v>
      </c>
      <c r="M460">
        <v>5.5333333329999999</v>
      </c>
      <c r="N460">
        <f>IFERROR(VLOOKUP(A460,vlookup_table!$A:$G,2,FALSE),"")</f>
        <v>0</v>
      </c>
      <c r="O460">
        <f>IFERROR(VLOOKUP(A460,vlookup_table!$A:$G,4,FALSE),"")</f>
        <v>1804</v>
      </c>
      <c r="P460" t="str">
        <f>IFERROR(VLOOKUP(A460,vlookup_table!$A:$G,5,FALSE),"")</f>
        <v>U2</v>
      </c>
      <c r="Q460">
        <f>IFERROR(VLOOKUP(A460,vlookup_table!$A:$G,7,FALSE),"")</f>
        <v>15</v>
      </c>
      <c r="R460">
        <f t="shared" si="28"/>
        <v>79</v>
      </c>
      <c r="S460" t="str" cm="1">
        <f t="array" ref="S460">IF(P460="","",_xlfn.SWITCH(LEFT(P460,1),"C","Ciudad","T","Pueblo","R","Rural","S","Suburbano","U","Urbano",""))</f>
        <v>Urbano</v>
      </c>
      <c r="T460" t="str">
        <f t="shared" si="29"/>
        <v>F</v>
      </c>
      <c r="U460" t="str">
        <f t="shared" si="30"/>
        <v>CA</v>
      </c>
      <c r="V460" t="str">
        <f t="shared" si="31"/>
        <v>16133</v>
      </c>
    </row>
    <row r="461" spans="1:22" x14ac:dyDescent="0.35">
      <c r="A461" s="3">
        <v>91756</v>
      </c>
      <c r="B461" t="s">
        <v>16</v>
      </c>
      <c r="C461" t="s">
        <v>14</v>
      </c>
      <c r="D461">
        <v>1852</v>
      </c>
      <c r="E461">
        <v>550</v>
      </c>
      <c r="F461">
        <v>614</v>
      </c>
      <c r="G461">
        <v>34</v>
      </c>
      <c r="H461">
        <v>17690</v>
      </c>
      <c r="I461">
        <v>7</v>
      </c>
      <c r="J461">
        <v>86</v>
      </c>
      <c r="K461">
        <v>561</v>
      </c>
      <c r="L461">
        <v>602</v>
      </c>
      <c r="M461">
        <v>7.3684210529999996</v>
      </c>
      <c r="N461">
        <f>IFERROR(VLOOKUP(A461,vlookup_table!$A:$G,2,FALSE),"")</f>
        <v>2</v>
      </c>
      <c r="O461">
        <f>IFERROR(VLOOKUP(A461,vlookup_table!$A:$G,4,FALSE),"")</f>
        <v>5810</v>
      </c>
      <c r="P461" t="str">
        <f>IFERROR(VLOOKUP(A461,vlookup_table!$A:$G,5,FALSE),"")</f>
        <v>T1</v>
      </c>
      <c r="Q461">
        <f>IFERROR(VLOOKUP(A461,vlookup_table!$A:$G,7,FALSE),"")</f>
        <v>7</v>
      </c>
      <c r="R461">
        <f t="shared" si="28"/>
        <v>39</v>
      </c>
      <c r="S461" t="str" cm="1">
        <f t="array" ref="S461">IF(P461="","",_xlfn.SWITCH(LEFT(P461,1),"C","Ciudad","T","Pueblo","R","Rural","S","Suburbano","U","Urbano",""))</f>
        <v>Pueblo</v>
      </c>
      <c r="T461" t="str">
        <f t="shared" si="29"/>
        <v>M</v>
      </c>
      <c r="U461" t="str">
        <f t="shared" si="30"/>
        <v>IL</v>
      </c>
      <c r="V461" t="str">
        <f t="shared" si="31"/>
        <v>17690</v>
      </c>
    </row>
    <row r="462" spans="1:22" x14ac:dyDescent="0.35">
      <c r="A462" s="3">
        <v>182279</v>
      </c>
      <c r="B462" t="s">
        <v>40</v>
      </c>
      <c r="C462" t="s">
        <v>17</v>
      </c>
      <c r="D462">
        <v>663</v>
      </c>
      <c r="E462">
        <v>205</v>
      </c>
      <c r="F462">
        <v>277</v>
      </c>
      <c r="G462">
        <v>0</v>
      </c>
      <c r="H462">
        <v>10959</v>
      </c>
      <c r="I462">
        <v>12</v>
      </c>
      <c r="J462">
        <v>41</v>
      </c>
      <c r="K462">
        <v>220</v>
      </c>
      <c r="L462">
        <v>234</v>
      </c>
      <c r="M462">
        <v>13.24</v>
      </c>
      <c r="N462">
        <f>IFERROR(VLOOKUP(A462,vlookup_table!$A:$G,2,FALSE),"")</f>
        <v>0</v>
      </c>
      <c r="O462">
        <f>IFERROR(VLOOKUP(A462,vlookup_table!$A:$G,4,FALSE),"")</f>
        <v>6201</v>
      </c>
      <c r="P462" t="str">
        <f>IFERROR(VLOOKUP(A462,vlookup_table!$A:$G,5,FALSE),"")</f>
        <v>C3</v>
      </c>
      <c r="Q462">
        <f>IFERROR(VLOOKUP(A462,vlookup_table!$A:$G,7,FALSE),"")</f>
        <v>20</v>
      </c>
      <c r="R462">
        <f t="shared" si="28"/>
        <v>35</v>
      </c>
      <c r="S462" t="str" cm="1">
        <f t="array" ref="S462">IF(P462="","",_xlfn.SWITCH(LEFT(P462,1),"C","Ciudad","T","Pueblo","R","Rural","S","Suburbano","U","Urbano",""))</f>
        <v>Ciudad</v>
      </c>
      <c r="T462" t="str">
        <f t="shared" si="29"/>
        <v>F</v>
      </c>
      <c r="U462" t="str">
        <f t="shared" si="30"/>
        <v>WA</v>
      </c>
      <c r="V462" t="str">
        <f t="shared" si="31"/>
        <v>10959</v>
      </c>
    </row>
    <row r="463" spans="1:22" x14ac:dyDescent="0.35">
      <c r="A463" s="3">
        <v>122465</v>
      </c>
      <c r="B463" t="s">
        <v>21</v>
      </c>
      <c r="C463" t="s">
        <v>17</v>
      </c>
      <c r="D463">
        <v>2056</v>
      </c>
      <c r="E463">
        <v>906</v>
      </c>
      <c r="F463">
        <v>957</v>
      </c>
      <c r="G463">
        <v>52</v>
      </c>
      <c r="H463">
        <v>29903</v>
      </c>
      <c r="I463">
        <v>4</v>
      </c>
      <c r="J463">
        <v>28</v>
      </c>
      <c r="K463">
        <v>924</v>
      </c>
      <c r="L463">
        <v>931</v>
      </c>
      <c r="M463">
        <v>7.2</v>
      </c>
      <c r="N463">
        <f>IFERROR(VLOOKUP(A463,vlookup_table!$A:$G,2,FALSE),"")</f>
        <v>0</v>
      </c>
      <c r="O463">
        <f>IFERROR(VLOOKUP(A463,vlookup_table!$A:$G,4,FALSE),"")</f>
        <v>4501</v>
      </c>
      <c r="P463" t="str">
        <f>IFERROR(VLOOKUP(A463,vlookup_table!$A:$G,5,FALSE),"")</f>
        <v>C1</v>
      </c>
      <c r="Q463">
        <f>IFERROR(VLOOKUP(A463,vlookup_table!$A:$G,7,FALSE),"")</f>
        <v>8</v>
      </c>
      <c r="R463">
        <f t="shared" si="28"/>
        <v>52</v>
      </c>
      <c r="S463" t="str" cm="1">
        <f t="array" ref="S463">IF(P463="","",_xlfn.SWITCH(LEFT(P463,1),"C","Ciudad","T","Pueblo","R","Rural","S","Suburbano","U","Urbano",""))</f>
        <v>Ciudad</v>
      </c>
      <c r="T463" t="str">
        <f t="shared" si="29"/>
        <v>F</v>
      </c>
      <c r="U463" t="str">
        <f t="shared" si="30"/>
        <v>TX</v>
      </c>
      <c r="V463" t="str">
        <f t="shared" si="31"/>
        <v>29903</v>
      </c>
    </row>
    <row r="464" spans="1:22" x14ac:dyDescent="0.35">
      <c r="A464" s="3">
        <v>24666</v>
      </c>
      <c r="B464" t="s">
        <v>46</v>
      </c>
      <c r="C464" t="s">
        <v>14</v>
      </c>
      <c r="D464">
        <v>916</v>
      </c>
      <c r="E464">
        <v>416</v>
      </c>
      <c r="F464">
        <v>468</v>
      </c>
      <c r="G464">
        <v>2</v>
      </c>
      <c r="H464">
        <v>14496</v>
      </c>
      <c r="I464">
        <v>1</v>
      </c>
      <c r="J464">
        <v>72</v>
      </c>
      <c r="K464">
        <v>435</v>
      </c>
      <c r="L464">
        <v>444</v>
      </c>
      <c r="M464">
        <v>10.9</v>
      </c>
      <c r="N464">
        <f>IFERROR(VLOOKUP(A464,vlookup_table!$A:$G,2,FALSE),"")</f>
        <v>1</v>
      </c>
      <c r="O464">
        <f>IFERROR(VLOOKUP(A464,vlookup_table!$A:$G,4,FALSE),"")</f>
        <v>5201</v>
      </c>
      <c r="P464" t="str">
        <f>IFERROR(VLOOKUP(A464,vlookup_table!$A:$G,5,FALSE),"")</f>
        <v>T2</v>
      </c>
      <c r="Q464">
        <f>IFERROR(VLOOKUP(A464,vlookup_table!$A:$G,7,FALSE),"")</f>
        <v>15</v>
      </c>
      <c r="R464">
        <f t="shared" si="28"/>
        <v>45</v>
      </c>
      <c r="S464" t="str" cm="1">
        <f t="array" ref="S464">IF(P464="","",_xlfn.SWITCH(LEFT(P464,1),"C","Ciudad","T","Pueblo","R","Rural","S","Suburbano","U","Urbano",""))</f>
        <v>Pueblo</v>
      </c>
      <c r="T464" t="str">
        <f t="shared" si="29"/>
        <v>M</v>
      </c>
      <c r="U464" t="str">
        <f t="shared" si="30"/>
        <v>SC</v>
      </c>
      <c r="V464" t="str">
        <f t="shared" si="31"/>
        <v>14496</v>
      </c>
    </row>
    <row r="465" spans="1:22" x14ac:dyDescent="0.35">
      <c r="A465" s="3">
        <v>19664</v>
      </c>
      <c r="B465" t="s">
        <v>18</v>
      </c>
      <c r="C465" t="s">
        <v>14</v>
      </c>
      <c r="D465">
        <v>2282</v>
      </c>
      <c r="E465">
        <v>908</v>
      </c>
      <c r="F465">
        <v>980</v>
      </c>
      <c r="G465">
        <v>62</v>
      </c>
      <c r="H465">
        <v>42236</v>
      </c>
      <c r="I465">
        <v>12</v>
      </c>
      <c r="J465">
        <v>34</v>
      </c>
      <c r="K465">
        <v>945</v>
      </c>
      <c r="L465">
        <v>938</v>
      </c>
      <c r="M465">
        <v>18</v>
      </c>
      <c r="N465">
        <f>IFERROR(VLOOKUP(A465,vlookup_table!$A:$G,2,FALSE),"")</f>
        <v>1</v>
      </c>
      <c r="O465">
        <f>IFERROR(VLOOKUP(A465,vlookup_table!$A:$G,4,FALSE),"")</f>
        <v>2301</v>
      </c>
      <c r="P465" t="str">
        <f>IFERROR(VLOOKUP(A465,vlookup_table!$A:$G,5,FALSE),"")</f>
        <v>S1</v>
      </c>
      <c r="Q465">
        <f>IFERROR(VLOOKUP(A465,vlookup_table!$A:$G,7,FALSE),"")</f>
        <v>10</v>
      </c>
      <c r="R465">
        <f t="shared" si="28"/>
        <v>74</v>
      </c>
      <c r="S465" t="str" cm="1">
        <f t="array" ref="S465">IF(P465="","",_xlfn.SWITCH(LEFT(P465,1),"C","Ciudad","T","Pueblo","R","Rural","S","Suburbano","U","Urbano",""))</f>
        <v>Suburbano</v>
      </c>
      <c r="T465" t="str">
        <f t="shared" si="29"/>
        <v>M</v>
      </c>
      <c r="U465" t="str">
        <f t="shared" si="30"/>
        <v>NC</v>
      </c>
      <c r="V465" t="str">
        <f t="shared" si="31"/>
        <v>42236</v>
      </c>
    </row>
    <row r="466" spans="1:22" x14ac:dyDescent="0.35">
      <c r="A466" s="3">
        <v>162228</v>
      </c>
      <c r="B466" t="s">
        <v>61</v>
      </c>
      <c r="C466" t="s">
        <v>17</v>
      </c>
      <c r="D466">
        <v>2883</v>
      </c>
      <c r="E466">
        <v>501</v>
      </c>
      <c r="F466">
        <v>649</v>
      </c>
      <c r="G466">
        <v>89</v>
      </c>
      <c r="H466">
        <v>34012</v>
      </c>
      <c r="I466">
        <v>25</v>
      </c>
      <c r="J466">
        <v>28</v>
      </c>
      <c r="K466">
        <v>532</v>
      </c>
      <c r="L466">
        <v>588</v>
      </c>
      <c r="M466">
        <v>13.33333333</v>
      </c>
      <c r="N466">
        <f>IFERROR(VLOOKUP(A466,vlookup_table!$A:$G,2,FALSE),"")</f>
        <v>0</v>
      </c>
      <c r="O466">
        <f>IFERROR(VLOOKUP(A466,vlookup_table!$A:$G,4,FALSE),"")</f>
        <v>0</v>
      </c>
      <c r="P466" t="str">
        <f>IFERROR(VLOOKUP(A466,vlookup_table!$A:$G,5,FALSE),"")</f>
        <v>U1</v>
      </c>
      <c r="Q466">
        <f>IFERROR(VLOOKUP(A466,vlookup_table!$A:$G,7,FALSE),"")</f>
        <v>25</v>
      </c>
      <c r="R466">
        <f t="shared" si="28"/>
        <v>97</v>
      </c>
      <c r="S466" t="str" cm="1">
        <f t="array" ref="S466">IF(P466="","",_xlfn.SWITCH(LEFT(P466,1),"C","Ciudad","T","Pueblo","R","Rural","S","Suburbano","U","Urbano",""))</f>
        <v>Urbano</v>
      </c>
      <c r="T466" t="str">
        <f t="shared" si="29"/>
        <v>F</v>
      </c>
      <c r="U466" t="str">
        <f t="shared" si="30"/>
        <v>CA</v>
      </c>
      <c r="V466" t="str">
        <f t="shared" si="31"/>
        <v>34012</v>
      </c>
    </row>
    <row r="467" spans="1:22" x14ac:dyDescent="0.35">
      <c r="A467" s="3">
        <v>76578</v>
      </c>
      <c r="B467" t="s">
        <v>47</v>
      </c>
      <c r="C467" t="s">
        <v>14</v>
      </c>
      <c r="D467">
        <v>637</v>
      </c>
      <c r="E467">
        <v>379</v>
      </c>
      <c r="F467">
        <v>407</v>
      </c>
      <c r="G467">
        <v>0</v>
      </c>
      <c r="H467">
        <v>12275</v>
      </c>
      <c r="I467">
        <v>1</v>
      </c>
      <c r="J467">
        <v>75</v>
      </c>
      <c r="K467">
        <v>425</v>
      </c>
      <c r="L467">
        <v>355</v>
      </c>
      <c r="M467">
        <v>8.615384615</v>
      </c>
      <c r="N467">
        <f>IFERROR(VLOOKUP(A467,vlookup_table!$A:$G,2,FALSE),"")</f>
        <v>1</v>
      </c>
      <c r="O467">
        <f>IFERROR(VLOOKUP(A467,vlookup_table!$A:$G,4,FALSE),"")</f>
        <v>5602</v>
      </c>
      <c r="P467" t="str">
        <f>IFERROR(VLOOKUP(A467,vlookup_table!$A:$G,5,FALSE),"")</f>
        <v>C2</v>
      </c>
      <c r="Q467">
        <f>IFERROR(VLOOKUP(A467,vlookup_table!$A:$G,7,FALSE),"")</f>
        <v>9</v>
      </c>
      <c r="R467">
        <f t="shared" si="28"/>
        <v>41</v>
      </c>
      <c r="S467" t="str" cm="1">
        <f t="array" ref="S467">IF(P467="","",_xlfn.SWITCH(LEFT(P467,1),"C","Ciudad","T","Pueblo","R","Rural","S","Suburbano","U","Urbano",""))</f>
        <v>Ciudad</v>
      </c>
      <c r="T467" t="str">
        <f t="shared" si="29"/>
        <v>M</v>
      </c>
      <c r="U467" t="str">
        <f t="shared" si="30"/>
        <v>IA</v>
      </c>
      <c r="V467" t="str">
        <f t="shared" si="31"/>
        <v>12275</v>
      </c>
    </row>
    <row r="468" spans="1:22" x14ac:dyDescent="0.35">
      <c r="A468" s="3">
        <v>52740</v>
      </c>
      <c r="B468" t="s">
        <v>53</v>
      </c>
      <c r="C468" t="s">
        <v>17</v>
      </c>
      <c r="D468">
        <v>273</v>
      </c>
      <c r="E468">
        <v>138</v>
      </c>
      <c r="F468">
        <v>163</v>
      </c>
      <c r="G468">
        <v>0</v>
      </c>
      <c r="H468">
        <v>7089</v>
      </c>
      <c r="I468">
        <v>0</v>
      </c>
      <c r="J468">
        <v>75</v>
      </c>
      <c r="K468">
        <v>150</v>
      </c>
      <c r="L468">
        <v>152</v>
      </c>
      <c r="M468">
        <v>7.6046511629999998</v>
      </c>
      <c r="N468">
        <f>IFERROR(VLOOKUP(A468,vlookup_table!$A:$G,2,FALSE),"")</f>
        <v>0</v>
      </c>
      <c r="O468">
        <f>IFERROR(VLOOKUP(A468,vlookup_table!$A:$G,4,FALSE),"")</f>
        <v>1604</v>
      </c>
      <c r="P468" t="str">
        <f>IFERROR(VLOOKUP(A468,vlookup_table!$A:$G,5,FALSE),"")</f>
        <v>C3</v>
      </c>
      <c r="Q468">
        <f>IFERROR(VLOOKUP(A468,vlookup_table!$A:$G,7,FALSE),"")</f>
        <v>8</v>
      </c>
      <c r="R468">
        <f t="shared" si="28"/>
        <v>81</v>
      </c>
      <c r="S468" t="str" cm="1">
        <f t="array" ref="S468">IF(P468="","",_xlfn.SWITCH(LEFT(P468,1),"C","Ciudad","T","Pueblo","R","Rural","S","Suburbano","U","Urbano",""))</f>
        <v>Ciudad</v>
      </c>
      <c r="T468" t="str">
        <f t="shared" si="29"/>
        <v>F</v>
      </c>
      <c r="U468" t="str">
        <f t="shared" si="30"/>
        <v>TN</v>
      </c>
      <c r="V468" t="str">
        <f t="shared" si="31"/>
        <v>7089</v>
      </c>
    </row>
    <row r="469" spans="1:22" x14ac:dyDescent="0.35">
      <c r="A469" s="3">
        <v>159174</v>
      </c>
      <c r="B469" t="s">
        <v>61</v>
      </c>
      <c r="C469" t="s">
        <v>17</v>
      </c>
      <c r="D469">
        <v>1709</v>
      </c>
      <c r="E469">
        <v>368</v>
      </c>
      <c r="F469">
        <v>454</v>
      </c>
      <c r="G469">
        <v>13</v>
      </c>
      <c r="H469">
        <v>14118</v>
      </c>
      <c r="I469">
        <v>23</v>
      </c>
      <c r="J469">
        <v>48</v>
      </c>
      <c r="K469">
        <v>422</v>
      </c>
      <c r="L469">
        <v>408</v>
      </c>
      <c r="M469">
        <v>7.1764705879999999</v>
      </c>
      <c r="N469">
        <f>IFERROR(VLOOKUP(A469,vlookup_table!$A:$G,2,FALSE),"")</f>
        <v>0</v>
      </c>
      <c r="O469">
        <f>IFERROR(VLOOKUP(A469,vlookup_table!$A:$G,4,FALSE),"")</f>
        <v>1504</v>
      </c>
      <c r="P469" t="str">
        <f>IFERROR(VLOOKUP(A469,vlookup_table!$A:$G,5,FALSE),"")</f>
        <v>C2</v>
      </c>
      <c r="Q469">
        <f>IFERROR(VLOOKUP(A469,vlookup_table!$A:$G,7,FALSE),"")</f>
        <v>10</v>
      </c>
      <c r="R469">
        <f t="shared" si="28"/>
        <v>82</v>
      </c>
      <c r="S469" t="str" cm="1">
        <f t="array" ref="S469">IF(P469="","",_xlfn.SWITCH(LEFT(P469,1),"C","Ciudad","T","Pueblo","R","Rural","S","Suburbano","U","Urbano",""))</f>
        <v>Ciudad</v>
      </c>
      <c r="T469" t="str">
        <f t="shared" si="29"/>
        <v>F</v>
      </c>
      <c r="U469" t="str">
        <f t="shared" si="30"/>
        <v>CA</v>
      </c>
      <c r="V469" t="str">
        <f t="shared" si="31"/>
        <v>14118</v>
      </c>
    </row>
    <row r="470" spans="1:22" x14ac:dyDescent="0.35">
      <c r="A470" s="3">
        <v>156903</v>
      </c>
      <c r="B470" t="s">
        <v>61</v>
      </c>
      <c r="C470" t="s">
        <v>14</v>
      </c>
      <c r="D470">
        <v>2307</v>
      </c>
      <c r="E470">
        <v>477</v>
      </c>
      <c r="F470">
        <v>499</v>
      </c>
      <c r="G470">
        <v>83</v>
      </c>
      <c r="H470">
        <v>14345</v>
      </c>
      <c r="I470">
        <v>13</v>
      </c>
      <c r="J470">
        <v>58</v>
      </c>
      <c r="K470">
        <v>478</v>
      </c>
      <c r="L470">
        <v>490</v>
      </c>
      <c r="M470">
        <v>3.2142857139999998</v>
      </c>
      <c r="N470">
        <f>IFERROR(VLOOKUP(A470,vlookup_table!$A:$G,2,FALSE),"")</f>
        <v>1</v>
      </c>
      <c r="O470">
        <f>IFERROR(VLOOKUP(A470,vlookup_table!$A:$G,4,FALSE),"")</f>
        <v>3901</v>
      </c>
      <c r="P470" t="str">
        <f>IFERROR(VLOOKUP(A470,vlookup_table!$A:$G,5,FALSE),"")</f>
        <v>U2</v>
      </c>
      <c r="Q470">
        <f>IFERROR(VLOOKUP(A470,vlookup_table!$A:$G,7,FALSE),"")</f>
        <v>3</v>
      </c>
      <c r="R470">
        <f t="shared" si="28"/>
        <v>58</v>
      </c>
      <c r="S470" t="str" cm="1">
        <f t="array" ref="S470">IF(P470="","",_xlfn.SWITCH(LEFT(P470,1),"C","Ciudad","T","Pueblo","R","Rural","S","Suburbano","U","Urbano",""))</f>
        <v>Urbano</v>
      </c>
      <c r="T470" t="str">
        <f t="shared" si="29"/>
        <v>M</v>
      </c>
      <c r="U470" t="str">
        <f t="shared" si="30"/>
        <v>CA</v>
      </c>
      <c r="V470" t="str">
        <f t="shared" si="31"/>
        <v>14345</v>
      </c>
    </row>
    <row r="471" spans="1:22" x14ac:dyDescent="0.35">
      <c r="A471" s="3">
        <v>177926</v>
      </c>
      <c r="B471" t="s">
        <v>50</v>
      </c>
      <c r="C471" t="s">
        <v>14</v>
      </c>
      <c r="D471">
        <v>691</v>
      </c>
      <c r="E471">
        <v>263</v>
      </c>
      <c r="F471">
        <v>360</v>
      </c>
      <c r="G471">
        <v>2</v>
      </c>
      <c r="H471">
        <v>12166</v>
      </c>
      <c r="I471">
        <v>2</v>
      </c>
      <c r="J471">
        <v>50</v>
      </c>
      <c r="K471">
        <v>308</v>
      </c>
      <c r="L471">
        <v>327</v>
      </c>
      <c r="M471">
        <v>9.8666666670000005</v>
      </c>
      <c r="N471">
        <f>IFERROR(VLOOKUP(A471,vlookup_table!$A:$G,2,FALSE),"")</f>
        <v>1</v>
      </c>
      <c r="O471">
        <f>IFERROR(VLOOKUP(A471,vlookup_table!$A:$G,4,FALSE),"")</f>
        <v>2604</v>
      </c>
      <c r="P471" t="str">
        <f>IFERROR(VLOOKUP(A471,vlookup_table!$A:$G,5,FALSE),"")</f>
        <v>R2</v>
      </c>
      <c r="Q471">
        <f>IFERROR(VLOOKUP(A471,vlookup_table!$A:$G,7,FALSE),"")</f>
        <v>15</v>
      </c>
      <c r="R471">
        <f t="shared" si="28"/>
        <v>71</v>
      </c>
      <c r="S471" t="str" cm="1">
        <f t="array" ref="S471">IF(P471="","",_xlfn.SWITCH(LEFT(P471,1),"C","Ciudad","T","Pueblo","R","Rural","S","Suburbano","U","Urbano",""))</f>
        <v>Rural</v>
      </c>
      <c r="T471" t="str">
        <f t="shared" si="29"/>
        <v>M</v>
      </c>
      <c r="U471" t="str">
        <f t="shared" si="30"/>
        <v>OR</v>
      </c>
      <c r="V471" t="str">
        <f t="shared" si="31"/>
        <v>12166</v>
      </c>
    </row>
    <row r="472" spans="1:22" x14ac:dyDescent="0.35">
      <c r="A472" s="3">
        <v>142057</v>
      </c>
      <c r="B472" t="s">
        <v>24</v>
      </c>
      <c r="D472">
        <v>2479</v>
      </c>
      <c r="E472">
        <v>409</v>
      </c>
      <c r="F472">
        <v>557</v>
      </c>
      <c r="G472">
        <v>63</v>
      </c>
      <c r="H472">
        <v>23023</v>
      </c>
      <c r="I472">
        <v>7</v>
      </c>
      <c r="J472">
        <v>10</v>
      </c>
      <c r="K472">
        <v>456</v>
      </c>
      <c r="L472">
        <v>500</v>
      </c>
      <c r="M472">
        <v>11.6</v>
      </c>
      <c r="N472">
        <f>IFERROR(VLOOKUP(A472,vlookup_table!$A:$G,2,FALSE),"")</f>
        <v>0</v>
      </c>
      <c r="O472">
        <f>IFERROR(VLOOKUP(A472,vlookup_table!$A:$G,4,FALSE),"")</f>
        <v>904</v>
      </c>
      <c r="P472" t="str">
        <f>IFERROR(VLOOKUP(A472,vlookup_table!$A:$G,5,FALSE),"")</f>
        <v>T1</v>
      </c>
      <c r="Q472">
        <f>IFERROR(VLOOKUP(A472,vlookup_table!$A:$G,7,FALSE),"")</f>
        <v>15</v>
      </c>
      <c r="R472">
        <f t="shared" si="28"/>
        <v>88</v>
      </c>
      <c r="S472" t="str" cm="1">
        <f t="array" ref="S472">IF(P472="","",_xlfn.SWITCH(LEFT(P472,1),"C","Ciudad","T","Pueblo","R","Rural","S","Suburbano","U","Urbano",""))</f>
        <v>Pueblo</v>
      </c>
      <c r="T472" t="str">
        <f t="shared" si="29"/>
        <v/>
      </c>
      <c r="U472" t="str">
        <f t="shared" si="30"/>
        <v>NV</v>
      </c>
      <c r="V472" t="str">
        <f t="shared" si="31"/>
        <v>23023</v>
      </c>
    </row>
    <row r="473" spans="1:22" x14ac:dyDescent="0.35">
      <c r="A473" s="3">
        <v>175637</v>
      </c>
      <c r="B473" t="s">
        <v>50</v>
      </c>
      <c r="C473" t="s">
        <v>14</v>
      </c>
      <c r="D473">
        <v>858</v>
      </c>
      <c r="E473">
        <v>502</v>
      </c>
      <c r="F473">
        <v>574</v>
      </c>
      <c r="G473">
        <v>7</v>
      </c>
      <c r="H473">
        <v>20867</v>
      </c>
      <c r="I473">
        <v>6</v>
      </c>
      <c r="J473">
        <v>52</v>
      </c>
      <c r="K473">
        <v>505</v>
      </c>
      <c r="L473">
        <v>555</v>
      </c>
      <c r="M473">
        <v>15</v>
      </c>
      <c r="N473">
        <f>IFERROR(VLOOKUP(A473,vlookup_table!$A:$G,2,FALSE),"")</f>
        <v>1</v>
      </c>
      <c r="O473">
        <f>IFERROR(VLOOKUP(A473,vlookup_table!$A:$G,4,FALSE),"")</f>
        <v>4501</v>
      </c>
      <c r="P473" t="str">
        <f>IFERROR(VLOOKUP(A473,vlookup_table!$A:$G,5,FALSE),"")</f>
        <v>S1</v>
      </c>
      <c r="Q473">
        <f>IFERROR(VLOOKUP(A473,vlookup_table!$A:$G,7,FALSE),"")</f>
        <v>20</v>
      </c>
      <c r="R473">
        <f t="shared" si="28"/>
        <v>52</v>
      </c>
      <c r="S473" t="str" cm="1">
        <f t="array" ref="S473">IF(P473="","",_xlfn.SWITCH(LEFT(P473,1),"C","Ciudad","T","Pueblo","R","Rural","S","Suburbano","U","Urbano",""))</f>
        <v>Suburbano</v>
      </c>
      <c r="T473" t="str">
        <f t="shared" si="29"/>
        <v>M</v>
      </c>
      <c r="U473" t="str">
        <f t="shared" si="30"/>
        <v>OR</v>
      </c>
      <c r="V473" t="str">
        <f t="shared" si="31"/>
        <v>20867</v>
      </c>
    </row>
    <row r="474" spans="1:22" x14ac:dyDescent="0.35">
      <c r="A474" s="3">
        <v>32096</v>
      </c>
      <c r="B474" t="s">
        <v>13</v>
      </c>
      <c r="C474" t="s">
        <v>14</v>
      </c>
      <c r="D474">
        <v>351</v>
      </c>
      <c r="E474">
        <v>205</v>
      </c>
      <c r="F474">
        <v>254</v>
      </c>
      <c r="G474">
        <v>0</v>
      </c>
      <c r="H474">
        <v>8456</v>
      </c>
      <c r="I474">
        <v>1</v>
      </c>
      <c r="J474">
        <v>76</v>
      </c>
      <c r="K474">
        <v>225</v>
      </c>
      <c r="L474">
        <v>238</v>
      </c>
      <c r="M474">
        <v>13</v>
      </c>
      <c r="N474">
        <f>IFERROR(VLOOKUP(A474,vlookup_table!$A:$G,2,FALSE),"")</f>
        <v>1</v>
      </c>
      <c r="O474">
        <f>IFERROR(VLOOKUP(A474,vlookup_table!$A:$G,4,FALSE),"")</f>
        <v>4501</v>
      </c>
      <c r="P474" t="str">
        <f>IFERROR(VLOOKUP(A474,vlookup_table!$A:$G,5,FALSE),"")</f>
        <v>R3</v>
      </c>
      <c r="Q474">
        <f>IFERROR(VLOOKUP(A474,vlookup_table!$A:$G,7,FALSE),"")</f>
        <v>16</v>
      </c>
      <c r="R474">
        <f t="shared" si="28"/>
        <v>52</v>
      </c>
      <c r="S474" t="str" cm="1">
        <f t="array" ref="S474">IF(P474="","",_xlfn.SWITCH(LEFT(P474,1),"C","Ciudad","T","Pueblo","R","Rural","S","Suburbano","U","Urbano",""))</f>
        <v>Rural</v>
      </c>
      <c r="T474" t="str">
        <f t="shared" si="29"/>
        <v>M</v>
      </c>
      <c r="U474" t="str">
        <f t="shared" si="30"/>
        <v>FL</v>
      </c>
      <c r="V474" t="str">
        <f t="shared" si="31"/>
        <v>8456</v>
      </c>
    </row>
    <row r="475" spans="1:22" x14ac:dyDescent="0.35">
      <c r="A475" s="3">
        <v>26946</v>
      </c>
      <c r="B475" t="s">
        <v>39</v>
      </c>
      <c r="C475" t="s">
        <v>17</v>
      </c>
      <c r="D475">
        <v>1672</v>
      </c>
      <c r="E475">
        <v>722</v>
      </c>
      <c r="F475">
        <v>770</v>
      </c>
      <c r="G475">
        <v>17</v>
      </c>
      <c r="H475">
        <v>29286</v>
      </c>
      <c r="I475">
        <v>6</v>
      </c>
      <c r="J475">
        <v>31</v>
      </c>
      <c r="K475">
        <v>732</v>
      </c>
      <c r="L475">
        <v>765</v>
      </c>
      <c r="M475">
        <v>23</v>
      </c>
      <c r="N475">
        <f>IFERROR(VLOOKUP(A475,vlookup_table!$A:$G,2,FALSE),"")</f>
        <v>0</v>
      </c>
      <c r="O475">
        <f>IFERROR(VLOOKUP(A475,vlookup_table!$A:$G,4,FALSE),"")</f>
        <v>7001</v>
      </c>
      <c r="P475">
        <f>IFERROR(VLOOKUP(A475,vlookup_table!$A:$G,5,FALSE),"")</f>
        <v>0</v>
      </c>
      <c r="Q475">
        <f>IFERROR(VLOOKUP(A475,vlookup_table!$A:$G,7,FALSE),"")</f>
        <v>30</v>
      </c>
      <c r="R475">
        <f t="shared" si="28"/>
        <v>27</v>
      </c>
      <c r="S475" t="str" cm="1">
        <f t="array" ref="S475">IF(P475="","",_xlfn.SWITCH(LEFT(P475,1),"C","Ciudad","T","Pueblo","R","Rural","S","Suburbano","U","Urbano",""))</f>
        <v/>
      </c>
      <c r="T475" t="str">
        <f t="shared" si="29"/>
        <v>F</v>
      </c>
      <c r="U475" t="str">
        <f t="shared" si="30"/>
        <v>GA</v>
      </c>
      <c r="V475" t="str">
        <f t="shared" si="31"/>
        <v>29286</v>
      </c>
    </row>
    <row r="476" spans="1:22" x14ac:dyDescent="0.35">
      <c r="A476" s="3">
        <v>160863</v>
      </c>
      <c r="B476" t="s">
        <v>61</v>
      </c>
      <c r="C476" t="s">
        <v>44</v>
      </c>
      <c r="D476">
        <v>1069</v>
      </c>
      <c r="E476">
        <v>267</v>
      </c>
      <c r="F476">
        <v>369</v>
      </c>
      <c r="G476">
        <v>0</v>
      </c>
      <c r="H476">
        <v>11849</v>
      </c>
      <c r="I476">
        <v>11</v>
      </c>
      <c r="J476">
        <v>59</v>
      </c>
      <c r="K476">
        <v>320</v>
      </c>
      <c r="L476">
        <v>318</v>
      </c>
      <c r="M476">
        <v>8.2222222219999992</v>
      </c>
      <c r="N476">
        <f>IFERROR(VLOOKUP(A476,vlookup_table!$A:$G,2,FALSE),"")</f>
        <v>1002</v>
      </c>
      <c r="O476">
        <f>IFERROR(VLOOKUP(A476,vlookup_table!$A:$G,4,FALSE),"")</f>
        <v>0</v>
      </c>
      <c r="P476" t="str">
        <f>IFERROR(VLOOKUP(A476,vlookup_table!$A:$G,5,FALSE),"")</f>
        <v>C2</v>
      </c>
      <c r="Q476">
        <f>IFERROR(VLOOKUP(A476,vlookup_table!$A:$G,7,FALSE),"")</f>
        <v>10</v>
      </c>
      <c r="R476">
        <f t="shared" si="28"/>
        <v>97</v>
      </c>
      <c r="S476" t="str" cm="1">
        <f t="array" ref="S476">IF(P476="","",_xlfn.SWITCH(LEFT(P476,1),"C","Ciudad","T","Pueblo","R","Rural","S","Suburbano","U","Urbano",""))</f>
        <v>Ciudad</v>
      </c>
      <c r="T476" t="str">
        <f t="shared" si="29"/>
        <v>J</v>
      </c>
      <c r="U476" t="str">
        <f t="shared" si="30"/>
        <v>CA</v>
      </c>
      <c r="V476" t="str">
        <f t="shared" si="31"/>
        <v>11849</v>
      </c>
    </row>
    <row r="477" spans="1:22" x14ac:dyDescent="0.35">
      <c r="A477" s="3">
        <v>57162</v>
      </c>
      <c r="B477" t="s">
        <v>57</v>
      </c>
      <c r="C477" t="s">
        <v>17</v>
      </c>
      <c r="D477">
        <v>463</v>
      </c>
      <c r="E477">
        <v>249</v>
      </c>
      <c r="F477">
        <v>298</v>
      </c>
      <c r="G477">
        <v>0</v>
      </c>
      <c r="H477">
        <v>11621</v>
      </c>
      <c r="I477">
        <v>1</v>
      </c>
      <c r="J477">
        <v>88</v>
      </c>
      <c r="K477">
        <v>265</v>
      </c>
      <c r="L477">
        <v>308</v>
      </c>
      <c r="M477">
        <v>11.5</v>
      </c>
      <c r="N477">
        <f>IFERROR(VLOOKUP(A477,vlookup_table!$A:$G,2,FALSE),"")</f>
        <v>0</v>
      </c>
      <c r="O477">
        <f>IFERROR(VLOOKUP(A477,vlookup_table!$A:$G,4,FALSE),"")</f>
        <v>5501</v>
      </c>
      <c r="P477" t="str">
        <f>IFERROR(VLOOKUP(A477,vlookup_table!$A:$G,5,FALSE),"")</f>
        <v>T2</v>
      </c>
      <c r="Q477">
        <f>IFERROR(VLOOKUP(A477,vlookup_table!$A:$G,7,FALSE),"")</f>
        <v>20</v>
      </c>
      <c r="R477">
        <f t="shared" si="28"/>
        <v>42</v>
      </c>
      <c r="S477" t="str" cm="1">
        <f t="array" ref="S477">IF(P477="","",_xlfn.SWITCH(LEFT(P477,1),"C","Ciudad","T","Pueblo","R","Rural","S","Suburbano","U","Urbano",""))</f>
        <v>Pueblo</v>
      </c>
      <c r="T477" t="str">
        <f t="shared" si="29"/>
        <v>F</v>
      </c>
      <c r="U477" t="str">
        <f t="shared" si="30"/>
        <v>KY</v>
      </c>
      <c r="V477" t="str">
        <f t="shared" si="31"/>
        <v>11621</v>
      </c>
    </row>
    <row r="478" spans="1:22" x14ac:dyDescent="0.35">
      <c r="A478" s="3">
        <v>12220</v>
      </c>
      <c r="B478" t="s">
        <v>53</v>
      </c>
      <c r="C478" t="s">
        <v>14</v>
      </c>
      <c r="D478">
        <v>470</v>
      </c>
      <c r="E478">
        <v>245</v>
      </c>
      <c r="F478">
        <v>348</v>
      </c>
      <c r="G478">
        <v>0</v>
      </c>
      <c r="H478">
        <v>12519</v>
      </c>
      <c r="I478">
        <v>0</v>
      </c>
      <c r="J478">
        <v>73</v>
      </c>
      <c r="K478">
        <v>273</v>
      </c>
      <c r="L478">
        <v>314</v>
      </c>
      <c r="M478">
        <v>6.5555555559999998</v>
      </c>
      <c r="N478">
        <f>IFERROR(VLOOKUP(A478,vlookup_table!$A:$G,2,FALSE),"")</f>
        <v>0</v>
      </c>
      <c r="O478">
        <f>IFERROR(VLOOKUP(A478,vlookup_table!$A:$G,4,FALSE),"")</f>
        <v>5301</v>
      </c>
      <c r="P478" t="str">
        <f>IFERROR(VLOOKUP(A478,vlookup_table!$A:$G,5,FALSE),"")</f>
        <v>T2</v>
      </c>
      <c r="Q478">
        <f>IFERROR(VLOOKUP(A478,vlookup_table!$A:$G,7,FALSE),"")</f>
        <v>5</v>
      </c>
      <c r="R478">
        <f t="shared" si="28"/>
        <v>44</v>
      </c>
      <c r="S478" t="str" cm="1">
        <f t="array" ref="S478">IF(P478="","",_xlfn.SWITCH(LEFT(P478,1),"C","Ciudad","T","Pueblo","R","Rural","S","Suburbano","U","Urbano",""))</f>
        <v>Pueblo</v>
      </c>
      <c r="T478" t="str">
        <f t="shared" si="29"/>
        <v>M</v>
      </c>
      <c r="U478" t="str">
        <f t="shared" si="30"/>
        <v>TN</v>
      </c>
      <c r="V478" t="str">
        <f t="shared" si="31"/>
        <v>12519</v>
      </c>
    </row>
    <row r="479" spans="1:22" x14ac:dyDescent="0.35">
      <c r="A479" s="3">
        <v>170563</v>
      </c>
      <c r="B479" t="s">
        <v>61</v>
      </c>
      <c r="C479" t="s">
        <v>17</v>
      </c>
      <c r="D479">
        <v>1248</v>
      </c>
      <c r="E479">
        <v>289</v>
      </c>
      <c r="F479">
        <v>379</v>
      </c>
      <c r="G479">
        <v>1</v>
      </c>
      <c r="H479">
        <v>17282</v>
      </c>
      <c r="I479">
        <v>6</v>
      </c>
      <c r="J479">
        <v>47</v>
      </c>
      <c r="K479">
        <v>348</v>
      </c>
      <c r="L479">
        <v>346</v>
      </c>
      <c r="M479">
        <v>7.5</v>
      </c>
      <c r="N479">
        <f>IFERROR(VLOOKUP(A479,vlookup_table!$A:$G,2,FALSE),"")</f>
        <v>0</v>
      </c>
      <c r="O479">
        <f>IFERROR(VLOOKUP(A479,vlookup_table!$A:$G,4,FALSE),"")</f>
        <v>3201</v>
      </c>
      <c r="P479" t="str">
        <f>IFERROR(VLOOKUP(A479,vlookup_table!$A:$G,5,FALSE),"")</f>
        <v>U3</v>
      </c>
      <c r="Q479">
        <f>IFERROR(VLOOKUP(A479,vlookup_table!$A:$G,7,FALSE),"")</f>
        <v>5</v>
      </c>
      <c r="R479">
        <f t="shared" si="28"/>
        <v>65</v>
      </c>
      <c r="S479" t="str" cm="1">
        <f t="array" ref="S479">IF(P479="","",_xlfn.SWITCH(LEFT(P479,1),"C","Ciudad","T","Pueblo","R","Rural","S","Suburbano","U","Urbano",""))</f>
        <v>Urbano</v>
      </c>
      <c r="T479" t="str">
        <f t="shared" si="29"/>
        <v>F</v>
      </c>
      <c r="U479" t="str">
        <f t="shared" si="30"/>
        <v>CA</v>
      </c>
      <c r="V479" t="str">
        <f t="shared" si="31"/>
        <v>17282</v>
      </c>
    </row>
    <row r="480" spans="1:22" x14ac:dyDescent="0.35">
      <c r="A480" s="3">
        <v>79389</v>
      </c>
      <c r="B480" t="s">
        <v>35</v>
      </c>
      <c r="C480" t="s">
        <v>51</v>
      </c>
      <c r="D480">
        <v>492</v>
      </c>
      <c r="E480">
        <v>316</v>
      </c>
      <c r="F480">
        <v>339</v>
      </c>
      <c r="G480">
        <v>0</v>
      </c>
      <c r="H480">
        <v>12451</v>
      </c>
      <c r="I480">
        <v>1</v>
      </c>
      <c r="J480">
        <v>80</v>
      </c>
      <c r="K480">
        <v>349</v>
      </c>
      <c r="L480">
        <v>304</v>
      </c>
      <c r="M480">
        <v>10.14285714</v>
      </c>
      <c r="N480">
        <f>IFERROR(VLOOKUP(A480,vlookup_table!$A:$G,2,FALSE),"")</f>
        <v>0</v>
      </c>
      <c r="O480">
        <f>IFERROR(VLOOKUP(A480,vlookup_table!$A:$G,4,FALSE),"")</f>
        <v>3101</v>
      </c>
      <c r="P480" t="str">
        <f>IFERROR(VLOOKUP(A480,vlookup_table!$A:$G,5,FALSE),"")</f>
        <v>T2</v>
      </c>
      <c r="Q480">
        <f>IFERROR(VLOOKUP(A480,vlookup_table!$A:$G,7,FALSE),"")</f>
        <v>11</v>
      </c>
      <c r="R480">
        <f t="shared" si="28"/>
        <v>66</v>
      </c>
      <c r="S480" t="str" cm="1">
        <f t="array" ref="S480">IF(P480="","",_xlfn.SWITCH(LEFT(P480,1),"C","Ciudad","T","Pueblo","R","Rural","S","Suburbano","U","Urbano",""))</f>
        <v>Pueblo</v>
      </c>
      <c r="T480" t="str">
        <f t="shared" si="29"/>
        <v>M</v>
      </c>
      <c r="U480" t="str">
        <f t="shared" si="30"/>
        <v>WI</v>
      </c>
      <c r="V480" t="str">
        <f t="shared" si="31"/>
        <v>12451</v>
      </c>
    </row>
    <row r="481" spans="1:22" x14ac:dyDescent="0.35">
      <c r="A481" s="3">
        <v>180752</v>
      </c>
      <c r="B481" t="s">
        <v>40</v>
      </c>
      <c r="C481" t="s">
        <v>51</v>
      </c>
      <c r="D481">
        <v>2800</v>
      </c>
      <c r="E481">
        <v>368</v>
      </c>
      <c r="F481">
        <v>528</v>
      </c>
      <c r="G481">
        <v>62</v>
      </c>
      <c r="H481">
        <v>25386</v>
      </c>
      <c r="I481">
        <v>9</v>
      </c>
      <c r="J481">
        <v>34</v>
      </c>
      <c r="K481">
        <v>438</v>
      </c>
      <c r="L481">
        <v>500</v>
      </c>
      <c r="M481">
        <v>6.1666666670000003</v>
      </c>
      <c r="N481">
        <f>IFERROR(VLOOKUP(A481,vlookup_table!$A:$G,2,FALSE),"")</f>
        <v>1</v>
      </c>
      <c r="O481">
        <f>IFERROR(VLOOKUP(A481,vlookup_table!$A:$G,4,FALSE),"")</f>
        <v>3901</v>
      </c>
      <c r="P481" t="str">
        <f>IFERROR(VLOOKUP(A481,vlookup_table!$A:$G,5,FALSE),"")</f>
        <v>C1</v>
      </c>
      <c r="Q481">
        <f>IFERROR(VLOOKUP(A481,vlookup_table!$A:$G,7,FALSE),"")</f>
        <v>8</v>
      </c>
      <c r="R481">
        <f t="shared" si="28"/>
        <v>58</v>
      </c>
      <c r="S481" t="str" cm="1">
        <f t="array" ref="S481">IF(P481="","",_xlfn.SWITCH(LEFT(P481,1),"C","Ciudad","T","Pueblo","R","Rural","S","Suburbano","U","Urbano",""))</f>
        <v>Ciudad</v>
      </c>
      <c r="T481" t="str">
        <f t="shared" si="29"/>
        <v>M</v>
      </c>
      <c r="U481" t="str">
        <f t="shared" si="30"/>
        <v>WA</v>
      </c>
      <c r="V481" t="str">
        <f t="shared" si="31"/>
        <v>25386</v>
      </c>
    </row>
    <row r="482" spans="1:22" x14ac:dyDescent="0.35">
      <c r="A482" s="3">
        <v>82701</v>
      </c>
      <c r="B482" t="s">
        <v>56</v>
      </c>
      <c r="C482" t="s">
        <v>17</v>
      </c>
      <c r="D482">
        <v>994</v>
      </c>
      <c r="E482">
        <v>437</v>
      </c>
      <c r="F482">
        <v>540</v>
      </c>
      <c r="G482">
        <v>11</v>
      </c>
      <c r="H482">
        <v>18133</v>
      </c>
      <c r="I482">
        <v>4</v>
      </c>
      <c r="J482">
        <v>72</v>
      </c>
      <c r="K482">
        <v>488</v>
      </c>
      <c r="L482">
        <v>491</v>
      </c>
      <c r="M482">
        <v>10</v>
      </c>
      <c r="N482">
        <f>IFERROR(VLOOKUP(A482,vlookup_table!$A:$G,2,FALSE),"")</f>
        <v>2</v>
      </c>
      <c r="O482">
        <f>IFERROR(VLOOKUP(A482,vlookup_table!$A:$G,4,FALSE),"")</f>
        <v>6001</v>
      </c>
      <c r="P482" t="str">
        <f>IFERROR(VLOOKUP(A482,vlookup_table!$A:$G,5,FALSE),"")</f>
        <v>S1</v>
      </c>
      <c r="Q482">
        <f>IFERROR(VLOOKUP(A482,vlookup_table!$A:$G,7,FALSE),"")</f>
        <v>25</v>
      </c>
      <c r="R482">
        <f t="shared" si="28"/>
        <v>37</v>
      </c>
      <c r="S482" t="str" cm="1">
        <f t="array" ref="S482">IF(P482="","",_xlfn.SWITCH(LEFT(P482,1),"C","Ciudad","T","Pueblo","R","Rural","S","Suburbano","U","Urbano",""))</f>
        <v>Suburbano</v>
      </c>
      <c r="T482" t="str">
        <f t="shared" si="29"/>
        <v>F</v>
      </c>
      <c r="U482" t="str">
        <f t="shared" si="30"/>
        <v>MN</v>
      </c>
      <c r="V482" t="str">
        <f t="shared" si="31"/>
        <v>18133</v>
      </c>
    </row>
    <row r="483" spans="1:22" x14ac:dyDescent="0.35">
      <c r="A483" s="3">
        <v>158506</v>
      </c>
      <c r="B483" t="s">
        <v>61</v>
      </c>
      <c r="C483" t="s">
        <v>17</v>
      </c>
      <c r="D483">
        <v>1654</v>
      </c>
      <c r="E483">
        <v>159</v>
      </c>
      <c r="F483">
        <v>313</v>
      </c>
      <c r="G483">
        <v>20</v>
      </c>
      <c r="H483">
        <v>8018</v>
      </c>
      <c r="I483">
        <v>32</v>
      </c>
      <c r="J483">
        <v>44</v>
      </c>
      <c r="K483">
        <v>203</v>
      </c>
      <c r="L483">
        <v>266</v>
      </c>
      <c r="M483">
        <v>10</v>
      </c>
      <c r="N483">
        <f>IFERROR(VLOOKUP(A483,vlookup_table!$A:$G,2,FALSE),"")</f>
        <v>28</v>
      </c>
      <c r="O483">
        <f>IFERROR(VLOOKUP(A483,vlookup_table!$A:$G,4,FALSE),"")</f>
        <v>5201</v>
      </c>
      <c r="P483" t="str">
        <f>IFERROR(VLOOKUP(A483,vlookup_table!$A:$G,5,FALSE),"")</f>
        <v>U3</v>
      </c>
      <c r="Q483">
        <f>IFERROR(VLOOKUP(A483,vlookup_table!$A:$G,7,FALSE),"")</f>
        <v>15</v>
      </c>
      <c r="R483">
        <f t="shared" si="28"/>
        <v>45</v>
      </c>
      <c r="S483" t="str" cm="1">
        <f t="array" ref="S483">IF(P483="","",_xlfn.SWITCH(LEFT(P483,1),"C","Ciudad","T","Pueblo","R","Rural","S","Suburbano","U","Urbano",""))</f>
        <v>Urbano</v>
      </c>
      <c r="T483" t="str">
        <f t="shared" si="29"/>
        <v>F</v>
      </c>
      <c r="U483" t="str">
        <f t="shared" si="30"/>
        <v>CA</v>
      </c>
      <c r="V483" t="str">
        <f t="shared" si="31"/>
        <v>8018</v>
      </c>
    </row>
    <row r="484" spans="1:22" x14ac:dyDescent="0.35">
      <c r="A484" s="3">
        <v>84708</v>
      </c>
      <c r="B484" t="s">
        <v>56</v>
      </c>
      <c r="C484" t="s">
        <v>17</v>
      </c>
      <c r="D484">
        <v>653</v>
      </c>
      <c r="E484">
        <v>327</v>
      </c>
      <c r="F484">
        <v>395</v>
      </c>
      <c r="G484">
        <v>0</v>
      </c>
      <c r="H484">
        <v>13079</v>
      </c>
      <c r="I484">
        <v>0</v>
      </c>
      <c r="J484">
        <v>25</v>
      </c>
      <c r="K484">
        <v>364</v>
      </c>
      <c r="L484">
        <v>350</v>
      </c>
      <c r="M484">
        <v>17</v>
      </c>
      <c r="N484">
        <f>IFERROR(VLOOKUP(A484,vlookup_table!$A:$G,2,FALSE),"")</f>
        <v>28</v>
      </c>
      <c r="O484">
        <f>IFERROR(VLOOKUP(A484,vlookup_table!$A:$G,4,FALSE),"")</f>
        <v>3801</v>
      </c>
      <c r="P484" t="str">
        <f>IFERROR(VLOOKUP(A484,vlookup_table!$A:$G,5,FALSE),"")</f>
        <v>T2</v>
      </c>
      <c r="Q484">
        <f>IFERROR(VLOOKUP(A484,vlookup_table!$A:$G,7,FALSE),"")</f>
        <v>25</v>
      </c>
      <c r="R484">
        <f t="shared" si="28"/>
        <v>59</v>
      </c>
      <c r="S484" t="str" cm="1">
        <f t="array" ref="S484">IF(P484="","",_xlfn.SWITCH(LEFT(P484,1),"C","Ciudad","T","Pueblo","R","Rural","S","Suburbano","U","Urbano",""))</f>
        <v>Pueblo</v>
      </c>
      <c r="T484" t="str">
        <f t="shared" si="29"/>
        <v>F</v>
      </c>
      <c r="U484" t="str">
        <f t="shared" si="30"/>
        <v>MN</v>
      </c>
      <c r="V484" t="str">
        <f t="shared" si="31"/>
        <v>13079</v>
      </c>
    </row>
    <row r="485" spans="1:22" x14ac:dyDescent="0.35">
      <c r="A485" s="3">
        <v>103543</v>
      </c>
      <c r="B485" t="s">
        <v>36</v>
      </c>
      <c r="C485" t="s">
        <v>14</v>
      </c>
      <c r="D485">
        <v>402</v>
      </c>
      <c r="E485">
        <v>162</v>
      </c>
      <c r="F485">
        <v>241</v>
      </c>
      <c r="G485">
        <v>0</v>
      </c>
      <c r="H485">
        <v>9434</v>
      </c>
      <c r="I485">
        <v>0</v>
      </c>
      <c r="J485">
        <v>65</v>
      </c>
      <c r="K485">
        <v>192</v>
      </c>
      <c r="L485">
        <v>210</v>
      </c>
      <c r="M485">
        <v>9.2142857140000007</v>
      </c>
      <c r="N485">
        <f>IFERROR(VLOOKUP(A485,vlookup_table!$A:$G,2,FALSE),"")</f>
        <v>1</v>
      </c>
      <c r="O485">
        <f>IFERROR(VLOOKUP(A485,vlookup_table!$A:$G,4,FALSE),"")</f>
        <v>1908</v>
      </c>
      <c r="P485" t="str">
        <f>IFERROR(VLOOKUP(A485,vlookup_table!$A:$G,5,FALSE),"")</f>
        <v>R3</v>
      </c>
      <c r="Q485">
        <f>IFERROR(VLOOKUP(A485,vlookup_table!$A:$G,7,FALSE),"")</f>
        <v>11</v>
      </c>
      <c r="R485">
        <f t="shared" si="28"/>
        <v>78</v>
      </c>
      <c r="S485" t="str" cm="1">
        <f t="array" ref="S485">IF(P485="","",_xlfn.SWITCH(LEFT(P485,1),"C","Ciudad","T","Pueblo","R","Rural","S","Suburbano","U","Urbano",""))</f>
        <v>Rural</v>
      </c>
      <c r="T485" t="str">
        <f t="shared" si="29"/>
        <v>M</v>
      </c>
      <c r="U485" t="str">
        <f t="shared" si="30"/>
        <v>MO</v>
      </c>
      <c r="V485" t="str">
        <f t="shared" si="31"/>
        <v>9434</v>
      </c>
    </row>
    <row r="486" spans="1:22" x14ac:dyDescent="0.35">
      <c r="A486" s="3">
        <v>164175</v>
      </c>
      <c r="B486" t="s">
        <v>61</v>
      </c>
      <c r="C486" t="s">
        <v>17</v>
      </c>
      <c r="D486">
        <v>1914</v>
      </c>
      <c r="E486">
        <v>351</v>
      </c>
      <c r="F486">
        <v>437</v>
      </c>
      <c r="G486">
        <v>46</v>
      </c>
      <c r="H486">
        <v>18951</v>
      </c>
      <c r="I486">
        <v>6</v>
      </c>
      <c r="J486">
        <v>51</v>
      </c>
      <c r="K486">
        <v>399</v>
      </c>
      <c r="L486">
        <v>392</v>
      </c>
      <c r="M486">
        <v>9.0909090910000003</v>
      </c>
      <c r="N486">
        <f>IFERROR(VLOOKUP(A486,vlookup_table!$A:$G,2,FALSE),"")</f>
        <v>2</v>
      </c>
      <c r="O486">
        <f>IFERROR(VLOOKUP(A486,vlookup_table!$A:$G,4,FALSE),"")</f>
        <v>0</v>
      </c>
      <c r="P486" t="str">
        <f>IFERROR(VLOOKUP(A486,vlookup_table!$A:$G,5,FALSE),"")</f>
        <v>R2</v>
      </c>
      <c r="Q486">
        <f>IFERROR(VLOOKUP(A486,vlookup_table!$A:$G,7,FALSE),"")</f>
        <v>15</v>
      </c>
      <c r="R486">
        <f t="shared" si="28"/>
        <v>97</v>
      </c>
      <c r="S486" t="str" cm="1">
        <f t="array" ref="S486">IF(P486="","",_xlfn.SWITCH(LEFT(P486,1),"C","Ciudad","T","Pueblo","R","Rural","S","Suburbano","U","Urbano",""))</f>
        <v>Rural</v>
      </c>
      <c r="T486" t="str">
        <f t="shared" si="29"/>
        <v>F</v>
      </c>
      <c r="U486" t="str">
        <f t="shared" si="30"/>
        <v>CA</v>
      </c>
      <c r="V486" t="str">
        <f t="shared" si="31"/>
        <v>18951</v>
      </c>
    </row>
    <row r="487" spans="1:22" x14ac:dyDescent="0.35">
      <c r="A487" s="3">
        <v>145120</v>
      </c>
      <c r="B487" t="s">
        <v>61</v>
      </c>
      <c r="C487" t="s">
        <v>17</v>
      </c>
      <c r="D487">
        <v>5619</v>
      </c>
      <c r="E487">
        <v>572</v>
      </c>
      <c r="F487">
        <v>995</v>
      </c>
      <c r="G487">
        <v>97</v>
      </c>
      <c r="H487">
        <v>43978</v>
      </c>
      <c r="I487">
        <v>6</v>
      </c>
      <c r="J487">
        <v>33</v>
      </c>
      <c r="K487">
        <v>942</v>
      </c>
      <c r="L487">
        <v>649</v>
      </c>
      <c r="M487">
        <v>12.545454550000001</v>
      </c>
      <c r="N487">
        <f>IFERROR(VLOOKUP(A487,vlookup_table!$A:$G,2,FALSE),"")</f>
        <v>28</v>
      </c>
      <c r="O487">
        <f>IFERROR(VLOOKUP(A487,vlookup_table!$A:$G,4,FALSE),"")</f>
        <v>3707</v>
      </c>
      <c r="P487" t="str">
        <f>IFERROR(VLOOKUP(A487,vlookup_table!$A:$G,5,FALSE),"")</f>
        <v>U1</v>
      </c>
      <c r="Q487">
        <f>IFERROR(VLOOKUP(A487,vlookup_table!$A:$G,7,FALSE),"")</f>
        <v>10</v>
      </c>
      <c r="R487">
        <f t="shared" si="28"/>
        <v>60</v>
      </c>
      <c r="S487" t="str" cm="1">
        <f t="array" ref="S487">IF(P487="","",_xlfn.SWITCH(LEFT(P487,1),"C","Ciudad","T","Pueblo","R","Rural","S","Suburbano","U","Urbano",""))</f>
        <v>Urbano</v>
      </c>
      <c r="T487" t="str">
        <f t="shared" si="29"/>
        <v>F</v>
      </c>
      <c r="U487" t="str">
        <f t="shared" si="30"/>
        <v>CA</v>
      </c>
      <c r="V487" t="str">
        <f t="shared" si="31"/>
        <v>43978</v>
      </c>
    </row>
    <row r="488" spans="1:22" x14ac:dyDescent="0.35">
      <c r="A488" s="3">
        <v>55358</v>
      </c>
      <c r="B488" t="s">
        <v>62</v>
      </c>
      <c r="C488" t="s">
        <v>20</v>
      </c>
      <c r="D488">
        <v>426</v>
      </c>
      <c r="E488">
        <v>139</v>
      </c>
      <c r="F488">
        <v>156</v>
      </c>
      <c r="G488">
        <v>2</v>
      </c>
      <c r="H488">
        <v>4437</v>
      </c>
      <c r="I488">
        <v>1</v>
      </c>
      <c r="J488">
        <v>94</v>
      </c>
      <c r="K488">
        <v>130</v>
      </c>
      <c r="L488">
        <v>169</v>
      </c>
      <c r="M488">
        <v>15.83333333</v>
      </c>
      <c r="N488">
        <f>IFERROR(VLOOKUP(A488,vlookup_table!$A:$G,2,FALSE),"")</f>
        <v>0</v>
      </c>
      <c r="O488">
        <f>IFERROR(VLOOKUP(A488,vlookup_table!$A:$G,4,FALSE),"")</f>
        <v>4808</v>
      </c>
      <c r="P488" t="str">
        <f>IFERROR(VLOOKUP(A488,vlookup_table!$A:$G,5,FALSE),"")</f>
        <v>C3</v>
      </c>
      <c r="Q488">
        <f>IFERROR(VLOOKUP(A488,vlookup_table!$A:$G,7,FALSE),"")</f>
        <v>30</v>
      </c>
      <c r="R488">
        <f t="shared" si="28"/>
        <v>49</v>
      </c>
      <c r="S488" t="str" cm="1">
        <f t="array" ref="S488">IF(P488="","",_xlfn.SWITCH(LEFT(P488,1),"C","Ciudad","T","Pueblo","R","Rural","S","Suburbano","U","Urbano",""))</f>
        <v>Ciudad</v>
      </c>
      <c r="T488" t="str">
        <f t="shared" si="29"/>
        <v>F</v>
      </c>
      <c r="U488" t="str">
        <f t="shared" si="30"/>
        <v>MS</v>
      </c>
      <c r="V488" t="str">
        <f t="shared" si="31"/>
        <v>4437</v>
      </c>
    </row>
    <row r="489" spans="1:22" x14ac:dyDescent="0.35">
      <c r="A489" s="3">
        <v>26665</v>
      </c>
      <c r="B489" t="s">
        <v>39</v>
      </c>
      <c r="C489" t="s">
        <v>14</v>
      </c>
      <c r="D489">
        <v>670</v>
      </c>
      <c r="E489">
        <v>268</v>
      </c>
      <c r="F489">
        <v>383</v>
      </c>
      <c r="G489">
        <v>3</v>
      </c>
      <c r="H489">
        <v>13147</v>
      </c>
      <c r="I489">
        <v>1</v>
      </c>
      <c r="J489">
        <v>76</v>
      </c>
      <c r="K489">
        <v>321</v>
      </c>
      <c r="L489">
        <v>336</v>
      </c>
      <c r="M489">
        <v>7.375</v>
      </c>
      <c r="N489">
        <f>IFERROR(VLOOKUP(A489,vlookup_table!$A:$G,2,FALSE),"")</f>
        <v>1</v>
      </c>
      <c r="O489">
        <f>IFERROR(VLOOKUP(A489,vlookup_table!$A:$G,4,FALSE),"")</f>
        <v>0</v>
      </c>
      <c r="P489" t="str">
        <f>IFERROR(VLOOKUP(A489,vlookup_table!$A:$G,5,FALSE),"")</f>
        <v>T3</v>
      </c>
      <c r="Q489">
        <f>IFERROR(VLOOKUP(A489,vlookup_table!$A:$G,7,FALSE),"")</f>
        <v>30</v>
      </c>
      <c r="R489">
        <f t="shared" si="28"/>
        <v>97</v>
      </c>
      <c r="S489" t="str" cm="1">
        <f t="array" ref="S489">IF(P489="","",_xlfn.SWITCH(LEFT(P489,1),"C","Ciudad","T","Pueblo","R","Rural","S","Suburbano","U","Urbano",""))</f>
        <v>Pueblo</v>
      </c>
      <c r="T489" t="str">
        <f t="shared" si="29"/>
        <v>M</v>
      </c>
      <c r="U489" t="str">
        <f t="shared" si="30"/>
        <v>GA</v>
      </c>
      <c r="V489" t="str">
        <f t="shared" si="31"/>
        <v>13147</v>
      </c>
    </row>
    <row r="490" spans="1:22" x14ac:dyDescent="0.35">
      <c r="A490" s="3">
        <v>42279</v>
      </c>
      <c r="B490" t="s">
        <v>13</v>
      </c>
      <c r="C490" t="s">
        <v>17</v>
      </c>
      <c r="D490">
        <v>400</v>
      </c>
      <c r="E490">
        <v>216</v>
      </c>
      <c r="F490">
        <v>279</v>
      </c>
      <c r="G490">
        <v>1</v>
      </c>
      <c r="H490">
        <v>9840</v>
      </c>
      <c r="I490">
        <v>4</v>
      </c>
      <c r="J490">
        <v>36</v>
      </c>
      <c r="K490">
        <v>242</v>
      </c>
      <c r="L490">
        <v>247</v>
      </c>
      <c r="M490">
        <v>5.6</v>
      </c>
      <c r="N490">
        <f>IFERROR(VLOOKUP(A490,vlookup_table!$A:$G,2,FALSE),"")</f>
        <v>28</v>
      </c>
      <c r="O490">
        <f>IFERROR(VLOOKUP(A490,vlookup_table!$A:$G,4,FALSE),"")</f>
        <v>3301</v>
      </c>
      <c r="P490" t="str">
        <f>IFERROR(VLOOKUP(A490,vlookup_table!$A:$G,5,FALSE),"")</f>
        <v>T3</v>
      </c>
      <c r="Q490">
        <f>IFERROR(VLOOKUP(A490,vlookup_table!$A:$G,7,FALSE),"")</f>
        <v>5</v>
      </c>
      <c r="R490">
        <f t="shared" si="28"/>
        <v>64</v>
      </c>
      <c r="S490" t="str" cm="1">
        <f t="array" ref="S490">IF(P490="","",_xlfn.SWITCH(LEFT(P490,1),"C","Ciudad","T","Pueblo","R","Rural","S","Suburbano","U","Urbano",""))</f>
        <v>Pueblo</v>
      </c>
      <c r="T490" t="str">
        <f t="shared" si="29"/>
        <v>F</v>
      </c>
      <c r="U490" t="str">
        <f t="shared" si="30"/>
        <v>FL</v>
      </c>
      <c r="V490" t="str">
        <f t="shared" si="31"/>
        <v>9840</v>
      </c>
    </row>
    <row r="491" spans="1:22" x14ac:dyDescent="0.35">
      <c r="A491" s="3">
        <v>148354</v>
      </c>
      <c r="B491" t="s">
        <v>61</v>
      </c>
      <c r="D491">
        <v>2206</v>
      </c>
      <c r="E491">
        <v>574</v>
      </c>
      <c r="F491">
        <v>562</v>
      </c>
      <c r="G491">
        <v>72</v>
      </c>
      <c r="H491">
        <v>12225</v>
      </c>
      <c r="I491">
        <v>39</v>
      </c>
      <c r="J491">
        <v>40</v>
      </c>
      <c r="K491">
        <v>567</v>
      </c>
      <c r="L491">
        <v>583</v>
      </c>
      <c r="M491">
        <v>8.4285714289999998</v>
      </c>
      <c r="N491">
        <f>IFERROR(VLOOKUP(A491,vlookup_table!$A:$G,2,FALSE),"")</f>
        <v>0</v>
      </c>
      <c r="O491">
        <f>IFERROR(VLOOKUP(A491,vlookup_table!$A:$G,4,FALSE),"")</f>
        <v>0</v>
      </c>
      <c r="P491" t="str">
        <f>IFERROR(VLOOKUP(A491,vlookup_table!$A:$G,5,FALSE),"")</f>
        <v>S1</v>
      </c>
      <c r="Q491">
        <f>IFERROR(VLOOKUP(A491,vlookup_table!$A:$G,7,FALSE),"")</f>
        <v>8</v>
      </c>
      <c r="R491">
        <f t="shared" si="28"/>
        <v>97</v>
      </c>
      <c r="S491" t="str" cm="1">
        <f t="array" ref="S491">IF(P491="","",_xlfn.SWITCH(LEFT(P491,1),"C","Ciudad","T","Pueblo","R","Rural","S","Suburbano","U","Urbano",""))</f>
        <v>Suburbano</v>
      </c>
      <c r="T491" t="str">
        <f t="shared" si="29"/>
        <v/>
      </c>
      <c r="U491" t="str">
        <f t="shared" si="30"/>
        <v>CA</v>
      </c>
      <c r="V491" t="str">
        <f t="shared" si="31"/>
        <v>12225</v>
      </c>
    </row>
    <row r="492" spans="1:22" x14ac:dyDescent="0.35">
      <c r="A492" s="3">
        <v>123822</v>
      </c>
      <c r="B492" t="s">
        <v>53</v>
      </c>
      <c r="C492" t="s">
        <v>17</v>
      </c>
      <c r="D492">
        <v>535</v>
      </c>
      <c r="E492">
        <v>269</v>
      </c>
      <c r="F492">
        <v>375</v>
      </c>
      <c r="G492">
        <v>1</v>
      </c>
      <c r="H492">
        <v>14661</v>
      </c>
      <c r="I492">
        <v>1</v>
      </c>
      <c r="J492">
        <v>72</v>
      </c>
      <c r="K492">
        <v>318</v>
      </c>
      <c r="L492">
        <v>328</v>
      </c>
      <c r="M492">
        <v>7.6</v>
      </c>
      <c r="N492">
        <f>IFERROR(VLOOKUP(A492,vlookup_table!$A:$G,2,FALSE),"")</f>
        <v>0</v>
      </c>
      <c r="O492">
        <f>IFERROR(VLOOKUP(A492,vlookup_table!$A:$G,4,FALSE),"")</f>
        <v>0</v>
      </c>
      <c r="P492" t="str">
        <f>IFERROR(VLOOKUP(A492,vlookup_table!$A:$G,5,FALSE),"")</f>
        <v>S1</v>
      </c>
      <c r="Q492">
        <f>IFERROR(VLOOKUP(A492,vlookup_table!$A:$G,7,FALSE),"")</f>
        <v>10</v>
      </c>
      <c r="R492">
        <f t="shared" si="28"/>
        <v>97</v>
      </c>
      <c r="S492" t="str" cm="1">
        <f t="array" ref="S492">IF(P492="","",_xlfn.SWITCH(LEFT(P492,1),"C","Ciudad","T","Pueblo","R","Rural","S","Suburbano","U","Urbano",""))</f>
        <v>Suburbano</v>
      </c>
      <c r="T492" t="str">
        <f t="shared" si="29"/>
        <v>F</v>
      </c>
      <c r="U492" t="str">
        <f t="shared" si="30"/>
        <v>TN</v>
      </c>
      <c r="V492" t="str">
        <f t="shared" si="31"/>
        <v>14661</v>
      </c>
    </row>
    <row r="493" spans="1:22" x14ac:dyDescent="0.35">
      <c r="A493" s="3">
        <v>22038</v>
      </c>
      <c r="B493" t="s">
        <v>18</v>
      </c>
      <c r="C493" t="s">
        <v>14</v>
      </c>
      <c r="D493">
        <v>444</v>
      </c>
      <c r="E493">
        <v>222</v>
      </c>
      <c r="F493">
        <v>291</v>
      </c>
      <c r="G493">
        <v>1</v>
      </c>
      <c r="H493">
        <v>10074</v>
      </c>
      <c r="I493">
        <v>1</v>
      </c>
      <c r="J493">
        <v>73</v>
      </c>
      <c r="K493">
        <v>259</v>
      </c>
      <c r="L493">
        <v>259</v>
      </c>
      <c r="M493">
        <v>9.9499999999999993</v>
      </c>
      <c r="N493">
        <f>IFERROR(VLOOKUP(A493,vlookup_table!$A:$G,2,FALSE),"")</f>
        <v>1</v>
      </c>
      <c r="O493">
        <f>IFERROR(VLOOKUP(A493,vlookup_table!$A:$G,4,FALSE),"")</f>
        <v>4401</v>
      </c>
      <c r="P493" t="str">
        <f>IFERROR(VLOOKUP(A493,vlookup_table!$A:$G,5,FALSE),"")</f>
        <v>R3</v>
      </c>
      <c r="Q493">
        <f>IFERROR(VLOOKUP(A493,vlookup_table!$A:$G,7,FALSE),"")</f>
        <v>10</v>
      </c>
      <c r="R493">
        <f t="shared" si="28"/>
        <v>53</v>
      </c>
      <c r="S493" t="str" cm="1">
        <f t="array" ref="S493">IF(P493="","",_xlfn.SWITCH(LEFT(P493,1),"C","Ciudad","T","Pueblo","R","Rural","S","Suburbano","U","Urbano",""))</f>
        <v>Rural</v>
      </c>
      <c r="T493" t="str">
        <f t="shared" si="29"/>
        <v>M</v>
      </c>
      <c r="U493" t="str">
        <f t="shared" si="30"/>
        <v>NC</v>
      </c>
      <c r="V493" t="str">
        <f t="shared" si="31"/>
        <v>10074</v>
      </c>
    </row>
    <row r="494" spans="1:22" x14ac:dyDescent="0.35">
      <c r="A494" s="3">
        <v>185024</v>
      </c>
      <c r="B494" t="s">
        <v>56</v>
      </c>
      <c r="C494" t="s">
        <v>17</v>
      </c>
      <c r="D494">
        <v>476</v>
      </c>
      <c r="E494">
        <v>202</v>
      </c>
      <c r="F494">
        <v>304</v>
      </c>
      <c r="G494">
        <v>0</v>
      </c>
      <c r="H494">
        <v>10581</v>
      </c>
      <c r="I494">
        <v>2</v>
      </c>
      <c r="J494">
        <v>80</v>
      </c>
      <c r="K494">
        <v>274</v>
      </c>
      <c r="L494">
        <v>236</v>
      </c>
      <c r="M494">
        <v>23.852941179999998</v>
      </c>
      <c r="N494">
        <f>IFERROR(VLOOKUP(A494,vlookup_table!$A:$G,2,FALSE),"")</f>
        <v>0</v>
      </c>
      <c r="O494">
        <f>IFERROR(VLOOKUP(A494,vlookup_table!$A:$G,4,FALSE),"")</f>
        <v>605</v>
      </c>
      <c r="P494" t="str">
        <f>IFERROR(VLOOKUP(A494,vlookup_table!$A:$G,5,FALSE),"")</f>
        <v>R2</v>
      </c>
      <c r="Q494">
        <f>IFERROR(VLOOKUP(A494,vlookup_table!$A:$G,7,FALSE),"")</f>
        <v>8</v>
      </c>
      <c r="R494">
        <f t="shared" si="28"/>
        <v>91</v>
      </c>
      <c r="S494" t="str" cm="1">
        <f t="array" ref="S494">IF(P494="","",_xlfn.SWITCH(LEFT(P494,1),"C","Ciudad","T","Pueblo","R","Rural","S","Suburbano","U","Urbano",""))</f>
        <v>Rural</v>
      </c>
      <c r="T494" t="str">
        <f t="shared" si="29"/>
        <v>F</v>
      </c>
      <c r="U494" t="str">
        <f t="shared" si="30"/>
        <v>MN</v>
      </c>
      <c r="V494" t="str">
        <f t="shared" si="31"/>
        <v>10581</v>
      </c>
    </row>
    <row r="495" spans="1:22" x14ac:dyDescent="0.35">
      <c r="A495" s="3">
        <v>129600</v>
      </c>
      <c r="B495" t="s">
        <v>48</v>
      </c>
      <c r="C495" t="s">
        <v>17</v>
      </c>
      <c r="D495">
        <v>593</v>
      </c>
      <c r="E495">
        <v>256</v>
      </c>
      <c r="F495">
        <v>399</v>
      </c>
      <c r="G495">
        <v>0</v>
      </c>
      <c r="H495">
        <v>37734</v>
      </c>
      <c r="I495">
        <v>7</v>
      </c>
      <c r="J495">
        <v>55</v>
      </c>
      <c r="K495">
        <v>298</v>
      </c>
      <c r="L495">
        <v>336</v>
      </c>
      <c r="M495">
        <v>13</v>
      </c>
      <c r="N495">
        <f>IFERROR(VLOOKUP(A495,vlookup_table!$A:$G,2,FALSE),"")</f>
        <v>0</v>
      </c>
      <c r="O495">
        <f>IFERROR(VLOOKUP(A495,vlookup_table!$A:$G,4,FALSE),"")</f>
        <v>3705</v>
      </c>
      <c r="P495" t="str">
        <f>IFERROR(VLOOKUP(A495,vlookup_table!$A:$G,5,FALSE),"")</f>
        <v>U4</v>
      </c>
      <c r="Q495">
        <f>IFERROR(VLOOKUP(A495,vlookup_table!$A:$G,7,FALSE),"")</f>
        <v>20</v>
      </c>
      <c r="R495">
        <f t="shared" si="28"/>
        <v>60</v>
      </c>
      <c r="S495" t="str" cm="1">
        <f t="array" ref="S495">IF(P495="","",_xlfn.SWITCH(LEFT(P495,1),"C","Ciudad","T","Pueblo","R","Rural","S","Suburbano","U","Urbano",""))</f>
        <v>Urbano</v>
      </c>
      <c r="T495" t="str">
        <f t="shared" si="29"/>
        <v>F</v>
      </c>
      <c r="U495" t="str">
        <f t="shared" si="30"/>
        <v>CO</v>
      </c>
      <c r="V495" t="str">
        <f t="shared" si="31"/>
        <v>37734</v>
      </c>
    </row>
    <row r="496" spans="1:22" x14ac:dyDescent="0.35">
      <c r="A496" s="3">
        <v>107613</v>
      </c>
      <c r="B496" t="s">
        <v>61</v>
      </c>
      <c r="C496" t="s">
        <v>14</v>
      </c>
      <c r="D496">
        <v>2238</v>
      </c>
      <c r="E496">
        <v>580</v>
      </c>
      <c r="F496">
        <v>605</v>
      </c>
      <c r="G496">
        <v>75</v>
      </c>
      <c r="H496">
        <v>18247</v>
      </c>
      <c r="I496">
        <v>9</v>
      </c>
      <c r="J496">
        <v>50</v>
      </c>
      <c r="K496">
        <v>602</v>
      </c>
      <c r="L496">
        <v>587</v>
      </c>
      <c r="M496">
        <v>3.25</v>
      </c>
      <c r="N496">
        <f>IFERROR(VLOOKUP(A496,vlookup_table!$A:$G,2,FALSE),"")</f>
        <v>0</v>
      </c>
      <c r="O496">
        <f>IFERROR(VLOOKUP(A496,vlookup_table!$A:$G,4,FALSE),"")</f>
        <v>0</v>
      </c>
      <c r="P496" t="str">
        <f>IFERROR(VLOOKUP(A496,vlookup_table!$A:$G,5,FALSE),"")</f>
        <v>R2</v>
      </c>
      <c r="Q496">
        <f>IFERROR(VLOOKUP(A496,vlookup_table!$A:$G,7,FALSE),"")</f>
        <v>7</v>
      </c>
      <c r="R496">
        <f t="shared" si="28"/>
        <v>97</v>
      </c>
      <c r="S496" t="str" cm="1">
        <f t="array" ref="S496">IF(P496="","",_xlfn.SWITCH(LEFT(P496,1),"C","Ciudad","T","Pueblo","R","Rural","S","Suburbano","U","Urbano",""))</f>
        <v>Rural</v>
      </c>
      <c r="T496" t="str">
        <f t="shared" si="29"/>
        <v>M</v>
      </c>
      <c r="U496" t="str">
        <f t="shared" si="30"/>
        <v>CA</v>
      </c>
      <c r="V496" t="str">
        <f t="shared" si="31"/>
        <v>18247</v>
      </c>
    </row>
    <row r="497" spans="1:22" x14ac:dyDescent="0.35">
      <c r="A497" s="3">
        <v>165302</v>
      </c>
      <c r="B497" t="s">
        <v>61</v>
      </c>
      <c r="D497">
        <v>2811</v>
      </c>
      <c r="E497">
        <v>524</v>
      </c>
      <c r="F497">
        <v>645</v>
      </c>
      <c r="G497">
        <v>72</v>
      </c>
      <c r="H497">
        <v>23861</v>
      </c>
      <c r="I497">
        <v>8</v>
      </c>
      <c r="J497">
        <v>60</v>
      </c>
      <c r="K497">
        <v>577</v>
      </c>
      <c r="L497">
        <v>599</v>
      </c>
      <c r="M497">
        <v>11.08333333</v>
      </c>
      <c r="N497">
        <f>IFERROR(VLOOKUP(A497,vlookup_table!$A:$G,2,FALSE),"")</f>
        <v>0</v>
      </c>
      <c r="O497">
        <f>IFERROR(VLOOKUP(A497,vlookup_table!$A:$G,4,FALSE),"")</f>
        <v>2207</v>
      </c>
      <c r="P497" t="str">
        <f>IFERROR(VLOOKUP(A497,vlookup_table!$A:$G,5,FALSE),"")</f>
        <v>C1</v>
      </c>
      <c r="Q497">
        <f>IFERROR(VLOOKUP(A497,vlookup_table!$A:$G,7,FALSE),"")</f>
        <v>20</v>
      </c>
      <c r="R497">
        <f t="shared" si="28"/>
        <v>75</v>
      </c>
      <c r="S497" t="str" cm="1">
        <f t="array" ref="S497">IF(P497="","",_xlfn.SWITCH(LEFT(P497,1),"C","Ciudad","T","Pueblo","R","Rural","S","Suburbano","U","Urbano",""))</f>
        <v>Ciudad</v>
      </c>
      <c r="T497" t="str">
        <f t="shared" si="29"/>
        <v/>
      </c>
      <c r="U497" t="str">
        <f t="shared" si="30"/>
        <v>CA</v>
      </c>
      <c r="V497" t="str">
        <f t="shared" si="31"/>
        <v>23861</v>
      </c>
    </row>
    <row r="498" spans="1:22" x14ac:dyDescent="0.35">
      <c r="A498" s="3">
        <v>152990</v>
      </c>
      <c r="B498" t="s">
        <v>61</v>
      </c>
      <c r="C498" t="s">
        <v>17</v>
      </c>
      <c r="D498">
        <v>1775</v>
      </c>
      <c r="E498">
        <v>445</v>
      </c>
      <c r="F498">
        <v>469</v>
      </c>
      <c r="G498">
        <v>14</v>
      </c>
      <c r="H498">
        <v>15256</v>
      </c>
      <c r="I498">
        <v>13</v>
      </c>
      <c r="J498">
        <v>46</v>
      </c>
      <c r="K498">
        <v>443</v>
      </c>
      <c r="L498">
        <v>490</v>
      </c>
      <c r="M498">
        <v>10</v>
      </c>
      <c r="N498">
        <f>IFERROR(VLOOKUP(A498,vlookup_table!$A:$G,2,FALSE),"")</f>
        <v>0</v>
      </c>
      <c r="O498">
        <f>IFERROR(VLOOKUP(A498,vlookup_table!$A:$G,4,FALSE),"")</f>
        <v>6101</v>
      </c>
      <c r="P498" t="str">
        <f>IFERROR(VLOOKUP(A498,vlookup_table!$A:$G,5,FALSE),"")</f>
        <v>C2</v>
      </c>
      <c r="Q498">
        <f>IFERROR(VLOOKUP(A498,vlookup_table!$A:$G,7,FALSE),"")</f>
        <v>20</v>
      </c>
      <c r="R498">
        <f t="shared" si="28"/>
        <v>36</v>
      </c>
      <c r="S498" t="str" cm="1">
        <f t="array" ref="S498">IF(P498="","",_xlfn.SWITCH(LEFT(P498,1),"C","Ciudad","T","Pueblo","R","Rural","S","Suburbano","U","Urbano",""))</f>
        <v>Ciudad</v>
      </c>
      <c r="T498" t="str">
        <f t="shared" si="29"/>
        <v>F</v>
      </c>
      <c r="U498" t="str">
        <f t="shared" si="30"/>
        <v>CA</v>
      </c>
      <c r="V498" t="str">
        <f t="shared" si="31"/>
        <v>15256</v>
      </c>
    </row>
    <row r="499" spans="1:22" x14ac:dyDescent="0.35">
      <c r="A499" s="3">
        <v>88766</v>
      </c>
      <c r="B499" t="s">
        <v>16</v>
      </c>
      <c r="C499" t="s">
        <v>14</v>
      </c>
      <c r="D499">
        <v>2549</v>
      </c>
      <c r="E499">
        <v>715</v>
      </c>
      <c r="F499">
        <v>839</v>
      </c>
      <c r="G499">
        <v>69</v>
      </c>
      <c r="H499">
        <v>28878</v>
      </c>
      <c r="I499">
        <v>15</v>
      </c>
      <c r="J499">
        <v>70</v>
      </c>
      <c r="K499">
        <v>757</v>
      </c>
      <c r="L499">
        <v>786</v>
      </c>
      <c r="M499">
        <v>11</v>
      </c>
      <c r="N499">
        <f>IFERROR(VLOOKUP(A499,vlookup_table!$A:$G,2,FALSE),"")</f>
        <v>1</v>
      </c>
      <c r="O499">
        <f>IFERROR(VLOOKUP(A499,vlookup_table!$A:$G,4,FALSE),"")</f>
        <v>4709</v>
      </c>
      <c r="P499" t="str">
        <f>IFERROR(VLOOKUP(A499,vlookup_table!$A:$G,5,FALSE),"")</f>
        <v>S1</v>
      </c>
      <c r="Q499">
        <f>IFERROR(VLOOKUP(A499,vlookup_table!$A:$G,7,FALSE),"")</f>
        <v>15</v>
      </c>
      <c r="R499">
        <f t="shared" si="28"/>
        <v>50</v>
      </c>
      <c r="S499" t="str" cm="1">
        <f t="array" ref="S499">IF(P499="","",_xlfn.SWITCH(LEFT(P499,1),"C","Ciudad","T","Pueblo","R","Rural","S","Suburbano","U","Urbano",""))</f>
        <v>Suburbano</v>
      </c>
      <c r="T499" t="str">
        <f t="shared" si="29"/>
        <v>M</v>
      </c>
      <c r="U499" t="str">
        <f t="shared" si="30"/>
        <v>IL</v>
      </c>
      <c r="V499" t="str">
        <f t="shared" si="31"/>
        <v>28878</v>
      </c>
    </row>
    <row r="500" spans="1:22" x14ac:dyDescent="0.35">
      <c r="A500" s="3">
        <v>4522</v>
      </c>
      <c r="B500" t="s">
        <v>61</v>
      </c>
      <c r="C500" t="s">
        <v>14</v>
      </c>
      <c r="D500">
        <v>2356</v>
      </c>
      <c r="E500">
        <v>523</v>
      </c>
      <c r="F500">
        <v>615</v>
      </c>
      <c r="G500">
        <v>83</v>
      </c>
      <c r="H500">
        <v>21871</v>
      </c>
      <c r="I500">
        <v>8</v>
      </c>
      <c r="J500">
        <v>49</v>
      </c>
      <c r="K500">
        <v>560</v>
      </c>
      <c r="L500">
        <v>560</v>
      </c>
      <c r="M500">
        <v>16.09090909</v>
      </c>
      <c r="N500">
        <f>IFERROR(VLOOKUP(A500,vlookup_table!$A:$G,2,FALSE),"")</f>
        <v>1</v>
      </c>
      <c r="O500">
        <f>IFERROR(VLOOKUP(A500,vlookup_table!$A:$G,4,FALSE),"")</f>
        <v>1402</v>
      </c>
      <c r="P500" t="str">
        <f>IFERROR(VLOOKUP(A500,vlookup_table!$A:$G,5,FALSE),"")</f>
        <v>S1</v>
      </c>
      <c r="Q500">
        <f>IFERROR(VLOOKUP(A500,vlookup_table!$A:$G,7,FALSE),"")</f>
        <v>20</v>
      </c>
      <c r="R500">
        <f t="shared" si="28"/>
        <v>83</v>
      </c>
      <c r="S500" t="str" cm="1">
        <f t="array" ref="S500">IF(P500="","",_xlfn.SWITCH(LEFT(P500,1),"C","Ciudad","T","Pueblo","R","Rural","S","Suburbano","U","Urbano",""))</f>
        <v>Suburbano</v>
      </c>
      <c r="T500" t="str">
        <f t="shared" si="29"/>
        <v>M</v>
      </c>
      <c r="U500" t="str">
        <f t="shared" si="30"/>
        <v>CA</v>
      </c>
      <c r="V500" t="str">
        <f t="shared" si="31"/>
        <v>21871</v>
      </c>
    </row>
    <row r="501" spans="1:22" x14ac:dyDescent="0.35">
      <c r="A501" s="3">
        <v>32350</v>
      </c>
      <c r="B501" t="s">
        <v>13</v>
      </c>
      <c r="C501" t="s">
        <v>14</v>
      </c>
      <c r="D501">
        <v>913</v>
      </c>
      <c r="E501">
        <v>256</v>
      </c>
      <c r="F501">
        <v>338</v>
      </c>
      <c r="G501">
        <v>5</v>
      </c>
      <c r="H501">
        <v>14424</v>
      </c>
      <c r="I501">
        <v>7</v>
      </c>
      <c r="J501">
        <v>16</v>
      </c>
      <c r="K501">
        <v>289</v>
      </c>
      <c r="L501">
        <v>309</v>
      </c>
      <c r="M501">
        <v>13</v>
      </c>
      <c r="N501">
        <f>IFERROR(VLOOKUP(A501,vlookup_table!$A:$G,2,FALSE),"")</f>
        <v>0</v>
      </c>
      <c r="O501">
        <f>IFERROR(VLOOKUP(A501,vlookup_table!$A:$G,4,FALSE),"")</f>
        <v>1809</v>
      </c>
      <c r="P501" t="str">
        <f>IFERROR(VLOOKUP(A501,vlookup_table!$A:$G,5,FALSE),"")</f>
        <v>R1</v>
      </c>
      <c r="Q501">
        <f>IFERROR(VLOOKUP(A501,vlookup_table!$A:$G,7,FALSE),"")</f>
        <v>20</v>
      </c>
      <c r="R501">
        <f t="shared" si="28"/>
        <v>79</v>
      </c>
      <c r="S501" t="str" cm="1">
        <f t="array" ref="S501">IF(P501="","",_xlfn.SWITCH(LEFT(P501,1),"C","Ciudad","T","Pueblo","R","Rural","S","Suburbano","U","Urbano",""))</f>
        <v>Rural</v>
      </c>
      <c r="T501" t="str">
        <f t="shared" si="29"/>
        <v>M</v>
      </c>
      <c r="U501" t="str">
        <f t="shared" si="30"/>
        <v>FL</v>
      </c>
      <c r="V501" t="str">
        <f t="shared" si="31"/>
        <v>14424</v>
      </c>
    </row>
    <row r="502" spans="1:22" x14ac:dyDescent="0.35">
      <c r="A502" s="3">
        <v>74774</v>
      </c>
      <c r="B502" t="s">
        <v>32</v>
      </c>
      <c r="C502" t="s">
        <v>14</v>
      </c>
      <c r="D502">
        <v>500</v>
      </c>
      <c r="E502">
        <v>245</v>
      </c>
      <c r="F502">
        <v>314</v>
      </c>
      <c r="G502">
        <v>3</v>
      </c>
      <c r="H502">
        <v>12271</v>
      </c>
      <c r="I502">
        <v>1</v>
      </c>
      <c r="J502">
        <v>81</v>
      </c>
      <c r="K502">
        <v>308</v>
      </c>
      <c r="L502">
        <v>304</v>
      </c>
      <c r="M502">
        <v>15</v>
      </c>
      <c r="N502">
        <f>IFERROR(VLOOKUP(A502,vlookup_table!$A:$G,2,FALSE),"")</f>
        <v>0</v>
      </c>
      <c r="O502">
        <f>IFERROR(VLOOKUP(A502,vlookup_table!$A:$G,4,FALSE),"")</f>
        <v>0</v>
      </c>
      <c r="P502" t="str">
        <f>IFERROR(VLOOKUP(A502,vlookup_table!$A:$G,5,FALSE),"")</f>
        <v>C1</v>
      </c>
      <c r="Q502">
        <f>IFERROR(VLOOKUP(A502,vlookup_table!$A:$G,7,FALSE),"")</f>
        <v>21</v>
      </c>
      <c r="R502">
        <f t="shared" si="28"/>
        <v>97</v>
      </c>
      <c r="S502" t="str" cm="1">
        <f t="array" ref="S502">IF(P502="","",_xlfn.SWITCH(LEFT(P502,1),"C","Ciudad","T","Pueblo","R","Rural","S","Suburbano","U","Urbano",""))</f>
        <v>Ciudad</v>
      </c>
      <c r="T502" t="str">
        <f t="shared" si="29"/>
        <v>M</v>
      </c>
      <c r="U502" t="str">
        <f t="shared" si="30"/>
        <v>AR</v>
      </c>
      <c r="V502" t="str">
        <f t="shared" si="31"/>
        <v>12271</v>
      </c>
    </row>
    <row r="503" spans="1:22" x14ac:dyDescent="0.35">
      <c r="A503" s="3">
        <v>67475</v>
      </c>
      <c r="B503" t="s">
        <v>29</v>
      </c>
      <c r="C503" t="s">
        <v>17</v>
      </c>
      <c r="D503">
        <v>687</v>
      </c>
      <c r="E503">
        <v>111</v>
      </c>
      <c r="F503">
        <v>172</v>
      </c>
      <c r="G503">
        <v>0</v>
      </c>
      <c r="H503">
        <v>6615</v>
      </c>
      <c r="I503">
        <v>7</v>
      </c>
      <c r="J503">
        <v>65</v>
      </c>
      <c r="K503">
        <v>90</v>
      </c>
      <c r="L503">
        <v>171</v>
      </c>
      <c r="M503">
        <v>5.2222222220000001</v>
      </c>
      <c r="N503">
        <f>IFERROR(VLOOKUP(A503,vlookup_table!$A:$G,2,FALSE),"")</f>
        <v>28</v>
      </c>
      <c r="O503">
        <f>IFERROR(VLOOKUP(A503,vlookup_table!$A:$G,4,FALSE),"")</f>
        <v>6201</v>
      </c>
      <c r="P503" t="str">
        <f>IFERROR(VLOOKUP(A503,vlookup_table!$A:$G,5,FALSE),"")</f>
        <v>C3</v>
      </c>
      <c r="Q503">
        <f>IFERROR(VLOOKUP(A503,vlookup_table!$A:$G,7,FALSE),"")</f>
        <v>5</v>
      </c>
      <c r="R503">
        <f t="shared" si="28"/>
        <v>35</v>
      </c>
      <c r="S503" t="str" cm="1">
        <f t="array" ref="S503">IF(P503="","",_xlfn.SWITCH(LEFT(P503,1),"C","Ciudad","T","Pueblo","R","Rural","S","Suburbano","U","Urbano",""))</f>
        <v>Ciudad</v>
      </c>
      <c r="T503" t="str">
        <f t="shared" si="29"/>
        <v>F</v>
      </c>
      <c r="U503" t="str">
        <f t="shared" si="30"/>
        <v>MI</v>
      </c>
      <c r="V503" t="str">
        <f t="shared" si="31"/>
        <v>6615</v>
      </c>
    </row>
    <row r="504" spans="1:22" x14ac:dyDescent="0.35">
      <c r="A504" s="3">
        <v>104267</v>
      </c>
      <c r="B504" t="s">
        <v>28</v>
      </c>
      <c r="C504" t="s">
        <v>14</v>
      </c>
      <c r="D504">
        <v>284</v>
      </c>
      <c r="E504">
        <v>231</v>
      </c>
      <c r="F504">
        <v>299</v>
      </c>
      <c r="G504">
        <v>0</v>
      </c>
      <c r="H504">
        <v>9838</v>
      </c>
      <c r="I504">
        <v>0</v>
      </c>
      <c r="J504">
        <v>83</v>
      </c>
      <c r="K504">
        <v>258</v>
      </c>
      <c r="L504">
        <v>269</v>
      </c>
      <c r="M504">
        <v>4.4375</v>
      </c>
      <c r="N504">
        <f>IFERROR(VLOOKUP(A504,vlookup_table!$A:$G,2,FALSE),"")</f>
        <v>0</v>
      </c>
      <c r="O504">
        <f>IFERROR(VLOOKUP(A504,vlookup_table!$A:$G,4,FALSE),"")</f>
        <v>0</v>
      </c>
      <c r="P504" t="str">
        <f>IFERROR(VLOOKUP(A504,vlookup_table!$A:$G,5,FALSE),"")</f>
        <v>R2</v>
      </c>
      <c r="Q504">
        <f>IFERROR(VLOOKUP(A504,vlookup_table!$A:$G,7,FALSE),"")</f>
        <v>5</v>
      </c>
      <c r="R504">
        <f t="shared" si="28"/>
        <v>97</v>
      </c>
      <c r="S504" t="str" cm="1">
        <f t="array" ref="S504">IF(P504="","",_xlfn.SWITCH(LEFT(P504,1),"C","Ciudad","T","Pueblo","R","Rural","S","Suburbano","U","Urbano",""))</f>
        <v>Rural</v>
      </c>
      <c r="T504" t="str">
        <f t="shared" si="29"/>
        <v>M</v>
      </c>
      <c r="U504" t="str">
        <f t="shared" si="30"/>
        <v>KS</v>
      </c>
      <c r="V504" t="str">
        <f t="shared" si="31"/>
        <v>9838</v>
      </c>
    </row>
    <row r="505" spans="1:22" x14ac:dyDescent="0.35">
      <c r="A505" s="3">
        <v>131031</v>
      </c>
      <c r="B505" t="s">
        <v>48</v>
      </c>
      <c r="C505" t="s">
        <v>17</v>
      </c>
      <c r="D505">
        <v>678</v>
      </c>
      <c r="E505">
        <v>155</v>
      </c>
      <c r="F505">
        <v>306</v>
      </c>
      <c r="G505">
        <v>0</v>
      </c>
      <c r="H505">
        <v>8675</v>
      </c>
      <c r="I505">
        <v>3</v>
      </c>
      <c r="J505">
        <v>34</v>
      </c>
      <c r="K505">
        <v>242</v>
      </c>
      <c r="L505">
        <v>196</v>
      </c>
      <c r="M505">
        <v>8.1052631579999996</v>
      </c>
      <c r="N505">
        <f>IFERROR(VLOOKUP(A505,vlookup_table!$A:$G,2,FALSE),"")</f>
        <v>2</v>
      </c>
      <c r="O505">
        <f>IFERROR(VLOOKUP(A505,vlookup_table!$A:$G,4,FALSE),"")</f>
        <v>604</v>
      </c>
      <c r="P505" t="str">
        <f>IFERROR(VLOOKUP(A505,vlookup_table!$A:$G,5,FALSE),"")</f>
        <v>C2</v>
      </c>
      <c r="Q505">
        <f>IFERROR(VLOOKUP(A505,vlookup_table!$A:$G,7,FALSE),"")</f>
        <v>18</v>
      </c>
      <c r="R505">
        <f t="shared" si="28"/>
        <v>91</v>
      </c>
      <c r="S505" t="str" cm="1">
        <f t="array" ref="S505">IF(P505="","",_xlfn.SWITCH(LEFT(P505,1),"C","Ciudad","T","Pueblo","R","Rural","S","Suburbano","U","Urbano",""))</f>
        <v>Ciudad</v>
      </c>
      <c r="T505" t="str">
        <f t="shared" si="29"/>
        <v>F</v>
      </c>
      <c r="U505" t="str">
        <f t="shared" si="30"/>
        <v>CO</v>
      </c>
      <c r="V505" t="str">
        <f t="shared" si="31"/>
        <v>8675</v>
      </c>
    </row>
    <row r="506" spans="1:22" x14ac:dyDescent="0.35">
      <c r="A506" s="3">
        <v>158058</v>
      </c>
      <c r="B506" t="s">
        <v>61</v>
      </c>
      <c r="C506" t="s">
        <v>14</v>
      </c>
      <c r="D506">
        <v>1685</v>
      </c>
      <c r="E506">
        <v>430</v>
      </c>
      <c r="F506">
        <v>540</v>
      </c>
      <c r="G506">
        <v>16</v>
      </c>
      <c r="H506">
        <v>15765</v>
      </c>
      <c r="I506">
        <v>19</v>
      </c>
      <c r="J506">
        <v>33</v>
      </c>
      <c r="K506">
        <v>479</v>
      </c>
      <c r="L506">
        <v>449</v>
      </c>
      <c r="M506">
        <v>7.6111111109999996</v>
      </c>
      <c r="N506">
        <f>IFERROR(VLOOKUP(A506,vlookup_table!$A:$G,2,FALSE),"")</f>
        <v>0</v>
      </c>
      <c r="O506">
        <f>IFERROR(VLOOKUP(A506,vlookup_table!$A:$G,4,FALSE),"")</f>
        <v>4307</v>
      </c>
      <c r="P506" t="str">
        <f>IFERROR(VLOOKUP(A506,vlookup_table!$A:$G,5,FALSE),"")</f>
        <v>U3</v>
      </c>
      <c r="Q506">
        <f>IFERROR(VLOOKUP(A506,vlookup_table!$A:$G,7,FALSE),"")</f>
        <v>5</v>
      </c>
      <c r="R506">
        <f t="shared" si="28"/>
        <v>54</v>
      </c>
      <c r="S506" t="str" cm="1">
        <f t="array" ref="S506">IF(P506="","",_xlfn.SWITCH(LEFT(P506,1),"C","Ciudad","T","Pueblo","R","Rural","S","Suburbano","U","Urbano",""))</f>
        <v>Urbano</v>
      </c>
      <c r="T506" t="str">
        <f t="shared" si="29"/>
        <v>M</v>
      </c>
      <c r="U506" t="str">
        <f t="shared" si="30"/>
        <v>CA</v>
      </c>
      <c r="V506" t="str">
        <f t="shared" si="31"/>
        <v>15765</v>
      </c>
    </row>
    <row r="507" spans="1:22" x14ac:dyDescent="0.35">
      <c r="A507" s="3">
        <v>181755</v>
      </c>
      <c r="B507" t="s">
        <v>40</v>
      </c>
      <c r="C507" t="s">
        <v>17</v>
      </c>
      <c r="D507">
        <v>1461</v>
      </c>
      <c r="E507">
        <v>313</v>
      </c>
      <c r="F507">
        <v>464</v>
      </c>
      <c r="G507">
        <v>20</v>
      </c>
      <c r="H507">
        <v>20659</v>
      </c>
      <c r="I507">
        <v>7</v>
      </c>
      <c r="J507">
        <v>31</v>
      </c>
      <c r="K507">
        <v>342</v>
      </c>
      <c r="L507">
        <v>411</v>
      </c>
      <c r="M507">
        <v>5</v>
      </c>
      <c r="N507">
        <f>IFERROR(VLOOKUP(A507,vlookup_table!$A:$G,2,FALSE),"")</f>
        <v>2</v>
      </c>
      <c r="O507">
        <f>IFERROR(VLOOKUP(A507,vlookup_table!$A:$G,4,FALSE),"")</f>
        <v>0</v>
      </c>
      <c r="P507" t="str">
        <f>IFERROR(VLOOKUP(A507,vlookup_table!$A:$G,5,FALSE),"")</f>
        <v>C1</v>
      </c>
      <c r="Q507">
        <f>IFERROR(VLOOKUP(A507,vlookup_table!$A:$G,7,FALSE),"")</f>
        <v>5</v>
      </c>
      <c r="R507">
        <f t="shared" si="28"/>
        <v>97</v>
      </c>
      <c r="S507" t="str" cm="1">
        <f t="array" ref="S507">IF(P507="","",_xlfn.SWITCH(LEFT(P507,1),"C","Ciudad","T","Pueblo","R","Rural","S","Suburbano","U","Urbano",""))</f>
        <v>Ciudad</v>
      </c>
      <c r="T507" t="str">
        <f t="shared" si="29"/>
        <v>F</v>
      </c>
      <c r="U507" t="str">
        <f t="shared" si="30"/>
        <v>WA</v>
      </c>
      <c r="V507" t="str">
        <f t="shared" si="31"/>
        <v>20659</v>
      </c>
    </row>
    <row r="508" spans="1:22" x14ac:dyDescent="0.35">
      <c r="A508" s="3">
        <v>181412</v>
      </c>
      <c r="B508" t="s">
        <v>40</v>
      </c>
      <c r="C508" t="s">
        <v>51</v>
      </c>
      <c r="D508">
        <v>538</v>
      </c>
      <c r="E508">
        <v>227</v>
      </c>
      <c r="F508">
        <v>308</v>
      </c>
      <c r="G508">
        <v>1</v>
      </c>
      <c r="H508">
        <v>10590</v>
      </c>
      <c r="I508">
        <v>1</v>
      </c>
      <c r="J508">
        <v>61</v>
      </c>
      <c r="K508">
        <v>252</v>
      </c>
      <c r="L508">
        <v>278</v>
      </c>
      <c r="M508">
        <v>5</v>
      </c>
      <c r="N508">
        <f>IFERROR(VLOOKUP(A508,vlookup_table!$A:$G,2,FALSE),"")</f>
        <v>1</v>
      </c>
      <c r="O508">
        <f>IFERROR(VLOOKUP(A508,vlookup_table!$A:$G,4,FALSE),"")</f>
        <v>3301</v>
      </c>
      <c r="P508" t="str">
        <f>IFERROR(VLOOKUP(A508,vlookup_table!$A:$G,5,FALSE),"")</f>
        <v>R2</v>
      </c>
      <c r="Q508">
        <f>IFERROR(VLOOKUP(A508,vlookup_table!$A:$G,7,FALSE),"")</f>
        <v>5</v>
      </c>
      <c r="R508">
        <f t="shared" si="28"/>
        <v>64</v>
      </c>
      <c r="S508" t="str" cm="1">
        <f t="array" ref="S508">IF(P508="","",_xlfn.SWITCH(LEFT(P508,1),"C","Ciudad","T","Pueblo","R","Rural","S","Suburbano","U","Urbano",""))</f>
        <v>Rural</v>
      </c>
      <c r="T508" t="str">
        <f t="shared" si="29"/>
        <v>M</v>
      </c>
      <c r="U508" t="str">
        <f t="shared" si="30"/>
        <v>WA</v>
      </c>
      <c r="V508" t="str">
        <f t="shared" si="31"/>
        <v>10590</v>
      </c>
    </row>
    <row r="509" spans="1:22" x14ac:dyDescent="0.35">
      <c r="A509" s="3">
        <v>185602</v>
      </c>
      <c r="B509" t="s">
        <v>35</v>
      </c>
      <c r="C509" t="s">
        <v>17</v>
      </c>
      <c r="D509">
        <v>400</v>
      </c>
      <c r="E509">
        <v>232</v>
      </c>
      <c r="F509">
        <v>315</v>
      </c>
      <c r="G509">
        <v>0</v>
      </c>
      <c r="H509">
        <v>10504</v>
      </c>
      <c r="I509">
        <v>1</v>
      </c>
      <c r="J509">
        <v>86</v>
      </c>
      <c r="K509">
        <v>279</v>
      </c>
      <c r="L509">
        <v>264</v>
      </c>
      <c r="M509">
        <v>9.5333333329999999</v>
      </c>
      <c r="N509">
        <f>IFERROR(VLOOKUP(A509,vlookup_table!$A:$G,2,FALSE),"")</f>
        <v>28</v>
      </c>
      <c r="O509">
        <f>IFERROR(VLOOKUP(A509,vlookup_table!$A:$G,4,FALSE),"")</f>
        <v>0</v>
      </c>
      <c r="P509" t="str">
        <f>IFERROR(VLOOKUP(A509,vlookup_table!$A:$G,5,FALSE),"")</f>
        <v>R2</v>
      </c>
      <c r="Q509">
        <f>IFERROR(VLOOKUP(A509,vlookup_table!$A:$G,7,FALSE),"")</f>
        <v>10</v>
      </c>
      <c r="R509">
        <f t="shared" si="28"/>
        <v>97</v>
      </c>
      <c r="S509" t="str" cm="1">
        <f t="array" ref="S509">IF(P509="","",_xlfn.SWITCH(LEFT(P509,1),"C","Ciudad","T","Pueblo","R","Rural","S","Suburbano","U","Urbano",""))</f>
        <v>Rural</v>
      </c>
      <c r="T509" t="str">
        <f t="shared" si="29"/>
        <v>F</v>
      </c>
      <c r="U509" t="str">
        <f t="shared" si="30"/>
        <v>WI</v>
      </c>
      <c r="V509" t="str">
        <f t="shared" si="31"/>
        <v>10504</v>
      </c>
    </row>
    <row r="510" spans="1:22" x14ac:dyDescent="0.35">
      <c r="A510" s="3">
        <v>23603</v>
      </c>
      <c r="B510" t="s">
        <v>46</v>
      </c>
      <c r="C510" t="s">
        <v>14</v>
      </c>
      <c r="D510">
        <v>824</v>
      </c>
      <c r="E510">
        <v>348</v>
      </c>
      <c r="F510">
        <v>400</v>
      </c>
      <c r="G510">
        <v>0</v>
      </c>
      <c r="H510">
        <v>14663</v>
      </c>
      <c r="I510">
        <v>2</v>
      </c>
      <c r="J510">
        <v>40</v>
      </c>
      <c r="K510">
        <v>371</v>
      </c>
      <c r="L510">
        <v>365</v>
      </c>
      <c r="M510">
        <v>12.5</v>
      </c>
      <c r="N510">
        <f>IFERROR(VLOOKUP(A510,vlookup_table!$A:$G,2,FALSE),"")</f>
        <v>1</v>
      </c>
      <c r="O510">
        <f>IFERROR(VLOOKUP(A510,vlookup_table!$A:$G,4,FALSE),"")</f>
        <v>5801</v>
      </c>
      <c r="P510" t="str">
        <f>IFERROR(VLOOKUP(A510,vlookup_table!$A:$G,5,FALSE),"")</f>
        <v>S2</v>
      </c>
      <c r="Q510">
        <f>IFERROR(VLOOKUP(A510,vlookup_table!$A:$G,7,FALSE),"")</f>
        <v>25</v>
      </c>
      <c r="R510">
        <f t="shared" si="28"/>
        <v>39</v>
      </c>
      <c r="S510" t="str" cm="1">
        <f t="array" ref="S510">IF(P510="","",_xlfn.SWITCH(LEFT(P510,1),"C","Ciudad","T","Pueblo","R","Rural","S","Suburbano","U","Urbano",""))</f>
        <v>Suburbano</v>
      </c>
      <c r="T510" t="str">
        <f t="shared" si="29"/>
        <v>M</v>
      </c>
      <c r="U510" t="str">
        <f t="shared" si="30"/>
        <v>SC</v>
      </c>
      <c r="V510" t="str">
        <f t="shared" si="31"/>
        <v>14663</v>
      </c>
    </row>
    <row r="511" spans="1:22" x14ac:dyDescent="0.35">
      <c r="A511" s="3">
        <v>112943</v>
      </c>
      <c r="B511" t="s">
        <v>31</v>
      </c>
      <c r="C511" t="s">
        <v>17</v>
      </c>
      <c r="D511">
        <v>855</v>
      </c>
      <c r="E511">
        <v>345</v>
      </c>
      <c r="F511">
        <v>560</v>
      </c>
      <c r="G511">
        <v>10</v>
      </c>
      <c r="H511">
        <v>17869</v>
      </c>
      <c r="I511">
        <v>2</v>
      </c>
      <c r="J511">
        <v>64</v>
      </c>
      <c r="K511">
        <v>384</v>
      </c>
      <c r="L511">
        <v>508</v>
      </c>
      <c r="M511">
        <v>8.7291666669999994</v>
      </c>
      <c r="N511">
        <f>IFERROR(VLOOKUP(A511,vlookup_table!$A:$G,2,FALSE),"")</f>
        <v>2</v>
      </c>
      <c r="O511">
        <f>IFERROR(VLOOKUP(A511,vlookup_table!$A:$G,4,FALSE),"")</f>
        <v>3601</v>
      </c>
      <c r="P511" t="str">
        <f>IFERROR(VLOOKUP(A511,vlookup_table!$A:$G,5,FALSE),"")</f>
        <v>T1</v>
      </c>
      <c r="Q511">
        <f>IFERROR(VLOOKUP(A511,vlookup_table!$A:$G,7,FALSE),"")</f>
        <v>12</v>
      </c>
      <c r="R511">
        <f t="shared" si="28"/>
        <v>61</v>
      </c>
      <c r="S511" t="str" cm="1">
        <f t="array" ref="S511">IF(P511="","",_xlfn.SWITCH(LEFT(P511,1),"C","Ciudad","T","Pueblo","R","Rural","S","Suburbano","U","Urbano",""))</f>
        <v>Pueblo</v>
      </c>
      <c r="T511" t="str">
        <f t="shared" si="29"/>
        <v>F</v>
      </c>
      <c r="U511" t="str">
        <f t="shared" si="30"/>
        <v>OK</v>
      </c>
      <c r="V511" t="str">
        <f t="shared" si="31"/>
        <v>17869</v>
      </c>
    </row>
    <row r="512" spans="1:22" x14ac:dyDescent="0.35">
      <c r="A512" s="3">
        <v>44853</v>
      </c>
      <c r="B512" t="s">
        <v>13</v>
      </c>
      <c r="C512" t="s">
        <v>14</v>
      </c>
      <c r="D512">
        <v>578</v>
      </c>
      <c r="E512">
        <v>246</v>
      </c>
      <c r="F512">
        <v>323</v>
      </c>
      <c r="G512">
        <v>0</v>
      </c>
      <c r="H512">
        <v>14121</v>
      </c>
      <c r="I512">
        <v>3</v>
      </c>
      <c r="J512">
        <v>13</v>
      </c>
      <c r="K512">
        <v>323</v>
      </c>
      <c r="L512">
        <v>275</v>
      </c>
      <c r="M512">
        <v>10.64285714</v>
      </c>
      <c r="N512">
        <f>IFERROR(VLOOKUP(A512,vlookup_table!$A:$G,2,FALSE),"")</f>
        <v>1</v>
      </c>
      <c r="O512">
        <f>IFERROR(VLOOKUP(A512,vlookup_table!$A:$G,4,FALSE),"")</f>
        <v>2912</v>
      </c>
      <c r="P512" t="str">
        <f>IFERROR(VLOOKUP(A512,vlookup_table!$A:$G,5,FALSE),"")</f>
        <v>C3</v>
      </c>
      <c r="Q512">
        <f>IFERROR(VLOOKUP(A512,vlookup_table!$A:$G,7,FALSE),"")</f>
        <v>12</v>
      </c>
      <c r="R512">
        <f t="shared" si="28"/>
        <v>68</v>
      </c>
      <c r="S512" t="str" cm="1">
        <f t="array" ref="S512">IF(P512="","",_xlfn.SWITCH(LEFT(P512,1),"C","Ciudad","T","Pueblo","R","Rural","S","Suburbano","U","Urbano",""))</f>
        <v>Ciudad</v>
      </c>
      <c r="T512" t="str">
        <f t="shared" si="29"/>
        <v>M</v>
      </c>
      <c r="U512" t="str">
        <f t="shared" si="30"/>
        <v>FL</v>
      </c>
      <c r="V512" t="str">
        <f t="shared" si="31"/>
        <v>14121</v>
      </c>
    </row>
    <row r="513" spans="1:22" x14ac:dyDescent="0.35">
      <c r="A513" s="3">
        <v>83094</v>
      </c>
      <c r="B513" t="s">
        <v>56</v>
      </c>
      <c r="C513" t="s">
        <v>17</v>
      </c>
      <c r="D513">
        <v>699</v>
      </c>
      <c r="E513">
        <v>246</v>
      </c>
      <c r="F513">
        <v>319</v>
      </c>
      <c r="G513">
        <v>0</v>
      </c>
      <c r="H513">
        <v>11020</v>
      </c>
      <c r="I513">
        <v>1</v>
      </c>
      <c r="J513">
        <v>81</v>
      </c>
      <c r="K513">
        <v>254</v>
      </c>
      <c r="L513">
        <v>304</v>
      </c>
      <c r="M513">
        <v>13.6</v>
      </c>
      <c r="N513">
        <f>IFERROR(VLOOKUP(A513,vlookup_table!$A:$G,2,FALSE),"")</f>
        <v>0</v>
      </c>
      <c r="O513">
        <f>IFERROR(VLOOKUP(A513,vlookup_table!$A:$G,4,FALSE),"")</f>
        <v>1211</v>
      </c>
      <c r="P513" t="str">
        <f>IFERROR(VLOOKUP(A513,vlookup_table!$A:$G,5,FALSE),"")</f>
        <v>T2</v>
      </c>
      <c r="Q513">
        <f>IFERROR(VLOOKUP(A513,vlookup_table!$A:$G,7,FALSE),"")</f>
        <v>20</v>
      </c>
      <c r="R513">
        <f t="shared" si="28"/>
        <v>85</v>
      </c>
      <c r="S513" t="str" cm="1">
        <f t="array" ref="S513">IF(P513="","",_xlfn.SWITCH(LEFT(P513,1),"C","Ciudad","T","Pueblo","R","Rural","S","Suburbano","U","Urbano",""))</f>
        <v>Pueblo</v>
      </c>
      <c r="T513" t="str">
        <f t="shared" si="29"/>
        <v>F</v>
      </c>
      <c r="U513" t="str">
        <f t="shared" si="30"/>
        <v>MN</v>
      </c>
      <c r="V513" t="str">
        <f t="shared" si="31"/>
        <v>11020</v>
      </c>
    </row>
    <row r="514" spans="1:22" x14ac:dyDescent="0.35">
      <c r="A514" s="3">
        <v>148166</v>
      </c>
      <c r="B514" t="s">
        <v>61</v>
      </c>
      <c r="C514" t="s">
        <v>17</v>
      </c>
      <c r="D514">
        <v>5372</v>
      </c>
      <c r="E514">
        <v>673</v>
      </c>
      <c r="F514">
        <v>892</v>
      </c>
      <c r="G514">
        <v>97</v>
      </c>
      <c r="H514">
        <v>44570</v>
      </c>
      <c r="I514">
        <v>16</v>
      </c>
      <c r="J514">
        <v>42</v>
      </c>
      <c r="K514">
        <v>845</v>
      </c>
      <c r="L514">
        <v>801</v>
      </c>
      <c r="M514">
        <v>18.75</v>
      </c>
      <c r="N514">
        <f>IFERROR(VLOOKUP(A514,vlookup_table!$A:$G,2,FALSE),"")</f>
        <v>0</v>
      </c>
      <c r="O514">
        <f>IFERROR(VLOOKUP(A514,vlookup_table!$A:$G,4,FALSE),"")</f>
        <v>0</v>
      </c>
      <c r="P514" t="str">
        <f>IFERROR(VLOOKUP(A514,vlookup_table!$A:$G,5,FALSE),"")</f>
        <v>S1</v>
      </c>
      <c r="Q514">
        <f>IFERROR(VLOOKUP(A514,vlookup_table!$A:$G,7,FALSE),"")</f>
        <v>20</v>
      </c>
      <c r="R514">
        <f t="shared" ref="R514:R577" si="32">IF(O514="","",97-INT(O514/100))</f>
        <v>97</v>
      </c>
      <c r="S514" t="str" cm="1">
        <f t="array" ref="S514">IF(P514="","",_xlfn.SWITCH(LEFT(P514,1),"C","Ciudad","T","Pueblo","R","Rural","S","Suburbano","U","Urbano",""))</f>
        <v>Suburbano</v>
      </c>
      <c r="T514" t="str">
        <f t="shared" ref="T514:T577" si="33">IF(C514="","",IF(OR(UPPER(C514)="M",UPPER(C514)="MALE"),"M",IF(OR(UPPER(C514)="F",UPPER(C514)="FEMALE",UPPER(C514)="FEAMALE"),"F",C514)))</f>
        <v>F</v>
      </c>
      <c r="U514" t="str">
        <f t="shared" ref="U514:U577" si="34">IF(OR(UPPER(B514)="CALIFORNIA",UPPER(B514)="CALI"),"CA",B514)</f>
        <v>CA</v>
      </c>
      <c r="V514" t="str">
        <f t="shared" ref="V514:V577" si="35">SUBSTITUTE(H514,"@","")</f>
        <v>44570</v>
      </c>
    </row>
    <row r="515" spans="1:22" x14ac:dyDescent="0.35">
      <c r="A515" s="3">
        <v>101113</v>
      </c>
      <c r="B515" t="s">
        <v>36</v>
      </c>
      <c r="C515" t="s">
        <v>17</v>
      </c>
      <c r="D515">
        <v>839</v>
      </c>
      <c r="E515">
        <v>456</v>
      </c>
      <c r="F515">
        <v>485</v>
      </c>
      <c r="G515">
        <v>2</v>
      </c>
      <c r="H515">
        <v>14713</v>
      </c>
      <c r="I515">
        <v>1</v>
      </c>
      <c r="J515">
        <v>65</v>
      </c>
      <c r="K515">
        <v>465</v>
      </c>
      <c r="L515">
        <v>475</v>
      </c>
      <c r="M515">
        <v>9.625</v>
      </c>
      <c r="N515">
        <f>IFERROR(VLOOKUP(A515,vlookup_table!$A:$G,2,FALSE),"")</f>
        <v>0</v>
      </c>
      <c r="O515">
        <f>IFERROR(VLOOKUP(A515,vlookup_table!$A:$G,4,FALSE),"")</f>
        <v>5801</v>
      </c>
      <c r="P515" t="str">
        <f>IFERROR(VLOOKUP(A515,vlookup_table!$A:$G,5,FALSE),"")</f>
        <v>C2</v>
      </c>
      <c r="Q515">
        <f>IFERROR(VLOOKUP(A515,vlookup_table!$A:$G,7,FALSE),"")</f>
        <v>10</v>
      </c>
      <c r="R515">
        <f t="shared" si="32"/>
        <v>39</v>
      </c>
      <c r="S515" t="str" cm="1">
        <f t="array" ref="S515">IF(P515="","",_xlfn.SWITCH(LEFT(P515,1),"C","Ciudad","T","Pueblo","R","Rural","S","Suburbano","U","Urbano",""))</f>
        <v>Ciudad</v>
      </c>
      <c r="T515" t="str">
        <f t="shared" si="33"/>
        <v>F</v>
      </c>
      <c r="U515" t="str">
        <f t="shared" si="34"/>
        <v>MO</v>
      </c>
      <c r="V515" t="str">
        <f t="shared" si="35"/>
        <v>14713</v>
      </c>
    </row>
    <row r="516" spans="1:22" x14ac:dyDescent="0.35">
      <c r="A516" s="3">
        <v>101889</v>
      </c>
      <c r="B516" t="s">
        <v>36</v>
      </c>
      <c r="C516" t="s">
        <v>17</v>
      </c>
      <c r="D516">
        <v>662</v>
      </c>
      <c r="E516">
        <v>424</v>
      </c>
      <c r="F516">
        <v>456</v>
      </c>
      <c r="G516">
        <v>0</v>
      </c>
      <c r="H516">
        <v>13377</v>
      </c>
      <c r="I516">
        <v>0</v>
      </c>
      <c r="J516">
        <v>79</v>
      </c>
      <c r="K516">
        <v>436</v>
      </c>
      <c r="L516">
        <v>444</v>
      </c>
      <c r="M516">
        <v>13.5</v>
      </c>
      <c r="N516">
        <f>IFERROR(VLOOKUP(A516,vlookup_table!$A:$G,2,FALSE),"")</f>
        <v>0</v>
      </c>
      <c r="O516">
        <f>IFERROR(VLOOKUP(A516,vlookup_table!$A:$G,4,FALSE),"")</f>
        <v>5111</v>
      </c>
      <c r="P516" t="str">
        <f>IFERROR(VLOOKUP(A516,vlookup_table!$A:$G,5,FALSE),"")</f>
        <v>S2</v>
      </c>
      <c r="Q516">
        <f>IFERROR(VLOOKUP(A516,vlookup_table!$A:$G,7,FALSE),"")</f>
        <v>16</v>
      </c>
      <c r="R516">
        <f t="shared" si="32"/>
        <v>46</v>
      </c>
      <c r="S516" t="str" cm="1">
        <f t="array" ref="S516">IF(P516="","",_xlfn.SWITCH(LEFT(P516,1),"C","Ciudad","T","Pueblo","R","Rural","S","Suburbano","U","Urbano",""))</f>
        <v>Suburbano</v>
      </c>
      <c r="T516" t="str">
        <f t="shared" si="33"/>
        <v>F</v>
      </c>
      <c r="U516" t="str">
        <f t="shared" si="34"/>
        <v>MO</v>
      </c>
      <c r="V516" t="str">
        <f t="shared" si="35"/>
        <v>13377</v>
      </c>
    </row>
    <row r="517" spans="1:22" x14ac:dyDescent="0.35">
      <c r="A517" s="3">
        <v>58808</v>
      </c>
      <c r="B517" t="s">
        <v>57</v>
      </c>
      <c r="C517" t="s">
        <v>17</v>
      </c>
      <c r="D517">
        <v>575</v>
      </c>
      <c r="E517">
        <v>228</v>
      </c>
      <c r="F517">
        <v>327</v>
      </c>
      <c r="G517">
        <v>1</v>
      </c>
      <c r="H517">
        <v>12600</v>
      </c>
      <c r="I517">
        <v>0</v>
      </c>
      <c r="J517">
        <v>72</v>
      </c>
      <c r="K517">
        <v>299</v>
      </c>
      <c r="L517">
        <v>261</v>
      </c>
      <c r="M517">
        <v>10.5</v>
      </c>
      <c r="N517">
        <f>IFERROR(VLOOKUP(A517,vlookup_table!$A:$G,2,FALSE),"")</f>
        <v>0</v>
      </c>
      <c r="O517">
        <f>IFERROR(VLOOKUP(A517,vlookup_table!$A:$G,4,FALSE),"")</f>
        <v>1401</v>
      </c>
      <c r="P517" t="str">
        <f>IFERROR(VLOOKUP(A517,vlookup_table!$A:$G,5,FALSE),"")</f>
        <v>T2</v>
      </c>
      <c r="Q517">
        <f>IFERROR(VLOOKUP(A517,vlookup_table!$A:$G,7,FALSE),"")</f>
        <v>10</v>
      </c>
      <c r="R517">
        <f t="shared" si="32"/>
        <v>83</v>
      </c>
      <c r="S517" t="str" cm="1">
        <f t="array" ref="S517">IF(P517="","",_xlfn.SWITCH(LEFT(P517,1),"C","Ciudad","T","Pueblo","R","Rural","S","Suburbano","U","Urbano",""))</f>
        <v>Pueblo</v>
      </c>
      <c r="T517" t="str">
        <f t="shared" si="33"/>
        <v>F</v>
      </c>
      <c r="U517" t="str">
        <f t="shared" si="34"/>
        <v>KY</v>
      </c>
      <c r="V517" t="str">
        <f t="shared" si="35"/>
        <v>12600</v>
      </c>
    </row>
    <row r="518" spans="1:22" x14ac:dyDescent="0.35">
      <c r="A518" s="3">
        <v>85498</v>
      </c>
      <c r="B518" t="s">
        <v>56</v>
      </c>
      <c r="C518" t="s">
        <v>17</v>
      </c>
      <c r="D518">
        <v>281</v>
      </c>
      <c r="E518">
        <v>176</v>
      </c>
      <c r="F518">
        <v>235</v>
      </c>
      <c r="G518">
        <v>0</v>
      </c>
      <c r="H518">
        <v>7683</v>
      </c>
      <c r="I518">
        <v>0</v>
      </c>
      <c r="J518">
        <v>86</v>
      </c>
      <c r="K518">
        <v>207</v>
      </c>
      <c r="L518">
        <v>208</v>
      </c>
      <c r="M518">
        <v>5.9090909089999997</v>
      </c>
      <c r="N518">
        <f>IFERROR(VLOOKUP(A518,vlookup_table!$A:$G,2,FALSE),"")</f>
        <v>0</v>
      </c>
      <c r="O518">
        <f>IFERROR(VLOOKUP(A518,vlookup_table!$A:$G,4,FALSE),"")</f>
        <v>0</v>
      </c>
      <c r="P518" t="str">
        <f>IFERROR(VLOOKUP(A518,vlookup_table!$A:$G,5,FALSE),"")</f>
        <v>R3</v>
      </c>
      <c r="Q518">
        <f>IFERROR(VLOOKUP(A518,vlookup_table!$A:$G,7,FALSE),"")</f>
        <v>10</v>
      </c>
      <c r="R518">
        <f t="shared" si="32"/>
        <v>97</v>
      </c>
      <c r="S518" t="str" cm="1">
        <f t="array" ref="S518">IF(P518="","",_xlfn.SWITCH(LEFT(P518,1),"C","Ciudad","T","Pueblo","R","Rural","S","Suburbano","U","Urbano",""))</f>
        <v>Rural</v>
      </c>
      <c r="T518" t="str">
        <f t="shared" si="33"/>
        <v>F</v>
      </c>
      <c r="U518" t="str">
        <f t="shared" si="34"/>
        <v>MN</v>
      </c>
      <c r="V518" t="str">
        <f t="shared" si="35"/>
        <v>7683</v>
      </c>
    </row>
    <row r="519" spans="1:22" x14ac:dyDescent="0.35">
      <c r="A519" s="3">
        <v>153864</v>
      </c>
      <c r="B519" t="s">
        <v>61</v>
      </c>
      <c r="C519" t="s">
        <v>17</v>
      </c>
      <c r="D519">
        <v>3370</v>
      </c>
      <c r="E519">
        <v>763</v>
      </c>
      <c r="F519">
        <v>871</v>
      </c>
      <c r="G519">
        <v>88</v>
      </c>
      <c r="H519">
        <v>32072</v>
      </c>
      <c r="I519">
        <v>16</v>
      </c>
      <c r="J519">
        <v>33</v>
      </c>
      <c r="K519">
        <v>824</v>
      </c>
      <c r="L519">
        <v>824</v>
      </c>
      <c r="M519">
        <v>9.8888888890000004</v>
      </c>
      <c r="N519">
        <f>IFERROR(VLOOKUP(A519,vlookup_table!$A:$G,2,FALSE),"")</f>
        <v>0</v>
      </c>
      <c r="O519">
        <f>IFERROR(VLOOKUP(A519,vlookup_table!$A:$G,4,FALSE),"")</f>
        <v>5201</v>
      </c>
      <c r="P519" t="str">
        <f>IFERROR(VLOOKUP(A519,vlookup_table!$A:$G,5,FALSE),"")</f>
        <v>S1</v>
      </c>
      <c r="Q519">
        <f>IFERROR(VLOOKUP(A519,vlookup_table!$A:$G,7,FALSE),"")</f>
        <v>20</v>
      </c>
      <c r="R519">
        <f t="shared" si="32"/>
        <v>45</v>
      </c>
      <c r="S519" t="str" cm="1">
        <f t="array" ref="S519">IF(P519="","",_xlfn.SWITCH(LEFT(P519,1),"C","Ciudad","T","Pueblo","R","Rural","S","Suburbano","U","Urbano",""))</f>
        <v>Suburbano</v>
      </c>
      <c r="T519" t="str">
        <f t="shared" si="33"/>
        <v>F</v>
      </c>
      <c r="U519" t="str">
        <f t="shared" si="34"/>
        <v>CA</v>
      </c>
      <c r="V519" t="str">
        <f t="shared" si="35"/>
        <v>32072</v>
      </c>
    </row>
    <row r="520" spans="1:22" x14ac:dyDescent="0.35">
      <c r="A520" s="3">
        <v>145496</v>
      </c>
      <c r="B520" t="s">
        <v>61</v>
      </c>
      <c r="C520" t="s">
        <v>14</v>
      </c>
      <c r="D520">
        <v>2803</v>
      </c>
      <c r="E520">
        <v>555</v>
      </c>
      <c r="F520">
        <v>620</v>
      </c>
      <c r="G520">
        <v>88</v>
      </c>
      <c r="H520">
        <v>17655</v>
      </c>
      <c r="I520">
        <v>15</v>
      </c>
      <c r="J520">
        <v>52</v>
      </c>
      <c r="K520">
        <v>616</v>
      </c>
      <c r="L520">
        <v>546</v>
      </c>
      <c r="M520">
        <v>12.2</v>
      </c>
      <c r="N520">
        <f>IFERROR(VLOOKUP(A520,vlookup_table!$A:$G,2,FALSE),"")</f>
        <v>1</v>
      </c>
      <c r="O520">
        <f>IFERROR(VLOOKUP(A520,vlookup_table!$A:$G,4,FALSE),"")</f>
        <v>5111</v>
      </c>
      <c r="P520" t="str">
        <f>IFERROR(VLOOKUP(A520,vlookup_table!$A:$G,5,FALSE),"")</f>
        <v>U1</v>
      </c>
      <c r="Q520">
        <f>IFERROR(VLOOKUP(A520,vlookup_table!$A:$G,7,FALSE),"")</f>
        <v>22</v>
      </c>
      <c r="R520">
        <f t="shared" si="32"/>
        <v>46</v>
      </c>
      <c r="S520" t="str" cm="1">
        <f t="array" ref="S520">IF(P520="","",_xlfn.SWITCH(LEFT(P520,1),"C","Ciudad","T","Pueblo","R","Rural","S","Suburbano","U","Urbano",""))</f>
        <v>Urbano</v>
      </c>
      <c r="T520" t="str">
        <f t="shared" si="33"/>
        <v>M</v>
      </c>
      <c r="U520" t="str">
        <f t="shared" si="34"/>
        <v>CA</v>
      </c>
      <c r="V520" t="str">
        <f t="shared" si="35"/>
        <v>17655</v>
      </c>
    </row>
    <row r="521" spans="1:22" x14ac:dyDescent="0.35">
      <c r="A521" s="3">
        <v>27566</v>
      </c>
      <c r="B521" t="s">
        <v>39</v>
      </c>
      <c r="C521" t="s">
        <v>14</v>
      </c>
      <c r="D521">
        <v>601</v>
      </c>
      <c r="E521">
        <v>249</v>
      </c>
      <c r="F521">
        <v>306</v>
      </c>
      <c r="G521">
        <v>1</v>
      </c>
      <c r="H521">
        <v>11235</v>
      </c>
      <c r="I521">
        <v>4</v>
      </c>
      <c r="J521">
        <v>67</v>
      </c>
      <c r="K521">
        <v>274</v>
      </c>
      <c r="L521">
        <v>286</v>
      </c>
      <c r="M521">
        <v>15</v>
      </c>
      <c r="N521">
        <f>IFERROR(VLOOKUP(A521,vlookup_table!$A:$G,2,FALSE),"")</f>
        <v>0</v>
      </c>
      <c r="O521">
        <f>IFERROR(VLOOKUP(A521,vlookup_table!$A:$G,4,FALSE),"")</f>
        <v>0</v>
      </c>
      <c r="P521" t="str">
        <f>IFERROR(VLOOKUP(A521,vlookup_table!$A:$G,5,FALSE),"")</f>
        <v>C3</v>
      </c>
      <c r="Q521">
        <f>IFERROR(VLOOKUP(A521,vlookup_table!$A:$G,7,FALSE),"")</f>
        <v>30</v>
      </c>
      <c r="R521">
        <f t="shared" si="32"/>
        <v>97</v>
      </c>
      <c r="S521" t="str" cm="1">
        <f t="array" ref="S521">IF(P521="","",_xlfn.SWITCH(LEFT(P521,1),"C","Ciudad","T","Pueblo","R","Rural","S","Suburbano","U","Urbano",""))</f>
        <v>Ciudad</v>
      </c>
      <c r="T521" t="str">
        <f t="shared" si="33"/>
        <v>M</v>
      </c>
      <c r="U521" t="str">
        <f t="shared" si="34"/>
        <v>GA</v>
      </c>
      <c r="V521" t="str">
        <f t="shared" si="35"/>
        <v>11235</v>
      </c>
    </row>
    <row r="522" spans="1:22" x14ac:dyDescent="0.35">
      <c r="A522" s="3">
        <v>38031</v>
      </c>
      <c r="B522" t="s">
        <v>13</v>
      </c>
      <c r="C522" t="s">
        <v>14</v>
      </c>
      <c r="D522">
        <v>828</v>
      </c>
      <c r="E522">
        <v>401</v>
      </c>
      <c r="F522">
        <v>451</v>
      </c>
      <c r="G522">
        <v>0</v>
      </c>
      <c r="H522">
        <v>13716</v>
      </c>
      <c r="I522">
        <v>31</v>
      </c>
      <c r="J522">
        <v>31</v>
      </c>
      <c r="K522">
        <v>396</v>
      </c>
      <c r="L522">
        <v>451</v>
      </c>
      <c r="M522">
        <v>12.5</v>
      </c>
      <c r="N522">
        <f>IFERROR(VLOOKUP(A522,vlookup_table!$A:$G,2,FALSE),"")</f>
        <v>1</v>
      </c>
      <c r="O522">
        <f>IFERROR(VLOOKUP(A522,vlookup_table!$A:$G,4,FALSE),"")</f>
        <v>5801</v>
      </c>
      <c r="P522" t="str">
        <f>IFERROR(VLOOKUP(A522,vlookup_table!$A:$G,5,FALSE),"")</f>
        <v>S2</v>
      </c>
      <c r="Q522">
        <f>IFERROR(VLOOKUP(A522,vlookup_table!$A:$G,7,FALSE),"")</f>
        <v>10</v>
      </c>
      <c r="R522">
        <f t="shared" si="32"/>
        <v>39</v>
      </c>
      <c r="S522" t="str" cm="1">
        <f t="array" ref="S522">IF(P522="","",_xlfn.SWITCH(LEFT(P522,1),"C","Ciudad","T","Pueblo","R","Rural","S","Suburbano","U","Urbano",""))</f>
        <v>Suburbano</v>
      </c>
      <c r="T522" t="str">
        <f t="shared" si="33"/>
        <v>M</v>
      </c>
      <c r="U522" t="str">
        <f t="shared" si="34"/>
        <v>FL</v>
      </c>
      <c r="V522" t="str">
        <f t="shared" si="35"/>
        <v>13716</v>
      </c>
    </row>
    <row r="523" spans="1:22" x14ac:dyDescent="0.35">
      <c r="A523" s="3">
        <v>130756</v>
      </c>
      <c r="B523" t="s">
        <v>48</v>
      </c>
      <c r="D523">
        <v>2408</v>
      </c>
      <c r="E523">
        <v>906</v>
      </c>
      <c r="F523">
        <v>961</v>
      </c>
      <c r="G523">
        <v>65</v>
      </c>
      <c r="H523">
        <v>42897</v>
      </c>
      <c r="I523">
        <v>5</v>
      </c>
      <c r="J523">
        <v>25</v>
      </c>
      <c r="K523">
        <v>952</v>
      </c>
      <c r="L523">
        <v>924</v>
      </c>
      <c r="M523">
        <v>15</v>
      </c>
      <c r="N523">
        <f>IFERROR(VLOOKUP(A523,vlookup_table!$A:$G,2,FALSE),"")</f>
        <v>0</v>
      </c>
      <c r="O523">
        <f>IFERROR(VLOOKUP(A523,vlookup_table!$A:$G,4,FALSE),"")</f>
        <v>4701</v>
      </c>
      <c r="P523" t="str">
        <f>IFERROR(VLOOKUP(A523,vlookup_table!$A:$G,5,FALSE),"")</f>
        <v>T1</v>
      </c>
      <c r="Q523">
        <f>IFERROR(VLOOKUP(A523,vlookup_table!$A:$G,7,FALSE),"")</f>
        <v>20</v>
      </c>
      <c r="R523">
        <f t="shared" si="32"/>
        <v>50</v>
      </c>
      <c r="S523" t="str" cm="1">
        <f t="array" ref="S523">IF(P523="","",_xlfn.SWITCH(LEFT(P523,1),"C","Ciudad","T","Pueblo","R","Rural","S","Suburbano","U","Urbano",""))</f>
        <v>Pueblo</v>
      </c>
      <c r="T523" t="str">
        <f t="shared" si="33"/>
        <v/>
      </c>
      <c r="U523" t="str">
        <f t="shared" si="34"/>
        <v>CO</v>
      </c>
      <c r="V523" t="str">
        <f t="shared" si="35"/>
        <v>42897</v>
      </c>
    </row>
    <row r="524" spans="1:22" x14ac:dyDescent="0.35">
      <c r="A524" s="3">
        <v>87281</v>
      </c>
      <c r="B524" t="s">
        <v>34</v>
      </c>
      <c r="D524">
        <v>445</v>
      </c>
      <c r="E524">
        <v>192</v>
      </c>
      <c r="F524">
        <v>275</v>
      </c>
      <c r="G524">
        <v>0</v>
      </c>
      <c r="H524">
        <v>9747</v>
      </c>
      <c r="I524">
        <v>1</v>
      </c>
      <c r="J524">
        <v>57</v>
      </c>
      <c r="K524">
        <v>242</v>
      </c>
      <c r="L524">
        <v>244</v>
      </c>
      <c r="M524">
        <v>7.3</v>
      </c>
      <c r="N524">
        <f>IFERROR(VLOOKUP(A524,vlookup_table!$A:$G,2,FALSE),"")</f>
        <v>0</v>
      </c>
      <c r="O524">
        <f>IFERROR(VLOOKUP(A524,vlookup_table!$A:$G,4,FALSE),"")</f>
        <v>0</v>
      </c>
      <c r="P524" t="str">
        <f>IFERROR(VLOOKUP(A524,vlookup_table!$A:$G,5,FALSE),"")</f>
        <v>R2</v>
      </c>
      <c r="Q524">
        <f>IFERROR(VLOOKUP(A524,vlookup_table!$A:$G,7,FALSE),"")</f>
        <v>8</v>
      </c>
      <c r="R524">
        <f t="shared" si="32"/>
        <v>97</v>
      </c>
      <c r="S524" t="str" cm="1">
        <f t="array" ref="S524">IF(P524="","",_xlfn.SWITCH(LEFT(P524,1),"C","Ciudad","T","Pueblo","R","Rural","S","Suburbano","U","Urbano",""))</f>
        <v>Rural</v>
      </c>
      <c r="T524" t="str">
        <f t="shared" si="33"/>
        <v/>
      </c>
      <c r="U524" t="str">
        <f t="shared" si="34"/>
        <v>MT</v>
      </c>
      <c r="V524" t="str">
        <f t="shared" si="35"/>
        <v>9747</v>
      </c>
    </row>
    <row r="525" spans="1:22" x14ac:dyDescent="0.35">
      <c r="A525" s="3">
        <v>16863</v>
      </c>
      <c r="B525" t="s">
        <v>18</v>
      </c>
      <c r="C525" t="s">
        <v>20</v>
      </c>
      <c r="D525">
        <v>951</v>
      </c>
      <c r="E525">
        <v>307</v>
      </c>
      <c r="F525">
        <v>487</v>
      </c>
      <c r="G525">
        <v>11</v>
      </c>
      <c r="H525">
        <v>17187</v>
      </c>
      <c r="I525">
        <v>6</v>
      </c>
      <c r="J525">
        <v>39</v>
      </c>
      <c r="K525">
        <v>427</v>
      </c>
      <c r="L525">
        <v>370</v>
      </c>
      <c r="M525">
        <v>15</v>
      </c>
      <c r="N525">
        <f>IFERROR(VLOOKUP(A525,vlookup_table!$A:$G,2,FALSE),"")</f>
        <v>2</v>
      </c>
      <c r="O525">
        <f>IFERROR(VLOOKUP(A525,vlookup_table!$A:$G,4,FALSE),"")</f>
        <v>3301</v>
      </c>
      <c r="P525" t="str">
        <f>IFERROR(VLOOKUP(A525,vlookup_table!$A:$G,5,FALSE),"")</f>
        <v>C1</v>
      </c>
      <c r="Q525">
        <f>IFERROR(VLOOKUP(A525,vlookup_table!$A:$G,7,FALSE),"")</f>
        <v>50</v>
      </c>
      <c r="R525">
        <f t="shared" si="32"/>
        <v>64</v>
      </c>
      <c r="S525" t="str" cm="1">
        <f t="array" ref="S525">IF(P525="","",_xlfn.SWITCH(LEFT(P525,1),"C","Ciudad","T","Pueblo","R","Rural","S","Suburbano","U","Urbano",""))</f>
        <v>Ciudad</v>
      </c>
      <c r="T525" t="str">
        <f t="shared" si="33"/>
        <v>F</v>
      </c>
      <c r="U525" t="str">
        <f t="shared" si="34"/>
        <v>NC</v>
      </c>
      <c r="V525" t="str">
        <f t="shared" si="35"/>
        <v>17187</v>
      </c>
    </row>
    <row r="526" spans="1:22" x14ac:dyDescent="0.35">
      <c r="A526" s="3">
        <v>20065</v>
      </c>
      <c r="B526" t="s">
        <v>18</v>
      </c>
      <c r="D526">
        <v>722</v>
      </c>
      <c r="E526">
        <v>327</v>
      </c>
      <c r="F526">
        <v>371</v>
      </c>
      <c r="G526">
        <v>0</v>
      </c>
      <c r="H526">
        <v>13168</v>
      </c>
      <c r="I526">
        <v>6</v>
      </c>
      <c r="J526">
        <v>25</v>
      </c>
      <c r="K526">
        <v>325</v>
      </c>
      <c r="L526">
        <v>374</v>
      </c>
      <c r="M526">
        <v>20.85714286</v>
      </c>
      <c r="N526">
        <f>IFERROR(VLOOKUP(A526,vlookup_table!$A:$G,2,FALSE),"")</f>
        <v>28</v>
      </c>
      <c r="O526">
        <f>IFERROR(VLOOKUP(A526,vlookup_table!$A:$G,4,FALSE),"")</f>
        <v>5301</v>
      </c>
      <c r="P526" t="str">
        <f>IFERROR(VLOOKUP(A526,vlookup_table!$A:$G,5,FALSE),"")</f>
        <v>T2</v>
      </c>
      <c r="Q526">
        <f>IFERROR(VLOOKUP(A526,vlookup_table!$A:$G,7,FALSE),"")</f>
        <v>40</v>
      </c>
      <c r="R526">
        <f t="shared" si="32"/>
        <v>44</v>
      </c>
      <c r="S526" t="str" cm="1">
        <f t="array" ref="S526">IF(P526="","",_xlfn.SWITCH(LEFT(P526,1),"C","Ciudad","T","Pueblo","R","Rural","S","Suburbano","U","Urbano",""))</f>
        <v>Pueblo</v>
      </c>
      <c r="T526" t="str">
        <f t="shared" si="33"/>
        <v/>
      </c>
      <c r="U526" t="str">
        <f t="shared" si="34"/>
        <v>NC</v>
      </c>
      <c r="V526" t="str">
        <f t="shared" si="35"/>
        <v>13168</v>
      </c>
    </row>
    <row r="527" spans="1:22" x14ac:dyDescent="0.35">
      <c r="A527" s="3">
        <v>142554</v>
      </c>
      <c r="B527" t="s">
        <v>61</v>
      </c>
      <c r="C527" t="s">
        <v>14</v>
      </c>
      <c r="D527">
        <v>1811</v>
      </c>
      <c r="E527">
        <v>350</v>
      </c>
      <c r="F527">
        <v>466</v>
      </c>
      <c r="G527">
        <v>33</v>
      </c>
      <c r="H527">
        <v>18591</v>
      </c>
      <c r="I527">
        <v>12</v>
      </c>
      <c r="J527">
        <v>52</v>
      </c>
      <c r="K527">
        <v>405</v>
      </c>
      <c r="L527">
        <v>440</v>
      </c>
      <c r="M527">
        <v>13.75</v>
      </c>
      <c r="N527">
        <f>IFERROR(VLOOKUP(A527,vlookup_table!$A:$G,2,FALSE),"")</f>
        <v>0</v>
      </c>
      <c r="O527">
        <f>IFERROR(VLOOKUP(A527,vlookup_table!$A:$G,4,FALSE),"")</f>
        <v>1601</v>
      </c>
      <c r="P527" t="str">
        <f>IFERROR(VLOOKUP(A527,vlookup_table!$A:$G,5,FALSE),"")</f>
        <v>U2</v>
      </c>
      <c r="Q527">
        <f>IFERROR(VLOOKUP(A527,vlookup_table!$A:$G,7,FALSE),"")</f>
        <v>15</v>
      </c>
      <c r="R527">
        <f t="shared" si="32"/>
        <v>81</v>
      </c>
      <c r="S527" t="str" cm="1">
        <f t="array" ref="S527">IF(P527="","",_xlfn.SWITCH(LEFT(P527,1),"C","Ciudad","T","Pueblo","R","Rural","S","Suburbano","U","Urbano",""))</f>
        <v>Urbano</v>
      </c>
      <c r="T527" t="str">
        <f t="shared" si="33"/>
        <v>M</v>
      </c>
      <c r="U527" t="str">
        <f t="shared" si="34"/>
        <v>CA</v>
      </c>
      <c r="V527" t="str">
        <f t="shared" si="35"/>
        <v>18591</v>
      </c>
    </row>
    <row r="528" spans="1:22" x14ac:dyDescent="0.35">
      <c r="A528" s="3">
        <v>10789</v>
      </c>
      <c r="B528" t="s">
        <v>56</v>
      </c>
      <c r="C528" t="s">
        <v>17</v>
      </c>
      <c r="D528">
        <v>534</v>
      </c>
      <c r="E528">
        <v>284</v>
      </c>
      <c r="F528">
        <v>351</v>
      </c>
      <c r="G528">
        <v>0</v>
      </c>
      <c r="H528">
        <v>11303</v>
      </c>
      <c r="I528">
        <v>2</v>
      </c>
      <c r="J528">
        <v>83</v>
      </c>
      <c r="K528">
        <v>321</v>
      </c>
      <c r="L528">
        <v>308</v>
      </c>
      <c r="M528">
        <v>5.2903225809999999</v>
      </c>
      <c r="N528">
        <f>IFERROR(VLOOKUP(A528,vlookup_table!$A:$G,2,FALSE),"")</f>
        <v>2</v>
      </c>
      <c r="O528">
        <f>IFERROR(VLOOKUP(A528,vlookup_table!$A:$G,4,FALSE),"")</f>
        <v>2309</v>
      </c>
      <c r="P528" t="str">
        <f>IFERROR(VLOOKUP(A528,vlookup_table!$A:$G,5,FALSE),"")</f>
        <v>R2</v>
      </c>
      <c r="Q528">
        <f>IFERROR(VLOOKUP(A528,vlookup_table!$A:$G,7,FALSE),"")</f>
        <v>3</v>
      </c>
      <c r="R528">
        <f t="shared" si="32"/>
        <v>74</v>
      </c>
      <c r="S528" t="str" cm="1">
        <f t="array" ref="S528">IF(P528="","",_xlfn.SWITCH(LEFT(P528,1),"C","Ciudad","T","Pueblo","R","Rural","S","Suburbano","U","Urbano",""))</f>
        <v>Rural</v>
      </c>
      <c r="T528" t="str">
        <f t="shared" si="33"/>
        <v>F</v>
      </c>
      <c r="U528" t="str">
        <f t="shared" si="34"/>
        <v>MN</v>
      </c>
      <c r="V528" t="str">
        <f t="shared" si="35"/>
        <v>11303</v>
      </c>
    </row>
    <row r="529" spans="1:22" x14ac:dyDescent="0.35">
      <c r="A529" s="3">
        <v>64224</v>
      </c>
      <c r="B529" t="s">
        <v>33</v>
      </c>
      <c r="C529" t="s">
        <v>17</v>
      </c>
      <c r="D529">
        <v>866</v>
      </c>
      <c r="E529">
        <v>443</v>
      </c>
      <c r="F529">
        <v>472</v>
      </c>
      <c r="G529">
        <v>3</v>
      </c>
      <c r="H529">
        <v>10484</v>
      </c>
      <c r="I529">
        <v>1</v>
      </c>
      <c r="J529">
        <v>57</v>
      </c>
      <c r="K529">
        <v>453</v>
      </c>
      <c r="L529">
        <v>454</v>
      </c>
      <c r="M529">
        <v>12.83333333</v>
      </c>
      <c r="N529">
        <f>IFERROR(VLOOKUP(A529,vlookup_table!$A:$G,2,FALSE),"")</f>
        <v>0</v>
      </c>
      <c r="O529">
        <f>IFERROR(VLOOKUP(A529,vlookup_table!$A:$G,4,FALSE),"")</f>
        <v>3811</v>
      </c>
      <c r="P529" t="str">
        <f>IFERROR(VLOOKUP(A529,vlookup_table!$A:$G,5,FALSE),"")</f>
        <v>T1</v>
      </c>
      <c r="Q529">
        <f>IFERROR(VLOOKUP(A529,vlookup_table!$A:$G,7,FALSE),"")</f>
        <v>20</v>
      </c>
      <c r="R529">
        <f t="shared" si="32"/>
        <v>59</v>
      </c>
      <c r="S529" t="str" cm="1">
        <f t="array" ref="S529">IF(P529="","",_xlfn.SWITCH(LEFT(P529,1),"C","Ciudad","T","Pueblo","R","Rural","S","Suburbano","U","Urbano",""))</f>
        <v>Pueblo</v>
      </c>
      <c r="T529" t="str">
        <f t="shared" si="33"/>
        <v>F</v>
      </c>
      <c r="U529" t="str">
        <f t="shared" si="34"/>
        <v>IN</v>
      </c>
      <c r="V529" t="str">
        <f t="shared" si="35"/>
        <v>10484</v>
      </c>
    </row>
    <row r="530" spans="1:22" x14ac:dyDescent="0.35">
      <c r="A530" s="3">
        <v>6695</v>
      </c>
      <c r="B530" t="s">
        <v>16</v>
      </c>
      <c r="C530" t="s">
        <v>14</v>
      </c>
      <c r="D530">
        <v>471</v>
      </c>
      <c r="E530">
        <v>299</v>
      </c>
      <c r="F530">
        <v>347</v>
      </c>
      <c r="G530">
        <v>0</v>
      </c>
      <c r="H530">
        <v>14658</v>
      </c>
      <c r="I530">
        <v>0</v>
      </c>
      <c r="J530">
        <v>87</v>
      </c>
      <c r="K530">
        <v>334</v>
      </c>
      <c r="L530">
        <v>303</v>
      </c>
      <c r="M530">
        <v>5.6470588240000001</v>
      </c>
      <c r="N530">
        <f>IFERROR(VLOOKUP(A530,vlookup_table!$A:$G,2,FALSE),"")</f>
        <v>0</v>
      </c>
      <c r="O530">
        <f>IFERROR(VLOOKUP(A530,vlookup_table!$A:$G,4,FALSE),"")</f>
        <v>6609</v>
      </c>
      <c r="P530" t="str">
        <f>IFERROR(VLOOKUP(A530,vlookup_table!$A:$G,5,FALSE),"")</f>
        <v>C2</v>
      </c>
      <c r="Q530">
        <f>IFERROR(VLOOKUP(A530,vlookup_table!$A:$G,7,FALSE),"")</f>
        <v>6</v>
      </c>
      <c r="R530">
        <f t="shared" si="32"/>
        <v>31</v>
      </c>
      <c r="S530" t="str" cm="1">
        <f t="array" ref="S530">IF(P530="","",_xlfn.SWITCH(LEFT(P530,1),"C","Ciudad","T","Pueblo","R","Rural","S","Suburbano","U","Urbano",""))</f>
        <v>Ciudad</v>
      </c>
      <c r="T530" t="str">
        <f t="shared" si="33"/>
        <v>M</v>
      </c>
      <c r="U530" t="str">
        <f t="shared" si="34"/>
        <v>IL</v>
      </c>
      <c r="V530" t="str">
        <f t="shared" si="35"/>
        <v>14658</v>
      </c>
    </row>
    <row r="531" spans="1:22" x14ac:dyDescent="0.35">
      <c r="A531" s="3">
        <v>139799</v>
      </c>
      <c r="B531" t="s">
        <v>54</v>
      </c>
      <c r="C531" t="s">
        <v>17</v>
      </c>
      <c r="D531">
        <v>987</v>
      </c>
      <c r="E531">
        <v>405</v>
      </c>
      <c r="F531">
        <v>599</v>
      </c>
      <c r="G531">
        <v>4</v>
      </c>
      <c r="H531">
        <v>20940</v>
      </c>
      <c r="I531">
        <v>8</v>
      </c>
      <c r="J531">
        <v>42</v>
      </c>
      <c r="K531">
        <v>544</v>
      </c>
      <c r="L531">
        <v>490</v>
      </c>
      <c r="M531">
        <v>25</v>
      </c>
      <c r="N531">
        <f>IFERROR(VLOOKUP(A531,vlookup_table!$A:$G,2,FALSE),"")</f>
        <v>0</v>
      </c>
      <c r="O531">
        <f>IFERROR(VLOOKUP(A531,vlookup_table!$A:$G,4,FALSE),"")</f>
        <v>5301</v>
      </c>
      <c r="P531" t="str">
        <f>IFERROR(VLOOKUP(A531,vlookup_table!$A:$G,5,FALSE),"")</f>
        <v>T1</v>
      </c>
      <c r="Q531">
        <f>IFERROR(VLOOKUP(A531,vlookup_table!$A:$G,7,FALSE),"")</f>
        <v>25</v>
      </c>
      <c r="R531">
        <f t="shared" si="32"/>
        <v>44</v>
      </c>
      <c r="S531" t="str" cm="1">
        <f t="array" ref="S531">IF(P531="","",_xlfn.SWITCH(LEFT(P531,1),"C","Ciudad","T","Pueblo","R","Rural","S","Suburbano","U","Urbano",""))</f>
        <v>Pueblo</v>
      </c>
      <c r="T531" t="str">
        <f t="shared" si="33"/>
        <v>F</v>
      </c>
      <c r="U531" t="str">
        <f t="shared" si="34"/>
        <v>NM</v>
      </c>
      <c r="V531" t="str">
        <f t="shared" si="35"/>
        <v>20940</v>
      </c>
    </row>
    <row r="532" spans="1:22" x14ac:dyDescent="0.35">
      <c r="A532" s="3">
        <v>1254</v>
      </c>
      <c r="B532" t="s">
        <v>21</v>
      </c>
      <c r="C532" t="s">
        <v>14</v>
      </c>
      <c r="D532">
        <v>1102</v>
      </c>
      <c r="E532">
        <v>613</v>
      </c>
      <c r="F532">
        <v>676</v>
      </c>
      <c r="G532">
        <v>0</v>
      </c>
      <c r="H532">
        <v>20557</v>
      </c>
      <c r="I532">
        <v>4</v>
      </c>
      <c r="J532">
        <v>46</v>
      </c>
      <c r="K532">
        <v>639</v>
      </c>
      <c r="L532">
        <v>648</v>
      </c>
      <c r="M532">
        <v>25</v>
      </c>
      <c r="N532">
        <f>IFERROR(VLOOKUP(A532,vlookup_table!$A:$G,2,FALSE),"")</f>
        <v>1</v>
      </c>
      <c r="O532">
        <f>IFERROR(VLOOKUP(A532,vlookup_table!$A:$G,4,FALSE),"")</f>
        <v>4801</v>
      </c>
      <c r="P532" t="str">
        <f>IFERROR(VLOOKUP(A532,vlookup_table!$A:$G,5,FALSE),"")</f>
        <v>S1</v>
      </c>
      <c r="Q532">
        <f>IFERROR(VLOOKUP(A532,vlookup_table!$A:$G,7,FALSE),"")</f>
        <v>30</v>
      </c>
      <c r="R532">
        <f t="shared" si="32"/>
        <v>49</v>
      </c>
      <c r="S532" t="str" cm="1">
        <f t="array" ref="S532">IF(P532="","",_xlfn.SWITCH(LEFT(P532,1),"C","Ciudad","T","Pueblo","R","Rural","S","Suburbano","U","Urbano",""))</f>
        <v>Suburbano</v>
      </c>
      <c r="T532" t="str">
        <f t="shared" si="33"/>
        <v>M</v>
      </c>
      <c r="U532" t="str">
        <f t="shared" si="34"/>
        <v>TX</v>
      </c>
      <c r="V532" t="str">
        <f t="shared" si="35"/>
        <v>20557</v>
      </c>
    </row>
    <row r="533" spans="1:22" x14ac:dyDescent="0.35">
      <c r="A533" s="3">
        <v>1549</v>
      </c>
      <c r="B533" t="s">
        <v>61</v>
      </c>
      <c r="C533" t="s">
        <v>14</v>
      </c>
      <c r="D533">
        <v>5863</v>
      </c>
      <c r="E533">
        <v>1500</v>
      </c>
      <c r="F533">
        <v>1150</v>
      </c>
      <c r="G533">
        <v>98</v>
      </c>
      <c r="H533">
        <v>174523</v>
      </c>
      <c r="I533">
        <v>20</v>
      </c>
      <c r="J533">
        <v>40</v>
      </c>
      <c r="K533">
        <v>1500</v>
      </c>
      <c r="L533">
        <v>1146</v>
      </c>
      <c r="M533">
        <v>50</v>
      </c>
      <c r="N533">
        <f>IFERROR(VLOOKUP(A533,vlookup_table!$A:$G,2,FALSE),"")</f>
        <v>0</v>
      </c>
      <c r="O533">
        <f>IFERROR(VLOOKUP(A533,vlookup_table!$A:$G,4,FALSE),"")</f>
        <v>1604</v>
      </c>
      <c r="P533" t="str">
        <f>IFERROR(VLOOKUP(A533,vlookup_table!$A:$G,5,FALSE),"")</f>
        <v>S1</v>
      </c>
      <c r="Q533">
        <f>IFERROR(VLOOKUP(A533,vlookup_table!$A:$G,7,FALSE),"")</f>
        <v>50</v>
      </c>
      <c r="R533">
        <f t="shared" si="32"/>
        <v>81</v>
      </c>
      <c r="S533" t="str" cm="1">
        <f t="array" ref="S533">IF(P533="","",_xlfn.SWITCH(LEFT(P533,1),"C","Ciudad","T","Pueblo","R","Rural","S","Suburbano","U","Urbano",""))</f>
        <v>Suburbano</v>
      </c>
      <c r="T533" t="str">
        <f t="shared" si="33"/>
        <v>M</v>
      </c>
      <c r="U533" t="str">
        <f t="shared" si="34"/>
        <v>CA</v>
      </c>
      <c r="V533" t="str">
        <f t="shared" si="35"/>
        <v>174523</v>
      </c>
    </row>
    <row r="534" spans="1:22" x14ac:dyDescent="0.35">
      <c r="A534" s="3">
        <v>2159</v>
      </c>
      <c r="B534" t="s">
        <v>52</v>
      </c>
      <c r="C534" t="s">
        <v>17</v>
      </c>
      <c r="D534">
        <v>198</v>
      </c>
      <c r="E534">
        <v>193</v>
      </c>
      <c r="F534">
        <v>256</v>
      </c>
      <c r="G534">
        <v>0</v>
      </c>
      <c r="H534">
        <v>8898</v>
      </c>
      <c r="I534">
        <v>1</v>
      </c>
      <c r="J534">
        <v>48</v>
      </c>
      <c r="K534">
        <v>211</v>
      </c>
      <c r="L534">
        <v>237</v>
      </c>
      <c r="M534">
        <v>9.2666666670000009</v>
      </c>
      <c r="N534">
        <f>IFERROR(VLOOKUP(A534,vlookup_table!$A:$G,2,FALSE),"")</f>
        <v>2</v>
      </c>
      <c r="O534">
        <f>IFERROR(VLOOKUP(A534,vlookup_table!$A:$G,4,FALSE),"")</f>
        <v>1901</v>
      </c>
      <c r="P534" t="str">
        <f>IFERROR(VLOOKUP(A534,vlookup_table!$A:$G,5,FALSE),"")</f>
        <v>R2</v>
      </c>
      <c r="Q534">
        <f>IFERROR(VLOOKUP(A534,vlookup_table!$A:$G,7,FALSE),"")</f>
        <v>9</v>
      </c>
      <c r="R534">
        <f t="shared" si="32"/>
        <v>78</v>
      </c>
      <c r="S534" t="str" cm="1">
        <f t="array" ref="S534">IF(P534="","",_xlfn.SWITCH(LEFT(P534,1),"C","Ciudad","T","Pueblo","R","Rural","S","Suburbano","U","Urbano",""))</f>
        <v>Rural</v>
      </c>
      <c r="T534" t="str">
        <f t="shared" si="33"/>
        <v>F</v>
      </c>
      <c r="U534" t="str">
        <f t="shared" si="34"/>
        <v>SD</v>
      </c>
      <c r="V534" t="str">
        <f t="shared" si="35"/>
        <v>8898</v>
      </c>
    </row>
    <row r="535" spans="1:22" x14ac:dyDescent="0.35">
      <c r="A535" s="3">
        <v>80903</v>
      </c>
      <c r="B535" t="s">
        <v>35</v>
      </c>
      <c r="C535" t="s">
        <v>51</v>
      </c>
      <c r="D535">
        <v>658</v>
      </c>
      <c r="E535">
        <v>305</v>
      </c>
      <c r="F535">
        <v>376</v>
      </c>
      <c r="G535">
        <v>3</v>
      </c>
      <c r="H535">
        <v>13284</v>
      </c>
      <c r="I535">
        <v>0</v>
      </c>
      <c r="J535">
        <v>74</v>
      </c>
      <c r="K535">
        <v>318</v>
      </c>
      <c r="L535">
        <v>353</v>
      </c>
      <c r="M535">
        <v>6.3181818180000002</v>
      </c>
      <c r="N535">
        <f>IFERROR(VLOOKUP(A535,vlookup_table!$A:$G,2,FALSE),"")</f>
        <v>1002</v>
      </c>
      <c r="O535">
        <f>IFERROR(VLOOKUP(A535,vlookup_table!$A:$G,4,FALSE),"")</f>
        <v>6206</v>
      </c>
      <c r="P535" t="str">
        <f>IFERROR(VLOOKUP(A535,vlookup_table!$A:$G,5,FALSE),"")</f>
        <v>T1</v>
      </c>
      <c r="Q535">
        <f>IFERROR(VLOOKUP(A535,vlookup_table!$A:$G,7,FALSE),"")</f>
        <v>15</v>
      </c>
      <c r="R535">
        <f t="shared" si="32"/>
        <v>35</v>
      </c>
      <c r="S535" t="str" cm="1">
        <f t="array" ref="S535">IF(P535="","",_xlfn.SWITCH(LEFT(P535,1),"C","Ciudad","T","Pueblo","R","Rural","S","Suburbano","U","Urbano",""))</f>
        <v>Pueblo</v>
      </c>
      <c r="T535" t="str">
        <f t="shared" si="33"/>
        <v>M</v>
      </c>
      <c r="U535" t="str">
        <f t="shared" si="34"/>
        <v>WI</v>
      </c>
      <c r="V535" t="str">
        <f t="shared" si="35"/>
        <v>13284</v>
      </c>
    </row>
    <row r="536" spans="1:22" x14ac:dyDescent="0.35">
      <c r="A536" s="3">
        <v>186731</v>
      </c>
      <c r="B536" t="s">
        <v>13</v>
      </c>
      <c r="C536" t="s">
        <v>17</v>
      </c>
      <c r="D536">
        <v>512</v>
      </c>
      <c r="E536">
        <v>175</v>
      </c>
      <c r="F536">
        <v>236</v>
      </c>
      <c r="G536">
        <v>0</v>
      </c>
      <c r="H536">
        <v>12221</v>
      </c>
      <c r="I536">
        <v>14</v>
      </c>
      <c r="J536">
        <v>11</v>
      </c>
      <c r="K536">
        <v>198</v>
      </c>
      <c r="L536">
        <v>208</v>
      </c>
      <c r="M536">
        <v>11.125</v>
      </c>
      <c r="N536">
        <f>IFERROR(VLOOKUP(A536,vlookup_table!$A:$G,2,FALSE),"")</f>
        <v>28</v>
      </c>
      <c r="O536">
        <f>IFERROR(VLOOKUP(A536,vlookup_table!$A:$G,4,FALSE),"")</f>
        <v>3407</v>
      </c>
      <c r="P536">
        <f>IFERROR(VLOOKUP(A536,vlookup_table!$A:$G,5,FALSE),"")</f>
        <v>0</v>
      </c>
      <c r="Q536">
        <f>IFERROR(VLOOKUP(A536,vlookup_table!$A:$G,7,FALSE),"")</f>
        <v>15</v>
      </c>
      <c r="R536">
        <f t="shared" si="32"/>
        <v>63</v>
      </c>
      <c r="S536" t="str" cm="1">
        <f t="array" ref="S536">IF(P536="","",_xlfn.SWITCH(LEFT(P536,1),"C","Ciudad","T","Pueblo","R","Rural","S","Suburbano","U","Urbano",""))</f>
        <v/>
      </c>
      <c r="T536" t="str">
        <f t="shared" si="33"/>
        <v>F</v>
      </c>
      <c r="U536" t="str">
        <f t="shared" si="34"/>
        <v>FL</v>
      </c>
      <c r="V536" t="str">
        <f t="shared" si="35"/>
        <v>12221</v>
      </c>
    </row>
    <row r="537" spans="1:22" x14ac:dyDescent="0.35">
      <c r="A537" s="3">
        <v>67342</v>
      </c>
      <c r="B537" t="s">
        <v>29</v>
      </c>
      <c r="C537" t="s">
        <v>14</v>
      </c>
      <c r="D537">
        <v>886</v>
      </c>
      <c r="E537">
        <v>367</v>
      </c>
      <c r="F537">
        <v>497</v>
      </c>
      <c r="G537">
        <v>9</v>
      </c>
      <c r="H537">
        <v>17984</v>
      </c>
      <c r="I537">
        <v>6</v>
      </c>
      <c r="J537">
        <v>74</v>
      </c>
      <c r="K537">
        <v>458</v>
      </c>
      <c r="L537">
        <v>433</v>
      </c>
      <c r="M537">
        <v>11.28571429</v>
      </c>
      <c r="N537">
        <f>IFERROR(VLOOKUP(A537,vlookup_table!$A:$G,2,FALSE),"")</f>
        <v>1</v>
      </c>
      <c r="O537">
        <f>IFERROR(VLOOKUP(A537,vlookup_table!$A:$G,4,FALSE),"")</f>
        <v>1312</v>
      </c>
      <c r="P537" t="str">
        <f>IFERROR(VLOOKUP(A537,vlookup_table!$A:$G,5,FALSE),"")</f>
        <v>S2</v>
      </c>
      <c r="Q537">
        <f>IFERROR(VLOOKUP(A537,vlookup_table!$A:$G,7,FALSE),"")</f>
        <v>30</v>
      </c>
      <c r="R537">
        <f t="shared" si="32"/>
        <v>84</v>
      </c>
      <c r="S537" t="str" cm="1">
        <f t="array" ref="S537">IF(P537="","",_xlfn.SWITCH(LEFT(P537,1),"C","Ciudad","T","Pueblo","R","Rural","S","Suburbano","U","Urbano",""))</f>
        <v>Suburbano</v>
      </c>
      <c r="T537" t="str">
        <f t="shared" si="33"/>
        <v>M</v>
      </c>
      <c r="U537" t="str">
        <f t="shared" si="34"/>
        <v>MI</v>
      </c>
      <c r="V537" t="str">
        <f t="shared" si="35"/>
        <v>17984</v>
      </c>
    </row>
    <row r="538" spans="1:22" x14ac:dyDescent="0.35">
      <c r="A538" s="3">
        <v>30366</v>
      </c>
      <c r="B538" t="s">
        <v>31</v>
      </c>
      <c r="C538" t="s">
        <v>14</v>
      </c>
      <c r="D538">
        <v>1429</v>
      </c>
      <c r="E538">
        <v>724</v>
      </c>
      <c r="F538">
        <v>813</v>
      </c>
      <c r="G538">
        <v>12</v>
      </c>
      <c r="H538">
        <v>34070</v>
      </c>
      <c r="I538">
        <v>4</v>
      </c>
      <c r="J538">
        <v>48</v>
      </c>
      <c r="K538">
        <v>759</v>
      </c>
      <c r="L538">
        <v>755</v>
      </c>
      <c r="M538">
        <v>5.1875</v>
      </c>
      <c r="N538">
        <f>IFERROR(VLOOKUP(A538,vlookup_table!$A:$G,2,FALSE),"")</f>
        <v>2</v>
      </c>
      <c r="O538">
        <f>IFERROR(VLOOKUP(A538,vlookup_table!$A:$G,4,FALSE),"")</f>
        <v>3601</v>
      </c>
      <c r="P538" t="str">
        <f>IFERROR(VLOOKUP(A538,vlookup_table!$A:$G,5,FALSE),"")</f>
        <v>C1</v>
      </c>
      <c r="Q538">
        <f>IFERROR(VLOOKUP(A538,vlookup_table!$A:$G,7,FALSE),"")</f>
        <v>6</v>
      </c>
      <c r="R538">
        <f t="shared" si="32"/>
        <v>61</v>
      </c>
      <c r="S538" t="str" cm="1">
        <f t="array" ref="S538">IF(P538="","",_xlfn.SWITCH(LEFT(P538,1),"C","Ciudad","T","Pueblo","R","Rural","S","Suburbano","U","Urbano",""))</f>
        <v>Ciudad</v>
      </c>
      <c r="T538" t="str">
        <f t="shared" si="33"/>
        <v>M</v>
      </c>
      <c r="U538" t="str">
        <f t="shared" si="34"/>
        <v>OK</v>
      </c>
      <c r="V538" t="str">
        <f t="shared" si="35"/>
        <v>34070</v>
      </c>
    </row>
    <row r="539" spans="1:22" x14ac:dyDescent="0.35">
      <c r="A539" s="3">
        <v>64441</v>
      </c>
      <c r="B539" t="s">
        <v>33</v>
      </c>
      <c r="C539" t="s">
        <v>14</v>
      </c>
      <c r="D539">
        <v>386</v>
      </c>
      <c r="E539">
        <v>258</v>
      </c>
      <c r="F539">
        <v>358</v>
      </c>
      <c r="G539">
        <v>1</v>
      </c>
      <c r="H539">
        <v>12513</v>
      </c>
      <c r="I539">
        <v>0</v>
      </c>
      <c r="J539">
        <v>75</v>
      </c>
      <c r="K539">
        <v>301</v>
      </c>
      <c r="L539">
        <v>313</v>
      </c>
      <c r="M539">
        <v>5.4285714289999998</v>
      </c>
      <c r="N539">
        <f>IFERROR(VLOOKUP(A539,vlookup_table!$A:$G,2,FALSE),"")</f>
        <v>1</v>
      </c>
      <c r="O539">
        <f>IFERROR(VLOOKUP(A539,vlookup_table!$A:$G,4,FALSE),"")</f>
        <v>5401</v>
      </c>
      <c r="P539" t="str">
        <f>IFERROR(VLOOKUP(A539,vlookup_table!$A:$G,5,FALSE),"")</f>
        <v>R3</v>
      </c>
      <c r="Q539">
        <f>IFERROR(VLOOKUP(A539,vlookup_table!$A:$G,7,FALSE),"")</f>
        <v>10</v>
      </c>
      <c r="R539">
        <f t="shared" si="32"/>
        <v>43</v>
      </c>
      <c r="S539" t="str" cm="1">
        <f t="array" ref="S539">IF(P539="","",_xlfn.SWITCH(LEFT(P539,1),"C","Ciudad","T","Pueblo","R","Rural","S","Suburbano","U","Urbano",""))</f>
        <v>Rural</v>
      </c>
      <c r="T539" t="str">
        <f t="shared" si="33"/>
        <v>M</v>
      </c>
      <c r="U539" t="str">
        <f t="shared" si="34"/>
        <v>IN</v>
      </c>
      <c r="V539" t="str">
        <f t="shared" si="35"/>
        <v>12513</v>
      </c>
    </row>
    <row r="540" spans="1:22" x14ac:dyDescent="0.35">
      <c r="A540" s="3">
        <v>175155</v>
      </c>
      <c r="B540" t="s">
        <v>50</v>
      </c>
      <c r="C540" t="s">
        <v>17</v>
      </c>
      <c r="D540">
        <v>740</v>
      </c>
      <c r="E540">
        <v>211</v>
      </c>
      <c r="F540">
        <v>312</v>
      </c>
      <c r="G540">
        <v>3</v>
      </c>
      <c r="H540">
        <v>12165</v>
      </c>
      <c r="I540">
        <v>3</v>
      </c>
      <c r="J540">
        <v>46</v>
      </c>
      <c r="K540">
        <v>259</v>
      </c>
      <c r="L540">
        <v>257</v>
      </c>
      <c r="M540">
        <v>10</v>
      </c>
      <c r="N540">
        <f>IFERROR(VLOOKUP(A540,vlookup_table!$A:$G,2,FALSE),"")</f>
        <v>28</v>
      </c>
      <c r="O540">
        <f>IFERROR(VLOOKUP(A540,vlookup_table!$A:$G,4,FALSE),"")</f>
        <v>4801</v>
      </c>
      <c r="P540" t="str">
        <f>IFERROR(VLOOKUP(A540,vlookup_table!$A:$G,5,FALSE),"")</f>
        <v>R2</v>
      </c>
      <c r="Q540">
        <f>IFERROR(VLOOKUP(A540,vlookup_table!$A:$G,7,FALSE),"")</f>
        <v>21</v>
      </c>
      <c r="R540">
        <f t="shared" si="32"/>
        <v>49</v>
      </c>
      <c r="S540" t="str" cm="1">
        <f t="array" ref="S540">IF(P540="","",_xlfn.SWITCH(LEFT(P540,1),"C","Ciudad","T","Pueblo","R","Rural","S","Suburbano","U","Urbano",""))</f>
        <v>Rural</v>
      </c>
      <c r="T540" t="str">
        <f t="shared" si="33"/>
        <v>F</v>
      </c>
      <c r="U540" t="str">
        <f t="shared" si="34"/>
        <v>OR</v>
      </c>
      <c r="V540" t="str">
        <f t="shared" si="35"/>
        <v>12165</v>
      </c>
    </row>
    <row r="541" spans="1:22" x14ac:dyDescent="0.35">
      <c r="A541" s="3">
        <v>82015</v>
      </c>
      <c r="B541" t="s">
        <v>35</v>
      </c>
      <c r="C541" t="s">
        <v>17</v>
      </c>
      <c r="D541">
        <v>543</v>
      </c>
      <c r="E541">
        <v>306</v>
      </c>
      <c r="F541">
        <v>337</v>
      </c>
      <c r="G541">
        <v>0</v>
      </c>
      <c r="H541">
        <v>11140</v>
      </c>
      <c r="I541">
        <v>0</v>
      </c>
      <c r="J541">
        <v>94</v>
      </c>
      <c r="K541">
        <v>314</v>
      </c>
      <c r="L541">
        <v>321</v>
      </c>
      <c r="M541">
        <v>10.91666667</v>
      </c>
      <c r="N541">
        <f>IFERROR(VLOOKUP(A541,vlookup_table!$A:$G,2,FALSE),"")</f>
        <v>2</v>
      </c>
      <c r="O541">
        <f>IFERROR(VLOOKUP(A541,vlookup_table!$A:$G,4,FALSE),"")</f>
        <v>2812</v>
      </c>
      <c r="P541" t="str">
        <f>IFERROR(VLOOKUP(A541,vlookup_table!$A:$G,5,FALSE),"")</f>
        <v>R2</v>
      </c>
      <c r="Q541">
        <f>IFERROR(VLOOKUP(A541,vlookup_table!$A:$G,7,FALSE),"")</f>
        <v>18</v>
      </c>
      <c r="R541">
        <f t="shared" si="32"/>
        <v>69</v>
      </c>
      <c r="S541" t="str" cm="1">
        <f t="array" ref="S541">IF(P541="","",_xlfn.SWITCH(LEFT(P541,1),"C","Ciudad","T","Pueblo","R","Rural","S","Suburbano","U","Urbano",""))</f>
        <v>Rural</v>
      </c>
      <c r="T541" t="str">
        <f t="shared" si="33"/>
        <v>F</v>
      </c>
      <c r="U541" t="str">
        <f t="shared" si="34"/>
        <v>WI</v>
      </c>
      <c r="V541" t="str">
        <f t="shared" si="35"/>
        <v>11140</v>
      </c>
    </row>
    <row r="542" spans="1:22" x14ac:dyDescent="0.35">
      <c r="A542" s="3">
        <v>170912</v>
      </c>
      <c r="B542" t="s">
        <v>61</v>
      </c>
      <c r="C542" t="s">
        <v>14</v>
      </c>
      <c r="D542">
        <v>1896</v>
      </c>
      <c r="E542">
        <v>502</v>
      </c>
      <c r="F542">
        <v>555</v>
      </c>
      <c r="G542">
        <v>45</v>
      </c>
      <c r="H542">
        <v>17405</v>
      </c>
      <c r="I542">
        <v>6</v>
      </c>
      <c r="J542">
        <v>56</v>
      </c>
      <c r="K542">
        <v>511</v>
      </c>
      <c r="L542">
        <v>548</v>
      </c>
      <c r="M542">
        <v>15</v>
      </c>
      <c r="N542">
        <f>IFERROR(VLOOKUP(A542,vlookup_table!$A:$G,2,FALSE),"")</f>
        <v>0</v>
      </c>
      <c r="O542">
        <f>IFERROR(VLOOKUP(A542,vlookup_table!$A:$G,4,FALSE),"")</f>
        <v>4401</v>
      </c>
      <c r="P542" t="str">
        <f>IFERROR(VLOOKUP(A542,vlookup_table!$A:$G,5,FALSE),"")</f>
        <v>S1</v>
      </c>
      <c r="Q542">
        <f>IFERROR(VLOOKUP(A542,vlookup_table!$A:$G,7,FALSE),"")</f>
        <v>20</v>
      </c>
      <c r="R542">
        <f t="shared" si="32"/>
        <v>53</v>
      </c>
      <c r="S542" t="str" cm="1">
        <f t="array" ref="S542">IF(P542="","",_xlfn.SWITCH(LEFT(P542,1),"C","Ciudad","T","Pueblo","R","Rural","S","Suburbano","U","Urbano",""))</f>
        <v>Suburbano</v>
      </c>
      <c r="T542" t="str">
        <f t="shared" si="33"/>
        <v>M</v>
      </c>
      <c r="U542" t="str">
        <f t="shared" si="34"/>
        <v>CA</v>
      </c>
      <c r="V542" t="str">
        <f t="shared" si="35"/>
        <v>17405</v>
      </c>
    </row>
    <row r="543" spans="1:22" x14ac:dyDescent="0.35">
      <c r="A543" s="3">
        <v>183055</v>
      </c>
      <c r="B543" t="s">
        <v>40</v>
      </c>
      <c r="C543" t="s">
        <v>17</v>
      </c>
      <c r="D543">
        <v>876</v>
      </c>
      <c r="E543">
        <v>337</v>
      </c>
      <c r="F543">
        <v>439</v>
      </c>
      <c r="G543">
        <v>3</v>
      </c>
      <c r="H543">
        <v>15017</v>
      </c>
      <c r="I543">
        <v>4</v>
      </c>
      <c r="J543">
        <v>37</v>
      </c>
      <c r="K543">
        <v>353</v>
      </c>
      <c r="L543">
        <v>403</v>
      </c>
      <c r="M543">
        <v>7.875</v>
      </c>
      <c r="N543">
        <f>IFERROR(VLOOKUP(A543,vlookup_table!$A:$G,2,FALSE),"")</f>
        <v>2</v>
      </c>
      <c r="O543">
        <f>IFERROR(VLOOKUP(A543,vlookup_table!$A:$G,4,FALSE),"")</f>
        <v>3704</v>
      </c>
      <c r="P543" t="str">
        <f>IFERROR(VLOOKUP(A543,vlookup_table!$A:$G,5,FALSE),"")</f>
        <v>S2</v>
      </c>
      <c r="Q543">
        <f>IFERROR(VLOOKUP(A543,vlookup_table!$A:$G,7,FALSE),"")</f>
        <v>10</v>
      </c>
      <c r="R543">
        <f t="shared" si="32"/>
        <v>60</v>
      </c>
      <c r="S543" t="str" cm="1">
        <f t="array" ref="S543">IF(P543="","",_xlfn.SWITCH(LEFT(P543,1),"C","Ciudad","T","Pueblo","R","Rural","S","Suburbano","U","Urbano",""))</f>
        <v>Suburbano</v>
      </c>
      <c r="T543" t="str">
        <f t="shared" si="33"/>
        <v>F</v>
      </c>
      <c r="U543" t="str">
        <f t="shared" si="34"/>
        <v>WA</v>
      </c>
      <c r="V543" t="str">
        <f t="shared" si="35"/>
        <v>15017</v>
      </c>
    </row>
    <row r="544" spans="1:22" x14ac:dyDescent="0.35">
      <c r="A544" s="3">
        <v>134032</v>
      </c>
      <c r="B544" t="s">
        <v>38</v>
      </c>
      <c r="C544" t="s">
        <v>17</v>
      </c>
      <c r="D544">
        <v>575</v>
      </c>
      <c r="E544">
        <v>305</v>
      </c>
      <c r="F544">
        <v>368</v>
      </c>
      <c r="G544">
        <v>0</v>
      </c>
      <c r="H544">
        <v>9906</v>
      </c>
      <c r="I544">
        <v>1</v>
      </c>
      <c r="J544">
        <v>80</v>
      </c>
      <c r="K544">
        <v>349</v>
      </c>
      <c r="L544">
        <v>326</v>
      </c>
      <c r="M544">
        <v>15</v>
      </c>
      <c r="N544">
        <f>IFERROR(VLOOKUP(A544,vlookup_table!$A:$G,2,FALSE),"")</f>
        <v>2</v>
      </c>
      <c r="O544">
        <f>IFERROR(VLOOKUP(A544,vlookup_table!$A:$G,4,FALSE),"")</f>
        <v>0</v>
      </c>
      <c r="P544" t="str">
        <f>IFERROR(VLOOKUP(A544,vlookup_table!$A:$G,5,FALSE),"")</f>
        <v>R2</v>
      </c>
      <c r="Q544">
        <f>IFERROR(VLOOKUP(A544,vlookup_table!$A:$G,7,FALSE),"")</f>
        <v>10</v>
      </c>
      <c r="R544">
        <f t="shared" si="32"/>
        <v>97</v>
      </c>
      <c r="S544" t="str" cm="1">
        <f t="array" ref="S544">IF(P544="","",_xlfn.SWITCH(LEFT(P544,1),"C","Ciudad","T","Pueblo","R","Rural","S","Suburbano","U","Urbano",""))</f>
        <v>Rural</v>
      </c>
      <c r="T544" t="str">
        <f t="shared" si="33"/>
        <v>F</v>
      </c>
      <c r="U544" t="str">
        <f t="shared" si="34"/>
        <v>UT</v>
      </c>
      <c r="V544" t="str">
        <f t="shared" si="35"/>
        <v>9906</v>
      </c>
    </row>
    <row r="545" spans="1:22" x14ac:dyDescent="0.35">
      <c r="A545" s="3">
        <v>186573</v>
      </c>
      <c r="B545" t="s">
        <v>35</v>
      </c>
      <c r="C545" t="s">
        <v>17</v>
      </c>
      <c r="D545">
        <v>900</v>
      </c>
      <c r="E545">
        <v>488</v>
      </c>
      <c r="F545">
        <v>563</v>
      </c>
      <c r="G545">
        <v>2</v>
      </c>
      <c r="H545">
        <v>18369</v>
      </c>
      <c r="I545">
        <v>1</v>
      </c>
      <c r="J545">
        <v>84</v>
      </c>
      <c r="K545">
        <v>524</v>
      </c>
      <c r="L545">
        <v>537</v>
      </c>
      <c r="M545">
        <v>7.692307692</v>
      </c>
      <c r="N545">
        <f>IFERROR(VLOOKUP(A545,vlookup_table!$A:$G,2,FALSE),"")</f>
        <v>0</v>
      </c>
      <c r="O545">
        <f>IFERROR(VLOOKUP(A545,vlookup_table!$A:$G,4,FALSE),"")</f>
        <v>0</v>
      </c>
      <c r="P545" t="str">
        <f>IFERROR(VLOOKUP(A545,vlookup_table!$A:$G,5,FALSE),"")</f>
        <v>T2</v>
      </c>
      <c r="Q545">
        <f>IFERROR(VLOOKUP(A545,vlookup_table!$A:$G,7,FALSE),"")</f>
        <v>3</v>
      </c>
      <c r="R545">
        <f t="shared" si="32"/>
        <v>97</v>
      </c>
      <c r="S545" t="str" cm="1">
        <f t="array" ref="S545">IF(P545="","",_xlfn.SWITCH(LEFT(P545,1),"C","Ciudad","T","Pueblo","R","Rural","S","Suburbano","U","Urbano",""))</f>
        <v>Pueblo</v>
      </c>
      <c r="T545" t="str">
        <f t="shared" si="33"/>
        <v>F</v>
      </c>
      <c r="U545" t="str">
        <f t="shared" si="34"/>
        <v>WI</v>
      </c>
      <c r="V545" t="str">
        <f t="shared" si="35"/>
        <v>18369</v>
      </c>
    </row>
    <row r="546" spans="1:22" x14ac:dyDescent="0.35">
      <c r="A546" s="3">
        <v>37299</v>
      </c>
      <c r="B546" t="s">
        <v>13</v>
      </c>
      <c r="C546" t="s">
        <v>17</v>
      </c>
      <c r="D546">
        <v>1171</v>
      </c>
      <c r="E546">
        <v>272</v>
      </c>
      <c r="F546">
        <v>383</v>
      </c>
      <c r="G546">
        <v>4</v>
      </c>
      <c r="H546">
        <v>14539</v>
      </c>
      <c r="I546">
        <v>17</v>
      </c>
      <c r="J546">
        <v>15</v>
      </c>
      <c r="K546">
        <v>323</v>
      </c>
      <c r="L546">
        <v>329</v>
      </c>
      <c r="M546">
        <v>9.8888888890000004</v>
      </c>
      <c r="N546">
        <f>IFERROR(VLOOKUP(A546,vlookup_table!$A:$G,2,FALSE),"")</f>
        <v>2</v>
      </c>
      <c r="O546">
        <f>IFERROR(VLOOKUP(A546,vlookup_table!$A:$G,4,FALSE),"")</f>
        <v>5502</v>
      </c>
      <c r="P546" t="str">
        <f>IFERROR(VLOOKUP(A546,vlookup_table!$A:$G,5,FALSE),"")</f>
        <v>C2</v>
      </c>
      <c r="Q546">
        <f>IFERROR(VLOOKUP(A546,vlookup_table!$A:$G,7,FALSE),"")</f>
        <v>15</v>
      </c>
      <c r="R546">
        <f t="shared" si="32"/>
        <v>42</v>
      </c>
      <c r="S546" t="str" cm="1">
        <f t="array" ref="S546">IF(P546="","",_xlfn.SWITCH(LEFT(P546,1),"C","Ciudad","T","Pueblo","R","Rural","S","Suburbano","U","Urbano",""))</f>
        <v>Ciudad</v>
      </c>
      <c r="T546" t="str">
        <f t="shared" si="33"/>
        <v>F</v>
      </c>
      <c r="U546" t="str">
        <f t="shared" si="34"/>
        <v>FL</v>
      </c>
      <c r="V546" t="str">
        <f t="shared" si="35"/>
        <v>14539</v>
      </c>
    </row>
    <row r="547" spans="1:22" x14ac:dyDescent="0.35">
      <c r="A547" s="3">
        <v>165746</v>
      </c>
      <c r="B547" t="s">
        <v>61</v>
      </c>
      <c r="C547" t="s">
        <v>14</v>
      </c>
      <c r="D547">
        <v>1429</v>
      </c>
      <c r="E547">
        <v>492</v>
      </c>
      <c r="F547">
        <v>508</v>
      </c>
      <c r="G547">
        <v>1</v>
      </c>
      <c r="H547">
        <v>14106</v>
      </c>
      <c r="I547">
        <v>15</v>
      </c>
      <c r="J547">
        <v>48</v>
      </c>
      <c r="K547">
        <v>497</v>
      </c>
      <c r="L547">
        <v>507</v>
      </c>
      <c r="M547">
        <v>4.75</v>
      </c>
      <c r="N547">
        <f>IFERROR(VLOOKUP(A547,vlookup_table!$A:$G,2,FALSE),"")</f>
        <v>0</v>
      </c>
      <c r="O547">
        <f>IFERROR(VLOOKUP(A547,vlookup_table!$A:$G,4,FALSE),"")</f>
        <v>703</v>
      </c>
      <c r="P547" t="str">
        <f>IFERROR(VLOOKUP(A547,vlookup_table!$A:$G,5,FALSE),"")</f>
        <v>C2</v>
      </c>
      <c r="Q547">
        <f>IFERROR(VLOOKUP(A547,vlookup_table!$A:$G,7,FALSE),"")</f>
        <v>10</v>
      </c>
      <c r="R547">
        <f t="shared" si="32"/>
        <v>90</v>
      </c>
      <c r="S547" t="str" cm="1">
        <f t="array" ref="S547">IF(P547="","",_xlfn.SWITCH(LEFT(P547,1),"C","Ciudad","T","Pueblo","R","Rural","S","Suburbano","U","Urbano",""))</f>
        <v>Ciudad</v>
      </c>
      <c r="T547" t="str">
        <f t="shared" si="33"/>
        <v>M</v>
      </c>
      <c r="U547" t="str">
        <f t="shared" si="34"/>
        <v>CA</v>
      </c>
      <c r="V547" t="str">
        <f t="shared" si="35"/>
        <v>14106</v>
      </c>
    </row>
    <row r="548" spans="1:22" x14ac:dyDescent="0.35">
      <c r="A548" s="3">
        <v>189520</v>
      </c>
      <c r="B548" t="s">
        <v>61</v>
      </c>
      <c r="C548" t="s">
        <v>14</v>
      </c>
      <c r="D548">
        <v>4143</v>
      </c>
      <c r="E548">
        <v>617</v>
      </c>
      <c r="F548">
        <v>755</v>
      </c>
      <c r="G548">
        <v>97</v>
      </c>
      <c r="H548">
        <v>25985</v>
      </c>
      <c r="I548">
        <v>9</v>
      </c>
      <c r="J548">
        <v>59</v>
      </c>
      <c r="K548">
        <v>690</v>
      </c>
      <c r="L548">
        <v>704</v>
      </c>
      <c r="M548">
        <v>13.727272729999999</v>
      </c>
      <c r="N548">
        <f>IFERROR(VLOOKUP(A548,vlookup_table!$A:$G,2,FALSE),"")</f>
        <v>1</v>
      </c>
      <c r="O548">
        <f>IFERROR(VLOOKUP(A548,vlookup_table!$A:$G,4,FALSE),"")</f>
        <v>1902</v>
      </c>
      <c r="P548" t="str">
        <f>IFERROR(VLOOKUP(A548,vlookup_table!$A:$G,5,FALSE),"")</f>
        <v>S1</v>
      </c>
      <c r="Q548">
        <f>IFERROR(VLOOKUP(A548,vlookup_table!$A:$G,7,FALSE),"")</f>
        <v>20</v>
      </c>
      <c r="R548">
        <f t="shared" si="32"/>
        <v>78</v>
      </c>
      <c r="S548" t="str" cm="1">
        <f t="array" ref="S548">IF(P548="","",_xlfn.SWITCH(LEFT(P548,1),"C","Ciudad","T","Pueblo","R","Rural","S","Suburbano","U","Urbano",""))</f>
        <v>Suburbano</v>
      </c>
      <c r="T548" t="str">
        <f t="shared" si="33"/>
        <v>M</v>
      </c>
      <c r="U548" t="str">
        <f t="shared" si="34"/>
        <v>CA</v>
      </c>
      <c r="V548" t="str">
        <f t="shared" si="35"/>
        <v>25985</v>
      </c>
    </row>
    <row r="549" spans="1:22" x14ac:dyDescent="0.35">
      <c r="A549" s="3">
        <v>26579</v>
      </c>
      <c r="B549" t="s">
        <v>39</v>
      </c>
      <c r="C549" t="s">
        <v>17</v>
      </c>
      <c r="D549">
        <v>858</v>
      </c>
      <c r="E549">
        <v>388</v>
      </c>
      <c r="F549">
        <v>494</v>
      </c>
      <c r="G549">
        <v>7</v>
      </c>
      <c r="H549">
        <v>19457</v>
      </c>
      <c r="I549">
        <v>0</v>
      </c>
      <c r="J549">
        <v>75</v>
      </c>
      <c r="K549">
        <v>418</v>
      </c>
      <c r="L549">
        <v>429</v>
      </c>
      <c r="M549">
        <v>7.7857142860000002</v>
      </c>
      <c r="N549">
        <f>IFERROR(VLOOKUP(A549,vlookup_table!$A:$G,2,FALSE),"")</f>
        <v>0</v>
      </c>
      <c r="O549">
        <f>IFERROR(VLOOKUP(A549,vlookup_table!$A:$G,4,FALSE),"")</f>
        <v>4301</v>
      </c>
      <c r="P549" t="str">
        <f>IFERROR(VLOOKUP(A549,vlookup_table!$A:$G,5,FALSE),"")</f>
        <v>T2</v>
      </c>
      <c r="Q549">
        <f>IFERROR(VLOOKUP(A549,vlookup_table!$A:$G,7,FALSE),"")</f>
        <v>10</v>
      </c>
      <c r="R549">
        <f t="shared" si="32"/>
        <v>54</v>
      </c>
      <c r="S549" t="str" cm="1">
        <f t="array" ref="S549">IF(P549="","",_xlfn.SWITCH(LEFT(P549,1),"C","Ciudad","T","Pueblo","R","Rural","S","Suburbano","U","Urbano",""))</f>
        <v>Pueblo</v>
      </c>
      <c r="T549" t="str">
        <f t="shared" si="33"/>
        <v>F</v>
      </c>
      <c r="U549" t="str">
        <f t="shared" si="34"/>
        <v>GA</v>
      </c>
      <c r="V549" t="str">
        <f t="shared" si="35"/>
        <v>19457</v>
      </c>
    </row>
    <row r="550" spans="1:22" x14ac:dyDescent="0.35">
      <c r="A550" s="3">
        <v>109583</v>
      </c>
      <c r="B550" t="s">
        <v>49</v>
      </c>
      <c r="C550" t="s">
        <v>17</v>
      </c>
      <c r="D550">
        <v>582</v>
      </c>
      <c r="E550">
        <v>301</v>
      </c>
      <c r="F550">
        <v>354</v>
      </c>
      <c r="G550">
        <v>1</v>
      </c>
      <c r="H550">
        <v>11139</v>
      </c>
      <c r="I550">
        <v>0</v>
      </c>
      <c r="J550">
        <v>80</v>
      </c>
      <c r="K550">
        <v>325</v>
      </c>
      <c r="L550">
        <v>321</v>
      </c>
      <c r="M550">
        <v>4</v>
      </c>
      <c r="N550">
        <f>IFERROR(VLOOKUP(A550,vlookup_table!$A:$G,2,FALSE),"")</f>
        <v>0</v>
      </c>
      <c r="O550">
        <f>IFERROR(VLOOKUP(A550,vlookup_table!$A:$G,4,FALSE),"")</f>
        <v>4501</v>
      </c>
      <c r="P550" t="str">
        <f>IFERROR(VLOOKUP(A550,vlookup_table!$A:$G,5,FALSE),"")</f>
        <v>T2</v>
      </c>
      <c r="Q550">
        <f>IFERROR(VLOOKUP(A550,vlookup_table!$A:$G,7,FALSE),"")</f>
        <v>5</v>
      </c>
      <c r="R550">
        <f t="shared" si="32"/>
        <v>52</v>
      </c>
      <c r="S550" t="str" cm="1">
        <f t="array" ref="S550">IF(P550="","",_xlfn.SWITCH(LEFT(P550,1),"C","Ciudad","T","Pueblo","R","Rural","S","Suburbano","U","Urbano",""))</f>
        <v>Pueblo</v>
      </c>
      <c r="T550" t="str">
        <f t="shared" si="33"/>
        <v>F</v>
      </c>
      <c r="U550" t="str">
        <f t="shared" si="34"/>
        <v>LA</v>
      </c>
      <c r="V550" t="str">
        <f t="shared" si="35"/>
        <v>11139</v>
      </c>
    </row>
    <row r="551" spans="1:22" x14ac:dyDescent="0.35">
      <c r="A551" s="3">
        <v>40341</v>
      </c>
      <c r="B551" t="s">
        <v>13</v>
      </c>
      <c r="C551" t="s">
        <v>17</v>
      </c>
      <c r="D551">
        <v>902</v>
      </c>
      <c r="E551">
        <v>410</v>
      </c>
      <c r="F551">
        <v>461</v>
      </c>
      <c r="G551">
        <v>4</v>
      </c>
      <c r="H551">
        <v>15332</v>
      </c>
      <c r="I551">
        <v>13</v>
      </c>
      <c r="J551">
        <v>28</v>
      </c>
      <c r="K551">
        <v>413</v>
      </c>
      <c r="L551">
        <v>460</v>
      </c>
      <c r="M551">
        <v>10</v>
      </c>
      <c r="N551">
        <f>IFERROR(VLOOKUP(A551,vlookup_table!$A:$G,2,FALSE),"")</f>
        <v>2</v>
      </c>
      <c r="O551">
        <f>IFERROR(VLOOKUP(A551,vlookup_table!$A:$G,4,FALSE),"")</f>
        <v>2401</v>
      </c>
      <c r="P551" t="str">
        <f>IFERROR(VLOOKUP(A551,vlookup_table!$A:$G,5,FALSE),"")</f>
        <v>S2</v>
      </c>
      <c r="Q551">
        <f>IFERROR(VLOOKUP(A551,vlookup_table!$A:$G,7,FALSE),"")</f>
        <v>15</v>
      </c>
      <c r="R551">
        <f t="shared" si="32"/>
        <v>73</v>
      </c>
      <c r="S551" t="str" cm="1">
        <f t="array" ref="S551">IF(P551="","",_xlfn.SWITCH(LEFT(P551,1),"C","Ciudad","T","Pueblo","R","Rural","S","Suburbano","U","Urbano",""))</f>
        <v>Suburbano</v>
      </c>
      <c r="T551" t="str">
        <f t="shared" si="33"/>
        <v>F</v>
      </c>
      <c r="U551" t="str">
        <f t="shared" si="34"/>
        <v>FL</v>
      </c>
      <c r="V551" t="str">
        <f t="shared" si="35"/>
        <v>15332</v>
      </c>
    </row>
    <row r="552" spans="1:22" x14ac:dyDescent="0.35">
      <c r="A552" s="3">
        <v>111615</v>
      </c>
      <c r="B552" t="s">
        <v>32</v>
      </c>
      <c r="C552" t="s">
        <v>60</v>
      </c>
      <c r="D552">
        <v>356</v>
      </c>
      <c r="E552">
        <v>229</v>
      </c>
      <c r="F552">
        <v>225</v>
      </c>
      <c r="G552">
        <v>0</v>
      </c>
      <c r="H552">
        <v>8075</v>
      </c>
      <c r="I552">
        <v>0</v>
      </c>
      <c r="J552">
        <v>85</v>
      </c>
      <c r="K552">
        <v>236</v>
      </c>
      <c r="L552">
        <v>219</v>
      </c>
      <c r="M552">
        <v>12.33333333</v>
      </c>
      <c r="N552">
        <f>IFERROR(VLOOKUP(A552,vlookup_table!$A:$G,2,FALSE),"")</f>
        <v>0</v>
      </c>
      <c r="O552">
        <f>IFERROR(VLOOKUP(A552,vlookup_table!$A:$G,4,FALSE),"")</f>
        <v>5306</v>
      </c>
      <c r="P552" t="str">
        <f>IFERROR(VLOOKUP(A552,vlookup_table!$A:$G,5,FALSE),"")</f>
        <v>C3</v>
      </c>
      <c r="Q552">
        <f>IFERROR(VLOOKUP(A552,vlookup_table!$A:$G,7,FALSE),"")</f>
        <v>25</v>
      </c>
      <c r="R552">
        <f t="shared" si="32"/>
        <v>44</v>
      </c>
      <c r="S552" t="str" cm="1">
        <f t="array" ref="S552">IF(P552="","",_xlfn.SWITCH(LEFT(P552,1),"C","Ciudad","T","Pueblo","R","Rural","S","Suburbano","U","Urbano",""))</f>
        <v>Ciudad</v>
      </c>
      <c r="T552" t="str">
        <f t="shared" si="33"/>
        <v>F</v>
      </c>
      <c r="U552" t="str">
        <f t="shared" si="34"/>
        <v>AR</v>
      </c>
      <c r="V552" t="str">
        <f t="shared" si="35"/>
        <v>8075</v>
      </c>
    </row>
    <row r="553" spans="1:22" x14ac:dyDescent="0.35">
      <c r="A553" s="3">
        <v>93397</v>
      </c>
      <c r="B553" t="s">
        <v>16</v>
      </c>
      <c r="C553" t="s">
        <v>17</v>
      </c>
      <c r="D553">
        <v>582</v>
      </c>
      <c r="E553">
        <v>288</v>
      </c>
      <c r="F553">
        <v>279</v>
      </c>
      <c r="G553">
        <v>0</v>
      </c>
      <c r="H553">
        <v>8165</v>
      </c>
      <c r="I553">
        <v>0</v>
      </c>
      <c r="J553">
        <v>75</v>
      </c>
      <c r="K553">
        <v>288</v>
      </c>
      <c r="L553">
        <v>286</v>
      </c>
      <c r="M553">
        <v>20</v>
      </c>
      <c r="N553">
        <f>IFERROR(VLOOKUP(A553,vlookup_table!$A:$G,2,FALSE),"")</f>
        <v>0</v>
      </c>
      <c r="O553">
        <f>IFERROR(VLOOKUP(A553,vlookup_table!$A:$G,4,FALSE),"")</f>
        <v>0</v>
      </c>
      <c r="P553" t="str">
        <f>IFERROR(VLOOKUP(A553,vlookup_table!$A:$G,5,FALSE),"")</f>
        <v>U3</v>
      </c>
      <c r="Q553">
        <f>IFERROR(VLOOKUP(A553,vlookup_table!$A:$G,7,FALSE),"")</f>
        <v>20</v>
      </c>
      <c r="R553">
        <f t="shared" si="32"/>
        <v>97</v>
      </c>
      <c r="S553" t="str" cm="1">
        <f t="array" ref="S553">IF(P553="","",_xlfn.SWITCH(LEFT(P553,1),"C","Ciudad","T","Pueblo","R","Rural","S","Suburbano","U","Urbano",""))</f>
        <v>Urbano</v>
      </c>
      <c r="T553" t="str">
        <f t="shared" si="33"/>
        <v>F</v>
      </c>
      <c r="U553" t="str">
        <f t="shared" si="34"/>
        <v>IL</v>
      </c>
      <c r="V553" t="str">
        <f t="shared" si="35"/>
        <v>8165</v>
      </c>
    </row>
    <row r="554" spans="1:22" x14ac:dyDescent="0.35">
      <c r="A554" s="3">
        <v>5881</v>
      </c>
      <c r="B554" t="s">
        <v>61</v>
      </c>
      <c r="C554" t="s">
        <v>14</v>
      </c>
      <c r="D554">
        <v>2469</v>
      </c>
      <c r="E554">
        <v>340</v>
      </c>
      <c r="F554">
        <v>522</v>
      </c>
      <c r="G554">
        <v>71</v>
      </c>
      <c r="H554">
        <v>23188</v>
      </c>
      <c r="I554">
        <v>5</v>
      </c>
      <c r="J554">
        <v>54</v>
      </c>
      <c r="K554">
        <v>411</v>
      </c>
      <c r="L554">
        <v>475</v>
      </c>
      <c r="M554">
        <v>13.25</v>
      </c>
      <c r="N554">
        <f>IFERROR(VLOOKUP(A554,vlookup_table!$A:$G,2,FALSE),"")</f>
        <v>1</v>
      </c>
      <c r="O554">
        <f>IFERROR(VLOOKUP(A554,vlookup_table!$A:$G,4,FALSE),"")</f>
        <v>1701</v>
      </c>
      <c r="P554" t="str">
        <f>IFERROR(VLOOKUP(A554,vlookup_table!$A:$G,5,FALSE),"")</f>
        <v>U1</v>
      </c>
      <c r="Q554">
        <f>IFERROR(VLOOKUP(A554,vlookup_table!$A:$G,7,FALSE),"")</f>
        <v>12</v>
      </c>
      <c r="R554">
        <f t="shared" si="32"/>
        <v>80</v>
      </c>
      <c r="S554" t="str" cm="1">
        <f t="array" ref="S554">IF(P554="","",_xlfn.SWITCH(LEFT(P554,1),"C","Ciudad","T","Pueblo","R","Rural","S","Suburbano","U","Urbano",""))</f>
        <v>Urbano</v>
      </c>
      <c r="T554" t="str">
        <f t="shared" si="33"/>
        <v>M</v>
      </c>
      <c r="U554" t="str">
        <f t="shared" si="34"/>
        <v>CA</v>
      </c>
      <c r="V554" t="str">
        <f t="shared" si="35"/>
        <v>23188</v>
      </c>
    </row>
    <row r="555" spans="1:22" x14ac:dyDescent="0.35">
      <c r="A555" s="3">
        <v>93184</v>
      </c>
      <c r="B555" t="s">
        <v>16</v>
      </c>
      <c r="C555" t="s">
        <v>17</v>
      </c>
      <c r="D555">
        <v>0</v>
      </c>
      <c r="E555">
        <v>315</v>
      </c>
      <c r="F555">
        <v>581</v>
      </c>
      <c r="G555">
        <v>0</v>
      </c>
      <c r="H555">
        <v>34143</v>
      </c>
      <c r="I555">
        <v>5</v>
      </c>
      <c r="J555">
        <v>46</v>
      </c>
      <c r="K555">
        <v>423</v>
      </c>
      <c r="L555">
        <v>417</v>
      </c>
      <c r="M555">
        <v>5.4375</v>
      </c>
      <c r="N555">
        <f>IFERROR(VLOOKUP(A555,vlookup_table!$A:$G,2,FALSE),"")</f>
        <v>0</v>
      </c>
      <c r="O555">
        <f>IFERROR(VLOOKUP(A555,vlookup_table!$A:$G,4,FALSE),"")</f>
        <v>1708</v>
      </c>
      <c r="P555" t="str">
        <f>IFERROR(VLOOKUP(A555,vlookup_table!$A:$G,5,FALSE),"")</f>
        <v>U1</v>
      </c>
      <c r="Q555">
        <f>IFERROR(VLOOKUP(A555,vlookup_table!$A:$G,7,FALSE),"")</f>
        <v>10</v>
      </c>
      <c r="R555">
        <f t="shared" si="32"/>
        <v>80</v>
      </c>
      <c r="S555" t="str" cm="1">
        <f t="array" ref="S555">IF(P555="","",_xlfn.SWITCH(LEFT(P555,1),"C","Ciudad","T","Pueblo","R","Rural","S","Suburbano","U","Urbano",""))</f>
        <v>Urbano</v>
      </c>
      <c r="T555" t="str">
        <f t="shared" si="33"/>
        <v>F</v>
      </c>
      <c r="U555" t="str">
        <f t="shared" si="34"/>
        <v>IL</v>
      </c>
      <c r="V555" t="str">
        <f t="shared" si="35"/>
        <v>34143</v>
      </c>
    </row>
    <row r="556" spans="1:22" x14ac:dyDescent="0.35">
      <c r="A556" s="3">
        <v>9946</v>
      </c>
      <c r="B556" t="s">
        <v>16</v>
      </c>
      <c r="C556" t="s">
        <v>17</v>
      </c>
      <c r="D556">
        <v>1107</v>
      </c>
      <c r="E556">
        <v>428</v>
      </c>
      <c r="F556">
        <v>497</v>
      </c>
      <c r="G556">
        <v>0</v>
      </c>
      <c r="H556">
        <v>15788</v>
      </c>
      <c r="I556">
        <v>4</v>
      </c>
      <c r="J556">
        <v>80</v>
      </c>
      <c r="K556">
        <v>476</v>
      </c>
      <c r="L556">
        <v>432</v>
      </c>
      <c r="M556">
        <v>7.7647058820000003</v>
      </c>
      <c r="N556">
        <f>IFERROR(VLOOKUP(A556,vlookup_table!$A:$G,2,FALSE),"")</f>
        <v>2</v>
      </c>
      <c r="O556">
        <f>IFERROR(VLOOKUP(A556,vlookup_table!$A:$G,4,FALSE),"")</f>
        <v>2605</v>
      </c>
      <c r="P556" t="str">
        <f>IFERROR(VLOOKUP(A556,vlookup_table!$A:$G,5,FALSE),"")</f>
        <v>U2</v>
      </c>
      <c r="Q556">
        <f>IFERROR(VLOOKUP(A556,vlookup_table!$A:$G,7,FALSE),"")</f>
        <v>5</v>
      </c>
      <c r="R556">
        <f t="shared" si="32"/>
        <v>71</v>
      </c>
      <c r="S556" t="str" cm="1">
        <f t="array" ref="S556">IF(P556="","",_xlfn.SWITCH(LEFT(P556,1),"C","Ciudad","T","Pueblo","R","Rural","S","Suburbano","U","Urbano",""))</f>
        <v>Urbano</v>
      </c>
      <c r="T556" t="str">
        <f t="shared" si="33"/>
        <v>F</v>
      </c>
      <c r="U556" t="str">
        <f t="shared" si="34"/>
        <v>IL</v>
      </c>
      <c r="V556" t="str">
        <f t="shared" si="35"/>
        <v>15788</v>
      </c>
    </row>
    <row r="557" spans="1:22" x14ac:dyDescent="0.35">
      <c r="A557" s="3">
        <v>46671</v>
      </c>
      <c r="B557" t="s">
        <v>43</v>
      </c>
      <c r="C557" t="s">
        <v>27</v>
      </c>
      <c r="D557">
        <v>746</v>
      </c>
      <c r="E557">
        <v>366</v>
      </c>
      <c r="F557">
        <v>433</v>
      </c>
      <c r="G557">
        <v>1</v>
      </c>
      <c r="H557">
        <v>13901</v>
      </c>
      <c r="I557">
        <v>1</v>
      </c>
      <c r="J557">
        <v>73</v>
      </c>
      <c r="K557">
        <v>409</v>
      </c>
      <c r="L557">
        <v>399</v>
      </c>
      <c r="M557">
        <v>9.8181818179999993</v>
      </c>
      <c r="N557">
        <f>IFERROR(VLOOKUP(A557,vlookup_table!$A:$G,2,FALSE),"")</f>
        <v>0</v>
      </c>
      <c r="O557">
        <f>IFERROR(VLOOKUP(A557,vlookup_table!$A:$G,4,FALSE),"")</f>
        <v>5701</v>
      </c>
      <c r="P557" t="str">
        <f>IFERROR(VLOOKUP(A557,vlookup_table!$A:$G,5,FALSE),"")</f>
        <v>T1</v>
      </c>
      <c r="Q557">
        <f>IFERROR(VLOOKUP(A557,vlookup_table!$A:$G,7,FALSE),"")</f>
        <v>10</v>
      </c>
      <c r="R557">
        <f t="shared" si="32"/>
        <v>40</v>
      </c>
      <c r="S557" t="str" cm="1">
        <f t="array" ref="S557">IF(P557="","",_xlfn.SWITCH(LEFT(P557,1),"C","Ciudad","T","Pueblo","R","Rural","S","Suburbano","U","Urbano",""))</f>
        <v>Pueblo</v>
      </c>
      <c r="T557" t="str">
        <f t="shared" si="33"/>
        <v>M</v>
      </c>
      <c r="U557" t="str">
        <f t="shared" si="34"/>
        <v>AL</v>
      </c>
      <c r="V557" t="str">
        <f t="shared" si="35"/>
        <v>13901</v>
      </c>
    </row>
    <row r="558" spans="1:22" x14ac:dyDescent="0.35">
      <c r="A558" s="3">
        <v>172750</v>
      </c>
      <c r="B558" t="s">
        <v>61</v>
      </c>
      <c r="C558" t="s">
        <v>14</v>
      </c>
      <c r="D558">
        <v>967</v>
      </c>
      <c r="E558">
        <v>300</v>
      </c>
      <c r="F558">
        <v>412</v>
      </c>
      <c r="G558">
        <v>11</v>
      </c>
      <c r="H558">
        <v>13399</v>
      </c>
      <c r="I558">
        <v>6</v>
      </c>
      <c r="J558">
        <v>58</v>
      </c>
      <c r="K558">
        <v>348</v>
      </c>
      <c r="L558">
        <v>342</v>
      </c>
      <c r="M558">
        <v>18.666666670000001</v>
      </c>
      <c r="N558">
        <f>IFERROR(VLOOKUP(A558,vlookup_table!$A:$G,2,FALSE),"")</f>
        <v>1</v>
      </c>
      <c r="O558">
        <f>IFERROR(VLOOKUP(A558,vlookup_table!$A:$G,4,FALSE),"")</f>
        <v>5401</v>
      </c>
      <c r="P558" t="str">
        <f>IFERROR(VLOOKUP(A558,vlookup_table!$A:$G,5,FALSE),"")</f>
        <v>C2</v>
      </c>
      <c r="Q558">
        <f>IFERROR(VLOOKUP(A558,vlookup_table!$A:$G,7,FALSE),"")</f>
        <v>25</v>
      </c>
      <c r="R558">
        <f t="shared" si="32"/>
        <v>43</v>
      </c>
      <c r="S558" t="str" cm="1">
        <f t="array" ref="S558">IF(P558="","",_xlfn.SWITCH(LEFT(P558,1),"C","Ciudad","T","Pueblo","R","Rural","S","Suburbano","U","Urbano",""))</f>
        <v>Ciudad</v>
      </c>
      <c r="T558" t="str">
        <f t="shared" si="33"/>
        <v>M</v>
      </c>
      <c r="U558" t="str">
        <f t="shared" si="34"/>
        <v>CA</v>
      </c>
      <c r="V558" t="str">
        <f t="shared" si="35"/>
        <v>13399</v>
      </c>
    </row>
    <row r="559" spans="1:22" x14ac:dyDescent="0.35">
      <c r="A559" s="3">
        <v>22264</v>
      </c>
      <c r="B559" t="s">
        <v>18</v>
      </c>
      <c r="C559" t="s">
        <v>14</v>
      </c>
      <c r="D559">
        <v>1250</v>
      </c>
      <c r="E559">
        <v>319</v>
      </c>
      <c r="F559">
        <v>540</v>
      </c>
      <c r="G559">
        <v>8</v>
      </c>
      <c r="H559">
        <v>25660</v>
      </c>
      <c r="I559">
        <v>3</v>
      </c>
      <c r="J559">
        <v>33</v>
      </c>
      <c r="K559">
        <v>411</v>
      </c>
      <c r="L559">
        <v>429</v>
      </c>
      <c r="M559">
        <v>22.5</v>
      </c>
      <c r="N559">
        <f>IFERROR(VLOOKUP(A559,vlookup_table!$A:$G,2,FALSE),"")</f>
        <v>1</v>
      </c>
      <c r="O559">
        <f>IFERROR(VLOOKUP(A559,vlookup_table!$A:$G,4,FALSE),"")</f>
        <v>3001</v>
      </c>
      <c r="P559" t="str">
        <f>IFERROR(VLOOKUP(A559,vlookup_table!$A:$G,5,FALSE),"")</f>
        <v>C1</v>
      </c>
      <c r="Q559">
        <f>IFERROR(VLOOKUP(A559,vlookup_table!$A:$G,7,FALSE),"")</f>
        <v>10</v>
      </c>
      <c r="R559">
        <f t="shared" si="32"/>
        <v>67</v>
      </c>
      <c r="S559" t="str" cm="1">
        <f t="array" ref="S559">IF(P559="","",_xlfn.SWITCH(LEFT(P559,1),"C","Ciudad","T","Pueblo","R","Rural","S","Suburbano","U","Urbano",""))</f>
        <v>Ciudad</v>
      </c>
      <c r="T559" t="str">
        <f t="shared" si="33"/>
        <v>M</v>
      </c>
      <c r="U559" t="str">
        <f t="shared" si="34"/>
        <v>NC</v>
      </c>
      <c r="V559" t="str">
        <f t="shared" si="35"/>
        <v>25660</v>
      </c>
    </row>
    <row r="560" spans="1:22" x14ac:dyDescent="0.35">
      <c r="A560" s="3">
        <v>56479</v>
      </c>
      <c r="B560" t="s">
        <v>57</v>
      </c>
      <c r="C560" t="s">
        <v>17</v>
      </c>
      <c r="D560">
        <v>139</v>
      </c>
      <c r="E560">
        <v>63</v>
      </c>
      <c r="F560">
        <v>137</v>
      </c>
      <c r="G560">
        <v>0</v>
      </c>
      <c r="H560">
        <v>5159</v>
      </c>
      <c r="I560">
        <v>0</v>
      </c>
      <c r="J560">
        <v>77</v>
      </c>
      <c r="K560">
        <v>106</v>
      </c>
      <c r="L560">
        <v>92</v>
      </c>
      <c r="M560">
        <v>3.3125</v>
      </c>
      <c r="N560">
        <f>IFERROR(VLOOKUP(A560,vlookup_table!$A:$G,2,FALSE),"")</f>
        <v>2</v>
      </c>
      <c r="O560">
        <f>IFERROR(VLOOKUP(A560,vlookup_table!$A:$G,4,FALSE),"")</f>
        <v>2601</v>
      </c>
      <c r="P560" t="str">
        <f>IFERROR(VLOOKUP(A560,vlookup_table!$A:$G,5,FALSE),"")</f>
        <v>U4</v>
      </c>
      <c r="Q560">
        <f>IFERROR(VLOOKUP(A560,vlookup_table!$A:$G,7,FALSE),"")</f>
        <v>4</v>
      </c>
      <c r="R560">
        <f t="shared" si="32"/>
        <v>71</v>
      </c>
      <c r="S560" t="str" cm="1">
        <f t="array" ref="S560">IF(P560="","",_xlfn.SWITCH(LEFT(P560,1),"C","Ciudad","T","Pueblo","R","Rural","S","Suburbano","U","Urbano",""))</f>
        <v>Urbano</v>
      </c>
      <c r="T560" t="str">
        <f t="shared" si="33"/>
        <v>F</v>
      </c>
      <c r="U560" t="str">
        <f t="shared" si="34"/>
        <v>KY</v>
      </c>
      <c r="V560" t="str">
        <f t="shared" si="35"/>
        <v>5159</v>
      </c>
    </row>
    <row r="561" spans="1:22" x14ac:dyDescent="0.35">
      <c r="A561" s="3">
        <v>164372</v>
      </c>
      <c r="B561" t="s">
        <v>61</v>
      </c>
      <c r="C561" t="s">
        <v>14</v>
      </c>
      <c r="D561">
        <v>1861</v>
      </c>
      <c r="E561">
        <v>402</v>
      </c>
      <c r="F561">
        <v>527</v>
      </c>
      <c r="G561">
        <v>38</v>
      </c>
      <c r="H561">
        <v>22794</v>
      </c>
      <c r="I561">
        <v>12</v>
      </c>
      <c r="J561">
        <v>49</v>
      </c>
      <c r="K561">
        <v>499</v>
      </c>
      <c r="L561">
        <v>461</v>
      </c>
      <c r="M561">
        <v>14</v>
      </c>
      <c r="N561">
        <f>IFERROR(VLOOKUP(A561,vlookup_table!$A:$G,2,FALSE),"")</f>
        <v>1</v>
      </c>
      <c r="O561">
        <f>IFERROR(VLOOKUP(A561,vlookup_table!$A:$G,4,FALSE),"")</f>
        <v>5501</v>
      </c>
      <c r="P561" t="str">
        <f>IFERROR(VLOOKUP(A561,vlookup_table!$A:$G,5,FALSE),"")</f>
        <v>S1</v>
      </c>
      <c r="Q561">
        <f>IFERROR(VLOOKUP(A561,vlookup_table!$A:$G,7,FALSE),"")</f>
        <v>25</v>
      </c>
      <c r="R561">
        <f t="shared" si="32"/>
        <v>42</v>
      </c>
      <c r="S561" t="str" cm="1">
        <f t="array" ref="S561">IF(P561="","",_xlfn.SWITCH(LEFT(P561,1),"C","Ciudad","T","Pueblo","R","Rural","S","Suburbano","U","Urbano",""))</f>
        <v>Suburbano</v>
      </c>
      <c r="T561" t="str">
        <f t="shared" si="33"/>
        <v>M</v>
      </c>
      <c r="U561" t="str">
        <f t="shared" si="34"/>
        <v>CA</v>
      </c>
      <c r="V561" t="str">
        <f t="shared" si="35"/>
        <v>22794</v>
      </c>
    </row>
    <row r="562" spans="1:22" x14ac:dyDescent="0.35">
      <c r="A562" s="3">
        <v>5140</v>
      </c>
      <c r="B562" t="s">
        <v>61</v>
      </c>
      <c r="C562" t="s">
        <v>14</v>
      </c>
      <c r="D562">
        <v>3247</v>
      </c>
      <c r="E562">
        <v>653</v>
      </c>
      <c r="F562">
        <v>732</v>
      </c>
      <c r="G562">
        <v>94</v>
      </c>
      <c r="H562">
        <v>24693</v>
      </c>
      <c r="I562">
        <v>5</v>
      </c>
      <c r="J562">
        <v>63</v>
      </c>
      <c r="K562">
        <v>666</v>
      </c>
      <c r="L562">
        <v>722</v>
      </c>
      <c r="M562">
        <v>6.1470588240000001</v>
      </c>
      <c r="N562">
        <f>IFERROR(VLOOKUP(A562,vlookup_table!$A:$G,2,FALSE),"")</f>
        <v>1</v>
      </c>
      <c r="O562">
        <f>IFERROR(VLOOKUP(A562,vlookup_table!$A:$G,4,FALSE),"")</f>
        <v>2201</v>
      </c>
      <c r="P562" t="str">
        <f>IFERROR(VLOOKUP(A562,vlookup_table!$A:$G,5,FALSE),"")</f>
        <v>S1</v>
      </c>
      <c r="Q562">
        <f>IFERROR(VLOOKUP(A562,vlookup_table!$A:$G,7,FALSE),"")</f>
        <v>7</v>
      </c>
      <c r="R562">
        <f t="shared" si="32"/>
        <v>75</v>
      </c>
      <c r="S562" t="str" cm="1">
        <f t="array" ref="S562">IF(P562="","",_xlfn.SWITCH(LEFT(P562,1),"C","Ciudad","T","Pueblo","R","Rural","S","Suburbano","U","Urbano",""))</f>
        <v>Suburbano</v>
      </c>
      <c r="T562" t="str">
        <f t="shared" si="33"/>
        <v>M</v>
      </c>
      <c r="U562" t="str">
        <f t="shared" si="34"/>
        <v>CA</v>
      </c>
      <c r="V562" t="str">
        <f t="shared" si="35"/>
        <v>24693</v>
      </c>
    </row>
    <row r="563" spans="1:22" x14ac:dyDescent="0.35">
      <c r="A563" s="3">
        <v>32198</v>
      </c>
      <c r="B563" t="s">
        <v>13</v>
      </c>
      <c r="C563" t="s">
        <v>17</v>
      </c>
      <c r="D563">
        <v>1146</v>
      </c>
      <c r="E563">
        <v>384</v>
      </c>
      <c r="F563">
        <v>504</v>
      </c>
      <c r="G563">
        <v>20</v>
      </c>
      <c r="H563">
        <v>24850</v>
      </c>
      <c r="I563">
        <v>10</v>
      </c>
      <c r="J563">
        <v>9</v>
      </c>
      <c r="K563">
        <v>435</v>
      </c>
      <c r="L563">
        <v>447</v>
      </c>
      <c r="M563">
        <v>7.5</v>
      </c>
      <c r="N563">
        <f>IFERROR(VLOOKUP(A563,vlookup_table!$A:$G,2,FALSE),"")</f>
        <v>0</v>
      </c>
      <c r="O563">
        <f>IFERROR(VLOOKUP(A563,vlookup_table!$A:$G,4,FALSE),"")</f>
        <v>4401</v>
      </c>
      <c r="P563" t="str">
        <f>IFERROR(VLOOKUP(A563,vlookup_table!$A:$G,5,FALSE),"")</f>
        <v>C1</v>
      </c>
      <c r="Q563">
        <f>IFERROR(VLOOKUP(A563,vlookup_table!$A:$G,7,FALSE),"")</f>
        <v>9</v>
      </c>
      <c r="R563">
        <f t="shared" si="32"/>
        <v>53</v>
      </c>
      <c r="S563" t="str" cm="1">
        <f t="array" ref="S563">IF(P563="","",_xlfn.SWITCH(LEFT(P563,1),"C","Ciudad","T","Pueblo","R","Rural","S","Suburbano","U","Urbano",""))</f>
        <v>Ciudad</v>
      </c>
      <c r="T563" t="str">
        <f t="shared" si="33"/>
        <v>F</v>
      </c>
      <c r="U563" t="str">
        <f t="shared" si="34"/>
        <v>FL</v>
      </c>
      <c r="V563" t="str">
        <f t="shared" si="35"/>
        <v>24850</v>
      </c>
    </row>
    <row r="564" spans="1:22" x14ac:dyDescent="0.35">
      <c r="A564" s="3">
        <v>113607</v>
      </c>
      <c r="B564" t="s">
        <v>31</v>
      </c>
      <c r="C564" t="s">
        <v>17</v>
      </c>
      <c r="D564">
        <v>415</v>
      </c>
      <c r="E564">
        <v>212</v>
      </c>
      <c r="F564">
        <v>325</v>
      </c>
      <c r="G564">
        <v>1</v>
      </c>
      <c r="H564">
        <v>11659</v>
      </c>
      <c r="I564">
        <v>1</v>
      </c>
      <c r="J564">
        <v>71</v>
      </c>
      <c r="K564">
        <v>262</v>
      </c>
      <c r="L564">
        <v>281</v>
      </c>
      <c r="M564">
        <v>9.3333333330000006</v>
      </c>
      <c r="N564">
        <f>IFERROR(VLOOKUP(A564,vlookup_table!$A:$G,2,FALSE),"")</f>
        <v>0</v>
      </c>
      <c r="O564">
        <f>IFERROR(VLOOKUP(A564,vlookup_table!$A:$G,4,FALSE),"")</f>
        <v>0</v>
      </c>
      <c r="P564" t="str">
        <f>IFERROR(VLOOKUP(A564,vlookup_table!$A:$G,5,FALSE),"")</f>
        <v>T2</v>
      </c>
      <c r="Q564">
        <f>IFERROR(VLOOKUP(A564,vlookup_table!$A:$G,7,FALSE),"")</f>
        <v>15</v>
      </c>
      <c r="R564">
        <f t="shared" si="32"/>
        <v>97</v>
      </c>
      <c r="S564" t="str" cm="1">
        <f t="array" ref="S564">IF(P564="","",_xlfn.SWITCH(LEFT(P564,1),"C","Ciudad","T","Pueblo","R","Rural","S","Suburbano","U","Urbano",""))</f>
        <v>Pueblo</v>
      </c>
      <c r="T564" t="str">
        <f t="shared" si="33"/>
        <v>F</v>
      </c>
      <c r="U564" t="str">
        <f t="shared" si="34"/>
        <v>OK</v>
      </c>
      <c r="V564" t="str">
        <f t="shared" si="35"/>
        <v>11659</v>
      </c>
    </row>
    <row r="565" spans="1:22" x14ac:dyDescent="0.35">
      <c r="A565" s="3">
        <v>19499</v>
      </c>
      <c r="B565" t="s">
        <v>18</v>
      </c>
      <c r="C565" t="s">
        <v>20</v>
      </c>
      <c r="D565">
        <v>854</v>
      </c>
      <c r="E565">
        <v>382</v>
      </c>
      <c r="F565">
        <v>419</v>
      </c>
      <c r="G565">
        <v>3</v>
      </c>
      <c r="H565">
        <v>14002</v>
      </c>
      <c r="I565">
        <v>3</v>
      </c>
      <c r="J565">
        <v>52</v>
      </c>
      <c r="K565">
        <v>407</v>
      </c>
      <c r="L565">
        <v>406</v>
      </c>
      <c r="M565">
        <v>22.5</v>
      </c>
      <c r="N565">
        <f>IFERROR(VLOOKUP(A565,vlookup_table!$A:$G,2,FALSE),"")</f>
        <v>0</v>
      </c>
      <c r="O565">
        <f>IFERROR(VLOOKUP(A565,vlookup_table!$A:$G,4,FALSE),"")</f>
        <v>0</v>
      </c>
      <c r="P565" t="str">
        <f>IFERROR(VLOOKUP(A565,vlookup_table!$A:$G,5,FALSE),"")</f>
        <v>C1</v>
      </c>
      <c r="Q565">
        <f>IFERROR(VLOOKUP(A565,vlookup_table!$A:$G,7,FALSE),"")</f>
        <v>20</v>
      </c>
      <c r="R565">
        <f t="shared" si="32"/>
        <v>97</v>
      </c>
      <c r="S565" t="str" cm="1">
        <f t="array" ref="S565">IF(P565="","",_xlfn.SWITCH(LEFT(P565,1),"C","Ciudad","T","Pueblo","R","Rural","S","Suburbano","U","Urbano",""))</f>
        <v>Ciudad</v>
      </c>
      <c r="T565" t="str">
        <f t="shared" si="33"/>
        <v>F</v>
      </c>
      <c r="U565" t="str">
        <f t="shared" si="34"/>
        <v>NC</v>
      </c>
      <c r="V565" t="str">
        <f t="shared" si="35"/>
        <v>14002</v>
      </c>
    </row>
    <row r="566" spans="1:22" x14ac:dyDescent="0.35">
      <c r="A566" s="3">
        <v>73028</v>
      </c>
      <c r="B566" t="s">
        <v>29</v>
      </c>
      <c r="C566" t="s">
        <v>14</v>
      </c>
      <c r="D566">
        <v>496</v>
      </c>
      <c r="E566">
        <v>301</v>
      </c>
      <c r="F566">
        <v>372</v>
      </c>
      <c r="G566">
        <v>0</v>
      </c>
      <c r="H566">
        <v>11714</v>
      </c>
      <c r="I566">
        <v>2</v>
      </c>
      <c r="J566">
        <v>84</v>
      </c>
      <c r="K566">
        <v>317</v>
      </c>
      <c r="L566">
        <v>351</v>
      </c>
      <c r="M566">
        <v>8.8333333330000006</v>
      </c>
      <c r="N566">
        <f>IFERROR(VLOOKUP(A566,vlookup_table!$A:$G,2,FALSE),"")</f>
        <v>1</v>
      </c>
      <c r="O566">
        <f>IFERROR(VLOOKUP(A566,vlookup_table!$A:$G,4,FALSE),"")</f>
        <v>4704</v>
      </c>
      <c r="P566" t="str">
        <f>IFERROR(VLOOKUP(A566,vlookup_table!$A:$G,5,FALSE),"")</f>
        <v>R2</v>
      </c>
      <c r="Q566">
        <f>IFERROR(VLOOKUP(A566,vlookup_table!$A:$G,7,FALSE),"")</f>
        <v>9</v>
      </c>
      <c r="R566">
        <f t="shared" si="32"/>
        <v>50</v>
      </c>
      <c r="S566" t="str" cm="1">
        <f t="array" ref="S566">IF(P566="","",_xlfn.SWITCH(LEFT(P566,1),"C","Ciudad","T","Pueblo","R","Rural","S","Suburbano","U","Urbano",""))</f>
        <v>Rural</v>
      </c>
      <c r="T566" t="str">
        <f t="shared" si="33"/>
        <v>M</v>
      </c>
      <c r="U566" t="str">
        <f t="shared" si="34"/>
        <v>MI</v>
      </c>
      <c r="V566" t="str">
        <f t="shared" si="35"/>
        <v>11714</v>
      </c>
    </row>
    <row r="567" spans="1:22" x14ac:dyDescent="0.35">
      <c r="A567" s="3">
        <v>35553</v>
      </c>
      <c r="B567" t="s">
        <v>13</v>
      </c>
      <c r="C567" t="s">
        <v>17</v>
      </c>
      <c r="D567">
        <v>726</v>
      </c>
      <c r="E567">
        <v>302</v>
      </c>
      <c r="F567">
        <v>363</v>
      </c>
      <c r="G567">
        <v>0</v>
      </c>
      <c r="H567">
        <v>12484</v>
      </c>
      <c r="I567">
        <v>5</v>
      </c>
      <c r="J567">
        <v>33</v>
      </c>
      <c r="K567">
        <v>334</v>
      </c>
      <c r="L567">
        <v>326</v>
      </c>
      <c r="M567">
        <v>10.66666667</v>
      </c>
      <c r="N567">
        <f>IFERROR(VLOOKUP(A567,vlookup_table!$A:$G,2,FALSE),"")</f>
        <v>2</v>
      </c>
      <c r="O567">
        <f>IFERROR(VLOOKUP(A567,vlookup_table!$A:$G,4,FALSE),"")</f>
        <v>0</v>
      </c>
      <c r="P567" t="str">
        <f>IFERROR(VLOOKUP(A567,vlookup_table!$A:$G,5,FALSE),"")</f>
        <v>S2</v>
      </c>
      <c r="Q567">
        <f>IFERROR(VLOOKUP(A567,vlookup_table!$A:$G,7,FALSE),"")</f>
        <v>20</v>
      </c>
      <c r="R567">
        <f t="shared" si="32"/>
        <v>97</v>
      </c>
      <c r="S567" t="str" cm="1">
        <f t="array" ref="S567">IF(P567="","",_xlfn.SWITCH(LEFT(P567,1),"C","Ciudad","T","Pueblo","R","Rural","S","Suburbano","U","Urbano",""))</f>
        <v>Suburbano</v>
      </c>
      <c r="T567" t="str">
        <f t="shared" si="33"/>
        <v>F</v>
      </c>
      <c r="U567" t="str">
        <f t="shared" si="34"/>
        <v>FL</v>
      </c>
      <c r="V567" t="str">
        <f t="shared" si="35"/>
        <v>12484</v>
      </c>
    </row>
    <row r="568" spans="1:22" x14ac:dyDescent="0.35">
      <c r="A568" s="3">
        <v>35463</v>
      </c>
      <c r="B568" t="s">
        <v>13</v>
      </c>
      <c r="C568" t="s">
        <v>14</v>
      </c>
      <c r="D568">
        <v>1028</v>
      </c>
      <c r="E568">
        <v>394</v>
      </c>
      <c r="F568">
        <v>584</v>
      </c>
      <c r="G568">
        <v>19</v>
      </c>
      <c r="H568">
        <v>25787</v>
      </c>
      <c r="I568">
        <v>3</v>
      </c>
      <c r="J568">
        <v>31</v>
      </c>
      <c r="K568">
        <v>493</v>
      </c>
      <c r="L568">
        <v>483</v>
      </c>
      <c r="M568">
        <v>20</v>
      </c>
      <c r="N568">
        <f>IFERROR(VLOOKUP(A568,vlookup_table!$A:$G,2,FALSE),"")</f>
        <v>0</v>
      </c>
      <c r="O568">
        <f>IFERROR(VLOOKUP(A568,vlookup_table!$A:$G,4,FALSE),"")</f>
        <v>3701</v>
      </c>
      <c r="P568" t="str">
        <f>IFERROR(VLOOKUP(A568,vlookup_table!$A:$G,5,FALSE),"")</f>
        <v>C1</v>
      </c>
      <c r="Q568">
        <f>IFERROR(VLOOKUP(A568,vlookup_table!$A:$G,7,FALSE),"")</f>
        <v>30</v>
      </c>
      <c r="R568">
        <f t="shared" si="32"/>
        <v>60</v>
      </c>
      <c r="S568" t="str" cm="1">
        <f t="array" ref="S568">IF(P568="","",_xlfn.SWITCH(LEFT(P568,1),"C","Ciudad","T","Pueblo","R","Rural","S","Suburbano","U","Urbano",""))</f>
        <v>Ciudad</v>
      </c>
      <c r="T568" t="str">
        <f t="shared" si="33"/>
        <v>M</v>
      </c>
      <c r="U568" t="str">
        <f t="shared" si="34"/>
        <v>FL</v>
      </c>
      <c r="V568" t="str">
        <f t="shared" si="35"/>
        <v>25787</v>
      </c>
    </row>
    <row r="569" spans="1:22" x14ac:dyDescent="0.35">
      <c r="A569" s="3">
        <v>91591</v>
      </c>
      <c r="B569" t="s">
        <v>16</v>
      </c>
      <c r="C569" t="s">
        <v>14</v>
      </c>
      <c r="D569">
        <v>1464</v>
      </c>
      <c r="E569">
        <v>256</v>
      </c>
      <c r="F569">
        <v>457</v>
      </c>
      <c r="G569">
        <v>23</v>
      </c>
      <c r="H569">
        <v>22015</v>
      </c>
      <c r="I569">
        <v>9</v>
      </c>
      <c r="J569">
        <v>84</v>
      </c>
      <c r="K569">
        <v>413</v>
      </c>
      <c r="L569">
        <v>294</v>
      </c>
      <c r="M569">
        <v>9.8571428569999995</v>
      </c>
      <c r="N569">
        <f>IFERROR(VLOOKUP(A569,vlookup_table!$A:$G,2,FALSE),"")</f>
        <v>1</v>
      </c>
      <c r="O569">
        <f>IFERROR(VLOOKUP(A569,vlookup_table!$A:$G,4,FALSE),"")</f>
        <v>0</v>
      </c>
      <c r="P569" t="str">
        <f>IFERROR(VLOOKUP(A569,vlookup_table!$A:$G,5,FALSE),"")</f>
        <v>C1</v>
      </c>
      <c r="Q569">
        <f>IFERROR(VLOOKUP(A569,vlookup_table!$A:$G,7,FALSE),"")</f>
        <v>10</v>
      </c>
      <c r="R569">
        <f t="shared" si="32"/>
        <v>97</v>
      </c>
      <c r="S569" t="str" cm="1">
        <f t="array" ref="S569">IF(P569="","",_xlfn.SWITCH(LEFT(P569,1),"C","Ciudad","T","Pueblo","R","Rural","S","Suburbano","U","Urbano",""))</f>
        <v>Ciudad</v>
      </c>
      <c r="T569" t="str">
        <f t="shared" si="33"/>
        <v>M</v>
      </c>
      <c r="U569" t="str">
        <f t="shared" si="34"/>
        <v>IL</v>
      </c>
      <c r="V569" t="str">
        <f t="shared" si="35"/>
        <v>22015</v>
      </c>
    </row>
    <row r="570" spans="1:22" x14ac:dyDescent="0.35">
      <c r="A570" s="3">
        <v>109099</v>
      </c>
      <c r="B570" t="s">
        <v>49</v>
      </c>
      <c r="C570" t="s">
        <v>17</v>
      </c>
      <c r="D570">
        <v>719</v>
      </c>
      <c r="E570">
        <v>313</v>
      </c>
      <c r="F570">
        <v>391</v>
      </c>
      <c r="G570">
        <v>2</v>
      </c>
      <c r="H570">
        <v>12333</v>
      </c>
      <c r="I570">
        <v>0</v>
      </c>
      <c r="J570">
        <v>84</v>
      </c>
      <c r="K570">
        <v>337</v>
      </c>
      <c r="L570">
        <v>373</v>
      </c>
      <c r="M570">
        <v>6.4285714289999998</v>
      </c>
      <c r="N570">
        <f>IFERROR(VLOOKUP(A570,vlookup_table!$A:$G,2,FALSE),"")</f>
        <v>0</v>
      </c>
      <c r="O570">
        <f>IFERROR(VLOOKUP(A570,vlookup_table!$A:$G,4,FALSE),"")</f>
        <v>5701</v>
      </c>
      <c r="P570" t="str">
        <f>IFERROR(VLOOKUP(A570,vlookup_table!$A:$G,5,FALSE),"")</f>
        <v>T2</v>
      </c>
      <c r="Q570">
        <f>IFERROR(VLOOKUP(A570,vlookup_table!$A:$G,7,FALSE),"")</f>
        <v>6</v>
      </c>
      <c r="R570">
        <f t="shared" si="32"/>
        <v>40</v>
      </c>
      <c r="S570" t="str" cm="1">
        <f t="array" ref="S570">IF(P570="","",_xlfn.SWITCH(LEFT(P570,1),"C","Ciudad","T","Pueblo","R","Rural","S","Suburbano","U","Urbano",""))</f>
        <v>Pueblo</v>
      </c>
      <c r="T570" t="str">
        <f t="shared" si="33"/>
        <v>F</v>
      </c>
      <c r="U570" t="str">
        <f t="shared" si="34"/>
        <v>LA</v>
      </c>
      <c r="V570" t="str">
        <f t="shared" si="35"/>
        <v>12333</v>
      </c>
    </row>
    <row r="571" spans="1:22" x14ac:dyDescent="0.35">
      <c r="A571" s="3">
        <v>174182</v>
      </c>
      <c r="B571" t="s">
        <v>37</v>
      </c>
      <c r="C571" t="s">
        <v>17</v>
      </c>
      <c r="D571">
        <v>3063</v>
      </c>
      <c r="E571">
        <v>337</v>
      </c>
      <c r="F571">
        <v>506</v>
      </c>
      <c r="G571">
        <v>78</v>
      </c>
      <c r="H571">
        <v>21051</v>
      </c>
      <c r="I571">
        <v>22</v>
      </c>
      <c r="J571">
        <v>41</v>
      </c>
      <c r="K571">
        <v>429</v>
      </c>
      <c r="L571">
        <v>418</v>
      </c>
      <c r="M571">
        <v>20</v>
      </c>
      <c r="N571">
        <f>IFERROR(VLOOKUP(A571,vlookup_table!$A:$G,2,FALSE),"")</f>
        <v>0</v>
      </c>
      <c r="O571">
        <f>IFERROR(VLOOKUP(A571,vlookup_table!$A:$G,4,FALSE),"")</f>
        <v>3201</v>
      </c>
      <c r="P571" t="str">
        <f>IFERROR(VLOOKUP(A571,vlookup_table!$A:$G,5,FALSE),"")</f>
        <v>U1</v>
      </c>
      <c r="Q571">
        <f>IFERROR(VLOOKUP(A571,vlookup_table!$A:$G,7,FALSE),"")</f>
        <v>20</v>
      </c>
      <c r="R571">
        <f t="shared" si="32"/>
        <v>65</v>
      </c>
      <c r="S571" t="str" cm="1">
        <f t="array" ref="S571">IF(P571="","",_xlfn.SWITCH(LEFT(P571,1),"C","Ciudad","T","Pueblo","R","Rural","S","Suburbano","U","Urbano",""))</f>
        <v>Urbano</v>
      </c>
      <c r="T571" t="str">
        <f t="shared" si="33"/>
        <v>F</v>
      </c>
      <c r="U571" t="str">
        <f t="shared" si="34"/>
        <v>HI</v>
      </c>
      <c r="V571" t="str">
        <f t="shared" si="35"/>
        <v>21051</v>
      </c>
    </row>
    <row r="572" spans="1:22" x14ac:dyDescent="0.35">
      <c r="A572" s="3">
        <v>183722</v>
      </c>
      <c r="B572" t="s">
        <v>40</v>
      </c>
      <c r="C572" t="s">
        <v>17</v>
      </c>
      <c r="D572">
        <v>684</v>
      </c>
      <c r="E572">
        <v>280</v>
      </c>
      <c r="F572">
        <v>355</v>
      </c>
      <c r="G572">
        <v>1</v>
      </c>
      <c r="H572">
        <v>11763</v>
      </c>
      <c r="I572">
        <v>2</v>
      </c>
      <c r="J572">
        <v>57</v>
      </c>
      <c r="K572">
        <v>311</v>
      </c>
      <c r="L572">
        <v>326</v>
      </c>
      <c r="M572">
        <v>12.2</v>
      </c>
      <c r="N572">
        <f>IFERROR(VLOOKUP(A572,vlookup_table!$A:$G,2,FALSE),"")</f>
        <v>0</v>
      </c>
      <c r="O572">
        <f>IFERROR(VLOOKUP(A572,vlookup_table!$A:$G,4,FALSE),"")</f>
        <v>4808</v>
      </c>
      <c r="P572" t="str">
        <f>IFERROR(VLOOKUP(A572,vlookup_table!$A:$G,5,FALSE),"")</f>
        <v>R2</v>
      </c>
      <c r="Q572">
        <f>IFERROR(VLOOKUP(A572,vlookup_table!$A:$G,7,FALSE),"")</f>
        <v>20</v>
      </c>
      <c r="R572">
        <f t="shared" si="32"/>
        <v>49</v>
      </c>
      <c r="S572" t="str" cm="1">
        <f t="array" ref="S572">IF(P572="","",_xlfn.SWITCH(LEFT(P572,1),"C","Ciudad","T","Pueblo","R","Rural","S","Suburbano","U","Urbano",""))</f>
        <v>Rural</v>
      </c>
      <c r="T572" t="str">
        <f t="shared" si="33"/>
        <v>F</v>
      </c>
      <c r="U572" t="str">
        <f t="shared" si="34"/>
        <v>WA</v>
      </c>
      <c r="V572" t="str">
        <f t="shared" si="35"/>
        <v>11763</v>
      </c>
    </row>
    <row r="573" spans="1:22" x14ac:dyDescent="0.35">
      <c r="A573" s="3">
        <v>98374</v>
      </c>
      <c r="B573" t="s">
        <v>16</v>
      </c>
      <c r="C573" t="s">
        <v>17</v>
      </c>
      <c r="D573">
        <v>376</v>
      </c>
      <c r="E573">
        <v>268</v>
      </c>
      <c r="F573">
        <v>344</v>
      </c>
      <c r="G573">
        <v>0</v>
      </c>
      <c r="H573">
        <v>11979</v>
      </c>
      <c r="I573">
        <v>0</v>
      </c>
      <c r="J573">
        <v>86</v>
      </c>
      <c r="K573">
        <v>339</v>
      </c>
      <c r="L573">
        <v>304</v>
      </c>
      <c r="M573">
        <v>6.2173913040000004</v>
      </c>
      <c r="N573">
        <f>IFERROR(VLOOKUP(A573,vlookup_table!$A:$G,2,FALSE),"")</f>
        <v>0</v>
      </c>
      <c r="O573">
        <f>IFERROR(VLOOKUP(A573,vlookup_table!$A:$G,4,FALSE),"")</f>
        <v>2008</v>
      </c>
      <c r="P573" t="str">
        <f>IFERROR(VLOOKUP(A573,vlookup_table!$A:$G,5,FALSE),"")</f>
        <v>C2</v>
      </c>
      <c r="Q573">
        <f>IFERROR(VLOOKUP(A573,vlookup_table!$A:$G,7,FALSE),"")</f>
        <v>15</v>
      </c>
      <c r="R573">
        <f t="shared" si="32"/>
        <v>77</v>
      </c>
      <c r="S573" t="str" cm="1">
        <f t="array" ref="S573">IF(P573="","",_xlfn.SWITCH(LEFT(P573,1),"C","Ciudad","T","Pueblo","R","Rural","S","Suburbano","U","Urbano",""))</f>
        <v>Ciudad</v>
      </c>
      <c r="T573" t="str">
        <f t="shared" si="33"/>
        <v>F</v>
      </c>
      <c r="U573" t="str">
        <f t="shared" si="34"/>
        <v>IL</v>
      </c>
      <c r="V573" t="str">
        <f t="shared" si="35"/>
        <v>11979</v>
      </c>
    </row>
    <row r="574" spans="1:22" x14ac:dyDescent="0.35">
      <c r="A574" s="3">
        <v>126681</v>
      </c>
      <c r="B574" t="s">
        <v>21</v>
      </c>
      <c r="C574" t="s">
        <v>17</v>
      </c>
      <c r="D574">
        <v>927</v>
      </c>
      <c r="E574">
        <v>386</v>
      </c>
      <c r="F574">
        <v>484</v>
      </c>
      <c r="G574">
        <v>5</v>
      </c>
      <c r="H574">
        <v>16777</v>
      </c>
      <c r="I574">
        <v>2</v>
      </c>
      <c r="J574">
        <v>57</v>
      </c>
      <c r="K574">
        <v>417</v>
      </c>
      <c r="L574">
        <v>448</v>
      </c>
      <c r="M574">
        <v>9.7333333329999991</v>
      </c>
      <c r="N574">
        <f>IFERROR(VLOOKUP(A574,vlookup_table!$A:$G,2,FALSE),"")</f>
        <v>28</v>
      </c>
      <c r="O574">
        <f>IFERROR(VLOOKUP(A574,vlookup_table!$A:$G,4,FALSE),"")</f>
        <v>3911</v>
      </c>
      <c r="P574" t="str">
        <f>IFERROR(VLOOKUP(A574,vlookup_table!$A:$G,5,FALSE),"")</f>
        <v>R2</v>
      </c>
      <c r="Q574">
        <f>IFERROR(VLOOKUP(A574,vlookup_table!$A:$G,7,FALSE),"")</f>
        <v>15</v>
      </c>
      <c r="R574">
        <f t="shared" si="32"/>
        <v>58</v>
      </c>
      <c r="S574" t="str" cm="1">
        <f t="array" ref="S574">IF(P574="","",_xlfn.SWITCH(LEFT(P574,1),"C","Ciudad","T","Pueblo","R","Rural","S","Suburbano","U","Urbano",""))</f>
        <v>Rural</v>
      </c>
      <c r="T574" t="str">
        <f t="shared" si="33"/>
        <v>F</v>
      </c>
      <c r="U574" t="str">
        <f t="shared" si="34"/>
        <v>TX</v>
      </c>
      <c r="V574" t="str">
        <f t="shared" si="35"/>
        <v>16777</v>
      </c>
    </row>
    <row r="575" spans="1:22" x14ac:dyDescent="0.35">
      <c r="A575" s="3">
        <v>147936</v>
      </c>
      <c r="B575" t="s">
        <v>61</v>
      </c>
      <c r="C575" t="s">
        <v>14</v>
      </c>
      <c r="D575">
        <v>3511</v>
      </c>
      <c r="E575">
        <v>373</v>
      </c>
      <c r="F575">
        <v>491</v>
      </c>
      <c r="G575">
        <v>92</v>
      </c>
      <c r="H575">
        <v>23187</v>
      </c>
      <c r="I575">
        <v>44</v>
      </c>
      <c r="J575">
        <v>25</v>
      </c>
      <c r="K575">
        <v>452</v>
      </c>
      <c r="L575">
        <v>421</v>
      </c>
      <c r="M575">
        <v>5.4666666670000001</v>
      </c>
      <c r="N575">
        <f>IFERROR(VLOOKUP(A575,vlookup_table!$A:$G,2,FALSE),"")</f>
        <v>1</v>
      </c>
      <c r="O575">
        <f>IFERROR(VLOOKUP(A575,vlookup_table!$A:$G,4,FALSE),"")</f>
        <v>901</v>
      </c>
      <c r="P575" t="str">
        <f>IFERROR(VLOOKUP(A575,vlookup_table!$A:$G,5,FALSE),"")</f>
        <v>U1</v>
      </c>
      <c r="Q575">
        <f>IFERROR(VLOOKUP(A575,vlookup_table!$A:$G,7,FALSE),"")</f>
        <v>5</v>
      </c>
      <c r="R575">
        <f t="shared" si="32"/>
        <v>88</v>
      </c>
      <c r="S575" t="str" cm="1">
        <f t="array" ref="S575">IF(P575="","",_xlfn.SWITCH(LEFT(P575,1),"C","Ciudad","T","Pueblo","R","Rural","S","Suburbano","U","Urbano",""))</f>
        <v>Urbano</v>
      </c>
      <c r="T575" t="str">
        <f t="shared" si="33"/>
        <v>M</v>
      </c>
      <c r="U575" t="str">
        <f t="shared" si="34"/>
        <v>CA</v>
      </c>
      <c r="V575" t="str">
        <f t="shared" si="35"/>
        <v>23187</v>
      </c>
    </row>
    <row r="576" spans="1:22" x14ac:dyDescent="0.35">
      <c r="A576" s="3">
        <v>152133</v>
      </c>
      <c r="B576" t="s">
        <v>61</v>
      </c>
      <c r="C576" t="s">
        <v>17</v>
      </c>
      <c r="D576">
        <v>1185</v>
      </c>
      <c r="E576">
        <v>354</v>
      </c>
      <c r="F576">
        <v>383</v>
      </c>
      <c r="G576">
        <v>0</v>
      </c>
      <c r="H576">
        <v>11061</v>
      </c>
      <c r="I576">
        <v>16</v>
      </c>
      <c r="J576">
        <v>48</v>
      </c>
      <c r="K576">
        <v>373</v>
      </c>
      <c r="L576">
        <v>369</v>
      </c>
      <c r="M576">
        <v>21.666666670000001</v>
      </c>
      <c r="N576">
        <f>IFERROR(VLOOKUP(A576,vlookup_table!$A:$G,2,FALSE),"")</f>
        <v>28</v>
      </c>
      <c r="O576">
        <f>IFERROR(VLOOKUP(A576,vlookup_table!$A:$G,4,FALSE),"")</f>
        <v>0</v>
      </c>
      <c r="P576" t="str">
        <f>IFERROR(VLOOKUP(A576,vlookup_table!$A:$G,5,FALSE),"")</f>
        <v>S3</v>
      </c>
      <c r="Q576">
        <f>IFERROR(VLOOKUP(A576,vlookup_table!$A:$G,7,FALSE),"")</f>
        <v>5</v>
      </c>
      <c r="R576">
        <f t="shared" si="32"/>
        <v>97</v>
      </c>
      <c r="S576" t="str" cm="1">
        <f t="array" ref="S576">IF(P576="","",_xlfn.SWITCH(LEFT(P576,1),"C","Ciudad","T","Pueblo","R","Rural","S","Suburbano","U","Urbano",""))</f>
        <v>Suburbano</v>
      </c>
      <c r="T576" t="str">
        <f t="shared" si="33"/>
        <v>F</v>
      </c>
      <c r="U576" t="str">
        <f t="shared" si="34"/>
        <v>CA</v>
      </c>
      <c r="V576" t="str">
        <f t="shared" si="35"/>
        <v>11061</v>
      </c>
    </row>
    <row r="577" spans="1:22" x14ac:dyDescent="0.35">
      <c r="A577" s="3">
        <v>57929</v>
      </c>
      <c r="B577" t="s">
        <v>57</v>
      </c>
      <c r="C577" t="s">
        <v>17</v>
      </c>
      <c r="D577">
        <v>453</v>
      </c>
      <c r="E577">
        <v>215</v>
      </c>
      <c r="F577">
        <v>302</v>
      </c>
      <c r="G577">
        <v>1</v>
      </c>
      <c r="H577">
        <v>9722</v>
      </c>
      <c r="I577">
        <v>0</v>
      </c>
      <c r="J577">
        <v>82</v>
      </c>
      <c r="K577">
        <v>260</v>
      </c>
      <c r="L577">
        <v>266</v>
      </c>
      <c r="M577">
        <v>8.307692308</v>
      </c>
      <c r="N577">
        <f>IFERROR(VLOOKUP(A577,vlookup_table!$A:$G,2,FALSE),"")</f>
        <v>2</v>
      </c>
      <c r="O577">
        <f>IFERROR(VLOOKUP(A577,vlookup_table!$A:$G,4,FALSE),"")</f>
        <v>3503</v>
      </c>
      <c r="P577" t="str">
        <f>IFERROR(VLOOKUP(A577,vlookup_table!$A:$G,5,FALSE),"")</f>
        <v>R3</v>
      </c>
      <c r="Q577">
        <f>IFERROR(VLOOKUP(A577,vlookup_table!$A:$G,7,FALSE),"")</f>
        <v>10</v>
      </c>
      <c r="R577">
        <f t="shared" si="32"/>
        <v>62</v>
      </c>
      <c r="S577" t="str" cm="1">
        <f t="array" ref="S577">IF(P577="","",_xlfn.SWITCH(LEFT(P577,1),"C","Ciudad","T","Pueblo","R","Rural","S","Suburbano","U","Urbano",""))</f>
        <v>Rural</v>
      </c>
      <c r="T577" t="str">
        <f t="shared" si="33"/>
        <v>F</v>
      </c>
      <c r="U577" t="str">
        <f t="shared" si="34"/>
        <v>KY</v>
      </c>
      <c r="V577" t="str">
        <f t="shared" si="35"/>
        <v>9722</v>
      </c>
    </row>
    <row r="578" spans="1:22" x14ac:dyDescent="0.35">
      <c r="A578" s="3">
        <v>15697</v>
      </c>
      <c r="B578" t="s">
        <v>18</v>
      </c>
      <c r="C578" t="s">
        <v>30</v>
      </c>
      <c r="D578">
        <v>535</v>
      </c>
      <c r="E578">
        <v>283</v>
      </c>
      <c r="F578">
        <v>336</v>
      </c>
      <c r="G578">
        <v>1</v>
      </c>
      <c r="H578">
        <v>12206</v>
      </c>
      <c r="I578">
        <v>3</v>
      </c>
      <c r="J578">
        <v>77</v>
      </c>
      <c r="K578">
        <v>307</v>
      </c>
      <c r="L578">
        <v>306</v>
      </c>
      <c r="M578">
        <v>14</v>
      </c>
      <c r="N578">
        <f>IFERROR(VLOOKUP(A578,vlookup_table!$A:$G,2,FALSE),"")</f>
        <v>0</v>
      </c>
      <c r="O578">
        <f>IFERROR(VLOOKUP(A578,vlookup_table!$A:$G,4,FALSE),"")</f>
        <v>0</v>
      </c>
      <c r="P578" t="str">
        <f>IFERROR(VLOOKUP(A578,vlookup_table!$A:$G,5,FALSE),"")</f>
        <v>R2</v>
      </c>
      <c r="Q578">
        <f>IFERROR(VLOOKUP(A578,vlookup_table!$A:$G,7,FALSE),"")</f>
        <v>20</v>
      </c>
      <c r="R578">
        <f t="shared" ref="R578:R641" si="36">IF(O578="","",97-INT(O578/100))</f>
        <v>97</v>
      </c>
      <c r="S578" t="str" cm="1">
        <f t="array" ref="S578">IF(P578="","",_xlfn.SWITCH(LEFT(P578,1),"C","Ciudad","T","Pueblo","R","Rural","S","Suburbano","U","Urbano",""))</f>
        <v>Rural</v>
      </c>
      <c r="T578" t="str">
        <f t="shared" ref="T578:T641" si="37">IF(C578="","",IF(OR(UPPER(C578)="M",UPPER(C578)="MALE"),"M",IF(OR(UPPER(C578)="F",UPPER(C578)="FEMALE",UPPER(C578)="FEAMALE"),"F",C578)))</f>
        <v>U</v>
      </c>
      <c r="U578" t="str">
        <f t="shared" ref="U578:U641" si="38">IF(OR(UPPER(B578)="CALIFORNIA",UPPER(B578)="CALI"),"CA",B578)</f>
        <v>NC</v>
      </c>
      <c r="V578" t="str">
        <f t="shared" ref="V578:V641" si="39">SUBSTITUTE(H578,"@","")</f>
        <v>12206</v>
      </c>
    </row>
    <row r="579" spans="1:22" x14ac:dyDescent="0.35">
      <c r="A579" s="3">
        <v>92814</v>
      </c>
      <c r="B579" t="s">
        <v>16</v>
      </c>
      <c r="C579" t="s">
        <v>17</v>
      </c>
      <c r="D579">
        <v>747</v>
      </c>
      <c r="E579">
        <v>458</v>
      </c>
      <c r="F579">
        <v>503</v>
      </c>
      <c r="G579">
        <v>0</v>
      </c>
      <c r="H579">
        <v>14965</v>
      </c>
      <c r="I579">
        <v>13</v>
      </c>
      <c r="J579">
        <v>63</v>
      </c>
      <c r="K579">
        <v>489</v>
      </c>
      <c r="L579">
        <v>475</v>
      </c>
      <c r="M579">
        <v>10</v>
      </c>
      <c r="N579">
        <f>IFERROR(VLOOKUP(A579,vlookup_table!$A:$G,2,FALSE),"")</f>
        <v>0</v>
      </c>
      <c r="O579">
        <f>IFERROR(VLOOKUP(A579,vlookup_table!$A:$G,4,FALSE),"")</f>
        <v>6401</v>
      </c>
      <c r="P579" t="str">
        <f>IFERROR(VLOOKUP(A579,vlookup_table!$A:$G,5,FALSE),"")</f>
        <v>U1</v>
      </c>
      <c r="Q579">
        <f>IFERROR(VLOOKUP(A579,vlookup_table!$A:$G,7,FALSE),"")</f>
        <v>25</v>
      </c>
      <c r="R579">
        <f t="shared" si="36"/>
        <v>33</v>
      </c>
      <c r="S579" t="str" cm="1">
        <f t="array" ref="S579">IF(P579="","",_xlfn.SWITCH(LEFT(P579,1),"C","Ciudad","T","Pueblo","R","Rural","S","Suburbano","U","Urbano",""))</f>
        <v>Urbano</v>
      </c>
      <c r="T579" t="str">
        <f t="shared" si="37"/>
        <v>F</v>
      </c>
      <c r="U579" t="str">
        <f t="shared" si="38"/>
        <v>IL</v>
      </c>
      <c r="V579" t="str">
        <f t="shared" si="39"/>
        <v>14965</v>
      </c>
    </row>
    <row r="580" spans="1:22" x14ac:dyDescent="0.35">
      <c r="A580" s="3">
        <v>98282</v>
      </c>
      <c r="B580" t="s">
        <v>16</v>
      </c>
      <c r="C580" t="s">
        <v>14</v>
      </c>
      <c r="D580">
        <v>439</v>
      </c>
      <c r="E580">
        <v>362</v>
      </c>
      <c r="F580">
        <v>404</v>
      </c>
      <c r="G580">
        <v>0</v>
      </c>
      <c r="H580">
        <v>13570</v>
      </c>
      <c r="I580">
        <v>1</v>
      </c>
      <c r="J580">
        <v>89</v>
      </c>
      <c r="K580">
        <v>388</v>
      </c>
      <c r="L580">
        <v>371</v>
      </c>
      <c r="M580">
        <v>10.6</v>
      </c>
      <c r="N580">
        <f>IFERROR(VLOOKUP(A580,vlookup_table!$A:$G,2,FALSE),"")</f>
        <v>0</v>
      </c>
      <c r="O580">
        <f>IFERROR(VLOOKUP(A580,vlookup_table!$A:$G,4,FALSE),"")</f>
        <v>3505</v>
      </c>
      <c r="P580" t="str">
        <f>IFERROR(VLOOKUP(A580,vlookup_table!$A:$G,5,FALSE),"")</f>
        <v>R2</v>
      </c>
      <c r="Q580">
        <f>IFERROR(VLOOKUP(A580,vlookup_table!$A:$G,7,FALSE),"")</f>
        <v>15</v>
      </c>
      <c r="R580">
        <f t="shared" si="36"/>
        <v>62</v>
      </c>
      <c r="S580" t="str" cm="1">
        <f t="array" ref="S580">IF(P580="","",_xlfn.SWITCH(LEFT(P580,1),"C","Ciudad","T","Pueblo","R","Rural","S","Suburbano","U","Urbano",""))</f>
        <v>Rural</v>
      </c>
      <c r="T580" t="str">
        <f t="shared" si="37"/>
        <v>M</v>
      </c>
      <c r="U580" t="str">
        <f t="shared" si="38"/>
        <v>IL</v>
      </c>
      <c r="V580" t="str">
        <f t="shared" si="39"/>
        <v>13570</v>
      </c>
    </row>
    <row r="581" spans="1:22" x14ac:dyDescent="0.35">
      <c r="A581" s="3">
        <v>27798</v>
      </c>
      <c r="B581" t="s">
        <v>39</v>
      </c>
      <c r="C581" t="s">
        <v>17</v>
      </c>
      <c r="D581">
        <v>935</v>
      </c>
      <c r="E581">
        <v>419</v>
      </c>
      <c r="F581">
        <v>541</v>
      </c>
      <c r="G581">
        <v>8</v>
      </c>
      <c r="H581">
        <v>16922</v>
      </c>
      <c r="I581">
        <v>1</v>
      </c>
      <c r="J581">
        <v>61</v>
      </c>
      <c r="K581">
        <v>439</v>
      </c>
      <c r="L581">
        <v>510</v>
      </c>
      <c r="M581">
        <v>11.21428571</v>
      </c>
      <c r="N581">
        <f>IFERROR(VLOOKUP(A581,vlookup_table!$A:$G,2,FALSE),"")</f>
        <v>0</v>
      </c>
      <c r="O581">
        <f>IFERROR(VLOOKUP(A581,vlookup_table!$A:$G,4,FALSE),"")</f>
        <v>4301</v>
      </c>
      <c r="P581" t="str">
        <f>IFERROR(VLOOKUP(A581,vlookup_table!$A:$G,5,FALSE),"")</f>
        <v>T2</v>
      </c>
      <c r="Q581">
        <f>IFERROR(VLOOKUP(A581,vlookup_table!$A:$G,7,FALSE),"")</f>
        <v>10</v>
      </c>
      <c r="R581">
        <f t="shared" si="36"/>
        <v>54</v>
      </c>
      <c r="S581" t="str" cm="1">
        <f t="array" ref="S581">IF(P581="","",_xlfn.SWITCH(LEFT(P581,1),"C","Ciudad","T","Pueblo","R","Rural","S","Suburbano","U","Urbano",""))</f>
        <v>Pueblo</v>
      </c>
      <c r="T581" t="str">
        <f t="shared" si="37"/>
        <v>F</v>
      </c>
      <c r="U581" t="str">
        <f t="shared" si="38"/>
        <v>GA</v>
      </c>
      <c r="V581" t="str">
        <f t="shared" si="39"/>
        <v>16922</v>
      </c>
    </row>
    <row r="582" spans="1:22" x14ac:dyDescent="0.35">
      <c r="A582" s="3">
        <v>45503</v>
      </c>
      <c r="B582" t="s">
        <v>13</v>
      </c>
      <c r="C582" t="s">
        <v>14</v>
      </c>
      <c r="D582">
        <v>616</v>
      </c>
      <c r="E582">
        <v>212</v>
      </c>
      <c r="F582">
        <v>282</v>
      </c>
      <c r="G582">
        <v>1</v>
      </c>
      <c r="H582">
        <v>11912</v>
      </c>
      <c r="I582">
        <v>5</v>
      </c>
      <c r="J582">
        <v>16</v>
      </c>
      <c r="K582">
        <v>234</v>
      </c>
      <c r="L582">
        <v>248</v>
      </c>
      <c r="M582">
        <v>5.1333333330000004</v>
      </c>
      <c r="N582">
        <f>IFERROR(VLOOKUP(A582,vlookup_table!$A:$G,2,FALSE),"")</f>
        <v>1</v>
      </c>
      <c r="O582">
        <f>IFERROR(VLOOKUP(A582,vlookup_table!$A:$G,4,FALSE),"")</f>
        <v>3709</v>
      </c>
      <c r="P582" t="str">
        <f>IFERROR(VLOOKUP(A582,vlookup_table!$A:$G,5,FALSE),"")</f>
        <v>C3</v>
      </c>
      <c r="Q582">
        <f>IFERROR(VLOOKUP(A582,vlookup_table!$A:$G,7,FALSE),"")</f>
        <v>5</v>
      </c>
      <c r="R582">
        <f t="shared" si="36"/>
        <v>60</v>
      </c>
      <c r="S582" t="str" cm="1">
        <f t="array" ref="S582">IF(P582="","",_xlfn.SWITCH(LEFT(P582,1),"C","Ciudad","T","Pueblo","R","Rural","S","Suburbano","U","Urbano",""))</f>
        <v>Ciudad</v>
      </c>
      <c r="T582" t="str">
        <f t="shared" si="37"/>
        <v>M</v>
      </c>
      <c r="U582" t="str">
        <f t="shared" si="38"/>
        <v>FL</v>
      </c>
      <c r="V582" t="str">
        <f t="shared" si="39"/>
        <v>11912</v>
      </c>
    </row>
    <row r="583" spans="1:22" x14ac:dyDescent="0.35">
      <c r="A583" s="3">
        <v>6006</v>
      </c>
      <c r="B583" t="s">
        <v>48</v>
      </c>
      <c r="C583" t="s">
        <v>17</v>
      </c>
      <c r="D583">
        <v>947</v>
      </c>
      <c r="E583">
        <v>300</v>
      </c>
      <c r="F583">
        <v>469</v>
      </c>
      <c r="G583">
        <v>3</v>
      </c>
      <c r="H583">
        <v>17986</v>
      </c>
      <c r="I583">
        <v>2</v>
      </c>
      <c r="J583">
        <v>43</v>
      </c>
      <c r="K583">
        <v>360</v>
      </c>
      <c r="L583">
        <v>342</v>
      </c>
      <c r="M583">
        <v>85</v>
      </c>
      <c r="N583">
        <f>IFERROR(VLOOKUP(A583,vlookup_table!$A:$G,2,FALSE),"")</f>
        <v>0</v>
      </c>
      <c r="O583">
        <f>IFERROR(VLOOKUP(A583,vlookup_table!$A:$G,4,FALSE),"")</f>
        <v>1602</v>
      </c>
      <c r="P583" t="str">
        <f>IFERROR(VLOOKUP(A583,vlookup_table!$A:$G,5,FALSE),"")</f>
        <v>C1</v>
      </c>
      <c r="Q583">
        <f>IFERROR(VLOOKUP(A583,vlookup_table!$A:$G,7,FALSE),"")</f>
        <v>100</v>
      </c>
      <c r="R583">
        <f t="shared" si="36"/>
        <v>81</v>
      </c>
      <c r="S583" t="str" cm="1">
        <f t="array" ref="S583">IF(P583="","",_xlfn.SWITCH(LEFT(P583,1),"C","Ciudad","T","Pueblo","R","Rural","S","Suburbano","U","Urbano",""))</f>
        <v>Ciudad</v>
      </c>
      <c r="T583" t="str">
        <f t="shared" si="37"/>
        <v>F</v>
      </c>
      <c r="U583" t="str">
        <f t="shared" si="38"/>
        <v>CO</v>
      </c>
      <c r="V583" t="str">
        <f t="shared" si="39"/>
        <v>17986</v>
      </c>
    </row>
    <row r="584" spans="1:22" x14ac:dyDescent="0.35">
      <c r="A584" s="3">
        <v>138182</v>
      </c>
      <c r="B584" t="s">
        <v>55</v>
      </c>
      <c r="C584" t="s">
        <v>60</v>
      </c>
      <c r="D584">
        <v>572</v>
      </c>
      <c r="E584">
        <v>204</v>
      </c>
      <c r="F584">
        <v>253</v>
      </c>
      <c r="G584">
        <v>1</v>
      </c>
      <c r="H584">
        <v>10858</v>
      </c>
      <c r="I584">
        <v>7</v>
      </c>
      <c r="J584">
        <v>36</v>
      </c>
      <c r="K584">
        <v>242</v>
      </c>
      <c r="L584">
        <v>238</v>
      </c>
      <c r="M584">
        <v>6</v>
      </c>
      <c r="N584">
        <f>IFERROR(VLOOKUP(A584,vlookup_table!$A:$G,2,FALSE),"")</f>
        <v>28</v>
      </c>
      <c r="O584">
        <f>IFERROR(VLOOKUP(A584,vlookup_table!$A:$G,4,FALSE),"")</f>
        <v>2911</v>
      </c>
      <c r="P584" t="str">
        <f>IFERROR(VLOOKUP(A584,vlookup_table!$A:$G,5,FALSE),"")</f>
        <v>C2</v>
      </c>
      <c r="Q584">
        <f>IFERROR(VLOOKUP(A584,vlookup_table!$A:$G,7,FALSE),"")</f>
        <v>5</v>
      </c>
      <c r="R584">
        <f t="shared" si="36"/>
        <v>68</v>
      </c>
      <c r="S584" t="str" cm="1">
        <f t="array" ref="S584">IF(P584="","",_xlfn.SWITCH(LEFT(P584,1),"C","Ciudad","T","Pueblo","R","Rural","S","Suburbano","U","Urbano",""))</f>
        <v>Ciudad</v>
      </c>
      <c r="T584" t="str">
        <f t="shared" si="37"/>
        <v>F</v>
      </c>
      <c r="U584" t="str">
        <f t="shared" si="38"/>
        <v>AZ</v>
      </c>
      <c r="V584" t="str">
        <f t="shared" si="39"/>
        <v>10858</v>
      </c>
    </row>
    <row r="585" spans="1:22" x14ac:dyDescent="0.35">
      <c r="A585" s="3">
        <v>144714</v>
      </c>
      <c r="B585" t="s">
        <v>61</v>
      </c>
      <c r="C585" t="s">
        <v>17</v>
      </c>
      <c r="D585">
        <v>5014</v>
      </c>
      <c r="E585">
        <v>756</v>
      </c>
      <c r="F585">
        <v>770</v>
      </c>
      <c r="G585">
        <v>98</v>
      </c>
      <c r="H585">
        <v>31694</v>
      </c>
      <c r="I585">
        <v>6</v>
      </c>
      <c r="J585">
        <v>55</v>
      </c>
      <c r="K585">
        <v>664</v>
      </c>
      <c r="L585">
        <v>765</v>
      </c>
      <c r="M585">
        <v>13</v>
      </c>
      <c r="N585">
        <f>IFERROR(VLOOKUP(A585,vlookup_table!$A:$G,2,FALSE),"")</f>
        <v>0</v>
      </c>
      <c r="O585">
        <f>IFERROR(VLOOKUP(A585,vlookup_table!$A:$G,4,FALSE),"")</f>
        <v>0</v>
      </c>
      <c r="P585" t="str">
        <f>IFERROR(VLOOKUP(A585,vlookup_table!$A:$G,5,FALSE),"")</f>
        <v>S1</v>
      </c>
      <c r="Q585">
        <f>IFERROR(VLOOKUP(A585,vlookup_table!$A:$G,7,FALSE),"")</f>
        <v>16</v>
      </c>
      <c r="R585">
        <f t="shared" si="36"/>
        <v>97</v>
      </c>
      <c r="S585" t="str" cm="1">
        <f t="array" ref="S585">IF(P585="","",_xlfn.SWITCH(LEFT(P585,1),"C","Ciudad","T","Pueblo","R","Rural","S","Suburbano","U","Urbano",""))</f>
        <v>Suburbano</v>
      </c>
      <c r="T585" t="str">
        <f t="shared" si="37"/>
        <v>F</v>
      </c>
      <c r="U585" t="str">
        <f t="shared" si="38"/>
        <v>CA</v>
      </c>
      <c r="V585" t="str">
        <f t="shared" si="39"/>
        <v>31694</v>
      </c>
    </row>
    <row r="586" spans="1:22" x14ac:dyDescent="0.35">
      <c r="A586" s="3">
        <v>10001</v>
      </c>
      <c r="B586" t="s">
        <v>16</v>
      </c>
      <c r="C586" t="s">
        <v>14</v>
      </c>
      <c r="D586">
        <v>675</v>
      </c>
      <c r="E586">
        <v>278</v>
      </c>
      <c r="F586">
        <v>409</v>
      </c>
      <c r="G586">
        <v>0</v>
      </c>
      <c r="H586">
        <v>22221</v>
      </c>
      <c r="I586">
        <v>0</v>
      </c>
      <c r="J586">
        <v>65</v>
      </c>
      <c r="K586">
        <v>298</v>
      </c>
      <c r="L586">
        <v>341</v>
      </c>
      <c r="M586">
        <v>11.222222220000001</v>
      </c>
      <c r="N586">
        <f>IFERROR(VLOOKUP(A586,vlookup_table!$A:$G,2,FALSE),"")</f>
        <v>1</v>
      </c>
      <c r="O586">
        <f>IFERROR(VLOOKUP(A586,vlookup_table!$A:$G,4,FALSE),"")</f>
        <v>5508</v>
      </c>
      <c r="P586" t="str">
        <f>IFERROR(VLOOKUP(A586,vlookup_table!$A:$G,5,FALSE),"")</f>
        <v>C1</v>
      </c>
      <c r="Q586">
        <f>IFERROR(VLOOKUP(A586,vlookup_table!$A:$G,7,FALSE),"")</f>
        <v>16</v>
      </c>
      <c r="R586">
        <f t="shared" si="36"/>
        <v>42</v>
      </c>
      <c r="S586" t="str" cm="1">
        <f t="array" ref="S586">IF(P586="","",_xlfn.SWITCH(LEFT(P586,1),"C","Ciudad","T","Pueblo","R","Rural","S","Suburbano","U","Urbano",""))</f>
        <v>Ciudad</v>
      </c>
      <c r="T586" t="str">
        <f t="shared" si="37"/>
        <v>M</v>
      </c>
      <c r="U586" t="str">
        <f t="shared" si="38"/>
        <v>IL</v>
      </c>
      <c r="V586" t="str">
        <f t="shared" si="39"/>
        <v>22221</v>
      </c>
    </row>
    <row r="587" spans="1:22" x14ac:dyDescent="0.35">
      <c r="A587" s="3">
        <v>157860</v>
      </c>
      <c r="B587" t="s">
        <v>61</v>
      </c>
      <c r="C587" t="s">
        <v>14</v>
      </c>
      <c r="D587">
        <v>3663</v>
      </c>
      <c r="E587">
        <v>749</v>
      </c>
      <c r="F587">
        <v>818</v>
      </c>
      <c r="G587">
        <v>87</v>
      </c>
      <c r="H587">
        <v>27400</v>
      </c>
      <c r="I587">
        <v>14</v>
      </c>
      <c r="J587">
        <v>52</v>
      </c>
      <c r="K587">
        <v>777</v>
      </c>
      <c r="L587">
        <v>784</v>
      </c>
      <c r="M587">
        <v>4.2857142860000002</v>
      </c>
      <c r="N587">
        <f>IFERROR(VLOOKUP(A587,vlookup_table!$A:$G,2,FALSE),"")</f>
        <v>1002</v>
      </c>
      <c r="O587">
        <f>IFERROR(VLOOKUP(A587,vlookup_table!$A:$G,4,FALSE),"")</f>
        <v>5701</v>
      </c>
      <c r="P587" t="str">
        <f>IFERROR(VLOOKUP(A587,vlookup_table!$A:$G,5,FALSE),"")</f>
        <v>S1</v>
      </c>
      <c r="Q587">
        <f>IFERROR(VLOOKUP(A587,vlookup_table!$A:$G,7,FALSE),"")</f>
        <v>4</v>
      </c>
      <c r="R587">
        <f t="shared" si="36"/>
        <v>40</v>
      </c>
      <c r="S587" t="str" cm="1">
        <f t="array" ref="S587">IF(P587="","",_xlfn.SWITCH(LEFT(P587,1),"C","Ciudad","T","Pueblo","R","Rural","S","Suburbano","U","Urbano",""))</f>
        <v>Suburbano</v>
      </c>
      <c r="T587" t="str">
        <f t="shared" si="37"/>
        <v>M</v>
      </c>
      <c r="U587" t="str">
        <f t="shared" si="38"/>
        <v>CA</v>
      </c>
      <c r="V587" t="str">
        <f t="shared" si="39"/>
        <v>27400</v>
      </c>
    </row>
    <row r="588" spans="1:22" x14ac:dyDescent="0.35">
      <c r="A588" s="3">
        <v>58351</v>
      </c>
      <c r="B588" t="s">
        <v>57</v>
      </c>
      <c r="C588" t="s">
        <v>14</v>
      </c>
      <c r="D588">
        <v>269</v>
      </c>
      <c r="E588">
        <v>224</v>
      </c>
      <c r="F588">
        <v>284</v>
      </c>
      <c r="G588">
        <v>0</v>
      </c>
      <c r="H588">
        <v>8172</v>
      </c>
      <c r="I588">
        <v>0</v>
      </c>
      <c r="J588">
        <v>77</v>
      </c>
      <c r="K588">
        <v>256</v>
      </c>
      <c r="L588">
        <v>250</v>
      </c>
      <c r="M588">
        <v>7.75</v>
      </c>
      <c r="N588">
        <f>IFERROR(VLOOKUP(A588,vlookup_table!$A:$G,2,FALSE),"")</f>
        <v>1</v>
      </c>
      <c r="O588">
        <f>IFERROR(VLOOKUP(A588,vlookup_table!$A:$G,4,FALSE),"")</f>
        <v>2801</v>
      </c>
      <c r="P588" t="str">
        <f>IFERROR(VLOOKUP(A588,vlookup_table!$A:$G,5,FALSE),"")</f>
        <v>R3</v>
      </c>
      <c r="Q588">
        <f>IFERROR(VLOOKUP(A588,vlookup_table!$A:$G,7,FALSE),"")</f>
        <v>9</v>
      </c>
      <c r="R588">
        <f t="shared" si="36"/>
        <v>69</v>
      </c>
      <c r="S588" t="str" cm="1">
        <f t="array" ref="S588">IF(P588="","",_xlfn.SWITCH(LEFT(P588,1),"C","Ciudad","T","Pueblo","R","Rural","S","Suburbano","U","Urbano",""))</f>
        <v>Rural</v>
      </c>
      <c r="T588" t="str">
        <f t="shared" si="37"/>
        <v>M</v>
      </c>
      <c r="U588" t="str">
        <f t="shared" si="38"/>
        <v>KY</v>
      </c>
      <c r="V588" t="str">
        <f t="shared" si="39"/>
        <v>8172</v>
      </c>
    </row>
    <row r="589" spans="1:22" x14ac:dyDescent="0.35">
      <c r="A589" s="3">
        <v>97552</v>
      </c>
      <c r="B589" t="s">
        <v>16</v>
      </c>
      <c r="C589" t="s">
        <v>17</v>
      </c>
      <c r="D589">
        <v>226</v>
      </c>
      <c r="E589">
        <v>183</v>
      </c>
      <c r="F589">
        <v>263</v>
      </c>
      <c r="G589">
        <v>0</v>
      </c>
      <c r="H589">
        <v>8763</v>
      </c>
      <c r="I589">
        <v>1</v>
      </c>
      <c r="J589">
        <v>54</v>
      </c>
      <c r="K589">
        <v>288</v>
      </c>
      <c r="L589">
        <v>228</v>
      </c>
      <c r="M589">
        <v>14</v>
      </c>
      <c r="N589">
        <f>IFERROR(VLOOKUP(A589,vlookup_table!$A:$G,2,FALSE),"")</f>
        <v>0</v>
      </c>
      <c r="O589">
        <f>IFERROR(VLOOKUP(A589,vlookup_table!$A:$G,4,FALSE),"")</f>
        <v>2801</v>
      </c>
      <c r="P589" t="str">
        <f>IFERROR(VLOOKUP(A589,vlookup_table!$A:$G,5,FALSE),"")</f>
        <v>C3</v>
      </c>
      <c r="Q589">
        <f>IFERROR(VLOOKUP(A589,vlookup_table!$A:$G,7,FALSE),"")</f>
        <v>50</v>
      </c>
      <c r="R589">
        <f t="shared" si="36"/>
        <v>69</v>
      </c>
      <c r="S589" t="str" cm="1">
        <f t="array" ref="S589">IF(P589="","",_xlfn.SWITCH(LEFT(P589,1),"C","Ciudad","T","Pueblo","R","Rural","S","Suburbano","U","Urbano",""))</f>
        <v>Ciudad</v>
      </c>
      <c r="T589" t="str">
        <f t="shared" si="37"/>
        <v>F</v>
      </c>
      <c r="U589" t="str">
        <f t="shared" si="38"/>
        <v>IL</v>
      </c>
      <c r="V589" t="str">
        <f t="shared" si="39"/>
        <v>8763</v>
      </c>
    </row>
    <row r="590" spans="1:22" x14ac:dyDescent="0.35">
      <c r="A590" s="3">
        <v>85920</v>
      </c>
      <c r="B590" t="s">
        <v>52</v>
      </c>
      <c r="C590" t="s">
        <v>14</v>
      </c>
      <c r="D590">
        <v>278</v>
      </c>
      <c r="E590">
        <v>199</v>
      </c>
      <c r="F590">
        <v>270</v>
      </c>
      <c r="G590">
        <v>0</v>
      </c>
      <c r="H590">
        <v>9994</v>
      </c>
      <c r="I590">
        <v>1</v>
      </c>
      <c r="J590">
        <v>80</v>
      </c>
      <c r="K590">
        <v>244</v>
      </c>
      <c r="L590">
        <v>238</v>
      </c>
      <c r="M590">
        <v>9.7777777780000008</v>
      </c>
      <c r="N590">
        <f>IFERROR(VLOOKUP(A590,vlookup_table!$A:$G,2,FALSE),"")</f>
        <v>1</v>
      </c>
      <c r="O590">
        <f>IFERROR(VLOOKUP(A590,vlookup_table!$A:$G,4,FALSE),"")</f>
        <v>0</v>
      </c>
      <c r="P590">
        <f>IFERROR(VLOOKUP(A590,vlookup_table!$A:$G,5,FALSE),"")</f>
        <v>0</v>
      </c>
      <c r="Q590">
        <f>IFERROR(VLOOKUP(A590,vlookup_table!$A:$G,7,FALSE),"")</f>
        <v>20</v>
      </c>
      <c r="R590">
        <f t="shared" si="36"/>
        <v>97</v>
      </c>
      <c r="S590" t="str" cm="1">
        <f t="array" ref="S590">IF(P590="","",_xlfn.SWITCH(LEFT(P590,1),"C","Ciudad","T","Pueblo","R","Rural","S","Suburbano","U","Urbano",""))</f>
        <v/>
      </c>
      <c r="T590" t="str">
        <f t="shared" si="37"/>
        <v>M</v>
      </c>
      <c r="U590" t="str">
        <f t="shared" si="38"/>
        <v>SD</v>
      </c>
      <c r="V590" t="str">
        <f t="shared" si="39"/>
        <v>9994</v>
      </c>
    </row>
    <row r="591" spans="1:22" x14ac:dyDescent="0.35">
      <c r="A591" s="3">
        <v>29401</v>
      </c>
      <c r="B591" t="s">
        <v>39</v>
      </c>
      <c r="C591" t="s">
        <v>14</v>
      </c>
      <c r="D591">
        <v>471</v>
      </c>
      <c r="E591">
        <v>282</v>
      </c>
      <c r="F591">
        <v>298</v>
      </c>
      <c r="G591">
        <v>0</v>
      </c>
      <c r="H591">
        <v>9015</v>
      </c>
      <c r="I591">
        <v>1</v>
      </c>
      <c r="J591">
        <v>77</v>
      </c>
      <c r="K591">
        <v>307</v>
      </c>
      <c r="L591">
        <v>273</v>
      </c>
      <c r="M591">
        <v>10.33333333</v>
      </c>
      <c r="N591">
        <f>IFERROR(VLOOKUP(A591,vlookup_table!$A:$G,2,FALSE),"")</f>
        <v>1</v>
      </c>
      <c r="O591">
        <f>IFERROR(VLOOKUP(A591,vlookup_table!$A:$G,4,FALSE),"")</f>
        <v>3410</v>
      </c>
      <c r="P591" t="str">
        <f>IFERROR(VLOOKUP(A591,vlookup_table!$A:$G,5,FALSE),"")</f>
        <v>T2</v>
      </c>
      <c r="Q591">
        <f>IFERROR(VLOOKUP(A591,vlookup_table!$A:$G,7,FALSE),"")</f>
        <v>15</v>
      </c>
      <c r="R591">
        <f t="shared" si="36"/>
        <v>63</v>
      </c>
      <c r="S591" t="str" cm="1">
        <f t="array" ref="S591">IF(P591="","",_xlfn.SWITCH(LEFT(P591,1),"C","Ciudad","T","Pueblo","R","Rural","S","Suburbano","U","Urbano",""))</f>
        <v>Pueblo</v>
      </c>
      <c r="T591" t="str">
        <f t="shared" si="37"/>
        <v>M</v>
      </c>
      <c r="U591" t="str">
        <f t="shared" si="38"/>
        <v>GA</v>
      </c>
      <c r="V591" t="str">
        <f t="shared" si="39"/>
        <v>9015</v>
      </c>
    </row>
    <row r="592" spans="1:22" x14ac:dyDescent="0.35">
      <c r="A592" s="3">
        <v>12715</v>
      </c>
      <c r="B592" t="s">
        <v>43</v>
      </c>
      <c r="C592" t="s">
        <v>27</v>
      </c>
      <c r="D592">
        <v>604</v>
      </c>
      <c r="E592">
        <v>314</v>
      </c>
      <c r="F592">
        <v>327</v>
      </c>
      <c r="G592">
        <v>0</v>
      </c>
      <c r="H592">
        <v>16211</v>
      </c>
      <c r="I592">
        <v>0</v>
      </c>
      <c r="J592">
        <v>68</v>
      </c>
      <c r="K592">
        <v>337</v>
      </c>
      <c r="L592">
        <v>304</v>
      </c>
      <c r="M592">
        <v>15</v>
      </c>
      <c r="N592">
        <f>IFERROR(VLOOKUP(A592,vlookup_table!$A:$G,2,FALSE),"")</f>
        <v>1</v>
      </c>
      <c r="O592">
        <f>IFERROR(VLOOKUP(A592,vlookup_table!$A:$G,4,FALSE),"")</f>
        <v>1201</v>
      </c>
      <c r="P592" t="str">
        <f>IFERROR(VLOOKUP(A592,vlookup_table!$A:$G,5,FALSE),"")</f>
        <v>C1</v>
      </c>
      <c r="Q592">
        <f>IFERROR(VLOOKUP(A592,vlookup_table!$A:$G,7,FALSE),"")</f>
        <v>15</v>
      </c>
      <c r="R592">
        <f t="shared" si="36"/>
        <v>85</v>
      </c>
      <c r="S592" t="str" cm="1">
        <f t="array" ref="S592">IF(P592="","",_xlfn.SWITCH(LEFT(P592,1),"C","Ciudad","T","Pueblo","R","Rural","S","Suburbano","U","Urbano",""))</f>
        <v>Ciudad</v>
      </c>
      <c r="T592" t="str">
        <f t="shared" si="37"/>
        <v>M</v>
      </c>
      <c r="U592" t="str">
        <f t="shared" si="38"/>
        <v>AL</v>
      </c>
      <c r="V592" t="str">
        <f t="shared" si="39"/>
        <v>16211</v>
      </c>
    </row>
    <row r="593" spans="1:22" x14ac:dyDescent="0.35">
      <c r="A593" s="3">
        <v>90031</v>
      </c>
      <c r="B593" t="s">
        <v>16</v>
      </c>
      <c r="C593" t="s">
        <v>17</v>
      </c>
      <c r="D593">
        <v>1219</v>
      </c>
      <c r="E593">
        <v>417</v>
      </c>
      <c r="F593">
        <v>540</v>
      </c>
      <c r="G593">
        <v>2</v>
      </c>
      <c r="H593">
        <v>21371</v>
      </c>
      <c r="I593">
        <v>11</v>
      </c>
      <c r="J593">
        <v>71</v>
      </c>
      <c r="K593">
        <v>472</v>
      </c>
      <c r="L593">
        <v>494</v>
      </c>
      <c r="M593">
        <v>3.7222222220000001</v>
      </c>
      <c r="N593">
        <f>IFERROR(VLOOKUP(A593,vlookup_table!$A:$G,2,FALSE),"")</f>
        <v>2</v>
      </c>
      <c r="O593">
        <f>IFERROR(VLOOKUP(A593,vlookup_table!$A:$G,4,FALSE),"")</f>
        <v>1601</v>
      </c>
      <c r="P593" t="str">
        <f>IFERROR(VLOOKUP(A593,vlookup_table!$A:$G,5,FALSE),"")</f>
        <v>C1</v>
      </c>
      <c r="Q593">
        <f>IFERROR(VLOOKUP(A593,vlookup_table!$A:$G,7,FALSE),"")</f>
        <v>3</v>
      </c>
      <c r="R593">
        <f t="shared" si="36"/>
        <v>81</v>
      </c>
      <c r="S593" t="str" cm="1">
        <f t="array" ref="S593">IF(P593="","",_xlfn.SWITCH(LEFT(P593,1),"C","Ciudad","T","Pueblo","R","Rural","S","Suburbano","U","Urbano",""))</f>
        <v>Ciudad</v>
      </c>
      <c r="T593" t="str">
        <f t="shared" si="37"/>
        <v>F</v>
      </c>
      <c r="U593" t="str">
        <f t="shared" si="38"/>
        <v>IL</v>
      </c>
      <c r="V593" t="str">
        <f t="shared" si="39"/>
        <v>21371</v>
      </c>
    </row>
    <row r="594" spans="1:22" x14ac:dyDescent="0.35">
      <c r="A594" s="3">
        <v>55442</v>
      </c>
      <c r="B594" t="s">
        <v>62</v>
      </c>
      <c r="C594" t="s">
        <v>14</v>
      </c>
      <c r="D594">
        <v>382</v>
      </c>
      <c r="E594">
        <v>142</v>
      </c>
      <c r="F594">
        <v>240</v>
      </c>
      <c r="G594">
        <v>0</v>
      </c>
      <c r="H594">
        <v>9374</v>
      </c>
      <c r="I594">
        <v>1</v>
      </c>
      <c r="J594">
        <v>89</v>
      </c>
      <c r="K594">
        <v>181</v>
      </c>
      <c r="L594">
        <v>205</v>
      </c>
      <c r="M594">
        <v>9.1666666669999994</v>
      </c>
      <c r="N594">
        <f>IFERROR(VLOOKUP(A594,vlookup_table!$A:$G,2,FALSE),"")</f>
        <v>0</v>
      </c>
      <c r="O594">
        <f>IFERROR(VLOOKUP(A594,vlookup_table!$A:$G,4,FALSE),"")</f>
        <v>2504</v>
      </c>
      <c r="P594" t="str">
        <f>IFERROR(VLOOKUP(A594,vlookup_table!$A:$G,5,FALSE),"")</f>
        <v>R3</v>
      </c>
      <c r="Q594">
        <f>IFERROR(VLOOKUP(A594,vlookup_table!$A:$G,7,FALSE),"")</f>
        <v>25</v>
      </c>
      <c r="R594">
        <f t="shared" si="36"/>
        <v>72</v>
      </c>
      <c r="S594" t="str" cm="1">
        <f t="array" ref="S594">IF(P594="","",_xlfn.SWITCH(LEFT(P594,1),"C","Ciudad","T","Pueblo","R","Rural","S","Suburbano","U","Urbano",""))</f>
        <v>Rural</v>
      </c>
      <c r="T594" t="str">
        <f t="shared" si="37"/>
        <v>M</v>
      </c>
      <c r="U594" t="str">
        <f t="shared" si="38"/>
        <v>MS</v>
      </c>
      <c r="V594" t="str">
        <f t="shared" si="39"/>
        <v>9374</v>
      </c>
    </row>
    <row r="595" spans="1:22" x14ac:dyDescent="0.35">
      <c r="A595" s="3">
        <v>105984</v>
      </c>
      <c r="B595" t="s">
        <v>28</v>
      </c>
      <c r="C595" t="s">
        <v>17</v>
      </c>
      <c r="D595">
        <v>1699</v>
      </c>
      <c r="E595">
        <v>462</v>
      </c>
      <c r="F595">
        <v>787</v>
      </c>
      <c r="G595">
        <v>35</v>
      </c>
      <c r="H595">
        <v>35636</v>
      </c>
      <c r="I595">
        <v>6</v>
      </c>
      <c r="J595">
        <v>47</v>
      </c>
      <c r="K595">
        <v>657</v>
      </c>
      <c r="L595">
        <v>581</v>
      </c>
      <c r="M595">
        <v>12.16666667</v>
      </c>
      <c r="N595">
        <f>IFERROR(VLOOKUP(A595,vlookup_table!$A:$G,2,FALSE),"")</f>
        <v>0</v>
      </c>
      <c r="O595">
        <f>IFERROR(VLOOKUP(A595,vlookup_table!$A:$G,4,FALSE),"")</f>
        <v>5711</v>
      </c>
      <c r="P595" t="str">
        <f>IFERROR(VLOOKUP(A595,vlookup_table!$A:$G,5,FALSE),"")</f>
        <v>S1</v>
      </c>
      <c r="Q595">
        <f>IFERROR(VLOOKUP(A595,vlookup_table!$A:$G,7,FALSE),"")</f>
        <v>10</v>
      </c>
      <c r="R595">
        <f t="shared" si="36"/>
        <v>40</v>
      </c>
      <c r="S595" t="str" cm="1">
        <f t="array" ref="S595">IF(P595="","",_xlfn.SWITCH(LEFT(P595,1),"C","Ciudad","T","Pueblo","R","Rural","S","Suburbano","U","Urbano",""))</f>
        <v>Suburbano</v>
      </c>
      <c r="T595" t="str">
        <f t="shared" si="37"/>
        <v>F</v>
      </c>
      <c r="U595" t="str">
        <f t="shared" si="38"/>
        <v>KS</v>
      </c>
      <c r="V595" t="str">
        <f t="shared" si="39"/>
        <v>35636</v>
      </c>
    </row>
    <row r="596" spans="1:22" x14ac:dyDescent="0.35">
      <c r="A596" s="3">
        <v>188035</v>
      </c>
      <c r="B596" t="s">
        <v>55</v>
      </c>
      <c r="D596">
        <v>1165</v>
      </c>
      <c r="E596">
        <v>489</v>
      </c>
      <c r="F596">
        <v>539</v>
      </c>
      <c r="G596">
        <v>9</v>
      </c>
      <c r="H596">
        <v>19234</v>
      </c>
      <c r="I596">
        <v>6</v>
      </c>
      <c r="J596">
        <v>18</v>
      </c>
      <c r="K596">
        <v>514</v>
      </c>
      <c r="L596">
        <v>519</v>
      </c>
      <c r="M596">
        <v>11.5</v>
      </c>
      <c r="N596">
        <f>IFERROR(VLOOKUP(A596,vlookup_table!$A:$G,2,FALSE),"")</f>
        <v>1</v>
      </c>
      <c r="O596">
        <f>IFERROR(VLOOKUP(A596,vlookup_table!$A:$G,4,FALSE),"")</f>
        <v>0</v>
      </c>
      <c r="P596" t="str">
        <f>IFERROR(VLOOKUP(A596,vlookup_table!$A:$G,5,FALSE),"")</f>
        <v>S1</v>
      </c>
      <c r="Q596">
        <f>IFERROR(VLOOKUP(A596,vlookup_table!$A:$G,7,FALSE),"")</f>
        <v>23</v>
      </c>
      <c r="R596">
        <f t="shared" si="36"/>
        <v>97</v>
      </c>
      <c r="S596" t="str" cm="1">
        <f t="array" ref="S596">IF(P596="","",_xlfn.SWITCH(LEFT(P596,1),"C","Ciudad","T","Pueblo","R","Rural","S","Suburbano","U","Urbano",""))</f>
        <v>Suburbano</v>
      </c>
      <c r="T596" t="str">
        <f t="shared" si="37"/>
        <v/>
      </c>
      <c r="U596" t="str">
        <f t="shared" si="38"/>
        <v>AZ</v>
      </c>
      <c r="V596" t="str">
        <f t="shared" si="39"/>
        <v>19234</v>
      </c>
    </row>
    <row r="597" spans="1:22" x14ac:dyDescent="0.35">
      <c r="A597" s="3">
        <v>101665</v>
      </c>
      <c r="B597" t="s">
        <v>36</v>
      </c>
      <c r="C597" t="s">
        <v>17</v>
      </c>
      <c r="D597">
        <v>803</v>
      </c>
      <c r="E597">
        <v>413</v>
      </c>
      <c r="F597">
        <v>473</v>
      </c>
      <c r="G597">
        <v>0</v>
      </c>
      <c r="H597">
        <v>15002</v>
      </c>
      <c r="I597">
        <v>1</v>
      </c>
      <c r="J597">
        <v>58</v>
      </c>
      <c r="K597">
        <v>429</v>
      </c>
      <c r="L597">
        <v>447</v>
      </c>
      <c r="M597">
        <v>4.0697674419999998</v>
      </c>
      <c r="N597">
        <f>IFERROR(VLOOKUP(A597,vlookup_table!$A:$G,2,FALSE),"")</f>
        <v>0</v>
      </c>
      <c r="O597">
        <f>IFERROR(VLOOKUP(A597,vlookup_table!$A:$G,4,FALSE),"")</f>
        <v>7308</v>
      </c>
      <c r="P597" t="str">
        <f>IFERROR(VLOOKUP(A597,vlookup_table!$A:$G,5,FALSE),"")</f>
        <v>T2</v>
      </c>
      <c r="Q597">
        <f>IFERROR(VLOOKUP(A597,vlookup_table!$A:$G,7,FALSE),"")</f>
        <v>5</v>
      </c>
      <c r="R597">
        <f t="shared" si="36"/>
        <v>24</v>
      </c>
      <c r="S597" t="str" cm="1">
        <f t="array" ref="S597">IF(P597="","",_xlfn.SWITCH(LEFT(P597,1),"C","Ciudad","T","Pueblo","R","Rural","S","Suburbano","U","Urbano",""))</f>
        <v>Pueblo</v>
      </c>
      <c r="T597" t="str">
        <f t="shared" si="37"/>
        <v>F</v>
      </c>
      <c r="U597" t="str">
        <f t="shared" si="38"/>
        <v>MO</v>
      </c>
      <c r="V597" t="str">
        <f t="shared" si="39"/>
        <v>15002</v>
      </c>
    </row>
    <row r="598" spans="1:22" x14ac:dyDescent="0.35">
      <c r="A598" s="3">
        <v>70774</v>
      </c>
      <c r="B598" t="s">
        <v>29</v>
      </c>
      <c r="C598" t="s">
        <v>17</v>
      </c>
      <c r="D598">
        <v>394</v>
      </c>
      <c r="E598">
        <v>229</v>
      </c>
      <c r="F598">
        <v>308</v>
      </c>
      <c r="G598">
        <v>0</v>
      </c>
      <c r="H598">
        <v>9859</v>
      </c>
      <c r="I598">
        <v>0</v>
      </c>
      <c r="J598">
        <v>92</v>
      </c>
      <c r="K598">
        <v>293</v>
      </c>
      <c r="L598">
        <v>264</v>
      </c>
      <c r="M598">
        <v>3.7</v>
      </c>
      <c r="N598">
        <f>IFERROR(VLOOKUP(A598,vlookup_table!$A:$G,2,FALSE),"")</f>
        <v>2</v>
      </c>
      <c r="O598">
        <f>IFERROR(VLOOKUP(A598,vlookup_table!$A:$G,4,FALSE),"")</f>
        <v>5601</v>
      </c>
      <c r="P598" t="str">
        <f>IFERROR(VLOOKUP(A598,vlookup_table!$A:$G,5,FALSE),"")</f>
        <v>R2</v>
      </c>
      <c r="Q598">
        <f>IFERROR(VLOOKUP(A598,vlookup_table!$A:$G,7,FALSE),"")</f>
        <v>4</v>
      </c>
      <c r="R598">
        <f t="shared" si="36"/>
        <v>41</v>
      </c>
      <c r="S598" t="str" cm="1">
        <f t="array" ref="S598">IF(P598="","",_xlfn.SWITCH(LEFT(P598,1),"C","Ciudad","T","Pueblo","R","Rural","S","Suburbano","U","Urbano",""))</f>
        <v>Rural</v>
      </c>
      <c r="T598" t="str">
        <f t="shared" si="37"/>
        <v>F</v>
      </c>
      <c r="U598" t="str">
        <f t="shared" si="38"/>
        <v>MI</v>
      </c>
      <c r="V598" t="str">
        <f t="shared" si="39"/>
        <v>9859</v>
      </c>
    </row>
    <row r="599" spans="1:22" x14ac:dyDescent="0.35">
      <c r="A599" s="3">
        <v>23263</v>
      </c>
      <c r="B599" t="s">
        <v>46</v>
      </c>
      <c r="C599" t="s">
        <v>17</v>
      </c>
      <c r="D599">
        <v>490</v>
      </c>
      <c r="E599">
        <v>328</v>
      </c>
      <c r="F599">
        <v>373</v>
      </c>
      <c r="G599">
        <v>0</v>
      </c>
      <c r="H599">
        <v>11313</v>
      </c>
      <c r="I599">
        <v>2</v>
      </c>
      <c r="J599">
        <v>76</v>
      </c>
      <c r="K599">
        <v>341</v>
      </c>
      <c r="L599">
        <v>336</v>
      </c>
      <c r="M599">
        <v>19.600000000000001</v>
      </c>
      <c r="N599">
        <f>IFERROR(VLOOKUP(A599,vlookup_table!$A:$G,2,FALSE),"")</f>
        <v>0</v>
      </c>
      <c r="O599">
        <f>IFERROR(VLOOKUP(A599,vlookup_table!$A:$G,4,FALSE),"")</f>
        <v>3304</v>
      </c>
      <c r="P599" t="str">
        <f>IFERROR(VLOOKUP(A599,vlookup_table!$A:$G,5,FALSE),"")</f>
        <v>R2</v>
      </c>
      <c r="Q599">
        <f>IFERROR(VLOOKUP(A599,vlookup_table!$A:$G,7,FALSE),"")</f>
        <v>30</v>
      </c>
      <c r="R599">
        <f t="shared" si="36"/>
        <v>64</v>
      </c>
      <c r="S599" t="str" cm="1">
        <f t="array" ref="S599">IF(P599="","",_xlfn.SWITCH(LEFT(P599,1),"C","Ciudad","T","Pueblo","R","Rural","S","Suburbano","U","Urbano",""))</f>
        <v>Rural</v>
      </c>
      <c r="T599" t="str">
        <f t="shared" si="37"/>
        <v>F</v>
      </c>
      <c r="U599" t="str">
        <f t="shared" si="38"/>
        <v>SC</v>
      </c>
      <c r="V599" t="str">
        <f t="shared" si="39"/>
        <v>11313</v>
      </c>
    </row>
    <row r="600" spans="1:22" x14ac:dyDescent="0.35">
      <c r="A600" s="3">
        <v>166475</v>
      </c>
      <c r="B600" t="s">
        <v>61</v>
      </c>
      <c r="C600" t="s">
        <v>30</v>
      </c>
      <c r="D600">
        <v>949</v>
      </c>
      <c r="E600">
        <v>264</v>
      </c>
      <c r="F600">
        <v>411</v>
      </c>
      <c r="G600">
        <v>1</v>
      </c>
      <c r="H600">
        <v>12784</v>
      </c>
      <c r="I600">
        <v>10</v>
      </c>
      <c r="J600">
        <v>52</v>
      </c>
      <c r="K600">
        <v>371</v>
      </c>
      <c r="L600">
        <v>321</v>
      </c>
      <c r="M600">
        <v>12.5</v>
      </c>
      <c r="N600">
        <f>IFERROR(VLOOKUP(A600,vlookup_table!$A:$G,2,FALSE),"")</f>
        <v>0</v>
      </c>
      <c r="O600">
        <f>IFERROR(VLOOKUP(A600,vlookup_table!$A:$G,4,FALSE),"")</f>
        <v>4201</v>
      </c>
      <c r="P600" t="str">
        <f>IFERROR(VLOOKUP(A600,vlookup_table!$A:$G,5,FALSE),"")</f>
        <v>C1</v>
      </c>
      <c r="Q600">
        <f>IFERROR(VLOOKUP(A600,vlookup_table!$A:$G,7,FALSE),"")</f>
        <v>10</v>
      </c>
      <c r="R600">
        <f t="shared" si="36"/>
        <v>55</v>
      </c>
      <c r="S600" t="str" cm="1">
        <f t="array" ref="S600">IF(P600="","",_xlfn.SWITCH(LEFT(P600,1),"C","Ciudad","T","Pueblo","R","Rural","S","Suburbano","U","Urbano",""))</f>
        <v>Ciudad</v>
      </c>
      <c r="T600" t="str">
        <f t="shared" si="37"/>
        <v>U</v>
      </c>
      <c r="U600" t="str">
        <f t="shared" si="38"/>
        <v>CA</v>
      </c>
      <c r="V600" t="str">
        <f t="shared" si="39"/>
        <v>12784</v>
      </c>
    </row>
    <row r="601" spans="1:22" x14ac:dyDescent="0.35">
      <c r="A601" s="3">
        <v>83042</v>
      </c>
      <c r="B601" t="s">
        <v>56</v>
      </c>
      <c r="C601" t="s">
        <v>14</v>
      </c>
      <c r="D601">
        <v>849</v>
      </c>
      <c r="E601">
        <v>344</v>
      </c>
      <c r="F601">
        <v>428</v>
      </c>
      <c r="G601">
        <v>0</v>
      </c>
      <c r="H601">
        <v>12940</v>
      </c>
      <c r="I601">
        <v>1</v>
      </c>
      <c r="J601">
        <v>77</v>
      </c>
      <c r="K601">
        <v>368</v>
      </c>
      <c r="L601">
        <v>398</v>
      </c>
      <c r="M601">
        <v>17.85714286</v>
      </c>
      <c r="N601">
        <f>IFERROR(VLOOKUP(A601,vlookup_table!$A:$G,2,FALSE),"")</f>
        <v>1</v>
      </c>
      <c r="O601">
        <f>IFERROR(VLOOKUP(A601,vlookup_table!$A:$G,4,FALSE),"")</f>
        <v>4005</v>
      </c>
      <c r="P601" t="str">
        <f>IFERROR(VLOOKUP(A601,vlookup_table!$A:$G,5,FALSE),"")</f>
        <v>T2</v>
      </c>
      <c r="Q601">
        <f>IFERROR(VLOOKUP(A601,vlookup_table!$A:$G,7,FALSE),"")</f>
        <v>10</v>
      </c>
      <c r="R601">
        <f t="shared" si="36"/>
        <v>57</v>
      </c>
      <c r="S601" t="str" cm="1">
        <f t="array" ref="S601">IF(P601="","",_xlfn.SWITCH(LEFT(P601,1),"C","Ciudad","T","Pueblo","R","Rural","S","Suburbano","U","Urbano",""))</f>
        <v>Pueblo</v>
      </c>
      <c r="T601" t="str">
        <f t="shared" si="37"/>
        <v>M</v>
      </c>
      <c r="U601" t="str">
        <f t="shared" si="38"/>
        <v>MN</v>
      </c>
      <c r="V601" t="str">
        <f t="shared" si="39"/>
        <v>12940</v>
      </c>
    </row>
    <row r="602" spans="1:22" x14ac:dyDescent="0.35">
      <c r="A602" s="3">
        <v>149970</v>
      </c>
      <c r="B602" t="s">
        <v>61</v>
      </c>
      <c r="C602" t="s">
        <v>17</v>
      </c>
      <c r="D602">
        <v>1372</v>
      </c>
      <c r="E602">
        <v>385</v>
      </c>
      <c r="F602">
        <v>449</v>
      </c>
      <c r="G602">
        <v>8</v>
      </c>
      <c r="H602">
        <v>13902</v>
      </c>
      <c r="I602">
        <v>15</v>
      </c>
      <c r="J602">
        <v>58</v>
      </c>
      <c r="K602">
        <v>419</v>
      </c>
      <c r="L602">
        <v>421</v>
      </c>
      <c r="M602">
        <v>15</v>
      </c>
      <c r="N602">
        <f>IFERROR(VLOOKUP(A602,vlookup_table!$A:$G,2,FALSE),"")</f>
        <v>0</v>
      </c>
      <c r="O602">
        <f>IFERROR(VLOOKUP(A602,vlookup_table!$A:$G,4,FALSE),"")</f>
        <v>0</v>
      </c>
      <c r="P602" t="str">
        <f>IFERROR(VLOOKUP(A602,vlookup_table!$A:$G,5,FALSE),"")</f>
        <v>S2</v>
      </c>
      <c r="Q602">
        <f>IFERROR(VLOOKUP(A602,vlookup_table!$A:$G,7,FALSE),"")</f>
        <v>15</v>
      </c>
      <c r="R602">
        <f t="shared" si="36"/>
        <v>97</v>
      </c>
      <c r="S602" t="str" cm="1">
        <f t="array" ref="S602">IF(P602="","",_xlfn.SWITCH(LEFT(P602,1),"C","Ciudad","T","Pueblo","R","Rural","S","Suburbano","U","Urbano",""))</f>
        <v>Suburbano</v>
      </c>
      <c r="T602" t="str">
        <f t="shared" si="37"/>
        <v>F</v>
      </c>
      <c r="U602" t="str">
        <f t="shared" si="38"/>
        <v>CA</v>
      </c>
      <c r="V602" t="str">
        <f t="shared" si="39"/>
        <v>13902</v>
      </c>
    </row>
    <row r="603" spans="1:22" x14ac:dyDescent="0.35">
      <c r="A603" s="3">
        <v>13863</v>
      </c>
      <c r="B603" t="s">
        <v>21</v>
      </c>
      <c r="C603" t="s">
        <v>17</v>
      </c>
      <c r="D603">
        <v>358</v>
      </c>
      <c r="E603">
        <v>307</v>
      </c>
      <c r="F603">
        <v>379</v>
      </c>
      <c r="G603">
        <v>0</v>
      </c>
      <c r="H603">
        <v>12507</v>
      </c>
      <c r="I603">
        <v>2</v>
      </c>
      <c r="J603">
        <v>78</v>
      </c>
      <c r="K603">
        <v>325</v>
      </c>
      <c r="L603">
        <v>342</v>
      </c>
      <c r="M603">
        <v>6.9333333330000002</v>
      </c>
      <c r="N603">
        <f>IFERROR(VLOOKUP(A603,vlookup_table!$A:$G,2,FALSE),"")</f>
        <v>0</v>
      </c>
      <c r="O603">
        <f>IFERROR(VLOOKUP(A603,vlookup_table!$A:$G,4,FALSE),"")</f>
        <v>3001</v>
      </c>
      <c r="P603" t="str">
        <f>IFERROR(VLOOKUP(A603,vlookup_table!$A:$G,5,FALSE),"")</f>
        <v>R2</v>
      </c>
      <c r="Q603">
        <f>IFERROR(VLOOKUP(A603,vlookup_table!$A:$G,7,FALSE),"")</f>
        <v>6</v>
      </c>
      <c r="R603">
        <f t="shared" si="36"/>
        <v>67</v>
      </c>
      <c r="S603" t="str" cm="1">
        <f t="array" ref="S603">IF(P603="","",_xlfn.SWITCH(LEFT(P603,1),"C","Ciudad","T","Pueblo","R","Rural","S","Suburbano","U","Urbano",""))</f>
        <v>Rural</v>
      </c>
      <c r="T603" t="str">
        <f t="shared" si="37"/>
        <v>F</v>
      </c>
      <c r="U603" t="str">
        <f t="shared" si="38"/>
        <v>TX</v>
      </c>
      <c r="V603" t="str">
        <f t="shared" si="39"/>
        <v>12507</v>
      </c>
    </row>
    <row r="604" spans="1:22" x14ac:dyDescent="0.35">
      <c r="A604" s="3">
        <v>64074</v>
      </c>
      <c r="B604" t="s">
        <v>33</v>
      </c>
      <c r="C604" t="s">
        <v>17</v>
      </c>
      <c r="D604">
        <v>325</v>
      </c>
      <c r="E604">
        <v>144</v>
      </c>
      <c r="F604">
        <v>190</v>
      </c>
      <c r="G604">
        <v>0</v>
      </c>
      <c r="H604">
        <v>4578</v>
      </c>
      <c r="I604">
        <v>0</v>
      </c>
      <c r="J604">
        <v>68</v>
      </c>
      <c r="K604">
        <v>231</v>
      </c>
      <c r="L604">
        <v>178</v>
      </c>
      <c r="M604">
        <v>15</v>
      </c>
      <c r="N604">
        <f>IFERROR(VLOOKUP(A604,vlookup_table!$A:$G,2,FALSE),"")</f>
        <v>0</v>
      </c>
      <c r="O604">
        <f>IFERROR(VLOOKUP(A604,vlookup_table!$A:$G,4,FALSE),"")</f>
        <v>0</v>
      </c>
      <c r="P604" t="str">
        <f>IFERROR(VLOOKUP(A604,vlookup_table!$A:$G,5,FALSE),"")</f>
        <v>C3</v>
      </c>
      <c r="Q604">
        <f>IFERROR(VLOOKUP(A604,vlookup_table!$A:$G,7,FALSE),"")</f>
        <v>10</v>
      </c>
      <c r="R604">
        <f t="shared" si="36"/>
        <v>97</v>
      </c>
      <c r="S604" t="str" cm="1">
        <f t="array" ref="S604">IF(P604="","",_xlfn.SWITCH(LEFT(P604,1),"C","Ciudad","T","Pueblo","R","Rural","S","Suburbano","U","Urbano",""))</f>
        <v>Ciudad</v>
      </c>
      <c r="T604" t="str">
        <f t="shared" si="37"/>
        <v>F</v>
      </c>
      <c r="U604" t="str">
        <f t="shared" si="38"/>
        <v>IN</v>
      </c>
      <c r="V604" t="str">
        <f t="shared" si="39"/>
        <v>4578</v>
      </c>
    </row>
    <row r="605" spans="1:22" x14ac:dyDescent="0.35">
      <c r="A605" s="3">
        <v>42096</v>
      </c>
      <c r="B605" t="s">
        <v>13</v>
      </c>
      <c r="C605" t="s">
        <v>17</v>
      </c>
      <c r="D605">
        <v>355</v>
      </c>
      <c r="E605">
        <v>208</v>
      </c>
      <c r="F605">
        <v>244</v>
      </c>
      <c r="G605">
        <v>0</v>
      </c>
      <c r="H605">
        <v>9881</v>
      </c>
      <c r="I605">
        <v>5</v>
      </c>
      <c r="J605">
        <v>34</v>
      </c>
      <c r="K605">
        <v>224</v>
      </c>
      <c r="L605">
        <v>229</v>
      </c>
      <c r="M605">
        <v>20</v>
      </c>
      <c r="N605">
        <f>IFERROR(VLOOKUP(A605,vlookup_table!$A:$G,2,FALSE),"")</f>
        <v>0</v>
      </c>
      <c r="O605">
        <f>IFERROR(VLOOKUP(A605,vlookup_table!$A:$G,4,FALSE),"")</f>
        <v>0</v>
      </c>
      <c r="P605" t="str">
        <f>IFERROR(VLOOKUP(A605,vlookup_table!$A:$G,5,FALSE),"")</f>
        <v>C3</v>
      </c>
      <c r="Q605">
        <f>IFERROR(VLOOKUP(A605,vlookup_table!$A:$G,7,FALSE),"")</f>
        <v>20</v>
      </c>
      <c r="R605">
        <f t="shared" si="36"/>
        <v>97</v>
      </c>
      <c r="S605" t="str" cm="1">
        <f t="array" ref="S605">IF(P605="","",_xlfn.SWITCH(LEFT(P605,1),"C","Ciudad","T","Pueblo","R","Rural","S","Suburbano","U","Urbano",""))</f>
        <v>Ciudad</v>
      </c>
      <c r="T605" t="str">
        <f t="shared" si="37"/>
        <v>F</v>
      </c>
      <c r="U605" t="str">
        <f t="shared" si="38"/>
        <v>FL</v>
      </c>
      <c r="V605" t="str">
        <f t="shared" si="39"/>
        <v>9881</v>
      </c>
    </row>
    <row r="606" spans="1:22" x14ac:dyDescent="0.35">
      <c r="A606" s="3">
        <v>169188</v>
      </c>
      <c r="B606" t="s">
        <v>61</v>
      </c>
      <c r="C606" t="s">
        <v>17</v>
      </c>
      <c r="D606">
        <v>713</v>
      </c>
      <c r="E606">
        <v>176</v>
      </c>
      <c r="F606">
        <v>321</v>
      </c>
      <c r="G606">
        <v>3</v>
      </c>
      <c r="H606">
        <v>11467</v>
      </c>
      <c r="I606">
        <v>1</v>
      </c>
      <c r="J606">
        <v>68</v>
      </c>
      <c r="K606">
        <v>259</v>
      </c>
      <c r="L606">
        <v>267</v>
      </c>
      <c r="M606">
        <v>7</v>
      </c>
      <c r="N606">
        <f>IFERROR(VLOOKUP(A606,vlookup_table!$A:$G,2,FALSE),"")</f>
        <v>2</v>
      </c>
      <c r="O606">
        <f>IFERROR(VLOOKUP(A606,vlookup_table!$A:$G,4,FALSE),"")</f>
        <v>0</v>
      </c>
      <c r="P606" t="str">
        <f>IFERROR(VLOOKUP(A606,vlookup_table!$A:$G,5,FALSE),"")</f>
        <v>R2</v>
      </c>
      <c r="Q606">
        <f>IFERROR(VLOOKUP(A606,vlookup_table!$A:$G,7,FALSE),"")</f>
        <v>10</v>
      </c>
      <c r="R606">
        <f t="shared" si="36"/>
        <v>97</v>
      </c>
      <c r="S606" t="str" cm="1">
        <f t="array" ref="S606">IF(P606="","",_xlfn.SWITCH(LEFT(P606,1),"C","Ciudad","T","Pueblo","R","Rural","S","Suburbano","U","Urbano",""))</f>
        <v>Rural</v>
      </c>
      <c r="T606" t="str">
        <f t="shared" si="37"/>
        <v>F</v>
      </c>
      <c r="U606" t="str">
        <f t="shared" si="38"/>
        <v>CA</v>
      </c>
      <c r="V606" t="str">
        <f t="shared" si="39"/>
        <v>11467</v>
      </c>
    </row>
    <row r="607" spans="1:22" x14ac:dyDescent="0.35">
      <c r="A607" s="3">
        <v>18609</v>
      </c>
      <c r="B607" t="s">
        <v>18</v>
      </c>
      <c r="C607" t="s">
        <v>20</v>
      </c>
      <c r="D607">
        <v>1208</v>
      </c>
      <c r="E607">
        <v>439</v>
      </c>
      <c r="F607">
        <v>587</v>
      </c>
      <c r="G607">
        <v>20</v>
      </c>
      <c r="H607">
        <v>19955</v>
      </c>
      <c r="I607">
        <v>2</v>
      </c>
      <c r="J607">
        <v>60</v>
      </c>
      <c r="K607">
        <v>494</v>
      </c>
      <c r="L607">
        <v>516</v>
      </c>
      <c r="M607">
        <v>14</v>
      </c>
      <c r="N607">
        <f>IFERROR(VLOOKUP(A607,vlookup_table!$A:$G,2,FALSE),"")</f>
        <v>0</v>
      </c>
      <c r="O607">
        <f>IFERROR(VLOOKUP(A607,vlookup_table!$A:$G,4,FALSE),"")</f>
        <v>4901</v>
      </c>
      <c r="P607" t="str">
        <f>IFERROR(VLOOKUP(A607,vlookup_table!$A:$G,5,FALSE),"")</f>
        <v>T1</v>
      </c>
      <c r="Q607">
        <f>IFERROR(VLOOKUP(A607,vlookup_table!$A:$G,7,FALSE),"")</f>
        <v>10</v>
      </c>
      <c r="R607">
        <f t="shared" si="36"/>
        <v>48</v>
      </c>
      <c r="S607" t="str" cm="1">
        <f t="array" ref="S607">IF(P607="","",_xlfn.SWITCH(LEFT(P607,1),"C","Ciudad","T","Pueblo","R","Rural","S","Suburbano","U","Urbano",""))</f>
        <v>Pueblo</v>
      </c>
      <c r="T607" t="str">
        <f t="shared" si="37"/>
        <v>F</v>
      </c>
      <c r="U607" t="str">
        <f t="shared" si="38"/>
        <v>NC</v>
      </c>
      <c r="V607" t="str">
        <f t="shared" si="39"/>
        <v>19955</v>
      </c>
    </row>
    <row r="608" spans="1:22" x14ac:dyDescent="0.35">
      <c r="A608" s="3">
        <v>109536</v>
      </c>
      <c r="B608" t="s">
        <v>49</v>
      </c>
      <c r="C608" t="s">
        <v>14</v>
      </c>
      <c r="D608">
        <v>550</v>
      </c>
      <c r="E608">
        <v>294</v>
      </c>
      <c r="F608">
        <v>319</v>
      </c>
      <c r="G608">
        <v>1</v>
      </c>
      <c r="H608">
        <v>9540</v>
      </c>
      <c r="I608">
        <v>0</v>
      </c>
      <c r="J608">
        <v>71</v>
      </c>
      <c r="K608">
        <v>313</v>
      </c>
      <c r="L608">
        <v>303</v>
      </c>
      <c r="M608">
        <v>7.2916666670000003</v>
      </c>
      <c r="N608">
        <f>IFERROR(VLOOKUP(A608,vlookup_table!$A:$G,2,FALSE),"")</f>
        <v>1</v>
      </c>
      <c r="O608">
        <f>IFERROR(VLOOKUP(A608,vlookup_table!$A:$G,4,FALSE),"")</f>
        <v>3401</v>
      </c>
      <c r="P608" t="str">
        <f>IFERROR(VLOOKUP(A608,vlookup_table!$A:$G,5,FALSE),"")</f>
        <v>T2</v>
      </c>
      <c r="Q608">
        <f>IFERROR(VLOOKUP(A608,vlookup_table!$A:$G,7,FALSE),"")</f>
        <v>7</v>
      </c>
      <c r="R608">
        <f t="shared" si="36"/>
        <v>63</v>
      </c>
      <c r="S608" t="str" cm="1">
        <f t="array" ref="S608">IF(P608="","",_xlfn.SWITCH(LEFT(P608,1),"C","Ciudad","T","Pueblo","R","Rural","S","Suburbano","U","Urbano",""))</f>
        <v>Pueblo</v>
      </c>
      <c r="T608" t="str">
        <f t="shared" si="37"/>
        <v>M</v>
      </c>
      <c r="U608" t="str">
        <f t="shared" si="38"/>
        <v>LA</v>
      </c>
      <c r="V608" t="str">
        <f t="shared" si="39"/>
        <v>9540</v>
      </c>
    </row>
    <row r="609" spans="1:22" x14ac:dyDescent="0.35">
      <c r="A609" s="3">
        <v>9348</v>
      </c>
      <c r="B609" t="s">
        <v>31</v>
      </c>
      <c r="C609" t="s">
        <v>14</v>
      </c>
      <c r="D609">
        <v>450</v>
      </c>
      <c r="E609">
        <v>378</v>
      </c>
      <c r="F609">
        <v>432</v>
      </c>
      <c r="G609">
        <v>0</v>
      </c>
      <c r="H609">
        <v>15711</v>
      </c>
      <c r="I609">
        <v>0</v>
      </c>
      <c r="J609">
        <v>57</v>
      </c>
      <c r="K609">
        <v>391</v>
      </c>
      <c r="L609">
        <v>391</v>
      </c>
      <c r="M609">
        <v>11.68181818</v>
      </c>
      <c r="N609">
        <f>IFERROR(VLOOKUP(A609,vlookup_table!$A:$G,2,FALSE),"")</f>
        <v>0</v>
      </c>
      <c r="O609">
        <f>IFERROR(VLOOKUP(A609,vlookup_table!$A:$G,4,FALSE),"")</f>
        <v>1401</v>
      </c>
      <c r="P609" t="str">
        <f>IFERROR(VLOOKUP(A609,vlookup_table!$A:$G,5,FALSE),"")</f>
        <v>T1</v>
      </c>
      <c r="Q609">
        <f>IFERROR(VLOOKUP(A609,vlookup_table!$A:$G,7,FALSE),"")</f>
        <v>10</v>
      </c>
      <c r="R609">
        <f t="shared" si="36"/>
        <v>83</v>
      </c>
      <c r="S609" t="str" cm="1">
        <f t="array" ref="S609">IF(P609="","",_xlfn.SWITCH(LEFT(P609,1),"C","Ciudad","T","Pueblo","R","Rural","S","Suburbano","U","Urbano",""))</f>
        <v>Pueblo</v>
      </c>
      <c r="T609" t="str">
        <f t="shared" si="37"/>
        <v>M</v>
      </c>
      <c r="U609" t="str">
        <f t="shared" si="38"/>
        <v>OK</v>
      </c>
      <c r="V609" t="str">
        <f t="shared" si="39"/>
        <v>15711</v>
      </c>
    </row>
    <row r="610" spans="1:22" x14ac:dyDescent="0.35">
      <c r="A610" s="3">
        <v>136790</v>
      </c>
      <c r="B610" t="s">
        <v>55</v>
      </c>
      <c r="C610" t="s">
        <v>14</v>
      </c>
      <c r="D610">
        <v>1460</v>
      </c>
      <c r="E610">
        <v>629</v>
      </c>
      <c r="F610">
        <v>663</v>
      </c>
      <c r="G610">
        <v>10</v>
      </c>
      <c r="H610">
        <v>21821</v>
      </c>
      <c r="I610">
        <v>6</v>
      </c>
      <c r="J610">
        <v>29</v>
      </c>
      <c r="K610">
        <v>633</v>
      </c>
      <c r="L610">
        <v>659</v>
      </c>
      <c r="M610">
        <v>4</v>
      </c>
      <c r="N610">
        <f>IFERROR(VLOOKUP(A610,vlookup_table!$A:$G,2,FALSE),"")</f>
        <v>0</v>
      </c>
      <c r="O610">
        <f>IFERROR(VLOOKUP(A610,vlookup_table!$A:$G,4,FALSE),"")</f>
        <v>2001</v>
      </c>
      <c r="P610" t="str">
        <f>IFERROR(VLOOKUP(A610,vlookup_table!$A:$G,5,FALSE),"")</f>
        <v>S1</v>
      </c>
      <c r="Q610">
        <f>IFERROR(VLOOKUP(A610,vlookup_table!$A:$G,7,FALSE),"")</f>
        <v>5</v>
      </c>
      <c r="R610">
        <f t="shared" si="36"/>
        <v>77</v>
      </c>
      <c r="S610" t="str" cm="1">
        <f t="array" ref="S610">IF(P610="","",_xlfn.SWITCH(LEFT(P610,1),"C","Ciudad","T","Pueblo","R","Rural","S","Suburbano","U","Urbano",""))</f>
        <v>Suburbano</v>
      </c>
      <c r="T610" t="str">
        <f t="shared" si="37"/>
        <v>M</v>
      </c>
      <c r="U610" t="str">
        <f t="shared" si="38"/>
        <v>AZ</v>
      </c>
      <c r="V610" t="str">
        <f t="shared" si="39"/>
        <v>21821</v>
      </c>
    </row>
    <row r="611" spans="1:22" x14ac:dyDescent="0.35">
      <c r="A611" s="3">
        <v>71332</v>
      </c>
      <c r="B611" t="s">
        <v>29</v>
      </c>
      <c r="C611" t="s">
        <v>14</v>
      </c>
      <c r="D611">
        <v>478</v>
      </c>
      <c r="E611">
        <v>316</v>
      </c>
      <c r="F611">
        <v>374</v>
      </c>
      <c r="G611">
        <v>0</v>
      </c>
      <c r="H611">
        <v>11298</v>
      </c>
      <c r="I611">
        <v>0</v>
      </c>
      <c r="J611">
        <v>92</v>
      </c>
      <c r="K611">
        <v>337</v>
      </c>
      <c r="L611">
        <v>352</v>
      </c>
      <c r="M611">
        <v>7.3125</v>
      </c>
      <c r="N611">
        <f>IFERROR(VLOOKUP(A611,vlookup_table!$A:$G,2,FALSE),"")</f>
        <v>2</v>
      </c>
      <c r="O611">
        <f>IFERROR(VLOOKUP(A611,vlookup_table!$A:$G,4,FALSE),"")</f>
        <v>3601</v>
      </c>
      <c r="P611" t="str">
        <f>IFERROR(VLOOKUP(A611,vlookup_table!$A:$G,5,FALSE),"")</f>
        <v>R2</v>
      </c>
      <c r="Q611">
        <f>IFERROR(VLOOKUP(A611,vlookup_table!$A:$G,7,FALSE),"")</f>
        <v>7</v>
      </c>
      <c r="R611">
        <f t="shared" si="36"/>
        <v>61</v>
      </c>
      <c r="S611" t="str" cm="1">
        <f t="array" ref="S611">IF(P611="","",_xlfn.SWITCH(LEFT(P611,1),"C","Ciudad","T","Pueblo","R","Rural","S","Suburbano","U","Urbano",""))</f>
        <v>Rural</v>
      </c>
      <c r="T611" t="str">
        <f t="shared" si="37"/>
        <v>M</v>
      </c>
      <c r="U611" t="str">
        <f t="shared" si="38"/>
        <v>MI</v>
      </c>
      <c r="V611" t="str">
        <f t="shared" si="39"/>
        <v>11298</v>
      </c>
    </row>
    <row r="612" spans="1:22" x14ac:dyDescent="0.35">
      <c r="A612" s="3">
        <v>135430</v>
      </c>
      <c r="B612" t="s">
        <v>55</v>
      </c>
      <c r="C612" t="s">
        <v>60</v>
      </c>
      <c r="D612">
        <v>1165</v>
      </c>
      <c r="E612">
        <v>489</v>
      </c>
      <c r="F612">
        <v>539</v>
      </c>
      <c r="G612">
        <v>9</v>
      </c>
      <c r="H612">
        <v>19234</v>
      </c>
      <c r="I612">
        <v>6</v>
      </c>
      <c r="J612">
        <v>18</v>
      </c>
      <c r="K612">
        <v>514</v>
      </c>
      <c r="L612">
        <v>519</v>
      </c>
      <c r="M612">
        <v>12.14285714</v>
      </c>
      <c r="N612">
        <f>IFERROR(VLOOKUP(A612,vlookup_table!$A:$G,2,FALSE),"")</f>
        <v>2</v>
      </c>
      <c r="O612">
        <f>IFERROR(VLOOKUP(A612,vlookup_table!$A:$G,4,FALSE),"")</f>
        <v>3408</v>
      </c>
      <c r="P612" t="str">
        <f>IFERROR(VLOOKUP(A612,vlookup_table!$A:$G,5,FALSE),"")</f>
        <v>S1</v>
      </c>
      <c r="Q612">
        <f>IFERROR(VLOOKUP(A612,vlookup_table!$A:$G,7,FALSE),"")</f>
        <v>25</v>
      </c>
      <c r="R612">
        <f t="shared" si="36"/>
        <v>63</v>
      </c>
      <c r="S612" t="str" cm="1">
        <f t="array" ref="S612">IF(P612="","",_xlfn.SWITCH(LEFT(P612,1),"C","Ciudad","T","Pueblo","R","Rural","S","Suburbano","U","Urbano",""))</f>
        <v>Suburbano</v>
      </c>
      <c r="T612" t="str">
        <f t="shared" si="37"/>
        <v>F</v>
      </c>
      <c r="U612" t="str">
        <f t="shared" si="38"/>
        <v>AZ</v>
      </c>
      <c r="V612" t="str">
        <f t="shared" si="39"/>
        <v>19234</v>
      </c>
    </row>
    <row r="613" spans="1:22" x14ac:dyDescent="0.35">
      <c r="A613" s="3">
        <v>124484</v>
      </c>
      <c r="B613" t="s">
        <v>21</v>
      </c>
      <c r="C613" t="s">
        <v>17</v>
      </c>
      <c r="D613">
        <v>846</v>
      </c>
      <c r="E613">
        <v>330</v>
      </c>
      <c r="F613">
        <v>513</v>
      </c>
      <c r="G613">
        <v>5</v>
      </c>
      <c r="H613">
        <v>16752</v>
      </c>
      <c r="I613">
        <v>5</v>
      </c>
      <c r="J613">
        <v>64</v>
      </c>
      <c r="K613">
        <v>459</v>
      </c>
      <c r="L613">
        <v>399</v>
      </c>
      <c r="M613">
        <v>8.25</v>
      </c>
      <c r="N613">
        <f>IFERROR(VLOOKUP(A613,vlookup_table!$A:$G,2,FALSE),"")</f>
        <v>0</v>
      </c>
      <c r="O613">
        <f>IFERROR(VLOOKUP(A613,vlookup_table!$A:$G,4,FALSE),"")</f>
        <v>0</v>
      </c>
      <c r="P613" t="str">
        <f>IFERROR(VLOOKUP(A613,vlookup_table!$A:$G,5,FALSE),"")</f>
        <v>T1</v>
      </c>
      <c r="Q613">
        <f>IFERROR(VLOOKUP(A613,vlookup_table!$A:$G,7,FALSE),"")</f>
        <v>8</v>
      </c>
      <c r="R613">
        <f t="shared" si="36"/>
        <v>97</v>
      </c>
      <c r="S613" t="str" cm="1">
        <f t="array" ref="S613">IF(P613="","",_xlfn.SWITCH(LEFT(P613,1),"C","Ciudad","T","Pueblo","R","Rural","S","Suburbano","U","Urbano",""))</f>
        <v>Pueblo</v>
      </c>
      <c r="T613" t="str">
        <f t="shared" si="37"/>
        <v>F</v>
      </c>
      <c r="U613" t="str">
        <f t="shared" si="38"/>
        <v>TX</v>
      </c>
      <c r="V613" t="str">
        <f t="shared" si="39"/>
        <v>16752</v>
      </c>
    </row>
    <row r="614" spans="1:22" x14ac:dyDescent="0.35">
      <c r="A614" s="3">
        <v>184098</v>
      </c>
      <c r="B614" t="s">
        <v>40</v>
      </c>
      <c r="C614" t="s">
        <v>17</v>
      </c>
      <c r="D614">
        <v>694</v>
      </c>
      <c r="E614">
        <v>319</v>
      </c>
      <c r="F614">
        <v>362</v>
      </c>
      <c r="G614">
        <v>0</v>
      </c>
      <c r="H614">
        <v>11517</v>
      </c>
      <c r="I614">
        <v>9</v>
      </c>
      <c r="J614">
        <v>54</v>
      </c>
      <c r="K614">
        <v>321</v>
      </c>
      <c r="L614">
        <v>342</v>
      </c>
      <c r="M614">
        <v>7.6666666670000003</v>
      </c>
      <c r="N614">
        <f>IFERROR(VLOOKUP(A614,vlookup_table!$A:$G,2,FALSE),"")</f>
        <v>0</v>
      </c>
      <c r="O614">
        <f>IFERROR(VLOOKUP(A614,vlookup_table!$A:$G,4,FALSE),"")</f>
        <v>0</v>
      </c>
      <c r="P614" t="str">
        <f>IFERROR(VLOOKUP(A614,vlookup_table!$A:$G,5,FALSE),"")</f>
        <v>C3</v>
      </c>
      <c r="Q614">
        <f>IFERROR(VLOOKUP(A614,vlookup_table!$A:$G,7,FALSE),"")</f>
        <v>9</v>
      </c>
      <c r="R614">
        <f t="shared" si="36"/>
        <v>97</v>
      </c>
      <c r="S614" t="str" cm="1">
        <f t="array" ref="S614">IF(P614="","",_xlfn.SWITCH(LEFT(P614,1),"C","Ciudad","T","Pueblo","R","Rural","S","Suburbano","U","Urbano",""))</f>
        <v>Ciudad</v>
      </c>
      <c r="T614" t="str">
        <f t="shared" si="37"/>
        <v>F</v>
      </c>
      <c r="U614" t="str">
        <f t="shared" si="38"/>
        <v>WA</v>
      </c>
      <c r="V614" t="str">
        <f t="shared" si="39"/>
        <v>11517</v>
      </c>
    </row>
    <row r="615" spans="1:22" x14ac:dyDescent="0.35">
      <c r="A615" s="3">
        <v>144850</v>
      </c>
      <c r="B615" t="s">
        <v>61</v>
      </c>
      <c r="C615" t="s">
        <v>17</v>
      </c>
      <c r="D615">
        <v>4183</v>
      </c>
      <c r="E615">
        <v>631</v>
      </c>
      <c r="F615">
        <v>738</v>
      </c>
      <c r="G615">
        <v>97</v>
      </c>
      <c r="H615">
        <v>29875</v>
      </c>
      <c r="I615">
        <v>39</v>
      </c>
      <c r="J615">
        <v>21</v>
      </c>
      <c r="K615">
        <v>704</v>
      </c>
      <c r="L615">
        <v>671</v>
      </c>
      <c r="M615">
        <v>5.4285714289999998</v>
      </c>
      <c r="N615">
        <f>IFERROR(VLOOKUP(A615,vlookup_table!$A:$G,2,FALSE),"")</f>
        <v>0</v>
      </c>
      <c r="O615">
        <f>IFERROR(VLOOKUP(A615,vlookup_table!$A:$G,4,FALSE),"")</f>
        <v>4301</v>
      </c>
      <c r="P615">
        <f>IFERROR(VLOOKUP(A615,vlookup_table!$A:$G,5,FALSE),"")</f>
        <v>0</v>
      </c>
      <c r="Q615">
        <f>IFERROR(VLOOKUP(A615,vlookup_table!$A:$G,7,FALSE),"")</f>
        <v>5</v>
      </c>
      <c r="R615">
        <f t="shared" si="36"/>
        <v>54</v>
      </c>
      <c r="S615" t="str" cm="1">
        <f t="array" ref="S615">IF(P615="","",_xlfn.SWITCH(LEFT(P615,1),"C","Ciudad","T","Pueblo","R","Rural","S","Suburbano","U","Urbano",""))</f>
        <v/>
      </c>
      <c r="T615" t="str">
        <f t="shared" si="37"/>
        <v>F</v>
      </c>
      <c r="U615" t="str">
        <f t="shared" si="38"/>
        <v>CA</v>
      </c>
      <c r="V615" t="str">
        <f t="shared" si="39"/>
        <v>29875</v>
      </c>
    </row>
    <row r="616" spans="1:22" x14ac:dyDescent="0.35">
      <c r="A616" s="3">
        <v>188519</v>
      </c>
      <c r="B616" t="s">
        <v>33</v>
      </c>
      <c r="C616" t="s">
        <v>17</v>
      </c>
      <c r="D616">
        <v>744</v>
      </c>
      <c r="E616">
        <v>396</v>
      </c>
      <c r="F616">
        <v>492</v>
      </c>
      <c r="G616">
        <v>0</v>
      </c>
      <c r="H616">
        <v>15863</v>
      </c>
      <c r="I616">
        <v>2</v>
      </c>
      <c r="J616">
        <v>68</v>
      </c>
      <c r="K616">
        <v>457</v>
      </c>
      <c r="L616">
        <v>432</v>
      </c>
      <c r="M616">
        <v>8</v>
      </c>
      <c r="N616">
        <f>IFERROR(VLOOKUP(A616,vlookup_table!$A:$G,2,FALSE),"")</f>
        <v>28</v>
      </c>
      <c r="O616">
        <f>IFERROR(VLOOKUP(A616,vlookup_table!$A:$G,4,FALSE),"")</f>
        <v>2401</v>
      </c>
      <c r="P616" t="str">
        <f>IFERROR(VLOOKUP(A616,vlookup_table!$A:$G,5,FALSE),"")</f>
        <v>S1</v>
      </c>
      <c r="Q616">
        <f>IFERROR(VLOOKUP(A616,vlookup_table!$A:$G,7,FALSE),"")</f>
        <v>5</v>
      </c>
      <c r="R616">
        <f t="shared" si="36"/>
        <v>73</v>
      </c>
      <c r="S616" t="str" cm="1">
        <f t="array" ref="S616">IF(P616="","",_xlfn.SWITCH(LEFT(P616,1),"C","Ciudad","T","Pueblo","R","Rural","S","Suburbano","U","Urbano",""))</f>
        <v>Suburbano</v>
      </c>
      <c r="T616" t="str">
        <f t="shared" si="37"/>
        <v>F</v>
      </c>
      <c r="U616" t="str">
        <f t="shared" si="38"/>
        <v>IN</v>
      </c>
      <c r="V616" t="str">
        <f t="shared" si="39"/>
        <v>15863</v>
      </c>
    </row>
    <row r="617" spans="1:22" x14ac:dyDescent="0.35">
      <c r="A617" s="3">
        <v>164367</v>
      </c>
      <c r="B617" t="s">
        <v>61</v>
      </c>
      <c r="C617" t="s">
        <v>17</v>
      </c>
      <c r="D617">
        <v>875</v>
      </c>
      <c r="E617">
        <v>280</v>
      </c>
      <c r="F617">
        <v>398</v>
      </c>
      <c r="G617">
        <v>0</v>
      </c>
      <c r="H617">
        <v>18252</v>
      </c>
      <c r="I617">
        <v>4</v>
      </c>
      <c r="J617">
        <v>38</v>
      </c>
      <c r="K617">
        <v>330</v>
      </c>
      <c r="L617">
        <v>326</v>
      </c>
      <c r="M617">
        <v>11.75</v>
      </c>
      <c r="N617">
        <f>IFERROR(VLOOKUP(A617,vlookup_table!$A:$G,2,FALSE),"")</f>
        <v>28</v>
      </c>
      <c r="O617">
        <f>IFERROR(VLOOKUP(A617,vlookup_table!$A:$G,4,FALSE),"")</f>
        <v>0</v>
      </c>
      <c r="P617" t="str">
        <f>IFERROR(VLOOKUP(A617,vlookup_table!$A:$G,5,FALSE),"")</f>
        <v>S1</v>
      </c>
      <c r="Q617">
        <f>IFERROR(VLOOKUP(A617,vlookup_table!$A:$G,7,FALSE),"")</f>
        <v>20</v>
      </c>
      <c r="R617">
        <f t="shared" si="36"/>
        <v>97</v>
      </c>
      <c r="S617" t="str" cm="1">
        <f t="array" ref="S617">IF(P617="","",_xlfn.SWITCH(LEFT(P617,1),"C","Ciudad","T","Pueblo","R","Rural","S","Suburbano","U","Urbano",""))</f>
        <v>Suburbano</v>
      </c>
      <c r="T617" t="str">
        <f t="shared" si="37"/>
        <v>F</v>
      </c>
      <c r="U617" t="str">
        <f t="shared" si="38"/>
        <v>CA</v>
      </c>
      <c r="V617" t="str">
        <f t="shared" si="39"/>
        <v>18252</v>
      </c>
    </row>
    <row r="618" spans="1:22" x14ac:dyDescent="0.35">
      <c r="A618" s="3">
        <v>75992</v>
      </c>
      <c r="B618" t="s">
        <v>47</v>
      </c>
      <c r="C618" t="s">
        <v>17</v>
      </c>
      <c r="D618">
        <v>354</v>
      </c>
      <c r="E618">
        <v>222</v>
      </c>
      <c r="F618">
        <v>269</v>
      </c>
      <c r="G618">
        <v>0</v>
      </c>
      <c r="H618">
        <v>9579</v>
      </c>
      <c r="I618">
        <v>2</v>
      </c>
      <c r="J618">
        <v>65</v>
      </c>
      <c r="K618">
        <v>248</v>
      </c>
      <c r="L618">
        <v>253</v>
      </c>
      <c r="M618">
        <v>7.8</v>
      </c>
      <c r="N618">
        <f>IFERROR(VLOOKUP(A618,vlookup_table!$A:$G,2,FALSE),"")</f>
        <v>28</v>
      </c>
      <c r="O618">
        <f>IFERROR(VLOOKUP(A618,vlookup_table!$A:$G,4,FALSE),"")</f>
        <v>5601</v>
      </c>
      <c r="P618" t="str">
        <f>IFERROR(VLOOKUP(A618,vlookup_table!$A:$G,5,FALSE),"")</f>
        <v>S3</v>
      </c>
      <c r="Q618">
        <f>IFERROR(VLOOKUP(A618,vlookup_table!$A:$G,7,FALSE),"")</f>
        <v>8</v>
      </c>
      <c r="R618">
        <f t="shared" si="36"/>
        <v>41</v>
      </c>
      <c r="S618" t="str" cm="1">
        <f t="array" ref="S618">IF(P618="","",_xlfn.SWITCH(LEFT(P618,1),"C","Ciudad","T","Pueblo","R","Rural","S","Suburbano","U","Urbano",""))</f>
        <v>Suburbano</v>
      </c>
      <c r="T618" t="str">
        <f t="shared" si="37"/>
        <v>F</v>
      </c>
      <c r="U618" t="str">
        <f t="shared" si="38"/>
        <v>IA</v>
      </c>
      <c r="V618" t="str">
        <f t="shared" si="39"/>
        <v>9579</v>
      </c>
    </row>
    <row r="619" spans="1:22" x14ac:dyDescent="0.35">
      <c r="A619" s="3">
        <v>34957</v>
      </c>
      <c r="B619" t="s">
        <v>13</v>
      </c>
      <c r="C619" t="s">
        <v>17</v>
      </c>
      <c r="D619">
        <v>1675</v>
      </c>
      <c r="E619">
        <v>336</v>
      </c>
      <c r="F619">
        <v>568</v>
      </c>
      <c r="G619">
        <v>36</v>
      </c>
      <c r="H619">
        <v>25558</v>
      </c>
      <c r="I619">
        <v>10</v>
      </c>
      <c r="J619">
        <v>19</v>
      </c>
      <c r="K619">
        <v>505</v>
      </c>
      <c r="L619">
        <v>441</v>
      </c>
      <c r="M619">
        <v>20</v>
      </c>
      <c r="N619">
        <f>IFERROR(VLOOKUP(A619,vlookup_table!$A:$G,2,FALSE),"")</f>
        <v>28</v>
      </c>
      <c r="O619">
        <f>IFERROR(VLOOKUP(A619,vlookup_table!$A:$G,4,FALSE),"")</f>
        <v>2401</v>
      </c>
      <c r="P619" t="str">
        <f>IFERROR(VLOOKUP(A619,vlookup_table!$A:$G,5,FALSE),"")</f>
        <v>C1</v>
      </c>
      <c r="Q619">
        <f>IFERROR(VLOOKUP(A619,vlookup_table!$A:$G,7,FALSE),"")</f>
        <v>10</v>
      </c>
      <c r="R619">
        <f t="shared" si="36"/>
        <v>73</v>
      </c>
      <c r="S619" t="str" cm="1">
        <f t="array" ref="S619">IF(P619="","",_xlfn.SWITCH(LEFT(P619,1),"C","Ciudad","T","Pueblo","R","Rural","S","Suburbano","U","Urbano",""))</f>
        <v>Ciudad</v>
      </c>
      <c r="T619" t="str">
        <f t="shared" si="37"/>
        <v>F</v>
      </c>
      <c r="U619" t="str">
        <f t="shared" si="38"/>
        <v>FL</v>
      </c>
      <c r="V619" t="str">
        <f t="shared" si="39"/>
        <v>25558</v>
      </c>
    </row>
    <row r="620" spans="1:22" x14ac:dyDescent="0.35">
      <c r="A620" s="3">
        <v>110094</v>
      </c>
      <c r="B620" t="s">
        <v>49</v>
      </c>
      <c r="C620" t="s">
        <v>17</v>
      </c>
      <c r="D620">
        <v>421</v>
      </c>
      <c r="E620">
        <v>194</v>
      </c>
      <c r="F620">
        <v>247</v>
      </c>
      <c r="G620">
        <v>0</v>
      </c>
      <c r="H620">
        <v>7421</v>
      </c>
      <c r="I620">
        <v>0</v>
      </c>
      <c r="J620">
        <v>85</v>
      </c>
      <c r="K620">
        <v>233</v>
      </c>
      <c r="L620">
        <v>202</v>
      </c>
      <c r="M620">
        <v>10</v>
      </c>
      <c r="N620">
        <f>IFERROR(VLOOKUP(A620,vlookup_table!$A:$G,2,FALSE),"")</f>
        <v>2</v>
      </c>
      <c r="O620">
        <f>IFERROR(VLOOKUP(A620,vlookup_table!$A:$G,4,FALSE),"")</f>
        <v>5305</v>
      </c>
      <c r="P620" t="str">
        <f>IFERROR(VLOOKUP(A620,vlookup_table!$A:$G,5,FALSE),"")</f>
        <v>C3</v>
      </c>
      <c r="Q620">
        <f>IFERROR(VLOOKUP(A620,vlookup_table!$A:$G,7,FALSE),"")</f>
        <v>18</v>
      </c>
      <c r="R620">
        <f t="shared" si="36"/>
        <v>44</v>
      </c>
      <c r="S620" t="str" cm="1">
        <f t="array" ref="S620">IF(P620="","",_xlfn.SWITCH(LEFT(P620,1),"C","Ciudad","T","Pueblo","R","Rural","S","Suburbano","U","Urbano",""))</f>
        <v>Ciudad</v>
      </c>
      <c r="T620" t="str">
        <f t="shared" si="37"/>
        <v>F</v>
      </c>
      <c r="U620" t="str">
        <f t="shared" si="38"/>
        <v>LA</v>
      </c>
      <c r="V620" t="str">
        <f t="shared" si="39"/>
        <v>7421</v>
      </c>
    </row>
    <row r="621" spans="1:22" x14ac:dyDescent="0.35">
      <c r="A621" s="3">
        <v>121590</v>
      </c>
      <c r="B621" t="s">
        <v>21</v>
      </c>
      <c r="C621" t="s">
        <v>17</v>
      </c>
      <c r="D621">
        <v>782</v>
      </c>
      <c r="E621">
        <v>524</v>
      </c>
      <c r="F621">
        <v>545</v>
      </c>
      <c r="G621">
        <v>0</v>
      </c>
      <c r="H621">
        <v>14635</v>
      </c>
      <c r="I621">
        <v>29</v>
      </c>
      <c r="J621">
        <v>35</v>
      </c>
      <c r="K621">
        <v>469</v>
      </c>
      <c r="L621">
        <v>565</v>
      </c>
      <c r="M621">
        <v>10.73684211</v>
      </c>
      <c r="N621">
        <f>IFERROR(VLOOKUP(A621,vlookup_table!$A:$G,2,FALSE),"")</f>
        <v>0</v>
      </c>
      <c r="O621">
        <f>IFERROR(VLOOKUP(A621,vlookup_table!$A:$G,4,FALSE),"")</f>
        <v>6410</v>
      </c>
      <c r="P621" t="str">
        <f>IFERROR(VLOOKUP(A621,vlookup_table!$A:$G,5,FALSE),"")</f>
        <v>U1</v>
      </c>
      <c r="Q621">
        <f>IFERROR(VLOOKUP(A621,vlookup_table!$A:$G,7,FALSE),"")</f>
        <v>10</v>
      </c>
      <c r="R621">
        <f t="shared" si="36"/>
        <v>33</v>
      </c>
      <c r="S621" t="str" cm="1">
        <f t="array" ref="S621">IF(P621="","",_xlfn.SWITCH(LEFT(P621,1),"C","Ciudad","T","Pueblo","R","Rural","S","Suburbano","U","Urbano",""))</f>
        <v>Urbano</v>
      </c>
      <c r="T621" t="str">
        <f t="shared" si="37"/>
        <v>F</v>
      </c>
      <c r="U621" t="str">
        <f t="shared" si="38"/>
        <v>TX</v>
      </c>
      <c r="V621" t="str">
        <f t="shared" si="39"/>
        <v>14635</v>
      </c>
    </row>
    <row r="622" spans="1:22" x14ac:dyDescent="0.35">
      <c r="A622" s="3">
        <v>140652</v>
      </c>
      <c r="B622" t="s">
        <v>54</v>
      </c>
      <c r="C622" t="s">
        <v>17</v>
      </c>
      <c r="D622">
        <v>574</v>
      </c>
      <c r="E622">
        <v>212</v>
      </c>
      <c r="F622">
        <v>300</v>
      </c>
      <c r="G622">
        <v>2</v>
      </c>
      <c r="H622">
        <v>10315</v>
      </c>
      <c r="I622">
        <v>2</v>
      </c>
      <c r="J622">
        <v>56</v>
      </c>
      <c r="K622">
        <v>268</v>
      </c>
      <c r="L622">
        <v>256</v>
      </c>
      <c r="M622">
        <v>20</v>
      </c>
      <c r="N622">
        <f>IFERROR(VLOOKUP(A622,vlookup_table!$A:$G,2,FALSE),"")</f>
        <v>0</v>
      </c>
      <c r="O622">
        <f>IFERROR(VLOOKUP(A622,vlookup_table!$A:$G,4,FALSE),"")</f>
        <v>3101</v>
      </c>
      <c r="P622" t="str">
        <f>IFERROR(VLOOKUP(A622,vlookup_table!$A:$G,5,FALSE),"")</f>
        <v>R2</v>
      </c>
      <c r="Q622">
        <f>IFERROR(VLOOKUP(A622,vlookup_table!$A:$G,7,FALSE),"")</f>
        <v>20</v>
      </c>
      <c r="R622">
        <f t="shared" si="36"/>
        <v>66</v>
      </c>
      <c r="S622" t="str" cm="1">
        <f t="array" ref="S622">IF(P622="","",_xlfn.SWITCH(LEFT(P622,1),"C","Ciudad","T","Pueblo","R","Rural","S","Suburbano","U","Urbano",""))</f>
        <v>Rural</v>
      </c>
      <c r="T622" t="str">
        <f t="shared" si="37"/>
        <v>F</v>
      </c>
      <c r="U622" t="str">
        <f t="shared" si="38"/>
        <v>NM</v>
      </c>
      <c r="V622" t="str">
        <f t="shared" si="39"/>
        <v>10315</v>
      </c>
    </row>
    <row r="623" spans="1:22" x14ac:dyDescent="0.35">
      <c r="A623" s="3">
        <v>134319</v>
      </c>
      <c r="B623" t="s">
        <v>38</v>
      </c>
      <c r="C623" t="s">
        <v>17</v>
      </c>
      <c r="D623">
        <v>742</v>
      </c>
      <c r="E623">
        <v>246</v>
      </c>
      <c r="F623">
        <v>393</v>
      </c>
      <c r="G623">
        <v>0</v>
      </c>
      <c r="H623">
        <v>14377</v>
      </c>
      <c r="I623">
        <v>1</v>
      </c>
      <c r="J623">
        <v>56</v>
      </c>
      <c r="K623">
        <v>361</v>
      </c>
      <c r="L623">
        <v>287</v>
      </c>
      <c r="M623">
        <v>12</v>
      </c>
      <c r="N623">
        <f>IFERROR(VLOOKUP(A623,vlookup_table!$A:$G,2,FALSE),"")</f>
        <v>0</v>
      </c>
      <c r="O623">
        <f>IFERROR(VLOOKUP(A623,vlookup_table!$A:$G,4,FALSE),"")</f>
        <v>0</v>
      </c>
      <c r="P623" t="str">
        <f>IFERROR(VLOOKUP(A623,vlookup_table!$A:$G,5,FALSE),"")</f>
        <v>S1</v>
      </c>
      <c r="Q623">
        <f>IFERROR(VLOOKUP(A623,vlookup_table!$A:$G,7,FALSE),"")</f>
        <v>13</v>
      </c>
      <c r="R623">
        <f t="shared" si="36"/>
        <v>97</v>
      </c>
      <c r="S623" t="str" cm="1">
        <f t="array" ref="S623">IF(P623="","",_xlfn.SWITCH(LEFT(P623,1),"C","Ciudad","T","Pueblo","R","Rural","S","Suburbano","U","Urbano",""))</f>
        <v>Suburbano</v>
      </c>
      <c r="T623" t="str">
        <f t="shared" si="37"/>
        <v>F</v>
      </c>
      <c r="U623" t="str">
        <f t="shared" si="38"/>
        <v>UT</v>
      </c>
      <c r="V623" t="str">
        <f t="shared" si="39"/>
        <v>14377</v>
      </c>
    </row>
    <row r="624" spans="1:22" x14ac:dyDescent="0.35">
      <c r="A624" s="3">
        <v>27921</v>
      </c>
      <c r="B624" t="s">
        <v>39</v>
      </c>
      <c r="C624" t="s">
        <v>17</v>
      </c>
      <c r="D624">
        <v>1067</v>
      </c>
      <c r="E624">
        <v>481</v>
      </c>
      <c r="F624">
        <v>580</v>
      </c>
      <c r="G624">
        <v>5</v>
      </c>
      <c r="H624">
        <v>17607</v>
      </c>
      <c r="I624">
        <v>5</v>
      </c>
      <c r="J624">
        <v>33</v>
      </c>
      <c r="K624">
        <v>529</v>
      </c>
      <c r="L624">
        <v>534</v>
      </c>
      <c r="M624">
        <v>11.25</v>
      </c>
      <c r="N624">
        <f>IFERROR(VLOOKUP(A624,vlookup_table!$A:$G,2,FALSE),"")</f>
        <v>0</v>
      </c>
      <c r="O624">
        <f>IFERROR(VLOOKUP(A624,vlookup_table!$A:$G,4,FALSE),"")</f>
        <v>0</v>
      </c>
      <c r="P624" t="str">
        <f>IFERROR(VLOOKUP(A624,vlookup_table!$A:$G,5,FALSE),"")</f>
        <v>T1</v>
      </c>
      <c r="Q624">
        <f>IFERROR(VLOOKUP(A624,vlookup_table!$A:$G,7,FALSE),"")</f>
        <v>14</v>
      </c>
      <c r="R624">
        <f t="shared" si="36"/>
        <v>97</v>
      </c>
      <c r="S624" t="str" cm="1">
        <f t="array" ref="S624">IF(P624="","",_xlfn.SWITCH(LEFT(P624,1),"C","Ciudad","T","Pueblo","R","Rural","S","Suburbano","U","Urbano",""))</f>
        <v>Pueblo</v>
      </c>
      <c r="T624" t="str">
        <f t="shared" si="37"/>
        <v>F</v>
      </c>
      <c r="U624" t="str">
        <f t="shared" si="38"/>
        <v>GA</v>
      </c>
      <c r="V624" t="str">
        <f t="shared" si="39"/>
        <v>17607</v>
      </c>
    </row>
    <row r="625" spans="1:22" x14ac:dyDescent="0.35">
      <c r="A625" s="3">
        <v>29373</v>
      </c>
      <c r="B625" t="s">
        <v>39</v>
      </c>
      <c r="C625" t="s">
        <v>17</v>
      </c>
      <c r="D625">
        <v>860</v>
      </c>
      <c r="E625">
        <v>468</v>
      </c>
      <c r="F625">
        <v>507</v>
      </c>
      <c r="G625">
        <v>0</v>
      </c>
      <c r="H625">
        <v>15986</v>
      </c>
      <c r="I625">
        <v>1</v>
      </c>
      <c r="J625">
        <v>65</v>
      </c>
      <c r="K625">
        <v>490</v>
      </c>
      <c r="L625">
        <v>464</v>
      </c>
      <c r="M625">
        <v>14.88888889</v>
      </c>
      <c r="N625">
        <f>IFERROR(VLOOKUP(A625,vlookup_table!$A:$G,2,FALSE),"")</f>
        <v>0</v>
      </c>
      <c r="O625">
        <f>IFERROR(VLOOKUP(A625,vlookup_table!$A:$G,4,FALSE),"")</f>
        <v>5401</v>
      </c>
      <c r="P625" t="str">
        <f>IFERROR(VLOOKUP(A625,vlookup_table!$A:$G,5,FALSE),"")</f>
        <v>T1</v>
      </c>
      <c r="Q625">
        <f>IFERROR(VLOOKUP(A625,vlookup_table!$A:$G,7,FALSE),"")</f>
        <v>20</v>
      </c>
      <c r="R625">
        <f t="shared" si="36"/>
        <v>43</v>
      </c>
      <c r="S625" t="str" cm="1">
        <f t="array" ref="S625">IF(P625="","",_xlfn.SWITCH(LEFT(P625,1),"C","Ciudad","T","Pueblo","R","Rural","S","Suburbano","U","Urbano",""))</f>
        <v>Pueblo</v>
      </c>
      <c r="T625" t="str">
        <f t="shared" si="37"/>
        <v>F</v>
      </c>
      <c r="U625" t="str">
        <f t="shared" si="38"/>
        <v>GA</v>
      </c>
      <c r="V625" t="str">
        <f t="shared" si="39"/>
        <v>15986</v>
      </c>
    </row>
    <row r="626" spans="1:22" x14ac:dyDescent="0.35">
      <c r="A626" s="3">
        <v>130684</v>
      </c>
      <c r="B626" t="s">
        <v>43</v>
      </c>
      <c r="D626">
        <v>1175</v>
      </c>
      <c r="E626">
        <v>586</v>
      </c>
      <c r="F626">
        <v>662</v>
      </c>
      <c r="G626">
        <v>8</v>
      </c>
      <c r="H626">
        <v>22215</v>
      </c>
      <c r="I626">
        <v>4</v>
      </c>
      <c r="J626">
        <v>38</v>
      </c>
      <c r="K626">
        <v>619</v>
      </c>
      <c r="L626">
        <v>626</v>
      </c>
      <c r="M626">
        <v>4.5</v>
      </c>
      <c r="N626">
        <f>IFERROR(VLOOKUP(A626,vlookup_table!$A:$G,2,FALSE),"")</f>
        <v>980</v>
      </c>
      <c r="O626">
        <f>IFERROR(VLOOKUP(A626,vlookup_table!$A:$G,4,FALSE),"")</f>
        <v>0</v>
      </c>
      <c r="P626" t="str">
        <f>IFERROR(VLOOKUP(A626,vlookup_table!$A:$G,5,FALSE),"")</f>
        <v>T1</v>
      </c>
      <c r="Q626">
        <f>IFERROR(VLOOKUP(A626,vlookup_table!$A:$G,7,FALSE),"")</f>
        <v>6</v>
      </c>
      <c r="R626">
        <f t="shared" si="36"/>
        <v>97</v>
      </c>
      <c r="S626" t="str" cm="1">
        <f t="array" ref="S626">IF(P626="","",_xlfn.SWITCH(LEFT(P626,1),"C","Ciudad","T","Pueblo","R","Rural","S","Suburbano","U","Urbano",""))</f>
        <v>Pueblo</v>
      </c>
      <c r="T626" t="str">
        <f t="shared" si="37"/>
        <v/>
      </c>
      <c r="U626" t="str">
        <f t="shared" si="38"/>
        <v>AL</v>
      </c>
      <c r="V626" t="str">
        <f t="shared" si="39"/>
        <v>22215</v>
      </c>
    </row>
    <row r="627" spans="1:22" x14ac:dyDescent="0.35">
      <c r="A627" s="3">
        <v>190920</v>
      </c>
      <c r="B627" t="s">
        <v>61</v>
      </c>
      <c r="C627" t="s">
        <v>14</v>
      </c>
      <c r="D627">
        <v>916</v>
      </c>
      <c r="E627">
        <v>242</v>
      </c>
      <c r="F627">
        <v>369</v>
      </c>
      <c r="G627">
        <v>5</v>
      </c>
      <c r="H627">
        <v>10719</v>
      </c>
      <c r="I627">
        <v>19</v>
      </c>
      <c r="J627">
        <v>51</v>
      </c>
      <c r="K627">
        <v>321</v>
      </c>
      <c r="L627">
        <v>293</v>
      </c>
      <c r="M627">
        <v>22</v>
      </c>
      <c r="N627">
        <f>IFERROR(VLOOKUP(A627,vlookup_table!$A:$G,2,FALSE),"")</f>
        <v>1</v>
      </c>
      <c r="O627">
        <f>IFERROR(VLOOKUP(A627,vlookup_table!$A:$G,4,FALSE),"")</f>
        <v>0</v>
      </c>
      <c r="P627" t="str">
        <f>IFERROR(VLOOKUP(A627,vlookup_table!$A:$G,5,FALSE),"")</f>
        <v>S2</v>
      </c>
      <c r="Q627">
        <f>IFERROR(VLOOKUP(A627,vlookup_table!$A:$G,7,FALSE),"")</f>
        <v>20</v>
      </c>
      <c r="R627">
        <f t="shared" si="36"/>
        <v>97</v>
      </c>
      <c r="S627" t="str" cm="1">
        <f t="array" ref="S627">IF(P627="","",_xlfn.SWITCH(LEFT(P627,1),"C","Ciudad","T","Pueblo","R","Rural","S","Suburbano","U","Urbano",""))</f>
        <v>Suburbano</v>
      </c>
      <c r="T627" t="str">
        <f t="shared" si="37"/>
        <v>M</v>
      </c>
      <c r="U627" t="str">
        <f t="shared" si="38"/>
        <v>CA</v>
      </c>
      <c r="V627" t="str">
        <f t="shared" si="39"/>
        <v>10719</v>
      </c>
    </row>
    <row r="628" spans="1:22" x14ac:dyDescent="0.35">
      <c r="A628" s="3">
        <v>187259</v>
      </c>
      <c r="B628" t="s">
        <v>61</v>
      </c>
      <c r="C628" t="s">
        <v>17</v>
      </c>
      <c r="D628">
        <v>4259</v>
      </c>
      <c r="E628">
        <v>435</v>
      </c>
      <c r="F628">
        <v>661</v>
      </c>
      <c r="G628">
        <v>95</v>
      </c>
      <c r="H628">
        <v>31730</v>
      </c>
      <c r="I628">
        <v>16</v>
      </c>
      <c r="J628">
        <v>34</v>
      </c>
      <c r="K628">
        <v>498</v>
      </c>
      <c r="L628">
        <v>573</v>
      </c>
      <c r="M628">
        <v>15</v>
      </c>
      <c r="N628">
        <f>IFERROR(VLOOKUP(A628,vlookup_table!$A:$G,2,FALSE),"")</f>
        <v>0</v>
      </c>
      <c r="O628">
        <f>IFERROR(VLOOKUP(A628,vlookup_table!$A:$G,4,FALSE),"")</f>
        <v>0</v>
      </c>
      <c r="P628" t="str">
        <f>IFERROR(VLOOKUP(A628,vlookup_table!$A:$G,5,FALSE),"")</f>
        <v>S1</v>
      </c>
      <c r="Q628">
        <f>IFERROR(VLOOKUP(A628,vlookup_table!$A:$G,7,FALSE),"")</f>
        <v>15</v>
      </c>
      <c r="R628">
        <f t="shared" si="36"/>
        <v>97</v>
      </c>
      <c r="S628" t="str" cm="1">
        <f t="array" ref="S628">IF(P628="","",_xlfn.SWITCH(LEFT(P628,1),"C","Ciudad","T","Pueblo","R","Rural","S","Suburbano","U","Urbano",""))</f>
        <v>Suburbano</v>
      </c>
      <c r="T628" t="str">
        <f t="shared" si="37"/>
        <v>F</v>
      </c>
      <c r="U628" t="str">
        <f t="shared" si="38"/>
        <v>CA</v>
      </c>
      <c r="V628" t="str">
        <f t="shared" si="39"/>
        <v>31730</v>
      </c>
    </row>
    <row r="629" spans="1:22" x14ac:dyDescent="0.35">
      <c r="A629" s="3">
        <v>45666</v>
      </c>
      <c r="B629" t="s">
        <v>13</v>
      </c>
      <c r="C629" t="s">
        <v>17</v>
      </c>
      <c r="D629">
        <v>566</v>
      </c>
      <c r="E629">
        <v>218</v>
      </c>
      <c r="F629">
        <v>272</v>
      </c>
      <c r="G629">
        <v>0</v>
      </c>
      <c r="H629">
        <v>11438</v>
      </c>
      <c r="I629">
        <v>9</v>
      </c>
      <c r="J629">
        <v>8</v>
      </c>
      <c r="K629">
        <v>242</v>
      </c>
      <c r="L629">
        <v>249</v>
      </c>
      <c r="M629">
        <v>5.6</v>
      </c>
      <c r="N629">
        <f>IFERROR(VLOOKUP(A629,vlookup_table!$A:$G,2,FALSE),"")</f>
        <v>28</v>
      </c>
      <c r="O629">
        <f>IFERROR(VLOOKUP(A629,vlookup_table!$A:$G,4,FALSE),"")</f>
        <v>4001</v>
      </c>
      <c r="P629" t="str">
        <f>IFERROR(VLOOKUP(A629,vlookup_table!$A:$G,5,FALSE),"")</f>
        <v>C3</v>
      </c>
      <c r="Q629">
        <f>IFERROR(VLOOKUP(A629,vlookup_table!$A:$G,7,FALSE),"")</f>
        <v>5</v>
      </c>
      <c r="R629">
        <f t="shared" si="36"/>
        <v>57</v>
      </c>
      <c r="S629" t="str" cm="1">
        <f t="array" ref="S629">IF(P629="","",_xlfn.SWITCH(LEFT(P629,1),"C","Ciudad","T","Pueblo","R","Rural","S","Suburbano","U","Urbano",""))</f>
        <v>Ciudad</v>
      </c>
      <c r="T629" t="str">
        <f t="shared" si="37"/>
        <v>F</v>
      </c>
      <c r="U629" t="str">
        <f t="shared" si="38"/>
        <v>FL</v>
      </c>
      <c r="V629" t="str">
        <f t="shared" si="39"/>
        <v>11438</v>
      </c>
    </row>
    <row r="630" spans="1:22" x14ac:dyDescent="0.35">
      <c r="A630" s="3">
        <v>21335</v>
      </c>
      <c r="B630" t="s">
        <v>18</v>
      </c>
      <c r="C630" t="s">
        <v>14</v>
      </c>
      <c r="D630">
        <v>525</v>
      </c>
      <c r="E630">
        <v>333</v>
      </c>
      <c r="F630">
        <v>399</v>
      </c>
      <c r="G630">
        <v>1</v>
      </c>
      <c r="H630">
        <v>12885</v>
      </c>
      <c r="I630">
        <v>0</v>
      </c>
      <c r="J630">
        <v>86</v>
      </c>
      <c r="K630">
        <v>346</v>
      </c>
      <c r="L630">
        <v>364</v>
      </c>
      <c r="M630">
        <v>6.923076923</v>
      </c>
      <c r="N630">
        <f>IFERROR(VLOOKUP(A630,vlookup_table!$A:$G,2,FALSE),"")</f>
        <v>2</v>
      </c>
      <c r="O630">
        <f>IFERROR(VLOOKUP(A630,vlookup_table!$A:$G,4,FALSE),"")</f>
        <v>0</v>
      </c>
      <c r="P630" t="str">
        <f>IFERROR(VLOOKUP(A630,vlookup_table!$A:$G,5,FALSE),"")</f>
        <v>T2</v>
      </c>
      <c r="Q630">
        <f>IFERROR(VLOOKUP(A630,vlookup_table!$A:$G,7,FALSE),"")</f>
        <v>10</v>
      </c>
      <c r="R630">
        <f t="shared" si="36"/>
        <v>97</v>
      </c>
      <c r="S630" t="str" cm="1">
        <f t="array" ref="S630">IF(P630="","",_xlfn.SWITCH(LEFT(P630,1),"C","Ciudad","T","Pueblo","R","Rural","S","Suburbano","U","Urbano",""))</f>
        <v>Pueblo</v>
      </c>
      <c r="T630" t="str">
        <f t="shared" si="37"/>
        <v>M</v>
      </c>
      <c r="U630" t="str">
        <f t="shared" si="38"/>
        <v>NC</v>
      </c>
      <c r="V630" t="str">
        <f t="shared" si="39"/>
        <v>12885</v>
      </c>
    </row>
    <row r="631" spans="1:22" x14ac:dyDescent="0.35">
      <c r="A631" s="3">
        <v>160424</v>
      </c>
      <c r="B631" t="s">
        <v>61</v>
      </c>
      <c r="C631" t="s">
        <v>14</v>
      </c>
      <c r="D631">
        <v>1582</v>
      </c>
      <c r="E631">
        <v>299</v>
      </c>
      <c r="F631">
        <v>359</v>
      </c>
      <c r="G631">
        <v>21</v>
      </c>
      <c r="H631">
        <v>12976</v>
      </c>
      <c r="I631">
        <v>12</v>
      </c>
      <c r="J631">
        <v>58</v>
      </c>
      <c r="K631">
        <v>335</v>
      </c>
      <c r="L631">
        <v>330</v>
      </c>
      <c r="M631">
        <v>14.25</v>
      </c>
      <c r="N631">
        <f>IFERROR(VLOOKUP(A631,vlookup_table!$A:$G,2,FALSE),"")</f>
        <v>1</v>
      </c>
      <c r="O631">
        <f>IFERROR(VLOOKUP(A631,vlookup_table!$A:$G,4,FALSE),"")</f>
        <v>3201</v>
      </c>
      <c r="P631" t="str">
        <f>IFERROR(VLOOKUP(A631,vlookup_table!$A:$G,5,FALSE),"")</f>
        <v>T2</v>
      </c>
      <c r="Q631">
        <f>IFERROR(VLOOKUP(A631,vlookup_table!$A:$G,7,FALSE),"")</f>
        <v>20</v>
      </c>
      <c r="R631">
        <f t="shared" si="36"/>
        <v>65</v>
      </c>
      <c r="S631" t="str" cm="1">
        <f t="array" ref="S631">IF(P631="","",_xlfn.SWITCH(LEFT(P631,1),"C","Ciudad","T","Pueblo","R","Rural","S","Suburbano","U","Urbano",""))</f>
        <v>Pueblo</v>
      </c>
      <c r="T631" t="str">
        <f t="shared" si="37"/>
        <v>M</v>
      </c>
      <c r="U631" t="str">
        <f t="shared" si="38"/>
        <v>CA</v>
      </c>
      <c r="V631" t="str">
        <f t="shared" si="39"/>
        <v>12976</v>
      </c>
    </row>
    <row r="632" spans="1:22" x14ac:dyDescent="0.35">
      <c r="A632" s="3">
        <v>2194</v>
      </c>
      <c r="B632" t="s">
        <v>13</v>
      </c>
      <c r="C632" t="s">
        <v>14</v>
      </c>
      <c r="D632">
        <v>1006</v>
      </c>
      <c r="E632">
        <v>282</v>
      </c>
      <c r="F632">
        <v>452</v>
      </c>
      <c r="G632">
        <v>6</v>
      </c>
      <c r="H632">
        <v>19466</v>
      </c>
      <c r="I632">
        <v>5</v>
      </c>
      <c r="J632">
        <v>21</v>
      </c>
      <c r="K632">
        <v>398</v>
      </c>
      <c r="L632">
        <v>383</v>
      </c>
      <c r="M632">
        <v>4.0666666669999998</v>
      </c>
      <c r="N632">
        <f>IFERROR(VLOOKUP(A632,vlookup_table!$A:$G,2,FALSE),"")</f>
        <v>0</v>
      </c>
      <c r="O632">
        <f>IFERROR(VLOOKUP(A632,vlookup_table!$A:$G,4,FALSE),"")</f>
        <v>6008</v>
      </c>
      <c r="P632">
        <f>IFERROR(VLOOKUP(A632,vlookup_table!$A:$G,5,FALSE),"")</f>
        <v>0</v>
      </c>
      <c r="Q632">
        <f>IFERROR(VLOOKUP(A632,vlookup_table!$A:$G,7,FALSE),"")</f>
        <v>4</v>
      </c>
      <c r="R632">
        <f t="shared" si="36"/>
        <v>37</v>
      </c>
      <c r="S632" t="str" cm="1">
        <f t="array" ref="S632">IF(P632="","",_xlfn.SWITCH(LEFT(P632,1),"C","Ciudad","T","Pueblo","R","Rural","S","Suburbano","U","Urbano",""))</f>
        <v/>
      </c>
      <c r="T632" t="str">
        <f t="shared" si="37"/>
        <v>M</v>
      </c>
      <c r="U632" t="str">
        <f t="shared" si="38"/>
        <v>FL</v>
      </c>
      <c r="V632" t="str">
        <f t="shared" si="39"/>
        <v>19466</v>
      </c>
    </row>
    <row r="633" spans="1:22" x14ac:dyDescent="0.35">
      <c r="A633" s="3">
        <v>53151</v>
      </c>
      <c r="B633" t="s">
        <v>53</v>
      </c>
      <c r="C633" t="s">
        <v>14</v>
      </c>
      <c r="D633">
        <v>345</v>
      </c>
      <c r="E633">
        <v>159</v>
      </c>
      <c r="F633">
        <v>277</v>
      </c>
      <c r="G633">
        <v>0</v>
      </c>
      <c r="H633">
        <v>9775</v>
      </c>
      <c r="I633">
        <v>0</v>
      </c>
      <c r="J633">
        <v>85</v>
      </c>
      <c r="K633">
        <v>197</v>
      </c>
      <c r="L633">
        <v>233</v>
      </c>
      <c r="M633">
        <v>20</v>
      </c>
      <c r="N633">
        <f>IFERROR(VLOOKUP(A633,vlookup_table!$A:$G,2,FALSE),"")</f>
        <v>0</v>
      </c>
      <c r="O633">
        <f>IFERROR(VLOOKUP(A633,vlookup_table!$A:$G,4,FALSE),"")</f>
        <v>0</v>
      </c>
      <c r="P633" t="str">
        <f>IFERROR(VLOOKUP(A633,vlookup_table!$A:$G,5,FALSE),"")</f>
        <v>R3</v>
      </c>
      <c r="Q633">
        <f>IFERROR(VLOOKUP(A633,vlookup_table!$A:$G,7,FALSE),"")</f>
        <v>40</v>
      </c>
      <c r="R633">
        <f t="shared" si="36"/>
        <v>97</v>
      </c>
      <c r="S633" t="str" cm="1">
        <f t="array" ref="S633">IF(P633="","",_xlfn.SWITCH(LEFT(P633,1),"C","Ciudad","T","Pueblo","R","Rural","S","Suburbano","U","Urbano",""))</f>
        <v>Rural</v>
      </c>
      <c r="T633" t="str">
        <f t="shared" si="37"/>
        <v>M</v>
      </c>
      <c r="U633" t="str">
        <f t="shared" si="38"/>
        <v>TN</v>
      </c>
      <c r="V633" t="str">
        <f t="shared" si="39"/>
        <v>9775</v>
      </c>
    </row>
    <row r="634" spans="1:22" x14ac:dyDescent="0.35">
      <c r="A634" s="3">
        <v>126069</v>
      </c>
      <c r="B634" t="s">
        <v>21</v>
      </c>
      <c r="C634" t="s">
        <v>17</v>
      </c>
      <c r="D634">
        <v>362</v>
      </c>
      <c r="E634">
        <v>204</v>
      </c>
      <c r="F634">
        <v>262</v>
      </c>
      <c r="G634">
        <v>0</v>
      </c>
      <c r="H634">
        <v>7285</v>
      </c>
      <c r="I634">
        <v>2</v>
      </c>
      <c r="J634">
        <v>94</v>
      </c>
      <c r="K634">
        <v>216</v>
      </c>
      <c r="L634">
        <v>246</v>
      </c>
      <c r="M634">
        <v>5.08</v>
      </c>
      <c r="N634">
        <f>IFERROR(VLOOKUP(A634,vlookup_table!$A:$G,2,FALSE),"")</f>
        <v>2</v>
      </c>
      <c r="O634">
        <f>IFERROR(VLOOKUP(A634,vlookup_table!$A:$G,4,FALSE),"")</f>
        <v>903</v>
      </c>
      <c r="P634" t="str">
        <f>IFERROR(VLOOKUP(A634,vlookup_table!$A:$G,5,FALSE),"")</f>
        <v>R2</v>
      </c>
      <c r="Q634">
        <f>IFERROR(VLOOKUP(A634,vlookup_table!$A:$G,7,FALSE),"")</f>
        <v>5</v>
      </c>
      <c r="R634">
        <f t="shared" si="36"/>
        <v>88</v>
      </c>
      <c r="S634" t="str" cm="1">
        <f t="array" ref="S634">IF(P634="","",_xlfn.SWITCH(LEFT(P634,1),"C","Ciudad","T","Pueblo","R","Rural","S","Suburbano","U","Urbano",""))</f>
        <v>Rural</v>
      </c>
      <c r="T634" t="str">
        <f t="shared" si="37"/>
        <v>F</v>
      </c>
      <c r="U634" t="str">
        <f t="shared" si="38"/>
        <v>TX</v>
      </c>
      <c r="V634" t="str">
        <f t="shared" si="39"/>
        <v>7285</v>
      </c>
    </row>
    <row r="635" spans="1:22" x14ac:dyDescent="0.35">
      <c r="A635" s="3">
        <v>176292</v>
      </c>
      <c r="B635" t="s">
        <v>50</v>
      </c>
      <c r="C635" t="s">
        <v>14</v>
      </c>
      <c r="D635">
        <v>431</v>
      </c>
      <c r="E635">
        <v>213</v>
      </c>
      <c r="F635">
        <v>266</v>
      </c>
      <c r="G635">
        <v>0</v>
      </c>
      <c r="H635">
        <v>10611</v>
      </c>
      <c r="I635">
        <v>2</v>
      </c>
      <c r="J635">
        <v>53</v>
      </c>
      <c r="K635">
        <v>260</v>
      </c>
      <c r="L635">
        <v>242</v>
      </c>
      <c r="M635">
        <v>9</v>
      </c>
      <c r="N635">
        <f>IFERROR(VLOOKUP(A635,vlookup_table!$A:$G,2,FALSE),"")</f>
        <v>1</v>
      </c>
      <c r="O635">
        <f>IFERROR(VLOOKUP(A635,vlookup_table!$A:$G,4,FALSE),"")</f>
        <v>0</v>
      </c>
      <c r="P635" t="str">
        <f>IFERROR(VLOOKUP(A635,vlookup_table!$A:$G,5,FALSE),"")</f>
        <v>C3</v>
      </c>
      <c r="Q635">
        <f>IFERROR(VLOOKUP(A635,vlookup_table!$A:$G,7,FALSE),"")</f>
        <v>25</v>
      </c>
      <c r="R635">
        <f t="shared" si="36"/>
        <v>97</v>
      </c>
      <c r="S635" t="str" cm="1">
        <f t="array" ref="S635">IF(P635="","",_xlfn.SWITCH(LEFT(P635,1),"C","Ciudad","T","Pueblo","R","Rural","S","Suburbano","U","Urbano",""))</f>
        <v>Ciudad</v>
      </c>
      <c r="T635" t="str">
        <f t="shared" si="37"/>
        <v>M</v>
      </c>
      <c r="U635" t="str">
        <f t="shared" si="38"/>
        <v>OR</v>
      </c>
      <c r="V635" t="str">
        <f t="shared" si="39"/>
        <v>10611</v>
      </c>
    </row>
    <row r="636" spans="1:22" x14ac:dyDescent="0.35">
      <c r="A636" s="3">
        <v>151518</v>
      </c>
      <c r="B636" t="s">
        <v>61</v>
      </c>
      <c r="C636" t="s">
        <v>17</v>
      </c>
      <c r="D636">
        <v>2457</v>
      </c>
      <c r="E636">
        <v>381</v>
      </c>
      <c r="F636">
        <v>531</v>
      </c>
      <c r="G636">
        <v>69</v>
      </c>
      <c r="H636">
        <v>17557</v>
      </c>
      <c r="I636">
        <v>5</v>
      </c>
      <c r="J636">
        <v>52</v>
      </c>
      <c r="K636">
        <v>445</v>
      </c>
      <c r="L636">
        <v>472</v>
      </c>
      <c r="M636">
        <v>12.5</v>
      </c>
      <c r="N636">
        <f>IFERROR(VLOOKUP(A636,vlookup_table!$A:$G,2,FALSE),"")</f>
        <v>0</v>
      </c>
      <c r="O636">
        <f>IFERROR(VLOOKUP(A636,vlookup_table!$A:$G,4,FALSE),"")</f>
        <v>4401</v>
      </c>
      <c r="P636" t="str">
        <f>IFERROR(VLOOKUP(A636,vlookup_table!$A:$G,5,FALSE),"")</f>
        <v>T2</v>
      </c>
      <c r="Q636">
        <f>IFERROR(VLOOKUP(A636,vlookup_table!$A:$G,7,FALSE),"")</f>
        <v>15</v>
      </c>
      <c r="R636">
        <f t="shared" si="36"/>
        <v>53</v>
      </c>
      <c r="S636" t="str" cm="1">
        <f t="array" ref="S636">IF(P636="","",_xlfn.SWITCH(LEFT(P636,1),"C","Ciudad","T","Pueblo","R","Rural","S","Suburbano","U","Urbano",""))</f>
        <v>Pueblo</v>
      </c>
      <c r="T636" t="str">
        <f t="shared" si="37"/>
        <v>F</v>
      </c>
      <c r="U636" t="str">
        <f t="shared" si="38"/>
        <v>CA</v>
      </c>
      <c r="V636" t="str">
        <f t="shared" si="39"/>
        <v>17557</v>
      </c>
    </row>
    <row r="637" spans="1:22" x14ac:dyDescent="0.35">
      <c r="A637" s="3">
        <v>173872</v>
      </c>
      <c r="B637" t="s">
        <v>37</v>
      </c>
      <c r="C637" t="s">
        <v>17</v>
      </c>
      <c r="D637">
        <v>2789</v>
      </c>
      <c r="E637">
        <v>463</v>
      </c>
      <c r="F637">
        <v>551</v>
      </c>
      <c r="G637">
        <v>82</v>
      </c>
      <c r="H637">
        <v>22012</v>
      </c>
      <c r="I637">
        <v>8</v>
      </c>
      <c r="J637">
        <v>54</v>
      </c>
      <c r="K637">
        <v>488</v>
      </c>
      <c r="L637">
        <v>524</v>
      </c>
      <c r="M637">
        <v>15</v>
      </c>
      <c r="N637">
        <f>IFERROR(VLOOKUP(A637,vlookup_table!$A:$G,2,FALSE),"")</f>
        <v>28</v>
      </c>
      <c r="O637">
        <f>IFERROR(VLOOKUP(A637,vlookup_table!$A:$G,4,FALSE),"")</f>
        <v>0</v>
      </c>
      <c r="P637" t="str">
        <f>IFERROR(VLOOKUP(A637,vlookup_table!$A:$G,5,FALSE),"")</f>
        <v>S1</v>
      </c>
      <c r="Q637">
        <f>IFERROR(VLOOKUP(A637,vlookup_table!$A:$G,7,FALSE),"")</f>
        <v>15</v>
      </c>
      <c r="R637">
        <f t="shared" si="36"/>
        <v>97</v>
      </c>
      <c r="S637" t="str" cm="1">
        <f t="array" ref="S637">IF(P637="","",_xlfn.SWITCH(LEFT(P637,1),"C","Ciudad","T","Pueblo","R","Rural","S","Suburbano","U","Urbano",""))</f>
        <v>Suburbano</v>
      </c>
      <c r="T637" t="str">
        <f t="shared" si="37"/>
        <v>F</v>
      </c>
      <c r="U637" t="str">
        <f t="shared" si="38"/>
        <v>HI</v>
      </c>
      <c r="V637" t="str">
        <f t="shared" si="39"/>
        <v>22012</v>
      </c>
    </row>
    <row r="638" spans="1:22" x14ac:dyDescent="0.35">
      <c r="A638" s="3">
        <v>117726</v>
      </c>
      <c r="B638" t="s">
        <v>21</v>
      </c>
      <c r="C638" t="s">
        <v>17</v>
      </c>
      <c r="D638">
        <v>385</v>
      </c>
      <c r="E638">
        <v>185</v>
      </c>
      <c r="F638">
        <v>348</v>
      </c>
      <c r="G638">
        <v>1</v>
      </c>
      <c r="H638">
        <v>11857</v>
      </c>
      <c r="I638">
        <v>2</v>
      </c>
      <c r="J638">
        <v>83</v>
      </c>
      <c r="K638">
        <v>231</v>
      </c>
      <c r="L638">
        <v>288</v>
      </c>
      <c r="M638">
        <v>8.6666666669999994</v>
      </c>
      <c r="N638">
        <f>IFERROR(VLOOKUP(A638,vlookup_table!$A:$G,2,FALSE),"")</f>
        <v>0</v>
      </c>
      <c r="O638">
        <f>IFERROR(VLOOKUP(A638,vlookup_table!$A:$G,4,FALSE),"")</f>
        <v>0</v>
      </c>
      <c r="P638" t="str">
        <f>IFERROR(VLOOKUP(A638,vlookup_table!$A:$G,5,FALSE),"")</f>
        <v>R3</v>
      </c>
      <c r="Q638">
        <f>IFERROR(VLOOKUP(A638,vlookup_table!$A:$G,7,FALSE),"")</f>
        <v>10</v>
      </c>
      <c r="R638">
        <f t="shared" si="36"/>
        <v>97</v>
      </c>
      <c r="S638" t="str" cm="1">
        <f t="array" ref="S638">IF(P638="","",_xlfn.SWITCH(LEFT(P638,1),"C","Ciudad","T","Pueblo","R","Rural","S","Suburbano","U","Urbano",""))</f>
        <v>Rural</v>
      </c>
      <c r="T638" t="str">
        <f t="shared" si="37"/>
        <v>F</v>
      </c>
      <c r="U638" t="str">
        <f t="shared" si="38"/>
        <v>TX</v>
      </c>
      <c r="V638" t="str">
        <f t="shared" si="39"/>
        <v>11857</v>
      </c>
    </row>
    <row r="639" spans="1:22" x14ac:dyDescent="0.35">
      <c r="A639" s="3">
        <v>18948</v>
      </c>
      <c r="B639" t="s">
        <v>18</v>
      </c>
      <c r="C639" t="s">
        <v>44</v>
      </c>
      <c r="D639">
        <v>1136</v>
      </c>
      <c r="E639">
        <v>505</v>
      </c>
      <c r="F639">
        <v>579</v>
      </c>
      <c r="G639">
        <v>6</v>
      </c>
      <c r="H639">
        <v>19283</v>
      </c>
      <c r="I639">
        <v>0</v>
      </c>
      <c r="J639">
        <v>65</v>
      </c>
      <c r="K639">
        <v>512</v>
      </c>
      <c r="L639">
        <v>553</v>
      </c>
      <c r="M639">
        <v>13.4</v>
      </c>
      <c r="N639">
        <f>IFERROR(VLOOKUP(A639,vlookup_table!$A:$G,2,FALSE),"")</f>
        <v>0</v>
      </c>
      <c r="O639">
        <f>IFERROR(VLOOKUP(A639,vlookup_table!$A:$G,4,FALSE),"")</f>
        <v>5601</v>
      </c>
      <c r="P639" t="str">
        <f>IFERROR(VLOOKUP(A639,vlookup_table!$A:$G,5,FALSE),"")</f>
        <v>S1</v>
      </c>
      <c r="Q639">
        <f>IFERROR(VLOOKUP(A639,vlookup_table!$A:$G,7,FALSE),"")</f>
        <v>17</v>
      </c>
      <c r="R639">
        <f t="shared" si="36"/>
        <v>41</v>
      </c>
      <c r="S639" t="str" cm="1">
        <f t="array" ref="S639">IF(P639="","",_xlfn.SWITCH(LEFT(P639,1),"C","Ciudad","T","Pueblo","R","Rural","S","Suburbano","U","Urbano",""))</f>
        <v>Suburbano</v>
      </c>
      <c r="T639" t="str">
        <f t="shared" si="37"/>
        <v>J</v>
      </c>
      <c r="U639" t="str">
        <f t="shared" si="38"/>
        <v>NC</v>
      </c>
      <c r="V639" t="str">
        <f t="shared" si="39"/>
        <v>19283</v>
      </c>
    </row>
    <row r="640" spans="1:22" x14ac:dyDescent="0.35">
      <c r="A640" s="3">
        <v>7330</v>
      </c>
      <c r="B640" t="s">
        <v>16</v>
      </c>
      <c r="C640" t="s">
        <v>17</v>
      </c>
      <c r="D640">
        <v>623</v>
      </c>
      <c r="E640">
        <v>255</v>
      </c>
      <c r="F640">
        <v>285</v>
      </c>
      <c r="G640">
        <v>3</v>
      </c>
      <c r="H640">
        <v>11108</v>
      </c>
      <c r="I640">
        <v>7</v>
      </c>
      <c r="J640">
        <v>77</v>
      </c>
      <c r="K640">
        <v>294</v>
      </c>
      <c r="L640">
        <v>283</v>
      </c>
      <c r="M640">
        <v>4.4166666670000003</v>
      </c>
      <c r="N640">
        <f>IFERROR(VLOOKUP(A640,vlookup_table!$A:$G,2,FALSE),"")</f>
        <v>2</v>
      </c>
      <c r="O640">
        <f>IFERROR(VLOOKUP(A640,vlookup_table!$A:$G,4,FALSE),"")</f>
        <v>2007</v>
      </c>
      <c r="P640" t="str">
        <f>IFERROR(VLOOKUP(A640,vlookup_table!$A:$G,5,FALSE),"")</f>
        <v>T2</v>
      </c>
      <c r="Q640">
        <f>IFERROR(VLOOKUP(A640,vlookup_table!$A:$G,7,FALSE),"")</f>
        <v>6</v>
      </c>
      <c r="R640">
        <f t="shared" si="36"/>
        <v>77</v>
      </c>
      <c r="S640" t="str" cm="1">
        <f t="array" ref="S640">IF(P640="","",_xlfn.SWITCH(LEFT(P640,1),"C","Ciudad","T","Pueblo","R","Rural","S","Suburbano","U","Urbano",""))</f>
        <v>Pueblo</v>
      </c>
      <c r="T640" t="str">
        <f t="shared" si="37"/>
        <v>F</v>
      </c>
      <c r="U640" t="str">
        <f t="shared" si="38"/>
        <v>IL</v>
      </c>
      <c r="V640" t="str">
        <f t="shared" si="39"/>
        <v>11108</v>
      </c>
    </row>
    <row r="641" spans="1:22" x14ac:dyDescent="0.35">
      <c r="A641" s="3">
        <v>160576</v>
      </c>
      <c r="B641" t="s">
        <v>61</v>
      </c>
      <c r="C641" t="s">
        <v>14</v>
      </c>
      <c r="D641">
        <v>5470</v>
      </c>
      <c r="E641">
        <v>661</v>
      </c>
      <c r="F641">
        <v>778</v>
      </c>
      <c r="G641">
        <v>98</v>
      </c>
      <c r="H641">
        <v>35092</v>
      </c>
      <c r="I641">
        <v>15</v>
      </c>
      <c r="J641">
        <v>47</v>
      </c>
      <c r="K641">
        <v>664</v>
      </c>
      <c r="L641">
        <v>781</v>
      </c>
      <c r="M641">
        <v>9.75</v>
      </c>
      <c r="N641">
        <f>IFERROR(VLOOKUP(A641,vlookup_table!$A:$G,2,FALSE),"")</f>
        <v>1002</v>
      </c>
      <c r="O641">
        <f>IFERROR(VLOOKUP(A641,vlookup_table!$A:$G,4,FALSE),"")</f>
        <v>4012</v>
      </c>
      <c r="P641" t="str">
        <f>IFERROR(VLOOKUP(A641,vlookup_table!$A:$G,5,FALSE),"")</f>
        <v>T1</v>
      </c>
      <c r="Q641">
        <f>IFERROR(VLOOKUP(A641,vlookup_table!$A:$G,7,FALSE),"")</f>
        <v>15</v>
      </c>
      <c r="R641">
        <f t="shared" si="36"/>
        <v>57</v>
      </c>
      <c r="S641" t="str" cm="1">
        <f t="array" ref="S641">IF(P641="","",_xlfn.SWITCH(LEFT(P641,1),"C","Ciudad","T","Pueblo","R","Rural","S","Suburbano","U","Urbano",""))</f>
        <v>Pueblo</v>
      </c>
      <c r="T641" t="str">
        <f t="shared" si="37"/>
        <v>M</v>
      </c>
      <c r="U641" t="str">
        <f t="shared" si="38"/>
        <v>CA</v>
      </c>
      <c r="V641" t="str">
        <f t="shared" si="39"/>
        <v>35092</v>
      </c>
    </row>
    <row r="642" spans="1:22" x14ac:dyDescent="0.35">
      <c r="A642" s="3">
        <v>72190</v>
      </c>
      <c r="B642" t="s">
        <v>29</v>
      </c>
      <c r="C642" t="s">
        <v>14</v>
      </c>
      <c r="D642">
        <v>673</v>
      </c>
      <c r="E642">
        <v>354</v>
      </c>
      <c r="F642">
        <v>438</v>
      </c>
      <c r="G642">
        <v>0</v>
      </c>
      <c r="H642">
        <v>14995</v>
      </c>
      <c r="I642">
        <v>4</v>
      </c>
      <c r="J642">
        <v>79</v>
      </c>
      <c r="K642">
        <v>394</v>
      </c>
      <c r="L642">
        <v>406</v>
      </c>
      <c r="M642">
        <v>5.7391304349999999</v>
      </c>
      <c r="N642">
        <f>IFERROR(VLOOKUP(A642,vlookup_table!$A:$G,2,FALSE),"")</f>
        <v>2</v>
      </c>
      <c r="O642">
        <f>IFERROR(VLOOKUP(A642,vlookup_table!$A:$G,4,FALSE),"")</f>
        <v>1312</v>
      </c>
      <c r="P642" t="str">
        <f>IFERROR(VLOOKUP(A642,vlookup_table!$A:$G,5,FALSE),"")</f>
        <v>T1</v>
      </c>
      <c r="Q642">
        <f>IFERROR(VLOOKUP(A642,vlookup_table!$A:$G,7,FALSE),"")</f>
        <v>13</v>
      </c>
      <c r="R642">
        <f t="shared" ref="R642:R705" si="40">IF(O642="","",97-INT(O642/100))</f>
        <v>84</v>
      </c>
      <c r="S642" t="str" cm="1">
        <f t="array" ref="S642">IF(P642="","",_xlfn.SWITCH(LEFT(P642,1),"C","Ciudad","T","Pueblo","R","Rural","S","Suburbano","U","Urbano",""))</f>
        <v>Pueblo</v>
      </c>
      <c r="T642" t="str">
        <f t="shared" ref="T642:T705" si="41">IF(C642="","",IF(OR(UPPER(C642)="M",UPPER(C642)="MALE"),"M",IF(OR(UPPER(C642)="F",UPPER(C642)="FEMALE",UPPER(C642)="FEAMALE"),"F",C642)))</f>
        <v>M</v>
      </c>
      <c r="U642" t="str">
        <f t="shared" ref="U642:U705" si="42">IF(OR(UPPER(B642)="CALIFORNIA",UPPER(B642)="CALI"),"CA",B642)</f>
        <v>MI</v>
      </c>
      <c r="V642" t="str">
        <f t="shared" ref="V642:V705" si="43">SUBSTITUTE(H642,"@","")</f>
        <v>14995</v>
      </c>
    </row>
    <row r="643" spans="1:22" x14ac:dyDescent="0.35">
      <c r="A643" s="3">
        <v>13292</v>
      </c>
      <c r="B643" t="s">
        <v>57</v>
      </c>
      <c r="C643" t="s">
        <v>17</v>
      </c>
      <c r="D643">
        <v>582</v>
      </c>
      <c r="E643">
        <v>254</v>
      </c>
      <c r="F643">
        <v>364</v>
      </c>
      <c r="G643">
        <v>0</v>
      </c>
      <c r="H643">
        <v>12981</v>
      </c>
      <c r="I643">
        <v>0</v>
      </c>
      <c r="J643">
        <v>75</v>
      </c>
      <c r="K643">
        <v>359</v>
      </c>
      <c r="L643">
        <v>297</v>
      </c>
      <c r="M643">
        <v>6.3571428570000004</v>
      </c>
      <c r="N643">
        <f>IFERROR(VLOOKUP(A643,vlookup_table!$A:$G,2,FALSE),"")</f>
        <v>0</v>
      </c>
      <c r="O643">
        <f>IFERROR(VLOOKUP(A643,vlookup_table!$A:$G,4,FALSE),"")</f>
        <v>0</v>
      </c>
      <c r="P643" t="str">
        <f>IFERROR(VLOOKUP(A643,vlookup_table!$A:$G,5,FALSE),"")</f>
        <v>T2</v>
      </c>
      <c r="Q643">
        <f>IFERROR(VLOOKUP(A643,vlookup_table!$A:$G,7,FALSE),"")</f>
        <v>10</v>
      </c>
      <c r="R643">
        <f t="shared" si="40"/>
        <v>97</v>
      </c>
      <c r="S643" t="str" cm="1">
        <f t="array" ref="S643">IF(P643="","",_xlfn.SWITCH(LEFT(P643,1),"C","Ciudad","T","Pueblo","R","Rural","S","Suburbano","U","Urbano",""))</f>
        <v>Pueblo</v>
      </c>
      <c r="T643" t="str">
        <f t="shared" si="41"/>
        <v>F</v>
      </c>
      <c r="U643" t="str">
        <f t="shared" si="42"/>
        <v>KY</v>
      </c>
      <c r="V643" t="str">
        <f t="shared" si="43"/>
        <v>12981</v>
      </c>
    </row>
    <row r="644" spans="1:22" x14ac:dyDescent="0.35">
      <c r="A644" s="3">
        <v>13551</v>
      </c>
      <c r="B644" t="s">
        <v>61</v>
      </c>
      <c r="C644" t="s">
        <v>17</v>
      </c>
      <c r="D644">
        <v>4392</v>
      </c>
      <c r="E644">
        <v>516</v>
      </c>
      <c r="F644">
        <v>549</v>
      </c>
      <c r="G644">
        <v>98</v>
      </c>
      <c r="H644">
        <v>21857</v>
      </c>
      <c r="I644">
        <v>11</v>
      </c>
      <c r="J644">
        <v>57</v>
      </c>
      <c r="K644">
        <v>539</v>
      </c>
      <c r="L644">
        <v>509</v>
      </c>
      <c r="M644">
        <v>28.92307692</v>
      </c>
      <c r="N644">
        <f>IFERROR(VLOOKUP(A644,vlookup_table!$A:$G,2,FALSE),"")</f>
        <v>0</v>
      </c>
      <c r="O644">
        <f>IFERROR(VLOOKUP(A644,vlookup_table!$A:$G,4,FALSE),"")</f>
        <v>6201</v>
      </c>
      <c r="P644">
        <f>IFERROR(VLOOKUP(A644,vlookup_table!$A:$G,5,FALSE),"")</f>
        <v>0</v>
      </c>
      <c r="Q644">
        <f>IFERROR(VLOOKUP(A644,vlookup_table!$A:$G,7,FALSE),"")</f>
        <v>10</v>
      </c>
      <c r="R644">
        <f t="shared" si="40"/>
        <v>35</v>
      </c>
      <c r="S644" t="str" cm="1">
        <f t="array" ref="S644">IF(P644="","",_xlfn.SWITCH(LEFT(P644,1),"C","Ciudad","T","Pueblo","R","Rural","S","Suburbano","U","Urbano",""))</f>
        <v/>
      </c>
      <c r="T644" t="str">
        <f t="shared" si="41"/>
        <v>F</v>
      </c>
      <c r="U644" t="str">
        <f t="shared" si="42"/>
        <v>CA</v>
      </c>
      <c r="V644" t="str">
        <f t="shared" si="43"/>
        <v>21857</v>
      </c>
    </row>
    <row r="645" spans="1:22" x14ac:dyDescent="0.35">
      <c r="A645" s="3">
        <v>170935</v>
      </c>
      <c r="B645" t="s">
        <v>61</v>
      </c>
      <c r="C645" t="s">
        <v>17</v>
      </c>
      <c r="D645">
        <v>1468</v>
      </c>
      <c r="E645">
        <v>365</v>
      </c>
      <c r="F645">
        <v>371</v>
      </c>
      <c r="G645">
        <v>18</v>
      </c>
      <c r="H645">
        <v>13469</v>
      </c>
      <c r="I645">
        <v>4</v>
      </c>
      <c r="J645">
        <v>68</v>
      </c>
      <c r="K645">
        <v>363</v>
      </c>
      <c r="L645">
        <v>361</v>
      </c>
      <c r="M645">
        <v>10.66666667</v>
      </c>
      <c r="N645">
        <f>IFERROR(VLOOKUP(A645,vlookup_table!$A:$G,2,FALSE),"")</f>
        <v>0</v>
      </c>
      <c r="O645">
        <f>IFERROR(VLOOKUP(A645,vlookup_table!$A:$G,4,FALSE),"")</f>
        <v>0</v>
      </c>
      <c r="P645" t="str">
        <f>IFERROR(VLOOKUP(A645,vlookup_table!$A:$G,5,FALSE),"")</f>
        <v>R2</v>
      </c>
      <c r="Q645">
        <f>IFERROR(VLOOKUP(A645,vlookup_table!$A:$G,7,FALSE),"")</f>
        <v>10</v>
      </c>
      <c r="R645">
        <f t="shared" si="40"/>
        <v>97</v>
      </c>
      <c r="S645" t="str" cm="1">
        <f t="array" ref="S645">IF(P645="","",_xlfn.SWITCH(LEFT(P645,1),"C","Ciudad","T","Pueblo","R","Rural","S","Suburbano","U","Urbano",""))</f>
        <v>Rural</v>
      </c>
      <c r="T645" t="str">
        <f t="shared" si="41"/>
        <v>F</v>
      </c>
      <c r="U645" t="str">
        <f t="shared" si="42"/>
        <v>CA</v>
      </c>
      <c r="V645" t="str">
        <f t="shared" si="43"/>
        <v>13469</v>
      </c>
    </row>
    <row r="646" spans="1:22" x14ac:dyDescent="0.35">
      <c r="A646" s="3">
        <v>126888</v>
      </c>
      <c r="B646" t="s">
        <v>21</v>
      </c>
      <c r="C646" t="s">
        <v>14</v>
      </c>
      <c r="D646">
        <v>764</v>
      </c>
      <c r="E646">
        <v>320</v>
      </c>
      <c r="F646">
        <v>406</v>
      </c>
      <c r="G646">
        <v>1</v>
      </c>
      <c r="H646">
        <v>11242</v>
      </c>
      <c r="I646">
        <v>1</v>
      </c>
      <c r="J646">
        <v>77</v>
      </c>
      <c r="K646">
        <v>363</v>
      </c>
      <c r="L646">
        <v>377</v>
      </c>
      <c r="M646">
        <v>20</v>
      </c>
      <c r="N646">
        <f>IFERROR(VLOOKUP(A646,vlookup_table!$A:$G,2,FALSE),"")</f>
        <v>1</v>
      </c>
      <c r="O646">
        <f>IFERROR(VLOOKUP(A646,vlookup_table!$A:$G,4,FALSE),"")</f>
        <v>5601</v>
      </c>
      <c r="P646" t="str">
        <f>IFERROR(VLOOKUP(A646,vlookup_table!$A:$G,5,FALSE),"")</f>
        <v>T2</v>
      </c>
      <c r="Q646">
        <f>IFERROR(VLOOKUP(A646,vlookup_table!$A:$G,7,FALSE),"")</f>
        <v>20</v>
      </c>
      <c r="R646">
        <f t="shared" si="40"/>
        <v>41</v>
      </c>
      <c r="S646" t="str" cm="1">
        <f t="array" ref="S646">IF(P646="","",_xlfn.SWITCH(LEFT(P646,1),"C","Ciudad","T","Pueblo","R","Rural","S","Suburbano","U","Urbano",""))</f>
        <v>Pueblo</v>
      </c>
      <c r="T646" t="str">
        <f t="shared" si="41"/>
        <v>M</v>
      </c>
      <c r="U646" t="str">
        <f t="shared" si="42"/>
        <v>TX</v>
      </c>
      <c r="V646" t="str">
        <f t="shared" si="43"/>
        <v>11242</v>
      </c>
    </row>
    <row r="647" spans="1:22" x14ac:dyDescent="0.35">
      <c r="A647" s="3">
        <v>170215</v>
      </c>
      <c r="B647" t="s">
        <v>61</v>
      </c>
      <c r="C647" t="s">
        <v>17</v>
      </c>
      <c r="D647">
        <v>1274</v>
      </c>
      <c r="E647">
        <v>405</v>
      </c>
      <c r="F647">
        <v>439</v>
      </c>
      <c r="G647">
        <v>9</v>
      </c>
      <c r="H647">
        <v>12537</v>
      </c>
      <c r="I647">
        <v>9</v>
      </c>
      <c r="J647">
        <v>67</v>
      </c>
      <c r="K647">
        <v>462</v>
      </c>
      <c r="L647">
        <v>404</v>
      </c>
      <c r="M647">
        <v>4.4545454549999999</v>
      </c>
      <c r="N647">
        <f>IFERROR(VLOOKUP(A647,vlookup_table!$A:$G,2,FALSE),"")</f>
        <v>0</v>
      </c>
      <c r="O647">
        <f>IFERROR(VLOOKUP(A647,vlookup_table!$A:$G,4,FALSE),"")</f>
        <v>2001</v>
      </c>
      <c r="P647" t="str">
        <f>IFERROR(VLOOKUP(A647,vlookup_table!$A:$G,5,FALSE),"")</f>
        <v>T2</v>
      </c>
      <c r="Q647">
        <f>IFERROR(VLOOKUP(A647,vlookup_table!$A:$G,7,FALSE),"")</f>
        <v>8</v>
      </c>
      <c r="R647">
        <f t="shared" si="40"/>
        <v>77</v>
      </c>
      <c r="S647" t="str" cm="1">
        <f t="array" ref="S647">IF(P647="","",_xlfn.SWITCH(LEFT(P647,1),"C","Ciudad","T","Pueblo","R","Rural","S","Suburbano","U","Urbano",""))</f>
        <v>Pueblo</v>
      </c>
      <c r="T647" t="str">
        <f t="shared" si="41"/>
        <v>F</v>
      </c>
      <c r="U647" t="str">
        <f t="shared" si="42"/>
        <v>CA</v>
      </c>
      <c r="V647" t="str">
        <f t="shared" si="43"/>
        <v>12537</v>
      </c>
    </row>
    <row r="648" spans="1:22" x14ac:dyDescent="0.35">
      <c r="A648" s="3">
        <v>168574</v>
      </c>
      <c r="B648" t="s">
        <v>61</v>
      </c>
      <c r="C648" t="s">
        <v>14</v>
      </c>
      <c r="D648">
        <v>1749</v>
      </c>
      <c r="E648">
        <v>234</v>
      </c>
      <c r="F648">
        <v>327</v>
      </c>
      <c r="G648">
        <v>21</v>
      </c>
      <c r="H648">
        <v>14571</v>
      </c>
      <c r="I648">
        <v>15</v>
      </c>
      <c r="J648">
        <v>49</v>
      </c>
      <c r="K648">
        <v>281</v>
      </c>
      <c r="L648">
        <v>291</v>
      </c>
      <c r="M648">
        <v>27.5</v>
      </c>
      <c r="N648">
        <f>IFERROR(VLOOKUP(A648,vlookup_table!$A:$G,2,FALSE),"")</f>
        <v>1</v>
      </c>
      <c r="O648">
        <f>IFERROR(VLOOKUP(A648,vlookup_table!$A:$G,4,FALSE),"")</f>
        <v>0</v>
      </c>
      <c r="P648" t="str">
        <f>IFERROR(VLOOKUP(A648,vlookup_table!$A:$G,5,FALSE),"")</f>
        <v>U3</v>
      </c>
      <c r="Q648">
        <f>IFERROR(VLOOKUP(A648,vlookup_table!$A:$G,7,FALSE),"")</f>
        <v>100</v>
      </c>
      <c r="R648">
        <f t="shared" si="40"/>
        <v>97</v>
      </c>
      <c r="S648" t="str" cm="1">
        <f t="array" ref="S648">IF(P648="","",_xlfn.SWITCH(LEFT(P648,1),"C","Ciudad","T","Pueblo","R","Rural","S","Suburbano","U","Urbano",""))</f>
        <v>Urbano</v>
      </c>
      <c r="T648" t="str">
        <f t="shared" si="41"/>
        <v>M</v>
      </c>
      <c r="U648" t="str">
        <f t="shared" si="42"/>
        <v>CA</v>
      </c>
      <c r="V648" t="str">
        <f t="shared" si="43"/>
        <v>14571</v>
      </c>
    </row>
    <row r="649" spans="1:22" x14ac:dyDescent="0.35">
      <c r="A649" s="3">
        <v>90482</v>
      </c>
      <c r="B649" t="s">
        <v>16</v>
      </c>
      <c r="C649" t="s">
        <v>14</v>
      </c>
      <c r="D649">
        <v>1509</v>
      </c>
      <c r="E649">
        <v>545</v>
      </c>
      <c r="F649">
        <v>680</v>
      </c>
      <c r="G649">
        <v>19</v>
      </c>
      <c r="H649">
        <v>23170</v>
      </c>
      <c r="I649">
        <v>7</v>
      </c>
      <c r="J649">
        <v>75</v>
      </c>
      <c r="K649">
        <v>617</v>
      </c>
      <c r="L649">
        <v>599</v>
      </c>
      <c r="M649">
        <v>11.125</v>
      </c>
      <c r="N649">
        <f>IFERROR(VLOOKUP(A649,vlookup_table!$A:$G,2,FALSE),"")</f>
        <v>1</v>
      </c>
      <c r="O649">
        <f>IFERROR(VLOOKUP(A649,vlookup_table!$A:$G,4,FALSE),"")</f>
        <v>5003</v>
      </c>
      <c r="P649" t="str">
        <f>IFERROR(VLOOKUP(A649,vlookup_table!$A:$G,5,FALSE),"")</f>
        <v>C1</v>
      </c>
      <c r="Q649">
        <f>IFERROR(VLOOKUP(A649,vlookup_table!$A:$G,7,FALSE),"")</f>
        <v>20</v>
      </c>
      <c r="R649">
        <f t="shared" si="40"/>
        <v>47</v>
      </c>
      <c r="S649" t="str" cm="1">
        <f t="array" ref="S649">IF(P649="","",_xlfn.SWITCH(LEFT(P649,1),"C","Ciudad","T","Pueblo","R","Rural","S","Suburbano","U","Urbano",""))</f>
        <v>Ciudad</v>
      </c>
      <c r="T649" t="str">
        <f t="shared" si="41"/>
        <v>M</v>
      </c>
      <c r="U649" t="str">
        <f t="shared" si="42"/>
        <v>IL</v>
      </c>
      <c r="V649" t="str">
        <f t="shared" si="43"/>
        <v>23170</v>
      </c>
    </row>
    <row r="650" spans="1:22" x14ac:dyDescent="0.35">
      <c r="A650" s="3">
        <v>18896</v>
      </c>
      <c r="B650" t="s">
        <v>18</v>
      </c>
      <c r="C650" t="s">
        <v>14</v>
      </c>
      <c r="D650">
        <v>816</v>
      </c>
      <c r="E650">
        <v>357</v>
      </c>
      <c r="F650">
        <v>458</v>
      </c>
      <c r="G650">
        <v>5</v>
      </c>
      <c r="H650">
        <v>17434</v>
      </c>
      <c r="I650">
        <v>0</v>
      </c>
      <c r="J650">
        <v>76</v>
      </c>
      <c r="K650">
        <v>384</v>
      </c>
      <c r="L650">
        <v>413</v>
      </c>
      <c r="M650">
        <v>11.6</v>
      </c>
      <c r="N650">
        <f>IFERROR(VLOOKUP(A650,vlookup_table!$A:$G,2,FALSE),"")</f>
        <v>1002</v>
      </c>
      <c r="O650">
        <f>IFERROR(VLOOKUP(A650,vlookup_table!$A:$G,4,FALSE),"")</f>
        <v>3501</v>
      </c>
      <c r="P650" t="str">
        <f>IFERROR(VLOOKUP(A650,vlookup_table!$A:$G,5,FALSE),"")</f>
        <v>T2</v>
      </c>
      <c r="Q650">
        <f>IFERROR(VLOOKUP(A650,vlookup_table!$A:$G,7,FALSE),"")</f>
        <v>20</v>
      </c>
      <c r="R650">
        <f t="shared" si="40"/>
        <v>62</v>
      </c>
      <c r="S650" t="str" cm="1">
        <f t="array" ref="S650">IF(P650="","",_xlfn.SWITCH(LEFT(P650,1),"C","Ciudad","T","Pueblo","R","Rural","S","Suburbano","U","Urbano",""))</f>
        <v>Pueblo</v>
      </c>
      <c r="T650" t="str">
        <f t="shared" si="41"/>
        <v>M</v>
      </c>
      <c r="U650" t="str">
        <f t="shared" si="42"/>
        <v>NC</v>
      </c>
      <c r="V650" t="str">
        <f t="shared" si="43"/>
        <v>17434</v>
      </c>
    </row>
    <row r="651" spans="1:22" x14ac:dyDescent="0.35">
      <c r="A651" s="3">
        <v>161335</v>
      </c>
      <c r="B651" t="s">
        <v>61</v>
      </c>
      <c r="C651" t="s">
        <v>17</v>
      </c>
      <c r="D651">
        <v>905</v>
      </c>
      <c r="E651">
        <v>223</v>
      </c>
      <c r="F651">
        <v>263</v>
      </c>
      <c r="G651">
        <v>3</v>
      </c>
      <c r="H651">
        <v>8614</v>
      </c>
      <c r="I651">
        <v>6</v>
      </c>
      <c r="J651">
        <v>57</v>
      </c>
      <c r="K651">
        <v>241</v>
      </c>
      <c r="L651">
        <v>244</v>
      </c>
      <c r="M651">
        <v>6.1111111109999996</v>
      </c>
      <c r="N651">
        <f>IFERROR(VLOOKUP(A651,vlookup_table!$A:$G,2,FALSE),"")</f>
        <v>0</v>
      </c>
      <c r="O651">
        <f>IFERROR(VLOOKUP(A651,vlookup_table!$A:$G,4,FALSE),"")</f>
        <v>2601</v>
      </c>
      <c r="P651" t="str">
        <f>IFERROR(VLOOKUP(A651,vlookup_table!$A:$G,5,FALSE),"")</f>
        <v>R2</v>
      </c>
      <c r="Q651" t="str">
        <f>IFERROR(VLOOKUP(A651,vlookup_table!$A:$G,7,FALSE),"")</f>
        <v>13.92</v>
      </c>
      <c r="R651">
        <f t="shared" si="40"/>
        <v>71</v>
      </c>
      <c r="S651" t="str" cm="1">
        <f t="array" ref="S651">IF(P651="","",_xlfn.SWITCH(LEFT(P651,1),"C","Ciudad","T","Pueblo","R","Rural","S","Suburbano","U","Urbano",""))</f>
        <v>Rural</v>
      </c>
      <c r="T651" t="str">
        <f t="shared" si="41"/>
        <v>F</v>
      </c>
      <c r="U651" t="str">
        <f t="shared" si="42"/>
        <v>CA</v>
      </c>
      <c r="V651" t="str">
        <f t="shared" si="43"/>
        <v>8614</v>
      </c>
    </row>
    <row r="652" spans="1:22" x14ac:dyDescent="0.35">
      <c r="A652" s="3">
        <v>82141</v>
      </c>
      <c r="B652" t="s">
        <v>56</v>
      </c>
      <c r="C652" t="s">
        <v>17</v>
      </c>
      <c r="D652">
        <v>1027</v>
      </c>
      <c r="E652">
        <v>444</v>
      </c>
      <c r="F652">
        <v>475</v>
      </c>
      <c r="G652">
        <v>0</v>
      </c>
      <c r="H652">
        <v>14926</v>
      </c>
      <c r="I652">
        <v>1</v>
      </c>
      <c r="J652">
        <v>69</v>
      </c>
      <c r="K652">
        <v>451</v>
      </c>
      <c r="L652">
        <v>475</v>
      </c>
      <c r="M652">
        <v>8.5</v>
      </c>
      <c r="N652">
        <f>IFERROR(VLOOKUP(A652,vlookup_table!$A:$G,2,FALSE),"")</f>
        <v>2</v>
      </c>
      <c r="O652">
        <f>IFERROR(VLOOKUP(A652,vlookup_table!$A:$G,4,FALSE),"")</f>
        <v>3801</v>
      </c>
      <c r="P652" t="str">
        <f>IFERROR(VLOOKUP(A652,vlookup_table!$A:$G,5,FALSE),"")</f>
        <v>S2</v>
      </c>
      <c r="Q652">
        <f>IFERROR(VLOOKUP(A652,vlookup_table!$A:$G,7,FALSE),"")</f>
        <v>10</v>
      </c>
      <c r="R652">
        <f t="shared" si="40"/>
        <v>59</v>
      </c>
      <c r="S652" t="str" cm="1">
        <f t="array" ref="S652">IF(P652="","",_xlfn.SWITCH(LEFT(P652,1),"C","Ciudad","T","Pueblo","R","Rural","S","Suburbano","U","Urbano",""))</f>
        <v>Suburbano</v>
      </c>
      <c r="T652" t="str">
        <f t="shared" si="41"/>
        <v>F</v>
      </c>
      <c r="U652" t="str">
        <f t="shared" si="42"/>
        <v>MN</v>
      </c>
      <c r="V652" t="str">
        <f t="shared" si="43"/>
        <v>14926</v>
      </c>
    </row>
    <row r="653" spans="1:22" x14ac:dyDescent="0.35">
      <c r="A653" s="3">
        <v>187659</v>
      </c>
      <c r="B653" t="s">
        <v>53</v>
      </c>
      <c r="C653" t="s">
        <v>17</v>
      </c>
      <c r="D653">
        <v>871</v>
      </c>
      <c r="E653">
        <v>464</v>
      </c>
      <c r="F653">
        <v>539</v>
      </c>
      <c r="G653">
        <v>0</v>
      </c>
      <c r="H653">
        <v>18279</v>
      </c>
      <c r="I653">
        <v>3</v>
      </c>
      <c r="J653">
        <v>47</v>
      </c>
      <c r="K653">
        <v>501</v>
      </c>
      <c r="L653">
        <v>503</v>
      </c>
      <c r="M653">
        <v>9</v>
      </c>
      <c r="N653">
        <f>IFERROR(VLOOKUP(A653,vlookup_table!$A:$G,2,FALSE),"")</f>
        <v>0</v>
      </c>
      <c r="O653">
        <f>IFERROR(VLOOKUP(A653,vlookup_table!$A:$G,4,FALSE),"")</f>
        <v>0</v>
      </c>
      <c r="P653" t="str">
        <f>IFERROR(VLOOKUP(A653,vlookup_table!$A:$G,5,FALSE),"")</f>
        <v>T2</v>
      </c>
      <c r="Q653">
        <f>IFERROR(VLOOKUP(A653,vlookup_table!$A:$G,7,FALSE),"")</f>
        <v>15</v>
      </c>
      <c r="R653">
        <f t="shared" si="40"/>
        <v>97</v>
      </c>
      <c r="S653" t="str" cm="1">
        <f t="array" ref="S653">IF(P653="","",_xlfn.SWITCH(LEFT(P653,1),"C","Ciudad","T","Pueblo","R","Rural","S","Suburbano","U","Urbano",""))</f>
        <v>Pueblo</v>
      </c>
      <c r="T653" t="str">
        <f t="shared" si="41"/>
        <v>F</v>
      </c>
      <c r="U653" t="str">
        <f t="shared" si="42"/>
        <v>TN</v>
      </c>
      <c r="V653" t="str">
        <f t="shared" si="43"/>
        <v>18279</v>
      </c>
    </row>
    <row r="654" spans="1:22" x14ac:dyDescent="0.35">
      <c r="A654" s="3">
        <v>143523</v>
      </c>
      <c r="B654" t="s">
        <v>61</v>
      </c>
      <c r="C654" t="s">
        <v>17</v>
      </c>
      <c r="D654">
        <v>2833</v>
      </c>
      <c r="E654">
        <v>207</v>
      </c>
      <c r="F654">
        <v>278</v>
      </c>
      <c r="G654">
        <v>77</v>
      </c>
      <c r="H654">
        <v>15398</v>
      </c>
      <c r="I654">
        <v>60</v>
      </c>
      <c r="J654">
        <v>12</v>
      </c>
      <c r="K654">
        <v>172</v>
      </c>
      <c r="L654">
        <v>282</v>
      </c>
      <c r="M654">
        <v>3.7058823529999998</v>
      </c>
      <c r="N654">
        <f>IFERROR(VLOOKUP(A654,vlookup_table!$A:$G,2,FALSE),"")</f>
        <v>0</v>
      </c>
      <c r="O654">
        <f>IFERROR(VLOOKUP(A654,vlookup_table!$A:$G,4,FALSE),"")</f>
        <v>1901</v>
      </c>
      <c r="P654" t="str">
        <f>IFERROR(VLOOKUP(A654,vlookup_table!$A:$G,5,FALSE),"")</f>
        <v>U2</v>
      </c>
      <c r="Q654">
        <f>IFERROR(VLOOKUP(A654,vlookup_table!$A:$G,7,FALSE),"")</f>
        <v>3</v>
      </c>
      <c r="R654">
        <f t="shared" si="40"/>
        <v>78</v>
      </c>
      <c r="S654" t="str" cm="1">
        <f t="array" ref="S654">IF(P654="","",_xlfn.SWITCH(LEFT(P654,1),"C","Ciudad","T","Pueblo","R","Rural","S","Suburbano","U","Urbano",""))</f>
        <v>Urbano</v>
      </c>
      <c r="T654" t="str">
        <f t="shared" si="41"/>
        <v>F</v>
      </c>
      <c r="U654" t="str">
        <f t="shared" si="42"/>
        <v>CA</v>
      </c>
      <c r="V654" t="str">
        <f t="shared" si="43"/>
        <v>15398</v>
      </c>
    </row>
    <row r="655" spans="1:22" x14ac:dyDescent="0.35">
      <c r="A655" s="3">
        <v>64442</v>
      </c>
      <c r="B655" t="s">
        <v>33</v>
      </c>
      <c r="C655" t="s">
        <v>14</v>
      </c>
      <c r="D655">
        <v>428</v>
      </c>
      <c r="E655">
        <v>240</v>
      </c>
      <c r="F655">
        <v>324</v>
      </c>
      <c r="G655">
        <v>0</v>
      </c>
      <c r="H655">
        <v>10020</v>
      </c>
      <c r="I655">
        <v>0</v>
      </c>
      <c r="J655">
        <v>78</v>
      </c>
      <c r="K655">
        <v>319</v>
      </c>
      <c r="L655">
        <v>268</v>
      </c>
      <c r="M655">
        <v>8</v>
      </c>
      <c r="N655">
        <f>IFERROR(VLOOKUP(A655,vlookup_table!$A:$G,2,FALSE),"")</f>
        <v>1</v>
      </c>
      <c r="O655">
        <f>IFERROR(VLOOKUP(A655,vlookup_table!$A:$G,4,FALSE),"")</f>
        <v>5201</v>
      </c>
      <c r="P655" t="str">
        <f>IFERROR(VLOOKUP(A655,vlookup_table!$A:$G,5,FALSE),"")</f>
        <v>R2</v>
      </c>
      <c r="Q655">
        <f>IFERROR(VLOOKUP(A655,vlookup_table!$A:$G,7,FALSE),"")</f>
        <v>8</v>
      </c>
      <c r="R655">
        <f t="shared" si="40"/>
        <v>45</v>
      </c>
      <c r="S655" t="str" cm="1">
        <f t="array" ref="S655">IF(P655="","",_xlfn.SWITCH(LEFT(P655,1),"C","Ciudad","T","Pueblo","R","Rural","S","Suburbano","U","Urbano",""))</f>
        <v>Rural</v>
      </c>
      <c r="T655" t="str">
        <f t="shared" si="41"/>
        <v>M</v>
      </c>
      <c r="U655" t="str">
        <f t="shared" si="42"/>
        <v>IN</v>
      </c>
      <c r="V655" t="str">
        <f t="shared" si="43"/>
        <v>10020</v>
      </c>
    </row>
    <row r="656" spans="1:22" x14ac:dyDescent="0.35">
      <c r="A656" s="3">
        <v>151902</v>
      </c>
      <c r="B656" t="s">
        <v>61</v>
      </c>
      <c r="C656" t="s">
        <v>14</v>
      </c>
      <c r="D656">
        <v>1088</v>
      </c>
      <c r="E656">
        <v>278</v>
      </c>
      <c r="F656">
        <v>380</v>
      </c>
      <c r="G656">
        <v>19</v>
      </c>
      <c r="H656">
        <v>15011</v>
      </c>
      <c r="I656">
        <v>18</v>
      </c>
      <c r="J656">
        <v>35</v>
      </c>
      <c r="K656">
        <v>308</v>
      </c>
      <c r="L656">
        <v>335</v>
      </c>
      <c r="M656">
        <v>7.2857142860000002</v>
      </c>
      <c r="N656">
        <f>IFERROR(VLOOKUP(A656,vlookup_table!$A:$G,2,FALSE),"")</f>
        <v>1</v>
      </c>
      <c r="O656">
        <f>IFERROR(VLOOKUP(A656,vlookup_table!$A:$G,4,FALSE),"")</f>
        <v>5001</v>
      </c>
      <c r="P656" t="str">
        <f>IFERROR(VLOOKUP(A656,vlookup_table!$A:$G,5,FALSE),"")</f>
        <v>C2</v>
      </c>
      <c r="Q656">
        <f>IFERROR(VLOOKUP(A656,vlookup_table!$A:$G,7,FALSE),"")</f>
        <v>10</v>
      </c>
      <c r="R656">
        <f t="shared" si="40"/>
        <v>47</v>
      </c>
      <c r="S656" t="str" cm="1">
        <f t="array" ref="S656">IF(P656="","",_xlfn.SWITCH(LEFT(P656,1),"C","Ciudad","T","Pueblo","R","Rural","S","Suburbano","U","Urbano",""))</f>
        <v>Ciudad</v>
      </c>
      <c r="T656" t="str">
        <f t="shared" si="41"/>
        <v>M</v>
      </c>
      <c r="U656" t="str">
        <f t="shared" si="42"/>
        <v>CA</v>
      </c>
      <c r="V656" t="str">
        <f t="shared" si="43"/>
        <v>15011</v>
      </c>
    </row>
    <row r="657" spans="1:22" x14ac:dyDescent="0.35">
      <c r="A657" s="3">
        <v>140027</v>
      </c>
      <c r="B657" t="s">
        <v>54</v>
      </c>
      <c r="C657" t="s">
        <v>17</v>
      </c>
      <c r="D657">
        <v>1304</v>
      </c>
      <c r="E657">
        <v>205</v>
      </c>
      <c r="F657">
        <v>330</v>
      </c>
      <c r="G657">
        <v>19</v>
      </c>
      <c r="H657">
        <v>19336</v>
      </c>
      <c r="I657">
        <v>4</v>
      </c>
      <c r="J657">
        <v>24</v>
      </c>
      <c r="K657">
        <v>222</v>
      </c>
      <c r="L657">
        <v>288</v>
      </c>
      <c r="M657">
        <v>17.09090909</v>
      </c>
      <c r="N657">
        <f>IFERROR(VLOOKUP(A657,vlookup_table!$A:$G,2,FALSE),"")</f>
        <v>0</v>
      </c>
      <c r="O657">
        <f>IFERROR(VLOOKUP(A657,vlookup_table!$A:$G,4,FALSE),"")</f>
        <v>0</v>
      </c>
      <c r="P657" t="str">
        <f>IFERROR(VLOOKUP(A657,vlookup_table!$A:$G,5,FALSE),"")</f>
        <v>T2</v>
      </c>
      <c r="Q657">
        <f>IFERROR(VLOOKUP(A657,vlookup_table!$A:$G,7,FALSE),"")</f>
        <v>25</v>
      </c>
      <c r="R657">
        <f t="shared" si="40"/>
        <v>97</v>
      </c>
      <c r="S657" t="str" cm="1">
        <f t="array" ref="S657">IF(P657="","",_xlfn.SWITCH(LEFT(P657,1),"C","Ciudad","T","Pueblo","R","Rural","S","Suburbano","U","Urbano",""))</f>
        <v>Pueblo</v>
      </c>
      <c r="T657" t="str">
        <f t="shared" si="41"/>
        <v>F</v>
      </c>
      <c r="U657" t="str">
        <f t="shared" si="42"/>
        <v>NM</v>
      </c>
      <c r="V657" t="str">
        <f t="shared" si="43"/>
        <v>19336</v>
      </c>
    </row>
    <row r="658" spans="1:22" x14ac:dyDescent="0.35">
      <c r="A658" s="3">
        <v>147636</v>
      </c>
      <c r="B658" t="s">
        <v>61</v>
      </c>
      <c r="C658" t="s">
        <v>14</v>
      </c>
      <c r="D658">
        <v>1859</v>
      </c>
      <c r="E658">
        <v>420</v>
      </c>
      <c r="F658">
        <v>461</v>
      </c>
      <c r="G658">
        <v>34</v>
      </c>
      <c r="H658">
        <v>12512</v>
      </c>
      <c r="I658">
        <v>22</v>
      </c>
      <c r="J658">
        <v>41</v>
      </c>
      <c r="K658">
        <v>407</v>
      </c>
      <c r="L658">
        <v>465</v>
      </c>
      <c r="M658">
        <v>4.2727272730000001</v>
      </c>
      <c r="N658">
        <f>IFERROR(VLOOKUP(A658,vlookup_table!$A:$G,2,FALSE),"")</f>
        <v>1</v>
      </c>
      <c r="O658">
        <f>IFERROR(VLOOKUP(A658,vlookup_table!$A:$G,4,FALSE),"")</f>
        <v>1601</v>
      </c>
      <c r="P658" t="str">
        <f>IFERROR(VLOOKUP(A658,vlookup_table!$A:$G,5,FALSE),"")</f>
        <v>S2</v>
      </c>
      <c r="Q658">
        <f>IFERROR(VLOOKUP(A658,vlookup_table!$A:$G,7,FALSE),"")</f>
        <v>11</v>
      </c>
      <c r="R658">
        <f t="shared" si="40"/>
        <v>81</v>
      </c>
      <c r="S658" t="str" cm="1">
        <f t="array" ref="S658">IF(P658="","",_xlfn.SWITCH(LEFT(P658,1),"C","Ciudad","T","Pueblo","R","Rural","S","Suburbano","U","Urbano",""))</f>
        <v>Suburbano</v>
      </c>
      <c r="T658" t="str">
        <f t="shared" si="41"/>
        <v>M</v>
      </c>
      <c r="U658" t="str">
        <f t="shared" si="42"/>
        <v>CA</v>
      </c>
      <c r="V658" t="str">
        <f t="shared" si="43"/>
        <v>12512</v>
      </c>
    </row>
    <row r="659" spans="1:22" x14ac:dyDescent="0.35">
      <c r="A659" s="3">
        <v>85010</v>
      </c>
      <c r="B659" t="s">
        <v>56</v>
      </c>
      <c r="C659" t="s">
        <v>14</v>
      </c>
      <c r="D659">
        <v>595</v>
      </c>
      <c r="E659">
        <v>339</v>
      </c>
      <c r="F659">
        <v>386</v>
      </c>
      <c r="G659">
        <v>0</v>
      </c>
      <c r="H659">
        <v>11471</v>
      </c>
      <c r="I659">
        <v>0</v>
      </c>
      <c r="J659">
        <v>84</v>
      </c>
      <c r="K659">
        <v>363</v>
      </c>
      <c r="L659">
        <v>363</v>
      </c>
      <c r="M659">
        <v>5.9545454549999999</v>
      </c>
      <c r="N659">
        <f>IFERROR(VLOOKUP(A659,vlookup_table!$A:$G,2,FALSE),"")</f>
        <v>1</v>
      </c>
      <c r="O659">
        <f>IFERROR(VLOOKUP(A659,vlookup_table!$A:$G,4,FALSE),"")</f>
        <v>4406</v>
      </c>
      <c r="P659" t="str">
        <f>IFERROR(VLOOKUP(A659,vlookup_table!$A:$G,5,FALSE),"")</f>
        <v>T2</v>
      </c>
      <c r="Q659">
        <f>IFERROR(VLOOKUP(A659,vlookup_table!$A:$G,7,FALSE),"")</f>
        <v>9</v>
      </c>
      <c r="R659">
        <f t="shared" si="40"/>
        <v>53</v>
      </c>
      <c r="S659" t="str" cm="1">
        <f t="array" ref="S659">IF(P659="","",_xlfn.SWITCH(LEFT(P659,1),"C","Ciudad","T","Pueblo","R","Rural","S","Suburbano","U","Urbano",""))</f>
        <v>Pueblo</v>
      </c>
      <c r="T659" t="str">
        <f t="shared" si="41"/>
        <v>M</v>
      </c>
      <c r="U659" t="str">
        <f t="shared" si="42"/>
        <v>MN</v>
      </c>
      <c r="V659" t="str">
        <f t="shared" si="43"/>
        <v>11471</v>
      </c>
    </row>
    <row r="660" spans="1:22" x14ac:dyDescent="0.35">
      <c r="A660" s="3">
        <v>12454</v>
      </c>
      <c r="B660" t="s">
        <v>16</v>
      </c>
      <c r="C660" t="s">
        <v>14</v>
      </c>
      <c r="D660">
        <v>3017</v>
      </c>
      <c r="E660">
        <v>740</v>
      </c>
      <c r="F660">
        <v>985</v>
      </c>
      <c r="G660">
        <v>90</v>
      </c>
      <c r="H660">
        <v>62084</v>
      </c>
      <c r="I660">
        <v>12</v>
      </c>
      <c r="J660">
        <v>70</v>
      </c>
      <c r="K660">
        <v>962</v>
      </c>
      <c r="L660">
        <v>867</v>
      </c>
      <c r="M660">
        <v>9</v>
      </c>
      <c r="N660">
        <f>IFERROR(VLOOKUP(A660,vlookup_table!$A:$G,2,FALSE),"")</f>
        <v>1</v>
      </c>
      <c r="O660">
        <f>IFERROR(VLOOKUP(A660,vlookup_table!$A:$G,4,FALSE),"")</f>
        <v>0</v>
      </c>
      <c r="P660" t="str">
        <f>IFERROR(VLOOKUP(A660,vlookup_table!$A:$G,5,FALSE),"")</f>
        <v>S1</v>
      </c>
      <c r="Q660">
        <f>IFERROR(VLOOKUP(A660,vlookup_table!$A:$G,7,FALSE),"")</f>
        <v>15</v>
      </c>
      <c r="R660">
        <f t="shared" si="40"/>
        <v>97</v>
      </c>
      <c r="S660" t="str" cm="1">
        <f t="array" ref="S660">IF(P660="","",_xlfn.SWITCH(LEFT(P660,1),"C","Ciudad","T","Pueblo","R","Rural","S","Suburbano","U","Urbano",""))</f>
        <v>Suburbano</v>
      </c>
      <c r="T660" t="str">
        <f t="shared" si="41"/>
        <v>M</v>
      </c>
      <c r="U660" t="str">
        <f t="shared" si="42"/>
        <v>IL</v>
      </c>
      <c r="V660" t="str">
        <f t="shared" si="43"/>
        <v>62084</v>
      </c>
    </row>
    <row r="661" spans="1:22" x14ac:dyDescent="0.35">
      <c r="A661" s="3">
        <v>118166</v>
      </c>
      <c r="B661" t="s">
        <v>21</v>
      </c>
      <c r="C661" t="s">
        <v>17</v>
      </c>
      <c r="D661">
        <v>396</v>
      </c>
      <c r="E661">
        <v>195</v>
      </c>
      <c r="F661">
        <v>287</v>
      </c>
      <c r="G661">
        <v>1</v>
      </c>
      <c r="H661">
        <v>9318</v>
      </c>
      <c r="I661">
        <v>3</v>
      </c>
      <c r="J661">
        <v>82</v>
      </c>
      <c r="K661">
        <v>249</v>
      </c>
      <c r="L661">
        <v>246</v>
      </c>
      <c r="M661">
        <v>13.33333333</v>
      </c>
      <c r="N661">
        <f>IFERROR(VLOOKUP(A661,vlookup_table!$A:$G,2,FALSE),"")</f>
        <v>0</v>
      </c>
      <c r="O661">
        <f>IFERROR(VLOOKUP(A661,vlookup_table!$A:$G,4,FALSE),"")</f>
        <v>0</v>
      </c>
      <c r="P661" t="str">
        <f>IFERROR(VLOOKUP(A661,vlookup_table!$A:$G,5,FALSE),"")</f>
        <v>R2</v>
      </c>
      <c r="Q661">
        <f>IFERROR(VLOOKUP(A661,vlookup_table!$A:$G,7,FALSE),"")</f>
        <v>10</v>
      </c>
      <c r="R661">
        <f t="shared" si="40"/>
        <v>97</v>
      </c>
      <c r="S661" t="str" cm="1">
        <f t="array" ref="S661">IF(P661="","",_xlfn.SWITCH(LEFT(P661,1),"C","Ciudad","T","Pueblo","R","Rural","S","Suburbano","U","Urbano",""))</f>
        <v>Rural</v>
      </c>
      <c r="T661" t="str">
        <f t="shared" si="41"/>
        <v>F</v>
      </c>
      <c r="U661" t="str">
        <f t="shared" si="42"/>
        <v>TX</v>
      </c>
      <c r="V661" t="str">
        <f t="shared" si="43"/>
        <v>9318</v>
      </c>
    </row>
    <row r="662" spans="1:22" x14ac:dyDescent="0.35">
      <c r="A662" s="3">
        <v>64165</v>
      </c>
      <c r="B662" t="s">
        <v>55</v>
      </c>
      <c r="C662" t="s">
        <v>60</v>
      </c>
      <c r="D662">
        <v>594</v>
      </c>
      <c r="E662">
        <v>155</v>
      </c>
      <c r="F662">
        <v>228</v>
      </c>
      <c r="G662">
        <v>0</v>
      </c>
      <c r="H662">
        <v>7939</v>
      </c>
      <c r="I662">
        <v>9</v>
      </c>
      <c r="J662">
        <v>42</v>
      </c>
      <c r="K662">
        <v>186</v>
      </c>
      <c r="L662">
        <v>206</v>
      </c>
      <c r="M662">
        <v>7.8</v>
      </c>
      <c r="N662">
        <f>IFERROR(VLOOKUP(A662,vlookup_table!$A:$G,2,FALSE),"")</f>
        <v>0</v>
      </c>
      <c r="O662">
        <f>IFERROR(VLOOKUP(A662,vlookup_table!$A:$G,4,FALSE),"")</f>
        <v>6401</v>
      </c>
      <c r="P662" t="str">
        <f>IFERROR(VLOOKUP(A662,vlookup_table!$A:$G,5,FALSE),"")</f>
        <v>T2</v>
      </c>
      <c r="Q662">
        <f>IFERROR(VLOOKUP(A662,vlookup_table!$A:$G,7,FALSE),"")</f>
        <v>20</v>
      </c>
      <c r="R662">
        <f t="shared" si="40"/>
        <v>33</v>
      </c>
      <c r="S662" t="str" cm="1">
        <f t="array" ref="S662">IF(P662="","",_xlfn.SWITCH(LEFT(P662,1),"C","Ciudad","T","Pueblo","R","Rural","S","Suburbano","U","Urbano",""))</f>
        <v>Pueblo</v>
      </c>
      <c r="T662" t="str">
        <f t="shared" si="41"/>
        <v>F</v>
      </c>
      <c r="U662" t="str">
        <f t="shared" si="42"/>
        <v>AZ</v>
      </c>
      <c r="V662" t="str">
        <f t="shared" si="43"/>
        <v>7939</v>
      </c>
    </row>
    <row r="663" spans="1:22" x14ac:dyDescent="0.35">
      <c r="A663" s="3">
        <v>191663</v>
      </c>
      <c r="B663" t="s">
        <v>50</v>
      </c>
      <c r="C663" t="s">
        <v>14</v>
      </c>
      <c r="D663">
        <v>538</v>
      </c>
      <c r="E663">
        <v>121</v>
      </c>
      <c r="F663">
        <v>222</v>
      </c>
      <c r="G663">
        <v>0</v>
      </c>
      <c r="H663">
        <v>9299</v>
      </c>
      <c r="I663">
        <v>6</v>
      </c>
      <c r="J663">
        <v>31</v>
      </c>
      <c r="K663">
        <v>173</v>
      </c>
      <c r="L663">
        <v>169</v>
      </c>
      <c r="M663">
        <v>9.307692308</v>
      </c>
      <c r="N663">
        <f>IFERROR(VLOOKUP(A663,vlookup_table!$A:$G,2,FALSE),"")</f>
        <v>2</v>
      </c>
      <c r="O663">
        <f>IFERROR(VLOOKUP(A663,vlookup_table!$A:$G,4,FALSE),"")</f>
        <v>2708</v>
      </c>
      <c r="P663" t="str">
        <f>IFERROR(VLOOKUP(A663,vlookup_table!$A:$G,5,FALSE),"")</f>
        <v>S1</v>
      </c>
      <c r="Q663">
        <f>IFERROR(VLOOKUP(A663,vlookup_table!$A:$G,7,FALSE),"")</f>
        <v>10</v>
      </c>
      <c r="R663">
        <f t="shared" si="40"/>
        <v>70</v>
      </c>
      <c r="S663" t="str" cm="1">
        <f t="array" ref="S663">IF(P663="","",_xlfn.SWITCH(LEFT(P663,1),"C","Ciudad","T","Pueblo","R","Rural","S","Suburbano","U","Urbano",""))</f>
        <v>Suburbano</v>
      </c>
      <c r="T663" t="str">
        <f t="shared" si="41"/>
        <v>M</v>
      </c>
      <c r="U663" t="str">
        <f t="shared" si="42"/>
        <v>OR</v>
      </c>
      <c r="V663" t="str">
        <f t="shared" si="43"/>
        <v>9299</v>
      </c>
    </row>
    <row r="664" spans="1:22" x14ac:dyDescent="0.35">
      <c r="A664" s="3">
        <v>111021</v>
      </c>
      <c r="B664" t="s">
        <v>32</v>
      </c>
      <c r="C664" t="s">
        <v>60</v>
      </c>
      <c r="D664">
        <v>332</v>
      </c>
      <c r="E664">
        <v>170</v>
      </c>
      <c r="F664">
        <v>269</v>
      </c>
      <c r="G664">
        <v>0</v>
      </c>
      <c r="H664">
        <v>8725</v>
      </c>
      <c r="I664">
        <v>1</v>
      </c>
      <c r="J664">
        <v>57</v>
      </c>
      <c r="K664">
        <v>222</v>
      </c>
      <c r="L664">
        <v>233</v>
      </c>
      <c r="M664">
        <v>12.5</v>
      </c>
      <c r="N664">
        <f>IFERROR(VLOOKUP(A664,vlookup_table!$A:$G,2,FALSE),"")</f>
        <v>0</v>
      </c>
      <c r="O664">
        <f>IFERROR(VLOOKUP(A664,vlookup_table!$A:$G,4,FALSE),"")</f>
        <v>0</v>
      </c>
      <c r="P664" t="str">
        <f>IFERROR(VLOOKUP(A664,vlookup_table!$A:$G,5,FALSE),"")</f>
        <v>R3</v>
      </c>
      <c r="Q664">
        <f>IFERROR(VLOOKUP(A664,vlookup_table!$A:$G,7,FALSE),"")</f>
        <v>10</v>
      </c>
      <c r="R664">
        <f t="shared" si="40"/>
        <v>97</v>
      </c>
      <c r="S664" t="str" cm="1">
        <f t="array" ref="S664">IF(P664="","",_xlfn.SWITCH(LEFT(P664,1),"C","Ciudad","T","Pueblo","R","Rural","S","Suburbano","U","Urbano",""))</f>
        <v>Rural</v>
      </c>
      <c r="T664" t="str">
        <f t="shared" si="41"/>
        <v>F</v>
      </c>
      <c r="U664" t="str">
        <f t="shared" si="42"/>
        <v>AR</v>
      </c>
      <c r="V664" t="str">
        <f t="shared" si="43"/>
        <v>8725</v>
      </c>
    </row>
    <row r="665" spans="1:22" x14ac:dyDescent="0.35">
      <c r="A665" s="3">
        <v>169280</v>
      </c>
      <c r="B665" t="s">
        <v>61</v>
      </c>
      <c r="C665" t="s">
        <v>17</v>
      </c>
      <c r="D665">
        <v>1875</v>
      </c>
      <c r="E665">
        <v>68</v>
      </c>
      <c r="F665">
        <v>138</v>
      </c>
      <c r="G665">
        <v>0</v>
      </c>
      <c r="H665">
        <v>9127</v>
      </c>
      <c r="I665">
        <v>0</v>
      </c>
      <c r="J665">
        <v>6</v>
      </c>
      <c r="K665">
        <v>138</v>
      </c>
      <c r="L665">
        <v>96</v>
      </c>
      <c r="M665">
        <v>8.3333333330000006</v>
      </c>
      <c r="N665">
        <f>IFERROR(VLOOKUP(A665,vlookup_table!$A:$G,2,FALSE),"")</f>
        <v>0</v>
      </c>
      <c r="O665">
        <f>IFERROR(VLOOKUP(A665,vlookup_table!$A:$G,4,FALSE),"")</f>
        <v>7001</v>
      </c>
      <c r="P665" t="str">
        <f>IFERROR(VLOOKUP(A665,vlookup_table!$A:$G,5,FALSE),"")</f>
        <v>S2</v>
      </c>
      <c r="Q665">
        <f>IFERROR(VLOOKUP(A665,vlookup_table!$A:$G,7,FALSE),"")</f>
        <v>10</v>
      </c>
      <c r="R665">
        <f t="shared" si="40"/>
        <v>27</v>
      </c>
      <c r="S665" t="str" cm="1">
        <f t="array" ref="S665">IF(P665="","",_xlfn.SWITCH(LEFT(P665,1),"C","Ciudad","T","Pueblo","R","Rural","S","Suburbano","U","Urbano",""))</f>
        <v>Suburbano</v>
      </c>
      <c r="T665" t="str">
        <f t="shared" si="41"/>
        <v>F</v>
      </c>
      <c r="U665" t="str">
        <f t="shared" si="42"/>
        <v>CA</v>
      </c>
      <c r="V665" t="str">
        <f t="shared" si="43"/>
        <v>9127</v>
      </c>
    </row>
    <row r="666" spans="1:22" x14ac:dyDescent="0.35">
      <c r="A666" s="3">
        <v>138590</v>
      </c>
      <c r="B666" t="s">
        <v>64</v>
      </c>
      <c r="C666" t="s">
        <v>65</v>
      </c>
      <c r="D666">
        <v>1094</v>
      </c>
      <c r="E666">
        <v>463</v>
      </c>
      <c r="F666">
        <v>543</v>
      </c>
      <c r="G666">
        <v>5</v>
      </c>
      <c r="H666">
        <v>16974</v>
      </c>
      <c r="I666">
        <v>2</v>
      </c>
      <c r="J666">
        <v>30</v>
      </c>
      <c r="K666">
        <v>486</v>
      </c>
      <c r="L666">
        <v>517</v>
      </c>
      <c r="M666">
        <v>12</v>
      </c>
      <c r="N666">
        <f>IFERROR(VLOOKUP(A666,vlookup_table!$A:$G,2,FALSE),"")</f>
        <v>0</v>
      </c>
      <c r="O666">
        <f>IFERROR(VLOOKUP(A666,vlookup_table!$A:$G,4,FALSE),"")</f>
        <v>5307</v>
      </c>
      <c r="P666" t="str">
        <f>IFERROR(VLOOKUP(A666,vlookup_table!$A:$G,5,FALSE),"")</f>
        <v>S1</v>
      </c>
      <c r="Q666">
        <f>IFERROR(VLOOKUP(A666,vlookup_table!$A:$G,7,FALSE),"")</f>
        <v>30</v>
      </c>
      <c r="R666">
        <f t="shared" si="40"/>
        <v>44</v>
      </c>
      <c r="S666" t="str" cm="1">
        <f t="array" ref="S666">IF(P666="","",_xlfn.SWITCH(LEFT(P666,1),"C","Ciudad","T","Pueblo","R","Rural","S","Suburbano","U","Urbano",""))</f>
        <v>Suburbano</v>
      </c>
      <c r="T666" t="str">
        <f t="shared" si="41"/>
        <v>F</v>
      </c>
      <c r="U666" t="str">
        <f t="shared" si="42"/>
        <v>Arizona</v>
      </c>
      <c r="V666" t="str">
        <f t="shared" si="43"/>
        <v>16974</v>
      </c>
    </row>
    <row r="667" spans="1:22" x14ac:dyDescent="0.35">
      <c r="A667" s="3">
        <v>123386</v>
      </c>
      <c r="B667" t="s">
        <v>21</v>
      </c>
      <c r="C667" t="s">
        <v>14</v>
      </c>
      <c r="D667">
        <v>386</v>
      </c>
      <c r="E667">
        <v>213</v>
      </c>
      <c r="F667">
        <v>327</v>
      </c>
      <c r="G667">
        <v>0</v>
      </c>
      <c r="H667">
        <v>10988</v>
      </c>
      <c r="I667">
        <v>9</v>
      </c>
      <c r="J667">
        <v>68</v>
      </c>
      <c r="K667">
        <v>287</v>
      </c>
      <c r="L667">
        <v>275</v>
      </c>
      <c r="M667">
        <v>17.399999999999999</v>
      </c>
      <c r="N667">
        <f>IFERROR(VLOOKUP(A667,vlookup_table!$A:$G,2,FALSE),"")</f>
        <v>1</v>
      </c>
      <c r="O667">
        <f>IFERROR(VLOOKUP(A667,vlookup_table!$A:$G,4,FALSE),"")</f>
        <v>4201</v>
      </c>
      <c r="P667" t="str">
        <f>IFERROR(VLOOKUP(A667,vlookup_table!$A:$G,5,FALSE),"")</f>
        <v>R2</v>
      </c>
      <c r="Q667">
        <f>IFERROR(VLOOKUP(A667,vlookup_table!$A:$G,7,FALSE),"")</f>
        <v>22</v>
      </c>
      <c r="R667">
        <f t="shared" si="40"/>
        <v>55</v>
      </c>
      <c r="S667" t="str" cm="1">
        <f t="array" ref="S667">IF(P667="","",_xlfn.SWITCH(LEFT(P667,1),"C","Ciudad","T","Pueblo","R","Rural","S","Suburbano","U","Urbano",""))</f>
        <v>Rural</v>
      </c>
      <c r="T667" t="str">
        <f t="shared" si="41"/>
        <v>M</v>
      </c>
      <c r="U667" t="str">
        <f t="shared" si="42"/>
        <v>TX</v>
      </c>
      <c r="V667" t="str">
        <f t="shared" si="43"/>
        <v>10988</v>
      </c>
    </row>
    <row r="668" spans="1:22" x14ac:dyDescent="0.35">
      <c r="A668" s="3">
        <v>121759</v>
      </c>
      <c r="B668" t="s">
        <v>21</v>
      </c>
      <c r="C668" t="s">
        <v>14</v>
      </c>
      <c r="D668">
        <v>1565</v>
      </c>
      <c r="E668">
        <v>713</v>
      </c>
      <c r="F668">
        <v>905</v>
      </c>
      <c r="G668">
        <v>28</v>
      </c>
      <c r="H668">
        <v>39534</v>
      </c>
      <c r="I668">
        <v>1</v>
      </c>
      <c r="J668">
        <v>40</v>
      </c>
      <c r="K668">
        <v>741</v>
      </c>
      <c r="L668">
        <v>838</v>
      </c>
      <c r="M668">
        <v>12.4</v>
      </c>
      <c r="N668">
        <f>IFERROR(VLOOKUP(A668,vlookup_table!$A:$G,2,FALSE),"")</f>
        <v>1</v>
      </c>
      <c r="O668">
        <f>IFERROR(VLOOKUP(A668,vlookup_table!$A:$G,4,FALSE),"")</f>
        <v>5601</v>
      </c>
      <c r="P668" t="str">
        <f>IFERROR(VLOOKUP(A668,vlookup_table!$A:$G,5,FALSE),"")</f>
        <v>C1</v>
      </c>
      <c r="Q668">
        <f>IFERROR(VLOOKUP(A668,vlookup_table!$A:$G,7,FALSE),"")</f>
        <v>20</v>
      </c>
      <c r="R668">
        <f t="shared" si="40"/>
        <v>41</v>
      </c>
      <c r="S668" t="str" cm="1">
        <f t="array" ref="S668">IF(P668="","",_xlfn.SWITCH(LEFT(P668,1),"C","Ciudad","T","Pueblo","R","Rural","S","Suburbano","U","Urbano",""))</f>
        <v>Ciudad</v>
      </c>
      <c r="T668" t="str">
        <f t="shared" si="41"/>
        <v>M</v>
      </c>
      <c r="U668" t="str">
        <f t="shared" si="42"/>
        <v>TX</v>
      </c>
      <c r="V668" t="str">
        <f t="shared" si="43"/>
        <v>39534</v>
      </c>
    </row>
    <row r="669" spans="1:22" x14ac:dyDescent="0.35">
      <c r="A669" s="3">
        <v>73534</v>
      </c>
      <c r="B669" t="s">
        <v>29</v>
      </c>
      <c r="C669" t="s">
        <v>14</v>
      </c>
      <c r="D669">
        <v>246</v>
      </c>
      <c r="E669">
        <v>161</v>
      </c>
      <c r="F669">
        <v>226</v>
      </c>
      <c r="G669">
        <v>0</v>
      </c>
      <c r="H669">
        <v>7228</v>
      </c>
      <c r="I669">
        <v>0</v>
      </c>
      <c r="J669">
        <v>76</v>
      </c>
      <c r="K669">
        <v>174</v>
      </c>
      <c r="L669">
        <v>205</v>
      </c>
      <c r="M669">
        <v>5.0999999999999996</v>
      </c>
      <c r="N669">
        <f>IFERROR(VLOOKUP(A669,vlookup_table!$A:$G,2,FALSE),"")</f>
        <v>1</v>
      </c>
      <c r="O669">
        <f>IFERROR(VLOOKUP(A669,vlookup_table!$A:$G,4,FALSE),"")</f>
        <v>3301</v>
      </c>
      <c r="P669" t="str">
        <f>IFERROR(VLOOKUP(A669,vlookup_table!$A:$G,5,FALSE),"")</f>
        <v>R3</v>
      </c>
      <c r="Q669">
        <f>IFERROR(VLOOKUP(A669,vlookup_table!$A:$G,7,FALSE),"")</f>
        <v>6</v>
      </c>
      <c r="R669">
        <f t="shared" si="40"/>
        <v>64</v>
      </c>
      <c r="S669" t="str" cm="1">
        <f t="array" ref="S669">IF(P669="","",_xlfn.SWITCH(LEFT(P669,1),"C","Ciudad","T","Pueblo","R","Rural","S","Suburbano","U","Urbano",""))</f>
        <v>Rural</v>
      </c>
      <c r="T669" t="str">
        <f t="shared" si="41"/>
        <v>M</v>
      </c>
      <c r="U669" t="str">
        <f t="shared" si="42"/>
        <v>MI</v>
      </c>
      <c r="V669" t="str">
        <f t="shared" si="43"/>
        <v>7228</v>
      </c>
    </row>
    <row r="670" spans="1:22" x14ac:dyDescent="0.35">
      <c r="A670" s="3">
        <v>168423</v>
      </c>
      <c r="B670" t="s">
        <v>61</v>
      </c>
      <c r="C670" t="s">
        <v>17</v>
      </c>
      <c r="D670">
        <v>3325</v>
      </c>
      <c r="E670">
        <v>597</v>
      </c>
      <c r="F670">
        <v>600</v>
      </c>
      <c r="G670">
        <v>96</v>
      </c>
      <c r="H670">
        <v>18694</v>
      </c>
      <c r="I670">
        <v>29</v>
      </c>
      <c r="J670">
        <v>37</v>
      </c>
      <c r="K670">
        <v>603</v>
      </c>
      <c r="L670">
        <v>611</v>
      </c>
      <c r="M670">
        <v>20</v>
      </c>
      <c r="N670">
        <f>IFERROR(VLOOKUP(A670,vlookup_table!$A:$G,2,FALSE),"")</f>
        <v>0</v>
      </c>
      <c r="O670">
        <f>IFERROR(VLOOKUP(A670,vlookup_table!$A:$G,4,FALSE),"")</f>
        <v>0</v>
      </c>
      <c r="P670" t="str">
        <f>IFERROR(VLOOKUP(A670,vlookup_table!$A:$G,5,FALSE),"")</f>
        <v>U1</v>
      </c>
      <c r="Q670">
        <f>IFERROR(VLOOKUP(A670,vlookup_table!$A:$G,7,FALSE),"")</f>
        <v>25</v>
      </c>
      <c r="R670">
        <f t="shared" si="40"/>
        <v>97</v>
      </c>
      <c r="S670" t="str" cm="1">
        <f t="array" ref="S670">IF(P670="","",_xlfn.SWITCH(LEFT(P670,1),"C","Ciudad","T","Pueblo","R","Rural","S","Suburbano","U","Urbano",""))</f>
        <v>Urbano</v>
      </c>
      <c r="T670" t="str">
        <f t="shared" si="41"/>
        <v>F</v>
      </c>
      <c r="U670" t="str">
        <f t="shared" si="42"/>
        <v>CA</v>
      </c>
      <c r="V670" t="str">
        <f t="shared" si="43"/>
        <v>18694</v>
      </c>
    </row>
    <row r="671" spans="1:22" x14ac:dyDescent="0.35">
      <c r="A671" s="3">
        <v>169605</v>
      </c>
      <c r="B671" t="s">
        <v>61</v>
      </c>
      <c r="D671">
        <v>1185</v>
      </c>
      <c r="E671">
        <v>338</v>
      </c>
      <c r="F671">
        <v>445</v>
      </c>
      <c r="G671">
        <v>3</v>
      </c>
      <c r="H671">
        <v>14193</v>
      </c>
      <c r="I671">
        <v>4</v>
      </c>
      <c r="J671">
        <v>65</v>
      </c>
      <c r="K671">
        <v>368</v>
      </c>
      <c r="L671">
        <v>402</v>
      </c>
      <c r="M671">
        <v>6.6666666670000003</v>
      </c>
      <c r="N671">
        <f>IFERROR(VLOOKUP(A671,vlookup_table!$A:$G,2,FALSE),"")</f>
        <v>0</v>
      </c>
      <c r="O671">
        <f>IFERROR(VLOOKUP(A671,vlookup_table!$A:$G,4,FALSE),"")</f>
        <v>0</v>
      </c>
      <c r="P671" t="str">
        <f>IFERROR(VLOOKUP(A671,vlookup_table!$A:$G,5,FALSE),"")</f>
        <v>C3</v>
      </c>
      <c r="Q671">
        <f>IFERROR(VLOOKUP(A671,vlookup_table!$A:$G,7,FALSE),"")</f>
        <v>7</v>
      </c>
      <c r="R671">
        <f t="shared" si="40"/>
        <v>97</v>
      </c>
      <c r="S671" t="str" cm="1">
        <f t="array" ref="S671">IF(P671="","",_xlfn.SWITCH(LEFT(P671,1),"C","Ciudad","T","Pueblo","R","Rural","S","Suburbano","U","Urbano",""))</f>
        <v>Ciudad</v>
      </c>
      <c r="T671" t="str">
        <f t="shared" si="41"/>
        <v/>
      </c>
      <c r="U671" t="str">
        <f t="shared" si="42"/>
        <v>CA</v>
      </c>
      <c r="V671" t="str">
        <f t="shared" si="43"/>
        <v>14193</v>
      </c>
    </row>
    <row r="672" spans="1:22" x14ac:dyDescent="0.35">
      <c r="A672" s="3">
        <v>157573</v>
      </c>
      <c r="B672" t="s">
        <v>61</v>
      </c>
      <c r="D672">
        <v>2438</v>
      </c>
      <c r="E672">
        <v>540</v>
      </c>
      <c r="F672">
        <v>687</v>
      </c>
      <c r="G672">
        <v>84</v>
      </c>
      <c r="H672">
        <v>30429</v>
      </c>
      <c r="I672">
        <v>7</v>
      </c>
      <c r="J672">
        <v>39</v>
      </c>
      <c r="K672">
        <v>672</v>
      </c>
      <c r="L672">
        <v>588</v>
      </c>
      <c r="M672">
        <v>40.75</v>
      </c>
      <c r="N672">
        <f>IFERROR(VLOOKUP(A672,vlookup_table!$A:$G,2,FALSE),"")</f>
        <v>0</v>
      </c>
      <c r="O672">
        <f>IFERROR(VLOOKUP(A672,vlookup_table!$A:$G,4,FALSE),"")</f>
        <v>0</v>
      </c>
      <c r="P672" t="str">
        <f>IFERROR(VLOOKUP(A672,vlookup_table!$A:$G,5,FALSE),"")</f>
        <v>S1</v>
      </c>
      <c r="Q672">
        <f>IFERROR(VLOOKUP(A672,vlookup_table!$A:$G,7,FALSE),"")</f>
        <v>47</v>
      </c>
      <c r="R672">
        <f t="shared" si="40"/>
        <v>97</v>
      </c>
      <c r="S672" t="str" cm="1">
        <f t="array" ref="S672">IF(P672="","",_xlfn.SWITCH(LEFT(P672,1),"C","Ciudad","T","Pueblo","R","Rural","S","Suburbano","U","Urbano",""))</f>
        <v>Suburbano</v>
      </c>
      <c r="T672" t="str">
        <f t="shared" si="41"/>
        <v/>
      </c>
      <c r="U672" t="str">
        <f t="shared" si="42"/>
        <v>CA</v>
      </c>
      <c r="V672" t="str">
        <f t="shared" si="43"/>
        <v>30429</v>
      </c>
    </row>
    <row r="673" spans="1:22" x14ac:dyDescent="0.35">
      <c r="A673" s="3">
        <v>23706</v>
      </c>
      <c r="B673" t="s">
        <v>46</v>
      </c>
      <c r="C673" t="s">
        <v>14</v>
      </c>
      <c r="D673">
        <v>728</v>
      </c>
      <c r="E673">
        <v>172</v>
      </c>
      <c r="F673">
        <v>252</v>
      </c>
      <c r="G673">
        <v>7</v>
      </c>
      <c r="H673">
        <v>8494</v>
      </c>
      <c r="I673">
        <v>1</v>
      </c>
      <c r="J673">
        <v>76</v>
      </c>
      <c r="K673">
        <v>188</v>
      </c>
      <c r="L673">
        <v>230</v>
      </c>
      <c r="M673">
        <v>12.5</v>
      </c>
      <c r="N673">
        <f>IFERROR(VLOOKUP(A673,vlookup_table!$A:$G,2,FALSE),"")</f>
        <v>0</v>
      </c>
      <c r="O673">
        <f>IFERROR(VLOOKUP(A673,vlookup_table!$A:$G,4,FALSE),"")</f>
        <v>0</v>
      </c>
      <c r="P673" t="str">
        <f>IFERROR(VLOOKUP(A673,vlookup_table!$A:$G,5,FALSE),"")</f>
        <v>R2</v>
      </c>
      <c r="Q673">
        <f>IFERROR(VLOOKUP(A673,vlookup_table!$A:$G,7,FALSE),"")</f>
        <v>15</v>
      </c>
      <c r="R673">
        <f t="shared" si="40"/>
        <v>97</v>
      </c>
      <c r="S673" t="str" cm="1">
        <f t="array" ref="S673">IF(P673="","",_xlfn.SWITCH(LEFT(P673,1),"C","Ciudad","T","Pueblo","R","Rural","S","Suburbano","U","Urbano",""))</f>
        <v>Rural</v>
      </c>
      <c r="T673" t="str">
        <f t="shared" si="41"/>
        <v>M</v>
      </c>
      <c r="U673" t="str">
        <f t="shared" si="42"/>
        <v>SC</v>
      </c>
      <c r="V673" t="str">
        <f t="shared" si="43"/>
        <v>8494</v>
      </c>
    </row>
    <row r="674" spans="1:22" x14ac:dyDescent="0.35">
      <c r="A674" s="3">
        <v>21855</v>
      </c>
      <c r="B674" t="s">
        <v>18</v>
      </c>
      <c r="C674" t="s">
        <v>20</v>
      </c>
      <c r="D674">
        <v>824</v>
      </c>
      <c r="E674">
        <v>285</v>
      </c>
      <c r="F674">
        <v>356</v>
      </c>
      <c r="G674">
        <v>3</v>
      </c>
      <c r="H674">
        <v>13339</v>
      </c>
      <c r="I674">
        <v>2</v>
      </c>
      <c r="J674">
        <v>59</v>
      </c>
      <c r="K674">
        <v>305</v>
      </c>
      <c r="L674">
        <v>333</v>
      </c>
      <c r="M674">
        <v>20</v>
      </c>
      <c r="N674">
        <f>IFERROR(VLOOKUP(A674,vlookup_table!$A:$G,2,FALSE),"")</f>
        <v>0</v>
      </c>
      <c r="O674">
        <f>IFERROR(VLOOKUP(A674,vlookup_table!$A:$G,4,FALSE),"")</f>
        <v>0</v>
      </c>
      <c r="P674" t="str">
        <f>IFERROR(VLOOKUP(A674,vlookup_table!$A:$G,5,FALSE),"")</f>
        <v>R2</v>
      </c>
      <c r="Q674">
        <f>IFERROR(VLOOKUP(A674,vlookup_table!$A:$G,7,FALSE),"")</f>
        <v>20</v>
      </c>
      <c r="R674">
        <f t="shared" si="40"/>
        <v>97</v>
      </c>
      <c r="S674" t="str" cm="1">
        <f t="array" ref="S674">IF(P674="","",_xlfn.SWITCH(LEFT(P674,1),"C","Ciudad","T","Pueblo","R","Rural","S","Suburbano","U","Urbano",""))</f>
        <v>Rural</v>
      </c>
      <c r="T674" t="str">
        <f t="shared" si="41"/>
        <v>F</v>
      </c>
      <c r="U674" t="str">
        <f t="shared" si="42"/>
        <v>NC</v>
      </c>
      <c r="V674" t="str">
        <f t="shared" si="43"/>
        <v>13339</v>
      </c>
    </row>
    <row r="675" spans="1:22" x14ac:dyDescent="0.35">
      <c r="A675" s="3">
        <v>148511</v>
      </c>
      <c r="B675" t="s">
        <v>61</v>
      </c>
      <c r="C675" t="s">
        <v>17</v>
      </c>
      <c r="D675">
        <v>3231</v>
      </c>
      <c r="E675">
        <v>339</v>
      </c>
      <c r="F675">
        <v>627</v>
      </c>
      <c r="G675">
        <v>92</v>
      </c>
      <c r="H675">
        <v>22508</v>
      </c>
      <c r="I675">
        <v>18</v>
      </c>
      <c r="J675">
        <v>39</v>
      </c>
      <c r="K675">
        <v>536</v>
      </c>
      <c r="L675">
        <v>444</v>
      </c>
      <c r="M675">
        <v>11.75</v>
      </c>
      <c r="N675">
        <f>IFERROR(VLOOKUP(A675,vlookup_table!$A:$G,2,FALSE),"")</f>
        <v>0</v>
      </c>
      <c r="O675">
        <f>IFERROR(VLOOKUP(A675,vlookup_table!$A:$G,4,FALSE),"")</f>
        <v>0</v>
      </c>
      <c r="P675" t="str">
        <f>IFERROR(VLOOKUP(A675,vlookup_table!$A:$G,5,FALSE),"")</f>
        <v>S1</v>
      </c>
      <c r="Q675">
        <f>IFERROR(VLOOKUP(A675,vlookup_table!$A:$G,7,FALSE),"")</f>
        <v>20</v>
      </c>
      <c r="R675">
        <f t="shared" si="40"/>
        <v>97</v>
      </c>
      <c r="S675" t="str" cm="1">
        <f t="array" ref="S675">IF(P675="","",_xlfn.SWITCH(LEFT(P675,1),"C","Ciudad","T","Pueblo","R","Rural","S","Suburbano","U","Urbano",""))</f>
        <v>Suburbano</v>
      </c>
      <c r="T675" t="str">
        <f t="shared" si="41"/>
        <v>F</v>
      </c>
      <c r="U675" t="str">
        <f t="shared" si="42"/>
        <v>CA</v>
      </c>
      <c r="V675" t="str">
        <f t="shared" si="43"/>
        <v>22508</v>
      </c>
    </row>
    <row r="676" spans="1:22" x14ac:dyDescent="0.35">
      <c r="A676" s="3">
        <v>3579</v>
      </c>
      <c r="B676" t="s">
        <v>61</v>
      </c>
      <c r="C676" t="s">
        <v>14</v>
      </c>
      <c r="D676">
        <v>3937</v>
      </c>
      <c r="E676">
        <v>450</v>
      </c>
      <c r="F676">
        <v>680</v>
      </c>
      <c r="G676">
        <v>93</v>
      </c>
      <c r="H676">
        <v>29888</v>
      </c>
      <c r="I676">
        <v>12</v>
      </c>
      <c r="J676">
        <v>40</v>
      </c>
      <c r="K676">
        <v>581</v>
      </c>
      <c r="L676">
        <v>578</v>
      </c>
      <c r="M676">
        <v>15.33333333</v>
      </c>
      <c r="N676">
        <f>IFERROR(VLOOKUP(A676,vlookup_table!$A:$G,2,FALSE),"")</f>
        <v>9</v>
      </c>
      <c r="O676">
        <f>IFERROR(VLOOKUP(A676,vlookup_table!$A:$G,4,FALSE),"")</f>
        <v>6001</v>
      </c>
      <c r="P676" t="str">
        <f>IFERROR(VLOOKUP(A676,vlookup_table!$A:$G,5,FALSE),"")</f>
        <v>T1</v>
      </c>
      <c r="Q676">
        <f>IFERROR(VLOOKUP(A676,vlookup_table!$A:$G,7,FALSE),"")</f>
        <v>18</v>
      </c>
      <c r="R676">
        <f t="shared" si="40"/>
        <v>37</v>
      </c>
      <c r="S676" t="str" cm="1">
        <f t="array" ref="S676">IF(P676="","",_xlfn.SWITCH(LEFT(P676,1),"C","Ciudad","T","Pueblo","R","Rural","S","Suburbano","U","Urbano",""))</f>
        <v>Pueblo</v>
      </c>
      <c r="T676" t="str">
        <f t="shared" si="41"/>
        <v>M</v>
      </c>
      <c r="U676" t="str">
        <f t="shared" si="42"/>
        <v>CA</v>
      </c>
      <c r="V676" t="str">
        <f t="shared" si="43"/>
        <v>29888</v>
      </c>
    </row>
    <row r="677" spans="1:22" x14ac:dyDescent="0.35">
      <c r="A677" s="3">
        <v>542</v>
      </c>
      <c r="B677" t="s">
        <v>35</v>
      </c>
      <c r="C677" t="s">
        <v>51</v>
      </c>
      <c r="D677">
        <v>535</v>
      </c>
      <c r="E677">
        <v>192</v>
      </c>
      <c r="F677">
        <v>374</v>
      </c>
      <c r="G677">
        <v>2</v>
      </c>
      <c r="H677">
        <v>11878</v>
      </c>
      <c r="I677">
        <v>1</v>
      </c>
      <c r="J677">
        <v>81</v>
      </c>
      <c r="K677">
        <v>303</v>
      </c>
      <c r="L677">
        <v>263</v>
      </c>
      <c r="M677">
        <v>6.2857142860000002</v>
      </c>
      <c r="N677">
        <f>IFERROR(VLOOKUP(A677,vlookup_table!$A:$G,2,FALSE),"")</f>
        <v>0</v>
      </c>
      <c r="O677">
        <f>IFERROR(VLOOKUP(A677,vlookup_table!$A:$G,4,FALSE),"")</f>
        <v>0</v>
      </c>
      <c r="P677" t="str">
        <f>IFERROR(VLOOKUP(A677,vlookup_table!$A:$G,5,FALSE),"")</f>
        <v>T2</v>
      </c>
      <c r="Q677">
        <f>IFERROR(VLOOKUP(A677,vlookup_table!$A:$G,7,FALSE),"")</f>
        <v>10</v>
      </c>
      <c r="R677">
        <f t="shared" si="40"/>
        <v>97</v>
      </c>
      <c r="S677" t="str" cm="1">
        <f t="array" ref="S677">IF(P677="","",_xlfn.SWITCH(LEFT(P677,1),"C","Ciudad","T","Pueblo","R","Rural","S","Suburbano","U","Urbano",""))</f>
        <v>Pueblo</v>
      </c>
      <c r="T677" t="str">
        <f t="shared" si="41"/>
        <v>M</v>
      </c>
      <c r="U677" t="str">
        <f t="shared" si="42"/>
        <v>WI</v>
      </c>
      <c r="V677" t="str">
        <f t="shared" si="43"/>
        <v>11878</v>
      </c>
    </row>
    <row r="678" spans="1:22" x14ac:dyDescent="0.35">
      <c r="A678" s="3">
        <v>92079</v>
      </c>
      <c r="B678" t="s">
        <v>16</v>
      </c>
      <c r="C678" t="s">
        <v>14</v>
      </c>
      <c r="D678">
        <v>1008</v>
      </c>
      <c r="E678">
        <v>450</v>
      </c>
      <c r="F678">
        <v>540</v>
      </c>
      <c r="G678">
        <v>1</v>
      </c>
      <c r="H678">
        <v>19493</v>
      </c>
      <c r="I678">
        <v>8</v>
      </c>
      <c r="J678">
        <v>64</v>
      </c>
      <c r="K678">
        <v>496</v>
      </c>
      <c r="L678">
        <v>463</v>
      </c>
      <c r="M678">
        <v>12.30769231</v>
      </c>
      <c r="N678">
        <f>IFERROR(VLOOKUP(A678,vlookup_table!$A:$G,2,FALSE),"")</f>
        <v>2</v>
      </c>
      <c r="O678">
        <f>IFERROR(VLOOKUP(A678,vlookup_table!$A:$G,4,FALSE),"")</f>
        <v>1503</v>
      </c>
      <c r="P678" t="str">
        <f>IFERROR(VLOOKUP(A678,vlookup_table!$A:$G,5,FALSE),"")</f>
        <v>S1</v>
      </c>
      <c r="Q678">
        <f>IFERROR(VLOOKUP(A678,vlookup_table!$A:$G,7,FALSE),"")</f>
        <v>15</v>
      </c>
      <c r="R678">
        <f t="shared" si="40"/>
        <v>82</v>
      </c>
      <c r="S678" t="str" cm="1">
        <f t="array" ref="S678">IF(P678="","",_xlfn.SWITCH(LEFT(P678,1),"C","Ciudad","T","Pueblo","R","Rural","S","Suburbano","U","Urbano",""))</f>
        <v>Suburbano</v>
      </c>
      <c r="T678" t="str">
        <f t="shared" si="41"/>
        <v>M</v>
      </c>
      <c r="U678" t="str">
        <f t="shared" si="42"/>
        <v>IL</v>
      </c>
      <c r="V678" t="str">
        <f t="shared" si="43"/>
        <v>19493</v>
      </c>
    </row>
    <row r="679" spans="1:22" x14ac:dyDescent="0.35">
      <c r="A679" s="3">
        <v>50967</v>
      </c>
      <c r="B679" t="s">
        <v>53</v>
      </c>
      <c r="C679" t="s">
        <v>17</v>
      </c>
      <c r="D679">
        <v>848</v>
      </c>
      <c r="E679">
        <v>466</v>
      </c>
      <c r="F679">
        <v>527</v>
      </c>
      <c r="G679">
        <v>0</v>
      </c>
      <c r="H679">
        <v>21110</v>
      </c>
      <c r="I679">
        <v>2</v>
      </c>
      <c r="J679">
        <v>41</v>
      </c>
      <c r="K679">
        <v>488</v>
      </c>
      <c r="L679">
        <v>509</v>
      </c>
      <c r="M679">
        <v>10</v>
      </c>
      <c r="N679">
        <f>IFERROR(VLOOKUP(A679,vlookup_table!$A:$G,2,FALSE),"")</f>
        <v>28</v>
      </c>
      <c r="O679">
        <f>IFERROR(VLOOKUP(A679,vlookup_table!$A:$G,4,FALSE),"")</f>
        <v>2401</v>
      </c>
      <c r="P679" t="str">
        <f>IFERROR(VLOOKUP(A679,vlookup_table!$A:$G,5,FALSE),"")</f>
        <v>S1</v>
      </c>
      <c r="Q679">
        <f>IFERROR(VLOOKUP(A679,vlookup_table!$A:$G,7,FALSE),"")</f>
        <v>15</v>
      </c>
      <c r="R679">
        <f t="shared" si="40"/>
        <v>73</v>
      </c>
      <c r="S679" t="str" cm="1">
        <f t="array" ref="S679">IF(P679="","",_xlfn.SWITCH(LEFT(P679,1),"C","Ciudad","T","Pueblo","R","Rural","S","Suburbano","U","Urbano",""))</f>
        <v>Suburbano</v>
      </c>
      <c r="T679" t="str">
        <f t="shared" si="41"/>
        <v>F</v>
      </c>
      <c r="U679" t="str">
        <f t="shared" si="42"/>
        <v>TN</v>
      </c>
      <c r="V679" t="str">
        <f t="shared" si="43"/>
        <v>21110</v>
      </c>
    </row>
    <row r="680" spans="1:22" x14ac:dyDescent="0.35">
      <c r="A680" s="3">
        <v>160997</v>
      </c>
      <c r="B680" t="s">
        <v>61</v>
      </c>
      <c r="C680" t="s">
        <v>14</v>
      </c>
      <c r="D680">
        <v>1158</v>
      </c>
      <c r="E680">
        <v>369</v>
      </c>
      <c r="F680">
        <v>386</v>
      </c>
      <c r="G680">
        <v>3</v>
      </c>
      <c r="H680">
        <v>11592</v>
      </c>
      <c r="I680">
        <v>3</v>
      </c>
      <c r="J680">
        <v>64</v>
      </c>
      <c r="K680">
        <v>398</v>
      </c>
      <c r="L680">
        <v>373</v>
      </c>
      <c r="M680">
        <v>5.75</v>
      </c>
      <c r="N680">
        <f>IFERROR(VLOOKUP(A680,vlookup_table!$A:$G,2,FALSE),"")</f>
        <v>1</v>
      </c>
      <c r="O680">
        <f>IFERROR(VLOOKUP(A680,vlookup_table!$A:$G,4,FALSE),"")</f>
        <v>0</v>
      </c>
      <c r="P680" t="str">
        <f>IFERROR(VLOOKUP(A680,vlookup_table!$A:$G,5,FALSE),"")</f>
        <v>R2</v>
      </c>
      <c r="Q680">
        <f>IFERROR(VLOOKUP(A680,vlookup_table!$A:$G,7,FALSE),"")</f>
        <v>10</v>
      </c>
      <c r="R680">
        <f t="shared" si="40"/>
        <v>97</v>
      </c>
      <c r="S680" t="str" cm="1">
        <f t="array" ref="S680">IF(P680="","",_xlfn.SWITCH(LEFT(P680,1),"C","Ciudad","T","Pueblo","R","Rural","S","Suburbano","U","Urbano",""))</f>
        <v>Rural</v>
      </c>
      <c r="T680" t="str">
        <f t="shared" si="41"/>
        <v>M</v>
      </c>
      <c r="U680" t="str">
        <f t="shared" si="42"/>
        <v>CA</v>
      </c>
      <c r="V680" t="str">
        <f t="shared" si="43"/>
        <v>11592</v>
      </c>
    </row>
    <row r="681" spans="1:22" x14ac:dyDescent="0.35">
      <c r="A681" s="3">
        <v>121718</v>
      </c>
      <c r="B681" t="s">
        <v>21</v>
      </c>
      <c r="C681" t="s">
        <v>14</v>
      </c>
      <c r="D681">
        <v>1139</v>
      </c>
      <c r="E681">
        <v>303</v>
      </c>
      <c r="F681">
        <v>633</v>
      </c>
      <c r="G681">
        <v>0</v>
      </c>
      <c r="H681">
        <v>19525</v>
      </c>
      <c r="I681">
        <v>16</v>
      </c>
      <c r="J681">
        <v>30</v>
      </c>
      <c r="K681">
        <v>566</v>
      </c>
      <c r="L681">
        <v>455</v>
      </c>
      <c r="M681">
        <v>17.5</v>
      </c>
      <c r="N681">
        <f>IFERROR(VLOOKUP(A681,vlookup_table!$A:$G,2,FALSE),"")</f>
        <v>1</v>
      </c>
      <c r="O681">
        <f>IFERROR(VLOOKUP(A681,vlookup_table!$A:$G,4,FALSE),"")</f>
        <v>2101</v>
      </c>
      <c r="P681" t="str">
        <f>IFERROR(VLOOKUP(A681,vlookup_table!$A:$G,5,FALSE),"")</f>
        <v>C1</v>
      </c>
      <c r="Q681">
        <f>IFERROR(VLOOKUP(A681,vlookup_table!$A:$G,7,FALSE),"")</f>
        <v>30</v>
      </c>
      <c r="R681">
        <f t="shared" si="40"/>
        <v>76</v>
      </c>
      <c r="S681" t="str" cm="1">
        <f t="array" ref="S681">IF(P681="","",_xlfn.SWITCH(LEFT(P681,1),"C","Ciudad","T","Pueblo","R","Rural","S","Suburbano","U","Urbano",""))</f>
        <v>Ciudad</v>
      </c>
      <c r="T681" t="str">
        <f t="shared" si="41"/>
        <v>M</v>
      </c>
      <c r="U681" t="str">
        <f t="shared" si="42"/>
        <v>TX</v>
      </c>
      <c r="V681" t="str">
        <f t="shared" si="43"/>
        <v>19525</v>
      </c>
    </row>
    <row r="682" spans="1:22" x14ac:dyDescent="0.35">
      <c r="A682" s="3">
        <v>68807</v>
      </c>
      <c r="B682" t="s">
        <v>21</v>
      </c>
      <c r="C682" t="s">
        <v>17</v>
      </c>
      <c r="D682">
        <v>3741</v>
      </c>
      <c r="E682">
        <v>1376</v>
      </c>
      <c r="F682">
        <v>1183</v>
      </c>
      <c r="G682">
        <v>96</v>
      </c>
      <c r="H682">
        <v>57103</v>
      </c>
      <c r="I682">
        <v>8</v>
      </c>
      <c r="J682">
        <v>25</v>
      </c>
      <c r="K682">
        <v>1469</v>
      </c>
      <c r="L682">
        <v>1157</v>
      </c>
      <c r="M682">
        <v>9</v>
      </c>
      <c r="N682">
        <f>IFERROR(VLOOKUP(A682,vlookup_table!$A:$G,2,FALSE),"")</f>
        <v>28</v>
      </c>
      <c r="O682">
        <f>IFERROR(VLOOKUP(A682,vlookup_table!$A:$G,4,FALSE),"")</f>
        <v>0</v>
      </c>
      <c r="P682" t="str">
        <f>IFERROR(VLOOKUP(A682,vlookup_table!$A:$G,5,FALSE),"")</f>
        <v>S1</v>
      </c>
      <c r="Q682">
        <f>IFERROR(VLOOKUP(A682,vlookup_table!$A:$G,7,FALSE),"")</f>
        <v>15</v>
      </c>
      <c r="R682">
        <f t="shared" si="40"/>
        <v>97</v>
      </c>
      <c r="S682" t="str" cm="1">
        <f t="array" ref="S682">IF(P682="","",_xlfn.SWITCH(LEFT(P682,1),"C","Ciudad","T","Pueblo","R","Rural","S","Suburbano","U","Urbano",""))</f>
        <v>Suburbano</v>
      </c>
      <c r="T682" t="str">
        <f t="shared" si="41"/>
        <v>F</v>
      </c>
      <c r="U682" t="str">
        <f t="shared" si="42"/>
        <v>TX</v>
      </c>
      <c r="V682" t="str">
        <f t="shared" si="43"/>
        <v>57103</v>
      </c>
    </row>
    <row r="683" spans="1:22" x14ac:dyDescent="0.35">
      <c r="A683" s="3">
        <v>155045</v>
      </c>
      <c r="B683" t="s">
        <v>21</v>
      </c>
      <c r="C683" t="s">
        <v>14</v>
      </c>
      <c r="D683">
        <v>468</v>
      </c>
      <c r="E683">
        <v>254</v>
      </c>
      <c r="F683">
        <v>337</v>
      </c>
      <c r="G683">
        <v>1</v>
      </c>
      <c r="H683">
        <v>11472</v>
      </c>
      <c r="I683">
        <v>5</v>
      </c>
      <c r="J683">
        <v>71</v>
      </c>
      <c r="K683">
        <v>295</v>
      </c>
      <c r="L683">
        <v>306</v>
      </c>
      <c r="M683">
        <v>8</v>
      </c>
      <c r="N683">
        <f>IFERROR(VLOOKUP(A683,vlookup_table!$A:$G,2,FALSE),"")</f>
        <v>1</v>
      </c>
      <c r="O683">
        <f>IFERROR(VLOOKUP(A683,vlookup_table!$A:$G,4,FALSE),"")</f>
        <v>0</v>
      </c>
      <c r="P683" t="str">
        <f>IFERROR(VLOOKUP(A683,vlookup_table!$A:$G,5,FALSE),"")</f>
        <v>R3</v>
      </c>
      <c r="Q683">
        <f>IFERROR(VLOOKUP(A683,vlookup_table!$A:$G,7,FALSE),"")</f>
        <v>10</v>
      </c>
      <c r="R683">
        <f t="shared" si="40"/>
        <v>97</v>
      </c>
      <c r="S683" t="str" cm="1">
        <f t="array" ref="S683">IF(P683="","",_xlfn.SWITCH(LEFT(P683,1),"C","Ciudad","T","Pueblo","R","Rural","S","Suburbano","U","Urbano",""))</f>
        <v>Rural</v>
      </c>
      <c r="T683" t="str">
        <f t="shared" si="41"/>
        <v>M</v>
      </c>
      <c r="U683" t="str">
        <f t="shared" si="42"/>
        <v>TX</v>
      </c>
      <c r="V683" t="str">
        <f t="shared" si="43"/>
        <v>11472</v>
      </c>
    </row>
    <row r="684" spans="1:22" x14ac:dyDescent="0.35">
      <c r="A684" s="3">
        <v>146703</v>
      </c>
      <c r="B684" t="s">
        <v>61</v>
      </c>
      <c r="D684">
        <v>675</v>
      </c>
      <c r="E684">
        <v>172</v>
      </c>
      <c r="F684">
        <v>405</v>
      </c>
      <c r="G684">
        <v>2</v>
      </c>
      <c r="H684">
        <v>17897</v>
      </c>
      <c r="I684">
        <v>12</v>
      </c>
      <c r="J684">
        <v>6</v>
      </c>
      <c r="K684">
        <v>379</v>
      </c>
      <c r="L684">
        <v>242</v>
      </c>
      <c r="M684">
        <v>12.5</v>
      </c>
      <c r="N684">
        <f>IFERROR(VLOOKUP(A684,vlookup_table!$A:$G,2,FALSE),"")</f>
        <v>1</v>
      </c>
      <c r="O684">
        <f>IFERROR(VLOOKUP(A684,vlookup_table!$A:$G,4,FALSE),"")</f>
        <v>0</v>
      </c>
      <c r="P684" t="str">
        <f>IFERROR(VLOOKUP(A684,vlookup_table!$A:$G,5,FALSE),"")</f>
        <v>C3</v>
      </c>
      <c r="Q684">
        <f>IFERROR(VLOOKUP(A684,vlookup_table!$A:$G,7,FALSE),"")</f>
        <v>15</v>
      </c>
      <c r="R684">
        <f t="shared" si="40"/>
        <v>97</v>
      </c>
      <c r="S684" t="str" cm="1">
        <f t="array" ref="S684">IF(P684="","",_xlfn.SWITCH(LEFT(P684,1),"C","Ciudad","T","Pueblo","R","Rural","S","Suburbano","U","Urbano",""))</f>
        <v>Ciudad</v>
      </c>
      <c r="T684" t="str">
        <f t="shared" si="41"/>
        <v/>
      </c>
      <c r="U684" t="str">
        <f t="shared" si="42"/>
        <v>CA</v>
      </c>
      <c r="V684" t="str">
        <f t="shared" si="43"/>
        <v>17897</v>
      </c>
    </row>
    <row r="685" spans="1:22" x14ac:dyDescent="0.35">
      <c r="A685" s="3">
        <v>81298</v>
      </c>
      <c r="B685" t="s">
        <v>35</v>
      </c>
      <c r="C685" t="s">
        <v>44</v>
      </c>
      <c r="D685">
        <v>533</v>
      </c>
      <c r="E685">
        <v>324</v>
      </c>
      <c r="F685">
        <v>348</v>
      </c>
      <c r="G685">
        <v>0</v>
      </c>
      <c r="H685">
        <v>12238</v>
      </c>
      <c r="I685">
        <v>0</v>
      </c>
      <c r="J685">
        <v>87</v>
      </c>
      <c r="K685">
        <v>336</v>
      </c>
      <c r="L685">
        <v>337</v>
      </c>
      <c r="M685">
        <v>9.6896551720000001</v>
      </c>
      <c r="N685">
        <f>IFERROR(VLOOKUP(A685,vlookup_table!$A:$G,2,FALSE),"")</f>
        <v>1002</v>
      </c>
      <c r="O685">
        <f>IFERROR(VLOOKUP(A685,vlookup_table!$A:$G,4,FALSE),"")</f>
        <v>4612</v>
      </c>
      <c r="P685" t="str">
        <f>IFERROR(VLOOKUP(A685,vlookup_table!$A:$G,5,FALSE),"")</f>
        <v>C2</v>
      </c>
      <c r="Q685">
        <f>IFERROR(VLOOKUP(A685,vlookup_table!$A:$G,7,FALSE),"")</f>
        <v>10</v>
      </c>
      <c r="R685">
        <f t="shared" si="40"/>
        <v>51</v>
      </c>
      <c r="S685" t="str" cm="1">
        <f t="array" ref="S685">IF(P685="","",_xlfn.SWITCH(LEFT(P685,1),"C","Ciudad","T","Pueblo","R","Rural","S","Suburbano","U","Urbano",""))</f>
        <v>Ciudad</v>
      </c>
      <c r="T685" t="str">
        <f t="shared" si="41"/>
        <v>J</v>
      </c>
      <c r="U685" t="str">
        <f t="shared" si="42"/>
        <v>WI</v>
      </c>
      <c r="V685" t="str">
        <f t="shared" si="43"/>
        <v>12238</v>
      </c>
    </row>
    <row r="686" spans="1:22" x14ac:dyDescent="0.35">
      <c r="A686" s="3">
        <v>172301</v>
      </c>
      <c r="B686" t="s">
        <v>61</v>
      </c>
      <c r="C686" t="s">
        <v>14</v>
      </c>
      <c r="D686">
        <v>1486</v>
      </c>
      <c r="E686">
        <v>361</v>
      </c>
      <c r="F686">
        <v>528</v>
      </c>
      <c r="G686">
        <v>14</v>
      </c>
      <c r="H686">
        <v>17774</v>
      </c>
      <c r="I686">
        <v>7</v>
      </c>
      <c r="J686">
        <v>46</v>
      </c>
      <c r="K686">
        <v>406</v>
      </c>
      <c r="L686">
        <v>489</v>
      </c>
      <c r="M686">
        <v>12.75</v>
      </c>
      <c r="N686">
        <f>IFERROR(VLOOKUP(A686,vlookup_table!$A:$G,2,FALSE),"")</f>
        <v>2</v>
      </c>
      <c r="O686">
        <f>IFERROR(VLOOKUP(A686,vlookup_table!$A:$G,4,FALSE),"")</f>
        <v>2301</v>
      </c>
      <c r="P686" t="str">
        <f>IFERROR(VLOOKUP(A686,vlookup_table!$A:$G,5,FALSE),"")</f>
        <v>U1</v>
      </c>
      <c r="Q686">
        <f>IFERROR(VLOOKUP(A686,vlookup_table!$A:$G,7,FALSE),"")</f>
        <v>23</v>
      </c>
      <c r="R686">
        <f t="shared" si="40"/>
        <v>74</v>
      </c>
      <c r="S686" t="str" cm="1">
        <f t="array" ref="S686">IF(P686="","",_xlfn.SWITCH(LEFT(P686,1),"C","Ciudad","T","Pueblo","R","Rural","S","Suburbano","U","Urbano",""))</f>
        <v>Urbano</v>
      </c>
      <c r="T686" t="str">
        <f t="shared" si="41"/>
        <v>M</v>
      </c>
      <c r="U686" t="str">
        <f t="shared" si="42"/>
        <v>CA</v>
      </c>
      <c r="V686" t="str">
        <f t="shared" si="43"/>
        <v>17774</v>
      </c>
    </row>
    <row r="687" spans="1:22" x14ac:dyDescent="0.35">
      <c r="A687" s="3">
        <v>92241</v>
      </c>
      <c r="B687" t="s">
        <v>16</v>
      </c>
      <c r="C687" t="s">
        <v>14</v>
      </c>
      <c r="D687">
        <v>1250</v>
      </c>
      <c r="E687">
        <v>537</v>
      </c>
      <c r="F687">
        <v>598</v>
      </c>
      <c r="G687">
        <v>12</v>
      </c>
      <c r="H687">
        <v>17954</v>
      </c>
      <c r="I687">
        <v>5</v>
      </c>
      <c r="J687">
        <v>78</v>
      </c>
      <c r="K687">
        <v>576</v>
      </c>
      <c r="L687">
        <v>572</v>
      </c>
      <c r="M687">
        <v>7.6190476189999998</v>
      </c>
      <c r="N687">
        <f>IFERROR(VLOOKUP(A687,vlookup_table!$A:$G,2,FALSE),"")</f>
        <v>0</v>
      </c>
      <c r="O687">
        <f>IFERROR(VLOOKUP(A687,vlookup_table!$A:$G,4,FALSE),"")</f>
        <v>3312</v>
      </c>
      <c r="P687" t="str">
        <f>IFERROR(VLOOKUP(A687,vlookup_table!$A:$G,5,FALSE),"")</f>
        <v>C1</v>
      </c>
      <c r="Q687">
        <f>IFERROR(VLOOKUP(A687,vlookup_table!$A:$G,7,FALSE),"")</f>
        <v>20</v>
      </c>
      <c r="R687">
        <f t="shared" si="40"/>
        <v>64</v>
      </c>
      <c r="S687" t="str" cm="1">
        <f t="array" ref="S687">IF(P687="","",_xlfn.SWITCH(LEFT(P687,1),"C","Ciudad","T","Pueblo","R","Rural","S","Suburbano","U","Urbano",""))</f>
        <v>Ciudad</v>
      </c>
      <c r="T687" t="str">
        <f t="shared" si="41"/>
        <v>M</v>
      </c>
      <c r="U687" t="str">
        <f t="shared" si="42"/>
        <v>IL</v>
      </c>
      <c r="V687" t="str">
        <f t="shared" si="43"/>
        <v>17954</v>
      </c>
    </row>
    <row r="688" spans="1:22" x14ac:dyDescent="0.35">
      <c r="A688" s="3">
        <v>116930</v>
      </c>
      <c r="B688" t="s">
        <v>21</v>
      </c>
      <c r="C688" t="s">
        <v>17</v>
      </c>
      <c r="D688">
        <v>3760</v>
      </c>
      <c r="E688">
        <v>705</v>
      </c>
      <c r="F688">
        <v>862</v>
      </c>
      <c r="G688">
        <v>91</v>
      </c>
      <c r="H688">
        <v>47863</v>
      </c>
      <c r="I688">
        <v>2</v>
      </c>
      <c r="J688">
        <v>71</v>
      </c>
      <c r="K688">
        <v>761</v>
      </c>
      <c r="L688">
        <v>800</v>
      </c>
      <c r="M688">
        <v>11.9</v>
      </c>
      <c r="N688">
        <f>IFERROR(VLOOKUP(A688,vlookup_table!$A:$G,2,FALSE),"")</f>
        <v>0</v>
      </c>
      <c r="O688">
        <f>IFERROR(VLOOKUP(A688,vlookup_table!$A:$G,4,FALSE),"")</f>
        <v>2207</v>
      </c>
      <c r="P688" t="str">
        <f>IFERROR(VLOOKUP(A688,vlookup_table!$A:$G,5,FALSE),"")</f>
        <v>U1</v>
      </c>
      <c r="Q688">
        <f>IFERROR(VLOOKUP(A688,vlookup_table!$A:$G,7,FALSE),"")</f>
        <v>20</v>
      </c>
      <c r="R688">
        <f t="shared" si="40"/>
        <v>75</v>
      </c>
      <c r="S688" t="str" cm="1">
        <f t="array" ref="S688">IF(P688="","",_xlfn.SWITCH(LEFT(P688,1),"C","Ciudad","T","Pueblo","R","Rural","S","Suburbano","U","Urbano",""))</f>
        <v>Urbano</v>
      </c>
      <c r="T688" t="str">
        <f t="shared" si="41"/>
        <v>F</v>
      </c>
      <c r="U688" t="str">
        <f t="shared" si="42"/>
        <v>TX</v>
      </c>
      <c r="V688" t="str">
        <f t="shared" si="43"/>
        <v>47863</v>
      </c>
    </row>
    <row r="689" spans="1:22" x14ac:dyDescent="0.35">
      <c r="A689" s="3">
        <v>20338</v>
      </c>
      <c r="B689" t="s">
        <v>18</v>
      </c>
      <c r="C689" t="s">
        <v>14</v>
      </c>
      <c r="D689">
        <v>1991</v>
      </c>
      <c r="E689">
        <v>478</v>
      </c>
      <c r="F689">
        <v>692</v>
      </c>
      <c r="G689">
        <v>50</v>
      </c>
      <c r="H689">
        <v>34641</v>
      </c>
      <c r="I689">
        <v>5</v>
      </c>
      <c r="J689">
        <v>25</v>
      </c>
      <c r="K689">
        <v>538</v>
      </c>
      <c r="L689">
        <v>615</v>
      </c>
      <c r="M689">
        <v>8.6363636360000005</v>
      </c>
      <c r="N689">
        <f>IFERROR(VLOOKUP(A689,vlookup_table!$A:$G,2,FALSE),"")</f>
        <v>0</v>
      </c>
      <c r="O689">
        <f>IFERROR(VLOOKUP(A689,vlookup_table!$A:$G,4,FALSE),"")</f>
        <v>2301</v>
      </c>
      <c r="P689" t="str">
        <f>IFERROR(VLOOKUP(A689,vlookup_table!$A:$G,5,FALSE),"")</f>
        <v>C1</v>
      </c>
      <c r="Q689" t="str">
        <f>IFERROR(VLOOKUP(A689,vlookup_table!$A:$G,7,FALSE),"")</f>
        <v>12.5</v>
      </c>
      <c r="R689">
        <f t="shared" si="40"/>
        <v>74</v>
      </c>
      <c r="S689" t="str" cm="1">
        <f t="array" ref="S689">IF(P689="","",_xlfn.SWITCH(LEFT(P689,1),"C","Ciudad","T","Pueblo","R","Rural","S","Suburbano","U","Urbano",""))</f>
        <v>Ciudad</v>
      </c>
      <c r="T689" t="str">
        <f t="shared" si="41"/>
        <v>M</v>
      </c>
      <c r="U689" t="str">
        <f t="shared" si="42"/>
        <v>NC</v>
      </c>
      <c r="V689" t="str">
        <f t="shared" si="43"/>
        <v>34641</v>
      </c>
    </row>
    <row r="690" spans="1:22" x14ac:dyDescent="0.35">
      <c r="A690" s="3">
        <v>177113</v>
      </c>
      <c r="B690" t="s">
        <v>50</v>
      </c>
      <c r="C690" t="s">
        <v>17</v>
      </c>
      <c r="D690">
        <v>404</v>
      </c>
      <c r="E690">
        <v>199</v>
      </c>
      <c r="F690">
        <v>293</v>
      </c>
      <c r="G690">
        <v>0</v>
      </c>
      <c r="H690">
        <v>10342</v>
      </c>
      <c r="I690">
        <v>1</v>
      </c>
      <c r="J690">
        <v>56</v>
      </c>
      <c r="K690">
        <v>258</v>
      </c>
      <c r="L690">
        <v>250</v>
      </c>
      <c r="M690">
        <v>10</v>
      </c>
      <c r="N690">
        <f>IFERROR(VLOOKUP(A690,vlookup_table!$A:$G,2,FALSE),"")</f>
        <v>2</v>
      </c>
      <c r="O690">
        <f>IFERROR(VLOOKUP(A690,vlookup_table!$A:$G,4,FALSE),"")</f>
        <v>0</v>
      </c>
      <c r="P690" t="str">
        <f>IFERROR(VLOOKUP(A690,vlookup_table!$A:$G,5,FALSE),"")</f>
        <v>R3</v>
      </c>
      <c r="Q690">
        <f>IFERROR(VLOOKUP(A690,vlookup_table!$A:$G,7,FALSE),"")</f>
        <v>14</v>
      </c>
      <c r="R690">
        <f t="shared" si="40"/>
        <v>97</v>
      </c>
      <c r="S690" t="str" cm="1">
        <f t="array" ref="S690">IF(P690="","",_xlfn.SWITCH(LEFT(P690,1),"C","Ciudad","T","Pueblo","R","Rural","S","Suburbano","U","Urbano",""))</f>
        <v>Rural</v>
      </c>
      <c r="T690" t="str">
        <f t="shared" si="41"/>
        <v>F</v>
      </c>
      <c r="U690" t="str">
        <f t="shared" si="42"/>
        <v>OR</v>
      </c>
      <c r="V690" t="str">
        <f t="shared" si="43"/>
        <v>10342</v>
      </c>
    </row>
    <row r="691" spans="1:22" x14ac:dyDescent="0.35">
      <c r="A691" s="3">
        <v>46687</v>
      </c>
      <c r="B691" t="s">
        <v>43</v>
      </c>
      <c r="C691" t="s">
        <v>17</v>
      </c>
      <c r="D691">
        <v>413</v>
      </c>
      <c r="E691">
        <v>72</v>
      </c>
      <c r="F691">
        <v>246</v>
      </c>
      <c r="G691">
        <v>0</v>
      </c>
      <c r="H691">
        <v>7241</v>
      </c>
      <c r="I691">
        <v>0</v>
      </c>
      <c r="J691">
        <v>88</v>
      </c>
      <c r="K691">
        <v>306</v>
      </c>
      <c r="L691">
        <v>132</v>
      </c>
      <c r="M691">
        <v>5.115384615</v>
      </c>
      <c r="N691">
        <f>IFERROR(VLOOKUP(A691,vlookup_table!$A:$G,2,FALSE),"")</f>
        <v>0</v>
      </c>
      <c r="O691">
        <f>IFERROR(VLOOKUP(A691,vlookup_table!$A:$G,4,FALSE),"")</f>
        <v>0</v>
      </c>
      <c r="P691" t="str">
        <f>IFERROR(VLOOKUP(A691,vlookup_table!$A:$G,5,FALSE),"")</f>
        <v>T2</v>
      </c>
      <c r="Q691">
        <f>IFERROR(VLOOKUP(A691,vlookup_table!$A:$G,7,FALSE),"")</f>
        <v>10</v>
      </c>
      <c r="R691">
        <f t="shared" si="40"/>
        <v>97</v>
      </c>
      <c r="S691" t="str" cm="1">
        <f t="array" ref="S691">IF(P691="","",_xlfn.SWITCH(LEFT(P691,1),"C","Ciudad","T","Pueblo","R","Rural","S","Suburbano","U","Urbano",""))</f>
        <v>Pueblo</v>
      </c>
      <c r="T691" t="str">
        <f t="shared" si="41"/>
        <v>F</v>
      </c>
      <c r="U691" t="str">
        <f t="shared" si="42"/>
        <v>AL</v>
      </c>
      <c r="V691" t="str">
        <f t="shared" si="43"/>
        <v>7241</v>
      </c>
    </row>
    <row r="692" spans="1:22" x14ac:dyDescent="0.35">
      <c r="A692" s="3">
        <v>171137</v>
      </c>
      <c r="B692" t="s">
        <v>61</v>
      </c>
      <c r="C692" t="s">
        <v>14</v>
      </c>
      <c r="D692">
        <v>2094</v>
      </c>
      <c r="E692">
        <v>600</v>
      </c>
      <c r="F692">
        <v>654</v>
      </c>
      <c r="G692">
        <v>54</v>
      </c>
      <c r="H692">
        <v>22914</v>
      </c>
      <c r="I692">
        <v>3</v>
      </c>
      <c r="J692">
        <v>66</v>
      </c>
      <c r="K692">
        <v>606</v>
      </c>
      <c r="L692">
        <v>639</v>
      </c>
      <c r="M692">
        <v>11.46153846</v>
      </c>
      <c r="N692">
        <f>IFERROR(VLOOKUP(A692,vlookup_table!$A:$G,2,FALSE),"")</f>
        <v>1</v>
      </c>
      <c r="O692">
        <f>IFERROR(VLOOKUP(A692,vlookup_table!$A:$G,4,FALSE),"")</f>
        <v>2607</v>
      </c>
      <c r="P692" t="str">
        <f>IFERROR(VLOOKUP(A692,vlookup_table!$A:$G,5,FALSE),"")</f>
        <v>T1</v>
      </c>
      <c r="Q692">
        <f>IFERROR(VLOOKUP(A692,vlookup_table!$A:$G,7,FALSE),"")</f>
        <v>14</v>
      </c>
      <c r="R692">
        <f t="shared" si="40"/>
        <v>71</v>
      </c>
      <c r="S692" t="str" cm="1">
        <f t="array" ref="S692">IF(P692="","",_xlfn.SWITCH(LEFT(P692,1),"C","Ciudad","T","Pueblo","R","Rural","S","Suburbano","U","Urbano",""))</f>
        <v>Pueblo</v>
      </c>
      <c r="T692" t="str">
        <f t="shared" si="41"/>
        <v>M</v>
      </c>
      <c r="U692" t="str">
        <f t="shared" si="42"/>
        <v>CA</v>
      </c>
      <c r="V692" t="str">
        <f t="shared" si="43"/>
        <v>22914</v>
      </c>
    </row>
    <row r="693" spans="1:22" x14ac:dyDescent="0.35">
      <c r="A693" s="3">
        <v>2499</v>
      </c>
      <c r="B693" t="s">
        <v>33</v>
      </c>
      <c r="C693" t="s">
        <v>17</v>
      </c>
      <c r="D693">
        <v>818</v>
      </c>
      <c r="E693">
        <v>302</v>
      </c>
      <c r="F693">
        <v>444</v>
      </c>
      <c r="G693">
        <v>3</v>
      </c>
      <c r="H693">
        <v>15112</v>
      </c>
      <c r="I693">
        <v>1</v>
      </c>
      <c r="J693">
        <v>69</v>
      </c>
      <c r="K693">
        <v>397</v>
      </c>
      <c r="L693">
        <v>345</v>
      </c>
      <c r="M693">
        <v>5.6428571429999996</v>
      </c>
      <c r="N693">
        <f>IFERROR(VLOOKUP(A693,vlookup_table!$A:$G,2,FALSE),"")</f>
        <v>0</v>
      </c>
      <c r="O693">
        <f>IFERROR(VLOOKUP(A693,vlookup_table!$A:$G,4,FALSE),"")</f>
        <v>0</v>
      </c>
      <c r="P693" t="str">
        <f>IFERROR(VLOOKUP(A693,vlookup_table!$A:$G,5,FALSE),"")</f>
        <v>T2</v>
      </c>
      <c r="Q693">
        <f>IFERROR(VLOOKUP(A693,vlookup_table!$A:$G,7,FALSE),"")</f>
        <v>5</v>
      </c>
      <c r="R693">
        <f t="shared" si="40"/>
        <v>97</v>
      </c>
      <c r="S693" t="str" cm="1">
        <f t="array" ref="S693">IF(P693="","",_xlfn.SWITCH(LEFT(P693,1),"C","Ciudad","T","Pueblo","R","Rural","S","Suburbano","U","Urbano",""))</f>
        <v>Pueblo</v>
      </c>
      <c r="T693" t="str">
        <f t="shared" si="41"/>
        <v>F</v>
      </c>
      <c r="U693" t="str">
        <f t="shared" si="42"/>
        <v>IN</v>
      </c>
      <c r="V693" t="str">
        <f t="shared" si="43"/>
        <v>15112</v>
      </c>
    </row>
    <row r="694" spans="1:22" x14ac:dyDescent="0.35">
      <c r="A694" s="3">
        <v>149644</v>
      </c>
      <c r="B694" t="s">
        <v>61</v>
      </c>
      <c r="C694" t="s">
        <v>17</v>
      </c>
      <c r="D694">
        <v>3206</v>
      </c>
      <c r="E694">
        <v>313</v>
      </c>
      <c r="F694">
        <v>465</v>
      </c>
      <c r="G694">
        <v>91</v>
      </c>
      <c r="H694">
        <v>18730</v>
      </c>
      <c r="I694">
        <v>17</v>
      </c>
      <c r="J694">
        <v>42</v>
      </c>
      <c r="K694">
        <v>399</v>
      </c>
      <c r="L694">
        <v>383</v>
      </c>
      <c r="M694">
        <v>20</v>
      </c>
      <c r="N694">
        <f>IFERROR(VLOOKUP(A694,vlookup_table!$A:$G,2,FALSE),"")</f>
        <v>0</v>
      </c>
      <c r="O694">
        <f>IFERROR(VLOOKUP(A694,vlookup_table!$A:$G,4,FALSE),"")</f>
        <v>0</v>
      </c>
      <c r="P694" t="str">
        <f>IFERROR(VLOOKUP(A694,vlookup_table!$A:$G,5,FALSE),"")</f>
        <v>U1</v>
      </c>
      <c r="Q694">
        <f>IFERROR(VLOOKUP(A694,vlookup_table!$A:$G,7,FALSE),"")</f>
        <v>20</v>
      </c>
      <c r="R694">
        <f t="shared" si="40"/>
        <v>97</v>
      </c>
      <c r="S694" t="str" cm="1">
        <f t="array" ref="S694">IF(P694="","",_xlfn.SWITCH(LEFT(P694,1),"C","Ciudad","T","Pueblo","R","Rural","S","Suburbano","U","Urbano",""))</f>
        <v>Urbano</v>
      </c>
      <c r="T694" t="str">
        <f t="shared" si="41"/>
        <v>F</v>
      </c>
      <c r="U694" t="str">
        <f t="shared" si="42"/>
        <v>CA</v>
      </c>
      <c r="V694" t="str">
        <f t="shared" si="43"/>
        <v>18730</v>
      </c>
    </row>
    <row r="695" spans="1:22" x14ac:dyDescent="0.35">
      <c r="A695" s="3">
        <v>18584</v>
      </c>
      <c r="B695" t="s">
        <v>18</v>
      </c>
      <c r="C695" t="s">
        <v>20</v>
      </c>
      <c r="D695">
        <v>671</v>
      </c>
      <c r="E695">
        <v>261</v>
      </c>
      <c r="F695">
        <v>346</v>
      </c>
      <c r="G695">
        <v>1</v>
      </c>
      <c r="H695">
        <v>13238</v>
      </c>
      <c r="I695">
        <v>0</v>
      </c>
      <c r="J695">
        <v>80</v>
      </c>
      <c r="K695">
        <v>325</v>
      </c>
      <c r="L695">
        <v>307</v>
      </c>
      <c r="M695">
        <v>10.6</v>
      </c>
      <c r="N695">
        <f>IFERROR(VLOOKUP(A695,vlookup_table!$A:$G,2,FALSE),"")</f>
        <v>0</v>
      </c>
      <c r="O695">
        <f>IFERROR(VLOOKUP(A695,vlookup_table!$A:$G,4,FALSE),"")</f>
        <v>2211</v>
      </c>
      <c r="P695" t="str">
        <f>IFERROR(VLOOKUP(A695,vlookup_table!$A:$G,5,FALSE),"")</f>
        <v>C2</v>
      </c>
      <c r="Q695">
        <f>IFERROR(VLOOKUP(A695,vlookup_table!$A:$G,7,FALSE),"")</f>
        <v>12</v>
      </c>
      <c r="R695">
        <f t="shared" si="40"/>
        <v>75</v>
      </c>
      <c r="S695" t="str" cm="1">
        <f t="array" ref="S695">IF(P695="","",_xlfn.SWITCH(LEFT(P695,1),"C","Ciudad","T","Pueblo","R","Rural","S","Suburbano","U","Urbano",""))</f>
        <v>Ciudad</v>
      </c>
      <c r="T695" t="str">
        <f t="shared" si="41"/>
        <v>F</v>
      </c>
      <c r="U695" t="str">
        <f t="shared" si="42"/>
        <v>NC</v>
      </c>
      <c r="V695" t="str">
        <f t="shared" si="43"/>
        <v>13238</v>
      </c>
    </row>
    <row r="696" spans="1:22" x14ac:dyDescent="0.35">
      <c r="A696" s="3">
        <v>186486</v>
      </c>
      <c r="B696" t="s">
        <v>61</v>
      </c>
      <c r="C696" t="s">
        <v>17</v>
      </c>
      <c r="D696">
        <v>5045</v>
      </c>
      <c r="E696">
        <v>604</v>
      </c>
      <c r="F696">
        <v>797</v>
      </c>
      <c r="G696">
        <v>95</v>
      </c>
      <c r="H696">
        <v>42488</v>
      </c>
      <c r="I696">
        <v>11</v>
      </c>
      <c r="J696">
        <v>41</v>
      </c>
      <c r="K696">
        <v>663</v>
      </c>
      <c r="L696">
        <v>703</v>
      </c>
      <c r="M696">
        <v>5.5</v>
      </c>
      <c r="N696">
        <f>IFERROR(VLOOKUP(A696,vlookup_table!$A:$G,2,FALSE),"")</f>
        <v>0</v>
      </c>
      <c r="O696">
        <f>IFERROR(VLOOKUP(A696,vlookup_table!$A:$G,4,FALSE),"")</f>
        <v>0</v>
      </c>
      <c r="P696" t="str">
        <f>IFERROR(VLOOKUP(A696,vlookup_table!$A:$G,5,FALSE),"")</f>
        <v>U1</v>
      </c>
      <c r="Q696">
        <f>IFERROR(VLOOKUP(A696,vlookup_table!$A:$G,7,FALSE),"")</f>
        <v>3</v>
      </c>
      <c r="R696">
        <f t="shared" si="40"/>
        <v>97</v>
      </c>
      <c r="S696" t="str" cm="1">
        <f t="array" ref="S696">IF(P696="","",_xlfn.SWITCH(LEFT(P696,1),"C","Ciudad","T","Pueblo","R","Rural","S","Suburbano","U","Urbano",""))</f>
        <v>Urbano</v>
      </c>
      <c r="T696" t="str">
        <f t="shared" si="41"/>
        <v>F</v>
      </c>
      <c r="U696" t="str">
        <f t="shared" si="42"/>
        <v>CA</v>
      </c>
      <c r="V696" t="str">
        <f t="shared" si="43"/>
        <v>42488</v>
      </c>
    </row>
    <row r="697" spans="1:22" x14ac:dyDescent="0.35">
      <c r="A697" s="3">
        <v>148544</v>
      </c>
      <c r="B697" t="s">
        <v>61</v>
      </c>
      <c r="C697" t="s">
        <v>17</v>
      </c>
      <c r="D697">
        <v>4286</v>
      </c>
      <c r="E697">
        <v>811</v>
      </c>
      <c r="F697">
        <v>947</v>
      </c>
      <c r="G697">
        <v>95</v>
      </c>
      <c r="H697">
        <v>33614</v>
      </c>
      <c r="I697">
        <v>24</v>
      </c>
      <c r="J697">
        <v>41</v>
      </c>
      <c r="K697">
        <v>910</v>
      </c>
      <c r="L697">
        <v>883</v>
      </c>
      <c r="M697">
        <v>13.6</v>
      </c>
      <c r="N697">
        <f>IFERROR(VLOOKUP(A697,vlookup_table!$A:$G,2,FALSE),"")</f>
        <v>2</v>
      </c>
      <c r="O697">
        <f>IFERROR(VLOOKUP(A697,vlookup_table!$A:$G,4,FALSE),"")</f>
        <v>3908</v>
      </c>
      <c r="P697" t="str">
        <f>IFERROR(VLOOKUP(A697,vlookup_table!$A:$G,5,FALSE),"")</f>
        <v>S1</v>
      </c>
      <c r="Q697">
        <f>IFERROR(VLOOKUP(A697,vlookup_table!$A:$G,7,FALSE),"")</f>
        <v>10</v>
      </c>
      <c r="R697">
        <f t="shared" si="40"/>
        <v>58</v>
      </c>
      <c r="S697" t="str" cm="1">
        <f t="array" ref="S697">IF(P697="","",_xlfn.SWITCH(LEFT(P697,1),"C","Ciudad","T","Pueblo","R","Rural","S","Suburbano","U","Urbano",""))</f>
        <v>Suburbano</v>
      </c>
      <c r="T697" t="str">
        <f t="shared" si="41"/>
        <v>F</v>
      </c>
      <c r="U697" t="str">
        <f t="shared" si="42"/>
        <v>CA</v>
      </c>
      <c r="V697" t="str">
        <f t="shared" si="43"/>
        <v>33614</v>
      </c>
    </row>
    <row r="698" spans="1:22" x14ac:dyDescent="0.35">
      <c r="A698" s="3">
        <v>17217</v>
      </c>
      <c r="B698" t="s">
        <v>18</v>
      </c>
      <c r="C698" t="s">
        <v>14</v>
      </c>
      <c r="D698">
        <v>621</v>
      </c>
      <c r="E698">
        <v>300</v>
      </c>
      <c r="F698">
        <v>351</v>
      </c>
      <c r="G698">
        <v>0</v>
      </c>
      <c r="H698">
        <v>10470</v>
      </c>
      <c r="I698">
        <v>0</v>
      </c>
      <c r="J698">
        <v>86</v>
      </c>
      <c r="K698">
        <v>342</v>
      </c>
      <c r="L698">
        <v>299</v>
      </c>
      <c r="M698">
        <v>6.7058823529999998</v>
      </c>
      <c r="N698">
        <f>IFERROR(VLOOKUP(A698,vlookup_table!$A:$G,2,FALSE),"")</f>
        <v>0</v>
      </c>
      <c r="O698">
        <f>IFERROR(VLOOKUP(A698,vlookup_table!$A:$G,4,FALSE),"")</f>
        <v>3001</v>
      </c>
      <c r="P698" t="str">
        <f>IFERROR(VLOOKUP(A698,vlookup_table!$A:$G,5,FALSE),"")</f>
        <v>R2</v>
      </c>
      <c r="Q698">
        <f>IFERROR(VLOOKUP(A698,vlookup_table!$A:$G,7,FALSE),"")</f>
        <v>10</v>
      </c>
      <c r="R698">
        <f t="shared" si="40"/>
        <v>67</v>
      </c>
      <c r="S698" t="str" cm="1">
        <f t="array" ref="S698">IF(P698="","",_xlfn.SWITCH(LEFT(P698,1),"C","Ciudad","T","Pueblo","R","Rural","S","Suburbano","U","Urbano",""))</f>
        <v>Rural</v>
      </c>
      <c r="T698" t="str">
        <f t="shared" si="41"/>
        <v>M</v>
      </c>
      <c r="U698" t="str">
        <f t="shared" si="42"/>
        <v>NC</v>
      </c>
      <c r="V698" t="str">
        <f t="shared" si="43"/>
        <v>10470</v>
      </c>
    </row>
    <row r="699" spans="1:22" x14ac:dyDescent="0.35">
      <c r="A699" s="3">
        <v>111833</v>
      </c>
      <c r="B699" t="s">
        <v>32</v>
      </c>
      <c r="C699" t="s">
        <v>60</v>
      </c>
      <c r="D699">
        <v>377</v>
      </c>
      <c r="E699">
        <v>173</v>
      </c>
      <c r="F699">
        <v>261</v>
      </c>
      <c r="G699">
        <v>0</v>
      </c>
      <c r="H699">
        <v>8169</v>
      </c>
      <c r="I699">
        <v>0</v>
      </c>
      <c r="J699">
        <v>75</v>
      </c>
      <c r="K699">
        <v>212</v>
      </c>
      <c r="L699">
        <v>225</v>
      </c>
      <c r="M699">
        <v>5</v>
      </c>
      <c r="N699">
        <f>IFERROR(VLOOKUP(A699,vlookup_table!$A:$G,2,FALSE),"")</f>
        <v>2</v>
      </c>
      <c r="O699">
        <f>IFERROR(VLOOKUP(A699,vlookup_table!$A:$G,4,FALSE),"")</f>
        <v>0</v>
      </c>
      <c r="P699" t="str">
        <f>IFERROR(VLOOKUP(A699,vlookup_table!$A:$G,5,FALSE),"")</f>
        <v>T3</v>
      </c>
      <c r="Q699">
        <f>IFERROR(VLOOKUP(A699,vlookup_table!$A:$G,7,FALSE),"")</f>
        <v>5</v>
      </c>
      <c r="R699">
        <f t="shared" si="40"/>
        <v>97</v>
      </c>
      <c r="S699" t="str" cm="1">
        <f t="array" ref="S699">IF(P699="","",_xlfn.SWITCH(LEFT(P699,1),"C","Ciudad","T","Pueblo","R","Rural","S","Suburbano","U","Urbano",""))</f>
        <v>Pueblo</v>
      </c>
      <c r="T699" t="str">
        <f t="shared" si="41"/>
        <v>F</v>
      </c>
      <c r="U699" t="str">
        <f t="shared" si="42"/>
        <v>AR</v>
      </c>
      <c r="V699" t="str">
        <f t="shared" si="43"/>
        <v>8169</v>
      </c>
    </row>
    <row r="700" spans="1:22" x14ac:dyDescent="0.35">
      <c r="A700" s="3">
        <v>158245</v>
      </c>
      <c r="B700" t="s">
        <v>22</v>
      </c>
      <c r="C700" t="s">
        <v>14</v>
      </c>
      <c r="D700">
        <v>1993</v>
      </c>
      <c r="E700">
        <v>442</v>
      </c>
      <c r="F700">
        <v>520</v>
      </c>
      <c r="G700">
        <v>49</v>
      </c>
      <c r="H700">
        <v>16427</v>
      </c>
      <c r="I700">
        <v>15</v>
      </c>
      <c r="J700">
        <v>53</v>
      </c>
      <c r="K700">
        <v>472</v>
      </c>
      <c r="L700">
        <v>484</v>
      </c>
      <c r="M700">
        <v>4.5</v>
      </c>
      <c r="N700">
        <f>IFERROR(VLOOKUP(A700,vlookup_table!$A:$G,2,FALSE),"")</f>
        <v>0</v>
      </c>
      <c r="O700">
        <f>IFERROR(VLOOKUP(A700,vlookup_table!$A:$G,4,FALSE),"")</f>
        <v>0</v>
      </c>
      <c r="P700" t="str">
        <f>IFERROR(VLOOKUP(A700,vlookup_table!$A:$G,5,FALSE),"")</f>
        <v>S3</v>
      </c>
      <c r="Q700">
        <f>IFERROR(VLOOKUP(A700,vlookup_table!$A:$G,7,FALSE),"")</f>
        <v>5</v>
      </c>
      <c r="R700">
        <f t="shared" si="40"/>
        <v>97</v>
      </c>
      <c r="S700" t="str" cm="1">
        <f t="array" ref="S700">IF(P700="","",_xlfn.SWITCH(LEFT(P700,1),"C","Ciudad","T","Pueblo","R","Rural","S","Suburbano","U","Urbano",""))</f>
        <v>Suburbano</v>
      </c>
      <c r="T700" t="str">
        <f t="shared" si="41"/>
        <v>M</v>
      </c>
      <c r="U700" t="str">
        <f t="shared" si="42"/>
        <v>CA</v>
      </c>
      <c r="V700" t="str">
        <f t="shared" si="43"/>
        <v>16427</v>
      </c>
    </row>
    <row r="701" spans="1:22" x14ac:dyDescent="0.35">
      <c r="A701" s="3">
        <v>179776</v>
      </c>
      <c r="B701" t="s">
        <v>40</v>
      </c>
      <c r="C701" t="s">
        <v>17</v>
      </c>
      <c r="D701">
        <v>1493</v>
      </c>
      <c r="E701">
        <v>248</v>
      </c>
      <c r="F701">
        <v>293</v>
      </c>
      <c r="G701">
        <v>11</v>
      </c>
      <c r="H701">
        <v>16982</v>
      </c>
      <c r="I701">
        <v>5</v>
      </c>
      <c r="J701">
        <v>54</v>
      </c>
      <c r="K701">
        <v>240</v>
      </c>
      <c r="L701">
        <v>317</v>
      </c>
      <c r="M701">
        <v>14</v>
      </c>
      <c r="N701">
        <f>IFERROR(VLOOKUP(A701,vlookup_table!$A:$G,2,FALSE),"")</f>
        <v>2</v>
      </c>
      <c r="O701">
        <f>IFERROR(VLOOKUP(A701,vlookup_table!$A:$G,4,FALSE),"")</f>
        <v>3102</v>
      </c>
      <c r="P701" t="str">
        <f>IFERROR(VLOOKUP(A701,vlookup_table!$A:$G,5,FALSE),"")</f>
        <v>S1</v>
      </c>
      <c r="Q701">
        <f>IFERROR(VLOOKUP(A701,vlookup_table!$A:$G,7,FALSE),"")</f>
        <v>10</v>
      </c>
      <c r="R701">
        <f t="shared" si="40"/>
        <v>66</v>
      </c>
      <c r="S701" t="str" cm="1">
        <f t="array" ref="S701">IF(P701="","",_xlfn.SWITCH(LEFT(P701,1),"C","Ciudad","T","Pueblo","R","Rural","S","Suburbano","U","Urbano",""))</f>
        <v>Suburbano</v>
      </c>
      <c r="T701" t="str">
        <f t="shared" si="41"/>
        <v>F</v>
      </c>
      <c r="U701" t="str">
        <f t="shared" si="42"/>
        <v>WA</v>
      </c>
      <c r="V701" t="str">
        <f t="shared" si="43"/>
        <v>16982</v>
      </c>
    </row>
    <row r="702" spans="1:22" x14ac:dyDescent="0.35">
      <c r="A702" s="3">
        <v>165102</v>
      </c>
      <c r="B702" t="s">
        <v>22</v>
      </c>
      <c r="C702" t="s">
        <v>14</v>
      </c>
      <c r="D702">
        <v>2973</v>
      </c>
      <c r="E702">
        <v>614</v>
      </c>
      <c r="F702">
        <v>721</v>
      </c>
      <c r="G702">
        <v>82</v>
      </c>
      <c r="H702">
        <v>30483</v>
      </c>
      <c r="I702">
        <v>6</v>
      </c>
      <c r="J702">
        <v>51</v>
      </c>
      <c r="K702">
        <v>674</v>
      </c>
      <c r="L702">
        <v>656</v>
      </c>
      <c r="M702">
        <v>25</v>
      </c>
      <c r="N702">
        <f>IFERROR(VLOOKUP(A702,vlookup_table!$A:$G,2,FALSE),"")</f>
        <v>1</v>
      </c>
      <c r="O702">
        <f>IFERROR(VLOOKUP(A702,vlookup_table!$A:$G,4,FALSE),"")</f>
        <v>2201</v>
      </c>
      <c r="P702" t="str">
        <f>IFERROR(VLOOKUP(A702,vlookup_table!$A:$G,5,FALSE),"")</f>
        <v>S1</v>
      </c>
      <c r="Q702">
        <f>IFERROR(VLOOKUP(A702,vlookup_table!$A:$G,7,FALSE),"")</f>
        <v>25</v>
      </c>
      <c r="R702">
        <f t="shared" si="40"/>
        <v>75</v>
      </c>
      <c r="S702" t="str" cm="1">
        <f t="array" ref="S702">IF(P702="","",_xlfn.SWITCH(LEFT(P702,1),"C","Ciudad","T","Pueblo","R","Rural","S","Suburbano","U","Urbano",""))</f>
        <v>Suburbano</v>
      </c>
      <c r="T702" t="str">
        <f t="shared" si="41"/>
        <v>M</v>
      </c>
      <c r="U702" t="str">
        <f t="shared" si="42"/>
        <v>CA</v>
      </c>
      <c r="V702" t="str">
        <f t="shared" si="43"/>
        <v>30483</v>
      </c>
    </row>
    <row r="703" spans="1:22" x14ac:dyDescent="0.35">
      <c r="A703" s="3">
        <v>95341</v>
      </c>
      <c r="B703" t="s">
        <v>16</v>
      </c>
      <c r="C703" t="s">
        <v>17</v>
      </c>
      <c r="D703">
        <v>1028</v>
      </c>
      <c r="E703">
        <v>208</v>
      </c>
      <c r="F703">
        <v>263</v>
      </c>
      <c r="G703">
        <v>0</v>
      </c>
      <c r="H703">
        <v>10716</v>
      </c>
      <c r="I703">
        <v>1</v>
      </c>
      <c r="J703">
        <v>76</v>
      </c>
      <c r="K703">
        <v>234</v>
      </c>
      <c r="L703">
        <v>220</v>
      </c>
      <c r="M703">
        <v>21.09090909</v>
      </c>
      <c r="N703">
        <f>IFERROR(VLOOKUP(A703,vlookup_table!$A:$G,2,FALSE),"")</f>
        <v>28</v>
      </c>
      <c r="O703">
        <f>IFERROR(VLOOKUP(A703,vlookup_table!$A:$G,4,FALSE),"")</f>
        <v>0</v>
      </c>
      <c r="P703" t="str">
        <f>IFERROR(VLOOKUP(A703,vlookup_table!$A:$G,5,FALSE),"")</f>
        <v>T2</v>
      </c>
      <c r="Q703">
        <f>IFERROR(VLOOKUP(A703,vlookup_table!$A:$G,7,FALSE),"")</f>
        <v>10</v>
      </c>
      <c r="R703">
        <f t="shared" si="40"/>
        <v>97</v>
      </c>
      <c r="S703" t="str" cm="1">
        <f t="array" ref="S703">IF(P703="","",_xlfn.SWITCH(LEFT(P703,1),"C","Ciudad","T","Pueblo","R","Rural","S","Suburbano","U","Urbano",""))</f>
        <v>Pueblo</v>
      </c>
      <c r="T703" t="str">
        <f t="shared" si="41"/>
        <v>F</v>
      </c>
      <c r="U703" t="str">
        <f t="shared" si="42"/>
        <v>IL</v>
      </c>
      <c r="V703" t="str">
        <f t="shared" si="43"/>
        <v>10716</v>
      </c>
    </row>
    <row r="704" spans="1:22" x14ac:dyDescent="0.35">
      <c r="A704" s="3">
        <v>166375</v>
      </c>
      <c r="B704" t="s">
        <v>22</v>
      </c>
      <c r="C704" t="s">
        <v>17</v>
      </c>
      <c r="D704">
        <v>3373</v>
      </c>
      <c r="E704">
        <v>546</v>
      </c>
      <c r="F704">
        <v>752</v>
      </c>
      <c r="G704">
        <v>93</v>
      </c>
      <c r="H704">
        <v>32474</v>
      </c>
      <c r="I704">
        <v>11</v>
      </c>
      <c r="J704">
        <v>50</v>
      </c>
      <c r="K704">
        <v>670</v>
      </c>
      <c r="L704">
        <v>633</v>
      </c>
      <c r="M704">
        <v>7</v>
      </c>
      <c r="N704">
        <f>IFERROR(VLOOKUP(A704,vlookup_table!$A:$G,2,FALSE),"")</f>
        <v>0</v>
      </c>
      <c r="O704">
        <f>IFERROR(VLOOKUP(A704,vlookup_table!$A:$G,4,FALSE),"")</f>
        <v>2901</v>
      </c>
      <c r="P704" t="str">
        <f>IFERROR(VLOOKUP(A704,vlookup_table!$A:$G,5,FALSE),"")</f>
        <v>S1</v>
      </c>
      <c r="Q704">
        <f>IFERROR(VLOOKUP(A704,vlookup_table!$A:$G,7,FALSE),"")</f>
        <v>11</v>
      </c>
      <c r="R704">
        <f t="shared" si="40"/>
        <v>68</v>
      </c>
      <c r="S704" t="str" cm="1">
        <f t="array" ref="S704">IF(P704="","",_xlfn.SWITCH(LEFT(P704,1),"C","Ciudad","T","Pueblo","R","Rural","S","Suburbano","U","Urbano",""))</f>
        <v>Suburbano</v>
      </c>
      <c r="T704" t="str">
        <f t="shared" si="41"/>
        <v>F</v>
      </c>
      <c r="U704" t="str">
        <f t="shared" si="42"/>
        <v>CA</v>
      </c>
      <c r="V704" t="str">
        <f t="shared" si="43"/>
        <v>32474</v>
      </c>
    </row>
    <row r="705" spans="1:22" x14ac:dyDescent="0.35">
      <c r="A705" s="3">
        <v>69577</v>
      </c>
      <c r="B705" t="s">
        <v>29</v>
      </c>
      <c r="C705" t="s">
        <v>14</v>
      </c>
      <c r="D705">
        <v>973</v>
      </c>
      <c r="E705">
        <v>506</v>
      </c>
      <c r="F705">
        <v>571</v>
      </c>
      <c r="G705">
        <v>7</v>
      </c>
      <c r="H705">
        <v>17806</v>
      </c>
      <c r="I705">
        <v>1</v>
      </c>
      <c r="J705">
        <v>81</v>
      </c>
      <c r="K705">
        <v>521</v>
      </c>
      <c r="L705">
        <v>549</v>
      </c>
      <c r="M705">
        <v>7.2</v>
      </c>
      <c r="N705">
        <f>IFERROR(VLOOKUP(A705,vlookup_table!$A:$G,2,FALSE),"")</f>
        <v>1</v>
      </c>
      <c r="O705">
        <f>IFERROR(VLOOKUP(A705,vlookup_table!$A:$G,4,FALSE),"")</f>
        <v>6001</v>
      </c>
      <c r="P705" t="str">
        <f>IFERROR(VLOOKUP(A705,vlookup_table!$A:$G,5,FALSE),"")</f>
        <v>R2</v>
      </c>
      <c r="Q705">
        <f>IFERROR(VLOOKUP(A705,vlookup_table!$A:$G,7,FALSE),"")</f>
        <v>8</v>
      </c>
      <c r="R705">
        <f t="shared" si="40"/>
        <v>37</v>
      </c>
      <c r="S705" t="str" cm="1">
        <f t="array" ref="S705">IF(P705="","",_xlfn.SWITCH(LEFT(P705,1),"C","Ciudad","T","Pueblo","R","Rural","S","Suburbano","U","Urbano",""))</f>
        <v>Rural</v>
      </c>
      <c r="T705" t="str">
        <f t="shared" si="41"/>
        <v>M</v>
      </c>
      <c r="U705" t="str">
        <f t="shared" si="42"/>
        <v>MI</v>
      </c>
      <c r="V705" t="str">
        <f t="shared" si="43"/>
        <v>17806</v>
      </c>
    </row>
    <row r="706" spans="1:22" x14ac:dyDescent="0.35">
      <c r="A706" s="3">
        <v>29785</v>
      </c>
      <c r="B706" t="s">
        <v>39</v>
      </c>
      <c r="C706" t="s">
        <v>17</v>
      </c>
      <c r="D706">
        <v>505</v>
      </c>
      <c r="E706">
        <v>185</v>
      </c>
      <c r="F706">
        <v>276</v>
      </c>
      <c r="G706">
        <v>0</v>
      </c>
      <c r="H706">
        <v>9368</v>
      </c>
      <c r="I706">
        <v>0</v>
      </c>
      <c r="J706">
        <v>70</v>
      </c>
      <c r="K706">
        <v>236</v>
      </c>
      <c r="L706">
        <v>227</v>
      </c>
      <c r="M706">
        <v>12.5</v>
      </c>
      <c r="N706">
        <f>IFERROR(VLOOKUP(A706,vlookup_table!$A:$G,2,FALSE),"")</f>
        <v>0</v>
      </c>
      <c r="O706">
        <f>IFERROR(VLOOKUP(A706,vlookup_table!$A:$G,4,FALSE),"")</f>
        <v>2501</v>
      </c>
      <c r="P706" t="str">
        <f>IFERROR(VLOOKUP(A706,vlookup_table!$A:$G,5,FALSE),"")</f>
        <v>C2</v>
      </c>
      <c r="Q706">
        <f>IFERROR(VLOOKUP(A706,vlookup_table!$A:$G,7,FALSE),"")</f>
        <v>15</v>
      </c>
      <c r="R706">
        <f t="shared" ref="R706:R769" si="44">IF(O706="","",97-INT(O706/100))</f>
        <v>72</v>
      </c>
      <c r="S706" t="str" cm="1">
        <f t="array" ref="S706">IF(P706="","",_xlfn.SWITCH(LEFT(P706,1),"C","Ciudad","T","Pueblo","R","Rural","S","Suburbano","U","Urbano",""))</f>
        <v>Ciudad</v>
      </c>
      <c r="T706" t="str">
        <f t="shared" ref="T706:T769" si="45">IF(C706="","",IF(OR(UPPER(C706)="M",UPPER(C706)="MALE"),"M",IF(OR(UPPER(C706)="F",UPPER(C706)="FEMALE",UPPER(C706)="FEAMALE"),"F",C706)))</f>
        <v>F</v>
      </c>
      <c r="U706" t="str">
        <f t="shared" ref="U706:U769" si="46">IF(OR(UPPER(B706)="CALIFORNIA",UPPER(B706)="CALI"),"CA",B706)</f>
        <v>GA</v>
      </c>
      <c r="V706" t="str">
        <f t="shared" ref="V706:V769" si="47">SUBSTITUTE(H706,"@","")</f>
        <v>9368</v>
      </c>
    </row>
    <row r="707" spans="1:22" x14ac:dyDescent="0.35">
      <c r="A707" s="3">
        <v>188279</v>
      </c>
      <c r="B707" t="s">
        <v>29</v>
      </c>
      <c r="C707" t="s">
        <v>14</v>
      </c>
      <c r="D707">
        <v>524</v>
      </c>
      <c r="E707">
        <v>259</v>
      </c>
      <c r="F707">
        <v>353</v>
      </c>
      <c r="G707">
        <v>0</v>
      </c>
      <c r="H707">
        <v>12714</v>
      </c>
      <c r="I707">
        <v>8</v>
      </c>
      <c r="J707">
        <v>72</v>
      </c>
      <c r="K707">
        <v>296</v>
      </c>
      <c r="L707">
        <v>276</v>
      </c>
      <c r="M707">
        <v>8.6666666669999994</v>
      </c>
      <c r="N707">
        <f>IFERROR(VLOOKUP(A707,vlookup_table!$A:$G,2,FALSE),"")</f>
        <v>1</v>
      </c>
      <c r="O707">
        <f>IFERROR(VLOOKUP(A707,vlookup_table!$A:$G,4,FALSE),"")</f>
        <v>3501</v>
      </c>
      <c r="P707" t="str">
        <f>IFERROR(VLOOKUP(A707,vlookup_table!$A:$G,5,FALSE),"")</f>
        <v>S2</v>
      </c>
      <c r="Q707">
        <f>IFERROR(VLOOKUP(A707,vlookup_table!$A:$G,7,FALSE),"")</f>
        <v>10</v>
      </c>
      <c r="R707">
        <f t="shared" si="44"/>
        <v>62</v>
      </c>
      <c r="S707" t="str" cm="1">
        <f t="array" ref="S707">IF(P707="","",_xlfn.SWITCH(LEFT(P707,1),"C","Ciudad","T","Pueblo","R","Rural","S","Suburbano","U","Urbano",""))</f>
        <v>Suburbano</v>
      </c>
      <c r="T707" t="str">
        <f t="shared" si="45"/>
        <v>M</v>
      </c>
      <c r="U707" t="str">
        <f t="shared" si="46"/>
        <v>MI</v>
      </c>
      <c r="V707" t="str">
        <f t="shared" si="47"/>
        <v>12714</v>
      </c>
    </row>
    <row r="708" spans="1:22" x14ac:dyDescent="0.35">
      <c r="A708" s="3">
        <v>150970</v>
      </c>
      <c r="B708" t="s">
        <v>22</v>
      </c>
      <c r="C708" t="s">
        <v>17</v>
      </c>
      <c r="D708">
        <v>1851</v>
      </c>
      <c r="E708">
        <v>472</v>
      </c>
      <c r="F708">
        <v>563</v>
      </c>
      <c r="G708">
        <v>39</v>
      </c>
      <c r="H708">
        <v>17217</v>
      </c>
      <c r="I708">
        <v>31</v>
      </c>
      <c r="J708">
        <v>52</v>
      </c>
      <c r="K708">
        <v>531</v>
      </c>
      <c r="L708">
        <v>530</v>
      </c>
      <c r="M708">
        <v>20</v>
      </c>
      <c r="N708">
        <f>IFERROR(VLOOKUP(A708,vlookup_table!$A:$G,2,FALSE),"")</f>
        <v>2</v>
      </c>
      <c r="O708">
        <f>IFERROR(VLOOKUP(A708,vlookup_table!$A:$G,4,FALSE),"")</f>
        <v>4601</v>
      </c>
      <c r="P708" t="str">
        <f>IFERROR(VLOOKUP(A708,vlookup_table!$A:$G,5,FALSE),"")</f>
        <v>U2</v>
      </c>
      <c r="Q708">
        <f>IFERROR(VLOOKUP(A708,vlookup_table!$A:$G,7,FALSE),"")</f>
        <v>20</v>
      </c>
      <c r="R708">
        <f t="shared" si="44"/>
        <v>51</v>
      </c>
      <c r="S708" t="str" cm="1">
        <f t="array" ref="S708">IF(P708="","",_xlfn.SWITCH(LEFT(P708,1),"C","Ciudad","T","Pueblo","R","Rural","S","Suburbano","U","Urbano",""))</f>
        <v>Urbano</v>
      </c>
      <c r="T708" t="str">
        <f t="shared" si="45"/>
        <v>F</v>
      </c>
      <c r="U708" t="str">
        <f t="shared" si="46"/>
        <v>CA</v>
      </c>
      <c r="V708" t="str">
        <f t="shared" si="47"/>
        <v>17217</v>
      </c>
    </row>
    <row r="709" spans="1:22" x14ac:dyDescent="0.35">
      <c r="A709" s="3">
        <v>77799</v>
      </c>
      <c r="B709" t="s">
        <v>35</v>
      </c>
      <c r="C709" t="s">
        <v>51</v>
      </c>
      <c r="D709">
        <v>923</v>
      </c>
      <c r="E709">
        <v>373</v>
      </c>
      <c r="F709">
        <v>497</v>
      </c>
      <c r="G709">
        <v>0</v>
      </c>
      <c r="H709">
        <v>16271</v>
      </c>
      <c r="I709">
        <v>3</v>
      </c>
      <c r="J709">
        <v>80</v>
      </c>
      <c r="K709">
        <v>481</v>
      </c>
      <c r="L709">
        <v>402</v>
      </c>
      <c r="M709">
        <v>6.8181818180000002</v>
      </c>
      <c r="N709">
        <f>IFERROR(VLOOKUP(A709,vlookup_table!$A:$G,2,FALSE),"")</f>
        <v>0</v>
      </c>
      <c r="O709">
        <f>IFERROR(VLOOKUP(A709,vlookup_table!$A:$G,4,FALSE),"")</f>
        <v>3703</v>
      </c>
      <c r="P709" t="str">
        <f>IFERROR(VLOOKUP(A709,vlookup_table!$A:$G,5,FALSE),"")</f>
        <v>S1</v>
      </c>
      <c r="Q709">
        <f>IFERROR(VLOOKUP(A709,vlookup_table!$A:$G,7,FALSE),"")</f>
        <v>10</v>
      </c>
      <c r="R709">
        <f t="shared" si="44"/>
        <v>60</v>
      </c>
      <c r="S709" t="str" cm="1">
        <f t="array" ref="S709">IF(P709="","",_xlfn.SWITCH(LEFT(P709,1),"C","Ciudad","T","Pueblo","R","Rural","S","Suburbano","U","Urbano",""))</f>
        <v>Suburbano</v>
      </c>
      <c r="T709" t="str">
        <f t="shared" si="45"/>
        <v>M</v>
      </c>
      <c r="U709" t="str">
        <f t="shared" si="46"/>
        <v>WI</v>
      </c>
      <c r="V709" t="str">
        <f t="shared" si="47"/>
        <v>16271</v>
      </c>
    </row>
    <row r="710" spans="1:22" x14ac:dyDescent="0.35">
      <c r="A710" s="3">
        <v>90694</v>
      </c>
      <c r="B710" t="s">
        <v>16</v>
      </c>
      <c r="C710" t="s">
        <v>17</v>
      </c>
      <c r="D710">
        <v>1401</v>
      </c>
      <c r="E710">
        <v>420</v>
      </c>
      <c r="F710">
        <v>508</v>
      </c>
      <c r="G710">
        <v>9</v>
      </c>
      <c r="H710">
        <v>17973</v>
      </c>
      <c r="I710">
        <v>3</v>
      </c>
      <c r="J710">
        <v>70</v>
      </c>
      <c r="K710">
        <v>474</v>
      </c>
      <c r="L710">
        <v>466</v>
      </c>
      <c r="M710">
        <v>19.399999999999999</v>
      </c>
      <c r="N710">
        <f>IFERROR(VLOOKUP(A710,vlookup_table!$A:$G,2,FALSE),"")</f>
        <v>28</v>
      </c>
      <c r="O710">
        <f>IFERROR(VLOOKUP(A710,vlookup_table!$A:$G,4,FALSE),"")</f>
        <v>1501</v>
      </c>
      <c r="P710" t="str">
        <f>IFERROR(VLOOKUP(A710,vlookup_table!$A:$G,5,FALSE),"")</f>
        <v>U1</v>
      </c>
      <c r="Q710">
        <f>IFERROR(VLOOKUP(A710,vlookup_table!$A:$G,7,FALSE),"")</f>
        <v>30</v>
      </c>
      <c r="R710">
        <f t="shared" si="44"/>
        <v>82</v>
      </c>
      <c r="S710" t="str" cm="1">
        <f t="array" ref="S710">IF(P710="","",_xlfn.SWITCH(LEFT(P710,1),"C","Ciudad","T","Pueblo","R","Rural","S","Suburbano","U","Urbano",""))</f>
        <v>Urbano</v>
      </c>
      <c r="T710" t="str">
        <f t="shared" si="45"/>
        <v>F</v>
      </c>
      <c r="U710" t="str">
        <f t="shared" si="46"/>
        <v>IL</v>
      </c>
      <c r="V710" t="str">
        <f t="shared" si="47"/>
        <v>17973</v>
      </c>
    </row>
    <row r="711" spans="1:22" x14ac:dyDescent="0.35">
      <c r="A711" s="3">
        <v>173508</v>
      </c>
      <c r="B711" t="s">
        <v>37</v>
      </c>
      <c r="C711" t="s">
        <v>14</v>
      </c>
      <c r="D711">
        <v>3952</v>
      </c>
      <c r="E711">
        <v>696</v>
      </c>
      <c r="F711">
        <v>786</v>
      </c>
      <c r="G711">
        <v>96</v>
      </c>
      <c r="H711">
        <v>24913</v>
      </c>
      <c r="I711">
        <v>8</v>
      </c>
      <c r="J711">
        <v>73</v>
      </c>
      <c r="K711">
        <v>715</v>
      </c>
      <c r="L711">
        <v>774</v>
      </c>
      <c r="M711">
        <v>15</v>
      </c>
      <c r="N711">
        <f>IFERROR(VLOOKUP(A711,vlookup_table!$A:$G,2,FALSE),"")</f>
        <v>1</v>
      </c>
      <c r="O711">
        <f>IFERROR(VLOOKUP(A711,vlookup_table!$A:$G,4,FALSE),"")</f>
        <v>0</v>
      </c>
      <c r="P711" t="str">
        <f>IFERROR(VLOOKUP(A711,vlookup_table!$A:$G,5,FALSE),"")</f>
        <v>S1</v>
      </c>
      <c r="Q711">
        <f>IFERROR(VLOOKUP(A711,vlookup_table!$A:$G,7,FALSE),"")</f>
        <v>25</v>
      </c>
      <c r="R711">
        <f t="shared" si="44"/>
        <v>97</v>
      </c>
      <c r="S711" t="str" cm="1">
        <f t="array" ref="S711">IF(P711="","",_xlfn.SWITCH(LEFT(P711,1),"C","Ciudad","T","Pueblo","R","Rural","S","Suburbano","U","Urbano",""))</f>
        <v>Suburbano</v>
      </c>
      <c r="T711" t="str">
        <f t="shared" si="45"/>
        <v>M</v>
      </c>
      <c r="U711" t="str">
        <f t="shared" si="46"/>
        <v>HI</v>
      </c>
      <c r="V711" t="str">
        <f t="shared" si="47"/>
        <v>24913</v>
      </c>
    </row>
    <row r="712" spans="1:22" x14ac:dyDescent="0.35">
      <c r="A712" s="3">
        <v>102775</v>
      </c>
      <c r="B712" t="s">
        <v>41</v>
      </c>
      <c r="C712" t="s">
        <v>17</v>
      </c>
      <c r="D712">
        <v>1250</v>
      </c>
      <c r="E712">
        <v>367</v>
      </c>
      <c r="F712">
        <v>478</v>
      </c>
      <c r="G712">
        <v>16</v>
      </c>
      <c r="H712">
        <v>19095</v>
      </c>
      <c r="I712">
        <v>3</v>
      </c>
      <c r="J712">
        <v>34</v>
      </c>
      <c r="K712">
        <v>430</v>
      </c>
      <c r="L712">
        <v>404</v>
      </c>
      <c r="M712">
        <v>16.454545459999999</v>
      </c>
      <c r="N712">
        <f>IFERROR(VLOOKUP(A712,vlookup_table!$A:$G,2,FALSE),"")</f>
        <v>0</v>
      </c>
      <c r="O712">
        <f>IFERROR(VLOOKUP(A712,vlookup_table!$A:$G,4,FALSE),"")</f>
        <v>0</v>
      </c>
      <c r="P712" t="str">
        <f>IFERROR(VLOOKUP(A712,vlookup_table!$A:$G,5,FALSE),"")</f>
        <v>R2</v>
      </c>
      <c r="Q712">
        <f>IFERROR(VLOOKUP(A712,vlookup_table!$A:$G,7,FALSE),"")</f>
        <v>20</v>
      </c>
      <c r="R712">
        <f t="shared" si="44"/>
        <v>97</v>
      </c>
      <c r="S712" t="str" cm="1">
        <f t="array" ref="S712">IF(P712="","",_xlfn.SWITCH(LEFT(P712,1),"C","Ciudad","T","Pueblo","R","Rural","S","Suburbano","U","Urbano",""))</f>
        <v>Rural</v>
      </c>
      <c r="T712" t="str">
        <f t="shared" si="45"/>
        <v>F</v>
      </c>
      <c r="U712" t="str">
        <f t="shared" si="46"/>
        <v>ID</v>
      </c>
      <c r="V712" t="str">
        <f t="shared" si="47"/>
        <v>19095</v>
      </c>
    </row>
    <row r="713" spans="1:22" x14ac:dyDescent="0.35">
      <c r="A713" s="3">
        <v>117255</v>
      </c>
      <c r="B713" t="s">
        <v>21</v>
      </c>
      <c r="C713" t="s">
        <v>17</v>
      </c>
      <c r="D713">
        <v>740</v>
      </c>
      <c r="E713">
        <v>388</v>
      </c>
      <c r="F713">
        <v>569</v>
      </c>
      <c r="G713">
        <v>7</v>
      </c>
      <c r="H713">
        <v>22630</v>
      </c>
      <c r="I713">
        <v>4</v>
      </c>
      <c r="J713">
        <v>64</v>
      </c>
      <c r="K713">
        <v>422</v>
      </c>
      <c r="L713">
        <v>487</v>
      </c>
      <c r="M713">
        <v>8.7142857140000007</v>
      </c>
      <c r="N713">
        <f>IFERROR(VLOOKUP(A713,vlookup_table!$A:$G,2,FALSE),"")</f>
        <v>2</v>
      </c>
      <c r="O713">
        <f>IFERROR(VLOOKUP(A713,vlookup_table!$A:$G,4,FALSE),"")</f>
        <v>1701</v>
      </c>
      <c r="P713" t="str">
        <f>IFERROR(VLOOKUP(A713,vlookup_table!$A:$G,5,FALSE),"")</f>
        <v>U1</v>
      </c>
      <c r="Q713">
        <f>IFERROR(VLOOKUP(A713,vlookup_table!$A:$G,7,FALSE),"")</f>
        <v>10</v>
      </c>
      <c r="R713">
        <f t="shared" si="44"/>
        <v>80</v>
      </c>
      <c r="S713" t="str" cm="1">
        <f t="array" ref="S713">IF(P713="","",_xlfn.SWITCH(LEFT(P713,1),"C","Ciudad","T","Pueblo","R","Rural","S","Suburbano","U","Urbano",""))</f>
        <v>Urbano</v>
      </c>
      <c r="T713" t="str">
        <f t="shared" si="45"/>
        <v>F</v>
      </c>
      <c r="U713" t="str">
        <f t="shared" si="46"/>
        <v>TX</v>
      </c>
      <c r="V713" t="str">
        <f t="shared" si="47"/>
        <v>22630</v>
      </c>
    </row>
    <row r="714" spans="1:22" x14ac:dyDescent="0.35">
      <c r="A714" s="3">
        <v>145392</v>
      </c>
      <c r="B714" t="s">
        <v>22</v>
      </c>
      <c r="C714" t="s">
        <v>30</v>
      </c>
      <c r="D714">
        <v>3570</v>
      </c>
      <c r="E714">
        <v>471</v>
      </c>
      <c r="F714">
        <v>628</v>
      </c>
      <c r="G714">
        <v>91</v>
      </c>
      <c r="H714">
        <v>19152</v>
      </c>
      <c r="I714">
        <v>32</v>
      </c>
      <c r="J714">
        <v>45</v>
      </c>
      <c r="K714">
        <v>561</v>
      </c>
      <c r="L714">
        <v>561</v>
      </c>
      <c r="M714">
        <v>8.2727272729999992</v>
      </c>
      <c r="N714">
        <f>IFERROR(VLOOKUP(A714,vlookup_table!$A:$G,2,FALSE),"")</f>
        <v>2</v>
      </c>
      <c r="O714">
        <f>IFERROR(VLOOKUP(A714,vlookup_table!$A:$G,4,FALSE),"")</f>
        <v>3102</v>
      </c>
      <c r="P714" t="str">
        <f>IFERROR(VLOOKUP(A714,vlookup_table!$A:$G,5,FALSE),"")</f>
        <v>S1</v>
      </c>
      <c r="Q714">
        <f>IFERROR(VLOOKUP(A714,vlookup_table!$A:$G,7,FALSE),"")</f>
        <v>15</v>
      </c>
      <c r="R714">
        <f t="shared" si="44"/>
        <v>66</v>
      </c>
      <c r="S714" t="str" cm="1">
        <f t="array" ref="S714">IF(P714="","",_xlfn.SWITCH(LEFT(P714,1),"C","Ciudad","T","Pueblo","R","Rural","S","Suburbano","U","Urbano",""))</f>
        <v>Suburbano</v>
      </c>
      <c r="T714" t="str">
        <f t="shared" si="45"/>
        <v>U</v>
      </c>
      <c r="U714" t="str">
        <f t="shared" si="46"/>
        <v>CA</v>
      </c>
      <c r="V714" t="str">
        <f t="shared" si="47"/>
        <v>19152</v>
      </c>
    </row>
    <row r="715" spans="1:22" x14ac:dyDescent="0.35">
      <c r="A715" s="3">
        <v>185052</v>
      </c>
      <c r="B715" t="s">
        <v>21</v>
      </c>
      <c r="C715" t="s">
        <v>14</v>
      </c>
      <c r="D715">
        <v>2442</v>
      </c>
      <c r="E715">
        <v>641</v>
      </c>
      <c r="F715">
        <v>931</v>
      </c>
      <c r="G715">
        <v>75</v>
      </c>
      <c r="H715">
        <v>38212</v>
      </c>
      <c r="I715">
        <v>2</v>
      </c>
      <c r="J715">
        <v>48</v>
      </c>
      <c r="K715">
        <v>993</v>
      </c>
      <c r="L715">
        <v>764</v>
      </c>
      <c r="M715">
        <v>89.444444439999998</v>
      </c>
      <c r="N715">
        <f>IFERROR(VLOOKUP(A715,vlookup_table!$A:$G,2,FALSE),"")</f>
        <v>1</v>
      </c>
      <c r="O715">
        <f>IFERROR(VLOOKUP(A715,vlookup_table!$A:$G,4,FALSE),"")</f>
        <v>5001</v>
      </c>
      <c r="P715" t="str">
        <f>IFERROR(VLOOKUP(A715,vlookup_table!$A:$G,5,FALSE),"")</f>
        <v>U1</v>
      </c>
      <c r="Q715">
        <f>IFERROR(VLOOKUP(A715,vlookup_table!$A:$G,7,FALSE),"")</f>
        <v>100</v>
      </c>
      <c r="R715">
        <f t="shared" si="44"/>
        <v>47</v>
      </c>
      <c r="S715" t="str" cm="1">
        <f t="array" ref="S715">IF(P715="","",_xlfn.SWITCH(LEFT(P715,1),"C","Ciudad","T","Pueblo","R","Rural","S","Suburbano","U","Urbano",""))</f>
        <v>Urbano</v>
      </c>
      <c r="T715" t="str">
        <f t="shared" si="45"/>
        <v>M</v>
      </c>
      <c r="U715" t="str">
        <f t="shared" si="46"/>
        <v>TX</v>
      </c>
      <c r="V715" t="str">
        <f t="shared" si="47"/>
        <v>38212</v>
      </c>
    </row>
    <row r="716" spans="1:22" x14ac:dyDescent="0.35">
      <c r="A716" s="3">
        <v>179423</v>
      </c>
      <c r="B716" t="s">
        <v>40</v>
      </c>
      <c r="C716" t="s">
        <v>17</v>
      </c>
      <c r="D716">
        <v>1654</v>
      </c>
      <c r="E716">
        <v>305</v>
      </c>
      <c r="F716">
        <v>457</v>
      </c>
      <c r="G716">
        <v>29</v>
      </c>
      <c r="H716">
        <v>18438</v>
      </c>
      <c r="I716">
        <v>10</v>
      </c>
      <c r="J716">
        <v>40</v>
      </c>
      <c r="K716">
        <v>343</v>
      </c>
      <c r="L716">
        <v>377</v>
      </c>
      <c r="M716">
        <v>20</v>
      </c>
      <c r="N716">
        <f>IFERROR(VLOOKUP(A716,vlookup_table!$A:$G,2,FALSE),"")</f>
        <v>0</v>
      </c>
      <c r="O716">
        <f>IFERROR(VLOOKUP(A716,vlookup_table!$A:$G,4,FALSE),"")</f>
        <v>1501</v>
      </c>
      <c r="P716" t="str">
        <f>IFERROR(VLOOKUP(A716,vlookup_table!$A:$G,5,FALSE),"")</f>
        <v>U1</v>
      </c>
      <c r="Q716">
        <f>IFERROR(VLOOKUP(A716,vlookup_table!$A:$G,7,FALSE),"")</f>
        <v>20</v>
      </c>
      <c r="R716">
        <f t="shared" si="44"/>
        <v>82</v>
      </c>
      <c r="S716" t="str" cm="1">
        <f t="array" ref="S716">IF(P716="","",_xlfn.SWITCH(LEFT(P716,1),"C","Ciudad","T","Pueblo","R","Rural","S","Suburbano","U","Urbano",""))</f>
        <v>Urbano</v>
      </c>
      <c r="T716" t="str">
        <f t="shared" si="45"/>
        <v>F</v>
      </c>
      <c r="U716" t="str">
        <f t="shared" si="46"/>
        <v>WA</v>
      </c>
      <c r="V716" t="str">
        <f t="shared" si="47"/>
        <v>18438</v>
      </c>
    </row>
    <row r="717" spans="1:22" x14ac:dyDescent="0.35">
      <c r="A717" s="3">
        <v>6304</v>
      </c>
      <c r="B717" t="s">
        <v>28</v>
      </c>
      <c r="C717" t="s">
        <v>14</v>
      </c>
      <c r="D717">
        <v>500</v>
      </c>
      <c r="E717">
        <v>272</v>
      </c>
      <c r="F717">
        <v>451</v>
      </c>
      <c r="G717">
        <v>0</v>
      </c>
      <c r="H717">
        <v>30968</v>
      </c>
      <c r="I717">
        <v>0</v>
      </c>
      <c r="J717">
        <v>35</v>
      </c>
      <c r="K717">
        <v>438</v>
      </c>
      <c r="L717">
        <v>381</v>
      </c>
      <c r="M717">
        <v>12.05555556</v>
      </c>
      <c r="N717">
        <f>IFERROR(VLOOKUP(A717,vlookup_table!$A:$G,2,FALSE),"")</f>
        <v>1</v>
      </c>
      <c r="O717">
        <f>IFERROR(VLOOKUP(A717,vlookup_table!$A:$G,4,FALSE),"")</f>
        <v>1202</v>
      </c>
      <c r="P717" t="str">
        <f>IFERROR(VLOOKUP(A717,vlookup_table!$A:$G,5,FALSE),"")</f>
        <v>R2</v>
      </c>
      <c r="Q717">
        <f>IFERROR(VLOOKUP(A717,vlookup_table!$A:$G,7,FALSE),"")</f>
        <v>20</v>
      </c>
      <c r="R717">
        <f t="shared" si="44"/>
        <v>85</v>
      </c>
      <c r="S717" t="str" cm="1">
        <f t="array" ref="S717">IF(P717="","",_xlfn.SWITCH(LEFT(P717,1),"C","Ciudad","T","Pueblo","R","Rural","S","Suburbano","U","Urbano",""))</f>
        <v>Rural</v>
      </c>
      <c r="T717" t="str">
        <f t="shared" si="45"/>
        <v>M</v>
      </c>
      <c r="U717" t="str">
        <f t="shared" si="46"/>
        <v>KS</v>
      </c>
      <c r="V717" t="str">
        <f t="shared" si="47"/>
        <v>30968</v>
      </c>
    </row>
    <row r="718" spans="1:22" x14ac:dyDescent="0.35">
      <c r="A718" s="3">
        <v>3631</v>
      </c>
      <c r="B718" t="s">
        <v>50</v>
      </c>
      <c r="C718" t="s">
        <v>14</v>
      </c>
      <c r="D718">
        <v>642</v>
      </c>
      <c r="E718">
        <v>323</v>
      </c>
      <c r="F718">
        <v>384</v>
      </c>
      <c r="G718">
        <v>0</v>
      </c>
      <c r="H718">
        <v>14420</v>
      </c>
      <c r="I718">
        <v>3</v>
      </c>
      <c r="J718">
        <v>58</v>
      </c>
      <c r="K718">
        <v>355</v>
      </c>
      <c r="L718">
        <v>356</v>
      </c>
      <c r="M718">
        <v>13.11111111</v>
      </c>
      <c r="N718">
        <f>IFERROR(VLOOKUP(A718,vlookup_table!$A:$G,2,FALSE),"")</f>
        <v>1</v>
      </c>
      <c r="O718">
        <f>IFERROR(VLOOKUP(A718,vlookup_table!$A:$G,4,FALSE),"")</f>
        <v>0</v>
      </c>
      <c r="P718" t="str">
        <f>IFERROR(VLOOKUP(A718,vlookup_table!$A:$G,5,FALSE),"")</f>
        <v>S2</v>
      </c>
      <c r="Q718">
        <f>IFERROR(VLOOKUP(A718,vlookup_table!$A:$G,7,FALSE),"")</f>
        <v>13</v>
      </c>
      <c r="R718">
        <f t="shared" si="44"/>
        <v>97</v>
      </c>
      <c r="S718" t="str" cm="1">
        <f t="array" ref="S718">IF(P718="","",_xlfn.SWITCH(LEFT(P718,1),"C","Ciudad","T","Pueblo","R","Rural","S","Suburbano","U","Urbano",""))</f>
        <v>Suburbano</v>
      </c>
      <c r="T718" t="str">
        <f t="shared" si="45"/>
        <v>M</v>
      </c>
      <c r="U718" t="str">
        <f t="shared" si="46"/>
        <v>OR</v>
      </c>
      <c r="V718" t="str">
        <f t="shared" si="47"/>
        <v>14420</v>
      </c>
    </row>
    <row r="719" spans="1:22" x14ac:dyDescent="0.35">
      <c r="A719" s="3">
        <v>78199</v>
      </c>
      <c r="B719" t="s">
        <v>35</v>
      </c>
      <c r="C719" t="s">
        <v>51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9.6999999999999993</v>
      </c>
      <c r="N719">
        <f>IFERROR(VLOOKUP(A719,vlookup_table!$A:$G,2,FALSE),"")</f>
        <v>1</v>
      </c>
      <c r="O719">
        <f>IFERROR(VLOOKUP(A719,vlookup_table!$A:$G,4,FALSE),"")</f>
        <v>4610</v>
      </c>
      <c r="P719" t="str">
        <f>IFERROR(VLOOKUP(A719,vlookup_table!$A:$G,5,FALSE),"")</f>
        <v>C1</v>
      </c>
      <c r="Q719">
        <f>IFERROR(VLOOKUP(A719,vlookup_table!$A:$G,7,FALSE),"")</f>
        <v>15</v>
      </c>
      <c r="R719">
        <f t="shared" si="44"/>
        <v>51</v>
      </c>
      <c r="S719" t="str" cm="1">
        <f t="array" ref="S719">IF(P719="","",_xlfn.SWITCH(LEFT(P719,1),"C","Ciudad","T","Pueblo","R","Rural","S","Suburbano","U","Urbano",""))</f>
        <v>Ciudad</v>
      </c>
      <c r="T719" t="str">
        <f t="shared" si="45"/>
        <v>M</v>
      </c>
      <c r="U719" t="str">
        <f t="shared" si="46"/>
        <v>WI</v>
      </c>
      <c r="V719" t="str">
        <f t="shared" si="47"/>
        <v>0</v>
      </c>
    </row>
    <row r="720" spans="1:22" x14ac:dyDescent="0.35">
      <c r="A720" s="3">
        <v>128496</v>
      </c>
      <c r="B720" t="s">
        <v>21</v>
      </c>
      <c r="C720" t="s">
        <v>14</v>
      </c>
      <c r="D720">
        <v>430</v>
      </c>
      <c r="E720">
        <v>210</v>
      </c>
      <c r="F720">
        <v>311</v>
      </c>
      <c r="G720">
        <v>1</v>
      </c>
      <c r="H720">
        <v>11608</v>
      </c>
      <c r="I720">
        <v>1</v>
      </c>
      <c r="J720">
        <v>78</v>
      </c>
      <c r="K720">
        <v>256</v>
      </c>
      <c r="L720">
        <v>264</v>
      </c>
      <c r="M720">
        <v>8.6666666669999994</v>
      </c>
      <c r="N720">
        <f>IFERROR(VLOOKUP(A720,vlookup_table!$A:$G,2,FALSE),"")</f>
        <v>2</v>
      </c>
      <c r="O720">
        <f>IFERROR(VLOOKUP(A720,vlookup_table!$A:$G,4,FALSE),"")</f>
        <v>0</v>
      </c>
      <c r="P720" t="str">
        <f>IFERROR(VLOOKUP(A720,vlookup_table!$A:$G,5,FALSE),"")</f>
        <v>T3</v>
      </c>
      <c r="Q720">
        <f>IFERROR(VLOOKUP(A720,vlookup_table!$A:$G,7,FALSE),"")</f>
        <v>6</v>
      </c>
      <c r="R720">
        <f t="shared" si="44"/>
        <v>97</v>
      </c>
      <c r="S720" t="str" cm="1">
        <f t="array" ref="S720">IF(P720="","",_xlfn.SWITCH(LEFT(P720,1),"C","Ciudad","T","Pueblo","R","Rural","S","Suburbano","U","Urbano",""))</f>
        <v>Pueblo</v>
      </c>
      <c r="T720" t="str">
        <f t="shared" si="45"/>
        <v>M</v>
      </c>
      <c r="U720" t="str">
        <f t="shared" si="46"/>
        <v>TX</v>
      </c>
      <c r="V720" t="str">
        <f t="shared" si="47"/>
        <v>11608</v>
      </c>
    </row>
    <row r="721" spans="1:22" x14ac:dyDescent="0.35">
      <c r="A721" s="3">
        <v>1292</v>
      </c>
      <c r="B721" t="s">
        <v>13</v>
      </c>
      <c r="C721" t="s">
        <v>14</v>
      </c>
      <c r="D721">
        <v>692</v>
      </c>
      <c r="E721">
        <v>203</v>
      </c>
      <c r="F721">
        <v>304</v>
      </c>
      <c r="G721">
        <v>1</v>
      </c>
      <c r="H721">
        <v>14602</v>
      </c>
      <c r="I721">
        <v>6</v>
      </c>
      <c r="J721">
        <v>3</v>
      </c>
      <c r="K721">
        <v>266</v>
      </c>
      <c r="L721">
        <v>249</v>
      </c>
      <c r="M721">
        <v>7.6</v>
      </c>
      <c r="N721">
        <f>IFERROR(VLOOKUP(A721,vlookup_table!$A:$G,2,FALSE),"")</f>
        <v>1</v>
      </c>
      <c r="O721">
        <f>IFERROR(VLOOKUP(A721,vlookup_table!$A:$G,4,FALSE),"")</f>
        <v>5001</v>
      </c>
      <c r="P721" t="str">
        <f>IFERROR(VLOOKUP(A721,vlookup_table!$A:$G,5,FALSE),"")</f>
        <v>C2</v>
      </c>
      <c r="Q721">
        <f>IFERROR(VLOOKUP(A721,vlookup_table!$A:$G,7,FALSE),"")</f>
        <v>15</v>
      </c>
      <c r="R721">
        <f t="shared" si="44"/>
        <v>47</v>
      </c>
      <c r="S721" t="str" cm="1">
        <f t="array" ref="S721">IF(P721="","",_xlfn.SWITCH(LEFT(P721,1),"C","Ciudad","T","Pueblo","R","Rural","S","Suburbano","U","Urbano",""))</f>
        <v>Ciudad</v>
      </c>
      <c r="T721" t="str">
        <f t="shared" si="45"/>
        <v>M</v>
      </c>
      <c r="U721" t="str">
        <f t="shared" si="46"/>
        <v>FL</v>
      </c>
      <c r="V721" t="str">
        <f t="shared" si="47"/>
        <v>14602</v>
      </c>
    </row>
    <row r="722" spans="1:22" x14ac:dyDescent="0.35">
      <c r="A722" s="3">
        <v>114676</v>
      </c>
      <c r="B722" t="s">
        <v>31</v>
      </c>
      <c r="D722">
        <v>1062</v>
      </c>
      <c r="E722">
        <v>486</v>
      </c>
      <c r="F722">
        <v>584</v>
      </c>
      <c r="G722">
        <v>4</v>
      </c>
      <c r="H722">
        <v>17908</v>
      </c>
      <c r="I722">
        <v>2</v>
      </c>
      <c r="J722">
        <v>60</v>
      </c>
      <c r="K722">
        <v>550</v>
      </c>
      <c r="L722">
        <v>555</v>
      </c>
      <c r="M722">
        <v>15.33333333</v>
      </c>
      <c r="N722">
        <f>IFERROR(VLOOKUP(A722,vlookup_table!$A:$G,2,FALSE),"")</f>
        <v>0</v>
      </c>
      <c r="O722">
        <f>IFERROR(VLOOKUP(A722,vlookup_table!$A:$G,4,FALSE),"")</f>
        <v>5201</v>
      </c>
      <c r="P722" t="str">
        <f>IFERROR(VLOOKUP(A722,vlookup_table!$A:$G,5,FALSE),"")</f>
        <v>T1</v>
      </c>
      <c r="Q722">
        <f>IFERROR(VLOOKUP(A722,vlookup_table!$A:$G,7,FALSE),"")</f>
        <v>20</v>
      </c>
      <c r="R722">
        <f t="shared" si="44"/>
        <v>45</v>
      </c>
      <c r="S722" t="str" cm="1">
        <f t="array" ref="S722">IF(P722="","",_xlfn.SWITCH(LEFT(P722,1),"C","Ciudad","T","Pueblo","R","Rural","S","Suburbano","U","Urbano",""))</f>
        <v>Pueblo</v>
      </c>
      <c r="T722" t="str">
        <f t="shared" si="45"/>
        <v/>
      </c>
      <c r="U722" t="str">
        <f t="shared" si="46"/>
        <v>OK</v>
      </c>
      <c r="V722" t="str">
        <f t="shared" si="47"/>
        <v>17908</v>
      </c>
    </row>
    <row r="723" spans="1:22" x14ac:dyDescent="0.35">
      <c r="A723" s="3">
        <v>93065</v>
      </c>
      <c r="B723" t="s">
        <v>16</v>
      </c>
      <c r="C723" t="s">
        <v>14</v>
      </c>
      <c r="D723">
        <v>1375</v>
      </c>
      <c r="E723">
        <v>353</v>
      </c>
      <c r="F723">
        <v>475</v>
      </c>
      <c r="G723">
        <v>0</v>
      </c>
      <c r="H723">
        <v>16388</v>
      </c>
      <c r="I723">
        <v>9</v>
      </c>
      <c r="J723">
        <v>53</v>
      </c>
      <c r="K723">
        <v>383</v>
      </c>
      <c r="L723">
        <v>362</v>
      </c>
      <c r="M723">
        <v>9.5625</v>
      </c>
      <c r="N723">
        <f>IFERROR(VLOOKUP(A723,vlookup_table!$A:$G,2,FALSE),"")</f>
        <v>1</v>
      </c>
      <c r="O723">
        <f>IFERROR(VLOOKUP(A723,vlookup_table!$A:$G,4,FALSE),"")</f>
        <v>0</v>
      </c>
      <c r="P723" t="str">
        <f>IFERROR(VLOOKUP(A723,vlookup_table!$A:$G,5,FALSE),"")</f>
        <v>U1</v>
      </c>
      <c r="Q723">
        <f>IFERROR(VLOOKUP(A723,vlookup_table!$A:$G,7,FALSE),"")</f>
        <v>10</v>
      </c>
      <c r="R723">
        <f t="shared" si="44"/>
        <v>97</v>
      </c>
      <c r="S723" t="str" cm="1">
        <f t="array" ref="S723">IF(P723="","",_xlfn.SWITCH(LEFT(P723,1),"C","Ciudad","T","Pueblo","R","Rural","S","Suburbano","U","Urbano",""))</f>
        <v>Urbano</v>
      </c>
      <c r="T723" t="str">
        <f t="shared" si="45"/>
        <v>M</v>
      </c>
      <c r="U723" t="str">
        <f t="shared" si="46"/>
        <v>IL</v>
      </c>
      <c r="V723" t="str">
        <f t="shared" si="47"/>
        <v>16388</v>
      </c>
    </row>
    <row r="724" spans="1:22" x14ac:dyDescent="0.35">
      <c r="A724" s="3">
        <v>125181</v>
      </c>
      <c r="B724" t="s">
        <v>21</v>
      </c>
      <c r="C724" t="s">
        <v>17</v>
      </c>
      <c r="D724">
        <v>2469</v>
      </c>
      <c r="E724">
        <v>346</v>
      </c>
      <c r="F724">
        <v>835</v>
      </c>
      <c r="G724">
        <v>61</v>
      </c>
      <c r="H724">
        <v>47151</v>
      </c>
      <c r="I724">
        <v>4</v>
      </c>
      <c r="J724">
        <v>64</v>
      </c>
      <c r="K724">
        <v>767</v>
      </c>
      <c r="L724">
        <v>559</v>
      </c>
      <c r="M724">
        <v>7.5</v>
      </c>
      <c r="N724">
        <f>IFERROR(VLOOKUP(A724,vlookup_table!$A:$G,2,FALSE),"")</f>
        <v>1</v>
      </c>
      <c r="O724">
        <f>IFERROR(VLOOKUP(A724,vlookup_table!$A:$G,4,FALSE),"")</f>
        <v>1201</v>
      </c>
      <c r="P724" t="str">
        <f>IFERROR(VLOOKUP(A724,vlookup_table!$A:$G,5,FALSE),"")</f>
        <v>S1</v>
      </c>
      <c r="Q724">
        <f>IFERROR(VLOOKUP(A724,vlookup_table!$A:$G,7,FALSE),"")</f>
        <v>8</v>
      </c>
      <c r="R724">
        <f t="shared" si="44"/>
        <v>85</v>
      </c>
      <c r="S724" t="str" cm="1">
        <f t="array" ref="S724">IF(P724="","",_xlfn.SWITCH(LEFT(P724,1),"C","Ciudad","T","Pueblo","R","Rural","S","Suburbano","U","Urbano",""))</f>
        <v>Suburbano</v>
      </c>
      <c r="T724" t="str">
        <f t="shared" si="45"/>
        <v>F</v>
      </c>
      <c r="U724" t="str">
        <f t="shared" si="46"/>
        <v>TX</v>
      </c>
      <c r="V724" t="str">
        <f t="shared" si="47"/>
        <v>47151</v>
      </c>
    </row>
    <row r="725" spans="1:22" x14ac:dyDescent="0.35">
      <c r="A725" s="3">
        <v>157204</v>
      </c>
      <c r="B725" t="s">
        <v>22</v>
      </c>
      <c r="C725" t="s">
        <v>17</v>
      </c>
      <c r="D725">
        <v>2400</v>
      </c>
      <c r="E725">
        <v>451</v>
      </c>
      <c r="F725">
        <v>569</v>
      </c>
      <c r="G725">
        <v>70</v>
      </c>
      <c r="H725">
        <v>17470</v>
      </c>
      <c r="I725">
        <v>15</v>
      </c>
      <c r="J725">
        <v>50</v>
      </c>
      <c r="K725">
        <v>526</v>
      </c>
      <c r="L725">
        <v>481</v>
      </c>
      <c r="M725">
        <v>13.14285714</v>
      </c>
      <c r="N725">
        <f>IFERROR(VLOOKUP(A725,vlookup_table!$A:$G,2,FALSE),"")</f>
        <v>0</v>
      </c>
      <c r="O725">
        <f>IFERROR(VLOOKUP(A725,vlookup_table!$A:$G,4,FALSE),"")</f>
        <v>4204</v>
      </c>
      <c r="P725" t="str">
        <f>IFERROR(VLOOKUP(A725,vlookup_table!$A:$G,5,FALSE),"")</f>
        <v>U1</v>
      </c>
      <c r="Q725">
        <f>IFERROR(VLOOKUP(A725,vlookup_table!$A:$G,7,FALSE),"")</f>
        <v>20</v>
      </c>
      <c r="R725">
        <f t="shared" si="44"/>
        <v>55</v>
      </c>
      <c r="S725" t="str" cm="1">
        <f t="array" ref="S725">IF(P725="","",_xlfn.SWITCH(LEFT(P725,1),"C","Ciudad","T","Pueblo","R","Rural","S","Suburbano","U","Urbano",""))</f>
        <v>Urbano</v>
      </c>
      <c r="T725" t="str">
        <f t="shared" si="45"/>
        <v>F</v>
      </c>
      <c r="U725" t="str">
        <f t="shared" si="46"/>
        <v>CA</v>
      </c>
      <c r="V725" t="str">
        <f t="shared" si="47"/>
        <v>17470</v>
      </c>
    </row>
    <row r="726" spans="1:22" x14ac:dyDescent="0.35">
      <c r="A726" s="3">
        <v>69445</v>
      </c>
      <c r="B726" t="s">
        <v>29</v>
      </c>
      <c r="C726" t="s">
        <v>14</v>
      </c>
      <c r="D726">
        <v>1472</v>
      </c>
      <c r="E726">
        <v>532</v>
      </c>
      <c r="F726">
        <v>634</v>
      </c>
      <c r="G726">
        <v>18</v>
      </c>
      <c r="H726">
        <v>20135</v>
      </c>
      <c r="I726">
        <v>3</v>
      </c>
      <c r="J726">
        <v>83</v>
      </c>
      <c r="K726">
        <v>580</v>
      </c>
      <c r="L726">
        <v>583</v>
      </c>
      <c r="M726">
        <v>20</v>
      </c>
      <c r="N726">
        <f>IFERROR(VLOOKUP(A726,vlookup_table!$A:$G,2,FALSE),"")</f>
        <v>1</v>
      </c>
      <c r="O726">
        <f>IFERROR(VLOOKUP(A726,vlookup_table!$A:$G,4,FALSE),"")</f>
        <v>5701</v>
      </c>
      <c r="P726" t="str">
        <f>IFERROR(VLOOKUP(A726,vlookup_table!$A:$G,5,FALSE),"")</f>
        <v>T1</v>
      </c>
      <c r="Q726">
        <f>IFERROR(VLOOKUP(A726,vlookup_table!$A:$G,7,FALSE),"")</f>
        <v>10</v>
      </c>
      <c r="R726">
        <f t="shared" si="44"/>
        <v>40</v>
      </c>
      <c r="S726" t="str" cm="1">
        <f t="array" ref="S726">IF(P726="","",_xlfn.SWITCH(LEFT(P726,1),"C","Ciudad","T","Pueblo","R","Rural","S","Suburbano","U","Urbano",""))</f>
        <v>Pueblo</v>
      </c>
      <c r="T726" t="str">
        <f t="shared" si="45"/>
        <v>M</v>
      </c>
      <c r="U726" t="str">
        <f t="shared" si="46"/>
        <v>MI</v>
      </c>
      <c r="V726" t="str">
        <f t="shared" si="47"/>
        <v>20135</v>
      </c>
    </row>
    <row r="727" spans="1:22" x14ac:dyDescent="0.35">
      <c r="A727" s="3">
        <v>14370</v>
      </c>
      <c r="B727" t="s">
        <v>13</v>
      </c>
      <c r="C727" t="s">
        <v>17</v>
      </c>
      <c r="D727">
        <v>637</v>
      </c>
      <c r="E727">
        <v>339</v>
      </c>
      <c r="F727">
        <v>411</v>
      </c>
      <c r="G727">
        <v>0</v>
      </c>
      <c r="H727">
        <v>13370</v>
      </c>
      <c r="I727">
        <v>1</v>
      </c>
      <c r="J727">
        <v>56</v>
      </c>
      <c r="K727">
        <v>394</v>
      </c>
      <c r="L727">
        <v>380</v>
      </c>
      <c r="M727">
        <v>4.5</v>
      </c>
      <c r="N727">
        <f>IFERROR(VLOOKUP(A727,vlookup_table!$A:$G,2,FALSE),"")</f>
        <v>2</v>
      </c>
      <c r="O727">
        <f>IFERROR(VLOOKUP(A727,vlookup_table!$A:$G,4,FALSE),"")</f>
        <v>4306</v>
      </c>
      <c r="P727" t="str">
        <f>IFERROR(VLOOKUP(A727,vlookup_table!$A:$G,5,FALSE),"")</f>
        <v>S2</v>
      </c>
      <c r="Q727">
        <f>IFERROR(VLOOKUP(A727,vlookup_table!$A:$G,7,FALSE),"")</f>
        <v>5</v>
      </c>
      <c r="R727">
        <f t="shared" si="44"/>
        <v>54</v>
      </c>
      <c r="S727" t="str" cm="1">
        <f t="array" ref="S727">IF(P727="","",_xlfn.SWITCH(LEFT(P727,1),"C","Ciudad","T","Pueblo","R","Rural","S","Suburbano","U","Urbano",""))</f>
        <v>Suburbano</v>
      </c>
      <c r="T727" t="str">
        <f t="shared" si="45"/>
        <v>F</v>
      </c>
      <c r="U727" t="str">
        <f t="shared" si="46"/>
        <v>FL</v>
      </c>
      <c r="V727" t="str">
        <f t="shared" si="47"/>
        <v>13370</v>
      </c>
    </row>
    <row r="728" spans="1:22" x14ac:dyDescent="0.35">
      <c r="A728" s="3">
        <v>10092</v>
      </c>
      <c r="B728" t="s">
        <v>24</v>
      </c>
      <c r="C728" t="s">
        <v>14</v>
      </c>
      <c r="D728">
        <v>1557</v>
      </c>
      <c r="E728">
        <v>290</v>
      </c>
      <c r="F728">
        <v>361</v>
      </c>
      <c r="G728">
        <v>17</v>
      </c>
      <c r="H728">
        <v>13837</v>
      </c>
      <c r="I728">
        <v>5</v>
      </c>
      <c r="J728">
        <v>6</v>
      </c>
      <c r="K728">
        <v>311</v>
      </c>
      <c r="L728">
        <v>342</v>
      </c>
      <c r="M728">
        <v>9.4285714289999998</v>
      </c>
      <c r="N728">
        <f>IFERROR(VLOOKUP(A728,vlookup_table!$A:$G,2,FALSE),"")</f>
        <v>1</v>
      </c>
      <c r="O728">
        <f>IFERROR(VLOOKUP(A728,vlookup_table!$A:$G,4,FALSE),"")</f>
        <v>3106</v>
      </c>
      <c r="P728" t="str">
        <f>IFERROR(VLOOKUP(A728,vlookup_table!$A:$G,5,FALSE),"")</f>
        <v>T2</v>
      </c>
      <c r="Q728">
        <f>IFERROR(VLOOKUP(A728,vlookup_table!$A:$G,7,FALSE),"")</f>
        <v>10</v>
      </c>
      <c r="R728">
        <f t="shared" si="44"/>
        <v>66</v>
      </c>
      <c r="S728" t="str" cm="1">
        <f t="array" ref="S728">IF(P728="","",_xlfn.SWITCH(LEFT(P728,1),"C","Ciudad","T","Pueblo","R","Rural","S","Suburbano","U","Urbano",""))</f>
        <v>Pueblo</v>
      </c>
      <c r="T728" t="str">
        <f t="shared" si="45"/>
        <v>M</v>
      </c>
      <c r="U728" t="str">
        <f t="shared" si="46"/>
        <v>NV</v>
      </c>
      <c r="V728" t="str">
        <f t="shared" si="47"/>
        <v>13837</v>
      </c>
    </row>
    <row r="729" spans="1:22" x14ac:dyDescent="0.35">
      <c r="A729" s="3">
        <v>58883</v>
      </c>
      <c r="B729" t="s">
        <v>21</v>
      </c>
      <c r="C729" t="s">
        <v>17</v>
      </c>
      <c r="D729">
        <v>1072</v>
      </c>
      <c r="E729">
        <v>529</v>
      </c>
      <c r="F729">
        <v>663</v>
      </c>
      <c r="G729">
        <v>1</v>
      </c>
      <c r="H729">
        <v>26712</v>
      </c>
      <c r="I729">
        <v>0</v>
      </c>
      <c r="J729">
        <v>42</v>
      </c>
      <c r="K729">
        <v>647</v>
      </c>
      <c r="L729">
        <v>579</v>
      </c>
      <c r="M729">
        <v>7.8333333329999997</v>
      </c>
      <c r="N729">
        <f>IFERROR(VLOOKUP(A729,vlookup_table!$A:$G,2,FALSE),"")</f>
        <v>0</v>
      </c>
      <c r="O729">
        <f>IFERROR(VLOOKUP(A729,vlookup_table!$A:$G,4,FALSE),"")</f>
        <v>0</v>
      </c>
      <c r="P729" t="str">
        <f>IFERROR(VLOOKUP(A729,vlookup_table!$A:$G,5,FALSE),"")</f>
        <v>R3</v>
      </c>
      <c r="Q729">
        <f>IFERROR(VLOOKUP(A729,vlookup_table!$A:$G,7,FALSE),"")</f>
        <v>5</v>
      </c>
      <c r="R729">
        <f t="shared" si="44"/>
        <v>97</v>
      </c>
      <c r="S729" t="str" cm="1">
        <f t="array" ref="S729">IF(P729="","",_xlfn.SWITCH(LEFT(P729,1),"C","Ciudad","T","Pueblo","R","Rural","S","Suburbano","U","Urbano",""))</f>
        <v>Rural</v>
      </c>
      <c r="T729" t="str">
        <f t="shared" si="45"/>
        <v>F</v>
      </c>
      <c r="U729" t="str">
        <f t="shared" si="46"/>
        <v>TX</v>
      </c>
      <c r="V729" t="str">
        <f t="shared" si="47"/>
        <v>26712</v>
      </c>
    </row>
    <row r="730" spans="1:22" x14ac:dyDescent="0.35">
      <c r="A730" s="3">
        <v>99136</v>
      </c>
      <c r="B730" t="s">
        <v>16</v>
      </c>
      <c r="C730" t="s">
        <v>14</v>
      </c>
      <c r="D730">
        <v>326</v>
      </c>
      <c r="E730">
        <v>184</v>
      </c>
      <c r="F730">
        <v>292</v>
      </c>
      <c r="G730">
        <v>0</v>
      </c>
      <c r="H730">
        <v>11372</v>
      </c>
      <c r="I730">
        <v>0</v>
      </c>
      <c r="J730">
        <v>79</v>
      </c>
      <c r="K730">
        <v>256</v>
      </c>
      <c r="L730">
        <v>242</v>
      </c>
      <c r="M730">
        <v>11.4</v>
      </c>
      <c r="N730">
        <f>IFERROR(VLOOKUP(A730,vlookup_table!$A:$G,2,FALSE),"")</f>
        <v>1</v>
      </c>
      <c r="O730">
        <f>IFERROR(VLOOKUP(A730,vlookup_table!$A:$G,4,FALSE),"")</f>
        <v>1701</v>
      </c>
      <c r="P730" t="str">
        <f>IFERROR(VLOOKUP(A730,vlookup_table!$A:$G,5,FALSE),"")</f>
        <v>T2</v>
      </c>
      <c r="Q730">
        <f>IFERROR(VLOOKUP(A730,vlookup_table!$A:$G,7,FALSE),"")</f>
        <v>12</v>
      </c>
      <c r="R730">
        <f t="shared" si="44"/>
        <v>80</v>
      </c>
      <c r="S730" t="str" cm="1">
        <f t="array" ref="S730">IF(P730="","",_xlfn.SWITCH(LEFT(P730,1),"C","Ciudad","T","Pueblo","R","Rural","S","Suburbano","U","Urbano",""))</f>
        <v>Pueblo</v>
      </c>
      <c r="T730" t="str">
        <f t="shared" si="45"/>
        <v>M</v>
      </c>
      <c r="U730" t="str">
        <f t="shared" si="46"/>
        <v>IL</v>
      </c>
      <c r="V730" t="str">
        <f t="shared" si="47"/>
        <v>11372</v>
      </c>
    </row>
    <row r="731" spans="1:22" x14ac:dyDescent="0.35">
      <c r="A731" s="3">
        <v>187142</v>
      </c>
      <c r="B731" t="s">
        <v>22</v>
      </c>
      <c r="C731" t="s">
        <v>14</v>
      </c>
      <c r="D731">
        <v>1277</v>
      </c>
      <c r="E731">
        <v>220</v>
      </c>
      <c r="F731">
        <v>285</v>
      </c>
      <c r="G731">
        <v>5</v>
      </c>
      <c r="H731">
        <v>9182</v>
      </c>
      <c r="I731">
        <v>31</v>
      </c>
      <c r="J731">
        <v>36</v>
      </c>
      <c r="K731">
        <v>245</v>
      </c>
      <c r="L731">
        <v>274</v>
      </c>
      <c r="M731">
        <v>18.058823530000002</v>
      </c>
      <c r="N731">
        <f>IFERROR(VLOOKUP(A731,vlookup_table!$A:$G,2,FALSE),"")</f>
        <v>1</v>
      </c>
      <c r="O731">
        <f>IFERROR(VLOOKUP(A731,vlookup_table!$A:$G,4,FALSE),"")</f>
        <v>1307</v>
      </c>
      <c r="P731" t="str">
        <f>IFERROR(VLOOKUP(A731,vlookup_table!$A:$G,5,FALSE),"")</f>
        <v>C3</v>
      </c>
      <c r="Q731">
        <f>IFERROR(VLOOKUP(A731,vlookup_table!$A:$G,7,FALSE),"")</f>
        <v>24</v>
      </c>
      <c r="R731">
        <f t="shared" si="44"/>
        <v>84</v>
      </c>
      <c r="S731" t="str" cm="1">
        <f t="array" ref="S731">IF(P731="","",_xlfn.SWITCH(LEFT(P731,1),"C","Ciudad","T","Pueblo","R","Rural","S","Suburbano","U","Urbano",""))</f>
        <v>Ciudad</v>
      </c>
      <c r="T731" t="str">
        <f t="shared" si="45"/>
        <v>M</v>
      </c>
      <c r="U731" t="str">
        <f t="shared" si="46"/>
        <v>CA</v>
      </c>
      <c r="V731" t="str">
        <f t="shared" si="47"/>
        <v>9182</v>
      </c>
    </row>
    <row r="732" spans="1:22" x14ac:dyDescent="0.35">
      <c r="A732" s="3">
        <v>53893</v>
      </c>
      <c r="B732" t="s">
        <v>53</v>
      </c>
      <c r="C732" t="s">
        <v>14</v>
      </c>
      <c r="D732">
        <v>593</v>
      </c>
      <c r="E732">
        <v>367</v>
      </c>
      <c r="F732">
        <v>446</v>
      </c>
      <c r="G732">
        <v>0</v>
      </c>
      <c r="H732">
        <v>14435</v>
      </c>
      <c r="I732">
        <v>0</v>
      </c>
      <c r="J732">
        <v>81</v>
      </c>
      <c r="K732">
        <v>458</v>
      </c>
      <c r="L732">
        <v>375</v>
      </c>
      <c r="M732">
        <v>25</v>
      </c>
      <c r="N732">
        <f>IFERROR(VLOOKUP(A732,vlookup_table!$A:$G,2,FALSE),"")</f>
        <v>1</v>
      </c>
      <c r="O732">
        <f>IFERROR(VLOOKUP(A732,vlookup_table!$A:$G,4,FALSE),"")</f>
        <v>3201</v>
      </c>
      <c r="P732" t="str">
        <f>IFERROR(VLOOKUP(A732,vlookup_table!$A:$G,5,FALSE),"")</f>
        <v>T2</v>
      </c>
      <c r="Q732">
        <f>IFERROR(VLOOKUP(A732,vlookup_table!$A:$G,7,FALSE),"")</f>
        <v>25</v>
      </c>
      <c r="R732">
        <f t="shared" si="44"/>
        <v>65</v>
      </c>
      <c r="S732" t="str" cm="1">
        <f t="array" ref="S732">IF(P732="","",_xlfn.SWITCH(LEFT(P732,1),"C","Ciudad","T","Pueblo","R","Rural","S","Suburbano","U","Urbano",""))</f>
        <v>Pueblo</v>
      </c>
      <c r="T732" t="str">
        <f t="shared" si="45"/>
        <v>M</v>
      </c>
      <c r="U732" t="str">
        <f t="shared" si="46"/>
        <v>TN</v>
      </c>
      <c r="V732" t="str">
        <f t="shared" si="47"/>
        <v>14435</v>
      </c>
    </row>
    <row r="733" spans="1:22" x14ac:dyDescent="0.35">
      <c r="A733" s="3">
        <v>161980</v>
      </c>
      <c r="B733" t="s">
        <v>22</v>
      </c>
      <c r="C733" t="s">
        <v>14</v>
      </c>
      <c r="D733">
        <v>3197</v>
      </c>
      <c r="E733">
        <v>296</v>
      </c>
      <c r="F733">
        <v>380</v>
      </c>
      <c r="G733">
        <v>95</v>
      </c>
      <c r="H733">
        <v>13818</v>
      </c>
      <c r="I733">
        <v>41</v>
      </c>
      <c r="J733">
        <v>33</v>
      </c>
      <c r="K733">
        <v>347</v>
      </c>
      <c r="L733">
        <v>328</v>
      </c>
      <c r="M733">
        <v>4.1111111109999996</v>
      </c>
      <c r="N733">
        <f>IFERROR(VLOOKUP(A733,vlookup_table!$A:$G,2,FALSE),"")</f>
        <v>0</v>
      </c>
      <c r="O733">
        <f>IFERROR(VLOOKUP(A733,vlookup_table!$A:$G,4,FALSE),"")</f>
        <v>0</v>
      </c>
      <c r="P733" t="str">
        <f>IFERROR(VLOOKUP(A733,vlookup_table!$A:$G,5,FALSE),"")</f>
        <v>S1</v>
      </c>
      <c r="Q733">
        <f>IFERROR(VLOOKUP(A733,vlookup_table!$A:$G,7,FALSE),"")</f>
        <v>4</v>
      </c>
      <c r="R733">
        <f t="shared" si="44"/>
        <v>97</v>
      </c>
      <c r="S733" t="str" cm="1">
        <f t="array" ref="S733">IF(P733="","",_xlfn.SWITCH(LEFT(P733,1),"C","Ciudad","T","Pueblo","R","Rural","S","Suburbano","U","Urbano",""))</f>
        <v>Suburbano</v>
      </c>
      <c r="T733" t="str">
        <f t="shared" si="45"/>
        <v>M</v>
      </c>
      <c r="U733" t="str">
        <f t="shared" si="46"/>
        <v>CA</v>
      </c>
      <c r="V733" t="str">
        <f t="shared" si="47"/>
        <v>13818</v>
      </c>
    </row>
    <row r="734" spans="1:22" x14ac:dyDescent="0.35">
      <c r="A734" s="3">
        <v>23027</v>
      </c>
      <c r="B734" t="s">
        <v>46</v>
      </c>
      <c r="C734" t="s">
        <v>14</v>
      </c>
      <c r="D734">
        <v>685</v>
      </c>
      <c r="E734">
        <v>435</v>
      </c>
      <c r="F734">
        <v>441</v>
      </c>
      <c r="G734">
        <v>0</v>
      </c>
      <c r="H734">
        <v>14810</v>
      </c>
      <c r="I734">
        <v>7</v>
      </c>
      <c r="J734">
        <v>72</v>
      </c>
      <c r="K734">
        <v>465</v>
      </c>
      <c r="L734">
        <v>425</v>
      </c>
      <c r="M734">
        <v>14.88888889</v>
      </c>
      <c r="N734">
        <f>IFERROR(VLOOKUP(A734,vlookup_table!$A:$G,2,FALSE),"")</f>
        <v>1</v>
      </c>
      <c r="O734">
        <f>IFERROR(VLOOKUP(A734,vlookup_table!$A:$G,4,FALSE),"")</f>
        <v>3108</v>
      </c>
      <c r="P734" t="str">
        <f>IFERROR(VLOOKUP(A734,vlookup_table!$A:$G,5,FALSE),"")</f>
        <v>S1</v>
      </c>
      <c r="Q734">
        <f>IFERROR(VLOOKUP(A734,vlookup_table!$A:$G,7,FALSE),"")</f>
        <v>15</v>
      </c>
      <c r="R734">
        <f t="shared" si="44"/>
        <v>66</v>
      </c>
      <c r="S734" t="str" cm="1">
        <f t="array" ref="S734">IF(P734="","",_xlfn.SWITCH(LEFT(P734,1),"C","Ciudad","T","Pueblo","R","Rural","S","Suburbano","U","Urbano",""))</f>
        <v>Suburbano</v>
      </c>
      <c r="T734" t="str">
        <f t="shared" si="45"/>
        <v>M</v>
      </c>
      <c r="U734" t="str">
        <f t="shared" si="46"/>
        <v>SC</v>
      </c>
      <c r="V734" t="str">
        <f t="shared" si="47"/>
        <v>14810</v>
      </c>
    </row>
    <row r="735" spans="1:22" x14ac:dyDescent="0.35">
      <c r="A735" s="3">
        <v>128963</v>
      </c>
      <c r="B735" t="s">
        <v>21</v>
      </c>
      <c r="C735" t="s">
        <v>14</v>
      </c>
      <c r="D735">
        <v>458</v>
      </c>
      <c r="E735">
        <v>199</v>
      </c>
      <c r="F735">
        <v>268</v>
      </c>
      <c r="G735">
        <v>0</v>
      </c>
      <c r="H735">
        <v>7438</v>
      </c>
      <c r="I735">
        <v>28</v>
      </c>
      <c r="J735">
        <v>53</v>
      </c>
      <c r="K735">
        <v>238</v>
      </c>
      <c r="L735">
        <v>250</v>
      </c>
      <c r="M735">
        <v>7.778333333</v>
      </c>
      <c r="N735">
        <f>IFERROR(VLOOKUP(A735,vlookup_table!$A:$G,2,FALSE),"")</f>
        <v>1</v>
      </c>
      <c r="O735">
        <f>IFERROR(VLOOKUP(A735,vlookup_table!$A:$G,4,FALSE),"")</f>
        <v>2601</v>
      </c>
      <c r="P735" t="str">
        <f>IFERROR(VLOOKUP(A735,vlookup_table!$A:$G,5,FALSE),"")</f>
        <v>C3</v>
      </c>
      <c r="Q735">
        <f>IFERROR(VLOOKUP(A735,vlookup_table!$A:$G,7,FALSE),"")</f>
        <v>10</v>
      </c>
      <c r="R735">
        <f t="shared" si="44"/>
        <v>71</v>
      </c>
      <c r="S735" t="str" cm="1">
        <f t="array" ref="S735">IF(P735="","",_xlfn.SWITCH(LEFT(P735,1),"C","Ciudad","T","Pueblo","R","Rural","S","Suburbano","U","Urbano",""))</f>
        <v>Ciudad</v>
      </c>
      <c r="T735" t="str">
        <f t="shared" si="45"/>
        <v>M</v>
      </c>
      <c r="U735" t="str">
        <f t="shared" si="46"/>
        <v>TX</v>
      </c>
      <c r="V735" t="str">
        <f t="shared" si="47"/>
        <v>7438</v>
      </c>
    </row>
    <row r="736" spans="1:22" x14ac:dyDescent="0.35">
      <c r="A736" s="3">
        <v>7917</v>
      </c>
      <c r="B736" t="s">
        <v>22</v>
      </c>
      <c r="C736" t="s">
        <v>14</v>
      </c>
      <c r="D736">
        <v>5332</v>
      </c>
      <c r="E736">
        <v>522</v>
      </c>
      <c r="F736">
        <v>744</v>
      </c>
      <c r="G736">
        <v>98</v>
      </c>
      <c r="H736">
        <v>35022</v>
      </c>
      <c r="I736">
        <v>35</v>
      </c>
      <c r="J736">
        <v>27</v>
      </c>
      <c r="K736">
        <v>546</v>
      </c>
      <c r="L736">
        <v>677</v>
      </c>
      <c r="M736">
        <v>4.8148148150000001</v>
      </c>
      <c r="N736">
        <f>IFERROR(VLOOKUP(A736,vlookup_table!$A:$G,2,FALSE),"")</f>
        <v>1</v>
      </c>
      <c r="O736">
        <f>IFERROR(VLOOKUP(A736,vlookup_table!$A:$G,4,FALSE),"")</f>
        <v>6001</v>
      </c>
      <c r="P736" t="str">
        <f>IFERROR(VLOOKUP(A736,vlookup_table!$A:$G,5,FALSE),"")</f>
        <v>U1</v>
      </c>
      <c r="Q736">
        <f>IFERROR(VLOOKUP(A736,vlookup_table!$A:$G,7,FALSE),"")</f>
        <v>3</v>
      </c>
      <c r="R736">
        <f t="shared" si="44"/>
        <v>37</v>
      </c>
      <c r="S736" t="str" cm="1">
        <f t="array" ref="S736">IF(P736="","",_xlfn.SWITCH(LEFT(P736,1),"C","Ciudad","T","Pueblo","R","Rural","S","Suburbano","U","Urbano",""))</f>
        <v>Urbano</v>
      </c>
      <c r="T736" t="str">
        <f t="shared" si="45"/>
        <v>M</v>
      </c>
      <c r="U736" t="str">
        <f t="shared" si="46"/>
        <v>CA</v>
      </c>
      <c r="V736" t="str">
        <f t="shared" si="47"/>
        <v>35022</v>
      </c>
    </row>
    <row r="737" spans="1:22" x14ac:dyDescent="0.35">
      <c r="A737" s="3">
        <v>190562</v>
      </c>
      <c r="B737" t="s">
        <v>13</v>
      </c>
      <c r="C737" t="s">
        <v>17</v>
      </c>
      <c r="D737">
        <v>695</v>
      </c>
      <c r="E737">
        <v>283</v>
      </c>
      <c r="F737">
        <v>377</v>
      </c>
      <c r="G737">
        <v>2</v>
      </c>
      <c r="H737">
        <v>13044</v>
      </c>
      <c r="I737">
        <v>0</v>
      </c>
      <c r="J737">
        <v>41</v>
      </c>
      <c r="K737">
        <v>305</v>
      </c>
      <c r="L737">
        <v>337</v>
      </c>
      <c r="M737">
        <v>5.9375</v>
      </c>
      <c r="N737">
        <f>IFERROR(VLOOKUP(A737,vlookup_table!$A:$G,2,FALSE),"")</f>
        <v>0</v>
      </c>
      <c r="O737">
        <f>IFERROR(VLOOKUP(A737,vlookup_table!$A:$G,4,FALSE),"")</f>
        <v>1801</v>
      </c>
      <c r="P737">
        <f>IFERROR(VLOOKUP(A737,vlookup_table!$A:$G,5,FALSE),"")</f>
        <v>0</v>
      </c>
      <c r="Q737">
        <f>IFERROR(VLOOKUP(A737,vlookup_table!$A:$G,7,FALSE),"")</f>
        <v>10</v>
      </c>
      <c r="R737">
        <f t="shared" si="44"/>
        <v>79</v>
      </c>
      <c r="S737" t="str" cm="1">
        <f t="array" ref="S737">IF(P737="","",_xlfn.SWITCH(LEFT(P737,1),"C","Ciudad","T","Pueblo","R","Rural","S","Suburbano","U","Urbano",""))</f>
        <v/>
      </c>
      <c r="T737" t="str">
        <f t="shared" si="45"/>
        <v>F</v>
      </c>
      <c r="U737" t="str">
        <f t="shared" si="46"/>
        <v>FL</v>
      </c>
      <c r="V737" t="str">
        <f t="shared" si="47"/>
        <v>13044</v>
      </c>
    </row>
    <row r="738" spans="1:22" x14ac:dyDescent="0.35">
      <c r="A738" s="3">
        <v>168234</v>
      </c>
      <c r="B738" t="s">
        <v>22</v>
      </c>
      <c r="C738" t="s">
        <v>17</v>
      </c>
      <c r="D738">
        <v>3514</v>
      </c>
      <c r="E738">
        <v>531</v>
      </c>
      <c r="F738">
        <v>833</v>
      </c>
      <c r="G738">
        <v>96</v>
      </c>
      <c r="H738">
        <v>38075</v>
      </c>
      <c r="I738">
        <v>13</v>
      </c>
      <c r="J738">
        <v>50</v>
      </c>
      <c r="K738">
        <v>682</v>
      </c>
      <c r="L738">
        <v>625</v>
      </c>
      <c r="M738">
        <v>23</v>
      </c>
      <c r="N738">
        <f>IFERROR(VLOOKUP(A738,vlookup_table!$A:$G,2,FALSE),"")</f>
        <v>0</v>
      </c>
      <c r="O738">
        <f>IFERROR(VLOOKUP(A738,vlookup_table!$A:$G,4,FALSE),"")</f>
        <v>0</v>
      </c>
      <c r="P738" t="str">
        <f>IFERROR(VLOOKUP(A738,vlookup_table!$A:$G,5,FALSE),"")</f>
        <v>U1</v>
      </c>
      <c r="Q738">
        <f>IFERROR(VLOOKUP(A738,vlookup_table!$A:$G,7,FALSE),"")</f>
        <v>23</v>
      </c>
      <c r="R738">
        <f t="shared" si="44"/>
        <v>97</v>
      </c>
      <c r="S738" t="str" cm="1">
        <f t="array" ref="S738">IF(P738="","",_xlfn.SWITCH(LEFT(P738,1),"C","Ciudad","T","Pueblo","R","Rural","S","Suburbano","U","Urbano",""))</f>
        <v>Urbano</v>
      </c>
      <c r="T738" t="str">
        <f t="shared" si="45"/>
        <v>F</v>
      </c>
      <c r="U738" t="str">
        <f t="shared" si="46"/>
        <v>CA</v>
      </c>
      <c r="V738" t="str">
        <f t="shared" si="47"/>
        <v>38075</v>
      </c>
    </row>
    <row r="739" spans="1:22" x14ac:dyDescent="0.35">
      <c r="A739" s="3">
        <v>41089</v>
      </c>
      <c r="B739" t="s">
        <v>13</v>
      </c>
      <c r="C739" t="s">
        <v>17</v>
      </c>
      <c r="D739">
        <v>883</v>
      </c>
      <c r="E739">
        <v>374</v>
      </c>
      <c r="F739">
        <v>466</v>
      </c>
      <c r="G739">
        <v>1</v>
      </c>
      <c r="H739">
        <v>19246</v>
      </c>
      <c r="I739">
        <v>5</v>
      </c>
      <c r="J739">
        <v>23</v>
      </c>
      <c r="K739">
        <v>421</v>
      </c>
      <c r="L739">
        <v>417</v>
      </c>
      <c r="M739">
        <v>7.0833333329999997</v>
      </c>
      <c r="N739">
        <f>IFERROR(VLOOKUP(A739,vlookup_table!$A:$G,2,FALSE),"")</f>
        <v>0</v>
      </c>
      <c r="O739">
        <f>IFERROR(VLOOKUP(A739,vlookup_table!$A:$G,4,FALSE),"")</f>
        <v>2112</v>
      </c>
      <c r="P739" t="str">
        <f>IFERROR(VLOOKUP(A739,vlookup_table!$A:$G,5,FALSE),"")</f>
        <v>C2</v>
      </c>
      <c r="Q739">
        <f>IFERROR(VLOOKUP(A739,vlookup_table!$A:$G,7,FALSE),"")</f>
        <v>5</v>
      </c>
      <c r="R739">
        <f t="shared" si="44"/>
        <v>76</v>
      </c>
      <c r="S739" t="str" cm="1">
        <f t="array" ref="S739">IF(P739="","",_xlfn.SWITCH(LEFT(P739,1),"C","Ciudad","T","Pueblo","R","Rural","S","Suburbano","U","Urbano",""))</f>
        <v>Ciudad</v>
      </c>
      <c r="T739" t="str">
        <f t="shared" si="45"/>
        <v>F</v>
      </c>
      <c r="U739" t="str">
        <f t="shared" si="46"/>
        <v>FL</v>
      </c>
      <c r="V739" t="str">
        <f t="shared" si="47"/>
        <v>19246</v>
      </c>
    </row>
    <row r="740" spans="1:22" x14ac:dyDescent="0.35">
      <c r="A740" s="3">
        <v>174803</v>
      </c>
      <c r="B740" t="s">
        <v>50</v>
      </c>
      <c r="C740" t="s">
        <v>14</v>
      </c>
      <c r="D740">
        <v>672</v>
      </c>
      <c r="E740">
        <v>366</v>
      </c>
      <c r="F740">
        <v>455</v>
      </c>
      <c r="G740">
        <v>1</v>
      </c>
      <c r="H740">
        <v>15505</v>
      </c>
      <c r="I740">
        <v>0</v>
      </c>
      <c r="J740">
        <v>53</v>
      </c>
      <c r="K740">
        <v>383</v>
      </c>
      <c r="L740">
        <v>422</v>
      </c>
      <c r="M740">
        <v>7.8947368420000004</v>
      </c>
      <c r="N740">
        <f>IFERROR(VLOOKUP(A740,vlookup_table!$A:$G,2,FALSE),"")</f>
        <v>1</v>
      </c>
      <c r="O740">
        <f>IFERROR(VLOOKUP(A740,vlookup_table!$A:$G,4,FALSE),"")</f>
        <v>4307</v>
      </c>
      <c r="P740" t="str">
        <f>IFERROR(VLOOKUP(A740,vlookup_table!$A:$G,5,FALSE),"")</f>
        <v>T1</v>
      </c>
      <c r="Q740">
        <f>IFERROR(VLOOKUP(A740,vlookup_table!$A:$G,7,FALSE),"")</f>
        <v>10</v>
      </c>
      <c r="R740">
        <f t="shared" si="44"/>
        <v>54</v>
      </c>
      <c r="S740" t="str" cm="1">
        <f t="array" ref="S740">IF(P740="","",_xlfn.SWITCH(LEFT(P740,1),"C","Ciudad","T","Pueblo","R","Rural","S","Suburbano","U","Urbano",""))</f>
        <v>Pueblo</v>
      </c>
      <c r="T740" t="str">
        <f t="shared" si="45"/>
        <v>M</v>
      </c>
      <c r="U740" t="str">
        <f t="shared" si="46"/>
        <v>OR</v>
      </c>
      <c r="V740" t="str">
        <f t="shared" si="47"/>
        <v>15505</v>
      </c>
    </row>
    <row r="741" spans="1:22" x14ac:dyDescent="0.35">
      <c r="A741" s="3">
        <v>162208</v>
      </c>
      <c r="B741" t="s">
        <v>22</v>
      </c>
      <c r="C741" t="s">
        <v>14</v>
      </c>
      <c r="D741">
        <v>5791</v>
      </c>
      <c r="E741">
        <v>782</v>
      </c>
      <c r="F741">
        <v>867</v>
      </c>
      <c r="G741">
        <v>98</v>
      </c>
      <c r="H741">
        <v>34593</v>
      </c>
      <c r="I741">
        <v>10</v>
      </c>
      <c r="J741">
        <v>46</v>
      </c>
      <c r="K741">
        <v>835</v>
      </c>
      <c r="L741">
        <v>814</v>
      </c>
      <c r="M741">
        <v>9.846153846</v>
      </c>
      <c r="N741">
        <f>IFERROR(VLOOKUP(A741,vlookup_table!$A:$G,2,FALSE),"")</f>
        <v>1</v>
      </c>
      <c r="O741">
        <f>IFERROR(VLOOKUP(A741,vlookup_table!$A:$G,4,FALSE),"")</f>
        <v>2001</v>
      </c>
      <c r="P741" t="str">
        <f>IFERROR(VLOOKUP(A741,vlookup_table!$A:$G,5,FALSE),"")</f>
        <v>S1</v>
      </c>
      <c r="Q741">
        <f>IFERROR(VLOOKUP(A741,vlookup_table!$A:$G,7,FALSE),"")</f>
        <v>10</v>
      </c>
      <c r="R741">
        <f t="shared" si="44"/>
        <v>77</v>
      </c>
      <c r="S741" t="str" cm="1">
        <f t="array" ref="S741">IF(P741="","",_xlfn.SWITCH(LEFT(P741,1),"C","Ciudad","T","Pueblo","R","Rural","S","Suburbano","U","Urbano",""))</f>
        <v>Suburbano</v>
      </c>
      <c r="T741" t="str">
        <f t="shared" si="45"/>
        <v>M</v>
      </c>
      <c r="U741" t="str">
        <f t="shared" si="46"/>
        <v>CA</v>
      </c>
      <c r="V741" t="str">
        <f t="shared" si="47"/>
        <v>34593</v>
      </c>
    </row>
    <row r="742" spans="1:22" x14ac:dyDescent="0.35">
      <c r="A742" s="3">
        <v>113045</v>
      </c>
      <c r="B742" t="s">
        <v>31</v>
      </c>
      <c r="D742">
        <v>699</v>
      </c>
      <c r="E742">
        <v>393</v>
      </c>
      <c r="F742">
        <v>487</v>
      </c>
      <c r="G742">
        <v>0</v>
      </c>
      <c r="H742">
        <v>14925</v>
      </c>
      <c r="I742">
        <v>2</v>
      </c>
      <c r="J742">
        <v>61</v>
      </c>
      <c r="K742">
        <v>477</v>
      </c>
      <c r="L742">
        <v>430</v>
      </c>
      <c r="M742">
        <v>16.666666670000001</v>
      </c>
      <c r="N742">
        <f>IFERROR(VLOOKUP(A742,vlookup_table!$A:$G,2,FALSE),"")</f>
        <v>0</v>
      </c>
      <c r="O742">
        <f>IFERROR(VLOOKUP(A742,vlookup_table!$A:$G,4,FALSE),"")</f>
        <v>0</v>
      </c>
      <c r="P742" t="str">
        <f>IFERROR(VLOOKUP(A742,vlookup_table!$A:$G,5,FALSE),"")</f>
        <v>T2</v>
      </c>
      <c r="Q742">
        <f>IFERROR(VLOOKUP(A742,vlookup_table!$A:$G,7,FALSE),"")</f>
        <v>25</v>
      </c>
      <c r="R742">
        <f t="shared" si="44"/>
        <v>97</v>
      </c>
      <c r="S742" t="str" cm="1">
        <f t="array" ref="S742">IF(P742="","",_xlfn.SWITCH(LEFT(P742,1),"C","Ciudad","T","Pueblo","R","Rural","S","Suburbano","U","Urbano",""))</f>
        <v>Pueblo</v>
      </c>
      <c r="T742" t="str">
        <f t="shared" si="45"/>
        <v/>
      </c>
      <c r="U742" t="str">
        <f t="shared" si="46"/>
        <v>OK</v>
      </c>
      <c r="V742" t="str">
        <f t="shared" si="47"/>
        <v>14925</v>
      </c>
    </row>
    <row r="743" spans="1:22" x14ac:dyDescent="0.35">
      <c r="A743" s="3">
        <v>182105</v>
      </c>
      <c r="B743" t="s">
        <v>40</v>
      </c>
      <c r="C743" t="s">
        <v>17</v>
      </c>
      <c r="D743">
        <v>877</v>
      </c>
      <c r="E743">
        <v>415</v>
      </c>
      <c r="F743">
        <v>459</v>
      </c>
      <c r="G743">
        <v>1</v>
      </c>
      <c r="H743">
        <v>14758</v>
      </c>
      <c r="I743">
        <v>3</v>
      </c>
      <c r="J743">
        <v>59</v>
      </c>
      <c r="K743">
        <v>430</v>
      </c>
      <c r="L743">
        <v>446</v>
      </c>
      <c r="M743">
        <v>11.28571429</v>
      </c>
      <c r="N743">
        <f>IFERROR(VLOOKUP(A743,vlookup_table!$A:$G,2,FALSE),"")</f>
        <v>2</v>
      </c>
      <c r="O743">
        <f>IFERROR(VLOOKUP(A743,vlookup_table!$A:$G,4,FALSE),"")</f>
        <v>3104</v>
      </c>
      <c r="P743" t="str">
        <f>IFERROR(VLOOKUP(A743,vlookup_table!$A:$G,5,FALSE),"")</f>
        <v>S2</v>
      </c>
      <c r="Q743">
        <f>IFERROR(VLOOKUP(A743,vlookup_table!$A:$G,7,FALSE),"")</f>
        <v>10</v>
      </c>
      <c r="R743">
        <f t="shared" si="44"/>
        <v>66</v>
      </c>
      <c r="S743" t="str" cm="1">
        <f t="array" ref="S743">IF(P743="","",_xlfn.SWITCH(LEFT(P743,1),"C","Ciudad","T","Pueblo","R","Rural","S","Suburbano","U","Urbano",""))</f>
        <v>Suburbano</v>
      </c>
      <c r="T743" t="str">
        <f t="shared" si="45"/>
        <v>F</v>
      </c>
      <c r="U743" t="str">
        <f t="shared" si="46"/>
        <v>WA</v>
      </c>
      <c r="V743" t="str">
        <f t="shared" si="47"/>
        <v>14758</v>
      </c>
    </row>
    <row r="744" spans="1:22" x14ac:dyDescent="0.35">
      <c r="A744" s="3">
        <v>19323</v>
      </c>
      <c r="B744" t="s">
        <v>18</v>
      </c>
      <c r="C744" t="s">
        <v>14</v>
      </c>
      <c r="D744">
        <v>740</v>
      </c>
      <c r="E744">
        <v>279</v>
      </c>
      <c r="F744">
        <v>398</v>
      </c>
      <c r="G744">
        <v>1</v>
      </c>
      <c r="H744">
        <v>12653</v>
      </c>
      <c r="I744">
        <v>3</v>
      </c>
      <c r="J744">
        <v>38</v>
      </c>
      <c r="K744">
        <v>295</v>
      </c>
      <c r="L744">
        <v>358</v>
      </c>
      <c r="M744">
        <v>31.75</v>
      </c>
      <c r="N744">
        <f>IFERROR(VLOOKUP(A744,vlookup_table!$A:$G,2,FALSE),"")</f>
        <v>0</v>
      </c>
      <c r="O744">
        <f>IFERROR(VLOOKUP(A744,vlookup_table!$A:$G,4,FALSE),"")</f>
        <v>2401</v>
      </c>
      <c r="P744" t="str">
        <f>IFERROR(VLOOKUP(A744,vlookup_table!$A:$G,5,FALSE),"")</f>
        <v>R1</v>
      </c>
      <c r="Q744" t="str">
        <f>IFERROR(VLOOKUP(A744,vlookup_table!$A:$G,7,FALSE),"")</f>
        <v>16.87</v>
      </c>
      <c r="R744">
        <f t="shared" si="44"/>
        <v>73</v>
      </c>
      <c r="S744" t="str" cm="1">
        <f t="array" ref="S744">IF(P744="","",_xlfn.SWITCH(LEFT(P744,1),"C","Ciudad","T","Pueblo","R","Rural","S","Suburbano","U","Urbano",""))</f>
        <v>Rural</v>
      </c>
      <c r="T744" t="str">
        <f t="shared" si="45"/>
        <v>M</v>
      </c>
      <c r="U744" t="str">
        <f t="shared" si="46"/>
        <v>NC</v>
      </c>
      <c r="V744" t="str">
        <f t="shared" si="47"/>
        <v>12653</v>
      </c>
    </row>
    <row r="745" spans="1:22" x14ac:dyDescent="0.35">
      <c r="A745" s="3">
        <v>124683</v>
      </c>
      <c r="B745" t="s">
        <v>21</v>
      </c>
      <c r="C745" t="s">
        <v>14</v>
      </c>
      <c r="D745">
        <v>1074</v>
      </c>
      <c r="E745">
        <v>481</v>
      </c>
      <c r="F745">
        <v>590</v>
      </c>
      <c r="G745">
        <v>10</v>
      </c>
      <c r="H745">
        <v>18586</v>
      </c>
      <c r="I745">
        <v>5</v>
      </c>
      <c r="J745">
        <v>74</v>
      </c>
      <c r="K745">
        <v>504</v>
      </c>
      <c r="L745">
        <v>560</v>
      </c>
      <c r="M745">
        <v>7</v>
      </c>
      <c r="N745">
        <f>IFERROR(VLOOKUP(A745,vlookup_table!$A:$G,2,FALSE),"")</f>
        <v>0</v>
      </c>
      <c r="O745">
        <f>IFERROR(VLOOKUP(A745,vlookup_table!$A:$G,4,FALSE),"")</f>
        <v>2401</v>
      </c>
      <c r="P745" t="str">
        <f>IFERROR(VLOOKUP(A745,vlookup_table!$A:$G,5,FALSE),"")</f>
        <v>T1</v>
      </c>
      <c r="Q745">
        <f>IFERROR(VLOOKUP(A745,vlookup_table!$A:$G,7,FALSE),"")</f>
        <v>12</v>
      </c>
      <c r="R745">
        <f t="shared" si="44"/>
        <v>73</v>
      </c>
      <c r="S745" t="str" cm="1">
        <f t="array" ref="S745">IF(P745="","",_xlfn.SWITCH(LEFT(P745,1),"C","Ciudad","T","Pueblo","R","Rural","S","Suburbano","U","Urbano",""))</f>
        <v>Pueblo</v>
      </c>
      <c r="T745" t="str">
        <f t="shared" si="45"/>
        <v>M</v>
      </c>
      <c r="U745" t="str">
        <f t="shared" si="46"/>
        <v>TX</v>
      </c>
      <c r="V745" t="str">
        <f t="shared" si="47"/>
        <v>18586</v>
      </c>
    </row>
    <row r="746" spans="1:22" x14ac:dyDescent="0.35">
      <c r="A746" s="3">
        <v>25641</v>
      </c>
      <c r="B746" t="s">
        <v>39</v>
      </c>
      <c r="C746" t="s">
        <v>14</v>
      </c>
      <c r="D746">
        <v>685</v>
      </c>
      <c r="E746">
        <v>409</v>
      </c>
      <c r="F746">
        <v>463</v>
      </c>
      <c r="G746">
        <v>0</v>
      </c>
      <c r="H746">
        <v>12546</v>
      </c>
      <c r="I746">
        <v>1</v>
      </c>
      <c r="J746">
        <v>71</v>
      </c>
      <c r="K746">
        <v>422</v>
      </c>
      <c r="L746">
        <v>436</v>
      </c>
      <c r="M746">
        <v>9.4</v>
      </c>
      <c r="N746">
        <f>IFERROR(VLOOKUP(A746,vlookup_table!$A:$G,2,FALSE),"")</f>
        <v>1</v>
      </c>
      <c r="O746">
        <f>IFERROR(VLOOKUP(A746,vlookup_table!$A:$G,4,FALSE),"")</f>
        <v>2410</v>
      </c>
      <c r="P746" t="str">
        <f>IFERROR(VLOOKUP(A746,vlookup_table!$A:$G,5,FALSE),"")</f>
        <v>S2</v>
      </c>
      <c r="Q746">
        <f>IFERROR(VLOOKUP(A746,vlookup_table!$A:$G,7,FALSE),"")</f>
        <v>10</v>
      </c>
      <c r="R746">
        <f t="shared" si="44"/>
        <v>73</v>
      </c>
      <c r="S746" t="str" cm="1">
        <f t="array" ref="S746">IF(P746="","",_xlfn.SWITCH(LEFT(P746,1),"C","Ciudad","T","Pueblo","R","Rural","S","Suburbano","U","Urbano",""))</f>
        <v>Suburbano</v>
      </c>
      <c r="T746" t="str">
        <f t="shared" si="45"/>
        <v>M</v>
      </c>
      <c r="U746" t="str">
        <f t="shared" si="46"/>
        <v>GA</v>
      </c>
      <c r="V746" t="str">
        <f t="shared" si="47"/>
        <v>12546</v>
      </c>
    </row>
    <row r="747" spans="1:22" x14ac:dyDescent="0.35">
      <c r="A747" s="3">
        <v>165440</v>
      </c>
      <c r="B747" t="s">
        <v>22</v>
      </c>
      <c r="C747" t="s">
        <v>17</v>
      </c>
      <c r="D747">
        <v>1403</v>
      </c>
      <c r="E747">
        <v>419</v>
      </c>
      <c r="F747">
        <v>505</v>
      </c>
      <c r="G747">
        <v>2</v>
      </c>
      <c r="H747">
        <v>20395</v>
      </c>
      <c r="I747">
        <v>16</v>
      </c>
      <c r="J747">
        <v>53</v>
      </c>
      <c r="K747">
        <v>430</v>
      </c>
      <c r="L747">
        <v>480</v>
      </c>
      <c r="M747">
        <v>9.4</v>
      </c>
      <c r="N747">
        <f>IFERROR(VLOOKUP(A747,vlookup_table!$A:$G,2,FALSE),"")</f>
        <v>28</v>
      </c>
      <c r="O747">
        <f>IFERROR(VLOOKUP(A747,vlookup_table!$A:$G,4,FALSE),"")</f>
        <v>6209</v>
      </c>
      <c r="P747" t="str">
        <f>IFERROR(VLOOKUP(A747,vlookup_table!$A:$G,5,FALSE),"")</f>
        <v>C2</v>
      </c>
      <c r="Q747">
        <f>IFERROR(VLOOKUP(A747,vlookup_table!$A:$G,7,FALSE),"")</f>
        <v>20</v>
      </c>
      <c r="R747">
        <f t="shared" si="44"/>
        <v>35</v>
      </c>
      <c r="S747" t="str" cm="1">
        <f t="array" ref="S747">IF(P747="","",_xlfn.SWITCH(LEFT(P747,1),"C","Ciudad","T","Pueblo","R","Rural","S","Suburbano","U","Urbano",""))</f>
        <v>Ciudad</v>
      </c>
      <c r="T747" t="str">
        <f t="shared" si="45"/>
        <v>F</v>
      </c>
      <c r="U747" t="str">
        <f t="shared" si="46"/>
        <v>CA</v>
      </c>
      <c r="V747" t="str">
        <f t="shared" si="47"/>
        <v>20395</v>
      </c>
    </row>
    <row r="748" spans="1:22" x14ac:dyDescent="0.35">
      <c r="A748" s="3">
        <v>124395</v>
      </c>
      <c r="B748" t="s">
        <v>21</v>
      </c>
      <c r="C748" t="s">
        <v>14</v>
      </c>
      <c r="D748">
        <v>838</v>
      </c>
      <c r="E748">
        <v>337</v>
      </c>
      <c r="F748">
        <v>496</v>
      </c>
      <c r="G748">
        <v>4</v>
      </c>
      <c r="H748">
        <v>18277</v>
      </c>
      <c r="I748">
        <v>0</v>
      </c>
      <c r="J748">
        <v>88</v>
      </c>
      <c r="K748">
        <v>366</v>
      </c>
      <c r="L748">
        <v>441</v>
      </c>
      <c r="M748">
        <v>8.8888888890000004</v>
      </c>
      <c r="N748">
        <f>IFERROR(VLOOKUP(A748,vlookup_table!$A:$G,2,FALSE),"")</f>
        <v>1</v>
      </c>
      <c r="O748">
        <f>IFERROR(VLOOKUP(A748,vlookup_table!$A:$G,4,FALSE),"")</f>
        <v>1907</v>
      </c>
      <c r="P748" t="str">
        <f>IFERROR(VLOOKUP(A748,vlookup_table!$A:$G,5,FALSE),"")</f>
        <v>T2</v>
      </c>
      <c r="Q748">
        <f>IFERROR(VLOOKUP(A748,vlookup_table!$A:$G,7,FALSE),"")</f>
        <v>20</v>
      </c>
      <c r="R748">
        <f t="shared" si="44"/>
        <v>78</v>
      </c>
      <c r="S748" t="str" cm="1">
        <f t="array" ref="S748">IF(P748="","",_xlfn.SWITCH(LEFT(P748,1),"C","Ciudad","T","Pueblo","R","Rural","S","Suburbano","U","Urbano",""))</f>
        <v>Pueblo</v>
      </c>
      <c r="T748" t="str">
        <f t="shared" si="45"/>
        <v>M</v>
      </c>
      <c r="U748" t="str">
        <f t="shared" si="46"/>
        <v>TX</v>
      </c>
      <c r="V748" t="str">
        <f t="shared" si="47"/>
        <v>18277</v>
      </c>
    </row>
    <row r="749" spans="1:22" x14ac:dyDescent="0.35">
      <c r="A749" s="3">
        <v>73504</v>
      </c>
      <c r="B749" t="s">
        <v>29</v>
      </c>
      <c r="C749" t="s">
        <v>17</v>
      </c>
      <c r="D749">
        <v>460</v>
      </c>
      <c r="E749">
        <v>237</v>
      </c>
      <c r="F749">
        <v>315</v>
      </c>
      <c r="G749">
        <v>1</v>
      </c>
      <c r="H749">
        <v>10728</v>
      </c>
      <c r="I749">
        <v>1</v>
      </c>
      <c r="J749">
        <v>82</v>
      </c>
      <c r="K749">
        <v>279</v>
      </c>
      <c r="L749">
        <v>281</v>
      </c>
      <c r="M749">
        <v>13.85714286</v>
      </c>
      <c r="N749">
        <f>IFERROR(VLOOKUP(A749,vlookup_table!$A:$G,2,FALSE),"")</f>
        <v>0</v>
      </c>
      <c r="O749">
        <f>IFERROR(VLOOKUP(A749,vlookup_table!$A:$G,4,FALSE),"")</f>
        <v>3902</v>
      </c>
      <c r="P749" t="str">
        <f>IFERROR(VLOOKUP(A749,vlookup_table!$A:$G,5,FALSE),"")</f>
        <v>R2</v>
      </c>
      <c r="Q749">
        <f>IFERROR(VLOOKUP(A749,vlookup_table!$A:$G,7,FALSE),"")</f>
        <v>20</v>
      </c>
      <c r="R749">
        <f t="shared" si="44"/>
        <v>58</v>
      </c>
      <c r="S749" t="str" cm="1">
        <f t="array" ref="S749">IF(P749="","",_xlfn.SWITCH(LEFT(P749,1),"C","Ciudad","T","Pueblo","R","Rural","S","Suburbano","U","Urbano",""))</f>
        <v>Rural</v>
      </c>
      <c r="T749" t="str">
        <f t="shared" si="45"/>
        <v>F</v>
      </c>
      <c r="U749" t="str">
        <f t="shared" si="46"/>
        <v>MI</v>
      </c>
      <c r="V749" t="str">
        <f t="shared" si="47"/>
        <v>10728</v>
      </c>
    </row>
    <row r="750" spans="1:22" x14ac:dyDescent="0.35">
      <c r="A750" s="3">
        <v>188439</v>
      </c>
      <c r="B750" t="s">
        <v>22</v>
      </c>
      <c r="C750" t="s">
        <v>17</v>
      </c>
      <c r="D750">
        <v>1578</v>
      </c>
      <c r="E750">
        <v>306</v>
      </c>
      <c r="F750">
        <v>337</v>
      </c>
      <c r="G750">
        <v>12</v>
      </c>
      <c r="H750">
        <v>7046</v>
      </c>
      <c r="I750">
        <v>50</v>
      </c>
      <c r="J750">
        <v>33</v>
      </c>
      <c r="K750">
        <v>304</v>
      </c>
      <c r="L750">
        <v>342</v>
      </c>
      <c r="M750">
        <v>9.1182352939999998</v>
      </c>
      <c r="N750">
        <f>IFERROR(VLOOKUP(A750,vlookup_table!$A:$G,2,FALSE),"")</f>
        <v>0</v>
      </c>
      <c r="O750">
        <f>IFERROR(VLOOKUP(A750,vlookup_table!$A:$G,4,FALSE),"")</f>
        <v>0</v>
      </c>
      <c r="P750">
        <f>IFERROR(VLOOKUP(A750,vlookup_table!$A:$G,5,FALSE),"")</f>
        <v>0</v>
      </c>
      <c r="Q750">
        <f>IFERROR(VLOOKUP(A750,vlookup_table!$A:$G,7,FALSE),"")</f>
        <v>14</v>
      </c>
      <c r="R750">
        <f t="shared" si="44"/>
        <v>97</v>
      </c>
      <c r="S750" t="str" cm="1">
        <f t="array" ref="S750">IF(P750="","",_xlfn.SWITCH(LEFT(P750,1),"C","Ciudad","T","Pueblo","R","Rural","S","Suburbano","U","Urbano",""))</f>
        <v/>
      </c>
      <c r="T750" t="str">
        <f t="shared" si="45"/>
        <v>F</v>
      </c>
      <c r="U750" t="str">
        <f t="shared" si="46"/>
        <v>CA</v>
      </c>
      <c r="V750" t="str">
        <f t="shared" si="47"/>
        <v>7046</v>
      </c>
    </row>
    <row r="751" spans="1:22" x14ac:dyDescent="0.35">
      <c r="A751" s="3">
        <v>187518</v>
      </c>
      <c r="B751" t="s">
        <v>21</v>
      </c>
      <c r="C751" t="s">
        <v>17</v>
      </c>
      <c r="D751">
        <v>944</v>
      </c>
      <c r="E751">
        <v>438</v>
      </c>
      <c r="F751">
        <v>532</v>
      </c>
      <c r="G751">
        <v>2</v>
      </c>
      <c r="H751">
        <v>17306</v>
      </c>
      <c r="I751">
        <v>1</v>
      </c>
      <c r="J751">
        <v>48</v>
      </c>
      <c r="K751">
        <v>509</v>
      </c>
      <c r="L751">
        <v>492</v>
      </c>
      <c r="M751">
        <v>14.5</v>
      </c>
      <c r="N751">
        <f>IFERROR(VLOOKUP(A751,vlookup_table!$A:$G,2,FALSE),"")</f>
        <v>2</v>
      </c>
      <c r="O751">
        <f>IFERROR(VLOOKUP(A751,vlookup_table!$A:$G,4,FALSE),"")</f>
        <v>0</v>
      </c>
      <c r="P751" t="str">
        <f>IFERROR(VLOOKUP(A751,vlookup_table!$A:$G,5,FALSE),"")</f>
        <v>S1</v>
      </c>
      <c r="Q751">
        <f>IFERROR(VLOOKUP(A751,vlookup_table!$A:$G,7,FALSE),"")</f>
        <v>16</v>
      </c>
      <c r="R751">
        <f t="shared" si="44"/>
        <v>97</v>
      </c>
      <c r="S751" t="str" cm="1">
        <f t="array" ref="S751">IF(P751="","",_xlfn.SWITCH(LEFT(P751,1),"C","Ciudad","T","Pueblo","R","Rural","S","Suburbano","U","Urbano",""))</f>
        <v>Suburbano</v>
      </c>
      <c r="T751" t="str">
        <f t="shared" si="45"/>
        <v>F</v>
      </c>
      <c r="U751" t="str">
        <f t="shared" si="46"/>
        <v>TX</v>
      </c>
      <c r="V751" t="str">
        <f t="shared" si="47"/>
        <v>17306</v>
      </c>
    </row>
    <row r="752" spans="1:22" x14ac:dyDescent="0.35">
      <c r="A752" s="3">
        <v>24212</v>
      </c>
      <c r="B752" t="s">
        <v>46</v>
      </c>
      <c r="C752" t="s">
        <v>14</v>
      </c>
      <c r="D752">
        <v>2817</v>
      </c>
      <c r="E752">
        <v>767</v>
      </c>
      <c r="F752">
        <v>917</v>
      </c>
      <c r="G752">
        <v>84</v>
      </c>
      <c r="H752">
        <v>39319</v>
      </c>
      <c r="I752">
        <v>0</v>
      </c>
      <c r="J752">
        <v>53</v>
      </c>
      <c r="K752">
        <v>863</v>
      </c>
      <c r="L752">
        <v>866</v>
      </c>
      <c r="M752">
        <v>6.25</v>
      </c>
      <c r="N752">
        <f>IFERROR(VLOOKUP(A752,vlookup_table!$A:$G,2,FALSE),"")</f>
        <v>1</v>
      </c>
      <c r="O752">
        <f>IFERROR(VLOOKUP(A752,vlookup_table!$A:$G,4,FALSE),"")</f>
        <v>4401</v>
      </c>
      <c r="P752" t="str">
        <f>IFERROR(VLOOKUP(A752,vlookup_table!$A:$G,5,FALSE),"")</f>
        <v>T2</v>
      </c>
      <c r="Q752">
        <f>IFERROR(VLOOKUP(A752,vlookup_table!$A:$G,7,FALSE),"")</f>
        <v>6</v>
      </c>
      <c r="R752">
        <f t="shared" si="44"/>
        <v>53</v>
      </c>
      <c r="S752" t="str" cm="1">
        <f t="array" ref="S752">IF(P752="","",_xlfn.SWITCH(LEFT(P752,1),"C","Ciudad","T","Pueblo","R","Rural","S","Suburbano","U","Urbano",""))</f>
        <v>Pueblo</v>
      </c>
      <c r="T752" t="str">
        <f t="shared" si="45"/>
        <v>M</v>
      </c>
      <c r="U752" t="str">
        <f t="shared" si="46"/>
        <v>SC</v>
      </c>
      <c r="V752" t="str">
        <f t="shared" si="47"/>
        <v>39319</v>
      </c>
    </row>
    <row r="753" spans="1:22" x14ac:dyDescent="0.35">
      <c r="A753" s="3">
        <v>21386</v>
      </c>
      <c r="B753" t="s">
        <v>18</v>
      </c>
      <c r="C753" t="s">
        <v>20</v>
      </c>
      <c r="D753">
        <v>498</v>
      </c>
      <c r="E753">
        <v>243</v>
      </c>
      <c r="F753">
        <v>326</v>
      </c>
      <c r="G753">
        <v>1</v>
      </c>
      <c r="H753">
        <v>11462</v>
      </c>
      <c r="I753">
        <v>0</v>
      </c>
      <c r="J753">
        <v>86</v>
      </c>
      <c r="K753">
        <v>284</v>
      </c>
      <c r="L753">
        <v>285</v>
      </c>
      <c r="M753">
        <v>7.8333333329999997</v>
      </c>
      <c r="N753">
        <f>IFERROR(VLOOKUP(A753,vlookup_table!$A:$G,2,FALSE),"")</f>
        <v>28</v>
      </c>
      <c r="O753">
        <f>IFERROR(VLOOKUP(A753,vlookup_table!$A:$G,4,FALSE),"")</f>
        <v>5701</v>
      </c>
      <c r="P753" t="str">
        <f>IFERROR(VLOOKUP(A753,vlookup_table!$A:$G,5,FALSE),"")</f>
        <v>T2</v>
      </c>
      <c r="Q753">
        <f>IFERROR(VLOOKUP(A753,vlookup_table!$A:$G,7,FALSE),"")</f>
        <v>10</v>
      </c>
      <c r="R753">
        <f t="shared" si="44"/>
        <v>40</v>
      </c>
      <c r="S753" t="str" cm="1">
        <f t="array" ref="S753">IF(P753="","",_xlfn.SWITCH(LEFT(P753,1),"C","Ciudad","T","Pueblo","R","Rural","S","Suburbano","U","Urbano",""))</f>
        <v>Pueblo</v>
      </c>
      <c r="T753" t="str">
        <f t="shared" si="45"/>
        <v>F</v>
      </c>
      <c r="U753" t="str">
        <f t="shared" si="46"/>
        <v>NC</v>
      </c>
      <c r="V753" t="str">
        <f t="shared" si="47"/>
        <v>11462</v>
      </c>
    </row>
    <row r="754" spans="1:22" x14ac:dyDescent="0.35">
      <c r="A754" s="3">
        <v>110291</v>
      </c>
      <c r="B754" t="s">
        <v>49</v>
      </c>
      <c r="C754" t="s">
        <v>14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9.4712499999999995</v>
      </c>
      <c r="N754">
        <f>IFERROR(VLOOKUP(A754,vlookup_table!$A:$G,2,FALSE),"")</f>
        <v>1</v>
      </c>
      <c r="O754">
        <f>IFERROR(VLOOKUP(A754,vlookup_table!$A:$G,4,FALSE),"")</f>
        <v>0</v>
      </c>
      <c r="P754" t="str">
        <f>IFERROR(VLOOKUP(A754,vlookup_table!$A:$G,5,FALSE),"")</f>
        <v>C3</v>
      </c>
      <c r="Q754">
        <f>IFERROR(VLOOKUP(A754,vlookup_table!$A:$G,7,FALSE),"")</f>
        <v>12</v>
      </c>
      <c r="R754">
        <f t="shared" si="44"/>
        <v>97</v>
      </c>
      <c r="S754" t="str" cm="1">
        <f t="array" ref="S754">IF(P754="","",_xlfn.SWITCH(LEFT(P754,1),"C","Ciudad","T","Pueblo","R","Rural","S","Suburbano","U","Urbano",""))</f>
        <v>Ciudad</v>
      </c>
      <c r="T754" t="str">
        <f t="shared" si="45"/>
        <v>M</v>
      </c>
      <c r="U754" t="str">
        <f t="shared" si="46"/>
        <v>LA</v>
      </c>
      <c r="V754" t="str">
        <f t="shared" si="47"/>
        <v>0</v>
      </c>
    </row>
    <row r="755" spans="1:22" x14ac:dyDescent="0.35">
      <c r="A755" s="3">
        <v>44828</v>
      </c>
      <c r="B755" t="s">
        <v>29</v>
      </c>
      <c r="C755" t="s">
        <v>14</v>
      </c>
      <c r="D755">
        <v>395</v>
      </c>
      <c r="E755">
        <v>189</v>
      </c>
      <c r="F755">
        <v>252</v>
      </c>
      <c r="G755">
        <v>0</v>
      </c>
      <c r="H755">
        <v>8510</v>
      </c>
      <c r="I755">
        <v>1</v>
      </c>
      <c r="J755">
        <v>86</v>
      </c>
      <c r="K755">
        <v>242</v>
      </c>
      <c r="L755">
        <v>215</v>
      </c>
      <c r="M755">
        <v>6.8571428570000004</v>
      </c>
      <c r="N755">
        <f>IFERROR(VLOOKUP(A755,vlookup_table!$A:$G,2,FALSE),"")</f>
        <v>1</v>
      </c>
      <c r="O755">
        <f>IFERROR(VLOOKUP(A755,vlookup_table!$A:$G,4,FALSE),"")</f>
        <v>2401</v>
      </c>
      <c r="P755" t="str">
        <f>IFERROR(VLOOKUP(A755,vlookup_table!$A:$G,5,FALSE),"")</f>
        <v>R3</v>
      </c>
      <c r="Q755">
        <f>IFERROR(VLOOKUP(A755,vlookup_table!$A:$G,7,FALSE),"")</f>
        <v>6</v>
      </c>
      <c r="R755">
        <f t="shared" si="44"/>
        <v>73</v>
      </c>
      <c r="S755" t="str" cm="1">
        <f t="array" ref="S755">IF(P755="","",_xlfn.SWITCH(LEFT(P755,1),"C","Ciudad","T","Pueblo","R","Rural","S","Suburbano","U","Urbano",""))</f>
        <v>Rural</v>
      </c>
      <c r="T755" t="str">
        <f t="shared" si="45"/>
        <v>M</v>
      </c>
      <c r="U755" t="str">
        <f t="shared" si="46"/>
        <v>MI</v>
      </c>
      <c r="V755" t="str">
        <f t="shared" si="47"/>
        <v>8510</v>
      </c>
    </row>
    <row r="756" spans="1:22" x14ac:dyDescent="0.35">
      <c r="A756" s="3">
        <v>45008</v>
      </c>
      <c r="B756" t="s">
        <v>13</v>
      </c>
      <c r="C756" t="s">
        <v>17</v>
      </c>
      <c r="D756">
        <v>651</v>
      </c>
      <c r="E756">
        <v>271</v>
      </c>
      <c r="F756">
        <v>325</v>
      </c>
      <c r="G756">
        <v>0</v>
      </c>
      <c r="H756">
        <v>11919</v>
      </c>
      <c r="I756">
        <v>10</v>
      </c>
      <c r="J756">
        <v>29</v>
      </c>
      <c r="K756">
        <v>287</v>
      </c>
      <c r="L756">
        <v>303</v>
      </c>
      <c r="M756">
        <v>10.9</v>
      </c>
      <c r="N756">
        <f>IFERROR(VLOOKUP(A756,vlookup_table!$A:$G,2,FALSE),"")</f>
        <v>0</v>
      </c>
      <c r="O756">
        <f>IFERROR(VLOOKUP(A756,vlookup_table!$A:$G,4,FALSE),"")</f>
        <v>4605</v>
      </c>
      <c r="P756" t="str">
        <f>IFERROR(VLOOKUP(A756,vlookup_table!$A:$G,5,FALSE),"")</f>
        <v>U3</v>
      </c>
      <c r="Q756">
        <f>IFERROR(VLOOKUP(A756,vlookup_table!$A:$G,7,FALSE),"")</f>
        <v>10</v>
      </c>
      <c r="R756">
        <f t="shared" si="44"/>
        <v>51</v>
      </c>
      <c r="S756" t="str" cm="1">
        <f t="array" ref="S756">IF(P756="","",_xlfn.SWITCH(LEFT(P756,1),"C","Ciudad","T","Pueblo","R","Rural","S","Suburbano","U","Urbano",""))</f>
        <v>Urbano</v>
      </c>
      <c r="T756" t="str">
        <f t="shared" si="45"/>
        <v>F</v>
      </c>
      <c r="U756" t="str">
        <f t="shared" si="46"/>
        <v>FL</v>
      </c>
      <c r="V756" t="str">
        <f t="shared" si="47"/>
        <v>11919</v>
      </c>
    </row>
    <row r="757" spans="1:22" x14ac:dyDescent="0.35">
      <c r="A757" s="3">
        <v>55484</v>
      </c>
      <c r="B757" t="s">
        <v>62</v>
      </c>
      <c r="C757" t="s">
        <v>14</v>
      </c>
      <c r="D757">
        <v>366</v>
      </c>
      <c r="E757">
        <v>132</v>
      </c>
      <c r="F757">
        <v>229</v>
      </c>
      <c r="G757">
        <v>0</v>
      </c>
      <c r="H757">
        <v>6873</v>
      </c>
      <c r="I757">
        <v>1</v>
      </c>
      <c r="J757">
        <v>85</v>
      </c>
      <c r="K757">
        <v>182</v>
      </c>
      <c r="L757">
        <v>196</v>
      </c>
      <c r="M757">
        <v>12.75</v>
      </c>
      <c r="N757">
        <f>IFERROR(VLOOKUP(A757,vlookup_table!$A:$G,2,FALSE),"")</f>
        <v>0</v>
      </c>
      <c r="O757">
        <f>IFERROR(VLOOKUP(A757,vlookup_table!$A:$G,4,FALSE),"")</f>
        <v>0</v>
      </c>
      <c r="P757" t="str">
        <f>IFERROR(VLOOKUP(A757,vlookup_table!$A:$G,5,FALSE),"")</f>
        <v>R3</v>
      </c>
      <c r="Q757">
        <f>IFERROR(VLOOKUP(A757,vlookup_table!$A:$G,7,FALSE),"")</f>
        <v>25</v>
      </c>
      <c r="R757">
        <f t="shared" si="44"/>
        <v>97</v>
      </c>
      <c r="S757" t="str" cm="1">
        <f t="array" ref="S757">IF(P757="","",_xlfn.SWITCH(LEFT(P757,1),"C","Ciudad","T","Pueblo","R","Rural","S","Suburbano","U","Urbano",""))</f>
        <v>Rural</v>
      </c>
      <c r="T757" t="str">
        <f t="shared" si="45"/>
        <v>M</v>
      </c>
      <c r="U757" t="str">
        <f t="shared" si="46"/>
        <v>MS</v>
      </c>
      <c r="V757" t="str">
        <f t="shared" si="47"/>
        <v>6873</v>
      </c>
    </row>
    <row r="758" spans="1:22" x14ac:dyDescent="0.35">
      <c r="A758" s="3">
        <v>149429</v>
      </c>
      <c r="B758" t="s">
        <v>22</v>
      </c>
      <c r="C758" t="s">
        <v>17</v>
      </c>
      <c r="D758">
        <v>2280</v>
      </c>
      <c r="E758">
        <v>353</v>
      </c>
      <c r="F758">
        <v>467</v>
      </c>
      <c r="G758">
        <v>69</v>
      </c>
      <c r="H758">
        <v>16726</v>
      </c>
      <c r="I758">
        <v>34</v>
      </c>
      <c r="J758">
        <v>37</v>
      </c>
      <c r="K758">
        <v>397</v>
      </c>
      <c r="L758">
        <v>419</v>
      </c>
      <c r="M758">
        <v>5.4848484849999997</v>
      </c>
      <c r="N758">
        <f>IFERROR(VLOOKUP(A758,vlookup_table!$A:$G,2,FALSE),"")</f>
        <v>2</v>
      </c>
      <c r="O758">
        <f>IFERROR(VLOOKUP(A758,vlookup_table!$A:$G,4,FALSE),"")</f>
        <v>1212</v>
      </c>
      <c r="P758" t="str">
        <f>IFERROR(VLOOKUP(A758,vlookup_table!$A:$G,5,FALSE),"")</f>
        <v>U3</v>
      </c>
      <c r="Q758">
        <f>IFERROR(VLOOKUP(A758,vlookup_table!$A:$G,7,FALSE),"")</f>
        <v>10</v>
      </c>
      <c r="R758">
        <f t="shared" si="44"/>
        <v>85</v>
      </c>
      <c r="S758" t="str" cm="1">
        <f t="array" ref="S758">IF(P758="","",_xlfn.SWITCH(LEFT(P758,1),"C","Ciudad","T","Pueblo","R","Rural","S","Suburbano","U","Urbano",""))</f>
        <v>Urbano</v>
      </c>
      <c r="T758" t="str">
        <f t="shared" si="45"/>
        <v>F</v>
      </c>
      <c r="U758" t="str">
        <f t="shared" si="46"/>
        <v>CA</v>
      </c>
      <c r="V758" t="str">
        <f t="shared" si="47"/>
        <v>16726</v>
      </c>
    </row>
    <row r="759" spans="1:22" x14ac:dyDescent="0.35">
      <c r="A759" s="3">
        <v>48455</v>
      </c>
      <c r="B759" t="s">
        <v>43</v>
      </c>
      <c r="C759" t="s">
        <v>27</v>
      </c>
      <c r="D759">
        <v>387</v>
      </c>
      <c r="E759">
        <v>203</v>
      </c>
      <c r="F759">
        <v>281</v>
      </c>
      <c r="G759">
        <v>0</v>
      </c>
      <c r="H759">
        <v>9654</v>
      </c>
      <c r="I759">
        <v>0</v>
      </c>
      <c r="J759">
        <v>78</v>
      </c>
      <c r="K759">
        <v>252</v>
      </c>
      <c r="L759">
        <v>244</v>
      </c>
      <c r="M759">
        <v>6.3333333329999997</v>
      </c>
      <c r="N759">
        <f>IFERROR(VLOOKUP(A759,vlookup_table!$A:$G,2,FALSE),"")</f>
        <v>1002</v>
      </c>
      <c r="O759">
        <f>IFERROR(VLOOKUP(A759,vlookup_table!$A:$G,4,FALSE),"")</f>
        <v>0</v>
      </c>
      <c r="P759" t="str">
        <f>IFERROR(VLOOKUP(A759,vlookup_table!$A:$G,5,FALSE),"")</f>
        <v>R3</v>
      </c>
      <c r="Q759">
        <f>IFERROR(VLOOKUP(A759,vlookup_table!$A:$G,7,FALSE),"")</f>
        <v>8</v>
      </c>
      <c r="R759">
        <f t="shared" si="44"/>
        <v>97</v>
      </c>
      <c r="S759" t="str" cm="1">
        <f t="array" ref="S759">IF(P759="","",_xlfn.SWITCH(LEFT(P759,1),"C","Ciudad","T","Pueblo","R","Rural","S","Suburbano","U","Urbano",""))</f>
        <v>Rural</v>
      </c>
      <c r="T759" t="str">
        <f t="shared" si="45"/>
        <v>M</v>
      </c>
      <c r="U759" t="str">
        <f t="shared" si="46"/>
        <v>AL</v>
      </c>
      <c r="V759" t="str">
        <f t="shared" si="47"/>
        <v>9654</v>
      </c>
    </row>
    <row r="760" spans="1:22" x14ac:dyDescent="0.35">
      <c r="A760" s="3">
        <v>28621</v>
      </c>
      <c r="B760" t="s">
        <v>39</v>
      </c>
      <c r="C760" t="s">
        <v>17</v>
      </c>
      <c r="D760">
        <v>550</v>
      </c>
      <c r="E760">
        <v>144</v>
      </c>
      <c r="F760">
        <v>253</v>
      </c>
      <c r="G760">
        <v>2</v>
      </c>
      <c r="H760">
        <v>10249</v>
      </c>
      <c r="I760">
        <v>6</v>
      </c>
      <c r="J760">
        <v>63</v>
      </c>
      <c r="K760">
        <v>211</v>
      </c>
      <c r="L760">
        <v>206</v>
      </c>
      <c r="M760">
        <v>14</v>
      </c>
      <c r="N760">
        <f>IFERROR(VLOOKUP(A760,vlookup_table!$A:$G,2,FALSE),"")</f>
        <v>0</v>
      </c>
      <c r="O760">
        <f>IFERROR(VLOOKUP(A760,vlookup_table!$A:$G,4,FALSE),"")</f>
        <v>1401</v>
      </c>
      <c r="P760" t="str">
        <f>IFERROR(VLOOKUP(A760,vlookup_table!$A:$G,5,FALSE),"")</f>
        <v>S1</v>
      </c>
      <c r="Q760">
        <f>IFERROR(VLOOKUP(A760,vlookup_table!$A:$G,7,FALSE),"")</f>
        <v>25</v>
      </c>
      <c r="R760">
        <f t="shared" si="44"/>
        <v>83</v>
      </c>
      <c r="S760" t="str" cm="1">
        <f t="array" ref="S760">IF(P760="","",_xlfn.SWITCH(LEFT(P760,1),"C","Ciudad","T","Pueblo","R","Rural","S","Suburbano","U","Urbano",""))</f>
        <v>Suburbano</v>
      </c>
      <c r="T760" t="str">
        <f t="shared" si="45"/>
        <v>F</v>
      </c>
      <c r="U760" t="str">
        <f t="shared" si="46"/>
        <v>GA</v>
      </c>
      <c r="V760" t="str">
        <f t="shared" si="47"/>
        <v>10249</v>
      </c>
    </row>
    <row r="761" spans="1:22" x14ac:dyDescent="0.35">
      <c r="A761" s="3">
        <v>131467</v>
      </c>
      <c r="B761" t="s">
        <v>48</v>
      </c>
      <c r="C761" t="s">
        <v>17</v>
      </c>
      <c r="D761">
        <v>660</v>
      </c>
      <c r="E761">
        <v>183</v>
      </c>
      <c r="F761">
        <v>251</v>
      </c>
      <c r="G761">
        <v>1</v>
      </c>
      <c r="H761">
        <v>11152</v>
      </c>
      <c r="I761">
        <v>6</v>
      </c>
      <c r="J761">
        <v>37</v>
      </c>
      <c r="K761">
        <v>188</v>
      </c>
      <c r="L761">
        <v>235</v>
      </c>
      <c r="M761">
        <v>4.0909090910000003</v>
      </c>
      <c r="N761">
        <f>IFERROR(VLOOKUP(A761,vlookup_table!$A:$G,2,FALSE),"")</f>
        <v>0</v>
      </c>
      <c r="O761">
        <f>IFERROR(VLOOKUP(A761,vlookup_table!$A:$G,4,FALSE),"")</f>
        <v>0</v>
      </c>
      <c r="P761" t="str">
        <f>IFERROR(VLOOKUP(A761,vlookup_table!$A:$G,5,FALSE),"")</f>
        <v>C2</v>
      </c>
      <c r="Q761">
        <f>IFERROR(VLOOKUP(A761,vlookup_table!$A:$G,7,FALSE),"")</f>
        <v>2</v>
      </c>
      <c r="R761">
        <f t="shared" si="44"/>
        <v>97</v>
      </c>
      <c r="S761" t="str" cm="1">
        <f t="array" ref="S761">IF(P761="","",_xlfn.SWITCH(LEFT(P761,1),"C","Ciudad","T","Pueblo","R","Rural","S","Suburbano","U","Urbano",""))</f>
        <v>Ciudad</v>
      </c>
      <c r="T761" t="str">
        <f t="shared" si="45"/>
        <v>F</v>
      </c>
      <c r="U761" t="str">
        <f t="shared" si="46"/>
        <v>CO</v>
      </c>
      <c r="V761" t="str">
        <f t="shared" si="47"/>
        <v>11152</v>
      </c>
    </row>
    <row r="762" spans="1:22" x14ac:dyDescent="0.35">
      <c r="A762" s="3">
        <v>160579</v>
      </c>
      <c r="B762" t="s">
        <v>22</v>
      </c>
      <c r="C762" t="s">
        <v>17</v>
      </c>
      <c r="D762">
        <v>3531</v>
      </c>
      <c r="E762">
        <v>506</v>
      </c>
      <c r="F762">
        <v>626</v>
      </c>
      <c r="G762">
        <v>92</v>
      </c>
      <c r="H762">
        <v>23233</v>
      </c>
      <c r="I762">
        <v>10</v>
      </c>
      <c r="J762">
        <v>51</v>
      </c>
      <c r="K762">
        <v>554</v>
      </c>
      <c r="L762">
        <v>581</v>
      </c>
      <c r="M762">
        <v>9.5405405410000004</v>
      </c>
      <c r="N762">
        <f>IFERROR(VLOOKUP(A762,vlookup_table!$A:$G,2,FALSE),"")</f>
        <v>2</v>
      </c>
      <c r="O762">
        <f>IFERROR(VLOOKUP(A762,vlookup_table!$A:$G,4,FALSE),"")</f>
        <v>0</v>
      </c>
      <c r="P762" t="str">
        <f>IFERROR(VLOOKUP(A762,vlookup_table!$A:$G,5,FALSE),"")</f>
        <v>T1</v>
      </c>
      <c r="Q762">
        <f>IFERROR(VLOOKUP(A762,vlookup_table!$A:$G,7,FALSE),"")</f>
        <v>9</v>
      </c>
      <c r="R762">
        <f t="shared" si="44"/>
        <v>97</v>
      </c>
      <c r="S762" t="str" cm="1">
        <f t="array" ref="S762">IF(P762="","",_xlfn.SWITCH(LEFT(P762,1),"C","Ciudad","T","Pueblo","R","Rural","S","Suburbano","U","Urbano",""))</f>
        <v>Pueblo</v>
      </c>
      <c r="T762" t="str">
        <f t="shared" si="45"/>
        <v>F</v>
      </c>
      <c r="U762" t="str">
        <f t="shared" si="46"/>
        <v>CA</v>
      </c>
      <c r="V762" t="str">
        <f t="shared" si="47"/>
        <v>23233</v>
      </c>
    </row>
    <row r="763" spans="1:22" x14ac:dyDescent="0.35">
      <c r="A763" s="3">
        <v>20533</v>
      </c>
      <c r="B763" t="s">
        <v>18</v>
      </c>
      <c r="C763" t="s">
        <v>14</v>
      </c>
      <c r="D763">
        <v>738</v>
      </c>
      <c r="E763">
        <v>313</v>
      </c>
      <c r="F763">
        <v>411</v>
      </c>
      <c r="G763">
        <v>8</v>
      </c>
      <c r="H763">
        <v>14070</v>
      </c>
      <c r="I763">
        <v>2</v>
      </c>
      <c r="J763">
        <v>61</v>
      </c>
      <c r="K763">
        <v>350</v>
      </c>
      <c r="L763">
        <v>372</v>
      </c>
      <c r="M763">
        <v>15.75</v>
      </c>
      <c r="N763">
        <f>IFERROR(VLOOKUP(A763,vlookup_table!$A:$G,2,FALSE),"")</f>
        <v>0</v>
      </c>
      <c r="O763">
        <f>IFERROR(VLOOKUP(A763,vlookup_table!$A:$G,4,FALSE),"")</f>
        <v>4801</v>
      </c>
      <c r="P763" t="str">
        <f>IFERROR(VLOOKUP(A763,vlookup_table!$A:$G,5,FALSE),"")</f>
        <v>T1</v>
      </c>
      <c r="Q763">
        <f>IFERROR(VLOOKUP(A763,vlookup_table!$A:$G,7,FALSE),"")</f>
        <v>25</v>
      </c>
      <c r="R763">
        <f t="shared" si="44"/>
        <v>49</v>
      </c>
      <c r="S763" t="str" cm="1">
        <f t="array" ref="S763">IF(P763="","",_xlfn.SWITCH(LEFT(P763,1),"C","Ciudad","T","Pueblo","R","Rural","S","Suburbano","U","Urbano",""))</f>
        <v>Pueblo</v>
      </c>
      <c r="T763" t="str">
        <f t="shared" si="45"/>
        <v>M</v>
      </c>
      <c r="U763" t="str">
        <f t="shared" si="46"/>
        <v>NC</v>
      </c>
      <c r="V763" t="str">
        <f t="shared" si="47"/>
        <v>14070</v>
      </c>
    </row>
    <row r="764" spans="1:22" x14ac:dyDescent="0.35">
      <c r="A764" s="3">
        <v>29103</v>
      </c>
      <c r="B764" t="s">
        <v>39</v>
      </c>
      <c r="C764" t="s">
        <v>17</v>
      </c>
      <c r="D764">
        <v>718</v>
      </c>
      <c r="E764">
        <v>206</v>
      </c>
      <c r="F764">
        <v>295</v>
      </c>
      <c r="G764">
        <v>5</v>
      </c>
      <c r="H764">
        <v>11129</v>
      </c>
      <c r="I764">
        <v>1</v>
      </c>
      <c r="J764">
        <v>62</v>
      </c>
      <c r="K764">
        <v>256</v>
      </c>
      <c r="L764">
        <v>254</v>
      </c>
      <c r="M764">
        <v>5.8125</v>
      </c>
      <c r="N764">
        <f>IFERROR(VLOOKUP(A764,vlookup_table!$A:$G,2,FALSE),"")</f>
        <v>0</v>
      </c>
      <c r="O764">
        <f>IFERROR(VLOOKUP(A764,vlookup_table!$A:$G,4,FALSE),"")</f>
        <v>2801</v>
      </c>
      <c r="P764" t="str">
        <f>IFERROR(VLOOKUP(A764,vlookup_table!$A:$G,5,FALSE),"")</f>
        <v>R2</v>
      </c>
      <c r="Q764">
        <f>IFERROR(VLOOKUP(A764,vlookup_table!$A:$G,7,FALSE),"")</f>
        <v>11</v>
      </c>
      <c r="R764">
        <f t="shared" si="44"/>
        <v>69</v>
      </c>
      <c r="S764" t="str" cm="1">
        <f t="array" ref="S764">IF(P764="","",_xlfn.SWITCH(LEFT(P764,1),"C","Ciudad","T","Pueblo","R","Rural","S","Suburbano","U","Urbano",""))</f>
        <v>Rural</v>
      </c>
      <c r="T764" t="str">
        <f t="shared" si="45"/>
        <v>F</v>
      </c>
      <c r="U764" t="str">
        <f t="shared" si="46"/>
        <v>GA</v>
      </c>
      <c r="V764" t="str">
        <f t="shared" si="47"/>
        <v>11129</v>
      </c>
    </row>
    <row r="765" spans="1:22" x14ac:dyDescent="0.35">
      <c r="A765" s="3">
        <v>122350</v>
      </c>
      <c r="B765" t="s">
        <v>21</v>
      </c>
      <c r="C765" t="s">
        <v>14</v>
      </c>
      <c r="D765">
        <v>469</v>
      </c>
      <c r="E765">
        <v>223</v>
      </c>
      <c r="F765">
        <v>270</v>
      </c>
      <c r="G765">
        <v>0</v>
      </c>
      <c r="H765">
        <v>8518</v>
      </c>
      <c r="I765">
        <v>1</v>
      </c>
      <c r="J765">
        <v>67</v>
      </c>
      <c r="K765">
        <v>250</v>
      </c>
      <c r="L765">
        <v>241</v>
      </c>
      <c r="M765">
        <v>21.636363639999999</v>
      </c>
      <c r="N765">
        <f>IFERROR(VLOOKUP(A765,vlookup_table!$A:$G,2,FALSE),"")</f>
        <v>1</v>
      </c>
      <c r="O765">
        <f>IFERROR(VLOOKUP(A765,vlookup_table!$A:$G,4,FALSE),"")</f>
        <v>0</v>
      </c>
      <c r="P765">
        <f>IFERROR(VLOOKUP(A765,vlookup_table!$A:$G,5,FALSE),"")</f>
        <v>0</v>
      </c>
      <c r="Q765">
        <f>IFERROR(VLOOKUP(A765,vlookup_table!$A:$G,7,FALSE),"")</f>
        <v>25</v>
      </c>
      <c r="R765">
        <f t="shared" si="44"/>
        <v>97</v>
      </c>
      <c r="S765" t="str" cm="1">
        <f t="array" ref="S765">IF(P765="","",_xlfn.SWITCH(LEFT(P765,1),"C","Ciudad","T","Pueblo","R","Rural","S","Suburbano","U","Urbano",""))</f>
        <v/>
      </c>
      <c r="T765" t="str">
        <f t="shared" si="45"/>
        <v>M</v>
      </c>
      <c r="U765" t="str">
        <f t="shared" si="46"/>
        <v>TX</v>
      </c>
      <c r="V765" t="str">
        <f t="shared" si="47"/>
        <v>8518</v>
      </c>
    </row>
    <row r="766" spans="1:22" x14ac:dyDescent="0.35">
      <c r="A766" s="3">
        <v>191547</v>
      </c>
      <c r="B766" t="s">
        <v>59</v>
      </c>
      <c r="C766" t="s">
        <v>17</v>
      </c>
      <c r="D766">
        <v>318</v>
      </c>
      <c r="E766">
        <v>216</v>
      </c>
      <c r="F766">
        <v>265</v>
      </c>
      <c r="G766">
        <v>0</v>
      </c>
      <c r="H766">
        <v>8799</v>
      </c>
      <c r="I766">
        <v>4</v>
      </c>
      <c r="J766">
        <v>25</v>
      </c>
      <c r="K766">
        <v>250</v>
      </c>
      <c r="L766">
        <v>240</v>
      </c>
      <c r="M766">
        <v>21.85</v>
      </c>
      <c r="N766">
        <f>IFERROR(VLOOKUP(A766,vlookup_table!$A:$G,2,FALSE),"")</f>
        <v>28</v>
      </c>
      <c r="O766">
        <f>IFERROR(VLOOKUP(A766,vlookup_table!$A:$G,4,FALSE),"")</f>
        <v>1701</v>
      </c>
      <c r="P766">
        <f>IFERROR(VLOOKUP(A766,vlookup_table!$A:$G,5,FALSE),"")</f>
        <v>0</v>
      </c>
      <c r="Q766">
        <f>IFERROR(VLOOKUP(A766,vlookup_table!$A:$G,7,FALSE),"")</f>
        <v>15</v>
      </c>
      <c r="R766">
        <f t="shared" si="44"/>
        <v>80</v>
      </c>
      <c r="S766" t="str" cm="1">
        <f t="array" ref="S766">IF(P766="","",_xlfn.SWITCH(LEFT(P766,1),"C","Ciudad","T","Pueblo","R","Rural","S","Suburbano","U","Urbano",""))</f>
        <v/>
      </c>
      <c r="T766" t="str">
        <f t="shared" si="45"/>
        <v>F</v>
      </c>
      <c r="U766" t="str">
        <f t="shared" si="46"/>
        <v>NE</v>
      </c>
      <c r="V766" t="str">
        <f t="shared" si="47"/>
        <v>8799</v>
      </c>
    </row>
    <row r="767" spans="1:22" x14ac:dyDescent="0.35">
      <c r="A767" s="3">
        <v>4544</v>
      </c>
      <c r="B767" t="s">
        <v>22</v>
      </c>
      <c r="C767" t="s">
        <v>14</v>
      </c>
      <c r="D767">
        <v>5132</v>
      </c>
      <c r="E767">
        <v>655</v>
      </c>
      <c r="F767">
        <v>826</v>
      </c>
      <c r="G767">
        <v>96</v>
      </c>
      <c r="H767">
        <v>38854</v>
      </c>
      <c r="I767">
        <v>19</v>
      </c>
      <c r="J767">
        <v>39</v>
      </c>
      <c r="K767">
        <v>757</v>
      </c>
      <c r="L767">
        <v>721</v>
      </c>
      <c r="M767">
        <v>19.736842110000001</v>
      </c>
      <c r="N767">
        <f>IFERROR(VLOOKUP(A767,vlookup_table!$A:$G,2,FALSE),"")</f>
        <v>1</v>
      </c>
      <c r="O767">
        <f>IFERROR(VLOOKUP(A767,vlookup_table!$A:$G,4,FALSE),"")</f>
        <v>0</v>
      </c>
      <c r="P767" t="str">
        <f>IFERROR(VLOOKUP(A767,vlookup_table!$A:$G,5,FALSE),"")</f>
        <v>U1</v>
      </c>
      <c r="Q767">
        <f>IFERROR(VLOOKUP(A767,vlookup_table!$A:$G,7,FALSE),"")</f>
        <v>20</v>
      </c>
      <c r="R767">
        <f t="shared" si="44"/>
        <v>97</v>
      </c>
      <c r="S767" t="str" cm="1">
        <f t="array" ref="S767">IF(P767="","",_xlfn.SWITCH(LEFT(P767,1),"C","Ciudad","T","Pueblo","R","Rural","S","Suburbano","U","Urbano",""))</f>
        <v>Urbano</v>
      </c>
      <c r="T767" t="str">
        <f t="shared" si="45"/>
        <v>M</v>
      </c>
      <c r="U767" t="str">
        <f t="shared" si="46"/>
        <v>CA</v>
      </c>
      <c r="V767" t="str">
        <f t="shared" si="47"/>
        <v>38854</v>
      </c>
    </row>
    <row r="768" spans="1:22" x14ac:dyDescent="0.35">
      <c r="A768" s="3">
        <v>140808</v>
      </c>
      <c r="B768" t="s">
        <v>24</v>
      </c>
      <c r="C768" t="s">
        <v>17</v>
      </c>
      <c r="D768">
        <v>1181</v>
      </c>
      <c r="E768">
        <v>451</v>
      </c>
      <c r="F768">
        <v>521</v>
      </c>
      <c r="G768">
        <v>5</v>
      </c>
      <c r="H768">
        <v>17987</v>
      </c>
      <c r="I768">
        <v>9</v>
      </c>
      <c r="J768">
        <v>18</v>
      </c>
      <c r="K768">
        <v>466</v>
      </c>
      <c r="L768">
        <v>494</v>
      </c>
      <c r="M768">
        <v>17.833333329999999</v>
      </c>
      <c r="N768">
        <f>IFERROR(VLOOKUP(A768,vlookup_table!$A:$G,2,FALSE),"")</f>
        <v>28</v>
      </c>
      <c r="O768">
        <f>IFERROR(VLOOKUP(A768,vlookup_table!$A:$G,4,FALSE),"")</f>
        <v>0</v>
      </c>
      <c r="P768" t="str">
        <f>IFERROR(VLOOKUP(A768,vlookup_table!$A:$G,5,FALSE),"")</f>
        <v>S1</v>
      </c>
      <c r="Q768">
        <f>IFERROR(VLOOKUP(A768,vlookup_table!$A:$G,7,FALSE),"")</f>
        <v>25</v>
      </c>
      <c r="R768">
        <f t="shared" si="44"/>
        <v>97</v>
      </c>
      <c r="S768" t="str" cm="1">
        <f t="array" ref="S768">IF(P768="","",_xlfn.SWITCH(LEFT(P768,1),"C","Ciudad","T","Pueblo","R","Rural","S","Suburbano","U","Urbano",""))</f>
        <v>Suburbano</v>
      </c>
      <c r="T768" t="str">
        <f t="shared" si="45"/>
        <v>F</v>
      </c>
      <c r="U768" t="str">
        <f t="shared" si="46"/>
        <v>NV</v>
      </c>
      <c r="V768" t="str">
        <f t="shared" si="47"/>
        <v>17987</v>
      </c>
    </row>
    <row r="769" spans="1:22" x14ac:dyDescent="0.35">
      <c r="A769" s="3">
        <v>76625</v>
      </c>
      <c r="B769" t="s">
        <v>47</v>
      </c>
      <c r="C769" t="s">
        <v>14</v>
      </c>
      <c r="D769">
        <v>386</v>
      </c>
      <c r="E769">
        <v>232</v>
      </c>
      <c r="F769">
        <v>313</v>
      </c>
      <c r="G769">
        <v>0</v>
      </c>
      <c r="H769">
        <v>9987</v>
      </c>
      <c r="I769">
        <v>1</v>
      </c>
      <c r="J769">
        <v>84</v>
      </c>
      <c r="K769">
        <v>276</v>
      </c>
      <c r="L769">
        <v>274</v>
      </c>
      <c r="M769">
        <v>5</v>
      </c>
      <c r="N769">
        <f>IFERROR(VLOOKUP(A769,vlookup_table!$A:$G,2,FALSE),"")</f>
        <v>0</v>
      </c>
      <c r="O769">
        <f>IFERROR(VLOOKUP(A769,vlookup_table!$A:$G,4,FALSE),"")</f>
        <v>1001</v>
      </c>
      <c r="P769" t="str">
        <f>IFERROR(VLOOKUP(A769,vlookup_table!$A:$G,5,FALSE),"")</f>
        <v>C3</v>
      </c>
      <c r="Q769">
        <f>IFERROR(VLOOKUP(A769,vlookup_table!$A:$G,7,FALSE),"")</f>
        <v>6</v>
      </c>
      <c r="R769">
        <f t="shared" si="44"/>
        <v>87</v>
      </c>
      <c r="S769" t="str" cm="1">
        <f t="array" ref="S769">IF(P769="","",_xlfn.SWITCH(LEFT(P769,1),"C","Ciudad","T","Pueblo","R","Rural","S","Suburbano","U","Urbano",""))</f>
        <v>Ciudad</v>
      </c>
      <c r="T769" t="str">
        <f t="shared" si="45"/>
        <v>M</v>
      </c>
      <c r="U769" t="str">
        <f t="shared" si="46"/>
        <v>IA</v>
      </c>
      <c r="V769" t="str">
        <f t="shared" si="47"/>
        <v>9987</v>
      </c>
    </row>
    <row r="770" spans="1:22" x14ac:dyDescent="0.35">
      <c r="A770" s="3">
        <v>57349</v>
      </c>
      <c r="B770" t="s">
        <v>57</v>
      </c>
      <c r="C770" t="s">
        <v>17</v>
      </c>
      <c r="D770">
        <v>685</v>
      </c>
      <c r="E770">
        <v>288</v>
      </c>
      <c r="F770">
        <v>379</v>
      </c>
      <c r="G770">
        <v>0</v>
      </c>
      <c r="H770">
        <v>15832</v>
      </c>
      <c r="I770">
        <v>3</v>
      </c>
      <c r="J770">
        <v>65</v>
      </c>
      <c r="K770">
        <v>405</v>
      </c>
      <c r="L770">
        <v>320</v>
      </c>
      <c r="M770">
        <v>6</v>
      </c>
      <c r="N770">
        <f>IFERROR(VLOOKUP(A770,vlookup_table!$A:$G,2,FALSE),"")</f>
        <v>28</v>
      </c>
      <c r="O770">
        <f>IFERROR(VLOOKUP(A770,vlookup_table!$A:$G,4,FALSE),"")</f>
        <v>6601</v>
      </c>
      <c r="P770" t="str">
        <f>IFERROR(VLOOKUP(A770,vlookup_table!$A:$G,5,FALSE),"")</f>
        <v>C2</v>
      </c>
      <c r="Q770">
        <f>IFERROR(VLOOKUP(A770,vlookup_table!$A:$G,7,FALSE),"")</f>
        <v>7</v>
      </c>
      <c r="R770">
        <f t="shared" ref="R770:R833" si="48">IF(O770="","",97-INT(O770/100))</f>
        <v>31</v>
      </c>
      <c r="S770" t="str" cm="1">
        <f t="array" ref="S770">IF(P770="","",_xlfn.SWITCH(LEFT(P770,1),"C","Ciudad","T","Pueblo","R","Rural","S","Suburbano","U","Urbano",""))</f>
        <v>Ciudad</v>
      </c>
      <c r="T770" t="str">
        <f t="shared" ref="T770:T833" si="49">IF(C770="","",IF(OR(UPPER(C770)="M",UPPER(C770)="MALE"),"M",IF(OR(UPPER(C770)="F",UPPER(C770)="FEMALE",UPPER(C770)="FEAMALE"),"F",C770)))</f>
        <v>F</v>
      </c>
      <c r="U770" t="str">
        <f t="shared" ref="U770:U833" si="50">IF(OR(UPPER(B770)="CALIFORNIA",UPPER(B770)="CALI"),"CA",B770)</f>
        <v>KY</v>
      </c>
      <c r="V770" t="str">
        <f t="shared" ref="V770:V833" si="51">SUBSTITUTE(H770,"@","")</f>
        <v>15832</v>
      </c>
    </row>
    <row r="771" spans="1:22" x14ac:dyDescent="0.35">
      <c r="A771" s="3">
        <v>27366</v>
      </c>
      <c r="B771" t="s">
        <v>39</v>
      </c>
      <c r="C771" t="s">
        <v>14</v>
      </c>
      <c r="D771">
        <v>756</v>
      </c>
      <c r="E771">
        <v>334</v>
      </c>
      <c r="F771">
        <v>421</v>
      </c>
      <c r="G771">
        <v>0</v>
      </c>
      <c r="H771">
        <v>15669</v>
      </c>
      <c r="I771">
        <v>0</v>
      </c>
      <c r="J771">
        <v>82</v>
      </c>
      <c r="K771">
        <v>334</v>
      </c>
      <c r="L771">
        <v>426</v>
      </c>
      <c r="M771">
        <v>6.3809523810000002</v>
      </c>
      <c r="N771">
        <f>IFERROR(VLOOKUP(A771,vlookup_table!$A:$G,2,FALSE),"")</f>
        <v>2</v>
      </c>
      <c r="O771">
        <f>IFERROR(VLOOKUP(A771,vlookup_table!$A:$G,4,FALSE),"")</f>
        <v>1705</v>
      </c>
      <c r="P771" t="str">
        <f>IFERROR(VLOOKUP(A771,vlookup_table!$A:$G,5,FALSE),"")</f>
        <v>R2</v>
      </c>
      <c r="Q771">
        <f>IFERROR(VLOOKUP(A771,vlookup_table!$A:$G,7,FALSE),"")</f>
        <v>16</v>
      </c>
      <c r="R771">
        <f t="shared" si="48"/>
        <v>80</v>
      </c>
      <c r="S771" t="str" cm="1">
        <f t="array" ref="S771">IF(P771="","",_xlfn.SWITCH(LEFT(P771,1),"C","Ciudad","T","Pueblo","R","Rural","S","Suburbano","U","Urbano",""))</f>
        <v>Rural</v>
      </c>
      <c r="T771" t="str">
        <f t="shared" si="49"/>
        <v>M</v>
      </c>
      <c r="U771" t="str">
        <f t="shared" si="50"/>
        <v>GA</v>
      </c>
      <c r="V771" t="str">
        <f t="shared" si="51"/>
        <v>15669</v>
      </c>
    </row>
    <row r="772" spans="1:22" x14ac:dyDescent="0.35">
      <c r="A772" s="3">
        <v>100146</v>
      </c>
      <c r="B772" t="s">
        <v>36</v>
      </c>
      <c r="C772" t="s">
        <v>14</v>
      </c>
      <c r="D772">
        <v>464</v>
      </c>
      <c r="E772">
        <v>256</v>
      </c>
      <c r="F772">
        <v>322</v>
      </c>
      <c r="G772">
        <v>0</v>
      </c>
      <c r="H772">
        <v>10907</v>
      </c>
      <c r="I772">
        <v>3</v>
      </c>
      <c r="J772">
        <v>79</v>
      </c>
      <c r="K772">
        <v>310</v>
      </c>
      <c r="L772">
        <v>283</v>
      </c>
      <c r="M772">
        <v>19.285714290000001</v>
      </c>
      <c r="N772">
        <f>IFERROR(VLOOKUP(A772,vlookup_table!$A:$G,2,FALSE),"")</f>
        <v>1</v>
      </c>
      <c r="O772">
        <f>IFERROR(VLOOKUP(A772,vlookup_table!$A:$G,4,FALSE),"")</f>
        <v>2308</v>
      </c>
      <c r="P772" t="str">
        <f>IFERROR(VLOOKUP(A772,vlookup_table!$A:$G,5,FALSE),"")</f>
        <v>S3</v>
      </c>
      <c r="Q772">
        <f>IFERROR(VLOOKUP(A772,vlookup_table!$A:$G,7,FALSE),"")</f>
        <v>25</v>
      </c>
      <c r="R772">
        <f t="shared" si="48"/>
        <v>74</v>
      </c>
      <c r="S772" t="str" cm="1">
        <f t="array" ref="S772">IF(P772="","",_xlfn.SWITCH(LEFT(P772,1),"C","Ciudad","T","Pueblo","R","Rural","S","Suburbano","U","Urbano",""))</f>
        <v>Suburbano</v>
      </c>
      <c r="T772" t="str">
        <f t="shared" si="49"/>
        <v>M</v>
      </c>
      <c r="U772" t="str">
        <f t="shared" si="50"/>
        <v>MO</v>
      </c>
      <c r="V772" t="str">
        <f t="shared" si="51"/>
        <v>10907</v>
      </c>
    </row>
    <row r="773" spans="1:22" x14ac:dyDescent="0.35">
      <c r="A773" s="3">
        <v>11991</v>
      </c>
      <c r="B773" t="s">
        <v>49</v>
      </c>
      <c r="C773" t="s">
        <v>14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17</v>
      </c>
      <c r="N773">
        <f>IFERROR(VLOOKUP(A773,vlookup_table!$A:$G,2,FALSE),"")</f>
        <v>1</v>
      </c>
      <c r="O773">
        <f>IFERROR(VLOOKUP(A773,vlookup_table!$A:$G,4,FALSE),"")</f>
        <v>0</v>
      </c>
      <c r="P773" t="str">
        <f>IFERROR(VLOOKUP(A773,vlookup_table!$A:$G,5,FALSE),"")</f>
        <v>C3</v>
      </c>
      <c r="Q773">
        <f>IFERROR(VLOOKUP(A773,vlookup_table!$A:$G,7,FALSE),"")</f>
        <v>25</v>
      </c>
      <c r="R773">
        <f t="shared" si="48"/>
        <v>97</v>
      </c>
      <c r="S773" t="str" cm="1">
        <f t="array" ref="S773">IF(P773="","",_xlfn.SWITCH(LEFT(P773,1),"C","Ciudad","T","Pueblo","R","Rural","S","Suburbano","U","Urbano",""))</f>
        <v>Ciudad</v>
      </c>
      <c r="T773" t="str">
        <f t="shared" si="49"/>
        <v>M</v>
      </c>
      <c r="U773" t="str">
        <f t="shared" si="50"/>
        <v>LA</v>
      </c>
      <c r="V773" t="str">
        <f t="shared" si="51"/>
        <v>0</v>
      </c>
    </row>
    <row r="774" spans="1:22" x14ac:dyDescent="0.35">
      <c r="A774" s="3">
        <v>27736</v>
      </c>
      <c r="B774" t="s">
        <v>39</v>
      </c>
      <c r="C774" t="s">
        <v>17</v>
      </c>
      <c r="D774">
        <v>1245</v>
      </c>
      <c r="E774">
        <v>618</v>
      </c>
      <c r="F774">
        <v>705</v>
      </c>
      <c r="G774">
        <v>5</v>
      </c>
      <c r="H774">
        <v>21467</v>
      </c>
      <c r="I774">
        <v>1</v>
      </c>
      <c r="J774">
        <v>38</v>
      </c>
      <c r="K774">
        <v>634</v>
      </c>
      <c r="L774">
        <v>687</v>
      </c>
      <c r="M774">
        <v>7.2857142860000002</v>
      </c>
      <c r="N774">
        <f>IFERROR(VLOOKUP(A774,vlookup_table!$A:$G,2,FALSE),"")</f>
        <v>0</v>
      </c>
      <c r="O774">
        <f>IFERROR(VLOOKUP(A774,vlookup_table!$A:$G,4,FALSE),"")</f>
        <v>5101</v>
      </c>
      <c r="P774" t="str">
        <f>IFERROR(VLOOKUP(A774,vlookup_table!$A:$G,5,FALSE),"")</f>
        <v>C1</v>
      </c>
      <c r="Q774">
        <f>IFERROR(VLOOKUP(A774,vlookup_table!$A:$G,7,FALSE),"")</f>
        <v>8</v>
      </c>
      <c r="R774">
        <f t="shared" si="48"/>
        <v>46</v>
      </c>
      <c r="S774" t="str" cm="1">
        <f t="array" ref="S774">IF(P774="","",_xlfn.SWITCH(LEFT(P774,1),"C","Ciudad","T","Pueblo","R","Rural","S","Suburbano","U","Urbano",""))</f>
        <v>Ciudad</v>
      </c>
      <c r="T774" t="str">
        <f t="shared" si="49"/>
        <v>F</v>
      </c>
      <c r="U774" t="str">
        <f t="shared" si="50"/>
        <v>GA</v>
      </c>
      <c r="V774" t="str">
        <f t="shared" si="51"/>
        <v>21467</v>
      </c>
    </row>
    <row r="775" spans="1:22" x14ac:dyDescent="0.35">
      <c r="A775" s="3">
        <v>114873</v>
      </c>
      <c r="B775" t="s">
        <v>31</v>
      </c>
      <c r="C775" t="s">
        <v>30</v>
      </c>
      <c r="D775">
        <v>553</v>
      </c>
      <c r="E775">
        <v>176</v>
      </c>
      <c r="F775">
        <v>275</v>
      </c>
      <c r="G775">
        <v>2</v>
      </c>
      <c r="H775">
        <v>10891</v>
      </c>
      <c r="I775">
        <v>2</v>
      </c>
      <c r="J775">
        <v>50</v>
      </c>
      <c r="K775">
        <v>220</v>
      </c>
      <c r="L775">
        <v>235</v>
      </c>
      <c r="M775">
        <v>7.53125</v>
      </c>
      <c r="N775">
        <f>IFERROR(VLOOKUP(A775,vlookup_table!$A:$G,2,FALSE),"")</f>
        <v>0</v>
      </c>
      <c r="O775">
        <f>IFERROR(VLOOKUP(A775,vlookup_table!$A:$G,4,FALSE),"")</f>
        <v>0</v>
      </c>
      <c r="P775" t="str">
        <f>IFERROR(VLOOKUP(A775,vlookup_table!$A:$G,5,FALSE),"")</f>
        <v>R2</v>
      </c>
      <c r="Q775">
        <f>IFERROR(VLOOKUP(A775,vlookup_table!$A:$G,7,FALSE),"")</f>
        <v>10</v>
      </c>
      <c r="R775">
        <f t="shared" si="48"/>
        <v>97</v>
      </c>
      <c r="S775" t="str" cm="1">
        <f t="array" ref="S775">IF(P775="","",_xlfn.SWITCH(LEFT(P775,1),"C","Ciudad","T","Pueblo","R","Rural","S","Suburbano","U","Urbano",""))</f>
        <v>Rural</v>
      </c>
      <c r="T775" t="str">
        <f t="shared" si="49"/>
        <v>U</v>
      </c>
      <c r="U775" t="str">
        <f t="shared" si="50"/>
        <v>OK</v>
      </c>
      <c r="V775" t="str">
        <f t="shared" si="51"/>
        <v>10891</v>
      </c>
    </row>
    <row r="776" spans="1:22" x14ac:dyDescent="0.35">
      <c r="A776" s="3">
        <v>156997</v>
      </c>
      <c r="B776" t="s">
        <v>22</v>
      </c>
      <c r="C776" t="s">
        <v>17</v>
      </c>
      <c r="D776">
        <v>1869</v>
      </c>
      <c r="E776">
        <v>358</v>
      </c>
      <c r="F776">
        <v>359</v>
      </c>
      <c r="G776">
        <v>31</v>
      </c>
      <c r="H776">
        <v>15739</v>
      </c>
      <c r="I776">
        <v>15</v>
      </c>
      <c r="J776">
        <v>47</v>
      </c>
      <c r="K776">
        <v>358</v>
      </c>
      <c r="L776">
        <v>344</v>
      </c>
      <c r="M776">
        <v>20</v>
      </c>
      <c r="N776">
        <f>IFERROR(VLOOKUP(A776,vlookup_table!$A:$G,2,FALSE),"")</f>
        <v>28</v>
      </c>
      <c r="O776">
        <f>IFERROR(VLOOKUP(A776,vlookup_table!$A:$G,4,FALSE),"")</f>
        <v>0</v>
      </c>
      <c r="P776" t="str">
        <f>IFERROR(VLOOKUP(A776,vlookup_table!$A:$G,5,FALSE),"")</f>
        <v>U2</v>
      </c>
      <c r="Q776">
        <f>IFERROR(VLOOKUP(A776,vlookup_table!$A:$G,7,FALSE),"")</f>
        <v>25</v>
      </c>
      <c r="R776">
        <f t="shared" si="48"/>
        <v>97</v>
      </c>
      <c r="S776" t="str" cm="1">
        <f t="array" ref="S776">IF(P776="","",_xlfn.SWITCH(LEFT(P776,1),"C","Ciudad","T","Pueblo","R","Rural","S","Suburbano","U","Urbano",""))</f>
        <v>Urbano</v>
      </c>
      <c r="T776" t="str">
        <f t="shared" si="49"/>
        <v>F</v>
      </c>
      <c r="U776" t="str">
        <f t="shared" si="50"/>
        <v>CA</v>
      </c>
      <c r="V776" t="str">
        <f t="shared" si="51"/>
        <v>15739</v>
      </c>
    </row>
    <row r="777" spans="1:22" x14ac:dyDescent="0.35">
      <c r="A777" s="3">
        <v>80646</v>
      </c>
      <c r="B777" t="s">
        <v>35</v>
      </c>
      <c r="C777" t="s">
        <v>51</v>
      </c>
      <c r="D777">
        <v>360</v>
      </c>
      <c r="E777">
        <v>198</v>
      </c>
      <c r="F777">
        <v>269</v>
      </c>
      <c r="G777">
        <v>0</v>
      </c>
      <c r="H777">
        <v>8452</v>
      </c>
      <c r="I777">
        <v>0</v>
      </c>
      <c r="J777">
        <v>84</v>
      </c>
      <c r="K777">
        <v>217</v>
      </c>
      <c r="L777">
        <v>248</v>
      </c>
      <c r="M777">
        <v>3.5555555559999998</v>
      </c>
      <c r="N777">
        <f>IFERROR(VLOOKUP(A777,vlookup_table!$A:$G,2,FALSE),"")</f>
        <v>0</v>
      </c>
      <c r="O777">
        <f>IFERROR(VLOOKUP(A777,vlookup_table!$A:$G,4,FALSE),"")</f>
        <v>2410</v>
      </c>
      <c r="P777" t="str">
        <f>IFERROR(VLOOKUP(A777,vlookup_table!$A:$G,5,FALSE),"")</f>
        <v>R3</v>
      </c>
      <c r="Q777">
        <f>IFERROR(VLOOKUP(A777,vlookup_table!$A:$G,7,FALSE),"")</f>
        <v>4</v>
      </c>
      <c r="R777">
        <f t="shared" si="48"/>
        <v>73</v>
      </c>
      <c r="S777" t="str" cm="1">
        <f t="array" ref="S777">IF(P777="","",_xlfn.SWITCH(LEFT(P777,1),"C","Ciudad","T","Pueblo","R","Rural","S","Suburbano","U","Urbano",""))</f>
        <v>Rural</v>
      </c>
      <c r="T777" t="str">
        <f t="shared" si="49"/>
        <v>M</v>
      </c>
      <c r="U777" t="str">
        <f t="shared" si="50"/>
        <v>WI</v>
      </c>
      <c r="V777" t="str">
        <f t="shared" si="51"/>
        <v>8452</v>
      </c>
    </row>
    <row r="778" spans="1:22" x14ac:dyDescent="0.35">
      <c r="A778" s="3">
        <v>190837</v>
      </c>
      <c r="B778" t="s">
        <v>35</v>
      </c>
      <c r="C778" t="s">
        <v>17</v>
      </c>
      <c r="D778">
        <v>432</v>
      </c>
      <c r="E778">
        <v>203</v>
      </c>
      <c r="F778">
        <v>323</v>
      </c>
      <c r="G778">
        <v>0</v>
      </c>
      <c r="H778">
        <v>9769</v>
      </c>
      <c r="I778">
        <v>1</v>
      </c>
      <c r="J778">
        <v>85</v>
      </c>
      <c r="K778">
        <v>300</v>
      </c>
      <c r="L778">
        <v>226</v>
      </c>
      <c r="M778">
        <v>8.125</v>
      </c>
      <c r="N778">
        <f>IFERROR(VLOOKUP(A778,vlookup_table!$A:$G,2,FALSE),"")</f>
        <v>28</v>
      </c>
      <c r="O778">
        <f>IFERROR(VLOOKUP(A778,vlookup_table!$A:$G,4,FALSE),"")</f>
        <v>901</v>
      </c>
      <c r="P778" t="str">
        <f>IFERROR(VLOOKUP(A778,vlookup_table!$A:$G,5,FALSE),"")</f>
        <v>C3</v>
      </c>
      <c r="Q778">
        <f>IFERROR(VLOOKUP(A778,vlookup_table!$A:$G,7,FALSE),"")</f>
        <v>11</v>
      </c>
      <c r="R778">
        <f t="shared" si="48"/>
        <v>88</v>
      </c>
      <c r="S778" t="str" cm="1">
        <f t="array" ref="S778">IF(P778="","",_xlfn.SWITCH(LEFT(P778,1),"C","Ciudad","T","Pueblo","R","Rural","S","Suburbano","U","Urbano",""))</f>
        <v>Ciudad</v>
      </c>
      <c r="T778" t="str">
        <f t="shared" si="49"/>
        <v>F</v>
      </c>
      <c r="U778" t="str">
        <f t="shared" si="50"/>
        <v>WI</v>
      </c>
      <c r="V778" t="str">
        <f t="shared" si="51"/>
        <v>9769</v>
      </c>
    </row>
    <row r="779" spans="1:22" x14ac:dyDescent="0.35">
      <c r="A779" s="3">
        <v>18322</v>
      </c>
      <c r="B779" t="s">
        <v>18</v>
      </c>
      <c r="C779" t="s">
        <v>14</v>
      </c>
      <c r="D779">
        <v>807</v>
      </c>
      <c r="E779">
        <v>329</v>
      </c>
      <c r="F779">
        <v>422</v>
      </c>
      <c r="G779">
        <v>4</v>
      </c>
      <c r="H779">
        <v>16724</v>
      </c>
      <c r="I779">
        <v>4</v>
      </c>
      <c r="J779">
        <v>66</v>
      </c>
      <c r="K779">
        <v>374</v>
      </c>
      <c r="L779">
        <v>390</v>
      </c>
      <c r="M779">
        <v>7.375</v>
      </c>
      <c r="N779">
        <f>IFERROR(VLOOKUP(A779,vlookup_table!$A:$G,2,FALSE),"")</f>
        <v>1</v>
      </c>
      <c r="O779">
        <f>IFERROR(VLOOKUP(A779,vlookup_table!$A:$G,4,FALSE),"")</f>
        <v>2401</v>
      </c>
      <c r="P779" t="str">
        <f>IFERROR(VLOOKUP(A779,vlookup_table!$A:$G,5,FALSE),"")</f>
        <v>R1</v>
      </c>
      <c r="Q779">
        <f>IFERROR(VLOOKUP(A779,vlookup_table!$A:$G,7,FALSE),"")</f>
        <v>10</v>
      </c>
      <c r="R779">
        <f t="shared" si="48"/>
        <v>73</v>
      </c>
      <c r="S779" t="str" cm="1">
        <f t="array" ref="S779">IF(P779="","",_xlfn.SWITCH(LEFT(P779,1),"C","Ciudad","T","Pueblo","R","Rural","S","Suburbano","U","Urbano",""))</f>
        <v>Rural</v>
      </c>
      <c r="T779" t="str">
        <f t="shared" si="49"/>
        <v>M</v>
      </c>
      <c r="U779" t="str">
        <f t="shared" si="50"/>
        <v>NC</v>
      </c>
      <c r="V779" t="str">
        <f t="shared" si="51"/>
        <v>16724</v>
      </c>
    </row>
    <row r="780" spans="1:22" x14ac:dyDescent="0.35">
      <c r="A780" s="3">
        <v>118819</v>
      </c>
      <c r="B780" t="s">
        <v>21</v>
      </c>
      <c r="C780" t="s">
        <v>17</v>
      </c>
      <c r="D780">
        <v>786</v>
      </c>
      <c r="E780">
        <v>421</v>
      </c>
      <c r="F780">
        <v>453</v>
      </c>
      <c r="G780">
        <v>0</v>
      </c>
      <c r="H780">
        <v>12335</v>
      </c>
      <c r="I780">
        <v>0</v>
      </c>
      <c r="J780">
        <v>63</v>
      </c>
      <c r="K780">
        <v>460</v>
      </c>
      <c r="L780">
        <v>393</v>
      </c>
      <c r="M780">
        <v>12.33333333</v>
      </c>
      <c r="N780">
        <f>IFERROR(VLOOKUP(A780,vlookup_table!$A:$G,2,FALSE),"")</f>
        <v>0</v>
      </c>
      <c r="O780">
        <f>IFERROR(VLOOKUP(A780,vlookup_table!$A:$G,4,FALSE),"")</f>
        <v>0</v>
      </c>
      <c r="P780" t="str">
        <f>IFERROR(VLOOKUP(A780,vlookup_table!$A:$G,5,FALSE),"")</f>
        <v>C1</v>
      </c>
      <c r="Q780">
        <f>IFERROR(VLOOKUP(A780,vlookup_table!$A:$G,7,FALSE),"")</f>
        <v>20</v>
      </c>
      <c r="R780">
        <f t="shared" si="48"/>
        <v>97</v>
      </c>
      <c r="S780" t="str" cm="1">
        <f t="array" ref="S780">IF(P780="","",_xlfn.SWITCH(LEFT(P780,1),"C","Ciudad","T","Pueblo","R","Rural","S","Suburbano","U","Urbano",""))</f>
        <v>Ciudad</v>
      </c>
      <c r="T780" t="str">
        <f t="shared" si="49"/>
        <v>F</v>
      </c>
      <c r="U780" t="str">
        <f t="shared" si="50"/>
        <v>TX</v>
      </c>
      <c r="V780" t="str">
        <f t="shared" si="51"/>
        <v>12335</v>
      </c>
    </row>
    <row r="781" spans="1:22" x14ac:dyDescent="0.35">
      <c r="A781" s="3">
        <v>14233</v>
      </c>
      <c r="B781" t="s">
        <v>66</v>
      </c>
      <c r="C781" t="s">
        <v>51</v>
      </c>
      <c r="D781">
        <v>307</v>
      </c>
      <c r="E781">
        <v>184</v>
      </c>
      <c r="F781">
        <v>341</v>
      </c>
      <c r="G781">
        <v>0</v>
      </c>
      <c r="H781">
        <v>10860</v>
      </c>
      <c r="I781">
        <v>1</v>
      </c>
      <c r="J781">
        <v>44</v>
      </c>
      <c r="K781">
        <v>264</v>
      </c>
      <c r="L781">
        <v>247</v>
      </c>
      <c r="M781">
        <v>18.333333329999999</v>
      </c>
      <c r="N781">
        <f>IFERROR(VLOOKUP(A781,vlookup_table!$A:$G,2,FALSE),"")</f>
        <v>1</v>
      </c>
      <c r="O781">
        <f>IFERROR(VLOOKUP(A781,vlookup_table!$A:$G,4,FALSE),"")</f>
        <v>5301</v>
      </c>
      <c r="P781" t="str">
        <f>IFERROR(VLOOKUP(A781,vlookup_table!$A:$G,5,FALSE),"")</f>
        <v>C2</v>
      </c>
      <c r="Q781">
        <f>IFERROR(VLOOKUP(A781,vlookup_table!$A:$G,7,FALSE),"")</f>
        <v>25</v>
      </c>
      <c r="R781">
        <f t="shared" si="48"/>
        <v>44</v>
      </c>
      <c r="S781" t="str" cm="1">
        <f t="array" ref="S781">IF(P781="","",_xlfn.SWITCH(LEFT(P781,1),"C","Ciudad","T","Pueblo","R","Rural","S","Suburbano","U","Urbano",""))</f>
        <v>Ciudad</v>
      </c>
      <c r="T781" t="str">
        <f t="shared" si="49"/>
        <v>M</v>
      </c>
      <c r="U781" t="str">
        <f t="shared" si="50"/>
        <v>WY</v>
      </c>
      <c r="V781" t="str">
        <f t="shared" si="51"/>
        <v>10860</v>
      </c>
    </row>
    <row r="782" spans="1:22" x14ac:dyDescent="0.35">
      <c r="A782" s="3">
        <v>142163</v>
      </c>
      <c r="B782" t="s">
        <v>24</v>
      </c>
      <c r="C782" t="s">
        <v>14</v>
      </c>
      <c r="D782">
        <v>1270</v>
      </c>
      <c r="E782">
        <v>447</v>
      </c>
      <c r="F782">
        <v>472</v>
      </c>
      <c r="G782">
        <v>5</v>
      </c>
      <c r="H782">
        <v>15652</v>
      </c>
      <c r="I782">
        <v>2</v>
      </c>
      <c r="J782">
        <v>36</v>
      </c>
      <c r="K782">
        <v>419</v>
      </c>
      <c r="L782">
        <v>476</v>
      </c>
      <c r="M782">
        <v>8.8333333330000006</v>
      </c>
      <c r="N782">
        <f>IFERROR(VLOOKUP(A782,vlookup_table!$A:$G,2,FALSE),"")</f>
        <v>1</v>
      </c>
      <c r="O782">
        <f>IFERROR(VLOOKUP(A782,vlookup_table!$A:$G,4,FALSE),"")</f>
        <v>0</v>
      </c>
      <c r="P782" t="str">
        <f>IFERROR(VLOOKUP(A782,vlookup_table!$A:$G,5,FALSE),"")</f>
        <v>T2</v>
      </c>
      <c r="Q782">
        <f>IFERROR(VLOOKUP(A782,vlookup_table!$A:$G,7,FALSE),"")</f>
        <v>12</v>
      </c>
      <c r="R782">
        <f t="shared" si="48"/>
        <v>97</v>
      </c>
      <c r="S782" t="str" cm="1">
        <f t="array" ref="S782">IF(P782="","",_xlfn.SWITCH(LEFT(P782,1),"C","Ciudad","T","Pueblo","R","Rural","S","Suburbano","U","Urbano",""))</f>
        <v>Pueblo</v>
      </c>
      <c r="T782" t="str">
        <f t="shared" si="49"/>
        <v>M</v>
      </c>
      <c r="U782" t="str">
        <f t="shared" si="50"/>
        <v>NV</v>
      </c>
      <c r="V782" t="str">
        <f t="shared" si="51"/>
        <v>15652</v>
      </c>
    </row>
    <row r="783" spans="1:22" x14ac:dyDescent="0.35">
      <c r="A783" s="3">
        <v>149757</v>
      </c>
      <c r="B783" t="s">
        <v>22</v>
      </c>
      <c r="C783" t="s">
        <v>17</v>
      </c>
      <c r="D783">
        <v>4167</v>
      </c>
      <c r="E783">
        <v>213</v>
      </c>
      <c r="F783">
        <v>279</v>
      </c>
      <c r="G783">
        <v>78</v>
      </c>
      <c r="H783">
        <v>11264</v>
      </c>
      <c r="I783">
        <v>0</v>
      </c>
      <c r="J783">
        <v>64</v>
      </c>
      <c r="K783">
        <v>376</v>
      </c>
      <c r="L783">
        <v>224</v>
      </c>
      <c r="M783">
        <v>13</v>
      </c>
      <c r="N783">
        <f>IFERROR(VLOOKUP(A783,vlookup_table!$A:$G,2,FALSE),"")</f>
        <v>0</v>
      </c>
      <c r="O783">
        <f>IFERROR(VLOOKUP(A783,vlookup_table!$A:$G,4,FALSE),"")</f>
        <v>0</v>
      </c>
      <c r="P783" t="str">
        <f>IFERROR(VLOOKUP(A783,vlookup_table!$A:$G,5,FALSE),"")</f>
        <v>U2</v>
      </c>
      <c r="Q783">
        <f>IFERROR(VLOOKUP(A783,vlookup_table!$A:$G,7,FALSE),"")</f>
        <v>22</v>
      </c>
      <c r="R783">
        <f t="shared" si="48"/>
        <v>97</v>
      </c>
      <c r="S783" t="str" cm="1">
        <f t="array" ref="S783">IF(P783="","",_xlfn.SWITCH(LEFT(P783,1),"C","Ciudad","T","Pueblo","R","Rural","S","Suburbano","U","Urbano",""))</f>
        <v>Urbano</v>
      </c>
      <c r="T783" t="str">
        <f t="shared" si="49"/>
        <v>F</v>
      </c>
      <c r="U783" t="str">
        <f t="shared" si="50"/>
        <v>CA</v>
      </c>
      <c r="V783" t="str">
        <f t="shared" si="51"/>
        <v>11264</v>
      </c>
    </row>
    <row r="784" spans="1:22" x14ac:dyDescent="0.35">
      <c r="A784" s="3">
        <v>49650</v>
      </c>
      <c r="B784" t="s">
        <v>43</v>
      </c>
      <c r="C784" t="s">
        <v>27</v>
      </c>
      <c r="D784">
        <v>472</v>
      </c>
      <c r="E784">
        <v>166</v>
      </c>
      <c r="F784">
        <v>302</v>
      </c>
      <c r="G784">
        <v>2</v>
      </c>
      <c r="H784">
        <v>8760</v>
      </c>
      <c r="I784">
        <v>0</v>
      </c>
      <c r="J784">
        <v>90</v>
      </c>
      <c r="K784">
        <v>218</v>
      </c>
      <c r="L784">
        <v>257</v>
      </c>
      <c r="M784">
        <v>9.7777777780000008</v>
      </c>
      <c r="N784">
        <f>IFERROR(VLOOKUP(A784,vlookup_table!$A:$G,2,FALSE),"")</f>
        <v>1</v>
      </c>
      <c r="O784">
        <f>IFERROR(VLOOKUP(A784,vlookup_table!$A:$G,4,FALSE),"")</f>
        <v>5201</v>
      </c>
      <c r="P784" t="str">
        <f>IFERROR(VLOOKUP(A784,vlookup_table!$A:$G,5,FALSE),"")</f>
        <v>R2</v>
      </c>
      <c r="Q784">
        <f>IFERROR(VLOOKUP(A784,vlookup_table!$A:$G,7,FALSE),"")</f>
        <v>10</v>
      </c>
      <c r="R784">
        <f t="shared" si="48"/>
        <v>45</v>
      </c>
      <c r="S784" t="str" cm="1">
        <f t="array" ref="S784">IF(P784="","",_xlfn.SWITCH(LEFT(P784,1),"C","Ciudad","T","Pueblo","R","Rural","S","Suburbano","U","Urbano",""))</f>
        <v>Rural</v>
      </c>
      <c r="T784" t="str">
        <f t="shared" si="49"/>
        <v>M</v>
      </c>
      <c r="U784" t="str">
        <f t="shared" si="50"/>
        <v>AL</v>
      </c>
      <c r="V784" t="str">
        <f t="shared" si="51"/>
        <v>8760</v>
      </c>
    </row>
    <row r="785" spans="1:22" x14ac:dyDescent="0.35">
      <c r="A785" s="3">
        <v>61191</v>
      </c>
      <c r="B785" t="s">
        <v>33</v>
      </c>
      <c r="C785" t="s">
        <v>17</v>
      </c>
      <c r="D785">
        <v>472</v>
      </c>
      <c r="E785">
        <v>305</v>
      </c>
      <c r="F785">
        <v>322</v>
      </c>
      <c r="G785">
        <v>0</v>
      </c>
      <c r="H785">
        <v>11371</v>
      </c>
      <c r="I785">
        <v>4</v>
      </c>
      <c r="J785">
        <v>64</v>
      </c>
      <c r="K785">
        <v>308</v>
      </c>
      <c r="L785">
        <v>306</v>
      </c>
      <c r="M785">
        <v>6.5789473679999997</v>
      </c>
      <c r="N785">
        <f>IFERROR(VLOOKUP(A785,vlookup_table!$A:$G,2,FALSE),"")</f>
        <v>0</v>
      </c>
      <c r="O785">
        <f>IFERROR(VLOOKUP(A785,vlookup_table!$A:$G,4,FALSE),"")</f>
        <v>1901</v>
      </c>
      <c r="P785" t="str">
        <f>IFERROR(VLOOKUP(A785,vlookup_table!$A:$G,5,FALSE),"")</f>
        <v>C3</v>
      </c>
      <c r="Q785">
        <f>IFERROR(VLOOKUP(A785,vlookup_table!$A:$G,7,FALSE),"")</f>
        <v>10</v>
      </c>
      <c r="R785">
        <f t="shared" si="48"/>
        <v>78</v>
      </c>
      <c r="S785" t="str" cm="1">
        <f t="array" ref="S785">IF(P785="","",_xlfn.SWITCH(LEFT(P785,1),"C","Ciudad","T","Pueblo","R","Rural","S","Suburbano","U","Urbano",""))</f>
        <v>Ciudad</v>
      </c>
      <c r="T785" t="str">
        <f t="shared" si="49"/>
        <v>F</v>
      </c>
      <c r="U785" t="str">
        <f t="shared" si="50"/>
        <v>IN</v>
      </c>
      <c r="V785" t="str">
        <f t="shared" si="51"/>
        <v>11371</v>
      </c>
    </row>
    <row r="786" spans="1:22" x14ac:dyDescent="0.35">
      <c r="A786" s="3">
        <v>23491</v>
      </c>
      <c r="B786" t="s">
        <v>46</v>
      </c>
      <c r="C786" t="s">
        <v>14</v>
      </c>
      <c r="D786">
        <v>824</v>
      </c>
      <c r="E786">
        <v>348</v>
      </c>
      <c r="F786">
        <v>400</v>
      </c>
      <c r="G786">
        <v>0</v>
      </c>
      <c r="H786">
        <v>14663</v>
      </c>
      <c r="I786">
        <v>2</v>
      </c>
      <c r="J786">
        <v>40</v>
      </c>
      <c r="K786">
        <v>371</v>
      </c>
      <c r="L786">
        <v>365</v>
      </c>
      <c r="M786">
        <v>9.1666666669999994</v>
      </c>
      <c r="N786">
        <f>IFERROR(VLOOKUP(A786,vlookup_table!$A:$G,2,FALSE),"")</f>
        <v>1</v>
      </c>
      <c r="O786">
        <f>IFERROR(VLOOKUP(A786,vlookup_table!$A:$G,4,FALSE),"")</f>
        <v>4001</v>
      </c>
      <c r="P786" t="str">
        <f>IFERROR(VLOOKUP(A786,vlookup_table!$A:$G,5,FALSE),"")</f>
        <v>S2</v>
      </c>
      <c r="Q786">
        <f>IFERROR(VLOOKUP(A786,vlookup_table!$A:$G,7,FALSE),"")</f>
        <v>10</v>
      </c>
      <c r="R786">
        <f t="shared" si="48"/>
        <v>57</v>
      </c>
      <c r="S786" t="str" cm="1">
        <f t="array" ref="S786">IF(P786="","",_xlfn.SWITCH(LEFT(P786,1),"C","Ciudad","T","Pueblo","R","Rural","S","Suburbano","U","Urbano",""))</f>
        <v>Suburbano</v>
      </c>
      <c r="T786" t="str">
        <f t="shared" si="49"/>
        <v>M</v>
      </c>
      <c r="U786" t="str">
        <f t="shared" si="50"/>
        <v>SC</v>
      </c>
      <c r="V786" t="str">
        <f t="shared" si="51"/>
        <v>14663</v>
      </c>
    </row>
    <row r="787" spans="1:22" x14ac:dyDescent="0.35">
      <c r="A787" s="3">
        <v>87127</v>
      </c>
      <c r="B787" t="s">
        <v>34</v>
      </c>
      <c r="C787" t="s">
        <v>20</v>
      </c>
      <c r="D787">
        <v>862</v>
      </c>
      <c r="E787">
        <v>248</v>
      </c>
      <c r="F787">
        <v>432</v>
      </c>
      <c r="G787">
        <v>0</v>
      </c>
      <c r="H787">
        <v>21284</v>
      </c>
      <c r="I787">
        <v>5</v>
      </c>
      <c r="J787">
        <v>49</v>
      </c>
      <c r="K787">
        <v>359</v>
      </c>
      <c r="L787">
        <v>357</v>
      </c>
      <c r="M787">
        <v>10</v>
      </c>
      <c r="N787">
        <f>IFERROR(VLOOKUP(A787,vlookup_table!$A:$G,2,FALSE),"")</f>
        <v>0</v>
      </c>
      <c r="O787">
        <f>IFERROR(VLOOKUP(A787,vlookup_table!$A:$G,4,FALSE),"")</f>
        <v>2101</v>
      </c>
      <c r="P787" t="str">
        <f>IFERROR(VLOOKUP(A787,vlookup_table!$A:$G,5,FALSE),"")</f>
        <v>C2</v>
      </c>
      <c r="Q787">
        <f>IFERROR(VLOOKUP(A787,vlookup_table!$A:$G,7,FALSE),"")</f>
        <v>10</v>
      </c>
      <c r="R787">
        <f t="shared" si="48"/>
        <v>76</v>
      </c>
      <c r="S787" t="str" cm="1">
        <f t="array" ref="S787">IF(P787="","",_xlfn.SWITCH(LEFT(P787,1),"C","Ciudad","T","Pueblo","R","Rural","S","Suburbano","U","Urbano",""))</f>
        <v>Ciudad</v>
      </c>
      <c r="T787" t="str">
        <f t="shared" si="49"/>
        <v>F</v>
      </c>
      <c r="U787" t="str">
        <f t="shared" si="50"/>
        <v>MT</v>
      </c>
      <c r="V787" t="str">
        <f t="shared" si="51"/>
        <v>21284</v>
      </c>
    </row>
    <row r="788" spans="1:22" x14ac:dyDescent="0.35">
      <c r="A788" s="3">
        <v>263</v>
      </c>
      <c r="B788" t="s">
        <v>46</v>
      </c>
      <c r="D788">
        <v>2156</v>
      </c>
      <c r="E788">
        <v>331</v>
      </c>
      <c r="F788">
        <v>401</v>
      </c>
      <c r="G788">
        <v>56</v>
      </c>
      <c r="H788">
        <v>24742</v>
      </c>
      <c r="I788">
        <v>0</v>
      </c>
      <c r="J788">
        <v>11</v>
      </c>
      <c r="K788">
        <v>319</v>
      </c>
      <c r="L788">
        <v>419</v>
      </c>
      <c r="M788">
        <v>11.625</v>
      </c>
      <c r="N788">
        <f>IFERROR(VLOOKUP(A788,vlookup_table!$A:$G,2,FALSE),"")</f>
        <v>2</v>
      </c>
      <c r="O788">
        <f>IFERROR(VLOOKUP(A788,vlookup_table!$A:$G,4,FALSE),"")</f>
        <v>2001</v>
      </c>
      <c r="P788" t="str">
        <f>IFERROR(VLOOKUP(A788,vlookup_table!$A:$G,5,FALSE),"")</f>
        <v>T1</v>
      </c>
      <c r="Q788">
        <f>IFERROR(VLOOKUP(A788,vlookup_table!$A:$G,7,FALSE),"")</f>
        <v>10</v>
      </c>
      <c r="R788">
        <f t="shared" si="48"/>
        <v>77</v>
      </c>
      <c r="S788" t="str" cm="1">
        <f t="array" ref="S788">IF(P788="","",_xlfn.SWITCH(LEFT(P788,1),"C","Ciudad","T","Pueblo","R","Rural","S","Suburbano","U","Urbano",""))</f>
        <v>Pueblo</v>
      </c>
      <c r="T788" t="str">
        <f t="shared" si="49"/>
        <v/>
      </c>
      <c r="U788" t="str">
        <f t="shared" si="50"/>
        <v>SC</v>
      </c>
      <c r="V788" t="str">
        <f t="shared" si="51"/>
        <v>24742</v>
      </c>
    </row>
    <row r="789" spans="1:22" x14ac:dyDescent="0.35">
      <c r="A789" s="3">
        <v>137962</v>
      </c>
      <c r="B789" t="s">
        <v>55</v>
      </c>
      <c r="C789" t="s">
        <v>14</v>
      </c>
      <c r="D789">
        <v>906</v>
      </c>
      <c r="E789">
        <v>396</v>
      </c>
      <c r="F789">
        <v>485</v>
      </c>
      <c r="G789">
        <v>3</v>
      </c>
      <c r="H789">
        <v>20138</v>
      </c>
      <c r="I789">
        <v>10</v>
      </c>
      <c r="J789">
        <v>21</v>
      </c>
      <c r="K789">
        <v>417</v>
      </c>
      <c r="L789">
        <v>443</v>
      </c>
      <c r="M789">
        <v>9.6666666669999994</v>
      </c>
      <c r="N789">
        <f>IFERROR(VLOOKUP(A789,vlookup_table!$A:$G,2,FALSE),"")</f>
        <v>1</v>
      </c>
      <c r="O789">
        <f>IFERROR(VLOOKUP(A789,vlookup_table!$A:$G,4,FALSE),"")</f>
        <v>3510</v>
      </c>
      <c r="P789" t="str">
        <f>IFERROR(VLOOKUP(A789,vlookup_table!$A:$G,5,FALSE),"")</f>
        <v>S1</v>
      </c>
      <c r="Q789">
        <f>IFERROR(VLOOKUP(A789,vlookup_table!$A:$G,7,FALSE),"")</f>
        <v>10</v>
      </c>
      <c r="R789">
        <f t="shared" si="48"/>
        <v>62</v>
      </c>
      <c r="S789" t="str" cm="1">
        <f t="array" ref="S789">IF(P789="","",_xlfn.SWITCH(LEFT(P789,1),"C","Ciudad","T","Pueblo","R","Rural","S","Suburbano","U","Urbano",""))</f>
        <v>Suburbano</v>
      </c>
      <c r="T789" t="str">
        <f t="shared" si="49"/>
        <v>M</v>
      </c>
      <c r="U789" t="str">
        <f t="shared" si="50"/>
        <v>AZ</v>
      </c>
      <c r="V789" t="str">
        <f t="shared" si="51"/>
        <v>20138</v>
      </c>
    </row>
    <row r="790" spans="1:22" x14ac:dyDescent="0.35">
      <c r="A790" s="3">
        <v>21746</v>
      </c>
      <c r="B790" t="s">
        <v>18</v>
      </c>
      <c r="C790" t="s">
        <v>20</v>
      </c>
      <c r="D790">
        <v>481</v>
      </c>
      <c r="E790">
        <v>162</v>
      </c>
      <c r="F790">
        <v>247</v>
      </c>
      <c r="G790">
        <v>0</v>
      </c>
      <c r="H790">
        <v>10228</v>
      </c>
      <c r="I790">
        <v>0</v>
      </c>
      <c r="J790">
        <v>75</v>
      </c>
      <c r="K790">
        <v>204</v>
      </c>
      <c r="L790">
        <v>212</v>
      </c>
      <c r="M790">
        <v>10.363636359999999</v>
      </c>
      <c r="N790">
        <f>IFERROR(VLOOKUP(A790,vlookup_table!$A:$G,2,FALSE),"")</f>
        <v>2</v>
      </c>
      <c r="O790">
        <f>IFERROR(VLOOKUP(A790,vlookup_table!$A:$G,4,FALSE),"")</f>
        <v>4801</v>
      </c>
      <c r="P790" t="str">
        <f>IFERROR(VLOOKUP(A790,vlookup_table!$A:$G,5,FALSE),"")</f>
        <v>R3</v>
      </c>
      <c r="Q790">
        <f>IFERROR(VLOOKUP(A790,vlookup_table!$A:$G,7,FALSE),"")</f>
        <v>10</v>
      </c>
      <c r="R790">
        <f t="shared" si="48"/>
        <v>49</v>
      </c>
      <c r="S790" t="str" cm="1">
        <f t="array" ref="S790">IF(P790="","",_xlfn.SWITCH(LEFT(P790,1),"C","Ciudad","T","Pueblo","R","Rural","S","Suburbano","U","Urbano",""))</f>
        <v>Rural</v>
      </c>
      <c r="T790" t="str">
        <f t="shared" si="49"/>
        <v>F</v>
      </c>
      <c r="U790" t="str">
        <f t="shared" si="50"/>
        <v>NC</v>
      </c>
      <c r="V790" t="str">
        <f t="shared" si="51"/>
        <v>10228</v>
      </c>
    </row>
    <row r="791" spans="1:22" x14ac:dyDescent="0.35">
      <c r="A791" s="3">
        <v>140632</v>
      </c>
      <c r="B791" t="s">
        <v>54</v>
      </c>
      <c r="C791" t="s">
        <v>17</v>
      </c>
      <c r="D791">
        <v>560</v>
      </c>
      <c r="E791">
        <v>259</v>
      </c>
      <c r="F791">
        <v>345</v>
      </c>
      <c r="G791">
        <v>0</v>
      </c>
      <c r="H791">
        <v>11660</v>
      </c>
      <c r="I791">
        <v>4</v>
      </c>
      <c r="J791">
        <v>19</v>
      </c>
      <c r="K791">
        <v>333</v>
      </c>
      <c r="L791">
        <v>295</v>
      </c>
      <c r="M791">
        <v>14.2</v>
      </c>
      <c r="N791">
        <f>IFERROR(VLOOKUP(A791,vlookup_table!$A:$G,2,FALSE),"")</f>
        <v>28</v>
      </c>
      <c r="O791">
        <f>IFERROR(VLOOKUP(A791,vlookup_table!$A:$G,4,FALSE),"")</f>
        <v>2901</v>
      </c>
      <c r="P791" t="str">
        <f>IFERROR(VLOOKUP(A791,vlookup_table!$A:$G,5,FALSE),"")</f>
        <v>T2</v>
      </c>
      <c r="Q791">
        <f>IFERROR(VLOOKUP(A791,vlookup_table!$A:$G,7,FALSE),"")</f>
        <v>20</v>
      </c>
      <c r="R791">
        <f t="shared" si="48"/>
        <v>68</v>
      </c>
      <c r="S791" t="str" cm="1">
        <f t="array" ref="S791">IF(P791="","",_xlfn.SWITCH(LEFT(P791,1),"C","Ciudad","T","Pueblo","R","Rural","S","Suburbano","U","Urbano",""))</f>
        <v>Pueblo</v>
      </c>
      <c r="T791" t="str">
        <f t="shared" si="49"/>
        <v>F</v>
      </c>
      <c r="U791" t="str">
        <f t="shared" si="50"/>
        <v>NM</v>
      </c>
      <c r="V791" t="str">
        <f t="shared" si="51"/>
        <v>11660</v>
      </c>
    </row>
    <row r="792" spans="1:22" x14ac:dyDescent="0.35">
      <c r="A792" s="3">
        <v>20773</v>
      </c>
      <c r="B792" t="s">
        <v>18</v>
      </c>
      <c r="C792" t="s">
        <v>14</v>
      </c>
      <c r="D792">
        <v>475</v>
      </c>
      <c r="E792">
        <v>136</v>
      </c>
      <c r="F792">
        <v>245</v>
      </c>
      <c r="G792">
        <v>1</v>
      </c>
      <c r="H792">
        <v>8676</v>
      </c>
      <c r="I792">
        <v>1</v>
      </c>
      <c r="J792">
        <v>74</v>
      </c>
      <c r="K792">
        <v>186</v>
      </c>
      <c r="L792">
        <v>201</v>
      </c>
      <c r="M792">
        <v>4.9090909089999997</v>
      </c>
      <c r="N792">
        <f>IFERROR(VLOOKUP(A792,vlookup_table!$A:$G,2,FALSE),"")</f>
        <v>0</v>
      </c>
      <c r="O792">
        <f>IFERROR(VLOOKUP(A792,vlookup_table!$A:$G,4,FALSE),"")</f>
        <v>0</v>
      </c>
      <c r="P792" t="str">
        <f>IFERROR(VLOOKUP(A792,vlookup_table!$A:$G,5,FALSE),"")</f>
        <v>R2</v>
      </c>
      <c r="Q792">
        <f>IFERROR(VLOOKUP(A792,vlookup_table!$A:$G,7,FALSE),"")</f>
        <v>5</v>
      </c>
      <c r="R792">
        <f t="shared" si="48"/>
        <v>97</v>
      </c>
      <c r="S792" t="str" cm="1">
        <f t="array" ref="S792">IF(P792="","",_xlfn.SWITCH(LEFT(P792,1),"C","Ciudad","T","Pueblo","R","Rural","S","Suburbano","U","Urbano",""))</f>
        <v>Rural</v>
      </c>
      <c r="T792" t="str">
        <f t="shared" si="49"/>
        <v>M</v>
      </c>
      <c r="U792" t="str">
        <f t="shared" si="50"/>
        <v>NC</v>
      </c>
      <c r="V792" t="str">
        <f t="shared" si="51"/>
        <v>8676</v>
      </c>
    </row>
    <row r="793" spans="1:22" x14ac:dyDescent="0.35">
      <c r="A793" s="3">
        <v>81006</v>
      </c>
      <c r="B793" t="s">
        <v>35</v>
      </c>
      <c r="C793" t="s">
        <v>17</v>
      </c>
      <c r="D793">
        <v>567</v>
      </c>
      <c r="E793">
        <v>149</v>
      </c>
      <c r="F793">
        <v>223</v>
      </c>
      <c r="G793">
        <v>2</v>
      </c>
      <c r="H793">
        <v>7817</v>
      </c>
      <c r="I793">
        <v>1</v>
      </c>
      <c r="J793">
        <v>75</v>
      </c>
      <c r="K793">
        <v>158</v>
      </c>
      <c r="L793">
        <v>210</v>
      </c>
      <c r="M793">
        <v>5</v>
      </c>
      <c r="N793">
        <f>IFERROR(VLOOKUP(A793,vlookup_table!$A:$G,2,FALSE),"")</f>
        <v>2</v>
      </c>
      <c r="O793">
        <f>IFERROR(VLOOKUP(A793,vlookup_table!$A:$G,4,FALSE),"")</f>
        <v>2307</v>
      </c>
      <c r="P793" t="str">
        <f>IFERROR(VLOOKUP(A793,vlookup_table!$A:$G,5,FALSE),"")</f>
        <v>R2</v>
      </c>
      <c r="Q793">
        <f>IFERROR(VLOOKUP(A793,vlookup_table!$A:$G,7,FALSE),"")</f>
        <v>6</v>
      </c>
      <c r="R793">
        <f t="shared" si="48"/>
        <v>74</v>
      </c>
      <c r="S793" t="str" cm="1">
        <f t="array" ref="S793">IF(P793="","",_xlfn.SWITCH(LEFT(P793,1),"C","Ciudad","T","Pueblo","R","Rural","S","Suburbano","U","Urbano",""))</f>
        <v>Rural</v>
      </c>
      <c r="T793" t="str">
        <f t="shared" si="49"/>
        <v>F</v>
      </c>
      <c r="U793" t="str">
        <f t="shared" si="50"/>
        <v>WI</v>
      </c>
      <c r="V793" t="str">
        <f t="shared" si="51"/>
        <v>7817</v>
      </c>
    </row>
    <row r="794" spans="1:22" x14ac:dyDescent="0.35">
      <c r="A794" s="3">
        <v>135060</v>
      </c>
      <c r="B794" t="s">
        <v>55</v>
      </c>
      <c r="C794" t="s">
        <v>60</v>
      </c>
      <c r="D794">
        <v>1654</v>
      </c>
      <c r="E794">
        <v>439</v>
      </c>
      <c r="F794">
        <v>652</v>
      </c>
      <c r="G794">
        <v>40</v>
      </c>
      <c r="H794">
        <v>23572</v>
      </c>
      <c r="I794">
        <v>6</v>
      </c>
      <c r="J794">
        <v>36</v>
      </c>
      <c r="K794">
        <v>545</v>
      </c>
      <c r="L794">
        <v>536</v>
      </c>
      <c r="M794">
        <v>12.5</v>
      </c>
      <c r="N794">
        <f>IFERROR(VLOOKUP(A794,vlookup_table!$A:$G,2,FALSE),"")</f>
        <v>2</v>
      </c>
      <c r="O794">
        <f>IFERROR(VLOOKUP(A794,vlookup_table!$A:$G,4,FALSE),"")</f>
        <v>0</v>
      </c>
      <c r="P794" t="str">
        <f>IFERROR(VLOOKUP(A794,vlookup_table!$A:$G,5,FALSE),"")</f>
        <v>U1</v>
      </c>
      <c r="Q794">
        <f>IFERROR(VLOOKUP(A794,vlookup_table!$A:$G,7,FALSE),"")</f>
        <v>20</v>
      </c>
      <c r="R794">
        <f t="shared" si="48"/>
        <v>97</v>
      </c>
      <c r="S794" t="str" cm="1">
        <f t="array" ref="S794">IF(P794="","",_xlfn.SWITCH(LEFT(P794,1),"C","Ciudad","T","Pueblo","R","Rural","S","Suburbano","U","Urbano",""))</f>
        <v>Urbano</v>
      </c>
      <c r="T794" t="str">
        <f t="shared" si="49"/>
        <v>F</v>
      </c>
      <c r="U794" t="str">
        <f t="shared" si="50"/>
        <v>AZ</v>
      </c>
      <c r="V794" t="str">
        <f t="shared" si="51"/>
        <v>23572</v>
      </c>
    </row>
    <row r="795" spans="1:22" x14ac:dyDescent="0.35">
      <c r="A795" s="3">
        <v>86626</v>
      </c>
      <c r="B795" t="s">
        <v>45</v>
      </c>
      <c r="C795" t="s">
        <v>14</v>
      </c>
      <c r="D795">
        <v>799</v>
      </c>
      <c r="E795">
        <v>325</v>
      </c>
      <c r="F795">
        <v>506</v>
      </c>
      <c r="G795">
        <v>2</v>
      </c>
      <c r="H795">
        <v>17372</v>
      </c>
      <c r="I795">
        <v>1</v>
      </c>
      <c r="J795">
        <v>79</v>
      </c>
      <c r="K795">
        <v>400</v>
      </c>
      <c r="L795">
        <v>421</v>
      </c>
      <c r="M795">
        <v>3.4</v>
      </c>
      <c r="N795">
        <f>IFERROR(VLOOKUP(A795,vlookup_table!$A:$G,2,FALSE),"")</f>
        <v>1</v>
      </c>
      <c r="O795">
        <f>IFERROR(VLOOKUP(A795,vlookup_table!$A:$G,4,FALSE),"")</f>
        <v>4901</v>
      </c>
      <c r="P795" t="str">
        <f>IFERROR(VLOOKUP(A795,vlookup_table!$A:$G,5,FALSE),"")</f>
        <v>C1</v>
      </c>
      <c r="Q795">
        <f>IFERROR(VLOOKUP(A795,vlookup_table!$A:$G,7,FALSE),"")</f>
        <v>6</v>
      </c>
      <c r="R795">
        <f t="shared" si="48"/>
        <v>48</v>
      </c>
      <c r="S795" t="str" cm="1">
        <f t="array" ref="S795">IF(P795="","",_xlfn.SWITCH(LEFT(P795,1),"C","Ciudad","T","Pueblo","R","Rural","S","Suburbano","U","Urbano",""))</f>
        <v>Ciudad</v>
      </c>
      <c r="T795" t="str">
        <f t="shared" si="49"/>
        <v>M</v>
      </c>
      <c r="U795" t="str">
        <f t="shared" si="50"/>
        <v>ND</v>
      </c>
      <c r="V795" t="str">
        <f t="shared" si="51"/>
        <v>17372</v>
      </c>
    </row>
    <row r="796" spans="1:22" x14ac:dyDescent="0.35">
      <c r="A796" s="3">
        <v>173039</v>
      </c>
      <c r="B796" t="s">
        <v>22</v>
      </c>
      <c r="C796" t="s">
        <v>17</v>
      </c>
      <c r="D796">
        <v>574</v>
      </c>
      <c r="E796">
        <v>223</v>
      </c>
      <c r="F796">
        <v>263</v>
      </c>
      <c r="G796">
        <v>0</v>
      </c>
      <c r="H796">
        <v>8735</v>
      </c>
      <c r="I796">
        <v>5</v>
      </c>
      <c r="J796">
        <v>70</v>
      </c>
      <c r="K796">
        <v>243</v>
      </c>
      <c r="L796">
        <v>241</v>
      </c>
      <c r="M796">
        <v>23.11111111</v>
      </c>
      <c r="N796">
        <f>IFERROR(VLOOKUP(A796,vlookup_table!$A:$G,2,FALSE),"")</f>
        <v>0</v>
      </c>
      <c r="O796">
        <f>IFERROR(VLOOKUP(A796,vlookup_table!$A:$G,4,FALSE),"")</f>
        <v>0</v>
      </c>
      <c r="P796" t="str">
        <f>IFERROR(VLOOKUP(A796,vlookup_table!$A:$G,5,FALSE),"")</f>
        <v>R3</v>
      </c>
      <c r="Q796">
        <f>IFERROR(VLOOKUP(A796,vlookup_table!$A:$G,7,FALSE),"")</f>
        <v>50</v>
      </c>
      <c r="R796">
        <f t="shared" si="48"/>
        <v>97</v>
      </c>
      <c r="S796" t="str" cm="1">
        <f t="array" ref="S796">IF(P796="","",_xlfn.SWITCH(LEFT(P796,1),"C","Ciudad","T","Pueblo","R","Rural","S","Suburbano","U","Urbano",""))</f>
        <v>Rural</v>
      </c>
      <c r="T796" t="str">
        <f t="shared" si="49"/>
        <v>F</v>
      </c>
      <c r="U796" t="str">
        <f t="shared" si="50"/>
        <v>CA</v>
      </c>
      <c r="V796" t="str">
        <f t="shared" si="51"/>
        <v>8735</v>
      </c>
    </row>
    <row r="797" spans="1:22" x14ac:dyDescent="0.35">
      <c r="A797" s="3">
        <v>105660</v>
      </c>
      <c r="B797" t="s">
        <v>28</v>
      </c>
      <c r="C797" t="s">
        <v>14</v>
      </c>
      <c r="D797">
        <v>430</v>
      </c>
      <c r="E797">
        <v>236</v>
      </c>
      <c r="F797">
        <v>388</v>
      </c>
      <c r="G797">
        <v>0</v>
      </c>
      <c r="H797">
        <v>13227</v>
      </c>
      <c r="I797">
        <v>1</v>
      </c>
      <c r="J797">
        <v>75</v>
      </c>
      <c r="K797">
        <v>333</v>
      </c>
      <c r="L797">
        <v>314</v>
      </c>
      <c r="M797">
        <v>9</v>
      </c>
      <c r="N797">
        <f>IFERROR(VLOOKUP(A797,vlookup_table!$A:$G,2,FALSE),"")</f>
        <v>1</v>
      </c>
      <c r="O797">
        <f>IFERROR(VLOOKUP(A797,vlookup_table!$A:$G,4,FALSE),"")</f>
        <v>0</v>
      </c>
      <c r="P797" t="str">
        <f>IFERROR(VLOOKUP(A797,vlookup_table!$A:$G,5,FALSE),"")</f>
        <v>R2</v>
      </c>
      <c r="Q797">
        <f>IFERROR(VLOOKUP(A797,vlookup_table!$A:$G,7,FALSE),"")</f>
        <v>5</v>
      </c>
      <c r="R797">
        <f t="shared" si="48"/>
        <v>97</v>
      </c>
      <c r="S797" t="str" cm="1">
        <f t="array" ref="S797">IF(P797="","",_xlfn.SWITCH(LEFT(P797,1),"C","Ciudad","T","Pueblo","R","Rural","S","Suburbano","U","Urbano",""))</f>
        <v>Rural</v>
      </c>
      <c r="T797" t="str">
        <f t="shared" si="49"/>
        <v>M</v>
      </c>
      <c r="U797" t="str">
        <f t="shared" si="50"/>
        <v>KS</v>
      </c>
      <c r="V797" t="str">
        <f t="shared" si="51"/>
        <v>13227</v>
      </c>
    </row>
    <row r="798" spans="1:22" x14ac:dyDescent="0.35">
      <c r="A798" s="3">
        <v>35935</v>
      </c>
      <c r="B798" t="s">
        <v>13</v>
      </c>
      <c r="C798" t="s">
        <v>14</v>
      </c>
      <c r="D798">
        <v>711</v>
      </c>
      <c r="E798">
        <v>266</v>
      </c>
      <c r="F798">
        <v>363</v>
      </c>
      <c r="G798">
        <v>1</v>
      </c>
      <c r="H798">
        <v>13120</v>
      </c>
      <c r="I798">
        <v>13</v>
      </c>
      <c r="J798">
        <v>12</v>
      </c>
      <c r="K798">
        <v>351</v>
      </c>
      <c r="L798">
        <v>305</v>
      </c>
      <c r="M798">
        <v>10.66666667</v>
      </c>
      <c r="N798">
        <f>IFERROR(VLOOKUP(A798,vlookup_table!$A:$G,2,FALSE),"")</f>
        <v>1</v>
      </c>
      <c r="O798">
        <f>IFERROR(VLOOKUP(A798,vlookup_table!$A:$G,4,FALSE),"")</f>
        <v>1101</v>
      </c>
      <c r="P798" t="str">
        <f>IFERROR(VLOOKUP(A798,vlookup_table!$A:$G,5,FALSE),"")</f>
        <v>S2</v>
      </c>
      <c r="Q798">
        <f>IFERROR(VLOOKUP(A798,vlookup_table!$A:$G,7,FALSE),"")</f>
        <v>21</v>
      </c>
      <c r="R798">
        <f t="shared" si="48"/>
        <v>86</v>
      </c>
      <c r="S798" t="str" cm="1">
        <f t="array" ref="S798">IF(P798="","",_xlfn.SWITCH(LEFT(P798,1),"C","Ciudad","T","Pueblo","R","Rural","S","Suburbano","U","Urbano",""))</f>
        <v>Suburbano</v>
      </c>
      <c r="T798" t="str">
        <f t="shared" si="49"/>
        <v>M</v>
      </c>
      <c r="U798" t="str">
        <f t="shared" si="50"/>
        <v>FL</v>
      </c>
      <c r="V798" t="str">
        <f t="shared" si="51"/>
        <v>13120</v>
      </c>
    </row>
    <row r="799" spans="1:22" x14ac:dyDescent="0.35">
      <c r="A799" s="3">
        <v>31746</v>
      </c>
      <c r="B799" t="s">
        <v>13</v>
      </c>
      <c r="C799" t="s">
        <v>14</v>
      </c>
      <c r="D799">
        <v>576</v>
      </c>
      <c r="E799">
        <v>326</v>
      </c>
      <c r="F799">
        <v>339</v>
      </c>
      <c r="G799">
        <v>0</v>
      </c>
      <c r="H799">
        <v>11310</v>
      </c>
      <c r="I799">
        <v>1</v>
      </c>
      <c r="J799">
        <v>61</v>
      </c>
      <c r="K799">
        <v>326</v>
      </c>
      <c r="L799">
        <v>353</v>
      </c>
      <c r="M799">
        <v>8.3333333330000006</v>
      </c>
      <c r="N799">
        <f>IFERROR(VLOOKUP(A799,vlookup_table!$A:$G,2,FALSE),"")</f>
        <v>1</v>
      </c>
      <c r="O799">
        <f>IFERROR(VLOOKUP(A799,vlookup_table!$A:$G,4,FALSE),"")</f>
        <v>2802</v>
      </c>
      <c r="P799" t="str">
        <f>IFERROR(VLOOKUP(A799,vlookup_table!$A:$G,5,FALSE),"")</f>
        <v>T2</v>
      </c>
      <c r="Q799">
        <f>IFERROR(VLOOKUP(A799,vlookup_table!$A:$G,7,FALSE),"")</f>
        <v>6</v>
      </c>
      <c r="R799">
        <f t="shared" si="48"/>
        <v>69</v>
      </c>
      <c r="S799" t="str" cm="1">
        <f t="array" ref="S799">IF(P799="","",_xlfn.SWITCH(LEFT(P799,1),"C","Ciudad","T","Pueblo","R","Rural","S","Suburbano","U","Urbano",""))</f>
        <v>Pueblo</v>
      </c>
      <c r="T799" t="str">
        <f t="shared" si="49"/>
        <v>M</v>
      </c>
      <c r="U799" t="str">
        <f t="shared" si="50"/>
        <v>FL</v>
      </c>
      <c r="V799" t="str">
        <f t="shared" si="51"/>
        <v>11310</v>
      </c>
    </row>
    <row r="800" spans="1:22" x14ac:dyDescent="0.35">
      <c r="A800" s="3">
        <v>71491</v>
      </c>
      <c r="B800" t="s">
        <v>29</v>
      </c>
      <c r="C800" t="s">
        <v>17</v>
      </c>
      <c r="D800">
        <v>786</v>
      </c>
      <c r="E800">
        <v>381</v>
      </c>
      <c r="F800">
        <v>479</v>
      </c>
      <c r="G800">
        <v>1</v>
      </c>
      <c r="H800">
        <v>16368</v>
      </c>
      <c r="I800">
        <v>3</v>
      </c>
      <c r="J800">
        <v>70</v>
      </c>
      <c r="K800">
        <v>443</v>
      </c>
      <c r="L800">
        <v>422</v>
      </c>
      <c r="M800">
        <v>17.5</v>
      </c>
      <c r="N800">
        <f>IFERROR(VLOOKUP(A800,vlookup_table!$A:$G,2,FALSE),"")</f>
        <v>0</v>
      </c>
      <c r="O800">
        <f>IFERROR(VLOOKUP(A800,vlookup_table!$A:$G,4,FALSE),"")</f>
        <v>0</v>
      </c>
      <c r="P800" t="str">
        <f>IFERROR(VLOOKUP(A800,vlookup_table!$A:$G,5,FALSE),"")</f>
        <v>C2</v>
      </c>
      <c r="Q800">
        <f>IFERROR(VLOOKUP(A800,vlookup_table!$A:$G,7,FALSE),"")</f>
        <v>25</v>
      </c>
      <c r="R800">
        <f t="shared" si="48"/>
        <v>97</v>
      </c>
      <c r="S800" t="str" cm="1">
        <f t="array" ref="S800">IF(P800="","",_xlfn.SWITCH(LEFT(P800,1),"C","Ciudad","T","Pueblo","R","Rural","S","Suburbano","U","Urbano",""))</f>
        <v>Ciudad</v>
      </c>
      <c r="T800" t="str">
        <f t="shared" si="49"/>
        <v>F</v>
      </c>
      <c r="U800" t="str">
        <f t="shared" si="50"/>
        <v>MI</v>
      </c>
      <c r="V800" t="str">
        <f t="shared" si="51"/>
        <v>16368</v>
      </c>
    </row>
    <row r="801" spans="1:22" x14ac:dyDescent="0.35">
      <c r="A801" s="3">
        <v>188666</v>
      </c>
      <c r="B801" t="s">
        <v>13</v>
      </c>
      <c r="C801" t="s">
        <v>14</v>
      </c>
      <c r="D801">
        <v>710</v>
      </c>
      <c r="E801">
        <v>387</v>
      </c>
      <c r="F801">
        <v>494</v>
      </c>
      <c r="G801">
        <v>6</v>
      </c>
      <c r="H801">
        <v>15917</v>
      </c>
      <c r="I801">
        <v>2</v>
      </c>
      <c r="J801">
        <v>44</v>
      </c>
      <c r="K801">
        <v>446</v>
      </c>
      <c r="L801">
        <v>442</v>
      </c>
      <c r="M801">
        <v>14.777777779999999</v>
      </c>
      <c r="N801">
        <f>IFERROR(VLOOKUP(A801,vlookup_table!$A:$G,2,FALSE),"")</f>
        <v>1</v>
      </c>
      <c r="O801">
        <f>IFERROR(VLOOKUP(A801,vlookup_table!$A:$G,4,FALSE),"")</f>
        <v>0</v>
      </c>
      <c r="P801" t="str">
        <f>IFERROR(VLOOKUP(A801,vlookup_table!$A:$G,5,FALSE),"")</f>
        <v>S1</v>
      </c>
      <c r="Q801">
        <f>IFERROR(VLOOKUP(A801,vlookup_table!$A:$G,7,FALSE),"")</f>
        <v>25</v>
      </c>
      <c r="R801">
        <f t="shared" si="48"/>
        <v>97</v>
      </c>
      <c r="S801" t="str" cm="1">
        <f t="array" ref="S801">IF(P801="","",_xlfn.SWITCH(LEFT(P801,1),"C","Ciudad","T","Pueblo","R","Rural","S","Suburbano","U","Urbano",""))</f>
        <v>Suburbano</v>
      </c>
      <c r="T801" t="str">
        <f t="shared" si="49"/>
        <v>M</v>
      </c>
      <c r="U801" t="str">
        <f t="shared" si="50"/>
        <v>FL</v>
      </c>
      <c r="V801" t="str">
        <f t="shared" si="51"/>
        <v>15917</v>
      </c>
    </row>
    <row r="802" spans="1:22" x14ac:dyDescent="0.35">
      <c r="A802" s="3">
        <v>135016</v>
      </c>
      <c r="B802" t="s">
        <v>55</v>
      </c>
      <c r="C802" t="s">
        <v>60</v>
      </c>
      <c r="D802">
        <v>433</v>
      </c>
      <c r="E802">
        <v>194</v>
      </c>
      <c r="F802">
        <v>183</v>
      </c>
      <c r="G802">
        <v>0</v>
      </c>
      <c r="H802">
        <v>5088</v>
      </c>
      <c r="I802">
        <v>29</v>
      </c>
      <c r="J802">
        <v>50</v>
      </c>
      <c r="K802">
        <v>183</v>
      </c>
      <c r="L802">
        <v>196</v>
      </c>
      <c r="M802">
        <v>7.5</v>
      </c>
      <c r="N802">
        <f>IFERROR(VLOOKUP(A802,vlookup_table!$A:$G,2,FALSE),"")</f>
        <v>0</v>
      </c>
      <c r="O802">
        <f>IFERROR(VLOOKUP(A802,vlookup_table!$A:$G,4,FALSE),"")</f>
        <v>5212</v>
      </c>
      <c r="P802" t="str">
        <f>IFERROR(VLOOKUP(A802,vlookup_table!$A:$G,5,FALSE),"")</f>
        <v>C3</v>
      </c>
      <c r="Q802">
        <f>IFERROR(VLOOKUP(A802,vlookup_table!$A:$G,7,FALSE),"")</f>
        <v>14</v>
      </c>
      <c r="R802">
        <f t="shared" si="48"/>
        <v>45</v>
      </c>
      <c r="S802" t="str" cm="1">
        <f t="array" ref="S802">IF(P802="","",_xlfn.SWITCH(LEFT(P802,1),"C","Ciudad","T","Pueblo","R","Rural","S","Suburbano","U","Urbano",""))</f>
        <v>Ciudad</v>
      </c>
      <c r="T802" t="str">
        <f t="shared" si="49"/>
        <v>F</v>
      </c>
      <c r="U802" t="str">
        <f t="shared" si="50"/>
        <v>AZ</v>
      </c>
      <c r="V802" t="str">
        <f t="shared" si="51"/>
        <v>5088</v>
      </c>
    </row>
    <row r="803" spans="1:22" x14ac:dyDescent="0.35">
      <c r="A803" s="3">
        <v>175283</v>
      </c>
      <c r="B803" t="s">
        <v>50</v>
      </c>
      <c r="C803" t="s">
        <v>17</v>
      </c>
      <c r="D803">
        <v>1027</v>
      </c>
      <c r="E803">
        <v>447</v>
      </c>
      <c r="F803">
        <v>633</v>
      </c>
      <c r="G803">
        <v>2</v>
      </c>
      <c r="H803">
        <v>25039</v>
      </c>
      <c r="I803">
        <v>5</v>
      </c>
      <c r="J803">
        <v>46</v>
      </c>
      <c r="K803">
        <v>584</v>
      </c>
      <c r="L803">
        <v>520</v>
      </c>
      <c r="M803">
        <v>42.083333330000002</v>
      </c>
      <c r="N803">
        <f>IFERROR(VLOOKUP(A803,vlookup_table!$A:$G,2,FALSE),"")</f>
        <v>0</v>
      </c>
      <c r="O803">
        <f>IFERROR(VLOOKUP(A803,vlookup_table!$A:$G,4,FALSE),"")</f>
        <v>4501</v>
      </c>
      <c r="P803" t="str">
        <f>IFERROR(VLOOKUP(A803,vlookup_table!$A:$G,5,FALSE),"")</f>
        <v>S1</v>
      </c>
      <c r="Q803">
        <f>IFERROR(VLOOKUP(A803,vlookup_table!$A:$G,7,FALSE),"")</f>
        <v>50</v>
      </c>
      <c r="R803">
        <f t="shared" si="48"/>
        <v>52</v>
      </c>
      <c r="S803" t="str" cm="1">
        <f t="array" ref="S803">IF(P803="","",_xlfn.SWITCH(LEFT(P803,1),"C","Ciudad","T","Pueblo","R","Rural","S","Suburbano","U","Urbano",""))</f>
        <v>Suburbano</v>
      </c>
      <c r="T803" t="str">
        <f t="shared" si="49"/>
        <v>F</v>
      </c>
      <c r="U803" t="str">
        <f t="shared" si="50"/>
        <v>OR</v>
      </c>
      <c r="V803" t="str">
        <f t="shared" si="51"/>
        <v>25039</v>
      </c>
    </row>
    <row r="804" spans="1:22" x14ac:dyDescent="0.35">
      <c r="A804" s="3">
        <v>69983</v>
      </c>
      <c r="B804" t="s">
        <v>29</v>
      </c>
      <c r="C804" t="s">
        <v>14</v>
      </c>
      <c r="D804">
        <v>475</v>
      </c>
      <c r="E804">
        <v>239</v>
      </c>
      <c r="F804">
        <v>319</v>
      </c>
      <c r="G804">
        <v>0</v>
      </c>
      <c r="H804">
        <v>10528</v>
      </c>
      <c r="I804">
        <v>1</v>
      </c>
      <c r="J804">
        <v>91</v>
      </c>
      <c r="K804">
        <v>295</v>
      </c>
      <c r="L804">
        <v>291</v>
      </c>
      <c r="M804">
        <v>7.5625</v>
      </c>
      <c r="N804">
        <f>IFERROR(VLOOKUP(A804,vlookup_table!$A:$G,2,FALSE),"")</f>
        <v>1</v>
      </c>
      <c r="O804">
        <f>IFERROR(VLOOKUP(A804,vlookup_table!$A:$G,4,FALSE),"")</f>
        <v>1305</v>
      </c>
      <c r="P804" t="str">
        <f>IFERROR(VLOOKUP(A804,vlookup_table!$A:$G,5,FALSE),"")</f>
        <v>R2</v>
      </c>
      <c r="Q804">
        <f>IFERROR(VLOOKUP(A804,vlookup_table!$A:$G,7,FALSE),"")</f>
        <v>11</v>
      </c>
      <c r="R804">
        <f t="shared" si="48"/>
        <v>84</v>
      </c>
      <c r="S804" t="str" cm="1">
        <f t="array" ref="S804">IF(P804="","",_xlfn.SWITCH(LEFT(P804,1),"C","Ciudad","T","Pueblo","R","Rural","S","Suburbano","U","Urbano",""))</f>
        <v>Rural</v>
      </c>
      <c r="T804" t="str">
        <f t="shared" si="49"/>
        <v>M</v>
      </c>
      <c r="U804" t="str">
        <f t="shared" si="50"/>
        <v>MI</v>
      </c>
      <c r="V804" t="str">
        <f t="shared" si="51"/>
        <v>10528</v>
      </c>
    </row>
    <row r="805" spans="1:22" x14ac:dyDescent="0.35">
      <c r="A805" s="3">
        <v>42291</v>
      </c>
      <c r="B805" t="s">
        <v>13</v>
      </c>
      <c r="C805" t="s">
        <v>14</v>
      </c>
      <c r="D805">
        <v>568</v>
      </c>
      <c r="E805">
        <v>221</v>
      </c>
      <c r="F805">
        <v>328</v>
      </c>
      <c r="G805">
        <v>2</v>
      </c>
      <c r="H805">
        <v>14886</v>
      </c>
      <c r="I805">
        <v>2</v>
      </c>
      <c r="J805">
        <v>34</v>
      </c>
      <c r="K805">
        <v>256</v>
      </c>
      <c r="L805">
        <v>273</v>
      </c>
      <c r="M805">
        <v>10.52631579</v>
      </c>
      <c r="N805">
        <f>IFERROR(VLOOKUP(A805,vlookup_table!$A:$G,2,FALSE),"")</f>
        <v>0</v>
      </c>
      <c r="O805">
        <f>IFERROR(VLOOKUP(A805,vlookup_table!$A:$G,4,FALSE),"")</f>
        <v>0</v>
      </c>
      <c r="P805" t="str">
        <f>IFERROR(VLOOKUP(A805,vlookup_table!$A:$G,5,FALSE),"")</f>
        <v>R2</v>
      </c>
      <c r="Q805">
        <f>IFERROR(VLOOKUP(A805,vlookup_table!$A:$G,7,FALSE),"")</f>
        <v>15</v>
      </c>
      <c r="R805">
        <f t="shared" si="48"/>
        <v>97</v>
      </c>
      <c r="S805" t="str" cm="1">
        <f t="array" ref="S805">IF(P805="","",_xlfn.SWITCH(LEFT(P805,1),"C","Ciudad","T","Pueblo","R","Rural","S","Suburbano","U","Urbano",""))</f>
        <v>Rural</v>
      </c>
      <c r="T805" t="str">
        <f t="shared" si="49"/>
        <v>M</v>
      </c>
      <c r="U805" t="str">
        <f t="shared" si="50"/>
        <v>FL</v>
      </c>
      <c r="V805" t="str">
        <f t="shared" si="51"/>
        <v>14886</v>
      </c>
    </row>
    <row r="806" spans="1:22" x14ac:dyDescent="0.35">
      <c r="A806" s="3">
        <v>160869</v>
      </c>
      <c r="B806" t="s">
        <v>22</v>
      </c>
      <c r="C806" t="s">
        <v>14</v>
      </c>
      <c r="D806">
        <v>1035</v>
      </c>
      <c r="E806">
        <v>328</v>
      </c>
      <c r="F806">
        <v>313</v>
      </c>
      <c r="G806">
        <v>1</v>
      </c>
      <c r="H806">
        <v>9472</v>
      </c>
      <c r="I806">
        <v>7</v>
      </c>
      <c r="J806">
        <v>55</v>
      </c>
      <c r="K806">
        <v>339</v>
      </c>
      <c r="L806">
        <v>298</v>
      </c>
      <c r="M806">
        <v>4.1500000000000004</v>
      </c>
      <c r="N806">
        <f>IFERROR(VLOOKUP(A806,vlookup_table!$A:$G,2,FALSE),"")</f>
        <v>1</v>
      </c>
      <c r="O806">
        <f>IFERROR(VLOOKUP(A806,vlookup_table!$A:$G,4,FALSE),"")</f>
        <v>1502</v>
      </c>
      <c r="P806" t="str">
        <f>IFERROR(VLOOKUP(A806,vlookup_table!$A:$G,5,FALSE),"")</f>
        <v>C2</v>
      </c>
      <c r="Q806">
        <f>IFERROR(VLOOKUP(A806,vlookup_table!$A:$G,7,FALSE),"")</f>
        <v>4</v>
      </c>
      <c r="R806">
        <f t="shared" si="48"/>
        <v>82</v>
      </c>
      <c r="S806" t="str" cm="1">
        <f t="array" ref="S806">IF(P806="","",_xlfn.SWITCH(LEFT(P806,1),"C","Ciudad","T","Pueblo","R","Rural","S","Suburbano","U","Urbano",""))</f>
        <v>Ciudad</v>
      </c>
      <c r="T806" t="str">
        <f t="shared" si="49"/>
        <v>M</v>
      </c>
      <c r="U806" t="str">
        <f t="shared" si="50"/>
        <v>CA</v>
      </c>
      <c r="V806" t="str">
        <f t="shared" si="51"/>
        <v>9472</v>
      </c>
    </row>
    <row r="807" spans="1:22" x14ac:dyDescent="0.35">
      <c r="A807" s="3">
        <v>28003</v>
      </c>
      <c r="B807" t="s">
        <v>16</v>
      </c>
      <c r="C807" t="s">
        <v>17</v>
      </c>
      <c r="D807">
        <v>1671</v>
      </c>
      <c r="E807">
        <v>662</v>
      </c>
      <c r="F807">
        <v>711</v>
      </c>
      <c r="G807">
        <v>19</v>
      </c>
      <c r="H807">
        <v>23530</v>
      </c>
      <c r="I807">
        <v>12</v>
      </c>
      <c r="J807">
        <v>64</v>
      </c>
      <c r="K807">
        <v>664</v>
      </c>
      <c r="L807">
        <v>700</v>
      </c>
      <c r="M807">
        <v>9.1999999999999993</v>
      </c>
      <c r="N807">
        <f>IFERROR(VLOOKUP(A807,vlookup_table!$A:$G,2,FALSE),"")</f>
        <v>0</v>
      </c>
      <c r="O807">
        <f>IFERROR(VLOOKUP(A807,vlookup_table!$A:$G,4,FALSE),"")</f>
        <v>0</v>
      </c>
      <c r="P807" t="str">
        <f>IFERROR(VLOOKUP(A807,vlookup_table!$A:$G,5,FALSE),"")</f>
        <v>C1</v>
      </c>
      <c r="Q807">
        <f>IFERROR(VLOOKUP(A807,vlookup_table!$A:$G,7,FALSE),"")</f>
        <v>15</v>
      </c>
      <c r="R807">
        <f t="shared" si="48"/>
        <v>97</v>
      </c>
      <c r="S807" t="str" cm="1">
        <f t="array" ref="S807">IF(P807="","",_xlfn.SWITCH(LEFT(P807,1),"C","Ciudad","T","Pueblo","R","Rural","S","Suburbano","U","Urbano",""))</f>
        <v>Ciudad</v>
      </c>
      <c r="T807" t="str">
        <f t="shared" si="49"/>
        <v>F</v>
      </c>
      <c r="U807" t="str">
        <f t="shared" si="50"/>
        <v>IL</v>
      </c>
      <c r="V807" t="str">
        <f t="shared" si="51"/>
        <v>23530</v>
      </c>
    </row>
    <row r="808" spans="1:22" x14ac:dyDescent="0.35">
      <c r="A808" s="3">
        <v>104732</v>
      </c>
      <c r="B808" t="s">
        <v>28</v>
      </c>
      <c r="C808" t="s">
        <v>17</v>
      </c>
      <c r="D808">
        <v>605</v>
      </c>
      <c r="E808">
        <v>306</v>
      </c>
      <c r="F808">
        <v>362</v>
      </c>
      <c r="G808">
        <v>0</v>
      </c>
      <c r="H808">
        <v>14037</v>
      </c>
      <c r="I808">
        <v>3</v>
      </c>
      <c r="J808">
        <v>34</v>
      </c>
      <c r="K808">
        <v>335</v>
      </c>
      <c r="L808">
        <v>343</v>
      </c>
      <c r="M808">
        <v>6.2857142860000002</v>
      </c>
      <c r="N808">
        <f>IFERROR(VLOOKUP(A808,vlookup_table!$A:$G,2,FALSE),"")</f>
        <v>0</v>
      </c>
      <c r="O808">
        <f>IFERROR(VLOOKUP(A808,vlookup_table!$A:$G,4,FALSE),"")</f>
        <v>1403</v>
      </c>
      <c r="P808" t="str">
        <f>IFERROR(VLOOKUP(A808,vlookup_table!$A:$G,5,FALSE),"")</f>
        <v>S2</v>
      </c>
      <c r="Q808">
        <f>IFERROR(VLOOKUP(A808,vlookup_table!$A:$G,7,FALSE),"")</f>
        <v>10</v>
      </c>
      <c r="R808">
        <f t="shared" si="48"/>
        <v>83</v>
      </c>
      <c r="S808" t="str" cm="1">
        <f t="array" ref="S808">IF(P808="","",_xlfn.SWITCH(LEFT(P808,1),"C","Ciudad","T","Pueblo","R","Rural","S","Suburbano","U","Urbano",""))</f>
        <v>Suburbano</v>
      </c>
      <c r="T808" t="str">
        <f t="shared" si="49"/>
        <v>F</v>
      </c>
      <c r="U808" t="str">
        <f t="shared" si="50"/>
        <v>KS</v>
      </c>
      <c r="V808" t="str">
        <f t="shared" si="51"/>
        <v>14037</v>
      </c>
    </row>
    <row r="809" spans="1:22" x14ac:dyDescent="0.35">
      <c r="A809" s="3">
        <v>126035</v>
      </c>
      <c r="B809" t="s">
        <v>21</v>
      </c>
      <c r="C809" t="s">
        <v>30</v>
      </c>
      <c r="D809">
        <v>262</v>
      </c>
      <c r="E809">
        <v>163</v>
      </c>
      <c r="F809">
        <v>260</v>
      </c>
      <c r="G809">
        <v>0</v>
      </c>
      <c r="H809">
        <v>7587</v>
      </c>
      <c r="I809">
        <v>4</v>
      </c>
      <c r="J809">
        <v>89</v>
      </c>
      <c r="K809">
        <v>206</v>
      </c>
      <c r="L809">
        <v>226</v>
      </c>
      <c r="M809">
        <v>10.0625</v>
      </c>
      <c r="N809">
        <f>IFERROR(VLOOKUP(A809,vlookup_table!$A:$G,2,FALSE),"")</f>
        <v>0</v>
      </c>
      <c r="O809">
        <f>IFERROR(VLOOKUP(A809,vlookup_table!$A:$G,4,FALSE),"")</f>
        <v>1308</v>
      </c>
      <c r="P809" t="str">
        <f>IFERROR(VLOOKUP(A809,vlookup_table!$A:$G,5,FALSE),"")</f>
        <v>R3</v>
      </c>
      <c r="Q809">
        <f>IFERROR(VLOOKUP(A809,vlookup_table!$A:$G,7,FALSE),"")</f>
        <v>21</v>
      </c>
      <c r="R809">
        <f t="shared" si="48"/>
        <v>84</v>
      </c>
      <c r="S809" t="str" cm="1">
        <f t="array" ref="S809">IF(P809="","",_xlfn.SWITCH(LEFT(P809,1),"C","Ciudad","T","Pueblo","R","Rural","S","Suburbano","U","Urbano",""))</f>
        <v>Rural</v>
      </c>
      <c r="T809" t="str">
        <f t="shared" si="49"/>
        <v>U</v>
      </c>
      <c r="U809" t="str">
        <f t="shared" si="50"/>
        <v>TX</v>
      </c>
      <c r="V809" t="str">
        <f t="shared" si="51"/>
        <v>7587</v>
      </c>
    </row>
    <row r="810" spans="1:22" x14ac:dyDescent="0.35">
      <c r="A810" s="3">
        <v>29852</v>
      </c>
      <c r="B810" t="s">
        <v>39</v>
      </c>
      <c r="C810" t="s">
        <v>14</v>
      </c>
      <c r="D810">
        <v>593</v>
      </c>
      <c r="E810">
        <v>301</v>
      </c>
      <c r="F810">
        <v>361</v>
      </c>
      <c r="G810">
        <v>0</v>
      </c>
      <c r="H810">
        <v>11838</v>
      </c>
      <c r="I810">
        <v>2</v>
      </c>
      <c r="J810">
        <v>62</v>
      </c>
      <c r="K810">
        <v>341</v>
      </c>
      <c r="L810">
        <v>316</v>
      </c>
      <c r="M810">
        <v>9.6435714289999996</v>
      </c>
      <c r="N810">
        <f>IFERROR(VLOOKUP(A810,vlookup_table!$A:$G,2,FALSE),"")</f>
        <v>1</v>
      </c>
      <c r="O810">
        <f>IFERROR(VLOOKUP(A810,vlookup_table!$A:$G,4,FALSE),"")</f>
        <v>5712</v>
      </c>
      <c r="P810" t="str">
        <f>IFERROR(VLOOKUP(A810,vlookup_table!$A:$G,5,FALSE),"")</f>
        <v>T2</v>
      </c>
      <c r="Q810">
        <f>IFERROR(VLOOKUP(A810,vlookup_table!$A:$G,7,FALSE),"")</f>
        <v>17</v>
      </c>
      <c r="R810">
        <f t="shared" si="48"/>
        <v>40</v>
      </c>
      <c r="S810" t="str" cm="1">
        <f t="array" ref="S810">IF(P810="","",_xlfn.SWITCH(LEFT(P810,1),"C","Ciudad","T","Pueblo","R","Rural","S","Suburbano","U","Urbano",""))</f>
        <v>Pueblo</v>
      </c>
      <c r="T810" t="str">
        <f t="shared" si="49"/>
        <v>M</v>
      </c>
      <c r="U810" t="str">
        <f t="shared" si="50"/>
        <v>GA</v>
      </c>
      <c r="V810" t="str">
        <f t="shared" si="51"/>
        <v>11838</v>
      </c>
    </row>
    <row r="811" spans="1:22" x14ac:dyDescent="0.35">
      <c r="A811" s="3">
        <v>118091</v>
      </c>
      <c r="B811" t="s">
        <v>21</v>
      </c>
      <c r="C811" t="s">
        <v>14</v>
      </c>
      <c r="D811">
        <v>491</v>
      </c>
      <c r="E811">
        <v>356</v>
      </c>
      <c r="F811">
        <v>387</v>
      </c>
      <c r="G811">
        <v>0</v>
      </c>
      <c r="H811">
        <v>12961</v>
      </c>
      <c r="I811">
        <v>2</v>
      </c>
      <c r="J811">
        <v>77</v>
      </c>
      <c r="K811">
        <v>384</v>
      </c>
      <c r="L811">
        <v>357</v>
      </c>
      <c r="M811">
        <v>16.125</v>
      </c>
      <c r="N811">
        <f>IFERROR(VLOOKUP(A811,vlookup_table!$A:$G,2,FALSE),"")</f>
        <v>1</v>
      </c>
      <c r="O811">
        <f>IFERROR(VLOOKUP(A811,vlookup_table!$A:$G,4,FALSE),"")</f>
        <v>4612</v>
      </c>
      <c r="P811" t="str">
        <f>IFERROR(VLOOKUP(A811,vlookup_table!$A:$G,5,FALSE),"")</f>
        <v>T2</v>
      </c>
      <c r="Q811">
        <f>IFERROR(VLOOKUP(A811,vlookup_table!$A:$G,7,FALSE),"")</f>
        <v>20</v>
      </c>
      <c r="R811">
        <f t="shared" si="48"/>
        <v>51</v>
      </c>
      <c r="S811" t="str" cm="1">
        <f t="array" ref="S811">IF(P811="","",_xlfn.SWITCH(LEFT(P811,1),"C","Ciudad","T","Pueblo","R","Rural","S","Suburbano","U","Urbano",""))</f>
        <v>Pueblo</v>
      </c>
      <c r="T811" t="str">
        <f t="shared" si="49"/>
        <v>M</v>
      </c>
      <c r="U811" t="str">
        <f t="shared" si="50"/>
        <v>TX</v>
      </c>
      <c r="V811" t="str">
        <f t="shared" si="51"/>
        <v>12961</v>
      </c>
    </row>
    <row r="812" spans="1:22" x14ac:dyDescent="0.35">
      <c r="A812" s="3">
        <v>8204</v>
      </c>
      <c r="B812" t="s">
        <v>29</v>
      </c>
      <c r="C812" t="s">
        <v>17</v>
      </c>
      <c r="D812">
        <v>301</v>
      </c>
      <c r="E812">
        <v>205</v>
      </c>
      <c r="F812">
        <v>256</v>
      </c>
      <c r="G812">
        <v>0</v>
      </c>
      <c r="H812">
        <v>8803</v>
      </c>
      <c r="I812">
        <v>0</v>
      </c>
      <c r="J812">
        <v>92</v>
      </c>
      <c r="K812">
        <v>208</v>
      </c>
      <c r="L812">
        <v>246</v>
      </c>
      <c r="M812">
        <v>13.25</v>
      </c>
      <c r="N812">
        <f>IFERROR(VLOOKUP(A812,vlookup_table!$A:$G,2,FALSE),"")</f>
        <v>0</v>
      </c>
      <c r="O812">
        <f>IFERROR(VLOOKUP(A812,vlookup_table!$A:$G,4,FALSE),"")</f>
        <v>1503</v>
      </c>
      <c r="P812" t="str">
        <f>IFERROR(VLOOKUP(A812,vlookup_table!$A:$G,5,FALSE),"")</f>
        <v>R3</v>
      </c>
      <c r="Q812">
        <f>IFERROR(VLOOKUP(A812,vlookup_table!$A:$G,7,FALSE),"")</f>
        <v>10</v>
      </c>
      <c r="R812">
        <f t="shared" si="48"/>
        <v>82</v>
      </c>
      <c r="S812" t="str" cm="1">
        <f t="array" ref="S812">IF(P812="","",_xlfn.SWITCH(LEFT(P812,1),"C","Ciudad","T","Pueblo","R","Rural","S","Suburbano","U","Urbano",""))</f>
        <v>Rural</v>
      </c>
      <c r="T812" t="str">
        <f t="shared" si="49"/>
        <v>F</v>
      </c>
      <c r="U812" t="str">
        <f t="shared" si="50"/>
        <v>MI</v>
      </c>
      <c r="V812" t="str">
        <f t="shared" si="51"/>
        <v>8803</v>
      </c>
    </row>
    <row r="813" spans="1:22" x14ac:dyDescent="0.35">
      <c r="A813" s="3">
        <v>90947</v>
      </c>
      <c r="B813" t="s">
        <v>16</v>
      </c>
      <c r="C813" t="s">
        <v>17</v>
      </c>
      <c r="D813">
        <v>560</v>
      </c>
      <c r="E813">
        <v>296</v>
      </c>
      <c r="F813">
        <v>388</v>
      </c>
      <c r="G813">
        <v>0</v>
      </c>
      <c r="H813">
        <v>14237</v>
      </c>
      <c r="I813">
        <v>6</v>
      </c>
      <c r="J813">
        <v>76</v>
      </c>
      <c r="K813">
        <v>384</v>
      </c>
      <c r="L813">
        <v>340</v>
      </c>
      <c r="M813">
        <v>15</v>
      </c>
      <c r="N813">
        <f>IFERROR(VLOOKUP(A813,vlookup_table!$A:$G,2,FALSE),"")</f>
        <v>28</v>
      </c>
      <c r="O813">
        <f>IFERROR(VLOOKUP(A813,vlookup_table!$A:$G,4,FALSE),"")</f>
        <v>5001</v>
      </c>
      <c r="P813" t="str">
        <f>IFERROR(VLOOKUP(A813,vlookup_table!$A:$G,5,FALSE),"")</f>
        <v>S3</v>
      </c>
      <c r="Q813">
        <f>IFERROR(VLOOKUP(A813,vlookup_table!$A:$G,7,FALSE),"")</f>
        <v>25</v>
      </c>
      <c r="R813">
        <f t="shared" si="48"/>
        <v>47</v>
      </c>
      <c r="S813" t="str" cm="1">
        <f t="array" ref="S813">IF(P813="","",_xlfn.SWITCH(LEFT(P813,1),"C","Ciudad","T","Pueblo","R","Rural","S","Suburbano","U","Urbano",""))</f>
        <v>Suburbano</v>
      </c>
      <c r="T813" t="str">
        <f t="shared" si="49"/>
        <v>F</v>
      </c>
      <c r="U813" t="str">
        <f t="shared" si="50"/>
        <v>IL</v>
      </c>
      <c r="V813" t="str">
        <f t="shared" si="51"/>
        <v>14237</v>
      </c>
    </row>
    <row r="814" spans="1:22" x14ac:dyDescent="0.35">
      <c r="A814" s="3">
        <v>144769</v>
      </c>
      <c r="B814" t="s">
        <v>22</v>
      </c>
      <c r="C814" t="s">
        <v>30</v>
      </c>
      <c r="D814">
        <v>5879</v>
      </c>
      <c r="E814">
        <v>703</v>
      </c>
      <c r="F814">
        <v>930</v>
      </c>
      <c r="G814">
        <v>98</v>
      </c>
      <c r="H814">
        <v>57390</v>
      </c>
      <c r="I814">
        <v>16</v>
      </c>
      <c r="J814">
        <v>42</v>
      </c>
      <c r="K814">
        <v>976</v>
      </c>
      <c r="L814">
        <v>794</v>
      </c>
      <c r="M814">
        <v>5.8</v>
      </c>
      <c r="N814">
        <f>IFERROR(VLOOKUP(A814,vlookup_table!$A:$G,2,FALSE),"")</f>
        <v>1</v>
      </c>
      <c r="O814">
        <f>IFERROR(VLOOKUP(A814,vlookup_table!$A:$G,4,FALSE),"")</f>
        <v>0</v>
      </c>
      <c r="P814" t="str">
        <f>IFERROR(VLOOKUP(A814,vlookup_table!$A:$G,5,FALSE),"")</f>
        <v>S1</v>
      </c>
      <c r="Q814">
        <f>IFERROR(VLOOKUP(A814,vlookup_table!$A:$G,7,FALSE),"")</f>
        <v>6</v>
      </c>
      <c r="R814">
        <f t="shared" si="48"/>
        <v>97</v>
      </c>
      <c r="S814" t="str" cm="1">
        <f t="array" ref="S814">IF(P814="","",_xlfn.SWITCH(LEFT(P814,1),"C","Ciudad","T","Pueblo","R","Rural","S","Suburbano","U","Urbano",""))</f>
        <v>Suburbano</v>
      </c>
      <c r="T814" t="str">
        <f t="shared" si="49"/>
        <v>U</v>
      </c>
      <c r="U814" t="str">
        <f t="shared" si="50"/>
        <v>CA</v>
      </c>
      <c r="V814" t="str">
        <f t="shared" si="51"/>
        <v>57390</v>
      </c>
    </row>
    <row r="815" spans="1:22" x14ac:dyDescent="0.35">
      <c r="A815" s="3">
        <v>6912</v>
      </c>
      <c r="B815" t="s">
        <v>24</v>
      </c>
      <c r="C815" t="s">
        <v>17</v>
      </c>
      <c r="D815">
        <v>617</v>
      </c>
      <c r="E815">
        <v>168</v>
      </c>
      <c r="F815">
        <v>259</v>
      </c>
      <c r="G815">
        <v>1</v>
      </c>
      <c r="H815">
        <v>9154</v>
      </c>
      <c r="I815">
        <v>8</v>
      </c>
      <c r="J815">
        <v>40</v>
      </c>
      <c r="K815">
        <v>202</v>
      </c>
      <c r="L815">
        <v>239</v>
      </c>
      <c r="M815">
        <v>12.91666667</v>
      </c>
      <c r="N815">
        <f>IFERROR(VLOOKUP(A815,vlookup_table!$A:$G,2,FALSE),"")</f>
        <v>2</v>
      </c>
      <c r="O815">
        <f>IFERROR(VLOOKUP(A815,vlookup_table!$A:$G,4,FALSE),"")</f>
        <v>2609</v>
      </c>
      <c r="P815" t="str">
        <f>IFERROR(VLOOKUP(A815,vlookup_table!$A:$G,5,FALSE),"")</f>
        <v>C2</v>
      </c>
      <c r="Q815">
        <f>IFERROR(VLOOKUP(A815,vlookup_table!$A:$G,7,FALSE),"")</f>
        <v>15</v>
      </c>
      <c r="R815">
        <f t="shared" si="48"/>
        <v>71</v>
      </c>
      <c r="S815" t="str" cm="1">
        <f t="array" ref="S815">IF(P815="","",_xlfn.SWITCH(LEFT(P815,1),"C","Ciudad","T","Pueblo","R","Rural","S","Suburbano","U","Urbano",""))</f>
        <v>Ciudad</v>
      </c>
      <c r="T815" t="str">
        <f t="shared" si="49"/>
        <v>F</v>
      </c>
      <c r="U815" t="str">
        <f t="shared" si="50"/>
        <v>NV</v>
      </c>
      <c r="V815" t="str">
        <f t="shared" si="51"/>
        <v>9154</v>
      </c>
    </row>
    <row r="816" spans="1:22" x14ac:dyDescent="0.35">
      <c r="A816" s="3">
        <v>2464</v>
      </c>
      <c r="B816" t="s">
        <v>21</v>
      </c>
      <c r="C816" t="s">
        <v>14</v>
      </c>
      <c r="D816">
        <v>481</v>
      </c>
      <c r="E816">
        <v>195</v>
      </c>
      <c r="F816">
        <v>307</v>
      </c>
      <c r="G816">
        <v>1</v>
      </c>
      <c r="H816">
        <v>11476</v>
      </c>
      <c r="I816">
        <v>3</v>
      </c>
      <c r="J816">
        <v>83</v>
      </c>
      <c r="K816">
        <v>248</v>
      </c>
      <c r="L816">
        <v>265</v>
      </c>
      <c r="M816">
        <v>7.8235294120000001</v>
      </c>
      <c r="N816">
        <f>IFERROR(VLOOKUP(A816,vlookup_table!$A:$G,2,FALSE),"")</f>
        <v>1</v>
      </c>
      <c r="O816">
        <f>IFERROR(VLOOKUP(A816,vlookup_table!$A:$G,4,FALSE),"")</f>
        <v>4104</v>
      </c>
      <c r="P816">
        <f>IFERROR(VLOOKUP(A816,vlookup_table!$A:$G,5,FALSE),"")</f>
        <v>0</v>
      </c>
      <c r="Q816">
        <f>IFERROR(VLOOKUP(A816,vlookup_table!$A:$G,7,FALSE),"")</f>
        <v>7</v>
      </c>
      <c r="R816">
        <f t="shared" si="48"/>
        <v>56</v>
      </c>
      <c r="S816" t="str" cm="1">
        <f t="array" ref="S816">IF(P816="","",_xlfn.SWITCH(LEFT(P816,1),"C","Ciudad","T","Pueblo","R","Rural","S","Suburbano","U","Urbano",""))</f>
        <v/>
      </c>
      <c r="T816" t="str">
        <f t="shared" si="49"/>
        <v>M</v>
      </c>
      <c r="U816" t="str">
        <f t="shared" si="50"/>
        <v>TX</v>
      </c>
      <c r="V816" t="str">
        <f t="shared" si="51"/>
        <v>11476</v>
      </c>
    </row>
    <row r="817" spans="1:22" x14ac:dyDescent="0.35">
      <c r="A817" s="3">
        <v>71400</v>
      </c>
      <c r="B817" t="s">
        <v>29</v>
      </c>
      <c r="C817" t="s">
        <v>14</v>
      </c>
      <c r="D817">
        <v>602</v>
      </c>
      <c r="E817">
        <v>336</v>
      </c>
      <c r="F817">
        <v>391</v>
      </c>
      <c r="G817">
        <v>0</v>
      </c>
      <c r="H817">
        <v>12418</v>
      </c>
      <c r="I817">
        <v>1</v>
      </c>
      <c r="J817">
        <v>87</v>
      </c>
      <c r="K817">
        <v>366</v>
      </c>
      <c r="L817">
        <v>363</v>
      </c>
      <c r="M817">
        <v>8</v>
      </c>
      <c r="N817">
        <f>IFERROR(VLOOKUP(A817,vlookup_table!$A:$G,2,FALSE),"")</f>
        <v>2</v>
      </c>
      <c r="O817">
        <f>IFERROR(VLOOKUP(A817,vlookup_table!$A:$G,4,FALSE),"")</f>
        <v>0</v>
      </c>
      <c r="P817" t="str">
        <f>IFERROR(VLOOKUP(A817,vlookup_table!$A:$G,5,FALSE),"")</f>
        <v>R2</v>
      </c>
      <c r="Q817">
        <f>IFERROR(VLOOKUP(A817,vlookup_table!$A:$G,7,FALSE),"")</f>
        <v>15</v>
      </c>
      <c r="R817">
        <f t="shared" si="48"/>
        <v>97</v>
      </c>
      <c r="S817" t="str" cm="1">
        <f t="array" ref="S817">IF(P817="","",_xlfn.SWITCH(LEFT(P817,1),"C","Ciudad","T","Pueblo","R","Rural","S","Suburbano","U","Urbano",""))</f>
        <v>Rural</v>
      </c>
      <c r="T817" t="str">
        <f t="shared" si="49"/>
        <v>M</v>
      </c>
      <c r="U817" t="str">
        <f t="shared" si="50"/>
        <v>MI</v>
      </c>
      <c r="V817" t="str">
        <f t="shared" si="51"/>
        <v>12418</v>
      </c>
    </row>
    <row r="818" spans="1:22" x14ac:dyDescent="0.35">
      <c r="A818" s="3">
        <v>250</v>
      </c>
      <c r="B818" t="s">
        <v>16</v>
      </c>
      <c r="C818" t="s">
        <v>17</v>
      </c>
      <c r="D818">
        <v>469</v>
      </c>
      <c r="E818">
        <v>222</v>
      </c>
      <c r="F818">
        <v>304</v>
      </c>
      <c r="G818">
        <v>1</v>
      </c>
      <c r="H818">
        <v>10469</v>
      </c>
      <c r="I818">
        <v>2</v>
      </c>
      <c r="J818">
        <v>77</v>
      </c>
      <c r="K818">
        <v>241</v>
      </c>
      <c r="L818">
        <v>257</v>
      </c>
      <c r="M818">
        <v>10.875</v>
      </c>
      <c r="N818">
        <f>IFERROR(VLOOKUP(A818,vlookup_table!$A:$G,2,FALSE),"")</f>
        <v>3</v>
      </c>
      <c r="O818">
        <f>IFERROR(VLOOKUP(A818,vlookup_table!$A:$G,4,FALSE),"")</f>
        <v>1001</v>
      </c>
      <c r="P818" t="str">
        <f>IFERROR(VLOOKUP(A818,vlookup_table!$A:$G,5,FALSE),"")</f>
        <v>S2</v>
      </c>
      <c r="Q818">
        <f>IFERROR(VLOOKUP(A818,vlookup_table!$A:$G,7,FALSE),"")</f>
        <v>15</v>
      </c>
      <c r="R818">
        <f t="shared" si="48"/>
        <v>87</v>
      </c>
      <c r="S818" t="str" cm="1">
        <f t="array" ref="S818">IF(P818="","",_xlfn.SWITCH(LEFT(P818,1),"C","Ciudad","T","Pueblo","R","Rural","S","Suburbano","U","Urbano",""))</f>
        <v>Suburbano</v>
      </c>
      <c r="T818" t="str">
        <f t="shared" si="49"/>
        <v>F</v>
      </c>
      <c r="U818" t="str">
        <f t="shared" si="50"/>
        <v>IL</v>
      </c>
      <c r="V818" t="str">
        <f t="shared" si="51"/>
        <v>10469</v>
      </c>
    </row>
    <row r="819" spans="1:22" x14ac:dyDescent="0.35">
      <c r="A819" s="3">
        <v>99325</v>
      </c>
      <c r="B819" t="s">
        <v>36</v>
      </c>
      <c r="C819" t="s">
        <v>14</v>
      </c>
      <c r="D819">
        <v>1191</v>
      </c>
      <c r="E819">
        <v>440</v>
      </c>
      <c r="F819">
        <v>575</v>
      </c>
      <c r="G819">
        <v>1</v>
      </c>
      <c r="H819">
        <v>20176</v>
      </c>
      <c r="I819">
        <v>3</v>
      </c>
      <c r="J819">
        <v>58</v>
      </c>
      <c r="K819">
        <v>536</v>
      </c>
      <c r="L819">
        <v>515</v>
      </c>
      <c r="M819">
        <v>10</v>
      </c>
      <c r="N819">
        <f>IFERROR(VLOOKUP(A819,vlookup_table!$A:$G,2,FALSE),"")</f>
        <v>1</v>
      </c>
      <c r="O819">
        <f>IFERROR(VLOOKUP(A819,vlookup_table!$A:$G,4,FALSE),"")</f>
        <v>1701</v>
      </c>
      <c r="P819" t="str">
        <f>IFERROR(VLOOKUP(A819,vlookup_table!$A:$G,5,FALSE),"")</f>
        <v>C1</v>
      </c>
      <c r="Q819">
        <f>IFERROR(VLOOKUP(A819,vlookup_table!$A:$G,7,FALSE),"")</f>
        <v>10</v>
      </c>
      <c r="R819">
        <f t="shared" si="48"/>
        <v>80</v>
      </c>
      <c r="S819" t="str" cm="1">
        <f t="array" ref="S819">IF(P819="","",_xlfn.SWITCH(LEFT(P819,1),"C","Ciudad","T","Pueblo","R","Rural","S","Suburbano","U","Urbano",""))</f>
        <v>Ciudad</v>
      </c>
      <c r="T819" t="str">
        <f t="shared" si="49"/>
        <v>M</v>
      </c>
      <c r="U819" t="str">
        <f t="shared" si="50"/>
        <v>MO</v>
      </c>
      <c r="V819" t="str">
        <f t="shared" si="51"/>
        <v>20176</v>
      </c>
    </row>
    <row r="820" spans="1:22" x14ac:dyDescent="0.35">
      <c r="A820" s="3">
        <v>120461</v>
      </c>
      <c r="B820" t="s">
        <v>21</v>
      </c>
      <c r="C820" t="s">
        <v>17</v>
      </c>
      <c r="D820">
        <v>547</v>
      </c>
      <c r="E820">
        <v>309</v>
      </c>
      <c r="F820">
        <v>377</v>
      </c>
      <c r="G820">
        <v>0</v>
      </c>
      <c r="H820">
        <v>11973</v>
      </c>
      <c r="I820">
        <v>1</v>
      </c>
      <c r="J820">
        <v>70</v>
      </c>
      <c r="K820">
        <v>337</v>
      </c>
      <c r="L820">
        <v>340</v>
      </c>
      <c r="M820">
        <v>16.399999999999999</v>
      </c>
      <c r="N820">
        <f>IFERROR(VLOOKUP(A820,vlookup_table!$A:$G,2,FALSE),"")</f>
        <v>0</v>
      </c>
      <c r="O820">
        <f>IFERROR(VLOOKUP(A820,vlookup_table!$A:$G,4,FALSE),"")</f>
        <v>4401</v>
      </c>
      <c r="P820" t="str">
        <f>IFERROR(VLOOKUP(A820,vlookup_table!$A:$G,5,FALSE),"")</f>
        <v>R2</v>
      </c>
      <c r="Q820">
        <f>IFERROR(VLOOKUP(A820,vlookup_table!$A:$G,7,FALSE),"")</f>
        <v>20</v>
      </c>
      <c r="R820">
        <f t="shared" si="48"/>
        <v>53</v>
      </c>
      <c r="S820" t="str" cm="1">
        <f t="array" ref="S820">IF(P820="","",_xlfn.SWITCH(LEFT(P820,1),"C","Ciudad","T","Pueblo","R","Rural","S","Suburbano","U","Urbano",""))</f>
        <v>Rural</v>
      </c>
      <c r="T820" t="str">
        <f t="shared" si="49"/>
        <v>F</v>
      </c>
      <c r="U820" t="str">
        <f t="shared" si="50"/>
        <v>TX</v>
      </c>
      <c r="V820" t="str">
        <f t="shared" si="51"/>
        <v>11973</v>
      </c>
    </row>
    <row r="821" spans="1:22" x14ac:dyDescent="0.35">
      <c r="A821" s="3">
        <v>185760</v>
      </c>
      <c r="B821" t="s">
        <v>39</v>
      </c>
      <c r="D821">
        <v>659</v>
      </c>
      <c r="E821">
        <v>250</v>
      </c>
      <c r="F821">
        <v>432</v>
      </c>
      <c r="G821">
        <v>0</v>
      </c>
      <c r="H821">
        <v>14914</v>
      </c>
      <c r="I821">
        <v>7</v>
      </c>
      <c r="J821">
        <v>43</v>
      </c>
      <c r="K821">
        <v>338</v>
      </c>
      <c r="L821">
        <v>334</v>
      </c>
      <c r="M821">
        <v>6.9166666670000003</v>
      </c>
      <c r="N821">
        <f>IFERROR(VLOOKUP(A821,vlookup_table!$A:$G,2,FALSE),"")</f>
        <v>0</v>
      </c>
      <c r="O821">
        <f>IFERROR(VLOOKUP(A821,vlookup_table!$A:$G,4,FALSE),"")</f>
        <v>0</v>
      </c>
      <c r="P821" t="str">
        <f>IFERROR(VLOOKUP(A821,vlookup_table!$A:$G,5,FALSE),"")</f>
        <v>C2</v>
      </c>
      <c r="Q821">
        <f>IFERROR(VLOOKUP(A821,vlookup_table!$A:$G,7,FALSE),"")</f>
        <v>10</v>
      </c>
      <c r="R821">
        <f t="shared" si="48"/>
        <v>97</v>
      </c>
      <c r="S821" t="str" cm="1">
        <f t="array" ref="S821">IF(P821="","",_xlfn.SWITCH(LEFT(P821,1),"C","Ciudad","T","Pueblo","R","Rural","S","Suburbano","U","Urbano",""))</f>
        <v>Ciudad</v>
      </c>
      <c r="T821" t="str">
        <f t="shared" si="49"/>
        <v/>
      </c>
      <c r="U821" t="str">
        <f t="shared" si="50"/>
        <v>GA</v>
      </c>
      <c r="V821" t="str">
        <f t="shared" si="51"/>
        <v>14914</v>
      </c>
    </row>
    <row r="822" spans="1:22" x14ac:dyDescent="0.35">
      <c r="A822" s="3">
        <v>133285</v>
      </c>
      <c r="B822" t="s">
        <v>41</v>
      </c>
      <c r="C822" t="s">
        <v>17</v>
      </c>
      <c r="D822">
        <v>466</v>
      </c>
      <c r="E822">
        <v>205</v>
      </c>
      <c r="F822">
        <v>265</v>
      </c>
      <c r="G822">
        <v>0</v>
      </c>
      <c r="H822">
        <v>10962</v>
      </c>
      <c r="I822">
        <v>1</v>
      </c>
      <c r="J822">
        <v>48</v>
      </c>
      <c r="K822">
        <v>242</v>
      </c>
      <c r="L822">
        <v>242</v>
      </c>
      <c r="M822">
        <v>25</v>
      </c>
      <c r="N822">
        <f>IFERROR(VLOOKUP(A822,vlookup_table!$A:$G,2,FALSE),"")</f>
        <v>0</v>
      </c>
      <c r="O822">
        <f>IFERROR(VLOOKUP(A822,vlookup_table!$A:$G,4,FALSE),"")</f>
        <v>0</v>
      </c>
      <c r="P822" t="str">
        <f>IFERROR(VLOOKUP(A822,vlookup_table!$A:$G,5,FALSE),"")</f>
        <v>R2</v>
      </c>
      <c r="Q822">
        <f>IFERROR(VLOOKUP(A822,vlookup_table!$A:$G,7,FALSE),"")</f>
        <v>30</v>
      </c>
      <c r="R822">
        <f t="shared" si="48"/>
        <v>97</v>
      </c>
      <c r="S822" t="str" cm="1">
        <f t="array" ref="S822">IF(P822="","",_xlfn.SWITCH(LEFT(P822,1),"C","Ciudad","T","Pueblo","R","Rural","S","Suburbano","U","Urbano",""))</f>
        <v>Rural</v>
      </c>
      <c r="T822" t="str">
        <f t="shared" si="49"/>
        <v>F</v>
      </c>
      <c r="U822" t="str">
        <f t="shared" si="50"/>
        <v>ID</v>
      </c>
      <c r="V822" t="str">
        <f t="shared" si="51"/>
        <v>10962</v>
      </c>
    </row>
    <row r="823" spans="1:22" x14ac:dyDescent="0.35">
      <c r="A823" s="3">
        <v>60526</v>
      </c>
      <c r="B823" t="s">
        <v>33</v>
      </c>
      <c r="C823" t="s">
        <v>14</v>
      </c>
      <c r="D823">
        <v>347</v>
      </c>
      <c r="E823">
        <v>213</v>
      </c>
      <c r="F823">
        <v>275</v>
      </c>
      <c r="G823">
        <v>0</v>
      </c>
      <c r="H823">
        <v>7915</v>
      </c>
      <c r="I823">
        <v>3</v>
      </c>
      <c r="J823">
        <v>85</v>
      </c>
      <c r="K823">
        <v>221</v>
      </c>
      <c r="L823">
        <v>252</v>
      </c>
      <c r="M823">
        <v>5.5</v>
      </c>
      <c r="N823">
        <f>IFERROR(VLOOKUP(A823,vlookup_table!$A:$G,2,FALSE),"")</f>
        <v>1</v>
      </c>
      <c r="O823">
        <f>IFERROR(VLOOKUP(A823,vlookup_table!$A:$G,4,FALSE),"")</f>
        <v>4510</v>
      </c>
      <c r="P823" t="str">
        <f>IFERROR(VLOOKUP(A823,vlookup_table!$A:$G,5,FALSE),"")</f>
        <v>C3</v>
      </c>
      <c r="Q823">
        <f>IFERROR(VLOOKUP(A823,vlookup_table!$A:$G,7,FALSE),"")</f>
        <v>6</v>
      </c>
      <c r="R823">
        <f t="shared" si="48"/>
        <v>52</v>
      </c>
      <c r="S823" t="str" cm="1">
        <f t="array" ref="S823">IF(P823="","",_xlfn.SWITCH(LEFT(P823,1),"C","Ciudad","T","Pueblo","R","Rural","S","Suburbano","U","Urbano",""))</f>
        <v>Ciudad</v>
      </c>
      <c r="T823" t="str">
        <f t="shared" si="49"/>
        <v>M</v>
      </c>
      <c r="U823" t="str">
        <f t="shared" si="50"/>
        <v>IN</v>
      </c>
      <c r="V823" t="str">
        <f t="shared" si="51"/>
        <v>7915</v>
      </c>
    </row>
    <row r="824" spans="1:22" x14ac:dyDescent="0.35">
      <c r="A824" s="3">
        <v>26858</v>
      </c>
      <c r="B824" t="s">
        <v>39</v>
      </c>
      <c r="C824" t="s">
        <v>14</v>
      </c>
      <c r="D824">
        <v>871</v>
      </c>
      <c r="E824">
        <v>408</v>
      </c>
      <c r="F824">
        <v>476</v>
      </c>
      <c r="G824">
        <v>2</v>
      </c>
      <c r="H824">
        <v>16480</v>
      </c>
      <c r="I824">
        <v>6</v>
      </c>
      <c r="J824">
        <v>37</v>
      </c>
      <c r="K824">
        <v>426</v>
      </c>
      <c r="L824">
        <v>452</v>
      </c>
      <c r="M824">
        <v>11.33333333</v>
      </c>
      <c r="N824">
        <f>IFERROR(VLOOKUP(A824,vlookup_table!$A:$G,2,FALSE),"")</f>
        <v>2</v>
      </c>
      <c r="O824">
        <f>IFERROR(VLOOKUP(A824,vlookup_table!$A:$G,4,FALSE),"")</f>
        <v>4212</v>
      </c>
      <c r="P824" t="str">
        <f>IFERROR(VLOOKUP(A824,vlookup_table!$A:$G,5,FALSE),"")</f>
        <v>S2</v>
      </c>
      <c r="Q824">
        <f>IFERROR(VLOOKUP(A824,vlookup_table!$A:$G,7,FALSE),"")</f>
        <v>15</v>
      </c>
      <c r="R824">
        <f t="shared" si="48"/>
        <v>55</v>
      </c>
      <c r="S824" t="str" cm="1">
        <f t="array" ref="S824">IF(P824="","",_xlfn.SWITCH(LEFT(P824,1),"C","Ciudad","T","Pueblo","R","Rural","S","Suburbano","U","Urbano",""))</f>
        <v>Suburbano</v>
      </c>
      <c r="T824" t="str">
        <f t="shared" si="49"/>
        <v>M</v>
      </c>
      <c r="U824" t="str">
        <f t="shared" si="50"/>
        <v>GA</v>
      </c>
      <c r="V824" t="str">
        <f t="shared" si="51"/>
        <v>16480</v>
      </c>
    </row>
    <row r="825" spans="1:22" x14ac:dyDescent="0.35">
      <c r="A825" s="3">
        <v>61488</v>
      </c>
      <c r="B825" t="s">
        <v>33</v>
      </c>
      <c r="C825" t="s">
        <v>14</v>
      </c>
      <c r="D825">
        <v>682</v>
      </c>
      <c r="E825">
        <v>367</v>
      </c>
      <c r="F825">
        <v>448</v>
      </c>
      <c r="G825">
        <v>0</v>
      </c>
      <c r="H825">
        <v>14194</v>
      </c>
      <c r="I825">
        <v>1</v>
      </c>
      <c r="J825">
        <v>87</v>
      </c>
      <c r="K825">
        <v>432</v>
      </c>
      <c r="L825">
        <v>395</v>
      </c>
      <c r="M825">
        <v>5.403846154</v>
      </c>
      <c r="N825">
        <f>IFERROR(VLOOKUP(A825,vlookup_table!$A:$G,2,FALSE),"")</f>
        <v>2</v>
      </c>
      <c r="O825">
        <f>IFERROR(VLOOKUP(A825,vlookup_table!$A:$G,4,FALSE),"")</f>
        <v>2101</v>
      </c>
      <c r="P825" t="str">
        <f>IFERROR(VLOOKUP(A825,vlookup_table!$A:$G,5,FALSE),"")</f>
        <v>R2</v>
      </c>
      <c r="Q825">
        <f>IFERROR(VLOOKUP(A825,vlookup_table!$A:$G,7,FALSE),"")</f>
        <v>7</v>
      </c>
      <c r="R825">
        <f t="shared" si="48"/>
        <v>76</v>
      </c>
      <c r="S825" t="str" cm="1">
        <f t="array" ref="S825">IF(P825="","",_xlfn.SWITCH(LEFT(P825,1),"C","Ciudad","T","Pueblo","R","Rural","S","Suburbano","U","Urbano",""))</f>
        <v>Rural</v>
      </c>
      <c r="T825" t="str">
        <f t="shared" si="49"/>
        <v>M</v>
      </c>
      <c r="U825" t="str">
        <f t="shared" si="50"/>
        <v>IN</v>
      </c>
      <c r="V825" t="str">
        <f t="shared" si="51"/>
        <v>14194</v>
      </c>
    </row>
    <row r="826" spans="1:22" x14ac:dyDescent="0.35">
      <c r="A826" s="3">
        <v>182156</v>
      </c>
      <c r="B826" t="s">
        <v>40</v>
      </c>
      <c r="C826" t="s">
        <v>17</v>
      </c>
      <c r="D826">
        <v>987</v>
      </c>
      <c r="E826">
        <v>393</v>
      </c>
      <c r="F826">
        <v>427</v>
      </c>
      <c r="G826">
        <v>2</v>
      </c>
      <c r="H826">
        <v>13350</v>
      </c>
      <c r="I826">
        <v>3</v>
      </c>
      <c r="J826">
        <v>52</v>
      </c>
      <c r="K826">
        <v>408</v>
      </c>
      <c r="L826">
        <v>420</v>
      </c>
      <c r="M826">
        <v>22</v>
      </c>
      <c r="N826">
        <f>IFERROR(VLOOKUP(A826,vlookup_table!$A:$G,2,FALSE),"")</f>
        <v>0</v>
      </c>
      <c r="O826">
        <f>IFERROR(VLOOKUP(A826,vlookup_table!$A:$G,4,FALSE),"")</f>
        <v>3001</v>
      </c>
      <c r="P826" t="str">
        <f>IFERROR(VLOOKUP(A826,vlookup_table!$A:$G,5,FALSE),"")</f>
        <v>S2</v>
      </c>
      <c r="Q826">
        <f>IFERROR(VLOOKUP(A826,vlookup_table!$A:$G,7,FALSE),"")</f>
        <v>27</v>
      </c>
      <c r="R826">
        <f t="shared" si="48"/>
        <v>67</v>
      </c>
      <c r="S826" t="str" cm="1">
        <f t="array" ref="S826">IF(P826="","",_xlfn.SWITCH(LEFT(P826,1),"C","Ciudad","T","Pueblo","R","Rural","S","Suburbano","U","Urbano",""))</f>
        <v>Suburbano</v>
      </c>
      <c r="T826" t="str">
        <f t="shared" si="49"/>
        <v>F</v>
      </c>
      <c r="U826" t="str">
        <f t="shared" si="50"/>
        <v>WA</v>
      </c>
      <c r="V826" t="str">
        <f t="shared" si="51"/>
        <v>13350</v>
      </c>
    </row>
    <row r="827" spans="1:22" x14ac:dyDescent="0.35">
      <c r="A827" s="3">
        <v>133925</v>
      </c>
      <c r="B827" t="s">
        <v>41</v>
      </c>
      <c r="C827" t="s">
        <v>14</v>
      </c>
      <c r="D827">
        <v>605</v>
      </c>
      <c r="E827">
        <v>213</v>
      </c>
      <c r="F827">
        <v>303</v>
      </c>
      <c r="G827">
        <v>3</v>
      </c>
      <c r="H827">
        <v>10788</v>
      </c>
      <c r="I827">
        <v>2</v>
      </c>
      <c r="J827">
        <v>38</v>
      </c>
      <c r="K827">
        <v>241</v>
      </c>
      <c r="L827">
        <v>269</v>
      </c>
      <c r="M827">
        <v>22</v>
      </c>
      <c r="N827">
        <f>IFERROR(VLOOKUP(A827,vlookup_table!$A:$G,2,FALSE),"")</f>
        <v>4</v>
      </c>
      <c r="O827">
        <f>IFERROR(VLOOKUP(A827,vlookup_table!$A:$G,4,FALSE),"")</f>
        <v>1906</v>
      </c>
      <c r="P827" t="str">
        <f>IFERROR(VLOOKUP(A827,vlookup_table!$A:$G,5,FALSE),"")</f>
        <v>R1</v>
      </c>
      <c r="Q827">
        <f>IFERROR(VLOOKUP(A827,vlookup_table!$A:$G,7,FALSE),"")</f>
        <v>25</v>
      </c>
      <c r="R827">
        <f t="shared" si="48"/>
        <v>78</v>
      </c>
      <c r="S827" t="str" cm="1">
        <f t="array" ref="S827">IF(P827="","",_xlfn.SWITCH(LEFT(P827,1),"C","Ciudad","T","Pueblo","R","Rural","S","Suburbano","U","Urbano",""))</f>
        <v>Rural</v>
      </c>
      <c r="T827" t="str">
        <f t="shared" si="49"/>
        <v>M</v>
      </c>
      <c r="U827" t="str">
        <f t="shared" si="50"/>
        <v>ID</v>
      </c>
      <c r="V827" t="str">
        <f t="shared" si="51"/>
        <v>10788</v>
      </c>
    </row>
    <row r="828" spans="1:22" x14ac:dyDescent="0.35">
      <c r="A828" s="3">
        <v>115431</v>
      </c>
      <c r="B828" t="s">
        <v>31</v>
      </c>
      <c r="C828" t="s">
        <v>14</v>
      </c>
      <c r="D828">
        <v>389</v>
      </c>
      <c r="E828">
        <v>177</v>
      </c>
      <c r="F828">
        <v>248</v>
      </c>
      <c r="G828">
        <v>0</v>
      </c>
      <c r="H828">
        <v>7982</v>
      </c>
      <c r="I828">
        <v>0</v>
      </c>
      <c r="J828">
        <v>71</v>
      </c>
      <c r="K828">
        <v>218</v>
      </c>
      <c r="L828">
        <v>211</v>
      </c>
      <c r="M828">
        <v>4.8</v>
      </c>
      <c r="N828">
        <f>IFERROR(VLOOKUP(A828,vlookup_table!$A:$G,2,FALSE),"")</f>
        <v>0</v>
      </c>
      <c r="O828">
        <f>IFERROR(VLOOKUP(A828,vlookup_table!$A:$G,4,FALSE),"")</f>
        <v>2801</v>
      </c>
      <c r="P828" t="str">
        <f>IFERROR(VLOOKUP(A828,vlookup_table!$A:$G,5,FALSE),"")</f>
        <v>T2</v>
      </c>
      <c r="Q828">
        <f>IFERROR(VLOOKUP(A828,vlookup_table!$A:$G,7,FALSE),"")</f>
        <v>5</v>
      </c>
      <c r="R828">
        <f t="shared" si="48"/>
        <v>69</v>
      </c>
      <c r="S828" t="str" cm="1">
        <f t="array" ref="S828">IF(P828="","",_xlfn.SWITCH(LEFT(P828,1),"C","Ciudad","T","Pueblo","R","Rural","S","Suburbano","U","Urbano",""))</f>
        <v>Pueblo</v>
      </c>
      <c r="T828" t="str">
        <f t="shared" si="49"/>
        <v>M</v>
      </c>
      <c r="U828" t="str">
        <f t="shared" si="50"/>
        <v>OK</v>
      </c>
      <c r="V828" t="str">
        <f t="shared" si="51"/>
        <v>7982</v>
      </c>
    </row>
    <row r="829" spans="1:22" x14ac:dyDescent="0.35">
      <c r="A829" s="3">
        <v>72366</v>
      </c>
      <c r="B829" t="s">
        <v>29</v>
      </c>
      <c r="C829" t="s">
        <v>14</v>
      </c>
      <c r="D829">
        <v>448</v>
      </c>
      <c r="E829">
        <v>291</v>
      </c>
      <c r="F829">
        <v>359</v>
      </c>
      <c r="G829">
        <v>0</v>
      </c>
      <c r="H829">
        <v>11662</v>
      </c>
      <c r="I829">
        <v>1</v>
      </c>
      <c r="J829">
        <v>52</v>
      </c>
      <c r="K829">
        <v>309</v>
      </c>
      <c r="L829">
        <v>330</v>
      </c>
      <c r="M829">
        <v>10.5</v>
      </c>
      <c r="N829">
        <f>IFERROR(VLOOKUP(A829,vlookup_table!$A:$G,2,FALSE),"")</f>
        <v>1</v>
      </c>
      <c r="O829">
        <f>IFERROR(VLOOKUP(A829,vlookup_table!$A:$G,4,FALSE),"")</f>
        <v>4701</v>
      </c>
      <c r="P829" t="str">
        <f>IFERROR(VLOOKUP(A829,vlookup_table!$A:$G,5,FALSE),"")</f>
        <v>R2</v>
      </c>
      <c r="Q829">
        <f>IFERROR(VLOOKUP(A829,vlookup_table!$A:$G,7,FALSE),"")</f>
        <v>20</v>
      </c>
      <c r="R829">
        <f t="shared" si="48"/>
        <v>50</v>
      </c>
      <c r="S829" t="str" cm="1">
        <f t="array" ref="S829">IF(P829="","",_xlfn.SWITCH(LEFT(P829,1),"C","Ciudad","T","Pueblo","R","Rural","S","Suburbano","U","Urbano",""))</f>
        <v>Rural</v>
      </c>
      <c r="T829" t="str">
        <f t="shared" si="49"/>
        <v>M</v>
      </c>
      <c r="U829" t="str">
        <f t="shared" si="50"/>
        <v>MI</v>
      </c>
      <c r="V829" t="str">
        <f t="shared" si="51"/>
        <v>11662</v>
      </c>
    </row>
    <row r="830" spans="1:22" x14ac:dyDescent="0.35">
      <c r="A830" s="3">
        <v>32527</v>
      </c>
      <c r="B830" t="s">
        <v>13</v>
      </c>
      <c r="C830" t="s">
        <v>17</v>
      </c>
      <c r="D830">
        <v>786</v>
      </c>
      <c r="E830">
        <v>352</v>
      </c>
      <c r="F830">
        <v>423</v>
      </c>
      <c r="G830">
        <v>1</v>
      </c>
      <c r="H830">
        <v>16104</v>
      </c>
      <c r="I830">
        <v>5</v>
      </c>
      <c r="J830">
        <v>26</v>
      </c>
      <c r="K830">
        <v>371</v>
      </c>
      <c r="L830">
        <v>384</v>
      </c>
      <c r="M830">
        <v>3.4444444440000002</v>
      </c>
      <c r="N830">
        <f>IFERROR(VLOOKUP(A830,vlookup_table!$A:$G,2,FALSE),"")</f>
        <v>28</v>
      </c>
      <c r="O830">
        <f>IFERROR(VLOOKUP(A830,vlookup_table!$A:$G,4,FALSE),"")</f>
        <v>3801</v>
      </c>
      <c r="P830" t="str">
        <f>IFERROR(VLOOKUP(A830,vlookup_table!$A:$G,5,FALSE),"")</f>
        <v>S2</v>
      </c>
      <c r="Q830">
        <f>IFERROR(VLOOKUP(A830,vlookup_table!$A:$G,7,FALSE),"")</f>
        <v>3</v>
      </c>
      <c r="R830">
        <f t="shared" si="48"/>
        <v>59</v>
      </c>
      <c r="S830" t="str" cm="1">
        <f t="array" ref="S830">IF(P830="","",_xlfn.SWITCH(LEFT(P830,1),"C","Ciudad","T","Pueblo","R","Rural","S","Suburbano","U","Urbano",""))</f>
        <v>Suburbano</v>
      </c>
      <c r="T830" t="str">
        <f t="shared" si="49"/>
        <v>F</v>
      </c>
      <c r="U830" t="str">
        <f t="shared" si="50"/>
        <v>FL</v>
      </c>
      <c r="V830" t="str">
        <f t="shared" si="51"/>
        <v>16104</v>
      </c>
    </row>
    <row r="831" spans="1:22" x14ac:dyDescent="0.35">
      <c r="A831" s="3">
        <v>175974</v>
      </c>
      <c r="B831" t="s">
        <v>50</v>
      </c>
      <c r="C831" t="s">
        <v>14</v>
      </c>
      <c r="D831">
        <v>542</v>
      </c>
      <c r="E831">
        <v>199</v>
      </c>
      <c r="F831">
        <v>262</v>
      </c>
      <c r="G831">
        <v>0</v>
      </c>
      <c r="H831">
        <v>9349</v>
      </c>
      <c r="I831">
        <v>8</v>
      </c>
      <c r="J831">
        <v>53</v>
      </c>
      <c r="K831">
        <v>219</v>
      </c>
      <c r="L831">
        <v>239</v>
      </c>
      <c r="M831">
        <v>7.4444444440000002</v>
      </c>
      <c r="N831">
        <f>IFERROR(VLOOKUP(A831,vlookup_table!$A:$G,2,FALSE),"")</f>
        <v>1</v>
      </c>
      <c r="O831">
        <f>IFERROR(VLOOKUP(A831,vlookup_table!$A:$G,4,FALSE),"")</f>
        <v>1701</v>
      </c>
      <c r="P831" t="str">
        <f>IFERROR(VLOOKUP(A831,vlookup_table!$A:$G,5,FALSE),"")</f>
        <v>C3</v>
      </c>
      <c r="Q831">
        <f>IFERROR(VLOOKUP(A831,vlookup_table!$A:$G,7,FALSE),"")</f>
        <v>11</v>
      </c>
      <c r="R831">
        <f t="shared" si="48"/>
        <v>80</v>
      </c>
      <c r="S831" t="str" cm="1">
        <f t="array" ref="S831">IF(P831="","",_xlfn.SWITCH(LEFT(P831,1),"C","Ciudad","T","Pueblo","R","Rural","S","Suburbano","U","Urbano",""))</f>
        <v>Ciudad</v>
      </c>
      <c r="T831" t="str">
        <f t="shared" si="49"/>
        <v>M</v>
      </c>
      <c r="U831" t="str">
        <f t="shared" si="50"/>
        <v>OR</v>
      </c>
      <c r="V831" t="str">
        <f t="shared" si="51"/>
        <v>9349</v>
      </c>
    </row>
    <row r="832" spans="1:22" x14ac:dyDescent="0.35">
      <c r="A832" s="3">
        <v>96008</v>
      </c>
      <c r="B832" t="s">
        <v>16</v>
      </c>
      <c r="C832" t="s">
        <v>17</v>
      </c>
      <c r="D832">
        <v>300</v>
      </c>
      <c r="E832">
        <v>87</v>
      </c>
      <c r="F832">
        <v>185</v>
      </c>
      <c r="G832">
        <v>0</v>
      </c>
      <c r="H832">
        <v>7586</v>
      </c>
      <c r="I832">
        <v>2</v>
      </c>
      <c r="J832">
        <v>84</v>
      </c>
      <c r="K832">
        <v>163</v>
      </c>
      <c r="L832">
        <v>134</v>
      </c>
      <c r="M832">
        <v>4.8387096769999998</v>
      </c>
      <c r="N832">
        <f>IFERROR(VLOOKUP(A832,vlookup_table!$A:$G,2,FALSE),"")</f>
        <v>0</v>
      </c>
      <c r="O832">
        <f>IFERROR(VLOOKUP(A832,vlookup_table!$A:$G,4,FALSE),"")</f>
        <v>0</v>
      </c>
      <c r="P832" t="str">
        <f>IFERROR(VLOOKUP(A832,vlookup_table!$A:$G,5,FALSE),"")</f>
        <v>T3</v>
      </c>
      <c r="Q832">
        <f>IFERROR(VLOOKUP(A832,vlookup_table!$A:$G,7,FALSE),"")</f>
        <v>5</v>
      </c>
      <c r="R832">
        <f t="shared" si="48"/>
        <v>97</v>
      </c>
      <c r="S832" t="str" cm="1">
        <f t="array" ref="S832">IF(P832="","",_xlfn.SWITCH(LEFT(P832,1),"C","Ciudad","T","Pueblo","R","Rural","S","Suburbano","U","Urbano",""))</f>
        <v>Pueblo</v>
      </c>
      <c r="T832" t="str">
        <f t="shared" si="49"/>
        <v>F</v>
      </c>
      <c r="U832" t="str">
        <f t="shared" si="50"/>
        <v>IL</v>
      </c>
      <c r="V832" t="str">
        <f t="shared" si="51"/>
        <v>7586</v>
      </c>
    </row>
    <row r="833" spans="1:22" x14ac:dyDescent="0.35">
      <c r="A833" s="3">
        <v>106610</v>
      </c>
      <c r="B833" t="s">
        <v>59</v>
      </c>
      <c r="C833" t="s">
        <v>14</v>
      </c>
      <c r="D833">
        <v>475</v>
      </c>
      <c r="E833">
        <v>318</v>
      </c>
      <c r="F833">
        <v>366</v>
      </c>
      <c r="G833">
        <v>0</v>
      </c>
      <c r="H833">
        <v>13159</v>
      </c>
      <c r="I833">
        <v>0</v>
      </c>
      <c r="J833">
        <v>75</v>
      </c>
      <c r="K833">
        <v>360</v>
      </c>
      <c r="L833">
        <v>324</v>
      </c>
      <c r="M833">
        <v>10.5</v>
      </c>
      <c r="N833">
        <f>IFERROR(VLOOKUP(A833,vlookup_table!$A:$G,2,FALSE),"")</f>
        <v>1</v>
      </c>
      <c r="O833">
        <f>IFERROR(VLOOKUP(A833,vlookup_table!$A:$G,4,FALSE),"")</f>
        <v>2812</v>
      </c>
      <c r="P833" t="str">
        <f>IFERROR(VLOOKUP(A833,vlookup_table!$A:$G,5,FALSE),"")</f>
        <v>T2</v>
      </c>
      <c r="Q833">
        <f>IFERROR(VLOOKUP(A833,vlookup_table!$A:$G,7,FALSE),"")</f>
        <v>15</v>
      </c>
      <c r="R833">
        <f t="shared" si="48"/>
        <v>69</v>
      </c>
      <c r="S833" t="str" cm="1">
        <f t="array" ref="S833">IF(P833="","",_xlfn.SWITCH(LEFT(P833,1),"C","Ciudad","T","Pueblo","R","Rural","S","Suburbano","U","Urbano",""))</f>
        <v>Pueblo</v>
      </c>
      <c r="T833" t="str">
        <f t="shared" si="49"/>
        <v>M</v>
      </c>
      <c r="U833" t="str">
        <f t="shared" si="50"/>
        <v>NE</v>
      </c>
      <c r="V833" t="str">
        <f t="shared" si="51"/>
        <v>13159</v>
      </c>
    </row>
    <row r="834" spans="1:22" x14ac:dyDescent="0.35">
      <c r="A834" s="3">
        <v>80395</v>
      </c>
      <c r="B834" t="s">
        <v>35</v>
      </c>
      <c r="C834" t="s">
        <v>17</v>
      </c>
      <c r="D834">
        <v>902</v>
      </c>
      <c r="E834">
        <v>477</v>
      </c>
      <c r="F834">
        <v>517</v>
      </c>
      <c r="G834">
        <v>0</v>
      </c>
      <c r="H834">
        <v>15876</v>
      </c>
      <c r="I834">
        <v>2</v>
      </c>
      <c r="J834">
        <v>77</v>
      </c>
      <c r="K834">
        <v>507</v>
      </c>
      <c r="L834">
        <v>500</v>
      </c>
      <c r="M834">
        <v>15</v>
      </c>
      <c r="N834">
        <f>IFERROR(VLOOKUP(A834,vlookup_table!$A:$G,2,FALSE),"")</f>
        <v>0</v>
      </c>
      <c r="O834">
        <f>IFERROR(VLOOKUP(A834,vlookup_table!$A:$G,4,FALSE),"")</f>
        <v>0</v>
      </c>
      <c r="P834" t="str">
        <f>IFERROR(VLOOKUP(A834,vlookup_table!$A:$G,5,FALSE),"")</f>
        <v>C1</v>
      </c>
      <c r="Q834">
        <f>IFERROR(VLOOKUP(A834,vlookup_table!$A:$G,7,FALSE),"")</f>
        <v>50</v>
      </c>
      <c r="R834">
        <f t="shared" ref="R834:R897" si="52">IF(O834="","",97-INT(O834/100))</f>
        <v>97</v>
      </c>
      <c r="S834" t="str" cm="1">
        <f t="array" ref="S834">IF(P834="","",_xlfn.SWITCH(LEFT(P834,1),"C","Ciudad","T","Pueblo","R","Rural","S","Suburbano","U","Urbano",""))</f>
        <v>Ciudad</v>
      </c>
      <c r="T834" t="str">
        <f t="shared" ref="T834:T897" si="53">IF(C834="","",IF(OR(UPPER(C834)="M",UPPER(C834)="MALE"),"M",IF(OR(UPPER(C834)="F",UPPER(C834)="FEMALE",UPPER(C834)="FEAMALE"),"F",C834)))</f>
        <v>F</v>
      </c>
      <c r="U834" t="str">
        <f t="shared" ref="U834:U897" si="54">IF(OR(UPPER(B834)="CALIFORNIA",UPPER(B834)="CALI"),"CA",B834)</f>
        <v>WI</v>
      </c>
      <c r="V834" t="str">
        <f t="shared" ref="V834:V897" si="55">SUBSTITUTE(H834,"@","")</f>
        <v>15876</v>
      </c>
    </row>
    <row r="835" spans="1:22" x14ac:dyDescent="0.35">
      <c r="A835" s="3">
        <v>86225</v>
      </c>
      <c r="B835" t="s">
        <v>52</v>
      </c>
      <c r="C835" t="s">
        <v>14</v>
      </c>
      <c r="D835">
        <v>499</v>
      </c>
      <c r="E835">
        <v>247</v>
      </c>
      <c r="F835">
        <v>331</v>
      </c>
      <c r="G835">
        <v>0</v>
      </c>
      <c r="H835">
        <v>12213</v>
      </c>
      <c r="I835">
        <v>1</v>
      </c>
      <c r="J835">
        <v>81</v>
      </c>
      <c r="K835">
        <v>283</v>
      </c>
      <c r="L835">
        <v>273</v>
      </c>
      <c r="M835">
        <v>13.5</v>
      </c>
      <c r="N835">
        <f>IFERROR(VLOOKUP(A835,vlookup_table!$A:$G,2,FALSE),"")</f>
        <v>2</v>
      </c>
      <c r="O835">
        <f>IFERROR(VLOOKUP(A835,vlookup_table!$A:$G,4,FALSE),"")</f>
        <v>3611</v>
      </c>
      <c r="P835" t="str">
        <f>IFERROR(VLOOKUP(A835,vlookup_table!$A:$G,5,FALSE),"")</f>
        <v>R2</v>
      </c>
      <c r="Q835">
        <f>IFERROR(VLOOKUP(A835,vlookup_table!$A:$G,7,FALSE),"")</f>
        <v>10</v>
      </c>
      <c r="R835">
        <f t="shared" si="52"/>
        <v>61</v>
      </c>
      <c r="S835" t="str" cm="1">
        <f t="array" ref="S835">IF(P835="","",_xlfn.SWITCH(LEFT(P835,1),"C","Ciudad","T","Pueblo","R","Rural","S","Suburbano","U","Urbano",""))</f>
        <v>Rural</v>
      </c>
      <c r="T835" t="str">
        <f t="shared" si="53"/>
        <v>M</v>
      </c>
      <c r="U835" t="str">
        <f t="shared" si="54"/>
        <v>SD</v>
      </c>
      <c r="V835" t="str">
        <f t="shared" si="55"/>
        <v>12213</v>
      </c>
    </row>
    <row r="836" spans="1:22" x14ac:dyDescent="0.35">
      <c r="A836" s="3">
        <v>43595</v>
      </c>
      <c r="B836" t="s">
        <v>29</v>
      </c>
      <c r="C836" t="s">
        <v>14</v>
      </c>
      <c r="D836">
        <v>684</v>
      </c>
      <c r="E836">
        <v>461</v>
      </c>
      <c r="F836">
        <v>543</v>
      </c>
      <c r="G836">
        <v>0</v>
      </c>
      <c r="H836">
        <v>17874</v>
      </c>
      <c r="I836">
        <v>1</v>
      </c>
      <c r="J836">
        <v>79</v>
      </c>
      <c r="K836">
        <v>523</v>
      </c>
      <c r="L836">
        <v>503</v>
      </c>
      <c r="M836">
        <v>5.75</v>
      </c>
      <c r="N836">
        <f>IFERROR(VLOOKUP(A836,vlookup_table!$A:$G,2,FALSE),"")</f>
        <v>1</v>
      </c>
      <c r="O836">
        <f>IFERROR(VLOOKUP(A836,vlookup_table!$A:$G,4,FALSE),"")</f>
        <v>0</v>
      </c>
      <c r="P836" t="str">
        <f>IFERROR(VLOOKUP(A836,vlookup_table!$A:$G,5,FALSE),"")</f>
        <v>T2</v>
      </c>
      <c r="Q836">
        <f>IFERROR(VLOOKUP(A836,vlookup_table!$A:$G,7,FALSE),"")</f>
        <v>6</v>
      </c>
      <c r="R836">
        <f t="shared" si="52"/>
        <v>97</v>
      </c>
      <c r="S836" t="str" cm="1">
        <f t="array" ref="S836">IF(P836="","",_xlfn.SWITCH(LEFT(P836,1),"C","Ciudad","T","Pueblo","R","Rural","S","Suburbano","U","Urbano",""))</f>
        <v>Pueblo</v>
      </c>
      <c r="T836" t="str">
        <f t="shared" si="53"/>
        <v>M</v>
      </c>
      <c r="U836" t="str">
        <f t="shared" si="54"/>
        <v>MI</v>
      </c>
      <c r="V836" t="str">
        <f t="shared" si="55"/>
        <v>17874</v>
      </c>
    </row>
    <row r="837" spans="1:22" x14ac:dyDescent="0.35">
      <c r="A837" s="3">
        <v>144812</v>
      </c>
      <c r="B837" t="s">
        <v>22</v>
      </c>
      <c r="C837" t="s">
        <v>14</v>
      </c>
      <c r="D837">
        <v>3608</v>
      </c>
      <c r="E837">
        <v>336</v>
      </c>
      <c r="F837">
        <v>526</v>
      </c>
      <c r="G837">
        <v>96</v>
      </c>
      <c r="H837">
        <v>19440</v>
      </c>
      <c r="I837">
        <v>28</v>
      </c>
      <c r="J837">
        <v>35</v>
      </c>
      <c r="K837">
        <v>462</v>
      </c>
      <c r="L837">
        <v>421</v>
      </c>
      <c r="M837">
        <v>80</v>
      </c>
      <c r="N837">
        <f>IFERROR(VLOOKUP(A837,vlookup_table!$A:$G,2,FALSE),"")</f>
        <v>1</v>
      </c>
      <c r="O837">
        <f>IFERROR(VLOOKUP(A837,vlookup_table!$A:$G,4,FALSE),"")</f>
        <v>2801</v>
      </c>
      <c r="P837" t="str">
        <f>IFERROR(VLOOKUP(A837,vlookup_table!$A:$G,5,FALSE),"")</f>
        <v>S1</v>
      </c>
      <c r="Q837">
        <f>IFERROR(VLOOKUP(A837,vlookup_table!$A:$G,7,FALSE),"")</f>
        <v>50</v>
      </c>
      <c r="R837">
        <f t="shared" si="52"/>
        <v>69</v>
      </c>
      <c r="S837" t="str" cm="1">
        <f t="array" ref="S837">IF(P837="","",_xlfn.SWITCH(LEFT(P837,1),"C","Ciudad","T","Pueblo","R","Rural","S","Suburbano","U","Urbano",""))</f>
        <v>Suburbano</v>
      </c>
      <c r="T837" t="str">
        <f t="shared" si="53"/>
        <v>M</v>
      </c>
      <c r="U837" t="str">
        <f t="shared" si="54"/>
        <v>CA</v>
      </c>
      <c r="V837" t="str">
        <f t="shared" si="55"/>
        <v>19440</v>
      </c>
    </row>
    <row r="838" spans="1:22" x14ac:dyDescent="0.35">
      <c r="A838" s="3">
        <v>182480</v>
      </c>
      <c r="B838" t="s">
        <v>40</v>
      </c>
      <c r="C838" t="s">
        <v>17</v>
      </c>
      <c r="D838">
        <v>705</v>
      </c>
      <c r="E838">
        <v>337</v>
      </c>
      <c r="F838">
        <v>569</v>
      </c>
      <c r="G838">
        <v>2</v>
      </c>
      <c r="H838">
        <v>20987</v>
      </c>
      <c r="I838">
        <v>4</v>
      </c>
      <c r="J838">
        <v>49</v>
      </c>
      <c r="K838">
        <v>416</v>
      </c>
      <c r="L838">
        <v>449</v>
      </c>
      <c r="M838">
        <v>30.714285709999999</v>
      </c>
      <c r="N838">
        <f>IFERROR(VLOOKUP(A838,vlookup_table!$A:$G,2,FALSE),"")</f>
        <v>0</v>
      </c>
      <c r="O838">
        <f>IFERROR(VLOOKUP(A838,vlookup_table!$A:$G,4,FALSE),"")</f>
        <v>0</v>
      </c>
      <c r="P838" t="str">
        <f>IFERROR(VLOOKUP(A838,vlookup_table!$A:$G,5,FALSE),"")</f>
        <v>C1</v>
      </c>
      <c r="Q838">
        <f>IFERROR(VLOOKUP(A838,vlookup_table!$A:$G,7,FALSE),"")</f>
        <v>50</v>
      </c>
      <c r="R838">
        <f t="shared" si="52"/>
        <v>97</v>
      </c>
      <c r="S838" t="str" cm="1">
        <f t="array" ref="S838">IF(P838="","",_xlfn.SWITCH(LEFT(P838,1),"C","Ciudad","T","Pueblo","R","Rural","S","Suburbano","U","Urbano",""))</f>
        <v>Ciudad</v>
      </c>
      <c r="T838" t="str">
        <f t="shared" si="53"/>
        <v>F</v>
      </c>
      <c r="U838" t="str">
        <f t="shared" si="54"/>
        <v>WA</v>
      </c>
      <c r="V838" t="str">
        <f t="shared" si="55"/>
        <v>20987</v>
      </c>
    </row>
    <row r="839" spans="1:22" x14ac:dyDescent="0.35">
      <c r="A839" s="3">
        <v>135265</v>
      </c>
      <c r="B839" t="s">
        <v>55</v>
      </c>
      <c r="C839" t="s">
        <v>65</v>
      </c>
      <c r="D839">
        <v>815</v>
      </c>
      <c r="E839">
        <v>264</v>
      </c>
      <c r="F839">
        <v>472</v>
      </c>
      <c r="G839">
        <v>0</v>
      </c>
      <c r="H839">
        <v>18423</v>
      </c>
      <c r="I839">
        <v>7</v>
      </c>
      <c r="J839">
        <v>12</v>
      </c>
      <c r="K839">
        <v>439</v>
      </c>
      <c r="L839">
        <v>322</v>
      </c>
      <c r="M839">
        <v>10</v>
      </c>
      <c r="N839">
        <f>IFERROR(VLOOKUP(A839,vlookup_table!$A:$G,2,FALSE),"")</f>
        <v>0</v>
      </c>
      <c r="O839">
        <f>IFERROR(VLOOKUP(A839,vlookup_table!$A:$G,4,FALSE),"")</f>
        <v>0</v>
      </c>
      <c r="P839" t="str">
        <f>IFERROR(VLOOKUP(A839,vlookup_table!$A:$G,5,FALSE),"")</f>
        <v>S2</v>
      </c>
      <c r="Q839">
        <f>IFERROR(VLOOKUP(A839,vlookup_table!$A:$G,7,FALSE),"")</f>
        <v>14</v>
      </c>
      <c r="R839">
        <f t="shared" si="52"/>
        <v>97</v>
      </c>
      <c r="S839" t="str" cm="1">
        <f t="array" ref="S839">IF(P839="","",_xlfn.SWITCH(LEFT(P839,1),"C","Ciudad","T","Pueblo","R","Rural","S","Suburbano","U","Urbano",""))</f>
        <v>Suburbano</v>
      </c>
      <c r="T839" t="str">
        <f t="shared" si="53"/>
        <v>F</v>
      </c>
      <c r="U839" t="str">
        <f t="shared" si="54"/>
        <v>AZ</v>
      </c>
      <c r="V839" t="str">
        <f t="shared" si="55"/>
        <v>18423</v>
      </c>
    </row>
    <row r="840" spans="1:22" x14ac:dyDescent="0.35">
      <c r="A840" s="3">
        <v>84610</v>
      </c>
      <c r="B840" t="s">
        <v>56</v>
      </c>
      <c r="C840" t="s">
        <v>17</v>
      </c>
      <c r="D840">
        <v>780</v>
      </c>
      <c r="E840">
        <v>477</v>
      </c>
      <c r="F840">
        <v>507</v>
      </c>
      <c r="G840">
        <v>0</v>
      </c>
      <c r="H840">
        <v>16525</v>
      </c>
      <c r="I840">
        <v>4</v>
      </c>
      <c r="J840">
        <v>69</v>
      </c>
      <c r="K840">
        <v>485</v>
      </c>
      <c r="L840">
        <v>488</v>
      </c>
      <c r="M840">
        <v>3.113636364</v>
      </c>
      <c r="N840">
        <f>IFERROR(VLOOKUP(A840,vlookup_table!$A:$G,2,FALSE),"")</f>
        <v>0</v>
      </c>
      <c r="O840">
        <f>IFERROR(VLOOKUP(A840,vlookup_table!$A:$G,4,FALSE),"")</f>
        <v>1111</v>
      </c>
      <c r="P840" t="str">
        <f>IFERROR(VLOOKUP(A840,vlookup_table!$A:$G,5,FALSE),"")</f>
        <v>C1</v>
      </c>
      <c r="Q840">
        <f>IFERROR(VLOOKUP(A840,vlookup_table!$A:$G,7,FALSE),"")</f>
        <v>4</v>
      </c>
      <c r="R840">
        <f t="shared" si="52"/>
        <v>86</v>
      </c>
      <c r="S840" t="str" cm="1">
        <f t="array" ref="S840">IF(P840="","",_xlfn.SWITCH(LEFT(P840,1),"C","Ciudad","T","Pueblo","R","Rural","S","Suburbano","U","Urbano",""))</f>
        <v>Ciudad</v>
      </c>
      <c r="T840" t="str">
        <f t="shared" si="53"/>
        <v>F</v>
      </c>
      <c r="U840" t="str">
        <f t="shared" si="54"/>
        <v>MN</v>
      </c>
      <c r="V840" t="str">
        <f t="shared" si="55"/>
        <v>16525</v>
      </c>
    </row>
    <row r="841" spans="1:22" x14ac:dyDescent="0.35">
      <c r="A841" s="3">
        <v>116533</v>
      </c>
      <c r="B841" t="s">
        <v>21</v>
      </c>
      <c r="C841" t="s">
        <v>17</v>
      </c>
      <c r="D841">
        <v>496</v>
      </c>
      <c r="E841">
        <v>234</v>
      </c>
      <c r="F841">
        <v>259</v>
      </c>
      <c r="G841">
        <v>0</v>
      </c>
      <c r="H841">
        <v>9429</v>
      </c>
      <c r="I841">
        <v>11</v>
      </c>
      <c r="J841">
        <v>74</v>
      </c>
      <c r="K841">
        <v>218</v>
      </c>
      <c r="L841">
        <v>260</v>
      </c>
      <c r="M841">
        <v>7.6190476189999998</v>
      </c>
      <c r="N841">
        <f>IFERROR(VLOOKUP(A841,vlookup_table!$A:$G,2,FALSE),"")</f>
        <v>0</v>
      </c>
      <c r="O841">
        <f>IFERROR(VLOOKUP(A841,vlookup_table!$A:$G,4,FALSE),"")</f>
        <v>0</v>
      </c>
      <c r="P841" t="str">
        <f>IFERROR(VLOOKUP(A841,vlookup_table!$A:$G,5,FALSE),"")</f>
        <v>T2</v>
      </c>
      <c r="Q841">
        <f>IFERROR(VLOOKUP(A841,vlookup_table!$A:$G,7,FALSE),"")</f>
        <v>10</v>
      </c>
      <c r="R841">
        <f t="shared" si="52"/>
        <v>97</v>
      </c>
      <c r="S841" t="str" cm="1">
        <f t="array" ref="S841">IF(P841="","",_xlfn.SWITCH(LEFT(P841,1),"C","Ciudad","T","Pueblo","R","Rural","S","Suburbano","U","Urbano",""))</f>
        <v>Pueblo</v>
      </c>
      <c r="T841" t="str">
        <f t="shared" si="53"/>
        <v>F</v>
      </c>
      <c r="U841" t="str">
        <f t="shared" si="54"/>
        <v>TX</v>
      </c>
      <c r="V841" t="str">
        <f t="shared" si="55"/>
        <v>9429</v>
      </c>
    </row>
    <row r="842" spans="1:22" x14ac:dyDescent="0.35">
      <c r="A842" s="3">
        <v>29501</v>
      </c>
      <c r="B842" t="s">
        <v>39</v>
      </c>
      <c r="C842" t="s">
        <v>30</v>
      </c>
      <c r="D842">
        <v>510</v>
      </c>
      <c r="E842">
        <v>276</v>
      </c>
      <c r="F842">
        <v>347</v>
      </c>
      <c r="G842">
        <v>1</v>
      </c>
      <c r="H842">
        <v>10325</v>
      </c>
      <c r="I842">
        <v>0</v>
      </c>
      <c r="J842">
        <v>76</v>
      </c>
      <c r="K842">
        <v>338</v>
      </c>
      <c r="L842">
        <v>305</v>
      </c>
      <c r="M842">
        <v>17.428571430000002</v>
      </c>
      <c r="N842">
        <f>IFERROR(VLOOKUP(A842,vlookup_table!$A:$G,2,FALSE),"")</f>
        <v>2</v>
      </c>
      <c r="O842">
        <f>IFERROR(VLOOKUP(A842,vlookup_table!$A:$G,4,FALSE),"")</f>
        <v>2710</v>
      </c>
      <c r="P842" t="str">
        <f>IFERROR(VLOOKUP(A842,vlookup_table!$A:$G,5,FALSE),"")</f>
        <v>T2</v>
      </c>
      <c r="Q842">
        <f>IFERROR(VLOOKUP(A842,vlookup_table!$A:$G,7,FALSE),"")</f>
        <v>21</v>
      </c>
      <c r="R842">
        <f t="shared" si="52"/>
        <v>70</v>
      </c>
      <c r="S842" t="str" cm="1">
        <f t="array" ref="S842">IF(P842="","",_xlfn.SWITCH(LEFT(P842,1),"C","Ciudad","T","Pueblo","R","Rural","S","Suburbano","U","Urbano",""))</f>
        <v>Pueblo</v>
      </c>
      <c r="T842" t="str">
        <f t="shared" si="53"/>
        <v>U</v>
      </c>
      <c r="U842" t="str">
        <f t="shared" si="54"/>
        <v>GA</v>
      </c>
      <c r="V842" t="str">
        <f t="shared" si="55"/>
        <v>10325</v>
      </c>
    </row>
    <row r="843" spans="1:22" x14ac:dyDescent="0.35">
      <c r="A843" s="3">
        <v>102351</v>
      </c>
      <c r="B843" t="s">
        <v>36</v>
      </c>
      <c r="C843" t="s">
        <v>17</v>
      </c>
      <c r="D843">
        <v>787</v>
      </c>
      <c r="E843">
        <v>208</v>
      </c>
      <c r="F843">
        <v>356</v>
      </c>
      <c r="G843">
        <v>0</v>
      </c>
      <c r="H843">
        <v>11107</v>
      </c>
      <c r="I843">
        <v>0</v>
      </c>
      <c r="J843">
        <v>59</v>
      </c>
      <c r="K843">
        <v>271</v>
      </c>
      <c r="L843">
        <v>264</v>
      </c>
      <c r="M843">
        <v>13.33333333</v>
      </c>
      <c r="N843">
        <f>IFERROR(VLOOKUP(A843,vlookup_table!$A:$G,2,FALSE),"")</f>
        <v>0</v>
      </c>
      <c r="O843">
        <f>IFERROR(VLOOKUP(A843,vlookup_table!$A:$G,4,FALSE),"")</f>
        <v>3301</v>
      </c>
      <c r="P843" t="str">
        <f>IFERROR(VLOOKUP(A843,vlookup_table!$A:$G,5,FALSE),"")</f>
        <v>U3</v>
      </c>
      <c r="Q843">
        <f>IFERROR(VLOOKUP(A843,vlookup_table!$A:$G,7,FALSE),"")</f>
        <v>23</v>
      </c>
      <c r="R843">
        <f t="shared" si="52"/>
        <v>64</v>
      </c>
      <c r="S843" t="str" cm="1">
        <f t="array" ref="S843">IF(P843="","",_xlfn.SWITCH(LEFT(P843,1),"C","Ciudad","T","Pueblo","R","Rural","S","Suburbano","U","Urbano",""))</f>
        <v>Urbano</v>
      </c>
      <c r="T843" t="str">
        <f t="shared" si="53"/>
        <v>F</v>
      </c>
      <c r="U843" t="str">
        <f t="shared" si="54"/>
        <v>MO</v>
      </c>
      <c r="V843" t="str">
        <f t="shared" si="55"/>
        <v>11107</v>
      </c>
    </row>
    <row r="844" spans="1:22" x14ac:dyDescent="0.35">
      <c r="A844" s="3">
        <v>136935</v>
      </c>
      <c r="B844" t="s">
        <v>31</v>
      </c>
      <c r="C844" t="s">
        <v>17</v>
      </c>
      <c r="D844">
        <v>454</v>
      </c>
      <c r="E844">
        <v>312</v>
      </c>
      <c r="F844">
        <v>306</v>
      </c>
      <c r="G844">
        <v>0</v>
      </c>
      <c r="H844">
        <v>9808</v>
      </c>
      <c r="I844">
        <v>3</v>
      </c>
      <c r="J844">
        <v>63</v>
      </c>
      <c r="K844">
        <v>311</v>
      </c>
      <c r="L844">
        <v>302</v>
      </c>
      <c r="M844">
        <v>9</v>
      </c>
      <c r="N844">
        <f>IFERROR(VLOOKUP(A844,vlookup_table!$A:$G,2,FALSE),"")</f>
        <v>0</v>
      </c>
      <c r="O844">
        <f>IFERROR(VLOOKUP(A844,vlookup_table!$A:$G,4,FALSE),"")</f>
        <v>0</v>
      </c>
      <c r="P844" t="str">
        <f>IFERROR(VLOOKUP(A844,vlookup_table!$A:$G,5,FALSE),"")</f>
        <v>T2</v>
      </c>
      <c r="Q844">
        <f>IFERROR(VLOOKUP(A844,vlookup_table!$A:$G,7,FALSE),"")</f>
        <v>15</v>
      </c>
      <c r="R844">
        <f t="shared" si="52"/>
        <v>97</v>
      </c>
      <c r="S844" t="str" cm="1">
        <f t="array" ref="S844">IF(P844="","",_xlfn.SWITCH(LEFT(P844,1),"C","Ciudad","T","Pueblo","R","Rural","S","Suburbano","U","Urbano",""))</f>
        <v>Pueblo</v>
      </c>
      <c r="T844" t="str">
        <f t="shared" si="53"/>
        <v>F</v>
      </c>
      <c r="U844" t="str">
        <f t="shared" si="54"/>
        <v>OK</v>
      </c>
      <c r="V844" t="str">
        <f t="shared" si="55"/>
        <v>9808</v>
      </c>
    </row>
    <row r="845" spans="1:22" x14ac:dyDescent="0.35">
      <c r="A845" s="3">
        <v>137833</v>
      </c>
      <c r="B845" t="s">
        <v>55</v>
      </c>
      <c r="C845" t="s">
        <v>14</v>
      </c>
      <c r="D845">
        <v>762</v>
      </c>
      <c r="E845">
        <v>375</v>
      </c>
      <c r="F845">
        <v>437</v>
      </c>
      <c r="G845">
        <v>0</v>
      </c>
      <c r="H845">
        <v>14900</v>
      </c>
      <c r="I845">
        <v>6</v>
      </c>
      <c r="J845">
        <v>21</v>
      </c>
      <c r="K845">
        <v>396</v>
      </c>
      <c r="L845">
        <v>418</v>
      </c>
      <c r="M845">
        <v>22.5</v>
      </c>
      <c r="N845">
        <f>IFERROR(VLOOKUP(A845,vlookup_table!$A:$G,2,FALSE),"")</f>
        <v>1</v>
      </c>
      <c r="O845">
        <f>IFERROR(VLOOKUP(A845,vlookup_table!$A:$G,4,FALSE),"")</f>
        <v>0</v>
      </c>
      <c r="P845" t="str">
        <f>IFERROR(VLOOKUP(A845,vlookup_table!$A:$G,5,FALSE),"")</f>
        <v>T2</v>
      </c>
      <c r="Q845">
        <f>IFERROR(VLOOKUP(A845,vlookup_table!$A:$G,7,FALSE),"")</f>
        <v>25</v>
      </c>
      <c r="R845">
        <f t="shared" si="52"/>
        <v>97</v>
      </c>
      <c r="S845" t="str" cm="1">
        <f t="array" ref="S845">IF(P845="","",_xlfn.SWITCH(LEFT(P845,1),"C","Ciudad","T","Pueblo","R","Rural","S","Suburbano","U","Urbano",""))</f>
        <v>Pueblo</v>
      </c>
      <c r="T845" t="str">
        <f t="shared" si="53"/>
        <v>M</v>
      </c>
      <c r="U845" t="str">
        <f t="shared" si="54"/>
        <v>AZ</v>
      </c>
      <c r="V845" t="str">
        <f t="shared" si="55"/>
        <v>14900</v>
      </c>
    </row>
    <row r="846" spans="1:22" x14ac:dyDescent="0.35">
      <c r="A846" s="3">
        <v>162392</v>
      </c>
      <c r="B846" t="s">
        <v>22</v>
      </c>
      <c r="C846" t="s">
        <v>14</v>
      </c>
      <c r="D846">
        <v>3839</v>
      </c>
      <c r="E846">
        <v>683</v>
      </c>
      <c r="F846">
        <v>729</v>
      </c>
      <c r="G846">
        <v>98</v>
      </c>
      <c r="H846">
        <v>26731</v>
      </c>
      <c r="I846">
        <v>19</v>
      </c>
      <c r="J846">
        <v>46</v>
      </c>
      <c r="K846">
        <v>669</v>
      </c>
      <c r="L846">
        <v>706</v>
      </c>
      <c r="M846">
        <v>11.85714286</v>
      </c>
      <c r="N846">
        <f>IFERROR(VLOOKUP(A846,vlookup_table!$A:$G,2,FALSE),"")</f>
        <v>1</v>
      </c>
      <c r="O846">
        <f>IFERROR(VLOOKUP(A846,vlookup_table!$A:$G,4,FALSE),"")</f>
        <v>2301</v>
      </c>
      <c r="P846" t="str">
        <f>IFERROR(VLOOKUP(A846,vlookup_table!$A:$G,5,FALSE),"")</f>
        <v>S1</v>
      </c>
      <c r="Q846">
        <f>IFERROR(VLOOKUP(A846,vlookup_table!$A:$G,7,FALSE),"")</f>
        <v>20</v>
      </c>
      <c r="R846">
        <f t="shared" si="52"/>
        <v>74</v>
      </c>
      <c r="S846" t="str" cm="1">
        <f t="array" ref="S846">IF(P846="","",_xlfn.SWITCH(LEFT(P846,1),"C","Ciudad","T","Pueblo","R","Rural","S","Suburbano","U","Urbano",""))</f>
        <v>Suburbano</v>
      </c>
      <c r="T846" t="str">
        <f t="shared" si="53"/>
        <v>M</v>
      </c>
      <c r="U846" t="str">
        <f t="shared" si="54"/>
        <v>CA</v>
      </c>
      <c r="V846" t="str">
        <f t="shared" si="55"/>
        <v>26731</v>
      </c>
    </row>
    <row r="847" spans="1:22" x14ac:dyDescent="0.35">
      <c r="A847" s="3">
        <v>186713</v>
      </c>
      <c r="B847" t="s">
        <v>22</v>
      </c>
      <c r="C847" t="s">
        <v>17</v>
      </c>
      <c r="D847">
        <v>813</v>
      </c>
      <c r="E847">
        <v>297</v>
      </c>
      <c r="F847">
        <v>424</v>
      </c>
      <c r="G847">
        <v>0</v>
      </c>
      <c r="H847">
        <v>22764</v>
      </c>
      <c r="I847">
        <v>10</v>
      </c>
      <c r="J847">
        <v>21</v>
      </c>
      <c r="K847">
        <v>360</v>
      </c>
      <c r="L847">
        <v>348</v>
      </c>
      <c r="M847">
        <v>22.8125</v>
      </c>
      <c r="N847">
        <f>IFERROR(VLOOKUP(A847,vlookup_table!$A:$G,2,FALSE),"")</f>
        <v>0</v>
      </c>
      <c r="O847">
        <f>IFERROR(VLOOKUP(A847,vlookup_table!$A:$G,4,FALSE),"")</f>
        <v>3408</v>
      </c>
      <c r="P847" t="str">
        <f>IFERROR(VLOOKUP(A847,vlookup_table!$A:$G,5,FALSE),"")</f>
        <v>C2</v>
      </c>
      <c r="Q847">
        <f>IFERROR(VLOOKUP(A847,vlookup_table!$A:$G,7,FALSE),"")</f>
        <v>15</v>
      </c>
      <c r="R847">
        <f t="shared" si="52"/>
        <v>63</v>
      </c>
      <c r="S847" t="str" cm="1">
        <f t="array" ref="S847">IF(P847="","",_xlfn.SWITCH(LEFT(P847,1),"C","Ciudad","T","Pueblo","R","Rural","S","Suburbano","U","Urbano",""))</f>
        <v>Ciudad</v>
      </c>
      <c r="T847" t="str">
        <f t="shared" si="53"/>
        <v>F</v>
      </c>
      <c r="U847" t="str">
        <f t="shared" si="54"/>
        <v>CA</v>
      </c>
      <c r="V847" t="str">
        <f t="shared" si="55"/>
        <v>22764</v>
      </c>
    </row>
    <row r="848" spans="1:22" x14ac:dyDescent="0.35">
      <c r="A848" s="3">
        <v>12573</v>
      </c>
      <c r="B848" t="s">
        <v>40</v>
      </c>
      <c r="C848" t="s">
        <v>17</v>
      </c>
      <c r="D848">
        <v>1375</v>
      </c>
      <c r="E848">
        <v>285</v>
      </c>
      <c r="F848">
        <v>443</v>
      </c>
      <c r="G848">
        <v>6</v>
      </c>
      <c r="H848">
        <v>18247</v>
      </c>
      <c r="I848">
        <v>7</v>
      </c>
      <c r="J848">
        <v>41</v>
      </c>
      <c r="K848">
        <v>510</v>
      </c>
      <c r="L848">
        <v>330</v>
      </c>
      <c r="M848">
        <v>63.035714290000001</v>
      </c>
      <c r="N848">
        <f>IFERROR(VLOOKUP(A848,vlookup_table!$A:$G,2,FALSE),"")</f>
        <v>0</v>
      </c>
      <c r="O848">
        <f>IFERROR(VLOOKUP(A848,vlookup_table!$A:$G,4,FALSE),"")</f>
        <v>803</v>
      </c>
      <c r="P848">
        <f>IFERROR(VLOOKUP(A848,vlookup_table!$A:$G,5,FALSE),"")</f>
        <v>0</v>
      </c>
      <c r="Q848">
        <f>IFERROR(VLOOKUP(A848,vlookup_table!$A:$G,7,FALSE),"")</f>
        <v>102</v>
      </c>
      <c r="R848">
        <f t="shared" si="52"/>
        <v>89</v>
      </c>
      <c r="S848" t="str" cm="1">
        <f t="array" ref="S848">IF(P848="","",_xlfn.SWITCH(LEFT(P848,1),"C","Ciudad","T","Pueblo","R","Rural","S","Suburbano","U","Urbano",""))</f>
        <v/>
      </c>
      <c r="T848" t="str">
        <f t="shared" si="53"/>
        <v>F</v>
      </c>
      <c r="U848" t="str">
        <f t="shared" si="54"/>
        <v>WA</v>
      </c>
      <c r="V848" t="str">
        <f t="shared" si="55"/>
        <v>18247</v>
      </c>
    </row>
    <row r="849" spans="1:22" x14ac:dyDescent="0.35">
      <c r="A849" s="3">
        <v>112594</v>
      </c>
      <c r="B849" t="s">
        <v>32</v>
      </c>
      <c r="C849" t="s">
        <v>14</v>
      </c>
      <c r="D849">
        <v>704</v>
      </c>
      <c r="E849">
        <v>222</v>
      </c>
      <c r="F849">
        <v>461</v>
      </c>
      <c r="G849">
        <v>2</v>
      </c>
      <c r="H849">
        <v>18592</v>
      </c>
      <c r="I849">
        <v>1</v>
      </c>
      <c r="J849">
        <v>70</v>
      </c>
      <c r="K849">
        <v>374</v>
      </c>
      <c r="L849">
        <v>295</v>
      </c>
      <c r="M849">
        <v>9</v>
      </c>
      <c r="N849">
        <f>IFERROR(VLOOKUP(A849,vlookup_table!$A:$G,2,FALSE),"")</f>
        <v>1</v>
      </c>
      <c r="O849">
        <f>IFERROR(VLOOKUP(A849,vlookup_table!$A:$G,4,FALSE),"")</f>
        <v>0</v>
      </c>
      <c r="P849" t="str">
        <f>IFERROR(VLOOKUP(A849,vlookup_table!$A:$G,5,FALSE),"")</f>
        <v>T2</v>
      </c>
      <c r="Q849">
        <f>IFERROR(VLOOKUP(A849,vlookup_table!$A:$G,7,FALSE),"")</f>
        <v>15</v>
      </c>
      <c r="R849">
        <f t="shared" si="52"/>
        <v>97</v>
      </c>
      <c r="S849" t="str" cm="1">
        <f t="array" ref="S849">IF(P849="","",_xlfn.SWITCH(LEFT(P849,1),"C","Ciudad","T","Pueblo","R","Rural","S","Suburbano","U","Urbano",""))</f>
        <v>Pueblo</v>
      </c>
      <c r="T849" t="str">
        <f t="shared" si="53"/>
        <v>M</v>
      </c>
      <c r="U849" t="str">
        <f t="shared" si="54"/>
        <v>AR</v>
      </c>
      <c r="V849" t="str">
        <f t="shared" si="55"/>
        <v>18592</v>
      </c>
    </row>
    <row r="850" spans="1:22" x14ac:dyDescent="0.35">
      <c r="A850" s="3">
        <v>145123</v>
      </c>
      <c r="B850" t="s">
        <v>22</v>
      </c>
      <c r="C850" t="s">
        <v>17</v>
      </c>
      <c r="D850">
        <v>5743</v>
      </c>
      <c r="E850">
        <v>564</v>
      </c>
      <c r="F850">
        <v>903</v>
      </c>
      <c r="G850">
        <v>99</v>
      </c>
      <c r="H850">
        <v>44839</v>
      </c>
      <c r="I850">
        <v>9</v>
      </c>
      <c r="J850">
        <v>47</v>
      </c>
      <c r="K850">
        <v>812</v>
      </c>
      <c r="L850">
        <v>708</v>
      </c>
      <c r="M850">
        <v>4.0999999999999996</v>
      </c>
      <c r="N850">
        <f>IFERROR(VLOOKUP(A850,vlookup_table!$A:$G,2,FALSE),"")</f>
        <v>2</v>
      </c>
      <c r="O850">
        <f>IFERROR(VLOOKUP(A850,vlookup_table!$A:$G,4,FALSE),"")</f>
        <v>1801</v>
      </c>
      <c r="P850" t="str">
        <f>IFERROR(VLOOKUP(A850,vlookup_table!$A:$G,5,FALSE),"")</f>
        <v>S1</v>
      </c>
      <c r="Q850">
        <f>IFERROR(VLOOKUP(A850,vlookup_table!$A:$G,7,FALSE),"")</f>
        <v>5</v>
      </c>
      <c r="R850">
        <f t="shared" si="52"/>
        <v>79</v>
      </c>
      <c r="S850" t="str" cm="1">
        <f t="array" ref="S850">IF(P850="","",_xlfn.SWITCH(LEFT(P850,1),"C","Ciudad","T","Pueblo","R","Rural","S","Suburbano","U","Urbano",""))</f>
        <v>Suburbano</v>
      </c>
      <c r="T850" t="str">
        <f t="shared" si="53"/>
        <v>F</v>
      </c>
      <c r="U850" t="str">
        <f t="shared" si="54"/>
        <v>CA</v>
      </c>
      <c r="V850" t="str">
        <f t="shared" si="55"/>
        <v>44839</v>
      </c>
    </row>
    <row r="851" spans="1:22" x14ac:dyDescent="0.35">
      <c r="A851" s="3">
        <v>58374</v>
      </c>
      <c r="B851" t="s">
        <v>57</v>
      </c>
      <c r="C851" t="s">
        <v>17</v>
      </c>
      <c r="D851">
        <v>483</v>
      </c>
      <c r="E851">
        <v>169</v>
      </c>
      <c r="F851">
        <v>269</v>
      </c>
      <c r="G851">
        <v>0</v>
      </c>
      <c r="H851">
        <v>9809</v>
      </c>
      <c r="I851">
        <v>0</v>
      </c>
      <c r="J851">
        <v>53</v>
      </c>
      <c r="K851">
        <v>237</v>
      </c>
      <c r="L851">
        <v>216</v>
      </c>
      <c r="M851">
        <v>9.5454545460000002</v>
      </c>
      <c r="N851">
        <f>IFERROR(VLOOKUP(A851,vlookup_table!$A:$G,2,FALSE),"")</f>
        <v>0</v>
      </c>
      <c r="O851">
        <f>IFERROR(VLOOKUP(A851,vlookup_table!$A:$G,4,FALSE),"")</f>
        <v>1712</v>
      </c>
      <c r="P851" t="str">
        <f>IFERROR(VLOOKUP(A851,vlookup_table!$A:$G,5,FALSE),"")</f>
        <v>T2</v>
      </c>
      <c r="Q851">
        <f>IFERROR(VLOOKUP(A851,vlookup_table!$A:$G,7,FALSE),"")</f>
        <v>10</v>
      </c>
      <c r="R851">
        <f t="shared" si="52"/>
        <v>80</v>
      </c>
      <c r="S851" t="str" cm="1">
        <f t="array" ref="S851">IF(P851="","",_xlfn.SWITCH(LEFT(P851,1),"C","Ciudad","T","Pueblo","R","Rural","S","Suburbano","U","Urbano",""))</f>
        <v>Pueblo</v>
      </c>
      <c r="T851" t="str">
        <f t="shared" si="53"/>
        <v>F</v>
      </c>
      <c r="U851" t="str">
        <f t="shared" si="54"/>
        <v>KY</v>
      </c>
      <c r="V851" t="str">
        <f t="shared" si="55"/>
        <v>9809</v>
      </c>
    </row>
    <row r="852" spans="1:22" x14ac:dyDescent="0.35">
      <c r="A852" s="3">
        <v>108316</v>
      </c>
      <c r="B852" t="s">
        <v>49</v>
      </c>
      <c r="C852" t="s">
        <v>14</v>
      </c>
      <c r="D852">
        <v>1903</v>
      </c>
      <c r="E852">
        <v>213</v>
      </c>
      <c r="F852">
        <v>379</v>
      </c>
      <c r="G852">
        <v>45</v>
      </c>
      <c r="H852">
        <v>20833</v>
      </c>
      <c r="I852">
        <v>7</v>
      </c>
      <c r="J852">
        <v>49</v>
      </c>
      <c r="K852">
        <v>265</v>
      </c>
      <c r="L852">
        <v>274</v>
      </c>
      <c r="M852">
        <v>18.5</v>
      </c>
      <c r="N852">
        <f>IFERROR(VLOOKUP(A852,vlookup_table!$A:$G,2,FALSE),"")</f>
        <v>1</v>
      </c>
      <c r="O852">
        <f>IFERROR(VLOOKUP(A852,vlookup_table!$A:$G,4,FALSE),"")</f>
        <v>3909</v>
      </c>
      <c r="P852" t="str">
        <f>IFERROR(VLOOKUP(A852,vlookup_table!$A:$G,5,FALSE),"")</f>
        <v>U1</v>
      </c>
      <c r="Q852">
        <f>IFERROR(VLOOKUP(A852,vlookup_table!$A:$G,7,FALSE),"")</f>
        <v>24</v>
      </c>
      <c r="R852">
        <f t="shared" si="52"/>
        <v>58</v>
      </c>
      <c r="S852" t="str" cm="1">
        <f t="array" ref="S852">IF(P852="","",_xlfn.SWITCH(LEFT(P852,1),"C","Ciudad","T","Pueblo","R","Rural","S","Suburbano","U","Urbano",""))</f>
        <v>Urbano</v>
      </c>
      <c r="T852" t="str">
        <f t="shared" si="53"/>
        <v>M</v>
      </c>
      <c r="U852" t="str">
        <f t="shared" si="54"/>
        <v>LA</v>
      </c>
      <c r="V852" t="str">
        <f t="shared" si="55"/>
        <v>20833</v>
      </c>
    </row>
    <row r="853" spans="1:22" x14ac:dyDescent="0.35">
      <c r="A853" s="3">
        <v>71312</v>
      </c>
      <c r="B853" t="s">
        <v>29</v>
      </c>
      <c r="C853" t="s">
        <v>17</v>
      </c>
      <c r="D853">
        <v>497</v>
      </c>
      <c r="E853">
        <v>350</v>
      </c>
      <c r="F853">
        <v>384</v>
      </c>
      <c r="G853">
        <v>0</v>
      </c>
      <c r="H853">
        <v>11696</v>
      </c>
      <c r="I853">
        <v>1</v>
      </c>
      <c r="J853">
        <v>92</v>
      </c>
      <c r="K853">
        <v>364</v>
      </c>
      <c r="L853">
        <v>357</v>
      </c>
      <c r="M853">
        <v>3.08</v>
      </c>
      <c r="N853">
        <f>IFERROR(VLOOKUP(A853,vlookup_table!$A:$G,2,FALSE),"")</f>
        <v>2</v>
      </c>
      <c r="O853">
        <f>IFERROR(VLOOKUP(A853,vlookup_table!$A:$G,4,FALSE),"")</f>
        <v>3811</v>
      </c>
      <c r="P853" t="str">
        <f>IFERROR(VLOOKUP(A853,vlookup_table!$A:$G,5,FALSE),"")</f>
        <v>R2</v>
      </c>
      <c r="Q853">
        <f>IFERROR(VLOOKUP(A853,vlookup_table!$A:$G,7,FALSE),"")</f>
        <v>3</v>
      </c>
      <c r="R853">
        <f t="shared" si="52"/>
        <v>59</v>
      </c>
      <c r="S853" t="str" cm="1">
        <f t="array" ref="S853">IF(P853="","",_xlfn.SWITCH(LEFT(P853,1),"C","Ciudad","T","Pueblo","R","Rural","S","Suburbano","U","Urbano",""))</f>
        <v>Rural</v>
      </c>
      <c r="T853" t="str">
        <f t="shared" si="53"/>
        <v>F</v>
      </c>
      <c r="U853" t="str">
        <f t="shared" si="54"/>
        <v>MI</v>
      </c>
      <c r="V853" t="str">
        <f t="shared" si="55"/>
        <v>11696</v>
      </c>
    </row>
    <row r="854" spans="1:22" x14ac:dyDescent="0.35">
      <c r="A854" s="3">
        <v>142241</v>
      </c>
      <c r="B854" t="s">
        <v>24</v>
      </c>
      <c r="C854" t="s">
        <v>17</v>
      </c>
      <c r="D854">
        <v>2368</v>
      </c>
      <c r="E854">
        <v>578</v>
      </c>
      <c r="F854">
        <v>833</v>
      </c>
      <c r="G854">
        <v>68</v>
      </c>
      <c r="H854">
        <v>27653</v>
      </c>
      <c r="I854">
        <v>7</v>
      </c>
      <c r="J854">
        <v>40</v>
      </c>
      <c r="K854">
        <v>827</v>
      </c>
      <c r="L854">
        <v>723</v>
      </c>
      <c r="M854">
        <v>13.2</v>
      </c>
      <c r="N854">
        <f>IFERROR(VLOOKUP(A854,vlookup_table!$A:$G,2,FALSE),"")</f>
        <v>3</v>
      </c>
      <c r="O854">
        <f>IFERROR(VLOOKUP(A854,vlookup_table!$A:$G,4,FALSE),"")</f>
        <v>3505</v>
      </c>
      <c r="P854" t="str">
        <f>IFERROR(VLOOKUP(A854,vlookup_table!$A:$G,5,FALSE),"")</f>
        <v>T1</v>
      </c>
      <c r="Q854">
        <f>IFERROR(VLOOKUP(A854,vlookup_table!$A:$G,7,FALSE),"")</f>
        <v>30</v>
      </c>
      <c r="R854">
        <f t="shared" si="52"/>
        <v>62</v>
      </c>
      <c r="S854" t="str" cm="1">
        <f t="array" ref="S854">IF(P854="","",_xlfn.SWITCH(LEFT(P854,1),"C","Ciudad","T","Pueblo","R","Rural","S","Suburbano","U","Urbano",""))</f>
        <v>Pueblo</v>
      </c>
      <c r="T854" t="str">
        <f t="shared" si="53"/>
        <v>F</v>
      </c>
      <c r="U854" t="str">
        <f t="shared" si="54"/>
        <v>NV</v>
      </c>
      <c r="V854" t="str">
        <f t="shared" si="55"/>
        <v>27653</v>
      </c>
    </row>
    <row r="855" spans="1:22" x14ac:dyDescent="0.35">
      <c r="A855" s="3">
        <v>7238</v>
      </c>
      <c r="B855" t="s">
        <v>47</v>
      </c>
      <c r="C855" t="s">
        <v>17</v>
      </c>
      <c r="D855">
        <v>374</v>
      </c>
      <c r="E855">
        <v>234</v>
      </c>
      <c r="F855">
        <v>283</v>
      </c>
      <c r="G855">
        <v>0</v>
      </c>
      <c r="H855">
        <v>10539</v>
      </c>
      <c r="I855">
        <v>0</v>
      </c>
      <c r="J855">
        <v>74</v>
      </c>
      <c r="K855">
        <v>305</v>
      </c>
      <c r="L855">
        <v>225</v>
      </c>
      <c r="M855">
        <v>5.538461539</v>
      </c>
      <c r="N855">
        <f>IFERROR(VLOOKUP(A855,vlookup_table!$A:$G,2,FALSE),"")</f>
        <v>0</v>
      </c>
      <c r="O855">
        <f>IFERROR(VLOOKUP(A855,vlookup_table!$A:$G,4,FALSE),"")</f>
        <v>0</v>
      </c>
      <c r="P855" t="str">
        <f>IFERROR(VLOOKUP(A855,vlookup_table!$A:$G,5,FALSE),"")</f>
        <v>T2</v>
      </c>
      <c r="Q855">
        <f>IFERROR(VLOOKUP(A855,vlookup_table!$A:$G,7,FALSE),"")</f>
        <v>12</v>
      </c>
      <c r="R855">
        <f t="shared" si="52"/>
        <v>97</v>
      </c>
      <c r="S855" t="str" cm="1">
        <f t="array" ref="S855">IF(P855="","",_xlfn.SWITCH(LEFT(P855,1),"C","Ciudad","T","Pueblo","R","Rural","S","Suburbano","U","Urbano",""))</f>
        <v>Pueblo</v>
      </c>
      <c r="T855" t="str">
        <f t="shared" si="53"/>
        <v>F</v>
      </c>
      <c r="U855" t="str">
        <f t="shared" si="54"/>
        <v>IA</v>
      </c>
      <c r="V855" t="str">
        <f t="shared" si="55"/>
        <v>10539</v>
      </c>
    </row>
    <row r="856" spans="1:22" x14ac:dyDescent="0.35">
      <c r="A856" s="3">
        <v>132003</v>
      </c>
      <c r="B856" t="s">
        <v>48</v>
      </c>
      <c r="C856" t="s">
        <v>17</v>
      </c>
      <c r="D856">
        <v>508</v>
      </c>
      <c r="E856">
        <v>240</v>
      </c>
      <c r="F856">
        <v>427</v>
      </c>
      <c r="G856">
        <v>0</v>
      </c>
      <c r="H856">
        <v>14984</v>
      </c>
      <c r="I856">
        <v>1</v>
      </c>
      <c r="J856">
        <v>61</v>
      </c>
      <c r="K856">
        <v>303</v>
      </c>
      <c r="L856">
        <v>377</v>
      </c>
      <c r="M856">
        <v>5.5714285710000002</v>
      </c>
      <c r="N856">
        <f>IFERROR(VLOOKUP(A856,vlookup_table!$A:$G,2,FALSE),"")</f>
        <v>28</v>
      </c>
      <c r="O856">
        <f>IFERROR(VLOOKUP(A856,vlookup_table!$A:$G,4,FALSE),"")</f>
        <v>0</v>
      </c>
      <c r="P856" t="str">
        <f>IFERROR(VLOOKUP(A856,vlookup_table!$A:$G,5,FALSE),"")</f>
        <v>R2</v>
      </c>
      <c r="Q856">
        <f>IFERROR(VLOOKUP(A856,vlookup_table!$A:$G,7,FALSE),"")</f>
        <v>8</v>
      </c>
      <c r="R856">
        <f t="shared" si="52"/>
        <v>97</v>
      </c>
      <c r="S856" t="str" cm="1">
        <f t="array" ref="S856">IF(P856="","",_xlfn.SWITCH(LEFT(P856,1),"C","Ciudad","T","Pueblo","R","Rural","S","Suburbano","U","Urbano",""))</f>
        <v>Rural</v>
      </c>
      <c r="T856" t="str">
        <f t="shared" si="53"/>
        <v>F</v>
      </c>
      <c r="U856" t="str">
        <f t="shared" si="54"/>
        <v>CO</v>
      </c>
      <c r="V856" t="str">
        <f t="shared" si="55"/>
        <v>14984</v>
      </c>
    </row>
    <row r="857" spans="1:22" x14ac:dyDescent="0.35">
      <c r="A857" s="3">
        <v>172220</v>
      </c>
      <c r="B857" t="s">
        <v>22</v>
      </c>
      <c r="C857" t="s">
        <v>14</v>
      </c>
      <c r="D857">
        <v>676</v>
      </c>
      <c r="E857">
        <v>156</v>
      </c>
      <c r="F857">
        <v>203</v>
      </c>
      <c r="G857">
        <v>0</v>
      </c>
      <c r="H857">
        <v>4877</v>
      </c>
      <c r="I857">
        <v>18</v>
      </c>
      <c r="J857">
        <v>54</v>
      </c>
      <c r="K857">
        <v>172</v>
      </c>
      <c r="L857">
        <v>201</v>
      </c>
      <c r="M857">
        <v>12.133333329999999</v>
      </c>
      <c r="N857">
        <f>IFERROR(VLOOKUP(A857,vlookup_table!$A:$G,2,FALSE),"")</f>
        <v>1</v>
      </c>
      <c r="O857">
        <f>IFERROR(VLOOKUP(A857,vlookup_table!$A:$G,4,FALSE),"")</f>
        <v>4011</v>
      </c>
      <c r="P857" t="str">
        <f>IFERROR(VLOOKUP(A857,vlookup_table!$A:$G,5,FALSE),"")</f>
        <v>C3</v>
      </c>
      <c r="Q857">
        <f>IFERROR(VLOOKUP(A857,vlookup_table!$A:$G,7,FALSE),"")</f>
        <v>19</v>
      </c>
      <c r="R857">
        <f t="shared" si="52"/>
        <v>57</v>
      </c>
      <c r="S857" t="str" cm="1">
        <f t="array" ref="S857">IF(P857="","",_xlfn.SWITCH(LEFT(P857,1),"C","Ciudad","T","Pueblo","R","Rural","S","Suburbano","U","Urbano",""))</f>
        <v>Ciudad</v>
      </c>
      <c r="T857" t="str">
        <f t="shared" si="53"/>
        <v>M</v>
      </c>
      <c r="U857" t="str">
        <f t="shared" si="54"/>
        <v>CA</v>
      </c>
      <c r="V857" t="str">
        <f t="shared" si="55"/>
        <v>4877</v>
      </c>
    </row>
    <row r="858" spans="1:22" x14ac:dyDescent="0.35">
      <c r="A858" s="3">
        <v>189916</v>
      </c>
      <c r="B858" t="s">
        <v>29</v>
      </c>
      <c r="C858" t="s">
        <v>14</v>
      </c>
      <c r="D858">
        <v>805</v>
      </c>
      <c r="E858">
        <v>382</v>
      </c>
      <c r="F858">
        <v>507</v>
      </c>
      <c r="G858">
        <v>0</v>
      </c>
      <c r="H858">
        <v>17020</v>
      </c>
      <c r="I858">
        <v>6</v>
      </c>
      <c r="J858">
        <v>78</v>
      </c>
      <c r="K858">
        <v>506</v>
      </c>
      <c r="L858">
        <v>421</v>
      </c>
      <c r="M858">
        <v>21.166666670000001</v>
      </c>
      <c r="N858">
        <f>IFERROR(VLOOKUP(A858,vlookup_table!$A:$G,2,FALSE),"")</f>
        <v>0</v>
      </c>
      <c r="O858">
        <f>IFERROR(VLOOKUP(A858,vlookup_table!$A:$G,4,FALSE),"")</f>
        <v>1004</v>
      </c>
      <c r="P858">
        <f>IFERROR(VLOOKUP(A858,vlookup_table!$A:$G,5,FALSE),"")</f>
        <v>0</v>
      </c>
      <c r="Q858">
        <f>IFERROR(VLOOKUP(A858,vlookup_table!$A:$G,7,FALSE),"")</f>
        <v>5</v>
      </c>
      <c r="R858">
        <f t="shared" si="52"/>
        <v>87</v>
      </c>
      <c r="S858" t="str" cm="1">
        <f t="array" ref="S858">IF(P858="","",_xlfn.SWITCH(LEFT(P858,1),"C","Ciudad","T","Pueblo","R","Rural","S","Suburbano","U","Urbano",""))</f>
        <v/>
      </c>
      <c r="T858" t="str">
        <f t="shared" si="53"/>
        <v>M</v>
      </c>
      <c r="U858" t="str">
        <f t="shared" si="54"/>
        <v>MI</v>
      </c>
      <c r="V858" t="str">
        <f t="shared" si="55"/>
        <v>17020</v>
      </c>
    </row>
    <row r="859" spans="1:22" x14ac:dyDescent="0.35">
      <c r="A859" s="3">
        <v>89358</v>
      </c>
      <c r="B859" t="s">
        <v>16</v>
      </c>
      <c r="C859" t="s">
        <v>14</v>
      </c>
      <c r="D859">
        <v>732</v>
      </c>
      <c r="E859">
        <v>409</v>
      </c>
      <c r="F859">
        <v>463</v>
      </c>
      <c r="G859">
        <v>0</v>
      </c>
      <c r="H859">
        <v>13763</v>
      </c>
      <c r="I859">
        <v>12</v>
      </c>
      <c r="J859">
        <v>63</v>
      </c>
      <c r="K859">
        <v>416</v>
      </c>
      <c r="L859">
        <v>450</v>
      </c>
      <c r="M859">
        <v>11.66666667</v>
      </c>
      <c r="N859">
        <f>IFERROR(VLOOKUP(A859,vlookup_table!$A:$G,2,FALSE),"")</f>
        <v>1</v>
      </c>
      <c r="O859">
        <f>IFERROR(VLOOKUP(A859,vlookup_table!$A:$G,4,FALSE),"")</f>
        <v>3801</v>
      </c>
      <c r="P859" t="str">
        <f>IFERROR(VLOOKUP(A859,vlookup_table!$A:$G,5,FALSE),"")</f>
        <v>C2</v>
      </c>
      <c r="Q859">
        <f>IFERROR(VLOOKUP(A859,vlookup_table!$A:$G,7,FALSE),"")</f>
        <v>20</v>
      </c>
      <c r="R859">
        <f t="shared" si="52"/>
        <v>59</v>
      </c>
      <c r="S859" t="str" cm="1">
        <f t="array" ref="S859">IF(P859="","",_xlfn.SWITCH(LEFT(P859,1),"C","Ciudad","T","Pueblo","R","Rural","S","Suburbano","U","Urbano",""))</f>
        <v>Ciudad</v>
      </c>
      <c r="T859" t="str">
        <f t="shared" si="53"/>
        <v>M</v>
      </c>
      <c r="U859" t="str">
        <f t="shared" si="54"/>
        <v>IL</v>
      </c>
      <c r="V859" t="str">
        <f t="shared" si="55"/>
        <v>13763</v>
      </c>
    </row>
    <row r="860" spans="1:22" x14ac:dyDescent="0.35">
      <c r="A860" s="3">
        <v>82843</v>
      </c>
      <c r="B860" t="s">
        <v>56</v>
      </c>
      <c r="C860" t="s">
        <v>17</v>
      </c>
      <c r="D860">
        <v>737</v>
      </c>
      <c r="E860">
        <v>302</v>
      </c>
      <c r="F860">
        <v>445</v>
      </c>
      <c r="G860">
        <v>0</v>
      </c>
      <c r="H860">
        <v>14822</v>
      </c>
      <c r="I860">
        <v>5</v>
      </c>
      <c r="J860">
        <v>76</v>
      </c>
      <c r="K860">
        <v>383</v>
      </c>
      <c r="L860">
        <v>357</v>
      </c>
      <c r="M860">
        <v>5.0714285710000002</v>
      </c>
      <c r="N860">
        <f>IFERROR(VLOOKUP(A860,vlookup_table!$A:$G,2,FALSE),"")</f>
        <v>28</v>
      </c>
      <c r="O860">
        <f>IFERROR(VLOOKUP(A860,vlookup_table!$A:$G,4,FALSE),"")</f>
        <v>0</v>
      </c>
      <c r="P860" t="str">
        <f>IFERROR(VLOOKUP(A860,vlookup_table!$A:$G,5,FALSE),"")</f>
        <v>S2</v>
      </c>
      <c r="Q860">
        <f>IFERROR(VLOOKUP(A860,vlookup_table!$A:$G,7,FALSE),"")</f>
        <v>5</v>
      </c>
      <c r="R860">
        <f t="shared" si="52"/>
        <v>97</v>
      </c>
      <c r="S860" t="str" cm="1">
        <f t="array" ref="S860">IF(P860="","",_xlfn.SWITCH(LEFT(P860,1),"C","Ciudad","T","Pueblo","R","Rural","S","Suburbano","U","Urbano",""))</f>
        <v>Suburbano</v>
      </c>
      <c r="T860" t="str">
        <f t="shared" si="53"/>
        <v>F</v>
      </c>
      <c r="U860" t="str">
        <f t="shared" si="54"/>
        <v>MN</v>
      </c>
      <c r="V860" t="str">
        <f t="shared" si="55"/>
        <v>14822</v>
      </c>
    </row>
    <row r="861" spans="1:22" x14ac:dyDescent="0.35">
      <c r="A861" s="3">
        <v>56124</v>
      </c>
      <c r="B861" t="s">
        <v>62</v>
      </c>
      <c r="C861" t="s">
        <v>14</v>
      </c>
      <c r="D861">
        <v>600</v>
      </c>
      <c r="E861">
        <v>254</v>
      </c>
      <c r="F861">
        <v>294</v>
      </c>
      <c r="G861">
        <v>0</v>
      </c>
      <c r="H861">
        <v>9800</v>
      </c>
      <c r="I861">
        <v>3</v>
      </c>
      <c r="J861">
        <v>16</v>
      </c>
      <c r="K861">
        <v>255</v>
      </c>
      <c r="L861">
        <v>292</v>
      </c>
      <c r="M861">
        <v>15</v>
      </c>
      <c r="N861">
        <f>IFERROR(VLOOKUP(A861,vlookup_table!$A:$G,2,FALSE),"")</f>
        <v>0</v>
      </c>
      <c r="O861">
        <f>IFERROR(VLOOKUP(A861,vlookup_table!$A:$G,4,FALSE),"")</f>
        <v>5106</v>
      </c>
      <c r="P861">
        <f>IFERROR(VLOOKUP(A861,vlookup_table!$A:$G,5,FALSE),"")</f>
        <v>0</v>
      </c>
      <c r="Q861">
        <f>IFERROR(VLOOKUP(A861,vlookup_table!$A:$G,7,FALSE),"")</f>
        <v>20</v>
      </c>
      <c r="R861">
        <f t="shared" si="52"/>
        <v>46</v>
      </c>
      <c r="S861" t="str" cm="1">
        <f t="array" ref="S861">IF(P861="","",_xlfn.SWITCH(LEFT(P861,1),"C","Ciudad","T","Pueblo","R","Rural","S","Suburbano","U","Urbano",""))</f>
        <v/>
      </c>
      <c r="T861" t="str">
        <f t="shared" si="53"/>
        <v>M</v>
      </c>
      <c r="U861" t="str">
        <f t="shared" si="54"/>
        <v>MS</v>
      </c>
      <c r="V861" t="str">
        <f t="shared" si="55"/>
        <v>9800</v>
      </c>
    </row>
    <row r="862" spans="1:22" x14ac:dyDescent="0.35">
      <c r="A862" s="3">
        <v>75840</v>
      </c>
      <c r="B862" t="s">
        <v>47</v>
      </c>
      <c r="C862" t="s">
        <v>14</v>
      </c>
      <c r="D862">
        <v>686</v>
      </c>
      <c r="E862">
        <v>356</v>
      </c>
      <c r="F862">
        <v>492</v>
      </c>
      <c r="G862">
        <v>0</v>
      </c>
      <c r="H862">
        <v>19695</v>
      </c>
      <c r="I862">
        <v>3</v>
      </c>
      <c r="J862">
        <v>64</v>
      </c>
      <c r="K862">
        <v>449</v>
      </c>
      <c r="L862">
        <v>408</v>
      </c>
      <c r="M862">
        <v>12.75</v>
      </c>
      <c r="N862">
        <f>IFERROR(VLOOKUP(A862,vlookup_table!$A:$G,2,FALSE),"")</f>
        <v>0</v>
      </c>
      <c r="O862">
        <f>IFERROR(VLOOKUP(A862,vlookup_table!$A:$G,4,FALSE),"")</f>
        <v>1501</v>
      </c>
      <c r="P862" t="str">
        <f>IFERROR(VLOOKUP(A862,vlookup_table!$A:$G,5,FALSE),"")</f>
        <v>C1</v>
      </c>
      <c r="Q862">
        <f>IFERROR(VLOOKUP(A862,vlookup_table!$A:$G,7,FALSE),"")</f>
        <v>20</v>
      </c>
      <c r="R862">
        <f t="shared" si="52"/>
        <v>82</v>
      </c>
      <c r="S862" t="str" cm="1">
        <f t="array" ref="S862">IF(P862="","",_xlfn.SWITCH(LEFT(P862,1),"C","Ciudad","T","Pueblo","R","Rural","S","Suburbano","U","Urbano",""))</f>
        <v>Ciudad</v>
      </c>
      <c r="T862" t="str">
        <f t="shared" si="53"/>
        <v>M</v>
      </c>
      <c r="U862" t="str">
        <f t="shared" si="54"/>
        <v>IA</v>
      </c>
      <c r="V862" t="str">
        <f t="shared" si="55"/>
        <v>19695</v>
      </c>
    </row>
    <row r="863" spans="1:22" x14ac:dyDescent="0.35">
      <c r="A863" s="3">
        <v>163220</v>
      </c>
      <c r="B863" t="s">
        <v>22</v>
      </c>
      <c r="C863" t="s">
        <v>30</v>
      </c>
      <c r="D863">
        <v>5829</v>
      </c>
      <c r="E863">
        <v>585</v>
      </c>
      <c r="F863">
        <v>977</v>
      </c>
      <c r="G863">
        <v>99</v>
      </c>
      <c r="H863">
        <v>52437</v>
      </c>
      <c r="I863">
        <v>16</v>
      </c>
      <c r="J863">
        <v>24</v>
      </c>
      <c r="K863">
        <v>987</v>
      </c>
      <c r="L863">
        <v>691</v>
      </c>
      <c r="M863">
        <v>11.5</v>
      </c>
      <c r="N863">
        <f>IFERROR(VLOOKUP(A863,vlookup_table!$A:$G,2,FALSE),"")</f>
        <v>28</v>
      </c>
      <c r="O863">
        <f>IFERROR(VLOOKUP(A863,vlookup_table!$A:$G,4,FALSE),"")</f>
        <v>4701</v>
      </c>
      <c r="P863" t="str">
        <f>IFERROR(VLOOKUP(A863,vlookup_table!$A:$G,5,FALSE),"")</f>
        <v>U1</v>
      </c>
      <c r="Q863">
        <f>IFERROR(VLOOKUP(A863,vlookup_table!$A:$G,7,FALSE),"")</f>
        <v>26</v>
      </c>
      <c r="R863">
        <f t="shared" si="52"/>
        <v>50</v>
      </c>
      <c r="S863" t="str" cm="1">
        <f t="array" ref="S863">IF(P863="","",_xlfn.SWITCH(LEFT(P863,1),"C","Ciudad","T","Pueblo","R","Rural","S","Suburbano","U","Urbano",""))</f>
        <v>Urbano</v>
      </c>
      <c r="T863" t="str">
        <f t="shared" si="53"/>
        <v>U</v>
      </c>
      <c r="U863" t="str">
        <f t="shared" si="54"/>
        <v>CA</v>
      </c>
      <c r="V863" t="str">
        <f t="shared" si="55"/>
        <v>52437</v>
      </c>
    </row>
    <row r="864" spans="1:22" x14ac:dyDescent="0.35">
      <c r="A864" s="3">
        <v>74615</v>
      </c>
      <c r="B864" t="s">
        <v>29</v>
      </c>
      <c r="C864" t="s">
        <v>14</v>
      </c>
      <c r="D864">
        <v>500</v>
      </c>
      <c r="E864">
        <v>155</v>
      </c>
      <c r="F864">
        <v>423</v>
      </c>
      <c r="G864">
        <v>0</v>
      </c>
      <c r="H864">
        <v>13674</v>
      </c>
      <c r="I864">
        <v>9</v>
      </c>
      <c r="J864">
        <v>59</v>
      </c>
      <c r="K864">
        <v>385</v>
      </c>
      <c r="L864">
        <v>263</v>
      </c>
      <c r="M864">
        <v>7</v>
      </c>
      <c r="N864">
        <f>IFERROR(VLOOKUP(A864,vlookup_table!$A:$G,2,FALSE),"")</f>
        <v>0</v>
      </c>
      <c r="O864">
        <f>IFERROR(VLOOKUP(A864,vlookup_table!$A:$G,4,FALSE),"")</f>
        <v>1101</v>
      </c>
      <c r="P864" t="str">
        <f>IFERROR(VLOOKUP(A864,vlookup_table!$A:$G,5,FALSE),"")</f>
        <v>C2</v>
      </c>
      <c r="Q864">
        <f>IFERROR(VLOOKUP(A864,vlookup_table!$A:$G,7,FALSE),"")</f>
        <v>9</v>
      </c>
      <c r="R864">
        <f t="shared" si="52"/>
        <v>86</v>
      </c>
      <c r="S864" t="str" cm="1">
        <f t="array" ref="S864">IF(P864="","",_xlfn.SWITCH(LEFT(P864,1),"C","Ciudad","T","Pueblo","R","Rural","S","Suburbano","U","Urbano",""))</f>
        <v>Ciudad</v>
      </c>
      <c r="T864" t="str">
        <f t="shared" si="53"/>
        <v>M</v>
      </c>
      <c r="U864" t="str">
        <f t="shared" si="54"/>
        <v>MI</v>
      </c>
      <c r="V864" t="str">
        <f t="shared" si="55"/>
        <v>13674</v>
      </c>
    </row>
    <row r="865" spans="1:22" x14ac:dyDescent="0.35">
      <c r="A865" s="3">
        <v>45808</v>
      </c>
      <c r="B865" t="s">
        <v>13</v>
      </c>
      <c r="C865" t="s">
        <v>17</v>
      </c>
      <c r="D865">
        <v>877</v>
      </c>
      <c r="E865">
        <v>332</v>
      </c>
      <c r="F865">
        <v>432</v>
      </c>
      <c r="G865">
        <v>3</v>
      </c>
      <c r="H865">
        <v>16670</v>
      </c>
      <c r="I865">
        <v>7</v>
      </c>
      <c r="J865">
        <v>15</v>
      </c>
      <c r="K865">
        <v>380</v>
      </c>
      <c r="L865">
        <v>392</v>
      </c>
      <c r="M865">
        <v>8.5789473679999997</v>
      </c>
      <c r="N865">
        <f>IFERROR(VLOOKUP(A865,vlookup_table!$A:$G,2,FALSE),"")</f>
        <v>0</v>
      </c>
      <c r="O865">
        <f>IFERROR(VLOOKUP(A865,vlookup_table!$A:$G,4,FALSE),"")</f>
        <v>1809</v>
      </c>
      <c r="P865" t="str">
        <f>IFERROR(VLOOKUP(A865,vlookup_table!$A:$G,5,FALSE),"")</f>
        <v>S2</v>
      </c>
      <c r="Q865">
        <f>IFERROR(VLOOKUP(A865,vlookup_table!$A:$G,7,FALSE),"")</f>
        <v>10</v>
      </c>
      <c r="R865">
        <f t="shared" si="52"/>
        <v>79</v>
      </c>
      <c r="S865" t="str" cm="1">
        <f t="array" ref="S865">IF(P865="","",_xlfn.SWITCH(LEFT(P865,1),"C","Ciudad","T","Pueblo","R","Rural","S","Suburbano","U","Urbano",""))</f>
        <v>Suburbano</v>
      </c>
      <c r="T865" t="str">
        <f t="shared" si="53"/>
        <v>F</v>
      </c>
      <c r="U865" t="str">
        <f t="shared" si="54"/>
        <v>FL</v>
      </c>
      <c r="V865" t="str">
        <f t="shared" si="55"/>
        <v>16670</v>
      </c>
    </row>
    <row r="866" spans="1:22" x14ac:dyDescent="0.35">
      <c r="A866" s="3">
        <v>162593</v>
      </c>
      <c r="B866" t="s">
        <v>22</v>
      </c>
      <c r="C866" t="s">
        <v>14</v>
      </c>
      <c r="D866">
        <v>5954</v>
      </c>
      <c r="E866">
        <v>1500</v>
      </c>
      <c r="F866">
        <v>1263</v>
      </c>
      <c r="G866">
        <v>99</v>
      </c>
      <c r="H866">
        <v>68593</v>
      </c>
      <c r="I866">
        <v>17</v>
      </c>
      <c r="J866">
        <v>57</v>
      </c>
      <c r="K866">
        <v>1500</v>
      </c>
      <c r="L866">
        <v>1185</v>
      </c>
      <c r="M866">
        <v>9.2857142859999993</v>
      </c>
      <c r="N866">
        <f>IFERROR(VLOOKUP(A866,vlookup_table!$A:$G,2,FALSE),"")</f>
        <v>1</v>
      </c>
      <c r="O866">
        <f>IFERROR(VLOOKUP(A866,vlookup_table!$A:$G,4,FALSE),"")</f>
        <v>5010</v>
      </c>
      <c r="P866" t="str">
        <f>IFERROR(VLOOKUP(A866,vlookup_table!$A:$G,5,FALSE),"")</f>
        <v>S1</v>
      </c>
      <c r="Q866">
        <f>IFERROR(VLOOKUP(A866,vlookup_table!$A:$G,7,FALSE),"")</f>
        <v>14</v>
      </c>
      <c r="R866">
        <f t="shared" si="52"/>
        <v>47</v>
      </c>
      <c r="S866" t="str" cm="1">
        <f t="array" ref="S866">IF(P866="","",_xlfn.SWITCH(LEFT(P866,1),"C","Ciudad","T","Pueblo","R","Rural","S","Suburbano","U","Urbano",""))</f>
        <v>Suburbano</v>
      </c>
      <c r="T866" t="str">
        <f t="shared" si="53"/>
        <v>M</v>
      </c>
      <c r="U866" t="str">
        <f t="shared" si="54"/>
        <v>CA</v>
      </c>
      <c r="V866" t="str">
        <f t="shared" si="55"/>
        <v>68593</v>
      </c>
    </row>
    <row r="867" spans="1:22" x14ac:dyDescent="0.35">
      <c r="A867" s="3">
        <v>20237</v>
      </c>
      <c r="B867" t="s">
        <v>18</v>
      </c>
      <c r="C867" t="s">
        <v>65</v>
      </c>
      <c r="D867">
        <v>674</v>
      </c>
      <c r="E867">
        <v>294</v>
      </c>
      <c r="F867">
        <v>405</v>
      </c>
      <c r="G867">
        <v>1</v>
      </c>
      <c r="H867">
        <v>13120</v>
      </c>
      <c r="I867">
        <v>2</v>
      </c>
      <c r="J867">
        <v>65</v>
      </c>
      <c r="K867">
        <v>381</v>
      </c>
      <c r="L867">
        <v>347</v>
      </c>
      <c r="M867">
        <v>6.266666667</v>
      </c>
      <c r="N867">
        <f>IFERROR(VLOOKUP(A867,vlookup_table!$A:$G,2,FALSE),"")</f>
        <v>2</v>
      </c>
      <c r="O867">
        <f>IFERROR(VLOOKUP(A867,vlookup_table!$A:$G,4,FALSE),"")</f>
        <v>5201</v>
      </c>
      <c r="P867" t="str">
        <f>IFERROR(VLOOKUP(A867,vlookup_table!$A:$G,5,FALSE),"")</f>
        <v>T2</v>
      </c>
      <c r="Q867">
        <f>IFERROR(VLOOKUP(A867,vlookup_table!$A:$G,7,FALSE),"")</f>
        <v>13</v>
      </c>
      <c r="R867">
        <f t="shared" si="52"/>
        <v>45</v>
      </c>
      <c r="S867" t="str" cm="1">
        <f t="array" ref="S867">IF(P867="","",_xlfn.SWITCH(LEFT(P867,1),"C","Ciudad","T","Pueblo","R","Rural","S","Suburbano","U","Urbano",""))</f>
        <v>Pueblo</v>
      </c>
      <c r="T867" t="str">
        <f t="shared" si="53"/>
        <v>F</v>
      </c>
      <c r="U867" t="str">
        <f t="shared" si="54"/>
        <v>NC</v>
      </c>
      <c r="V867" t="str">
        <f t="shared" si="55"/>
        <v>13120</v>
      </c>
    </row>
    <row r="868" spans="1:22" x14ac:dyDescent="0.35">
      <c r="A868" s="3">
        <v>54828</v>
      </c>
      <c r="B868" t="s">
        <v>62</v>
      </c>
      <c r="C868" t="s">
        <v>65</v>
      </c>
      <c r="D868">
        <v>338</v>
      </c>
      <c r="E868">
        <v>158</v>
      </c>
      <c r="F868">
        <v>227</v>
      </c>
      <c r="G868">
        <v>0</v>
      </c>
      <c r="H868">
        <v>6834</v>
      </c>
      <c r="I868">
        <v>0</v>
      </c>
      <c r="J868">
        <v>90</v>
      </c>
      <c r="K868">
        <v>195</v>
      </c>
      <c r="L868">
        <v>197</v>
      </c>
      <c r="M868">
        <v>7.8181818180000002</v>
      </c>
      <c r="N868">
        <f>IFERROR(VLOOKUP(A868,vlookup_table!$A:$G,2,FALSE),"")</f>
        <v>2</v>
      </c>
      <c r="O868">
        <f>IFERROR(VLOOKUP(A868,vlookup_table!$A:$G,4,FALSE),"")</f>
        <v>2606</v>
      </c>
      <c r="P868" t="str">
        <f>IFERROR(VLOOKUP(A868,vlookup_table!$A:$G,5,FALSE),"")</f>
        <v>R3</v>
      </c>
      <c r="Q868">
        <f>IFERROR(VLOOKUP(A868,vlookup_table!$A:$G,7,FALSE),"")</f>
        <v>5</v>
      </c>
      <c r="R868">
        <f t="shared" si="52"/>
        <v>71</v>
      </c>
      <c r="S868" t="str" cm="1">
        <f t="array" ref="S868">IF(P868="","",_xlfn.SWITCH(LEFT(P868,1),"C","Ciudad","T","Pueblo","R","Rural","S","Suburbano","U","Urbano",""))</f>
        <v>Rural</v>
      </c>
      <c r="T868" t="str">
        <f t="shared" si="53"/>
        <v>F</v>
      </c>
      <c r="U868" t="str">
        <f t="shared" si="54"/>
        <v>MS</v>
      </c>
      <c r="V868" t="str">
        <f t="shared" si="55"/>
        <v>6834</v>
      </c>
    </row>
    <row r="869" spans="1:22" x14ac:dyDescent="0.35">
      <c r="A869" s="3">
        <v>168589</v>
      </c>
      <c r="B869" t="s">
        <v>50</v>
      </c>
      <c r="C869" t="s">
        <v>17</v>
      </c>
      <c r="D869">
        <v>835</v>
      </c>
      <c r="E869">
        <v>186</v>
      </c>
      <c r="F869">
        <v>274</v>
      </c>
      <c r="G869">
        <v>7</v>
      </c>
      <c r="H869">
        <v>10045</v>
      </c>
      <c r="I869">
        <v>2</v>
      </c>
      <c r="J869">
        <v>32</v>
      </c>
      <c r="K869">
        <v>244</v>
      </c>
      <c r="L869">
        <v>240</v>
      </c>
      <c r="M869">
        <v>11.875</v>
      </c>
      <c r="N869">
        <f>IFERROR(VLOOKUP(A869,vlookup_table!$A:$G,2,FALSE),"")</f>
        <v>0</v>
      </c>
      <c r="O869">
        <f>IFERROR(VLOOKUP(A869,vlookup_table!$A:$G,4,FALSE),"")</f>
        <v>0</v>
      </c>
      <c r="P869" t="str">
        <f>IFERROR(VLOOKUP(A869,vlookup_table!$A:$G,5,FALSE),"")</f>
        <v>U3</v>
      </c>
      <c r="Q869">
        <f>IFERROR(VLOOKUP(A869,vlookup_table!$A:$G,7,FALSE),"")</f>
        <v>10</v>
      </c>
      <c r="R869">
        <f t="shared" si="52"/>
        <v>97</v>
      </c>
      <c r="S869" t="str" cm="1">
        <f t="array" ref="S869">IF(P869="","",_xlfn.SWITCH(LEFT(P869,1),"C","Ciudad","T","Pueblo","R","Rural","S","Suburbano","U","Urbano",""))</f>
        <v>Urbano</v>
      </c>
      <c r="T869" t="str">
        <f t="shared" si="53"/>
        <v>F</v>
      </c>
      <c r="U869" t="str">
        <f t="shared" si="54"/>
        <v>OR</v>
      </c>
      <c r="V869" t="str">
        <f t="shared" si="55"/>
        <v>10045</v>
      </c>
    </row>
    <row r="870" spans="1:22" x14ac:dyDescent="0.35">
      <c r="A870" s="3">
        <v>168275</v>
      </c>
      <c r="B870" t="s">
        <v>22</v>
      </c>
      <c r="C870" t="s">
        <v>30</v>
      </c>
      <c r="D870">
        <v>3373</v>
      </c>
      <c r="E870">
        <v>643</v>
      </c>
      <c r="F870">
        <v>729</v>
      </c>
      <c r="G870">
        <v>96</v>
      </c>
      <c r="H870">
        <v>29018</v>
      </c>
      <c r="I870">
        <v>7</v>
      </c>
      <c r="J870">
        <v>56</v>
      </c>
      <c r="K870">
        <v>682</v>
      </c>
      <c r="L870">
        <v>699</v>
      </c>
      <c r="M870">
        <v>13.69230769</v>
      </c>
      <c r="N870">
        <f>IFERROR(VLOOKUP(A870,vlookup_table!$A:$G,2,FALSE),"")</f>
        <v>0</v>
      </c>
      <c r="O870">
        <f>IFERROR(VLOOKUP(A870,vlookup_table!$A:$G,4,FALSE),"")</f>
        <v>2001</v>
      </c>
      <c r="P870" t="str">
        <f>IFERROR(VLOOKUP(A870,vlookup_table!$A:$G,5,FALSE),"")</f>
        <v>U1</v>
      </c>
      <c r="Q870">
        <f>IFERROR(VLOOKUP(A870,vlookup_table!$A:$G,7,FALSE),"")</f>
        <v>36</v>
      </c>
      <c r="R870">
        <f t="shared" si="52"/>
        <v>77</v>
      </c>
      <c r="S870" t="str" cm="1">
        <f t="array" ref="S870">IF(P870="","",_xlfn.SWITCH(LEFT(P870,1),"C","Ciudad","T","Pueblo","R","Rural","S","Suburbano","U","Urbano",""))</f>
        <v>Urbano</v>
      </c>
      <c r="T870" t="str">
        <f t="shared" si="53"/>
        <v>U</v>
      </c>
      <c r="U870" t="str">
        <f t="shared" si="54"/>
        <v>CA</v>
      </c>
      <c r="V870" t="str">
        <f t="shared" si="55"/>
        <v>29018</v>
      </c>
    </row>
    <row r="871" spans="1:22" x14ac:dyDescent="0.35">
      <c r="A871" s="3">
        <v>175438</v>
      </c>
      <c r="B871" t="s">
        <v>50</v>
      </c>
      <c r="D871">
        <v>925</v>
      </c>
      <c r="E871">
        <v>129</v>
      </c>
      <c r="F871">
        <v>441</v>
      </c>
      <c r="G871">
        <v>8</v>
      </c>
      <c r="H871">
        <v>18634</v>
      </c>
      <c r="I871">
        <v>8</v>
      </c>
      <c r="J871">
        <v>28</v>
      </c>
      <c r="K871">
        <v>363</v>
      </c>
      <c r="L871">
        <v>215</v>
      </c>
      <c r="M871">
        <v>15.46428571</v>
      </c>
      <c r="N871">
        <f>IFERROR(VLOOKUP(A871,vlookup_table!$A:$G,2,FALSE),"")</f>
        <v>3</v>
      </c>
      <c r="O871">
        <f>IFERROR(VLOOKUP(A871,vlookup_table!$A:$G,4,FALSE),"")</f>
        <v>2001</v>
      </c>
      <c r="P871" t="str">
        <f>IFERROR(VLOOKUP(A871,vlookup_table!$A:$G,5,FALSE),"")</f>
        <v>U2</v>
      </c>
      <c r="Q871">
        <f>IFERROR(VLOOKUP(A871,vlookup_table!$A:$G,7,FALSE),"")</f>
        <v>25</v>
      </c>
      <c r="R871">
        <f t="shared" si="52"/>
        <v>77</v>
      </c>
      <c r="S871" t="str" cm="1">
        <f t="array" ref="S871">IF(P871="","",_xlfn.SWITCH(LEFT(P871,1),"C","Ciudad","T","Pueblo","R","Rural","S","Suburbano","U","Urbano",""))</f>
        <v>Urbano</v>
      </c>
      <c r="T871" t="str">
        <f t="shared" si="53"/>
        <v/>
      </c>
      <c r="U871" t="str">
        <f t="shared" si="54"/>
        <v>OR</v>
      </c>
      <c r="V871" t="str">
        <f t="shared" si="55"/>
        <v>18634</v>
      </c>
    </row>
    <row r="872" spans="1:22" x14ac:dyDescent="0.35">
      <c r="A872" s="3">
        <v>68427</v>
      </c>
      <c r="B872" t="s">
        <v>29</v>
      </c>
      <c r="D872">
        <v>483</v>
      </c>
      <c r="E872">
        <v>341</v>
      </c>
      <c r="F872">
        <v>430</v>
      </c>
      <c r="G872">
        <v>0</v>
      </c>
      <c r="H872">
        <v>14629</v>
      </c>
      <c r="I872">
        <v>17</v>
      </c>
      <c r="J872">
        <v>61</v>
      </c>
      <c r="K872">
        <v>393</v>
      </c>
      <c r="L872">
        <v>382</v>
      </c>
      <c r="M872">
        <v>38</v>
      </c>
      <c r="N872">
        <f>IFERROR(VLOOKUP(A872,vlookup_table!$A:$G,2,FALSE),"")</f>
        <v>0</v>
      </c>
      <c r="O872">
        <f>IFERROR(VLOOKUP(A872,vlookup_table!$A:$G,4,FALSE),"")</f>
        <v>0</v>
      </c>
      <c r="P872" t="str">
        <f>IFERROR(VLOOKUP(A872,vlookup_table!$A:$G,5,FALSE),"")</f>
        <v>U2</v>
      </c>
      <c r="Q872">
        <f>IFERROR(VLOOKUP(A872,vlookup_table!$A:$G,7,FALSE),"")</f>
        <v>25</v>
      </c>
      <c r="R872">
        <f t="shared" si="52"/>
        <v>97</v>
      </c>
      <c r="S872" t="str" cm="1">
        <f t="array" ref="S872">IF(P872="","",_xlfn.SWITCH(LEFT(P872,1),"C","Ciudad","T","Pueblo","R","Rural","S","Suburbano","U","Urbano",""))</f>
        <v>Urbano</v>
      </c>
      <c r="T872" t="str">
        <f t="shared" si="53"/>
        <v/>
      </c>
      <c r="U872" t="str">
        <f t="shared" si="54"/>
        <v>MI</v>
      </c>
      <c r="V872" t="str">
        <f t="shared" si="55"/>
        <v>14629</v>
      </c>
    </row>
    <row r="873" spans="1:22" x14ac:dyDescent="0.35">
      <c r="A873" s="3">
        <v>89680</v>
      </c>
      <c r="B873" t="s">
        <v>16</v>
      </c>
      <c r="C873" t="s">
        <v>17</v>
      </c>
      <c r="D873">
        <v>1290</v>
      </c>
      <c r="E873">
        <v>515</v>
      </c>
      <c r="F873">
        <v>624</v>
      </c>
      <c r="G873">
        <v>2</v>
      </c>
      <c r="H873">
        <v>17626</v>
      </c>
      <c r="I873">
        <v>8</v>
      </c>
      <c r="J873">
        <v>74</v>
      </c>
      <c r="K873">
        <v>559</v>
      </c>
      <c r="L873">
        <v>575</v>
      </c>
      <c r="M873">
        <v>10</v>
      </c>
      <c r="N873">
        <f>IFERROR(VLOOKUP(A873,vlookup_table!$A:$G,2,FALSE),"")</f>
        <v>2</v>
      </c>
      <c r="O873">
        <f>IFERROR(VLOOKUP(A873,vlookup_table!$A:$G,4,FALSE),"")</f>
        <v>4201</v>
      </c>
      <c r="P873" t="str">
        <f>IFERROR(VLOOKUP(A873,vlookup_table!$A:$G,5,FALSE),"")</f>
        <v>S1</v>
      </c>
      <c r="Q873">
        <f>IFERROR(VLOOKUP(A873,vlookup_table!$A:$G,7,FALSE),"")</f>
        <v>15</v>
      </c>
      <c r="R873">
        <f t="shared" si="52"/>
        <v>55</v>
      </c>
      <c r="S873" t="str" cm="1">
        <f t="array" ref="S873">IF(P873="","",_xlfn.SWITCH(LEFT(P873,1),"C","Ciudad","T","Pueblo","R","Rural","S","Suburbano","U","Urbano",""))</f>
        <v>Suburbano</v>
      </c>
      <c r="T873" t="str">
        <f t="shared" si="53"/>
        <v>F</v>
      </c>
      <c r="U873" t="str">
        <f t="shared" si="54"/>
        <v>IL</v>
      </c>
      <c r="V873" t="str">
        <f t="shared" si="55"/>
        <v>17626</v>
      </c>
    </row>
    <row r="874" spans="1:22" x14ac:dyDescent="0.35">
      <c r="A874" s="3">
        <v>132131</v>
      </c>
      <c r="B874" t="s">
        <v>48</v>
      </c>
      <c r="C874" t="s">
        <v>17</v>
      </c>
      <c r="D874">
        <v>613</v>
      </c>
      <c r="E874">
        <v>129</v>
      </c>
      <c r="F874">
        <v>244</v>
      </c>
      <c r="G874">
        <v>0</v>
      </c>
      <c r="H874">
        <v>8382</v>
      </c>
      <c r="I874">
        <v>0</v>
      </c>
      <c r="J874">
        <v>50</v>
      </c>
      <c r="K874">
        <v>207</v>
      </c>
      <c r="L874">
        <v>168</v>
      </c>
      <c r="M874">
        <v>14.875</v>
      </c>
      <c r="N874">
        <f>IFERROR(VLOOKUP(A874,vlookup_table!$A:$G,2,FALSE),"")</f>
        <v>0</v>
      </c>
      <c r="O874">
        <f>IFERROR(VLOOKUP(A874,vlookup_table!$A:$G,4,FALSE),"")</f>
        <v>5901</v>
      </c>
      <c r="P874" t="str">
        <f>IFERROR(VLOOKUP(A874,vlookup_table!$A:$G,5,FALSE),"")</f>
        <v>R1</v>
      </c>
      <c r="Q874">
        <f>IFERROR(VLOOKUP(A874,vlookup_table!$A:$G,7,FALSE),"")</f>
        <v>25</v>
      </c>
      <c r="R874">
        <f t="shared" si="52"/>
        <v>38</v>
      </c>
      <c r="S874" t="str" cm="1">
        <f t="array" ref="S874">IF(P874="","",_xlfn.SWITCH(LEFT(P874,1),"C","Ciudad","T","Pueblo","R","Rural","S","Suburbano","U","Urbano",""))</f>
        <v>Rural</v>
      </c>
      <c r="T874" t="str">
        <f t="shared" si="53"/>
        <v>F</v>
      </c>
      <c r="U874" t="str">
        <f t="shared" si="54"/>
        <v>CO</v>
      </c>
      <c r="V874" t="str">
        <f t="shared" si="55"/>
        <v>8382</v>
      </c>
    </row>
    <row r="875" spans="1:22" x14ac:dyDescent="0.35">
      <c r="A875" s="3">
        <v>180175</v>
      </c>
      <c r="B875" t="s">
        <v>40</v>
      </c>
      <c r="C875" t="s">
        <v>17</v>
      </c>
      <c r="D875">
        <v>938</v>
      </c>
      <c r="E875">
        <v>297</v>
      </c>
      <c r="F875">
        <v>379</v>
      </c>
      <c r="G875">
        <v>3</v>
      </c>
      <c r="H875">
        <v>15721</v>
      </c>
      <c r="I875">
        <v>5</v>
      </c>
      <c r="J875">
        <v>52</v>
      </c>
      <c r="K875">
        <v>319</v>
      </c>
      <c r="L875">
        <v>344</v>
      </c>
      <c r="M875">
        <v>14.07142857</v>
      </c>
      <c r="N875">
        <f>IFERROR(VLOOKUP(A875,vlookup_table!$A:$G,2,FALSE),"")</f>
        <v>0</v>
      </c>
      <c r="O875">
        <f>IFERROR(VLOOKUP(A875,vlookup_table!$A:$G,4,FALSE),"")</f>
        <v>2612</v>
      </c>
      <c r="P875" t="str">
        <f>IFERROR(VLOOKUP(A875,vlookup_table!$A:$G,5,FALSE),"")</f>
        <v>S2</v>
      </c>
      <c r="Q875">
        <f>IFERROR(VLOOKUP(A875,vlookup_table!$A:$G,7,FALSE),"")</f>
        <v>20</v>
      </c>
      <c r="R875">
        <f t="shared" si="52"/>
        <v>71</v>
      </c>
      <c r="S875" t="str" cm="1">
        <f t="array" ref="S875">IF(P875="","",_xlfn.SWITCH(LEFT(P875,1),"C","Ciudad","T","Pueblo","R","Rural","S","Suburbano","U","Urbano",""))</f>
        <v>Suburbano</v>
      </c>
      <c r="T875" t="str">
        <f t="shared" si="53"/>
        <v>F</v>
      </c>
      <c r="U875" t="str">
        <f t="shared" si="54"/>
        <v>WA</v>
      </c>
      <c r="V875" t="str">
        <f t="shared" si="55"/>
        <v>15721</v>
      </c>
    </row>
    <row r="876" spans="1:22" x14ac:dyDescent="0.35">
      <c r="A876" s="3">
        <v>85931</v>
      </c>
      <c r="B876" t="s">
        <v>52</v>
      </c>
      <c r="C876" t="s">
        <v>30</v>
      </c>
      <c r="D876">
        <v>246</v>
      </c>
      <c r="E876">
        <v>256</v>
      </c>
      <c r="F876">
        <v>297</v>
      </c>
      <c r="G876">
        <v>0</v>
      </c>
      <c r="H876">
        <v>9572</v>
      </c>
      <c r="I876">
        <v>0</v>
      </c>
      <c r="J876">
        <v>86</v>
      </c>
      <c r="K876">
        <v>269</v>
      </c>
      <c r="L876">
        <v>276</v>
      </c>
      <c r="M876">
        <v>6.1111111109999996</v>
      </c>
      <c r="N876">
        <f>IFERROR(VLOOKUP(A876,vlookup_table!$A:$G,2,FALSE),"")</f>
        <v>0</v>
      </c>
      <c r="O876">
        <f>IFERROR(VLOOKUP(A876,vlookup_table!$A:$G,4,FALSE),"")</f>
        <v>0</v>
      </c>
      <c r="P876" t="str">
        <f>IFERROR(VLOOKUP(A876,vlookup_table!$A:$G,5,FALSE),"")</f>
        <v>R2</v>
      </c>
      <c r="Q876">
        <f>IFERROR(VLOOKUP(A876,vlookup_table!$A:$G,7,FALSE),"")</f>
        <v>6</v>
      </c>
      <c r="R876">
        <f t="shared" si="52"/>
        <v>97</v>
      </c>
      <c r="S876" t="str" cm="1">
        <f t="array" ref="S876">IF(P876="","",_xlfn.SWITCH(LEFT(P876,1),"C","Ciudad","T","Pueblo","R","Rural","S","Suburbano","U","Urbano",""))</f>
        <v>Rural</v>
      </c>
      <c r="T876" t="str">
        <f t="shared" si="53"/>
        <v>U</v>
      </c>
      <c r="U876" t="str">
        <f t="shared" si="54"/>
        <v>SD</v>
      </c>
      <c r="V876" t="str">
        <f t="shared" si="55"/>
        <v>9572</v>
      </c>
    </row>
    <row r="877" spans="1:22" x14ac:dyDescent="0.35">
      <c r="A877" s="3">
        <v>147305</v>
      </c>
      <c r="B877" t="s">
        <v>22</v>
      </c>
      <c r="C877" t="s">
        <v>14</v>
      </c>
      <c r="D877">
        <v>2741</v>
      </c>
      <c r="E877">
        <v>618</v>
      </c>
      <c r="F877">
        <v>558</v>
      </c>
      <c r="G877">
        <v>77</v>
      </c>
      <c r="H877">
        <v>21986</v>
      </c>
      <c r="I877">
        <v>4</v>
      </c>
      <c r="J877">
        <v>50</v>
      </c>
      <c r="K877">
        <v>609</v>
      </c>
      <c r="L877">
        <v>586</v>
      </c>
      <c r="M877">
        <v>12.4</v>
      </c>
      <c r="N877">
        <f>IFERROR(VLOOKUP(A877,vlookup_table!$A:$G,2,FALSE),"")</f>
        <v>1</v>
      </c>
      <c r="O877">
        <f>IFERROR(VLOOKUP(A877,vlookup_table!$A:$G,4,FALSE),"")</f>
        <v>5201</v>
      </c>
      <c r="P877" t="str">
        <f>IFERROR(VLOOKUP(A877,vlookup_table!$A:$G,5,FALSE),"")</f>
        <v>S1</v>
      </c>
      <c r="Q877">
        <f>IFERROR(VLOOKUP(A877,vlookup_table!$A:$G,7,FALSE),"")</f>
        <v>15</v>
      </c>
      <c r="R877">
        <f t="shared" si="52"/>
        <v>45</v>
      </c>
      <c r="S877" t="str" cm="1">
        <f t="array" ref="S877">IF(P877="","",_xlfn.SWITCH(LEFT(P877,1),"C","Ciudad","T","Pueblo","R","Rural","S","Suburbano","U","Urbano",""))</f>
        <v>Suburbano</v>
      </c>
      <c r="T877" t="str">
        <f t="shared" si="53"/>
        <v>M</v>
      </c>
      <c r="U877" t="str">
        <f t="shared" si="54"/>
        <v>CA</v>
      </c>
      <c r="V877" t="str">
        <f t="shared" si="55"/>
        <v>21986</v>
      </c>
    </row>
    <row r="878" spans="1:22" x14ac:dyDescent="0.35">
      <c r="A878" s="3">
        <v>122404</v>
      </c>
      <c r="B878" t="s">
        <v>21</v>
      </c>
      <c r="C878" t="s">
        <v>17</v>
      </c>
      <c r="D878">
        <v>546</v>
      </c>
      <c r="E878">
        <v>201</v>
      </c>
      <c r="F878">
        <v>319</v>
      </c>
      <c r="G878">
        <v>1</v>
      </c>
      <c r="H878">
        <v>10633</v>
      </c>
      <c r="I878">
        <v>9</v>
      </c>
      <c r="J878">
        <v>70</v>
      </c>
      <c r="K878">
        <v>244</v>
      </c>
      <c r="L878">
        <v>270</v>
      </c>
      <c r="M878">
        <v>10</v>
      </c>
      <c r="N878">
        <f>IFERROR(VLOOKUP(A878,vlookup_table!$A:$G,2,FALSE),"")</f>
        <v>28</v>
      </c>
      <c r="O878">
        <f>IFERROR(VLOOKUP(A878,vlookup_table!$A:$G,4,FALSE),"")</f>
        <v>3401</v>
      </c>
      <c r="P878" t="str">
        <f>IFERROR(VLOOKUP(A878,vlookup_table!$A:$G,5,FALSE),"")</f>
        <v>T2</v>
      </c>
      <c r="Q878">
        <f>IFERROR(VLOOKUP(A878,vlookup_table!$A:$G,7,FALSE),"")</f>
        <v>25</v>
      </c>
      <c r="R878">
        <f t="shared" si="52"/>
        <v>63</v>
      </c>
      <c r="S878" t="str" cm="1">
        <f t="array" ref="S878">IF(P878="","",_xlfn.SWITCH(LEFT(P878,1),"C","Ciudad","T","Pueblo","R","Rural","S","Suburbano","U","Urbano",""))</f>
        <v>Pueblo</v>
      </c>
      <c r="T878" t="str">
        <f t="shared" si="53"/>
        <v>F</v>
      </c>
      <c r="U878" t="str">
        <f t="shared" si="54"/>
        <v>TX</v>
      </c>
      <c r="V878" t="str">
        <f t="shared" si="55"/>
        <v>10633</v>
      </c>
    </row>
    <row r="879" spans="1:22" x14ac:dyDescent="0.35">
      <c r="A879" s="3">
        <v>27670</v>
      </c>
      <c r="B879" t="s">
        <v>39</v>
      </c>
      <c r="C879" t="s">
        <v>14</v>
      </c>
      <c r="D879">
        <v>894</v>
      </c>
      <c r="E879">
        <v>423</v>
      </c>
      <c r="F879">
        <v>509</v>
      </c>
      <c r="G879">
        <v>2</v>
      </c>
      <c r="H879">
        <v>19549</v>
      </c>
      <c r="I879">
        <v>9</v>
      </c>
      <c r="J879">
        <v>35</v>
      </c>
      <c r="K879">
        <v>481</v>
      </c>
      <c r="L879">
        <v>452</v>
      </c>
      <c r="M879">
        <v>11.5</v>
      </c>
      <c r="N879">
        <f>IFERROR(VLOOKUP(A879,vlookup_table!$A:$G,2,FALSE),"")</f>
        <v>0</v>
      </c>
      <c r="O879">
        <f>IFERROR(VLOOKUP(A879,vlookup_table!$A:$G,4,FALSE),"")</f>
        <v>0</v>
      </c>
      <c r="P879" t="str">
        <f>IFERROR(VLOOKUP(A879,vlookup_table!$A:$G,5,FALSE),"")</f>
        <v>S1</v>
      </c>
      <c r="Q879">
        <f>IFERROR(VLOOKUP(A879,vlookup_table!$A:$G,7,FALSE),"")</f>
        <v>25</v>
      </c>
      <c r="R879">
        <f t="shared" si="52"/>
        <v>97</v>
      </c>
      <c r="S879" t="str" cm="1">
        <f t="array" ref="S879">IF(P879="","",_xlfn.SWITCH(LEFT(P879,1),"C","Ciudad","T","Pueblo","R","Rural","S","Suburbano","U","Urbano",""))</f>
        <v>Suburbano</v>
      </c>
      <c r="T879" t="str">
        <f t="shared" si="53"/>
        <v>M</v>
      </c>
      <c r="U879" t="str">
        <f t="shared" si="54"/>
        <v>GA</v>
      </c>
      <c r="V879" t="str">
        <f t="shared" si="55"/>
        <v>19549</v>
      </c>
    </row>
    <row r="880" spans="1:22" x14ac:dyDescent="0.35">
      <c r="A880" s="3">
        <v>17791</v>
      </c>
      <c r="B880" t="s">
        <v>18</v>
      </c>
      <c r="C880" t="s">
        <v>65</v>
      </c>
      <c r="D880">
        <v>969</v>
      </c>
      <c r="E880">
        <v>515</v>
      </c>
      <c r="F880">
        <v>596</v>
      </c>
      <c r="G880">
        <v>13</v>
      </c>
      <c r="H880">
        <v>22008</v>
      </c>
      <c r="I880">
        <v>7</v>
      </c>
      <c r="J880">
        <v>51</v>
      </c>
      <c r="K880">
        <v>562</v>
      </c>
      <c r="L880">
        <v>544</v>
      </c>
      <c r="M880">
        <v>25</v>
      </c>
      <c r="N880">
        <f>IFERROR(VLOOKUP(A880,vlookup_table!$A:$G,2,FALSE),"")</f>
        <v>3</v>
      </c>
      <c r="O880">
        <f>IFERROR(VLOOKUP(A880,vlookup_table!$A:$G,4,FALSE),"")</f>
        <v>3901</v>
      </c>
      <c r="P880" t="str">
        <f>IFERROR(VLOOKUP(A880,vlookup_table!$A:$G,5,FALSE),"")</f>
        <v>C1</v>
      </c>
      <c r="Q880">
        <f>IFERROR(VLOOKUP(A880,vlookup_table!$A:$G,7,FALSE),"")</f>
        <v>25</v>
      </c>
      <c r="R880">
        <f t="shared" si="52"/>
        <v>58</v>
      </c>
      <c r="S880" t="str" cm="1">
        <f t="array" ref="S880">IF(P880="","",_xlfn.SWITCH(LEFT(P880,1),"C","Ciudad","T","Pueblo","R","Rural","S","Suburbano","U","Urbano",""))</f>
        <v>Ciudad</v>
      </c>
      <c r="T880" t="str">
        <f t="shared" si="53"/>
        <v>F</v>
      </c>
      <c r="U880" t="str">
        <f t="shared" si="54"/>
        <v>NC</v>
      </c>
      <c r="V880" t="str">
        <f t="shared" si="55"/>
        <v>22008</v>
      </c>
    </row>
    <row r="881" spans="1:22" x14ac:dyDescent="0.35">
      <c r="A881" s="3">
        <v>113728</v>
      </c>
      <c r="B881" t="s">
        <v>31</v>
      </c>
      <c r="C881" t="s">
        <v>14</v>
      </c>
      <c r="D881">
        <v>493</v>
      </c>
      <c r="E881">
        <v>244</v>
      </c>
      <c r="F881">
        <v>337</v>
      </c>
      <c r="G881">
        <v>0</v>
      </c>
      <c r="H881">
        <v>12105</v>
      </c>
      <c r="I881">
        <v>4</v>
      </c>
      <c r="J881">
        <v>61</v>
      </c>
      <c r="K881">
        <v>305</v>
      </c>
      <c r="L881">
        <v>273</v>
      </c>
      <c r="M881">
        <v>15</v>
      </c>
      <c r="N881">
        <f>IFERROR(VLOOKUP(A881,vlookup_table!$A:$G,2,FALSE),"")</f>
        <v>1</v>
      </c>
      <c r="O881">
        <f>IFERROR(VLOOKUP(A881,vlookup_table!$A:$G,4,FALSE),"")</f>
        <v>1901</v>
      </c>
      <c r="P881" t="str">
        <f>IFERROR(VLOOKUP(A881,vlookup_table!$A:$G,5,FALSE),"")</f>
        <v>C2</v>
      </c>
      <c r="Q881">
        <f>IFERROR(VLOOKUP(A881,vlookup_table!$A:$G,7,FALSE),"")</f>
        <v>15</v>
      </c>
      <c r="R881">
        <f t="shared" si="52"/>
        <v>78</v>
      </c>
      <c r="S881" t="str" cm="1">
        <f t="array" ref="S881">IF(P881="","",_xlfn.SWITCH(LEFT(P881,1),"C","Ciudad","T","Pueblo","R","Rural","S","Suburbano","U","Urbano",""))</f>
        <v>Ciudad</v>
      </c>
      <c r="T881" t="str">
        <f t="shared" si="53"/>
        <v>M</v>
      </c>
      <c r="U881" t="str">
        <f t="shared" si="54"/>
        <v>OK</v>
      </c>
      <c r="V881" t="str">
        <f t="shared" si="55"/>
        <v>12105</v>
      </c>
    </row>
    <row r="882" spans="1:22" x14ac:dyDescent="0.35">
      <c r="A882" s="3">
        <v>51846</v>
      </c>
      <c r="B882" t="s">
        <v>53</v>
      </c>
      <c r="C882" t="s">
        <v>17</v>
      </c>
      <c r="D882">
        <v>386</v>
      </c>
      <c r="E882">
        <v>177</v>
      </c>
      <c r="F882">
        <v>251</v>
      </c>
      <c r="G882">
        <v>0</v>
      </c>
      <c r="H882">
        <v>8524</v>
      </c>
      <c r="I882">
        <v>0</v>
      </c>
      <c r="J882">
        <v>83</v>
      </c>
      <c r="K882">
        <v>231</v>
      </c>
      <c r="L882">
        <v>220</v>
      </c>
      <c r="M882">
        <v>15</v>
      </c>
      <c r="N882">
        <f>IFERROR(VLOOKUP(A882,vlookup_table!$A:$G,2,FALSE),"")</f>
        <v>0</v>
      </c>
      <c r="O882">
        <f>IFERROR(VLOOKUP(A882,vlookup_table!$A:$G,4,FALSE),"")</f>
        <v>5501</v>
      </c>
      <c r="P882" t="str">
        <f>IFERROR(VLOOKUP(A882,vlookup_table!$A:$G,5,FALSE),"")</f>
        <v>R3</v>
      </c>
      <c r="Q882">
        <f>IFERROR(VLOOKUP(A882,vlookup_table!$A:$G,7,FALSE),"")</f>
        <v>25</v>
      </c>
      <c r="R882">
        <f t="shared" si="52"/>
        <v>42</v>
      </c>
      <c r="S882" t="str" cm="1">
        <f t="array" ref="S882">IF(P882="","",_xlfn.SWITCH(LEFT(P882,1),"C","Ciudad","T","Pueblo","R","Rural","S","Suburbano","U","Urbano",""))</f>
        <v>Rural</v>
      </c>
      <c r="T882" t="str">
        <f t="shared" si="53"/>
        <v>F</v>
      </c>
      <c r="U882" t="str">
        <f t="shared" si="54"/>
        <v>TN</v>
      </c>
      <c r="V882" t="str">
        <f t="shared" si="55"/>
        <v>8524</v>
      </c>
    </row>
    <row r="883" spans="1:22" x14ac:dyDescent="0.35">
      <c r="A883" s="3">
        <v>51528</v>
      </c>
      <c r="B883" t="s">
        <v>53</v>
      </c>
      <c r="C883" t="s">
        <v>17</v>
      </c>
      <c r="D883">
        <v>472</v>
      </c>
      <c r="E883">
        <v>257</v>
      </c>
      <c r="F883">
        <v>337</v>
      </c>
      <c r="G883">
        <v>0</v>
      </c>
      <c r="H883">
        <v>13332</v>
      </c>
      <c r="I883">
        <v>0</v>
      </c>
      <c r="J883">
        <v>64</v>
      </c>
      <c r="K883">
        <v>303</v>
      </c>
      <c r="L883">
        <v>284</v>
      </c>
      <c r="M883">
        <v>6.0714285710000002</v>
      </c>
      <c r="N883">
        <f>IFERROR(VLOOKUP(A883,vlookup_table!$A:$G,2,FALSE),"")</f>
        <v>0</v>
      </c>
      <c r="O883">
        <f>IFERROR(VLOOKUP(A883,vlookup_table!$A:$G,4,FALSE),"")</f>
        <v>3701</v>
      </c>
      <c r="P883" t="str">
        <f>IFERROR(VLOOKUP(A883,vlookup_table!$A:$G,5,FALSE),"")</f>
        <v>C2</v>
      </c>
      <c r="Q883">
        <f>IFERROR(VLOOKUP(A883,vlookup_table!$A:$G,7,FALSE),"")</f>
        <v>5</v>
      </c>
      <c r="R883">
        <f t="shared" si="52"/>
        <v>60</v>
      </c>
      <c r="S883" t="str" cm="1">
        <f t="array" ref="S883">IF(P883="","",_xlfn.SWITCH(LEFT(P883,1),"C","Ciudad","T","Pueblo","R","Rural","S","Suburbano","U","Urbano",""))</f>
        <v>Ciudad</v>
      </c>
      <c r="T883" t="str">
        <f t="shared" si="53"/>
        <v>F</v>
      </c>
      <c r="U883" t="str">
        <f t="shared" si="54"/>
        <v>TN</v>
      </c>
      <c r="V883" t="str">
        <f t="shared" si="55"/>
        <v>13332</v>
      </c>
    </row>
    <row r="884" spans="1:22" x14ac:dyDescent="0.35">
      <c r="A884" s="3">
        <v>155642</v>
      </c>
      <c r="B884" t="s">
        <v>22</v>
      </c>
      <c r="C884" t="s">
        <v>30</v>
      </c>
      <c r="D884">
        <v>1034</v>
      </c>
      <c r="E884">
        <v>176</v>
      </c>
      <c r="F884">
        <v>295</v>
      </c>
      <c r="G884">
        <v>2</v>
      </c>
      <c r="H884">
        <v>10176</v>
      </c>
      <c r="I884">
        <v>20</v>
      </c>
      <c r="J884">
        <v>44</v>
      </c>
      <c r="K884">
        <v>249</v>
      </c>
      <c r="L884">
        <v>222</v>
      </c>
      <c r="M884">
        <v>9</v>
      </c>
      <c r="N884">
        <f>IFERROR(VLOOKUP(A884,vlookup_table!$A:$G,2,FALSE),"")</f>
        <v>2</v>
      </c>
      <c r="O884">
        <f>IFERROR(VLOOKUP(A884,vlookup_table!$A:$G,4,FALSE),"")</f>
        <v>0</v>
      </c>
      <c r="P884" t="str">
        <f>IFERROR(VLOOKUP(A884,vlookup_table!$A:$G,5,FALSE),"")</f>
        <v>C2</v>
      </c>
      <c r="Q884">
        <f>IFERROR(VLOOKUP(A884,vlookup_table!$A:$G,7,FALSE),"")</f>
        <v>12</v>
      </c>
      <c r="R884">
        <f t="shared" si="52"/>
        <v>97</v>
      </c>
      <c r="S884" t="str" cm="1">
        <f t="array" ref="S884">IF(P884="","",_xlfn.SWITCH(LEFT(P884,1),"C","Ciudad","T","Pueblo","R","Rural","S","Suburbano","U","Urbano",""))</f>
        <v>Ciudad</v>
      </c>
      <c r="T884" t="str">
        <f t="shared" si="53"/>
        <v>U</v>
      </c>
      <c r="U884" t="str">
        <f t="shared" si="54"/>
        <v>CA</v>
      </c>
      <c r="V884" t="str">
        <f t="shared" si="55"/>
        <v>10176</v>
      </c>
    </row>
    <row r="885" spans="1:22" x14ac:dyDescent="0.35">
      <c r="A885" s="3">
        <v>99497</v>
      </c>
      <c r="B885" t="s">
        <v>36</v>
      </c>
      <c r="C885" t="s">
        <v>14</v>
      </c>
      <c r="D885">
        <v>834</v>
      </c>
      <c r="E885">
        <v>383</v>
      </c>
      <c r="F885">
        <v>413</v>
      </c>
      <c r="G885">
        <v>0</v>
      </c>
      <c r="H885">
        <v>12532</v>
      </c>
      <c r="I885">
        <v>2</v>
      </c>
      <c r="J885">
        <v>78</v>
      </c>
      <c r="K885">
        <v>409</v>
      </c>
      <c r="L885">
        <v>382</v>
      </c>
      <c r="M885">
        <v>8.2142857140000007</v>
      </c>
      <c r="N885">
        <f>IFERROR(VLOOKUP(A885,vlookup_table!$A:$G,2,FALSE),"")</f>
        <v>1</v>
      </c>
      <c r="O885">
        <f>IFERROR(VLOOKUP(A885,vlookup_table!$A:$G,4,FALSE),"")</f>
        <v>6201</v>
      </c>
      <c r="P885" t="str">
        <f>IFERROR(VLOOKUP(A885,vlookup_table!$A:$G,5,FALSE),"")</f>
        <v>T2</v>
      </c>
      <c r="Q885">
        <f>IFERROR(VLOOKUP(A885,vlookup_table!$A:$G,7,FALSE),"")</f>
        <v>5</v>
      </c>
      <c r="R885">
        <f t="shared" si="52"/>
        <v>35</v>
      </c>
      <c r="S885" t="str" cm="1">
        <f t="array" ref="S885">IF(P885="","",_xlfn.SWITCH(LEFT(P885,1),"C","Ciudad","T","Pueblo","R","Rural","S","Suburbano","U","Urbano",""))</f>
        <v>Pueblo</v>
      </c>
      <c r="T885" t="str">
        <f t="shared" si="53"/>
        <v>M</v>
      </c>
      <c r="U885" t="str">
        <f t="shared" si="54"/>
        <v>MO</v>
      </c>
      <c r="V885" t="str">
        <f t="shared" si="55"/>
        <v>12532</v>
      </c>
    </row>
    <row r="886" spans="1:22" x14ac:dyDescent="0.35">
      <c r="A886" s="3">
        <v>95240</v>
      </c>
      <c r="B886" t="s">
        <v>16</v>
      </c>
      <c r="C886" t="s">
        <v>14</v>
      </c>
      <c r="D886">
        <v>604</v>
      </c>
      <c r="E886">
        <v>344</v>
      </c>
      <c r="F886">
        <v>391</v>
      </c>
      <c r="G886">
        <v>0</v>
      </c>
      <c r="H886">
        <v>12452</v>
      </c>
      <c r="I886">
        <v>5</v>
      </c>
      <c r="J886">
        <v>63</v>
      </c>
      <c r="K886">
        <v>385</v>
      </c>
      <c r="L886">
        <v>339</v>
      </c>
      <c r="M886">
        <v>10.71875</v>
      </c>
      <c r="N886">
        <f>IFERROR(VLOOKUP(A886,vlookup_table!$A:$G,2,FALSE),"")</f>
        <v>1</v>
      </c>
      <c r="O886">
        <f>IFERROR(VLOOKUP(A886,vlookup_table!$A:$G,4,FALSE),"")</f>
        <v>5209</v>
      </c>
      <c r="P886" t="str">
        <f>IFERROR(VLOOKUP(A886,vlookup_table!$A:$G,5,FALSE),"")</f>
        <v>T2</v>
      </c>
      <c r="Q886">
        <f>IFERROR(VLOOKUP(A886,vlookup_table!$A:$G,7,FALSE),"")</f>
        <v>11</v>
      </c>
      <c r="R886">
        <f t="shared" si="52"/>
        <v>45</v>
      </c>
      <c r="S886" t="str" cm="1">
        <f t="array" ref="S886">IF(P886="","",_xlfn.SWITCH(LEFT(P886,1),"C","Ciudad","T","Pueblo","R","Rural","S","Suburbano","U","Urbano",""))</f>
        <v>Pueblo</v>
      </c>
      <c r="T886" t="str">
        <f t="shared" si="53"/>
        <v>M</v>
      </c>
      <c r="U886" t="str">
        <f t="shared" si="54"/>
        <v>IL</v>
      </c>
      <c r="V886" t="str">
        <f t="shared" si="55"/>
        <v>12452</v>
      </c>
    </row>
    <row r="887" spans="1:22" x14ac:dyDescent="0.35">
      <c r="A887" s="3">
        <v>126639</v>
      </c>
      <c r="B887" t="s">
        <v>21</v>
      </c>
      <c r="C887" t="s">
        <v>14</v>
      </c>
      <c r="D887">
        <v>588</v>
      </c>
      <c r="E887">
        <v>237</v>
      </c>
      <c r="F887">
        <v>329</v>
      </c>
      <c r="G887">
        <v>1</v>
      </c>
      <c r="H887">
        <v>11033</v>
      </c>
      <c r="I887">
        <v>4</v>
      </c>
      <c r="J887">
        <v>71</v>
      </c>
      <c r="K887">
        <v>272</v>
      </c>
      <c r="L887">
        <v>292</v>
      </c>
      <c r="M887">
        <v>7.4</v>
      </c>
      <c r="N887">
        <f>IFERROR(VLOOKUP(A887,vlookup_table!$A:$G,2,FALSE),"")</f>
        <v>0</v>
      </c>
      <c r="O887">
        <f>IFERROR(VLOOKUP(A887,vlookup_table!$A:$G,4,FALSE),"")</f>
        <v>709</v>
      </c>
      <c r="P887" t="str">
        <f>IFERROR(VLOOKUP(A887,vlookup_table!$A:$G,5,FALSE),"")</f>
        <v>R2</v>
      </c>
      <c r="Q887">
        <f>IFERROR(VLOOKUP(A887,vlookup_table!$A:$G,7,FALSE),"")</f>
        <v>8</v>
      </c>
      <c r="R887">
        <f t="shared" si="52"/>
        <v>90</v>
      </c>
      <c r="S887" t="str" cm="1">
        <f t="array" ref="S887">IF(P887="","",_xlfn.SWITCH(LEFT(P887,1),"C","Ciudad","T","Pueblo","R","Rural","S","Suburbano","U","Urbano",""))</f>
        <v>Rural</v>
      </c>
      <c r="T887" t="str">
        <f t="shared" si="53"/>
        <v>M</v>
      </c>
      <c r="U887" t="str">
        <f t="shared" si="54"/>
        <v>TX</v>
      </c>
      <c r="V887" t="str">
        <f t="shared" si="55"/>
        <v>11033</v>
      </c>
    </row>
    <row r="888" spans="1:22" x14ac:dyDescent="0.35">
      <c r="A888" s="3">
        <v>15965</v>
      </c>
      <c r="B888" t="s">
        <v>18</v>
      </c>
      <c r="C888" t="s">
        <v>14</v>
      </c>
      <c r="D888">
        <v>429</v>
      </c>
      <c r="E888">
        <v>232</v>
      </c>
      <c r="F888">
        <v>286</v>
      </c>
      <c r="G888">
        <v>0</v>
      </c>
      <c r="H888">
        <v>9832</v>
      </c>
      <c r="I888">
        <v>1</v>
      </c>
      <c r="J888">
        <v>75</v>
      </c>
      <c r="K888">
        <v>259</v>
      </c>
      <c r="L888">
        <v>253</v>
      </c>
      <c r="M888">
        <v>3.6875</v>
      </c>
      <c r="N888">
        <f>IFERROR(VLOOKUP(A888,vlookup_table!$A:$G,2,FALSE),"")</f>
        <v>1</v>
      </c>
      <c r="O888">
        <f>IFERROR(VLOOKUP(A888,vlookup_table!$A:$G,4,FALSE),"")</f>
        <v>2701</v>
      </c>
      <c r="P888" t="str">
        <f>IFERROR(VLOOKUP(A888,vlookup_table!$A:$G,5,FALSE),"")</f>
        <v>T3</v>
      </c>
      <c r="Q888">
        <f>IFERROR(VLOOKUP(A888,vlookup_table!$A:$G,7,FALSE),"")</f>
        <v>5</v>
      </c>
      <c r="R888">
        <f t="shared" si="52"/>
        <v>70</v>
      </c>
      <c r="S888" t="str" cm="1">
        <f t="array" ref="S888">IF(P888="","",_xlfn.SWITCH(LEFT(P888,1),"C","Ciudad","T","Pueblo","R","Rural","S","Suburbano","U","Urbano",""))</f>
        <v>Pueblo</v>
      </c>
      <c r="T888" t="str">
        <f t="shared" si="53"/>
        <v>M</v>
      </c>
      <c r="U888" t="str">
        <f t="shared" si="54"/>
        <v>NC</v>
      </c>
      <c r="V888" t="str">
        <f t="shared" si="55"/>
        <v>9832</v>
      </c>
    </row>
    <row r="889" spans="1:22" x14ac:dyDescent="0.35">
      <c r="A889" s="3">
        <v>114321</v>
      </c>
      <c r="B889" t="s">
        <v>31</v>
      </c>
      <c r="C889" t="s">
        <v>14</v>
      </c>
      <c r="D889">
        <v>737</v>
      </c>
      <c r="E889">
        <v>397</v>
      </c>
      <c r="F889">
        <v>456</v>
      </c>
      <c r="G889">
        <v>0</v>
      </c>
      <c r="H889">
        <v>14451</v>
      </c>
      <c r="I889">
        <v>1</v>
      </c>
      <c r="J889">
        <v>56</v>
      </c>
      <c r="K889">
        <v>420</v>
      </c>
      <c r="L889">
        <v>420</v>
      </c>
      <c r="M889">
        <v>15</v>
      </c>
      <c r="N889">
        <f>IFERROR(VLOOKUP(A889,vlookup_table!$A:$G,2,FALSE),"")</f>
        <v>1002</v>
      </c>
      <c r="O889">
        <f>IFERROR(VLOOKUP(A889,vlookup_table!$A:$G,4,FALSE),"")</f>
        <v>0</v>
      </c>
      <c r="P889" t="str">
        <f>IFERROR(VLOOKUP(A889,vlookup_table!$A:$G,5,FALSE),"")</f>
        <v>T2</v>
      </c>
      <c r="Q889">
        <f>IFERROR(VLOOKUP(A889,vlookup_table!$A:$G,7,FALSE),"")</f>
        <v>25</v>
      </c>
      <c r="R889">
        <f t="shared" si="52"/>
        <v>97</v>
      </c>
      <c r="S889" t="str" cm="1">
        <f t="array" ref="S889">IF(P889="","",_xlfn.SWITCH(LEFT(P889,1),"C","Ciudad","T","Pueblo","R","Rural","S","Suburbano","U","Urbano",""))</f>
        <v>Pueblo</v>
      </c>
      <c r="T889" t="str">
        <f t="shared" si="53"/>
        <v>M</v>
      </c>
      <c r="U889" t="str">
        <f t="shared" si="54"/>
        <v>OK</v>
      </c>
      <c r="V889" t="str">
        <f t="shared" si="55"/>
        <v>14451</v>
      </c>
    </row>
    <row r="890" spans="1:22" x14ac:dyDescent="0.35">
      <c r="A890" s="3">
        <v>132567</v>
      </c>
      <c r="B890" t="s">
        <v>66</v>
      </c>
      <c r="C890" t="s">
        <v>17</v>
      </c>
      <c r="D890">
        <v>985</v>
      </c>
      <c r="E890">
        <v>413</v>
      </c>
      <c r="F890">
        <v>478</v>
      </c>
      <c r="G890">
        <v>3</v>
      </c>
      <c r="H890">
        <v>16809</v>
      </c>
      <c r="I890">
        <v>1</v>
      </c>
      <c r="J890">
        <v>40</v>
      </c>
      <c r="K890">
        <v>453</v>
      </c>
      <c r="L890">
        <v>449</v>
      </c>
      <c r="M890">
        <v>15.33333333</v>
      </c>
      <c r="N890">
        <f>IFERROR(VLOOKUP(A890,vlookup_table!$A:$G,2,FALSE),"")</f>
        <v>0</v>
      </c>
      <c r="O890">
        <f>IFERROR(VLOOKUP(A890,vlookup_table!$A:$G,4,FALSE),"")</f>
        <v>3401</v>
      </c>
      <c r="P890" t="str">
        <f>IFERROR(VLOOKUP(A890,vlookup_table!$A:$G,5,FALSE),"")</f>
        <v>R1</v>
      </c>
      <c r="Q890">
        <f>IFERROR(VLOOKUP(A890,vlookup_table!$A:$G,7,FALSE),"")</f>
        <v>20</v>
      </c>
      <c r="R890">
        <f t="shared" si="52"/>
        <v>63</v>
      </c>
      <c r="S890" t="str" cm="1">
        <f t="array" ref="S890">IF(P890="","",_xlfn.SWITCH(LEFT(P890,1),"C","Ciudad","T","Pueblo","R","Rural","S","Suburbano","U","Urbano",""))</f>
        <v>Rural</v>
      </c>
      <c r="T890" t="str">
        <f t="shared" si="53"/>
        <v>F</v>
      </c>
      <c r="U890" t="str">
        <f t="shared" si="54"/>
        <v>WY</v>
      </c>
      <c r="V890" t="str">
        <f t="shared" si="55"/>
        <v>16809</v>
      </c>
    </row>
    <row r="891" spans="1:22" x14ac:dyDescent="0.35">
      <c r="A891" s="3">
        <v>78312</v>
      </c>
      <c r="B891" t="s">
        <v>35</v>
      </c>
      <c r="C891" t="s">
        <v>51</v>
      </c>
      <c r="D891">
        <v>565</v>
      </c>
      <c r="E891">
        <v>332</v>
      </c>
      <c r="F891">
        <v>383</v>
      </c>
      <c r="G891">
        <v>0</v>
      </c>
      <c r="H891">
        <v>15523</v>
      </c>
      <c r="I891">
        <v>3</v>
      </c>
      <c r="J891">
        <v>72</v>
      </c>
      <c r="K891">
        <v>406</v>
      </c>
      <c r="L891">
        <v>370</v>
      </c>
      <c r="M891">
        <v>10.55555556</v>
      </c>
      <c r="N891">
        <f>IFERROR(VLOOKUP(A891,vlookup_table!$A:$G,2,FALSE),"")</f>
        <v>1</v>
      </c>
      <c r="O891">
        <f>IFERROR(VLOOKUP(A891,vlookup_table!$A:$G,4,FALSE),"")</f>
        <v>3307</v>
      </c>
      <c r="P891" t="str">
        <f>IFERROR(VLOOKUP(A891,vlookup_table!$A:$G,5,FALSE),"")</f>
        <v>S2</v>
      </c>
      <c r="Q891">
        <f>IFERROR(VLOOKUP(A891,vlookup_table!$A:$G,7,FALSE),"")</f>
        <v>15</v>
      </c>
      <c r="R891">
        <f t="shared" si="52"/>
        <v>64</v>
      </c>
      <c r="S891" t="str" cm="1">
        <f t="array" ref="S891">IF(P891="","",_xlfn.SWITCH(LEFT(P891,1),"C","Ciudad","T","Pueblo","R","Rural","S","Suburbano","U","Urbano",""))</f>
        <v>Suburbano</v>
      </c>
      <c r="T891" t="str">
        <f t="shared" si="53"/>
        <v>M</v>
      </c>
      <c r="U891" t="str">
        <f t="shared" si="54"/>
        <v>WI</v>
      </c>
      <c r="V891" t="str">
        <f t="shared" si="55"/>
        <v>15523</v>
      </c>
    </row>
    <row r="892" spans="1:22" x14ac:dyDescent="0.35">
      <c r="A892" s="3">
        <v>188078</v>
      </c>
      <c r="B892" t="s">
        <v>46</v>
      </c>
      <c r="C892" t="s">
        <v>14</v>
      </c>
      <c r="D892">
        <v>1083</v>
      </c>
      <c r="E892">
        <v>450</v>
      </c>
      <c r="F892">
        <v>557</v>
      </c>
      <c r="G892">
        <v>11</v>
      </c>
      <c r="H892">
        <v>18815</v>
      </c>
      <c r="I892">
        <v>3</v>
      </c>
      <c r="J892">
        <v>38</v>
      </c>
      <c r="K892">
        <v>502</v>
      </c>
      <c r="L892">
        <v>506</v>
      </c>
      <c r="M892">
        <v>11.125</v>
      </c>
      <c r="N892">
        <f>IFERROR(VLOOKUP(A892,vlookup_table!$A:$G,2,FALSE),"")</f>
        <v>0</v>
      </c>
      <c r="O892">
        <f>IFERROR(VLOOKUP(A892,vlookup_table!$A:$G,4,FALSE),"")</f>
        <v>0</v>
      </c>
      <c r="P892" t="str">
        <f>IFERROR(VLOOKUP(A892,vlookup_table!$A:$G,5,FALSE),"")</f>
        <v>T1</v>
      </c>
      <c r="Q892">
        <f>IFERROR(VLOOKUP(A892,vlookup_table!$A:$G,7,FALSE),"")</f>
        <v>10</v>
      </c>
      <c r="R892">
        <f t="shared" si="52"/>
        <v>97</v>
      </c>
      <c r="S892" t="str" cm="1">
        <f t="array" ref="S892">IF(P892="","",_xlfn.SWITCH(LEFT(P892,1),"C","Ciudad","T","Pueblo","R","Rural","S","Suburbano","U","Urbano",""))</f>
        <v>Pueblo</v>
      </c>
      <c r="T892" t="str">
        <f t="shared" si="53"/>
        <v>M</v>
      </c>
      <c r="U892" t="str">
        <f t="shared" si="54"/>
        <v>SC</v>
      </c>
      <c r="V892" t="str">
        <f t="shared" si="55"/>
        <v>18815</v>
      </c>
    </row>
    <row r="893" spans="1:22" x14ac:dyDescent="0.35">
      <c r="A893" s="3">
        <v>102398</v>
      </c>
      <c r="B893" t="s">
        <v>36</v>
      </c>
      <c r="C893" t="s">
        <v>17</v>
      </c>
      <c r="D893">
        <v>442</v>
      </c>
      <c r="E893">
        <v>213</v>
      </c>
      <c r="F893">
        <v>259</v>
      </c>
      <c r="G893">
        <v>0</v>
      </c>
      <c r="H893">
        <v>14114</v>
      </c>
      <c r="I893">
        <v>1</v>
      </c>
      <c r="J893">
        <v>53</v>
      </c>
      <c r="K893">
        <v>210</v>
      </c>
      <c r="L893">
        <v>274</v>
      </c>
      <c r="M893">
        <v>5.1666666670000003</v>
      </c>
      <c r="N893">
        <f>IFERROR(VLOOKUP(A893,vlookup_table!$A:$G,2,FALSE),"")</f>
        <v>0</v>
      </c>
      <c r="O893">
        <f>IFERROR(VLOOKUP(A893,vlookup_table!$A:$G,4,FALSE),"")</f>
        <v>2810</v>
      </c>
      <c r="P893" t="str">
        <f>IFERROR(VLOOKUP(A893,vlookup_table!$A:$G,5,FALSE),"")</f>
        <v>C2</v>
      </c>
      <c r="Q893">
        <f>IFERROR(VLOOKUP(A893,vlookup_table!$A:$G,7,FALSE),"")</f>
        <v>12</v>
      </c>
      <c r="R893">
        <f t="shared" si="52"/>
        <v>69</v>
      </c>
      <c r="S893" t="str" cm="1">
        <f t="array" ref="S893">IF(P893="","",_xlfn.SWITCH(LEFT(P893,1),"C","Ciudad","T","Pueblo","R","Rural","S","Suburbano","U","Urbano",""))</f>
        <v>Ciudad</v>
      </c>
      <c r="T893" t="str">
        <f t="shared" si="53"/>
        <v>F</v>
      </c>
      <c r="U893" t="str">
        <f t="shared" si="54"/>
        <v>MO</v>
      </c>
      <c r="V893" t="str">
        <f t="shared" si="55"/>
        <v>14114</v>
      </c>
    </row>
    <row r="894" spans="1:22" x14ac:dyDescent="0.35">
      <c r="A894" s="3">
        <v>45116</v>
      </c>
      <c r="B894" t="s">
        <v>13</v>
      </c>
      <c r="C894" t="s">
        <v>14</v>
      </c>
      <c r="D894">
        <v>1642</v>
      </c>
      <c r="E894">
        <v>522</v>
      </c>
      <c r="F894">
        <v>651</v>
      </c>
      <c r="G894">
        <v>26</v>
      </c>
      <c r="H894">
        <v>28264</v>
      </c>
      <c r="I894">
        <v>5</v>
      </c>
      <c r="J894">
        <v>9</v>
      </c>
      <c r="K894">
        <v>551</v>
      </c>
      <c r="L894">
        <v>611</v>
      </c>
      <c r="M894">
        <v>4.9130434779999996</v>
      </c>
      <c r="N894">
        <f>IFERROR(VLOOKUP(A894,vlookup_table!$A:$G,2,FALSE),"")</f>
        <v>0</v>
      </c>
      <c r="O894">
        <f>IFERROR(VLOOKUP(A894,vlookup_table!$A:$G,4,FALSE),"")</f>
        <v>1308</v>
      </c>
      <c r="P894" t="str">
        <f>IFERROR(VLOOKUP(A894,vlookup_table!$A:$G,5,FALSE),"")</f>
        <v>S1</v>
      </c>
      <c r="Q894">
        <f>IFERROR(VLOOKUP(A894,vlookup_table!$A:$G,7,FALSE),"")</f>
        <v>5</v>
      </c>
      <c r="R894">
        <f t="shared" si="52"/>
        <v>84</v>
      </c>
      <c r="S894" t="str" cm="1">
        <f t="array" ref="S894">IF(P894="","",_xlfn.SWITCH(LEFT(P894,1),"C","Ciudad","T","Pueblo","R","Rural","S","Suburbano","U","Urbano",""))</f>
        <v>Suburbano</v>
      </c>
      <c r="T894" t="str">
        <f t="shared" si="53"/>
        <v>M</v>
      </c>
      <c r="U894" t="str">
        <f t="shared" si="54"/>
        <v>FL</v>
      </c>
      <c r="V894" t="str">
        <f t="shared" si="55"/>
        <v>28264</v>
      </c>
    </row>
    <row r="895" spans="1:22" x14ac:dyDescent="0.35">
      <c r="A895" s="3">
        <v>155921</v>
      </c>
      <c r="B895" t="s">
        <v>22</v>
      </c>
      <c r="C895" t="s">
        <v>14</v>
      </c>
      <c r="D895">
        <v>1483</v>
      </c>
      <c r="E895">
        <v>306</v>
      </c>
      <c r="F895">
        <v>416</v>
      </c>
      <c r="G895">
        <v>27</v>
      </c>
      <c r="H895">
        <v>17874</v>
      </c>
      <c r="I895">
        <v>4</v>
      </c>
      <c r="J895">
        <v>50</v>
      </c>
      <c r="K895">
        <v>333</v>
      </c>
      <c r="L895">
        <v>382</v>
      </c>
      <c r="M895">
        <v>14.07692308</v>
      </c>
      <c r="N895">
        <f>IFERROR(VLOOKUP(A895,vlookup_table!$A:$G,2,FALSE),"")</f>
        <v>2</v>
      </c>
      <c r="O895">
        <f>IFERROR(VLOOKUP(A895,vlookup_table!$A:$G,4,FALSE),"")</f>
        <v>2001</v>
      </c>
      <c r="P895" t="str">
        <f>IFERROR(VLOOKUP(A895,vlookup_table!$A:$G,5,FALSE),"")</f>
        <v>R1</v>
      </c>
      <c r="Q895">
        <f>IFERROR(VLOOKUP(A895,vlookup_table!$A:$G,7,FALSE),"")</f>
        <v>25</v>
      </c>
      <c r="R895">
        <f t="shared" si="52"/>
        <v>77</v>
      </c>
      <c r="S895" t="str" cm="1">
        <f t="array" ref="S895">IF(P895="","",_xlfn.SWITCH(LEFT(P895,1),"C","Ciudad","T","Pueblo","R","Rural","S","Suburbano","U","Urbano",""))</f>
        <v>Rural</v>
      </c>
      <c r="T895" t="str">
        <f t="shared" si="53"/>
        <v>M</v>
      </c>
      <c r="U895" t="str">
        <f t="shared" si="54"/>
        <v>CA</v>
      </c>
      <c r="V895" t="str">
        <f t="shared" si="55"/>
        <v>17874</v>
      </c>
    </row>
    <row r="896" spans="1:22" x14ac:dyDescent="0.35">
      <c r="A896" s="3">
        <v>77196</v>
      </c>
      <c r="B896" t="s">
        <v>35</v>
      </c>
      <c r="C896" t="s">
        <v>17</v>
      </c>
      <c r="D896">
        <v>940</v>
      </c>
      <c r="E896">
        <v>428</v>
      </c>
      <c r="F896">
        <v>495</v>
      </c>
      <c r="G896">
        <v>0</v>
      </c>
      <c r="H896">
        <v>16556</v>
      </c>
      <c r="I896">
        <v>3</v>
      </c>
      <c r="J896">
        <v>83</v>
      </c>
      <c r="K896">
        <v>465</v>
      </c>
      <c r="L896">
        <v>452</v>
      </c>
      <c r="M896">
        <v>15</v>
      </c>
      <c r="N896">
        <f>IFERROR(VLOOKUP(A896,vlookup_table!$A:$G,2,FALSE),"")</f>
        <v>0</v>
      </c>
      <c r="O896">
        <f>IFERROR(VLOOKUP(A896,vlookup_table!$A:$G,4,FALSE),"")</f>
        <v>6501</v>
      </c>
      <c r="P896" t="str">
        <f>IFERROR(VLOOKUP(A896,vlookup_table!$A:$G,5,FALSE),"")</f>
        <v>T2</v>
      </c>
      <c r="Q896">
        <f>IFERROR(VLOOKUP(A896,vlookup_table!$A:$G,7,FALSE),"")</f>
        <v>25</v>
      </c>
      <c r="R896">
        <f t="shared" si="52"/>
        <v>32</v>
      </c>
      <c r="S896" t="str" cm="1">
        <f t="array" ref="S896">IF(P896="","",_xlfn.SWITCH(LEFT(P896,1),"C","Ciudad","T","Pueblo","R","Rural","S","Suburbano","U","Urbano",""))</f>
        <v>Pueblo</v>
      </c>
      <c r="T896" t="str">
        <f t="shared" si="53"/>
        <v>F</v>
      </c>
      <c r="U896" t="str">
        <f t="shared" si="54"/>
        <v>WI</v>
      </c>
      <c r="V896" t="str">
        <f t="shared" si="55"/>
        <v>16556</v>
      </c>
    </row>
    <row r="897" spans="1:22" x14ac:dyDescent="0.35">
      <c r="A897" s="3">
        <v>10893</v>
      </c>
      <c r="B897" t="s">
        <v>22</v>
      </c>
      <c r="D897">
        <v>2012</v>
      </c>
      <c r="E897">
        <v>225</v>
      </c>
      <c r="F897">
        <v>374</v>
      </c>
      <c r="G897">
        <v>51</v>
      </c>
      <c r="H897">
        <v>16165</v>
      </c>
      <c r="I897">
        <v>10</v>
      </c>
      <c r="J897">
        <v>36</v>
      </c>
      <c r="K897">
        <v>316</v>
      </c>
      <c r="L897">
        <v>294</v>
      </c>
      <c r="M897">
        <v>15.66666667</v>
      </c>
      <c r="N897">
        <f>IFERROR(VLOOKUP(A897,vlookup_table!$A:$G,2,FALSE),"")</f>
        <v>0</v>
      </c>
      <c r="O897">
        <f>IFERROR(VLOOKUP(A897,vlookup_table!$A:$G,4,FALSE),"")</f>
        <v>0</v>
      </c>
      <c r="P897" t="str">
        <f>IFERROR(VLOOKUP(A897,vlookup_table!$A:$G,5,FALSE),"")</f>
        <v>R1</v>
      </c>
      <c r="Q897">
        <f>IFERROR(VLOOKUP(A897,vlookup_table!$A:$G,7,FALSE),"")</f>
        <v>20</v>
      </c>
      <c r="R897">
        <f t="shared" si="52"/>
        <v>97</v>
      </c>
      <c r="S897" t="str" cm="1">
        <f t="array" ref="S897">IF(P897="","",_xlfn.SWITCH(LEFT(P897,1),"C","Ciudad","T","Pueblo","R","Rural","S","Suburbano","U","Urbano",""))</f>
        <v>Rural</v>
      </c>
      <c r="T897" t="str">
        <f t="shared" si="53"/>
        <v/>
      </c>
      <c r="U897" t="str">
        <f t="shared" si="54"/>
        <v>CA</v>
      </c>
      <c r="V897" t="str">
        <f t="shared" si="55"/>
        <v>16165</v>
      </c>
    </row>
    <row r="898" spans="1:22" x14ac:dyDescent="0.35">
      <c r="A898" s="3">
        <v>19621</v>
      </c>
      <c r="B898" t="s">
        <v>18</v>
      </c>
      <c r="C898" t="s">
        <v>65</v>
      </c>
      <c r="D898">
        <v>517</v>
      </c>
      <c r="E898">
        <v>123</v>
      </c>
      <c r="F898">
        <v>231</v>
      </c>
      <c r="G898">
        <v>0</v>
      </c>
      <c r="H898">
        <v>7025</v>
      </c>
      <c r="I898">
        <v>1</v>
      </c>
      <c r="J898">
        <v>81</v>
      </c>
      <c r="K898">
        <v>180</v>
      </c>
      <c r="L898">
        <v>194</v>
      </c>
      <c r="M898">
        <v>12</v>
      </c>
      <c r="N898">
        <f>IFERROR(VLOOKUP(A898,vlookup_table!$A:$G,2,FALSE),"")</f>
        <v>0</v>
      </c>
      <c r="O898">
        <f>IFERROR(VLOOKUP(A898,vlookup_table!$A:$G,4,FALSE),"")</f>
        <v>2707</v>
      </c>
      <c r="P898" t="str">
        <f>IFERROR(VLOOKUP(A898,vlookup_table!$A:$G,5,FALSE),"")</f>
        <v>C3</v>
      </c>
      <c r="Q898">
        <f>IFERROR(VLOOKUP(A898,vlookup_table!$A:$G,7,FALSE),"")</f>
        <v>21</v>
      </c>
      <c r="R898">
        <f t="shared" ref="R898:R961" si="56">IF(O898="","",97-INT(O898/100))</f>
        <v>70</v>
      </c>
      <c r="S898" t="str" cm="1">
        <f t="array" ref="S898">IF(P898="","",_xlfn.SWITCH(LEFT(P898,1),"C","Ciudad","T","Pueblo","R","Rural","S","Suburbano","U","Urbano",""))</f>
        <v>Ciudad</v>
      </c>
      <c r="T898" t="str">
        <f t="shared" ref="T898:T961" si="57">IF(C898="","",IF(OR(UPPER(C898)="M",UPPER(C898)="MALE"),"M",IF(OR(UPPER(C898)="F",UPPER(C898)="FEMALE",UPPER(C898)="FEAMALE"),"F",C898)))</f>
        <v>F</v>
      </c>
      <c r="U898" t="str">
        <f t="shared" ref="U898:U961" si="58">IF(OR(UPPER(B898)="CALIFORNIA",UPPER(B898)="CALI"),"CA",B898)</f>
        <v>NC</v>
      </c>
      <c r="V898" t="str">
        <f t="shared" ref="V898:V961" si="59">SUBSTITUTE(H898,"@","")</f>
        <v>7025</v>
      </c>
    </row>
    <row r="899" spans="1:22" x14ac:dyDescent="0.35">
      <c r="A899" s="3">
        <v>149653</v>
      </c>
      <c r="B899" t="s">
        <v>22</v>
      </c>
      <c r="C899" t="s">
        <v>17</v>
      </c>
      <c r="D899">
        <v>1773</v>
      </c>
      <c r="E899">
        <v>292</v>
      </c>
      <c r="F899">
        <v>367</v>
      </c>
      <c r="G899">
        <v>29</v>
      </c>
      <c r="H899">
        <v>12551</v>
      </c>
      <c r="I899">
        <v>41</v>
      </c>
      <c r="J899">
        <v>37</v>
      </c>
      <c r="K899">
        <v>306</v>
      </c>
      <c r="L899">
        <v>346</v>
      </c>
      <c r="M899">
        <v>15</v>
      </c>
      <c r="N899">
        <f>IFERROR(VLOOKUP(A899,vlookup_table!$A:$G,2,FALSE),"")</f>
        <v>0</v>
      </c>
      <c r="O899">
        <f>IFERROR(VLOOKUP(A899,vlookup_table!$A:$G,4,FALSE),"")</f>
        <v>4908</v>
      </c>
      <c r="P899" t="str">
        <f>IFERROR(VLOOKUP(A899,vlookup_table!$A:$G,5,FALSE),"")</f>
        <v>U2</v>
      </c>
      <c r="Q899">
        <f>IFERROR(VLOOKUP(A899,vlookup_table!$A:$G,7,FALSE),"")</f>
        <v>10</v>
      </c>
      <c r="R899">
        <f t="shared" si="56"/>
        <v>48</v>
      </c>
      <c r="S899" t="str" cm="1">
        <f t="array" ref="S899">IF(P899="","",_xlfn.SWITCH(LEFT(P899,1),"C","Ciudad","T","Pueblo","R","Rural","S","Suburbano","U","Urbano",""))</f>
        <v>Urbano</v>
      </c>
      <c r="T899" t="str">
        <f t="shared" si="57"/>
        <v>F</v>
      </c>
      <c r="U899" t="str">
        <f t="shared" si="58"/>
        <v>CA</v>
      </c>
      <c r="V899" t="str">
        <f t="shared" si="59"/>
        <v>12551</v>
      </c>
    </row>
    <row r="900" spans="1:22" x14ac:dyDescent="0.35">
      <c r="A900" s="3">
        <v>159750</v>
      </c>
      <c r="B900" t="s">
        <v>22</v>
      </c>
      <c r="C900" t="s">
        <v>14</v>
      </c>
      <c r="D900">
        <v>946</v>
      </c>
      <c r="E900">
        <v>382</v>
      </c>
      <c r="F900">
        <v>524</v>
      </c>
      <c r="G900">
        <v>15</v>
      </c>
      <c r="H900">
        <v>18560</v>
      </c>
      <c r="I900">
        <v>5</v>
      </c>
      <c r="J900">
        <v>63</v>
      </c>
      <c r="K900">
        <v>436</v>
      </c>
      <c r="L900">
        <v>465</v>
      </c>
      <c r="M900">
        <v>6</v>
      </c>
      <c r="N900">
        <f>IFERROR(VLOOKUP(A900,vlookup_table!$A:$G,2,FALSE),"")</f>
        <v>0</v>
      </c>
      <c r="O900">
        <f>IFERROR(VLOOKUP(A900,vlookup_table!$A:$G,4,FALSE),"")</f>
        <v>1801</v>
      </c>
      <c r="P900" t="str">
        <f>IFERROR(VLOOKUP(A900,vlookup_table!$A:$G,5,FALSE),"")</f>
        <v>C2</v>
      </c>
      <c r="Q900">
        <f>IFERROR(VLOOKUP(A900,vlookup_table!$A:$G,7,FALSE),"")</f>
        <v>9</v>
      </c>
      <c r="R900">
        <f t="shared" si="56"/>
        <v>79</v>
      </c>
      <c r="S900" t="str" cm="1">
        <f t="array" ref="S900">IF(P900="","",_xlfn.SWITCH(LEFT(P900,1),"C","Ciudad","T","Pueblo","R","Rural","S","Suburbano","U","Urbano",""))</f>
        <v>Ciudad</v>
      </c>
      <c r="T900" t="str">
        <f t="shared" si="57"/>
        <v>M</v>
      </c>
      <c r="U900" t="str">
        <f t="shared" si="58"/>
        <v>CA</v>
      </c>
      <c r="V900" t="str">
        <f t="shared" si="59"/>
        <v>18560</v>
      </c>
    </row>
    <row r="901" spans="1:22" x14ac:dyDescent="0.35">
      <c r="A901" s="3">
        <v>136269</v>
      </c>
      <c r="B901" t="s">
        <v>55</v>
      </c>
      <c r="C901" t="s">
        <v>65</v>
      </c>
      <c r="D901">
        <v>1149</v>
      </c>
      <c r="E901">
        <v>563</v>
      </c>
      <c r="F901">
        <v>606</v>
      </c>
      <c r="G901">
        <v>12</v>
      </c>
      <c r="H901">
        <v>18764</v>
      </c>
      <c r="I901">
        <v>3</v>
      </c>
      <c r="J901">
        <v>27</v>
      </c>
      <c r="K901">
        <v>566</v>
      </c>
      <c r="L901">
        <v>598</v>
      </c>
      <c r="M901">
        <v>8.5555555559999998</v>
      </c>
      <c r="N901">
        <f>IFERROR(VLOOKUP(A901,vlookup_table!$A:$G,2,FALSE),"")</f>
        <v>0</v>
      </c>
      <c r="O901">
        <f>IFERROR(VLOOKUP(A901,vlookup_table!$A:$G,4,FALSE),"")</f>
        <v>3401</v>
      </c>
      <c r="P901" t="str">
        <f>IFERROR(VLOOKUP(A901,vlookup_table!$A:$G,5,FALSE),"")</f>
        <v>S1</v>
      </c>
      <c r="Q901">
        <f>IFERROR(VLOOKUP(A901,vlookup_table!$A:$G,7,FALSE),"")</f>
        <v>15</v>
      </c>
      <c r="R901">
        <f t="shared" si="56"/>
        <v>63</v>
      </c>
      <c r="S901" t="str" cm="1">
        <f t="array" ref="S901">IF(P901="","",_xlfn.SWITCH(LEFT(P901,1),"C","Ciudad","T","Pueblo","R","Rural","S","Suburbano","U","Urbano",""))</f>
        <v>Suburbano</v>
      </c>
      <c r="T901" t="str">
        <f t="shared" si="57"/>
        <v>F</v>
      </c>
      <c r="U901" t="str">
        <f t="shared" si="58"/>
        <v>AZ</v>
      </c>
      <c r="V901" t="str">
        <f t="shared" si="59"/>
        <v>18764</v>
      </c>
    </row>
    <row r="902" spans="1:22" x14ac:dyDescent="0.35">
      <c r="A902" s="3">
        <v>108029</v>
      </c>
      <c r="B902" t="s">
        <v>49</v>
      </c>
      <c r="C902" t="s">
        <v>14</v>
      </c>
      <c r="D902">
        <v>729</v>
      </c>
      <c r="E902">
        <v>407</v>
      </c>
      <c r="F902">
        <v>483</v>
      </c>
      <c r="G902">
        <v>3</v>
      </c>
      <c r="H902">
        <v>13568</v>
      </c>
      <c r="I902">
        <v>1</v>
      </c>
      <c r="J902">
        <v>92</v>
      </c>
      <c r="K902">
        <v>444</v>
      </c>
      <c r="L902">
        <v>448</v>
      </c>
      <c r="M902">
        <v>4.875</v>
      </c>
      <c r="N902">
        <f>IFERROR(VLOOKUP(A902,vlookup_table!$A:$G,2,FALSE),"")</f>
        <v>0</v>
      </c>
      <c r="O902">
        <f>IFERROR(VLOOKUP(A902,vlookup_table!$A:$G,4,FALSE),"")</f>
        <v>4909</v>
      </c>
      <c r="P902" t="str">
        <f>IFERROR(VLOOKUP(A902,vlookup_table!$A:$G,5,FALSE),"")</f>
        <v>S2</v>
      </c>
      <c r="Q902">
        <f>IFERROR(VLOOKUP(A902,vlookup_table!$A:$G,7,FALSE),"")</f>
        <v>5</v>
      </c>
      <c r="R902">
        <f t="shared" si="56"/>
        <v>48</v>
      </c>
      <c r="S902" t="str" cm="1">
        <f t="array" ref="S902">IF(P902="","",_xlfn.SWITCH(LEFT(P902,1),"C","Ciudad","T","Pueblo","R","Rural","S","Suburbano","U","Urbano",""))</f>
        <v>Suburbano</v>
      </c>
      <c r="T902" t="str">
        <f t="shared" si="57"/>
        <v>M</v>
      </c>
      <c r="U902" t="str">
        <f t="shared" si="58"/>
        <v>LA</v>
      </c>
      <c r="V902" t="str">
        <f t="shared" si="59"/>
        <v>13568</v>
      </c>
    </row>
    <row r="903" spans="1:22" x14ac:dyDescent="0.35">
      <c r="A903" s="3">
        <v>10719</v>
      </c>
      <c r="B903" t="s">
        <v>40</v>
      </c>
      <c r="C903" t="s">
        <v>17</v>
      </c>
      <c r="D903">
        <v>2375</v>
      </c>
      <c r="E903">
        <v>327</v>
      </c>
      <c r="F903">
        <v>377</v>
      </c>
      <c r="G903">
        <v>67</v>
      </c>
      <c r="H903">
        <v>16653</v>
      </c>
      <c r="I903">
        <v>6</v>
      </c>
      <c r="J903">
        <v>40</v>
      </c>
      <c r="K903">
        <v>358</v>
      </c>
      <c r="L903">
        <v>331</v>
      </c>
      <c r="M903">
        <v>11.55555556</v>
      </c>
      <c r="N903">
        <f>IFERROR(VLOOKUP(A903,vlookup_table!$A:$G,2,FALSE),"")</f>
        <v>2</v>
      </c>
      <c r="O903">
        <f>IFERROR(VLOOKUP(A903,vlookup_table!$A:$G,4,FALSE),"")</f>
        <v>1401</v>
      </c>
      <c r="P903">
        <f>IFERROR(VLOOKUP(A903,vlookup_table!$A:$G,5,FALSE),"")</f>
        <v>0</v>
      </c>
      <c r="Q903">
        <f>IFERROR(VLOOKUP(A903,vlookup_table!$A:$G,7,FALSE),"")</f>
        <v>19</v>
      </c>
      <c r="R903">
        <f t="shared" si="56"/>
        <v>83</v>
      </c>
      <c r="S903" t="str" cm="1">
        <f t="array" ref="S903">IF(P903="","",_xlfn.SWITCH(LEFT(P903,1),"C","Ciudad","T","Pueblo","R","Rural","S","Suburbano","U","Urbano",""))</f>
        <v/>
      </c>
      <c r="T903" t="str">
        <f t="shared" si="57"/>
        <v>F</v>
      </c>
      <c r="U903" t="str">
        <f t="shared" si="58"/>
        <v>WA</v>
      </c>
      <c r="V903" t="str">
        <f t="shared" si="59"/>
        <v>16653</v>
      </c>
    </row>
    <row r="904" spans="1:22" x14ac:dyDescent="0.35">
      <c r="A904" s="3">
        <v>156572</v>
      </c>
      <c r="B904" t="s">
        <v>22</v>
      </c>
      <c r="C904" t="s">
        <v>14</v>
      </c>
      <c r="D904">
        <v>3092</v>
      </c>
      <c r="E904">
        <v>578</v>
      </c>
      <c r="F904">
        <v>720</v>
      </c>
      <c r="G904">
        <v>66</v>
      </c>
      <c r="H904">
        <v>25768</v>
      </c>
      <c r="I904">
        <v>13</v>
      </c>
      <c r="J904">
        <v>47</v>
      </c>
      <c r="K904">
        <v>644</v>
      </c>
      <c r="L904">
        <v>641</v>
      </c>
      <c r="M904">
        <v>17.333333329999999</v>
      </c>
      <c r="N904">
        <f>IFERROR(VLOOKUP(A904,vlookup_table!$A:$G,2,FALSE),"")</f>
        <v>0</v>
      </c>
      <c r="O904">
        <f>IFERROR(VLOOKUP(A904,vlookup_table!$A:$G,4,FALSE),"")</f>
        <v>0</v>
      </c>
      <c r="P904" t="str">
        <f>IFERROR(VLOOKUP(A904,vlookup_table!$A:$G,5,FALSE),"")</f>
        <v>S1</v>
      </c>
      <c r="Q904">
        <f>IFERROR(VLOOKUP(A904,vlookup_table!$A:$G,7,FALSE),"")</f>
        <v>25</v>
      </c>
      <c r="R904">
        <f t="shared" si="56"/>
        <v>97</v>
      </c>
      <c r="S904" t="str" cm="1">
        <f t="array" ref="S904">IF(P904="","",_xlfn.SWITCH(LEFT(P904,1),"C","Ciudad","T","Pueblo","R","Rural","S","Suburbano","U","Urbano",""))</f>
        <v>Suburbano</v>
      </c>
      <c r="T904" t="str">
        <f t="shared" si="57"/>
        <v>M</v>
      </c>
      <c r="U904" t="str">
        <f t="shared" si="58"/>
        <v>CA</v>
      </c>
      <c r="V904" t="str">
        <f t="shared" si="59"/>
        <v>25768</v>
      </c>
    </row>
    <row r="905" spans="1:22" x14ac:dyDescent="0.35">
      <c r="A905" s="3">
        <v>152737</v>
      </c>
      <c r="B905" t="s">
        <v>22</v>
      </c>
      <c r="C905" t="s">
        <v>14</v>
      </c>
      <c r="D905">
        <v>2312</v>
      </c>
      <c r="E905">
        <v>456</v>
      </c>
      <c r="F905">
        <v>589</v>
      </c>
      <c r="G905">
        <v>63</v>
      </c>
      <c r="H905">
        <v>21372</v>
      </c>
      <c r="I905">
        <v>7</v>
      </c>
      <c r="J905">
        <v>44</v>
      </c>
      <c r="K905">
        <v>516</v>
      </c>
      <c r="L905">
        <v>531</v>
      </c>
      <c r="M905">
        <v>8.9411764710000003</v>
      </c>
      <c r="N905">
        <f>IFERROR(VLOOKUP(A905,vlookup_table!$A:$G,2,FALSE),"")</f>
        <v>0</v>
      </c>
      <c r="O905">
        <f>IFERROR(VLOOKUP(A905,vlookup_table!$A:$G,4,FALSE),"")</f>
        <v>0</v>
      </c>
      <c r="P905" t="str">
        <f>IFERROR(VLOOKUP(A905,vlookup_table!$A:$G,5,FALSE),"")</f>
        <v>S1</v>
      </c>
      <c r="Q905">
        <f>IFERROR(VLOOKUP(A905,vlookup_table!$A:$G,7,FALSE),"")</f>
        <v>7</v>
      </c>
      <c r="R905">
        <f t="shared" si="56"/>
        <v>97</v>
      </c>
      <c r="S905" t="str" cm="1">
        <f t="array" ref="S905">IF(P905="","",_xlfn.SWITCH(LEFT(P905,1),"C","Ciudad","T","Pueblo","R","Rural","S","Suburbano","U","Urbano",""))</f>
        <v>Suburbano</v>
      </c>
      <c r="T905" t="str">
        <f t="shared" si="57"/>
        <v>M</v>
      </c>
      <c r="U905" t="str">
        <f t="shared" si="58"/>
        <v>CA</v>
      </c>
      <c r="V905" t="str">
        <f t="shared" si="59"/>
        <v>21372</v>
      </c>
    </row>
    <row r="906" spans="1:22" x14ac:dyDescent="0.35">
      <c r="A906" s="3">
        <v>94307</v>
      </c>
      <c r="B906" t="s">
        <v>16</v>
      </c>
      <c r="C906" t="s">
        <v>17</v>
      </c>
      <c r="D906">
        <v>1063</v>
      </c>
      <c r="E906">
        <v>269</v>
      </c>
      <c r="F906">
        <v>393</v>
      </c>
      <c r="G906">
        <v>0</v>
      </c>
      <c r="H906">
        <v>13817</v>
      </c>
      <c r="I906">
        <v>36</v>
      </c>
      <c r="J906">
        <v>55</v>
      </c>
      <c r="K906">
        <v>322</v>
      </c>
      <c r="L906">
        <v>304</v>
      </c>
      <c r="M906">
        <v>9.1739130440000007</v>
      </c>
      <c r="N906">
        <f>IFERROR(VLOOKUP(A906,vlookup_table!$A:$G,2,FALSE),"")</f>
        <v>0</v>
      </c>
      <c r="O906">
        <f>IFERROR(VLOOKUP(A906,vlookup_table!$A:$G,4,FALSE),"")</f>
        <v>2001</v>
      </c>
      <c r="P906" t="str">
        <f>IFERROR(VLOOKUP(A906,vlookup_table!$A:$G,5,FALSE),"")</f>
        <v>U2</v>
      </c>
      <c r="Q906">
        <f>IFERROR(VLOOKUP(A906,vlookup_table!$A:$G,7,FALSE),"")</f>
        <v>15</v>
      </c>
      <c r="R906">
        <f t="shared" si="56"/>
        <v>77</v>
      </c>
      <c r="S906" t="str" cm="1">
        <f t="array" ref="S906">IF(P906="","",_xlfn.SWITCH(LEFT(P906,1),"C","Ciudad","T","Pueblo","R","Rural","S","Suburbano","U","Urbano",""))</f>
        <v>Urbano</v>
      </c>
      <c r="T906" t="str">
        <f t="shared" si="57"/>
        <v>F</v>
      </c>
      <c r="U906" t="str">
        <f t="shared" si="58"/>
        <v>IL</v>
      </c>
      <c r="V906" t="str">
        <f t="shared" si="59"/>
        <v>13817</v>
      </c>
    </row>
    <row r="907" spans="1:22" x14ac:dyDescent="0.35">
      <c r="A907" s="3">
        <v>129947</v>
      </c>
      <c r="B907" t="s">
        <v>48</v>
      </c>
      <c r="C907" t="s">
        <v>17</v>
      </c>
      <c r="D907">
        <v>552</v>
      </c>
      <c r="E907">
        <v>194</v>
      </c>
      <c r="F907">
        <v>315</v>
      </c>
      <c r="G907">
        <v>1</v>
      </c>
      <c r="H907" s="2" t="s">
        <v>67</v>
      </c>
      <c r="I907">
        <v>9</v>
      </c>
      <c r="J907">
        <v>49</v>
      </c>
      <c r="K907">
        <v>258</v>
      </c>
      <c r="L907">
        <v>262</v>
      </c>
      <c r="M907">
        <v>20</v>
      </c>
      <c r="N907">
        <f>IFERROR(VLOOKUP(A907,vlookup_table!$A:$G,2,FALSE),"")</f>
        <v>28</v>
      </c>
      <c r="O907">
        <f>IFERROR(VLOOKUP(A907,vlookup_table!$A:$G,4,FALSE),"")</f>
        <v>4401</v>
      </c>
      <c r="P907" t="str">
        <f>IFERROR(VLOOKUP(A907,vlookup_table!$A:$G,5,FALSE),"")</f>
        <v>C3</v>
      </c>
      <c r="Q907">
        <f>IFERROR(VLOOKUP(A907,vlookup_table!$A:$G,7,FALSE),"")</f>
        <v>20</v>
      </c>
      <c r="R907">
        <f t="shared" si="56"/>
        <v>53</v>
      </c>
      <c r="S907" t="str" cm="1">
        <f t="array" ref="S907">IF(P907="","",_xlfn.SWITCH(LEFT(P907,1),"C","Ciudad","T","Pueblo","R","Rural","S","Suburbano","U","Urbano",""))</f>
        <v>Ciudad</v>
      </c>
      <c r="T907" t="str">
        <f t="shared" si="57"/>
        <v>F</v>
      </c>
      <c r="U907" t="str">
        <f t="shared" si="58"/>
        <v>CO</v>
      </c>
      <c r="V907" t="str">
        <f t="shared" si="59"/>
        <v>10909</v>
      </c>
    </row>
    <row r="908" spans="1:22" x14ac:dyDescent="0.35">
      <c r="A908" s="3">
        <v>108919</v>
      </c>
      <c r="B908" t="s">
        <v>49</v>
      </c>
      <c r="C908" t="s">
        <v>17</v>
      </c>
      <c r="D908">
        <v>629</v>
      </c>
      <c r="E908">
        <v>210</v>
      </c>
      <c r="F908">
        <v>327</v>
      </c>
      <c r="G908">
        <v>1</v>
      </c>
      <c r="H908">
        <v>11405</v>
      </c>
      <c r="I908">
        <v>2</v>
      </c>
      <c r="J908">
        <v>62</v>
      </c>
      <c r="K908">
        <v>277</v>
      </c>
      <c r="L908">
        <v>279</v>
      </c>
      <c r="M908">
        <v>9.5</v>
      </c>
      <c r="N908">
        <f>IFERROR(VLOOKUP(A908,vlookup_table!$A:$G,2,FALSE),"")</f>
        <v>28</v>
      </c>
      <c r="O908">
        <f>IFERROR(VLOOKUP(A908,vlookup_table!$A:$G,4,FALSE),"")</f>
        <v>0</v>
      </c>
      <c r="P908" t="str">
        <f>IFERROR(VLOOKUP(A908,vlookup_table!$A:$G,5,FALSE),"")</f>
        <v>C2</v>
      </c>
      <c r="Q908">
        <f>IFERROR(VLOOKUP(A908,vlookup_table!$A:$G,7,FALSE),"")</f>
        <v>15</v>
      </c>
      <c r="R908">
        <f t="shared" si="56"/>
        <v>97</v>
      </c>
      <c r="S908" t="str" cm="1">
        <f t="array" ref="S908">IF(P908="","",_xlfn.SWITCH(LEFT(P908,1),"C","Ciudad","T","Pueblo","R","Rural","S","Suburbano","U","Urbano",""))</f>
        <v>Ciudad</v>
      </c>
      <c r="T908" t="str">
        <f t="shared" si="57"/>
        <v>F</v>
      </c>
      <c r="U908" t="str">
        <f t="shared" si="58"/>
        <v>LA</v>
      </c>
      <c r="V908" t="str">
        <f t="shared" si="59"/>
        <v>11405</v>
      </c>
    </row>
    <row r="909" spans="1:22" x14ac:dyDescent="0.35">
      <c r="A909" s="3">
        <v>4055</v>
      </c>
      <c r="B909" t="s">
        <v>21</v>
      </c>
      <c r="C909" t="s">
        <v>14</v>
      </c>
      <c r="D909">
        <v>1247</v>
      </c>
      <c r="E909">
        <v>555</v>
      </c>
      <c r="F909">
        <v>718</v>
      </c>
      <c r="G909">
        <v>8</v>
      </c>
      <c r="H909">
        <v>28285</v>
      </c>
      <c r="I909">
        <v>4</v>
      </c>
      <c r="J909">
        <v>62</v>
      </c>
      <c r="K909">
        <v>617</v>
      </c>
      <c r="L909">
        <v>672</v>
      </c>
      <c r="M909">
        <v>10.15384615</v>
      </c>
      <c r="N909">
        <f>IFERROR(VLOOKUP(A909,vlookup_table!$A:$G,2,FALSE),"")</f>
        <v>1</v>
      </c>
      <c r="O909">
        <f>IFERROR(VLOOKUP(A909,vlookup_table!$A:$G,4,FALSE),"")</f>
        <v>5101</v>
      </c>
      <c r="P909" t="str">
        <f>IFERROR(VLOOKUP(A909,vlookup_table!$A:$G,5,FALSE),"")</f>
        <v>C1</v>
      </c>
      <c r="Q909">
        <f>IFERROR(VLOOKUP(A909,vlookup_table!$A:$G,7,FALSE),"")</f>
        <v>10</v>
      </c>
      <c r="R909">
        <f t="shared" si="56"/>
        <v>46</v>
      </c>
      <c r="S909" t="str" cm="1">
        <f t="array" ref="S909">IF(P909="","",_xlfn.SWITCH(LEFT(P909,1),"C","Ciudad","T","Pueblo","R","Rural","S","Suburbano","U","Urbano",""))</f>
        <v>Ciudad</v>
      </c>
      <c r="T909" t="str">
        <f t="shared" si="57"/>
        <v>M</v>
      </c>
      <c r="U909" t="str">
        <f t="shared" si="58"/>
        <v>TX</v>
      </c>
      <c r="V909" t="str">
        <f t="shared" si="59"/>
        <v>28285</v>
      </c>
    </row>
    <row r="910" spans="1:22" x14ac:dyDescent="0.35">
      <c r="A910" s="3">
        <v>175907</v>
      </c>
      <c r="B910" t="s">
        <v>50</v>
      </c>
      <c r="C910" t="s">
        <v>17</v>
      </c>
      <c r="D910">
        <v>807</v>
      </c>
      <c r="E910">
        <v>351</v>
      </c>
      <c r="F910">
        <v>420</v>
      </c>
      <c r="G910">
        <v>0</v>
      </c>
      <c r="H910">
        <v>16532</v>
      </c>
      <c r="I910">
        <v>7</v>
      </c>
      <c r="J910">
        <v>51</v>
      </c>
      <c r="K910">
        <v>388</v>
      </c>
      <c r="L910">
        <v>377</v>
      </c>
      <c r="M910">
        <v>9.5294117650000008</v>
      </c>
      <c r="N910">
        <f>IFERROR(VLOOKUP(A910,vlookup_table!$A:$G,2,FALSE),"")</f>
        <v>2</v>
      </c>
      <c r="O910">
        <f>IFERROR(VLOOKUP(A910,vlookup_table!$A:$G,4,FALSE),"")</f>
        <v>1508</v>
      </c>
      <c r="P910" t="str">
        <f>IFERROR(VLOOKUP(A910,vlookup_table!$A:$G,5,FALSE),"")</f>
        <v>C2</v>
      </c>
      <c r="Q910">
        <f>IFERROR(VLOOKUP(A910,vlookup_table!$A:$G,7,FALSE),"")</f>
        <v>15</v>
      </c>
      <c r="R910">
        <f t="shared" si="56"/>
        <v>82</v>
      </c>
      <c r="S910" t="str" cm="1">
        <f t="array" ref="S910">IF(P910="","",_xlfn.SWITCH(LEFT(P910,1),"C","Ciudad","T","Pueblo","R","Rural","S","Suburbano","U","Urbano",""))</f>
        <v>Ciudad</v>
      </c>
      <c r="T910" t="str">
        <f t="shared" si="57"/>
        <v>F</v>
      </c>
      <c r="U910" t="str">
        <f t="shared" si="58"/>
        <v>OR</v>
      </c>
      <c r="V910" t="str">
        <f t="shared" si="59"/>
        <v>16532</v>
      </c>
    </row>
    <row r="911" spans="1:22" x14ac:dyDescent="0.35">
      <c r="A911" s="3">
        <v>13188</v>
      </c>
      <c r="B911" t="s">
        <v>33</v>
      </c>
      <c r="C911" t="s">
        <v>17</v>
      </c>
      <c r="D911">
        <v>679</v>
      </c>
      <c r="E911">
        <v>236</v>
      </c>
      <c r="F911">
        <v>328</v>
      </c>
      <c r="G911">
        <v>1</v>
      </c>
      <c r="H911">
        <v>6997</v>
      </c>
      <c r="I911">
        <v>0</v>
      </c>
      <c r="J911">
        <v>91</v>
      </c>
      <c r="K911">
        <v>247</v>
      </c>
      <c r="L911">
        <v>304</v>
      </c>
      <c r="M911">
        <v>47.18181818</v>
      </c>
      <c r="N911">
        <f>IFERROR(VLOOKUP(A911,vlookup_table!$A:$G,2,FALSE),"")</f>
        <v>0</v>
      </c>
      <c r="O911">
        <f>IFERROR(VLOOKUP(A911,vlookup_table!$A:$G,4,FALSE),"")</f>
        <v>5001</v>
      </c>
      <c r="P911" t="str">
        <f>IFERROR(VLOOKUP(A911,vlookup_table!$A:$G,5,FALSE),"")</f>
        <v>R3</v>
      </c>
      <c r="Q911">
        <f>IFERROR(VLOOKUP(A911,vlookup_table!$A:$G,7,FALSE),"")</f>
        <v>100</v>
      </c>
      <c r="R911">
        <f t="shared" si="56"/>
        <v>47</v>
      </c>
      <c r="S911" t="str" cm="1">
        <f t="array" ref="S911">IF(P911="","",_xlfn.SWITCH(LEFT(P911,1),"C","Ciudad","T","Pueblo","R","Rural","S","Suburbano","U","Urbano",""))</f>
        <v>Rural</v>
      </c>
      <c r="T911" t="str">
        <f t="shared" si="57"/>
        <v>F</v>
      </c>
      <c r="U911" t="str">
        <f t="shared" si="58"/>
        <v>IN</v>
      </c>
      <c r="V911" t="str">
        <f t="shared" si="59"/>
        <v>6997</v>
      </c>
    </row>
    <row r="912" spans="1:22" x14ac:dyDescent="0.35">
      <c r="A912" s="3">
        <v>35181</v>
      </c>
      <c r="B912" t="s">
        <v>13</v>
      </c>
      <c r="C912" t="s">
        <v>14</v>
      </c>
      <c r="D912">
        <v>1395</v>
      </c>
      <c r="E912">
        <v>471</v>
      </c>
      <c r="F912">
        <v>642</v>
      </c>
      <c r="G912">
        <v>28</v>
      </c>
      <c r="H912">
        <v>28892</v>
      </c>
      <c r="I912">
        <v>6</v>
      </c>
      <c r="J912">
        <v>20</v>
      </c>
      <c r="K912">
        <v>509</v>
      </c>
      <c r="L912">
        <v>580</v>
      </c>
      <c r="M912">
        <v>20.875</v>
      </c>
      <c r="N912">
        <f>IFERROR(VLOOKUP(A912,vlookup_table!$A:$G,2,FALSE),"")</f>
        <v>2</v>
      </c>
      <c r="O912">
        <f>IFERROR(VLOOKUP(A912,vlookup_table!$A:$G,4,FALSE),"")</f>
        <v>3208</v>
      </c>
      <c r="P912" t="str">
        <f>IFERROR(VLOOKUP(A912,vlookup_table!$A:$G,5,FALSE),"")</f>
        <v>S1</v>
      </c>
      <c r="Q912">
        <f>IFERROR(VLOOKUP(A912,vlookup_table!$A:$G,7,FALSE),"")</f>
        <v>25</v>
      </c>
      <c r="R912">
        <f t="shared" si="56"/>
        <v>65</v>
      </c>
      <c r="S912" t="str" cm="1">
        <f t="array" ref="S912">IF(P912="","",_xlfn.SWITCH(LEFT(P912,1),"C","Ciudad","T","Pueblo","R","Rural","S","Suburbano","U","Urbano",""))</f>
        <v>Suburbano</v>
      </c>
      <c r="T912" t="str">
        <f t="shared" si="57"/>
        <v>M</v>
      </c>
      <c r="U912" t="str">
        <f t="shared" si="58"/>
        <v>FL</v>
      </c>
      <c r="V912" t="str">
        <f t="shared" si="59"/>
        <v>28892</v>
      </c>
    </row>
    <row r="913" spans="1:22" x14ac:dyDescent="0.35">
      <c r="A913" s="3">
        <v>53127</v>
      </c>
      <c r="B913" t="s">
        <v>53</v>
      </c>
      <c r="C913" t="s">
        <v>14</v>
      </c>
      <c r="D913">
        <v>576</v>
      </c>
      <c r="E913">
        <v>216</v>
      </c>
      <c r="F913">
        <v>339</v>
      </c>
      <c r="G913">
        <v>0</v>
      </c>
      <c r="H913">
        <v>17149</v>
      </c>
      <c r="I913">
        <v>0</v>
      </c>
      <c r="J913">
        <v>78</v>
      </c>
      <c r="K913">
        <v>319</v>
      </c>
      <c r="L913">
        <v>295</v>
      </c>
      <c r="M913">
        <v>17.625</v>
      </c>
      <c r="N913">
        <f>IFERROR(VLOOKUP(A913,vlookup_table!$A:$G,2,FALSE),"")</f>
        <v>2</v>
      </c>
      <c r="O913">
        <f>IFERROR(VLOOKUP(A913,vlookup_table!$A:$G,4,FALSE),"")</f>
        <v>0</v>
      </c>
      <c r="P913" t="str">
        <f>IFERROR(VLOOKUP(A913,vlookup_table!$A:$G,5,FALSE),"")</f>
        <v>T2</v>
      </c>
      <c r="Q913">
        <f>IFERROR(VLOOKUP(A913,vlookup_table!$A:$G,7,FALSE),"")</f>
        <v>30</v>
      </c>
      <c r="R913">
        <f t="shared" si="56"/>
        <v>97</v>
      </c>
      <c r="S913" t="str" cm="1">
        <f t="array" ref="S913">IF(P913="","",_xlfn.SWITCH(LEFT(P913,1),"C","Ciudad","T","Pueblo","R","Rural","S","Suburbano","U","Urbano",""))</f>
        <v>Pueblo</v>
      </c>
      <c r="T913" t="str">
        <f t="shared" si="57"/>
        <v>M</v>
      </c>
      <c r="U913" t="str">
        <f t="shared" si="58"/>
        <v>TN</v>
      </c>
      <c r="V913" t="str">
        <f t="shared" si="59"/>
        <v>17149</v>
      </c>
    </row>
    <row r="914" spans="1:22" x14ac:dyDescent="0.35">
      <c r="A914" s="3">
        <v>88056</v>
      </c>
      <c r="B914" t="s">
        <v>16</v>
      </c>
      <c r="C914" t="s">
        <v>17</v>
      </c>
      <c r="D914">
        <v>1355</v>
      </c>
      <c r="E914">
        <v>496</v>
      </c>
      <c r="F914">
        <v>670</v>
      </c>
      <c r="G914">
        <v>13</v>
      </c>
      <c r="H914">
        <v>27692</v>
      </c>
      <c r="I914">
        <v>9</v>
      </c>
      <c r="J914">
        <v>65</v>
      </c>
      <c r="K914">
        <v>567</v>
      </c>
      <c r="L914">
        <v>593</v>
      </c>
      <c r="M914">
        <v>3.8</v>
      </c>
      <c r="N914">
        <f>IFERROR(VLOOKUP(A914,vlookup_table!$A:$G,2,FALSE),"")</f>
        <v>0</v>
      </c>
      <c r="O914">
        <f>IFERROR(VLOOKUP(A914,vlookup_table!$A:$G,4,FALSE),"")</f>
        <v>2901</v>
      </c>
      <c r="P914" t="str">
        <f>IFERROR(VLOOKUP(A914,vlookup_table!$A:$G,5,FALSE),"")</f>
        <v>S1</v>
      </c>
      <c r="Q914">
        <f>IFERROR(VLOOKUP(A914,vlookup_table!$A:$G,7,FALSE),"")</f>
        <v>5</v>
      </c>
      <c r="R914">
        <f t="shared" si="56"/>
        <v>68</v>
      </c>
      <c r="S914" t="str" cm="1">
        <f t="array" ref="S914">IF(P914="","",_xlfn.SWITCH(LEFT(P914,1),"C","Ciudad","T","Pueblo","R","Rural","S","Suburbano","U","Urbano",""))</f>
        <v>Suburbano</v>
      </c>
      <c r="T914" t="str">
        <f t="shared" si="57"/>
        <v>F</v>
      </c>
      <c r="U914" t="str">
        <f t="shared" si="58"/>
        <v>IL</v>
      </c>
      <c r="V914" t="str">
        <f t="shared" si="59"/>
        <v>27692</v>
      </c>
    </row>
    <row r="915" spans="1:22" x14ac:dyDescent="0.35">
      <c r="A915" s="3">
        <v>145944</v>
      </c>
      <c r="B915" t="s">
        <v>22</v>
      </c>
      <c r="C915" t="s">
        <v>17</v>
      </c>
      <c r="D915">
        <v>2679</v>
      </c>
      <c r="E915">
        <v>445</v>
      </c>
      <c r="F915">
        <v>572</v>
      </c>
      <c r="G915">
        <v>78</v>
      </c>
      <c r="H915">
        <v>20693</v>
      </c>
      <c r="I915">
        <v>11</v>
      </c>
      <c r="J915">
        <v>55</v>
      </c>
      <c r="K915">
        <v>470</v>
      </c>
      <c r="L915">
        <v>535</v>
      </c>
      <c r="M915">
        <v>6.5833333329999997</v>
      </c>
      <c r="N915">
        <f>IFERROR(VLOOKUP(A915,vlookup_table!$A:$G,2,FALSE),"")</f>
        <v>0</v>
      </c>
      <c r="O915">
        <f>IFERROR(VLOOKUP(A915,vlookup_table!$A:$G,4,FALSE),"")</f>
        <v>2703</v>
      </c>
      <c r="P915" t="str">
        <f>IFERROR(VLOOKUP(A915,vlookup_table!$A:$G,5,FALSE),"")</f>
        <v>S1</v>
      </c>
      <c r="Q915">
        <f>IFERROR(VLOOKUP(A915,vlookup_table!$A:$G,7,FALSE),"")</f>
        <v>13</v>
      </c>
      <c r="R915">
        <f t="shared" si="56"/>
        <v>70</v>
      </c>
      <c r="S915" t="str" cm="1">
        <f t="array" ref="S915">IF(P915="","",_xlfn.SWITCH(LEFT(P915,1),"C","Ciudad","T","Pueblo","R","Rural","S","Suburbano","U","Urbano",""))</f>
        <v>Suburbano</v>
      </c>
      <c r="T915" t="str">
        <f t="shared" si="57"/>
        <v>F</v>
      </c>
      <c r="U915" t="str">
        <f t="shared" si="58"/>
        <v>CA</v>
      </c>
      <c r="V915" t="str">
        <f t="shared" si="59"/>
        <v>20693</v>
      </c>
    </row>
    <row r="916" spans="1:22" x14ac:dyDescent="0.35">
      <c r="A916" s="3">
        <v>86640</v>
      </c>
      <c r="B916" t="s">
        <v>45</v>
      </c>
      <c r="C916" t="s">
        <v>17</v>
      </c>
      <c r="D916">
        <v>553</v>
      </c>
      <c r="E916">
        <v>340</v>
      </c>
      <c r="F916">
        <v>395</v>
      </c>
      <c r="G916">
        <v>0</v>
      </c>
      <c r="H916">
        <v>13167</v>
      </c>
      <c r="I916">
        <v>1</v>
      </c>
      <c r="J916">
        <v>76</v>
      </c>
      <c r="K916">
        <v>399</v>
      </c>
      <c r="L916">
        <v>355</v>
      </c>
      <c r="M916">
        <v>6.8620689659999998</v>
      </c>
      <c r="N916">
        <f>IFERROR(VLOOKUP(A916,vlookup_table!$A:$G,2,FALSE),"")</f>
        <v>0</v>
      </c>
      <c r="O916">
        <f>IFERROR(VLOOKUP(A916,vlookup_table!$A:$G,4,FALSE),"")</f>
        <v>0</v>
      </c>
      <c r="P916" t="str">
        <f>IFERROR(VLOOKUP(A916,vlookup_table!$A:$G,5,FALSE),"")</f>
        <v>R2</v>
      </c>
      <c r="Q916">
        <f>IFERROR(VLOOKUP(A916,vlookup_table!$A:$G,7,FALSE),"")</f>
        <v>13</v>
      </c>
      <c r="R916">
        <f t="shared" si="56"/>
        <v>97</v>
      </c>
      <c r="S916" t="str" cm="1">
        <f t="array" ref="S916">IF(P916="","",_xlfn.SWITCH(LEFT(P916,1),"C","Ciudad","T","Pueblo","R","Rural","S","Suburbano","U","Urbano",""))</f>
        <v>Rural</v>
      </c>
      <c r="T916" t="str">
        <f t="shared" si="57"/>
        <v>F</v>
      </c>
      <c r="U916" t="str">
        <f t="shared" si="58"/>
        <v>ND</v>
      </c>
      <c r="V916" t="str">
        <f t="shared" si="59"/>
        <v>13167</v>
      </c>
    </row>
    <row r="917" spans="1:22" x14ac:dyDescent="0.35">
      <c r="A917" s="3">
        <v>99673</v>
      </c>
      <c r="B917" t="s">
        <v>36</v>
      </c>
      <c r="C917" t="s">
        <v>17</v>
      </c>
      <c r="D917">
        <v>638</v>
      </c>
      <c r="E917">
        <v>470</v>
      </c>
      <c r="F917">
        <v>521</v>
      </c>
      <c r="G917">
        <v>0</v>
      </c>
      <c r="H917">
        <v>15490</v>
      </c>
      <c r="I917">
        <v>2</v>
      </c>
      <c r="J917">
        <v>84</v>
      </c>
      <c r="K917">
        <v>483</v>
      </c>
      <c r="L917">
        <v>488</v>
      </c>
      <c r="M917">
        <v>9.5</v>
      </c>
      <c r="N917">
        <f>IFERROR(VLOOKUP(A917,vlookup_table!$A:$G,2,FALSE),"")</f>
        <v>0</v>
      </c>
      <c r="O917">
        <f>IFERROR(VLOOKUP(A917,vlookup_table!$A:$G,4,FALSE),"")</f>
        <v>5807</v>
      </c>
      <c r="P917" t="str">
        <f>IFERROR(VLOOKUP(A917,vlookup_table!$A:$G,5,FALSE),"")</f>
        <v>S2</v>
      </c>
      <c r="Q917">
        <f>IFERROR(VLOOKUP(A917,vlookup_table!$A:$G,7,FALSE),"")</f>
        <v>22</v>
      </c>
      <c r="R917">
        <f t="shared" si="56"/>
        <v>39</v>
      </c>
      <c r="S917" t="str" cm="1">
        <f t="array" ref="S917">IF(P917="","",_xlfn.SWITCH(LEFT(P917,1),"C","Ciudad","T","Pueblo","R","Rural","S","Suburbano","U","Urbano",""))</f>
        <v>Suburbano</v>
      </c>
      <c r="T917" t="str">
        <f t="shared" si="57"/>
        <v>F</v>
      </c>
      <c r="U917" t="str">
        <f t="shared" si="58"/>
        <v>MO</v>
      </c>
      <c r="V917" t="str">
        <f t="shared" si="59"/>
        <v>15490</v>
      </c>
    </row>
    <row r="918" spans="1:22" x14ac:dyDescent="0.35">
      <c r="A918" s="3">
        <v>96000</v>
      </c>
      <c r="B918" t="s">
        <v>16</v>
      </c>
      <c r="C918" t="s">
        <v>14</v>
      </c>
      <c r="D918">
        <v>359</v>
      </c>
      <c r="E918">
        <v>88</v>
      </c>
      <c r="F918">
        <v>329</v>
      </c>
      <c r="G918">
        <v>0</v>
      </c>
      <c r="H918">
        <v>10543</v>
      </c>
      <c r="I918">
        <v>10</v>
      </c>
      <c r="J918">
        <v>53</v>
      </c>
      <c r="K918">
        <v>218</v>
      </c>
      <c r="L918">
        <v>159</v>
      </c>
      <c r="M918">
        <v>3.5833333330000001</v>
      </c>
      <c r="N918">
        <f>IFERROR(VLOOKUP(A918,vlookup_table!$A:$G,2,FALSE),"")</f>
        <v>2</v>
      </c>
      <c r="O918">
        <f>IFERROR(VLOOKUP(A918,vlookup_table!$A:$G,4,FALSE),"")</f>
        <v>1401</v>
      </c>
      <c r="P918" t="str">
        <f>IFERROR(VLOOKUP(A918,vlookup_table!$A:$G,5,FALSE),"")</f>
        <v>C3</v>
      </c>
      <c r="Q918">
        <f>IFERROR(VLOOKUP(A918,vlookup_table!$A:$G,7,FALSE),"")</f>
        <v>10</v>
      </c>
      <c r="R918">
        <f t="shared" si="56"/>
        <v>83</v>
      </c>
      <c r="S918" t="str" cm="1">
        <f t="array" ref="S918">IF(P918="","",_xlfn.SWITCH(LEFT(P918,1),"C","Ciudad","T","Pueblo","R","Rural","S","Suburbano","U","Urbano",""))</f>
        <v>Ciudad</v>
      </c>
      <c r="T918" t="str">
        <f t="shared" si="57"/>
        <v>M</v>
      </c>
      <c r="U918" t="str">
        <f t="shared" si="58"/>
        <v>IL</v>
      </c>
      <c r="V918" t="str">
        <f t="shared" si="59"/>
        <v>10543</v>
      </c>
    </row>
    <row r="919" spans="1:22" x14ac:dyDescent="0.35">
      <c r="A919" s="3">
        <v>170256</v>
      </c>
      <c r="B919" t="s">
        <v>22</v>
      </c>
      <c r="C919" t="s">
        <v>17</v>
      </c>
      <c r="D919">
        <v>1246</v>
      </c>
      <c r="E919">
        <v>264</v>
      </c>
      <c r="F919">
        <v>362</v>
      </c>
      <c r="G919">
        <v>13</v>
      </c>
      <c r="H919">
        <v>11851</v>
      </c>
      <c r="I919">
        <v>4</v>
      </c>
      <c r="J919">
        <v>63</v>
      </c>
      <c r="K919">
        <v>296</v>
      </c>
      <c r="L919">
        <v>339</v>
      </c>
      <c r="M919">
        <v>7.5</v>
      </c>
      <c r="N919">
        <f>IFERROR(VLOOKUP(A919,vlookup_table!$A:$G,2,FALSE),"")</f>
        <v>2</v>
      </c>
      <c r="O919">
        <f>IFERROR(VLOOKUP(A919,vlookup_table!$A:$G,4,FALSE),"")</f>
        <v>0</v>
      </c>
      <c r="P919" t="str">
        <f>IFERROR(VLOOKUP(A919,vlookup_table!$A:$G,5,FALSE),"")</f>
        <v>R1</v>
      </c>
      <c r="Q919">
        <f>IFERROR(VLOOKUP(A919,vlookup_table!$A:$G,7,FALSE),"")</f>
        <v>10</v>
      </c>
      <c r="R919">
        <f t="shared" si="56"/>
        <v>97</v>
      </c>
      <c r="S919" t="str" cm="1">
        <f t="array" ref="S919">IF(P919="","",_xlfn.SWITCH(LEFT(P919,1),"C","Ciudad","T","Pueblo","R","Rural","S","Suburbano","U","Urbano",""))</f>
        <v>Rural</v>
      </c>
      <c r="T919" t="str">
        <f t="shared" si="57"/>
        <v>F</v>
      </c>
      <c r="U919" t="str">
        <f t="shared" si="58"/>
        <v>CA</v>
      </c>
      <c r="V919" t="str">
        <f t="shared" si="59"/>
        <v>11851</v>
      </c>
    </row>
    <row r="920" spans="1:22" x14ac:dyDescent="0.35">
      <c r="A920" s="3">
        <v>20821</v>
      </c>
      <c r="B920" t="s">
        <v>18</v>
      </c>
      <c r="C920" t="s">
        <v>14</v>
      </c>
      <c r="D920">
        <v>631</v>
      </c>
      <c r="E920">
        <v>286</v>
      </c>
      <c r="F920">
        <v>373</v>
      </c>
      <c r="G920">
        <v>1</v>
      </c>
      <c r="H920">
        <v>13818</v>
      </c>
      <c r="I920">
        <v>1</v>
      </c>
      <c r="J920">
        <v>83</v>
      </c>
      <c r="K920">
        <v>324</v>
      </c>
      <c r="L920">
        <v>333</v>
      </c>
      <c r="M920">
        <v>12.21428571</v>
      </c>
      <c r="N920">
        <f>IFERROR(VLOOKUP(A920,vlookup_table!$A:$G,2,FALSE),"")</f>
        <v>1</v>
      </c>
      <c r="O920">
        <f>IFERROR(VLOOKUP(A920,vlookup_table!$A:$G,4,FALSE),"")</f>
        <v>5201</v>
      </c>
      <c r="P920" t="str">
        <f>IFERROR(VLOOKUP(A920,vlookup_table!$A:$G,5,FALSE),"")</f>
        <v>T2</v>
      </c>
      <c r="Q920">
        <f>IFERROR(VLOOKUP(A920,vlookup_table!$A:$G,7,FALSE),"")</f>
        <v>10</v>
      </c>
      <c r="R920">
        <f t="shared" si="56"/>
        <v>45</v>
      </c>
      <c r="S920" t="str" cm="1">
        <f t="array" ref="S920">IF(P920="","",_xlfn.SWITCH(LEFT(P920,1),"C","Ciudad","T","Pueblo","R","Rural","S","Suburbano","U","Urbano",""))</f>
        <v>Pueblo</v>
      </c>
      <c r="T920" t="str">
        <f t="shared" si="57"/>
        <v>M</v>
      </c>
      <c r="U920" t="str">
        <f t="shared" si="58"/>
        <v>NC</v>
      </c>
      <c r="V920" t="str">
        <f t="shared" si="59"/>
        <v>13818</v>
      </c>
    </row>
    <row r="921" spans="1:22" x14ac:dyDescent="0.35">
      <c r="A921" s="3">
        <v>189715</v>
      </c>
      <c r="B921" t="s">
        <v>22</v>
      </c>
      <c r="C921" t="s">
        <v>17</v>
      </c>
      <c r="D921">
        <v>5708</v>
      </c>
      <c r="E921">
        <v>504</v>
      </c>
      <c r="F921">
        <v>854</v>
      </c>
      <c r="G921">
        <v>97</v>
      </c>
      <c r="H921">
        <v>36020</v>
      </c>
      <c r="I921">
        <v>19</v>
      </c>
      <c r="J921">
        <v>50</v>
      </c>
      <c r="K921">
        <v>708</v>
      </c>
      <c r="L921">
        <v>575</v>
      </c>
      <c r="M921">
        <v>16.25</v>
      </c>
      <c r="N921">
        <f>IFERROR(VLOOKUP(A921,vlookup_table!$A:$G,2,FALSE),"")</f>
        <v>28</v>
      </c>
      <c r="O921">
        <f>IFERROR(VLOOKUP(A921,vlookup_table!$A:$G,4,FALSE),"")</f>
        <v>0</v>
      </c>
      <c r="P921" t="str">
        <f>IFERROR(VLOOKUP(A921,vlookup_table!$A:$G,5,FALSE),"")</f>
        <v>U1</v>
      </c>
      <c r="Q921">
        <f>IFERROR(VLOOKUP(A921,vlookup_table!$A:$G,7,FALSE),"")</f>
        <v>25</v>
      </c>
      <c r="R921">
        <f t="shared" si="56"/>
        <v>97</v>
      </c>
      <c r="S921" t="str" cm="1">
        <f t="array" ref="S921">IF(P921="","",_xlfn.SWITCH(LEFT(P921,1),"C","Ciudad","T","Pueblo","R","Rural","S","Suburbano","U","Urbano",""))</f>
        <v>Urbano</v>
      </c>
      <c r="T921" t="str">
        <f t="shared" si="57"/>
        <v>F</v>
      </c>
      <c r="U921" t="str">
        <f t="shared" si="58"/>
        <v>CA</v>
      </c>
      <c r="V921" t="str">
        <f t="shared" si="59"/>
        <v>36020</v>
      </c>
    </row>
    <row r="922" spans="1:22" x14ac:dyDescent="0.35">
      <c r="A922" s="3">
        <v>183898</v>
      </c>
      <c r="B922" t="s">
        <v>40</v>
      </c>
      <c r="C922" t="s">
        <v>44</v>
      </c>
      <c r="D922">
        <v>429</v>
      </c>
      <c r="E922">
        <v>266</v>
      </c>
      <c r="F922">
        <v>343</v>
      </c>
      <c r="G922">
        <v>1</v>
      </c>
      <c r="H922">
        <v>12534</v>
      </c>
      <c r="I922">
        <v>1</v>
      </c>
      <c r="J922">
        <v>57</v>
      </c>
      <c r="K922">
        <v>302</v>
      </c>
      <c r="L922">
        <v>310</v>
      </c>
      <c r="M922">
        <v>5.5</v>
      </c>
      <c r="N922">
        <f>IFERROR(VLOOKUP(A922,vlookup_table!$A:$G,2,FALSE),"")</f>
        <v>980</v>
      </c>
      <c r="O922">
        <f>IFERROR(VLOOKUP(A922,vlookup_table!$A:$G,4,FALSE),"")</f>
        <v>1008</v>
      </c>
      <c r="P922" t="str">
        <f>IFERROR(VLOOKUP(A922,vlookup_table!$A:$G,5,FALSE),"")</f>
        <v>R2</v>
      </c>
      <c r="Q922">
        <f>IFERROR(VLOOKUP(A922,vlookup_table!$A:$G,7,FALSE),"")</f>
        <v>3</v>
      </c>
      <c r="R922">
        <f t="shared" si="56"/>
        <v>87</v>
      </c>
      <c r="S922" t="str" cm="1">
        <f t="array" ref="S922">IF(P922="","",_xlfn.SWITCH(LEFT(P922,1),"C","Ciudad","T","Pueblo","R","Rural","S","Suburbano","U","Urbano",""))</f>
        <v>Rural</v>
      </c>
      <c r="T922" t="str">
        <f t="shared" si="57"/>
        <v>J</v>
      </c>
      <c r="U922" t="str">
        <f t="shared" si="58"/>
        <v>WA</v>
      </c>
      <c r="V922" t="str">
        <f t="shared" si="59"/>
        <v>12534</v>
      </c>
    </row>
    <row r="923" spans="1:22" x14ac:dyDescent="0.35">
      <c r="A923" s="3">
        <v>155157</v>
      </c>
      <c r="B923" t="s">
        <v>22</v>
      </c>
      <c r="C923" t="s">
        <v>17</v>
      </c>
      <c r="D923">
        <v>955</v>
      </c>
      <c r="E923">
        <v>329</v>
      </c>
      <c r="F923">
        <v>359</v>
      </c>
      <c r="G923">
        <v>1</v>
      </c>
      <c r="H923">
        <v>10736</v>
      </c>
      <c r="I923">
        <v>7</v>
      </c>
      <c r="J923">
        <v>63</v>
      </c>
      <c r="K923">
        <v>332</v>
      </c>
      <c r="L923">
        <v>346</v>
      </c>
      <c r="M923">
        <v>12.33333333</v>
      </c>
      <c r="N923">
        <f>IFERROR(VLOOKUP(A923,vlookup_table!$A:$G,2,FALSE),"")</f>
        <v>2</v>
      </c>
      <c r="O923">
        <f>IFERROR(VLOOKUP(A923,vlookup_table!$A:$G,4,FALSE),"")</f>
        <v>0</v>
      </c>
      <c r="P923" t="str">
        <f>IFERROR(VLOOKUP(A923,vlookup_table!$A:$G,5,FALSE),"")</f>
        <v>U3</v>
      </c>
      <c r="Q923">
        <f>IFERROR(VLOOKUP(A923,vlookup_table!$A:$G,7,FALSE),"")</f>
        <v>12</v>
      </c>
      <c r="R923">
        <f t="shared" si="56"/>
        <v>97</v>
      </c>
      <c r="S923" t="str" cm="1">
        <f t="array" ref="S923">IF(P923="","",_xlfn.SWITCH(LEFT(P923,1),"C","Ciudad","T","Pueblo","R","Rural","S","Suburbano","U","Urbano",""))</f>
        <v>Urbano</v>
      </c>
      <c r="T923" t="str">
        <f t="shared" si="57"/>
        <v>F</v>
      </c>
      <c r="U923" t="str">
        <f t="shared" si="58"/>
        <v>CA</v>
      </c>
      <c r="V923" t="str">
        <f t="shared" si="59"/>
        <v>10736</v>
      </c>
    </row>
    <row r="924" spans="1:22" x14ac:dyDescent="0.35">
      <c r="A924" s="3">
        <v>137134</v>
      </c>
      <c r="B924" t="s">
        <v>55</v>
      </c>
      <c r="C924" t="s">
        <v>14</v>
      </c>
      <c r="D924">
        <v>810</v>
      </c>
      <c r="E924">
        <v>320</v>
      </c>
      <c r="F924">
        <v>393</v>
      </c>
      <c r="G924">
        <v>0</v>
      </c>
      <c r="H924">
        <v>18361</v>
      </c>
      <c r="I924">
        <v>4</v>
      </c>
      <c r="J924">
        <v>8</v>
      </c>
      <c r="K924">
        <v>354</v>
      </c>
      <c r="L924">
        <v>368</v>
      </c>
      <c r="M924">
        <v>9.0909090910000003</v>
      </c>
      <c r="N924">
        <f>IFERROR(VLOOKUP(A924,vlookup_table!$A:$G,2,FALSE),"")</f>
        <v>0</v>
      </c>
      <c r="O924">
        <f>IFERROR(VLOOKUP(A924,vlookup_table!$A:$G,4,FALSE),"")</f>
        <v>2512</v>
      </c>
      <c r="P924" t="str">
        <f>IFERROR(VLOOKUP(A924,vlookup_table!$A:$G,5,FALSE),"")</f>
        <v>C2</v>
      </c>
      <c r="Q924">
        <f>IFERROR(VLOOKUP(A924,vlookup_table!$A:$G,7,FALSE),"")</f>
        <v>10</v>
      </c>
      <c r="R924">
        <f t="shared" si="56"/>
        <v>72</v>
      </c>
      <c r="S924" t="str" cm="1">
        <f t="array" ref="S924">IF(P924="","",_xlfn.SWITCH(LEFT(P924,1),"C","Ciudad","T","Pueblo","R","Rural","S","Suburbano","U","Urbano",""))</f>
        <v>Ciudad</v>
      </c>
      <c r="T924" t="str">
        <f t="shared" si="57"/>
        <v>M</v>
      </c>
      <c r="U924" t="str">
        <f t="shared" si="58"/>
        <v>AZ</v>
      </c>
      <c r="V924" t="str">
        <f t="shared" si="59"/>
        <v>18361</v>
      </c>
    </row>
    <row r="925" spans="1:22" x14ac:dyDescent="0.35">
      <c r="A925" s="3">
        <v>129602</v>
      </c>
      <c r="B925" t="s">
        <v>48</v>
      </c>
      <c r="C925" t="s">
        <v>17</v>
      </c>
      <c r="D925">
        <v>638</v>
      </c>
      <c r="E925">
        <v>222</v>
      </c>
      <c r="F925">
        <v>286</v>
      </c>
      <c r="G925">
        <v>0</v>
      </c>
      <c r="H925" s="2" t="s">
        <v>67</v>
      </c>
      <c r="I925">
        <v>13</v>
      </c>
      <c r="J925">
        <v>22</v>
      </c>
      <c r="K925">
        <v>307</v>
      </c>
      <c r="L925">
        <v>230</v>
      </c>
      <c r="M925">
        <v>7.2142857139999998</v>
      </c>
      <c r="N925">
        <f>IFERROR(VLOOKUP(A925,vlookup_table!$A:$G,2,FALSE),"")</f>
        <v>2</v>
      </c>
      <c r="O925">
        <f>IFERROR(VLOOKUP(A925,vlookup_table!$A:$G,4,FALSE),"")</f>
        <v>2401</v>
      </c>
      <c r="P925" t="str">
        <f>IFERROR(VLOOKUP(A925,vlookup_table!$A:$G,5,FALSE),"")</f>
        <v>C2</v>
      </c>
      <c r="Q925">
        <f>IFERROR(VLOOKUP(A925,vlookup_table!$A:$G,7,FALSE),"")</f>
        <v>13</v>
      </c>
      <c r="R925">
        <f t="shared" si="56"/>
        <v>73</v>
      </c>
      <c r="S925" t="str" cm="1">
        <f t="array" ref="S925">IF(P925="","",_xlfn.SWITCH(LEFT(P925,1),"C","Ciudad","T","Pueblo","R","Rural","S","Suburbano","U","Urbano",""))</f>
        <v>Ciudad</v>
      </c>
      <c r="T925" t="str">
        <f t="shared" si="57"/>
        <v>F</v>
      </c>
      <c r="U925" t="str">
        <f t="shared" si="58"/>
        <v>CO</v>
      </c>
      <c r="V925" t="str">
        <f t="shared" si="59"/>
        <v>10909</v>
      </c>
    </row>
    <row r="926" spans="1:22" x14ac:dyDescent="0.35">
      <c r="A926" s="3">
        <v>182286</v>
      </c>
      <c r="B926" t="s">
        <v>40</v>
      </c>
      <c r="C926" t="s">
        <v>51</v>
      </c>
      <c r="D926">
        <v>699</v>
      </c>
      <c r="E926">
        <v>262</v>
      </c>
      <c r="F926">
        <v>299</v>
      </c>
      <c r="G926">
        <v>0</v>
      </c>
      <c r="H926">
        <v>12872</v>
      </c>
      <c r="I926">
        <v>4</v>
      </c>
      <c r="J926">
        <v>55</v>
      </c>
      <c r="K926">
        <v>208</v>
      </c>
      <c r="L926">
        <v>301</v>
      </c>
      <c r="M926">
        <v>15</v>
      </c>
      <c r="N926">
        <f>IFERROR(VLOOKUP(A926,vlookup_table!$A:$G,2,FALSE),"")</f>
        <v>28</v>
      </c>
      <c r="O926">
        <f>IFERROR(VLOOKUP(A926,vlookup_table!$A:$G,4,FALSE),"")</f>
        <v>4001</v>
      </c>
      <c r="P926" t="str">
        <f>IFERROR(VLOOKUP(A926,vlookup_table!$A:$G,5,FALSE),"")</f>
        <v>C2</v>
      </c>
      <c r="Q926">
        <f>IFERROR(VLOOKUP(A926,vlookup_table!$A:$G,7,FALSE),"")</f>
        <v>20</v>
      </c>
      <c r="R926">
        <f t="shared" si="56"/>
        <v>57</v>
      </c>
      <c r="S926" t="str" cm="1">
        <f t="array" ref="S926">IF(P926="","",_xlfn.SWITCH(LEFT(P926,1),"C","Ciudad","T","Pueblo","R","Rural","S","Suburbano","U","Urbano",""))</f>
        <v>Ciudad</v>
      </c>
      <c r="T926" t="str">
        <f t="shared" si="57"/>
        <v>M</v>
      </c>
      <c r="U926" t="str">
        <f t="shared" si="58"/>
        <v>WA</v>
      </c>
      <c r="V926" t="str">
        <f t="shared" si="59"/>
        <v>12872</v>
      </c>
    </row>
    <row r="927" spans="1:22" x14ac:dyDescent="0.35">
      <c r="A927" s="3">
        <v>138804</v>
      </c>
      <c r="B927" t="s">
        <v>55</v>
      </c>
      <c r="C927" t="s">
        <v>65</v>
      </c>
      <c r="D927">
        <v>1239</v>
      </c>
      <c r="E927">
        <v>348</v>
      </c>
      <c r="F927">
        <v>428</v>
      </c>
      <c r="G927">
        <v>10</v>
      </c>
      <c r="H927">
        <v>14561</v>
      </c>
      <c r="I927">
        <v>4</v>
      </c>
      <c r="J927">
        <v>34</v>
      </c>
      <c r="K927">
        <v>365</v>
      </c>
      <c r="L927">
        <v>399</v>
      </c>
      <c r="M927">
        <v>9.4444444440000002</v>
      </c>
      <c r="N927">
        <f>IFERROR(VLOOKUP(A927,vlookup_table!$A:$G,2,FALSE),"")</f>
        <v>0</v>
      </c>
      <c r="O927">
        <f>IFERROR(VLOOKUP(A927,vlookup_table!$A:$G,4,FALSE),"")</f>
        <v>0</v>
      </c>
      <c r="P927" t="str">
        <f>IFERROR(VLOOKUP(A927,vlookup_table!$A:$G,5,FALSE),"")</f>
        <v>R2</v>
      </c>
      <c r="Q927">
        <f>IFERROR(VLOOKUP(A927,vlookup_table!$A:$G,7,FALSE),"")</f>
        <v>10</v>
      </c>
      <c r="R927">
        <f t="shared" si="56"/>
        <v>97</v>
      </c>
      <c r="S927" t="str" cm="1">
        <f t="array" ref="S927">IF(P927="","",_xlfn.SWITCH(LEFT(P927,1),"C","Ciudad","T","Pueblo","R","Rural","S","Suburbano","U","Urbano",""))</f>
        <v>Rural</v>
      </c>
      <c r="T927" t="str">
        <f t="shared" si="57"/>
        <v>F</v>
      </c>
      <c r="U927" t="str">
        <f t="shared" si="58"/>
        <v>AZ</v>
      </c>
      <c r="V927" t="str">
        <f t="shared" si="59"/>
        <v>14561</v>
      </c>
    </row>
    <row r="928" spans="1:22" x14ac:dyDescent="0.35">
      <c r="A928" s="3">
        <v>100569</v>
      </c>
      <c r="B928" t="s">
        <v>36</v>
      </c>
      <c r="C928" t="s">
        <v>14</v>
      </c>
      <c r="D928">
        <v>2241</v>
      </c>
      <c r="E928">
        <v>584</v>
      </c>
      <c r="F928">
        <v>904</v>
      </c>
      <c r="G928">
        <v>61</v>
      </c>
      <c r="H928">
        <v>29643</v>
      </c>
      <c r="I928">
        <v>2</v>
      </c>
      <c r="J928">
        <v>42</v>
      </c>
      <c r="K928">
        <v>822</v>
      </c>
      <c r="L928">
        <v>716</v>
      </c>
      <c r="M928">
        <v>15</v>
      </c>
      <c r="N928">
        <f>IFERROR(VLOOKUP(A928,vlookup_table!$A:$G,2,FALSE),"")</f>
        <v>1</v>
      </c>
      <c r="O928">
        <f>IFERROR(VLOOKUP(A928,vlookup_table!$A:$G,4,FALSE),"")</f>
        <v>501</v>
      </c>
      <c r="P928" t="str">
        <f>IFERROR(VLOOKUP(A928,vlookup_table!$A:$G,5,FALSE),"")</f>
        <v>U1</v>
      </c>
      <c r="Q928">
        <f>IFERROR(VLOOKUP(A928,vlookup_table!$A:$G,7,FALSE),"")</f>
        <v>15</v>
      </c>
      <c r="R928">
        <f t="shared" si="56"/>
        <v>92</v>
      </c>
      <c r="S928" t="str" cm="1">
        <f t="array" ref="S928">IF(P928="","",_xlfn.SWITCH(LEFT(P928,1),"C","Ciudad","T","Pueblo","R","Rural","S","Suburbano","U","Urbano",""))</f>
        <v>Urbano</v>
      </c>
      <c r="T928" t="str">
        <f t="shared" si="57"/>
        <v>M</v>
      </c>
      <c r="U928" t="str">
        <f t="shared" si="58"/>
        <v>MO</v>
      </c>
      <c r="V928" t="str">
        <f t="shared" si="59"/>
        <v>29643</v>
      </c>
    </row>
    <row r="929" spans="1:22" x14ac:dyDescent="0.35">
      <c r="A929" s="3">
        <v>9287</v>
      </c>
      <c r="B929" t="s">
        <v>22</v>
      </c>
      <c r="C929" t="s">
        <v>14</v>
      </c>
      <c r="D929">
        <v>1432</v>
      </c>
      <c r="E929">
        <v>420</v>
      </c>
      <c r="F929">
        <v>461</v>
      </c>
      <c r="G929">
        <v>18</v>
      </c>
      <c r="H929">
        <v>14210</v>
      </c>
      <c r="I929">
        <v>4</v>
      </c>
      <c r="J929">
        <v>50</v>
      </c>
      <c r="K929">
        <v>423</v>
      </c>
      <c r="L929">
        <v>453</v>
      </c>
      <c r="M929">
        <v>7.2</v>
      </c>
      <c r="N929">
        <f>IFERROR(VLOOKUP(A929,vlookup_table!$A:$G,2,FALSE),"")</f>
        <v>0</v>
      </c>
      <c r="O929">
        <f>IFERROR(VLOOKUP(A929,vlookup_table!$A:$G,4,FALSE),"")</f>
        <v>3901</v>
      </c>
      <c r="P929" t="str">
        <f>IFERROR(VLOOKUP(A929,vlookup_table!$A:$G,5,FALSE),"")</f>
        <v>S2</v>
      </c>
      <c r="Q929">
        <f>IFERROR(VLOOKUP(A929,vlookup_table!$A:$G,7,FALSE),"")</f>
        <v>8</v>
      </c>
      <c r="R929">
        <f t="shared" si="56"/>
        <v>58</v>
      </c>
      <c r="S929" t="str" cm="1">
        <f t="array" ref="S929">IF(P929="","",_xlfn.SWITCH(LEFT(P929,1),"C","Ciudad","T","Pueblo","R","Rural","S","Suburbano","U","Urbano",""))</f>
        <v>Suburbano</v>
      </c>
      <c r="T929" t="str">
        <f t="shared" si="57"/>
        <v>M</v>
      </c>
      <c r="U929" t="str">
        <f t="shared" si="58"/>
        <v>CA</v>
      </c>
      <c r="V929" t="str">
        <f t="shared" si="59"/>
        <v>14210</v>
      </c>
    </row>
    <row r="930" spans="1:22" x14ac:dyDescent="0.35">
      <c r="A930" s="3">
        <v>104108</v>
      </c>
      <c r="B930" t="s">
        <v>36</v>
      </c>
      <c r="C930" t="s">
        <v>17</v>
      </c>
      <c r="D930">
        <v>609</v>
      </c>
      <c r="E930">
        <v>263</v>
      </c>
      <c r="F930">
        <v>355</v>
      </c>
      <c r="G930">
        <v>0</v>
      </c>
      <c r="H930">
        <v>13005</v>
      </c>
      <c r="I930">
        <v>2</v>
      </c>
      <c r="J930">
        <v>58</v>
      </c>
      <c r="K930">
        <v>357</v>
      </c>
      <c r="L930">
        <v>301</v>
      </c>
      <c r="M930">
        <v>11.78947368</v>
      </c>
      <c r="N930">
        <f>IFERROR(VLOOKUP(A930,vlookup_table!$A:$G,2,FALSE),"")</f>
        <v>2</v>
      </c>
      <c r="O930">
        <f>IFERROR(VLOOKUP(A930,vlookup_table!$A:$G,4,FALSE),"")</f>
        <v>2712</v>
      </c>
      <c r="P930" t="str">
        <f>IFERROR(VLOOKUP(A930,vlookup_table!$A:$G,5,FALSE),"")</f>
        <v>C1</v>
      </c>
      <c r="Q930">
        <f>IFERROR(VLOOKUP(A930,vlookup_table!$A:$G,7,FALSE),"")</f>
        <v>11</v>
      </c>
      <c r="R930">
        <f t="shared" si="56"/>
        <v>70</v>
      </c>
      <c r="S930" t="str" cm="1">
        <f t="array" ref="S930">IF(P930="","",_xlfn.SWITCH(LEFT(P930,1),"C","Ciudad","T","Pueblo","R","Rural","S","Suburbano","U","Urbano",""))</f>
        <v>Ciudad</v>
      </c>
      <c r="T930" t="str">
        <f t="shared" si="57"/>
        <v>F</v>
      </c>
      <c r="U930" t="str">
        <f t="shared" si="58"/>
        <v>MO</v>
      </c>
      <c r="V930" t="str">
        <f t="shared" si="59"/>
        <v>13005</v>
      </c>
    </row>
    <row r="931" spans="1:22" x14ac:dyDescent="0.35">
      <c r="A931" s="3">
        <v>1357</v>
      </c>
      <c r="B931" t="s">
        <v>29</v>
      </c>
      <c r="C931" t="s">
        <v>17</v>
      </c>
      <c r="D931">
        <v>889</v>
      </c>
      <c r="E931">
        <v>328</v>
      </c>
      <c r="F931">
        <v>431</v>
      </c>
      <c r="G931">
        <v>0</v>
      </c>
      <c r="H931">
        <v>13456</v>
      </c>
      <c r="I931">
        <v>6</v>
      </c>
      <c r="J931">
        <v>84</v>
      </c>
      <c r="K931">
        <v>368</v>
      </c>
      <c r="L931">
        <v>391</v>
      </c>
      <c r="M931">
        <v>10.66666667</v>
      </c>
      <c r="N931">
        <f>IFERROR(VLOOKUP(A931,vlookup_table!$A:$G,2,FALSE),"")</f>
        <v>0</v>
      </c>
      <c r="O931">
        <f>IFERROR(VLOOKUP(A931,vlookup_table!$A:$G,4,FALSE),"")</f>
        <v>5612</v>
      </c>
      <c r="P931" t="str">
        <f>IFERROR(VLOOKUP(A931,vlookup_table!$A:$G,5,FALSE),"")</f>
        <v>S2</v>
      </c>
      <c r="Q931">
        <f>IFERROR(VLOOKUP(A931,vlookup_table!$A:$G,7,FALSE),"")</f>
        <v>15</v>
      </c>
      <c r="R931">
        <f t="shared" si="56"/>
        <v>41</v>
      </c>
      <c r="S931" t="str" cm="1">
        <f t="array" ref="S931">IF(P931="","",_xlfn.SWITCH(LEFT(P931,1),"C","Ciudad","T","Pueblo","R","Rural","S","Suburbano","U","Urbano",""))</f>
        <v>Suburbano</v>
      </c>
      <c r="T931" t="str">
        <f t="shared" si="57"/>
        <v>F</v>
      </c>
      <c r="U931" t="str">
        <f t="shared" si="58"/>
        <v>MI</v>
      </c>
      <c r="V931" t="str">
        <f t="shared" si="59"/>
        <v>13456</v>
      </c>
    </row>
    <row r="932" spans="1:22" x14ac:dyDescent="0.35">
      <c r="A932" s="3">
        <v>10784</v>
      </c>
      <c r="B932" t="s">
        <v>40</v>
      </c>
      <c r="C932" t="s">
        <v>51</v>
      </c>
      <c r="D932">
        <v>791</v>
      </c>
      <c r="E932">
        <v>565</v>
      </c>
      <c r="F932">
        <v>571</v>
      </c>
      <c r="G932">
        <v>0</v>
      </c>
      <c r="H932">
        <v>20238</v>
      </c>
      <c r="I932">
        <v>8</v>
      </c>
      <c r="J932">
        <v>28</v>
      </c>
      <c r="K932">
        <v>563</v>
      </c>
      <c r="L932">
        <v>566</v>
      </c>
      <c r="M932">
        <v>4.407407407</v>
      </c>
      <c r="N932">
        <f>IFERROR(VLOOKUP(A932,vlookup_table!$A:$G,2,FALSE),"")</f>
        <v>0</v>
      </c>
      <c r="O932">
        <f>IFERROR(VLOOKUP(A932,vlookup_table!$A:$G,4,FALSE),"")</f>
        <v>0</v>
      </c>
      <c r="P932" t="str">
        <f>IFERROR(VLOOKUP(A932,vlookup_table!$A:$G,5,FALSE),"")</f>
        <v>C1</v>
      </c>
      <c r="Q932">
        <f>IFERROR(VLOOKUP(A932,vlookup_table!$A:$G,7,FALSE),"")</f>
        <v>10</v>
      </c>
      <c r="R932">
        <f t="shared" si="56"/>
        <v>97</v>
      </c>
      <c r="S932" t="str" cm="1">
        <f t="array" ref="S932">IF(P932="","",_xlfn.SWITCH(LEFT(P932,1),"C","Ciudad","T","Pueblo","R","Rural","S","Suburbano","U","Urbano",""))</f>
        <v>Ciudad</v>
      </c>
      <c r="T932" t="str">
        <f t="shared" si="57"/>
        <v>M</v>
      </c>
      <c r="U932" t="str">
        <f t="shared" si="58"/>
        <v>WA</v>
      </c>
      <c r="V932" t="str">
        <f t="shared" si="59"/>
        <v>20238</v>
      </c>
    </row>
    <row r="933" spans="1:22" x14ac:dyDescent="0.35">
      <c r="A933" s="3">
        <v>140049</v>
      </c>
      <c r="B933" t="s">
        <v>54</v>
      </c>
      <c r="C933" t="s">
        <v>17</v>
      </c>
      <c r="D933">
        <v>629</v>
      </c>
      <c r="E933">
        <v>170</v>
      </c>
      <c r="F933">
        <v>243</v>
      </c>
      <c r="G933">
        <v>2</v>
      </c>
      <c r="H933">
        <v>7822</v>
      </c>
      <c r="I933">
        <v>1</v>
      </c>
      <c r="J933">
        <v>62</v>
      </c>
      <c r="K933">
        <v>197</v>
      </c>
      <c r="L933">
        <v>214</v>
      </c>
      <c r="M933">
        <v>9.8571428569999995</v>
      </c>
      <c r="N933">
        <f>IFERROR(VLOOKUP(A933,vlookup_table!$A:$G,2,FALSE),"")</f>
        <v>0</v>
      </c>
      <c r="O933">
        <f>IFERROR(VLOOKUP(A933,vlookup_table!$A:$G,4,FALSE),"")</f>
        <v>4501</v>
      </c>
      <c r="P933" t="str">
        <f>IFERROR(VLOOKUP(A933,vlookup_table!$A:$G,5,FALSE),"")</f>
        <v>R2</v>
      </c>
      <c r="Q933">
        <f>IFERROR(VLOOKUP(A933,vlookup_table!$A:$G,7,FALSE),"")</f>
        <v>20</v>
      </c>
      <c r="R933">
        <f t="shared" si="56"/>
        <v>52</v>
      </c>
      <c r="S933" t="str" cm="1">
        <f t="array" ref="S933">IF(P933="","",_xlfn.SWITCH(LEFT(P933,1),"C","Ciudad","T","Pueblo","R","Rural","S","Suburbano","U","Urbano",""))</f>
        <v>Rural</v>
      </c>
      <c r="T933" t="str">
        <f t="shared" si="57"/>
        <v>F</v>
      </c>
      <c r="U933" t="str">
        <f t="shared" si="58"/>
        <v>NM</v>
      </c>
      <c r="V933" t="str">
        <f t="shared" si="59"/>
        <v>7822</v>
      </c>
    </row>
    <row r="934" spans="1:22" x14ac:dyDescent="0.35">
      <c r="A934" s="3">
        <v>170489</v>
      </c>
      <c r="B934" t="s">
        <v>22</v>
      </c>
      <c r="C934" t="s">
        <v>17</v>
      </c>
      <c r="D934">
        <v>2128</v>
      </c>
      <c r="E934">
        <v>470</v>
      </c>
      <c r="F934">
        <v>567</v>
      </c>
      <c r="G934">
        <v>56</v>
      </c>
      <c r="H934">
        <v>16285</v>
      </c>
      <c r="I934">
        <v>3</v>
      </c>
      <c r="J934">
        <v>66</v>
      </c>
      <c r="K934">
        <v>472</v>
      </c>
      <c r="L934">
        <v>559</v>
      </c>
      <c r="M934">
        <v>20</v>
      </c>
      <c r="N934">
        <f>IFERROR(VLOOKUP(A934,vlookup_table!$A:$G,2,FALSE),"")</f>
        <v>0</v>
      </c>
      <c r="O934">
        <f>IFERROR(VLOOKUP(A934,vlookup_table!$A:$G,4,FALSE),"")</f>
        <v>0</v>
      </c>
      <c r="P934" t="str">
        <f>IFERROR(VLOOKUP(A934,vlookup_table!$A:$G,5,FALSE),"")</f>
        <v>T1</v>
      </c>
      <c r="Q934">
        <f>IFERROR(VLOOKUP(A934,vlookup_table!$A:$G,7,FALSE),"")</f>
        <v>20</v>
      </c>
      <c r="R934">
        <f t="shared" si="56"/>
        <v>97</v>
      </c>
      <c r="S934" t="str" cm="1">
        <f t="array" ref="S934">IF(P934="","",_xlfn.SWITCH(LEFT(P934,1),"C","Ciudad","T","Pueblo","R","Rural","S","Suburbano","U","Urbano",""))</f>
        <v>Pueblo</v>
      </c>
      <c r="T934" t="str">
        <f t="shared" si="57"/>
        <v>F</v>
      </c>
      <c r="U934" t="str">
        <f t="shared" si="58"/>
        <v>CA</v>
      </c>
      <c r="V934" t="str">
        <f t="shared" si="59"/>
        <v>16285</v>
      </c>
    </row>
    <row r="935" spans="1:22" x14ac:dyDescent="0.35">
      <c r="A935" s="3">
        <v>184289</v>
      </c>
      <c r="B935" t="s">
        <v>40</v>
      </c>
      <c r="C935" t="s">
        <v>17</v>
      </c>
      <c r="D935">
        <v>645</v>
      </c>
      <c r="E935">
        <v>359</v>
      </c>
      <c r="F935">
        <v>381</v>
      </c>
      <c r="G935">
        <v>1</v>
      </c>
      <c r="H935">
        <v>11050</v>
      </c>
      <c r="I935">
        <v>9</v>
      </c>
      <c r="J935">
        <v>54</v>
      </c>
      <c r="K935">
        <v>376</v>
      </c>
      <c r="L935">
        <v>360</v>
      </c>
      <c r="M935">
        <v>7.6666666670000003</v>
      </c>
      <c r="N935">
        <f>IFERROR(VLOOKUP(A935,vlookup_table!$A:$G,2,FALSE),"")</f>
        <v>2</v>
      </c>
      <c r="O935">
        <f>IFERROR(VLOOKUP(A935,vlookup_table!$A:$G,4,FALSE),"")</f>
        <v>4411</v>
      </c>
      <c r="P935" t="str">
        <f>IFERROR(VLOOKUP(A935,vlookup_table!$A:$G,5,FALSE),"")</f>
        <v>R2</v>
      </c>
      <c r="Q935">
        <f>IFERROR(VLOOKUP(A935,vlookup_table!$A:$G,7,FALSE),"")</f>
        <v>10</v>
      </c>
      <c r="R935">
        <f t="shared" si="56"/>
        <v>53</v>
      </c>
      <c r="S935" t="str" cm="1">
        <f t="array" ref="S935">IF(P935="","",_xlfn.SWITCH(LEFT(P935,1),"C","Ciudad","T","Pueblo","R","Rural","S","Suburbano","U","Urbano",""))</f>
        <v>Rural</v>
      </c>
      <c r="T935" t="str">
        <f t="shared" si="57"/>
        <v>F</v>
      </c>
      <c r="U935" t="str">
        <f t="shared" si="58"/>
        <v>WA</v>
      </c>
      <c r="V935" t="str">
        <f t="shared" si="59"/>
        <v>11050</v>
      </c>
    </row>
    <row r="936" spans="1:22" x14ac:dyDescent="0.35">
      <c r="A936" s="3">
        <v>36353</v>
      </c>
      <c r="B936" t="s">
        <v>13</v>
      </c>
      <c r="C936" t="s">
        <v>17</v>
      </c>
      <c r="D936">
        <v>1344</v>
      </c>
      <c r="E936">
        <v>335</v>
      </c>
      <c r="F936">
        <v>446</v>
      </c>
      <c r="G936">
        <v>23</v>
      </c>
      <c r="H936">
        <v>22233</v>
      </c>
      <c r="I936">
        <v>8</v>
      </c>
      <c r="J936">
        <v>1</v>
      </c>
      <c r="K936">
        <v>403</v>
      </c>
      <c r="L936">
        <v>377</v>
      </c>
      <c r="M936">
        <v>9.5</v>
      </c>
      <c r="N936">
        <f>IFERROR(VLOOKUP(A936,vlookup_table!$A:$G,2,FALSE),"")</f>
        <v>0</v>
      </c>
      <c r="O936">
        <f>IFERROR(VLOOKUP(A936,vlookup_table!$A:$G,4,FALSE),"")</f>
        <v>2101</v>
      </c>
      <c r="P936" t="str">
        <f>IFERROR(VLOOKUP(A936,vlookup_table!$A:$G,5,FALSE),"")</f>
        <v>C2</v>
      </c>
      <c r="Q936">
        <f>IFERROR(VLOOKUP(A936,vlookup_table!$A:$G,7,FALSE),"")</f>
        <v>17</v>
      </c>
      <c r="R936">
        <f t="shared" si="56"/>
        <v>76</v>
      </c>
      <c r="S936" t="str" cm="1">
        <f t="array" ref="S936">IF(P936="","",_xlfn.SWITCH(LEFT(P936,1),"C","Ciudad","T","Pueblo","R","Rural","S","Suburbano","U","Urbano",""))</f>
        <v>Ciudad</v>
      </c>
      <c r="T936" t="str">
        <f t="shared" si="57"/>
        <v>F</v>
      </c>
      <c r="U936" t="str">
        <f t="shared" si="58"/>
        <v>FL</v>
      </c>
      <c r="V936" t="str">
        <f t="shared" si="59"/>
        <v>22233</v>
      </c>
    </row>
    <row r="937" spans="1:22" x14ac:dyDescent="0.35">
      <c r="A937" s="3">
        <v>97689</v>
      </c>
      <c r="B937" t="s">
        <v>16</v>
      </c>
      <c r="C937" t="s">
        <v>14</v>
      </c>
      <c r="D937">
        <v>821</v>
      </c>
      <c r="E937">
        <v>334</v>
      </c>
      <c r="F937">
        <v>431</v>
      </c>
      <c r="G937">
        <v>1</v>
      </c>
      <c r="H937">
        <v>15694</v>
      </c>
      <c r="I937">
        <v>3</v>
      </c>
      <c r="J937">
        <v>57</v>
      </c>
      <c r="K937">
        <v>371</v>
      </c>
      <c r="L937">
        <v>390</v>
      </c>
      <c r="M937">
        <v>10</v>
      </c>
      <c r="N937">
        <f>IFERROR(VLOOKUP(A937,vlookup_table!$A:$G,2,FALSE),"")</f>
        <v>1</v>
      </c>
      <c r="O937">
        <f>IFERROR(VLOOKUP(A937,vlookup_table!$A:$G,4,FALSE),"")</f>
        <v>3601</v>
      </c>
      <c r="P937" t="str">
        <f>IFERROR(VLOOKUP(A937,vlookup_table!$A:$G,5,FALSE),"")</f>
        <v>T2</v>
      </c>
      <c r="Q937">
        <f>IFERROR(VLOOKUP(A937,vlookup_table!$A:$G,7,FALSE),"")</f>
        <v>10</v>
      </c>
      <c r="R937">
        <f t="shared" si="56"/>
        <v>61</v>
      </c>
      <c r="S937" t="str" cm="1">
        <f t="array" ref="S937">IF(P937="","",_xlfn.SWITCH(LEFT(P937,1),"C","Ciudad","T","Pueblo","R","Rural","S","Suburbano","U","Urbano",""))</f>
        <v>Pueblo</v>
      </c>
      <c r="T937" t="str">
        <f t="shared" si="57"/>
        <v>M</v>
      </c>
      <c r="U937" t="str">
        <f t="shared" si="58"/>
        <v>IL</v>
      </c>
      <c r="V937" t="str">
        <f t="shared" si="59"/>
        <v>15694</v>
      </c>
    </row>
    <row r="938" spans="1:22" x14ac:dyDescent="0.35">
      <c r="A938" s="3">
        <v>133229</v>
      </c>
      <c r="B938" t="s">
        <v>41</v>
      </c>
      <c r="C938" t="s">
        <v>14</v>
      </c>
      <c r="D938">
        <v>681</v>
      </c>
      <c r="E938">
        <v>382</v>
      </c>
      <c r="F938">
        <v>445</v>
      </c>
      <c r="G938">
        <v>0</v>
      </c>
      <c r="H938">
        <v>16011</v>
      </c>
      <c r="I938">
        <v>5</v>
      </c>
      <c r="J938">
        <v>48</v>
      </c>
      <c r="K938">
        <v>396</v>
      </c>
      <c r="L938">
        <v>406</v>
      </c>
      <c r="M938">
        <v>12</v>
      </c>
      <c r="N938">
        <f>IFERROR(VLOOKUP(A938,vlookup_table!$A:$G,2,FALSE),"")</f>
        <v>1</v>
      </c>
      <c r="O938">
        <f>IFERROR(VLOOKUP(A938,vlookup_table!$A:$G,4,FALSE),"")</f>
        <v>5001</v>
      </c>
      <c r="P938" t="str">
        <f>IFERROR(VLOOKUP(A938,vlookup_table!$A:$G,5,FALSE),"")</f>
        <v>T1</v>
      </c>
      <c r="Q938">
        <f>IFERROR(VLOOKUP(A938,vlookup_table!$A:$G,7,FALSE),"")</f>
        <v>25</v>
      </c>
      <c r="R938">
        <f t="shared" si="56"/>
        <v>47</v>
      </c>
      <c r="S938" t="str" cm="1">
        <f t="array" ref="S938">IF(P938="","",_xlfn.SWITCH(LEFT(P938,1),"C","Ciudad","T","Pueblo","R","Rural","S","Suburbano","U","Urbano",""))</f>
        <v>Pueblo</v>
      </c>
      <c r="T938" t="str">
        <f t="shared" si="57"/>
        <v>M</v>
      </c>
      <c r="U938" t="str">
        <f t="shared" si="58"/>
        <v>ID</v>
      </c>
      <c r="V938" t="str">
        <f t="shared" si="59"/>
        <v>16011</v>
      </c>
    </row>
    <row r="939" spans="1:22" x14ac:dyDescent="0.35">
      <c r="A939" s="3">
        <v>51845</v>
      </c>
      <c r="B939" t="s">
        <v>53</v>
      </c>
      <c r="C939" t="s">
        <v>17</v>
      </c>
      <c r="D939">
        <v>386</v>
      </c>
      <c r="E939">
        <v>177</v>
      </c>
      <c r="F939">
        <v>251</v>
      </c>
      <c r="G939">
        <v>0</v>
      </c>
      <c r="H939">
        <v>8524</v>
      </c>
      <c r="I939">
        <v>0</v>
      </c>
      <c r="J939">
        <v>83</v>
      </c>
      <c r="K939">
        <v>231</v>
      </c>
      <c r="L939">
        <v>220</v>
      </c>
      <c r="M939">
        <v>8.4444444440000002</v>
      </c>
      <c r="N939">
        <f>IFERROR(VLOOKUP(A939,vlookup_table!$A:$G,2,FALSE),"")</f>
        <v>2</v>
      </c>
      <c r="O939">
        <f>IFERROR(VLOOKUP(A939,vlookup_table!$A:$G,4,FALSE),"")</f>
        <v>0</v>
      </c>
      <c r="P939" t="str">
        <f>IFERROR(VLOOKUP(A939,vlookup_table!$A:$G,5,FALSE),"")</f>
        <v>R3</v>
      </c>
      <c r="Q939">
        <f>IFERROR(VLOOKUP(A939,vlookup_table!$A:$G,7,FALSE),"")</f>
        <v>18</v>
      </c>
      <c r="R939">
        <f t="shared" si="56"/>
        <v>97</v>
      </c>
      <c r="S939" t="str" cm="1">
        <f t="array" ref="S939">IF(P939="","",_xlfn.SWITCH(LEFT(P939,1),"C","Ciudad","T","Pueblo","R","Rural","S","Suburbano","U","Urbano",""))</f>
        <v>Rural</v>
      </c>
      <c r="T939" t="str">
        <f t="shared" si="57"/>
        <v>F</v>
      </c>
      <c r="U939" t="str">
        <f t="shared" si="58"/>
        <v>TN</v>
      </c>
      <c r="V939" t="str">
        <f t="shared" si="59"/>
        <v>8524</v>
      </c>
    </row>
    <row r="940" spans="1:22" x14ac:dyDescent="0.35">
      <c r="A940" s="3">
        <v>111485</v>
      </c>
      <c r="B940" t="s">
        <v>32</v>
      </c>
      <c r="C940" t="s">
        <v>14</v>
      </c>
      <c r="D940">
        <v>361</v>
      </c>
      <c r="E940">
        <v>145</v>
      </c>
      <c r="F940">
        <v>233</v>
      </c>
      <c r="G940">
        <v>0</v>
      </c>
      <c r="H940">
        <v>8563</v>
      </c>
      <c r="I940">
        <v>0</v>
      </c>
      <c r="J940">
        <v>52</v>
      </c>
      <c r="K940">
        <v>182</v>
      </c>
      <c r="L940">
        <v>199</v>
      </c>
      <c r="M940">
        <v>29.571428569999998</v>
      </c>
      <c r="N940">
        <f>IFERROR(VLOOKUP(A940,vlookup_table!$A:$G,2,FALSE),"")</f>
        <v>1</v>
      </c>
      <c r="O940">
        <f>IFERROR(VLOOKUP(A940,vlookup_table!$A:$G,4,FALSE),"")</f>
        <v>810</v>
      </c>
      <c r="P940" t="str">
        <f>IFERROR(VLOOKUP(A940,vlookup_table!$A:$G,5,FALSE),"")</f>
        <v>C2</v>
      </c>
      <c r="Q940">
        <f>IFERROR(VLOOKUP(A940,vlookup_table!$A:$G,7,FALSE),"")</f>
        <v>30</v>
      </c>
      <c r="R940">
        <f t="shared" si="56"/>
        <v>89</v>
      </c>
      <c r="S940" t="str" cm="1">
        <f t="array" ref="S940">IF(P940="","",_xlfn.SWITCH(LEFT(P940,1),"C","Ciudad","T","Pueblo","R","Rural","S","Suburbano","U","Urbano",""))</f>
        <v>Ciudad</v>
      </c>
      <c r="T940" t="str">
        <f t="shared" si="57"/>
        <v>M</v>
      </c>
      <c r="U940" t="str">
        <f t="shared" si="58"/>
        <v>AR</v>
      </c>
      <c r="V940" t="str">
        <f t="shared" si="59"/>
        <v>8563</v>
      </c>
    </row>
    <row r="941" spans="1:22" x14ac:dyDescent="0.35">
      <c r="A941" s="3">
        <v>75331</v>
      </c>
      <c r="B941" t="s">
        <v>47</v>
      </c>
      <c r="C941" t="s">
        <v>17</v>
      </c>
      <c r="D941">
        <v>583</v>
      </c>
      <c r="E941">
        <v>310</v>
      </c>
      <c r="F941">
        <v>452</v>
      </c>
      <c r="G941">
        <v>3</v>
      </c>
      <c r="H941">
        <v>17243</v>
      </c>
      <c r="I941">
        <v>1</v>
      </c>
      <c r="J941">
        <v>78</v>
      </c>
      <c r="K941">
        <v>371</v>
      </c>
      <c r="L941">
        <v>385</v>
      </c>
      <c r="M941">
        <v>8.5</v>
      </c>
      <c r="N941">
        <f>IFERROR(VLOOKUP(A941,vlookup_table!$A:$G,2,FALSE),"")</f>
        <v>0</v>
      </c>
      <c r="O941">
        <f>IFERROR(VLOOKUP(A941,vlookup_table!$A:$G,4,FALSE),"")</f>
        <v>4401</v>
      </c>
      <c r="P941" t="str">
        <f>IFERROR(VLOOKUP(A941,vlookup_table!$A:$G,5,FALSE),"")</f>
        <v>T2</v>
      </c>
      <c r="Q941">
        <f>IFERROR(VLOOKUP(A941,vlookup_table!$A:$G,7,FALSE),"")</f>
        <v>25</v>
      </c>
      <c r="R941">
        <f t="shared" si="56"/>
        <v>53</v>
      </c>
      <c r="S941" t="str" cm="1">
        <f t="array" ref="S941">IF(P941="","",_xlfn.SWITCH(LEFT(P941,1),"C","Ciudad","T","Pueblo","R","Rural","S","Suburbano","U","Urbano",""))</f>
        <v>Pueblo</v>
      </c>
      <c r="T941" t="str">
        <f t="shared" si="57"/>
        <v>F</v>
      </c>
      <c r="U941" t="str">
        <f t="shared" si="58"/>
        <v>IA</v>
      </c>
      <c r="V941" t="str">
        <f t="shared" si="59"/>
        <v>17243</v>
      </c>
    </row>
    <row r="942" spans="1:22" x14ac:dyDescent="0.35">
      <c r="A942" s="3">
        <v>96448</v>
      </c>
      <c r="B942" t="s">
        <v>16</v>
      </c>
      <c r="C942" t="s">
        <v>17</v>
      </c>
      <c r="D942">
        <v>760</v>
      </c>
      <c r="E942">
        <v>393</v>
      </c>
      <c r="F942">
        <v>510</v>
      </c>
      <c r="G942">
        <v>2</v>
      </c>
      <c r="H942" s="2" t="s">
        <v>67</v>
      </c>
      <c r="I942">
        <v>2</v>
      </c>
      <c r="J942">
        <v>78</v>
      </c>
      <c r="K942">
        <v>451</v>
      </c>
      <c r="L942">
        <v>441</v>
      </c>
      <c r="M942">
        <v>6.9090909089999997</v>
      </c>
      <c r="N942">
        <f>IFERROR(VLOOKUP(A942,vlookup_table!$A:$G,2,FALSE),"")</f>
        <v>0</v>
      </c>
      <c r="O942">
        <f>IFERROR(VLOOKUP(A942,vlookup_table!$A:$G,4,FALSE),"")</f>
        <v>2101</v>
      </c>
      <c r="P942" t="str">
        <f>IFERROR(VLOOKUP(A942,vlookup_table!$A:$G,5,FALSE),"")</f>
        <v>T1</v>
      </c>
      <c r="Q942">
        <f>IFERROR(VLOOKUP(A942,vlookup_table!$A:$G,7,FALSE),"")</f>
        <v>8</v>
      </c>
      <c r="R942">
        <f t="shared" si="56"/>
        <v>76</v>
      </c>
      <c r="S942" t="str" cm="1">
        <f t="array" ref="S942">IF(P942="","",_xlfn.SWITCH(LEFT(P942,1),"C","Ciudad","T","Pueblo","R","Rural","S","Suburbano","U","Urbano",""))</f>
        <v>Pueblo</v>
      </c>
      <c r="T942" t="str">
        <f t="shared" si="57"/>
        <v>F</v>
      </c>
      <c r="U942" t="str">
        <f t="shared" si="58"/>
        <v>IL</v>
      </c>
      <c r="V942" t="str">
        <f t="shared" si="59"/>
        <v>10909</v>
      </c>
    </row>
    <row r="943" spans="1:22" x14ac:dyDescent="0.35">
      <c r="A943" s="3">
        <v>88802</v>
      </c>
      <c r="B943" t="s">
        <v>16</v>
      </c>
      <c r="C943" t="s">
        <v>14</v>
      </c>
      <c r="D943">
        <v>1711</v>
      </c>
      <c r="E943">
        <v>479</v>
      </c>
      <c r="F943">
        <v>683</v>
      </c>
      <c r="G943">
        <v>34</v>
      </c>
      <c r="H943">
        <v>26817</v>
      </c>
      <c r="I943">
        <v>11</v>
      </c>
      <c r="J943">
        <v>72</v>
      </c>
      <c r="K943">
        <v>542</v>
      </c>
      <c r="L943">
        <v>629</v>
      </c>
      <c r="M943">
        <v>13</v>
      </c>
      <c r="N943">
        <f>IFERROR(VLOOKUP(A943,vlookup_table!$A:$G,2,FALSE),"")</f>
        <v>1002</v>
      </c>
      <c r="O943">
        <f>IFERROR(VLOOKUP(A943,vlookup_table!$A:$G,4,FALSE),"")</f>
        <v>3101</v>
      </c>
      <c r="P943" t="str">
        <f>IFERROR(VLOOKUP(A943,vlookup_table!$A:$G,5,FALSE),"")</f>
        <v>S1</v>
      </c>
      <c r="Q943">
        <f>IFERROR(VLOOKUP(A943,vlookup_table!$A:$G,7,FALSE),"")</f>
        <v>25</v>
      </c>
      <c r="R943">
        <f t="shared" si="56"/>
        <v>66</v>
      </c>
      <c r="S943" t="str" cm="1">
        <f t="array" ref="S943">IF(P943="","",_xlfn.SWITCH(LEFT(P943,1),"C","Ciudad","T","Pueblo","R","Rural","S","Suburbano","U","Urbano",""))</f>
        <v>Suburbano</v>
      </c>
      <c r="T943" t="str">
        <f t="shared" si="57"/>
        <v>M</v>
      </c>
      <c r="U943" t="str">
        <f t="shared" si="58"/>
        <v>IL</v>
      </c>
      <c r="V943" t="str">
        <f t="shared" si="59"/>
        <v>26817</v>
      </c>
    </row>
    <row r="944" spans="1:22" x14ac:dyDescent="0.35">
      <c r="A944" s="3">
        <v>183702</v>
      </c>
      <c r="B944" t="s">
        <v>40</v>
      </c>
      <c r="C944" t="s">
        <v>17</v>
      </c>
      <c r="D944">
        <v>700</v>
      </c>
      <c r="E944">
        <v>322</v>
      </c>
      <c r="F944">
        <v>446</v>
      </c>
      <c r="G944">
        <v>0</v>
      </c>
      <c r="H944">
        <v>14360</v>
      </c>
      <c r="I944">
        <v>7</v>
      </c>
      <c r="J944">
        <v>47</v>
      </c>
      <c r="K944">
        <v>415</v>
      </c>
      <c r="L944">
        <v>356</v>
      </c>
      <c r="M944">
        <v>11.33333333</v>
      </c>
      <c r="N944">
        <f>IFERROR(VLOOKUP(A944,vlookup_table!$A:$G,2,FALSE),"")</f>
        <v>28</v>
      </c>
      <c r="O944">
        <f>IFERROR(VLOOKUP(A944,vlookup_table!$A:$G,4,FALSE),"")</f>
        <v>4801</v>
      </c>
      <c r="P944" t="str">
        <f>IFERROR(VLOOKUP(A944,vlookup_table!$A:$G,5,FALSE),"")</f>
        <v>T1</v>
      </c>
      <c r="Q944">
        <f>IFERROR(VLOOKUP(A944,vlookup_table!$A:$G,7,FALSE),"")</f>
        <v>10</v>
      </c>
      <c r="R944">
        <f t="shared" si="56"/>
        <v>49</v>
      </c>
      <c r="S944" t="str" cm="1">
        <f t="array" ref="S944">IF(P944="","",_xlfn.SWITCH(LEFT(P944,1),"C","Ciudad","T","Pueblo","R","Rural","S","Suburbano","U","Urbano",""))</f>
        <v>Pueblo</v>
      </c>
      <c r="T944" t="str">
        <f t="shared" si="57"/>
        <v>F</v>
      </c>
      <c r="U944" t="str">
        <f t="shared" si="58"/>
        <v>WA</v>
      </c>
      <c r="V944" t="str">
        <f t="shared" si="59"/>
        <v>14360</v>
      </c>
    </row>
    <row r="945" spans="1:22" x14ac:dyDescent="0.35">
      <c r="A945" s="3">
        <v>175535</v>
      </c>
      <c r="B945" t="s">
        <v>50</v>
      </c>
      <c r="C945" t="s">
        <v>14</v>
      </c>
      <c r="D945">
        <v>904</v>
      </c>
      <c r="E945">
        <v>339</v>
      </c>
      <c r="F945">
        <v>510</v>
      </c>
      <c r="G945">
        <v>9</v>
      </c>
      <c r="H945">
        <v>20426</v>
      </c>
      <c r="I945">
        <v>2</v>
      </c>
      <c r="J945">
        <v>56</v>
      </c>
      <c r="K945">
        <v>446</v>
      </c>
      <c r="L945">
        <v>442</v>
      </c>
      <c r="M945">
        <v>10.6</v>
      </c>
      <c r="N945">
        <f>IFERROR(VLOOKUP(A945,vlookup_table!$A:$G,2,FALSE),"")</f>
        <v>1</v>
      </c>
      <c r="O945">
        <f>IFERROR(VLOOKUP(A945,vlookup_table!$A:$G,4,FALSE),"")</f>
        <v>6101</v>
      </c>
      <c r="P945" t="str">
        <f>IFERROR(VLOOKUP(A945,vlookup_table!$A:$G,5,FALSE),"")</f>
        <v>U1</v>
      </c>
      <c r="Q945">
        <f>IFERROR(VLOOKUP(A945,vlookup_table!$A:$G,7,FALSE),"")</f>
        <v>20</v>
      </c>
      <c r="R945">
        <f t="shared" si="56"/>
        <v>36</v>
      </c>
      <c r="S945" t="str" cm="1">
        <f t="array" ref="S945">IF(P945="","",_xlfn.SWITCH(LEFT(P945,1),"C","Ciudad","T","Pueblo","R","Rural","S","Suburbano","U","Urbano",""))</f>
        <v>Urbano</v>
      </c>
      <c r="T945" t="str">
        <f t="shared" si="57"/>
        <v>M</v>
      </c>
      <c r="U945" t="str">
        <f t="shared" si="58"/>
        <v>OR</v>
      </c>
      <c r="V945" t="str">
        <f t="shared" si="59"/>
        <v>20426</v>
      </c>
    </row>
    <row r="946" spans="1:22" x14ac:dyDescent="0.35">
      <c r="A946" s="3">
        <v>35325</v>
      </c>
      <c r="B946" t="s">
        <v>13</v>
      </c>
      <c r="C946" t="s">
        <v>14</v>
      </c>
      <c r="D946">
        <v>833</v>
      </c>
      <c r="E946">
        <v>277</v>
      </c>
      <c r="F946">
        <v>387</v>
      </c>
      <c r="G946">
        <v>0</v>
      </c>
      <c r="H946">
        <v>14317</v>
      </c>
      <c r="I946">
        <v>8</v>
      </c>
      <c r="J946">
        <v>21</v>
      </c>
      <c r="K946">
        <v>350</v>
      </c>
      <c r="L946">
        <v>329</v>
      </c>
      <c r="M946">
        <v>12.14285714</v>
      </c>
      <c r="N946">
        <f>IFERROR(VLOOKUP(A946,vlookup_table!$A:$G,2,FALSE),"")</f>
        <v>0</v>
      </c>
      <c r="O946">
        <f>IFERROR(VLOOKUP(A946,vlookup_table!$A:$G,4,FALSE),"")</f>
        <v>1801</v>
      </c>
      <c r="P946" t="str">
        <f>IFERROR(VLOOKUP(A946,vlookup_table!$A:$G,5,FALSE),"")</f>
        <v>C2</v>
      </c>
      <c r="Q946">
        <f>IFERROR(VLOOKUP(A946,vlookup_table!$A:$G,7,FALSE),"")</f>
        <v>30</v>
      </c>
      <c r="R946">
        <f t="shared" si="56"/>
        <v>79</v>
      </c>
      <c r="S946" t="str" cm="1">
        <f t="array" ref="S946">IF(P946="","",_xlfn.SWITCH(LEFT(P946,1),"C","Ciudad","T","Pueblo","R","Rural","S","Suburbano","U","Urbano",""))</f>
        <v>Ciudad</v>
      </c>
      <c r="T946" t="str">
        <f t="shared" si="57"/>
        <v>M</v>
      </c>
      <c r="U946" t="str">
        <f t="shared" si="58"/>
        <v>FL</v>
      </c>
      <c r="V946" t="str">
        <f t="shared" si="59"/>
        <v>14317</v>
      </c>
    </row>
    <row r="947" spans="1:22" x14ac:dyDescent="0.35">
      <c r="A947" s="3">
        <v>181655</v>
      </c>
      <c r="B947" t="s">
        <v>40</v>
      </c>
      <c r="C947" t="s">
        <v>51</v>
      </c>
      <c r="D947">
        <v>957</v>
      </c>
      <c r="E947">
        <v>418</v>
      </c>
      <c r="F947">
        <v>438</v>
      </c>
      <c r="G947">
        <v>6</v>
      </c>
      <c r="H947">
        <v>14668</v>
      </c>
      <c r="I947">
        <v>6</v>
      </c>
      <c r="J947">
        <v>54</v>
      </c>
      <c r="K947">
        <v>417</v>
      </c>
      <c r="L947">
        <v>423</v>
      </c>
      <c r="M947">
        <v>15.0625</v>
      </c>
      <c r="N947">
        <f>IFERROR(VLOOKUP(A947,vlookup_table!$A:$G,2,FALSE),"")</f>
        <v>2</v>
      </c>
      <c r="O947">
        <f>IFERROR(VLOOKUP(A947,vlookup_table!$A:$G,4,FALSE),"")</f>
        <v>4212</v>
      </c>
      <c r="P947" t="str">
        <f>IFERROR(VLOOKUP(A947,vlookup_table!$A:$G,5,FALSE),"")</f>
        <v>C2</v>
      </c>
      <c r="Q947">
        <f>IFERROR(VLOOKUP(A947,vlookup_table!$A:$G,7,FALSE),"")</f>
        <v>50</v>
      </c>
      <c r="R947">
        <f t="shared" si="56"/>
        <v>55</v>
      </c>
      <c r="S947" t="str" cm="1">
        <f t="array" ref="S947">IF(P947="","",_xlfn.SWITCH(LEFT(P947,1),"C","Ciudad","T","Pueblo","R","Rural","S","Suburbano","U","Urbano",""))</f>
        <v>Ciudad</v>
      </c>
      <c r="T947" t="str">
        <f t="shared" si="57"/>
        <v>M</v>
      </c>
      <c r="U947" t="str">
        <f t="shared" si="58"/>
        <v>WA</v>
      </c>
      <c r="V947" t="str">
        <f t="shared" si="59"/>
        <v>14668</v>
      </c>
    </row>
    <row r="948" spans="1:22" x14ac:dyDescent="0.35">
      <c r="A948" s="3">
        <v>95582</v>
      </c>
      <c r="B948" t="s">
        <v>16</v>
      </c>
      <c r="C948" t="s">
        <v>17</v>
      </c>
      <c r="D948">
        <v>607</v>
      </c>
      <c r="E948">
        <v>279</v>
      </c>
      <c r="F948">
        <v>442</v>
      </c>
      <c r="G948">
        <v>4</v>
      </c>
      <c r="H948">
        <v>19317</v>
      </c>
      <c r="I948">
        <v>3</v>
      </c>
      <c r="J948">
        <v>64</v>
      </c>
      <c r="K948">
        <v>371</v>
      </c>
      <c r="L948">
        <v>346</v>
      </c>
      <c r="M948">
        <v>15</v>
      </c>
      <c r="N948">
        <f>IFERROR(VLOOKUP(A948,vlookup_table!$A:$G,2,FALSE),"")</f>
        <v>0</v>
      </c>
      <c r="O948">
        <f>IFERROR(VLOOKUP(A948,vlookup_table!$A:$G,4,FALSE),"")</f>
        <v>0</v>
      </c>
      <c r="P948" t="str">
        <f>IFERROR(VLOOKUP(A948,vlookup_table!$A:$G,5,FALSE),"")</f>
        <v>C2</v>
      </c>
      <c r="Q948">
        <f>IFERROR(VLOOKUP(A948,vlookup_table!$A:$G,7,FALSE),"")</f>
        <v>21</v>
      </c>
      <c r="R948">
        <f t="shared" si="56"/>
        <v>97</v>
      </c>
      <c r="S948" t="str" cm="1">
        <f t="array" ref="S948">IF(P948="","",_xlfn.SWITCH(LEFT(P948,1),"C","Ciudad","T","Pueblo","R","Rural","S","Suburbano","U","Urbano",""))</f>
        <v>Ciudad</v>
      </c>
      <c r="T948" t="str">
        <f t="shared" si="57"/>
        <v>F</v>
      </c>
      <c r="U948" t="str">
        <f t="shared" si="58"/>
        <v>IL</v>
      </c>
      <c r="V948" t="str">
        <f t="shared" si="59"/>
        <v>19317</v>
      </c>
    </row>
    <row r="949" spans="1:22" x14ac:dyDescent="0.35">
      <c r="A949" s="3">
        <v>14394</v>
      </c>
      <c r="B949" t="s">
        <v>21</v>
      </c>
      <c r="C949" t="s">
        <v>14</v>
      </c>
      <c r="D949">
        <v>631</v>
      </c>
      <c r="E949">
        <v>273</v>
      </c>
      <c r="F949">
        <v>294</v>
      </c>
      <c r="G949">
        <v>0</v>
      </c>
      <c r="H949">
        <v>8650</v>
      </c>
      <c r="I949">
        <v>10</v>
      </c>
      <c r="J949">
        <v>28</v>
      </c>
      <c r="K949">
        <v>278</v>
      </c>
      <c r="L949">
        <v>288</v>
      </c>
      <c r="M949">
        <v>25</v>
      </c>
      <c r="N949">
        <f>IFERROR(VLOOKUP(A949,vlookup_table!$A:$G,2,FALSE),"")</f>
        <v>1</v>
      </c>
      <c r="O949">
        <f>IFERROR(VLOOKUP(A949,vlookup_table!$A:$G,4,FALSE),"")</f>
        <v>6901</v>
      </c>
      <c r="P949" t="str">
        <f>IFERROR(VLOOKUP(A949,vlookup_table!$A:$G,5,FALSE),"")</f>
        <v>T2</v>
      </c>
      <c r="Q949">
        <f>IFERROR(VLOOKUP(A949,vlookup_table!$A:$G,7,FALSE),"")</f>
        <v>10</v>
      </c>
      <c r="R949">
        <f t="shared" si="56"/>
        <v>28</v>
      </c>
      <c r="S949" t="str" cm="1">
        <f t="array" ref="S949">IF(P949="","",_xlfn.SWITCH(LEFT(P949,1),"C","Ciudad","T","Pueblo","R","Rural","S","Suburbano","U","Urbano",""))</f>
        <v>Pueblo</v>
      </c>
      <c r="T949" t="str">
        <f t="shared" si="57"/>
        <v>M</v>
      </c>
      <c r="U949" t="str">
        <f t="shared" si="58"/>
        <v>TX</v>
      </c>
      <c r="V949" t="str">
        <f t="shared" si="59"/>
        <v>8650</v>
      </c>
    </row>
    <row r="950" spans="1:22" x14ac:dyDescent="0.35">
      <c r="A950" s="3">
        <v>81823</v>
      </c>
      <c r="B950" t="s">
        <v>35</v>
      </c>
      <c r="C950" t="s">
        <v>51</v>
      </c>
      <c r="D950">
        <v>470</v>
      </c>
      <c r="E950">
        <v>234</v>
      </c>
      <c r="F950">
        <v>365</v>
      </c>
      <c r="G950">
        <v>0</v>
      </c>
      <c r="H950">
        <v>12277</v>
      </c>
      <c r="I950">
        <v>1</v>
      </c>
      <c r="J950">
        <v>89</v>
      </c>
      <c r="K950">
        <v>355</v>
      </c>
      <c r="L950">
        <v>271</v>
      </c>
      <c r="M950">
        <v>25</v>
      </c>
      <c r="N950">
        <f>IFERROR(VLOOKUP(A950,vlookup_table!$A:$G,2,FALSE),"")</f>
        <v>1</v>
      </c>
      <c r="O950">
        <f>IFERROR(VLOOKUP(A950,vlookup_table!$A:$G,4,FALSE),"")</f>
        <v>4001</v>
      </c>
      <c r="P950" t="str">
        <f>IFERROR(VLOOKUP(A950,vlookup_table!$A:$G,5,FALSE),"")</f>
        <v>R2</v>
      </c>
      <c r="Q950">
        <f>IFERROR(VLOOKUP(A950,vlookup_table!$A:$G,7,FALSE),"")</f>
        <v>45</v>
      </c>
      <c r="R950">
        <f t="shared" si="56"/>
        <v>57</v>
      </c>
      <c r="S950" t="str" cm="1">
        <f t="array" ref="S950">IF(P950="","",_xlfn.SWITCH(LEFT(P950,1),"C","Ciudad","T","Pueblo","R","Rural","S","Suburbano","U","Urbano",""))</f>
        <v>Rural</v>
      </c>
      <c r="T950" t="str">
        <f t="shared" si="57"/>
        <v>M</v>
      </c>
      <c r="U950" t="str">
        <f t="shared" si="58"/>
        <v>WI</v>
      </c>
      <c r="V950" t="str">
        <f t="shared" si="59"/>
        <v>12277</v>
      </c>
    </row>
    <row r="951" spans="1:22" x14ac:dyDescent="0.35">
      <c r="A951" s="3">
        <v>143470</v>
      </c>
      <c r="B951" t="s">
        <v>22</v>
      </c>
      <c r="C951" t="s">
        <v>14</v>
      </c>
      <c r="D951">
        <v>4112</v>
      </c>
      <c r="E951">
        <v>562</v>
      </c>
      <c r="F951">
        <v>841</v>
      </c>
      <c r="G951">
        <v>95</v>
      </c>
      <c r="H951">
        <v>34677</v>
      </c>
      <c r="I951">
        <v>18</v>
      </c>
      <c r="J951">
        <v>50</v>
      </c>
      <c r="K951">
        <v>798</v>
      </c>
      <c r="L951">
        <v>725</v>
      </c>
      <c r="M951">
        <v>15.14285714</v>
      </c>
      <c r="N951">
        <f>IFERROR(VLOOKUP(A951,vlookup_table!$A:$G,2,FALSE),"")</f>
        <v>1</v>
      </c>
      <c r="O951">
        <f>IFERROR(VLOOKUP(A951,vlookup_table!$A:$G,4,FALSE),"")</f>
        <v>5201</v>
      </c>
      <c r="P951" t="str">
        <f>IFERROR(VLOOKUP(A951,vlookup_table!$A:$G,5,FALSE),"")</f>
        <v>U1</v>
      </c>
      <c r="Q951">
        <f>IFERROR(VLOOKUP(A951,vlookup_table!$A:$G,7,FALSE),"")</f>
        <v>17</v>
      </c>
      <c r="R951">
        <f t="shared" si="56"/>
        <v>45</v>
      </c>
      <c r="S951" t="str" cm="1">
        <f t="array" ref="S951">IF(P951="","",_xlfn.SWITCH(LEFT(P951,1),"C","Ciudad","T","Pueblo","R","Rural","S","Suburbano","U","Urbano",""))</f>
        <v>Urbano</v>
      </c>
      <c r="T951" t="str">
        <f t="shared" si="57"/>
        <v>M</v>
      </c>
      <c r="U951" t="str">
        <f t="shared" si="58"/>
        <v>CA</v>
      </c>
      <c r="V951" t="str">
        <f t="shared" si="59"/>
        <v>34677</v>
      </c>
    </row>
    <row r="952" spans="1:22" x14ac:dyDescent="0.35">
      <c r="A952" s="3">
        <v>77048</v>
      </c>
      <c r="B952" t="s">
        <v>47</v>
      </c>
      <c r="C952" t="s">
        <v>17</v>
      </c>
      <c r="D952">
        <v>342</v>
      </c>
      <c r="E952">
        <v>209</v>
      </c>
      <c r="F952">
        <v>261</v>
      </c>
      <c r="G952">
        <v>0</v>
      </c>
      <c r="H952">
        <v>10728</v>
      </c>
      <c r="I952">
        <v>0</v>
      </c>
      <c r="J952">
        <v>59</v>
      </c>
      <c r="K952">
        <v>214</v>
      </c>
      <c r="L952">
        <v>241</v>
      </c>
      <c r="M952">
        <v>7</v>
      </c>
      <c r="N952">
        <f>IFERROR(VLOOKUP(A952,vlookup_table!$A:$G,2,FALSE),"")</f>
        <v>0</v>
      </c>
      <c r="O952">
        <f>IFERROR(VLOOKUP(A952,vlookup_table!$A:$G,4,FALSE),"")</f>
        <v>3601</v>
      </c>
      <c r="P952" t="str">
        <f>IFERROR(VLOOKUP(A952,vlookup_table!$A:$G,5,FALSE),"")</f>
        <v>C3</v>
      </c>
      <c r="Q952">
        <f>IFERROR(VLOOKUP(A952,vlookup_table!$A:$G,7,FALSE),"")</f>
        <v>7</v>
      </c>
      <c r="R952">
        <f t="shared" si="56"/>
        <v>61</v>
      </c>
      <c r="S952" t="str" cm="1">
        <f t="array" ref="S952">IF(P952="","",_xlfn.SWITCH(LEFT(P952,1),"C","Ciudad","T","Pueblo","R","Rural","S","Suburbano","U","Urbano",""))</f>
        <v>Ciudad</v>
      </c>
      <c r="T952" t="str">
        <f t="shared" si="57"/>
        <v>F</v>
      </c>
      <c r="U952" t="str">
        <f t="shared" si="58"/>
        <v>IA</v>
      </c>
      <c r="V952" t="str">
        <f t="shared" si="59"/>
        <v>10728</v>
      </c>
    </row>
    <row r="953" spans="1:22" x14ac:dyDescent="0.35">
      <c r="A953" s="3">
        <v>20962</v>
      </c>
      <c r="B953" t="s">
        <v>18</v>
      </c>
      <c r="C953" t="s">
        <v>14</v>
      </c>
      <c r="D953">
        <v>668</v>
      </c>
      <c r="E953">
        <v>296</v>
      </c>
      <c r="F953">
        <v>337</v>
      </c>
      <c r="G953">
        <v>1</v>
      </c>
      <c r="H953">
        <v>11490</v>
      </c>
      <c r="I953">
        <v>5</v>
      </c>
      <c r="J953">
        <v>30</v>
      </c>
      <c r="K953">
        <v>308</v>
      </c>
      <c r="L953">
        <v>317</v>
      </c>
      <c r="M953">
        <v>15</v>
      </c>
      <c r="N953">
        <f>IFERROR(VLOOKUP(A953,vlookup_table!$A:$G,2,FALSE),"")</f>
        <v>1</v>
      </c>
      <c r="O953">
        <f>IFERROR(VLOOKUP(A953,vlookup_table!$A:$G,4,FALSE),"")</f>
        <v>3801</v>
      </c>
      <c r="P953" t="str">
        <f>IFERROR(VLOOKUP(A953,vlookup_table!$A:$G,5,FALSE),"")</f>
        <v>T2</v>
      </c>
      <c r="Q953">
        <f>IFERROR(VLOOKUP(A953,vlookup_table!$A:$G,7,FALSE),"")</f>
        <v>15</v>
      </c>
      <c r="R953">
        <f t="shared" si="56"/>
        <v>59</v>
      </c>
      <c r="S953" t="str" cm="1">
        <f t="array" ref="S953">IF(P953="","",_xlfn.SWITCH(LEFT(P953,1),"C","Ciudad","T","Pueblo","R","Rural","S","Suburbano","U","Urbano",""))</f>
        <v>Pueblo</v>
      </c>
      <c r="T953" t="str">
        <f t="shared" si="57"/>
        <v>M</v>
      </c>
      <c r="U953" t="str">
        <f t="shared" si="58"/>
        <v>NC</v>
      </c>
      <c r="V953" t="str">
        <f t="shared" si="59"/>
        <v>11490</v>
      </c>
    </row>
    <row r="954" spans="1:22" x14ac:dyDescent="0.35">
      <c r="A954" s="3">
        <v>58725</v>
      </c>
      <c r="B954" t="s">
        <v>57</v>
      </c>
      <c r="C954" t="s">
        <v>14</v>
      </c>
      <c r="D954">
        <v>313</v>
      </c>
      <c r="E954">
        <v>142</v>
      </c>
      <c r="F954">
        <v>251</v>
      </c>
      <c r="G954">
        <v>0</v>
      </c>
      <c r="H954">
        <v>9665</v>
      </c>
      <c r="I954">
        <v>0</v>
      </c>
      <c r="J954">
        <v>87</v>
      </c>
      <c r="K954">
        <v>165</v>
      </c>
      <c r="L954">
        <v>210</v>
      </c>
      <c r="M954">
        <v>15</v>
      </c>
      <c r="N954">
        <f>IFERROR(VLOOKUP(A954,vlookup_table!$A:$G,2,FALSE),"")</f>
        <v>1</v>
      </c>
      <c r="O954">
        <f>IFERROR(VLOOKUP(A954,vlookup_table!$A:$G,4,FALSE),"")</f>
        <v>1811</v>
      </c>
      <c r="P954" t="str">
        <f>IFERROR(VLOOKUP(A954,vlookup_table!$A:$G,5,FALSE),"")</f>
        <v>R2</v>
      </c>
      <c r="Q954">
        <f>IFERROR(VLOOKUP(A954,vlookup_table!$A:$G,7,FALSE),"")</f>
        <v>15</v>
      </c>
      <c r="R954">
        <f t="shared" si="56"/>
        <v>79</v>
      </c>
      <c r="S954" t="str" cm="1">
        <f t="array" ref="S954">IF(P954="","",_xlfn.SWITCH(LEFT(P954,1),"C","Ciudad","T","Pueblo","R","Rural","S","Suburbano","U","Urbano",""))</f>
        <v>Rural</v>
      </c>
      <c r="T954" t="str">
        <f t="shared" si="57"/>
        <v>M</v>
      </c>
      <c r="U954" t="str">
        <f t="shared" si="58"/>
        <v>KY</v>
      </c>
      <c r="V954" t="str">
        <f t="shared" si="59"/>
        <v>9665</v>
      </c>
    </row>
    <row r="955" spans="1:22" x14ac:dyDescent="0.35">
      <c r="A955" s="3">
        <v>124104</v>
      </c>
      <c r="B955" t="s">
        <v>21</v>
      </c>
      <c r="C955" t="s">
        <v>14</v>
      </c>
      <c r="D955">
        <v>427</v>
      </c>
      <c r="E955">
        <v>455</v>
      </c>
      <c r="F955">
        <v>580</v>
      </c>
      <c r="G955">
        <v>0</v>
      </c>
      <c r="H955">
        <v>18517</v>
      </c>
      <c r="I955">
        <v>3</v>
      </c>
      <c r="J955">
        <v>64</v>
      </c>
      <c r="K955">
        <v>464</v>
      </c>
      <c r="L955">
        <v>538</v>
      </c>
      <c r="M955">
        <v>15.25</v>
      </c>
      <c r="N955">
        <f>IFERROR(VLOOKUP(A955,vlookup_table!$A:$G,2,FALSE),"")</f>
        <v>1</v>
      </c>
      <c r="O955">
        <f>IFERROR(VLOOKUP(A955,vlookup_table!$A:$G,4,FALSE),"")</f>
        <v>5002</v>
      </c>
      <c r="P955" t="str">
        <f>IFERROR(VLOOKUP(A955,vlookup_table!$A:$G,5,FALSE),"")</f>
        <v>C2</v>
      </c>
      <c r="Q955">
        <f>IFERROR(VLOOKUP(A955,vlookup_table!$A:$G,7,FALSE),"")</f>
        <v>23</v>
      </c>
      <c r="R955">
        <f t="shared" si="56"/>
        <v>47</v>
      </c>
      <c r="S955" t="str" cm="1">
        <f t="array" ref="S955">IF(P955="","",_xlfn.SWITCH(LEFT(P955,1),"C","Ciudad","T","Pueblo","R","Rural","S","Suburbano","U","Urbano",""))</f>
        <v>Ciudad</v>
      </c>
      <c r="T955" t="str">
        <f t="shared" si="57"/>
        <v>M</v>
      </c>
      <c r="U955" t="str">
        <f t="shared" si="58"/>
        <v>TX</v>
      </c>
      <c r="V955" t="str">
        <f t="shared" si="59"/>
        <v>18517</v>
      </c>
    </row>
    <row r="956" spans="1:22" x14ac:dyDescent="0.35">
      <c r="A956" s="3">
        <v>65136</v>
      </c>
      <c r="B956" t="s">
        <v>29</v>
      </c>
      <c r="C956" t="s">
        <v>17</v>
      </c>
      <c r="D956">
        <v>886</v>
      </c>
      <c r="E956">
        <v>490</v>
      </c>
      <c r="F956">
        <v>606</v>
      </c>
      <c r="G956">
        <v>2</v>
      </c>
      <c r="H956">
        <v>17633</v>
      </c>
      <c r="I956">
        <v>5</v>
      </c>
      <c r="J956">
        <v>83</v>
      </c>
      <c r="K956">
        <v>536</v>
      </c>
      <c r="L956">
        <v>570</v>
      </c>
      <c r="M956">
        <v>42.5</v>
      </c>
      <c r="N956">
        <f>IFERROR(VLOOKUP(A956,vlookup_table!$A:$G,2,FALSE),"")</f>
        <v>0</v>
      </c>
      <c r="O956">
        <f>IFERROR(VLOOKUP(A956,vlookup_table!$A:$G,4,FALSE),"")</f>
        <v>3501</v>
      </c>
      <c r="P956" t="str">
        <f>IFERROR(VLOOKUP(A956,vlookup_table!$A:$G,5,FALSE),"")</f>
        <v>T1</v>
      </c>
      <c r="Q956">
        <f>IFERROR(VLOOKUP(A956,vlookup_table!$A:$G,7,FALSE),"")</f>
        <v>20</v>
      </c>
      <c r="R956">
        <f t="shared" si="56"/>
        <v>62</v>
      </c>
      <c r="S956" t="str" cm="1">
        <f t="array" ref="S956">IF(P956="","",_xlfn.SWITCH(LEFT(P956,1),"C","Ciudad","T","Pueblo","R","Rural","S","Suburbano","U","Urbano",""))</f>
        <v>Pueblo</v>
      </c>
      <c r="T956" t="str">
        <f t="shared" si="57"/>
        <v>F</v>
      </c>
      <c r="U956" t="str">
        <f t="shared" si="58"/>
        <v>MI</v>
      </c>
      <c r="V956" t="str">
        <f t="shared" si="59"/>
        <v>17633</v>
      </c>
    </row>
    <row r="957" spans="1:22" x14ac:dyDescent="0.35">
      <c r="A957" s="3">
        <v>132558</v>
      </c>
      <c r="B957" t="s">
        <v>66</v>
      </c>
      <c r="C957" t="s">
        <v>51</v>
      </c>
      <c r="D957">
        <v>1034</v>
      </c>
      <c r="E957">
        <v>511</v>
      </c>
      <c r="F957">
        <v>610</v>
      </c>
      <c r="G957">
        <v>0</v>
      </c>
      <c r="H957">
        <v>30595</v>
      </c>
      <c r="I957">
        <v>0</v>
      </c>
      <c r="J957">
        <v>33</v>
      </c>
      <c r="K957">
        <v>511</v>
      </c>
      <c r="L957">
        <v>656</v>
      </c>
      <c r="M957">
        <v>15</v>
      </c>
      <c r="N957">
        <f>IFERROR(VLOOKUP(A957,vlookup_table!$A:$G,2,FALSE),"")</f>
        <v>1</v>
      </c>
      <c r="O957">
        <f>IFERROR(VLOOKUP(A957,vlookup_table!$A:$G,4,FALSE),"")</f>
        <v>4201</v>
      </c>
      <c r="P957" t="str">
        <f>IFERROR(VLOOKUP(A957,vlookup_table!$A:$G,5,FALSE),"")</f>
        <v>T1</v>
      </c>
      <c r="Q957">
        <f>IFERROR(VLOOKUP(A957,vlookup_table!$A:$G,7,FALSE),"")</f>
        <v>15</v>
      </c>
      <c r="R957">
        <f t="shared" si="56"/>
        <v>55</v>
      </c>
      <c r="S957" t="str" cm="1">
        <f t="array" ref="S957">IF(P957="","",_xlfn.SWITCH(LEFT(P957,1),"C","Ciudad","T","Pueblo","R","Rural","S","Suburbano","U","Urbano",""))</f>
        <v>Pueblo</v>
      </c>
      <c r="T957" t="str">
        <f t="shared" si="57"/>
        <v>M</v>
      </c>
      <c r="U957" t="str">
        <f t="shared" si="58"/>
        <v>WY</v>
      </c>
      <c r="V957" t="str">
        <f t="shared" si="59"/>
        <v>30595</v>
      </c>
    </row>
    <row r="958" spans="1:22" x14ac:dyDescent="0.35">
      <c r="A958" s="3">
        <v>82248</v>
      </c>
      <c r="B958" t="s">
        <v>56</v>
      </c>
      <c r="C958" t="s">
        <v>14</v>
      </c>
      <c r="D958">
        <v>480</v>
      </c>
      <c r="E958">
        <v>157</v>
      </c>
      <c r="F958">
        <v>246</v>
      </c>
      <c r="G958">
        <v>0</v>
      </c>
      <c r="H958">
        <v>9020</v>
      </c>
      <c r="I958">
        <v>1</v>
      </c>
      <c r="J958">
        <v>80</v>
      </c>
      <c r="K958">
        <v>184</v>
      </c>
      <c r="L958">
        <v>214</v>
      </c>
      <c r="M958">
        <v>5.9166666670000003</v>
      </c>
      <c r="N958">
        <f>IFERROR(VLOOKUP(A958,vlookup_table!$A:$G,2,FALSE),"")</f>
        <v>0</v>
      </c>
      <c r="O958">
        <f>IFERROR(VLOOKUP(A958,vlookup_table!$A:$G,4,FALSE),"")</f>
        <v>2205</v>
      </c>
      <c r="P958" t="str">
        <f>IFERROR(VLOOKUP(A958,vlookup_table!$A:$G,5,FALSE),"")</f>
        <v>R2</v>
      </c>
      <c r="Q958">
        <f>IFERROR(VLOOKUP(A958,vlookup_table!$A:$G,7,FALSE),"")</f>
        <v>8</v>
      </c>
      <c r="R958">
        <f t="shared" si="56"/>
        <v>75</v>
      </c>
      <c r="S958" t="str" cm="1">
        <f t="array" ref="S958">IF(P958="","",_xlfn.SWITCH(LEFT(P958,1),"C","Ciudad","T","Pueblo","R","Rural","S","Suburbano","U","Urbano",""))</f>
        <v>Rural</v>
      </c>
      <c r="T958" t="str">
        <f t="shared" si="57"/>
        <v>M</v>
      </c>
      <c r="U958" t="str">
        <f t="shared" si="58"/>
        <v>MN</v>
      </c>
      <c r="V958" t="str">
        <f t="shared" si="59"/>
        <v>9020</v>
      </c>
    </row>
    <row r="959" spans="1:22" x14ac:dyDescent="0.35">
      <c r="A959" s="3">
        <v>38944</v>
      </c>
      <c r="B959" t="s">
        <v>13</v>
      </c>
      <c r="C959" t="s">
        <v>14</v>
      </c>
      <c r="D959">
        <v>809</v>
      </c>
      <c r="E959">
        <v>303</v>
      </c>
      <c r="F959">
        <v>361</v>
      </c>
      <c r="G959">
        <v>0</v>
      </c>
      <c r="H959">
        <v>11303</v>
      </c>
      <c r="I959">
        <v>19</v>
      </c>
      <c r="J959">
        <v>27</v>
      </c>
      <c r="K959">
        <v>319</v>
      </c>
      <c r="L959">
        <v>342</v>
      </c>
      <c r="M959">
        <v>16.333333329999999</v>
      </c>
      <c r="N959">
        <f>IFERROR(VLOOKUP(A959,vlookup_table!$A:$G,2,FALSE),"")</f>
        <v>2</v>
      </c>
      <c r="O959">
        <f>IFERROR(VLOOKUP(A959,vlookup_table!$A:$G,4,FALSE),"")</f>
        <v>5701</v>
      </c>
      <c r="P959" t="str">
        <f>IFERROR(VLOOKUP(A959,vlookup_table!$A:$G,5,FALSE),"")</f>
        <v>U3</v>
      </c>
      <c r="Q959">
        <f>IFERROR(VLOOKUP(A959,vlookup_table!$A:$G,7,FALSE),"")</f>
        <v>25</v>
      </c>
      <c r="R959">
        <f t="shared" si="56"/>
        <v>40</v>
      </c>
      <c r="S959" t="str" cm="1">
        <f t="array" ref="S959">IF(P959="","",_xlfn.SWITCH(LEFT(P959,1),"C","Ciudad","T","Pueblo","R","Rural","S","Suburbano","U","Urbano",""))</f>
        <v>Urbano</v>
      </c>
      <c r="T959" t="str">
        <f t="shared" si="57"/>
        <v>M</v>
      </c>
      <c r="U959" t="str">
        <f t="shared" si="58"/>
        <v>FL</v>
      </c>
      <c r="V959" t="str">
        <f t="shared" si="59"/>
        <v>11303</v>
      </c>
    </row>
    <row r="960" spans="1:22" x14ac:dyDescent="0.35">
      <c r="A960" s="3">
        <v>47111</v>
      </c>
      <c r="B960" t="s">
        <v>43</v>
      </c>
      <c r="C960" t="s">
        <v>27</v>
      </c>
      <c r="D960">
        <v>453</v>
      </c>
      <c r="E960">
        <v>219</v>
      </c>
      <c r="F960">
        <v>299</v>
      </c>
      <c r="G960">
        <v>0</v>
      </c>
      <c r="H960">
        <v>9654</v>
      </c>
      <c r="I960">
        <v>0</v>
      </c>
      <c r="J960">
        <v>90</v>
      </c>
      <c r="K960">
        <v>264</v>
      </c>
      <c r="L960">
        <v>263</v>
      </c>
      <c r="M960">
        <v>3.782608696</v>
      </c>
      <c r="N960">
        <f>IFERROR(VLOOKUP(A960,vlookup_table!$A:$G,2,FALSE),"")</f>
        <v>0</v>
      </c>
      <c r="O960">
        <f>IFERROR(VLOOKUP(A960,vlookup_table!$A:$G,4,FALSE),"")</f>
        <v>2401</v>
      </c>
      <c r="P960" t="str">
        <f>IFERROR(VLOOKUP(A960,vlookup_table!$A:$G,5,FALSE),"")</f>
        <v>R3</v>
      </c>
      <c r="Q960">
        <f>IFERROR(VLOOKUP(A960,vlookup_table!$A:$G,7,FALSE),"")</f>
        <v>5</v>
      </c>
      <c r="R960">
        <f t="shared" si="56"/>
        <v>73</v>
      </c>
      <c r="S960" t="str" cm="1">
        <f t="array" ref="S960">IF(P960="","",_xlfn.SWITCH(LEFT(P960,1),"C","Ciudad","T","Pueblo","R","Rural","S","Suburbano","U","Urbano",""))</f>
        <v>Rural</v>
      </c>
      <c r="T960" t="str">
        <f t="shared" si="57"/>
        <v>M</v>
      </c>
      <c r="U960" t="str">
        <f t="shared" si="58"/>
        <v>AL</v>
      </c>
      <c r="V960" t="str">
        <f t="shared" si="59"/>
        <v>9654</v>
      </c>
    </row>
    <row r="961" spans="1:22" x14ac:dyDescent="0.35">
      <c r="A961" s="3">
        <v>165620</v>
      </c>
      <c r="B961" t="s">
        <v>22</v>
      </c>
      <c r="C961" t="s">
        <v>30</v>
      </c>
      <c r="D961">
        <v>1609</v>
      </c>
      <c r="E961">
        <v>346</v>
      </c>
      <c r="F961">
        <v>435</v>
      </c>
      <c r="G961">
        <v>15</v>
      </c>
      <c r="H961">
        <v>16568</v>
      </c>
      <c r="I961">
        <v>11</v>
      </c>
      <c r="J961">
        <v>60</v>
      </c>
      <c r="K961">
        <v>435</v>
      </c>
      <c r="L961">
        <v>404</v>
      </c>
      <c r="M961">
        <v>3.1521739129999999</v>
      </c>
      <c r="N961">
        <f>IFERROR(VLOOKUP(A961,vlookup_table!$A:$G,2,FALSE),"")</f>
        <v>0</v>
      </c>
      <c r="O961">
        <f>IFERROR(VLOOKUP(A961,vlookup_table!$A:$G,4,FALSE),"")</f>
        <v>2801</v>
      </c>
      <c r="P961" t="str">
        <f>IFERROR(VLOOKUP(A961,vlookup_table!$A:$G,5,FALSE),"")</f>
        <v>U3</v>
      </c>
      <c r="Q961">
        <f>IFERROR(VLOOKUP(A961,vlookup_table!$A:$G,7,FALSE),"")</f>
        <v>4</v>
      </c>
      <c r="R961">
        <f t="shared" si="56"/>
        <v>69</v>
      </c>
      <c r="S961" t="str" cm="1">
        <f t="array" ref="S961">IF(P961="","",_xlfn.SWITCH(LEFT(P961,1),"C","Ciudad","T","Pueblo","R","Rural","S","Suburbano","U","Urbano",""))</f>
        <v>Urbano</v>
      </c>
      <c r="T961" t="str">
        <f t="shared" si="57"/>
        <v>U</v>
      </c>
      <c r="U961" t="str">
        <f t="shared" si="58"/>
        <v>CA</v>
      </c>
      <c r="V961" t="str">
        <f t="shared" si="59"/>
        <v>16568</v>
      </c>
    </row>
    <row r="962" spans="1:22" x14ac:dyDescent="0.35">
      <c r="A962" s="3">
        <v>59561</v>
      </c>
      <c r="B962" t="s">
        <v>33</v>
      </c>
      <c r="C962" t="s">
        <v>14</v>
      </c>
      <c r="D962">
        <v>438</v>
      </c>
      <c r="E962">
        <v>275</v>
      </c>
      <c r="F962">
        <v>304</v>
      </c>
      <c r="G962">
        <v>0</v>
      </c>
      <c r="H962">
        <v>10632</v>
      </c>
      <c r="I962">
        <v>0</v>
      </c>
      <c r="J962">
        <v>75</v>
      </c>
      <c r="K962">
        <v>324</v>
      </c>
      <c r="L962">
        <v>282</v>
      </c>
      <c r="M962">
        <v>8.1999999999999993</v>
      </c>
      <c r="N962">
        <f>IFERROR(VLOOKUP(A962,vlookup_table!$A:$G,2,FALSE),"")</f>
        <v>0</v>
      </c>
      <c r="O962">
        <f>IFERROR(VLOOKUP(A962,vlookup_table!$A:$G,4,FALSE),"")</f>
        <v>6101</v>
      </c>
      <c r="P962" t="str">
        <f>IFERROR(VLOOKUP(A962,vlookup_table!$A:$G,5,FALSE),"")</f>
        <v>R3</v>
      </c>
      <c r="Q962">
        <f>IFERROR(VLOOKUP(A962,vlookup_table!$A:$G,7,FALSE),"")</f>
        <v>9</v>
      </c>
      <c r="R962">
        <f t="shared" ref="R962:R1025" si="60">IF(O962="","",97-INT(O962/100))</f>
        <v>36</v>
      </c>
      <c r="S962" t="str" cm="1">
        <f t="array" ref="S962">IF(P962="","",_xlfn.SWITCH(LEFT(P962,1),"C","Ciudad","T","Pueblo","R","Rural","S","Suburbano","U","Urbano",""))</f>
        <v>Rural</v>
      </c>
      <c r="T962" t="str">
        <f t="shared" ref="T962:T1025" si="61">IF(C962="","",IF(OR(UPPER(C962)="M",UPPER(C962)="MALE"),"M",IF(OR(UPPER(C962)="F",UPPER(C962)="FEMALE",UPPER(C962)="FEAMALE"),"F",C962)))</f>
        <v>M</v>
      </c>
      <c r="U962" t="str">
        <f t="shared" ref="U962:U1025" si="62">IF(OR(UPPER(B962)="CALIFORNIA",UPPER(B962)="CALI"),"CA",B962)</f>
        <v>IN</v>
      </c>
      <c r="V962" t="str">
        <f t="shared" ref="V962:V1025" si="63">SUBSTITUTE(H962,"@","")</f>
        <v>10632</v>
      </c>
    </row>
    <row r="963" spans="1:22" x14ac:dyDescent="0.35">
      <c r="A963" s="3">
        <v>27423</v>
      </c>
      <c r="B963" t="s">
        <v>39</v>
      </c>
      <c r="C963" t="s">
        <v>17</v>
      </c>
      <c r="D963">
        <v>442</v>
      </c>
      <c r="E963">
        <v>218</v>
      </c>
      <c r="F963">
        <v>286</v>
      </c>
      <c r="G963">
        <v>0</v>
      </c>
      <c r="H963">
        <v>9399</v>
      </c>
      <c r="I963">
        <v>0</v>
      </c>
      <c r="J963">
        <v>78</v>
      </c>
      <c r="K963">
        <v>253</v>
      </c>
      <c r="L963">
        <v>257</v>
      </c>
      <c r="M963">
        <v>9.1666666669999994</v>
      </c>
      <c r="N963">
        <f>IFERROR(VLOOKUP(A963,vlookup_table!$A:$G,2,FALSE),"")</f>
        <v>2</v>
      </c>
      <c r="O963">
        <f>IFERROR(VLOOKUP(A963,vlookup_table!$A:$G,4,FALSE),"")</f>
        <v>0</v>
      </c>
      <c r="P963" t="str">
        <f>IFERROR(VLOOKUP(A963,vlookup_table!$A:$G,5,FALSE),"")</f>
        <v>R3</v>
      </c>
      <c r="Q963">
        <f>IFERROR(VLOOKUP(A963,vlookup_table!$A:$G,7,FALSE),"")</f>
        <v>5</v>
      </c>
      <c r="R963">
        <f t="shared" si="60"/>
        <v>97</v>
      </c>
      <c r="S963" t="str" cm="1">
        <f t="array" ref="S963">IF(P963="","",_xlfn.SWITCH(LEFT(P963,1),"C","Ciudad","T","Pueblo","R","Rural","S","Suburbano","U","Urbano",""))</f>
        <v>Rural</v>
      </c>
      <c r="T963" t="str">
        <f t="shared" si="61"/>
        <v>F</v>
      </c>
      <c r="U963" t="str">
        <f t="shared" si="62"/>
        <v>GA</v>
      </c>
      <c r="V963" t="str">
        <f t="shared" si="63"/>
        <v>9399</v>
      </c>
    </row>
    <row r="964" spans="1:22" x14ac:dyDescent="0.35">
      <c r="A964" s="3">
        <v>13484</v>
      </c>
      <c r="B964" t="s">
        <v>13</v>
      </c>
      <c r="C964" t="s">
        <v>14</v>
      </c>
      <c r="D964">
        <v>1034</v>
      </c>
      <c r="E964">
        <v>488</v>
      </c>
      <c r="F964">
        <v>555</v>
      </c>
      <c r="G964">
        <v>1</v>
      </c>
      <c r="H964">
        <v>19446</v>
      </c>
      <c r="I964">
        <v>7</v>
      </c>
      <c r="J964">
        <v>12</v>
      </c>
      <c r="K964">
        <v>524</v>
      </c>
      <c r="L964">
        <v>515</v>
      </c>
      <c r="M964">
        <v>15</v>
      </c>
      <c r="N964">
        <f>IFERROR(VLOOKUP(A964,vlookup_table!$A:$G,2,FALSE),"")</f>
        <v>1</v>
      </c>
      <c r="O964">
        <f>IFERROR(VLOOKUP(A964,vlookup_table!$A:$G,4,FALSE),"")</f>
        <v>0</v>
      </c>
      <c r="P964" t="str">
        <f>IFERROR(VLOOKUP(A964,vlookup_table!$A:$G,5,FALSE),"")</f>
        <v>C1</v>
      </c>
      <c r="Q964">
        <f>IFERROR(VLOOKUP(A964,vlookup_table!$A:$G,7,FALSE),"")</f>
        <v>11</v>
      </c>
      <c r="R964">
        <f t="shared" si="60"/>
        <v>97</v>
      </c>
      <c r="S964" t="str" cm="1">
        <f t="array" ref="S964">IF(P964="","",_xlfn.SWITCH(LEFT(P964,1),"C","Ciudad","T","Pueblo","R","Rural","S","Suburbano","U","Urbano",""))</f>
        <v>Ciudad</v>
      </c>
      <c r="T964" t="str">
        <f t="shared" si="61"/>
        <v>M</v>
      </c>
      <c r="U964" t="str">
        <f t="shared" si="62"/>
        <v>FL</v>
      </c>
      <c r="V964" t="str">
        <f t="shared" si="63"/>
        <v>19446</v>
      </c>
    </row>
    <row r="965" spans="1:22" x14ac:dyDescent="0.35">
      <c r="A965" s="3">
        <v>133491</v>
      </c>
      <c r="B965" t="s">
        <v>41</v>
      </c>
      <c r="C965" t="s">
        <v>14</v>
      </c>
      <c r="D965">
        <v>679</v>
      </c>
      <c r="E965">
        <v>298</v>
      </c>
      <c r="F965">
        <v>360</v>
      </c>
      <c r="G965">
        <v>1</v>
      </c>
      <c r="H965">
        <v>10779</v>
      </c>
      <c r="I965">
        <v>3</v>
      </c>
      <c r="J965">
        <v>37</v>
      </c>
      <c r="K965">
        <v>327</v>
      </c>
      <c r="L965">
        <v>332</v>
      </c>
      <c r="M965">
        <v>46.333333330000002</v>
      </c>
      <c r="N965">
        <f>IFERROR(VLOOKUP(A965,vlookup_table!$A:$G,2,FALSE),"")</f>
        <v>1002</v>
      </c>
      <c r="O965">
        <f>IFERROR(VLOOKUP(A965,vlookup_table!$A:$G,4,FALSE),"")</f>
        <v>0</v>
      </c>
      <c r="P965" t="str">
        <f>IFERROR(VLOOKUP(A965,vlookup_table!$A:$G,5,FALSE),"")</f>
        <v>T2</v>
      </c>
      <c r="Q965">
        <f>IFERROR(VLOOKUP(A965,vlookup_table!$A:$G,7,FALSE),"")</f>
        <v>100</v>
      </c>
      <c r="R965">
        <f t="shared" si="60"/>
        <v>97</v>
      </c>
      <c r="S965" t="str" cm="1">
        <f t="array" ref="S965">IF(P965="","",_xlfn.SWITCH(LEFT(P965,1),"C","Ciudad","T","Pueblo","R","Rural","S","Suburbano","U","Urbano",""))</f>
        <v>Pueblo</v>
      </c>
      <c r="T965" t="str">
        <f t="shared" si="61"/>
        <v>M</v>
      </c>
      <c r="U965" t="str">
        <f t="shared" si="62"/>
        <v>ID</v>
      </c>
      <c r="V965" t="str">
        <f t="shared" si="63"/>
        <v>10779</v>
      </c>
    </row>
    <row r="966" spans="1:22" x14ac:dyDescent="0.35">
      <c r="A966" s="3">
        <v>63000</v>
      </c>
      <c r="B966" t="s">
        <v>33</v>
      </c>
      <c r="D966">
        <v>351</v>
      </c>
      <c r="E966">
        <v>192</v>
      </c>
      <c r="F966">
        <v>235</v>
      </c>
      <c r="G966">
        <v>0</v>
      </c>
      <c r="H966">
        <v>8757</v>
      </c>
      <c r="I966">
        <v>0</v>
      </c>
      <c r="J966">
        <v>79</v>
      </c>
      <c r="K966">
        <v>214</v>
      </c>
      <c r="L966">
        <v>212</v>
      </c>
      <c r="M966">
        <v>20</v>
      </c>
      <c r="N966">
        <f>IFERROR(VLOOKUP(A966,vlookup_table!$A:$G,2,FALSE),"")</f>
        <v>0</v>
      </c>
      <c r="O966">
        <f>IFERROR(VLOOKUP(A966,vlookup_table!$A:$G,4,FALSE),"")</f>
        <v>0</v>
      </c>
      <c r="P966" t="str">
        <f>IFERROR(VLOOKUP(A966,vlookup_table!$A:$G,5,FALSE),"")</f>
        <v>T3</v>
      </c>
      <c r="Q966">
        <f>IFERROR(VLOOKUP(A966,vlookup_table!$A:$G,7,FALSE),"")</f>
        <v>25</v>
      </c>
      <c r="R966">
        <f t="shared" si="60"/>
        <v>97</v>
      </c>
      <c r="S966" t="str" cm="1">
        <f t="array" ref="S966">IF(P966="","",_xlfn.SWITCH(LEFT(P966,1),"C","Ciudad","T","Pueblo","R","Rural","S","Suburbano","U","Urbano",""))</f>
        <v>Pueblo</v>
      </c>
      <c r="T966" t="str">
        <f t="shared" si="61"/>
        <v/>
      </c>
      <c r="U966" t="str">
        <f t="shared" si="62"/>
        <v>IN</v>
      </c>
      <c r="V966" t="str">
        <f t="shared" si="63"/>
        <v>8757</v>
      </c>
    </row>
    <row r="967" spans="1:22" x14ac:dyDescent="0.35">
      <c r="A967" s="3">
        <v>187284</v>
      </c>
      <c r="B967" t="s">
        <v>47</v>
      </c>
      <c r="C967" t="s">
        <v>17</v>
      </c>
      <c r="D967">
        <v>614</v>
      </c>
      <c r="E967">
        <v>222</v>
      </c>
      <c r="F967">
        <v>363</v>
      </c>
      <c r="G967">
        <v>0</v>
      </c>
      <c r="H967">
        <v>13840</v>
      </c>
      <c r="I967">
        <v>1</v>
      </c>
      <c r="J967">
        <v>69</v>
      </c>
      <c r="K967">
        <v>317</v>
      </c>
      <c r="L967">
        <v>305</v>
      </c>
      <c r="M967">
        <v>8.6666666669999994</v>
      </c>
      <c r="N967">
        <f>IFERROR(VLOOKUP(A967,vlookup_table!$A:$G,2,FALSE),"")</f>
        <v>0</v>
      </c>
      <c r="O967">
        <f>IFERROR(VLOOKUP(A967,vlookup_table!$A:$G,4,FALSE),"")</f>
        <v>0</v>
      </c>
      <c r="P967" t="str">
        <f>IFERROR(VLOOKUP(A967,vlookup_table!$A:$G,5,FALSE),"")</f>
        <v>C2</v>
      </c>
      <c r="Q967">
        <f>IFERROR(VLOOKUP(A967,vlookup_table!$A:$G,7,FALSE),"")</f>
        <v>10</v>
      </c>
      <c r="R967">
        <f t="shared" si="60"/>
        <v>97</v>
      </c>
      <c r="S967" t="str" cm="1">
        <f t="array" ref="S967">IF(P967="","",_xlfn.SWITCH(LEFT(P967,1),"C","Ciudad","T","Pueblo","R","Rural","S","Suburbano","U","Urbano",""))</f>
        <v>Ciudad</v>
      </c>
      <c r="T967" t="str">
        <f t="shared" si="61"/>
        <v>F</v>
      </c>
      <c r="U967" t="str">
        <f t="shared" si="62"/>
        <v>IA</v>
      </c>
      <c r="V967" t="str">
        <f t="shared" si="63"/>
        <v>13840</v>
      </c>
    </row>
    <row r="968" spans="1:22" x14ac:dyDescent="0.35">
      <c r="A968" s="3">
        <v>131423</v>
      </c>
      <c r="B968" t="s">
        <v>48</v>
      </c>
      <c r="C968" t="s">
        <v>14</v>
      </c>
      <c r="D968">
        <v>881</v>
      </c>
      <c r="E968">
        <v>327</v>
      </c>
      <c r="F968">
        <v>382</v>
      </c>
      <c r="G968">
        <v>1</v>
      </c>
      <c r="H968">
        <v>12204</v>
      </c>
      <c r="I968">
        <v>5</v>
      </c>
      <c r="J968">
        <v>33</v>
      </c>
      <c r="K968">
        <v>332</v>
      </c>
      <c r="L968">
        <v>375</v>
      </c>
      <c r="M968">
        <v>14.8</v>
      </c>
      <c r="N968">
        <f>IFERROR(VLOOKUP(A968,vlookup_table!$A:$G,2,FALSE),"")</f>
        <v>1</v>
      </c>
      <c r="O968">
        <f>IFERROR(VLOOKUP(A968,vlookup_table!$A:$G,4,FALSE),"")</f>
        <v>4812</v>
      </c>
      <c r="P968" t="str">
        <f>IFERROR(VLOOKUP(A968,vlookup_table!$A:$G,5,FALSE),"")</f>
        <v>R2</v>
      </c>
      <c r="Q968">
        <f>IFERROR(VLOOKUP(A968,vlookup_table!$A:$G,7,FALSE),"")</f>
        <v>25</v>
      </c>
      <c r="R968">
        <f t="shared" si="60"/>
        <v>49</v>
      </c>
      <c r="S968" t="str" cm="1">
        <f t="array" ref="S968">IF(P968="","",_xlfn.SWITCH(LEFT(P968,1),"C","Ciudad","T","Pueblo","R","Rural","S","Suburbano","U","Urbano",""))</f>
        <v>Rural</v>
      </c>
      <c r="T968" t="str">
        <f t="shared" si="61"/>
        <v>M</v>
      </c>
      <c r="U968" t="str">
        <f t="shared" si="62"/>
        <v>CO</v>
      </c>
      <c r="V968" t="str">
        <f t="shared" si="63"/>
        <v>12204</v>
      </c>
    </row>
    <row r="969" spans="1:22" x14ac:dyDescent="0.35">
      <c r="A969" s="3">
        <v>22942</v>
      </c>
      <c r="B969" t="s">
        <v>46</v>
      </c>
      <c r="C969" t="s">
        <v>17</v>
      </c>
      <c r="D969">
        <v>616</v>
      </c>
      <c r="E969">
        <v>324</v>
      </c>
      <c r="F969">
        <v>361</v>
      </c>
      <c r="G969">
        <v>0</v>
      </c>
      <c r="H969">
        <v>15746</v>
      </c>
      <c r="I969">
        <v>4</v>
      </c>
      <c r="J969">
        <v>51</v>
      </c>
      <c r="K969">
        <v>334</v>
      </c>
      <c r="L969">
        <v>348</v>
      </c>
      <c r="M969">
        <v>8.5</v>
      </c>
      <c r="N969">
        <f>IFERROR(VLOOKUP(A969,vlookup_table!$A:$G,2,FALSE),"")</f>
        <v>0</v>
      </c>
      <c r="O969">
        <f>IFERROR(VLOOKUP(A969,vlookup_table!$A:$G,4,FALSE),"")</f>
        <v>2901</v>
      </c>
      <c r="P969" t="str">
        <f>IFERROR(VLOOKUP(A969,vlookup_table!$A:$G,5,FALSE),"")</f>
        <v>C2</v>
      </c>
      <c r="Q969">
        <f>IFERROR(VLOOKUP(A969,vlookup_table!$A:$G,7,FALSE),"")</f>
        <v>9</v>
      </c>
      <c r="R969">
        <f t="shared" si="60"/>
        <v>68</v>
      </c>
      <c r="S969" t="str" cm="1">
        <f t="array" ref="S969">IF(P969="","",_xlfn.SWITCH(LEFT(P969,1),"C","Ciudad","T","Pueblo","R","Rural","S","Suburbano","U","Urbano",""))</f>
        <v>Ciudad</v>
      </c>
      <c r="T969" t="str">
        <f t="shared" si="61"/>
        <v>F</v>
      </c>
      <c r="U969" t="str">
        <f t="shared" si="62"/>
        <v>SC</v>
      </c>
      <c r="V969" t="str">
        <f t="shared" si="63"/>
        <v>15746</v>
      </c>
    </row>
    <row r="970" spans="1:22" x14ac:dyDescent="0.35">
      <c r="A970" s="3">
        <v>85579</v>
      </c>
      <c r="B970" t="s">
        <v>56</v>
      </c>
      <c r="C970" t="s">
        <v>17</v>
      </c>
      <c r="D970">
        <v>522</v>
      </c>
      <c r="E970">
        <v>227</v>
      </c>
      <c r="F970">
        <v>347</v>
      </c>
      <c r="G970">
        <v>0</v>
      </c>
      <c r="H970">
        <v>12849</v>
      </c>
      <c r="I970">
        <v>1</v>
      </c>
      <c r="J970">
        <v>64</v>
      </c>
      <c r="K970">
        <v>292</v>
      </c>
      <c r="L970">
        <v>294</v>
      </c>
      <c r="M970">
        <v>20</v>
      </c>
      <c r="N970">
        <f>IFERROR(VLOOKUP(A970,vlookup_table!$A:$G,2,FALSE),"")</f>
        <v>0</v>
      </c>
      <c r="O970">
        <f>IFERROR(VLOOKUP(A970,vlookup_table!$A:$G,4,FALSE),"")</f>
        <v>2001</v>
      </c>
      <c r="P970" t="str">
        <f>IFERROR(VLOOKUP(A970,vlookup_table!$A:$G,5,FALSE),"")</f>
        <v>T2</v>
      </c>
      <c r="Q970">
        <f>IFERROR(VLOOKUP(A970,vlookup_table!$A:$G,7,FALSE),"")</f>
        <v>20</v>
      </c>
      <c r="R970">
        <f t="shared" si="60"/>
        <v>77</v>
      </c>
      <c r="S970" t="str" cm="1">
        <f t="array" ref="S970">IF(P970="","",_xlfn.SWITCH(LEFT(P970,1),"C","Ciudad","T","Pueblo","R","Rural","S","Suburbano","U","Urbano",""))</f>
        <v>Pueblo</v>
      </c>
      <c r="T970" t="str">
        <f t="shared" si="61"/>
        <v>F</v>
      </c>
      <c r="U970" t="str">
        <f t="shared" si="62"/>
        <v>MN</v>
      </c>
      <c r="V970" t="str">
        <f t="shared" si="63"/>
        <v>12849</v>
      </c>
    </row>
    <row r="971" spans="1:22" x14ac:dyDescent="0.35">
      <c r="A971" s="3">
        <v>3009</v>
      </c>
      <c r="B971" t="s">
        <v>22</v>
      </c>
      <c r="C971" t="s">
        <v>17</v>
      </c>
      <c r="D971">
        <v>1184</v>
      </c>
      <c r="E971">
        <v>324</v>
      </c>
      <c r="F971">
        <v>368</v>
      </c>
      <c r="G971">
        <v>0</v>
      </c>
      <c r="H971">
        <v>13817</v>
      </c>
      <c r="I971">
        <v>9</v>
      </c>
      <c r="J971">
        <v>55</v>
      </c>
      <c r="K971">
        <v>341</v>
      </c>
      <c r="L971">
        <v>352</v>
      </c>
      <c r="M971">
        <v>9.875</v>
      </c>
      <c r="N971">
        <f>IFERROR(VLOOKUP(A971,vlookup_table!$A:$G,2,FALSE),"")</f>
        <v>2</v>
      </c>
      <c r="O971">
        <f>IFERROR(VLOOKUP(A971,vlookup_table!$A:$G,4,FALSE),"")</f>
        <v>4801</v>
      </c>
      <c r="P971" t="str">
        <f>IFERROR(VLOOKUP(A971,vlookup_table!$A:$G,5,FALSE),"")</f>
        <v>U3</v>
      </c>
      <c r="Q971">
        <f>IFERROR(VLOOKUP(A971,vlookup_table!$A:$G,7,FALSE),"")</f>
        <v>20</v>
      </c>
      <c r="R971">
        <f t="shared" si="60"/>
        <v>49</v>
      </c>
      <c r="S971" t="str" cm="1">
        <f t="array" ref="S971">IF(P971="","",_xlfn.SWITCH(LEFT(P971,1),"C","Ciudad","T","Pueblo","R","Rural","S","Suburbano","U","Urbano",""))</f>
        <v>Urbano</v>
      </c>
      <c r="T971" t="str">
        <f t="shared" si="61"/>
        <v>F</v>
      </c>
      <c r="U971" t="str">
        <f t="shared" si="62"/>
        <v>CA</v>
      </c>
      <c r="V971" t="str">
        <f t="shared" si="63"/>
        <v>13817</v>
      </c>
    </row>
    <row r="972" spans="1:22" x14ac:dyDescent="0.35">
      <c r="A972" s="3">
        <v>105923</v>
      </c>
      <c r="B972" t="s">
        <v>28</v>
      </c>
      <c r="C972" t="s">
        <v>17</v>
      </c>
      <c r="D972">
        <v>481</v>
      </c>
      <c r="E972">
        <v>322</v>
      </c>
      <c r="F972">
        <v>352</v>
      </c>
      <c r="G972">
        <v>0</v>
      </c>
      <c r="H972" s="2" t="s">
        <v>67</v>
      </c>
      <c r="I972">
        <v>0</v>
      </c>
      <c r="J972">
        <v>77</v>
      </c>
      <c r="K972">
        <v>318</v>
      </c>
      <c r="L972">
        <v>359</v>
      </c>
      <c r="M972">
        <v>5.8571428570000004</v>
      </c>
      <c r="N972">
        <f>IFERROR(VLOOKUP(A972,vlookup_table!$A:$G,2,FALSE),"")</f>
        <v>0</v>
      </c>
      <c r="O972">
        <f>IFERROR(VLOOKUP(A972,vlookup_table!$A:$G,4,FALSE),"")</f>
        <v>1501</v>
      </c>
      <c r="P972" t="str">
        <f>IFERROR(VLOOKUP(A972,vlookup_table!$A:$G,5,FALSE),"")</f>
        <v>S2</v>
      </c>
      <c r="Q972">
        <f>IFERROR(VLOOKUP(A972,vlookup_table!$A:$G,7,FALSE),"")</f>
        <v>7</v>
      </c>
      <c r="R972">
        <f t="shared" si="60"/>
        <v>82</v>
      </c>
      <c r="S972" t="str" cm="1">
        <f t="array" ref="S972">IF(P972="","",_xlfn.SWITCH(LEFT(P972,1),"C","Ciudad","T","Pueblo","R","Rural","S","Suburbano","U","Urbano",""))</f>
        <v>Suburbano</v>
      </c>
      <c r="T972" t="str">
        <f t="shared" si="61"/>
        <v>F</v>
      </c>
      <c r="U972" t="str">
        <f t="shared" si="62"/>
        <v>KS</v>
      </c>
      <c r="V972" t="str">
        <f t="shared" si="63"/>
        <v>10909</v>
      </c>
    </row>
    <row r="973" spans="1:22" x14ac:dyDescent="0.35">
      <c r="A973" s="3">
        <v>187722</v>
      </c>
      <c r="B973" t="s">
        <v>29</v>
      </c>
      <c r="C973" t="s">
        <v>14</v>
      </c>
      <c r="D973">
        <v>1348</v>
      </c>
      <c r="E973">
        <v>662</v>
      </c>
      <c r="F973">
        <v>788</v>
      </c>
      <c r="G973">
        <v>22</v>
      </c>
      <c r="H973">
        <v>30766</v>
      </c>
      <c r="I973">
        <v>4</v>
      </c>
      <c r="J973">
        <v>65</v>
      </c>
      <c r="K973">
        <v>712</v>
      </c>
      <c r="L973">
        <v>752</v>
      </c>
      <c r="M973">
        <v>6.2</v>
      </c>
      <c r="N973">
        <f>IFERROR(VLOOKUP(A973,vlookup_table!$A:$G,2,FALSE),"")</f>
        <v>1002</v>
      </c>
      <c r="O973">
        <f>IFERROR(VLOOKUP(A973,vlookup_table!$A:$G,4,FALSE),"")</f>
        <v>0</v>
      </c>
      <c r="P973" t="str">
        <f>IFERROR(VLOOKUP(A973,vlookup_table!$A:$G,5,FALSE),"")</f>
        <v>T1</v>
      </c>
      <c r="Q973">
        <f>IFERROR(VLOOKUP(A973,vlookup_table!$A:$G,7,FALSE),"")</f>
        <v>7</v>
      </c>
      <c r="R973">
        <f t="shared" si="60"/>
        <v>97</v>
      </c>
      <c r="S973" t="str" cm="1">
        <f t="array" ref="S973">IF(P973="","",_xlfn.SWITCH(LEFT(P973,1),"C","Ciudad","T","Pueblo","R","Rural","S","Suburbano","U","Urbano",""))</f>
        <v>Pueblo</v>
      </c>
      <c r="T973" t="str">
        <f t="shared" si="61"/>
        <v>M</v>
      </c>
      <c r="U973" t="str">
        <f t="shared" si="62"/>
        <v>MI</v>
      </c>
      <c r="V973" t="str">
        <f t="shared" si="63"/>
        <v>30766</v>
      </c>
    </row>
    <row r="974" spans="1:22" x14ac:dyDescent="0.35">
      <c r="A974" s="3">
        <v>15566</v>
      </c>
      <c r="B974" t="s">
        <v>18</v>
      </c>
      <c r="C974" t="s">
        <v>65</v>
      </c>
      <c r="D974">
        <v>683</v>
      </c>
      <c r="E974">
        <v>343</v>
      </c>
      <c r="F974">
        <v>441</v>
      </c>
      <c r="G974">
        <v>1</v>
      </c>
      <c r="H974">
        <v>15482</v>
      </c>
      <c r="I974">
        <v>1</v>
      </c>
      <c r="J974">
        <v>77</v>
      </c>
      <c r="K974">
        <v>398</v>
      </c>
      <c r="L974">
        <v>377</v>
      </c>
      <c r="M974">
        <v>7.2142857139999998</v>
      </c>
      <c r="N974">
        <f>IFERROR(VLOOKUP(A974,vlookup_table!$A:$G,2,FALSE),"")</f>
        <v>2</v>
      </c>
      <c r="O974">
        <f>IFERROR(VLOOKUP(A974,vlookup_table!$A:$G,4,FALSE),"")</f>
        <v>0</v>
      </c>
      <c r="P974" t="str">
        <f>IFERROR(VLOOKUP(A974,vlookup_table!$A:$G,5,FALSE),"")</f>
        <v>R2</v>
      </c>
      <c r="Q974">
        <f>IFERROR(VLOOKUP(A974,vlookup_table!$A:$G,7,FALSE),"")</f>
        <v>10</v>
      </c>
      <c r="R974">
        <f t="shared" si="60"/>
        <v>97</v>
      </c>
      <c r="S974" t="str" cm="1">
        <f t="array" ref="S974">IF(P974="","",_xlfn.SWITCH(LEFT(P974,1),"C","Ciudad","T","Pueblo","R","Rural","S","Suburbano","U","Urbano",""))</f>
        <v>Rural</v>
      </c>
      <c r="T974" t="str">
        <f t="shared" si="61"/>
        <v>F</v>
      </c>
      <c r="U974" t="str">
        <f t="shared" si="62"/>
        <v>NC</v>
      </c>
      <c r="V974" t="str">
        <f t="shared" si="63"/>
        <v>15482</v>
      </c>
    </row>
    <row r="975" spans="1:22" x14ac:dyDescent="0.35">
      <c r="A975" s="3">
        <v>84745</v>
      </c>
      <c r="B975" t="s">
        <v>56</v>
      </c>
      <c r="C975" t="s">
        <v>17</v>
      </c>
      <c r="D975">
        <v>604</v>
      </c>
      <c r="E975">
        <v>318</v>
      </c>
      <c r="F975">
        <v>376</v>
      </c>
      <c r="G975">
        <v>1</v>
      </c>
      <c r="H975">
        <v>12097</v>
      </c>
      <c r="I975">
        <v>1</v>
      </c>
      <c r="J975">
        <v>78</v>
      </c>
      <c r="K975">
        <v>338</v>
      </c>
      <c r="L975">
        <v>356</v>
      </c>
      <c r="M975">
        <v>6.5909090910000003</v>
      </c>
      <c r="N975">
        <f>IFERROR(VLOOKUP(A975,vlookup_table!$A:$G,2,FALSE),"")</f>
        <v>0</v>
      </c>
      <c r="O975">
        <f>IFERROR(VLOOKUP(A975,vlookup_table!$A:$G,4,FALSE),"")</f>
        <v>1601</v>
      </c>
      <c r="P975" t="str">
        <f>IFERROR(VLOOKUP(A975,vlookup_table!$A:$G,5,FALSE),"")</f>
        <v>R2</v>
      </c>
      <c r="Q975">
        <f>IFERROR(VLOOKUP(A975,vlookup_table!$A:$G,7,FALSE),"")</f>
        <v>7</v>
      </c>
      <c r="R975">
        <f t="shared" si="60"/>
        <v>81</v>
      </c>
      <c r="S975" t="str" cm="1">
        <f t="array" ref="S975">IF(P975="","",_xlfn.SWITCH(LEFT(P975,1),"C","Ciudad","T","Pueblo","R","Rural","S","Suburbano","U","Urbano",""))</f>
        <v>Rural</v>
      </c>
      <c r="T975" t="str">
        <f t="shared" si="61"/>
        <v>F</v>
      </c>
      <c r="U975" t="str">
        <f t="shared" si="62"/>
        <v>MN</v>
      </c>
      <c r="V975" t="str">
        <f t="shared" si="63"/>
        <v>12097</v>
      </c>
    </row>
    <row r="976" spans="1:22" x14ac:dyDescent="0.35">
      <c r="A976" s="3">
        <v>78172</v>
      </c>
      <c r="B976" t="s">
        <v>35</v>
      </c>
      <c r="C976" t="s">
        <v>17</v>
      </c>
      <c r="D976">
        <v>1167</v>
      </c>
      <c r="E976">
        <v>558</v>
      </c>
      <c r="F976">
        <v>626</v>
      </c>
      <c r="G976">
        <v>4</v>
      </c>
      <c r="H976">
        <v>19797</v>
      </c>
      <c r="I976">
        <v>4</v>
      </c>
      <c r="J976">
        <v>71</v>
      </c>
      <c r="K976">
        <v>576</v>
      </c>
      <c r="L976">
        <v>597</v>
      </c>
      <c r="M976">
        <v>15</v>
      </c>
      <c r="N976">
        <f>IFERROR(VLOOKUP(A976,vlookup_table!$A:$G,2,FALSE),"")</f>
        <v>2</v>
      </c>
      <c r="O976">
        <f>IFERROR(VLOOKUP(A976,vlookup_table!$A:$G,4,FALSE),"")</f>
        <v>4401</v>
      </c>
      <c r="P976" t="str">
        <f>IFERROR(VLOOKUP(A976,vlookup_table!$A:$G,5,FALSE),"")</f>
        <v>C1</v>
      </c>
      <c r="Q976">
        <f>IFERROR(VLOOKUP(A976,vlookup_table!$A:$G,7,FALSE),"")</f>
        <v>25</v>
      </c>
      <c r="R976">
        <f t="shared" si="60"/>
        <v>53</v>
      </c>
      <c r="S976" t="str" cm="1">
        <f t="array" ref="S976">IF(P976="","",_xlfn.SWITCH(LEFT(P976,1),"C","Ciudad","T","Pueblo","R","Rural","S","Suburbano","U","Urbano",""))</f>
        <v>Ciudad</v>
      </c>
      <c r="T976" t="str">
        <f t="shared" si="61"/>
        <v>F</v>
      </c>
      <c r="U976" t="str">
        <f t="shared" si="62"/>
        <v>WI</v>
      </c>
      <c r="V976" t="str">
        <f t="shared" si="63"/>
        <v>19797</v>
      </c>
    </row>
    <row r="977" spans="1:22" x14ac:dyDescent="0.35">
      <c r="A977" s="3">
        <v>186334</v>
      </c>
      <c r="B977" t="s">
        <v>33</v>
      </c>
      <c r="C977" t="s">
        <v>14</v>
      </c>
      <c r="D977">
        <v>836</v>
      </c>
      <c r="E977">
        <v>222</v>
      </c>
      <c r="F977">
        <v>442</v>
      </c>
      <c r="G977">
        <v>8</v>
      </c>
      <c r="H977">
        <v>16007</v>
      </c>
      <c r="I977">
        <v>0</v>
      </c>
      <c r="J977">
        <v>78</v>
      </c>
      <c r="K977">
        <v>431</v>
      </c>
      <c r="L977">
        <v>347</v>
      </c>
      <c r="M977">
        <v>8.9473684210000002</v>
      </c>
      <c r="N977">
        <f>IFERROR(VLOOKUP(A977,vlookup_table!$A:$G,2,FALSE),"")</f>
        <v>1</v>
      </c>
      <c r="O977">
        <f>IFERROR(VLOOKUP(A977,vlookup_table!$A:$G,4,FALSE),"")</f>
        <v>1908</v>
      </c>
      <c r="P977" t="str">
        <f>IFERROR(VLOOKUP(A977,vlookup_table!$A:$G,5,FALSE),"")</f>
        <v>C3</v>
      </c>
      <c r="Q977">
        <f>IFERROR(VLOOKUP(A977,vlookup_table!$A:$G,7,FALSE),"")</f>
        <v>10</v>
      </c>
      <c r="R977">
        <f t="shared" si="60"/>
        <v>78</v>
      </c>
      <c r="S977" t="str" cm="1">
        <f t="array" ref="S977">IF(P977="","",_xlfn.SWITCH(LEFT(P977,1),"C","Ciudad","T","Pueblo","R","Rural","S","Suburbano","U","Urbano",""))</f>
        <v>Ciudad</v>
      </c>
      <c r="T977" t="str">
        <f t="shared" si="61"/>
        <v>M</v>
      </c>
      <c r="U977" t="str">
        <f t="shared" si="62"/>
        <v>IN</v>
      </c>
      <c r="V977" t="str">
        <f t="shared" si="63"/>
        <v>16007</v>
      </c>
    </row>
    <row r="978" spans="1:22" x14ac:dyDescent="0.35">
      <c r="A978" s="3">
        <v>170767</v>
      </c>
      <c r="B978" t="s">
        <v>22</v>
      </c>
      <c r="C978" t="s">
        <v>17</v>
      </c>
      <c r="D978">
        <v>1349</v>
      </c>
      <c r="E978">
        <v>370</v>
      </c>
      <c r="F978">
        <v>480</v>
      </c>
      <c r="G978">
        <v>1</v>
      </c>
      <c r="H978">
        <v>23716</v>
      </c>
      <c r="I978">
        <v>15</v>
      </c>
      <c r="J978">
        <v>24</v>
      </c>
      <c r="K978">
        <v>418</v>
      </c>
      <c r="L978">
        <v>436</v>
      </c>
      <c r="M978">
        <v>12.5</v>
      </c>
      <c r="N978">
        <f>IFERROR(VLOOKUP(A978,vlookup_table!$A:$G,2,FALSE),"")</f>
        <v>0</v>
      </c>
      <c r="O978">
        <f>IFERROR(VLOOKUP(A978,vlookup_table!$A:$G,4,FALSE),"")</f>
        <v>2001</v>
      </c>
      <c r="P978" t="str">
        <f>IFERROR(VLOOKUP(A978,vlookup_table!$A:$G,5,FALSE),"")</f>
        <v>C1</v>
      </c>
      <c r="Q978">
        <f>IFERROR(VLOOKUP(A978,vlookup_table!$A:$G,7,FALSE),"")</f>
        <v>15</v>
      </c>
      <c r="R978">
        <f t="shared" si="60"/>
        <v>77</v>
      </c>
      <c r="S978" t="str" cm="1">
        <f t="array" ref="S978">IF(P978="","",_xlfn.SWITCH(LEFT(P978,1),"C","Ciudad","T","Pueblo","R","Rural","S","Suburbano","U","Urbano",""))</f>
        <v>Ciudad</v>
      </c>
      <c r="T978" t="str">
        <f t="shared" si="61"/>
        <v>F</v>
      </c>
      <c r="U978" t="str">
        <f t="shared" si="62"/>
        <v>CA</v>
      </c>
      <c r="V978" t="str">
        <f t="shared" si="63"/>
        <v>23716</v>
      </c>
    </row>
    <row r="979" spans="1:22" x14ac:dyDescent="0.35">
      <c r="A979" s="3">
        <v>149152</v>
      </c>
      <c r="B979" t="s">
        <v>22</v>
      </c>
      <c r="C979" t="s">
        <v>14</v>
      </c>
      <c r="D979">
        <v>4507</v>
      </c>
      <c r="E979">
        <v>842</v>
      </c>
      <c r="F979">
        <v>962</v>
      </c>
      <c r="G979">
        <v>95</v>
      </c>
      <c r="H979">
        <v>54642</v>
      </c>
      <c r="I979">
        <v>17</v>
      </c>
      <c r="J979">
        <v>50</v>
      </c>
      <c r="K979">
        <v>1004</v>
      </c>
      <c r="L979">
        <v>893</v>
      </c>
      <c r="M979">
        <v>20</v>
      </c>
      <c r="N979">
        <f>IFERROR(VLOOKUP(A979,vlookup_table!$A:$G,2,FALSE),"")</f>
        <v>1</v>
      </c>
      <c r="O979">
        <f>IFERROR(VLOOKUP(A979,vlookup_table!$A:$G,4,FALSE),"")</f>
        <v>4401</v>
      </c>
      <c r="P979" t="str">
        <f>IFERROR(VLOOKUP(A979,vlookup_table!$A:$G,5,FALSE),"")</f>
        <v>S1</v>
      </c>
      <c r="Q979">
        <f>IFERROR(VLOOKUP(A979,vlookup_table!$A:$G,7,FALSE),"")</f>
        <v>20</v>
      </c>
      <c r="R979">
        <f t="shared" si="60"/>
        <v>53</v>
      </c>
      <c r="S979" t="str" cm="1">
        <f t="array" ref="S979">IF(P979="","",_xlfn.SWITCH(LEFT(P979,1),"C","Ciudad","T","Pueblo","R","Rural","S","Suburbano","U","Urbano",""))</f>
        <v>Suburbano</v>
      </c>
      <c r="T979" t="str">
        <f t="shared" si="61"/>
        <v>M</v>
      </c>
      <c r="U979" t="str">
        <f t="shared" si="62"/>
        <v>CA</v>
      </c>
      <c r="V979" t="str">
        <f t="shared" si="63"/>
        <v>54642</v>
      </c>
    </row>
    <row r="980" spans="1:22" x14ac:dyDescent="0.35">
      <c r="A980" s="3">
        <v>959</v>
      </c>
      <c r="B980" t="s">
        <v>47</v>
      </c>
      <c r="C980" t="s">
        <v>17</v>
      </c>
      <c r="D980">
        <v>586</v>
      </c>
      <c r="E980">
        <v>349</v>
      </c>
      <c r="F980">
        <v>465</v>
      </c>
      <c r="G980">
        <v>1</v>
      </c>
      <c r="H980">
        <v>15304</v>
      </c>
      <c r="I980">
        <v>1</v>
      </c>
      <c r="J980">
        <v>77</v>
      </c>
      <c r="K980">
        <v>413</v>
      </c>
      <c r="L980">
        <v>404</v>
      </c>
      <c r="M980">
        <v>7.3</v>
      </c>
      <c r="N980">
        <f>IFERROR(VLOOKUP(A980,vlookup_table!$A:$G,2,FALSE),"")</f>
        <v>0</v>
      </c>
      <c r="O980">
        <f>IFERROR(VLOOKUP(A980,vlookup_table!$A:$G,4,FALSE),"")</f>
        <v>4404</v>
      </c>
      <c r="P980" t="str">
        <f>IFERROR(VLOOKUP(A980,vlookup_table!$A:$G,5,FALSE),"")</f>
        <v>C2</v>
      </c>
      <c r="Q980">
        <f>IFERROR(VLOOKUP(A980,vlookup_table!$A:$G,7,FALSE),"")</f>
        <v>10</v>
      </c>
      <c r="R980">
        <f t="shared" si="60"/>
        <v>53</v>
      </c>
      <c r="S980" t="str" cm="1">
        <f t="array" ref="S980">IF(P980="","",_xlfn.SWITCH(LEFT(P980,1),"C","Ciudad","T","Pueblo","R","Rural","S","Suburbano","U","Urbano",""))</f>
        <v>Ciudad</v>
      </c>
      <c r="T980" t="str">
        <f t="shared" si="61"/>
        <v>F</v>
      </c>
      <c r="U980" t="str">
        <f t="shared" si="62"/>
        <v>IA</v>
      </c>
      <c r="V980" t="str">
        <f t="shared" si="63"/>
        <v>15304</v>
      </c>
    </row>
    <row r="981" spans="1:22" x14ac:dyDescent="0.35">
      <c r="A981" s="3">
        <v>179563</v>
      </c>
      <c r="B981" t="s">
        <v>40</v>
      </c>
      <c r="C981" t="s">
        <v>51</v>
      </c>
      <c r="D981">
        <v>842</v>
      </c>
      <c r="E981">
        <v>420</v>
      </c>
      <c r="F981">
        <v>494</v>
      </c>
      <c r="G981">
        <v>2</v>
      </c>
      <c r="H981">
        <v>12894</v>
      </c>
      <c r="I981">
        <v>41</v>
      </c>
      <c r="J981">
        <v>24</v>
      </c>
      <c r="K981">
        <v>419</v>
      </c>
      <c r="L981">
        <v>476</v>
      </c>
      <c r="M981">
        <v>16.399999999999999</v>
      </c>
      <c r="N981">
        <f>IFERROR(VLOOKUP(A981,vlookup_table!$A:$G,2,FALSE),"")</f>
        <v>1</v>
      </c>
      <c r="O981">
        <f>IFERROR(VLOOKUP(A981,vlookup_table!$A:$G,4,FALSE),"")</f>
        <v>5001</v>
      </c>
      <c r="P981" t="str">
        <f>IFERROR(VLOOKUP(A981,vlookup_table!$A:$G,5,FALSE),"")</f>
        <v>S2</v>
      </c>
      <c r="Q981">
        <f>IFERROR(VLOOKUP(A981,vlookup_table!$A:$G,7,FALSE),"")</f>
        <v>23</v>
      </c>
      <c r="R981">
        <f t="shared" si="60"/>
        <v>47</v>
      </c>
      <c r="S981" t="str" cm="1">
        <f t="array" ref="S981">IF(P981="","",_xlfn.SWITCH(LEFT(P981,1),"C","Ciudad","T","Pueblo","R","Rural","S","Suburbano","U","Urbano",""))</f>
        <v>Suburbano</v>
      </c>
      <c r="T981" t="str">
        <f t="shared" si="61"/>
        <v>M</v>
      </c>
      <c r="U981" t="str">
        <f t="shared" si="62"/>
        <v>WA</v>
      </c>
      <c r="V981" t="str">
        <f t="shared" si="63"/>
        <v>12894</v>
      </c>
    </row>
    <row r="982" spans="1:22" x14ac:dyDescent="0.35">
      <c r="A982" s="3">
        <v>41243</v>
      </c>
      <c r="B982" t="s">
        <v>13</v>
      </c>
      <c r="C982" t="s">
        <v>17</v>
      </c>
      <c r="D982">
        <v>556</v>
      </c>
      <c r="E982">
        <v>246</v>
      </c>
      <c r="F982">
        <v>330</v>
      </c>
      <c r="G982">
        <v>0</v>
      </c>
      <c r="H982">
        <v>10272</v>
      </c>
      <c r="I982">
        <v>2</v>
      </c>
      <c r="J982">
        <v>56</v>
      </c>
      <c r="K982">
        <v>277</v>
      </c>
      <c r="L982">
        <v>292</v>
      </c>
      <c r="M982">
        <v>9.8181818179999993</v>
      </c>
      <c r="N982">
        <f>IFERROR(VLOOKUP(A982,vlookup_table!$A:$G,2,FALSE),"")</f>
        <v>2</v>
      </c>
      <c r="O982">
        <f>IFERROR(VLOOKUP(A982,vlookup_table!$A:$G,4,FALSE),"")</f>
        <v>2201</v>
      </c>
      <c r="P982" t="str">
        <f>IFERROR(VLOOKUP(A982,vlookup_table!$A:$G,5,FALSE),"")</f>
        <v>S2</v>
      </c>
      <c r="Q982">
        <f>IFERROR(VLOOKUP(A982,vlookup_table!$A:$G,7,FALSE),"")</f>
        <v>12</v>
      </c>
      <c r="R982">
        <f t="shared" si="60"/>
        <v>75</v>
      </c>
      <c r="S982" t="str" cm="1">
        <f t="array" ref="S982">IF(P982="","",_xlfn.SWITCH(LEFT(P982,1),"C","Ciudad","T","Pueblo","R","Rural","S","Suburbano","U","Urbano",""))</f>
        <v>Suburbano</v>
      </c>
      <c r="T982" t="str">
        <f t="shared" si="61"/>
        <v>F</v>
      </c>
      <c r="U982" t="str">
        <f t="shared" si="62"/>
        <v>FL</v>
      </c>
      <c r="V982" t="str">
        <f t="shared" si="63"/>
        <v>10272</v>
      </c>
    </row>
    <row r="983" spans="1:22" x14ac:dyDescent="0.35">
      <c r="A983" s="3">
        <v>160500</v>
      </c>
      <c r="B983" t="s">
        <v>22</v>
      </c>
      <c r="C983" t="s">
        <v>14</v>
      </c>
      <c r="D983">
        <v>1467</v>
      </c>
      <c r="E983">
        <v>311</v>
      </c>
      <c r="F983">
        <v>392</v>
      </c>
      <c r="G983">
        <v>7</v>
      </c>
      <c r="H983">
        <v>15108</v>
      </c>
      <c r="I983">
        <v>8</v>
      </c>
      <c r="J983">
        <v>61</v>
      </c>
      <c r="K983">
        <v>323</v>
      </c>
      <c r="L983">
        <v>356</v>
      </c>
      <c r="M983">
        <v>7.3333333329999997</v>
      </c>
      <c r="N983">
        <f>IFERROR(VLOOKUP(A983,vlookup_table!$A:$G,2,FALSE),"")</f>
        <v>0</v>
      </c>
      <c r="O983">
        <f>IFERROR(VLOOKUP(A983,vlookup_table!$A:$G,4,FALSE),"")</f>
        <v>1406</v>
      </c>
      <c r="P983" t="str">
        <f>IFERROR(VLOOKUP(A983,vlookup_table!$A:$G,5,FALSE),"")</f>
        <v>C2</v>
      </c>
      <c r="Q983">
        <f>IFERROR(VLOOKUP(A983,vlookup_table!$A:$G,7,FALSE),"")</f>
        <v>5</v>
      </c>
      <c r="R983">
        <f t="shared" si="60"/>
        <v>83</v>
      </c>
      <c r="S983" t="str" cm="1">
        <f t="array" ref="S983">IF(P983="","",_xlfn.SWITCH(LEFT(P983,1),"C","Ciudad","T","Pueblo","R","Rural","S","Suburbano","U","Urbano",""))</f>
        <v>Ciudad</v>
      </c>
      <c r="T983" t="str">
        <f t="shared" si="61"/>
        <v>M</v>
      </c>
      <c r="U983" t="str">
        <f t="shared" si="62"/>
        <v>CA</v>
      </c>
      <c r="V983" t="str">
        <f t="shared" si="63"/>
        <v>15108</v>
      </c>
    </row>
    <row r="984" spans="1:22" x14ac:dyDescent="0.35">
      <c r="A984" s="3">
        <v>77605</v>
      </c>
      <c r="B984" t="s">
        <v>35</v>
      </c>
      <c r="C984" t="s">
        <v>51</v>
      </c>
      <c r="D984">
        <v>1304</v>
      </c>
      <c r="E984">
        <v>465</v>
      </c>
      <c r="F984">
        <v>609</v>
      </c>
      <c r="G984">
        <v>13</v>
      </c>
      <c r="H984">
        <v>23455</v>
      </c>
      <c r="I984">
        <v>6</v>
      </c>
      <c r="J984">
        <v>71</v>
      </c>
      <c r="K984">
        <v>484</v>
      </c>
      <c r="L984">
        <v>595</v>
      </c>
      <c r="M984">
        <v>10</v>
      </c>
      <c r="N984">
        <f>IFERROR(VLOOKUP(A984,vlookup_table!$A:$G,2,FALSE),"")</f>
        <v>1</v>
      </c>
      <c r="O984">
        <f>IFERROR(VLOOKUP(A984,vlookup_table!$A:$G,4,FALSE),"")</f>
        <v>5001</v>
      </c>
      <c r="P984">
        <f>IFERROR(VLOOKUP(A984,vlookup_table!$A:$G,5,FALSE),"")</f>
        <v>0</v>
      </c>
      <c r="Q984">
        <f>IFERROR(VLOOKUP(A984,vlookup_table!$A:$G,7,FALSE),"")</f>
        <v>15</v>
      </c>
      <c r="R984">
        <f t="shared" si="60"/>
        <v>47</v>
      </c>
      <c r="S984" t="str" cm="1">
        <f t="array" ref="S984">IF(P984="","",_xlfn.SWITCH(LEFT(P984,1),"C","Ciudad","T","Pueblo","R","Rural","S","Suburbano","U","Urbano",""))</f>
        <v/>
      </c>
      <c r="T984" t="str">
        <f t="shared" si="61"/>
        <v>M</v>
      </c>
      <c r="U984" t="str">
        <f t="shared" si="62"/>
        <v>WI</v>
      </c>
      <c r="V984" t="str">
        <f t="shared" si="63"/>
        <v>23455</v>
      </c>
    </row>
    <row r="985" spans="1:22" x14ac:dyDescent="0.35">
      <c r="A985" s="3">
        <v>190064</v>
      </c>
      <c r="B985" t="s">
        <v>68</v>
      </c>
      <c r="C985" t="s">
        <v>17</v>
      </c>
      <c r="D985">
        <v>340</v>
      </c>
      <c r="E985">
        <v>149</v>
      </c>
      <c r="F985">
        <v>188</v>
      </c>
      <c r="G985">
        <v>0</v>
      </c>
      <c r="H985">
        <v>6842</v>
      </c>
      <c r="I985">
        <v>1</v>
      </c>
      <c r="J985">
        <v>48</v>
      </c>
      <c r="K985">
        <v>151</v>
      </c>
      <c r="L985">
        <v>173</v>
      </c>
      <c r="M985">
        <v>10</v>
      </c>
      <c r="N985">
        <f>IFERROR(VLOOKUP(A985,vlookup_table!$A:$G,2,FALSE),"")</f>
        <v>0</v>
      </c>
      <c r="O985">
        <f>IFERROR(VLOOKUP(A985,vlookup_table!$A:$G,4,FALSE),"")</f>
        <v>0</v>
      </c>
      <c r="P985" t="str">
        <f>IFERROR(VLOOKUP(A985,vlookup_table!$A:$G,5,FALSE),"")</f>
        <v>U4</v>
      </c>
      <c r="Q985">
        <f>IFERROR(VLOOKUP(A985,vlookup_table!$A:$G,7,FALSE),"")</f>
        <v>20</v>
      </c>
      <c r="R985">
        <f t="shared" si="60"/>
        <v>97</v>
      </c>
      <c r="S985" t="str" cm="1">
        <f t="array" ref="S985">IF(P985="","",_xlfn.SWITCH(LEFT(P985,1),"C","Ciudad","T","Pueblo","R","Rural","S","Suburbano","U","Urbano",""))</f>
        <v>Urbano</v>
      </c>
      <c r="T985" t="str">
        <f t="shared" si="61"/>
        <v>F</v>
      </c>
      <c r="U985" t="str">
        <f t="shared" si="62"/>
        <v>Tennessee</v>
      </c>
      <c r="V985" t="str">
        <f t="shared" si="63"/>
        <v>6842</v>
      </c>
    </row>
    <row r="986" spans="1:22" x14ac:dyDescent="0.35">
      <c r="A986" s="3">
        <v>138758</v>
      </c>
      <c r="B986" t="s">
        <v>55</v>
      </c>
      <c r="C986" t="s">
        <v>65</v>
      </c>
      <c r="D986">
        <v>616</v>
      </c>
      <c r="E986">
        <v>403</v>
      </c>
      <c r="F986">
        <v>443</v>
      </c>
      <c r="G986">
        <v>0</v>
      </c>
      <c r="H986">
        <v>14174</v>
      </c>
      <c r="I986">
        <v>0</v>
      </c>
      <c r="J986">
        <v>69</v>
      </c>
      <c r="K986">
        <v>423</v>
      </c>
      <c r="L986">
        <v>406</v>
      </c>
      <c r="M986">
        <v>14.8</v>
      </c>
      <c r="N986">
        <f>IFERROR(VLOOKUP(A986,vlookup_table!$A:$G,2,FALSE),"")</f>
        <v>0</v>
      </c>
      <c r="O986">
        <f>IFERROR(VLOOKUP(A986,vlookup_table!$A:$G,4,FALSE),"")</f>
        <v>0</v>
      </c>
      <c r="P986" t="str">
        <f>IFERROR(VLOOKUP(A986,vlookup_table!$A:$G,5,FALSE),"")</f>
        <v>T2</v>
      </c>
      <c r="Q986">
        <f>IFERROR(VLOOKUP(A986,vlookup_table!$A:$G,7,FALSE),"")</f>
        <v>20</v>
      </c>
      <c r="R986">
        <f t="shared" si="60"/>
        <v>97</v>
      </c>
      <c r="S986" t="str" cm="1">
        <f t="array" ref="S986">IF(P986="","",_xlfn.SWITCH(LEFT(P986,1),"C","Ciudad","T","Pueblo","R","Rural","S","Suburbano","U","Urbano",""))</f>
        <v>Pueblo</v>
      </c>
      <c r="T986" t="str">
        <f t="shared" si="61"/>
        <v>F</v>
      </c>
      <c r="U986" t="str">
        <f t="shared" si="62"/>
        <v>AZ</v>
      </c>
      <c r="V986" t="str">
        <f t="shared" si="63"/>
        <v>14174</v>
      </c>
    </row>
    <row r="987" spans="1:22" x14ac:dyDescent="0.35">
      <c r="A987" s="3">
        <v>8531</v>
      </c>
      <c r="B987" t="s">
        <v>29</v>
      </c>
      <c r="C987" t="s">
        <v>14</v>
      </c>
      <c r="D987">
        <v>497</v>
      </c>
      <c r="E987">
        <v>275</v>
      </c>
      <c r="F987">
        <v>369</v>
      </c>
      <c r="G987">
        <v>0</v>
      </c>
      <c r="H987">
        <v>12368</v>
      </c>
      <c r="I987">
        <v>0</v>
      </c>
      <c r="J987">
        <v>88</v>
      </c>
      <c r="K987">
        <v>296</v>
      </c>
      <c r="L987">
        <v>343</v>
      </c>
      <c r="M987">
        <v>6.3684210529999996</v>
      </c>
      <c r="N987">
        <f>IFERROR(VLOOKUP(A987,vlookup_table!$A:$G,2,FALSE),"")</f>
        <v>1</v>
      </c>
      <c r="O987">
        <f>IFERROR(VLOOKUP(A987,vlookup_table!$A:$G,4,FALSE),"")</f>
        <v>6001</v>
      </c>
      <c r="P987" t="str">
        <f>IFERROR(VLOOKUP(A987,vlookup_table!$A:$G,5,FALSE),"")</f>
        <v>R2</v>
      </c>
      <c r="Q987">
        <f>IFERROR(VLOOKUP(A987,vlookup_table!$A:$G,7,FALSE),"")</f>
        <v>10</v>
      </c>
      <c r="R987">
        <f t="shared" si="60"/>
        <v>37</v>
      </c>
      <c r="S987" t="str" cm="1">
        <f t="array" ref="S987">IF(P987="","",_xlfn.SWITCH(LEFT(P987,1),"C","Ciudad","T","Pueblo","R","Rural","S","Suburbano","U","Urbano",""))</f>
        <v>Rural</v>
      </c>
      <c r="T987" t="str">
        <f t="shared" si="61"/>
        <v>M</v>
      </c>
      <c r="U987" t="str">
        <f t="shared" si="62"/>
        <v>MI</v>
      </c>
      <c r="V987" t="str">
        <f t="shared" si="63"/>
        <v>12368</v>
      </c>
    </row>
    <row r="988" spans="1:22" x14ac:dyDescent="0.35">
      <c r="A988" s="3">
        <v>27846</v>
      </c>
      <c r="B988" t="s">
        <v>39</v>
      </c>
      <c r="D988">
        <v>1149</v>
      </c>
      <c r="E988">
        <v>420</v>
      </c>
      <c r="F988">
        <v>509</v>
      </c>
      <c r="G988">
        <v>14</v>
      </c>
      <c r="H988">
        <v>17492</v>
      </c>
      <c r="I988">
        <v>2</v>
      </c>
      <c r="J988">
        <v>58</v>
      </c>
      <c r="K988">
        <v>460</v>
      </c>
      <c r="L988">
        <v>469</v>
      </c>
      <c r="M988">
        <v>23.333333329999999</v>
      </c>
      <c r="N988">
        <f>IFERROR(VLOOKUP(A988,vlookup_table!$A:$G,2,FALSE),"")</f>
        <v>0</v>
      </c>
      <c r="O988">
        <f>IFERROR(VLOOKUP(A988,vlookup_table!$A:$G,4,FALSE),"")</f>
        <v>0</v>
      </c>
      <c r="P988" t="str">
        <f>IFERROR(VLOOKUP(A988,vlookup_table!$A:$G,5,FALSE),"")</f>
        <v>C2</v>
      </c>
      <c r="Q988">
        <f>IFERROR(VLOOKUP(A988,vlookup_table!$A:$G,7,FALSE),"")</f>
        <v>200</v>
      </c>
      <c r="R988">
        <f t="shared" si="60"/>
        <v>97</v>
      </c>
      <c r="S988" t="str" cm="1">
        <f t="array" ref="S988">IF(P988="","",_xlfn.SWITCH(LEFT(P988,1),"C","Ciudad","T","Pueblo","R","Rural","S","Suburbano","U","Urbano",""))</f>
        <v>Ciudad</v>
      </c>
      <c r="T988" t="str">
        <f t="shared" si="61"/>
        <v/>
      </c>
      <c r="U988" t="str">
        <f t="shared" si="62"/>
        <v>GA</v>
      </c>
      <c r="V988" t="str">
        <f t="shared" si="63"/>
        <v>17492</v>
      </c>
    </row>
    <row r="989" spans="1:22" x14ac:dyDescent="0.35">
      <c r="A989" s="3">
        <v>22782</v>
      </c>
      <c r="B989" t="s">
        <v>46</v>
      </c>
      <c r="C989" t="s">
        <v>14</v>
      </c>
      <c r="D989">
        <v>514</v>
      </c>
      <c r="E989">
        <v>205</v>
      </c>
      <c r="F989">
        <v>238</v>
      </c>
      <c r="G989">
        <v>3</v>
      </c>
      <c r="H989">
        <v>8533</v>
      </c>
      <c r="I989">
        <v>2</v>
      </c>
      <c r="J989">
        <v>46</v>
      </c>
      <c r="K989">
        <v>224</v>
      </c>
      <c r="L989">
        <v>226</v>
      </c>
      <c r="M989">
        <v>10</v>
      </c>
      <c r="N989">
        <f>IFERROR(VLOOKUP(A989,vlookup_table!$A:$G,2,FALSE),"")</f>
        <v>1</v>
      </c>
      <c r="O989">
        <f>IFERROR(VLOOKUP(A989,vlookup_table!$A:$G,4,FALSE),"")</f>
        <v>0</v>
      </c>
      <c r="P989" t="str">
        <f>IFERROR(VLOOKUP(A989,vlookup_table!$A:$G,5,FALSE),"")</f>
        <v>T3</v>
      </c>
      <c r="Q989">
        <f>IFERROR(VLOOKUP(A989,vlookup_table!$A:$G,7,FALSE),"")</f>
        <v>10</v>
      </c>
      <c r="R989">
        <f t="shared" si="60"/>
        <v>97</v>
      </c>
      <c r="S989" t="str" cm="1">
        <f t="array" ref="S989">IF(P989="","",_xlfn.SWITCH(LEFT(P989,1),"C","Ciudad","T","Pueblo","R","Rural","S","Suburbano","U","Urbano",""))</f>
        <v>Pueblo</v>
      </c>
      <c r="T989" t="str">
        <f t="shared" si="61"/>
        <v>M</v>
      </c>
      <c r="U989" t="str">
        <f t="shared" si="62"/>
        <v>SC</v>
      </c>
      <c r="V989" t="str">
        <f t="shared" si="63"/>
        <v>8533</v>
      </c>
    </row>
    <row r="990" spans="1:22" x14ac:dyDescent="0.35">
      <c r="A990" s="3">
        <v>66223</v>
      </c>
      <c r="B990" t="s">
        <v>29</v>
      </c>
      <c r="C990" t="s">
        <v>14</v>
      </c>
      <c r="D990">
        <v>870</v>
      </c>
      <c r="E990">
        <v>319</v>
      </c>
      <c r="F990">
        <v>398</v>
      </c>
      <c r="G990">
        <v>3</v>
      </c>
      <c r="H990">
        <v>15849</v>
      </c>
      <c r="I990">
        <v>2</v>
      </c>
      <c r="J990">
        <v>83</v>
      </c>
      <c r="K990">
        <v>345</v>
      </c>
      <c r="L990">
        <v>357</v>
      </c>
      <c r="M990">
        <v>9.5714285710000002</v>
      </c>
      <c r="N990">
        <f>IFERROR(VLOOKUP(A990,vlookup_table!$A:$G,2,FALSE),"")</f>
        <v>0</v>
      </c>
      <c r="O990">
        <f>IFERROR(VLOOKUP(A990,vlookup_table!$A:$G,4,FALSE),"")</f>
        <v>5801</v>
      </c>
      <c r="P990" t="str">
        <f>IFERROR(VLOOKUP(A990,vlookup_table!$A:$G,5,FALSE),"")</f>
        <v>S2</v>
      </c>
      <c r="Q990">
        <f>IFERROR(VLOOKUP(A990,vlookup_table!$A:$G,7,FALSE),"")</f>
        <v>10</v>
      </c>
      <c r="R990">
        <f t="shared" si="60"/>
        <v>39</v>
      </c>
      <c r="S990" t="str" cm="1">
        <f t="array" ref="S990">IF(P990="","",_xlfn.SWITCH(LEFT(P990,1),"C","Ciudad","T","Pueblo","R","Rural","S","Suburbano","U","Urbano",""))</f>
        <v>Suburbano</v>
      </c>
      <c r="T990" t="str">
        <f t="shared" si="61"/>
        <v>M</v>
      </c>
      <c r="U990" t="str">
        <f t="shared" si="62"/>
        <v>MI</v>
      </c>
      <c r="V990" t="str">
        <f t="shared" si="63"/>
        <v>15849</v>
      </c>
    </row>
    <row r="991" spans="1:22" x14ac:dyDescent="0.35">
      <c r="A991" s="3">
        <v>189616</v>
      </c>
      <c r="B991" t="s">
        <v>22</v>
      </c>
      <c r="C991" t="s">
        <v>14</v>
      </c>
      <c r="D991">
        <v>2680</v>
      </c>
      <c r="E991">
        <v>314</v>
      </c>
      <c r="F991">
        <v>517</v>
      </c>
      <c r="G991">
        <v>80</v>
      </c>
      <c r="H991">
        <v>20665</v>
      </c>
      <c r="I991">
        <v>13</v>
      </c>
      <c r="J991">
        <v>41</v>
      </c>
      <c r="K991">
        <v>506</v>
      </c>
      <c r="L991">
        <v>402</v>
      </c>
      <c r="M991">
        <v>20</v>
      </c>
      <c r="N991">
        <f>IFERROR(VLOOKUP(A991,vlookup_table!$A:$G,2,FALSE),"")</f>
        <v>1</v>
      </c>
      <c r="O991">
        <f>IFERROR(VLOOKUP(A991,vlookup_table!$A:$G,4,FALSE),"")</f>
        <v>0</v>
      </c>
      <c r="P991">
        <f>IFERROR(VLOOKUP(A991,vlookup_table!$A:$G,5,FALSE),"")</f>
        <v>0</v>
      </c>
      <c r="Q991">
        <f>IFERROR(VLOOKUP(A991,vlookup_table!$A:$G,7,FALSE),"")</f>
        <v>35</v>
      </c>
      <c r="R991">
        <f t="shared" si="60"/>
        <v>97</v>
      </c>
      <c r="S991" t="str" cm="1">
        <f t="array" ref="S991">IF(P991="","",_xlfn.SWITCH(LEFT(P991,1),"C","Ciudad","T","Pueblo","R","Rural","S","Suburbano","U","Urbano",""))</f>
        <v/>
      </c>
      <c r="T991" t="str">
        <f t="shared" si="61"/>
        <v>M</v>
      </c>
      <c r="U991" t="str">
        <f t="shared" si="62"/>
        <v>CA</v>
      </c>
      <c r="V991" t="str">
        <f t="shared" si="63"/>
        <v>20665</v>
      </c>
    </row>
    <row r="992" spans="1:22" x14ac:dyDescent="0.35">
      <c r="A992" s="3">
        <v>79649</v>
      </c>
      <c r="B992" t="s">
        <v>35</v>
      </c>
      <c r="C992" t="s">
        <v>17</v>
      </c>
      <c r="D992">
        <v>556</v>
      </c>
      <c r="E992">
        <v>259</v>
      </c>
      <c r="F992">
        <v>258</v>
      </c>
      <c r="G992">
        <v>0</v>
      </c>
      <c r="H992">
        <v>12721</v>
      </c>
      <c r="I992">
        <v>6</v>
      </c>
      <c r="J992">
        <v>66</v>
      </c>
      <c r="K992">
        <v>275</v>
      </c>
      <c r="L992">
        <v>268</v>
      </c>
      <c r="M992">
        <v>10.33333333</v>
      </c>
      <c r="N992">
        <f>IFERROR(VLOOKUP(A992,vlookup_table!$A:$G,2,FALSE),"")</f>
        <v>0</v>
      </c>
      <c r="O992">
        <f>IFERROR(VLOOKUP(A992,vlookup_table!$A:$G,4,FALSE),"")</f>
        <v>0</v>
      </c>
      <c r="P992" t="str">
        <f>IFERROR(VLOOKUP(A992,vlookup_table!$A:$G,5,FALSE),"")</f>
        <v>S2</v>
      </c>
      <c r="Q992">
        <f>IFERROR(VLOOKUP(A992,vlookup_table!$A:$G,7,FALSE),"")</f>
        <v>15</v>
      </c>
      <c r="R992">
        <f t="shared" si="60"/>
        <v>97</v>
      </c>
      <c r="S992" t="str" cm="1">
        <f t="array" ref="S992">IF(P992="","",_xlfn.SWITCH(LEFT(P992,1),"C","Ciudad","T","Pueblo","R","Rural","S","Suburbano","U","Urbano",""))</f>
        <v>Suburbano</v>
      </c>
      <c r="T992" t="str">
        <f t="shared" si="61"/>
        <v>F</v>
      </c>
      <c r="U992" t="str">
        <f t="shared" si="62"/>
        <v>WI</v>
      </c>
      <c r="V992" t="str">
        <f t="shared" si="63"/>
        <v>12721</v>
      </c>
    </row>
    <row r="993" spans="1:22" x14ac:dyDescent="0.35">
      <c r="A993" s="3">
        <v>138999</v>
      </c>
      <c r="B993" t="s">
        <v>55</v>
      </c>
      <c r="C993" t="s">
        <v>65</v>
      </c>
      <c r="D993">
        <v>624</v>
      </c>
      <c r="E993">
        <v>284</v>
      </c>
      <c r="F993">
        <v>355</v>
      </c>
      <c r="G993">
        <v>1</v>
      </c>
      <c r="H993">
        <f>12121</f>
        <v>12121</v>
      </c>
      <c r="I993">
        <v>3</v>
      </c>
      <c r="J993">
        <v>29</v>
      </c>
      <c r="K993">
        <v>326</v>
      </c>
      <c r="L993">
        <v>324</v>
      </c>
      <c r="M993">
        <v>8.4347826090000009</v>
      </c>
      <c r="N993">
        <f>IFERROR(VLOOKUP(A993,vlookup_table!$A:$G,2,FALSE),"")</f>
        <v>28</v>
      </c>
      <c r="O993">
        <f>IFERROR(VLOOKUP(A993,vlookup_table!$A:$G,4,FALSE),"")</f>
        <v>1603</v>
      </c>
      <c r="P993" t="str">
        <f>IFERROR(VLOOKUP(A993,vlookup_table!$A:$G,5,FALSE),"")</f>
        <v>T3</v>
      </c>
      <c r="Q993">
        <f>IFERROR(VLOOKUP(A993,vlookup_table!$A:$G,7,FALSE),"")</f>
        <v>10</v>
      </c>
      <c r="R993">
        <f t="shared" si="60"/>
        <v>81</v>
      </c>
      <c r="S993" t="str" cm="1">
        <f t="array" ref="S993">IF(P993="","",_xlfn.SWITCH(LEFT(P993,1),"C","Ciudad","T","Pueblo","R","Rural","S","Suburbano","U","Urbano",""))</f>
        <v>Pueblo</v>
      </c>
      <c r="T993" t="str">
        <f t="shared" si="61"/>
        <v>F</v>
      </c>
      <c r="U993" t="str">
        <f t="shared" si="62"/>
        <v>AZ</v>
      </c>
      <c r="V993" t="str">
        <f t="shared" si="63"/>
        <v>12121</v>
      </c>
    </row>
    <row r="994" spans="1:22" x14ac:dyDescent="0.35">
      <c r="A994" s="3">
        <v>8232</v>
      </c>
      <c r="B994" t="s">
        <v>36</v>
      </c>
      <c r="C994" t="s">
        <v>17</v>
      </c>
      <c r="D994">
        <v>322</v>
      </c>
      <c r="E994">
        <v>190</v>
      </c>
      <c r="F994">
        <v>302</v>
      </c>
      <c r="G994">
        <v>0</v>
      </c>
      <c r="H994" s="2" t="s">
        <v>67</v>
      </c>
      <c r="I994">
        <v>0</v>
      </c>
      <c r="J994">
        <v>80</v>
      </c>
      <c r="K994">
        <v>240</v>
      </c>
      <c r="L994">
        <v>239</v>
      </c>
      <c r="M994">
        <v>13.41666667</v>
      </c>
      <c r="N994">
        <f>IFERROR(VLOOKUP(A994,vlookup_table!$A:$G,2,FALSE),"")</f>
        <v>0</v>
      </c>
      <c r="O994">
        <f>IFERROR(VLOOKUP(A994,vlookup_table!$A:$G,4,FALSE),"")</f>
        <v>3702</v>
      </c>
      <c r="P994" t="str">
        <f>IFERROR(VLOOKUP(A994,vlookup_table!$A:$G,5,FALSE),"")</f>
        <v>R2</v>
      </c>
      <c r="Q994">
        <f>IFERROR(VLOOKUP(A994,vlookup_table!$A:$G,7,FALSE),"")</f>
        <v>10</v>
      </c>
      <c r="R994">
        <f t="shared" si="60"/>
        <v>60</v>
      </c>
      <c r="S994" t="str" cm="1">
        <f t="array" ref="S994">IF(P994="","",_xlfn.SWITCH(LEFT(P994,1),"C","Ciudad","T","Pueblo","R","Rural","S","Suburbano","U","Urbano",""))</f>
        <v>Rural</v>
      </c>
      <c r="T994" t="str">
        <f t="shared" si="61"/>
        <v>F</v>
      </c>
      <c r="U994" t="str">
        <f t="shared" si="62"/>
        <v>MO</v>
      </c>
      <c r="V994" t="str">
        <f t="shared" si="63"/>
        <v>10909</v>
      </c>
    </row>
    <row r="995" spans="1:22" x14ac:dyDescent="0.35">
      <c r="A995" s="3">
        <v>43020</v>
      </c>
      <c r="B995" t="s">
        <v>13</v>
      </c>
      <c r="C995" t="s">
        <v>17</v>
      </c>
      <c r="D995">
        <v>736</v>
      </c>
      <c r="E995">
        <v>262</v>
      </c>
      <c r="F995">
        <v>347</v>
      </c>
      <c r="G995">
        <v>0</v>
      </c>
      <c r="H995">
        <v>12780</v>
      </c>
      <c r="I995">
        <v>11</v>
      </c>
      <c r="J995">
        <v>6</v>
      </c>
      <c r="K995">
        <v>293</v>
      </c>
      <c r="L995">
        <v>321</v>
      </c>
      <c r="M995">
        <v>15</v>
      </c>
      <c r="N995">
        <f>IFERROR(VLOOKUP(A995,vlookup_table!$A:$G,2,FALSE),"")</f>
        <v>2</v>
      </c>
      <c r="O995">
        <f>IFERROR(VLOOKUP(A995,vlookup_table!$A:$G,4,FALSE),"")</f>
        <v>0</v>
      </c>
      <c r="P995" t="str">
        <f>IFERROR(VLOOKUP(A995,vlookup_table!$A:$G,5,FALSE),"")</f>
        <v>C2</v>
      </c>
      <c r="Q995">
        <f>IFERROR(VLOOKUP(A995,vlookup_table!$A:$G,7,FALSE),"")</f>
        <v>15</v>
      </c>
      <c r="R995">
        <f t="shared" si="60"/>
        <v>97</v>
      </c>
      <c r="S995" t="str" cm="1">
        <f t="array" ref="S995">IF(P995="","",_xlfn.SWITCH(LEFT(P995,1),"C","Ciudad","T","Pueblo","R","Rural","S","Suburbano","U","Urbano",""))</f>
        <v>Ciudad</v>
      </c>
      <c r="T995" t="str">
        <f t="shared" si="61"/>
        <v>F</v>
      </c>
      <c r="U995" t="str">
        <f t="shared" si="62"/>
        <v>FL</v>
      </c>
      <c r="V995" t="str">
        <f t="shared" si="63"/>
        <v>12780</v>
      </c>
    </row>
    <row r="996" spans="1:22" x14ac:dyDescent="0.35">
      <c r="A996" s="3">
        <v>118862</v>
      </c>
      <c r="B996" t="s">
        <v>21</v>
      </c>
      <c r="C996" t="s">
        <v>14</v>
      </c>
      <c r="D996">
        <v>868</v>
      </c>
      <c r="E996">
        <v>554</v>
      </c>
      <c r="F996">
        <v>571</v>
      </c>
      <c r="G996">
        <v>0</v>
      </c>
      <c r="H996">
        <v>21200</v>
      </c>
      <c r="I996">
        <v>9</v>
      </c>
      <c r="J996">
        <v>49</v>
      </c>
      <c r="K996">
        <v>564</v>
      </c>
      <c r="L996">
        <v>569</v>
      </c>
      <c r="M996">
        <v>8.5</v>
      </c>
      <c r="N996">
        <f>IFERROR(VLOOKUP(A996,vlookup_table!$A:$G,2,FALSE),"")</f>
        <v>1</v>
      </c>
      <c r="O996">
        <f>IFERROR(VLOOKUP(A996,vlookup_table!$A:$G,4,FALSE),"")</f>
        <v>4208</v>
      </c>
      <c r="P996" t="str">
        <f>IFERROR(VLOOKUP(A996,vlookup_table!$A:$G,5,FALSE),"")</f>
        <v>S1</v>
      </c>
      <c r="Q996">
        <f>IFERROR(VLOOKUP(A996,vlookup_table!$A:$G,7,FALSE),"")</f>
        <v>12</v>
      </c>
      <c r="R996">
        <f t="shared" si="60"/>
        <v>55</v>
      </c>
      <c r="S996" t="str" cm="1">
        <f t="array" ref="S996">IF(P996="","",_xlfn.SWITCH(LEFT(P996,1),"C","Ciudad","T","Pueblo","R","Rural","S","Suburbano","U","Urbano",""))</f>
        <v>Suburbano</v>
      </c>
      <c r="T996" t="str">
        <f t="shared" si="61"/>
        <v>M</v>
      </c>
      <c r="U996" t="str">
        <f t="shared" si="62"/>
        <v>TX</v>
      </c>
      <c r="V996" t="str">
        <f t="shared" si="63"/>
        <v>21200</v>
      </c>
    </row>
    <row r="997" spans="1:22" x14ac:dyDescent="0.35">
      <c r="A997" s="3">
        <v>30104</v>
      </c>
      <c r="B997" t="s">
        <v>39</v>
      </c>
      <c r="C997" t="s">
        <v>14</v>
      </c>
      <c r="D997">
        <v>364</v>
      </c>
      <c r="E997">
        <v>246</v>
      </c>
      <c r="F997">
        <v>325</v>
      </c>
      <c r="G997">
        <v>0</v>
      </c>
      <c r="H997">
        <v>9720</v>
      </c>
      <c r="I997">
        <v>0</v>
      </c>
      <c r="J997">
        <v>89</v>
      </c>
      <c r="K997">
        <v>307</v>
      </c>
      <c r="L997">
        <v>287</v>
      </c>
      <c r="M997">
        <v>8.8333333330000006</v>
      </c>
      <c r="N997">
        <f>IFERROR(VLOOKUP(A997,vlookup_table!$A:$G,2,FALSE),"")</f>
        <v>1</v>
      </c>
      <c r="O997">
        <f>IFERROR(VLOOKUP(A997,vlookup_table!$A:$G,4,FALSE),"")</f>
        <v>5201</v>
      </c>
      <c r="P997" t="str">
        <f>IFERROR(VLOOKUP(A997,vlookup_table!$A:$G,5,FALSE),"")</f>
        <v>R2</v>
      </c>
      <c r="Q997">
        <f>IFERROR(VLOOKUP(A997,vlookup_table!$A:$G,7,FALSE),"")</f>
        <v>15</v>
      </c>
      <c r="R997">
        <f t="shared" si="60"/>
        <v>45</v>
      </c>
      <c r="S997" t="str" cm="1">
        <f t="array" ref="S997">IF(P997="","",_xlfn.SWITCH(LEFT(P997,1),"C","Ciudad","T","Pueblo","R","Rural","S","Suburbano","U","Urbano",""))</f>
        <v>Rural</v>
      </c>
      <c r="T997" t="str">
        <f t="shared" si="61"/>
        <v>M</v>
      </c>
      <c r="U997" t="str">
        <f t="shared" si="62"/>
        <v>GA</v>
      </c>
      <c r="V997" t="str">
        <f t="shared" si="63"/>
        <v>9720</v>
      </c>
    </row>
    <row r="998" spans="1:22" x14ac:dyDescent="0.35">
      <c r="A998" s="3">
        <v>154614</v>
      </c>
      <c r="B998" t="s">
        <v>22</v>
      </c>
      <c r="C998" t="s">
        <v>17</v>
      </c>
      <c r="D998">
        <v>1709</v>
      </c>
      <c r="E998">
        <v>511</v>
      </c>
      <c r="F998">
        <v>537</v>
      </c>
      <c r="G998">
        <v>26</v>
      </c>
      <c r="H998">
        <v>15138</v>
      </c>
      <c r="I998">
        <v>9</v>
      </c>
      <c r="J998">
        <v>68</v>
      </c>
      <c r="K998">
        <v>518</v>
      </c>
      <c r="L998">
        <v>527</v>
      </c>
      <c r="M998">
        <v>15</v>
      </c>
      <c r="N998">
        <f>IFERROR(VLOOKUP(A998,vlookup_table!$A:$G,2,FALSE),"")</f>
        <v>0</v>
      </c>
      <c r="O998">
        <f>IFERROR(VLOOKUP(A998,vlookup_table!$A:$G,4,FALSE),"")</f>
        <v>0</v>
      </c>
      <c r="P998" t="str">
        <f>IFERROR(VLOOKUP(A998,vlookup_table!$A:$G,5,FALSE),"")</f>
        <v>T1</v>
      </c>
      <c r="Q998">
        <f>IFERROR(VLOOKUP(A998,vlookup_table!$A:$G,7,FALSE),"")</f>
        <v>20</v>
      </c>
      <c r="R998">
        <f t="shared" si="60"/>
        <v>97</v>
      </c>
      <c r="S998" t="str" cm="1">
        <f t="array" ref="S998">IF(P998="","",_xlfn.SWITCH(LEFT(P998,1),"C","Ciudad","T","Pueblo","R","Rural","S","Suburbano","U","Urbano",""))</f>
        <v>Pueblo</v>
      </c>
      <c r="T998" t="str">
        <f t="shared" si="61"/>
        <v>F</v>
      </c>
      <c r="U998" t="str">
        <f t="shared" si="62"/>
        <v>CA</v>
      </c>
      <c r="V998" t="str">
        <f t="shared" si="63"/>
        <v>15138</v>
      </c>
    </row>
    <row r="999" spans="1:22" x14ac:dyDescent="0.35">
      <c r="A999" s="3">
        <v>57151</v>
      </c>
      <c r="B999" t="s">
        <v>57</v>
      </c>
      <c r="C999" t="s">
        <v>17</v>
      </c>
      <c r="D999">
        <v>875</v>
      </c>
      <c r="E999">
        <v>311</v>
      </c>
      <c r="F999">
        <v>326</v>
      </c>
      <c r="G999">
        <v>0</v>
      </c>
      <c r="H999">
        <v>7746</v>
      </c>
      <c r="I999">
        <v>3</v>
      </c>
      <c r="J999">
        <v>29</v>
      </c>
      <c r="K999">
        <v>326</v>
      </c>
      <c r="L999">
        <v>326</v>
      </c>
      <c r="M999">
        <v>15.9</v>
      </c>
      <c r="N999">
        <f>IFERROR(VLOOKUP(A999,vlookup_table!$A:$G,2,FALSE),"")</f>
        <v>0</v>
      </c>
      <c r="O999">
        <f>IFERROR(VLOOKUP(A999,vlookup_table!$A:$G,4,FALSE),"")</f>
        <v>3601</v>
      </c>
      <c r="P999" t="str">
        <f>IFERROR(VLOOKUP(A999,vlookup_table!$A:$G,5,FALSE),"")</f>
        <v>R1</v>
      </c>
      <c r="Q999">
        <f>IFERROR(VLOOKUP(A999,vlookup_table!$A:$G,7,FALSE),"")</f>
        <v>26</v>
      </c>
      <c r="R999">
        <f t="shared" si="60"/>
        <v>61</v>
      </c>
      <c r="S999" t="str" cm="1">
        <f t="array" ref="S999">IF(P999="","",_xlfn.SWITCH(LEFT(P999,1),"C","Ciudad","T","Pueblo","R","Rural","S","Suburbano","U","Urbano",""))</f>
        <v>Rural</v>
      </c>
      <c r="T999" t="str">
        <f t="shared" si="61"/>
        <v>F</v>
      </c>
      <c r="U999" t="str">
        <f t="shared" si="62"/>
        <v>KY</v>
      </c>
      <c r="V999" t="str">
        <f t="shared" si="63"/>
        <v>7746</v>
      </c>
    </row>
    <row r="1000" spans="1:22" x14ac:dyDescent="0.35">
      <c r="A1000" s="3">
        <v>71425</v>
      </c>
      <c r="B1000" t="s">
        <v>29</v>
      </c>
      <c r="C1000" t="s">
        <v>14</v>
      </c>
      <c r="D1000">
        <v>713</v>
      </c>
      <c r="E1000">
        <v>300</v>
      </c>
      <c r="F1000">
        <v>364</v>
      </c>
      <c r="G1000">
        <v>0</v>
      </c>
      <c r="H1000">
        <v>16833</v>
      </c>
      <c r="I1000">
        <v>2</v>
      </c>
      <c r="J1000">
        <v>88</v>
      </c>
      <c r="K1000">
        <v>313</v>
      </c>
      <c r="L1000">
        <v>323</v>
      </c>
      <c r="M1000">
        <v>6</v>
      </c>
      <c r="N1000">
        <f>IFERROR(VLOOKUP(A1000,vlookup_table!$A:$G,2,FALSE),"")</f>
        <v>1</v>
      </c>
      <c r="O1000">
        <f>IFERROR(VLOOKUP(A1000,vlookup_table!$A:$G,4,FALSE),"")</f>
        <v>4401</v>
      </c>
      <c r="P1000" t="str">
        <f>IFERROR(VLOOKUP(A1000,vlookup_table!$A:$G,5,FALSE),"")</f>
        <v>T2</v>
      </c>
      <c r="Q1000">
        <f>IFERROR(VLOOKUP(A1000,vlookup_table!$A:$G,7,FALSE),"")</f>
        <v>7</v>
      </c>
      <c r="R1000">
        <f t="shared" si="60"/>
        <v>53</v>
      </c>
      <c r="S1000" t="str" cm="1">
        <f t="array" ref="S1000">IF(P1000="","",_xlfn.SWITCH(LEFT(P1000,1),"C","Ciudad","T","Pueblo","R","Rural","S","Suburbano","U","Urbano",""))</f>
        <v>Pueblo</v>
      </c>
      <c r="T1000" t="str">
        <f t="shared" si="61"/>
        <v>M</v>
      </c>
      <c r="U1000" t="str">
        <f t="shared" si="62"/>
        <v>MI</v>
      </c>
      <c r="V1000" t="str">
        <f t="shared" si="63"/>
        <v>16833</v>
      </c>
    </row>
    <row r="1001" spans="1:22" x14ac:dyDescent="0.35">
      <c r="A1001" s="3">
        <v>127823</v>
      </c>
      <c r="B1001" t="s">
        <v>21</v>
      </c>
      <c r="C1001" t="s">
        <v>17</v>
      </c>
      <c r="D1001">
        <v>258</v>
      </c>
      <c r="E1001">
        <v>64</v>
      </c>
      <c r="F1001">
        <v>74</v>
      </c>
      <c r="G1001">
        <v>0</v>
      </c>
      <c r="H1001">
        <v>4236</v>
      </c>
      <c r="I1001">
        <v>0</v>
      </c>
      <c r="J1001">
        <v>94</v>
      </c>
      <c r="K1001">
        <v>60</v>
      </c>
      <c r="L1001">
        <v>93</v>
      </c>
      <c r="M1001">
        <v>5.45</v>
      </c>
      <c r="N1001">
        <f>IFERROR(VLOOKUP(A1001,vlookup_table!$A:$G,2,FALSE),"")</f>
        <v>2</v>
      </c>
      <c r="O1001">
        <f>IFERROR(VLOOKUP(A1001,vlookup_table!$A:$G,4,FALSE),"")</f>
        <v>2301</v>
      </c>
      <c r="P1001" t="str">
        <f>IFERROR(VLOOKUP(A1001,vlookup_table!$A:$G,5,FALSE),"")</f>
        <v>C3</v>
      </c>
      <c r="Q1001">
        <f>IFERROR(VLOOKUP(A1001,vlookup_table!$A:$G,7,FALSE),"")</f>
        <v>6</v>
      </c>
      <c r="R1001">
        <f t="shared" si="60"/>
        <v>74</v>
      </c>
      <c r="S1001" t="str" cm="1">
        <f t="array" ref="S1001">IF(P1001="","",_xlfn.SWITCH(LEFT(P1001,1),"C","Ciudad","T","Pueblo","R","Rural","S","Suburbano","U","Urbano",""))</f>
        <v>Ciudad</v>
      </c>
      <c r="T1001" t="str">
        <f t="shared" si="61"/>
        <v>F</v>
      </c>
      <c r="U1001" t="str">
        <f t="shared" si="62"/>
        <v>TX</v>
      </c>
      <c r="V1001" t="str">
        <f t="shared" si="63"/>
        <v>4236</v>
      </c>
    </row>
    <row r="1002" spans="1:22" x14ac:dyDescent="0.35">
      <c r="A1002" s="3">
        <v>150739</v>
      </c>
      <c r="B1002" t="s">
        <v>22</v>
      </c>
      <c r="C1002" t="s">
        <v>30</v>
      </c>
      <c r="D1002">
        <v>1951</v>
      </c>
      <c r="E1002">
        <v>556</v>
      </c>
      <c r="F1002">
        <v>625</v>
      </c>
      <c r="G1002">
        <v>44</v>
      </c>
      <c r="H1002">
        <v>17208</v>
      </c>
      <c r="I1002">
        <v>10</v>
      </c>
      <c r="J1002">
        <v>66</v>
      </c>
      <c r="K1002">
        <v>578</v>
      </c>
      <c r="L1002">
        <v>619</v>
      </c>
      <c r="M1002">
        <v>9.6818181820000007</v>
      </c>
      <c r="N1002">
        <f>IFERROR(VLOOKUP(A1002,vlookup_table!$A:$G,2,FALSE),"")</f>
        <v>2</v>
      </c>
      <c r="O1002">
        <f>IFERROR(VLOOKUP(A1002,vlookup_table!$A:$G,4,FALSE),"")</f>
        <v>5410</v>
      </c>
      <c r="P1002" t="str">
        <f>IFERROR(VLOOKUP(A1002,vlookup_table!$A:$G,5,FALSE),"")</f>
        <v>S1</v>
      </c>
      <c r="Q1002">
        <f>IFERROR(VLOOKUP(A1002,vlookup_table!$A:$G,7,FALSE),"")</f>
        <v>12</v>
      </c>
      <c r="R1002">
        <f t="shared" si="60"/>
        <v>43</v>
      </c>
      <c r="S1002" t="str" cm="1">
        <f t="array" ref="S1002">IF(P1002="","",_xlfn.SWITCH(LEFT(P1002,1),"C","Ciudad","T","Pueblo","R","Rural","S","Suburbano","U","Urbano",""))</f>
        <v>Suburbano</v>
      </c>
      <c r="T1002" t="str">
        <f t="shared" si="61"/>
        <v>U</v>
      </c>
      <c r="U1002" t="str">
        <f t="shared" si="62"/>
        <v>CA</v>
      </c>
      <c r="V1002" t="str">
        <f t="shared" si="63"/>
        <v>17208</v>
      </c>
    </row>
    <row r="1003" spans="1:22" x14ac:dyDescent="0.35">
      <c r="A1003" s="3">
        <v>41384</v>
      </c>
      <c r="B1003" t="s">
        <v>13</v>
      </c>
      <c r="C1003" t="s">
        <v>17</v>
      </c>
      <c r="D1003">
        <v>556</v>
      </c>
      <c r="E1003">
        <v>318</v>
      </c>
      <c r="F1003">
        <v>352</v>
      </c>
      <c r="G1003">
        <v>0</v>
      </c>
      <c r="H1003">
        <v>11779</v>
      </c>
      <c r="I1003">
        <v>16</v>
      </c>
      <c r="J1003">
        <v>22</v>
      </c>
      <c r="K1003">
        <v>358</v>
      </c>
      <c r="L1003">
        <v>320</v>
      </c>
      <c r="M1003">
        <v>9.4285714289999998</v>
      </c>
      <c r="N1003">
        <f>IFERROR(VLOOKUP(A1003,vlookup_table!$A:$G,2,FALSE),"")</f>
        <v>28</v>
      </c>
      <c r="O1003">
        <f>IFERROR(VLOOKUP(A1003,vlookup_table!$A:$G,4,FALSE),"")</f>
        <v>5107</v>
      </c>
      <c r="P1003" t="str">
        <f>IFERROR(VLOOKUP(A1003,vlookup_table!$A:$G,5,FALSE),"")</f>
        <v>S3</v>
      </c>
      <c r="Q1003">
        <f>IFERROR(VLOOKUP(A1003,vlookup_table!$A:$G,7,FALSE),"")</f>
        <v>12</v>
      </c>
      <c r="R1003">
        <f t="shared" si="60"/>
        <v>46</v>
      </c>
      <c r="S1003" t="str" cm="1">
        <f t="array" ref="S1003">IF(P1003="","",_xlfn.SWITCH(LEFT(P1003,1),"C","Ciudad","T","Pueblo","R","Rural","S","Suburbano","U","Urbano",""))</f>
        <v>Suburbano</v>
      </c>
      <c r="T1003" t="str">
        <f t="shared" si="61"/>
        <v>F</v>
      </c>
      <c r="U1003" t="str">
        <f t="shared" si="62"/>
        <v>FL</v>
      </c>
      <c r="V1003" t="str">
        <f t="shared" si="63"/>
        <v>11779</v>
      </c>
    </row>
    <row r="1004" spans="1:22" x14ac:dyDescent="0.35">
      <c r="A1004" s="3">
        <v>114721</v>
      </c>
      <c r="B1004" t="s">
        <v>31</v>
      </c>
      <c r="D1004">
        <v>1040</v>
      </c>
      <c r="E1004">
        <v>472</v>
      </c>
      <c r="F1004">
        <v>656</v>
      </c>
      <c r="G1004">
        <v>0</v>
      </c>
      <c r="H1004">
        <v>26962</v>
      </c>
      <c r="I1004">
        <v>2</v>
      </c>
      <c r="J1004">
        <v>56</v>
      </c>
      <c r="K1004">
        <v>609</v>
      </c>
      <c r="L1004">
        <v>579</v>
      </c>
      <c r="M1004">
        <v>11.66666667</v>
      </c>
      <c r="N1004">
        <f>IFERROR(VLOOKUP(A1004,vlookup_table!$A:$G,2,FALSE),"")</f>
        <v>0</v>
      </c>
      <c r="O1004">
        <f>IFERROR(VLOOKUP(A1004,vlookup_table!$A:$G,4,FALSE),"")</f>
        <v>0</v>
      </c>
      <c r="P1004" t="str">
        <f>IFERROR(VLOOKUP(A1004,vlookup_table!$A:$G,5,FALSE),"")</f>
        <v>C2</v>
      </c>
      <c r="Q1004">
        <f>IFERROR(VLOOKUP(A1004,vlookup_table!$A:$G,7,FALSE),"")</f>
        <v>15</v>
      </c>
      <c r="R1004">
        <f t="shared" si="60"/>
        <v>97</v>
      </c>
      <c r="S1004" t="str" cm="1">
        <f t="array" ref="S1004">IF(P1004="","",_xlfn.SWITCH(LEFT(P1004,1),"C","Ciudad","T","Pueblo","R","Rural","S","Suburbano","U","Urbano",""))</f>
        <v>Ciudad</v>
      </c>
      <c r="T1004" t="str">
        <f t="shared" si="61"/>
        <v/>
      </c>
      <c r="U1004" t="str">
        <f t="shared" si="62"/>
        <v>OK</v>
      </c>
      <c r="V1004" t="str">
        <f t="shared" si="63"/>
        <v>26962</v>
      </c>
    </row>
    <row r="1005" spans="1:22" x14ac:dyDescent="0.35">
      <c r="A1005" s="3">
        <v>149152</v>
      </c>
      <c r="B1005" t="s">
        <v>22</v>
      </c>
      <c r="C1005" t="s">
        <v>14</v>
      </c>
      <c r="D1005">
        <v>4507</v>
      </c>
      <c r="E1005">
        <v>842</v>
      </c>
      <c r="F1005">
        <v>962</v>
      </c>
      <c r="G1005">
        <v>95</v>
      </c>
      <c r="H1005">
        <v>54642</v>
      </c>
      <c r="I1005">
        <v>17</v>
      </c>
      <c r="J1005">
        <v>50</v>
      </c>
      <c r="K1005">
        <v>1004</v>
      </c>
      <c r="L1005">
        <v>893</v>
      </c>
      <c r="M1005">
        <v>20</v>
      </c>
      <c r="N1005">
        <f>IFERROR(VLOOKUP(A1005,vlookup_table!$A:$G,2,FALSE),"")</f>
        <v>1</v>
      </c>
      <c r="O1005">
        <f>IFERROR(VLOOKUP(A1005,vlookup_table!$A:$G,4,FALSE),"")</f>
        <v>4401</v>
      </c>
      <c r="P1005" t="str">
        <f>IFERROR(VLOOKUP(A1005,vlookup_table!$A:$G,5,FALSE),"")</f>
        <v>S1</v>
      </c>
      <c r="Q1005">
        <f>IFERROR(VLOOKUP(A1005,vlookup_table!$A:$G,7,FALSE),"")</f>
        <v>20</v>
      </c>
      <c r="R1005">
        <f t="shared" si="60"/>
        <v>53</v>
      </c>
      <c r="S1005" t="str" cm="1">
        <f t="array" ref="S1005">IF(P1005="","",_xlfn.SWITCH(LEFT(P1005,1),"C","Ciudad","T","Pueblo","R","Rural","S","Suburbano","U","Urbano",""))</f>
        <v>Suburbano</v>
      </c>
      <c r="T1005" t="str">
        <f t="shared" si="61"/>
        <v>M</v>
      </c>
      <c r="U1005" t="str">
        <f t="shared" si="62"/>
        <v>CA</v>
      </c>
      <c r="V1005" t="str">
        <f t="shared" si="63"/>
        <v>54642</v>
      </c>
    </row>
    <row r="1006" spans="1:22" x14ac:dyDescent="0.35">
      <c r="A1006" s="3">
        <v>959</v>
      </c>
      <c r="B1006" t="s">
        <v>47</v>
      </c>
      <c r="C1006" t="s">
        <v>17</v>
      </c>
      <c r="D1006">
        <v>586</v>
      </c>
      <c r="E1006">
        <v>349</v>
      </c>
      <c r="F1006">
        <v>465</v>
      </c>
      <c r="G1006">
        <v>1</v>
      </c>
      <c r="H1006">
        <v>15304</v>
      </c>
      <c r="I1006">
        <v>1</v>
      </c>
      <c r="J1006">
        <v>77</v>
      </c>
      <c r="K1006">
        <v>413</v>
      </c>
      <c r="L1006">
        <v>404</v>
      </c>
      <c r="M1006">
        <v>7.3</v>
      </c>
      <c r="N1006">
        <f>IFERROR(VLOOKUP(A1006,vlookup_table!$A:$G,2,FALSE),"")</f>
        <v>0</v>
      </c>
      <c r="O1006">
        <f>IFERROR(VLOOKUP(A1006,vlookup_table!$A:$G,4,FALSE),"")</f>
        <v>4404</v>
      </c>
      <c r="P1006" t="str">
        <f>IFERROR(VLOOKUP(A1006,vlookup_table!$A:$G,5,FALSE),"")</f>
        <v>C2</v>
      </c>
      <c r="Q1006">
        <f>IFERROR(VLOOKUP(A1006,vlookup_table!$A:$G,7,FALSE),"")</f>
        <v>10</v>
      </c>
      <c r="R1006">
        <f t="shared" si="60"/>
        <v>53</v>
      </c>
      <c r="S1006" t="str" cm="1">
        <f t="array" ref="S1006">IF(P1006="","",_xlfn.SWITCH(LEFT(P1006,1),"C","Ciudad","T","Pueblo","R","Rural","S","Suburbano","U","Urbano",""))</f>
        <v>Ciudad</v>
      </c>
      <c r="T1006" t="str">
        <f t="shared" si="61"/>
        <v>F</v>
      </c>
      <c r="U1006" t="str">
        <f t="shared" si="62"/>
        <v>IA</v>
      </c>
      <c r="V1006" t="str">
        <f t="shared" si="63"/>
        <v>15304</v>
      </c>
    </row>
    <row r="1007" spans="1:22" x14ac:dyDescent="0.35">
      <c r="A1007" s="3">
        <v>179563</v>
      </c>
      <c r="B1007" t="s">
        <v>40</v>
      </c>
      <c r="C1007" t="s">
        <v>51</v>
      </c>
      <c r="D1007">
        <v>842</v>
      </c>
      <c r="E1007">
        <v>420</v>
      </c>
      <c r="F1007">
        <v>494</v>
      </c>
      <c r="G1007">
        <v>2</v>
      </c>
      <c r="H1007">
        <v>12894</v>
      </c>
      <c r="I1007">
        <v>41</v>
      </c>
      <c r="J1007">
        <v>24</v>
      </c>
      <c r="K1007">
        <v>419</v>
      </c>
      <c r="L1007">
        <v>476</v>
      </c>
      <c r="M1007">
        <v>16.399999999999999</v>
      </c>
      <c r="N1007">
        <f>IFERROR(VLOOKUP(A1007,vlookup_table!$A:$G,2,FALSE),"")</f>
        <v>1</v>
      </c>
      <c r="O1007">
        <f>IFERROR(VLOOKUP(A1007,vlookup_table!$A:$G,4,FALSE),"")</f>
        <v>5001</v>
      </c>
      <c r="P1007" t="str">
        <f>IFERROR(VLOOKUP(A1007,vlookup_table!$A:$G,5,FALSE),"")</f>
        <v>S2</v>
      </c>
      <c r="Q1007">
        <f>IFERROR(VLOOKUP(A1007,vlookup_table!$A:$G,7,FALSE),"")</f>
        <v>23</v>
      </c>
      <c r="R1007">
        <f t="shared" si="60"/>
        <v>47</v>
      </c>
      <c r="S1007" t="str" cm="1">
        <f t="array" ref="S1007">IF(P1007="","",_xlfn.SWITCH(LEFT(P1007,1),"C","Ciudad","T","Pueblo","R","Rural","S","Suburbano","U","Urbano",""))</f>
        <v>Suburbano</v>
      </c>
      <c r="T1007" t="str">
        <f t="shared" si="61"/>
        <v>M</v>
      </c>
      <c r="U1007" t="str">
        <f t="shared" si="62"/>
        <v>WA</v>
      </c>
      <c r="V1007" t="str">
        <f t="shared" si="63"/>
        <v>12894</v>
      </c>
    </row>
    <row r="1008" spans="1:22" x14ac:dyDescent="0.35">
      <c r="A1008" s="3">
        <v>41243</v>
      </c>
      <c r="B1008" t="s">
        <v>13</v>
      </c>
      <c r="C1008" t="s">
        <v>17</v>
      </c>
      <c r="D1008">
        <v>556</v>
      </c>
      <c r="E1008">
        <v>246</v>
      </c>
      <c r="F1008">
        <v>330</v>
      </c>
      <c r="G1008">
        <v>0</v>
      </c>
      <c r="H1008">
        <v>10272</v>
      </c>
      <c r="I1008">
        <v>2</v>
      </c>
      <c r="J1008">
        <v>56</v>
      </c>
      <c r="K1008">
        <v>277</v>
      </c>
      <c r="L1008">
        <v>292</v>
      </c>
      <c r="M1008">
        <v>9.8181818179999993</v>
      </c>
      <c r="N1008">
        <f>IFERROR(VLOOKUP(A1008,vlookup_table!$A:$G,2,FALSE),"")</f>
        <v>2</v>
      </c>
      <c r="O1008">
        <f>IFERROR(VLOOKUP(A1008,vlookup_table!$A:$G,4,FALSE),"")</f>
        <v>2201</v>
      </c>
      <c r="P1008" t="str">
        <f>IFERROR(VLOOKUP(A1008,vlookup_table!$A:$G,5,FALSE),"")</f>
        <v>S2</v>
      </c>
      <c r="Q1008">
        <f>IFERROR(VLOOKUP(A1008,vlookup_table!$A:$G,7,FALSE),"")</f>
        <v>12</v>
      </c>
      <c r="R1008">
        <f t="shared" si="60"/>
        <v>75</v>
      </c>
      <c r="S1008" t="str" cm="1">
        <f t="array" ref="S1008">IF(P1008="","",_xlfn.SWITCH(LEFT(P1008,1),"C","Ciudad","T","Pueblo","R","Rural","S","Suburbano","U","Urbano",""))</f>
        <v>Suburbano</v>
      </c>
      <c r="T1008" t="str">
        <f t="shared" si="61"/>
        <v>F</v>
      </c>
      <c r="U1008" t="str">
        <f t="shared" si="62"/>
        <v>FL</v>
      </c>
      <c r="V1008" t="str">
        <f t="shared" si="63"/>
        <v>10272</v>
      </c>
    </row>
    <row r="1009" spans="1:22" x14ac:dyDescent="0.35">
      <c r="A1009">
        <v>190579</v>
      </c>
      <c r="B1009" t="s">
        <v>22</v>
      </c>
      <c r="C1009" t="s">
        <v>14</v>
      </c>
      <c r="D1009">
        <v>3200</v>
      </c>
      <c r="E1009">
        <v>310</v>
      </c>
      <c r="F1009">
        <v>343</v>
      </c>
      <c r="G1009">
        <v>83</v>
      </c>
      <c r="H1009">
        <v>17224</v>
      </c>
      <c r="I1009">
        <v>31</v>
      </c>
      <c r="J1009">
        <v>32</v>
      </c>
      <c r="K1009">
        <v>311</v>
      </c>
      <c r="L1009">
        <v>333</v>
      </c>
      <c r="M1009">
        <v>3.1060606059999998</v>
      </c>
      <c r="N1009">
        <f>IFERROR(VLOOKUP(A1009,vlookup_table!$A:$G,2,FALSE),"")</f>
        <v>1</v>
      </c>
      <c r="O1009">
        <f>IFERROR(VLOOKUP(A1009,vlookup_table!$A:$G,4,FALSE),"")</f>
        <v>0</v>
      </c>
      <c r="P1009" t="str">
        <f>IFERROR(VLOOKUP(A1009,vlookup_table!$A:$G,5,FALSE),"")</f>
        <v>U1</v>
      </c>
      <c r="Q1009">
        <f>IFERROR(VLOOKUP(A1009,vlookup_table!$A:$G,7,FALSE),"")</f>
        <v>4</v>
      </c>
      <c r="R1009">
        <f t="shared" si="60"/>
        <v>97</v>
      </c>
      <c r="S1009" t="str" cm="1">
        <f t="array" ref="S1009">IF(P1009="","",_xlfn.SWITCH(LEFT(P1009,1),"C","Ciudad","T","Pueblo","R","Rural","S","Suburbano","U","Urbano",""))</f>
        <v>Urbano</v>
      </c>
      <c r="T1009" t="str">
        <f t="shared" si="61"/>
        <v>M</v>
      </c>
      <c r="U1009" t="str">
        <f t="shared" si="62"/>
        <v>CA</v>
      </c>
      <c r="V1009" t="str">
        <f t="shared" si="63"/>
        <v>17224</v>
      </c>
    </row>
    <row r="1010" spans="1:22" x14ac:dyDescent="0.35">
      <c r="A1010">
        <v>42997</v>
      </c>
      <c r="B1010" t="s">
        <v>13</v>
      </c>
      <c r="C1010" t="s">
        <v>17</v>
      </c>
      <c r="D1010">
        <v>1567</v>
      </c>
      <c r="E1010">
        <v>392</v>
      </c>
      <c r="F1010">
        <v>409</v>
      </c>
      <c r="G1010">
        <v>27</v>
      </c>
      <c r="H1010">
        <v>18631</v>
      </c>
      <c r="I1010">
        <v>4</v>
      </c>
      <c r="J1010">
        <v>10</v>
      </c>
      <c r="K1010">
        <v>391</v>
      </c>
      <c r="L1010">
        <v>434</v>
      </c>
      <c r="M1010">
        <v>6.5625</v>
      </c>
      <c r="N1010">
        <f>IFERROR(VLOOKUP(A1010,vlookup_table!$A:$G,2,FALSE),"")</f>
        <v>2</v>
      </c>
      <c r="O1010">
        <f>IFERROR(VLOOKUP(A1010,vlookup_table!$A:$G,4,FALSE),"")</f>
        <v>1808</v>
      </c>
      <c r="P1010" t="str">
        <f>IFERROR(VLOOKUP(A1010,vlookup_table!$A:$G,5,FALSE),"")</f>
        <v>C1</v>
      </c>
      <c r="Q1010">
        <f>IFERROR(VLOOKUP(A1010,vlookup_table!$A:$G,7,FALSE),"")</f>
        <v>7</v>
      </c>
      <c r="R1010">
        <f t="shared" si="60"/>
        <v>79</v>
      </c>
      <c r="S1010" t="str" cm="1">
        <f t="array" ref="S1010">IF(P1010="","",_xlfn.SWITCH(LEFT(P1010,1),"C","Ciudad","T","Pueblo","R","Rural","S","Suburbano","U","Urbano",""))</f>
        <v>Ciudad</v>
      </c>
      <c r="T1010" t="str">
        <f t="shared" si="61"/>
        <v>F</v>
      </c>
      <c r="U1010" t="str">
        <f t="shared" si="62"/>
        <v>FL</v>
      </c>
      <c r="V1010" t="str">
        <f t="shared" si="63"/>
        <v>18631</v>
      </c>
    </row>
    <row r="1011" spans="1:22" x14ac:dyDescent="0.35">
      <c r="A1011">
        <v>132896</v>
      </c>
      <c r="B1011" t="s">
        <v>50</v>
      </c>
      <c r="C1011" t="s">
        <v>17</v>
      </c>
      <c r="D1011">
        <v>953</v>
      </c>
      <c r="E1011">
        <v>319</v>
      </c>
      <c r="F1011">
        <v>455</v>
      </c>
      <c r="G1011">
        <v>1</v>
      </c>
      <c r="H1011">
        <v>15729</v>
      </c>
      <c r="I1011">
        <v>3</v>
      </c>
      <c r="J1011">
        <v>45</v>
      </c>
      <c r="K1011">
        <v>379</v>
      </c>
      <c r="L1011">
        <v>387</v>
      </c>
      <c r="M1011">
        <v>15.57142857</v>
      </c>
      <c r="N1011">
        <f>IFERROR(VLOOKUP(A1011,vlookup_table!$A:$G,2,FALSE),"")</f>
        <v>2</v>
      </c>
      <c r="O1011">
        <f>IFERROR(VLOOKUP(A1011,vlookup_table!$A:$G,4,FALSE),"")</f>
        <v>4410</v>
      </c>
      <c r="P1011" t="str">
        <f>IFERROR(VLOOKUP(A1011,vlookup_table!$A:$G,5,FALSE),"")</f>
        <v>T1</v>
      </c>
      <c r="Q1011">
        <f>IFERROR(VLOOKUP(A1011,vlookup_table!$A:$G,7,FALSE),"")</f>
        <v>25</v>
      </c>
      <c r="R1011">
        <f t="shared" si="60"/>
        <v>53</v>
      </c>
      <c r="S1011" t="str" cm="1">
        <f t="array" ref="S1011">IF(P1011="","",_xlfn.SWITCH(LEFT(P1011,1),"C","Ciudad","T","Pueblo","R","Rural","S","Suburbano","U","Urbano",""))</f>
        <v>Pueblo</v>
      </c>
      <c r="T1011" t="str">
        <f t="shared" si="61"/>
        <v>F</v>
      </c>
      <c r="U1011" t="str">
        <f t="shared" si="62"/>
        <v>OR</v>
      </c>
      <c r="V1011" t="str">
        <f t="shared" si="63"/>
        <v>15729</v>
      </c>
    </row>
    <row r="1012" spans="1:22" x14ac:dyDescent="0.35">
      <c r="A1012">
        <v>120189</v>
      </c>
      <c r="B1012" t="s">
        <v>21</v>
      </c>
      <c r="C1012" t="s">
        <v>14</v>
      </c>
      <c r="D1012">
        <v>492</v>
      </c>
      <c r="E1012">
        <v>244</v>
      </c>
      <c r="F1012">
        <v>301</v>
      </c>
      <c r="G1012">
        <v>3</v>
      </c>
      <c r="H1012">
        <v>10818</v>
      </c>
      <c r="I1012">
        <v>0</v>
      </c>
      <c r="J1012">
        <v>92</v>
      </c>
      <c r="K1012">
        <v>260</v>
      </c>
      <c r="L1012">
        <v>284</v>
      </c>
      <c r="M1012">
        <v>19.375</v>
      </c>
      <c r="N1012">
        <f>IFERROR(VLOOKUP(A1012,vlookup_table!$A:$G,2,FALSE),"")</f>
        <v>0</v>
      </c>
      <c r="O1012">
        <f>IFERROR(VLOOKUP(A1012,vlookup_table!$A:$G,4,FALSE),"")</f>
        <v>0</v>
      </c>
      <c r="P1012" t="str">
        <f>IFERROR(VLOOKUP(A1012,vlookup_table!$A:$G,5,FALSE),"")</f>
        <v>T2</v>
      </c>
      <c r="Q1012">
        <f>IFERROR(VLOOKUP(A1012,vlookup_table!$A:$G,7,FALSE),"")</f>
        <v>25</v>
      </c>
      <c r="R1012">
        <f t="shared" si="60"/>
        <v>97</v>
      </c>
      <c r="S1012" t="str" cm="1">
        <f t="array" ref="S1012">IF(P1012="","",_xlfn.SWITCH(LEFT(P1012,1),"C","Ciudad","T","Pueblo","R","Rural","S","Suburbano","U","Urbano",""))</f>
        <v>Pueblo</v>
      </c>
      <c r="T1012" t="str">
        <f t="shared" si="61"/>
        <v>M</v>
      </c>
      <c r="U1012" t="str">
        <f t="shared" si="62"/>
        <v>TX</v>
      </c>
      <c r="V1012" t="str">
        <f t="shared" si="63"/>
        <v>10818</v>
      </c>
    </row>
    <row r="1013" spans="1:22" x14ac:dyDescent="0.35">
      <c r="A1013">
        <v>138829</v>
      </c>
      <c r="B1013" t="s">
        <v>55</v>
      </c>
      <c r="C1013" t="s">
        <v>65</v>
      </c>
      <c r="D1013">
        <v>847</v>
      </c>
      <c r="E1013">
        <v>185</v>
      </c>
      <c r="F1013">
        <v>308</v>
      </c>
      <c r="G1013">
        <v>0</v>
      </c>
      <c r="H1013">
        <v>11582</v>
      </c>
      <c r="I1013">
        <v>3</v>
      </c>
      <c r="J1013">
        <v>20</v>
      </c>
      <c r="K1013">
        <v>238</v>
      </c>
      <c r="L1013">
        <v>225</v>
      </c>
      <c r="M1013">
        <v>11.5</v>
      </c>
      <c r="N1013">
        <f>IFERROR(VLOOKUP(A1013,vlookup_table!$A:$G,2,FALSE),"")</f>
        <v>28</v>
      </c>
      <c r="O1013">
        <f>IFERROR(VLOOKUP(A1013,vlookup_table!$A:$G,4,FALSE),"")</f>
        <v>3601</v>
      </c>
      <c r="P1013" t="str">
        <f>IFERROR(VLOOKUP(A1013,vlookup_table!$A:$G,5,FALSE),"")</f>
        <v>T2</v>
      </c>
      <c r="Q1013">
        <f>IFERROR(VLOOKUP(A1013,vlookup_table!$A:$G,7,FALSE),"")</f>
        <v>25</v>
      </c>
      <c r="R1013">
        <f t="shared" si="60"/>
        <v>61</v>
      </c>
      <c r="S1013" t="str" cm="1">
        <f t="array" ref="S1013">IF(P1013="","",_xlfn.SWITCH(LEFT(P1013,1),"C","Ciudad","T","Pueblo","R","Rural","S","Suburbano","U","Urbano",""))</f>
        <v>Pueblo</v>
      </c>
      <c r="T1013" t="str">
        <f t="shared" si="61"/>
        <v>F</v>
      </c>
      <c r="U1013" t="str">
        <f t="shared" si="62"/>
        <v>AZ</v>
      </c>
      <c r="V1013" t="str">
        <f t="shared" si="63"/>
        <v>11582</v>
      </c>
    </row>
    <row r="1014" spans="1:22" x14ac:dyDescent="0.35">
      <c r="A1014">
        <v>167462</v>
      </c>
      <c r="B1014" t="s">
        <v>22</v>
      </c>
      <c r="C1014" t="s">
        <v>14</v>
      </c>
      <c r="D1014">
        <v>2645</v>
      </c>
      <c r="E1014">
        <v>644</v>
      </c>
      <c r="F1014">
        <v>697</v>
      </c>
      <c r="G1014">
        <v>87</v>
      </c>
      <c r="H1014">
        <v>20782</v>
      </c>
      <c r="I1014">
        <v>26</v>
      </c>
      <c r="J1014">
        <v>46</v>
      </c>
      <c r="K1014">
        <v>655</v>
      </c>
      <c r="L1014">
        <v>682</v>
      </c>
      <c r="M1014">
        <v>8.75</v>
      </c>
      <c r="N1014">
        <f>IFERROR(VLOOKUP(A1014,vlookup_table!$A:$G,2,FALSE),"")</f>
        <v>0</v>
      </c>
      <c r="O1014">
        <f>IFERROR(VLOOKUP(A1014,vlookup_table!$A:$G,4,FALSE),"")</f>
        <v>3601</v>
      </c>
      <c r="P1014" t="str">
        <f>IFERROR(VLOOKUP(A1014,vlookup_table!$A:$G,5,FALSE),"")</f>
        <v>S1</v>
      </c>
      <c r="Q1014">
        <f>IFERROR(VLOOKUP(A1014,vlookup_table!$A:$G,7,FALSE),"")</f>
        <v>15</v>
      </c>
      <c r="R1014">
        <f t="shared" si="60"/>
        <v>61</v>
      </c>
      <c r="S1014" t="str" cm="1">
        <f t="array" ref="S1014">IF(P1014="","",_xlfn.SWITCH(LEFT(P1014,1),"C","Ciudad","T","Pueblo","R","Rural","S","Suburbano","U","Urbano",""))</f>
        <v>Suburbano</v>
      </c>
      <c r="T1014" t="str">
        <f t="shared" si="61"/>
        <v>M</v>
      </c>
      <c r="U1014" t="str">
        <f t="shared" si="62"/>
        <v>CA</v>
      </c>
      <c r="V1014" t="str">
        <f t="shared" si="63"/>
        <v>20782</v>
      </c>
    </row>
    <row r="1015" spans="1:22" x14ac:dyDescent="0.35">
      <c r="A1015">
        <v>160401</v>
      </c>
      <c r="B1015" t="s">
        <v>22</v>
      </c>
      <c r="C1015" t="s">
        <v>17</v>
      </c>
      <c r="D1015">
        <v>1952</v>
      </c>
      <c r="E1015">
        <v>335</v>
      </c>
      <c r="F1015">
        <v>398</v>
      </c>
      <c r="G1015">
        <v>48</v>
      </c>
      <c r="H1015">
        <v>15290</v>
      </c>
      <c r="I1015">
        <v>6</v>
      </c>
      <c r="J1015">
        <v>55</v>
      </c>
      <c r="K1015">
        <v>365</v>
      </c>
      <c r="L1015">
        <v>367</v>
      </c>
      <c r="M1015">
        <v>13</v>
      </c>
      <c r="N1015">
        <f>IFERROR(VLOOKUP(A1015,vlookup_table!$A:$G,2,FALSE),"")</f>
        <v>28</v>
      </c>
      <c r="O1015">
        <f>IFERROR(VLOOKUP(A1015,vlookup_table!$A:$G,4,FALSE),"")</f>
        <v>3101</v>
      </c>
      <c r="P1015" t="str">
        <f>IFERROR(VLOOKUP(A1015,vlookup_table!$A:$G,5,FALSE),"")</f>
        <v>T2</v>
      </c>
      <c r="Q1015">
        <f>IFERROR(VLOOKUP(A1015,vlookup_table!$A:$G,7,FALSE),"")</f>
        <v>13</v>
      </c>
      <c r="R1015">
        <f t="shared" si="60"/>
        <v>66</v>
      </c>
      <c r="S1015" t="str" cm="1">
        <f t="array" ref="S1015">IF(P1015="","",_xlfn.SWITCH(LEFT(P1015,1),"C","Ciudad","T","Pueblo","R","Rural","S","Suburbano","U","Urbano",""))</f>
        <v>Pueblo</v>
      </c>
      <c r="T1015" t="str">
        <f t="shared" si="61"/>
        <v>F</v>
      </c>
      <c r="U1015" t="str">
        <f t="shared" si="62"/>
        <v>CA</v>
      </c>
      <c r="V1015" t="str">
        <f t="shared" si="63"/>
        <v>15290</v>
      </c>
    </row>
    <row r="1016" spans="1:22" x14ac:dyDescent="0.35">
      <c r="A1016">
        <v>174934</v>
      </c>
      <c r="B1016" t="s">
        <v>50</v>
      </c>
      <c r="C1016" t="s">
        <v>17</v>
      </c>
      <c r="D1016">
        <v>1305</v>
      </c>
      <c r="E1016">
        <v>391</v>
      </c>
      <c r="F1016">
        <v>471</v>
      </c>
      <c r="G1016">
        <v>19</v>
      </c>
      <c r="H1016">
        <v>19716</v>
      </c>
      <c r="I1016">
        <v>7</v>
      </c>
      <c r="J1016">
        <v>40</v>
      </c>
      <c r="K1016">
        <v>456</v>
      </c>
      <c r="L1016">
        <v>448</v>
      </c>
      <c r="M1016">
        <v>7</v>
      </c>
      <c r="N1016">
        <f>IFERROR(VLOOKUP(A1016,vlookup_table!$A:$G,2,FALSE),"")</f>
        <v>28</v>
      </c>
      <c r="O1016">
        <f>IFERROR(VLOOKUP(A1016,vlookup_table!$A:$G,4,FALSE),"")</f>
        <v>0</v>
      </c>
      <c r="P1016" t="str">
        <f>IFERROR(VLOOKUP(A1016,vlookup_table!$A:$G,5,FALSE),"")</f>
        <v>S2</v>
      </c>
      <c r="Q1016">
        <f>IFERROR(VLOOKUP(A1016,vlookup_table!$A:$G,7,FALSE),"")</f>
        <v>5</v>
      </c>
      <c r="R1016">
        <f t="shared" si="60"/>
        <v>97</v>
      </c>
      <c r="S1016" t="str" cm="1">
        <f t="array" ref="S1016">IF(P1016="","",_xlfn.SWITCH(LEFT(P1016,1),"C","Ciudad","T","Pueblo","R","Rural","S","Suburbano","U","Urbano",""))</f>
        <v>Suburbano</v>
      </c>
      <c r="T1016" t="str">
        <f t="shared" si="61"/>
        <v>F</v>
      </c>
      <c r="U1016" t="str">
        <f t="shared" si="62"/>
        <v>OR</v>
      </c>
      <c r="V1016" t="str">
        <f t="shared" si="63"/>
        <v>19716</v>
      </c>
    </row>
    <row r="1017" spans="1:22" x14ac:dyDescent="0.35">
      <c r="A1017">
        <v>2020</v>
      </c>
      <c r="B1017" t="s">
        <v>22</v>
      </c>
      <c r="C1017" t="s">
        <v>17</v>
      </c>
      <c r="D1017">
        <v>3556</v>
      </c>
      <c r="E1017">
        <v>735</v>
      </c>
      <c r="F1017">
        <v>805</v>
      </c>
      <c r="G1017">
        <v>98</v>
      </c>
      <c r="H1017">
        <v>34382</v>
      </c>
      <c r="I1017">
        <v>9</v>
      </c>
      <c r="J1017">
        <v>55</v>
      </c>
      <c r="K1017">
        <v>701</v>
      </c>
      <c r="L1017">
        <v>838</v>
      </c>
      <c r="M1017">
        <v>7.35</v>
      </c>
      <c r="N1017">
        <f>IFERROR(VLOOKUP(A1017,vlookup_table!$A:$G,2,FALSE),"")</f>
        <v>2</v>
      </c>
      <c r="O1017">
        <f>IFERROR(VLOOKUP(A1017,vlookup_table!$A:$G,4,FALSE),"")</f>
        <v>2401</v>
      </c>
      <c r="P1017" t="str">
        <f>IFERROR(VLOOKUP(A1017,vlookup_table!$A:$G,5,FALSE),"")</f>
        <v>S1</v>
      </c>
      <c r="Q1017">
        <f>IFERROR(VLOOKUP(A1017,vlookup_table!$A:$G,7,FALSE),"")</f>
        <v>7</v>
      </c>
      <c r="R1017">
        <f t="shared" si="60"/>
        <v>73</v>
      </c>
      <c r="S1017" t="str" cm="1">
        <f t="array" ref="S1017">IF(P1017="","",_xlfn.SWITCH(LEFT(P1017,1),"C","Ciudad","T","Pueblo","R","Rural","S","Suburbano","U","Urbano",""))</f>
        <v>Suburbano</v>
      </c>
      <c r="T1017" t="str">
        <f t="shared" si="61"/>
        <v>F</v>
      </c>
      <c r="U1017" t="str">
        <f t="shared" si="62"/>
        <v>CA</v>
      </c>
      <c r="V1017" t="str">
        <f t="shared" si="63"/>
        <v>34382</v>
      </c>
    </row>
    <row r="1018" spans="1:22" x14ac:dyDescent="0.35">
      <c r="A1018">
        <v>74235</v>
      </c>
      <c r="B1018" t="s">
        <v>29</v>
      </c>
      <c r="C1018" t="s">
        <v>14</v>
      </c>
      <c r="D1018">
        <v>473</v>
      </c>
      <c r="E1018">
        <v>327</v>
      </c>
      <c r="F1018">
        <v>363</v>
      </c>
      <c r="G1018">
        <v>1</v>
      </c>
      <c r="H1018">
        <v>12580</v>
      </c>
      <c r="I1018">
        <v>0</v>
      </c>
      <c r="J1018">
        <v>94</v>
      </c>
      <c r="K1018">
        <v>338</v>
      </c>
      <c r="L1018">
        <v>348</v>
      </c>
      <c r="M1018">
        <v>13.5</v>
      </c>
      <c r="N1018">
        <f>IFERROR(VLOOKUP(A1018,vlookup_table!$A:$G,2,FALSE),"")</f>
        <v>4</v>
      </c>
      <c r="O1018">
        <f>IFERROR(VLOOKUP(A1018,vlookup_table!$A:$G,4,FALSE),"")</f>
        <v>4912</v>
      </c>
      <c r="P1018" t="str">
        <f>IFERROR(VLOOKUP(A1018,vlookup_table!$A:$G,5,FALSE),"")</f>
        <v>T2</v>
      </c>
      <c r="Q1018">
        <f>IFERROR(VLOOKUP(A1018,vlookup_table!$A:$G,7,FALSE),"")</f>
        <v>26</v>
      </c>
      <c r="R1018">
        <f t="shared" si="60"/>
        <v>48</v>
      </c>
      <c r="S1018" t="str" cm="1">
        <f t="array" ref="S1018">IF(P1018="","",_xlfn.SWITCH(LEFT(P1018,1),"C","Ciudad","T","Pueblo","R","Rural","S","Suburbano","U","Urbano",""))</f>
        <v>Pueblo</v>
      </c>
      <c r="T1018" t="str">
        <f t="shared" si="61"/>
        <v>M</v>
      </c>
      <c r="U1018" t="str">
        <f t="shared" si="62"/>
        <v>MI</v>
      </c>
      <c r="V1018" t="str">
        <f t="shared" si="63"/>
        <v>12580</v>
      </c>
    </row>
    <row r="1019" spans="1:22" x14ac:dyDescent="0.35">
      <c r="A1019">
        <v>167039</v>
      </c>
      <c r="B1019" t="s">
        <v>22</v>
      </c>
      <c r="D1019">
        <v>3201</v>
      </c>
      <c r="E1019">
        <v>497</v>
      </c>
      <c r="F1019">
        <v>591</v>
      </c>
      <c r="G1019">
        <v>92</v>
      </c>
      <c r="H1019">
        <v>19656</v>
      </c>
      <c r="I1019">
        <v>9</v>
      </c>
      <c r="J1019">
        <v>72</v>
      </c>
      <c r="K1019">
        <v>552</v>
      </c>
      <c r="L1019">
        <v>539</v>
      </c>
      <c r="M1019">
        <v>5</v>
      </c>
      <c r="N1019">
        <f>IFERROR(VLOOKUP(A1019,vlookup_table!$A:$G,2,FALSE),"")</f>
        <v>0</v>
      </c>
      <c r="O1019">
        <f>IFERROR(VLOOKUP(A1019,vlookup_table!$A:$G,4,FALSE),"")</f>
        <v>0</v>
      </c>
      <c r="P1019" t="str">
        <f>IFERROR(VLOOKUP(A1019,vlookup_table!$A:$G,5,FALSE),"")</f>
        <v>S1</v>
      </c>
      <c r="Q1019">
        <f>IFERROR(VLOOKUP(A1019,vlookup_table!$A:$G,7,FALSE),"")</f>
        <v>5</v>
      </c>
      <c r="R1019">
        <f t="shared" si="60"/>
        <v>97</v>
      </c>
      <c r="S1019" t="str" cm="1">
        <f t="array" ref="S1019">IF(P1019="","",_xlfn.SWITCH(LEFT(P1019,1),"C","Ciudad","T","Pueblo","R","Rural","S","Suburbano","U","Urbano",""))</f>
        <v>Suburbano</v>
      </c>
      <c r="T1019" t="str">
        <f t="shared" si="61"/>
        <v/>
      </c>
      <c r="U1019" t="str">
        <f t="shared" si="62"/>
        <v>CA</v>
      </c>
      <c r="V1019" t="str">
        <f t="shared" si="63"/>
        <v>19656</v>
      </c>
    </row>
    <row r="1020" spans="1:22" x14ac:dyDescent="0.35">
      <c r="A1020">
        <v>165509</v>
      </c>
      <c r="B1020" t="s">
        <v>22</v>
      </c>
      <c r="C1020" t="s">
        <v>14</v>
      </c>
      <c r="D1020">
        <v>2213</v>
      </c>
      <c r="E1020">
        <v>447</v>
      </c>
      <c r="F1020">
        <v>491</v>
      </c>
      <c r="G1020">
        <v>77</v>
      </c>
      <c r="H1020">
        <v>16702</v>
      </c>
      <c r="I1020">
        <v>7</v>
      </c>
      <c r="J1020">
        <v>62</v>
      </c>
      <c r="K1020">
        <v>447</v>
      </c>
      <c r="L1020">
        <v>491</v>
      </c>
      <c r="M1020">
        <v>4.95</v>
      </c>
      <c r="N1020">
        <f>IFERROR(VLOOKUP(A1020,vlookup_table!$A:$G,2,FALSE),"")</f>
        <v>0</v>
      </c>
      <c r="O1020">
        <f>IFERROR(VLOOKUP(A1020,vlookup_table!$A:$G,4,FALSE),"")</f>
        <v>0</v>
      </c>
      <c r="P1020" t="str">
        <f>IFERROR(VLOOKUP(A1020,vlookup_table!$A:$G,5,FALSE),"")</f>
        <v>C1</v>
      </c>
      <c r="Q1020">
        <f>IFERROR(VLOOKUP(A1020,vlookup_table!$A:$G,7,FALSE),"")</f>
        <v>10</v>
      </c>
      <c r="R1020">
        <f t="shared" si="60"/>
        <v>97</v>
      </c>
      <c r="S1020" t="str" cm="1">
        <f t="array" ref="S1020">IF(P1020="","",_xlfn.SWITCH(LEFT(P1020,1),"C","Ciudad","T","Pueblo","R","Rural","S","Suburbano","U","Urbano",""))</f>
        <v>Ciudad</v>
      </c>
      <c r="T1020" t="str">
        <f t="shared" si="61"/>
        <v>M</v>
      </c>
      <c r="U1020" t="str">
        <f t="shared" si="62"/>
        <v>CA</v>
      </c>
      <c r="V1020" t="str">
        <f t="shared" si="63"/>
        <v>16702</v>
      </c>
    </row>
    <row r="1021" spans="1:22" x14ac:dyDescent="0.35">
      <c r="A1021">
        <v>151653</v>
      </c>
      <c r="B1021" t="s">
        <v>22</v>
      </c>
      <c r="D1021">
        <v>1455</v>
      </c>
      <c r="E1021">
        <v>376</v>
      </c>
      <c r="F1021">
        <v>426</v>
      </c>
      <c r="G1021">
        <v>7</v>
      </c>
      <c r="H1021">
        <v>14860</v>
      </c>
      <c r="I1021">
        <v>19</v>
      </c>
      <c r="J1021">
        <v>39</v>
      </c>
      <c r="K1021">
        <v>417</v>
      </c>
      <c r="L1021">
        <v>393</v>
      </c>
      <c r="M1021">
        <v>6.35</v>
      </c>
      <c r="N1021">
        <f>IFERROR(VLOOKUP(A1021,vlookup_table!$A:$G,2,FALSE),"")</f>
        <v>0</v>
      </c>
      <c r="O1021">
        <f>IFERROR(VLOOKUP(A1021,vlookup_table!$A:$G,4,FALSE),"")</f>
        <v>2401</v>
      </c>
      <c r="P1021" t="str">
        <f>IFERROR(VLOOKUP(A1021,vlookup_table!$A:$G,5,FALSE),"")</f>
        <v>U3</v>
      </c>
      <c r="Q1021">
        <f>IFERROR(VLOOKUP(A1021,vlookup_table!$A:$G,7,FALSE),"")</f>
        <v>10</v>
      </c>
      <c r="R1021">
        <f t="shared" si="60"/>
        <v>73</v>
      </c>
      <c r="S1021" t="str" cm="1">
        <f t="array" ref="S1021">IF(P1021="","",_xlfn.SWITCH(LEFT(P1021,1),"C","Ciudad","T","Pueblo","R","Rural","S","Suburbano","U","Urbano",""))</f>
        <v>Urbano</v>
      </c>
      <c r="T1021" t="str">
        <f t="shared" si="61"/>
        <v/>
      </c>
      <c r="U1021" t="str">
        <f t="shared" si="62"/>
        <v>CA</v>
      </c>
      <c r="V1021" t="str">
        <f t="shared" si="63"/>
        <v>14860</v>
      </c>
    </row>
    <row r="1022" spans="1:22" x14ac:dyDescent="0.35">
      <c r="A1022">
        <v>100132</v>
      </c>
      <c r="B1022" t="s">
        <v>36</v>
      </c>
      <c r="C1022" t="s">
        <v>17</v>
      </c>
      <c r="D1022">
        <v>393</v>
      </c>
      <c r="E1022">
        <v>216</v>
      </c>
      <c r="F1022">
        <v>301</v>
      </c>
      <c r="G1022">
        <v>0</v>
      </c>
      <c r="H1022">
        <v>10107</v>
      </c>
      <c r="I1022">
        <v>0</v>
      </c>
      <c r="J1022">
        <v>71</v>
      </c>
      <c r="K1022">
        <v>258</v>
      </c>
      <c r="L1022">
        <v>258</v>
      </c>
      <c r="M1022">
        <v>10</v>
      </c>
      <c r="N1022">
        <f>IFERROR(VLOOKUP(A1022,vlookup_table!$A:$G,2,FALSE),"")</f>
        <v>0</v>
      </c>
      <c r="O1022">
        <f>IFERROR(VLOOKUP(A1022,vlookup_table!$A:$G,4,FALSE),"")</f>
        <v>2401</v>
      </c>
      <c r="P1022" t="str">
        <f>IFERROR(VLOOKUP(A1022,vlookup_table!$A:$G,5,FALSE),"")</f>
        <v>S2</v>
      </c>
      <c r="Q1022">
        <f>IFERROR(VLOOKUP(A1022,vlookup_table!$A:$G,7,FALSE),"")</f>
        <v>15</v>
      </c>
      <c r="R1022">
        <f t="shared" si="60"/>
        <v>73</v>
      </c>
      <c r="S1022" t="str" cm="1">
        <f t="array" ref="S1022">IF(P1022="","",_xlfn.SWITCH(LEFT(P1022,1),"C","Ciudad","T","Pueblo","R","Rural","S","Suburbano","U","Urbano",""))</f>
        <v>Suburbano</v>
      </c>
      <c r="T1022" t="str">
        <f t="shared" si="61"/>
        <v>F</v>
      </c>
      <c r="U1022" t="str">
        <f t="shared" si="62"/>
        <v>MO</v>
      </c>
      <c r="V1022" t="str">
        <f t="shared" si="63"/>
        <v>10107</v>
      </c>
    </row>
    <row r="1023" spans="1:22" x14ac:dyDescent="0.35">
      <c r="A1023">
        <v>161726</v>
      </c>
      <c r="B1023" t="s">
        <v>22</v>
      </c>
      <c r="C1023" t="s">
        <v>17</v>
      </c>
      <c r="D1023">
        <v>2453</v>
      </c>
      <c r="E1023">
        <v>438</v>
      </c>
      <c r="F1023">
        <v>475</v>
      </c>
      <c r="G1023">
        <v>86</v>
      </c>
      <c r="H1023">
        <v>15707</v>
      </c>
      <c r="I1023">
        <v>16</v>
      </c>
      <c r="J1023">
        <v>45</v>
      </c>
      <c r="K1023">
        <v>451</v>
      </c>
      <c r="L1023">
        <v>436</v>
      </c>
      <c r="M1023">
        <v>5.8125</v>
      </c>
      <c r="N1023">
        <f>IFERROR(VLOOKUP(A1023,vlookup_table!$A:$G,2,FALSE),"")</f>
        <v>0</v>
      </c>
      <c r="O1023">
        <f>IFERROR(VLOOKUP(A1023,vlookup_table!$A:$G,4,FALSE),"")</f>
        <v>4601</v>
      </c>
      <c r="P1023" t="str">
        <f>IFERROR(VLOOKUP(A1023,vlookup_table!$A:$G,5,FALSE),"")</f>
        <v>T1</v>
      </c>
      <c r="Q1023">
        <f>IFERROR(VLOOKUP(A1023,vlookup_table!$A:$G,7,FALSE),"")</f>
        <v>7</v>
      </c>
      <c r="R1023">
        <f t="shared" si="60"/>
        <v>51</v>
      </c>
      <c r="S1023" t="str" cm="1">
        <f t="array" ref="S1023">IF(P1023="","",_xlfn.SWITCH(LEFT(P1023,1),"C","Ciudad","T","Pueblo","R","Rural","S","Suburbano","U","Urbano",""))</f>
        <v>Pueblo</v>
      </c>
      <c r="T1023" t="str">
        <f t="shared" si="61"/>
        <v>F</v>
      </c>
      <c r="U1023" t="str">
        <f t="shared" si="62"/>
        <v>CA</v>
      </c>
      <c r="V1023" t="str">
        <f t="shared" si="63"/>
        <v>15707</v>
      </c>
    </row>
    <row r="1024" spans="1:22" x14ac:dyDescent="0.35">
      <c r="A1024">
        <v>125986</v>
      </c>
      <c r="B1024" t="s">
        <v>21</v>
      </c>
      <c r="C1024" t="s">
        <v>14</v>
      </c>
      <c r="D1024">
        <v>533</v>
      </c>
      <c r="E1024">
        <v>246</v>
      </c>
      <c r="F1024">
        <v>308</v>
      </c>
      <c r="G1024">
        <v>1</v>
      </c>
      <c r="H1024">
        <v>10096</v>
      </c>
      <c r="I1024">
        <v>3</v>
      </c>
      <c r="J1024">
        <v>75</v>
      </c>
      <c r="K1024">
        <v>276</v>
      </c>
      <c r="L1024">
        <v>287</v>
      </c>
      <c r="M1024">
        <v>13.375</v>
      </c>
      <c r="N1024">
        <f>IFERROR(VLOOKUP(A1024,vlookup_table!$A:$G,2,FALSE),"")</f>
        <v>0</v>
      </c>
      <c r="O1024">
        <f>IFERROR(VLOOKUP(A1024,vlookup_table!$A:$G,4,FALSE),"")</f>
        <v>4610</v>
      </c>
      <c r="P1024" t="str">
        <f>IFERROR(VLOOKUP(A1024,vlookup_table!$A:$G,5,FALSE),"")</f>
        <v>T2</v>
      </c>
      <c r="Q1024">
        <f>IFERROR(VLOOKUP(A1024,vlookup_table!$A:$G,7,FALSE),"")</f>
        <v>17</v>
      </c>
      <c r="R1024">
        <f t="shared" si="60"/>
        <v>51</v>
      </c>
      <c r="S1024" t="str" cm="1">
        <f t="array" ref="S1024">IF(P1024="","",_xlfn.SWITCH(LEFT(P1024,1),"C","Ciudad","T","Pueblo","R","Rural","S","Suburbano","U","Urbano",""))</f>
        <v>Pueblo</v>
      </c>
      <c r="T1024" t="str">
        <f t="shared" si="61"/>
        <v>M</v>
      </c>
      <c r="U1024" t="str">
        <f t="shared" si="62"/>
        <v>TX</v>
      </c>
      <c r="V1024" t="str">
        <f t="shared" si="63"/>
        <v>10096</v>
      </c>
    </row>
    <row r="1025" spans="1:22" x14ac:dyDescent="0.35">
      <c r="A1025">
        <v>185394</v>
      </c>
      <c r="B1025" t="s">
        <v>29</v>
      </c>
      <c r="C1025" t="s">
        <v>17</v>
      </c>
      <c r="D1025">
        <v>647</v>
      </c>
      <c r="E1025">
        <v>285</v>
      </c>
      <c r="F1025">
        <v>338</v>
      </c>
      <c r="G1025">
        <v>0</v>
      </c>
      <c r="H1025">
        <v>12910</v>
      </c>
      <c r="I1025">
        <v>7</v>
      </c>
      <c r="J1025">
        <v>80</v>
      </c>
      <c r="K1025">
        <v>317</v>
      </c>
      <c r="L1025">
        <v>300</v>
      </c>
      <c r="M1025">
        <v>8.9166666669999994</v>
      </c>
      <c r="N1025">
        <f>IFERROR(VLOOKUP(A1025,vlookup_table!$A:$G,2,FALSE),"")</f>
        <v>2</v>
      </c>
      <c r="O1025">
        <f>IFERROR(VLOOKUP(A1025,vlookup_table!$A:$G,4,FALSE),"")</f>
        <v>2702</v>
      </c>
      <c r="P1025" t="str">
        <f>IFERROR(VLOOKUP(A1025,vlookup_table!$A:$G,5,FALSE),"")</f>
        <v>S2</v>
      </c>
      <c r="Q1025">
        <f>IFERROR(VLOOKUP(A1025,vlookup_table!$A:$G,7,FALSE),"")</f>
        <v>5</v>
      </c>
      <c r="R1025">
        <f t="shared" si="60"/>
        <v>70</v>
      </c>
      <c r="S1025" t="str" cm="1">
        <f t="array" ref="S1025">IF(P1025="","",_xlfn.SWITCH(LEFT(P1025,1),"C","Ciudad","T","Pueblo","R","Rural","S","Suburbano","U","Urbano",""))</f>
        <v>Suburbano</v>
      </c>
      <c r="T1025" t="str">
        <f t="shared" si="61"/>
        <v>F</v>
      </c>
      <c r="U1025" t="str">
        <f t="shared" si="62"/>
        <v>MI</v>
      </c>
      <c r="V1025" t="str">
        <f t="shared" si="63"/>
        <v>12910</v>
      </c>
    </row>
    <row r="1026" spans="1:22" x14ac:dyDescent="0.35">
      <c r="A1026">
        <v>43799</v>
      </c>
      <c r="B1026" t="s">
        <v>13</v>
      </c>
      <c r="C1026" t="s">
        <v>17</v>
      </c>
      <c r="D1026">
        <v>1044</v>
      </c>
      <c r="E1026">
        <v>366</v>
      </c>
      <c r="F1026">
        <v>499</v>
      </c>
      <c r="G1026">
        <v>15</v>
      </c>
      <c r="H1026">
        <v>22427</v>
      </c>
      <c r="I1026">
        <v>8</v>
      </c>
      <c r="J1026">
        <v>35</v>
      </c>
      <c r="K1026">
        <v>318</v>
      </c>
      <c r="L1026">
        <v>458</v>
      </c>
      <c r="M1026">
        <v>13.16666667</v>
      </c>
      <c r="N1026">
        <f>IFERROR(VLOOKUP(A1026,vlookup_table!$A:$G,2,FALSE),"")</f>
        <v>2</v>
      </c>
      <c r="O1026">
        <f>IFERROR(VLOOKUP(A1026,vlookup_table!$A:$G,4,FALSE),"")</f>
        <v>5801</v>
      </c>
      <c r="P1026" t="str">
        <f>IFERROR(VLOOKUP(A1026,vlookup_table!$A:$G,5,FALSE),"")</f>
        <v>T2</v>
      </c>
      <c r="Q1026">
        <f>IFERROR(VLOOKUP(A1026,vlookup_table!$A:$G,7,FALSE),"")</f>
        <v>20</v>
      </c>
      <c r="R1026">
        <f t="shared" ref="R1026:R1089" si="64">IF(O1026="","",97-INT(O1026/100))</f>
        <v>39</v>
      </c>
      <c r="S1026" t="str" cm="1">
        <f t="array" ref="S1026">IF(P1026="","",_xlfn.SWITCH(LEFT(P1026,1),"C","Ciudad","T","Pueblo","R","Rural","S","Suburbano","U","Urbano",""))</f>
        <v>Pueblo</v>
      </c>
      <c r="T1026" t="str">
        <f t="shared" ref="T1026:T1089" si="65">IF(C1026="","",IF(OR(UPPER(C1026)="M",UPPER(C1026)="MALE"),"M",IF(OR(UPPER(C1026)="F",UPPER(C1026)="FEMALE",UPPER(C1026)="FEAMALE"),"F",C1026)))</f>
        <v>F</v>
      </c>
      <c r="U1026" t="str">
        <f t="shared" ref="U1026:U1089" si="66">IF(OR(UPPER(B1026)="CALIFORNIA",UPPER(B1026)="CALI"),"CA",B1026)</f>
        <v>FL</v>
      </c>
      <c r="V1026" t="str">
        <f t="shared" ref="V1026:V1089" si="67">SUBSTITUTE(H1026,"@","")</f>
        <v>22427</v>
      </c>
    </row>
    <row r="1027" spans="1:22" x14ac:dyDescent="0.35">
      <c r="A1027">
        <v>185464</v>
      </c>
      <c r="B1027" t="s">
        <v>57</v>
      </c>
      <c r="C1027" t="s">
        <v>14</v>
      </c>
      <c r="D1027">
        <v>702</v>
      </c>
      <c r="E1027">
        <v>308</v>
      </c>
      <c r="F1027">
        <v>397</v>
      </c>
      <c r="G1027">
        <v>0</v>
      </c>
      <c r="H1027">
        <v>14670</v>
      </c>
      <c r="I1027">
        <v>9</v>
      </c>
      <c r="J1027">
        <v>23</v>
      </c>
      <c r="K1027">
        <v>348</v>
      </c>
      <c r="L1027">
        <v>337</v>
      </c>
      <c r="M1027">
        <v>11.11111111</v>
      </c>
      <c r="N1027">
        <f>IFERROR(VLOOKUP(A1027,vlookup_table!$A:$G,2,FALSE),"")</f>
        <v>1</v>
      </c>
      <c r="O1027">
        <f>IFERROR(VLOOKUP(A1027,vlookup_table!$A:$G,4,FALSE),"")</f>
        <v>3910</v>
      </c>
      <c r="P1027" t="str">
        <f>IFERROR(VLOOKUP(A1027,vlookup_table!$A:$G,5,FALSE),"")</f>
        <v>T2</v>
      </c>
      <c r="Q1027">
        <f>IFERROR(VLOOKUP(A1027,vlookup_table!$A:$G,7,FALSE),"")</f>
        <v>15</v>
      </c>
      <c r="R1027">
        <f t="shared" si="64"/>
        <v>58</v>
      </c>
      <c r="S1027" t="str" cm="1">
        <f t="array" ref="S1027">IF(P1027="","",_xlfn.SWITCH(LEFT(P1027,1),"C","Ciudad","T","Pueblo","R","Rural","S","Suburbano","U","Urbano",""))</f>
        <v>Pueblo</v>
      </c>
      <c r="T1027" t="str">
        <f t="shared" si="65"/>
        <v>M</v>
      </c>
      <c r="U1027" t="str">
        <f t="shared" si="66"/>
        <v>KY</v>
      </c>
      <c r="V1027" t="str">
        <f t="shared" si="67"/>
        <v>14670</v>
      </c>
    </row>
    <row r="1028" spans="1:22" x14ac:dyDescent="0.35">
      <c r="A1028">
        <v>125325</v>
      </c>
      <c r="B1028" t="s">
        <v>21</v>
      </c>
      <c r="C1028" t="s">
        <v>14</v>
      </c>
      <c r="D1028">
        <v>852</v>
      </c>
      <c r="E1028">
        <v>516</v>
      </c>
      <c r="F1028">
        <v>556</v>
      </c>
      <c r="G1028">
        <v>1</v>
      </c>
      <c r="H1028">
        <v>16206</v>
      </c>
      <c r="I1028">
        <v>4</v>
      </c>
      <c r="J1028">
        <v>46</v>
      </c>
      <c r="K1028">
        <v>540</v>
      </c>
      <c r="L1028">
        <v>535</v>
      </c>
      <c r="M1028">
        <v>14.623478260000001</v>
      </c>
      <c r="N1028">
        <f>IFERROR(VLOOKUP(A1028,vlookup_table!$A:$G,2,FALSE),"")</f>
        <v>13</v>
      </c>
      <c r="O1028">
        <f>IFERROR(VLOOKUP(A1028,vlookup_table!$A:$G,4,FALSE),"")</f>
        <v>1709</v>
      </c>
      <c r="P1028" t="str">
        <f>IFERROR(VLOOKUP(A1028,vlookup_table!$A:$G,5,FALSE),"")</f>
        <v>S1</v>
      </c>
      <c r="Q1028">
        <f>IFERROR(VLOOKUP(A1028,vlookup_table!$A:$G,7,FALSE),"")</f>
        <v>20</v>
      </c>
      <c r="R1028">
        <f t="shared" si="64"/>
        <v>80</v>
      </c>
      <c r="S1028" t="str" cm="1">
        <f t="array" ref="S1028">IF(P1028="","",_xlfn.SWITCH(LEFT(P1028,1),"C","Ciudad","T","Pueblo","R","Rural","S","Suburbano","U","Urbano",""))</f>
        <v>Suburbano</v>
      </c>
      <c r="T1028" t="str">
        <f t="shared" si="65"/>
        <v>M</v>
      </c>
      <c r="U1028" t="str">
        <f t="shared" si="66"/>
        <v>TX</v>
      </c>
      <c r="V1028" t="str">
        <f t="shared" si="67"/>
        <v>16206</v>
      </c>
    </row>
    <row r="1029" spans="1:22" x14ac:dyDescent="0.35">
      <c r="A1029">
        <v>112679</v>
      </c>
      <c r="B1029" t="s">
        <v>31</v>
      </c>
      <c r="C1029" t="s">
        <v>14</v>
      </c>
      <c r="D1029">
        <v>1045</v>
      </c>
      <c r="E1029">
        <v>528</v>
      </c>
      <c r="F1029">
        <v>618</v>
      </c>
      <c r="G1029">
        <v>1</v>
      </c>
      <c r="H1029">
        <v>19402</v>
      </c>
      <c r="I1029">
        <v>3</v>
      </c>
      <c r="J1029">
        <v>48</v>
      </c>
      <c r="K1029">
        <v>538</v>
      </c>
      <c r="L1029">
        <v>604</v>
      </c>
      <c r="M1029">
        <v>15</v>
      </c>
      <c r="N1029">
        <f>IFERROR(VLOOKUP(A1029,vlookup_table!$A:$G,2,FALSE),"")</f>
        <v>1</v>
      </c>
      <c r="O1029">
        <f>IFERROR(VLOOKUP(A1029,vlookup_table!$A:$G,4,FALSE),"")</f>
        <v>4801</v>
      </c>
      <c r="P1029" t="str">
        <f>IFERROR(VLOOKUP(A1029,vlookup_table!$A:$G,5,FALSE),"")</f>
        <v>S1</v>
      </c>
      <c r="Q1029">
        <f>IFERROR(VLOOKUP(A1029,vlookup_table!$A:$G,7,FALSE),"")</f>
        <v>20</v>
      </c>
      <c r="R1029">
        <f t="shared" si="64"/>
        <v>49</v>
      </c>
      <c r="S1029" t="str" cm="1">
        <f t="array" ref="S1029">IF(P1029="","",_xlfn.SWITCH(LEFT(P1029,1),"C","Ciudad","T","Pueblo","R","Rural","S","Suburbano","U","Urbano",""))</f>
        <v>Suburbano</v>
      </c>
      <c r="T1029" t="str">
        <f t="shared" si="65"/>
        <v>M</v>
      </c>
      <c r="U1029" t="str">
        <f t="shared" si="66"/>
        <v>OK</v>
      </c>
      <c r="V1029" t="str">
        <f t="shared" si="67"/>
        <v>19402</v>
      </c>
    </row>
    <row r="1030" spans="1:22" x14ac:dyDescent="0.35">
      <c r="A1030">
        <v>2415</v>
      </c>
      <c r="B1030" t="s">
        <v>22</v>
      </c>
      <c r="C1030" t="s">
        <v>17</v>
      </c>
      <c r="D1030">
        <v>5501</v>
      </c>
      <c r="E1030">
        <v>817</v>
      </c>
      <c r="F1030">
        <v>958</v>
      </c>
      <c r="G1030">
        <v>98</v>
      </c>
      <c r="H1030">
        <v>41734</v>
      </c>
      <c r="I1030">
        <v>33</v>
      </c>
      <c r="J1030">
        <v>36</v>
      </c>
      <c r="K1030">
        <v>924</v>
      </c>
      <c r="L1030">
        <v>870</v>
      </c>
      <c r="M1030">
        <v>17.5</v>
      </c>
      <c r="N1030">
        <f>IFERROR(VLOOKUP(A1030,vlookup_table!$A:$G,2,FALSE),"")</f>
        <v>28</v>
      </c>
      <c r="O1030">
        <f>IFERROR(VLOOKUP(A1030,vlookup_table!$A:$G,4,FALSE),"")</f>
        <v>5501</v>
      </c>
      <c r="P1030" t="str">
        <f>IFERROR(VLOOKUP(A1030,vlookup_table!$A:$G,5,FALSE),"")</f>
        <v>S1</v>
      </c>
      <c r="Q1030">
        <f>IFERROR(VLOOKUP(A1030,vlookup_table!$A:$G,7,FALSE),"")</f>
        <v>25</v>
      </c>
      <c r="R1030">
        <f t="shared" si="64"/>
        <v>42</v>
      </c>
      <c r="S1030" t="str" cm="1">
        <f t="array" ref="S1030">IF(P1030="","",_xlfn.SWITCH(LEFT(P1030,1),"C","Ciudad","T","Pueblo","R","Rural","S","Suburbano","U","Urbano",""))</f>
        <v>Suburbano</v>
      </c>
      <c r="T1030" t="str">
        <f t="shared" si="65"/>
        <v>F</v>
      </c>
      <c r="U1030" t="str">
        <f t="shared" si="66"/>
        <v>CA</v>
      </c>
      <c r="V1030" t="str">
        <f t="shared" si="67"/>
        <v>41734</v>
      </c>
    </row>
    <row r="1031" spans="1:22" x14ac:dyDescent="0.35">
      <c r="A1031">
        <v>166866</v>
      </c>
      <c r="B1031" t="s">
        <v>22</v>
      </c>
      <c r="C1031" t="s">
        <v>17</v>
      </c>
      <c r="D1031">
        <v>3921</v>
      </c>
      <c r="E1031">
        <v>754</v>
      </c>
      <c r="F1031">
        <v>835</v>
      </c>
      <c r="G1031">
        <v>96</v>
      </c>
      <c r="H1031">
        <v>33998</v>
      </c>
      <c r="I1031">
        <v>7</v>
      </c>
      <c r="J1031">
        <v>50</v>
      </c>
      <c r="K1031">
        <v>804</v>
      </c>
      <c r="L1031">
        <v>799</v>
      </c>
      <c r="M1031">
        <v>10</v>
      </c>
      <c r="N1031">
        <f>IFERROR(VLOOKUP(A1031,vlookup_table!$A:$G,2,FALSE),"")</f>
        <v>0</v>
      </c>
      <c r="O1031">
        <f>IFERROR(VLOOKUP(A1031,vlookup_table!$A:$G,4,FALSE),"")</f>
        <v>0</v>
      </c>
      <c r="P1031" t="str">
        <f>IFERROR(VLOOKUP(A1031,vlookup_table!$A:$G,5,FALSE),"")</f>
        <v>S1</v>
      </c>
      <c r="Q1031" t="str">
        <f>IFERROR(VLOOKUP(A1031,vlookup_table!$A:$G,7,FALSE),"")</f>
        <v>12.5</v>
      </c>
      <c r="R1031">
        <f t="shared" si="64"/>
        <v>97</v>
      </c>
      <c r="S1031" t="str" cm="1">
        <f t="array" ref="S1031">IF(P1031="","",_xlfn.SWITCH(LEFT(P1031,1),"C","Ciudad","T","Pueblo","R","Rural","S","Suburbano","U","Urbano",""))</f>
        <v>Suburbano</v>
      </c>
      <c r="T1031" t="str">
        <f t="shared" si="65"/>
        <v>F</v>
      </c>
      <c r="U1031" t="str">
        <f t="shared" si="66"/>
        <v>CA</v>
      </c>
      <c r="V1031" t="str">
        <f t="shared" si="67"/>
        <v>33998</v>
      </c>
    </row>
    <row r="1032" spans="1:22" x14ac:dyDescent="0.35">
      <c r="A1032">
        <v>4211</v>
      </c>
      <c r="B1032" t="s">
        <v>21</v>
      </c>
      <c r="C1032" t="s">
        <v>17</v>
      </c>
      <c r="D1032">
        <v>919</v>
      </c>
      <c r="E1032">
        <v>425</v>
      </c>
      <c r="F1032">
        <v>697</v>
      </c>
      <c r="G1032">
        <v>10</v>
      </c>
      <c r="H1032">
        <v>25784</v>
      </c>
      <c r="I1032">
        <v>4</v>
      </c>
      <c r="J1032">
        <v>63</v>
      </c>
      <c r="K1032">
        <v>562</v>
      </c>
      <c r="L1032">
        <v>558</v>
      </c>
      <c r="M1032">
        <v>17.92307692</v>
      </c>
      <c r="N1032">
        <f>IFERROR(VLOOKUP(A1032,vlookup_table!$A:$G,2,FALSE),"")</f>
        <v>2</v>
      </c>
      <c r="O1032">
        <f>IFERROR(VLOOKUP(A1032,vlookup_table!$A:$G,4,FALSE),"")</f>
        <v>402</v>
      </c>
      <c r="P1032" t="str">
        <f>IFERROR(VLOOKUP(A1032,vlookup_table!$A:$G,5,FALSE),"")</f>
        <v>C1</v>
      </c>
      <c r="Q1032">
        <f>IFERROR(VLOOKUP(A1032,vlookup_table!$A:$G,7,FALSE),"")</f>
        <v>25</v>
      </c>
      <c r="R1032">
        <f t="shared" si="64"/>
        <v>93</v>
      </c>
      <c r="S1032" t="str" cm="1">
        <f t="array" ref="S1032">IF(P1032="","",_xlfn.SWITCH(LEFT(P1032,1),"C","Ciudad","T","Pueblo","R","Rural","S","Suburbano","U","Urbano",""))</f>
        <v>Ciudad</v>
      </c>
      <c r="T1032" t="str">
        <f t="shared" si="65"/>
        <v>F</v>
      </c>
      <c r="U1032" t="str">
        <f t="shared" si="66"/>
        <v>TX</v>
      </c>
      <c r="V1032" t="str">
        <f t="shared" si="67"/>
        <v>25784</v>
      </c>
    </row>
    <row r="1033" spans="1:22" x14ac:dyDescent="0.35">
      <c r="A1033">
        <v>182395</v>
      </c>
      <c r="B1033" t="s">
        <v>40</v>
      </c>
      <c r="C1033" t="s">
        <v>17</v>
      </c>
      <c r="D1033">
        <v>755</v>
      </c>
      <c r="E1033">
        <v>210</v>
      </c>
      <c r="F1033">
        <v>313</v>
      </c>
      <c r="G1033">
        <v>2</v>
      </c>
      <c r="H1033">
        <v>11983</v>
      </c>
      <c r="I1033">
        <v>9</v>
      </c>
      <c r="J1033">
        <v>39</v>
      </c>
      <c r="K1033">
        <v>315</v>
      </c>
      <c r="L1033">
        <v>244</v>
      </c>
      <c r="M1033">
        <v>16.5</v>
      </c>
      <c r="N1033">
        <f>IFERROR(VLOOKUP(A1033,vlookup_table!$A:$G,2,FALSE),"")</f>
        <v>28</v>
      </c>
      <c r="O1033">
        <f>IFERROR(VLOOKUP(A1033,vlookup_table!$A:$G,4,FALSE),"")</f>
        <v>2601</v>
      </c>
      <c r="P1033" t="str">
        <f>IFERROR(VLOOKUP(A1033,vlookup_table!$A:$G,5,FALSE),"")</f>
        <v>C2</v>
      </c>
      <c r="Q1033">
        <f>IFERROR(VLOOKUP(A1033,vlookup_table!$A:$G,7,FALSE),"")</f>
        <v>10</v>
      </c>
      <c r="R1033">
        <f t="shared" si="64"/>
        <v>71</v>
      </c>
      <c r="S1033" t="str" cm="1">
        <f t="array" ref="S1033">IF(P1033="","",_xlfn.SWITCH(LEFT(P1033,1),"C","Ciudad","T","Pueblo","R","Rural","S","Suburbano","U","Urbano",""))</f>
        <v>Ciudad</v>
      </c>
      <c r="T1033" t="str">
        <f t="shared" si="65"/>
        <v>F</v>
      </c>
      <c r="U1033" t="str">
        <f t="shared" si="66"/>
        <v>WA</v>
      </c>
      <c r="V1033" t="str">
        <f t="shared" si="67"/>
        <v>11983</v>
      </c>
    </row>
    <row r="1034" spans="1:22" x14ac:dyDescent="0.35">
      <c r="A1034">
        <v>188178</v>
      </c>
      <c r="B1034" t="s">
        <v>24</v>
      </c>
      <c r="C1034" t="s">
        <v>17</v>
      </c>
      <c r="D1034">
        <v>1383</v>
      </c>
      <c r="E1034">
        <v>410</v>
      </c>
      <c r="F1034">
        <v>562</v>
      </c>
      <c r="G1034">
        <v>14</v>
      </c>
      <c r="H1034">
        <v>22875</v>
      </c>
      <c r="I1034">
        <v>8</v>
      </c>
      <c r="J1034">
        <v>8</v>
      </c>
      <c r="K1034">
        <v>464</v>
      </c>
      <c r="L1034">
        <v>499</v>
      </c>
      <c r="M1034">
        <v>7</v>
      </c>
      <c r="N1034">
        <f>IFERROR(VLOOKUP(A1034,vlookup_table!$A:$G,2,FALSE),"")</f>
        <v>28</v>
      </c>
      <c r="O1034">
        <f>IFERROR(VLOOKUP(A1034,vlookup_table!$A:$G,4,FALSE),"")</f>
        <v>0</v>
      </c>
      <c r="P1034" t="str">
        <f>IFERROR(VLOOKUP(A1034,vlookup_table!$A:$G,5,FALSE),"")</f>
        <v>S2</v>
      </c>
      <c r="Q1034">
        <f>IFERROR(VLOOKUP(A1034,vlookup_table!$A:$G,7,FALSE),"")</f>
        <v>8</v>
      </c>
      <c r="R1034">
        <f t="shared" si="64"/>
        <v>97</v>
      </c>
      <c r="S1034" t="str" cm="1">
        <f t="array" ref="S1034">IF(P1034="","",_xlfn.SWITCH(LEFT(P1034,1),"C","Ciudad","T","Pueblo","R","Rural","S","Suburbano","U","Urbano",""))</f>
        <v>Suburbano</v>
      </c>
      <c r="T1034" t="str">
        <f t="shared" si="65"/>
        <v>F</v>
      </c>
      <c r="U1034" t="str">
        <f t="shared" si="66"/>
        <v>NV</v>
      </c>
      <c r="V1034" t="str">
        <f t="shared" si="67"/>
        <v>22875</v>
      </c>
    </row>
    <row r="1035" spans="1:22" x14ac:dyDescent="0.35">
      <c r="A1035">
        <v>147835</v>
      </c>
      <c r="B1035" t="s">
        <v>22</v>
      </c>
      <c r="C1035" t="s">
        <v>17</v>
      </c>
      <c r="D1035">
        <v>3694</v>
      </c>
      <c r="E1035">
        <v>421</v>
      </c>
      <c r="F1035">
        <v>666</v>
      </c>
      <c r="G1035">
        <v>97</v>
      </c>
      <c r="H1035">
        <v>28021</v>
      </c>
      <c r="I1035">
        <v>25</v>
      </c>
      <c r="J1035">
        <v>41</v>
      </c>
      <c r="K1035">
        <v>611</v>
      </c>
      <c r="L1035">
        <v>601</v>
      </c>
      <c r="M1035">
        <v>32.222222219999999</v>
      </c>
      <c r="N1035">
        <f>IFERROR(VLOOKUP(A1035,vlookup_table!$A:$G,2,FALSE),"")</f>
        <v>0</v>
      </c>
      <c r="O1035">
        <f>IFERROR(VLOOKUP(A1035,vlookup_table!$A:$G,4,FALSE),"")</f>
        <v>0</v>
      </c>
      <c r="P1035" t="str">
        <f>IFERROR(VLOOKUP(A1035,vlookup_table!$A:$G,5,FALSE),"")</f>
        <v>C1</v>
      </c>
      <c r="Q1035">
        <f>IFERROR(VLOOKUP(A1035,vlookup_table!$A:$G,7,FALSE),"")</f>
        <v>20</v>
      </c>
      <c r="R1035">
        <f t="shared" si="64"/>
        <v>97</v>
      </c>
      <c r="S1035" t="str" cm="1">
        <f t="array" ref="S1035">IF(P1035="","",_xlfn.SWITCH(LEFT(P1035,1),"C","Ciudad","T","Pueblo","R","Rural","S","Suburbano","U","Urbano",""))</f>
        <v>Ciudad</v>
      </c>
      <c r="T1035" t="str">
        <f t="shared" si="65"/>
        <v>F</v>
      </c>
      <c r="U1035" t="str">
        <f t="shared" si="66"/>
        <v>CA</v>
      </c>
      <c r="V1035" t="str">
        <f t="shared" si="67"/>
        <v>28021</v>
      </c>
    </row>
    <row r="1036" spans="1:22" x14ac:dyDescent="0.35">
      <c r="A1036">
        <v>5532</v>
      </c>
      <c r="B1036" t="s">
        <v>69</v>
      </c>
      <c r="C1036" t="s">
        <v>14</v>
      </c>
      <c r="D1036">
        <v>1690</v>
      </c>
      <c r="E1036">
        <v>598</v>
      </c>
      <c r="F1036">
        <v>700</v>
      </c>
      <c r="G1036">
        <v>29</v>
      </c>
      <c r="H1036">
        <v>24959</v>
      </c>
      <c r="I1036">
        <v>4</v>
      </c>
      <c r="J1036">
        <v>30</v>
      </c>
      <c r="K1036">
        <v>655</v>
      </c>
      <c r="L1036">
        <v>653</v>
      </c>
      <c r="M1036">
        <v>9.9285714289999998</v>
      </c>
      <c r="N1036">
        <f>IFERROR(VLOOKUP(A1036,vlookup_table!$A:$G,2,FALSE),"")</f>
        <v>0</v>
      </c>
      <c r="O1036">
        <f>IFERROR(VLOOKUP(A1036,vlookup_table!$A:$G,4,FALSE),"")</f>
        <v>2104</v>
      </c>
      <c r="P1036" t="str">
        <f>IFERROR(VLOOKUP(A1036,vlookup_table!$A:$G,5,FALSE),"")</f>
        <v>T2</v>
      </c>
      <c r="Q1036">
        <f>IFERROR(VLOOKUP(A1036,vlookup_table!$A:$G,7,FALSE),"")</f>
        <v>15</v>
      </c>
      <c r="R1036">
        <f t="shared" si="64"/>
        <v>76</v>
      </c>
      <c r="S1036" t="str" cm="1">
        <f t="array" ref="S1036">IF(P1036="","",_xlfn.SWITCH(LEFT(P1036,1),"C","Ciudad","T","Pueblo","R","Rural","S","Suburbano","U","Urbano",""))</f>
        <v>Pueblo</v>
      </c>
      <c r="T1036" t="str">
        <f t="shared" si="65"/>
        <v>M</v>
      </c>
      <c r="U1036" t="str">
        <f t="shared" si="66"/>
        <v>MD</v>
      </c>
      <c r="V1036" t="str">
        <f t="shared" si="67"/>
        <v>24959</v>
      </c>
    </row>
    <row r="1037" spans="1:22" x14ac:dyDescent="0.35">
      <c r="A1037">
        <v>128857</v>
      </c>
      <c r="B1037" t="s">
        <v>21</v>
      </c>
      <c r="C1037" t="s">
        <v>14</v>
      </c>
      <c r="D1037">
        <v>438</v>
      </c>
      <c r="E1037">
        <v>213</v>
      </c>
      <c r="F1037">
        <v>264</v>
      </c>
      <c r="G1037">
        <v>0</v>
      </c>
      <c r="H1037">
        <v>7722</v>
      </c>
      <c r="I1037">
        <v>23</v>
      </c>
      <c r="J1037">
        <v>47</v>
      </c>
      <c r="K1037">
        <v>213</v>
      </c>
      <c r="L1037">
        <v>265</v>
      </c>
      <c r="M1037">
        <v>26</v>
      </c>
      <c r="N1037">
        <f>IFERROR(VLOOKUP(A1037,vlookup_table!$A:$G,2,FALSE),"")</f>
        <v>1</v>
      </c>
      <c r="O1037">
        <f>IFERROR(VLOOKUP(A1037,vlookup_table!$A:$G,4,FALSE),"")</f>
        <v>4801</v>
      </c>
      <c r="P1037" t="str">
        <f>IFERROR(VLOOKUP(A1037,vlookup_table!$A:$G,5,FALSE),"")</f>
        <v>C3</v>
      </c>
      <c r="Q1037">
        <f>IFERROR(VLOOKUP(A1037,vlookup_table!$A:$G,7,FALSE),"")</f>
        <v>15</v>
      </c>
      <c r="R1037">
        <f t="shared" si="64"/>
        <v>49</v>
      </c>
      <c r="S1037" t="str" cm="1">
        <f t="array" ref="S1037">IF(P1037="","",_xlfn.SWITCH(LEFT(P1037,1),"C","Ciudad","T","Pueblo","R","Rural","S","Suburbano","U","Urbano",""))</f>
        <v>Ciudad</v>
      </c>
      <c r="T1037" t="str">
        <f t="shared" si="65"/>
        <v>M</v>
      </c>
      <c r="U1037" t="str">
        <f t="shared" si="66"/>
        <v>TX</v>
      </c>
      <c r="V1037" t="str">
        <f t="shared" si="67"/>
        <v>7722</v>
      </c>
    </row>
    <row r="1038" spans="1:22" x14ac:dyDescent="0.35">
      <c r="A1038">
        <v>40058</v>
      </c>
      <c r="B1038" t="s">
        <v>13</v>
      </c>
      <c r="C1038" t="s">
        <v>17</v>
      </c>
      <c r="D1038">
        <v>1187</v>
      </c>
      <c r="E1038">
        <v>400</v>
      </c>
      <c r="F1038">
        <v>469</v>
      </c>
      <c r="G1038">
        <v>12</v>
      </c>
      <c r="H1038">
        <v>21608</v>
      </c>
      <c r="I1038">
        <v>12</v>
      </c>
      <c r="J1038">
        <v>11</v>
      </c>
      <c r="K1038">
        <v>448</v>
      </c>
      <c r="L1038">
        <v>438</v>
      </c>
      <c r="M1038">
        <v>11.66666667</v>
      </c>
      <c r="N1038">
        <f>IFERROR(VLOOKUP(A1038,vlookup_table!$A:$G,2,FALSE),"")</f>
        <v>2</v>
      </c>
      <c r="O1038">
        <f>IFERROR(VLOOKUP(A1038,vlookup_table!$A:$G,4,FALSE),"")</f>
        <v>1007</v>
      </c>
      <c r="P1038" t="str">
        <f>IFERROR(VLOOKUP(A1038,vlookup_table!$A:$G,5,FALSE),"")</f>
        <v>C2</v>
      </c>
      <c r="Q1038">
        <f>IFERROR(VLOOKUP(A1038,vlookup_table!$A:$G,7,FALSE),"")</f>
        <v>25</v>
      </c>
      <c r="R1038">
        <f t="shared" si="64"/>
        <v>87</v>
      </c>
      <c r="S1038" t="str" cm="1">
        <f t="array" ref="S1038">IF(P1038="","",_xlfn.SWITCH(LEFT(P1038,1),"C","Ciudad","T","Pueblo","R","Rural","S","Suburbano","U","Urbano",""))</f>
        <v>Ciudad</v>
      </c>
      <c r="T1038" t="str">
        <f t="shared" si="65"/>
        <v>F</v>
      </c>
      <c r="U1038" t="str">
        <f t="shared" si="66"/>
        <v>FL</v>
      </c>
      <c r="V1038" t="str">
        <f t="shared" si="67"/>
        <v>21608</v>
      </c>
    </row>
    <row r="1039" spans="1:22" x14ac:dyDescent="0.35">
      <c r="A1039">
        <v>179377</v>
      </c>
      <c r="B1039" t="s">
        <v>40</v>
      </c>
      <c r="D1039">
        <v>1617</v>
      </c>
      <c r="E1039">
        <v>398</v>
      </c>
      <c r="F1039">
        <v>490</v>
      </c>
      <c r="G1039">
        <v>29</v>
      </c>
      <c r="H1039">
        <v>14123</v>
      </c>
      <c r="I1039">
        <v>4</v>
      </c>
      <c r="J1039">
        <v>59</v>
      </c>
      <c r="K1039">
        <v>414</v>
      </c>
      <c r="L1039">
        <v>457</v>
      </c>
      <c r="M1039">
        <v>7.5</v>
      </c>
      <c r="N1039">
        <f>IFERROR(VLOOKUP(A1039,vlookup_table!$A:$G,2,FALSE),"")</f>
        <v>0</v>
      </c>
      <c r="O1039">
        <f>IFERROR(VLOOKUP(A1039,vlookup_table!$A:$G,4,FALSE),"")</f>
        <v>0</v>
      </c>
      <c r="P1039">
        <f>IFERROR(VLOOKUP(A1039,vlookup_table!$A:$G,5,FALSE),"")</f>
        <v>0</v>
      </c>
      <c r="Q1039">
        <f>IFERROR(VLOOKUP(A1039,vlookup_table!$A:$G,7,FALSE),"")</f>
        <v>10</v>
      </c>
      <c r="R1039">
        <f t="shared" si="64"/>
        <v>97</v>
      </c>
      <c r="S1039" t="str" cm="1">
        <f t="array" ref="S1039">IF(P1039="","",_xlfn.SWITCH(LEFT(P1039,1),"C","Ciudad","T","Pueblo","R","Rural","S","Suburbano","U","Urbano",""))</f>
        <v/>
      </c>
      <c r="T1039" t="str">
        <f t="shared" si="65"/>
        <v/>
      </c>
      <c r="U1039" t="str">
        <f t="shared" si="66"/>
        <v>WA</v>
      </c>
      <c r="V1039" t="str">
        <f t="shared" si="67"/>
        <v>14123</v>
      </c>
    </row>
    <row r="1040" spans="1:22" x14ac:dyDescent="0.35">
      <c r="A1040">
        <v>166207</v>
      </c>
      <c r="B1040" t="s">
        <v>22</v>
      </c>
      <c r="C1040" t="s">
        <v>14</v>
      </c>
      <c r="D1040">
        <v>1367</v>
      </c>
      <c r="E1040">
        <v>342</v>
      </c>
      <c r="F1040">
        <v>355</v>
      </c>
      <c r="G1040">
        <v>4</v>
      </c>
      <c r="H1040">
        <v>14197</v>
      </c>
      <c r="I1040">
        <v>2</v>
      </c>
      <c r="J1040">
        <v>57</v>
      </c>
      <c r="K1040">
        <v>329</v>
      </c>
      <c r="L1040">
        <v>359</v>
      </c>
      <c r="M1040">
        <v>6.75</v>
      </c>
      <c r="N1040">
        <f>IFERROR(VLOOKUP(A1040,vlookup_table!$A:$G,2,FALSE),"")</f>
        <v>1</v>
      </c>
      <c r="O1040">
        <f>IFERROR(VLOOKUP(A1040,vlookup_table!$A:$G,4,FALSE),"")</f>
        <v>0</v>
      </c>
      <c r="P1040" t="str">
        <f>IFERROR(VLOOKUP(A1040,vlookup_table!$A:$G,5,FALSE),"")</f>
        <v>U2</v>
      </c>
      <c r="Q1040">
        <f>IFERROR(VLOOKUP(A1040,vlookup_table!$A:$G,7,FALSE),"")</f>
        <v>9</v>
      </c>
      <c r="R1040">
        <f t="shared" si="64"/>
        <v>97</v>
      </c>
      <c r="S1040" t="str" cm="1">
        <f t="array" ref="S1040">IF(P1040="","",_xlfn.SWITCH(LEFT(P1040,1),"C","Ciudad","T","Pueblo","R","Rural","S","Suburbano","U","Urbano",""))</f>
        <v>Urbano</v>
      </c>
      <c r="T1040" t="str">
        <f t="shared" si="65"/>
        <v>M</v>
      </c>
      <c r="U1040" t="str">
        <f t="shared" si="66"/>
        <v>CA</v>
      </c>
      <c r="V1040" t="str">
        <f t="shared" si="67"/>
        <v>14197</v>
      </c>
    </row>
    <row r="1041" spans="1:22" x14ac:dyDescent="0.35">
      <c r="A1041">
        <v>124227</v>
      </c>
      <c r="B1041" t="s">
        <v>21</v>
      </c>
      <c r="C1041" t="s">
        <v>30</v>
      </c>
      <c r="D1041">
        <v>267</v>
      </c>
      <c r="E1041">
        <v>121</v>
      </c>
      <c r="F1041">
        <v>94</v>
      </c>
      <c r="G1041">
        <v>0</v>
      </c>
      <c r="H1041">
        <v>4567</v>
      </c>
      <c r="I1041">
        <v>0</v>
      </c>
      <c r="J1041">
        <v>69</v>
      </c>
      <c r="K1041">
        <v>72</v>
      </c>
      <c r="L1041">
        <v>169</v>
      </c>
      <c r="M1041">
        <v>13.875</v>
      </c>
      <c r="N1041">
        <f>IFERROR(VLOOKUP(A1041,vlookup_table!$A:$G,2,FALSE),"")</f>
        <v>0</v>
      </c>
      <c r="O1041">
        <f>IFERROR(VLOOKUP(A1041,vlookup_table!$A:$G,4,FALSE),"")</f>
        <v>0</v>
      </c>
      <c r="P1041" t="str">
        <f>IFERROR(VLOOKUP(A1041,vlookup_table!$A:$G,5,FALSE),"")</f>
        <v>C3</v>
      </c>
      <c r="Q1041">
        <f>IFERROR(VLOOKUP(A1041,vlookup_table!$A:$G,7,FALSE),"")</f>
        <v>25</v>
      </c>
      <c r="R1041">
        <f t="shared" si="64"/>
        <v>97</v>
      </c>
      <c r="S1041" t="str" cm="1">
        <f t="array" ref="S1041">IF(P1041="","",_xlfn.SWITCH(LEFT(P1041,1),"C","Ciudad","T","Pueblo","R","Rural","S","Suburbano","U","Urbano",""))</f>
        <v>Ciudad</v>
      </c>
      <c r="T1041" t="str">
        <f t="shared" si="65"/>
        <v>U</v>
      </c>
      <c r="U1041" t="str">
        <f t="shared" si="66"/>
        <v>TX</v>
      </c>
      <c r="V1041" t="str">
        <f t="shared" si="67"/>
        <v>4567</v>
      </c>
    </row>
    <row r="1042" spans="1:22" x14ac:dyDescent="0.35">
      <c r="A1042">
        <v>7173</v>
      </c>
      <c r="B1042" t="s">
        <v>53</v>
      </c>
      <c r="C1042" t="s">
        <v>17</v>
      </c>
      <c r="D1042">
        <v>854</v>
      </c>
      <c r="E1042">
        <v>321</v>
      </c>
      <c r="F1042">
        <v>427</v>
      </c>
      <c r="G1042">
        <v>0</v>
      </c>
      <c r="H1042">
        <v>16171</v>
      </c>
      <c r="I1042">
        <v>0</v>
      </c>
      <c r="J1042">
        <v>58</v>
      </c>
      <c r="K1042">
        <v>389</v>
      </c>
      <c r="L1042">
        <v>372</v>
      </c>
      <c r="M1042">
        <v>17.733333330000001</v>
      </c>
      <c r="N1042">
        <f>IFERROR(VLOOKUP(A1042,vlookup_table!$A:$G,2,FALSE),"")</f>
        <v>2</v>
      </c>
      <c r="O1042">
        <f>IFERROR(VLOOKUP(A1042,vlookup_table!$A:$G,4,FALSE),"")</f>
        <v>3008</v>
      </c>
      <c r="P1042" t="str">
        <f>IFERROR(VLOOKUP(A1042,vlookup_table!$A:$G,5,FALSE),"")</f>
        <v>S1</v>
      </c>
      <c r="Q1042">
        <f>IFERROR(VLOOKUP(A1042,vlookup_table!$A:$G,7,FALSE),"")</f>
        <v>32</v>
      </c>
      <c r="R1042">
        <f t="shared" si="64"/>
        <v>67</v>
      </c>
      <c r="S1042" t="str" cm="1">
        <f t="array" ref="S1042">IF(P1042="","",_xlfn.SWITCH(LEFT(P1042,1),"C","Ciudad","T","Pueblo","R","Rural","S","Suburbano","U","Urbano",""))</f>
        <v>Suburbano</v>
      </c>
      <c r="T1042" t="str">
        <f t="shared" si="65"/>
        <v>F</v>
      </c>
      <c r="U1042" t="str">
        <f t="shared" si="66"/>
        <v>TN</v>
      </c>
      <c r="V1042" t="str">
        <f t="shared" si="67"/>
        <v>16171</v>
      </c>
    </row>
    <row r="1043" spans="1:22" x14ac:dyDescent="0.35">
      <c r="A1043">
        <v>85152</v>
      </c>
      <c r="B1043" t="s">
        <v>56</v>
      </c>
      <c r="C1043" t="s">
        <v>14</v>
      </c>
      <c r="D1043">
        <v>493</v>
      </c>
      <c r="E1043">
        <v>244</v>
      </c>
      <c r="F1043">
        <v>395</v>
      </c>
      <c r="G1043">
        <v>1</v>
      </c>
      <c r="H1043">
        <v>12517</v>
      </c>
      <c r="I1043">
        <v>1</v>
      </c>
      <c r="J1043">
        <v>87</v>
      </c>
      <c r="K1043">
        <v>311</v>
      </c>
      <c r="L1043">
        <v>314</v>
      </c>
      <c r="M1043">
        <v>12.5</v>
      </c>
      <c r="N1043">
        <f>IFERROR(VLOOKUP(A1043,vlookup_table!$A:$G,2,FALSE),"")</f>
        <v>2</v>
      </c>
      <c r="O1043">
        <f>IFERROR(VLOOKUP(A1043,vlookup_table!$A:$G,4,FALSE),"")</f>
        <v>0</v>
      </c>
      <c r="P1043" t="str">
        <f>IFERROR(VLOOKUP(A1043,vlookup_table!$A:$G,5,FALSE),"")</f>
        <v>R3</v>
      </c>
      <c r="Q1043">
        <f>IFERROR(VLOOKUP(A1043,vlookup_table!$A:$G,7,FALSE),"")</f>
        <v>10</v>
      </c>
      <c r="R1043">
        <f t="shared" si="64"/>
        <v>97</v>
      </c>
      <c r="S1043" t="str" cm="1">
        <f t="array" ref="S1043">IF(P1043="","",_xlfn.SWITCH(LEFT(P1043,1),"C","Ciudad","T","Pueblo","R","Rural","S","Suburbano","U","Urbano",""))</f>
        <v>Rural</v>
      </c>
      <c r="T1043" t="str">
        <f t="shared" si="65"/>
        <v>M</v>
      </c>
      <c r="U1043" t="str">
        <f t="shared" si="66"/>
        <v>MN</v>
      </c>
      <c r="V1043" t="str">
        <f t="shared" si="67"/>
        <v>12517</v>
      </c>
    </row>
    <row r="1044" spans="1:22" x14ac:dyDescent="0.35">
      <c r="A1044">
        <v>32807</v>
      </c>
      <c r="B1044" t="s">
        <v>13</v>
      </c>
      <c r="C1044" t="s">
        <v>14</v>
      </c>
      <c r="D1044">
        <v>700</v>
      </c>
      <c r="E1044">
        <v>327</v>
      </c>
      <c r="F1044">
        <v>375</v>
      </c>
      <c r="G1044">
        <v>0</v>
      </c>
      <c r="H1044">
        <v>11551</v>
      </c>
      <c r="I1044">
        <v>9</v>
      </c>
      <c r="J1044">
        <v>44</v>
      </c>
      <c r="K1044">
        <v>360</v>
      </c>
      <c r="L1044">
        <v>355</v>
      </c>
      <c r="M1044">
        <v>5.4444444440000002</v>
      </c>
      <c r="N1044">
        <f>IFERROR(VLOOKUP(A1044,vlookup_table!$A:$G,2,FALSE),"")</f>
        <v>1002</v>
      </c>
      <c r="O1044">
        <f>IFERROR(VLOOKUP(A1044,vlookup_table!$A:$G,4,FALSE),"")</f>
        <v>3301</v>
      </c>
      <c r="P1044" t="str">
        <f>IFERROR(VLOOKUP(A1044,vlookup_table!$A:$G,5,FALSE),"")</f>
        <v>S2</v>
      </c>
      <c r="Q1044">
        <f>IFERROR(VLOOKUP(A1044,vlookup_table!$A:$G,7,FALSE),"")</f>
        <v>5</v>
      </c>
      <c r="R1044">
        <f t="shared" si="64"/>
        <v>64</v>
      </c>
      <c r="S1044" t="str" cm="1">
        <f t="array" ref="S1044">IF(P1044="","",_xlfn.SWITCH(LEFT(P1044,1),"C","Ciudad","T","Pueblo","R","Rural","S","Suburbano","U","Urbano",""))</f>
        <v>Suburbano</v>
      </c>
      <c r="T1044" t="str">
        <f t="shared" si="65"/>
        <v>M</v>
      </c>
      <c r="U1044" t="str">
        <f t="shared" si="66"/>
        <v>FL</v>
      </c>
      <c r="V1044" t="str">
        <f t="shared" si="67"/>
        <v>11551</v>
      </c>
    </row>
    <row r="1045" spans="1:22" x14ac:dyDescent="0.35">
      <c r="A1045">
        <v>268</v>
      </c>
      <c r="B1045" t="s">
        <v>13</v>
      </c>
      <c r="C1045" t="s">
        <v>17</v>
      </c>
      <c r="D1045">
        <v>1765</v>
      </c>
      <c r="E1045">
        <v>327</v>
      </c>
      <c r="F1045">
        <v>562</v>
      </c>
      <c r="G1045">
        <v>44</v>
      </c>
      <c r="H1045">
        <v>27674</v>
      </c>
      <c r="I1045">
        <v>14</v>
      </c>
      <c r="J1045">
        <v>8</v>
      </c>
      <c r="K1045">
        <v>465</v>
      </c>
      <c r="L1045">
        <v>442</v>
      </c>
      <c r="M1045">
        <v>22.38095238</v>
      </c>
      <c r="N1045">
        <f>IFERROR(VLOOKUP(A1045,vlookup_table!$A:$G,2,FALSE),"")</f>
        <v>0</v>
      </c>
      <c r="O1045">
        <f>IFERROR(VLOOKUP(A1045,vlookup_table!$A:$G,4,FALSE),"")</f>
        <v>607</v>
      </c>
      <c r="P1045" t="str">
        <f>IFERROR(VLOOKUP(A1045,vlookup_table!$A:$G,5,FALSE),"")</f>
        <v>C1</v>
      </c>
      <c r="Q1045">
        <f>IFERROR(VLOOKUP(A1045,vlookup_table!$A:$G,7,FALSE),"")</f>
        <v>33</v>
      </c>
      <c r="R1045">
        <f t="shared" si="64"/>
        <v>91</v>
      </c>
      <c r="S1045" t="str" cm="1">
        <f t="array" ref="S1045">IF(P1045="","",_xlfn.SWITCH(LEFT(P1045,1),"C","Ciudad","T","Pueblo","R","Rural","S","Suburbano","U","Urbano",""))</f>
        <v>Ciudad</v>
      </c>
      <c r="T1045" t="str">
        <f t="shared" si="65"/>
        <v>F</v>
      </c>
      <c r="U1045" t="str">
        <f t="shared" si="66"/>
        <v>FL</v>
      </c>
      <c r="V1045" t="str">
        <f t="shared" si="67"/>
        <v>27674</v>
      </c>
    </row>
    <row r="1046" spans="1:22" x14ac:dyDescent="0.35">
      <c r="A1046">
        <v>109514</v>
      </c>
      <c r="B1046" t="s">
        <v>49</v>
      </c>
      <c r="C1046" t="s">
        <v>14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5.6666666670000003</v>
      </c>
      <c r="N1046">
        <f>IFERROR(VLOOKUP(A1046,vlookup_table!$A:$G,2,FALSE),"")</f>
        <v>0</v>
      </c>
      <c r="O1046">
        <f>IFERROR(VLOOKUP(A1046,vlookup_table!$A:$G,4,FALSE),"")</f>
        <v>3601</v>
      </c>
      <c r="P1046" t="str">
        <f>IFERROR(VLOOKUP(A1046,vlookup_table!$A:$G,5,FALSE),"")</f>
        <v>T2</v>
      </c>
      <c r="Q1046">
        <f>IFERROR(VLOOKUP(A1046,vlookup_table!$A:$G,7,FALSE),"")</f>
        <v>6</v>
      </c>
      <c r="R1046">
        <f t="shared" si="64"/>
        <v>61</v>
      </c>
      <c r="S1046" t="str" cm="1">
        <f t="array" ref="S1046">IF(P1046="","",_xlfn.SWITCH(LEFT(P1046,1),"C","Ciudad","T","Pueblo","R","Rural","S","Suburbano","U","Urbano",""))</f>
        <v>Pueblo</v>
      </c>
      <c r="T1046" t="str">
        <f t="shared" si="65"/>
        <v>M</v>
      </c>
      <c r="U1046" t="str">
        <f t="shared" si="66"/>
        <v>LA</v>
      </c>
      <c r="V1046" t="str">
        <f t="shared" si="67"/>
        <v>0</v>
      </c>
    </row>
    <row r="1047" spans="1:22" x14ac:dyDescent="0.35">
      <c r="A1047">
        <v>181644</v>
      </c>
      <c r="B1047" t="s">
        <v>40</v>
      </c>
      <c r="C1047" t="s">
        <v>17</v>
      </c>
      <c r="D1047">
        <v>929</v>
      </c>
      <c r="E1047">
        <v>327</v>
      </c>
      <c r="F1047">
        <v>352</v>
      </c>
      <c r="G1047">
        <v>8</v>
      </c>
      <c r="H1047">
        <v>12995</v>
      </c>
      <c r="I1047">
        <v>5</v>
      </c>
      <c r="J1047">
        <v>47</v>
      </c>
      <c r="K1047">
        <v>369</v>
      </c>
      <c r="L1047">
        <v>314</v>
      </c>
      <c r="M1047">
        <v>8.5</v>
      </c>
      <c r="N1047">
        <f>IFERROR(VLOOKUP(A1047,vlookup_table!$A:$G,2,FALSE),"")</f>
        <v>0</v>
      </c>
      <c r="O1047">
        <f>IFERROR(VLOOKUP(A1047,vlookup_table!$A:$G,4,FALSE),"")</f>
        <v>5707</v>
      </c>
      <c r="P1047" t="str">
        <f>IFERROR(VLOOKUP(A1047,vlookup_table!$A:$G,5,FALSE),"")</f>
        <v>C3</v>
      </c>
      <c r="Q1047">
        <f>IFERROR(VLOOKUP(A1047,vlookup_table!$A:$G,7,FALSE),"")</f>
        <v>12</v>
      </c>
      <c r="R1047">
        <f t="shared" si="64"/>
        <v>40</v>
      </c>
      <c r="S1047" t="str" cm="1">
        <f t="array" ref="S1047">IF(P1047="","",_xlfn.SWITCH(LEFT(P1047,1),"C","Ciudad","T","Pueblo","R","Rural","S","Suburbano","U","Urbano",""))</f>
        <v>Ciudad</v>
      </c>
      <c r="T1047" t="str">
        <f t="shared" si="65"/>
        <v>F</v>
      </c>
      <c r="U1047" t="str">
        <f t="shared" si="66"/>
        <v>WA</v>
      </c>
      <c r="V1047" t="str">
        <f t="shared" si="67"/>
        <v>12995</v>
      </c>
    </row>
    <row r="1048" spans="1:22" x14ac:dyDescent="0.35">
      <c r="A1048">
        <v>62585</v>
      </c>
      <c r="B1048" t="s">
        <v>18</v>
      </c>
      <c r="C1048" t="s">
        <v>65</v>
      </c>
      <c r="D1048">
        <v>581</v>
      </c>
      <c r="E1048">
        <v>231</v>
      </c>
      <c r="F1048">
        <v>332</v>
      </c>
      <c r="G1048">
        <v>1</v>
      </c>
      <c r="H1048">
        <v>11794</v>
      </c>
      <c r="I1048">
        <v>0</v>
      </c>
      <c r="J1048">
        <v>90</v>
      </c>
      <c r="K1048">
        <v>267</v>
      </c>
      <c r="L1048">
        <v>288</v>
      </c>
      <c r="M1048">
        <v>14</v>
      </c>
      <c r="N1048">
        <f>IFERROR(VLOOKUP(A1048,vlookup_table!$A:$G,2,FALSE),"")</f>
        <v>0</v>
      </c>
      <c r="O1048">
        <f>IFERROR(VLOOKUP(A1048,vlookup_table!$A:$G,4,FALSE),"")</f>
        <v>5001</v>
      </c>
      <c r="P1048" t="str">
        <f>IFERROR(VLOOKUP(A1048,vlookup_table!$A:$G,5,FALSE),"")</f>
        <v>C3</v>
      </c>
      <c r="Q1048">
        <f>IFERROR(VLOOKUP(A1048,vlookup_table!$A:$G,7,FALSE),"")</f>
        <v>25</v>
      </c>
      <c r="R1048">
        <f t="shared" si="64"/>
        <v>47</v>
      </c>
      <c r="S1048" t="str" cm="1">
        <f t="array" ref="S1048">IF(P1048="","",_xlfn.SWITCH(LEFT(P1048,1),"C","Ciudad","T","Pueblo","R","Rural","S","Suburbano","U","Urbano",""))</f>
        <v>Ciudad</v>
      </c>
      <c r="T1048" t="str">
        <f t="shared" si="65"/>
        <v>F</v>
      </c>
      <c r="U1048" t="str">
        <f t="shared" si="66"/>
        <v>NC</v>
      </c>
      <c r="V1048" t="str">
        <f t="shared" si="67"/>
        <v>11794</v>
      </c>
    </row>
    <row r="1049" spans="1:22" x14ac:dyDescent="0.35">
      <c r="A1049">
        <v>163354</v>
      </c>
      <c r="B1049" t="s">
        <v>22</v>
      </c>
      <c r="C1049" t="s">
        <v>17</v>
      </c>
      <c r="D1049">
        <v>4313</v>
      </c>
      <c r="E1049">
        <v>748</v>
      </c>
      <c r="F1049">
        <v>811</v>
      </c>
      <c r="G1049">
        <v>98</v>
      </c>
      <c r="H1049">
        <v>27850</v>
      </c>
      <c r="I1049">
        <v>16</v>
      </c>
      <c r="J1049">
        <v>54</v>
      </c>
      <c r="K1049">
        <v>783</v>
      </c>
      <c r="L1049">
        <v>752</v>
      </c>
      <c r="M1049">
        <v>11.85714286</v>
      </c>
      <c r="N1049">
        <f>IFERROR(VLOOKUP(A1049,vlookup_table!$A:$G,2,FALSE),"")</f>
        <v>0</v>
      </c>
      <c r="O1049">
        <f>IFERROR(VLOOKUP(A1049,vlookup_table!$A:$G,4,FALSE),"")</f>
        <v>604</v>
      </c>
      <c r="P1049" t="str">
        <f>IFERROR(VLOOKUP(A1049,vlookup_table!$A:$G,5,FALSE),"")</f>
        <v>U1</v>
      </c>
      <c r="Q1049">
        <f>IFERROR(VLOOKUP(A1049,vlookup_table!$A:$G,7,FALSE),"")</f>
        <v>10</v>
      </c>
      <c r="R1049">
        <f t="shared" si="64"/>
        <v>91</v>
      </c>
      <c r="S1049" t="str" cm="1">
        <f t="array" ref="S1049">IF(P1049="","",_xlfn.SWITCH(LEFT(P1049,1),"C","Ciudad","T","Pueblo","R","Rural","S","Suburbano","U","Urbano",""))</f>
        <v>Urbano</v>
      </c>
      <c r="T1049" t="str">
        <f t="shared" si="65"/>
        <v>F</v>
      </c>
      <c r="U1049" t="str">
        <f t="shared" si="66"/>
        <v>CA</v>
      </c>
      <c r="V1049" t="str">
        <f t="shared" si="67"/>
        <v>27850</v>
      </c>
    </row>
    <row r="1050" spans="1:22" x14ac:dyDescent="0.35">
      <c r="A1050">
        <v>98672</v>
      </c>
      <c r="B1050" t="s">
        <v>16</v>
      </c>
      <c r="C1050" t="s">
        <v>14</v>
      </c>
      <c r="D1050">
        <v>470</v>
      </c>
      <c r="E1050">
        <v>274</v>
      </c>
      <c r="F1050">
        <v>337</v>
      </c>
      <c r="G1050">
        <v>0</v>
      </c>
      <c r="H1050">
        <v>11192</v>
      </c>
      <c r="I1050">
        <v>1</v>
      </c>
      <c r="J1050">
        <v>91</v>
      </c>
      <c r="K1050">
        <v>313</v>
      </c>
      <c r="L1050">
        <v>282</v>
      </c>
      <c r="M1050">
        <v>4.2</v>
      </c>
      <c r="N1050">
        <f>IFERROR(VLOOKUP(A1050,vlookup_table!$A:$G,2,FALSE),"")</f>
        <v>0</v>
      </c>
      <c r="O1050">
        <f>IFERROR(VLOOKUP(A1050,vlookup_table!$A:$G,4,FALSE),"")</f>
        <v>6506</v>
      </c>
      <c r="P1050" t="str">
        <f>IFERROR(VLOOKUP(A1050,vlookup_table!$A:$G,5,FALSE),"")</f>
        <v>C3</v>
      </c>
      <c r="Q1050">
        <f>IFERROR(VLOOKUP(A1050,vlookup_table!$A:$G,7,FALSE),"")</f>
        <v>5</v>
      </c>
      <c r="R1050">
        <f t="shared" si="64"/>
        <v>32</v>
      </c>
      <c r="S1050" t="str" cm="1">
        <f t="array" ref="S1050">IF(P1050="","",_xlfn.SWITCH(LEFT(P1050,1),"C","Ciudad","T","Pueblo","R","Rural","S","Suburbano","U","Urbano",""))</f>
        <v>Ciudad</v>
      </c>
      <c r="T1050" t="str">
        <f t="shared" si="65"/>
        <v>M</v>
      </c>
      <c r="U1050" t="str">
        <f t="shared" si="66"/>
        <v>IL</v>
      </c>
      <c r="V1050" t="str">
        <f t="shared" si="67"/>
        <v>11192</v>
      </c>
    </row>
    <row r="1051" spans="1:22" x14ac:dyDescent="0.35">
      <c r="A1051">
        <v>190614</v>
      </c>
      <c r="B1051" t="s">
        <v>48</v>
      </c>
      <c r="C1051" t="s">
        <v>17</v>
      </c>
      <c r="D1051">
        <v>1159</v>
      </c>
      <c r="E1051">
        <v>572</v>
      </c>
      <c r="F1051">
        <v>561</v>
      </c>
      <c r="G1051">
        <v>0</v>
      </c>
      <c r="H1051">
        <v>17337</v>
      </c>
      <c r="I1051">
        <v>6</v>
      </c>
      <c r="J1051">
        <v>28</v>
      </c>
      <c r="K1051">
        <v>557</v>
      </c>
      <c r="L1051">
        <v>574</v>
      </c>
      <c r="M1051">
        <v>6.230769231</v>
      </c>
      <c r="N1051">
        <f>IFERROR(VLOOKUP(A1051,vlookup_table!$A:$G,2,FALSE),"")</f>
        <v>0</v>
      </c>
      <c r="O1051">
        <f>IFERROR(VLOOKUP(A1051,vlookup_table!$A:$G,4,FALSE),"")</f>
        <v>0</v>
      </c>
      <c r="P1051" t="str">
        <f>IFERROR(VLOOKUP(A1051,vlookup_table!$A:$G,5,FALSE),"")</f>
        <v>S1</v>
      </c>
      <c r="Q1051">
        <f>IFERROR(VLOOKUP(A1051,vlookup_table!$A:$G,7,FALSE),"")</f>
        <v>3</v>
      </c>
      <c r="R1051">
        <f t="shared" si="64"/>
        <v>97</v>
      </c>
      <c r="S1051" t="str" cm="1">
        <f t="array" ref="S1051">IF(P1051="","",_xlfn.SWITCH(LEFT(P1051,1),"C","Ciudad","T","Pueblo","R","Rural","S","Suburbano","U","Urbano",""))</f>
        <v>Suburbano</v>
      </c>
      <c r="T1051" t="str">
        <f t="shared" si="65"/>
        <v>F</v>
      </c>
      <c r="U1051" t="str">
        <f t="shared" si="66"/>
        <v>CO</v>
      </c>
      <c r="V1051" t="str">
        <f t="shared" si="67"/>
        <v>17337</v>
      </c>
    </row>
    <row r="1052" spans="1:22" x14ac:dyDescent="0.35">
      <c r="A1052">
        <v>155607</v>
      </c>
      <c r="B1052" t="s">
        <v>22</v>
      </c>
      <c r="C1052" t="s">
        <v>17</v>
      </c>
      <c r="D1052">
        <v>3152</v>
      </c>
      <c r="E1052">
        <v>853</v>
      </c>
      <c r="F1052">
        <v>950</v>
      </c>
      <c r="G1052">
        <v>81</v>
      </c>
      <c r="H1052">
        <v>35415</v>
      </c>
      <c r="I1052">
        <v>10</v>
      </c>
      <c r="J1052">
        <v>45</v>
      </c>
      <c r="K1052">
        <v>891</v>
      </c>
      <c r="L1052">
        <v>908</v>
      </c>
      <c r="M1052">
        <v>34</v>
      </c>
      <c r="N1052">
        <f>IFERROR(VLOOKUP(A1052,vlookup_table!$A:$G,2,FALSE),"")</f>
        <v>0</v>
      </c>
      <c r="O1052">
        <f>IFERROR(VLOOKUP(A1052,vlookup_table!$A:$G,4,FALSE),"")</f>
        <v>5401</v>
      </c>
      <c r="P1052" t="str">
        <f>IFERROR(VLOOKUP(A1052,vlookup_table!$A:$G,5,FALSE),"")</f>
        <v>S1</v>
      </c>
      <c r="Q1052">
        <f>IFERROR(VLOOKUP(A1052,vlookup_table!$A:$G,7,FALSE),"")</f>
        <v>38</v>
      </c>
      <c r="R1052">
        <f t="shared" si="64"/>
        <v>43</v>
      </c>
      <c r="S1052" t="str" cm="1">
        <f t="array" ref="S1052">IF(P1052="","",_xlfn.SWITCH(LEFT(P1052,1),"C","Ciudad","T","Pueblo","R","Rural","S","Suburbano","U","Urbano",""))</f>
        <v>Suburbano</v>
      </c>
      <c r="T1052" t="str">
        <f t="shared" si="65"/>
        <v>F</v>
      </c>
      <c r="U1052" t="str">
        <f t="shared" si="66"/>
        <v>CA</v>
      </c>
      <c r="V1052" t="str">
        <f t="shared" si="67"/>
        <v>35415</v>
      </c>
    </row>
    <row r="1053" spans="1:22" x14ac:dyDescent="0.35">
      <c r="A1053">
        <v>161804</v>
      </c>
      <c r="B1053" t="s">
        <v>22</v>
      </c>
      <c r="C1053" t="s">
        <v>14</v>
      </c>
      <c r="D1053">
        <v>1137</v>
      </c>
      <c r="E1053">
        <v>348</v>
      </c>
      <c r="F1053">
        <v>444</v>
      </c>
      <c r="G1053">
        <v>5</v>
      </c>
      <c r="H1053">
        <v>11621</v>
      </c>
      <c r="I1053">
        <v>27</v>
      </c>
      <c r="J1053">
        <v>54</v>
      </c>
      <c r="K1053">
        <v>362</v>
      </c>
      <c r="L1053">
        <v>425</v>
      </c>
      <c r="M1053">
        <v>9</v>
      </c>
      <c r="N1053">
        <f>IFERROR(VLOOKUP(A1053,vlookup_table!$A:$G,2,FALSE),"")</f>
        <v>1</v>
      </c>
      <c r="O1053">
        <f>IFERROR(VLOOKUP(A1053,vlookup_table!$A:$G,4,FALSE),"")</f>
        <v>3906</v>
      </c>
      <c r="P1053" t="str">
        <f>IFERROR(VLOOKUP(A1053,vlookup_table!$A:$G,5,FALSE),"")</f>
        <v>R2</v>
      </c>
      <c r="Q1053">
        <f>IFERROR(VLOOKUP(A1053,vlookup_table!$A:$G,7,FALSE),"")</f>
        <v>5</v>
      </c>
      <c r="R1053">
        <f t="shared" si="64"/>
        <v>58</v>
      </c>
      <c r="S1053" t="str" cm="1">
        <f t="array" ref="S1053">IF(P1053="","",_xlfn.SWITCH(LEFT(P1053,1),"C","Ciudad","T","Pueblo","R","Rural","S","Suburbano","U","Urbano",""))</f>
        <v>Rural</v>
      </c>
      <c r="T1053" t="str">
        <f t="shared" si="65"/>
        <v>M</v>
      </c>
      <c r="U1053" t="str">
        <f t="shared" si="66"/>
        <v>CA</v>
      </c>
      <c r="V1053" t="str">
        <f t="shared" si="67"/>
        <v>11621</v>
      </c>
    </row>
    <row r="1054" spans="1:22" x14ac:dyDescent="0.35">
      <c r="A1054">
        <v>11348</v>
      </c>
      <c r="B1054" t="s">
        <v>13</v>
      </c>
      <c r="C1054" t="s">
        <v>14</v>
      </c>
      <c r="D1054">
        <v>912</v>
      </c>
      <c r="E1054">
        <v>313</v>
      </c>
      <c r="F1054">
        <v>442</v>
      </c>
      <c r="G1054">
        <v>8</v>
      </c>
      <c r="H1054">
        <v>18554</v>
      </c>
      <c r="I1054">
        <v>6</v>
      </c>
      <c r="J1054">
        <v>14</v>
      </c>
      <c r="K1054">
        <v>370</v>
      </c>
      <c r="L1054">
        <v>379</v>
      </c>
      <c r="M1054">
        <v>12.16666667</v>
      </c>
      <c r="N1054">
        <f>IFERROR(VLOOKUP(A1054,vlookup_table!$A:$G,2,FALSE),"")</f>
        <v>0</v>
      </c>
      <c r="O1054">
        <f>IFERROR(VLOOKUP(A1054,vlookup_table!$A:$G,4,FALSE),"")</f>
        <v>0</v>
      </c>
      <c r="P1054" t="str">
        <f>IFERROR(VLOOKUP(A1054,vlookup_table!$A:$G,5,FALSE),"")</f>
        <v>C2</v>
      </c>
      <c r="Q1054">
        <f>IFERROR(VLOOKUP(A1054,vlookup_table!$A:$G,7,FALSE),"")</f>
        <v>5</v>
      </c>
      <c r="R1054">
        <f t="shared" si="64"/>
        <v>97</v>
      </c>
      <c r="S1054" t="str" cm="1">
        <f t="array" ref="S1054">IF(P1054="","",_xlfn.SWITCH(LEFT(P1054,1),"C","Ciudad","T","Pueblo","R","Rural","S","Suburbano","U","Urbano",""))</f>
        <v>Ciudad</v>
      </c>
      <c r="T1054" t="str">
        <f t="shared" si="65"/>
        <v>M</v>
      </c>
      <c r="U1054" t="str">
        <f t="shared" si="66"/>
        <v>FL</v>
      </c>
      <c r="V1054" t="str">
        <f t="shared" si="67"/>
        <v>18554</v>
      </c>
    </row>
    <row r="1055" spans="1:22" x14ac:dyDescent="0.35">
      <c r="A1055">
        <v>111380</v>
      </c>
      <c r="B1055" t="s">
        <v>32</v>
      </c>
      <c r="C1055" t="s">
        <v>14</v>
      </c>
      <c r="D1055">
        <v>332</v>
      </c>
      <c r="E1055">
        <v>219</v>
      </c>
      <c r="F1055">
        <v>296</v>
      </c>
      <c r="G1055">
        <v>0</v>
      </c>
      <c r="H1055">
        <v>9763</v>
      </c>
      <c r="I1055">
        <v>0</v>
      </c>
      <c r="J1055">
        <v>84</v>
      </c>
      <c r="K1055">
        <v>257</v>
      </c>
      <c r="L1055">
        <v>261</v>
      </c>
      <c r="M1055">
        <v>7.1333333330000004</v>
      </c>
      <c r="N1055">
        <f>IFERROR(VLOOKUP(A1055,vlookup_table!$A:$G,2,FALSE),"")</f>
        <v>1</v>
      </c>
      <c r="O1055">
        <f>IFERROR(VLOOKUP(A1055,vlookup_table!$A:$G,4,FALSE),"")</f>
        <v>2801</v>
      </c>
      <c r="P1055" t="str">
        <f>IFERROR(VLOOKUP(A1055,vlookup_table!$A:$G,5,FALSE),"")</f>
        <v>R3</v>
      </c>
      <c r="Q1055">
        <f>IFERROR(VLOOKUP(A1055,vlookup_table!$A:$G,7,FALSE),"")</f>
        <v>10</v>
      </c>
      <c r="R1055">
        <f t="shared" si="64"/>
        <v>69</v>
      </c>
      <c r="S1055" t="str" cm="1">
        <f t="array" ref="S1055">IF(P1055="","",_xlfn.SWITCH(LEFT(P1055,1),"C","Ciudad","T","Pueblo","R","Rural","S","Suburbano","U","Urbano",""))</f>
        <v>Rural</v>
      </c>
      <c r="T1055" t="str">
        <f t="shared" si="65"/>
        <v>M</v>
      </c>
      <c r="U1055" t="str">
        <f t="shared" si="66"/>
        <v>AR</v>
      </c>
      <c r="V1055" t="str">
        <f t="shared" si="67"/>
        <v>9763</v>
      </c>
    </row>
    <row r="1056" spans="1:22" x14ac:dyDescent="0.35">
      <c r="A1056">
        <v>86578</v>
      </c>
      <c r="B1056" t="s">
        <v>45</v>
      </c>
      <c r="C1056" t="s">
        <v>14</v>
      </c>
      <c r="D1056">
        <v>247</v>
      </c>
      <c r="E1056">
        <v>195</v>
      </c>
      <c r="F1056">
        <v>259</v>
      </c>
      <c r="G1056">
        <v>0</v>
      </c>
      <c r="H1056">
        <v>8189</v>
      </c>
      <c r="I1056">
        <v>1</v>
      </c>
      <c r="J1056">
        <v>87</v>
      </c>
      <c r="K1056">
        <v>220</v>
      </c>
      <c r="L1056">
        <v>231</v>
      </c>
      <c r="M1056">
        <v>5.5</v>
      </c>
      <c r="N1056">
        <f>IFERROR(VLOOKUP(A1056,vlookup_table!$A:$G,2,FALSE),"")</f>
        <v>2</v>
      </c>
      <c r="O1056">
        <f>IFERROR(VLOOKUP(A1056,vlookup_table!$A:$G,4,FALSE),"")</f>
        <v>1201</v>
      </c>
      <c r="P1056" t="str">
        <f>IFERROR(VLOOKUP(A1056,vlookup_table!$A:$G,5,FALSE),"")</f>
        <v>R3</v>
      </c>
      <c r="Q1056">
        <f>IFERROR(VLOOKUP(A1056,vlookup_table!$A:$G,7,FALSE),"")</f>
        <v>15</v>
      </c>
      <c r="R1056">
        <f t="shared" si="64"/>
        <v>85</v>
      </c>
      <c r="S1056" t="str" cm="1">
        <f t="array" ref="S1056">IF(P1056="","",_xlfn.SWITCH(LEFT(P1056,1),"C","Ciudad","T","Pueblo","R","Rural","S","Suburbano","U","Urbano",""))</f>
        <v>Rural</v>
      </c>
      <c r="T1056" t="str">
        <f t="shared" si="65"/>
        <v>M</v>
      </c>
      <c r="U1056" t="str">
        <f t="shared" si="66"/>
        <v>ND</v>
      </c>
      <c r="V1056" t="str">
        <f t="shared" si="67"/>
        <v>8189</v>
      </c>
    </row>
    <row r="1057" spans="1:22" x14ac:dyDescent="0.35">
      <c r="A1057">
        <v>157904</v>
      </c>
      <c r="B1057" t="s">
        <v>22</v>
      </c>
      <c r="C1057" t="s">
        <v>17</v>
      </c>
      <c r="D1057">
        <v>2190</v>
      </c>
      <c r="E1057">
        <v>611</v>
      </c>
      <c r="F1057">
        <v>709</v>
      </c>
      <c r="G1057">
        <v>63</v>
      </c>
      <c r="H1057">
        <v>23641</v>
      </c>
      <c r="I1057">
        <v>16</v>
      </c>
      <c r="J1057">
        <v>43</v>
      </c>
      <c r="K1057">
        <v>655</v>
      </c>
      <c r="L1057">
        <v>669</v>
      </c>
      <c r="M1057">
        <v>6.5</v>
      </c>
      <c r="N1057">
        <f>IFERROR(VLOOKUP(A1057,vlookup_table!$A:$G,2,FALSE),"")</f>
        <v>0</v>
      </c>
      <c r="O1057">
        <f>IFERROR(VLOOKUP(A1057,vlookup_table!$A:$G,4,FALSE),"")</f>
        <v>4401</v>
      </c>
      <c r="P1057" t="str">
        <f>IFERROR(VLOOKUP(A1057,vlookup_table!$A:$G,5,FALSE),"")</f>
        <v>S1</v>
      </c>
      <c r="Q1057">
        <f>IFERROR(VLOOKUP(A1057,vlookup_table!$A:$G,7,FALSE),"")</f>
        <v>6</v>
      </c>
      <c r="R1057">
        <f t="shared" si="64"/>
        <v>53</v>
      </c>
      <c r="S1057" t="str" cm="1">
        <f t="array" ref="S1057">IF(P1057="","",_xlfn.SWITCH(LEFT(P1057,1),"C","Ciudad","T","Pueblo","R","Rural","S","Suburbano","U","Urbano",""))</f>
        <v>Suburbano</v>
      </c>
      <c r="T1057" t="str">
        <f t="shared" si="65"/>
        <v>F</v>
      </c>
      <c r="U1057" t="str">
        <f t="shared" si="66"/>
        <v>CA</v>
      </c>
      <c r="V1057" t="str">
        <f t="shared" si="67"/>
        <v>23641</v>
      </c>
    </row>
    <row r="1058" spans="1:22" x14ac:dyDescent="0.35">
      <c r="A1058">
        <v>140924</v>
      </c>
      <c r="B1058" t="s">
        <v>24</v>
      </c>
      <c r="C1058" t="s">
        <v>14</v>
      </c>
      <c r="D1058">
        <v>1117</v>
      </c>
      <c r="E1058">
        <v>461</v>
      </c>
      <c r="F1058">
        <v>450</v>
      </c>
      <c r="G1058">
        <v>3</v>
      </c>
      <c r="H1058">
        <v>16614</v>
      </c>
      <c r="I1058">
        <v>6</v>
      </c>
      <c r="J1058">
        <v>28</v>
      </c>
      <c r="K1058">
        <v>461</v>
      </c>
      <c r="L1058">
        <v>461</v>
      </c>
      <c r="M1058">
        <v>6.4285714289999998</v>
      </c>
      <c r="N1058">
        <f>IFERROR(VLOOKUP(A1058,vlookup_table!$A:$G,2,FALSE),"")</f>
        <v>1002</v>
      </c>
      <c r="O1058">
        <f>IFERROR(VLOOKUP(A1058,vlookup_table!$A:$G,4,FALSE),"")</f>
        <v>0</v>
      </c>
      <c r="P1058" t="str">
        <f>IFERROR(VLOOKUP(A1058,vlookup_table!$A:$G,5,FALSE),"")</f>
        <v>S2</v>
      </c>
      <c r="Q1058">
        <f>IFERROR(VLOOKUP(A1058,vlookup_table!$A:$G,7,FALSE),"")</f>
        <v>7</v>
      </c>
      <c r="R1058">
        <f t="shared" si="64"/>
        <v>97</v>
      </c>
      <c r="S1058" t="str" cm="1">
        <f t="array" ref="S1058">IF(P1058="","",_xlfn.SWITCH(LEFT(P1058,1),"C","Ciudad","T","Pueblo","R","Rural","S","Suburbano","U","Urbano",""))</f>
        <v>Suburbano</v>
      </c>
      <c r="T1058" t="str">
        <f t="shared" si="65"/>
        <v>M</v>
      </c>
      <c r="U1058" t="str">
        <f t="shared" si="66"/>
        <v>NV</v>
      </c>
      <c r="V1058" t="str">
        <f t="shared" si="67"/>
        <v>16614</v>
      </c>
    </row>
    <row r="1059" spans="1:22" x14ac:dyDescent="0.35">
      <c r="A1059">
        <v>32972</v>
      </c>
      <c r="B1059" t="s">
        <v>13</v>
      </c>
      <c r="C1059" t="s">
        <v>17</v>
      </c>
      <c r="D1059">
        <v>814</v>
      </c>
      <c r="E1059">
        <v>268</v>
      </c>
      <c r="F1059">
        <v>312</v>
      </c>
      <c r="G1059">
        <v>1</v>
      </c>
      <c r="H1059">
        <v>10427</v>
      </c>
      <c r="I1059">
        <v>3</v>
      </c>
      <c r="J1059">
        <v>46</v>
      </c>
      <c r="K1059">
        <v>282</v>
      </c>
      <c r="L1059">
        <v>298</v>
      </c>
      <c r="M1059">
        <v>10.4</v>
      </c>
      <c r="N1059">
        <f>IFERROR(VLOOKUP(A1059,vlookup_table!$A:$G,2,FALSE),"")</f>
        <v>0</v>
      </c>
      <c r="O1059">
        <f>IFERROR(VLOOKUP(A1059,vlookup_table!$A:$G,4,FALSE),"")</f>
        <v>5511</v>
      </c>
      <c r="P1059" t="str">
        <f>IFERROR(VLOOKUP(A1059,vlookup_table!$A:$G,5,FALSE),"")</f>
        <v>S2</v>
      </c>
      <c r="Q1059">
        <f>IFERROR(VLOOKUP(A1059,vlookup_table!$A:$G,7,FALSE),"")</f>
        <v>12</v>
      </c>
      <c r="R1059">
        <f t="shared" si="64"/>
        <v>42</v>
      </c>
      <c r="S1059" t="str" cm="1">
        <f t="array" ref="S1059">IF(P1059="","",_xlfn.SWITCH(LEFT(P1059,1),"C","Ciudad","T","Pueblo","R","Rural","S","Suburbano","U","Urbano",""))</f>
        <v>Suburbano</v>
      </c>
      <c r="T1059" t="str">
        <f t="shared" si="65"/>
        <v>F</v>
      </c>
      <c r="U1059" t="str">
        <f t="shared" si="66"/>
        <v>FL</v>
      </c>
      <c r="V1059" t="str">
        <f t="shared" si="67"/>
        <v>10427</v>
      </c>
    </row>
    <row r="1060" spans="1:22" x14ac:dyDescent="0.35">
      <c r="A1060">
        <v>149541</v>
      </c>
      <c r="B1060" t="s">
        <v>22</v>
      </c>
      <c r="C1060" t="s">
        <v>17</v>
      </c>
      <c r="D1060">
        <v>1814</v>
      </c>
      <c r="E1060">
        <v>328</v>
      </c>
      <c r="F1060">
        <v>410</v>
      </c>
      <c r="G1060">
        <v>27</v>
      </c>
      <c r="H1060">
        <v>10846</v>
      </c>
      <c r="I1060">
        <v>40</v>
      </c>
      <c r="J1060">
        <v>43</v>
      </c>
      <c r="K1060">
        <v>418</v>
      </c>
      <c r="L1060">
        <v>380</v>
      </c>
      <c r="M1060">
        <v>10.66666667</v>
      </c>
      <c r="N1060">
        <f>IFERROR(VLOOKUP(A1060,vlookup_table!$A:$G,2,FALSE),"")</f>
        <v>2</v>
      </c>
      <c r="O1060">
        <f>IFERROR(VLOOKUP(A1060,vlookup_table!$A:$G,4,FALSE),"")</f>
        <v>3601</v>
      </c>
      <c r="P1060" t="str">
        <f>IFERROR(VLOOKUP(A1060,vlookup_table!$A:$G,5,FALSE),"")</f>
        <v>S2</v>
      </c>
      <c r="Q1060">
        <f>IFERROR(VLOOKUP(A1060,vlookup_table!$A:$G,7,FALSE),"")</f>
        <v>10</v>
      </c>
      <c r="R1060">
        <f t="shared" si="64"/>
        <v>61</v>
      </c>
      <c r="S1060" t="str" cm="1">
        <f t="array" ref="S1060">IF(P1060="","",_xlfn.SWITCH(LEFT(P1060,1),"C","Ciudad","T","Pueblo","R","Rural","S","Suburbano","U","Urbano",""))</f>
        <v>Suburbano</v>
      </c>
      <c r="T1060" t="str">
        <f t="shared" si="65"/>
        <v>F</v>
      </c>
      <c r="U1060" t="str">
        <f t="shared" si="66"/>
        <v>CA</v>
      </c>
      <c r="V1060" t="str">
        <f t="shared" si="67"/>
        <v>10846</v>
      </c>
    </row>
    <row r="1061" spans="1:22" x14ac:dyDescent="0.35">
      <c r="A1061">
        <v>182604</v>
      </c>
      <c r="B1061" t="s">
        <v>40</v>
      </c>
      <c r="C1061" t="s">
        <v>17</v>
      </c>
      <c r="D1061">
        <v>403</v>
      </c>
      <c r="E1061">
        <v>195</v>
      </c>
      <c r="F1061">
        <v>365</v>
      </c>
      <c r="G1061">
        <v>0</v>
      </c>
      <c r="H1061">
        <v>11859</v>
      </c>
      <c r="I1061">
        <v>8</v>
      </c>
      <c r="J1061">
        <v>63</v>
      </c>
      <c r="K1061">
        <v>288</v>
      </c>
      <c r="L1061">
        <v>237</v>
      </c>
      <c r="M1061">
        <v>20</v>
      </c>
      <c r="N1061">
        <f>IFERROR(VLOOKUP(A1061,vlookup_table!$A:$G,2,FALSE),"")</f>
        <v>0</v>
      </c>
      <c r="O1061">
        <f>IFERROR(VLOOKUP(A1061,vlookup_table!$A:$G,4,FALSE),"")</f>
        <v>2801</v>
      </c>
      <c r="P1061" t="str">
        <f>IFERROR(VLOOKUP(A1061,vlookup_table!$A:$G,5,FALSE),"")</f>
        <v>T2</v>
      </c>
      <c r="Q1061">
        <f>IFERROR(VLOOKUP(A1061,vlookup_table!$A:$G,7,FALSE),"")</f>
        <v>15</v>
      </c>
      <c r="R1061">
        <f t="shared" si="64"/>
        <v>69</v>
      </c>
      <c r="S1061" t="str" cm="1">
        <f t="array" ref="S1061">IF(P1061="","",_xlfn.SWITCH(LEFT(P1061,1),"C","Ciudad","T","Pueblo","R","Rural","S","Suburbano","U","Urbano",""))</f>
        <v>Pueblo</v>
      </c>
      <c r="T1061" t="str">
        <f t="shared" si="65"/>
        <v>F</v>
      </c>
      <c r="U1061" t="str">
        <f t="shared" si="66"/>
        <v>WA</v>
      </c>
      <c r="V1061" t="str">
        <f t="shared" si="67"/>
        <v>11859</v>
      </c>
    </row>
    <row r="1062" spans="1:22" x14ac:dyDescent="0.35">
      <c r="A1062">
        <v>103876</v>
      </c>
      <c r="B1062" t="s">
        <v>36</v>
      </c>
      <c r="C1062" t="s">
        <v>17</v>
      </c>
      <c r="D1062">
        <v>613</v>
      </c>
      <c r="E1062">
        <v>264</v>
      </c>
      <c r="F1062">
        <v>357</v>
      </c>
      <c r="G1062">
        <v>0</v>
      </c>
      <c r="H1062">
        <v>12334</v>
      </c>
      <c r="I1062">
        <v>2</v>
      </c>
      <c r="J1062">
        <v>64</v>
      </c>
      <c r="K1062">
        <v>323</v>
      </c>
      <c r="L1062">
        <v>300</v>
      </c>
      <c r="M1062">
        <v>10.66666667</v>
      </c>
      <c r="N1062">
        <f>IFERROR(VLOOKUP(A1062,vlookup_table!$A:$G,2,FALSE),"")</f>
        <v>28</v>
      </c>
      <c r="O1062">
        <f>IFERROR(VLOOKUP(A1062,vlookup_table!$A:$G,4,FALSE),"")</f>
        <v>3001</v>
      </c>
      <c r="P1062" t="str">
        <f>IFERROR(VLOOKUP(A1062,vlookup_table!$A:$G,5,FALSE),"")</f>
        <v>C2</v>
      </c>
      <c r="Q1062">
        <f>IFERROR(VLOOKUP(A1062,vlookup_table!$A:$G,7,FALSE),"")</f>
        <v>20</v>
      </c>
      <c r="R1062">
        <f t="shared" si="64"/>
        <v>67</v>
      </c>
      <c r="S1062" t="str" cm="1">
        <f t="array" ref="S1062">IF(P1062="","",_xlfn.SWITCH(LEFT(P1062,1),"C","Ciudad","T","Pueblo","R","Rural","S","Suburbano","U","Urbano",""))</f>
        <v>Ciudad</v>
      </c>
      <c r="T1062" t="str">
        <f t="shared" si="65"/>
        <v>F</v>
      </c>
      <c r="U1062" t="str">
        <f t="shared" si="66"/>
        <v>MO</v>
      </c>
      <c r="V1062" t="str">
        <f t="shared" si="67"/>
        <v>12334</v>
      </c>
    </row>
    <row r="1063" spans="1:22" x14ac:dyDescent="0.35">
      <c r="A1063">
        <v>65999</v>
      </c>
      <c r="B1063" t="s">
        <v>29</v>
      </c>
      <c r="C1063" t="s">
        <v>14</v>
      </c>
      <c r="D1063">
        <v>2712</v>
      </c>
      <c r="E1063">
        <v>1022</v>
      </c>
      <c r="F1063">
        <v>1079</v>
      </c>
      <c r="G1063">
        <v>81</v>
      </c>
      <c r="H1063">
        <v>49631</v>
      </c>
      <c r="I1063">
        <v>13</v>
      </c>
      <c r="J1063">
        <v>44</v>
      </c>
      <c r="K1063">
        <v>1144</v>
      </c>
      <c r="L1063">
        <v>989</v>
      </c>
      <c r="M1063">
        <v>18.428571430000002</v>
      </c>
      <c r="N1063">
        <f>IFERROR(VLOOKUP(A1063,vlookup_table!$A:$G,2,FALSE),"")</f>
        <v>2</v>
      </c>
      <c r="O1063">
        <f>IFERROR(VLOOKUP(A1063,vlookup_table!$A:$G,4,FALSE),"")</f>
        <v>1909</v>
      </c>
      <c r="P1063" t="str">
        <f>IFERROR(VLOOKUP(A1063,vlookup_table!$A:$G,5,FALSE),"")</f>
        <v>C1</v>
      </c>
      <c r="Q1063">
        <f>IFERROR(VLOOKUP(A1063,vlookup_table!$A:$G,7,FALSE),"")</f>
        <v>25</v>
      </c>
      <c r="R1063">
        <f t="shared" si="64"/>
        <v>78</v>
      </c>
      <c r="S1063" t="str" cm="1">
        <f t="array" ref="S1063">IF(P1063="","",_xlfn.SWITCH(LEFT(P1063,1),"C","Ciudad","T","Pueblo","R","Rural","S","Suburbano","U","Urbano",""))</f>
        <v>Ciudad</v>
      </c>
      <c r="T1063" t="str">
        <f t="shared" si="65"/>
        <v>M</v>
      </c>
      <c r="U1063" t="str">
        <f t="shared" si="66"/>
        <v>MI</v>
      </c>
      <c r="V1063" t="str">
        <f t="shared" si="67"/>
        <v>49631</v>
      </c>
    </row>
    <row r="1064" spans="1:22" x14ac:dyDescent="0.35">
      <c r="A1064">
        <v>104394</v>
      </c>
      <c r="B1064" t="s">
        <v>28</v>
      </c>
      <c r="C1064" t="s">
        <v>17</v>
      </c>
      <c r="D1064">
        <v>958</v>
      </c>
      <c r="E1064">
        <v>467</v>
      </c>
      <c r="F1064">
        <v>582</v>
      </c>
      <c r="G1064">
        <v>8</v>
      </c>
      <c r="H1064">
        <v>18211</v>
      </c>
      <c r="I1064">
        <v>3</v>
      </c>
      <c r="J1064">
        <v>45</v>
      </c>
      <c r="K1064">
        <v>499</v>
      </c>
      <c r="L1064">
        <v>525</v>
      </c>
      <c r="M1064">
        <v>7.6</v>
      </c>
      <c r="N1064">
        <f>IFERROR(VLOOKUP(A1064,vlookup_table!$A:$G,2,FALSE),"")</f>
        <v>28</v>
      </c>
      <c r="O1064">
        <f>IFERROR(VLOOKUP(A1064,vlookup_table!$A:$G,4,FALSE),"")</f>
        <v>3501</v>
      </c>
      <c r="P1064" t="str">
        <f>IFERROR(VLOOKUP(A1064,vlookup_table!$A:$G,5,FALSE),"")</f>
        <v>C1</v>
      </c>
      <c r="Q1064">
        <f>IFERROR(VLOOKUP(A1064,vlookup_table!$A:$G,7,FALSE),"")</f>
        <v>10</v>
      </c>
      <c r="R1064">
        <f t="shared" si="64"/>
        <v>62</v>
      </c>
      <c r="S1064" t="str" cm="1">
        <f t="array" ref="S1064">IF(P1064="","",_xlfn.SWITCH(LEFT(P1064,1),"C","Ciudad","T","Pueblo","R","Rural","S","Suburbano","U","Urbano",""))</f>
        <v>Ciudad</v>
      </c>
      <c r="T1064" t="str">
        <f t="shared" si="65"/>
        <v>F</v>
      </c>
      <c r="U1064" t="str">
        <f t="shared" si="66"/>
        <v>KS</v>
      </c>
      <c r="V1064" t="str">
        <f t="shared" si="67"/>
        <v>18211</v>
      </c>
    </row>
    <row r="1065" spans="1:22" x14ac:dyDescent="0.35">
      <c r="A1065">
        <v>117524</v>
      </c>
      <c r="B1065" t="s">
        <v>53</v>
      </c>
      <c r="C1065" t="s">
        <v>17</v>
      </c>
      <c r="D1065">
        <v>1129</v>
      </c>
      <c r="E1065">
        <v>332</v>
      </c>
      <c r="F1065">
        <v>537</v>
      </c>
      <c r="G1065">
        <v>12</v>
      </c>
      <c r="H1065">
        <v>22706</v>
      </c>
      <c r="I1065">
        <v>8</v>
      </c>
      <c r="J1065">
        <v>43</v>
      </c>
      <c r="K1065">
        <v>445</v>
      </c>
      <c r="L1065">
        <v>429</v>
      </c>
      <c r="M1065">
        <v>20.833333329999999</v>
      </c>
      <c r="N1065">
        <f>IFERROR(VLOOKUP(A1065,vlookup_table!$A:$G,2,FALSE),"")</f>
        <v>28</v>
      </c>
      <c r="O1065">
        <f>IFERROR(VLOOKUP(A1065,vlookup_table!$A:$G,4,FALSE),"")</f>
        <v>4402</v>
      </c>
      <c r="P1065" t="str">
        <f>IFERROR(VLOOKUP(A1065,vlookup_table!$A:$G,5,FALSE),"")</f>
        <v>S1</v>
      </c>
      <c r="Q1065">
        <f>IFERROR(VLOOKUP(A1065,vlookup_table!$A:$G,7,FALSE),"")</f>
        <v>25</v>
      </c>
      <c r="R1065">
        <f t="shared" si="64"/>
        <v>53</v>
      </c>
      <c r="S1065" t="str" cm="1">
        <f t="array" ref="S1065">IF(P1065="","",_xlfn.SWITCH(LEFT(P1065,1),"C","Ciudad","T","Pueblo","R","Rural","S","Suburbano","U","Urbano",""))</f>
        <v>Suburbano</v>
      </c>
      <c r="T1065" t="str">
        <f t="shared" si="65"/>
        <v>F</v>
      </c>
      <c r="U1065" t="str">
        <f t="shared" si="66"/>
        <v>TN</v>
      </c>
      <c r="V1065" t="str">
        <f t="shared" si="67"/>
        <v>22706</v>
      </c>
    </row>
    <row r="1066" spans="1:22" x14ac:dyDescent="0.35">
      <c r="A1066">
        <v>147904</v>
      </c>
      <c r="B1066" t="s">
        <v>22</v>
      </c>
      <c r="C1066" t="s">
        <v>17</v>
      </c>
      <c r="D1066">
        <v>4984</v>
      </c>
      <c r="E1066">
        <v>630</v>
      </c>
      <c r="F1066">
        <v>777</v>
      </c>
      <c r="G1066">
        <v>98</v>
      </c>
      <c r="H1066">
        <v>27747</v>
      </c>
      <c r="I1066">
        <v>24</v>
      </c>
      <c r="J1066">
        <v>41</v>
      </c>
      <c r="K1066">
        <v>702</v>
      </c>
      <c r="L1066">
        <v>734</v>
      </c>
      <c r="M1066">
        <v>12.14285714</v>
      </c>
      <c r="N1066">
        <f>IFERROR(VLOOKUP(A1066,vlookup_table!$A:$G,2,FALSE),"")</f>
        <v>0</v>
      </c>
      <c r="O1066">
        <f>IFERROR(VLOOKUP(A1066,vlookup_table!$A:$G,4,FALSE),"")</f>
        <v>1501</v>
      </c>
      <c r="P1066" t="str">
        <f>IFERROR(VLOOKUP(A1066,vlookup_table!$A:$G,5,FALSE),"")</f>
        <v>S1</v>
      </c>
      <c r="Q1066">
        <f>IFERROR(VLOOKUP(A1066,vlookup_table!$A:$G,7,FALSE),"")</f>
        <v>50</v>
      </c>
      <c r="R1066">
        <f t="shared" si="64"/>
        <v>82</v>
      </c>
      <c r="S1066" t="str" cm="1">
        <f t="array" ref="S1066">IF(P1066="","",_xlfn.SWITCH(LEFT(P1066,1),"C","Ciudad","T","Pueblo","R","Rural","S","Suburbano","U","Urbano",""))</f>
        <v>Suburbano</v>
      </c>
      <c r="T1066" t="str">
        <f t="shared" si="65"/>
        <v>F</v>
      </c>
      <c r="U1066" t="str">
        <f t="shared" si="66"/>
        <v>CA</v>
      </c>
      <c r="V1066" t="str">
        <f t="shared" si="67"/>
        <v>27747</v>
      </c>
    </row>
    <row r="1067" spans="1:22" x14ac:dyDescent="0.35">
      <c r="A1067">
        <v>105815</v>
      </c>
      <c r="B1067" t="s">
        <v>28</v>
      </c>
      <c r="C1067" t="s">
        <v>14</v>
      </c>
      <c r="D1067">
        <v>452</v>
      </c>
      <c r="E1067">
        <v>270</v>
      </c>
      <c r="F1067">
        <v>324</v>
      </c>
      <c r="G1067">
        <v>0</v>
      </c>
      <c r="H1067">
        <v>11198</v>
      </c>
      <c r="I1067">
        <v>4</v>
      </c>
      <c r="J1067">
        <v>62</v>
      </c>
      <c r="K1067">
        <v>300</v>
      </c>
      <c r="L1067">
        <v>297</v>
      </c>
      <c r="M1067">
        <v>14.8</v>
      </c>
      <c r="N1067">
        <f>IFERROR(VLOOKUP(A1067,vlookup_table!$A:$G,2,FALSE),"")</f>
        <v>1002</v>
      </c>
      <c r="O1067">
        <f>IFERROR(VLOOKUP(A1067,vlookup_table!$A:$G,4,FALSE),"")</f>
        <v>5001</v>
      </c>
      <c r="P1067" t="str">
        <f>IFERROR(VLOOKUP(A1067,vlookup_table!$A:$G,5,FALSE),"")</f>
        <v>C3</v>
      </c>
      <c r="Q1067">
        <f>IFERROR(VLOOKUP(A1067,vlookup_table!$A:$G,7,FALSE),"")</f>
        <v>20</v>
      </c>
      <c r="R1067">
        <f t="shared" si="64"/>
        <v>47</v>
      </c>
      <c r="S1067" t="str" cm="1">
        <f t="array" ref="S1067">IF(P1067="","",_xlfn.SWITCH(LEFT(P1067,1),"C","Ciudad","T","Pueblo","R","Rural","S","Suburbano","U","Urbano",""))</f>
        <v>Ciudad</v>
      </c>
      <c r="T1067" t="str">
        <f t="shared" si="65"/>
        <v>M</v>
      </c>
      <c r="U1067" t="str">
        <f t="shared" si="66"/>
        <v>KS</v>
      </c>
      <c r="V1067" t="str">
        <f t="shared" si="67"/>
        <v>11198</v>
      </c>
    </row>
    <row r="1068" spans="1:22" x14ac:dyDescent="0.35">
      <c r="A1068">
        <v>31778</v>
      </c>
      <c r="B1068" t="s">
        <v>13</v>
      </c>
      <c r="C1068" t="s">
        <v>14</v>
      </c>
      <c r="D1068">
        <v>986</v>
      </c>
      <c r="E1068">
        <v>485</v>
      </c>
      <c r="F1068">
        <v>539</v>
      </c>
      <c r="G1068">
        <v>11</v>
      </c>
      <c r="H1068">
        <v>18013</v>
      </c>
      <c r="I1068">
        <v>2</v>
      </c>
      <c r="J1068">
        <v>26</v>
      </c>
      <c r="K1068">
        <v>495</v>
      </c>
      <c r="L1068">
        <v>530</v>
      </c>
      <c r="M1068">
        <v>20.11111111</v>
      </c>
      <c r="N1068">
        <f>IFERROR(VLOOKUP(A1068,vlookup_table!$A:$G,2,FALSE),"")</f>
        <v>1</v>
      </c>
      <c r="O1068">
        <f>IFERROR(VLOOKUP(A1068,vlookup_table!$A:$G,4,FALSE),"")</f>
        <v>4308</v>
      </c>
      <c r="P1068" t="str">
        <f>IFERROR(VLOOKUP(A1068,vlookup_table!$A:$G,5,FALSE),"")</f>
        <v>T1</v>
      </c>
      <c r="Q1068">
        <f>IFERROR(VLOOKUP(A1068,vlookup_table!$A:$G,7,FALSE),"")</f>
        <v>25</v>
      </c>
      <c r="R1068">
        <f t="shared" si="64"/>
        <v>54</v>
      </c>
      <c r="S1068" t="str" cm="1">
        <f t="array" ref="S1068">IF(P1068="","",_xlfn.SWITCH(LEFT(P1068,1),"C","Ciudad","T","Pueblo","R","Rural","S","Suburbano","U","Urbano",""))</f>
        <v>Pueblo</v>
      </c>
      <c r="T1068" t="str">
        <f t="shared" si="65"/>
        <v>M</v>
      </c>
      <c r="U1068" t="str">
        <f t="shared" si="66"/>
        <v>FL</v>
      </c>
      <c r="V1068" t="str">
        <f t="shared" si="67"/>
        <v>18013</v>
      </c>
    </row>
    <row r="1069" spans="1:22" x14ac:dyDescent="0.35">
      <c r="A1069">
        <v>112084</v>
      </c>
      <c r="B1069" t="s">
        <v>32</v>
      </c>
      <c r="C1069" t="s">
        <v>14</v>
      </c>
      <c r="D1069">
        <v>655</v>
      </c>
      <c r="E1069">
        <v>215</v>
      </c>
      <c r="F1069">
        <v>305</v>
      </c>
      <c r="G1069">
        <v>3</v>
      </c>
      <c r="H1069">
        <v>12067</v>
      </c>
      <c r="I1069">
        <v>1</v>
      </c>
      <c r="J1069">
        <v>31</v>
      </c>
      <c r="K1069">
        <v>247</v>
      </c>
      <c r="L1069">
        <v>267</v>
      </c>
      <c r="M1069">
        <v>14.44</v>
      </c>
      <c r="N1069">
        <f>IFERROR(VLOOKUP(A1069,vlookup_table!$A:$G,2,FALSE),"")</f>
        <v>1</v>
      </c>
      <c r="O1069">
        <f>IFERROR(VLOOKUP(A1069,vlookup_table!$A:$G,4,FALSE),"")</f>
        <v>2410</v>
      </c>
      <c r="P1069" t="str">
        <f>IFERROR(VLOOKUP(A1069,vlookup_table!$A:$G,5,FALSE),"")</f>
        <v>R2</v>
      </c>
      <c r="Q1069">
        <f>IFERROR(VLOOKUP(A1069,vlookup_table!$A:$G,7,FALSE),"")</f>
        <v>14</v>
      </c>
      <c r="R1069">
        <f t="shared" si="64"/>
        <v>73</v>
      </c>
      <c r="S1069" t="str" cm="1">
        <f t="array" ref="S1069">IF(P1069="","",_xlfn.SWITCH(LEFT(P1069,1),"C","Ciudad","T","Pueblo","R","Rural","S","Suburbano","U","Urbano",""))</f>
        <v>Rural</v>
      </c>
      <c r="T1069" t="str">
        <f t="shared" si="65"/>
        <v>M</v>
      </c>
      <c r="U1069" t="str">
        <f t="shared" si="66"/>
        <v>AR</v>
      </c>
      <c r="V1069" t="str">
        <f t="shared" si="67"/>
        <v>12067</v>
      </c>
    </row>
    <row r="1070" spans="1:22" x14ac:dyDescent="0.35">
      <c r="A1070">
        <v>58850</v>
      </c>
      <c r="B1070" t="s">
        <v>57</v>
      </c>
      <c r="C1070" t="s">
        <v>14</v>
      </c>
      <c r="D1070">
        <v>459</v>
      </c>
      <c r="E1070">
        <v>133</v>
      </c>
      <c r="F1070">
        <v>258</v>
      </c>
      <c r="G1070">
        <v>0</v>
      </c>
      <c r="H1070">
        <v>13898</v>
      </c>
      <c r="I1070">
        <v>0</v>
      </c>
      <c r="J1070">
        <v>81</v>
      </c>
      <c r="K1070">
        <v>195</v>
      </c>
      <c r="L1070">
        <v>237</v>
      </c>
      <c r="M1070">
        <v>3.5217391299999998</v>
      </c>
      <c r="N1070">
        <f>IFERROR(VLOOKUP(A1070,vlookup_table!$A:$G,2,FALSE),"")</f>
        <v>1</v>
      </c>
      <c r="O1070">
        <f>IFERROR(VLOOKUP(A1070,vlookup_table!$A:$G,4,FALSE),"")</f>
        <v>2201</v>
      </c>
      <c r="P1070" t="str">
        <f>IFERROR(VLOOKUP(A1070,vlookup_table!$A:$G,5,FALSE),"")</f>
        <v>T2</v>
      </c>
      <c r="Q1070">
        <f>IFERROR(VLOOKUP(A1070,vlookup_table!$A:$G,7,FALSE),"")</f>
        <v>6</v>
      </c>
      <c r="R1070">
        <f t="shared" si="64"/>
        <v>75</v>
      </c>
      <c r="S1070" t="str" cm="1">
        <f t="array" ref="S1070">IF(P1070="","",_xlfn.SWITCH(LEFT(P1070,1),"C","Ciudad","T","Pueblo","R","Rural","S","Suburbano","U","Urbano",""))</f>
        <v>Pueblo</v>
      </c>
      <c r="T1070" t="str">
        <f t="shared" si="65"/>
        <v>M</v>
      </c>
      <c r="U1070" t="str">
        <f t="shared" si="66"/>
        <v>KY</v>
      </c>
      <c r="V1070" t="str">
        <f t="shared" si="67"/>
        <v>13898</v>
      </c>
    </row>
    <row r="1071" spans="1:22" x14ac:dyDescent="0.35">
      <c r="A1071">
        <v>185901</v>
      </c>
      <c r="B1071" t="s">
        <v>21</v>
      </c>
      <c r="C1071" t="s">
        <v>14</v>
      </c>
      <c r="D1071">
        <v>674</v>
      </c>
      <c r="E1071">
        <v>317</v>
      </c>
      <c r="F1071">
        <v>553</v>
      </c>
      <c r="G1071">
        <v>2</v>
      </c>
      <c r="H1071">
        <v>19769</v>
      </c>
      <c r="I1071">
        <v>0</v>
      </c>
      <c r="J1071">
        <v>57</v>
      </c>
      <c r="K1071">
        <v>402</v>
      </c>
      <c r="L1071">
        <v>458</v>
      </c>
      <c r="M1071">
        <v>5.3636363640000004</v>
      </c>
      <c r="N1071">
        <f>IFERROR(VLOOKUP(A1071,vlookup_table!$A:$G,2,FALSE),"")</f>
        <v>2</v>
      </c>
      <c r="O1071">
        <f>IFERROR(VLOOKUP(A1071,vlookup_table!$A:$G,4,FALSE),"")</f>
        <v>801</v>
      </c>
      <c r="P1071">
        <f>IFERROR(VLOOKUP(A1071,vlookup_table!$A:$G,5,FALSE),"")</f>
        <v>0</v>
      </c>
      <c r="Q1071">
        <f>IFERROR(VLOOKUP(A1071,vlookup_table!$A:$G,7,FALSE),"")</f>
        <v>10</v>
      </c>
      <c r="R1071">
        <f t="shared" si="64"/>
        <v>89</v>
      </c>
      <c r="S1071" t="str" cm="1">
        <f t="array" ref="S1071">IF(P1071="","",_xlfn.SWITCH(LEFT(P1071,1),"C","Ciudad","T","Pueblo","R","Rural","S","Suburbano","U","Urbano",""))</f>
        <v/>
      </c>
      <c r="T1071" t="str">
        <f t="shared" si="65"/>
        <v>M</v>
      </c>
      <c r="U1071" t="str">
        <f t="shared" si="66"/>
        <v>TX</v>
      </c>
      <c r="V1071" t="str">
        <f t="shared" si="67"/>
        <v>19769</v>
      </c>
    </row>
    <row r="1072" spans="1:22" x14ac:dyDescent="0.35">
      <c r="A1072">
        <v>134566</v>
      </c>
      <c r="B1072" t="s">
        <v>38</v>
      </c>
      <c r="C1072" t="s">
        <v>17</v>
      </c>
      <c r="D1072">
        <v>728</v>
      </c>
      <c r="E1072">
        <v>265</v>
      </c>
      <c r="F1072">
        <v>339</v>
      </c>
      <c r="G1072">
        <v>2</v>
      </c>
      <c r="H1072">
        <v>8896</v>
      </c>
      <c r="I1072">
        <v>2</v>
      </c>
      <c r="J1072">
        <v>54</v>
      </c>
      <c r="K1072">
        <v>304</v>
      </c>
      <c r="L1072">
        <v>315</v>
      </c>
      <c r="M1072">
        <v>10.35714286</v>
      </c>
      <c r="N1072">
        <f>IFERROR(VLOOKUP(A1072,vlookup_table!$A:$G,2,FALSE),"")</f>
        <v>0</v>
      </c>
      <c r="O1072">
        <f>IFERROR(VLOOKUP(A1072,vlookup_table!$A:$G,4,FALSE),"")</f>
        <v>0</v>
      </c>
      <c r="P1072" t="str">
        <f>IFERROR(VLOOKUP(A1072,vlookup_table!$A:$G,5,FALSE),"")</f>
        <v>S2</v>
      </c>
      <c r="Q1072">
        <f>IFERROR(VLOOKUP(A1072,vlookup_table!$A:$G,7,FALSE),"")</f>
        <v>10</v>
      </c>
      <c r="R1072">
        <f t="shared" si="64"/>
        <v>97</v>
      </c>
      <c r="S1072" t="str" cm="1">
        <f t="array" ref="S1072">IF(P1072="","",_xlfn.SWITCH(LEFT(P1072,1),"C","Ciudad","T","Pueblo","R","Rural","S","Suburbano","U","Urbano",""))</f>
        <v>Suburbano</v>
      </c>
      <c r="T1072" t="str">
        <f t="shared" si="65"/>
        <v>F</v>
      </c>
      <c r="U1072" t="str">
        <f t="shared" si="66"/>
        <v>UT</v>
      </c>
      <c r="V1072" t="str">
        <f t="shared" si="67"/>
        <v>8896</v>
      </c>
    </row>
    <row r="1073" spans="1:22" x14ac:dyDescent="0.35">
      <c r="A1073">
        <v>185819</v>
      </c>
      <c r="B1073" t="s">
        <v>22</v>
      </c>
      <c r="C1073" t="s">
        <v>14</v>
      </c>
      <c r="D1073">
        <v>4153</v>
      </c>
      <c r="E1073">
        <v>580</v>
      </c>
      <c r="F1073">
        <v>891</v>
      </c>
      <c r="G1073">
        <v>91</v>
      </c>
      <c r="H1073">
        <v>35520</v>
      </c>
      <c r="I1073">
        <v>13</v>
      </c>
      <c r="J1073">
        <v>41</v>
      </c>
      <c r="K1073">
        <v>886</v>
      </c>
      <c r="L1073">
        <v>640</v>
      </c>
      <c r="M1073">
        <v>12</v>
      </c>
      <c r="N1073">
        <f>IFERROR(VLOOKUP(A1073,vlookup_table!$A:$G,2,FALSE),"")</f>
        <v>2</v>
      </c>
      <c r="O1073">
        <f>IFERROR(VLOOKUP(A1073,vlookup_table!$A:$G,4,FALSE),"")</f>
        <v>1601</v>
      </c>
      <c r="P1073" t="str">
        <f>IFERROR(VLOOKUP(A1073,vlookup_table!$A:$G,5,FALSE),"")</f>
        <v>S1</v>
      </c>
      <c r="Q1073">
        <f>IFERROR(VLOOKUP(A1073,vlookup_table!$A:$G,7,FALSE),"")</f>
        <v>13</v>
      </c>
      <c r="R1073">
        <f t="shared" si="64"/>
        <v>81</v>
      </c>
      <c r="S1073" t="str" cm="1">
        <f t="array" ref="S1073">IF(P1073="","",_xlfn.SWITCH(LEFT(P1073,1),"C","Ciudad","T","Pueblo","R","Rural","S","Suburbano","U","Urbano",""))</f>
        <v>Suburbano</v>
      </c>
      <c r="T1073" t="str">
        <f t="shared" si="65"/>
        <v>M</v>
      </c>
      <c r="U1073" t="str">
        <f t="shared" si="66"/>
        <v>CA</v>
      </c>
      <c r="V1073" t="str">
        <f t="shared" si="67"/>
        <v>35520</v>
      </c>
    </row>
    <row r="1074" spans="1:22" x14ac:dyDescent="0.35">
      <c r="A1074">
        <v>3985</v>
      </c>
      <c r="B1074" t="s">
        <v>21</v>
      </c>
      <c r="C1074" t="s">
        <v>17</v>
      </c>
      <c r="D1074">
        <v>348</v>
      </c>
      <c r="E1074">
        <v>197</v>
      </c>
      <c r="F1074">
        <v>265</v>
      </c>
      <c r="G1074">
        <v>0</v>
      </c>
      <c r="H1074">
        <v>7978</v>
      </c>
      <c r="I1074">
        <v>3</v>
      </c>
      <c r="J1074">
        <v>87</v>
      </c>
      <c r="K1074">
        <v>223</v>
      </c>
      <c r="L1074">
        <v>239</v>
      </c>
      <c r="M1074">
        <v>10.226923080000001</v>
      </c>
      <c r="N1074">
        <f>IFERROR(VLOOKUP(A1074,vlookup_table!$A:$G,2,FALSE),"")</f>
        <v>0</v>
      </c>
      <c r="O1074">
        <f>IFERROR(VLOOKUP(A1074,vlookup_table!$A:$G,4,FALSE),"")</f>
        <v>2612</v>
      </c>
      <c r="P1074" t="str">
        <f>IFERROR(VLOOKUP(A1074,vlookup_table!$A:$G,5,FALSE),"")</f>
        <v>R3</v>
      </c>
      <c r="Q1074">
        <f>IFERROR(VLOOKUP(A1074,vlookup_table!$A:$G,7,FALSE),"")</f>
        <v>12</v>
      </c>
      <c r="R1074">
        <f t="shared" si="64"/>
        <v>71</v>
      </c>
      <c r="S1074" t="str" cm="1">
        <f t="array" ref="S1074">IF(P1074="","",_xlfn.SWITCH(LEFT(P1074,1),"C","Ciudad","T","Pueblo","R","Rural","S","Suburbano","U","Urbano",""))</f>
        <v>Rural</v>
      </c>
      <c r="T1074" t="str">
        <f t="shared" si="65"/>
        <v>F</v>
      </c>
      <c r="U1074" t="str">
        <f t="shared" si="66"/>
        <v>TX</v>
      </c>
      <c r="V1074" t="str">
        <f t="shared" si="67"/>
        <v>7978</v>
      </c>
    </row>
    <row r="1075" spans="1:22" x14ac:dyDescent="0.35">
      <c r="A1075">
        <v>23321</v>
      </c>
      <c r="B1075" t="s">
        <v>46</v>
      </c>
      <c r="C1075" t="s">
        <v>17</v>
      </c>
      <c r="D1075">
        <v>869</v>
      </c>
      <c r="E1075">
        <v>426</v>
      </c>
      <c r="F1075">
        <v>511</v>
      </c>
      <c r="G1075">
        <v>4</v>
      </c>
      <c r="H1075">
        <v>17534</v>
      </c>
      <c r="I1075">
        <v>0</v>
      </c>
      <c r="J1075">
        <v>68</v>
      </c>
      <c r="K1075">
        <v>505</v>
      </c>
      <c r="L1075">
        <v>465</v>
      </c>
      <c r="M1075">
        <v>7.25</v>
      </c>
      <c r="N1075">
        <f>IFERROR(VLOOKUP(A1075,vlookup_table!$A:$G,2,FALSE),"")</f>
        <v>0</v>
      </c>
      <c r="O1075">
        <f>IFERROR(VLOOKUP(A1075,vlookup_table!$A:$G,4,FALSE),"")</f>
        <v>3011</v>
      </c>
      <c r="P1075" t="str">
        <f>IFERROR(VLOOKUP(A1075,vlookup_table!$A:$G,5,FALSE),"")</f>
        <v>T1</v>
      </c>
      <c r="Q1075">
        <f>IFERROR(VLOOKUP(A1075,vlookup_table!$A:$G,7,FALSE),"")</f>
        <v>10</v>
      </c>
      <c r="R1075">
        <f t="shared" si="64"/>
        <v>67</v>
      </c>
      <c r="S1075" t="str" cm="1">
        <f t="array" ref="S1075">IF(P1075="","",_xlfn.SWITCH(LEFT(P1075,1),"C","Ciudad","T","Pueblo","R","Rural","S","Suburbano","U","Urbano",""))</f>
        <v>Pueblo</v>
      </c>
      <c r="T1075" t="str">
        <f t="shared" si="65"/>
        <v>F</v>
      </c>
      <c r="U1075" t="str">
        <f t="shared" si="66"/>
        <v>SC</v>
      </c>
      <c r="V1075" t="str">
        <f t="shared" si="67"/>
        <v>17534</v>
      </c>
    </row>
    <row r="1076" spans="1:22" x14ac:dyDescent="0.35">
      <c r="A1076">
        <v>158978</v>
      </c>
      <c r="B1076" t="s">
        <v>22</v>
      </c>
      <c r="C1076" t="s">
        <v>14</v>
      </c>
      <c r="D1076">
        <v>1876</v>
      </c>
      <c r="E1076">
        <v>393</v>
      </c>
      <c r="F1076">
        <v>450</v>
      </c>
      <c r="G1076">
        <v>24</v>
      </c>
      <c r="H1076">
        <v>11692</v>
      </c>
      <c r="I1076">
        <v>25</v>
      </c>
      <c r="J1076">
        <v>46</v>
      </c>
      <c r="K1076">
        <v>404</v>
      </c>
      <c r="L1076">
        <v>419</v>
      </c>
      <c r="M1076">
        <v>10.83333333</v>
      </c>
      <c r="N1076">
        <f>IFERROR(VLOOKUP(A1076,vlookup_table!$A:$G,2,FALSE),"")</f>
        <v>0</v>
      </c>
      <c r="O1076">
        <f>IFERROR(VLOOKUP(A1076,vlookup_table!$A:$G,4,FALSE),"")</f>
        <v>5009</v>
      </c>
      <c r="P1076" t="str">
        <f>IFERROR(VLOOKUP(A1076,vlookup_table!$A:$G,5,FALSE),"")</f>
        <v>S2</v>
      </c>
      <c r="Q1076">
        <f>IFERROR(VLOOKUP(A1076,vlookup_table!$A:$G,7,FALSE),"")</f>
        <v>15</v>
      </c>
      <c r="R1076">
        <f t="shared" si="64"/>
        <v>47</v>
      </c>
      <c r="S1076" t="str" cm="1">
        <f t="array" ref="S1076">IF(P1076="","",_xlfn.SWITCH(LEFT(P1076,1),"C","Ciudad","T","Pueblo","R","Rural","S","Suburbano","U","Urbano",""))</f>
        <v>Suburbano</v>
      </c>
      <c r="T1076" t="str">
        <f t="shared" si="65"/>
        <v>M</v>
      </c>
      <c r="U1076" t="str">
        <f t="shared" si="66"/>
        <v>CA</v>
      </c>
      <c r="V1076" t="str">
        <f t="shared" si="67"/>
        <v>11692</v>
      </c>
    </row>
    <row r="1077" spans="1:22" x14ac:dyDescent="0.35">
      <c r="A1077">
        <v>14388</v>
      </c>
      <c r="B1077" t="s">
        <v>13</v>
      </c>
      <c r="C1077" t="s">
        <v>14</v>
      </c>
      <c r="D1077">
        <v>865</v>
      </c>
      <c r="E1077">
        <v>341</v>
      </c>
      <c r="F1077">
        <v>432</v>
      </c>
      <c r="G1077">
        <v>3</v>
      </c>
      <c r="H1077">
        <v>15630</v>
      </c>
      <c r="I1077">
        <v>7</v>
      </c>
      <c r="J1077">
        <v>21</v>
      </c>
      <c r="K1077">
        <v>387</v>
      </c>
      <c r="L1077">
        <v>392</v>
      </c>
      <c r="M1077">
        <v>6.266666667</v>
      </c>
      <c r="N1077">
        <f>IFERROR(VLOOKUP(A1077,vlookup_table!$A:$G,2,FALSE),"")</f>
        <v>1002</v>
      </c>
      <c r="O1077">
        <f>IFERROR(VLOOKUP(A1077,vlookup_table!$A:$G,4,FALSE),"")</f>
        <v>6206</v>
      </c>
      <c r="P1077" t="str">
        <f>IFERROR(VLOOKUP(A1077,vlookup_table!$A:$G,5,FALSE),"")</f>
        <v>S2</v>
      </c>
      <c r="Q1077">
        <f>IFERROR(VLOOKUP(A1077,vlookup_table!$A:$G,7,FALSE),"")</f>
        <v>10</v>
      </c>
      <c r="R1077">
        <f t="shared" si="64"/>
        <v>35</v>
      </c>
      <c r="S1077" t="str" cm="1">
        <f t="array" ref="S1077">IF(P1077="","",_xlfn.SWITCH(LEFT(P1077,1),"C","Ciudad","T","Pueblo","R","Rural","S","Suburbano","U","Urbano",""))</f>
        <v>Suburbano</v>
      </c>
      <c r="T1077" t="str">
        <f t="shared" si="65"/>
        <v>M</v>
      </c>
      <c r="U1077" t="str">
        <f t="shared" si="66"/>
        <v>FL</v>
      </c>
      <c r="V1077" t="str">
        <f t="shared" si="67"/>
        <v>15630</v>
      </c>
    </row>
    <row r="1078" spans="1:22" x14ac:dyDescent="0.35">
      <c r="A1078">
        <v>12779</v>
      </c>
      <c r="B1078" t="s">
        <v>22</v>
      </c>
      <c r="C1078" t="s">
        <v>14</v>
      </c>
      <c r="D1078">
        <v>666</v>
      </c>
      <c r="E1078">
        <v>213</v>
      </c>
      <c r="F1078">
        <v>288</v>
      </c>
      <c r="G1078">
        <v>1</v>
      </c>
      <c r="H1078">
        <v>8943</v>
      </c>
      <c r="I1078">
        <v>14</v>
      </c>
      <c r="J1078">
        <v>47</v>
      </c>
      <c r="K1078">
        <v>253</v>
      </c>
      <c r="L1078">
        <v>268</v>
      </c>
      <c r="M1078">
        <v>8.1666666669999994</v>
      </c>
      <c r="N1078">
        <f>IFERROR(VLOOKUP(A1078,vlookup_table!$A:$G,2,FALSE),"")</f>
        <v>1</v>
      </c>
      <c r="O1078">
        <f>IFERROR(VLOOKUP(A1078,vlookup_table!$A:$G,4,FALSE),"")</f>
        <v>1407</v>
      </c>
      <c r="P1078" t="str">
        <f>IFERROR(VLOOKUP(A1078,vlookup_table!$A:$G,5,FALSE),"")</f>
        <v>R3</v>
      </c>
      <c r="Q1078">
        <f>IFERROR(VLOOKUP(A1078,vlookup_table!$A:$G,7,FALSE),"")</f>
        <v>10</v>
      </c>
      <c r="R1078">
        <f t="shared" si="64"/>
        <v>83</v>
      </c>
      <c r="S1078" t="str" cm="1">
        <f t="array" ref="S1078">IF(P1078="","",_xlfn.SWITCH(LEFT(P1078,1),"C","Ciudad","T","Pueblo","R","Rural","S","Suburbano","U","Urbano",""))</f>
        <v>Rural</v>
      </c>
      <c r="T1078" t="str">
        <f t="shared" si="65"/>
        <v>M</v>
      </c>
      <c r="U1078" t="str">
        <f t="shared" si="66"/>
        <v>CA</v>
      </c>
      <c r="V1078" t="str">
        <f t="shared" si="67"/>
        <v>8943</v>
      </c>
    </row>
    <row r="1079" spans="1:22" x14ac:dyDescent="0.35">
      <c r="A1079">
        <v>39667</v>
      </c>
      <c r="B1079" t="s">
        <v>13</v>
      </c>
      <c r="C1079" t="s">
        <v>14</v>
      </c>
      <c r="D1079">
        <v>809</v>
      </c>
      <c r="E1079">
        <v>358</v>
      </c>
      <c r="F1079">
        <v>446</v>
      </c>
      <c r="G1079">
        <v>8</v>
      </c>
      <c r="H1079">
        <v>16099</v>
      </c>
      <c r="I1079">
        <v>10</v>
      </c>
      <c r="J1079">
        <v>32</v>
      </c>
      <c r="K1079">
        <v>389</v>
      </c>
      <c r="L1079">
        <v>411</v>
      </c>
      <c r="M1079">
        <v>13.71428571</v>
      </c>
      <c r="N1079">
        <f>IFERROR(VLOOKUP(A1079,vlookup_table!$A:$G,2,FALSE),"")</f>
        <v>0</v>
      </c>
      <c r="O1079">
        <f>IFERROR(VLOOKUP(A1079,vlookup_table!$A:$G,4,FALSE),"")</f>
        <v>2209</v>
      </c>
      <c r="P1079" t="str">
        <f>IFERROR(VLOOKUP(A1079,vlookup_table!$A:$G,5,FALSE),"")</f>
        <v>S2</v>
      </c>
      <c r="Q1079">
        <f>IFERROR(VLOOKUP(A1079,vlookup_table!$A:$G,7,FALSE),"")</f>
        <v>15</v>
      </c>
      <c r="R1079">
        <f t="shared" si="64"/>
        <v>75</v>
      </c>
      <c r="S1079" t="str" cm="1">
        <f t="array" ref="S1079">IF(P1079="","",_xlfn.SWITCH(LEFT(P1079,1),"C","Ciudad","T","Pueblo","R","Rural","S","Suburbano","U","Urbano",""))</f>
        <v>Suburbano</v>
      </c>
      <c r="T1079" t="str">
        <f t="shared" si="65"/>
        <v>M</v>
      </c>
      <c r="U1079" t="str">
        <f t="shared" si="66"/>
        <v>FL</v>
      </c>
      <c r="V1079" t="str">
        <f t="shared" si="67"/>
        <v>16099</v>
      </c>
    </row>
    <row r="1080" spans="1:22" x14ac:dyDescent="0.35">
      <c r="A1080">
        <v>163731</v>
      </c>
      <c r="B1080" t="s">
        <v>22</v>
      </c>
      <c r="C1080" t="s">
        <v>14</v>
      </c>
      <c r="D1080">
        <v>4763</v>
      </c>
      <c r="E1080">
        <v>502</v>
      </c>
      <c r="F1080">
        <v>609</v>
      </c>
      <c r="G1080">
        <v>97</v>
      </c>
      <c r="H1080">
        <v>24002</v>
      </c>
      <c r="I1080">
        <v>26</v>
      </c>
      <c r="J1080">
        <v>42</v>
      </c>
      <c r="K1080">
        <v>534</v>
      </c>
      <c r="L1080">
        <v>551</v>
      </c>
      <c r="M1080">
        <v>9.8888888890000004</v>
      </c>
      <c r="N1080">
        <f>IFERROR(VLOOKUP(A1080,vlookup_table!$A:$G,2,FALSE),"")</f>
        <v>1</v>
      </c>
      <c r="O1080">
        <f>IFERROR(VLOOKUP(A1080,vlookup_table!$A:$G,4,FALSE),"")</f>
        <v>5401</v>
      </c>
      <c r="P1080" t="str">
        <f>IFERROR(VLOOKUP(A1080,vlookup_table!$A:$G,5,FALSE),"")</f>
        <v>S1</v>
      </c>
      <c r="Q1080">
        <f>IFERROR(VLOOKUP(A1080,vlookup_table!$A:$G,7,FALSE),"")</f>
        <v>11</v>
      </c>
      <c r="R1080">
        <f t="shared" si="64"/>
        <v>43</v>
      </c>
      <c r="S1080" t="str" cm="1">
        <f t="array" ref="S1080">IF(P1080="","",_xlfn.SWITCH(LEFT(P1080,1),"C","Ciudad","T","Pueblo","R","Rural","S","Suburbano","U","Urbano",""))</f>
        <v>Suburbano</v>
      </c>
      <c r="T1080" t="str">
        <f t="shared" si="65"/>
        <v>M</v>
      </c>
      <c r="U1080" t="str">
        <f t="shared" si="66"/>
        <v>CA</v>
      </c>
      <c r="V1080" t="str">
        <f t="shared" si="67"/>
        <v>24002</v>
      </c>
    </row>
    <row r="1081" spans="1:22" x14ac:dyDescent="0.35">
      <c r="A1081">
        <v>156457</v>
      </c>
      <c r="B1081" t="s">
        <v>22</v>
      </c>
      <c r="C1081" t="s">
        <v>17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15</v>
      </c>
      <c r="N1081">
        <f>IFERROR(VLOOKUP(A1081,vlookup_table!$A:$G,2,FALSE),"")</f>
        <v>0</v>
      </c>
      <c r="O1081">
        <f>IFERROR(VLOOKUP(A1081,vlookup_table!$A:$G,4,FALSE),"")</f>
        <v>5308</v>
      </c>
      <c r="P1081" t="str">
        <f>IFERROR(VLOOKUP(A1081,vlookup_table!$A:$G,5,FALSE),"")</f>
        <v>U2</v>
      </c>
      <c r="Q1081">
        <f>IFERROR(VLOOKUP(A1081,vlookup_table!$A:$G,7,FALSE),"")</f>
        <v>25</v>
      </c>
      <c r="R1081">
        <f t="shared" si="64"/>
        <v>44</v>
      </c>
      <c r="S1081" t="str" cm="1">
        <f t="array" ref="S1081">IF(P1081="","",_xlfn.SWITCH(LEFT(P1081,1),"C","Ciudad","T","Pueblo","R","Rural","S","Suburbano","U","Urbano",""))</f>
        <v>Urbano</v>
      </c>
      <c r="T1081" t="str">
        <f t="shared" si="65"/>
        <v>F</v>
      </c>
      <c r="U1081" t="str">
        <f t="shared" si="66"/>
        <v>CA</v>
      </c>
      <c r="V1081" t="str">
        <f t="shared" si="67"/>
        <v>0</v>
      </c>
    </row>
    <row r="1082" spans="1:22" x14ac:dyDescent="0.35">
      <c r="A1082">
        <v>100369</v>
      </c>
      <c r="B1082" t="s">
        <v>36</v>
      </c>
      <c r="C1082" t="s">
        <v>17</v>
      </c>
      <c r="D1082">
        <v>987</v>
      </c>
      <c r="E1082">
        <v>296</v>
      </c>
      <c r="F1082">
        <v>412</v>
      </c>
      <c r="G1082">
        <v>1</v>
      </c>
      <c r="H1082">
        <v>17097</v>
      </c>
      <c r="I1082">
        <v>2</v>
      </c>
      <c r="J1082">
        <v>76</v>
      </c>
      <c r="K1082">
        <v>354</v>
      </c>
      <c r="L1082">
        <v>344</v>
      </c>
      <c r="M1082">
        <v>28</v>
      </c>
      <c r="N1082">
        <f>IFERROR(VLOOKUP(A1082,vlookup_table!$A:$G,2,FALSE),"")</f>
        <v>2</v>
      </c>
      <c r="O1082">
        <f>IFERROR(VLOOKUP(A1082,vlookup_table!$A:$G,4,FALSE),"")</f>
        <v>7201</v>
      </c>
      <c r="P1082" t="str">
        <f>IFERROR(VLOOKUP(A1082,vlookup_table!$A:$G,5,FALSE),"")</f>
        <v>S2</v>
      </c>
      <c r="Q1082">
        <f>IFERROR(VLOOKUP(A1082,vlookup_table!$A:$G,7,FALSE),"")</f>
        <v>28</v>
      </c>
      <c r="R1082">
        <f t="shared" si="64"/>
        <v>25</v>
      </c>
      <c r="S1082" t="str" cm="1">
        <f t="array" ref="S1082">IF(P1082="","",_xlfn.SWITCH(LEFT(P1082,1),"C","Ciudad","T","Pueblo","R","Rural","S","Suburbano","U","Urbano",""))</f>
        <v>Suburbano</v>
      </c>
      <c r="T1082" t="str">
        <f t="shared" si="65"/>
        <v>F</v>
      </c>
      <c r="U1082" t="str">
        <f t="shared" si="66"/>
        <v>MO</v>
      </c>
      <c r="V1082" t="str">
        <f t="shared" si="67"/>
        <v>17097</v>
      </c>
    </row>
    <row r="1083" spans="1:22" x14ac:dyDescent="0.35">
      <c r="A1083">
        <v>46201</v>
      </c>
      <c r="B1083" t="s">
        <v>13</v>
      </c>
      <c r="C1083" t="s">
        <v>14</v>
      </c>
      <c r="D1083">
        <v>2444</v>
      </c>
      <c r="E1083">
        <v>729</v>
      </c>
      <c r="F1083">
        <v>782</v>
      </c>
      <c r="G1083">
        <v>70</v>
      </c>
      <c r="H1083">
        <v>28668</v>
      </c>
      <c r="I1083">
        <v>8</v>
      </c>
      <c r="J1083">
        <v>33</v>
      </c>
      <c r="K1083">
        <v>780</v>
      </c>
      <c r="L1083">
        <v>737</v>
      </c>
      <c r="M1083">
        <v>15</v>
      </c>
      <c r="N1083">
        <f>IFERROR(VLOOKUP(A1083,vlookup_table!$A:$G,2,FALSE),"")</f>
        <v>1</v>
      </c>
      <c r="O1083">
        <f>IFERROR(VLOOKUP(A1083,vlookup_table!$A:$G,4,FALSE),"")</f>
        <v>3001</v>
      </c>
      <c r="P1083" t="str">
        <f>IFERROR(VLOOKUP(A1083,vlookup_table!$A:$G,5,FALSE),"")</f>
        <v>S1</v>
      </c>
      <c r="Q1083">
        <f>IFERROR(VLOOKUP(A1083,vlookup_table!$A:$G,7,FALSE),"")</f>
        <v>15</v>
      </c>
      <c r="R1083">
        <f t="shared" si="64"/>
        <v>67</v>
      </c>
      <c r="S1083" t="str" cm="1">
        <f t="array" ref="S1083">IF(P1083="","",_xlfn.SWITCH(LEFT(P1083,1),"C","Ciudad","T","Pueblo","R","Rural","S","Suburbano","U","Urbano",""))</f>
        <v>Suburbano</v>
      </c>
      <c r="T1083" t="str">
        <f t="shared" si="65"/>
        <v>M</v>
      </c>
      <c r="U1083" t="str">
        <f t="shared" si="66"/>
        <v>FL</v>
      </c>
      <c r="V1083" t="str">
        <f t="shared" si="67"/>
        <v>28668</v>
      </c>
    </row>
    <row r="1084" spans="1:22" x14ac:dyDescent="0.35">
      <c r="A1084">
        <v>118182</v>
      </c>
      <c r="B1084" t="s">
        <v>21</v>
      </c>
      <c r="C1084" t="s">
        <v>14</v>
      </c>
      <c r="D1084">
        <v>503</v>
      </c>
      <c r="E1084">
        <v>213</v>
      </c>
      <c r="F1084">
        <v>292</v>
      </c>
      <c r="G1084">
        <v>1</v>
      </c>
      <c r="H1084">
        <v>9495</v>
      </c>
      <c r="I1084">
        <v>1</v>
      </c>
      <c r="J1084">
        <v>71</v>
      </c>
      <c r="K1084">
        <v>255</v>
      </c>
      <c r="L1084">
        <v>262</v>
      </c>
      <c r="M1084">
        <v>4.5</v>
      </c>
      <c r="N1084">
        <f>IFERROR(VLOOKUP(A1084,vlookup_table!$A:$G,2,FALSE),"")</f>
        <v>0</v>
      </c>
      <c r="O1084">
        <f>IFERROR(VLOOKUP(A1084,vlookup_table!$A:$G,4,FALSE),"")</f>
        <v>2301</v>
      </c>
      <c r="P1084" t="str">
        <f>IFERROR(VLOOKUP(A1084,vlookup_table!$A:$G,5,FALSE),"")</f>
        <v>R2</v>
      </c>
      <c r="Q1084">
        <f>IFERROR(VLOOKUP(A1084,vlookup_table!$A:$G,7,FALSE),"")</f>
        <v>5</v>
      </c>
      <c r="R1084">
        <f t="shared" si="64"/>
        <v>74</v>
      </c>
      <c r="S1084" t="str" cm="1">
        <f t="array" ref="S1084">IF(P1084="","",_xlfn.SWITCH(LEFT(P1084,1),"C","Ciudad","T","Pueblo","R","Rural","S","Suburbano","U","Urbano",""))</f>
        <v>Rural</v>
      </c>
      <c r="T1084" t="str">
        <f t="shared" si="65"/>
        <v>M</v>
      </c>
      <c r="U1084" t="str">
        <f t="shared" si="66"/>
        <v>TX</v>
      </c>
      <c r="V1084" t="str">
        <f t="shared" si="67"/>
        <v>9495</v>
      </c>
    </row>
    <row r="1085" spans="1:22" x14ac:dyDescent="0.35">
      <c r="A1085">
        <v>67</v>
      </c>
      <c r="B1085" t="s">
        <v>54</v>
      </c>
      <c r="C1085" t="s">
        <v>17</v>
      </c>
      <c r="D1085">
        <v>1004</v>
      </c>
      <c r="E1085">
        <v>189</v>
      </c>
      <c r="F1085">
        <v>313</v>
      </c>
      <c r="G1085">
        <v>0</v>
      </c>
      <c r="H1085">
        <v>12667</v>
      </c>
      <c r="I1085">
        <v>2</v>
      </c>
      <c r="J1085">
        <v>32</v>
      </c>
      <c r="K1085">
        <v>247</v>
      </c>
      <c r="L1085">
        <v>236</v>
      </c>
      <c r="M1085">
        <v>5.05</v>
      </c>
      <c r="N1085">
        <f>IFERROR(VLOOKUP(A1085,vlookup_table!$A:$G,2,FALSE),"")</f>
        <v>0</v>
      </c>
      <c r="O1085">
        <f>IFERROR(VLOOKUP(A1085,vlookup_table!$A:$G,4,FALSE),"")</f>
        <v>1801</v>
      </c>
      <c r="P1085" t="str">
        <f>IFERROR(VLOOKUP(A1085,vlookup_table!$A:$G,5,FALSE),"")</f>
        <v>C2</v>
      </c>
      <c r="Q1085">
        <f>IFERROR(VLOOKUP(A1085,vlookup_table!$A:$G,7,FALSE),"")</f>
        <v>5</v>
      </c>
      <c r="R1085">
        <f t="shared" si="64"/>
        <v>79</v>
      </c>
      <c r="S1085" t="str" cm="1">
        <f t="array" ref="S1085">IF(P1085="","",_xlfn.SWITCH(LEFT(P1085,1),"C","Ciudad","T","Pueblo","R","Rural","S","Suburbano","U","Urbano",""))</f>
        <v>Ciudad</v>
      </c>
      <c r="T1085" t="str">
        <f t="shared" si="65"/>
        <v>F</v>
      </c>
      <c r="U1085" t="str">
        <f t="shared" si="66"/>
        <v>NM</v>
      </c>
      <c r="V1085" t="str">
        <f t="shared" si="67"/>
        <v>12667</v>
      </c>
    </row>
    <row r="1086" spans="1:22" x14ac:dyDescent="0.35">
      <c r="A1086">
        <v>116951</v>
      </c>
      <c r="B1086" t="s">
        <v>21</v>
      </c>
      <c r="C1086" t="s">
        <v>17</v>
      </c>
      <c r="D1086">
        <v>1565</v>
      </c>
      <c r="E1086">
        <v>717</v>
      </c>
      <c r="F1086">
        <v>784</v>
      </c>
      <c r="G1086">
        <v>0</v>
      </c>
      <c r="H1086">
        <v>27276</v>
      </c>
      <c r="I1086">
        <v>9</v>
      </c>
      <c r="J1086">
        <v>27</v>
      </c>
      <c r="K1086">
        <v>780</v>
      </c>
      <c r="L1086">
        <v>704</v>
      </c>
      <c r="M1086">
        <v>6.1</v>
      </c>
      <c r="N1086">
        <f>IFERROR(VLOOKUP(A1086,vlookup_table!$A:$G,2,FALSE),"")</f>
        <v>0</v>
      </c>
      <c r="O1086">
        <f>IFERROR(VLOOKUP(A1086,vlookup_table!$A:$G,4,FALSE),"")</f>
        <v>1404</v>
      </c>
      <c r="P1086" t="str">
        <f>IFERROR(VLOOKUP(A1086,vlookup_table!$A:$G,5,FALSE),"")</f>
        <v>U3</v>
      </c>
      <c r="Q1086">
        <f>IFERROR(VLOOKUP(A1086,vlookup_table!$A:$G,7,FALSE),"")</f>
        <v>6</v>
      </c>
      <c r="R1086">
        <f t="shared" si="64"/>
        <v>83</v>
      </c>
      <c r="S1086" t="str" cm="1">
        <f t="array" ref="S1086">IF(P1086="","",_xlfn.SWITCH(LEFT(P1086,1),"C","Ciudad","T","Pueblo","R","Rural","S","Suburbano","U","Urbano",""))</f>
        <v>Urbano</v>
      </c>
      <c r="T1086" t="str">
        <f t="shared" si="65"/>
        <v>F</v>
      </c>
      <c r="U1086" t="str">
        <f t="shared" si="66"/>
        <v>TX</v>
      </c>
      <c r="V1086" t="str">
        <f t="shared" si="67"/>
        <v>27276</v>
      </c>
    </row>
    <row r="1087" spans="1:22" x14ac:dyDescent="0.35">
      <c r="A1087">
        <v>160032</v>
      </c>
      <c r="B1087" t="s">
        <v>22</v>
      </c>
      <c r="C1087" t="s">
        <v>17</v>
      </c>
      <c r="D1087">
        <v>872</v>
      </c>
      <c r="E1087">
        <v>294</v>
      </c>
      <c r="F1087">
        <v>356</v>
      </c>
      <c r="G1087">
        <v>0</v>
      </c>
      <c r="H1087">
        <v>12433</v>
      </c>
      <c r="I1087">
        <v>7</v>
      </c>
      <c r="J1087">
        <v>62</v>
      </c>
      <c r="K1087">
        <v>307</v>
      </c>
      <c r="L1087">
        <v>343</v>
      </c>
      <c r="M1087">
        <v>20.399999999999999</v>
      </c>
      <c r="N1087">
        <f>IFERROR(VLOOKUP(A1087,vlookup_table!$A:$G,2,FALSE),"")</f>
        <v>0</v>
      </c>
      <c r="O1087">
        <f>IFERROR(VLOOKUP(A1087,vlookup_table!$A:$G,4,FALSE),"")</f>
        <v>0</v>
      </c>
      <c r="P1087" t="str">
        <f>IFERROR(VLOOKUP(A1087,vlookup_table!$A:$G,5,FALSE),"")</f>
        <v>C2</v>
      </c>
      <c r="Q1087">
        <f>IFERROR(VLOOKUP(A1087,vlookup_table!$A:$G,7,FALSE),"")</f>
        <v>25</v>
      </c>
      <c r="R1087">
        <f t="shared" si="64"/>
        <v>97</v>
      </c>
      <c r="S1087" t="str" cm="1">
        <f t="array" ref="S1087">IF(P1087="","",_xlfn.SWITCH(LEFT(P1087,1),"C","Ciudad","T","Pueblo","R","Rural","S","Suburbano","U","Urbano",""))</f>
        <v>Ciudad</v>
      </c>
      <c r="T1087" t="str">
        <f t="shared" si="65"/>
        <v>F</v>
      </c>
      <c r="U1087" t="str">
        <f t="shared" si="66"/>
        <v>CA</v>
      </c>
      <c r="V1087" t="str">
        <f t="shared" si="67"/>
        <v>12433</v>
      </c>
    </row>
    <row r="1088" spans="1:22" x14ac:dyDescent="0.35">
      <c r="A1088">
        <v>60694</v>
      </c>
      <c r="B1088" t="s">
        <v>33</v>
      </c>
      <c r="C1088" t="s">
        <v>17</v>
      </c>
      <c r="D1088">
        <v>501</v>
      </c>
      <c r="E1088">
        <v>305</v>
      </c>
      <c r="F1088">
        <v>399</v>
      </c>
      <c r="G1088">
        <v>2</v>
      </c>
      <c r="H1088">
        <v>13073</v>
      </c>
      <c r="I1088">
        <v>2</v>
      </c>
      <c r="J1088">
        <v>61</v>
      </c>
      <c r="K1088">
        <v>374</v>
      </c>
      <c r="L1088">
        <v>354</v>
      </c>
      <c r="M1088">
        <v>20.777777780000001</v>
      </c>
      <c r="N1088">
        <f>IFERROR(VLOOKUP(A1088,vlookup_table!$A:$G,2,FALSE),"")</f>
        <v>0</v>
      </c>
      <c r="O1088">
        <f>IFERROR(VLOOKUP(A1088,vlookup_table!$A:$G,4,FALSE),"")</f>
        <v>0</v>
      </c>
      <c r="P1088" t="str">
        <f>IFERROR(VLOOKUP(A1088,vlookup_table!$A:$G,5,FALSE),"")</f>
        <v>R1</v>
      </c>
      <c r="Q1088">
        <f>IFERROR(VLOOKUP(A1088,vlookup_table!$A:$G,7,FALSE),"")</f>
        <v>25</v>
      </c>
      <c r="R1088">
        <f t="shared" si="64"/>
        <v>97</v>
      </c>
      <c r="S1088" t="str" cm="1">
        <f t="array" ref="S1088">IF(P1088="","",_xlfn.SWITCH(LEFT(P1088,1),"C","Ciudad","T","Pueblo","R","Rural","S","Suburbano","U","Urbano",""))</f>
        <v>Rural</v>
      </c>
      <c r="T1088" t="str">
        <f t="shared" si="65"/>
        <v>F</v>
      </c>
      <c r="U1088" t="str">
        <f t="shared" si="66"/>
        <v>IN</v>
      </c>
      <c r="V1088" t="str">
        <f t="shared" si="67"/>
        <v>13073</v>
      </c>
    </row>
    <row r="1089" spans="1:22" x14ac:dyDescent="0.35">
      <c r="A1089">
        <v>80387</v>
      </c>
      <c r="B1089" t="s">
        <v>35</v>
      </c>
      <c r="C1089" t="s">
        <v>17</v>
      </c>
      <c r="D1089">
        <v>331</v>
      </c>
      <c r="E1089">
        <v>154</v>
      </c>
      <c r="F1089">
        <v>273</v>
      </c>
      <c r="G1089">
        <v>0</v>
      </c>
      <c r="H1089">
        <v>10270</v>
      </c>
      <c r="I1089">
        <v>2</v>
      </c>
      <c r="J1089">
        <v>90</v>
      </c>
      <c r="K1089">
        <v>237</v>
      </c>
      <c r="L1089">
        <v>217</v>
      </c>
      <c r="M1089">
        <v>4.4444444440000002</v>
      </c>
      <c r="N1089">
        <f>IFERROR(VLOOKUP(A1089,vlookup_table!$A:$G,2,FALSE),"")</f>
        <v>0</v>
      </c>
      <c r="O1089">
        <f>IFERROR(VLOOKUP(A1089,vlookup_table!$A:$G,4,FALSE),"")</f>
        <v>1401</v>
      </c>
      <c r="P1089" t="str">
        <f>IFERROR(VLOOKUP(A1089,vlookup_table!$A:$G,5,FALSE),"")</f>
        <v>T3</v>
      </c>
      <c r="Q1089">
        <f>IFERROR(VLOOKUP(A1089,vlookup_table!$A:$G,7,FALSE),"")</f>
        <v>5</v>
      </c>
      <c r="R1089">
        <f t="shared" si="64"/>
        <v>83</v>
      </c>
      <c r="S1089" t="str" cm="1">
        <f t="array" ref="S1089">IF(P1089="","",_xlfn.SWITCH(LEFT(P1089,1),"C","Ciudad","T","Pueblo","R","Rural","S","Suburbano","U","Urbano",""))</f>
        <v>Pueblo</v>
      </c>
      <c r="T1089" t="str">
        <f t="shared" si="65"/>
        <v>F</v>
      </c>
      <c r="U1089" t="str">
        <f t="shared" si="66"/>
        <v>WI</v>
      </c>
      <c r="V1089" t="str">
        <f t="shared" si="67"/>
        <v>10270</v>
      </c>
    </row>
    <row r="1090" spans="1:22" x14ac:dyDescent="0.35">
      <c r="A1090">
        <v>158143</v>
      </c>
      <c r="B1090" t="s">
        <v>22</v>
      </c>
      <c r="C1090" t="s">
        <v>14</v>
      </c>
      <c r="D1090">
        <v>620</v>
      </c>
      <c r="E1090">
        <v>236</v>
      </c>
      <c r="F1090">
        <v>309</v>
      </c>
      <c r="G1090">
        <v>1</v>
      </c>
      <c r="H1090">
        <v>10406</v>
      </c>
      <c r="I1090">
        <v>2</v>
      </c>
      <c r="J1090">
        <v>60</v>
      </c>
      <c r="K1090">
        <v>270</v>
      </c>
      <c r="L1090">
        <v>279</v>
      </c>
      <c r="M1090">
        <v>12.361428569999999</v>
      </c>
      <c r="N1090">
        <f>IFERROR(VLOOKUP(A1090,vlookup_table!$A:$G,2,FALSE),"")</f>
        <v>1</v>
      </c>
      <c r="O1090">
        <f>IFERROR(VLOOKUP(A1090,vlookup_table!$A:$G,4,FALSE),"")</f>
        <v>4007</v>
      </c>
      <c r="P1090" t="str">
        <f>IFERROR(VLOOKUP(A1090,vlookup_table!$A:$G,5,FALSE),"")</f>
        <v>S1</v>
      </c>
      <c r="Q1090">
        <f>IFERROR(VLOOKUP(A1090,vlookup_table!$A:$G,7,FALSE),"")</f>
        <v>16</v>
      </c>
      <c r="R1090">
        <f t="shared" ref="R1090:R1153" si="68">IF(O1090="","",97-INT(O1090/100))</f>
        <v>57</v>
      </c>
      <c r="S1090" t="str" cm="1">
        <f t="array" ref="S1090">IF(P1090="","",_xlfn.SWITCH(LEFT(P1090,1),"C","Ciudad","T","Pueblo","R","Rural","S","Suburbano","U","Urbano",""))</f>
        <v>Suburbano</v>
      </c>
      <c r="T1090" t="str">
        <f t="shared" ref="T1090:T1153" si="69">IF(C1090="","",IF(OR(UPPER(C1090)="M",UPPER(C1090)="MALE"),"M",IF(OR(UPPER(C1090)="F",UPPER(C1090)="FEMALE",UPPER(C1090)="FEAMALE"),"F",C1090)))</f>
        <v>M</v>
      </c>
      <c r="U1090" t="str">
        <f t="shared" ref="U1090:U1153" si="70">IF(OR(UPPER(B1090)="CALIFORNIA",UPPER(B1090)="CALI"),"CA",B1090)</f>
        <v>CA</v>
      </c>
      <c r="V1090" t="str">
        <f t="shared" ref="V1090:V1153" si="71">SUBSTITUTE(H1090,"@","")</f>
        <v>10406</v>
      </c>
    </row>
    <row r="1091" spans="1:22" x14ac:dyDescent="0.35">
      <c r="A1091">
        <v>25277</v>
      </c>
      <c r="B1091" t="s">
        <v>46</v>
      </c>
      <c r="C1091" t="s">
        <v>14</v>
      </c>
      <c r="D1091">
        <v>747</v>
      </c>
      <c r="E1091">
        <v>369</v>
      </c>
      <c r="F1091">
        <v>488</v>
      </c>
      <c r="G1091">
        <v>0</v>
      </c>
      <c r="H1091">
        <v>18371</v>
      </c>
      <c r="I1091">
        <v>1</v>
      </c>
      <c r="J1091">
        <v>35</v>
      </c>
      <c r="K1091">
        <v>457</v>
      </c>
      <c r="L1091">
        <v>396</v>
      </c>
      <c r="M1091">
        <v>15</v>
      </c>
      <c r="N1091">
        <f>IFERROR(VLOOKUP(A1091,vlookup_table!$A:$G,2,FALSE),"")</f>
        <v>1</v>
      </c>
      <c r="O1091">
        <f>IFERROR(VLOOKUP(A1091,vlookup_table!$A:$G,4,FALSE),"")</f>
        <v>2101</v>
      </c>
      <c r="P1091" t="str">
        <f>IFERROR(VLOOKUP(A1091,vlookup_table!$A:$G,5,FALSE),"")</f>
        <v>T1</v>
      </c>
      <c r="Q1091">
        <f>IFERROR(VLOOKUP(A1091,vlookup_table!$A:$G,7,FALSE),"")</f>
        <v>17</v>
      </c>
      <c r="R1091">
        <f t="shared" si="68"/>
        <v>76</v>
      </c>
      <c r="S1091" t="str" cm="1">
        <f t="array" ref="S1091">IF(P1091="","",_xlfn.SWITCH(LEFT(P1091,1),"C","Ciudad","T","Pueblo","R","Rural","S","Suburbano","U","Urbano",""))</f>
        <v>Pueblo</v>
      </c>
      <c r="T1091" t="str">
        <f t="shared" si="69"/>
        <v>M</v>
      </c>
      <c r="U1091" t="str">
        <f t="shared" si="70"/>
        <v>SC</v>
      </c>
      <c r="V1091" t="str">
        <f t="shared" si="71"/>
        <v>18371</v>
      </c>
    </row>
    <row r="1092" spans="1:22" x14ac:dyDescent="0.35">
      <c r="A1092">
        <v>179454</v>
      </c>
      <c r="B1092" t="s">
        <v>40</v>
      </c>
      <c r="C1092" t="s">
        <v>17</v>
      </c>
      <c r="D1092">
        <v>936</v>
      </c>
      <c r="E1092">
        <v>237</v>
      </c>
      <c r="F1092">
        <v>308</v>
      </c>
      <c r="G1092">
        <v>1</v>
      </c>
      <c r="H1092">
        <v>9875</v>
      </c>
      <c r="I1092">
        <v>22</v>
      </c>
      <c r="J1092">
        <v>48</v>
      </c>
      <c r="K1092">
        <v>304</v>
      </c>
      <c r="L1092">
        <v>257</v>
      </c>
      <c r="M1092">
        <v>9.5</v>
      </c>
      <c r="N1092">
        <f>IFERROR(VLOOKUP(A1092,vlookup_table!$A:$G,2,FALSE),"")</f>
        <v>28</v>
      </c>
      <c r="O1092">
        <f>IFERROR(VLOOKUP(A1092,vlookup_table!$A:$G,4,FALSE),"")</f>
        <v>2501</v>
      </c>
      <c r="P1092" t="str">
        <f>IFERROR(VLOOKUP(A1092,vlookup_table!$A:$G,5,FALSE),"")</f>
        <v>U3</v>
      </c>
      <c r="Q1092">
        <f>IFERROR(VLOOKUP(A1092,vlookup_table!$A:$G,7,FALSE),"")</f>
        <v>20</v>
      </c>
      <c r="R1092">
        <f t="shared" si="68"/>
        <v>72</v>
      </c>
      <c r="S1092" t="str" cm="1">
        <f t="array" ref="S1092">IF(P1092="","",_xlfn.SWITCH(LEFT(P1092,1),"C","Ciudad","T","Pueblo","R","Rural","S","Suburbano","U","Urbano",""))</f>
        <v>Urbano</v>
      </c>
      <c r="T1092" t="str">
        <f t="shared" si="69"/>
        <v>F</v>
      </c>
      <c r="U1092" t="str">
        <f t="shared" si="70"/>
        <v>WA</v>
      </c>
      <c r="V1092" t="str">
        <f t="shared" si="71"/>
        <v>9875</v>
      </c>
    </row>
    <row r="1093" spans="1:22" x14ac:dyDescent="0.35">
      <c r="A1093">
        <v>145899</v>
      </c>
      <c r="B1093" t="s">
        <v>18</v>
      </c>
      <c r="C1093" t="s">
        <v>65</v>
      </c>
      <c r="D1093">
        <v>1491</v>
      </c>
      <c r="E1093">
        <v>396</v>
      </c>
      <c r="F1093">
        <v>566</v>
      </c>
      <c r="G1093">
        <v>22</v>
      </c>
      <c r="H1093">
        <v>26286</v>
      </c>
      <c r="I1093">
        <v>1</v>
      </c>
      <c r="J1093">
        <v>42</v>
      </c>
      <c r="K1093">
        <v>489</v>
      </c>
      <c r="L1093">
        <v>472</v>
      </c>
      <c r="M1093">
        <v>14</v>
      </c>
      <c r="N1093">
        <f>IFERROR(VLOOKUP(A1093,vlookup_table!$A:$G,2,FALSE),"")</f>
        <v>0</v>
      </c>
      <c r="O1093">
        <f>IFERROR(VLOOKUP(A1093,vlookup_table!$A:$G,4,FALSE),"")</f>
        <v>0</v>
      </c>
      <c r="P1093" t="str">
        <f>IFERROR(VLOOKUP(A1093,vlookup_table!$A:$G,5,FALSE),"")</f>
        <v>S2</v>
      </c>
      <c r="Q1093">
        <f>IFERROR(VLOOKUP(A1093,vlookup_table!$A:$G,7,FALSE),"")</f>
        <v>20</v>
      </c>
      <c r="R1093">
        <f t="shared" si="68"/>
        <v>97</v>
      </c>
      <c r="S1093" t="str" cm="1">
        <f t="array" ref="S1093">IF(P1093="","",_xlfn.SWITCH(LEFT(P1093,1),"C","Ciudad","T","Pueblo","R","Rural","S","Suburbano","U","Urbano",""))</f>
        <v>Suburbano</v>
      </c>
      <c r="T1093" t="str">
        <f t="shared" si="69"/>
        <v>F</v>
      </c>
      <c r="U1093" t="str">
        <f t="shared" si="70"/>
        <v>NC</v>
      </c>
      <c r="V1093" t="str">
        <f t="shared" si="71"/>
        <v>26286</v>
      </c>
    </row>
    <row r="1094" spans="1:22" x14ac:dyDescent="0.35">
      <c r="A1094">
        <v>183790</v>
      </c>
      <c r="B1094" t="s">
        <v>40</v>
      </c>
      <c r="C1094" t="s">
        <v>17</v>
      </c>
      <c r="D1094">
        <v>756</v>
      </c>
      <c r="E1094">
        <v>333</v>
      </c>
      <c r="F1094">
        <v>430</v>
      </c>
      <c r="G1094">
        <v>6</v>
      </c>
      <c r="H1094">
        <v>14127</v>
      </c>
      <c r="I1094">
        <v>1</v>
      </c>
      <c r="J1094">
        <v>57</v>
      </c>
      <c r="K1094">
        <v>372</v>
      </c>
      <c r="L1094">
        <v>391</v>
      </c>
      <c r="M1094">
        <v>8.769230769</v>
      </c>
      <c r="N1094">
        <f>IFERROR(VLOOKUP(A1094,vlookup_table!$A:$G,2,FALSE),"")</f>
        <v>0</v>
      </c>
      <c r="O1094">
        <f>IFERROR(VLOOKUP(A1094,vlookup_table!$A:$G,4,FALSE),"")</f>
        <v>0</v>
      </c>
      <c r="P1094" t="str">
        <f>IFERROR(VLOOKUP(A1094,vlookup_table!$A:$G,5,FALSE),"")</f>
        <v>R2</v>
      </c>
      <c r="Q1094">
        <f>IFERROR(VLOOKUP(A1094,vlookup_table!$A:$G,7,FALSE),"")</f>
        <v>14</v>
      </c>
      <c r="R1094">
        <f t="shared" si="68"/>
        <v>97</v>
      </c>
      <c r="S1094" t="str" cm="1">
        <f t="array" ref="S1094">IF(P1094="","",_xlfn.SWITCH(LEFT(P1094,1),"C","Ciudad","T","Pueblo","R","Rural","S","Suburbano","U","Urbano",""))</f>
        <v>Rural</v>
      </c>
      <c r="T1094" t="str">
        <f t="shared" si="69"/>
        <v>F</v>
      </c>
      <c r="U1094" t="str">
        <f t="shared" si="70"/>
        <v>WA</v>
      </c>
      <c r="V1094" t="str">
        <f t="shared" si="71"/>
        <v>14127</v>
      </c>
    </row>
    <row r="1095" spans="1:22" x14ac:dyDescent="0.35">
      <c r="A1095">
        <v>119538</v>
      </c>
      <c r="B1095" t="s">
        <v>21</v>
      </c>
      <c r="C1095" t="s">
        <v>17</v>
      </c>
      <c r="D1095">
        <v>487</v>
      </c>
      <c r="E1095">
        <v>217</v>
      </c>
      <c r="F1095">
        <v>262</v>
      </c>
      <c r="G1095">
        <v>0</v>
      </c>
      <c r="H1095">
        <v>10468</v>
      </c>
      <c r="I1095">
        <v>17</v>
      </c>
      <c r="J1095">
        <v>59</v>
      </c>
      <c r="K1095">
        <v>222</v>
      </c>
      <c r="L1095">
        <v>247</v>
      </c>
      <c r="M1095">
        <v>9.8888888890000004</v>
      </c>
      <c r="N1095">
        <f>IFERROR(VLOOKUP(A1095,vlookup_table!$A:$G,2,FALSE),"")</f>
        <v>0</v>
      </c>
      <c r="O1095">
        <f>IFERROR(VLOOKUP(A1095,vlookup_table!$A:$G,4,FALSE),"")</f>
        <v>3602</v>
      </c>
      <c r="P1095" t="str">
        <f>IFERROR(VLOOKUP(A1095,vlookup_table!$A:$G,5,FALSE),"")</f>
        <v>C3</v>
      </c>
      <c r="Q1095">
        <f>IFERROR(VLOOKUP(A1095,vlookup_table!$A:$G,7,FALSE),"")</f>
        <v>16</v>
      </c>
      <c r="R1095">
        <f t="shared" si="68"/>
        <v>61</v>
      </c>
      <c r="S1095" t="str" cm="1">
        <f t="array" ref="S1095">IF(P1095="","",_xlfn.SWITCH(LEFT(P1095,1),"C","Ciudad","T","Pueblo","R","Rural","S","Suburbano","U","Urbano",""))</f>
        <v>Ciudad</v>
      </c>
      <c r="T1095" t="str">
        <f t="shared" si="69"/>
        <v>F</v>
      </c>
      <c r="U1095" t="str">
        <f t="shared" si="70"/>
        <v>TX</v>
      </c>
      <c r="V1095" t="str">
        <f t="shared" si="71"/>
        <v>10468</v>
      </c>
    </row>
    <row r="1096" spans="1:22" x14ac:dyDescent="0.35">
      <c r="A1096">
        <v>24991</v>
      </c>
      <c r="B1096" t="s">
        <v>46</v>
      </c>
      <c r="C1096" t="s">
        <v>14</v>
      </c>
      <c r="D1096">
        <v>651</v>
      </c>
      <c r="E1096">
        <v>310</v>
      </c>
      <c r="F1096">
        <v>382</v>
      </c>
      <c r="G1096">
        <v>1</v>
      </c>
      <c r="H1096">
        <v>12428</v>
      </c>
      <c r="I1096">
        <v>1</v>
      </c>
      <c r="J1096">
        <v>73</v>
      </c>
      <c r="K1096">
        <v>345</v>
      </c>
      <c r="L1096">
        <v>337</v>
      </c>
      <c r="M1096">
        <v>7.6111111109999996</v>
      </c>
      <c r="N1096">
        <f>IFERROR(VLOOKUP(A1096,vlookup_table!$A:$G,2,FALSE),"")</f>
        <v>1</v>
      </c>
      <c r="O1096">
        <f>IFERROR(VLOOKUP(A1096,vlookup_table!$A:$G,4,FALSE),"")</f>
        <v>5201</v>
      </c>
      <c r="P1096" t="str">
        <f>IFERROR(VLOOKUP(A1096,vlookup_table!$A:$G,5,FALSE),"")</f>
        <v>T2</v>
      </c>
      <c r="Q1096">
        <f>IFERROR(VLOOKUP(A1096,vlookup_table!$A:$G,7,FALSE),"")</f>
        <v>11</v>
      </c>
      <c r="R1096">
        <f t="shared" si="68"/>
        <v>45</v>
      </c>
      <c r="S1096" t="str" cm="1">
        <f t="array" ref="S1096">IF(P1096="","",_xlfn.SWITCH(LEFT(P1096,1),"C","Ciudad","T","Pueblo","R","Rural","S","Suburbano","U","Urbano",""))</f>
        <v>Pueblo</v>
      </c>
      <c r="T1096" t="str">
        <f t="shared" si="69"/>
        <v>M</v>
      </c>
      <c r="U1096" t="str">
        <f t="shared" si="70"/>
        <v>SC</v>
      </c>
      <c r="V1096" t="str">
        <f t="shared" si="71"/>
        <v>12428</v>
      </c>
    </row>
    <row r="1097" spans="1:22" x14ac:dyDescent="0.35">
      <c r="A1097">
        <v>113501</v>
      </c>
      <c r="B1097" t="s">
        <v>31</v>
      </c>
      <c r="C1097" t="s">
        <v>17</v>
      </c>
      <c r="D1097">
        <v>693</v>
      </c>
      <c r="E1097">
        <v>404</v>
      </c>
      <c r="F1097">
        <v>486</v>
      </c>
      <c r="G1097">
        <v>0</v>
      </c>
      <c r="H1097">
        <v>16698</v>
      </c>
      <c r="I1097">
        <v>3</v>
      </c>
      <c r="J1097">
        <v>54</v>
      </c>
      <c r="K1097">
        <v>479</v>
      </c>
      <c r="L1097">
        <v>439</v>
      </c>
      <c r="M1097">
        <v>5.125</v>
      </c>
      <c r="N1097">
        <f>IFERROR(VLOOKUP(A1097,vlookup_table!$A:$G,2,FALSE),"")</f>
        <v>0</v>
      </c>
      <c r="O1097">
        <f>IFERROR(VLOOKUP(A1097,vlookup_table!$A:$G,4,FALSE),"")</f>
        <v>6201</v>
      </c>
      <c r="P1097" t="str">
        <f>IFERROR(VLOOKUP(A1097,vlookup_table!$A:$G,5,FALSE),"")</f>
        <v>C2</v>
      </c>
      <c r="Q1097">
        <f>IFERROR(VLOOKUP(A1097,vlookup_table!$A:$G,7,FALSE),"")</f>
        <v>5</v>
      </c>
      <c r="R1097">
        <f t="shared" si="68"/>
        <v>35</v>
      </c>
      <c r="S1097" t="str" cm="1">
        <f t="array" ref="S1097">IF(P1097="","",_xlfn.SWITCH(LEFT(P1097,1),"C","Ciudad","T","Pueblo","R","Rural","S","Suburbano","U","Urbano",""))</f>
        <v>Ciudad</v>
      </c>
      <c r="T1097" t="str">
        <f t="shared" si="69"/>
        <v>F</v>
      </c>
      <c r="U1097" t="str">
        <f t="shared" si="70"/>
        <v>OK</v>
      </c>
      <c r="V1097" t="str">
        <f t="shared" si="71"/>
        <v>16698</v>
      </c>
    </row>
    <row r="1098" spans="1:22" x14ac:dyDescent="0.35">
      <c r="A1098">
        <v>185353</v>
      </c>
      <c r="B1098" t="s">
        <v>22</v>
      </c>
      <c r="C1098" t="s">
        <v>17</v>
      </c>
      <c r="D1098">
        <v>1063</v>
      </c>
      <c r="E1098">
        <v>150</v>
      </c>
      <c r="F1098">
        <v>223</v>
      </c>
      <c r="G1098">
        <v>10</v>
      </c>
      <c r="H1098">
        <v>6871</v>
      </c>
      <c r="I1098">
        <v>26</v>
      </c>
      <c r="J1098">
        <v>38</v>
      </c>
      <c r="K1098">
        <v>148</v>
      </c>
      <c r="L1098">
        <v>206</v>
      </c>
      <c r="M1098">
        <v>3.0357142860000002</v>
      </c>
      <c r="N1098">
        <f>IFERROR(VLOOKUP(A1098,vlookup_table!$A:$G,2,FALSE),"")</f>
        <v>28</v>
      </c>
      <c r="O1098">
        <f>IFERROR(VLOOKUP(A1098,vlookup_table!$A:$G,4,FALSE),"")</f>
        <v>1801</v>
      </c>
      <c r="P1098" t="str">
        <f>IFERROR(VLOOKUP(A1098,vlookup_table!$A:$G,5,FALSE),"")</f>
        <v>U4</v>
      </c>
      <c r="Q1098">
        <f>IFERROR(VLOOKUP(A1098,vlookup_table!$A:$G,7,FALSE),"")</f>
        <v>3</v>
      </c>
      <c r="R1098">
        <f t="shared" si="68"/>
        <v>79</v>
      </c>
      <c r="S1098" t="str" cm="1">
        <f t="array" ref="S1098">IF(P1098="","",_xlfn.SWITCH(LEFT(P1098,1),"C","Ciudad","T","Pueblo","R","Rural","S","Suburbano","U","Urbano",""))</f>
        <v>Urbano</v>
      </c>
      <c r="T1098" t="str">
        <f t="shared" si="69"/>
        <v>F</v>
      </c>
      <c r="U1098" t="str">
        <f t="shared" si="70"/>
        <v>CA</v>
      </c>
      <c r="V1098" t="str">
        <f t="shared" si="71"/>
        <v>6871</v>
      </c>
    </row>
    <row r="1099" spans="1:22" x14ac:dyDescent="0.35">
      <c r="A1099">
        <v>72308</v>
      </c>
      <c r="B1099" t="s">
        <v>29</v>
      </c>
      <c r="C1099" t="s">
        <v>17</v>
      </c>
      <c r="D1099">
        <v>609</v>
      </c>
      <c r="E1099">
        <v>403</v>
      </c>
      <c r="F1099">
        <v>466</v>
      </c>
      <c r="G1099">
        <v>0</v>
      </c>
      <c r="H1099">
        <v>14455</v>
      </c>
      <c r="I1099">
        <v>2</v>
      </c>
      <c r="J1099">
        <v>87</v>
      </c>
      <c r="K1099">
        <v>424</v>
      </c>
      <c r="L1099">
        <v>422</v>
      </c>
      <c r="M1099">
        <v>19.25</v>
      </c>
      <c r="N1099">
        <f>IFERROR(VLOOKUP(A1099,vlookup_table!$A:$G,2,FALSE),"")</f>
        <v>0</v>
      </c>
      <c r="O1099">
        <f>IFERROR(VLOOKUP(A1099,vlookup_table!$A:$G,4,FALSE),"")</f>
        <v>2002</v>
      </c>
      <c r="P1099" t="str">
        <f>IFERROR(VLOOKUP(A1099,vlookup_table!$A:$G,5,FALSE),"")</f>
        <v>T2</v>
      </c>
      <c r="Q1099">
        <f>IFERROR(VLOOKUP(A1099,vlookup_table!$A:$G,7,FALSE),"")</f>
        <v>46</v>
      </c>
      <c r="R1099">
        <f t="shared" si="68"/>
        <v>77</v>
      </c>
      <c r="S1099" t="str" cm="1">
        <f t="array" ref="S1099">IF(P1099="","",_xlfn.SWITCH(LEFT(P1099,1),"C","Ciudad","T","Pueblo","R","Rural","S","Suburbano","U","Urbano",""))</f>
        <v>Pueblo</v>
      </c>
      <c r="T1099" t="str">
        <f t="shared" si="69"/>
        <v>F</v>
      </c>
      <c r="U1099" t="str">
        <f t="shared" si="70"/>
        <v>MI</v>
      </c>
      <c r="V1099" t="str">
        <f t="shared" si="71"/>
        <v>14455</v>
      </c>
    </row>
    <row r="1100" spans="1:22" x14ac:dyDescent="0.35">
      <c r="A1100">
        <v>110519</v>
      </c>
      <c r="B1100" t="s">
        <v>49</v>
      </c>
      <c r="C1100" t="s">
        <v>14</v>
      </c>
      <c r="D1100">
        <v>732</v>
      </c>
      <c r="E1100">
        <v>366</v>
      </c>
      <c r="F1100">
        <v>459</v>
      </c>
      <c r="G1100">
        <v>0</v>
      </c>
      <c r="H1100">
        <v>16287</v>
      </c>
      <c r="I1100">
        <v>1</v>
      </c>
      <c r="J1100">
        <v>71</v>
      </c>
      <c r="K1100">
        <v>374</v>
      </c>
      <c r="L1100">
        <v>432</v>
      </c>
      <c r="M1100">
        <v>10.70588235</v>
      </c>
      <c r="N1100">
        <f>IFERROR(VLOOKUP(A1100,vlookup_table!$A:$G,2,FALSE),"")</f>
        <v>2</v>
      </c>
      <c r="O1100">
        <f>IFERROR(VLOOKUP(A1100,vlookup_table!$A:$G,4,FALSE),"")</f>
        <v>3801</v>
      </c>
      <c r="P1100" t="str">
        <f>IFERROR(VLOOKUP(A1100,vlookup_table!$A:$G,5,FALSE),"")</f>
        <v>R1</v>
      </c>
      <c r="Q1100">
        <f>IFERROR(VLOOKUP(A1100,vlookup_table!$A:$G,7,FALSE),"")</f>
        <v>17</v>
      </c>
      <c r="R1100">
        <f t="shared" si="68"/>
        <v>59</v>
      </c>
      <c r="S1100" t="str" cm="1">
        <f t="array" ref="S1100">IF(P1100="","",_xlfn.SWITCH(LEFT(P1100,1),"C","Ciudad","T","Pueblo","R","Rural","S","Suburbano","U","Urbano",""))</f>
        <v>Rural</v>
      </c>
      <c r="T1100" t="str">
        <f t="shared" si="69"/>
        <v>M</v>
      </c>
      <c r="U1100" t="str">
        <f t="shared" si="70"/>
        <v>LA</v>
      </c>
      <c r="V1100" t="str">
        <f t="shared" si="71"/>
        <v>16287</v>
      </c>
    </row>
    <row r="1101" spans="1:22" x14ac:dyDescent="0.35">
      <c r="A1101">
        <v>124193</v>
      </c>
      <c r="B1101" t="s">
        <v>21</v>
      </c>
      <c r="C1101" t="s">
        <v>30</v>
      </c>
      <c r="D1101">
        <v>439</v>
      </c>
      <c r="E1101">
        <v>268</v>
      </c>
      <c r="F1101">
        <v>341</v>
      </c>
      <c r="G1101">
        <v>0</v>
      </c>
      <c r="H1101">
        <v>10164</v>
      </c>
      <c r="I1101">
        <v>1</v>
      </c>
      <c r="J1101">
        <v>72</v>
      </c>
      <c r="K1101">
        <v>301</v>
      </c>
      <c r="L1101">
        <v>307</v>
      </c>
      <c r="M1101">
        <v>5.8</v>
      </c>
      <c r="N1101">
        <f>IFERROR(VLOOKUP(A1101,vlookup_table!$A:$G,2,FALSE),"")</f>
        <v>0</v>
      </c>
      <c r="O1101">
        <f>IFERROR(VLOOKUP(A1101,vlookup_table!$A:$G,4,FALSE),"")</f>
        <v>0</v>
      </c>
      <c r="P1101" t="str">
        <f>IFERROR(VLOOKUP(A1101,vlookup_table!$A:$G,5,FALSE),"")</f>
        <v>R2</v>
      </c>
      <c r="Q1101">
        <f>IFERROR(VLOOKUP(A1101,vlookup_table!$A:$G,7,FALSE),"")</f>
        <v>6</v>
      </c>
      <c r="R1101">
        <f t="shared" si="68"/>
        <v>97</v>
      </c>
      <c r="S1101" t="str" cm="1">
        <f t="array" ref="S1101">IF(P1101="","",_xlfn.SWITCH(LEFT(P1101,1),"C","Ciudad","T","Pueblo","R","Rural","S","Suburbano","U","Urbano",""))</f>
        <v>Rural</v>
      </c>
      <c r="T1101" t="str">
        <f t="shared" si="69"/>
        <v>U</v>
      </c>
      <c r="U1101" t="str">
        <f t="shared" si="70"/>
        <v>TX</v>
      </c>
      <c r="V1101" t="str">
        <f t="shared" si="71"/>
        <v>10164</v>
      </c>
    </row>
    <row r="1102" spans="1:22" x14ac:dyDescent="0.35">
      <c r="A1102">
        <v>181526</v>
      </c>
      <c r="B1102" t="s">
        <v>40</v>
      </c>
      <c r="C1102" t="s">
        <v>17</v>
      </c>
      <c r="D1102">
        <v>871</v>
      </c>
      <c r="E1102">
        <v>339</v>
      </c>
      <c r="F1102">
        <v>384</v>
      </c>
      <c r="G1102">
        <v>2</v>
      </c>
      <c r="H1102">
        <v>11889</v>
      </c>
      <c r="I1102">
        <v>2</v>
      </c>
      <c r="J1102">
        <v>51</v>
      </c>
      <c r="K1102">
        <v>355</v>
      </c>
      <c r="L1102">
        <v>363</v>
      </c>
      <c r="M1102">
        <v>9.5</v>
      </c>
      <c r="N1102">
        <f>IFERROR(VLOOKUP(A1102,vlookup_table!$A:$G,2,FALSE),"")</f>
        <v>0</v>
      </c>
      <c r="O1102">
        <f>IFERROR(VLOOKUP(A1102,vlookup_table!$A:$G,4,FALSE),"")</f>
        <v>0</v>
      </c>
      <c r="P1102" t="str">
        <f>IFERROR(VLOOKUP(A1102,vlookup_table!$A:$G,5,FALSE),"")</f>
        <v>T2</v>
      </c>
      <c r="Q1102">
        <f>IFERROR(VLOOKUP(A1102,vlookup_table!$A:$G,7,FALSE),"")</f>
        <v>13</v>
      </c>
      <c r="R1102">
        <f t="shared" si="68"/>
        <v>97</v>
      </c>
      <c r="S1102" t="str" cm="1">
        <f t="array" ref="S1102">IF(P1102="","",_xlfn.SWITCH(LEFT(P1102,1),"C","Ciudad","T","Pueblo","R","Rural","S","Suburbano","U","Urbano",""))</f>
        <v>Pueblo</v>
      </c>
      <c r="T1102" t="str">
        <f t="shared" si="69"/>
        <v>F</v>
      </c>
      <c r="U1102" t="str">
        <f t="shared" si="70"/>
        <v>WA</v>
      </c>
      <c r="V1102" t="str">
        <f t="shared" si="71"/>
        <v>11889</v>
      </c>
    </row>
    <row r="1103" spans="1:22" x14ac:dyDescent="0.35">
      <c r="A1103">
        <v>2796</v>
      </c>
      <c r="B1103" t="s">
        <v>70</v>
      </c>
      <c r="C1103" t="s">
        <v>27</v>
      </c>
      <c r="D1103">
        <v>682</v>
      </c>
      <c r="E1103">
        <v>374</v>
      </c>
      <c r="F1103">
        <v>469</v>
      </c>
      <c r="G1103">
        <v>3</v>
      </c>
      <c r="H1103">
        <v>17213</v>
      </c>
      <c r="I1103">
        <v>3</v>
      </c>
      <c r="J1103">
        <v>29</v>
      </c>
      <c r="K1103">
        <v>423</v>
      </c>
      <c r="L1103">
        <v>416</v>
      </c>
      <c r="M1103">
        <v>15</v>
      </c>
      <c r="N1103">
        <f>IFERROR(VLOOKUP(A1103,vlookup_table!$A:$G,2,FALSE),"")</f>
        <v>0</v>
      </c>
      <c r="O1103">
        <f>IFERROR(VLOOKUP(A1103,vlookup_table!$A:$G,4,FALSE),"")</f>
        <v>0</v>
      </c>
      <c r="P1103" t="str">
        <f>IFERROR(VLOOKUP(A1103,vlookup_table!$A:$G,5,FALSE),"")</f>
        <v>R2</v>
      </c>
      <c r="Q1103">
        <f>IFERROR(VLOOKUP(A1103,vlookup_table!$A:$G,7,FALSE),"")</f>
        <v>25</v>
      </c>
      <c r="R1103">
        <f t="shared" si="68"/>
        <v>97</v>
      </c>
      <c r="S1103" t="str" cm="1">
        <f t="array" ref="S1103">IF(P1103="","",_xlfn.SWITCH(LEFT(P1103,1),"C","Ciudad","T","Pueblo","R","Rural","S","Suburbano","U","Urbano",""))</f>
        <v>Rural</v>
      </c>
      <c r="T1103" t="str">
        <f t="shared" si="69"/>
        <v>M</v>
      </c>
      <c r="U1103" t="str">
        <f t="shared" si="70"/>
        <v>AK</v>
      </c>
      <c r="V1103" t="str">
        <f t="shared" si="71"/>
        <v>17213</v>
      </c>
    </row>
    <row r="1104" spans="1:22" x14ac:dyDescent="0.35">
      <c r="A1104">
        <v>67954</v>
      </c>
      <c r="B1104" t="s">
        <v>29</v>
      </c>
      <c r="C1104" t="s">
        <v>17</v>
      </c>
      <c r="D1104">
        <v>313</v>
      </c>
      <c r="E1104">
        <v>159</v>
      </c>
      <c r="F1104">
        <v>274</v>
      </c>
      <c r="G1104">
        <v>0</v>
      </c>
      <c r="H1104">
        <v>7661</v>
      </c>
      <c r="I1104">
        <v>1</v>
      </c>
      <c r="J1104">
        <v>76</v>
      </c>
      <c r="K1104">
        <v>256</v>
      </c>
      <c r="L1104">
        <v>220</v>
      </c>
      <c r="M1104">
        <v>16.25</v>
      </c>
      <c r="N1104">
        <f>IFERROR(VLOOKUP(A1104,vlookup_table!$A:$G,2,FALSE),"")</f>
        <v>0</v>
      </c>
      <c r="O1104">
        <f>IFERROR(VLOOKUP(A1104,vlookup_table!$A:$G,4,FALSE),"")</f>
        <v>3101</v>
      </c>
      <c r="P1104" t="str">
        <f>IFERROR(VLOOKUP(A1104,vlookup_table!$A:$G,5,FALSE),"")</f>
        <v>U4</v>
      </c>
      <c r="Q1104">
        <f>IFERROR(VLOOKUP(A1104,vlookup_table!$A:$G,7,FALSE),"")</f>
        <v>35</v>
      </c>
      <c r="R1104">
        <f t="shared" si="68"/>
        <v>66</v>
      </c>
      <c r="S1104" t="str" cm="1">
        <f t="array" ref="S1104">IF(P1104="","",_xlfn.SWITCH(LEFT(P1104,1),"C","Ciudad","T","Pueblo","R","Rural","S","Suburbano","U","Urbano",""))</f>
        <v>Urbano</v>
      </c>
      <c r="T1104" t="str">
        <f t="shared" si="69"/>
        <v>F</v>
      </c>
      <c r="U1104" t="str">
        <f t="shared" si="70"/>
        <v>MI</v>
      </c>
      <c r="V1104" t="str">
        <f t="shared" si="71"/>
        <v>7661</v>
      </c>
    </row>
    <row r="1105" spans="1:22" x14ac:dyDescent="0.35">
      <c r="A1105">
        <v>93809</v>
      </c>
      <c r="B1105" t="s">
        <v>16</v>
      </c>
      <c r="C1105" t="s">
        <v>14</v>
      </c>
      <c r="D1105">
        <v>1059</v>
      </c>
      <c r="E1105">
        <v>334</v>
      </c>
      <c r="F1105">
        <v>528</v>
      </c>
      <c r="G1105">
        <v>0</v>
      </c>
      <c r="H1105">
        <v>17632</v>
      </c>
      <c r="I1105">
        <v>15</v>
      </c>
      <c r="J1105">
        <v>75</v>
      </c>
      <c r="K1105">
        <v>513</v>
      </c>
      <c r="L1105">
        <v>392</v>
      </c>
      <c r="M1105">
        <v>7.5833333329999997</v>
      </c>
      <c r="N1105">
        <f>IFERROR(VLOOKUP(A1105,vlookup_table!$A:$G,2,FALSE),"")</f>
        <v>1</v>
      </c>
      <c r="O1105">
        <f>IFERROR(VLOOKUP(A1105,vlookup_table!$A:$G,4,FALSE),"")</f>
        <v>2003</v>
      </c>
      <c r="P1105" t="str">
        <f>IFERROR(VLOOKUP(A1105,vlookup_table!$A:$G,5,FALSE),"")</f>
        <v>U2</v>
      </c>
      <c r="Q1105">
        <f>IFERROR(VLOOKUP(A1105,vlookup_table!$A:$G,7,FALSE),"")</f>
        <v>10</v>
      </c>
      <c r="R1105">
        <f t="shared" si="68"/>
        <v>77</v>
      </c>
      <c r="S1105" t="str" cm="1">
        <f t="array" ref="S1105">IF(P1105="","",_xlfn.SWITCH(LEFT(P1105,1),"C","Ciudad","T","Pueblo","R","Rural","S","Suburbano","U","Urbano",""))</f>
        <v>Urbano</v>
      </c>
      <c r="T1105" t="str">
        <f t="shared" si="69"/>
        <v>M</v>
      </c>
      <c r="U1105" t="str">
        <f t="shared" si="70"/>
        <v>IL</v>
      </c>
      <c r="V1105" t="str">
        <f t="shared" si="71"/>
        <v>17632</v>
      </c>
    </row>
    <row r="1106" spans="1:22" x14ac:dyDescent="0.35">
      <c r="A1106">
        <v>109520</v>
      </c>
      <c r="B1106" t="s">
        <v>49</v>
      </c>
      <c r="C1106" t="s">
        <v>14</v>
      </c>
      <c r="D1106">
        <v>687</v>
      </c>
      <c r="E1106">
        <v>257</v>
      </c>
      <c r="F1106">
        <v>328</v>
      </c>
      <c r="G1106">
        <v>0</v>
      </c>
      <c r="H1106">
        <v>10271</v>
      </c>
      <c r="I1106">
        <v>0</v>
      </c>
      <c r="J1106">
        <v>79</v>
      </c>
      <c r="K1106">
        <v>310</v>
      </c>
      <c r="L1106">
        <v>291</v>
      </c>
      <c r="M1106">
        <v>9</v>
      </c>
      <c r="N1106">
        <f>IFERROR(VLOOKUP(A1106,vlookup_table!$A:$G,2,FALSE),"")</f>
        <v>1</v>
      </c>
      <c r="O1106">
        <f>IFERROR(VLOOKUP(A1106,vlookup_table!$A:$G,4,FALSE),"")</f>
        <v>4501</v>
      </c>
      <c r="P1106" t="str">
        <f>IFERROR(VLOOKUP(A1106,vlookup_table!$A:$G,5,FALSE),"")</f>
        <v>T2</v>
      </c>
      <c r="Q1106">
        <f>IFERROR(VLOOKUP(A1106,vlookup_table!$A:$G,7,FALSE),"")</f>
        <v>15</v>
      </c>
      <c r="R1106">
        <f t="shared" si="68"/>
        <v>52</v>
      </c>
      <c r="S1106" t="str" cm="1">
        <f t="array" ref="S1106">IF(P1106="","",_xlfn.SWITCH(LEFT(P1106,1),"C","Ciudad","T","Pueblo","R","Rural","S","Suburbano","U","Urbano",""))</f>
        <v>Pueblo</v>
      </c>
      <c r="T1106" t="str">
        <f t="shared" si="69"/>
        <v>M</v>
      </c>
      <c r="U1106" t="str">
        <f t="shared" si="70"/>
        <v>LA</v>
      </c>
      <c r="V1106" t="str">
        <f t="shared" si="71"/>
        <v>10271</v>
      </c>
    </row>
    <row r="1107" spans="1:22" x14ac:dyDescent="0.35">
      <c r="A1107">
        <v>76051</v>
      </c>
      <c r="B1107" t="s">
        <v>47</v>
      </c>
      <c r="C1107" t="s">
        <v>14</v>
      </c>
      <c r="D1107">
        <v>397</v>
      </c>
      <c r="E1107">
        <v>248</v>
      </c>
      <c r="F1107">
        <v>313</v>
      </c>
      <c r="G1107">
        <v>0</v>
      </c>
      <c r="H1107">
        <v>10348</v>
      </c>
      <c r="I1107">
        <v>2</v>
      </c>
      <c r="J1107">
        <v>20</v>
      </c>
      <c r="K1107">
        <v>270</v>
      </c>
      <c r="L1107">
        <v>296</v>
      </c>
      <c r="M1107">
        <v>14.4</v>
      </c>
      <c r="N1107">
        <f>IFERROR(VLOOKUP(A1107,vlookup_table!$A:$G,2,FALSE),"")</f>
        <v>1</v>
      </c>
      <c r="O1107">
        <f>IFERROR(VLOOKUP(A1107,vlookup_table!$A:$G,4,FALSE),"")</f>
        <v>4207</v>
      </c>
      <c r="P1107" t="str">
        <f>IFERROR(VLOOKUP(A1107,vlookup_table!$A:$G,5,FALSE),"")</f>
        <v>S3</v>
      </c>
      <c r="Q1107">
        <f>IFERROR(VLOOKUP(A1107,vlookup_table!$A:$G,7,FALSE),"")</f>
        <v>20</v>
      </c>
      <c r="R1107">
        <f t="shared" si="68"/>
        <v>55</v>
      </c>
      <c r="S1107" t="str" cm="1">
        <f t="array" ref="S1107">IF(P1107="","",_xlfn.SWITCH(LEFT(P1107,1),"C","Ciudad","T","Pueblo","R","Rural","S","Suburbano","U","Urbano",""))</f>
        <v>Suburbano</v>
      </c>
      <c r="T1107" t="str">
        <f t="shared" si="69"/>
        <v>M</v>
      </c>
      <c r="U1107" t="str">
        <f t="shared" si="70"/>
        <v>IA</v>
      </c>
      <c r="V1107" t="str">
        <f t="shared" si="71"/>
        <v>10348</v>
      </c>
    </row>
    <row r="1108" spans="1:22" x14ac:dyDescent="0.35">
      <c r="A1108">
        <v>145521</v>
      </c>
      <c r="B1108" t="s">
        <v>22</v>
      </c>
      <c r="C1108" t="s">
        <v>17</v>
      </c>
      <c r="D1108">
        <v>2516</v>
      </c>
      <c r="E1108">
        <v>595</v>
      </c>
      <c r="F1108">
        <v>691</v>
      </c>
      <c r="G1108">
        <v>80</v>
      </c>
      <c r="H1108">
        <v>22684</v>
      </c>
      <c r="I1108">
        <v>15</v>
      </c>
      <c r="J1108">
        <v>40</v>
      </c>
      <c r="K1108">
        <v>649</v>
      </c>
      <c r="L1108">
        <v>641</v>
      </c>
      <c r="M1108">
        <v>13.65517241</v>
      </c>
      <c r="N1108">
        <f>IFERROR(VLOOKUP(A1108,vlookup_table!$A:$G,2,FALSE),"")</f>
        <v>0</v>
      </c>
      <c r="O1108">
        <f>IFERROR(VLOOKUP(A1108,vlookup_table!$A:$G,4,FALSE),"")</f>
        <v>0</v>
      </c>
      <c r="P1108" t="str">
        <f>IFERROR(VLOOKUP(A1108,vlookup_table!$A:$G,5,FALSE),"")</f>
        <v>U1</v>
      </c>
      <c r="Q1108">
        <f>IFERROR(VLOOKUP(A1108,vlookup_table!$A:$G,7,FALSE),"")</f>
        <v>16</v>
      </c>
      <c r="R1108">
        <f t="shared" si="68"/>
        <v>97</v>
      </c>
      <c r="S1108" t="str" cm="1">
        <f t="array" ref="S1108">IF(P1108="","",_xlfn.SWITCH(LEFT(P1108,1),"C","Ciudad","T","Pueblo","R","Rural","S","Suburbano","U","Urbano",""))</f>
        <v>Urbano</v>
      </c>
      <c r="T1108" t="str">
        <f t="shared" si="69"/>
        <v>F</v>
      </c>
      <c r="U1108" t="str">
        <f t="shared" si="70"/>
        <v>CA</v>
      </c>
      <c r="V1108" t="str">
        <f t="shared" si="71"/>
        <v>22684</v>
      </c>
    </row>
    <row r="1109" spans="1:22" x14ac:dyDescent="0.35">
      <c r="A1109">
        <v>87533</v>
      </c>
      <c r="B1109" t="s">
        <v>34</v>
      </c>
      <c r="C1109" t="s">
        <v>65</v>
      </c>
      <c r="D1109">
        <v>747</v>
      </c>
      <c r="E1109">
        <v>289</v>
      </c>
      <c r="F1109">
        <v>387</v>
      </c>
      <c r="G1109">
        <v>3</v>
      </c>
      <c r="H1109">
        <v>14744</v>
      </c>
      <c r="I1109">
        <v>1</v>
      </c>
      <c r="J1109">
        <v>54</v>
      </c>
      <c r="K1109">
        <v>318</v>
      </c>
      <c r="L1109">
        <v>347</v>
      </c>
      <c r="M1109">
        <v>11.625</v>
      </c>
      <c r="N1109">
        <f>IFERROR(VLOOKUP(A1109,vlookup_table!$A:$G,2,FALSE),"")</f>
        <v>0</v>
      </c>
      <c r="O1109">
        <f>IFERROR(VLOOKUP(A1109,vlookup_table!$A:$G,4,FALSE),"")</f>
        <v>2401</v>
      </c>
      <c r="P1109" t="str">
        <f>IFERROR(VLOOKUP(A1109,vlookup_table!$A:$G,5,FALSE),"")</f>
        <v>R1</v>
      </c>
      <c r="Q1109">
        <f>IFERROR(VLOOKUP(A1109,vlookup_table!$A:$G,7,FALSE),"")</f>
        <v>5</v>
      </c>
      <c r="R1109">
        <f t="shared" si="68"/>
        <v>73</v>
      </c>
      <c r="S1109" t="str" cm="1">
        <f t="array" ref="S1109">IF(P1109="","",_xlfn.SWITCH(LEFT(P1109,1),"C","Ciudad","T","Pueblo","R","Rural","S","Suburbano","U","Urbano",""))</f>
        <v>Rural</v>
      </c>
      <c r="T1109" t="str">
        <f t="shared" si="69"/>
        <v>F</v>
      </c>
      <c r="U1109" t="str">
        <f t="shared" si="70"/>
        <v>MT</v>
      </c>
      <c r="V1109" t="str">
        <f t="shared" si="71"/>
        <v>14744</v>
      </c>
    </row>
    <row r="1110" spans="1:22" x14ac:dyDescent="0.35">
      <c r="A1110">
        <v>82026</v>
      </c>
      <c r="B1110" t="s">
        <v>35</v>
      </c>
      <c r="C1110" t="s">
        <v>17</v>
      </c>
      <c r="D1110">
        <v>506</v>
      </c>
      <c r="E1110">
        <v>270</v>
      </c>
      <c r="F1110">
        <v>346</v>
      </c>
      <c r="G1110">
        <v>0</v>
      </c>
      <c r="H1110">
        <v>12940</v>
      </c>
      <c r="I1110">
        <v>0</v>
      </c>
      <c r="J1110">
        <v>81</v>
      </c>
      <c r="K1110">
        <v>323</v>
      </c>
      <c r="L1110">
        <v>326</v>
      </c>
      <c r="M1110">
        <v>8.6</v>
      </c>
      <c r="N1110">
        <f>IFERROR(VLOOKUP(A1110,vlookup_table!$A:$G,2,FALSE),"")</f>
        <v>0</v>
      </c>
      <c r="O1110">
        <f>IFERROR(VLOOKUP(A1110,vlookup_table!$A:$G,4,FALSE),"")</f>
        <v>2201</v>
      </c>
      <c r="P1110" t="str">
        <f>IFERROR(VLOOKUP(A1110,vlookup_table!$A:$G,5,FALSE),"")</f>
        <v>T2</v>
      </c>
      <c r="Q1110">
        <f>IFERROR(VLOOKUP(A1110,vlookup_table!$A:$G,7,FALSE),"")</f>
        <v>12</v>
      </c>
      <c r="R1110">
        <f t="shared" si="68"/>
        <v>75</v>
      </c>
      <c r="S1110" t="str" cm="1">
        <f t="array" ref="S1110">IF(P1110="","",_xlfn.SWITCH(LEFT(P1110,1),"C","Ciudad","T","Pueblo","R","Rural","S","Suburbano","U","Urbano",""))</f>
        <v>Pueblo</v>
      </c>
      <c r="T1110" t="str">
        <f t="shared" si="69"/>
        <v>F</v>
      </c>
      <c r="U1110" t="str">
        <f t="shared" si="70"/>
        <v>WI</v>
      </c>
      <c r="V1110" t="str">
        <f t="shared" si="71"/>
        <v>12940</v>
      </c>
    </row>
    <row r="1111" spans="1:22" x14ac:dyDescent="0.35">
      <c r="A1111">
        <v>97055</v>
      </c>
      <c r="B1111" t="s">
        <v>16</v>
      </c>
      <c r="C1111" t="s">
        <v>17</v>
      </c>
      <c r="D1111">
        <v>412</v>
      </c>
      <c r="E1111">
        <v>311</v>
      </c>
      <c r="F1111">
        <v>380</v>
      </c>
      <c r="G1111">
        <v>0</v>
      </c>
      <c r="H1111">
        <v>13227</v>
      </c>
      <c r="I1111">
        <v>0</v>
      </c>
      <c r="J1111">
        <v>84</v>
      </c>
      <c r="K1111">
        <v>354</v>
      </c>
      <c r="L1111">
        <v>342</v>
      </c>
      <c r="M1111">
        <v>9.3333333330000006</v>
      </c>
      <c r="N1111">
        <f>IFERROR(VLOOKUP(A1111,vlookup_table!$A:$G,2,FALSE),"")</f>
        <v>0</v>
      </c>
      <c r="O1111">
        <f>IFERROR(VLOOKUP(A1111,vlookup_table!$A:$G,4,FALSE),"")</f>
        <v>3001</v>
      </c>
      <c r="P1111" t="str">
        <f>IFERROR(VLOOKUP(A1111,vlookup_table!$A:$G,5,FALSE),"")</f>
        <v>R2</v>
      </c>
      <c r="Q1111">
        <f>IFERROR(VLOOKUP(A1111,vlookup_table!$A:$G,7,FALSE),"")</f>
        <v>22</v>
      </c>
      <c r="R1111">
        <f t="shared" si="68"/>
        <v>67</v>
      </c>
      <c r="S1111" t="str" cm="1">
        <f t="array" ref="S1111">IF(P1111="","",_xlfn.SWITCH(LEFT(P1111,1),"C","Ciudad","T","Pueblo","R","Rural","S","Suburbano","U","Urbano",""))</f>
        <v>Rural</v>
      </c>
      <c r="T1111" t="str">
        <f t="shared" si="69"/>
        <v>F</v>
      </c>
      <c r="U1111" t="str">
        <f t="shared" si="70"/>
        <v>IL</v>
      </c>
      <c r="V1111" t="str">
        <f t="shared" si="71"/>
        <v>13227</v>
      </c>
    </row>
    <row r="1112" spans="1:22" x14ac:dyDescent="0.35">
      <c r="A1112">
        <v>74701</v>
      </c>
      <c r="B1112" t="s">
        <v>29</v>
      </c>
      <c r="D1112">
        <v>360</v>
      </c>
      <c r="E1112">
        <v>206</v>
      </c>
      <c r="F1112">
        <v>267</v>
      </c>
      <c r="G1112">
        <v>1</v>
      </c>
      <c r="H1112">
        <v>9463</v>
      </c>
      <c r="I1112">
        <v>1</v>
      </c>
      <c r="J1112">
        <v>70</v>
      </c>
      <c r="K1112">
        <v>239</v>
      </c>
      <c r="L1112">
        <v>233</v>
      </c>
      <c r="M1112">
        <v>9.1428571430000005</v>
      </c>
      <c r="N1112">
        <f>IFERROR(VLOOKUP(A1112,vlookup_table!$A:$G,2,FALSE),"")</f>
        <v>1</v>
      </c>
      <c r="O1112">
        <f>IFERROR(VLOOKUP(A1112,vlookup_table!$A:$G,4,FALSE),"")</f>
        <v>1901</v>
      </c>
      <c r="P1112" t="str">
        <f>IFERROR(VLOOKUP(A1112,vlookup_table!$A:$G,5,FALSE),"")</f>
        <v>R3</v>
      </c>
      <c r="Q1112">
        <f>IFERROR(VLOOKUP(A1112,vlookup_table!$A:$G,7,FALSE),"")</f>
        <v>20</v>
      </c>
      <c r="R1112">
        <f t="shared" si="68"/>
        <v>78</v>
      </c>
      <c r="S1112" t="str" cm="1">
        <f t="array" ref="S1112">IF(P1112="","",_xlfn.SWITCH(LEFT(P1112,1),"C","Ciudad","T","Pueblo","R","Rural","S","Suburbano","U","Urbano",""))</f>
        <v>Rural</v>
      </c>
      <c r="T1112" t="str">
        <f t="shared" si="69"/>
        <v/>
      </c>
      <c r="U1112" t="str">
        <f t="shared" si="70"/>
        <v>MI</v>
      </c>
      <c r="V1112" t="str">
        <f t="shared" si="71"/>
        <v>9463</v>
      </c>
    </row>
    <row r="1113" spans="1:22" x14ac:dyDescent="0.35">
      <c r="A1113">
        <v>183374</v>
      </c>
      <c r="B1113" t="s">
        <v>40</v>
      </c>
      <c r="C1113" t="s">
        <v>51</v>
      </c>
      <c r="D1113">
        <v>423</v>
      </c>
      <c r="E1113">
        <v>208</v>
      </c>
      <c r="F1113">
        <v>296</v>
      </c>
      <c r="G1113">
        <v>1</v>
      </c>
      <c r="H1113">
        <v>9445</v>
      </c>
      <c r="I1113">
        <v>24</v>
      </c>
      <c r="J1113">
        <v>43</v>
      </c>
      <c r="K1113">
        <v>229</v>
      </c>
      <c r="L1113">
        <v>261</v>
      </c>
      <c r="M1113">
        <v>4.3809523810000002</v>
      </c>
      <c r="N1113">
        <f>IFERROR(VLOOKUP(A1113,vlookup_table!$A:$G,2,FALSE),"")</f>
        <v>1</v>
      </c>
      <c r="O1113">
        <f>IFERROR(VLOOKUP(A1113,vlookup_table!$A:$G,4,FALSE),"")</f>
        <v>0</v>
      </c>
      <c r="P1113" t="str">
        <f>IFERROR(VLOOKUP(A1113,vlookup_table!$A:$G,5,FALSE),"")</f>
        <v>R3</v>
      </c>
      <c r="Q1113">
        <f>IFERROR(VLOOKUP(A1113,vlookup_table!$A:$G,7,FALSE),"")</f>
        <v>10</v>
      </c>
      <c r="R1113">
        <f t="shared" si="68"/>
        <v>97</v>
      </c>
      <c r="S1113" t="str" cm="1">
        <f t="array" ref="S1113">IF(P1113="","",_xlfn.SWITCH(LEFT(P1113,1),"C","Ciudad","T","Pueblo","R","Rural","S","Suburbano","U","Urbano",""))</f>
        <v>Rural</v>
      </c>
      <c r="T1113" t="str">
        <f t="shared" si="69"/>
        <v>M</v>
      </c>
      <c r="U1113" t="str">
        <f t="shared" si="70"/>
        <v>WA</v>
      </c>
      <c r="V1113" t="str">
        <f t="shared" si="71"/>
        <v>9445</v>
      </c>
    </row>
    <row r="1114" spans="1:22" x14ac:dyDescent="0.35">
      <c r="A1114">
        <v>28565</v>
      </c>
      <c r="B1114" t="s">
        <v>39</v>
      </c>
      <c r="C1114" t="s">
        <v>17</v>
      </c>
      <c r="D1114">
        <v>745</v>
      </c>
      <c r="E1114">
        <v>304</v>
      </c>
      <c r="F1114">
        <v>342</v>
      </c>
      <c r="G1114">
        <v>1</v>
      </c>
      <c r="H1114">
        <v>14465</v>
      </c>
      <c r="I1114">
        <v>17</v>
      </c>
      <c r="J1114">
        <v>39</v>
      </c>
      <c r="K1114">
        <v>275</v>
      </c>
      <c r="L1114">
        <v>353</v>
      </c>
      <c r="M1114">
        <v>5.1666666670000003</v>
      </c>
      <c r="N1114">
        <f>IFERROR(VLOOKUP(A1114,vlookup_table!$A:$G,2,FALSE),"")</f>
        <v>2</v>
      </c>
      <c r="O1114">
        <f>IFERROR(VLOOKUP(A1114,vlookup_table!$A:$G,4,FALSE),"")</f>
        <v>0</v>
      </c>
      <c r="P1114" t="str">
        <f>IFERROR(VLOOKUP(A1114,vlookup_table!$A:$G,5,FALSE),"")</f>
        <v>C3</v>
      </c>
      <c r="Q1114">
        <f>IFERROR(VLOOKUP(A1114,vlookup_table!$A:$G,7,FALSE),"")</f>
        <v>7</v>
      </c>
      <c r="R1114">
        <f t="shared" si="68"/>
        <v>97</v>
      </c>
      <c r="S1114" t="str" cm="1">
        <f t="array" ref="S1114">IF(P1114="","",_xlfn.SWITCH(LEFT(P1114,1),"C","Ciudad","T","Pueblo","R","Rural","S","Suburbano","U","Urbano",""))</f>
        <v>Ciudad</v>
      </c>
      <c r="T1114" t="str">
        <f t="shared" si="69"/>
        <v>F</v>
      </c>
      <c r="U1114" t="str">
        <f t="shared" si="70"/>
        <v>GA</v>
      </c>
      <c r="V1114" t="str">
        <f t="shared" si="71"/>
        <v>14465</v>
      </c>
    </row>
    <row r="1115" spans="1:22" x14ac:dyDescent="0.35">
      <c r="A1115">
        <v>139628</v>
      </c>
      <c r="B1115" t="s">
        <v>54</v>
      </c>
      <c r="C1115" t="s">
        <v>14</v>
      </c>
      <c r="D1115">
        <v>691</v>
      </c>
      <c r="E1115">
        <v>284</v>
      </c>
      <c r="F1115">
        <v>337</v>
      </c>
      <c r="G1115">
        <v>0</v>
      </c>
      <c r="H1115">
        <v>11852</v>
      </c>
      <c r="I1115">
        <v>1</v>
      </c>
      <c r="J1115">
        <v>46</v>
      </c>
      <c r="K1115">
        <v>294</v>
      </c>
      <c r="L1115">
        <v>319</v>
      </c>
      <c r="M1115">
        <v>17.16</v>
      </c>
      <c r="N1115">
        <f>IFERROR(VLOOKUP(A1115,vlookup_table!$A:$G,2,FALSE),"")</f>
        <v>2</v>
      </c>
      <c r="O1115">
        <f>IFERROR(VLOOKUP(A1115,vlookup_table!$A:$G,4,FALSE),"")</f>
        <v>3801</v>
      </c>
      <c r="P1115" t="str">
        <f>IFERROR(VLOOKUP(A1115,vlookup_table!$A:$G,5,FALSE),"")</f>
        <v>U2</v>
      </c>
      <c r="Q1115">
        <f>IFERROR(VLOOKUP(A1115,vlookup_table!$A:$G,7,FALSE),"")</f>
        <v>20</v>
      </c>
      <c r="R1115">
        <f t="shared" si="68"/>
        <v>59</v>
      </c>
      <c r="S1115" t="str" cm="1">
        <f t="array" ref="S1115">IF(P1115="","",_xlfn.SWITCH(LEFT(P1115,1),"C","Ciudad","T","Pueblo","R","Rural","S","Suburbano","U","Urbano",""))</f>
        <v>Urbano</v>
      </c>
      <c r="T1115" t="str">
        <f t="shared" si="69"/>
        <v>M</v>
      </c>
      <c r="U1115" t="str">
        <f t="shared" si="70"/>
        <v>NM</v>
      </c>
      <c r="V1115" t="str">
        <f t="shared" si="71"/>
        <v>11852</v>
      </c>
    </row>
    <row r="1116" spans="1:22" x14ac:dyDescent="0.35">
      <c r="A1116">
        <v>113686</v>
      </c>
      <c r="B1116" t="s">
        <v>31</v>
      </c>
      <c r="C1116" t="s">
        <v>44</v>
      </c>
      <c r="D1116">
        <v>657</v>
      </c>
      <c r="E1116">
        <v>358</v>
      </c>
      <c r="F1116">
        <v>366</v>
      </c>
      <c r="G1116">
        <v>0</v>
      </c>
      <c r="H1116">
        <v>10889</v>
      </c>
      <c r="I1116">
        <v>5</v>
      </c>
      <c r="J1116">
        <v>34</v>
      </c>
      <c r="K1116">
        <v>366</v>
      </c>
      <c r="L1116">
        <v>357</v>
      </c>
      <c r="M1116">
        <v>10</v>
      </c>
      <c r="N1116">
        <f>IFERROR(VLOOKUP(A1116,vlookup_table!$A:$G,2,FALSE),"")</f>
        <v>1002</v>
      </c>
      <c r="O1116">
        <f>IFERROR(VLOOKUP(A1116,vlookup_table!$A:$G,4,FALSE),"")</f>
        <v>5701</v>
      </c>
      <c r="P1116" t="str">
        <f>IFERROR(VLOOKUP(A1116,vlookup_table!$A:$G,5,FALSE),"")</f>
        <v>C2</v>
      </c>
      <c r="Q1116">
        <f>IFERROR(VLOOKUP(A1116,vlookup_table!$A:$G,7,FALSE),"")</f>
        <v>15</v>
      </c>
      <c r="R1116">
        <f t="shared" si="68"/>
        <v>40</v>
      </c>
      <c r="S1116" t="str" cm="1">
        <f t="array" ref="S1116">IF(P1116="","",_xlfn.SWITCH(LEFT(P1116,1),"C","Ciudad","T","Pueblo","R","Rural","S","Suburbano","U","Urbano",""))</f>
        <v>Ciudad</v>
      </c>
      <c r="T1116" t="str">
        <f t="shared" si="69"/>
        <v>J</v>
      </c>
      <c r="U1116" t="str">
        <f t="shared" si="70"/>
        <v>OK</v>
      </c>
      <c r="V1116" t="str">
        <f t="shared" si="71"/>
        <v>10889</v>
      </c>
    </row>
    <row r="1117" spans="1:22" x14ac:dyDescent="0.35">
      <c r="A1117">
        <v>123862</v>
      </c>
      <c r="B1117" t="s">
        <v>21</v>
      </c>
      <c r="C1117" t="s">
        <v>17</v>
      </c>
      <c r="D1117">
        <v>978</v>
      </c>
      <c r="E1117">
        <v>428</v>
      </c>
      <c r="F1117">
        <v>609</v>
      </c>
      <c r="G1117">
        <v>1</v>
      </c>
      <c r="H1117">
        <v>23102</v>
      </c>
      <c r="I1117">
        <v>7</v>
      </c>
      <c r="J1117">
        <v>43</v>
      </c>
      <c r="K1117">
        <v>559</v>
      </c>
      <c r="L1117">
        <v>475</v>
      </c>
      <c r="M1117">
        <v>4.3333333329999997</v>
      </c>
      <c r="N1117">
        <f>IFERROR(VLOOKUP(A1117,vlookup_table!$A:$G,2,FALSE),"")</f>
        <v>0</v>
      </c>
      <c r="O1117">
        <f>IFERROR(VLOOKUP(A1117,vlookup_table!$A:$G,4,FALSE),"")</f>
        <v>7001</v>
      </c>
      <c r="P1117" t="str">
        <f>IFERROR(VLOOKUP(A1117,vlookup_table!$A:$G,5,FALSE),"")</f>
        <v>C1</v>
      </c>
      <c r="Q1117">
        <f>IFERROR(VLOOKUP(A1117,vlookup_table!$A:$G,7,FALSE),"")</f>
        <v>3</v>
      </c>
      <c r="R1117">
        <f t="shared" si="68"/>
        <v>27</v>
      </c>
      <c r="S1117" t="str" cm="1">
        <f t="array" ref="S1117">IF(P1117="","",_xlfn.SWITCH(LEFT(P1117,1),"C","Ciudad","T","Pueblo","R","Rural","S","Suburbano","U","Urbano",""))</f>
        <v>Ciudad</v>
      </c>
      <c r="T1117" t="str">
        <f t="shared" si="69"/>
        <v>F</v>
      </c>
      <c r="U1117" t="str">
        <f t="shared" si="70"/>
        <v>TX</v>
      </c>
      <c r="V1117" t="str">
        <f t="shared" si="71"/>
        <v>23102</v>
      </c>
    </row>
    <row r="1118" spans="1:22" x14ac:dyDescent="0.35">
      <c r="A1118">
        <v>151629</v>
      </c>
      <c r="B1118" t="s">
        <v>22</v>
      </c>
      <c r="C1118" t="s">
        <v>17</v>
      </c>
      <c r="D1118">
        <v>1586</v>
      </c>
      <c r="E1118">
        <v>308</v>
      </c>
      <c r="F1118">
        <v>369</v>
      </c>
      <c r="G1118">
        <v>10</v>
      </c>
      <c r="H1118">
        <v>11913</v>
      </c>
      <c r="I1118">
        <v>12</v>
      </c>
      <c r="J1118">
        <v>32</v>
      </c>
      <c r="K1118">
        <v>321</v>
      </c>
      <c r="L1118">
        <v>337</v>
      </c>
      <c r="M1118">
        <v>9.5</v>
      </c>
      <c r="N1118">
        <f>IFERROR(VLOOKUP(A1118,vlookup_table!$A:$G,2,FALSE),"")</f>
        <v>0</v>
      </c>
      <c r="O1118">
        <f>IFERROR(VLOOKUP(A1118,vlookup_table!$A:$G,4,FALSE),"")</f>
        <v>3601</v>
      </c>
      <c r="P1118" t="str">
        <f>IFERROR(VLOOKUP(A1118,vlookup_table!$A:$G,5,FALSE),"")</f>
        <v>U3</v>
      </c>
      <c r="Q1118">
        <f>IFERROR(VLOOKUP(A1118,vlookup_table!$A:$G,7,FALSE),"")</f>
        <v>15</v>
      </c>
      <c r="R1118">
        <f t="shared" si="68"/>
        <v>61</v>
      </c>
      <c r="S1118" t="str" cm="1">
        <f t="array" ref="S1118">IF(P1118="","",_xlfn.SWITCH(LEFT(P1118,1),"C","Ciudad","T","Pueblo","R","Rural","S","Suburbano","U","Urbano",""))</f>
        <v>Urbano</v>
      </c>
      <c r="T1118" t="str">
        <f t="shared" si="69"/>
        <v>F</v>
      </c>
      <c r="U1118" t="str">
        <f t="shared" si="70"/>
        <v>CA</v>
      </c>
      <c r="V1118" t="str">
        <f t="shared" si="71"/>
        <v>11913</v>
      </c>
    </row>
    <row r="1119" spans="1:22" x14ac:dyDescent="0.35">
      <c r="A1119">
        <v>5404</v>
      </c>
      <c r="B1119" t="s">
        <v>49</v>
      </c>
      <c r="C1119" t="s">
        <v>30</v>
      </c>
      <c r="D1119">
        <v>587</v>
      </c>
      <c r="E1119">
        <v>291</v>
      </c>
      <c r="F1119">
        <v>331</v>
      </c>
      <c r="G1119">
        <v>0</v>
      </c>
      <c r="H1119">
        <v>10789</v>
      </c>
      <c r="I1119">
        <v>0</v>
      </c>
      <c r="J1119">
        <v>75</v>
      </c>
      <c r="K1119">
        <v>302</v>
      </c>
      <c r="L1119">
        <v>317</v>
      </c>
      <c r="M1119">
        <v>17.53846154</v>
      </c>
      <c r="N1119">
        <f>IFERROR(VLOOKUP(A1119,vlookup_table!$A:$G,2,FALSE),"")</f>
        <v>0</v>
      </c>
      <c r="O1119">
        <f>IFERROR(VLOOKUP(A1119,vlookup_table!$A:$G,4,FALSE),"")</f>
        <v>3611</v>
      </c>
      <c r="P1119" t="str">
        <f>IFERROR(VLOOKUP(A1119,vlookup_table!$A:$G,5,FALSE),"")</f>
        <v>T2</v>
      </c>
      <c r="Q1119">
        <f>IFERROR(VLOOKUP(A1119,vlookup_table!$A:$G,7,FALSE),"")</f>
        <v>10</v>
      </c>
      <c r="R1119">
        <f t="shared" si="68"/>
        <v>61</v>
      </c>
      <c r="S1119" t="str" cm="1">
        <f t="array" ref="S1119">IF(P1119="","",_xlfn.SWITCH(LEFT(P1119,1),"C","Ciudad","T","Pueblo","R","Rural","S","Suburbano","U","Urbano",""))</f>
        <v>Pueblo</v>
      </c>
      <c r="T1119" t="str">
        <f t="shared" si="69"/>
        <v>U</v>
      </c>
      <c r="U1119" t="str">
        <f t="shared" si="70"/>
        <v>LA</v>
      </c>
      <c r="V1119" t="str">
        <f t="shared" si="71"/>
        <v>10789</v>
      </c>
    </row>
    <row r="1120" spans="1:22" x14ac:dyDescent="0.35">
      <c r="A1120">
        <v>150516</v>
      </c>
      <c r="B1120" t="s">
        <v>22</v>
      </c>
      <c r="C1120" t="s">
        <v>17</v>
      </c>
      <c r="D1120">
        <v>3304</v>
      </c>
      <c r="E1120">
        <v>567</v>
      </c>
      <c r="F1120">
        <v>669</v>
      </c>
      <c r="G1120">
        <v>82</v>
      </c>
      <c r="H1120">
        <v>21745</v>
      </c>
      <c r="I1120">
        <v>42</v>
      </c>
      <c r="J1120">
        <v>37</v>
      </c>
      <c r="K1120">
        <v>614</v>
      </c>
      <c r="L1120">
        <v>629</v>
      </c>
      <c r="M1120">
        <v>24.058823530000002</v>
      </c>
      <c r="N1120">
        <f>IFERROR(VLOOKUP(A1120,vlookup_table!$A:$G,2,FALSE),"")</f>
        <v>28</v>
      </c>
      <c r="O1120">
        <f>IFERROR(VLOOKUP(A1120,vlookup_table!$A:$G,4,FALSE),"")</f>
        <v>1501</v>
      </c>
      <c r="P1120" t="str">
        <f>IFERROR(VLOOKUP(A1120,vlookup_table!$A:$G,5,FALSE),"")</f>
        <v>S1</v>
      </c>
      <c r="Q1120">
        <f>IFERROR(VLOOKUP(A1120,vlookup_table!$A:$G,7,FALSE),"")</f>
        <v>25</v>
      </c>
      <c r="R1120">
        <f t="shared" si="68"/>
        <v>82</v>
      </c>
      <c r="S1120" t="str" cm="1">
        <f t="array" ref="S1120">IF(P1120="","",_xlfn.SWITCH(LEFT(P1120,1),"C","Ciudad","T","Pueblo","R","Rural","S","Suburbano","U","Urbano",""))</f>
        <v>Suburbano</v>
      </c>
      <c r="T1120" t="str">
        <f t="shared" si="69"/>
        <v>F</v>
      </c>
      <c r="U1120" t="str">
        <f t="shared" si="70"/>
        <v>CA</v>
      </c>
      <c r="V1120" t="str">
        <f t="shared" si="71"/>
        <v>21745</v>
      </c>
    </row>
    <row r="1121" spans="1:22" x14ac:dyDescent="0.35">
      <c r="A1121">
        <v>31911</v>
      </c>
      <c r="B1121" t="s">
        <v>71</v>
      </c>
      <c r="C1121" t="s">
        <v>17</v>
      </c>
      <c r="D1121">
        <v>800</v>
      </c>
      <c r="E1121">
        <v>294</v>
      </c>
      <c r="F1121">
        <v>376</v>
      </c>
      <c r="G1121">
        <v>1</v>
      </c>
      <c r="H1121">
        <v>13480</v>
      </c>
      <c r="I1121">
        <v>0</v>
      </c>
      <c r="J1121">
        <v>63</v>
      </c>
      <c r="K1121">
        <v>358</v>
      </c>
      <c r="L1121">
        <v>333</v>
      </c>
      <c r="M1121">
        <v>4.2857142860000002</v>
      </c>
      <c r="N1121">
        <f>IFERROR(VLOOKUP(A1121,vlookup_table!$A:$G,2,FALSE),"")</f>
        <v>0</v>
      </c>
      <c r="O1121">
        <f>IFERROR(VLOOKUP(A1121,vlookup_table!$A:$G,4,FALSE),"")</f>
        <v>0</v>
      </c>
      <c r="P1121" t="str">
        <f>IFERROR(VLOOKUP(A1121,vlookup_table!$A:$G,5,FALSE),"")</f>
        <v>S1</v>
      </c>
      <c r="Q1121">
        <f>IFERROR(VLOOKUP(A1121,vlookup_table!$A:$G,7,FALSE),"")</f>
        <v>5</v>
      </c>
      <c r="R1121">
        <f t="shared" si="68"/>
        <v>97</v>
      </c>
      <c r="S1121" t="str" cm="1">
        <f t="array" ref="S1121">IF(P1121="","",_xlfn.SWITCH(LEFT(P1121,1),"C","Ciudad","T","Pueblo","R","Rural","S","Suburbano","U","Urbano",""))</f>
        <v>Suburbano</v>
      </c>
      <c r="T1121" t="str">
        <f t="shared" si="69"/>
        <v>F</v>
      </c>
      <c r="U1121" t="str">
        <f t="shared" si="70"/>
        <v>VA</v>
      </c>
      <c r="V1121" t="str">
        <f t="shared" si="71"/>
        <v>13480</v>
      </c>
    </row>
    <row r="1122" spans="1:22" x14ac:dyDescent="0.35">
      <c r="A1122">
        <v>2379</v>
      </c>
      <c r="B1122" t="s">
        <v>29</v>
      </c>
      <c r="C1122" t="s">
        <v>14</v>
      </c>
      <c r="D1122">
        <v>1596</v>
      </c>
      <c r="E1122">
        <v>549</v>
      </c>
      <c r="F1122">
        <v>672</v>
      </c>
      <c r="G1122">
        <v>31</v>
      </c>
      <c r="H1122">
        <v>23345</v>
      </c>
      <c r="I1122">
        <v>3</v>
      </c>
      <c r="J1122">
        <v>71</v>
      </c>
      <c r="K1122">
        <v>603</v>
      </c>
      <c r="L1122">
        <v>631</v>
      </c>
      <c r="M1122">
        <v>10.875</v>
      </c>
      <c r="N1122">
        <f>IFERROR(VLOOKUP(A1122,vlookup_table!$A:$G,2,FALSE),"")</f>
        <v>1</v>
      </c>
      <c r="O1122">
        <f>IFERROR(VLOOKUP(A1122,vlookup_table!$A:$G,4,FALSE),"")</f>
        <v>4809</v>
      </c>
      <c r="P1122" t="str">
        <f>IFERROR(VLOOKUP(A1122,vlookup_table!$A:$G,5,FALSE),"")</f>
        <v>T1</v>
      </c>
      <c r="Q1122">
        <f>IFERROR(VLOOKUP(A1122,vlookup_table!$A:$G,7,FALSE),"")</f>
        <v>10</v>
      </c>
      <c r="R1122">
        <f t="shared" si="68"/>
        <v>49</v>
      </c>
      <c r="S1122" t="str" cm="1">
        <f t="array" ref="S1122">IF(P1122="","",_xlfn.SWITCH(LEFT(P1122,1),"C","Ciudad","T","Pueblo","R","Rural","S","Suburbano","U","Urbano",""))</f>
        <v>Pueblo</v>
      </c>
      <c r="T1122" t="str">
        <f t="shared" si="69"/>
        <v>M</v>
      </c>
      <c r="U1122" t="str">
        <f t="shared" si="70"/>
        <v>MI</v>
      </c>
      <c r="V1122" t="str">
        <f t="shared" si="71"/>
        <v>23345</v>
      </c>
    </row>
    <row r="1123" spans="1:22" x14ac:dyDescent="0.35">
      <c r="A1123">
        <v>151455</v>
      </c>
      <c r="B1123" t="s">
        <v>22</v>
      </c>
      <c r="D1123">
        <v>2105</v>
      </c>
      <c r="E1123">
        <v>301</v>
      </c>
      <c r="F1123">
        <v>395</v>
      </c>
      <c r="G1123">
        <v>55</v>
      </c>
      <c r="H1123">
        <v>13279</v>
      </c>
      <c r="I1123">
        <v>47</v>
      </c>
      <c r="J1123">
        <v>36</v>
      </c>
      <c r="K1123">
        <v>314</v>
      </c>
      <c r="L1123">
        <v>372</v>
      </c>
      <c r="M1123">
        <v>15.33333333</v>
      </c>
      <c r="N1123">
        <f>IFERROR(VLOOKUP(A1123,vlookup_table!$A:$G,2,FALSE),"")</f>
        <v>0</v>
      </c>
      <c r="O1123">
        <f>IFERROR(VLOOKUP(A1123,vlookup_table!$A:$G,4,FALSE),"")</f>
        <v>0</v>
      </c>
      <c r="P1123" t="str">
        <f>IFERROR(VLOOKUP(A1123,vlookup_table!$A:$G,5,FALSE),"")</f>
        <v>U4</v>
      </c>
      <c r="Q1123">
        <f>IFERROR(VLOOKUP(A1123,vlookup_table!$A:$G,7,FALSE),"")</f>
        <v>20</v>
      </c>
      <c r="R1123">
        <f t="shared" si="68"/>
        <v>97</v>
      </c>
      <c r="S1123" t="str" cm="1">
        <f t="array" ref="S1123">IF(P1123="","",_xlfn.SWITCH(LEFT(P1123,1),"C","Ciudad","T","Pueblo","R","Rural","S","Suburbano","U","Urbano",""))</f>
        <v>Urbano</v>
      </c>
      <c r="T1123" t="str">
        <f t="shared" si="69"/>
        <v/>
      </c>
      <c r="U1123" t="str">
        <f t="shared" si="70"/>
        <v>CA</v>
      </c>
      <c r="V1123" t="str">
        <f t="shared" si="71"/>
        <v>13279</v>
      </c>
    </row>
    <row r="1124" spans="1:22" x14ac:dyDescent="0.35">
      <c r="A1124">
        <v>90499</v>
      </c>
      <c r="B1124" t="s">
        <v>16</v>
      </c>
      <c r="C1124" t="s">
        <v>17</v>
      </c>
      <c r="D1124">
        <v>1480</v>
      </c>
      <c r="E1124">
        <v>560</v>
      </c>
      <c r="F1124">
        <v>718</v>
      </c>
      <c r="G1124">
        <v>25</v>
      </c>
      <c r="H1124">
        <v>22088</v>
      </c>
      <c r="I1124">
        <v>16</v>
      </c>
      <c r="J1124">
        <v>51</v>
      </c>
      <c r="K1124">
        <v>684</v>
      </c>
      <c r="L1124">
        <v>635</v>
      </c>
      <c r="M1124">
        <v>7.6170212770000001</v>
      </c>
      <c r="N1124">
        <f>IFERROR(VLOOKUP(A1124,vlookup_table!$A:$G,2,FALSE),"")</f>
        <v>0</v>
      </c>
      <c r="O1124">
        <f>IFERROR(VLOOKUP(A1124,vlookup_table!$A:$G,4,FALSE),"")</f>
        <v>5208</v>
      </c>
      <c r="P1124" t="str">
        <f>IFERROR(VLOOKUP(A1124,vlookup_table!$A:$G,5,FALSE),"")</f>
        <v>C1</v>
      </c>
      <c r="Q1124">
        <f>IFERROR(VLOOKUP(A1124,vlookup_table!$A:$G,7,FALSE),"")</f>
        <v>10</v>
      </c>
      <c r="R1124">
        <f t="shared" si="68"/>
        <v>45</v>
      </c>
      <c r="S1124" t="str" cm="1">
        <f t="array" ref="S1124">IF(P1124="","",_xlfn.SWITCH(LEFT(P1124,1),"C","Ciudad","T","Pueblo","R","Rural","S","Suburbano","U","Urbano",""))</f>
        <v>Ciudad</v>
      </c>
      <c r="T1124" t="str">
        <f t="shared" si="69"/>
        <v>F</v>
      </c>
      <c r="U1124" t="str">
        <f t="shared" si="70"/>
        <v>IL</v>
      </c>
      <c r="V1124" t="str">
        <f t="shared" si="71"/>
        <v>22088</v>
      </c>
    </row>
    <row r="1125" spans="1:22" x14ac:dyDescent="0.35">
      <c r="A1125">
        <v>177307</v>
      </c>
      <c r="B1125" t="s">
        <v>50</v>
      </c>
      <c r="C1125" t="s">
        <v>17</v>
      </c>
      <c r="D1125">
        <v>585</v>
      </c>
      <c r="E1125">
        <v>216</v>
      </c>
      <c r="F1125">
        <v>292</v>
      </c>
      <c r="G1125">
        <v>1</v>
      </c>
      <c r="H1125">
        <v>10423</v>
      </c>
      <c r="I1125">
        <v>4</v>
      </c>
      <c r="J1125">
        <v>42</v>
      </c>
      <c r="K1125">
        <v>266</v>
      </c>
      <c r="L1125">
        <v>255</v>
      </c>
      <c r="M1125">
        <v>9.7272727270000008</v>
      </c>
      <c r="N1125">
        <f>IFERROR(VLOOKUP(A1125,vlookup_table!$A:$G,2,FALSE),"")</f>
        <v>28</v>
      </c>
      <c r="O1125">
        <f>IFERROR(VLOOKUP(A1125,vlookup_table!$A:$G,4,FALSE),"")</f>
        <v>0</v>
      </c>
      <c r="P1125" t="str">
        <f>IFERROR(VLOOKUP(A1125,vlookup_table!$A:$G,5,FALSE),"")</f>
        <v>C3</v>
      </c>
      <c r="Q1125">
        <f>IFERROR(VLOOKUP(A1125,vlookup_table!$A:$G,7,FALSE),"")</f>
        <v>10</v>
      </c>
      <c r="R1125">
        <f t="shared" si="68"/>
        <v>97</v>
      </c>
      <c r="S1125" t="str" cm="1">
        <f t="array" ref="S1125">IF(P1125="","",_xlfn.SWITCH(LEFT(P1125,1),"C","Ciudad","T","Pueblo","R","Rural","S","Suburbano","U","Urbano",""))</f>
        <v>Ciudad</v>
      </c>
      <c r="T1125" t="str">
        <f t="shared" si="69"/>
        <v>F</v>
      </c>
      <c r="U1125" t="str">
        <f t="shared" si="70"/>
        <v>OR</v>
      </c>
      <c r="V1125" t="str">
        <f t="shared" si="71"/>
        <v>10423</v>
      </c>
    </row>
    <row r="1126" spans="1:22" x14ac:dyDescent="0.35">
      <c r="A1126">
        <v>65423</v>
      </c>
      <c r="B1126" t="s">
        <v>29</v>
      </c>
      <c r="C1126" t="s">
        <v>17</v>
      </c>
      <c r="D1126">
        <v>1033</v>
      </c>
      <c r="E1126">
        <v>488</v>
      </c>
      <c r="F1126">
        <v>651</v>
      </c>
      <c r="G1126">
        <v>0</v>
      </c>
      <c r="H1126">
        <v>22157</v>
      </c>
      <c r="I1126">
        <v>5</v>
      </c>
      <c r="J1126">
        <v>72</v>
      </c>
      <c r="K1126">
        <v>611</v>
      </c>
      <c r="L1126">
        <v>565</v>
      </c>
      <c r="M1126">
        <v>10.33333333</v>
      </c>
      <c r="N1126">
        <f>IFERROR(VLOOKUP(A1126,vlookup_table!$A:$G,2,FALSE),"")</f>
        <v>3</v>
      </c>
      <c r="O1126">
        <f>IFERROR(VLOOKUP(A1126,vlookup_table!$A:$G,4,FALSE),"")</f>
        <v>3401</v>
      </c>
      <c r="P1126" t="str">
        <f>IFERROR(VLOOKUP(A1126,vlookup_table!$A:$G,5,FALSE),"")</f>
        <v>S1</v>
      </c>
      <c r="Q1126">
        <f>IFERROR(VLOOKUP(A1126,vlookup_table!$A:$G,7,FALSE),"")</f>
        <v>10</v>
      </c>
      <c r="R1126">
        <f t="shared" si="68"/>
        <v>63</v>
      </c>
      <c r="S1126" t="str" cm="1">
        <f t="array" ref="S1126">IF(P1126="","",_xlfn.SWITCH(LEFT(P1126,1),"C","Ciudad","T","Pueblo","R","Rural","S","Suburbano","U","Urbano",""))</f>
        <v>Suburbano</v>
      </c>
      <c r="T1126" t="str">
        <f t="shared" si="69"/>
        <v>F</v>
      </c>
      <c r="U1126" t="str">
        <f t="shared" si="70"/>
        <v>MI</v>
      </c>
      <c r="V1126" t="str">
        <f t="shared" si="71"/>
        <v>22157</v>
      </c>
    </row>
    <row r="1127" spans="1:22" x14ac:dyDescent="0.35">
      <c r="A1127">
        <v>95800</v>
      </c>
      <c r="B1127" t="s">
        <v>16</v>
      </c>
      <c r="C1127" t="s">
        <v>14</v>
      </c>
      <c r="D1127">
        <v>340</v>
      </c>
      <c r="E1127">
        <v>147</v>
      </c>
      <c r="F1127">
        <v>252</v>
      </c>
      <c r="G1127">
        <v>0</v>
      </c>
      <c r="H1127">
        <v>7173</v>
      </c>
      <c r="I1127">
        <v>5</v>
      </c>
      <c r="J1127">
        <v>58</v>
      </c>
      <c r="K1127">
        <v>178</v>
      </c>
      <c r="L1127">
        <v>217</v>
      </c>
      <c r="M1127">
        <v>10.199999999999999</v>
      </c>
      <c r="N1127">
        <f>IFERROR(VLOOKUP(A1127,vlookup_table!$A:$G,2,FALSE),"")</f>
        <v>1</v>
      </c>
      <c r="O1127">
        <f>IFERROR(VLOOKUP(A1127,vlookup_table!$A:$G,4,FALSE),"")</f>
        <v>1004</v>
      </c>
      <c r="P1127" t="str">
        <f>IFERROR(VLOOKUP(A1127,vlookup_table!$A:$G,5,FALSE),"")</f>
        <v>S3</v>
      </c>
      <c r="Q1127">
        <f>IFERROR(VLOOKUP(A1127,vlookup_table!$A:$G,7,FALSE),"")</f>
        <v>20</v>
      </c>
      <c r="R1127">
        <f t="shared" si="68"/>
        <v>87</v>
      </c>
      <c r="S1127" t="str" cm="1">
        <f t="array" ref="S1127">IF(P1127="","",_xlfn.SWITCH(LEFT(P1127,1),"C","Ciudad","T","Pueblo","R","Rural","S","Suburbano","U","Urbano",""))</f>
        <v>Suburbano</v>
      </c>
      <c r="T1127" t="str">
        <f t="shared" si="69"/>
        <v>M</v>
      </c>
      <c r="U1127" t="str">
        <f t="shared" si="70"/>
        <v>IL</v>
      </c>
      <c r="V1127" t="str">
        <f t="shared" si="71"/>
        <v>7173</v>
      </c>
    </row>
    <row r="1128" spans="1:22" x14ac:dyDescent="0.35">
      <c r="A1128">
        <v>91965</v>
      </c>
      <c r="B1128" t="s">
        <v>16</v>
      </c>
      <c r="D1128">
        <v>1708</v>
      </c>
      <c r="E1128">
        <v>342</v>
      </c>
      <c r="F1128">
        <v>455</v>
      </c>
      <c r="G1128">
        <v>11</v>
      </c>
      <c r="H1128">
        <v>21795</v>
      </c>
      <c r="I1128">
        <v>21</v>
      </c>
      <c r="J1128">
        <v>70</v>
      </c>
      <c r="K1128">
        <v>413</v>
      </c>
      <c r="L1128">
        <v>374</v>
      </c>
      <c r="M1128">
        <v>12.6875</v>
      </c>
      <c r="N1128">
        <f>IFERROR(VLOOKUP(A1128,vlookup_table!$A:$G,2,FALSE),"")</f>
        <v>2</v>
      </c>
      <c r="O1128">
        <f>IFERROR(VLOOKUP(A1128,vlookup_table!$A:$G,4,FALSE),"")</f>
        <v>4505</v>
      </c>
      <c r="P1128" t="str">
        <f>IFERROR(VLOOKUP(A1128,vlookup_table!$A:$G,5,FALSE),"")</f>
        <v>S2</v>
      </c>
      <c r="Q1128">
        <f>IFERROR(VLOOKUP(A1128,vlookup_table!$A:$G,7,FALSE),"")</f>
        <v>16</v>
      </c>
      <c r="R1128">
        <f t="shared" si="68"/>
        <v>52</v>
      </c>
      <c r="S1128" t="str" cm="1">
        <f t="array" ref="S1128">IF(P1128="","",_xlfn.SWITCH(LEFT(P1128,1),"C","Ciudad","T","Pueblo","R","Rural","S","Suburbano","U","Urbano",""))</f>
        <v>Suburbano</v>
      </c>
      <c r="T1128" t="str">
        <f t="shared" si="69"/>
        <v/>
      </c>
      <c r="U1128" t="str">
        <f t="shared" si="70"/>
        <v>IL</v>
      </c>
      <c r="V1128" t="str">
        <f t="shared" si="71"/>
        <v>21795</v>
      </c>
    </row>
    <row r="1129" spans="1:22" x14ac:dyDescent="0.35">
      <c r="A1129">
        <v>104721</v>
      </c>
      <c r="B1129" t="s">
        <v>28</v>
      </c>
      <c r="C1129" t="s">
        <v>17</v>
      </c>
      <c r="D1129">
        <v>1419</v>
      </c>
      <c r="E1129">
        <v>694</v>
      </c>
      <c r="F1129">
        <v>777</v>
      </c>
      <c r="G1129">
        <v>13</v>
      </c>
      <c r="H1129">
        <v>25024</v>
      </c>
      <c r="I1129">
        <v>1</v>
      </c>
      <c r="J1129">
        <v>29</v>
      </c>
      <c r="K1129">
        <v>698</v>
      </c>
      <c r="L1129">
        <v>766</v>
      </c>
      <c r="M1129">
        <v>7.3636363640000004</v>
      </c>
      <c r="N1129">
        <f>IFERROR(VLOOKUP(A1129,vlookup_table!$A:$G,2,FALSE),"")</f>
        <v>0</v>
      </c>
      <c r="O1129">
        <f>IFERROR(VLOOKUP(A1129,vlookup_table!$A:$G,4,FALSE),"")</f>
        <v>6701</v>
      </c>
      <c r="P1129" t="str">
        <f>IFERROR(VLOOKUP(A1129,vlookup_table!$A:$G,5,FALSE),"")</f>
        <v>S2</v>
      </c>
      <c r="Q1129">
        <f>IFERROR(VLOOKUP(A1129,vlookup_table!$A:$G,7,FALSE),"")</f>
        <v>10</v>
      </c>
      <c r="R1129">
        <f t="shared" si="68"/>
        <v>30</v>
      </c>
      <c r="S1129" t="str" cm="1">
        <f t="array" ref="S1129">IF(P1129="","",_xlfn.SWITCH(LEFT(P1129,1),"C","Ciudad","T","Pueblo","R","Rural","S","Suburbano","U","Urbano",""))</f>
        <v>Suburbano</v>
      </c>
      <c r="T1129" t="str">
        <f t="shared" si="69"/>
        <v>F</v>
      </c>
      <c r="U1129" t="str">
        <f t="shared" si="70"/>
        <v>KS</v>
      </c>
      <c r="V1129" t="str">
        <f t="shared" si="71"/>
        <v>25024</v>
      </c>
    </row>
    <row r="1130" spans="1:22" x14ac:dyDescent="0.35">
      <c r="A1130">
        <v>165177</v>
      </c>
      <c r="B1130" t="s">
        <v>22</v>
      </c>
      <c r="C1130" t="s">
        <v>17</v>
      </c>
      <c r="D1130">
        <v>2698</v>
      </c>
      <c r="E1130">
        <v>563</v>
      </c>
      <c r="F1130">
        <v>599</v>
      </c>
      <c r="G1130">
        <v>89</v>
      </c>
      <c r="H1130">
        <v>18228</v>
      </c>
      <c r="I1130">
        <v>27</v>
      </c>
      <c r="J1130">
        <v>49</v>
      </c>
      <c r="K1130">
        <v>593</v>
      </c>
      <c r="L1130">
        <v>572</v>
      </c>
      <c r="M1130">
        <v>10.81818182</v>
      </c>
      <c r="N1130">
        <f>IFERROR(VLOOKUP(A1130,vlookup_table!$A:$G,2,FALSE),"")</f>
        <v>0</v>
      </c>
      <c r="O1130">
        <f>IFERROR(VLOOKUP(A1130,vlookup_table!$A:$G,4,FALSE),"")</f>
        <v>0</v>
      </c>
      <c r="P1130" t="str">
        <f>IFERROR(VLOOKUP(A1130,vlookup_table!$A:$G,5,FALSE),"")</f>
        <v>U1</v>
      </c>
      <c r="Q1130">
        <f>IFERROR(VLOOKUP(A1130,vlookup_table!$A:$G,7,FALSE),"")</f>
        <v>5</v>
      </c>
      <c r="R1130">
        <f t="shared" si="68"/>
        <v>97</v>
      </c>
      <c r="S1130" t="str" cm="1">
        <f t="array" ref="S1130">IF(P1130="","",_xlfn.SWITCH(LEFT(P1130,1),"C","Ciudad","T","Pueblo","R","Rural","S","Suburbano","U","Urbano",""))</f>
        <v>Urbano</v>
      </c>
      <c r="T1130" t="str">
        <f t="shared" si="69"/>
        <v>F</v>
      </c>
      <c r="U1130" t="str">
        <f t="shared" si="70"/>
        <v>CA</v>
      </c>
      <c r="V1130" t="str">
        <f t="shared" si="71"/>
        <v>18228</v>
      </c>
    </row>
    <row r="1131" spans="1:22" x14ac:dyDescent="0.35">
      <c r="A1131">
        <v>156929</v>
      </c>
      <c r="B1131" t="s">
        <v>22</v>
      </c>
      <c r="C1131" t="s">
        <v>30</v>
      </c>
      <c r="D1131">
        <v>2688</v>
      </c>
      <c r="E1131">
        <v>306</v>
      </c>
      <c r="F1131">
        <v>449</v>
      </c>
      <c r="G1131">
        <v>88</v>
      </c>
      <c r="H1131">
        <v>24944</v>
      </c>
      <c r="I1131">
        <v>5</v>
      </c>
      <c r="J1131">
        <v>37</v>
      </c>
      <c r="K1131">
        <v>367</v>
      </c>
      <c r="L1131">
        <v>418</v>
      </c>
      <c r="M1131">
        <v>8.6428571430000005</v>
      </c>
      <c r="N1131">
        <f>IFERROR(VLOOKUP(A1131,vlookup_table!$A:$G,2,FALSE),"")</f>
        <v>0</v>
      </c>
      <c r="O1131">
        <f>IFERROR(VLOOKUP(A1131,vlookup_table!$A:$G,4,FALSE),"")</f>
        <v>0</v>
      </c>
      <c r="P1131" t="str">
        <f>IFERROR(VLOOKUP(A1131,vlookup_table!$A:$G,5,FALSE),"")</f>
        <v>U2</v>
      </c>
      <c r="Q1131">
        <f>IFERROR(VLOOKUP(A1131,vlookup_table!$A:$G,7,FALSE),"")</f>
        <v>15</v>
      </c>
      <c r="R1131">
        <f t="shared" si="68"/>
        <v>97</v>
      </c>
      <c r="S1131" t="str" cm="1">
        <f t="array" ref="S1131">IF(P1131="","",_xlfn.SWITCH(LEFT(P1131,1),"C","Ciudad","T","Pueblo","R","Rural","S","Suburbano","U","Urbano",""))</f>
        <v>Urbano</v>
      </c>
      <c r="T1131" t="str">
        <f t="shared" si="69"/>
        <v>U</v>
      </c>
      <c r="U1131" t="str">
        <f t="shared" si="70"/>
        <v>CA</v>
      </c>
      <c r="V1131" t="str">
        <f t="shared" si="71"/>
        <v>24944</v>
      </c>
    </row>
    <row r="1132" spans="1:22" x14ac:dyDescent="0.35">
      <c r="A1132">
        <v>52549</v>
      </c>
      <c r="B1132" t="s">
        <v>53</v>
      </c>
      <c r="C1132" t="s">
        <v>14</v>
      </c>
      <c r="D1132">
        <v>556</v>
      </c>
      <c r="E1132">
        <v>202</v>
      </c>
      <c r="F1132">
        <v>389</v>
      </c>
      <c r="G1132">
        <v>1</v>
      </c>
      <c r="H1132">
        <v>14382</v>
      </c>
      <c r="I1132">
        <v>0</v>
      </c>
      <c r="J1132">
        <v>81</v>
      </c>
      <c r="K1132">
        <v>346</v>
      </c>
      <c r="L1132">
        <v>270</v>
      </c>
      <c r="M1132">
        <v>13.11111111</v>
      </c>
      <c r="N1132">
        <f>IFERROR(VLOOKUP(A1132,vlookup_table!$A:$G,2,FALSE),"")</f>
        <v>1</v>
      </c>
      <c r="O1132">
        <f>IFERROR(VLOOKUP(A1132,vlookup_table!$A:$G,4,FALSE),"")</f>
        <v>5501</v>
      </c>
      <c r="P1132" t="str">
        <f>IFERROR(VLOOKUP(A1132,vlookup_table!$A:$G,5,FALSE),"")</f>
        <v>R2</v>
      </c>
      <c r="Q1132">
        <f>IFERROR(VLOOKUP(A1132,vlookup_table!$A:$G,7,FALSE),"")</f>
        <v>30</v>
      </c>
      <c r="R1132">
        <f t="shared" si="68"/>
        <v>42</v>
      </c>
      <c r="S1132" t="str" cm="1">
        <f t="array" ref="S1132">IF(P1132="","",_xlfn.SWITCH(LEFT(P1132,1),"C","Ciudad","T","Pueblo","R","Rural","S","Suburbano","U","Urbano",""))</f>
        <v>Rural</v>
      </c>
      <c r="T1132" t="str">
        <f t="shared" si="69"/>
        <v>M</v>
      </c>
      <c r="U1132" t="str">
        <f t="shared" si="70"/>
        <v>TN</v>
      </c>
      <c r="V1132" t="str">
        <f t="shared" si="71"/>
        <v>14382</v>
      </c>
    </row>
    <row r="1133" spans="1:22" x14ac:dyDescent="0.35">
      <c r="A1133">
        <v>51706</v>
      </c>
      <c r="B1133" t="s">
        <v>53</v>
      </c>
      <c r="C1133" t="s">
        <v>14</v>
      </c>
      <c r="D1133">
        <v>972</v>
      </c>
      <c r="E1133">
        <v>193</v>
      </c>
      <c r="F1133">
        <v>318</v>
      </c>
      <c r="G1133">
        <v>16</v>
      </c>
      <c r="H1133">
        <v>8716</v>
      </c>
      <c r="I1133">
        <v>0</v>
      </c>
      <c r="J1133">
        <v>71</v>
      </c>
      <c r="K1133">
        <v>278</v>
      </c>
      <c r="L1133">
        <v>281</v>
      </c>
      <c r="M1133">
        <v>11.42857143</v>
      </c>
      <c r="N1133">
        <f>IFERROR(VLOOKUP(A1133,vlookup_table!$A:$G,2,FALSE),"")</f>
        <v>0</v>
      </c>
      <c r="O1133">
        <f>IFERROR(VLOOKUP(A1133,vlookup_table!$A:$G,4,FALSE),"")</f>
        <v>4808</v>
      </c>
      <c r="P1133" t="str">
        <f>IFERROR(VLOOKUP(A1133,vlookup_table!$A:$G,5,FALSE),"")</f>
        <v>T2</v>
      </c>
      <c r="Q1133">
        <f>IFERROR(VLOOKUP(A1133,vlookup_table!$A:$G,7,FALSE),"")</f>
        <v>15</v>
      </c>
      <c r="R1133">
        <f t="shared" si="68"/>
        <v>49</v>
      </c>
      <c r="S1133" t="str" cm="1">
        <f t="array" ref="S1133">IF(P1133="","",_xlfn.SWITCH(LEFT(P1133,1),"C","Ciudad","T","Pueblo","R","Rural","S","Suburbano","U","Urbano",""))</f>
        <v>Pueblo</v>
      </c>
      <c r="T1133" t="str">
        <f t="shared" si="69"/>
        <v>M</v>
      </c>
      <c r="U1133" t="str">
        <f t="shared" si="70"/>
        <v>TN</v>
      </c>
      <c r="V1133" t="str">
        <f t="shared" si="71"/>
        <v>8716</v>
      </c>
    </row>
    <row r="1134" spans="1:22" x14ac:dyDescent="0.35">
      <c r="A1134">
        <v>117969</v>
      </c>
      <c r="B1134" t="s">
        <v>21</v>
      </c>
      <c r="C1134" t="s">
        <v>17</v>
      </c>
      <c r="D1134">
        <v>498</v>
      </c>
      <c r="E1134">
        <v>227</v>
      </c>
      <c r="F1134">
        <v>315</v>
      </c>
      <c r="G1134">
        <v>0</v>
      </c>
      <c r="H1134">
        <v>10907</v>
      </c>
      <c r="I1134">
        <v>1</v>
      </c>
      <c r="J1134">
        <v>62</v>
      </c>
      <c r="K1134">
        <v>278</v>
      </c>
      <c r="L1134">
        <v>282</v>
      </c>
      <c r="M1134">
        <v>7.4545454549999999</v>
      </c>
      <c r="N1134">
        <f>IFERROR(VLOOKUP(A1134,vlookup_table!$A:$G,2,FALSE),"")</f>
        <v>28</v>
      </c>
      <c r="O1134">
        <f>IFERROR(VLOOKUP(A1134,vlookup_table!$A:$G,4,FALSE),"")</f>
        <v>3001</v>
      </c>
      <c r="P1134" t="str">
        <f>IFERROR(VLOOKUP(A1134,vlookup_table!$A:$G,5,FALSE),"")</f>
        <v>C1</v>
      </c>
      <c r="Q1134">
        <f>IFERROR(VLOOKUP(A1134,vlookup_table!$A:$G,7,FALSE),"")</f>
        <v>9</v>
      </c>
      <c r="R1134">
        <f t="shared" si="68"/>
        <v>67</v>
      </c>
      <c r="S1134" t="str" cm="1">
        <f t="array" ref="S1134">IF(P1134="","",_xlfn.SWITCH(LEFT(P1134,1),"C","Ciudad","T","Pueblo","R","Rural","S","Suburbano","U","Urbano",""))</f>
        <v>Ciudad</v>
      </c>
      <c r="T1134" t="str">
        <f t="shared" si="69"/>
        <v>F</v>
      </c>
      <c r="U1134" t="str">
        <f t="shared" si="70"/>
        <v>TX</v>
      </c>
      <c r="V1134" t="str">
        <f t="shared" si="71"/>
        <v>10907</v>
      </c>
    </row>
    <row r="1135" spans="1:22" x14ac:dyDescent="0.35">
      <c r="A1135">
        <v>2235</v>
      </c>
      <c r="B1135" t="s">
        <v>13</v>
      </c>
      <c r="C1135" t="s">
        <v>14</v>
      </c>
      <c r="D1135">
        <v>878</v>
      </c>
      <c r="E1135">
        <v>285</v>
      </c>
      <c r="F1135">
        <v>410</v>
      </c>
      <c r="G1135">
        <v>10</v>
      </c>
      <c r="H1135">
        <v>16534</v>
      </c>
      <c r="I1135">
        <v>4</v>
      </c>
      <c r="J1135">
        <v>6</v>
      </c>
      <c r="K1135">
        <v>331</v>
      </c>
      <c r="L1135">
        <v>349</v>
      </c>
      <c r="M1135">
        <v>10.47058824</v>
      </c>
      <c r="N1135">
        <f>IFERROR(VLOOKUP(A1135,vlookup_table!$A:$G,2,FALSE),"")</f>
        <v>1</v>
      </c>
      <c r="O1135">
        <f>IFERROR(VLOOKUP(A1135,vlookup_table!$A:$G,4,FALSE),"")</f>
        <v>3204</v>
      </c>
      <c r="P1135" t="str">
        <f>IFERROR(VLOOKUP(A1135,vlookup_table!$A:$G,5,FALSE),"")</f>
        <v>C2</v>
      </c>
      <c r="Q1135">
        <f>IFERROR(VLOOKUP(A1135,vlookup_table!$A:$G,7,FALSE),"")</f>
        <v>12</v>
      </c>
      <c r="R1135">
        <f t="shared" si="68"/>
        <v>65</v>
      </c>
      <c r="S1135" t="str" cm="1">
        <f t="array" ref="S1135">IF(P1135="","",_xlfn.SWITCH(LEFT(P1135,1),"C","Ciudad","T","Pueblo","R","Rural","S","Suburbano","U","Urbano",""))</f>
        <v>Ciudad</v>
      </c>
      <c r="T1135" t="str">
        <f t="shared" si="69"/>
        <v>M</v>
      </c>
      <c r="U1135" t="str">
        <f t="shared" si="70"/>
        <v>FL</v>
      </c>
      <c r="V1135" t="str">
        <f t="shared" si="71"/>
        <v>16534</v>
      </c>
    </row>
    <row r="1136" spans="1:22" x14ac:dyDescent="0.35">
      <c r="A1136">
        <v>161023</v>
      </c>
      <c r="B1136" t="s">
        <v>22</v>
      </c>
      <c r="C1136" t="s">
        <v>14</v>
      </c>
      <c r="D1136">
        <v>883</v>
      </c>
      <c r="E1136">
        <v>281</v>
      </c>
      <c r="F1136">
        <v>362</v>
      </c>
      <c r="G1136">
        <v>1</v>
      </c>
      <c r="H1136">
        <v>11791</v>
      </c>
      <c r="I1136">
        <v>8</v>
      </c>
      <c r="J1136">
        <v>59</v>
      </c>
      <c r="K1136">
        <v>333</v>
      </c>
      <c r="L1136">
        <v>315</v>
      </c>
      <c r="M1136">
        <v>14.85714286</v>
      </c>
      <c r="N1136">
        <f>IFERROR(VLOOKUP(A1136,vlookup_table!$A:$G,2,FALSE),"")</f>
        <v>2</v>
      </c>
      <c r="O1136">
        <f>IFERROR(VLOOKUP(A1136,vlookup_table!$A:$G,4,FALSE),"")</f>
        <v>2801</v>
      </c>
      <c r="P1136" t="str">
        <f>IFERROR(VLOOKUP(A1136,vlookup_table!$A:$G,5,FALSE),"")</f>
        <v>R1</v>
      </c>
      <c r="Q1136">
        <f>IFERROR(VLOOKUP(A1136,vlookup_table!$A:$G,7,FALSE),"")</f>
        <v>20</v>
      </c>
      <c r="R1136">
        <f t="shared" si="68"/>
        <v>69</v>
      </c>
      <c r="S1136" t="str" cm="1">
        <f t="array" ref="S1136">IF(P1136="","",_xlfn.SWITCH(LEFT(P1136,1),"C","Ciudad","T","Pueblo","R","Rural","S","Suburbano","U","Urbano",""))</f>
        <v>Rural</v>
      </c>
      <c r="T1136" t="str">
        <f t="shared" si="69"/>
        <v>M</v>
      </c>
      <c r="U1136" t="str">
        <f t="shared" si="70"/>
        <v>CA</v>
      </c>
      <c r="V1136" t="str">
        <f t="shared" si="71"/>
        <v>11791</v>
      </c>
    </row>
    <row r="1137" spans="1:22" x14ac:dyDescent="0.35">
      <c r="A1137">
        <v>139887</v>
      </c>
      <c r="B1137" t="s">
        <v>54</v>
      </c>
      <c r="C1137" t="s">
        <v>17</v>
      </c>
      <c r="D1137">
        <v>670</v>
      </c>
      <c r="E1137">
        <v>231</v>
      </c>
      <c r="F1137">
        <v>290</v>
      </c>
      <c r="G1137">
        <v>2</v>
      </c>
      <c r="H1137">
        <v>9443</v>
      </c>
      <c r="I1137">
        <v>2</v>
      </c>
      <c r="J1137">
        <v>52</v>
      </c>
      <c r="K1137">
        <v>287</v>
      </c>
      <c r="L1137">
        <v>282</v>
      </c>
      <c r="M1137">
        <v>11.66666667</v>
      </c>
      <c r="N1137">
        <f>IFERROR(VLOOKUP(A1137,vlookup_table!$A:$G,2,FALSE),"")</f>
        <v>28</v>
      </c>
      <c r="O1137">
        <f>IFERROR(VLOOKUP(A1137,vlookup_table!$A:$G,4,FALSE),"")</f>
        <v>0</v>
      </c>
      <c r="P1137" t="str">
        <f>IFERROR(VLOOKUP(A1137,vlookup_table!$A:$G,5,FALSE),"")</f>
        <v>R2</v>
      </c>
      <c r="Q1137">
        <f>IFERROR(VLOOKUP(A1137,vlookup_table!$A:$G,7,FALSE),"")</f>
        <v>20</v>
      </c>
      <c r="R1137">
        <f t="shared" si="68"/>
        <v>97</v>
      </c>
      <c r="S1137" t="str" cm="1">
        <f t="array" ref="S1137">IF(P1137="","",_xlfn.SWITCH(LEFT(P1137,1),"C","Ciudad","T","Pueblo","R","Rural","S","Suburbano","U","Urbano",""))</f>
        <v>Rural</v>
      </c>
      <c r="T1137" t="str">
        <f t="shared" si="69"/>
        <v>F</v>
      </c>
      <c r="U1137" t="str">
        <f t="shared" si="70"/>
        <v>NM</v>
      </c>
      <c r="V1137" t="str">
        <f t="shared" si="71"/>
        <v>9443</v>
      </c>
    </row>
    <row r="1138" spans="1:22" x14ac:dyDescent="0.35">
      <c r="A1138">
        <v>186212</v>
      </c>
      <c r="B1138" t="s">
        <v>54</v>
      </c>
      <c r="C1138" t="s">
        <v>14</v>
      </c>
      <c r="D1138">
        <v>589</v>
      </c>
      <c r="E1138">
        <v>270</v>
      </c>
      <c r="F1138">
        <v>325</v>
      </c>
      <c r="G1138">
        <v>0</v>
      </c>
      <c r="H1138">
        <v>10889</v>
      </c>
      <c r="I1138">
        <v>5</v>
      </c>
      <c r="J1138">
        <v>45</v>
      </c>
      <c r="K1138">
        <v>317</v>
      </c>
      <c r="L1138">
        <v>292</v>
      </c>
      <c r="M1138">
        <v>8.5882352940000004</v>
      </c>
      <c r="N1138">
        <f>IFERROR(VLOOKUP(A1138,vlookup_table!$A:$G,2,FALSE),"")</f>
        <v>1002</v>
      </c>
      <c r="O1138">
        <f>IFERROR(VLOOKUP(A1138,vlookup_table!$A:$G,4,FALSE),"")</f>
        <v>1008</v>
      </c>
      <c r="P1138" t="str">
        <f>IFERROR(VLOOKUP(A1138,vlookup_table!$A:$G,5,FALSE),"")</f>
        <v>C1</v>
      </c>
      <c r="Q1138">
        <f>IFERROR(VLOOKUP(A1138,vlookup_table!$A:$G,7,FALSE),"")</f>
        <v>7</v>
      </c>
      <c r="R1138">
        <f t="shared" si="68"/>
        <v>87</v>
      </c>
      <c r="S1138" t="str" cm="1">
        <f t="array" ref="S1138">IF(P1138="","",_xlfn.SWITCH(LEFT(P1138,1),"C","Ciudad","T","Pueblo","R","Rural","S","Suburbano","U","Urbano",""))</f>
        <v>Ciudad</v>
      </c>
      <c r="T1138" t="str">
        <f t="shared" si="69"/>
        <v>M</v>
      </c>
      <c r="U1138" t="str">
        <f t="shared" si="70"/>
        <v>NM</v>
      </c>
      <c r="V1138" t="str">
        <f t="shared" si="71"/>
        <v>10889</v>
      </c>
    </row>
    <row r="1139" spans="1:22" x14ac:dyDescent="0.35">
      <c r="A1139">
        <v>162759</v>
      </c>
      <c r="B1139" t="s">
        <v>22</v>
      </c>
      <c r="C1139" t="s">
        <v>17</v>
      </c>
      <c r="D1139">
        <v>2620</v>
      </c>
      <c r="E1139">
        <v>481</v>
      </c>
      <c r="F1139">
        <v>523</v>
      </c>
      <c r="G1139">
        <v>82</v>
      </c>
      <c r="H1139">
        <v>16047</v>
      </c>
      <c r="I1139">
        <v>48</v>
      </c>
      <c r="J1139">
        <v>36</v>
      </c>
      <c r="K1139">
        <v>490</v>
      </c>
      <c r="L1139">
        <v>519</v>
      </c>
      <c r="M1139">
        <v>14.42857143</v>
      </c>
      <c r="N1139">
        <f>IFERROR(VLOOKUP(A1139,vlookup_table!$A:$G,2,FALSE),"")</f>
        <v>0</v>
      </c>
      <c r="O1139">
        <f>IFERROR(VLOOKUP(A1139,vlookup_table!$A:$G,4,FALSE),"")</f>
        <v>4001</v>
      </c>
      <c r="P1139" t="str">
        <f>IFERROR(VLOOKUP(A1139,vlookup_table!$A:$G,5,FALSE),"")</f>
        <v>S1</v>
      </c>
      <c r="Q1139">
        <f>IFERROR(VLOOKUP(A1139,vlookup_table!$A:$G,7,FALSE),"")</f>
        <v>18</v>
      </c>
      <c r="R1139">
        <f t="shared" si="68"/>
        <v>57</v>
      </c>
      <c r="S1139" t="str" cm="1">
        <f t="array" ref="S1139">IF(P1139="","",_xlfn.SWITCH(LEFT(P1139,1),"C","Ciudad","T","Pueblo","R","Rural","S","Suburbano","U","Urbano",""))</f>
        <v>Suburbano</v>
      </c>
      <c r="T1139" t="str">
        <f t="shared" si="69"/>
        <v>F</v>
      </c>
      <c r="U1139" t="str">
        <f t="shared" si="70"/>
        <v>CA</v>
      </c>
      <c r="V1139" t="str">
        <f t="shared" si="71"/>
        <v>16047</v>
      </c>
    </row>
    <row r="1140" spans="1:22" x14ac:dyDescent="0.35">
      <c r="A1140">
        <v>95654</v>
      </c>
      <c r="B1140" t="s">
        <v>16</v>
      </c>
      <c r="C1140" t="s">
        <v>14</v>
      </c>
      <c r="D1140">
        <v>677</v>
      </c>
      <c r="E1140">
        <v>426</v>
      </c>
      <c r="F1140">
        <v>489</v>
      </c>
      <c r="G1140">
        <v>0</v>
      </c>
      <c r="H1140">
        <v>18718</v>
      </c>
      <c r="I1140">
        <v>2</v>
      </c>
      <c r="J1140">
        <v>71</v>
      </c>
      <c r="K1140">
        <v>466</v>
      </c>
      <c r="L1140">
        <v>442</v>
      </c>
      <c r="M1140">
        <v>10.66666667</v>
      </c>
      <c r="N1140">
        <f>IFERROR(VLOOKUP(A1140,vlookup_table!$A:$G,2,FALSE),"")</f>
        <v>1</v>
      </c>
      <c r="O1140">
        <f>IFERROR(VLOOKUP(A1140,vlookup_table!$A:$G,4,FALSE),"")</f>
        <v>3308</v>
      </c>
      <c r="P1140" t="str">
        <f>IFERROR(VLOOKUP(A1140,vlookup_table!$A:$G,5,FALSE),"")</f>
        <v>S2</v>
      </c>
      <c r="Q1140">
        <f>IFERROR(VLOOKUP(A1140,vlookup_table!$A:$G,7,FALSE),"")</f>
        <v>20</v>
      </c>
      <c r="R1140">
        <f t="shared" si="68"/>
        <v>64</v>
      </c>
      <c r="S1140" t="str" cm="1">
        <f t="array" ref="S1140">IF(P1140="","",_xlfn.SWITCH(LEFT(P1140,1),"C","Ciudad","T","Pueblo","R","Rural","S","Suburbano","U","Urbano",""))</f>
        <v>Suburbano</v>
      </c>
      <c r="T1140" t="str">
        <f t="shared" si="69"/>
        <v>M</v>
      </c>
      <c r="U1140" t="str">
        <f t="shared" si="70"/>
        <v>IL</v>
      </c>
      <c r="V1140" t="str">
        <f t="shared" si="71"/>
        <v>18718</v>
      </c>
    </row>
    <row r="1141" spans="1:22" x14ac:dyDescent="0.35">
      <c r="A1141">
        <v>101774</v>
      </c>
      <c r="B1141" t="s">
        <v>36</v>
      </c>
      <c r="C1141" t="s">
        <v>17</v>
      </c>
      <c r="D1141">
        <v>464</v>
      </c>
      <c r="E1141">
        <v>164</v>
      </c>
      <c r="F1141">
        <v>285</v>
      </c>
      <c r="G1141">
        <v>0</v>
      </c>
      <c r="H1141">
        <v>9685</v>
      </c>
      <c r="I1141">
        <v>1</v>
      </c>
      <c r="J1141">
        <v>64</v>
      </c>
      <c r="K1141">
        <v>257</v>
      </c>
      <c r="L1141">
        <v>224</v>
      </c>
      <c r="M1141">
        <v>8.2222222219999992</v>
      </c>
      <c r="N1141">
        <f>IFERROR(VLOOKUP(A1141,vlookup_table!$A:$G,2,FALSE),"")</f>
        <v>0</v>
      </c>
      <c r="O1141">
        <f>IFERROR(VLOOKUP(A1141,vlookup_table!$A:$G,4,FALSE),"")</f>
        <v>6201</v>
      </c>
      <c r="P1141" t="str">
        <f>IFERROR(VLOOKUP(A1141,vlookup_table!$A:$G,5,FALSE),"")</f>
        <v>C3</v>
      </c>
      <c r="Q1141">
        <f>IFERROR(VLOOKUP(A1141,vlookup_table!$A:$G,7,FALSE),"")</f>
        <v>8</v>
      </c>
      <c r="R1141">
        <f t="shared" si="68"/>
        <v>35</v>
      </c>
      <c r="S1141" t="str" cm="1">
        <f t="array" ref="S1141">IF(P1141="","",_xlfn.SWITCH(LEFT(P1141,1),"C","Ciudad","T","Pueblo","R","Rural","S","Suburbano","U","Urbano",""))</f>
        <v>Ciudad</v>
      </c>
      <c r="T1141" t="str">
        <f t="shared" si="69"/>
        <v>F</v>
      </c>
      <c r="U1141" t="str">
        <f t="shared" si="70"/>
        <v>MO</v>
      </c>
      <c r="V1141" t="str">
        <f t="shared" si="71"/>
        <v>9685</v>
      </c>
    </row>
    <row r="1142" spans="1:22" x14ac:dyDescent="0.35">
      <c r="A1142">
        <v>21710</v>
      </c>
      <c r="B1142" t="s">
        <v>18</v>
      </c>
      <c r="C1142" t="s">
        <v>14</v>
      </c>
      <c r="D1142">
        <v>600</v>
      </c>
      <c r="E1142">
        <v>257</v>
      </c>
      <c r="F1142">
        <v>349</v>
      </c>
      <c r="G1142">
        <v>1</v>
      </c>
      <c r="H1142">
        <v>12433</v>
      </c>
      <c r="I1142">
        <v>2</v>
      </c>
      <c r="J1142">
        <v>64</v>
      </c>
      <c r="K1142">
        <v>308</v>
      </c>
      <c r="L1142">
        <v>292</v>
      </c>
      <c r="M1142">
        <v>9.52631579</v>
      </c>
      <c r="N1142">
        <f>IFERROR(VLOOKUP(A1142,vlookup_table!$A:$G,2,FALSE),"")</f>
        <v>2</v>
      </c>
      <c r="O1142">
        <f>IFERROR(VLOOKUP(A1142,vlookup_table!$A:$G,4,FALSE),"")</f>
        <v>0</v>
      </c>
      <c r="P1142" t="str">
        <f>IFERROR(VLOOKUP(A1142,vlookup_table!$A:$G,5,FALSE),"")</f>
        <v>T2</v>
      </c>
      <c r="Q1142">
        <f>IFERROR(VLOOKUP(A1142,vlookup_table!$A:$G,7,FALSE),"")</f>
        <v>10</v>
      </c>
      <c r="R1142">
        <f t="shared" si="68"/>
        <v>97</v>
      </c>
      <c r="S1142" t="str" cm="1">
        <f t="array" ref="S1142">IF(P1142="","",_xlfn.SWITCH(LEFT(P1142,1),"C","Ciudad","T","Pueblo","R","Rural","S","Suburbano","U","Urbano",""))</f>
        <v>Pueblo</v>
      </c>
      <c r="T1142" t="str">
        <f t="shared" si="69"/>
        <v>M</v>
      </c>
      <c r="U1142" t="str">
        <f t="shared" si="70"/>
        <v>NC</v>
      </c>
      <c r="V1142" t="str">
        <f t="shared" si="71"/>
        <v>12433</v>
      </c>
    </row>
    <row r="1143" spans="1:22" x14ac:dyDescent="0.35">
      <c r="A1143">
        <v>65565</v>
      </c>
      <c r="B1143" t="s">
        <v>29</v>
      </c>
      <c r="C1143" t="s">
        <v>17</v>
      </c>
      <c r="D1143">
        <v>707</v>
      </c>
      <c r="E1143">
        <v>282</v>
      </c>
      <c r="F1143">
        <v>474</v>
      </c>
      <c r="G1143">
        <v>0</v>
      </c>
      <c r="H1143">
        <v>15832</v>
      </c>
      <c r="I1143">
        <v>13</v>
      </c>
      <c r="J1143">
        <v>73</v>
      </c>
      <c r="K1143">
        <v>393</v>
      </c>
      <c r="L1143">
        <v>383</v>
      </c>
      <c r="M1143">
        <v>4.1764705879999999</v>
      </c>
      <c r="N1143">
        <f>IFERROR(VLOOKUP(A1143,vlookup_table!$A:$G,2,FALSE),"")</f>
        <v>2</v>
      </c>
      <c r="O1143">
        <f>IFERROR(VLOOKUP(A1143,vlookup_table!$A:$G,4,FALSE),"")</f>
        <v>701</v>
      </c>
      <c r="P1143" t="str">
        <f>IFERROR(VLOOKUP(A1143,vlookup_table!$A:$G,5,FALSE),"")</f>
        <v>U2</v>
      </c>
      <c r="Q1143">
        <f>IFERROR(VLOOKUP(A1143,vlookup_table!$A:$G,7,FALSE),"")</f>
        <v>10</v>
      </c>
      <c r="R1143">
        <f t="shared" si="68"/>
        <v>90</v>
      </c>
      <c r="S1143" t="str" cm="1">
        <f t="array" ref="S1143">IF(P1143="","",_xlfn.SWITCH(LEFT(P1143,1),"C","Ciudad","T","Pueblo","R","Rural","S","Suburbano","U","Urbano",""))</f>
        <v>Urbano</v>
      </c>
      <c r="T1143" t="str">
        <f t="shared" si="69"/>
        <v>F</v>
      </c>
      <c r="U1143" t="str">
        <f t="shared" si="70"/>
        <v>MI</v>
      </c>
      <c r="V1143" t="str">
        <f t="shared" si="71"/>
        <v>15832</v>
      </c>
    </row>
    <row r="1144" spans="1:22" x14ac:dyDescent="0.35">
      <c r="A1144">
        <v>171631</v>
      </c>
      <c r="B1144" t="s">
        <v>22</v>
      </c>
      <c r="C1144" t="s">
        <v>17</v>
      </c>
      <c r="D1144">
        <v>1537</v>
      </c>
      <c r="E1144">
        <v>495</v>
      </c>
      <c r="F1144">
        <v>544</v>
      </c>
      <c r="G1144">
        <v>19</v>
      </c>
      <c r="H1144">
        <v>17689</v>
      </c>
      <c r="I1144">
        <v>13</v>
      </c>
      <c r="J1144">
        <v>58</v>
      </c>
      <c r="K1144">
        <v>509</v>
      </c>
      <c r="L1144">
        <v>528</v>
      </c>
      <c r="M1144">
        <v>11.19230769</v>
      </c>
      <c r="N1144">
        <f>IFERROR(VLOOKUP(A1144,vlookup_table!$A:$G,2,FALSE),"")</f>
        <v>4</v>
      </c>
      <c r="O1144">
        <f>IFERROR(VLOOKUP(A1144,vlookup_table!$A:$G,4,FALSE),"")</f>
        <v>5302</v>
      </c>
      <c r="P1144" t="str">
        <f>IFERROR(VLOOKUP(A1144,vlookup_table!$A:$G,5,FALSE),"")</f>
        <v>S1</v>
      </c>
      <c r="Q1144">
        <f>IFERROR(VLOOKUP(A1144,vlookup_table!$A:$G,7,FALSE),"")</f>
        <v>10</v>
      </c>
      <c r="R1144">
        <f t="shared" si="68"/>
        <v>44</v>
      </c>
      <c r="S1144" t="str" cm="1">
        <f t="array" ref="S1144">IF(P1144="","",_xlfn.SWITCH(LEFT(P1144,1),"C","Ciudad","T","Pueblo","R","Rural","S","Suburbano","U","Urbano",""))</f>
        <v>Suburbano</v>
      </c>
      <c r="T1144" t="str">
        <f t="shared" si="69"/>
        <v>F</v>
      </c>
      <c r="U1144" t="str">
        <f t="shared" si="70"/>
        <v>CA</v>
      </c>
      <c r="V1144" t="str">
        <f t="shared" si="71"/>
        <v>17689</v>
      </c>
    </row>
    <row r="1145" spans="1:22" x14ac:dyDescent="0.35">
      <c r="A1145">
        <v>24869</v>
      </c>
      <c r="B1145" t="s">
        <v>46</v>
      </c>
      <c r="C1145" t="s">
        <v>17</v>
      </c>
      <c r="D1145">
        <v>682</v>
      </c>
      <c r="E1145">
        <v>366</v>
      </c>
      <c r="F1145">
        <v>498</v>
      </c>
      <c r="G1145">
        <v>2</v>
      </c>
      <c r="H1145">
        <v>14538</v>
      </c>
      <c r="I1145">
        <v>3</v>
      </c>
      <c r="J1145">
        <v>63</v>
      </c>
      <c r="K1145">
        <v>464</v>
      </c>
      <c r="L1145">
        <v>421</v>
      </c>
      <c r="M1145">
        <v>8</v>
      </c>
      <c r="N1145">
        <f>IFERROR(VLOOKUP(A1145,vlookup_table!$A:$G,2,FALSE),"")</f>
        <v>0</v>
      </c>
      <c r="O1145">
        <f>IFERROR(VLOOKUP(A1145,vlookup_table!$A:$G,4,FALSE),"")</f>
        <v>6001</v>
      </c>
      <c r="P1145" t="str">
        <f>IFERROR(VLOOKUP(A1145,vlookup_table!$A:$G,5,FALSE),"")</f>
        <v>T2</v>
      </c>
      <c r="Q1145">
        <f>IFERROR(VLOOKUP(A1145,vlookup_table!$A:$G,7,FALSE),"")</f>
        <v>8</v>
      </c>
      <c r="R1145">
        <f t="shared" si="68"/>
        <v>37</v>
      </c>
      <c r="S1145" t="str" cm="1">
        <f t="array" ref="S1145">IF(P1145="","",_xlfn.SWITCH(LEFT(P1145,1),"C","Ciudad","T","Pueblo","R","Rural","S","Suburbano","U","Urbano",""))</f>
        <v>Pueblo</v>
      </c>
      <c r="T1145" t="str">
        <f t="shared" si="69"/>
        <v>F</v>
      </c>
      <c r="U1145" t="str">
        <f t="shared" si="70"/>
        <v>SC</v>
      </c>
      <c r="V1145" t="str">
        <f t="shared" si="71"/>
        <v>14538</v>
      </c>
    </row>
    <row r="1146" spans="1:22" x14ac:dyDescent="0.35">
      <c r="A1146">
        <v>129846</v>
      </c>
      <c r="B1146" t="s">
        <v>52</v>
      </c>
      <c r="C1146" t="s">
        <v>14</v>
      </c>
      <c r="D1146">
        <v>867</v>
      </c>
      <c r="E1146">
        <v>483</v>
      </c>
      <c r="F1146">
        <v>536</v>
      </c>
      <c r="G1146">
        <v>2</v>
      </c>
      <c r="H1146">
        <v>18757</v>
      </c>
      <c r="I1146">
        <v>1</v>
      </c>
      <c r="J1146">
        <v>51</v>
      </c>
      <c r="K1146">
        <v>492</v>
      </c>
      <c r="L1146">
        <v>524</v>
      </c>
      <c r="M1146">
        <v>12.5</v>
      </c>
      <c r="N1146">
        <f>IFERROR(VLOOKUP(A1146,vlookup_table!$A:$G,2,FALSE),"")</f>
        <v>1</v>
      </c>
      <c r="O1146">
        <f>IFERROR(VLOOKUP(A1146,vlookup_table!$A:$G,4,FALSE),"")</f>
        <v>4201</v>
      </c>
      <c r="P1146" t="str">
        <f>IFERROR(VLOOKUP(A1146,vlookup_table!$A:$G,5,FALSE),"")</f>
        <v>T1</v>
      </c>
      <c r="Q1146">
        <f>IFERROR(VLOOKUP(A1146,vlookup_table!$A:$G,7,FALSE),"")</f>
        <v>11</v>
      </c>
      <c r="R1146">
        <f t="shared" si="68"/>
        <v>55</v>
      </c>
      <c r="S1146" t="str" cm="1">
        <f t="array" ref="S1146">IF(P1146="","",_xlfn.SWITCH(LEFT(P1146,1),"C","Ciudad","T","Pueblo","R","Rural","S","Suburbano","U","Urbano",""))</f>
        <v>Pueblo</v>
      </c>
      <c r="T1146" t="str">
        <f t="shared" si="69"/>
        <v>M</v>
      </c>
      <c r="U1146" t="str">
        <f t="shared" si="70"/>
        <v>SD</v>
      </c>
      <c r="V1146" t="str">
        <f t="shared" si="71"/>
        <v>18757</v>
      </c>
    </row>
    <row r="1147" spans="1:22" x14ac:dyDescent="0.35">
      <c r="A1147">
        <v>150379</v>
      </c>
      <c r="B1147" t="s">
        <v>22</v>
      </c>
      <c r="C1147" t="s">
        <v>17</v>
      </c>
      <c r="D1147">
        <v>1943</v>
      </c>
      <c r="E1147">
        <v>312</v>
      </c>
      <c r="F1147">
        <v>381</v>
      </c>
      <c r="G1147">
        <v>45</v>
      </c>
      <c r="H1147">
        <v>16083</v>
      </c>
      <c r="I1147">
        <v>12</v>
      </c>
      <c r="J1147">
        <v>54</v>
      </c>
      <c r="K1147">
        <v>353</v>
      </c>
      <c r="L1147">
        <v>355</v>
      </c>
      <c r="M1147">
        <v>20</v>
      </c>
      <c r="N1147">
        <f>IFERROR(VLOOKUP(A1147,vlookup_table!$A:$G,2,FALSE),"")</f>
        <v>0</v>
      </c>
      <c r="O1147">
        <f>IFERROR(VLOOKUP(A1147,vlookup_table!$A:$G,4,FALSE),"")</f>
        <v>0</v>
      </c>
      <c r="P1147" t="str">
        <f>IFERROR(VLOOKUP(A1147,vlookup_table!$A:$G,5,FALSE),"")</f>
        <v>S2</v>
      </c>
      <c r="Q1147">
        <f>IFERROR(VLOOKUP(A1147,vlookup_table!$A:$G,7,FALSE),"")</f>
        <v>20</v>
      </c>
      <c r="R1147">
        <f t="shared" si="68"/>
        <v>97</v>
      </c>
      <c r="S1147" t="str" cm="1">
        <f t="array" ref="S1147">IF(P1147="","",_xlfn.SWITCH(LEFT(P1147,1),"C","Ciudad","T","Pueblo","R","Rural","S","Suburbano","U","Urbano",""))</f>
        <v>Suburbano</v>
      </c>
      <c r="T1147" t="str">
        <f t="shared" si="69"/>
        <v>F</v>
      </c>
      <c r="U1147" t="str">
        <f t="shared" si="70"/>
        <v>CA</v>
      </c>
      <c r="V1147" t="str">
        <f t="shared" si="71"/>
        <v>16083</v>
      </c>
    </row>
    <row r="1148" spans="1:22" x14ac:dyDescent="0.35">
      <c r="A1148">
        <v>36590</v>
      </c>
      <c r="B1148" t="s">
        <v>13</v>
      </c>
      <c r="C1148" t="s">
        <v>14</v>
      </c>
      <c r="D1148">
        <v>1037</v>
      </c>
      <c r="E1148">
        <v>439</v>
      </c>
      <c r="F1148">
        <v>529</v>
      </c>
      <c r="G1148">
        <v>0</v>
      </c>
      <c r="H1148">
        <v>18050</v>
      </c>
      <c r="I1148">
        <v>44</v>
      </c>
      <c r="J1148">
        <v>27</v>
      </c>
      <c r="K1148">
        <v>456</v>
      </c>
      <c r="L1148">
        <v>511</v>
      </c>
      <c r="M1148">
        <v>10</v>
      </c>
      <c r="N1148">
        <f>IFERROR(VLOOKUP(A1148,vlookup_table!$A:$G,2,FALSE),"")</f>
        <v>1</v>
      </c>
      <c r="O1148">
        <f>IFERROR(VLOOKUP(A1148,vlookup_table!$A:$G,4,FALSE),"")</f>
        <v>4801</v>
      </c>
      <c r="P1148" t="str">
        <f>IFERROR(VLOOKUP(A1148,vlookup_table!$A:$G,5,FALSE),"")</f>
        <v>S1</v>
      </c>
      <c r="Q1148">
        <f>IFERROR(VLOOKUP(A1148,vlookup_table!$A:$G,7,FALSE),"")</f>
        <v>10</v>
      </c>
      <c r="R1148">
        <f t="shared" si="68"/>
        <v>49</v>
      </c>
      <c r="S1148" t="str" cm="1">
        <f t="array" ref="S1148">IF(P1148="","",_xlfn.SWITCH(LEFT(P1148,1),"C","Ciudad","T","Pueblo","R","Rural","S","Suburbano","U","Urbano",""))</f>
        <v>Suburbano</v>
      </c>
      <c r="T1148" t="str">
        <f t="shared" si="69"/>
        <v>M</v>
      </c>
      <c r="U1148" t="str">
        <f t="shared" si="70"/>
        <v>FL</v>
      </c>
      <c r="V1148" t="str">
        <f t="shared" si="71"/>
        <v>18050</v>
      </c>
    </row>
    <row r="1149" spans="1:22" x14ac:dyDescent="0.35">
      <c r="A1149">
        <v>59744</v>
      </c>
      <c r="B1149" t="s">
        <v>33</v>
      </c>
      <c r="C1149" t="s">
        <v>17</v>
      </c>
      <c r="D1149">
        <v>595</v>
      </c>
      <c r="E1149">
        <v>284</v>
      </c>
      <c r="F1149">
        <v>406</v>
      </c>
      <c r="G1149">
        <v>0</v>
      </c>
      <c r="H1149">
        <v>13860</v>
      </c>
      <c r="I1149">
        <v>0</v>
      </c>
      <c r="J1149">
        <v>77</v>
      </c>
      <c r="K1149">
        <v>317</v>
      </c>
      <c r="L1149">
        <v>333</v>
      </c>
      <c r="M1149">
        <v>9</v>
      </c>
      <c r="N1149">
        <f>IFERROR(VLOOKUP(A1149,vlookup_table!$A:$G,2,FALSE),"")</f>
        <v>28</v>
      </c>
      <c r="O1149">
        <f>IFERROR(VLOOKUP(A1149,vlookup_table!$A:$G,4,FALSE),"")</f>
        <v>5408</v>
      </c>
      <c r="P1149" t="str">
        <f>IFERROR(VLOOKUP(A1149,vlookup_table!$A:$G,5,FALSE),"")</f>
        <v>T2</v>
      </c>
      <c r="Q1149">
        <f>IFERROR(VLOOKUP(A1149,vlookup_table!$A:$G,7,FALSE),"")</f>
        <v>16</v>
      </c>
      <c r="R1149">
        <f t="shared" si="68"/>
        <v>43</v>
      </c>
      <c r="S1149" t="str" cm="1">
        <f t="array" ref="S1149">IF(P1149="","",_xlfn.SWITCH(LEFT(P1149,1),"C","Ciudad","T","Pueblo","R","Rural","S","Suburbano","U","Urbano",""))</f>
        <v>Pueblo</v>
      </c>
      <c r="T1149" t="str">
        <f t="shared" si="69"/>
        <v>F</v>
      </c>
      <c r="U1149" t="str">
        <f t="shared" si="70"/>
        <v>IN</v>
      </c>
      <c r="V1149" t="str">
        <f t="shared" si="71"/>
        <v>13860</v>
      </c>
    </row>
    <row r="1150" spans="1:22" x14ac:dyDescent="0.35">
      <c r="A1150">
        <v>31893</v>
      </c>
      <c r="B1150" t="s">
        <v>16</v>
      </c>
      <c r="C1150" t="s">
        <v>17</v>
      </c>
      <c r="D1150">
        <v>375</v>
      </c>
      <c r="E1150">
        <v>267</v>
      </c>
      <c r="F1150">
        <v>296</v>
      </c>
      <c r="G1150">
        <v>8</v>
      </c>
      <c r="H1150">
        <v>8354</v>
      </c>
      <c r="I1150">
        <v>6</v>
      </c>
      <c r="J1150">
        <v>13</v>
      </c>
      <c r="K1150">
        <v>270</v>
      </c>
      <c r="L1150">
        <v>295</v>
      </c>
      <c r="M1150">
        <v>20</v>
      </c>
      <c r="N1150">
        <f>IFERROR(VLOOKUP(A1150,vlookup_table!$A:$G,2,FALSE),"")</f>
        <v>0</v>
      </c>
      <c r="O1150">
        <f>IFERROR(VLOOKUP(A1150,vlookup_table!$A:$G,4,FALSE),"")</f>
        <v>0</v>
      </c>
      <c r="P1150" t="str">
        <f>IFERROR(VLOOKUP(A1150,vlookup_table!$A:$G,5,FALSE),"")</f>
        <v>T2</v>
      </c>
      <c r="Q1150">
        <f>IFERROR(VLOOKUP(A1150,vlookup_table!$A:$G,7,FALSE),"")</f>
        <v>20</v>
      </c>
      <c r="R1150">
        <f t="shared" si="68"/>
        <v>97</v>
      </c>
      <c r="S1150" t="str" cm="1">
        <f t="array" ref="S1150">IF(P1150="","",_xlfn.SWITCH(LEFT(P1150,1),"C","Ciudad","T","Pueblo","R","Rural","S","Suburbano","U","Urbano",""))</f>
        <v>Pueblo</v>
      </c>
      <c r="T1150" t="str">
        <f t="shared" si="69"/>
        <v>F</v>
      </c>
      <c r="U1150" t="str">
        <f t="shared" si="70"/>
        <v>IL</v>
      </c>
      <c r="V1150" t="str">
        <f t="shared" si="71"/>
        <v>8354</v>
      </c>
    </row>
    <row r="1151" spans="1:22" x14ac:dyDescent="0.35">
      <c r="A1151">
        <v>46884</v>
      </c>
      <c r="B1151" t="s">
        <v>43</v>
      </c>
      <c r="C1151" t="s">
        <v>17</v>
      </c>
      <c r="D1151">
        <v>397</v>
      </c>
      <c r="E1151">
        <v>229</v>
      </c>
      <c r="F1151">
        <v>386</v>
      </c>
      <c r="G1151">
        <v>1</v>
      </c>
      <c r="H1151">
        <v>13233</v>
      </c>
      <c r="I1151">
        <v>0</v>
      </c>
      <c r="J1151">
        <v>74</v>
      </c>
      <c r="K1151">
        <v>329</v>
      </c>
      <c r="L1151">
        <v>336</v>
      </c>
      <c r="M1151">
        <v>9.7777777780000008</v>
      </c>
      <c r="N1151">
        <f>IFERROR(VLOOKUP(A1151,vlookup_table!$A:$G,2,FALSE),"")</f>
        <v>0</v>
      </c>
      <c r="O1151">
        <f>IFERROR(VLOOKUP(A1151,vlookup_table!$A:$G,4,FALSE),"")</f>
        <v>0</v>
      </c>
      <c r="P1151" t="str">
        <f>IFERROR(VLOOKUP(A1151,vlookup_table!$A:$G,5,FALSE),"")</f>
        <v>R3</v>
      </c>
      <c r="Q1151">
        <f>IFERROR(VLOOKUP(A1151,vlookup_table!$A:$G,7,FALSE),"")</f>
        <v>15</v>
      </c>
      <c r="R1151">
        <f t="shared" si="68"/>
        <v>97</v>
      </c>
      <c r="S1151" t="str" cm="1">
        <f t="array" ref="S1151">IF(P1151="","",_xlfn.SWITCH(LEFT(P1151,1),"C","Ciudad","T","Pueblo","R","Rural","S","Suburbano","U","Urbano",""))</f>
        <v>Rural</v>
      </c>
      <c r="T1151" t="str">
        <f t="shared" si="69"/>
        <v>F</v>
      </c>
      <c r="U1151" t="str">
        <f t="shared" si="70"/>
        <v>AL</v>
      </c>
      <c r="V1151" t="str">
        <f t="shared" si="71"/>
        <v>13233</v>
      </c>
    </row>
    <row r="1152" spans="1:22" x14ac:dyDescent="0.35">
      <c r="A1152">
        <v>66745</v>
      </c>
      <c r="B1152" t="s">
        <v>29</v>
      </c>
      <c r="C1152" t="s">
        <v>17</v>
      </c>
      <c r="D1152">
        <v>584</v>
      </c>
      <c r="E1152">
        <v>283</v>
      </c>
      <c r="F1152">
        <v>386</v>
      </c>
      <c r="G1152">
        <v>0</v>
      </c>
      <c r="H1152">
        <v>14843</v>
      </c>
      <c r="I1152">
        <v>4</v>
      </c>
      <c r="J1152">
        <v>68</v>
      </c>
      <c r="K1152">
        <v>386</v>
      </c>
      <c r="L1152">
        <v>307</v>
      </c>
      <c r="M1152">
        <v>15</v>
      </c>
      <c r="N1152">
        <f>IFERROR(VLOOKUP(A1152,vlookup_table!$A:$G,2,FALSE),"")</f>
        <v>28</v>
      </c>
      <c r="O1152">
        <f>IFERROR(VLOOKUP(A1152,vlookup_table!$A:$G,4,FALSE),"")</f>
        <v>7201</v>
      </c>
      <c r="P1152">
        <f>IFERROR(VLOOKUP(A1152,vlookup_table!$A:$G,5,FALSE),"")</f>
        <v>0</v>
      </c>
      <c r="Q1152">
        <f>IFERROR(VLOOKUP(A1152,vlookup_table!$A:$G,7,FALSE),"")</f>
        <v>5</v>
      </c>
      <c r="R1152">
        <f t="shared" si="68"/>
        <v>25</v>
      </c>
      <c r="S1152" t="str" cm="1">
        <f t="array" ref="S1152">IF(P1152="","",_xlfn.SWITCH(LEFT(P1152,1),"C","Ciudad","T","Pueblo","R","Rural","S","Suburbano","U","Urbano",""))</f>
        <v/>
      </c>
      <c r="T1152" t="str">
        <f t="shared" si="69"/>
        <v>F</v>
      </c>
      <c r="U1152" t="str">
        <f t="shared" si="70"/>
        <v>MI</v>
      </c>
      <c r="V1152" t="str">
        <f t="shared" si="71"/>
        <v>14843</v>
      </c>
    </row>
    <row r="1153" spans="1:22" x14ac:dyDescent="0.35">
      <c r="A1153">
        <v>10709</v>
      </c>
      <c r="B1153" t="s">
        <v>40</v>
      </c>
      <c r="D1153">
        <v>534</v>
      </c>
      <c r="E1153">
        <v>206</v>
      </c>
      <c r="F1153">
        <v>272</v>
      </c>
      <c r="G1153">
        <v>1</v>
      </c>
      <c r="H1153">
        <v>9104</v>
      </c>
      <c r="I1153">
        <v>1</v>
      </c>
      <c r="J1153">
        <v>48</v>
      </c>
      <c r="K1153">
        <v>231</v>
      </c>
      <c r="L1153">
        <v>248</v>
      </c>
      <c r="M1153">
        <v>13.55555556</v>
      </c>
      <c r="N1153">
        <f>IFERROR(VLOOKUP(A1153,vlookup_table!$A:$G,2,FALSE),"")</f>
        <v>0</v>
      </c>
      <c r="O1153">
        <f>IFERROR(VLOOKUP(A1153,vlookup_table!$A:$G,4,FALSE),"")</f>
        <v>0</v>
      </c>
      <c r="P1153">
        <f>IFERROR(VLOOKUP(A1153,vlookup_table!$A:$G,5,FALSE),"")</f>
        <v>0</v>
      </c>
      <c r="Q1153">
        <f>IFERROR(VLOOKUP(A1153,vlookup_table!$A:$G,7,FALSE),"")</f>
        <v>23</v>
      </c>
      <c r="R1153">
        <f t="shared" si="68"/>
        <v>97</v>
      </c>
      <c r="S1153" t="str" cm="1">
        <f t="array" ref="S1153">IF(P1153="","",_xlfn.SWITCH(LEFT(P1153,1),"C","Ciudad","T","Pueblo","R","Rural","S","Suburbano","U","Urbano",""))</f>
        <v/>
      </c>
      <c r="T1153" t="str">
        <f t="shared" si="69"/>
        <v/>
      </c>
      <c r="U1153" t="str">
        <f t="shared" si="70"/>
        <v>WA</v>
      </c>
      <c r="V1153" t="str">
        <f t="shared" si="71"/>
        <v>9104</v>
      </c>
    </row>
    <row r="1154" spans="1:22" x14ac:dyDescent="0.35">
      <c r="A1154">
        <v>73984</v>
      </c>
      <c r="B1154" t="s">
        <v>29</v>
      </c>
      <c r="C1154" t="s">
        <v>14</v>
      </c>
      <c r="D1154">
        <v>362</v>
      </c>
      <c r="E1154">
        <v>209</v>
      </c>
      <c r="F1154">
        <v>275</v>
      </c>
      <c r="G1154">
        <v>0</v>
      </c>
      <c r="H1154">
        <v>8558</v>
      </c>
      <c r="I1154">
        <v>1</v>
      </c>
      <c r="J1154">
        <v>91</v>
      </c>
      <c r="K1154">
        <v>235</v>
      </c>
      <c r="L1154">
        <v>246</v>
      </c>
      <c r="M1154">
        <v>9.7222222219999992</v>
      </c>
      <c r="N1154">
        <f>IFERROR(VLOOKUP(A1154,vlookup_table!$A:$G,2,FALSE),"")</f>
        <v>0</v>
      </c>
      <c r="O1154">
        <f>IFERROR(VLOOKUP(A1154,vlookup_table!$A:$G,4,FALSE),"")</f>
        <v>3305</v>
      </c>
      <c r="P1154" t="str">
        <f>IFERROR(VLOOKUP(A1154,vlookup_table!$A:$G,5,FALSE),"")</f>
        <v>R3</v>
      </c>
      <c r="Q1154">
        <f>IFERROR(VLOOKUP(A1154,vlookup_table!$A:$G,7,FALSE),"")</f>
        <v>10</v>
      </c>
      <c r="R1154">
        <f t="shared" ref="R1154:R1217" si="72">IF(O1154="","",97-INT(O1154/100))</f>
        <v>64</v>
      </c>
      <c r="S1154" t="str" cm="1">
        <f t="array" ref="S1154">IF(P1154="","",_xlfn.SWITCH(LEFT(P1154,1),"C","Ciudad","T","Pueblo","R","Rural","S","Suburbano","U","Urbano",""))</f>
        <v>Rural</v>
      </c>
      <c r="T1154" t="str">
        <f t="shared" ref="T1154:T1217" si="73">IF(C1154="","",IF(OR(UPPER(C1154)="M",UPPER(C1154)="MALE"),"M",IF(OR(UPPER(C1154)="F",UPPER(C1154)="FEMALE",UPPER(C1154)="FEAMALE"),"F",C1154)))</f>
        <v>M</v>
      </c>
      <c r="U1154" t="str">
        <f t="shared" ref="U1154:U1217" si="74">IF(OR(UPPER(B1154)="CALIFORNIA",UPPER(B1154)="CALI"),"CA",B1154)</f>
        <v>MI</v>
      </c>
      <c r="V1154" t="str">
        <f t="shared" ref="V1154:V1217" si="75">SUBSTITUTE(H1154,"@","")</f>
        <v>8558</v>
      </c>
    </row>
    <row r="1155" spans="1:22" x14ac:dyDescent="0.35">
      <c r="A1155">
        <v>27597</v>
      </c>
      <c r="B1155" t="s">
        <v>39</v>
      </c>
      <c r="C1155" t="s">
        <v>14</v>
      </c>
      <c r="D1155">
        <v>991</v>
      </c>
      <c r="E1155">
        <v>493</v>
      </c>
      <c r="F1155">
        <v>548</v>
      </c>
      <c r="G1155">
        <v>3</v>
      </c>
      <c r="H1155">
        <v>17344</v>
      </c>
      <c r="I1155">
        <v>2</v>
      </c>
      <c r="J1155">
        <v>46</v>
      </c>
      <c r="K1155">
        <v>506</v>
      </c>
      <c r="L1155">
        <v>532</v>
      </c>
      <c r="M1155">
        <v>5.8</v>
      </c>
      <c r="N1155">
        <f>IFERROR(VLOOKUP(A1155,vlookup_table!$A:$G,2,FALSE),"")</f>
        <v>1</v>
      </c>
      <c r="O1155">
        <f>IFERROR(VLOOKUP(A1155,vlookup_table!$A:$G,4,FALSE),"")</f>
        <v>5801</v>
      </c>
      <c r="P1155" t="str">
        <f>IFERROR(VLOOKUP(A1155,vlookup_table!$A:$G,5,FALSE),"")</f>
        <v>T1</v>
      </c>
      <c r="Q1155">
        <f>IFERROR(VLOOKUP(A1155,vlookup_table!$A:$G,7,FALSE),"")</f>
        <v>9</v>
      </c>
      <c r="R1155">
        <f t="shared" si="72"/>
        <v>39</v>
      </c>
      <c r="S1155" t="str" cm="1">
        <f t="array" ref="S1155">IF(P1155="","",_xlfn.SWITCH(LEFT(P1155,1),"C","Ciudad","T","Pueblo","R","Rural","S","Suburbano","U","Urbano",""))</f>
        <v>Pueblo</v>
      </c>
      <c r="T1155" t="str">
        <f t="shared" si="73"/>
        <v>M</v>
      </c>
      <c r="U1155" t="str">
        <f t="shared" si="74"/>
        <v>GA</v>
      </c>
      <c r="V1155" t="str">
        <f t="shared" si="75"/>
        <v>17344</v>
      </c>
    </row>
    <row r="1156" spans="1:22" x14ac:dyDescent="0.35">
      <c r="A1156">
        <v>150587</v>
      </c>
      <c r="B1156" t="s">
        <v>22</v>
      </c>
      <c r="C1156" t="s">
        <v>30</v>
      </c>
      <c r="D1156">
        <v>1805</v>
      </c>
      <c r="E1156">
        <v>398</v>
      </c>
      <c r="F1156">
        <v>447</v>
      </c>
      <c r="G1156">
        <v>33</v>
      </c>
      <c r="H1156">
        <v>14703</v>
      </c>
      <c r="I1156">
        <v>11</v>
      </c>
      <c r="J1156">
        <v>58</v>
      </c>
      <c r="K1156">
        <v>394</v>
      </c>
      <c r="L1156">
        <v>441</v>
      </c>
      <c r="M1156">
        <v>10.66666667</v>
      </c>
      <c r="N1156">
        <f>IFERROR(VLOOKUP(A1156,vlookup_table!$A:$G,2,FALSE),"")</f>
        <v>0</v>
      </c>
      <c r="O1156">
        <f>IFERROR(VLOOKUP(A1156,vlookup_table!$A:$G,4,FALSE),"")</f>
        <v>0</v>
      </c>
      <c r="P1156" t="str">
        <f>IFERROR(VLOOKUP(A1156,vlookup_table!$A:$G,5,FALSE),"")</f>
        <v>S2</v>
      </c>
      <c r="Q1156">
        <f>IFERROR(VLOOKUP(A1156,vlookup_table!$A:$G,7,FALSE),"")</f>
        <v>20</v>
      </c>
      <c r="R1156">
        <f t="shared" si="72"/>
        <v>97</v>
      </c>
      <c r="S1156" t="str" cm="1">
        <f t="array" ref="S1156">IF(P1156="","",_xlfn.SWITCH(LEFT(P1156,1),"C","Ciudad","T","Pueblo","R","Rural","S","Suburbano","U","Urbano",""))</f>
        <v>Suburbano</v>
      </c>
      <c r="T1156" t="str">
        <f t="shared" si="73"/>
        <v>U</v>
      </c>
      <c r="U1156" t="str">
        <f t="shared" si="74"/>
        <v>CA</v>
      </c>
      <c r="V1156" t="str">
        <f t="shared" si="75"/>
        <v>14703</v>
      </c>
    </row>
    <row r="1157" spans="1:22" x14ac:dyDescent="0.35">
      <c r="A1157">
        <v>187191</v>
      </c>
      <c r="B1157" t="s">
        <v>39</v>
      </c>
      <c r="D1157">
        <v>2639</v>
      </c>
      <c r="E1157">
        <v>436</v>
      </c>
      <c r="F1157">
        <v>764</v>
      </c>
      <c r="G1157">
        <v>68</v>
      </c>
      <c r="H1157">
        <v>35502</v>
      </c>
      <c r="I1157">
        <v>3</v>
      </c>
      <c r="J1157">
        <v>39</v>
      </c>
      <c r="K1157">
        <v>594</v>
      </c>
      <c r="L1157">
        <v>584</v>
      </c>
      <c r="M1157">
        <v>15</v>
      </c>
      <c r="N1157">
        <f>IFERROR(VLOOKUP(A1157,vlookup_table!$A:$G,2,FALSE),"")</f>
        <v>0</v>
      </c>
      <c r="O1157">
        <f>IFERROR(VLOOKUP(A1157,vlookup_table!$A:$G,4,FALSE),"")</f>
        <v>0</v>
      </c>
      <c r="P1157" t="str">
        <f>IFERROR(VLOOKUP(A1157,vlookup_table!$A:$G,5,FALSE),"")</f>
        <v>C1</v>
      </c>
      <c r="Q1157">
        <f>IFERROR(VLOOKUP(A1157,vlookup_table!$A:$G,7,FALSE),"")</f>
        <v>25</v>
      </c>
      <c r="R1157">
        <f t="shared" si="72"/>
        <v>97</v>
      </c>
      <c r="S1157" t="str" cm="1">
        <f t="array" ref="S1157">IF(P1157="","",_xlfn.SWITCH(LEFT(P1157,1),"C","Ciudad","T","Pueblo","R","Rural","S","Suburbano","U","Urbano",""))</f>
        <v>Ciudad</v>
      </c>
      <c r="T1157" t="str">
        <f t="shared" si="73"/>
        <v/>
      </c>
      <c r="U1157" t="str">
        <f t="shared" si="74"/>
        <v>GA</v>
      </c>
      <c r="V1157" t="str">
        <f t="shared" si="75"/>
        <v>35502</v>
      </c>
    </row>
    <row r="1158" spans="1:22" x14ac:dyDescent="0.35">
      <c r="A1158">
        <v>85357</v>
      </c>
      <c r="B1158" t="s">
        <v>56</v>
      </c>
      <c r="C1158" t="s">
        <v>17</v>
      </c>
      <c r="D1158">
        <v>476</v>
      </c>
      <c r="E1158">
        <v>202</v>
      </c>
      <c r="F1158">
        <v>304</v>
      </c>
      <c r="G1158">
        <v>0</v>
      </c>
      <c r="H1158">
        <v>10581</v>
      </c>
      <c r="I1158">
        <v>2</v>
      </c>
      <c r="J1158">
        <v>80</v>
      </c>
      <c r="K1158">
        <v>274</v>
      </c>
      <c r="L1158">
        <v>236</v>
      </c>
      <c r="M1158">
        <v>10.733333330000001</v>
      </c>
      <c r="N1158">
        <f>IFERROR(VLOOKUP(A1158,vlookup_table!$A:$G,2,FALSE),"")</f>
        <v>2</v>
      </c>
      <c r="O1158">
        <f>IFERROR(VLOOKUP(A1158,vlookup_table!$A:$G,4,FALSE),"")</f>
        <v>2908</v>
      </c>
      <c r="P1158" t="str">
        <f>IFERROR(VLOOKUP(A1158,vlookup_table!$A:$G,5,FALSE),"")</f>
        <v>R2</v>
      </c>
      <c r="Q1158">
        <f>IFERROR(VLOOKUP(A1158,vlookup_table!$A:$G,7,FALSE),"")</f>
        <v>15</v>
      </c>
      <c r="R1158">
        <f t="shared" si="72"/>
        <v>68</v>
      </c>
      <c r="S1158" t="str" cm="1">
        <f t="array" ref="S1158">IF(P1158="","",_xlfn.SWITCH(LEFT(P1158,1),"C","Ciudad","T","Pueblo","R","Rural","S","Suburbano","U","Urbano",""))</f>
        <v>Rural</v>
      </c>
      <c r="T1158" t="str">
        <f t="shared" si="73"/>
        <v>F</v>
      </c>
      <c r="U1158" t="str">
        <f t="shared" si="74"/>
        <v>MN</v>
      </c>
      <c r="V1158" t="str">
        <f t="shared" si="75"/>
        <v>10581</v>
      </c>
    </row>
    <row r="1159" spans="1:22" x14ac:dyDescent="0.35">
      <c r="A1159">
        <v>156866</v>
      </c>
      <c r="B1159" t="s">
        <v>22</v>
      </c>
      <c r="C1159" t="s">
        <v>14</v>
      </c>
      <c r="D1159">
        <v>3393</v>
      </c>
      <c r="E1159">
        <v>537</v>
      </c>
      <c r="F1159">
        <v>580</v>
      </c>
      <c r="G1159">
        <v>97</v>
      </c>
      <c r="H1159">
        <v>22083</v>
      </c>
      <c r="I1159">
        <v>6</v>
      </c>
      <c r="J1159">
        <v>50</v>
      </c>
      <c r="K1159">
        <v>553</v>
      </c>
      <c r="L1159">
        <v>589</v>
      </c>
      <c r="M1159">
        <v>20</v>
      </c>
      <c r="N1159">
        <f>IFERROR(VLOOKUP(A1159,vlookup_table!$A:$G,2,FALSE),"")</f>
        <v>14</v>
      </c>
      <c r="O1159">
        <f>IFERROR(VLOOKUP(A1159,vlookup_table!$A:$G,4,FALSE),"")</f>
        <v>2201</v>
      </c>
      <c r="P1159" t="str">
        <f>IFERROR(VLOOKUP(A1159,vlookup_table!$A:$G,5,FALSE),"")</f>
        <v>U1</v>
      </c>
      <c r="Q1159">
        <f>IFERROR(VLOOKUP(A1159,vlookup_table!$A:$G,7,FALSE),"")</f>
        <v>25</v>
      </c>
      <c r="R1159">
        <f t="shared" si="72"/>
        <v>75</v>
      </c>
      <c r="S1159" t="str" cm="1">
        <f t="array" ref="S1159">IF(P1159="","",_xlfn.SWITCH(LEFT(P1159,1),"C","Ciudad","T","Pueblo","R","Rural","S","Suburbano","U","Urbano",""))</f>
        <v>Urbano</v>
      </c>
      <c r="T1159" t="str">
        <f t="shared" si="73"/>
        <v>M</v>
      </c>
      <c r="U1159" t="str">
        <f t="shared" si="74"/>
        <v>CA</v>
      </c>
      <c r="V1159" t="str">
        <f t="shared" si="75"/>
        <v>22083</v>
      </c>
    </row>
    <row r="1160" spans="1:22" x14ac:dyDescent="0.35">
      <c r="A1160">
        <v>164513</v>
      </c>
      <c r="B1160" t="s">
        <v>72</v>
      </c>
      <c r="C1160" t="s">
        <v>17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12.5</v>
      </c>
      <c r="N1160">
        <f>IFERROR(VLOOKUP(A1160,vlookup_table!$A:$G,2,FALSE),"")</f>
        <v>0</v>
      </c>
      <c r="O1160">
        <f>IFERROR(VLOOKUP(A1160,vlookup_table!$A:$G,4,FALSE),"")</f>
        <v>4701</v>
      </c>
      <c r="P1160" t="str">
        <f>IFERROR(VLOOKUP(A1160,vlookup_table!$A:$G,5,FALSE),"")</f>
        <v>C1</v>
      </c>
      <c r="Q1160">
        <f>IFERROR(VLOOKUP(A1160,vlookup_table!$A:$G,7,FALSE),"")</f>
        <v>50</v>
      </c>
      <c r="R1160">
        <f t="shared" si="72"/>
        <v>50</v>
      </c>
      <c r="S1160" t="str" cm="1">
        <f t="array" ref="S1160">IF(P1160="","",_xlfn.SWITCH(LEFT(P1160,1),"C","Ciudad","T","Pueblo","R","Rural","S","Suburbano","U","Urbano",""))</f>
        <v>Ciudad</v>
      </c>
      <c r="T1160" t="str">
        <f t="shared" si="73"/>
        <v>F</v>
      </c>
      <c r="U1160" t="str">
        <f t="shared" si="74"/>
        <v>AE</v>
      </c>
      <c r="V1160" t="str">
        <f t="shared" si="75"/>
        <v>0</v>
      </c>
    </row>
    <row r="1161" spans="1:22" x14ac:dyDescent="0.35">
      <c r="A1161">
        <v>163369</v>
      </c>
      <c r="B1161" t="s">
        <v>22</v>
      </c>
      <c r="D1161">
        <v>2250</v>
      </c>
      <c r="E1161">
        <v>181</v>
      </c>
      <c r="F1161">
        <v>167</v>
      </c>
      <c r="G1161">
        <v>99</v>
      </c>
      <c r="H1161">
        <v>11346</v>
      </c>
      <c r="I1161">
        <v>44</v>
      </c>
      <c r="J1161">
        <v>16</v>
      </c>
      <c r="K1161">
        <v>159</v>
      </c>
      <c r="L1161">
        <v>192</v>
      </c>
      <c r="M1161">
        <v>6</v>
      </c>
      <c r="N1161">
        <f>IFERROR(VLOOKUP(A1161,vlookup_table!$A:$G,2,FALSE),"")</f>
        <v>0</v>
      </c>
      <c r="O1161">
        <f>IFERROR(VLOOKUP(A1161,vlookup_table!$A:$G,4,FALSE),"")</f>
        <v>0</v>
      </c>
      <c r="P1161" t="str">
        <f>IFERROR(VLOOKUP(A1161,vlookup_table!$A:$G,5,FALSE),"")</f>
        <v>U2</v>
      </c>
      <c r="Q1161">
        <f>IFERROR(VLOOKUP(A1161,vlookup_table!$A:$G,7,FALSE),"")</f>
        <v>6</v>
      </c>
      <c r="R1161">
        <f t="shared" si="72"/>
        <v>97</v>
      </c>
      <c r="S1161" t="str" cm="1">
        <f t="array" ref="S1161">IF(P1161="","",_xlfn.SWITCH(LEFT(P1161,1),"C","Ciudad","T","Pueblo","R","Rural","S","Suburbano","U","Urbano",""))</f>
        <v>Urbano</v>
      </c>
      <c r="T1161" t="str">
        <f t="shared" si="73"/>
        <v/>
      </c>
      <c r="U1161" t="str">
        <f t="shared" si="74"/>
        <v>CA</v>
      </c>
      <c r="V1161" t="str">
        <f t="shared" si="75"/>
        <v>11346</v>
      </c>
    </row>
    <row r="1162" spans="1:22" x14ac:dyDescent="0.35">
      <c r="A1162">
        <v>551</v>
      </c>
      <c r="B1162" t="s">
        <v>21</v>
      </c>
      <c r="C1162" t="s">
        <v>17</v>
      </c>
      <c r="D1162">
        <v>340</v>
      </c>
      <c r="E1162">
        <v>180</v>
      </c>
      <c r="F1162">
        <v>279</v>
      </c>
      <c r="G1162">
        <v>1</v>
      </c>
      <c r="H1162">
        <v>9343</v>
      </c>
      <c r="I1162">
        <v>3</v>
      </c>
      <c r="J1162">
        <v>80</v>
      </c>
      <c r="K1162">
        <v>227</v>
      </c>
      <c r="L1162">
        <v>235</v>
      </c>
      <c r="M1162">
        <v>15.33333333</v>
      </c>
      <c r="N1162">
        <f>IFERROR(VLOOKUP(A1162,vlookup_table!$A:$G,2,FALSE),"")</f>
        <v>2</v>
      </c>
      <c r="O1162">
        <f>IFERROR(VLOOKUP(A1162,vlookup_table!$A:$G,4,FALSE),"")</f>
        <v>1201</v>
      </c>
      <c r="P1162" t="str">
        <f>IFERROR(VLOOKUP(A1162,vlookup_table!$A:$G,5,FALSE),"")</f>
        <v>T2</v>
      </c>
      <c r="Q1162">
        <f>IFERROR(VLOOKUP(A1162,vlookup_table!$A:$G,7,FALSE),"")</f>
        <v>20</v>
      </c>
      <c r="R1162">
        <f t="shared" si="72"/>
        <v>85</v>
      </c>
      <c r="S1162" t="str" cm="1">
        <f t="array" ref="S1162">IF(P1162="","",_xlfn.SWITCH(LEFT(P1162,1),"C","Ciudad","T","Pueblo","R","Rural","S","Suburbano","U","Urbano",""))</f>
        <v>Pueblo</v>
      </c>
      <c r="T1162" t="str">
        <f t="shared" si="73"/>
        <v>F</v>
      </c>
      <c r="U1162" t="str">
        <f t="shared" si="74"/>
        <v>TX</v>
      </c>
      <c r="V1162" t="str">
        <f t="shared" si="75"/>
        <v>9343</v>
      </c>
    </row>
    <row r="1163" spans="1:22" x14ac:dyDescent="0.35">
      <c r="A1163">
        <v>18750</v>
      </c>
      <c r="B1163" t="s">
        <v>18</v>
      </c>
      <c r="C1163" t="s">
        <v>20</v>
      </c>
      <c r="D1163">
        <v>482</v>
      </c>
      <c r="E1163">
        <v>302</v>
      </c>
      <c r="F1163">
        <v>462</v>
      </c>
      <c r="G1163">
        <v>1</v>
      </c>
      <c r="H1163">
        <v>15573</v>
      </c>
      <c r="I1163">
        <v>0</v>
      </c>
      <c r="J1163">
        <v>72</v>
      </c>
      <c r="K1163">
        <v>328</v>
      </c>
      <c r="L1163">
        <v>396</v>
      </c>
      <c r="M1163">
        <v>12.5</v>
      </c>
      <c r="N1163">
        <f>IFERROR(VLOOKUP(A1163,vlookup_table!$A:$G,2,FALSE),"")</f>
        <v>0</v>
      </c>
      <c r="O1163">
        <f>IFERROR(VLOOKUP(A1163,vlookup_table!$A:$G,4,FALSE),"")</f>
        <v>5201</v>
      </c>
      <c r="P1163" t="str">
        <f>IFERROR(VLOOKUP(A1163,vlookup_table!$A:$G,5,FALSE),"")</f>
        <v>T2</v>
      </c>
      <c r="Q1163">
        <f>IFERROR(VLOOKUP(A1163,vlookup_table!$A:$G,7,FALSE),"")</f>
        <v>20</v>
      </c>
      <c r="R1163">
        <f t="shared" si="72"/>
        <v>45</v>
      </c>
      <c r="S1163" t="str" cm="1">
        <f t="array" ref="S1163">IF(P1163="","",_xlfn.SWITCH(LEFT(P1163,1),"C","Ciudad","T","Pueblo","R","Rural","S","Suburbano","U","Urbano",""))</f>
        <v>Pueblo</v>
      </c>
      <c r="T1163" t="str">
        <f t="shared" si="73"/>
        <v>F</v>
      </c>
      <c r="U1163" t="str">
        <f t="shared" si="74"/>
        <v>NC</v>
      </c>
      <c r="V1163" t="str">
        <f t="shared" si="75"/>
        <v>15573</v>
      </c>
    </row>
    <row r="1164" spans="1:22" x14ac:dyDescent="0.35">
      <c r="A1164">
        <v>81277</v>
      </c>
      <c r="B1164" t="s">
        <v>35</v>
      </c>
      <c r="C1164" t="s">
        <v>17</v>
      </c>
      <c r="D1164">
        <v>322</v>
      </c>
      <c r="E1164">
        <v>233</v>
      </c>
      <c r="F1164">
        <v>320</v>
      </c>
      <c r="G1164">
        <v>0</v>
      </c>
      <c r="H1164">
        <v>10317</v>
      </c>
      <c r="I1164">
        <v>0</v>
      </c>
      <c r="J1164">
        <v>84</v>
      </c>
      <c r="K1164">
        <v>258</v>
      </c>
      <c r="L1164">
        <v>291</v>
      </c>
      <c r="M1164">
        <v>15</v>
      </c>
      <c r="N1164">
        <f>IFERROR(VLOOKUP(A1164,vlookup_table!$A:$G,2,FALSE),"")</f>
        <v>2</v>
      </c>
      <c r="O1164">
        <f>IFERROR(VLOOKUP(A1164,vlookup_table!$A:$G,4,FALSE),"")</f>
        <v>4401</v>
      </c>
      <c r="P1164" t="str">
        <f>IFERROR(VLOOKUP(A1164,vlookup_table!$A:$G,5,FALSE),"")</f>
        <v>R1</v>
      </c>
      <c r="Q1164">
        <f>IFERROR(VLOOKUP(A1164,vlookup_table!$A:$G,7,FALSE),"")</f>
        <v>25</v>
      </c>
      <c r="R1164">
        <f t="shared" si="72"/>
        <v>53</v>
      </c>
      <c r="S1164" t="str" cm="1">
        <f t="array" ref="S1164">IF(P1164="","",_xlfn.SWITCH(LEFT(P1164,1),"C","Ciudad","T","Pueblo","R","Rural","S","Suburbano","U","Urbano",""))</f>
        <v>Rural</v>
      </c>
      <c r="T1164" t="str">
        <f t="shared" si="73"/>
        <v>F</v>
      </c>
      <c r="U1164" t="str">
        <f t="shared" si="74"/>
        <v>WI</v>
      </c>
      <c r="V1164" t="str">
        <f t="shared" si="75"/>
        <v>10317</v>
      </c>
    </row>
    <row r="1165" spans="1:22" x14ac:dyDescent="0.35">
      <c r="A1165">
        <v>128121</v>
      </c>
      <c r="B1165" t="s">
        <v>21</v>
      </c>
      <c r="C1165" t="s">
        <v>17</v>
      </c>
      <c r="D1165">
        <v>655</v>
      </c>
      <c r="E1165">
        <v>406</v>
      </c>
      <c r="F1165">
        <v>481</v>
      </c>
      <c r="G1165">
        <v>0</v>
      </c>
      <c r="H1165">
        <v>16426</v>
      </c>
      <c r="I1165">
        <v>1</v>
      </c>
      <c r="J1165">
        <v>72</v>
      </c>
      <c r="K1165">
        <v>432</v>
      </c>
      <c r="L1165">
        <v>430</v>
      </c>
      <c r="M1165">
        <v>9</v>
      </c>
      <c r="N1165">
        <f>IFERROR(VLOOKUP(A1165,vlookup_table!$A:$G,2,FALSE),"")</f>
        <v>0</v>
      </c>
      <c r="O1165">
        <f>IFERROR(VLOOKUP(A1165,vlookup_table!$A:$G,4,FALSE),"")</f>
        <v>0</v>
      </c>
      <c r="P1165" t="str">
        <f>IFERROR(VLOOKUP(A1165,vlookup_table!$A:$G,5,FALSE),"")</f>
        <v>S1</v>
      </c>
      <c r="Q1165">
        <f>IFERROR(VLOOKUP(A1165,vlookup_table!$A:$G,7,FALSE),"")</f>
        <v>10</v>
      </c>
      <c r="R1165">
        <f t="shared" si="72"/>
        <v>97</v>
      </c>
      <c r="S1165" t="str" cm="1">
        <f t="array" ref="S1165">IF(P1165="","",_xlfn.SWITCH(LEFT(P1165,1),"C","Ciudad","T","Pueblo","R","Rural","S","Suburbano","U","Urbano",""))</f>
        <v>Suburbano</v>
      </c>
      <c r="T1165" t="str">
        <f t="shared" si="73"/>
        <v>F</v>
      </c>
      <c r="U1165" t="str">
        <f t="shared" si="74"/>
        <v>TX</v>
      </c>
      <c r="V1165" t="str">
        <f t="shared" si="75"/>
        <v>16426</v>
      </c>
    </row>
    <row r="1166" spans="1:22" x14ac:dyDescent="0.35">
      <c r="A1166">
        <v>84199</v>
      </c>
      <c r="B1166" t="s">
        <v>56</v>
      </c>
      <c r="C1166" t="s">
        <v>17</v>
      </c>
      <c r="D1166">
        <v>908</v>
      </c>
      <c r="E1166">
        <v>487</v>
      </c>
      <c r="F1166">
        <v>493</v>
      </c>
      <c r="G1166">
        <v>0</v>
      </c>
      <c r="H1166">
        <v>14526</v>
      </c>
      <c r="I1166">
        <v>0</v>
      </c>
      <c r="J1166">
        <v>79</v>
      </c>
      <c r="K1166">
        <v>482</v>
      </c>
      <c r="L1166">
        <v>499</v>
      </c>
      <c r="M1166">
        <v>5.0909090910000003</v>
      </c>
      <c r="N1166">
        <f>IFERROR(VLOOKUP(A1166,vlookup_table!$A:$G,2,FALSE),"")</f>
        <v>0</v>
      </c>
      <c r="O1166">
        <f>IFERROR(VLOOKUP(A1166,vlookup_table!$A:$G,4,FALSE),"")</f>
        <v>2501</v>
      </c>
      <c r="P1166" t="str">
        <f>IFERROR(VLOOKUP(A1166,vlookup_table!$A:$G,5,FALSE),"")</f>
        <v>S2</v>
      </c>
      <c r="Q1166">
        <f>IFERROR(VLOOKUP(A1166,vlookup_table!$A:$G,7,FALSE),"")</f>
        <v>5</v>
      </c>
      <c r="R1166">
        <f t="shared" si="72"/>
        <v>72</v>
      </c>
      <c r="S1166" t="str" cm="1">
        <f t="array" ref="S1166">IF(P1166="","",_xlfn.SWITCH(LEFT(P1166,1),"C","Ciudad","T","Pueblo","R","Rural","S","Suburbano","U","Urbano",""))</f>
        <v>Suburbano</v>
      </c>
      <c r="T1166" t="str">
        <f t="shared" si="73"/>
        <v>F</v>
      </c>
      <c r="U1166" t="str">
        <f t="shared" si="74"/>
        <v>MN</v>
      </c>
      <c r="V1166" t="str">
        <f t="shared" si="75"/>
        <v>14526</v>
      </c>
    </row>
    <row r="1167" spans="1:22" x14ac:dyDescent="0.35">
      <c r="A1167">
        <v>183476</v>
      </c>
      <c r="B1167" t="s">
        <v>40</v>
      </c>
      <c r="C1167" t="s">
        <v>17</v>
      </c>
      <c r="D1167">
        <v>718</v>
      </c>
      <c r="E1167">
        <v>471</v>
      </c>
      <c r="F1167">
        <v>541</v>
      </c>
      <c r="G1167">
        <v>3</v>
      </c>
      <c r="H1167">
        <v>18190</v>
      </c>
      <c r="I1167">
        <v>4</v>
      </c>
      <c r="J1167">
        <v>59</v>
      </c>
      <c r="K1167">
        <v>508</v>
      </c>
      <c r="L1167">
        <v>497</v>
      </c>
      <c r="M1167">
        <v>11.07692308</v>
      </c>
      <c r="N1167">
        <f>IFERROR(VLOOKUP(A1167,vlookup_table!$A:$G,2,FALSE),"")</f>
        <v>2</v>
      </c>
      <c r="O1167">
        <f>IFERROR(VLOOKUP(A1167,vlookup_table!$A:$G,4,FALSE),"")</f>
        <v>5008</v>
      </c>
      <c r="P1167" t="str">
        <f>IFERROR(VLOOKUP(A1167,vlookup_table!$A:$G,5,FALSE),"")</f>
        <v>T2</v>
      </c>
      <c r="Q1167">
        <f>IFERROR(VLOOKUP(A1167,vlookup_table!$A:$G,7,FALSE),"")</f>
        <v>25</v>
      </c>
      <c r="R1167">
        <f t="shared" si="72"/>
        <v>47</v>
      </c>
      <c r="S1167" t="str" cm="1">
        <f t="array" ref="S1167">IF(P1167="","",_xlfn.SWITCH(LEFT(P1167,1),"C","Ciudad","T","Pueblo","R","Rural","S","Suburbano","U","Urbano",""))</f>
        <v>Pueblo</v>
      </c>
      <c r="T1167" t="str">
        <f t="shared" si="73"/>
        <v>F</v>
      </c>
      <c r="U1167" t="str">
        <f t="shared" si="74"/>
        <v>WA</v>
      </c>
      <c r="V1167" t="str">
        <f t="shared" si="75"/>
        <v>18190</v>
      </c>
    </row>
    <row r="1168" spans="1:22" x14ac:dyDescent="0.35">
      <c r="A1168">
        <v>162994</v>
      </c>
      <c r="B1168" t="s">
        <v>22</v>
      </c>
      <c r="C1168" t="s">
        <v>14</v>
      </c>
      <c r="D1168">
        <v>2750</v>
      </c>
      <c r="E1168">
        <v>252</v>
      </c>
      <c r="F1168">
        <v>392</v>
      </c>
      <c r="G1168">
        <v>75</v>
      </c>
      <c r="H1168">
        <v>19558</v>
      </c>
      <c r="I1168">
        <v>34</v>
      </c>
      <c r="J1168">
        <v>20</v>
      </c>
      <c r="K1168">
        <v>332</v>
      </c>
      <c r="L1168">
        <v>302</v>
      </c>
      <c r="M1168">
        <v>10.66666667</v>
      </c>
      <c r="N1168">
        <f>IFERROR(VLOOKUP(A1168,vlookup_table!$A:$G,2,FALSE),"")</f>
        <v>1</v>
      </c>
      <c r="O1168">
        <f>IFERROR(VLOOKUP(A1168,vlookup_table!$A:$G,4,FALSE),"")</f>
        <v>0</v>
      </c>
      <c r="P1168" t="str">
        <f>IFERROR(VLOOKUP(A1168,vlookup_table!$A:$G,5,FALSE),"")</f>
        <v>U1</v>
      </c>
      <c r="Q1168">
        <f>IFERROR(VLOOKUP(A1168,vlookup_table!$A:$G,7,FALSE),"")</f>
        <v>10</v>
      </c>
      <c r="R1168">
        <f t="shared" si="72"/>
        <v>97</v>
      </c>
      <c r="S1168" t="str" cm="1">
        <f t="array" ref="S1168">IF(P1168="","",_xlfn.SWITCH(LEFT(P1168,1),"C","Ciudad","T","Pueblo","R","Rural","S","Suburbano","U","Urbano",""))</f>
        <v>Urbano</v>
      </c>
      <c r="T1168" t="str">
        <f t="shared" si="73"/>
        <v>M</v>
      </c>
      <c r="U1168" t="str">
        <f t="shared" si="74"/>
        <v>CA</v>
      </c>
      <c r="V1168" t="str">
        <f t="shared" si="75"/>
        <v>19558</v>
      </c>
    </row>
    <row r="1169" spans="1:22" x14ac:dyDescent="0.35">
      <c r="A1169">
        <v>32040</v>
      </c>
      <c r="B1169" t="s">
        <v>39</v>
      </c>
      <c r="C1169" t="s">
        <v>14</v>
      </c>
      <c r="D1169">
        <v>397</v>
      </c>
      <c r="E1169">
        <v>184</v>
      </c>
      <c r="F1169">
        <v>285</v>
      </c>
      <c r="G1169">
        <v>1</v>
      </c>
      <c r="H1169">
        <v>9831</v>
      </c>
      <c r="I1169">
        <v>0</v>
      </c>
      <c r="J1169">
        <v>91</v>
      </c>
      <c r="K1169">
        <v>219</v>
      </c>
      <c r="L1169">
        <v>237</v>
      </c>
      <c r="M1169">
        <v>9.3333333330000006</v>
      </c>
      <c r="N1169">
        <f>IFERROR(VLOOKUP(A1169,vlookup_table!$A:$G,2,FALSE),"")</f>
        <v>4</v>
      </c>
      <c r="O1169">
        <f>IFERROR(VLOOKUP(A1169,vlookup_table!$A:$G,4,FALSE),"")</f>
        <v>2801</v>
      </c>
      <c r="P1169" t="str">
        <f>IFERROR(VLOOKUP(A1169,vlookup_table!$A:$G,5,FALSE),"")</f>
        <v>C1</v>
      </c>
      <c r="Q1169">
        <f>IFERROR(VLOOKUP(A1169,vlookup_table!$A:$G,7,FALSE),"")</f>
        <v>20</v>
      </c>
      <c r="R1169">
        <f t="shared" si="72"/>
        <v>69</v>
      </c>
      <c r="S1169" t="str" cm="1">
        <f t="array" ref="S1169">IF(P1169="","",_xlfn.SWITCH(LEFT(P1169,1),"C","Ciudad","T","Pueblo","R","Rural","S","Suburbano","U","Urbano",""))</f>
        <v>Ciudad</v>
      </c>
      <c r="T1169" t="str">
        <f t="shared" si="73"/>
        <v>M</v>
      </c>
      <c r="U1169" t="str">
        <f t="shared" si="74"/>
        <v>GA</v>
      </c>
      <c r="V1169" t="str">
        <f t="shared" si="75"/>
        <v>9831</v>
      </c>
    </row>
    <row r="1170" spans="1:22" x14ac:dyDescent="0.35">
      <c r="A1170">
        <v>65968</v>
      </c>
      <c r="B1170" t="s">
        <v>29</v>
      </c>
      <c r="C1170" t="s">
        <v>14</v>
      </c>
      <c r="D1170">
        <v>1040</v>
      </c>
      <c r="E1170">
        <v>220</v>
      </c>
      <c r="F1170">
        <v>278</v>
      </c>
      <c r="G1170">
        <v>4</v>
      </c>
      <c r="H1170">
        <v>14610</v>
      </c>
      <c r="I1170">
        <v>0</v>
      </c>
      <c r="J1170">
        <v>56</v>
      </c>
      <c r="K1170">
        <v>309</v>
      </c>
      <c r="L1170">
        <v>256</v>
      </c>
      <c r="M1170">
        <v>7.9375</v>
      </c>
      <c r="N1170">
        <f>IFERROR(VLOOKUP(A1170,vlookup_table!$A:$G,2,FALSE),"")</f>
        <v>1</v>
      </c>
      <c r="O1170">
        <f>IFERROR(VLOOKUP(A1170,vlookup_table!$A:$G,4,FALSE),"")</f>
        <v>6105</v>
      </c>
      <c r="P1170" t="str">
        <f>IFERROR(VLOOKUP(A1170,vlookup_table!$A:$G,5,FALSE),"")</f>
        <v>C1</v>
      </c>
      <c r="Q1170">
        <f>IFERROR(VLOOKUP(A1170,vlookup_table!$A:$G,7,FALSE),"")</f>
        <v>9</v>
      </c>
      <c r="R1170">
        <f t="shared" si="72"/>
        <v>36</v>
      </c>
      <c r="S1170" t="str" cm="1">
        <f t="array" ref="S1170">IF(P1170="","",_xlfn.SWITCH(LEFT(P1170,1),"C","Ciudad","T","Pueblo","R","Rural","S","Suburbano","U","Urbano",""))</f>
        <v>Ciudad</v>
      </c>
      <c r="T1170" t="str">
        <f t="shared" si="73"/>
        <v>M</v>
      </c>
      <c r="U1170" t="str">
        <f t="shared" si="74"/>
        <v>MI</v>
      </c>
      <c r="V1170" t="str">
        <f t="shared" si="75"/>
        <v>14610</v>
      </c>
    </row>
    <row r="1171" spans="1:22" x14ac:dyDescent="0.35">
      <c r="A1171">
        <v>135896</v>
      </c>
      <c r="B1171" t="s">
        <v>64</v>
      </c>
      <c r="C1171" t="s">
        <v>14</v>
      </c>
      <c r="D1171">
        <v>675</v>
      </c>
      <c r="E1171">
        <v>186</v>
      </c>
      <c r="F1171">
        <v>265</v>
      </c>
      <c r="G1171">
        <v>17</v>
      </c>
      <c r="H1171">
        <v>11355</v>
      </c>
      <c r="I1171">
        <v>2</v>
      </c>
      <c r="J1171">
        <v>7</v>
      </c>
      <c r="K1171">
        <v>238</v>
      </c>
      <c r="L1171">
        <v>207</v>
      </c>
      <c r="M1171">
        <v>6.1111111109999996</v>
      </c>
      <c r="N1171">
        <f>IFERROR(VLOOKUP(A1171,vlookup_table!$A:$G,2,FALSE),"")</f>
        <v>0</v>
      </c>
      <c r="O1171">
        <f>IFERROR(VLOOKUP(A1171,vlookup_table!$A:$G,4,FALSE),"")</f>
        <v>2501</v>
      </c>
      <c r="P1171" t="str">
        <f>IFERROR(VLOOKUP(A1171,vlookup_table!$A:$G,5,FALSE),"")</f>
        <v>C3</v>
      </c>
      <c r="Q1171">
        <f>IFERROR(VLOOKUP(A1171,vlookup_table!$A:$G,7,FALSE),"")</f>
        <v>2</v>
      </c>
      <c r="R1171">
        <f t="shared" si="72"/>
        <v>72</v>
      </c>
      <c r="S1171" t="str" cm="1">
        <f t="array" ref="S1171">IF(P1171="","",_xlfn.SWITCH(LEFT(P1171,1),"C","Ciudad","T","Pueblo","R","Rural","S","Suburbano","U","Urbano",""))</f>
        <v>Ciudad</v>
      </c>
      <c r="T1171" t="str">
        <f t="shared" si="73"/>
        <v>M</v>
      </c>
      <c r="U1171" t="str">
        <f t="shared" si="74"/>
        <v>Arizona</v>
      </c>
      <c r="V1171" t="str">
        <f t="shared" si="75"/>
        <v>11355</v>
      </c>
    </row>
    <row r="1172" spans="1:22" x14ac:dyDescent="0.35">
      <c r="A1172">
        <v>46461</v>
      </c>
      <c r="B1172" t="s">
        <v>13</v>
      </c>
      <c r="C1172" t="s">
        <v>14</v>
      </c>
      <c r="D1172">
        <v>719</v>
      </c>
      <c r="E1172">
        <v>381</v>
      </c>
      <c r="F1172">
        <v>410</v>
      </c>
      <c r="G1172">
        <v>0</v>
      </c>
      <c r="H1172">
        <v>13552</v>
      </c>
      <c r="I1172">
        <v>2</v>
      </c>
      <c r="J1172">
        <v>36</v>
      </c>
      <c r="K1172">
        <v>398</v>
      </c>
      <c r="L1172">
        <v>389</v>
      </c>
      <c r="M1172">
        <v>11.33333333</v>
      </c>
      <c r="N1172">
        <f>IFERROR(VLOOKUP(A1172,vlookup_table!$A:$G,2,FALSE),"")</f>
        <v>1</v>
      </c>
      <c r="O1172">
        <f>IFERROR(VLOOKUP(A1172,vlookup_table!$A:$G,4,FALSE),"")</f>
        <v>1801</v>
      </c>
      <c r="P1172" t="str">
        <f>IFERROR(VLOOKUP(A1172,vlookup_table!$A:$G,5,FALSE),"")</f>
        <v>C2</v>
      </c>
      <c r="Q1172">
        <f>IFERROR(VLOOKUP(A1172,vlookup_table!$A:$G,7,FALSE),"")</f>
        <v>12</v>
      </c>
      <c r="R1172">
        <f t="shared" si="72"/>
        <v>79</v>
      </c>
      <c r="S1172" t="str" cm="1">
        <f t="array" ref="S1172">IF(P1172="","",_xlfn.SWITCH(LEFT(P1172,1),"C","Ciudad","T","Pueblo","R","Rural","S","Suburbano","U","Urbano",""))</f>
        <v>Ciudad</v>
      </c>
      <c r="T1172" t="str">
        <f t="shared" si="73"/>
        <v>M</v>
      </c>
      <c r="U1172" t="str">
        <f t="shared" si="74"/>
        <v>FL</v>
      </c>
      <c r="V1172" t="str">
        <f t="shared" si="75"/>
        <v>13552</v>
      </c>
    </row>
    <row r="1173" spans="1:22" x14ac:dyDescent="0.35">
      <c r="A1173">
        <v>2396</v>
      </c>
      <c r="B1173" t="s">
        <v>13</v>
      </c>
      <c r="D1173">
        <v>588</v>
      </c>
      <c r="E1173">
        <v>233</v>
      </c>
      <c r="F1173">
        <v>266</v>
      </c>
      <c r="G1173">
        <v>1</v>
      </c>
      <c r="H1173">
        <v>10309</v>
      </c>
      <c r="I1173">
        <v>10</v>
      </c>
      <c r="J1173">
        <v>21</v>
      </c>
      <c r="K1173">
        <v>249</v>
      </c>
      <c r="L1173">
        <v>254</v>
      </c>
      <c r="M1173">
        <v>8.3333333330000006</v>
      </c>
      <c r="N1173">
        <f>IFERROR(VLOOKUP(A1173,vlookup_table!$A:$G,2,FALSE),"")</f>
        <v>0</v>
      </c>
      <c r="O1173">
        <f>IFERROR(VLOOKUP(A1173,vlookup_table!$A:$G,4,FALSE),"")</f>
        <v>0</v>
      </c>
      <c r="P1173" t="str">
        <f>IFERROR(VLOOKUP(A1173,vlookup_table!$A:$G,5,FALSE),"")</f>
        <v>T2</v>
      </c>
      <c r="Q1173">
        <f>IFERROR(VLOOKUP(A1173,vlookup_table!$A:$G,7,FALSE),"")</f>
        <v>5</v>
      </c>
      <c r="R1173">
        <f t="shared" si="72"/>
        <v>97</v>
      </c>
      <c r="S1173" t="str" cm="1">
        <f t="array" ref="S1173">IF(P1173="","",_xlfn.SWITCH(LEFT(P1173,1),"C","Ciudad","T","Pueblo","R","Rural","S","Suburbano","U","Urbano",""))</f>
        <v>Pueblo</v>
      </c>
      <c r="T1173" t="str">
        <f t="shared" si="73"/>
        <v/>
      </c>
      <c r="U1173" t="str">
        <f t="shared" si="74"/>
        <v>FL</v>
      </c>
      <c r="V1173" t="str">
        <f t="shared" si="75"/>
        <v>10309</v>
      </c>
    </row>
    <row r="1174" spans="1:22" x14ac:dyDescent="0.35">
      <c r="A1174">
        <v>93500</v>
      </c>
      <c r="B1174" t="s">
        <v>16</v>
      </c>
      <c r="C1174" t="s">
        <v>17</v>
      </c>
      <c r="D1174">
        <v>1053</v>
      </c>
      <c r="E1174">
        <v>368</v>
      </c>
      <c r="F1174">
        <v>465</v>
      </c>
      <c r="G1174">
        <v>0</v>
      </c>
      <c r="H1174">
        <v>15176</v>
      </c>
      <c r="I1174">
        <v>20</v>
      </c>
      <c r="J1174">
        <v>73</v>
      </c>
      <c r="K1174">
        <v>419</v>
      </c>
      <c r="L1174">
        <v>402</v>
      </c>
      <c r="M1174">
        <v>8.3333333330000006</v>
      </c>
      <c r="N1174">
        <f>IFERROR(VLOOKUP(A1174,vlookup_table!$A:$G,2,FALSE),"")</f>
        <v>0</v>
      </c>
      <c r="O1174">
        <f>IFERROR(VLOOKUP(A1174,vlookup_table!$A:$G,4,FALSE),"")</f>
        <v>3705</v>
      </c>
      <c r="P1174" t="str">
        <f>IFERROR(VLOOKUP(A1174,vlookup_table!$A:$G,5,FALSE),"")</f>
        <v>U4</v>
      </c>
      <c r="Q1174">
        <f>IFERROR(VLOOKUP(A1174,vlookup_table!$A:$G,7,FALSE),"")</f>
        <v>10</v>
      </c>
      <c r="R1174">
        <f t="shared" si="72"/>
        <v>60</v>
      </c>
      <c r="S1174" t="str" cm="1">
        <f t="array" ref="S1174">IF(P1174="","",_xlfn.SWITCH(LEFT(P1174,1),"C","Ciudad","T","Pueblo","R","Rural","S","Suburbano","U","Urbano",""))</f>
        <v>Urbano</v>
      </c>
      <c r="T1174" t="str">
        <f t="shared" si="73"/>
        <v>F</v>
      </c>
      <c r="U1174" t="str">
        <f t="shared" si="74"/>
        <v>IL</v>
      </c>
      <c r="V1174" t="str">
        <f t="shared" si="75"/>
        <v>15176</v>
      </c>
    </row>
    <row r="1175" spans="1:22" x14ac:dyDescent="0.35">
      <c r="A1175">
        <v>90899</v>
      </c>
      <c r="B1175" t="s">
        <v>16</v>
      </c>
      <c r="C1175" t="s">
        <v>17</v>
      </c>
      <c r="D1175">
        <v>419</v>
      </c>
      <c r="E1175">
        <v>279</v>
      </c>
      <c r="F1175">
        <v>303</v>
      </c>
      <c r="G1175">
        <v>0</v>
      </c>
      <c r="H1175">
        <v>7285</v>
      </c>
      <c r="I1175">
        <v>0</v>
      </c>
      <c r="J1175">
        <v>72</v>
      </c>
      <c r="K1175">
        <v>295</v>
      </c>
      <c r="L1175">
        <v>296</v>
      </c>
      <c r="M1175">
        <v>12</v>
      </c>
      <c r="N1175">
        <f>IFERROR(VLOOKUP(A1175,vlookup_table!$A:$G,2,FALSE),"")</f>
        <v>28</v>
      </c>
      <c r="O1175">
        <f>IFERROR(VLOOKUP(A1175,vlookup_table!$A:$G,4,FALSE),"")</f>
        <v>3912</v>
      </c>
      <c r="P1175" t="str">
        <f>IFERROR(VLOOKUP(A1175,vlookup_table!$A:$G,5,FALSE),"")</f>
        <v>S3</v>
      </c>
      <c r="Q1175">
        <f>IFERROR(VLOOKUP(A1175,vlookup_table!$A:$G,7,FALSE),"")</f>
        <v>17</v>
      </c>
      <c r="R1175">
        <f t="shared" si="72"/>
        <v>58</v>
      </c>
      <c r="S1175" t="str" cm="1">
        <f t="array" ref="S1175">IF(P1175="","",_xlfn.SWITCH(LEFT(P1175,1),"C","Ciudad","T","Pueblo","R","Rural","S","Suburbano","U","Urbano",""))</f>
        <v>Suburbano</v>
      </c>
      <c r="T1175" t="str">
        <f t="shared" si="73"/>
        <v>F</v>
      </c>
      <c r="U1175" t="str">
        <f t="shared" si="74"/>
        <v>IL</v>
      </c>
      <c r="V1175" t="str">
        <f t="shared" si="75"/>
        <v>7285</v>
      </c>
    </row>
    <row r="1176" spans="1:22" x14ac:dyDescent="0.35">
      <c r="A1176">
        <v>116542</v>
      </c>
      <c r="B1176" t="s">
        <v>21</v>
      </c>
      <c r="C1176" t="s">
        <v>30</v>
      </c>
      <c r="D1176">
        <v>481</v>
      </c>
      <c r="E1176">
        <v>172</v>
      </c>
      <c r="F1176">
        <v>264</v>
      </c>
      <c r="G1176">
        <v>1</v>
      </c>
      <c r="H1176">
        <v>9264</v>
      </c>
      <c r="I1176">
        <v>0</v>
      </c>
      <c r="J1176">
        <v>79</v>
      </c>
      <c r="K1176">
        <v>218</v>
      </c>
      <c r="L1176">
        <v>227</v>
      </c>
      <c r="M1176">
        <v>15</v>
      </c>
      <c r="N1176">
        <f>IFERROR(VLOOKUP(A1176,vlookup_table!$A:$G,2,FALSE),"")</f>
        <v>0</v>
      </c>
      <c r="O1176">
        <f>IFERROR(VLOOKUP(A1176,vlookup_table!$A:$G,4,FALSE),"")</f>
        <v>0</v>
      </c>
      <c r="P1176" t="str">
        <f>IFERROR(VLOOKUP(A1176,vlookup_table!$A:$G,5,FALSE),"")</f>
        <v>R3</v>
      </c>
      <c r="Q1176">
        <f>IFERROR(VLOOKUP(A1176,vlookup_table!$A:$G,7,FALSE),"")</f>
        <v>20</v>
      </c>
      <c r="R1176">
        <f t="shared" si="72"/>
        <v>97</v>
      </c>
      <c r="S1176" t="str" cm="1">
        <f t="array" ref="S1176">IF(P1176="","",_xlfn.SWITCH(LEFT(P1176,1),"C","Ciudad","T","Pueblo","R","Rural","S","Suburbano","U","Urbano",""))</f>
        <v>Rural</v>
      </c>
      <c r="T1176" t="str">
        <f t="shared" si="73"/>
        <v>U</v>
      </c>
      <c r="U1176" t="str">
        <f t="shared" si="74"/>
        <v>TX</v>
      </c>
      <c r="V1176" t="str">
        <f t="shared" si="75"/>
        <v>9264</v>
      </c>
    </row>
    <row r="1177" spans="1:22" x14ac:dyDescent="0.35">
      <c r="A1177">
        <v>29868</v>
      </c>
      <c r="B1177" t="s">
        <v>39</v>
      </c>
      <c r="C1177" t="s">
        <v>17</v>
      </c>
      <c r="D1177">
        <v>803</v>
      </c>
      <c r="E1177">
        <v>397</v>
      </c>
      <c r="F1177">
        <v>441</v>
      </c>
      <c r="G1177">
        <v>2</v>
      </c>
      <c r="H1177">
        <v>15380</v>
      </c>
      <c r="I1177">
        <v>3</v>
      </c>
      <c r="J1177">
        <v>49</v>
      </c>
      <c r="K1177">
        <v>407</v>
      </c>
      <c r="L1177">
        <v>432</v>
      </c>
      <c r="M1177">
        <v>20</v>
      </c>
      <c r="N1177">
        <f>IFERROR(VLOOKUP(A1177,vlookup_table!$A:$G,2,FALSE),"")</f>
        <v>0</v>
      </c>
      <c r="O1177">
        <f>IFERROR(VLOOKUP(A1177,vlookup_table!$A:$G,4,FALSE),"")</f>
        <v>5901</v>
      </c>
      <c r="P1177" t="str">
        <f>IFERROR(VLOOKUP(A1177,vlookup_table!$A:$G,5,FALSE),"")</f>
        <v>T2</v>
      </c>
      <c r="Q1177">
        <f>IFERROR(VLOOKUP(A1177,vlookup_table!$A:$G,7,FALSE),"")</f>
        <v>25</v>
      </c>
      <c r="R1177">
        <f t="shared" si="72"/>
        <v>38</v>
      </c>
      <c r="S1177" t="str" cm="1">
        <f t="array" ref="S1177">IF(P1177="","",_xlfn.SWITCH(LEFT(P1177,1),"C","Ciudad","T","Pueblo","R","Rural","S","Suburbano","U","Urbano",""))</f>
        <v>Pueblo</v>
      </c>
      <c r="T1177" t="str">
        <f t="shared" si="73"/>
        <v>F</v>
      </c>
      <c r="U1177" t="str">
        <f t="shared" si="74"/>
        <v>GA</v>
      </c>
      <c r="V1177" t="str">
        <f t="shared" si="75"/>
        <v>15380</v>
      </c>
    </row>
    <row r="1178" spans="1:22" x14ac:dyDescent="0.35">
      <c r="A1178">
        <v>171521</v>
      </c>
      <c r="B1178" t="s">
        <v>22</v>
      </c>
      <c r="C1178" t="s">
        <v>17</v>
      </c>
      <c r="D1178">
        <v>886</v>
      </c>
      <c r="E1178">
        <v>318</v>
      </c>
      <c r="F1178">
        <v>388</v>
      </c>
      <c r="G1178">
        <v>6</v>
      </c>
      <c r="H1178">
        <v>12332</v>
      </c>
      <c r="I1178">
        <v>12</v>
      </c>
      <c r="J1178">
        <v>58</v>
      </c>
      <c r="K1178">
        <v>339</v>
      </c>
      <c r="L1178">
        <v>360</v>
      </c>
      <c r="M1178">
        <v>5.2222222220000001</v>
      </c>
      <c r="N1178">
        <f>IFERROR(VLOOKUP(A1178,vlookup_table!$A:$G,2,FALSE),"")</f>
        <v>0</v>
      </c>
      <c r="O1178">
        <f>IFERROR(VLOOKUP(A1178,vlookup_table!$A:$G,4,FALSE),"")</f>
        <v>0</v>
      </c>
      <c r="P1178" t="str">
        <f>IFERROR(VLOOKUP(A1178,vlookup_table!$A:$G,5,FALSE),"")</f>
        <v>R2</v>
      </c>
      <c r="Q1178">
        <f>IFERROR(VLOOKUP(A1178,vlookup_table!$A:$G,7,FALSE),"")</f>
        <v>6</v>
      </c>
      <c r="R1178">
        <f t="shared" si="72"/>
        <v>97</v>
      </c>
      <c r="S1178" t="str" cm="1">
        <f t="array" ref="S1178">IF(P1178="","",_xlfn.SWITCH(LEFT(P1178,1),"C","Ciudad","T","Pueblo","R","Rural","S","Suburbano","U","Urbano",""))</f>
        <v>Rural</v>
      </c>
      <c r="T1178" t="str">
        <f t="shared" si="73"/>
        <v>F</v>
      </c>
      <c r="U1178" t="str">
        <f t="shared" si="74"/>
        <v>CA</v>
      </c>
      <c r="V1178" t="str">
        <f t="shared" si="75"/>
        <v>12332</v>
      </c>
    </row>
    <row r="1179" spans="1:22" x14ac:dyDescent="0.35">
      <c r="A1179">
        <v>18953</v>
      </c>
      <c r="B1179" t="s">
        <v>18</v>
      </c>
      <c r="C1179" t="s">
        <v>20</v>
      </c>
      <c r="D1179">
        <v>1093</v>
      </c>
      <c r="E1179">
        <v>580</v>
      </c>
      <c r="F1179">
        <v>636</v>
      </c>
      <c r="G1179">
        <v>19</v>
      </c>
      <c r="H1179">
        <v>20815</v>
      </c>
      <c r="I1179">
        <v>2</v>
      </c>
      <c r="J1179">
        <v>37</v>
      </c>
      <c r="K1179">
        <v>587</v>
      </c>
      <c r="L1179">
        <v>629</v>
      </c>
      <c r="M1179">
        <v>7.3333333329999997</v>
      </c>
      <c r="N1179">
        <f>IFERROR(VLOOKUP(A1179,vlookup_table!$A:$G,2,FALSE),"")</f>
        <v>0</v>
      </c>
      <c r="O1179">
        <f>IFERROR(VLOOKUP(A1179,vlookup_table!$A:$G,4,FALSE),"")</f>
        <v>4303</v>
      </c>
      <c r="P1179" t="str">
        <f>IFERROR(VLOOKUP(A1179,vlookup_table!$A:$G,5,FALSE),"")</f>
        <v>S1</v>
      </c>
      <c r="Q1179">
        <f>IFERROR(VLOOKUP(A1179,vlookup_table!$A:$G,7,FALSE),"")</f>
        <v>11</v>
      </c>
      <c r="R1179">
        <f t="shared" si="72"/>
        <v>54</v>
      </c>
      <c r="S1179" t="str" cm="1">
        <f t="array" ref="S1179">IF(P1179="","",_xlfn.SWITCH(LEFT(P1179,1),"C","Ciudad","T","Pueblo","R","Rural","S","Suburbano","U","Urbano",""))</f>
        <v>Suburbano</v>
      </c>
      <c r="T1179" t="str">
        <f t="shared" si="73"/>
        <v>F</v>
      </c>
      <c r="U1179" t="str">
        <f t="shared" si="74"/>
        <v>NC</v>
      </c>
      <c r="V1179" t="str">
        <f t="shared" si="75"/>
        <v>20815</v>
      </c>
    </row>
    <row r="1180" spans="1:22" x14ac:dyDescent="0.35">
      <c r="A1180">
        <v>102780</v>
      </c>
      <c r="B1180" t="s">
        <v>36</v>
      </c>
      <c r="C1180" t="s">
        <v>17</v>
      </c>
      <c r="D1180">
        <v>257</v>
      </c>
      <c r="E1180">
        <v>148</v>
      </c>
      <c r="F1180">
        <v>273</v>
      </c>
      <c r="G1180">
        <v>0</v>
      </c>
      <c r="H1180">
        <v>10050</v>
      </c>
      <c r="I1180">
        <v>1</v>
      </c>
      <c r="J1180">
        <v>75</v>
      </c>
      <c r="K1180">
        <v>264</v>
      </c>
      <c r="L1180">
        <v>194</v>
      </c>
      <c r="M1180">
        <v>10.125</v>
      </c>
      <c r="N1180">
        <f>IFERROR(VLOOKUP(A1180,vlookup_table!$A:$G,2,FALSE),"")</f>
        <v>0</v>
      </c>
      <c r="O1180">
        <f>IFERROR(VLOOKUP(A1180,vlookup_table!$A:$G,4,FALSE),"")</f>
        <v>1208</v>
      </c>
      <c r="P1180" t="str">
        <f>IFERROR(VLOOKUP(A1180,vlookup_table!$A:$G,5,FALSE),"")</f>
        <v>R2</v>
      </c>
      <c r="Q1180">
        <f>IFERROR(VLOOKUP(A1180,vlookup_table!$A:$G,7,FALSE),"")</f>
        <v>16</v>
      </c>
      <c r="R1180">
        <f t="shared" si="72"/>
        <v>85</v>
      </c>
      <c r="S1180" t="str" cm="1">
        <f t="array" ref="S1180">IF(P1180="","",_xlfn.SWITCH(LEFT(P1180,1),"C","Ciudad","T","Pueblo","R","Rural","S","Suburbano","U","Urbano",""))</f>
        <v>Rural</v>
      </c>
      <c r="T1180" t="str">
        <f t="shared" si="73"/>
        <v>F</v>
      </c>
      <c r="U1180" t="str">
        <f t="shared" si="74"/>
        <v>MO</v>
      </c>
      <c r="V1180" t="str">
        <f t="shared" si="75"/>
        <v>10050</v>
      </c>
    </row>
    <row r="1181" spans="1:22" x14ac:dyDescent="0.35">
      <c r="A1181">
        <v>136372</v>
      </c>
      <c r="B1181" t="s">
        <v>64</v>
      </c>
      <c r="C1181" t="s">
        <v>14</v>
      </c>
      <c r="D1181">
        <v>1453</v>
      </c>
      <c r="E1181">
        <v>419</v>
      </c>
      <c r="F1181">
        <v>497</v>
      </c>
      <c r="G1181">
        <v>17</v>
      </c>
      <c r="H1181">
        <v>24530</v>
      </c>
      <c r="I1181">
        <v>10</v>
      </c>
      <c r="J1181">
        <v>2</v>
      </c>
      <c r="K1181">
        <v>426</v>
      </c>
      <c r="L1181">
        <v>486</v>
      </c>
      <c r="M1181">
        <v>25</v>
      </c>
      <c r="N1181">
        <f>IFERROR(VLOOKUP(A1181,vlookup_table!$A:$G,2,FALSE),"")</f>
        <v>1</v>
      </c>
      <c r="O1181">
        <f>IFERROR(VLOOKUP(A1181,vlookup_table!$A:$G,4,FALSE),"")</f>
        <v>1901</v>
      </c>
      <c r="P1181" t="str">
        <f>IFERROR(VLOOKUP(A1181,vlookup_table!$A:$G,5,FALSE),"")</f>
        <v>C1</v>
      </c>
      <c r="Q1181">
        <f>IFERROR(VLOOKUP(A1181,vlookup_table!$A:$G,7,FALSE),"")</f>
        <v>10</v>
      </c>
      <c r="R1181">
        <f t="shared" si="72"/>
        <v>78</v>
      </c>
      <c r="S1181" t="str" cm="1">
        <f t="array" ref="S1181">IF(P1181="","",_xlfn.SWITCH(LEFT(P1181,1),"C","Ciudad","T","Pueblo","R","Rural","S","Suburbano","U","Urbano",""))</f>
        <v>Ciudad</v>
      </c>
      <c r="T1181" t="str">
        <f t="shared" si="73"/>
        <v>M</v>
      </c>
      <c r="U1181" t="str">
        <f t="shared" si="74"/>
        <v>Arizona</v>
      </c>
      <c r="V1181" t="str">
        <f t="shared" si="75"/>
        <v>24530</v>
      </c>
    </row>
    <row r="1182" spans="1:22" x14ac:dyDescent="0.35">
      <c r="A1182">
        <v>19581</v>
      </c>
      <c r="B1182" t="s">
        <v>18</v>
      </c>
      <c r="C1182" t="s">
        <v>20</v>
      </c>
      <c r="D1182">
        <v>821</v>
      </c>
      <c r="E1182">
        <v>427</v>
      </c>
      <c r="F1182">
        <v>475</v>
      </c>
      <c r="G1182">
        <v>0</v>
      </c>
      <c r="H1182">
        <v>15937</v>
      </c>
      <c r="I1182">
        <v>0</v>
      </c>
      <c r="J1182">
        <v>64</v>
      </c>
      <c r="K1182">
        <v>433</v>
      </c>
      <c r="L1182">
        <v>456</v>
      </c>
      <c r="M1182">
        <v>6.6544117649999999</v>
      </c>
      <c r="N1182">
        <f>IFERROR(VLOOKUP(A1182,vlookup_table!$A:$G,2,FALSE),"")</f>
        <v>2</v>
      </c>
      <c r="O1182">
        <f>IFERROR(VLOOKUP(A1182,vlookup_table!$A:$G,4,FALSE),"")</f>
        <v>3703</v>
      </c>
      <c r="P1182" t="str">
        <f>IFERROR(VLOOKUP(A1182,vlookup_table!$A:$G,5,FALSE),"")</f>
        <v>S2</v>
      </c>
      <c r="Q1182">
        <f>IFERROR(VLOOKUP(A1182,vlookup_table!$A:$G,7,FALSE),"")</f>
        <v>25</v>
      </c>
      <c r="R1182">
        <f t="shared" si="72"/>
        <v>60</v>
      </c>
      <c r="S1182" t="str" cm="1">
        <f t="array" ref="S1182">IF(P1182="","",_xlfn.SWITCH(LEFT(P1182,1),"C","Ciudad","T","Pueblo","R","Rural","S","Suburbano","U","Urbano",""))</f>
        <v>Suburbano</v>
      </c>
      <c r="T1182" t="str">
        <f t="shared" si="73"/>
        <v>F</v>
      </c>
      <c r="U1182" t="str">
        <f t="shared" si="74"/>
        <v>NC</v>
      </c>
      <c r="V1182" t="str">
        <f t="shared" si="75"/>
        <v>15937</v>
      </c>
    </row>
    <row r="1183" spans="1:22" x14ac:dyDescent="0.35">
      <c r="A1183">
        <v>121410</v>
      </c>
      <c r="B1183" t="s">
        <v>21</v>
      </c>
      <c r="C1183" t="s">
        <v>14</v>
      </c>
      <c r="D1183">
        <v>931</v>
      </c>
      <c r="E1183">
        <v>416</v>
      </c>
      <c r="F1183">
        <v>725</v>
      </c>
      <c r="G1183">
        <v>12</v>
      </c>
      <c r="H1183">
        <v>29273</v>
      </c>
      <c r="I1183">
        <v>10</v>
      </c>
      <c r="J1183">
        <v>47</v>
      </c>
      <c r="K1183">
        <v>636</v>
      </c>
      <c r="L1183">
        <v>543</v>
      </c>
      <c r="M1183">
        <v>15</v>
      </c>
      <c r="N1183">
        <f>IFERROR(VLOOKUP(A1183,vlookup_table!$A:$G,2,FALSE),"")</f>
        <v>1</v>
      </c>
      <c r="O1183">
        <f>IFERROR(VLOOKUP(A1183,vlookup_table!$A:$G,4,FALSE),"")</f>
        <v>3101</v>
      </c>
      <c r="P1183" t="str">
        <f>IFERROR(VLOOKUP(A1183,vlookup_table!$A:$G,5,FALSE),"")</f>
        <v>U1</v>
      </c>
      <c r="Q1183">
        <f>IFERROR(VLOOKUP(A1183,vlookup_table!$A:$G,7,FALSE),"")</f>
        <v>15</v>
      </c>
      <c r="R1183">
        <f t="shared" si="72"/>
        <v>66</v>
      </c>
      <c r="S1183" t="str" cm="1">
        <f t="array" ref="S1183">IF(P1183="","",_xlfn.SWITCH(LEFT(P1183,1),"C","Ciudad","T","Pueblo","R","Rural","S","Suburbano","U","Urbano",""))</f>
        <v>Urbano</v>
      </c>
      <c r="T1183" t="str">
        <f t="shared" si="73"/>
        <v>M</v>
      </c>
      <c r="U1183" t="str">
        <f t="shared" si="74"/>
        <v>TX</v>
      </c>
      <c r="V1183" t="str">
        <f t="shared" si="75"/>
        <v>29273</v>
      </c>
    </row>
    <row r="1184" spans="1:22" x14ac:dyDescent="0.35">
      <c r="A1184">
        <v>99736</v>
      </c>
      <c r="B1184" t="s">
        <v>36</v>
      </c>
      <c r="C1184" t="s">
        <v>17</v>
      </c>
      <c r="D1184">
        <v>496</v>
      </c>
      <c r="E1184">
        <v>330</v>
      </c>
      <c r="F1184">
        <v>390</v>
      </c>
      <c r="G1184">
        <v>0</v>
      </c>
      <c r="H1184">
        <v>13546</v>
      </c>
      <c r="I1184">
        <v>0</v>
      </c>
      <c r="J1184">
        <v>87</v>
      </c>
      <c r="K1184">
        <v>349</v>
      </c>
      <c r="L1184">
        <v>360</v>
      </c>
      <c r="M1184">
        <v>5.5714285710000002</v>
      </c>
      <c r="N1184">
        <f>IFERROR(VLOOKUP(A1184,vlookup_table!$A:$G,2,FALSE),"")</f>
        <v>0</v>
      </c>
      <c r="O1184">
        <f>IFERROR(VLOOKUP(A1184,vlookup_table!$A:$G,4,FALSE),"")</f>
        <v>5101</v>
      </c>
      <c r="P1184" t="str">
        <f>IFERROR(VLOOKUP(A1184,vlookup_table!$A:$G,5,FALSE),"")</f>
        <v>T2</v>
      </c>
      <c r="Q1184">
        <f>IFERROR(VLOOKUP(A1184,vlookup_table!$A:$G,7,FALSE),"")</f>
        <v>20</v>
      </c>
      <c r="R1184">
        <f t="shared" si="72"/>
        <v>46</v>
      </c>
      <c r="S1184" t="str" cm="1">
        <f t="array" ref="S1184">IF(P1184="","",_xlfn.SWITCH(LEFT(P1184,1),"C","Ciudad","T","Pueblo","R","Rural","S","Suburbano","U","Urbano",""))</f>
        <v>Pueblo</v>
      </c>
      <c r="T1184" t="str">
        <f t="shared" si="73"/>
        <v>F</v>
      </c>
      <c r="U1184" t="str">
        <f t="shared" si="74"/>
        <v>MO</v>
      </c>
      <c r="V1184" t="str">
        <f t="shared" si="75"/>
        <v>13546</v>
      </c>
    </row>
    <row r="1185" spans="1:22" x14ac:dyDescent="0.35">
      <c r="A1185">
        <v>54441</v>
      </c>
      <c r="B1185" t="s">
        <v>62</v>
      </c>
      <c r="C1185" t="s">
        <v>20</v>
      </c>
      <c r="D1185">
        <v>463</v>
      </c>
      <c r="E1185">
        <v>181</v>
      </c>
      <c r="F1185">
        <v>258</v>
      </c>
      <c r="G1185">
        <v>0</v>
      </c>
      <c r="H1185">
        <v>8369</v>
      </c>
      <c r="I1185">
        <v>0</v>
      </c>
      <c r="J1185">
        <v>56</v>
      </c>
      <c r="K1185">
        <v>231</v>
      </c>
      <c r="L1185">
        <v>227</v>
      </c>
      <c r="M1185">
        <v>12.75</v>
      </c>
      <c r="N1185">
        <f>IFERROR(VLOOKUP(A1185,vlookup_table!$A:$G,2,FALSE),"")</f>
        <v>2</v>
      </c>
      <c r="O1185">
        <f>IFERROR(VLOOKUP(A1185,vlookup_table!$A:$G,4,FALSE),"")</f>
        <v>4107</v>
      </c>
      <c r="P1185" t="str">
        <f>IFERROR(VLOOKUP(A1185,vlookup_table!$A:$G,5,FALSE),"")</f>
        <v>R3</v>
      </c>
      <c r="Q1185">
        <f>IFERROR(VLOOKUP(A1185,vlookup_table!$A:$G,7,FALSE),"")</f>
        <v>30</v>
      </c>
      <c r="R1185">
        <f t="shared" si="72"/>
        <v>56</v>
      </c>
      <c r="S1185" t="str" cm="1">
        <f t="array" ref="S1185">IF(P1185="","",_xlfn.SWITCH(LEFT(P1185,1),"C","Ciudad","T","Pueblo","R","Rural","S","Suburbano","U","Urbano",""))</f>
        <v>Rural</v>
      </c>
      <c r="T1185" t="str">
        <f t="shared" si="73"/>
        <v>F</v>
      </c>
      <c r="U1185" t="str">
        <f t="shared" si="74"/>
        <v>MS</v>
      </c>
      <c r="V1185" t="str">
        <f t="shared" si="75"/>
        <v>8369</v>
      </c>
    </row>
    <row r="1186" spans="1:22" x14ac:dyDescent="0.35">
      <c r="A1186">
        <v>144735</v>
      </c>
      <c r="B1186" t="s">
        <v>22</v>
      </c>
      <c r="C1186" t="s">
        <v>17</v>
      </c>
      <c r="D1186">
        <v>5649</v>
      </c>
      <c r="E1186">
        <v>750</v>
      </c>
      <c r="F1186">
        <v>888</v>
      </c>
      <c r="G1186">
        <v>96</v>
      </c>
      <c r="H1186">
        <v>37961</v>
      </c>
      <c r="I1186">
        <v>6</v>
      </c>
      <c r="J1186">
        <v>56</v>
      </c>
      <c r="K1186">
        <v>828</v>
      </c>
      <c r="L1186">
        <v>801</v>
      </c>
      <c r="M1186">
        <v>8.615384615</v>
      </c>
      <c r="N1186">
        <f>IFERROR(VLOOKUP(A1186,vlookup_table!$A:$G,2,FALSE),"")</f>
        <v>0</v>
      </c>
      <c r="O1186">
        <f>IFERROR(VLOOKUP(A1186,vlookup_table!$A:$G,4,FALSE),"")</f>
        <v>2709</v>
      </c>
      <c r="P1186" t="str">
        <f>IFERROR(VLOOKUP(A1186,vlookup_table!$A:$G,5,FALSE),"")</f>
        <v>U1</v>
      </c>
      <c r="Q1186">
        <f>IFERROR(VLOOKUP(A1186,vlookup_table!$A:$G,7,FALSE),"")</f>
        <v>10</v>
      </c>
      <c r="R1186">
        <f t="shared" si="72"/>
        <v>70</v>
      </c>
      <c r="S1186" t="str" cm="1">
        <f t="array" ref="S1186">IF(P1186="","",_xlfn.SWITCH(LEFT(P1186,1),"C","Ciudad","T","Pueblo","R","Rural","S","Suburbano","U","Urbano",""))</f>
        <v>Urbano</v>
      </c>
      <c r="T1186" t="str">
        <f t="shared" si="73"/>
        <v>F</v>
      </c>
      <c r="U1186" t="str">
        <f t="shared" si="74"/>
        <v>CA</v>
      </c>
      <c r="V1186" t="str">
        <f t="shared" si="75"/>
        <v>37961</v>
      </c>
    </row>
    <row r="1187" spans="1:22" x14ac:dyDescent="0.35">
      <c r="A1187">
        <v>39257</v>
      </c>
      <c r="B1187" t="s">
        <v>13</v>
      </c>
      <c r="C1187" t="s">
        <v>44</v>
      </c>
      <c r="D1187">
        <v>1093</v>
      </c>
      <c r="E1187">
        <v>364</v>
      </c>
      <c r="F1187">
        <v>441</v>
      </c>
      <c r="G1187">
        <v>2</v>
      </c>
      <c r="H1187">
        <v>15640</v>
      </c>
      <c r="I1187">
        <v>6</v>
      </c>
      <c r="J1187">
        <v>30</v>
      </c>
      <c r="K1187">
        <v>424</v>
      </c>
      <c r="L1187">
        <v>392</v>
      </c>
      <c r="M1187">
        <v>9.25</v>
      </c>
      <c r="N1187">
        <f>IFERROR(VLOOKUP(A1187,vlookup_table!$A:$G,2,FALSE),"")</f>
        <v>1002</v>
      </c>
      <c r="O1187">
        <f>IFERROR(VLOOKUP(A1187,vlookup_table!$A:$G,4,FALSE),"")</f>
        <v>7001</v>
      </c>
      <c r="P1187" t="str">
        <f>IFERROR(VLOOKUP(A1187,vlookup_table!$A:$G,5,FALSE),"")</f>
        <v>S2</v>
      </c>
      <c r="Q1187">
        <f>IFERROR(VLOOKUP(A1187,vlookup_table!$A:$G,7,FALSE),"")</f>
        <v>25</v>
      </c>
      <c r="R1187">
        <f t="shared" si="72"/>
        <v>27</v>
      </c>
      <c r="S1187" t="str" cm="1">
        <f t="array" ref="S1187">IF(P1187="","",_xlfn.SWITCH(LEFT(P1187,1),"C","Ciudad","T","Pueblo","R","Rural","S","Suburbano","U","Urbano",""))</f>
        <v>Suburbano</v>
      </c>
      <c r="T1187" t="str">
        <f t="shared" si="73"/>
        <v>J</v>
      </c>
      <c r="U1187" t="str">
        <f t="shared" si="74"/>
        <v>FL</v>
      </c>
      <c r="V1187" t="str">
        <f t="shared" si="75"/>
        <v>15640</v>
      </c>
    </row>
    <row r="1188" spans="1:22" x14ac:dyDescent="0.35">
      <c r="A1188">
        <v>136716</v>
      </c>
      <c r="B1188" t="s">
        <v>64</v>
      </c>
      <c r="C1188" t="s">
        <v>14</v>
      </c>
      <c r="D1188">
        <v>852</v>
      </c>
      <c r="E1188">
        <v>344</v>
      </c>
      <c r="F1188">
        <v>498</v>
      </c>
      <c r="G1188">
        <v>0</v>
      </c>
      <c r="H1188">
        <v>19967</v>
      </c>
      <c r="I1188">
        <v>9</v>
      </c>
      <c r="J1188">
        <v>14</v>
      </c>
      <c r="K1188">
        <v>450</v>
      </c>
      <c r="L1188">
        <v>394</v>
      </c>
      <c r="M1188">
        <v>12.5</v>
      </c>
      <c r="N1188">
        <f>IFERROR(VLOOKUP(A1188,vlookup_table!$A:$G,2,FALSE),"")</f>
        <v>1</v>
      </c>
      <c r="O1188">
        <f>IFERROR(VLOOKUP(A1188,vlookup_table!$A:$G,4,FALSE),"")</f>
        <v>0</v>
      </c>
      <c r="P1188" t="str">
        <f>IFERROR(VLOOKUP(A1188,vlookup_table!$A:$G,5,FALSE),"")</f>
        <v>C1</v>
      </c>
      <c r="Q1188">
        <f>IFERROR(VLOOKUP(A1188,vlookup_table!$A:$G,7,FALSE),"")</f>
        <v>25</v>
      </c>
      <c r="R1188">
        <f t="shared" si="72"/>
        <v>97</v>
      </c>
      <c r="S1188" t="str" cm="1">
        <f t="array" ref="S1188">IF(P1188="","",_xlfn.SWITCH(LEFT(P1188,1),"C","Ciudad","T","Pueblo","R","Rural","S","Suburbano","U","Urbano",""))</f>
        <v>Ciudad</v>
      </c>
      <c r="T1188" t="str">
        <f t="shared" si="73"/>
        <v>M</v>
      </c>
      <c r="U1188" t="str">
        <f t="shared" si="74"/>
        <v>Arizona</v>
      </c>
      <c r="V1188" t="str">
        <f t="shared" si="75"/>
        <v>19967</v>
      </c>
    </row>
    <row r="1189" spans="1:22" x14ac:dyDescent="0.35">
      <c r="A1189">
        <v>145310</v>
      </c>
      <c r="B1189" t="s">
        <v>22</v>
      </c>
      <c r="C1189" t="s">
        <v>17</v>
      </c>
      <c r="D1189">
        <v>3100</v>
      </c>
      <c r="E1189">
        <v>133</v>
      </c>
      <c r="F1189">
        <v>497</v>
      </c>
      <c r="G1189">
        <v>79</v>
      </c>
      <c r="H1189">
        <v>18262</v>
      </c>
      <c r="I1189">
        <v>35</v>
      </c>
      <c r="J1189">
        <v>25</v>
      </c>
      <c r="K1189">
        <v>488</v>
      </c>
      <c r="L1189">
        <v>306</v>
      </c>
      <c r="M1189">
        <v>18.333333329999999</v>
      </c>
      <c r="N1189">
        <f>IFERROR(VLOOKUP(A1189,vlookup_table!$A:$G,2,FALSE),"")</f>
        <v>0</v>
      </c>
      <c r="O1189">
        <f>IFERROR(VLOOKUP(A1189,vlookup_table!$A:$G,4,FALSE),"")</f>
        <v>4911</v>
      </c>
      <c r="P1189" t="str">
        <f>IFERROR(VLOOKUP(A1189,vlookup_table!$A:$G,5,FALSE),"")</f>
        <v>U1</v>
      </c>
      <c r="Q1189">
        <f>IFERROR(VLOOKUP(A1189,vlookup_table!$A:$G,7,FALSE),"")</f>
        <v>20</v>
      </c>
      <c r="R1189">
        <f t="shared" si="72"/>
        <v>48</v>
      </c>
      <c r="S1189" t="str" cm="1">
        <f t="array" ref="S1189">IF(P1189="","",_xlfn.SWITCH(LEFT(P1189,1),"C","Ciudad","T","Pueblo","R","Rural","S","Suburbano","U","Urbano",""))</f>
        <v>Urbano</v>
      </c>
      <c r="T1189" t="str">
        <f t="shared" si="73"/>
        <v>F</v>
      </c>
      <c r="U1189" t="str">
        <f t="shared" si="74"/>
        <v>CA</v>
      </c>
      <c r="V1189" t="str">
        <f t="shared" si="75"/>
        <v>18262</v>
      </c>
    </row>
    <row r="1190" spans="1:22" x14ac:dyDescent="0.35">
      <c r="A1190">
        <v>40351</v>
      </c>
      <c r="B1190" t="s">
        <v>13</v>
      </c>
      <c r="D1190">
        <v>1074</v>
      </c>
      <c r="E1190">
        <v>505</v>
      </c>
      <c r="F1190">
        <v>553</v>
      </c>
      <c r="G1190">
        <v>4</v>
      </c>
      <c r="H1190">
        <v>16470</v>
      </c>
      <c r="I1190">
        <v>5</v>
      </c>
      <c r="J1190">
        <v>26</v>
      </c>
      <c r="K1190">
        <v>524</v>
      </c>
      <c r="L1190">
        <v>528</v>
      </c>
      <c r="M1190">
        <v>28</v>
      </c>
      <c r="N1190">
        <f>IFERROR(VLOOKUP(A1190,vlookup_table!$A:$G,2,FALSE),"")</f>
        <v>0</v>
      </c>
      <c r="O1190">
        <f>IFERROR(VLOOKUP(A1190,vlookup_table!$A:$G,4,FALSE),"")</f>
        <v>0</v>
      </c>
      <c r="P1190" t="str">
        <f>IFERROR(VLOOKUP(A1190,vlookup_table!$A:$G,5,FALSE),"")</f>
        <v>S2</v>
      </c>
      <c r="Q1190">
        <f>IFERROR(VLOOKUP(A1190,vlookup_table!$A:$G,7,FALSE),"")</f>
        <v>30</v>
      </c>
      <c r="R1190">
        <f t="shared" si="72"/>
        <v>97</v>
      </c>
      <c r="S1190" t="str" cm="1">
        <f t="array" ref="S1190">IF(P1190="","",_xlfn.SWITCH(LEFT(P1190,1),"C","Ciudad","T","Pueblo","R","Rural","S","Suburbano","U","Urbano",""))</f>
        <v>Suburbano</v>
      </c>
      <c r="T1190" t="str">
        <f t="shared" si="73"/>
        <v/>
      </c>
      <c r="U1190" t="str">
        <f t="shared" si="74"/>
        <v>FL</v>
      </c>
      <c r="V1190" t="str">
        <f t="shared" si="75"/>
        <v>16470</v>
      </c>
    </row>
    <row r="1191" spans="1:22" x14ac:dyDescent="0.35">
      <c r="A1191">
        <v>43321</v>
      </c>
      <c r="B1191" t="s">
        <v>13</v>
      </c>
      <c r="D1191">
        <v>1452</v>
      </c>
      <c r="E1191">
        <v>352</v>
      </c>
      <c r="F1191">
        <v>467</v>
      </c>
      <c r="G1191">
        <v>12</v>
      </c>
      <c r="H1191">
        <v>20619</v>
      </c>
      <c r="I1191">
        <v>4</v>
      </c>
      <c r="J1191">
        <v>5</v>
      </c>
      <c r="K1191">
        <v>397</v>
      </c>
      <c r="L1191">
        <v>410</v>
      </c>
      <c r="M1191">
        <v>25</v>
      </c>
      <c r="N1191">
        <f>IFERROR(VLOOKUP(A1191,vlookup_table!$A:$G,2,FALSE),"")</f>
        <v>0</v>
      </c>
      <c r="O1191">
        <f>IFERROR(VLOOKUP(A1191,vlookup_table!$A:$G,4,FALSE),"")</f>
        <v>2301</v>
      </c>
      <c r="P1191" t="str">
        <f>IFERROR(VLOOKUP(A1191,vlookup_table!$A:$G,5,FALSE),"")</f>
        <v>C1</v>
      </c>
      <c r="Q1191">
        <f>IFERROR(VLOOKUP(A1191,vlookup_table!$A:$G,7,FALSE),"")</f>
        <v>25</v>
      </c>
      <c r="R1191">
        <f t="shared" si="72"/>
        <v>74</v>
      </c>
      <c r="S1191" t="str" cm="1">
        <f t="array" ref="S1191">IF(P1191="","",_xlfn.SWITCH(LEFT(P1191,1),"C","Ciudad","T","Pueblo","R","Rural","S","Suburbano","U","Urbano",""))</f>
        <v>Ciudad</v>
      </c>
      <c r="T1191" t="str">
        <f t="shared" si="73"/>
        <v/>
      </c>
      <c r="U1191" t="str">
        <f t="shared" si="74"/>
        <v>FL</v>
      </c>
      <c r="V1191" t="str">
        <f t="shared" si="75"/>
        <v>20619</v>
      </c>
    </row>
    <row r="1192" spans="1:22" x14ac:dyDescent="0.35">
      <c r="A1192">
        <v>14009</v>
      </c>
      <c r="B1192" t="s">
        <v>29</v>
      </c>
      <c r="C1192" t="s">
        <v>17</v>
      </c>
      <c r="D1192">
        <v>813</v>
      </c>
      <c r="E1192">
        <v>246</v>
      </c>
      <c r="F1192">
        <v>313</v>
      </c>
      <c r="G1192">
        <v>6</v>
      </c>
      <c r="H1192">
        <v>11406</v>
      </c>
      <c r="I1192">
        <v>4</v>
      </c>
      <c r="J1192">
        <v>65</v>
      </c>
      <c r="K1192">
        <v>263</v>
      </c>
      <c r="L1192">
        <v>297</v>
      </c>
      <c r="M1192">
        <v>9.25</v>
      </c>
      <c r="N1192">
        <f>IFERROR(VLOOKUP(A1192,vlookup_table!$A:$G,2,FALSE),"")</f>
        <v>0</v>
      </c>
      <c r="O1192">
        <f>IFERROR(VLOOKUP(A1192,vlookup_table!$A:$G,4,FALSE),"")</f>
        <v>3401</v>
      </c>
      <c r="P1192">
        <f>IFERROR(VLOOKUP(A1192,vlookup_table!$A:$G,5,FALSE),"")</f>
        <v>0</v>
      </c>
      <c r="Q1192">
        <f>IFERROR(VLOOKUP(A1192,vlookup_table!$A:$G,7,FALSE),"")</f>
        <v>3</v>
      </c>
      <c r="R1192">
        <f t="shared" si="72"/>
        <v>63</v>
      </c>
      <c r="S1192" t="str" cm="1">
        <f t="array" ref="S1192">IF(P1192="","",_xlfn.SWITCH(LEFT(P1192,1),"C","Ciudad","T","Pueblo","R","Rural","S","Suburbano","U","Urbano",""))</f>
        <v/>
      </c>
      <c r="T1192" t="str">
        <f t="shared" si="73"/>
        <v>F</v>
      </c>
      <c r="U1192" t="str">
        <f t="shared" si="74"/>
        <v>MI</v>
      </c>
      <c r="V1192" t="str">
        <f t="shared" si="75"/>
        <v>11406</v>
      </c>
    </row>
    <row r="1193" spans="1:22" x14ac:dyDescent="0.35">
      <c r="A1193">
        <v>187517</v>
      </c>
      <c r="B1193" t="s">
        <v>21</v>
      </c>
      <c r="C1193" t="s">
        <v>14</v>
      </c>
      <c r="D1193">
        <v>333</v>
      </c>
      <c r="E1193">
        <v>205</v>
      </c>
      <c r="F1193">
        <v>319</v>
      </c>
      <c r="G1193">
        <v>0</v>
      </c>
      <c r="H1193">
        <v>10286</v>
      </c>
      <c r="I1193">
        <v>1</v>
      </c>
      <c r="J1193">
        <v>81</v>
      </c>
      <c r="K1193">
        <v>219</v>
      </c>
      <c r="L1193">
        <v>278</v>
      </c>
      <c r="M1193">
        <v>16.428571430000002</v>
      </c>
      <c r="N1193">
        <f>IFERROR(VLOOKUP(A1193,vlookup_table!$A:$G,2,FALSE),"")</f>
        <v>1</v>
      </c>
      <c r="O1193">
        <f>IFERROR(VLOOKUP(A1193,vlookup_table!$A:$G,4,FALSE),"")</f>
        <v>0</v>
      </c>
      <c r="P1193" t="str">
        <f>IFERROR(VLOOKUP(A1193,vlookup_table!$A:$G,5,FALSE),"")</f>
        <v>R2</v>
      </c>
      <c r="Q1193">
        <f>IFERROR(VLOOKUP(A1193,vlookup_table!$A:$G,7,FALSE),"")</f>
        <v>25</v>
      </c>
      <c r="R1193">
        <f t="shared" si="72"/>
        <v>97</v>
      </c>
      <c r="S1193" t="str" cm="1">
        <f t="array" ref="S1193">IF(P1193="","",_xlfn.SWITCH(LEFT(P1193,1),"C","Ciudad","T","Pueblo","R","Rural","S","Suburbano","U","Urbano",""))</f>
        <v>Rural</v>
      </c>
      <c r="T1193" t="str">
        <f t="shared" si="73"/>
        <v>M</v>
      </c>
      <c r="U1193" t="str">
        <f t="shared" si="74"/>
        <v>TX</v>
      </c>
      <c r="V1193" t="str">
        <f t="shared" si="75"/>
        <v>10286</v>
      </c>
    </row>
    <row r="1194" spans="1:22" x14ac:dyDescent="0.35">
      <c r="A1194">
        <v>22924</v>
      </c>
      <c r="B1194" t="s">
        <v>46</v>
      </c>
      <c r="C1194" t="s">
        <v>17</v>
      </c>
      <c r="D1194">
        <v>536</v>
      </c>
      <c r="E1194">
        <v>261</v>
      </c>
      <c r="F1194">
        <v>307</v>
      </c>
      <c r="G1194">
        <v>0</v>
      </c>
      <c r="H1194">
        <v>8438</v>
      </c>
      <c r="I1194">
        <v>0</v>
      </c>
      <c r="J1194">
        <v>88</v>
      </c>
      <c r="K1194">
        <v>296</v>
      </c>
      <c r="L1194">
        <v>278</v>
      </c>
      <c r="M1194">
        <v>4.9444444440000002</v>
      </c>
      <c r="N1194">
        <f>IFERROR(VLOOKUP(A1194,vlookup_table!$A:$G,2,FALSE),"")</f>
        <v>2</v>
      </c>
      <c r="O1194">
        <f>IFERROR(VLOOKUP(A1194,vlookup_table!$A:$G,4,FALSE),"")</f>
        <v>2101</v>
      </c>
      <c r="P1194" t="str">
        <f>IFERROR(VLOOKUP(A1194,vlookup_table!$A:$G,5,FALSE),"")</f>
        <v>C3</v>
      </c>
      <c r="Q1194">
        <f>IFERROR(VLOOKUP(A1194,vlookup_table!$A:$G,7,FALSE),"")</f>
        <v>10</v>
      </c>
      <c r="R1194">
        <f t="shared" si="72"/>
        <v>76</v>
      </c>
      <c r="S1194" t="str" cm="1">
        <f t="array" ref="S1194">IF(P1194="","",_xlfn.SWITCH(LEFT(P1194,1),"C","Ciudad","T","Pueblo","R","Rural","S","Suburbano","U","Urbano",""))</f>
        <v>Ciudad</v>
      </c>
      <c r="T1194" t="str">
        <f t="shared" si="73"/>
        <v>F</v>
      </c>
      <c r="U1194" t="str">
        <f t="shared" si="74"/>
        <v>SC</v>
      </c>
      <c r="V1194" t="str">
        <f t="shared" si="75"/>
        <v>8438</v>
      </c>
    </row>
    <row r="1195" spans="1:22" x14ac:dyDescent="0.35">
      <c r="A1195">
        <v>65124</v>
      </c>
      <c r="B1195" t="s">
        <v>29</v>
      </c>
      <c r="C1195" t="s">
        <v>17</v>
      </c>
      <c r="D1195">
        <v>850</v>
      </c>
      <c r="E1195">
        <v>484</v>
      </c>
      <c r="F1195">
        <v>495</v>
      </c>
      <c r="G1195">
        <v>2</v>
      </c>
      <c r="H1195">
        <v>17174</v>
      </c>
      <c r="I1195">
        <v>0</v>
      </c>
      <c r="J1195">
        <v>88</v>
      </c>
      <c r="K1195">
        <v>501</v>
      </c>
      <c r="L1195">
        <v>465</v>
      </c>
      <c r="M1195">
        <v>8.230769231</v>
      </c>
      <c r="N1195">
        <f>IFERROR(VLOOKUP(A1195,vlookup_table!$A:$G,2,FALSE),"")</f>
        <v>0</v>
      </c>
      <c r="O1195">
        <f>IFERROR(VLOOKUP(A1195,vlookup_table!$A:$G,4,FALSE),"")</f>
        <v>0</v>
      </c>
      <c r="P1195" t="str">
        <f>IFERROR(VLOOKUP(A1195,vlookup_table!$A:$G,5,FALSE),"")</f>
        <v>T2</v>
      </c>
      <c r="Q1195">
        <f>IFERROR(VLOOKUP(A1195,vlookup_table!$A:$G,7,FALSE),"")</f>
        <v>5</v>
      </c>
      <c r="R1195">
        <f t="shared" si="72"/>
        <v>97</v>
      </c>
      <c r="S1195" t="str" cm="1">
        <f t="array" ref="S1195">IF(P1195="","",_xlfn.SWITCH(LEFT(P1195,1),"C","Ciudad","T","Pueblo","R","Rural","S","Suburbano","U","Urbano",""))</f>
        <v>Pueblo</v>
      </c>
      <c r="T1195" t="str">
        <f t="shared" si="73"/>
        <v>F</v>
      </c>
      <c r="U1195" t="str">
        <f t="shared" si="74"/>
        <v>MI</v>
      </c>
      <c r="V1195" t="str">
        <f t="shared" si="75"/>
        <v>17174</v>
      </c>
    </row>
    <row r="1196" spans="1:22" x14ac:dyDescent="0.35">
      <c r="A1196">
        <v>98437</v>
      </c>
      <c r="B1196" t="s">
        <v>16</v>
      </c>
      <c r="C1196" t="s">
        <v>17</v>
      </c>
      <c r="D1196">
        <v>443</v>
      </c>
      <c r="E1196">
        <v>268</v>
      </c>
      <c r="F1196">
        <v>380</v>
      </c>
      <c r="G1196">
        <v>0</v>
      </c>
      <c r="H1196">
        <v>12966</v>
      </c>
      <c r="I1196">
        <v>1</v>
      </c>
      <c r="J1196">
        <v>87</v>
      </c>
      <c r="K1196">
        <v>347</v>
      </c>
      <c r="L1196">
        <v>320</v>
      </c>
      <c r="M1196">
        <v>5.7272727269999999</v>
      </c>
      <c r="N1196">
        <f>IFERROR(VLOOKUP(A1196,vlookup_table!$A:$G,2,FALSE),"")</f>
        <v>0</v>
      </c>
      <c r="O1196">
        <f>IFERROR(VLOOKUP(A1196,vlookup_table!$A:$G,4,FALSE),"")</f>
        <v>201</v>
      </c>
      <c r="P1196" t="str">
        <f>IFERROR(VLOOKUP(A1196,vlookup_table!$A:$G,5,FALSE),"")</f>
        <v>R2</v>
      </c>
      <c r="Q1196">
        <f>IFERROR(VLOOKUP(A1196,vlookup_table!$A:$G,7,FALSE),"")</f>
        <v>10</v>
      </c>
      <c r="R1196">
        <f t="shared" si="72"/>
        <v>95</v>
      </c>
      <c r="S1196" t="str" cm="1">
        <f t="array" ref="S1196">IF(P1196="","",_xlfn.SWITCH(LEFT(P1196,1),"C","Ciudad","T","Pueblo","R","Rural","S","Suburbano","U","Urbano",""))</f>
        <v>Rural</v>
      </c>
      <c r="T1196" t="str">
        <f t="shared" si="73"/>
        <v>F</v>
      </c>
      <c r="U1196" t="str">
        <f t="shared" si="74"/>
        <v>IL</v>
      </c>
      <c r="V1196" t="str">
        <f t="shared" si="75"/>
        <v>12966</v>
      </c>
    </row>
    <row r="1197" spans="1:22" x14ac:dyDescent="0.35">
      <c r="A1197">
        <v>54369</v>
      </c>
      <c r="B1197" t="s">
        <v>62</v>
      </c>
      <c r="C1197" t="s">
        <v>14</v>
      </c>
      <c r="D1197">
        <v>467</v>
      </c>
      <c r="E1197">
        <v>206</v>
      </c>
      <c r="F1197">
        <v>308</v>
      </c>
      <c r="G1197">
        <v>1</v>
      </c>
      <c r="H1197">
        <v>9725</v>
      </c>
      <c r="I1197">
        <v>0</v>
      </c>
      <c r="J1197">
        <v>83</v>
      </c>
      <c r="K1197">
        <v>261</v>
      </c>
      <c r="L1197">
        <v>260</v>
      </c>
      <c r="M1197">
        <v>6.6666666670000003</v>
      </c>
      <c r="N1197">
        <f>IFERROR(VLOOKUP(A1197,vlookup_table!$A:$G,2,FALSE),"")</f>
        <v>1</v>
      </c>
      <c r="O1197">
        <f>IFERROR(VLOOKUP(A1197,vlookup_table!$A:$G,4,FALSE),"")</f>
        <v>0</v>
      </c>
      <c r="P1197" t="str">
        <f>IFERROR(VLOOKUP(A1197,vlookup_table!$A:$G,5,FALSE),"")</f>
        <v>R2</v>
      </c>
      <c r="Q1197">
        <f>IFERROR(VLOOKUP(A1197,vlookup_table!$A:$G,7,FALSE),"")</f>
        <v>6</v>
      </c>
      <c r="R1197">
        <f t="shared" si="72"/>
        <v>97</v>
      </c>
      <c r="S1197" t="str" cm="1">
        <f t="array" ref="S1197">IF(P1197="","",_xlfn.SWITCH(LEFT(P1197,1),"C","Ciudad","T","Pueblo","R","Rural","S","Suburbano","U","Urbano",""))</f>
        <v>Rural</v>
      </c>
      <c r="T1197" t="str">
        <f t="shared" si="73"/>
        <v>M</v>
      </c>
      <c r="U1197" t="str">
        <f t="shared" si="74"/>
        <v>MS</v>
      </c>
      <c r="V1197" t="str">
        <f t="shared" si="75"/>
        <v>9725</v>
      </c>
    </row>
    <row r="1198" spans="1:22" x14ac:dyDescent="0.35">
      <c r="A1198">
        <v>155856</v>
      </c>
      <c r="B1198" t="s">
        <v>22</v>
      </c>
      <c r="C1198" t="s">
        <v>17</v>
      </c>
      <c r="D1198">
        <v>1207</v>
      </c>
      <c r="E1198">
        <v>284</v>
      </c>
      <c r="F1198">
        <v>488</v>
      </c>
      <c r="G1198">
        <v>8</v>
      </c>
      <c r="H1198">
        <v>19872</v>
      </c>
      <c r="I1198">
        <v>12</v>
      </c>
      <c r="J1198">
        <v>46</v>
      </c>
      <c r="K1198">
        <v>303</v>
      </c>
      <c r="L1198">
        <v>458</v>
      </c>
      <c r="M1198">
        <v>7.25</v>
      </c>
      <c r="N1198">
        <f>IFERROR(VLOOKUP(A1198,vlookup_table!$A:$G,2,FALSE),"")</f>
        <v>0</v>
      </c>
      <c r="O1198">
        <f>IFERROR(VLOOKUP(A1198,vlookup_table!$A:$G,4,FALSE),"")</f>
        <v>1501</v>
      </c>
      <c r="P1198" t="str">
        <f>IFERROR(VLOOKUP(A1198,vlookup_table!$A:$G,5,FALSE),"")</f>
        <v>C2</v>
      </c>
      <c r="Q1198">
        <f>IFERROR(VLOOKUP(A1198,vlookup_table!$A:$G,7,FALSE),"")</f>
        <v>10</v>
      </c>
      <c r="R1198">
        <f t="shared" si="72"/>
        <v>82</v>
      </c>
      <c r="S1198" t="str" cm="1">
        <f t="array" ref="S1198">IF(P1198="","",_xlfn.SWITCH(LEFT(P1198,1),"C","Ciudad","T","Pueblo","R","Rural","S","Suburbano","U","Urbano",""))</f>
        <v>Ciudad</v>
      </c>
      <c r="T1198" t="str">
        <f t="shared" si="73"/>
        <v>F</v>
      </c>
      <c r="U1198" t="str">
        <f t="shared" si="74"/>
        <v>CA</v>
      </c>
      <c r="V1198" t="str">
        <f t="shared" si="75"/>
        <v>19872</v>
      </c>
    </row>
    <row r="1199" spans="1:22" x14ac:dyDescent="0.35">
      <c r="A1199">
        <v>107321</v>
      </c>
      <c r="B1199" t="s">
        <v>59</v>
      </c>
      <c r="C1199" t="s">
        <v>14</v>
      </c>
      <c r="D1199">
        <v>490</v>
      </c>
      <c r="E1199">
        <v>250</v>
      </c>
      <c r="F1199">
        <v>345</v>
      </c>
      <c r="G1199">
        <v>0</v>
      </c>
      <c r="H1199">
        <v>11320</v>
      </c>
      <c r="I1199">
        <v>2</v>
      </c>
      <c r="J1199">
        <v>84</v>
      </c>
      <c r="K1199">
        <v>299</v>
      </c>
      <c r="L1199">
        <v>288</v>
      </c>
      <c r="M1199">
        <v>3.269230769</v>
      </c>
      <c r="N1199">
        <f>IFERROR(VLOOKUP(A1199,vlookup_table!$A:$G,2,FALSE),"")</f>
        <v>1</v>
      </c>
      <c r="O1199">
        <f>IFERROR(VLOOKUP(A1199,vlookup_table!$A:$G,4,FALSE),"")</f>
        <v>5201</v>
      </c>
      <c r="P1199" t="str">
        <f>IFERROR(VLOOKUP(A1199,vlookup_table!$A:$G,5,FALSE),"")</f>
        <v>T2</v>
      </c>
      <c r="Q1199">
        <f>IFERROR(VLOOKUP(A1199,vlookup_table!$A:$G,7,FALSE),"")</f>
        <v>20</v>
      </c>
      <c r="R1199">
        <f t="shared" si="72"/>
        <v>45</v>
      </c>
      <c r="S1199" t="str" cm="1">
        <f t="array" ref="S1199">IF(P1199="","",_xlfn.SWITCH(LEFT(P1199,1),"C","Ciudad","T","Pueblo","R","Rural","S","Suburbano","U","Urbano",""))</f>
        <v>Pueblo</v>
      </c>
      <c r="T1199" t="str">
        <f t="shared" si="73"/>
        <v>M</v>
      </c>
      <c r="U1199" t="str">
        <f t="shared" si="74"/>
        <v>NE</v>
      </c>
      <c r="V1199" t="str">
        <f t="shared" si="75"/>
        <v>11320</v>
      </c>
    </row>
    <row r="1200" spans="1:22" x14ac:dyDescent="0.35">
      <c r="A1200">
        <v>139500</v>
      </c>
      <c r="B1200" t="s">
        <v>54</v>
      </c>
      <c r="C1200" t="s">
        <v>17</v>
      </c>
      <c r="D1200">
        <v>805</v>
      </c>
      <c r="E1200">
        <v>207</v>
      </c>
      <c r="F1200">
        <v>289</v>
      </c>
      <c r="G1200">
        <v>0</v>
      </c>
      <c r="H1200">
        <v>10226</v>
      </c>
      <c r="I1200">
        <v>5</v>
      </c>
      <c r="J1200">
        <v>49</v>
      </c>
      <c r="K1200">
        <v>243</v>
      </c>
      <c r="L1200">
        <v>237</v>
      </c>
      <c r="M1200">
        <v>8.2666666670000009</v>
      </c>
      <c r="N1200">
        <f>IFERROR(VLOOKUP(A1200,vlookup_table!$A:$G,2,FALSE),"")</f>
        <v>0</v>
      </c>
      <c r="O1200">
        <f>IFERROR(VLOOKUP(A1200,vlookup_table!$A:$G,4,FALSE),"")</f>
        <v>1610</v>
      </c>
      <c r="P1200" t="str">
        <f>IFERROR(VLOOKUP(A1200,vlookup_table!$A:$G,5,FALSE),"")</f>
        <v>U2</v>
      </c>
      <c r="Q1200">
        <f>IFERROR(VLOOKUP(A1200,vlookup_table!$A:$G,7,FALSE),"")</f>
        <v>20</v>
      </c>
      <c r="R1200">
        <f t="shared" si="72"/>
        <v>81</v>
      </c>
      <c r="S1200" t="str" cm="1">
        <f t="array" ref="S1200">IF(P1200="","",_xlfn.SWITCH(LEFT(P1200,1),"C","Ciudad","T","Pueblo","R","Rural","S","Suburbano","U","Urbano",""))</f>
        <v>Urbano</v>
      </c>
      <c r="T1200" t="str">
        <f t="shared" si="73"/>
        <v>F</v>
      </c>
      <c r="U1200" t="str">
        <f t="shared" si="74"/>
        <v>NM</v>
      </c>
      <c r="V1200" t="str">
        <f t="shared" si="75"/>
        <v>10226</v>
      </c>
    </row>
    <row r="1201" spans="1:22" x14ac:dyDescent="0.35">
      <c r="A1201">
        <v>108381</v>
      </c>
      <c r="B1201" t="s">
        <v>49</v>
      </c>
      <c r="C1201" t="s">
        <v>14</v>
      </c>
      <c r="D1201">
        <v>638</v>
      </c>
      <c r="E1201">
        <v>220</v>
      </c>
      <c r="F1201">
        <v>291</v>
      </c>
      <c r="G1201">
        <v>0</v>
      </c>
      <c r="H1201">
        <v>11076</v>
      </c>
      <c r="I1201">
        <v>19</v>
      </c>
      <c r="J1201">
        <v>54</v>
      </c>
      <c r="K1201">
        <v>243</v>
      </c>
      <c r="L1201">
        <v>255</v>
      </c>
      <c r="M1201">
        <v>15.66666667</v>
      </c>
      <c r="N1201">
        <f>IFERROR(VLOOKUP(A1201,vlookup_table!$A:$G,2,FALSE),"")</f>
        <v>1</v>
      </c>
      <c r="O1201">
        <f>IFERROR(VLOOKUP(A1201,vlookup_table!$A:$G,4,FALSE),"")</f>
        <v>0</v>
      </c>
      <c r="P1201" t="str">
        <f>IFERROR(VLOOKUP(A1201,vlookup_table!$A:$G,5,FALSE),"")</f>
        <v>U2</v>
      </c>
      <c r="Q1201">
        <f>IFERROR(VLOOKUP(A1201,vlookup_table!$A:$G,7,FALSE),"")</f>
        <v>20</v>
      </c>
      <c r="R1201">
        <f t="shared" si="72"/>
        <v>97</v>
      </c>
      <c r="S1201" t="str" cm="1">
        <f t="array" ref="S1201">IF(P1201="","",_xlfn.SWITCH(LEFT(P1201,1),"C","Ciudad","T","Pueblo","R","Rural","S","Suburbano","U","Urbano",""))</f>
        <v>Urbano</v>
      </c>
      <c r="T1201" t="str">
        <f t="shared" si="73"/>
        <v>M</v>
      </c>
      <c r="U1201" t="str">
        <f t="shared" si="74"/>
        <v>LA</v>
      </c>
      <c r="V1201" t="str">
        <f t="shared" si="75"/>
        <v>11076</v>
      </c>
    </row>
    <row r="1202" spans="1:22" x14ac:dyDescent="0.35">
      <c r="A1202">
        <v>129653</v>
      </c>
      <c r="B1202" t="s">
        <v>48</v>
      </c>
      <c r="C1202" t="s">
        <v>14</v>
      </c>
      <c r="D1202">
        <v>1208</v>
      </c>
      <c r="E1202">
        <v>571</v>
      </c>
      <c r="F1202">
        <v>660</v>
      </c>
      <c r="G1202">
        <v>2</v>
      </c>
      <c r="H1202">
        <v>20295</v>
      </c>
      <c r="I1202">
        <v>2</v>
      </c>
      <c r="J1202">
        <v>38</v>
      </c>
      <c r="K1202">
        <v>594</v>
      </c>
      <c r="L1202">
        <v>616</v>
      </c>
      <c r="M1202">
        <v>15</v>
      </c>
      <c r="N1202">
        <f>IFERROR(VLOOKUP(A1202,vlookup_table!$A:$G,2,FALSE),"")</f>
        <v>1</v>
      </c>
      <c r="O1202">
        <f>IFERROR(VLOOKUP(A1202,vlookup_table!$A:$G,4,FALSE),"")</f>
        <v>5201</v>
      </c>
      <c r="P1202" t="str">
        <f>IFERROR(VLOOKUP(A1202,vlookup_table!$A:$G,5,FALSE),"")</f>
        <v>S1</v>
      </c>
      <c r="Q1202">
        <f>IFERROR(VLOOKUP(A1202,vlookup_table!$A:$G,7,FALSE),"")</f>
        <v>15</v>
      </c>
      <c r="R1202">
        <f t="shared" si="72"/>
        <v>45</v>
      </c>
      <c r="S1202" t="str" cm="1">
        <f t="array" ref="S1202">IF(P1202="","",_xlfn.SWITCH(LEFT(P1202,1),"C","Ciudad","T","Pueblo","R","Rural","S","Suburbano","U","Urbano",""))</f>
        <v>Suburbano</v>
      </c>
      <c r="T1202" t="str">
        <f t="shared" si="73"/>
        <v>M</v>
      </c>
      <c r="U1202" t="str">
        <f t="shared" si="74"/>
        <v>CO</v>
      </c>
      <c r="V1202" t="str">
        <f t="shared" si="75"/>
        <v>20295</v>
      </c>
    </row>
    <row r="1203" spans="1:22" x14ac:dyDescent="0.35">
      <c r="A1203">
        <v>102795</v>
      </c>
      <c r="B1203" t="s">
        <v>36</v>
      </c>
      <c r="C1203" t="s">
        <v>14</v>
      </c>
      <c r="D1203">
        <v>198</v>
      </c>
      <c r="E1203">
        <v>208</v>
      </c>
      <c r="F1203">
        <v>297</v>
      </c>
      <c r="G1203">
        <v>0</v>
      </c>
      <c r="H1203">
        <v>9961</v>
      </c>
      <c r="I1203">
        <v>0</v>
      </c>
      <c r="J1203">
        <v>86</v>
      </c>
      <c r="K1203">
        <v>252</v>
      </c>
      <c r="L1203">
        <v>261</v>
      </c>
      <c r="M1203">
        <v>15</v>
      </c>
      <c r="N1203">
        <f>IFERROR(VLOOKUP(A1203,vlookup_table!$A:$G,2,FALSE),"")</f>
        <v>1</v>
      </c>
      <c r="O1203">
        <f>IFERROR(VLOOKUP(A1203,vlookup_table!$A:$G,4,FALSE),"")</f>
        <v>2001</v>
      </c>
      <c r="P1203" t="str">
        <f>IFERROR(VLOOKUP(A1203,vlookup_table!$A:$G,5,FALSE),"")</f>
        <v>R3</v>
      </c>
      <c r="Q1203">
        <f>IFERROR(VLOOKUP(A1203,vlookup_table!$A:$G,7,FALSE),"")</f>
        <v>10</v>
      </c>
      <c r="R1203">
        <f t="shared" si="72"/>
        <v>77</v>
      </c>
      <c r="S1203" t="str" cm="1">
        <f t="array" ref="S1203">IF(P1203="","",_xlfn.SWITCH(LEFT(P1203,1),"C","Ciudad","T","Pueblo","R","Rural","S","Suburbano","U","Urbano",""))</f>
        <v>Rural</v>
      </c>
      <c r="T1203" t="str">
        <f t="shared" si="73"/>
        <v>M</v>
      </c>
      <c r="U1203" t="str">
        <f t="shared" si="74"/>
        <v>MO</v>
      </c>
      <c r="V1203" t="str">
        <f t="shared" si="75"/>
        <v>9961</v>
      </c>
    </row>
    <row r="1204" spans="1:22" x14ac:dyDescent="0.35">
      <c r="A1204">
        <v>178085</v>
      </c>
      <c r="B1204" t="s">
        <v>50</v>
      </c>
      <c r="C1204" t="s">
        <v>14</v>
      </c>
      <c r="D1204">
        <v>443</v>
      </c>
      <c r="E1204">
        <v>204</v>
      </c>
      <c r="F1204">
        <v>267</v>
      </c>
      <c r="G1204">
        <v>0</v>
      </c>
      <c r="H1204">
        <v>9473</v>
      </c>
      <c r="I1204">
        <v>5</v>
      </c>
      <c r="J1204">
        <v>21</v>
      </c>
      <c r="K1204">
        <v>218</v>
      </c>
      <c r="L1204">
        <v>232</v>
      </c>
      <c r="M1204">
        <v>10.42857143</v>
      </c>
      <c r="N1204">
        <f>IFERROR(VLOOKUP(A1204,vlookup_table!$A:$G,2,FALSE),"")</f>
        <v>2</v>
      </c>
      <c r="O1204">
        <f>IFERROR(VLOOKUP(A1204,vlookup_table!$A:$G,4,FALSE),"")</f>
        <v>4403</v>
      </c>
      <c r="P1204" t="str">
        <f>IFERROR(VLOOKUP(A1204,vlookup_table!$A:$G,5,FALSE),"")</f>
        <v>T2</v>
      </c>
      <c r="Q1204">
        <f>IFERROR(VLOOKUP(A1204,vlookup_table!$A:$G,7,FALSE),"")</f>
        <v>20</v>
      </c>
      <c r="R1204">
        <f t="shared" si="72"/>
        <v>53</v>
      </c>
      <c r="S1204" t="str" cm="1">
        <f t="array" ref="S1204">IF(P1204="","",_xlfn.SWITCH(LEFT(P1204,1),"C","Ciudad","T","Pueblo","R","Rural","S","Suburbano","U","Urbano",""))</f>
        <v>Pueblo</v>
      </c>
      <c r="T1204" t="str">
        <f t="shared" si="73"/>
        <v>M</v>
      </c>
      <c r="U1204" t="str">
        <f t="shared" si="74"/>
        <v>OR</v>
      </c>
      <c r="V1204" t="str">
        <f t="shared" si="75"/>
        <v>9473</v>
      </c>
    </row>
    <row r="1205" spans="1:22" x14ac:dyDescent="0.35">
      <c r="A1205">
        <v>12819</v>
      </c>
      <c r="B1205" t="s">
        <v>36</v>
      </c>
      <c r="C1205" t="s">
        <v>17</v>
      </c>
      <c r="D1205">
        <v>1284</v>
      </c>
      <c r="E1205">
        <v>410</v>
      </c>
      <c r="F1205">
        <v>642</v>
      </c>
      <c r="G1205">
        <v>35</v>
      </c>
      <c r="H1205">
        <v>24921</v>
      </c>
      <c r="I1205">
        <v>3</v>
      </c>
      <c r="J1205">
        <v>74</v>
      </c>
      <c r="K1205">
        <v>539</v>
      </c>
      <c r="L1205">
        <v>532</v>
      </c>
      <c r="M1205">
        <v>13.44444444</v>
      </c>
      <c r="N1205">
        <f>IFERROR(VLOOKUP(A1205,vlookup_table!$A:$G,2,FALSE),"")</f>
        <v>3</v>
      </c>
      <c r="O1205">
        <f>IFERROR(VLOOKUP(A1205,vlookup_table!$A:$G,4,FALSE),"")</f>
        <v>1101</v>
      </c>
      <c r="P1205" t="str">
        <f>IFERROR(VLOOKUP(A1205,vlookup_table!$A:$G,5,FALSE),"")</f>
        <v>S1</v>
      </c>
      <c r="Q1205">
        <f>IFERROR(VLOOKUP(A1205,vlookup_table!$A:$G,7,FALSE),"")</f>
        <v>20</v>
      </c>
      <c r="R1205">
        <f t="shared" si="72"/>
        <v>86</v>
      </c>
      <c r="S1205" t="str" cm="1">
        <f t="array" ref="S1205">IF(P1205="","",_xlfn.SWITCH(LEFT(P1205,1),"C","Ciudad","T","Pueblo","R","Rural","S","Suburbano","U","Urbano",""))</f>
        <v>Suburbano</v>
      </c>
      <c r="T1205" t="str">
        <f t="shared" si="73"/>
        <v>F</v>
      </c>
      <c r="U1205" t="str">
        <f t="shared" si="74"/>
        <v>MO</v>
      </c>
      <c r="V1205" t="str">
        <f t="shared" si="75"/>
        <v>24921</v>
      </c>
    </row>
    <row r="1206" spans="1:22" x14ac:dyDescent="0.35">
      <c r="A1206">
        <v>99543</v>
      </c>
      <c r="B1206" t="s">
        <v>36</v>
      </c>
      <c r="C1206" t="s">
        <v>14</v>
      </c>
      <c r="D1206">
        <v>675</v>
      </c>
      <c r="E1206">
        <v>312</v>
      </c>
      <c r="F1206">
        <v>365</v>
      </c>
      <c r="G1206">
        <v>1</v>
      </c>
      <c r="H1206">
        <v>10538</v>
      </c>
      <c r="I1206">
        <v>1</v>
      </c>
      <c r="J1206">
        <v>81</v>
      </c>
      <c r="K1206">
        <v>352</v>
      </c>
      <c r="L1206">
        <v>343</v>
      </c>
      <c r="M1206">
        <v>5.7857142860000002</v>
      </c>
      <c r="N1206">
        <f>IFERROR(VLOOKUP(A1206,vlookup_table!$A:$G,2,FALSE),"")</f>
        <v>0</v>
      </c>
      <c r="O1206">
        <f>IFERROR(VLOOKUP(A1206,vlookup_table!$A:$G,4,FALSE),"")</f>
        <v>2301</v>
      </c>
      <c r="P1206" t="str">
        <f>IFERROR(VLOOKUP(A1206,vlookup_table!$A:$G,5,FALSE),"")</f>
        <v>R2</v>
      </c>
      <c r="Q1206">
        <f>IFERROR(VLOOKUP(A1206,vlookup_table!$A:$G,7,FALSE),"")</f>
        <v>15</v>
      </c>
      <c r="R1206">
        <f t="shared" si="72"/>
        <v>74</v>
      </c>
      <c r="S1206" t="str" cm="1">
        <f t="array" ref="S1206">IF(P1206="","",_xlfn.SWITCH(LEFT(P1206,1),"C","Ciudad","T","Pueblo","R","Rural","S","Suburbano","U","Urbano",""))</f>
        <v>Rural</v>
      </c>
      <c r="T1206" t="str">
        <f t="shared" si="73"/>
        <v>M</v>
      </c>
      <c r="U1206" t="str">
        <f t="shared" si="74"/>
        <v>MO</v>
      </c>
      <c r="V1206" t="str">
        <f t="shared" si="75"/>
        <v>10538</v>
      </c>
    </row>
    <row r="1207" spans="1:22" x14ac:dyDescent="0.35">
      <c r="A1207">
        <v>65804</v>
      </c>
      <c r="B1207" t="s">
        <v>29</v>
      </c>
      <c r="C1207" t="s">
        <v>17</v>
      </c>
      <c r="D1207">
        <v>668</v>
      </c>
      <c r="E1207">
        <v>272</v>
      </c>
      <c r="F1207">
        <v>391</v>
      </c>
      <c r="G1207">
        <v>0</v>
      </c>
      <c r="H1207">
        <v>17206</v>
      </c>
      <c r="I1207">
        <v>11</v>
      </c>
      <c r="J1207">
        <v>75</v>
      </c>
      <c r="K1207">
        <v>369</v>
      </c>
      <c r="L1207">
        <v>311</v>
      </c>
      <c r="M1207">
        <v>6.4117647059999996</v>
      </c>
      <c r="N1207">
        <f>IFERROR(VLOOKUP(A1207,vlookup_table!$A:$G,2,FALSE),"")</f>
        <v>0</v>
      </c>
      <c r="O1207">
        <f>IFERROR(VLOOKUP(A1207,vlookup_table!$A:$G,4,FALSE),"")</f>
        <v>0</v>
      </c>
      <c r="P1207" t="str">
        <f>IFERROR(VLOOKUP(A1207,vlookup_table!$A:$G,5,FALSE),"")</f>
        <v>S2</v>
      </c>
      <c r="Q1207">
        <f>IFERROR(VLOOKUP(A1207,vlookup_table!$A:$G,7,FALSE),"")</f>
        <v>10</v>
      </c>
      <c r="R1207">
        <f t="shared" si="72"/>
        <v>97</v>
      </c>
      <c r="S1207" t="str" cm="1">
        <f t="array" ref="S1207">IF(P1207="","",_xlfn.SWITCH(LEFT(P1207,1),"C","Ciudad","T","Pueblo","R","Rural","S","Suburbano","U","Urbano",""))</f>
        <v>Suburbano</v>
      </c>
      <c r="T1207" t="str">
        <f t="shared" si="73"/>
        <v>F</v>
      </c>
      <c r="U1207" t="str">
        <f t="shared" si="74"/>
        <v>MI</v>
      </c>
      <c r="V1207" t="str">
        <f t="shared" si="75"/>
        <v>17206</v>
      </c>
    </row>
    <row r="1208" spans="1:22" x14ac:dyDescent="0.35">
      <c r="A1208">
        <v>35947</v>
      </c>
      <c r="B1208" t="s">
        <v>13</v>
      </c>
      <c r="C1208" t="s">
        <v>17</v>
      </c>
      <c r="D1208">
        <v>575</v>
      </c>
      <c r="E1208">
        <v>232</v>
      </c>
      <c r="F1208">
        <v>289</v>
      </c>
      <c r="G1208">
        <v>0</v>
      </c>
      <c r="H1208">
        <v>9634</v>
      </c>
      <c r="I1208">
        <v>17</v>
      </c>
      <c r="J1208">
        <v>27</v>
      </c>
      <c r="K1208">
        <v>259</v>
      </c>
      <c r="L1208">
        <v>255</v>
      </c>
      <c r="M1208">
        <v>7.6666666670000003</v>
      </c>
      <c r="N1208">
        <f>IFERROR(VLOOKUP(A1208,vlookup_table!$A:$G,2,FALSE),"")</f>
        <v>2</v>
      </c>
      <c r="O1208">
        <f>IFERROR(VLOOKUP(A1208,vlookup_table!$A:$G,4,FALSE),"")</f>
        <v>2505</v>
      </c>
      <c r="P1208" t="str">
        <f>IFERROR(VLOOKUP(A1208,vlookup_table!$A:$G,5,FALSE),"")</f>
        <v>S2</v>
      </c>
      <c r="Q1208">
        <f>IFERROR(VLOOKUP(A1208,vlookup_table!$A:$G,7,FALSE),"")</f>
        <v>14</v>
      </c>
      <c r="R1208">
        <f t="shared" si="72"/>
        <v>72</v>
      </c>
      <c r="S1208" t="str" cm="1">
        <f t="array" ref="S1208">IF(P1208="","",_xlfn.SWITCH(LEFT(P1208,1),"C","Ciudad","T","Pueblo","R","Rural","S","Suburbano","U","Urbano",""))</f>
        <v>Suburbano</v>
      </c>
      <c r="T1208" t="str">
        <f t="shared" si="73"/>
        <v>F</v>
      </c>
      <c r="U1208" t="str">
        <f t="shared" si="74"/>
        <v>FL</v>
      </c>
      <c r="V1208" t="str">
        <f t="shared" si="75"/>
        <v>9634</v>
      </c>
    </row>
    <row r="1209" spans="1:22" x14ac:dyDescent="0.35">
      <c r="A1209">
        <v>152961</v>
      </c>
      <c r="B1209" t="s">
        <v>22</v>
      </c>
      <c r="C1209" t="s">
        <v>17</v>
      </c>
      <c r="D1209">
        <v>2375</v>
      </c>
      <c r="E1209">
        <v>428</v>
      </c>
      <c r="F1209">
        <v>571</v>
      </c>
      <c r="G1209">
        <v>75</v>
      </c>
      <c r="H1209">
        <v>23387</v>
      </c>
      <c r="I1209">
        <v>13</v>
      </c>
      <c r="J1209">
        <v>36</v>
      </c>
      <c r="K1209">
        <v>471</v>
      </c>
      <c r="L1209">
        <v>535</v>
      </c>
      <c r="M1209">
        <v>20</v>
      </c>
      <c r="N1209">
        <f>IFERROR(VLOOKUP(A1209,vlookup_table!$A:$G,2,FALSE),"")</f>
        <v>0</v>
      </c>
      <c r="O1209">
        <f>IFERROR(VLOOKUP(A1209,vlookup_table!$A:$G,4,FALSE),"")</f>
        <v>3401</v>
      </c>
      <c r="P1209" t="str">
        <f>IFERROR(VLOOKUP(A1209,vlookup_table!$A:$G,5,FALSE),"")</f>
        <v>C1</v>
      </c>
      <c r="Q1209">
        <f>IFERROR(VLOOKUP(A1209,vlookup_table!$A:$G,7,FALSE),"")</f>
        <v>8</v>
      </c>
      <c r="R1209">
        <f t="shared" si="72"/>
        <v>63</v>
      </c>
      <c r="S1209" t="str" cm="1">
        <f t="array" ref="S1209">IF(P1209="","",_xlfn.SWITCH(LEFT(P1209,1),"C","Ciudad","T","Pueblo","R","Rural","S","Suburbano","U","Urbano",""))</f>
        <v>Ciudad</v>
      </c>
      <c r="T1209" t="str">
        <f t="shared" si="73"/>
        <v>F</v>
      </c>
      <c r="U1209" t="str">
        <f t="shared" si="74"/>
        <v>CA</v>
      </c>
      <c r="V1209" t="str">
        <f t="shared" si="75"/>
        <v>23387</v>
      </c>
    </row>
    <row r="1210" spans="1:22" x14ac:dyDescent="0.35">
      <c r="A1210">
        <v>161129</v>
      </c>
      <c r="B1210" t="s">
        <v>22</v>
      </c>
      <c r="C1210" t="s">
        <v>17</v>
      </c>
      <c r="D1210">
        <v>1091</v>
      </c>
      <c r="E1210">
        <v>330</v>
      </c>
      <c r="F1210">
        <v>397</v>
      </c>
      <c r="G1210">
        <v>9</v>
      </c>
      <c r="H1210">
        <v>14093</v>
      </c>
      <c r="I1210">
        <v>2</v>
      </c>
      <c r="J1210">
        <v>62</v>
      </c>
      <c r="K1210">
        <v>348</v>
      </c>
      <c r="L1210">
        <v>382</v>
      </c>
      <c r="M1210">
        <v>11.95238095</v>
      </c>
      <c r="N1210">
        <f>IFERROR(VLOOKUP(A1210,vlookup_table!$A:$G,2,FALSE),"")</f>
        <v>2</v>
      </c>
      <c r="O1210">
        <f>IFERROR(VLOOKUP(A1210,vlookup_table!$A:$G,4,FALSE),"")</f>
        <v>2201</v>
      </c>
      <c r="P1210" t="str">
        <f>IFERROR(VLOOKUP(A1210,vlookup_table!$A:$G,5,FALSE),"")</f>
        <v>R2</v>
      </c>
      <c r="Q1210">
        <f>IFERROR(VLOOKUP(A1210,vlookup_table!$A:$G,7,FALSE),"")</f>
        <v>20</v>
      </c>
      <c r="R1210">
        <f t="shared" si="72"/>
        <v>75</v>
      </c>
      <c r="S1210" t="str" cm="1">
        <f t="array" ref="S1210">IF(P1210="","",_xlfn.SWITCH(LEFT(P1210,1),"C","Ciudad","T","Pueblo","R","Rural","S","Suburbano","U","Urbano",""))</f>
        <v>Rural</v>
      </c>
      <c r="T1210" t="str">
        <f t="shared" si="73"/>
        <v>F</v>
      </c>
      <c r="U1210" t="str">
        <f t="shared" si="74"/>
        <v>CA</v>
      </c>
      <c r="V1210" t="str">
        <f t="shared" si="75"/>
        <v>14093</v>
      </c>
    </row>
    <row r="1211" spans="1:22" x14ac:dyDescent="0.35">
      <c r="A1211">
        <v>177315</v>
      </c>
      <c r="B1211" t="s">
        <v>50</v>
      </c>
      <c r="C1211" t="s">
        <v>14</v>
      </c>
      <c r="D1211">
        <v>1015</v>
      </c>
      <c r="E1211">
        <v>354</v>
      </c>
      <c r="F1211">
        <v>422</v>
      </c>
      <c r="G1211">
        <v>5</v>
      </c>
      <c r="H1211">
        <v>13340</v>
      </c>
      <c r="I1211">
        <v>8</v>
      </c>
      <c r="J1211">
        <v>38</v>
      </c>
      <c r="K1211">
        <v>360</v>
      </c>
      <c r="L1211">
        <v>404</v>
      </c>
      <c r="M1211">
        <v>8.25</v>
      </c>
      <c r="N1211">
        <f>IFERROR(VLOOKUP(A1211,vlookup_table!$A:$G,2,FALSE),"")</f>
        <v>0</v>
      </c>
      <c r="O1211">
        <f>IFERROR(VLOOKUP(A1211,vlookup_table!$A:$G,4,FALSE),"")</f>
        <v>3805</v>
      </c>
      <c r="P1211" t="str">
        <f>IFERROR(VLOOKUP(A1211,vlookup_table!$A:$G,5,FALSE),"")</f>
        <v>T2</v>
      </c>
      <c r="Q1211">
        <f>IFERROR(VLOOKUP(A1211,vlookup_table!$A:$G,7,FALSE),"")</f>
        <v>15</v>
      </c>
      <c r="R1211">
        <f t="shared" si="72"/>
        <v>59</v>
      </c>
      <c r="S1211" t="str" cm="1">
        <f t="array" ref="S1211">IF(P1211="","",_xlfn.SWITCH(LEFT(P1211,1),"C","Ciudad","T","Pueblo","R","Rural","S","Suburbano","U","Urbano",""))</f>
        <v>Pueblo</v>
      </c>
      <c r="T1211" t="str">
        <f t="shared" si="73"/>
        <v>M</v>
      </c>
      <c r="U1211" t="str">
        <f t="shared" si="74"/>
        <v>OR</v>
      </c>
      <c r="V1211" t="str">
        <f t="shared" si="75"/>
        <v>13340</v>
      </c>
    </row>
    <row r="1212" spans="1:22" x14ac:dyDescent="0.35">
      <c r="A1212">
        <v>104755</v>
      </c>
      <c r="B1212" t="s">
        <v>28</v>
      </c>
      <c r="C1212" t="s">
        <v>14</v>
      </c>
      <c r="D1212">
        <v>1413</v>
      </c>
      <c r="E1212">
        <v>634</v>
      </c>
      <c r="F1212">
        <v>755</v>
      </c>
      <c r="G1212">
        <v>21</v>
      </c>
      <c r="H1212">
        <v>27583</v>
      </c>
      <c r="I1212">
        <v>3</v>
      </c>
      <c r="J1212">
        <v>16</v>
      </c>
      <c r="K1212">
        <v>665</v>
      </c>
      <c r="L1212">
        <v>727</v>
      </c>
      <c r="M1212">
        <v>8.2857142859999993</v>
      </c>
      <c r="N1212">
        <f>IFERROR(VLOOKUP(A1212,vlookup_table!$A:$G,2,FALSE),"")</f>
        <v>2</v>
      </c>
      <c r="O1212">
        <f>IFERROR(VLOOKUP(A1212,vlookup_table!$A:$G,4,FALSE),"")</f>
        <v>2001</v>
      </c>
      <c r="P1212" t="str">
        <f>IFERROR(VLOOKUP(A1212,vlookup_table!$A:$G,5,FALSE),"")</f>
        <v>S1</v>
      </c>
      <c r="Q1212">
        <f>IFERROR(VLOOKUP(A1212,vlookup_table!$A:$G,7,FALSE),"")</f>
        <v>16</v>
      </c>
      <c r="R1212">
        <f t="shared" si="72"/>
        <v>77</v>
      </c>
      <c r="S1212" t="str" cm="1">
        <f t="array" ref="S1212">IF(P1212="","",_xlfn.SWITCH(LEFT(P1212,1),"C","Ciudad","T","Pueblo","R","Rural","S","Suburbano","U","Urbano",""))</f>
        <v>Suburbano</v>
      </c>
      <c r="T1212" t="str">
        <f t="shared" si="73"/>
        <v>M</v>
      </c>
      <c r="U1212" t="str">
        <f t="shared" si="74"/>
        <v>KS</v>
      </c>
      <c r="V1212" t="str">
        <f t="shared" si="75"/>
        <v>27583</v>
      </c>
    </row>
    <row r="1213" spans="1:22" x14ac:dyDescent="0.35">
      <c r="A1213">
        <v>147838</v>
      </c>
      <c r="B1213" t="s">
        <v>22</v>
      </c>
      <c r="C1213" t="s">
        <v>17</v>
      </c>
      <c r="D1213">
        <v>3738</v>
      </c>
      <c r="E1213">
        <v>534</v>
      </c>
      <c r="F1213">
        <v>683</v>
      </c>
      <c r="G1213">
        <v>86</v>
      </c>
      <c r="H1213">
        <v>26455</v>
      </c>
      <c r="I1213">
        <v>24</v>
      </c>
      <c r="J1213">
        <v>42</v>
      </c>
      <c r="K1213">
        <v>581</v>
      </c>
      <c r="L1213">
        <v>599</v>
      </c>
      <c r="M1213">
        <v>16</v>
      </c>
      <c r="N1213">
        <f>IFERROR(VLOOKUP(A1213,vlookup_table!$A:$G,2,FALSE),"")</f>
        <v>0</v>
      </c>
      <c r="O1213">
        <f>IFERROR(VLOOKUP(A1213,vlookup_table!$A:$G,4,FALSE),"")</f>
        <v>3001</v>
      </c>
      <c r="P1213" t="str">
        <f>IFERROR(VLOOKUP(A1213,vlookup_table!$A:$G,5,FALSE),"")</f>
        <v>S1</v>
      </c>
      <c r="Q1213">
        <f>IFERROR(VLOOKUP(A1213,vlookup_table!$A:$G,7,FALSE),"")</f>
        <v>20</v>
      </c>
      <c r="R1213">
        <f t="shared" si="72"/>
        <v>67</v>
      </c>
      <c r="S1213" t="str" cm="1">
        <f t="array" ref="S1213">IF(P1213="","",_xlfn.SWITCH(LEFT(P1213,1),"C","Ciudad","T","Pueblo","R","Rural","S","Suburbano","U","Urbano",""))</f>
        <v>Suburbano</v>
      </c>
      <c r="T1213" t="str">
        <f t="shared" si="73"/>
        <v>F</v>
      </c>
      <c r="U1213" t="str">
        <f t="shared" si="74"/>
        <v>CA</v>
      </c>
      <c r="V1213" t="str">
        <f t="shared" si="75"/>
        <v>26455</v>
      </c>
    </row>
    <row r="1214" spans="1:22" x14ac:dyDescent="0.35">
      <c r="A1214">
        <v>182748</v>
      </c>
      <c r="B1214" t="s">
        <v>40</v>
      </c>
      <c r="C1214" t="s">
        <v>51</v>
      </c>
      <c r="D1214">
        <v>849</v>
      </c>
      <c r="E1214">
        <v>281</v>
      </c>
      <c r="F1214">
        <v>380</v>
      </c>
      <c r="G1214">
        <v>10</v>
      </c>
      <c r="H1214">
        <v>14308</v>
      </c>
      <c r="I1214">
        <v>4</v>
      </c>
      <c r="J1214">
        <v>48</v>
      </c>
      <c r="K1214">
        <v>327</v>
      </c>
      <c r="L1214">
        <v>327</v>
      </c>
      <c r="M1214">
        <v>13.30769231</v>
      </c>
      <c r="N1214">
        <f>IFERROR(VLOOKUP(A1214,vlookup_table!$A:$G,2,FALSE),"")</f>
        <v>2</v>
      </c>
      <c r="O1214">
        <f>IFERROR(VLOOKUP(A1214,vlookup_table!$A:$G,4,FALSE),"")</f>
        <v>2501</v>
      </c>
      <c r="P1214" t="str">
        <f>IFERROR(VLOOKUP(A1214,vlookup_table!$A:$G,5,FALSE),"")</f>
        <v>C2</v>
      </c>
      <c r="Q1214">
        <f>IFERROR(VLOOKUP(A1214,vlookup_table!$A:$G,7,FALSE),"")</f>
        <v>12</v>
      </c>
      <c r="R1214">
        <f t="shared" si="72"/>
        <v>72</v>
      </c>
      <c r="S1214" t="str" cm="1">
        <f t="array" ref="S1214">IF(P1214="","",_xlfn.SWITCH(LEFT(P1214,1),"C","Ciudad","T","Pueblo","R","Rural","S","Suburbano","U","Urbano",""))</f>
        <v>Ciudad</v>
      </c>
      <c r="T1214" t="str">
        <f t="shared" si="73"/>
        <v>M</v>
      </c>
      <c r="U1214" t="str">
        <f t="shared" si="74"/>
        <v>WA</v>
      </c>
      <c r="V1214" t="str">
        <f t="shared" si="75"/>
        <v>14308</v>
      </c>
    </row>
    <row r="1215" spans="1:22" x14ac:dyDescent="0.35">
      <c r="A1215">
        <v>177238</v>
      </c>
      <c r="B1215" t="s">
        <v>50</v>
      </c>
      <c r="C1215" t="s">
        <v>17</v>
      </c>
      <c r="D1215">
        <v>871</v>
      </c>
      <c r="E1215">
        <v>309</v>
      </c>
      <c r="F1215">
        <v>390</v>
      </c>
      <c r="G1215">
        <v>8</v>
      </c>
      <c r="H1215">
        <v>15151</v>
      </c>
      <c r="I1215">
        <v>2</v>
      </c>
      <c r="J1215">
        <v>45</v>
      </c>
      <c r="K1215">
        <v>344</v>
      </c>
      <c r="L1215">
        <v>362</v>
      </c>
      <c r="M1215">
        <v>9.5500000000000007</v>
      </c>
      <c r="N1215">
        <f>IFERROR(VLOOKUP(A1215,vlookup_table!$A:$G,2,FALSE),"")</f>
        <v>0</v>
      </c>
      <c r="O1215">
        <f>IFERROR(VLOOKUP(A1215,vlookup_table!$A:$G,4,FALSE),"")</f>
        <v>3207</v>
      </c>
      <c r="P1215" t="str">
        <f>IFERROR(VLOOKUP(A1215,vlookup_table!$A:$G,5,FALSE),"")</f>
        <v>T2</v>
      </c>
      <c r="Q1215">
        <f>IFERROR(VLOOKUP(A1215,vlookup_table!$A:$G,7,FALSE),"")</f>
        <v>12</v>
      </c>
      <c r="R1215">
        <f t="shared" si="72"/>
        <v>65</v>
      </c>
      <c r="S1215" t="str" cm="1">
        <f t="array" ref="S1215">IF(P1215="","",_xlfn.SWITCH(LEFT(P1215,1),"C","Ciudad","T","Pueblo","R","Rural","S","Suburbano","U","Urbano",""))</f>
        <v>Pueblo</v>
      </c>
      <c r="T1215" t="str">
        <f t="shared" si="73"/>
        <v>F</v>
      </c>
      <c r="U1215" t="str">
        <f t="shared" si="74"/>
        <v>OR</v>
      </c>
      <c r="V1215" t="str">
        <f t="shared" si="75"/>
        <v>15151</v>
      </c>
    </row>
    <row r="1216" spans="1:22" x14ac:dyDescent="0.35">
      <c r="A1216">
        <v>191138</v>
      </c>
      <c r="B1216" t="s">
        <v>21</v>
      </c>
      <c r="C1216" t="s">
        <v>17</v>
      </c>
      <c r="D1216">
        <v>571</v>
      </c>
      <c r="E1216">
        <v>300</v>
      </c>
      <c r="F1216">
        <v>366</v>
      </c>
      <c r="G1216">
        <v>1</v>
      </c>
      <c r="H1216">
        <v>10689</v>
      </c>
      <c r="I1216">
        <v>2</v>
      </c>
      <c r="J1216">
        <v>67</v>
      </c>
      <c r="K1216">
        <v>333</v>
      </c>
      <c r="L1216">
        <v>336</v>
      </c>
      <c r="M1216">
        <v>15</v>
      </c>
      <c r="N1216">
        <f>IFERROR(VLOOKUP(A1216,vlookup_table!$A:$G,2,FALSE),"")</f>
        <v>0</v>
      </c>
      <c r="O1216">
        <f>IFERROR(VLOOKUP(A1216,vlookup_table!$A:$G,4,FALSE),"")</f>
        <v>4201</v>
      </c>
      <c r="P1216" t="str">
        <f>IFERROR(VLOOKUP(A1216,vlookup_table!$A:$G,5,FALSE),"")</f>
        <v>T2</v>
      </c>
      <c r="Q1216">
        <f>IFERROR(VLOOKUP(A1216,vlookup_table!$A:$G,7,FALSE),"")</f>
        <v>15</v>
      </c>
      <c r="R1216">
        <f t="shared" si="72"/>
        <v>55</v>
      </c>
      <c r="S1216" t="str" cm="1">
        <f t="array" ref="S1216">IF(P1216="","",_xlfn.SWITCH(LEFT(P1216,1),"C","Ciudad","T","Pueblo","R","Rural","S","Suburbano","U","Urbano",""))</f>
        <v>Pueblo</v>
      </c>
      <c r="T1216" t="str">
        <f t="shared" si="73"/>
        <v>F</v>
      </c>
      <c r="U1216" t="str">
        <f t="shared" si="74"/>
        <v>TX</v>
      </c>
      <c r="V1216" t="str">
        <f t="shared" si="75"/>
        <v>10689</v>
      </c>
    </row>
    <row r="1217" spans="1:22" x14ac:dyDescent="0.35">
      <c r="A1217">
        <v>133932</v>
      </c>
      <c r="B1217" t="s">
        <v>40</v>
      </c>
      <c r="C1217" t="s">
        <v>51</v>
      </c>
      <c r="D1217">
        <v>0</v>
      </c>
      <c r="E1217">
        <v>55</v>
      </c>
      <c r="F1217">
        <v>89</v>
      </c>
      <c r="G1217">
        <v>0</v>
      </c>
      <c r="H1217">
        <v>8170</v>
      </c>
      <c r="I1217">
        <v>4</v>
      </c>
      <c r="J1217">
        <v>29</v>
      </c>
      <c r="K1217">
        <v>68</v>
      </c>
      <c r="L1217">
        <v>63</v>
      </c>
      <c r="M1217">
        <v>4.5555555559999998</v>
      </c>
      <c r="N1217">
        <f>IFERROR(VLOOKUP(A1217,vlookup_table!$A:$G,2,FALSE),"")</f>
        <v>0</v>
      </c>
      <c r="O1217">
        <f>IFERROR(VLOOKUP(A1217,vlookup_table!$A:$G,4,FALSE),"")</f>
        <v>0</v>
      </c>
      <c r="P1217" t="str">
        <f>IFERROR(VLOOKUP(A1217,vlookup_table!$A:$G,5,FALSE),"")</f>
        <v>R3</v>
      </c>
      <c r="Q1217">
        <f>IFERROR(VLOOKUP(A1217,vlookup_table!$A:$G,7,FALSE),"")</f>
        <v>5</v>
      </c>
      <c r="R1217">
        <f t="shared" si="72"/>
        <v>97</v>
      </c>
      <c r="S1217" t="str" cm="1">
        <f t="array" ref="S1217">IF(P1217="","",_xlfn.SWITCH(LEFT(P1217,1),"C","Ciudad","T","Pueblo","R","Rural","S","Suburbano","U","Urbano",""))</f>
        <v>Rural</v>
      </c>
      <c r="T1217" t="str">
        <f t="shared" si="73"/>
        <v>M</v>
      </c>
      <c r="U1217" t="str">
        <f t="shared" si="74"/>
        <v>WA</v>
      </c>
      <c r="V1217" t="str">
        <f t="shared" si="75"/>
        <v>8170</v>
      </c>
    </row>
    <row r="1218" spans="1:22" x14ac:dyDescent="0.35">
      <c r="A1218">
        <v>120608</v>
      </c>
      <c r="B1218" t="s">
        <v>21</v>
      </c>
      <c r="D1218">
        <v>375</v>
      </c>
      <c r="E1218">
        <v>182</v>
      </c>
      <c r="F1218">
        <v>232</v>
      </c>
      <c r="G1218">
        <v>0</v>
      </c>
      <c r="H1218">
        <v>8256</v>
      </c>
      <c r="I1218">
        <v>4</v>
      </c>
      <c r="J1218">
        <v>72</v>
      </c>
      <c r="K1218">
        <v>207</v>
      </c>
      <c r="L1218">
        <v>208</v>
      </c>
      <c r="M1218">
        <v>15</v>
      </c>
      <c r="N1218">
        <f>IFERROR(VLOOKUP(A1218,vlookup_table!$A:$G,2,FALSE),"")</f>
        <v>0</v>
      </c>
      <c r="O1218">
        <f>IFERROR(VLOOKUP(A1218,vlookup_table!$A:$G,4,FALSE),"")</f>
        <v>0</v>
      </c>
      <c r="P1218" t="str">
        <f>IFERROR(VLOOKUP(A1218,vlookup_table!$A:$G,5,FALSE),"")</f>
        <v>C3</v>
      </c>
      <c r="Q1218">
        <f>IFERROR(VLOOKUP(A1218,vlookup_table!$A:$G,7,FALSE),"")</f>
        <v>15</v>
      </c>
      <c r="R1218">
        <f t="shared" ref="R1218:R1281" si="76">IF(O1218="","",97-INT(O1218/100))</f>
        <v>97</v>
      </c>
      <c r="S1218" t="str" cm="1">
        <f t="array" ref="S1218">IF(P1218="","",_xlfn.SWITCH(LEFT(P1218,1),"C","Ciudad","T","Pueblo","R","Rural","S","Suburbano","U","Urbano",""))</f>
        <v>Ciudad</v>
      </c>
      <c r="T1218" t="str">
        <f t="shared" ref="T1218:T1281" si="77">IF(C1218="","",IF(OR(UPPER(C1218)="M",UPPER(C1218)="MALE"),"M",IF(OR(UPPER(C1218)="F",UPPER(C1218)="FEMALE",UPPER(C1218)="FEAMALE"),"F",C1218)))</f>
        <v/>
      </c>
      <c r="U1218" t="str">
        <f t="shared" ref="U1218:U1281" si="78">IF(OR(UPPER(B1218)="CALIFORNIA",UPPER(B1218)="CALI"),"CA",B1218)</f>
        <v>TX</v>
      </c>
      <c r="V1218" t="str">
        <f t="shared" ref="V1218:V1281" si="79">SUBSTITUTE(H1218,"@","")</f>
        <v>8256</v>
      </c>
    </row>
    <row r="1219" spans="1:22" x14ac:dyDescent="0.35">
      <c r="A1219">
        <v>11562</v>
      </c>
      <c r="B1219" t="s">
        <v>22</v>
      </c>
      <c r="C1219" t="s">
        <v>17</v>
      </c>
      <c r="D1219">
        <v>3435</v>
      </c>
      <c r="E1219">
        <v>490</v>
      </c>
      <c r="F1219">
        <v>614</v>
      </c>
      <c r="G1219">
        <v>91</v>
      </c>
      <c r="H1219">
        <v>26467</v>
      </c>
      <c r="I1219">
        <v>26</v>
      </c>
      <c r="J1219">
        <v>40</v>
      </c>
      <c r="K1219">
        <v>546</v>
      </c>
      <c r="L1219">
        <v>560</v>
      </c>
      <c r="M1219">
        <v>32.30769231</v>
      </c>
      <c r="N1219">
        <f>IFERROR(VLOOKUP(A1219,vlookup_table!$A:$G,2,FALSE),"")</f>
        <v>0</v>
      </c>
      <c r="O1219">
        <f>IFERROR(VLOOKUP(A1219,vlookup_table!$A:$G,4,FALSE),"")</f>
        <v>2501</v>
      </c>
      <c r="P1219" t="str">
        <f>IFERROR(VLOOKUP(A1219,vlookup_table!$A:$G,5,FALSE),"")</f>
        <v>S1</v>
      </c>
      <c r="Q1219">
        <f>IFERROR(VLOOKUP(A1219,vlookup_table!$A:$G,7,FALSE),"")</f>
        <v>50</v>
      </c>
      <c r="R1219">
        <f t="shared" si="76"/>
        <v>72</v>
      </c>
      <c r="S1219" t="str" cm="1">
        <f t="array" ref="S1219">IF(P1219="","",_xlfn.SWITCH(LEFT(P1219,1),"C","Ciudad","T","Pueblo","R","Rural","S","Suburbano","U","Urbano",""))</f>
        <v>Suburbano</v>
      </c>
      <c r="T1219" t="str">
        <f t="shared" si="77"/>
        <v>F</v>
      </c>
      <c r="U1219" t="str">
        <f t="shared" si="78"/>
        <v>CA</v>
      </c>
      <c r="V1219" t="str">
        <f t="shared" si="79"/>
        <v>26467</v>
      </c>
    </row>
    <row r="1220" spans="1:22" x14ac:dyDescent="0.35">
      <c r="A1220">
        <v>87541</v>
      </c>
      <c r="B1220" t="s">
        <v>40</v>
      </c>
      <c r="C1220" t="s">
        <v>17</v>
      </c>
      <c r="D1220">
        <v>466</v>
      </c>
      <c r="E1220">
        <v>211</v>
      </c>
      <c r="F1220">
        <v>289</v>
      </c>
      <c r="G1220">
        <v>0</v>
      </c>
      <c r="H1220">
        <v>10094</v>
      </c>
      <c r="I1220">
        <v>4</v>
      </c>
      <c r="J1220">
        <v>61</v>
      </c>
      <c r="K1220">
        <v>252</v>
      </c>
      <c r="L1220">
        <v>244</v>
      </c>
      <c r="M1220">
        <v>5.625</v>
      </c>
      <c r="N1220">
        <f>IFERROR(VLOOKUP(A1220,vlookup_table!$A:$G,2,FALSE),"")</f>
        <v>0</v>
      </c>
      <c r="O1220">
        <f>IFERROR(VLOOKUP(A1220,vlookup_table!$A:$G,4,FALSE),"")</f>
        <v>4501</v>
      </c>
      <c r="P1220" t="str">
        <f>IFERROR(VLOOKUP(A1220,vlookup_table!$A:$G,5,FALSE),"")</f>
        <v>R2</v>
      </c>
      <c r="Q1220">
        <f>IFERROR(VLOOKUP(A1220,vlookup_table!$A:$G,7,FALSE),"")</f>
        <v>5</v>
      </c>
      <c r="R1220">
        <f t="shared" si="76"/>
        <v>52</v>
      </c>
      <c r="S1220" t="str" cm="1">
        <f t="array" ref="S1220">IF(P1220="","",_xlfn.SWITCH(LEFT(P1220,1),"C","Ciudad","T","Pueblo","R","Rural","S","Suburbano","U","Urbano",""))</f>
        <v>Rural</v>
      </c>
      <c r="T1220" t="str">
        <f t="shared" si="77"/>
        <v>F</v>
      </c>
      <c r="U1220" t="str">
        <f t="shared" si="78"/>
        <v>WA</v>
      </c>
      <c r="V1220" t="str">
        <f t="shared" si="79"/>
        <v>10094</v>
      </c>
    </row>
    <row r="1221" spans="1:22" x14ac:dyDescent="0.35">
      <c r="A1221">
        <v>1722</v>
      </c>
      <c r="B1221" t="s">
        <v>22</v>
      </c>
      <c r="C1221" t="s">
        <v>14</v>
      </c>
      <c r="D1221">
        <v>1668</v>
      </c>
      <c r="E1221">
        <v>648</v>
      </c>
      <c r="F1221">
        <v>668</v>
      </c>
      <c r="G1221">
        <v>12</v>
      </c>
      <c r="H1221">
        <v>20187</v>
      </c>
      <c r="I1221">
        <v>9</v>
      </c>
      <c r="J1221">
        <v>60</v>
      </c>
      <c r="K1221">
        <v>664</v>
      </c>
      <c r="L1221">
        <v>663</v>
      </c>
      <c r="M1221">
        <v>13.38461539</v>
      </c>
      <c r="N1221">
        <f>IFERROR(VLOOKUP(A1221,vlookup_table!$A:$G,2,FALSE),"")</f>
        <v>1002</v>
      </c>
      <c r="O1221">
        <f>IFERROR(VLOOKUP(A1221,vlookup_table!$A:$G,4,FALSE),"")</f>
        <v>5207</v>
      </c>
      <c r="P1221" t="str">
        <f>IFERROR(VLOOKUP(A1221,vlookup_table!$A:$G,5,FALSE),"")</f>
        <v>C1</v>
      </c>
      <c r="Q1221">
        <f>IFERROR(VLOOKUP(A1221,vlookup_table!$A:$G,7,FALSE),"")</f>
        <v>10</v>
      </c>
      <c r="R1221">
        <f t="shared" si="76"/>
        <v>45</v>
      </c>
      <c r="S1221" t="str" cm="1">
        <f t="array" ref="S1221">IF(P1221="","",_xlfn.SWITCH(LEFT(P1221,1),"C","Ciudad","T","Pueblo","R","Rural","S","Suburbano","U","Urbano",""))</f>
        <v>Ciudad</v>
      </c>
      <c r="T1221" t="str">
        <f t="shared" si="77"/>
        <v>M</v>
      </c>
      <c r="U1221" t="str">
        <f t="shared" si="78"/>
        <v>CA</v>
      </c>
      <c r="V1221" t="str">
        <f t="shared" si="79"/>
        <v>20187</v>
      </c>
    </row>
    <row r="1222" spans="1:22" x14ac:dyDescent="0.35">
      <c r="A1222">
        <v>32843</v>
      </c>
      <c r="B1222" t="s">
        <v>13</v>
      </c>
      <c r="C1222" t="s">
        <v>14</v>
      </c>
      <c r="D1222">
        <v>546</v>
      </c>
      <c r="E1222">
        <v>283</v>
      </c>
      <c r="F1222">
        <v>322</v>
      </c>
      <c r="G1222">
        <v>0</v>
      </c>
      <c r="H1222">
        <v>10785</v>
      </c>
      <c r="I1222">
        <v>0</v>
      </c>
      <c r="J1222">
        <v>63</v>
      </c>
      <c r="K1222">
        <v>256</v>
      </c>
      <c r="L1222">
        <v>344</v>
      </c>
      <c r="M1222">
        <v>15</v>
      </c>
      <c r="N1222">
        <f>IFERROR(VLOOKUP(A1222,vlookup_table!$A:$G,2,FALSE),"")</f>
        <v>1</v>
      </c>
      <c r="O1222">
        <f>IFERROR(VLOOKUP(A1222,vlookup_table!$A:$G,4,FALSE),"")</f>
        <v>5901</v>
      </c>
      <c r="P1222" t="str">
        <f>IFERROR(VLOOKUP(A1222,vlookup_table!$A:$G,5,FALSE),"")</f>
        <v>C3</v>
      </c>
      <c r="Q1222">
        <f>IFERROR(VLOOKUP(A1222,vlookup_table!$A:$G,7,FALSE),"")</f>
        <v>15</v>
      </c>
      <c r="R1222">
        <f t="shared" si="76"/>
        <v>38</v>
      </c>
      <c r="S1222" t="str" cm="1">
        <f t="array" ref="S1222">IF(P1222="","",_xlfn.SWITCH(LEFT(P1222,1),"C","Ciudad","T","Pueblo","R","Rural","S","Suburbano","U","Urbano",""))</f>
        <v>Ciudad</v>
      </c>
      <c r="T1222" t="str">
        <f t="shared" si="77"/>
        <v>M</v>
      </c>
      <c r="U1222" t="str">
        <f t="shared" si="78"/>
        <v>FL</v>
      </c>
      <c r="V1222" t="str">
        <f t="shared" si="79"/>
        <v>10785</v>
      </c>
    </row>
    <row r="1223" spans="1:22" x14ac:dyDescent="0.35">
      <c r="A1223">
        <v>77439</v>
      </c>
      <c r="B1223" t="s">
        <v>35</v>
      </c>
      <c r="C1223" t="s">
        <v>51</v>
      </c>
      <c r="D1223">
        <v>713</v>
      </c>
      <c r="E1223">
        <v>360</v>
      </c>
      <c r="F1223">
        <v>429</v>
      </c>
      <c r="G1223">
        <v>0</v>
      </c>
      <c r="H1223">
        <v>12547</v>
      </c>
      <c r="I1223">
        <v>2</v>
      </c>
      <c r="J1223">
        <v>91</v>
      </c>
      <c r="K1223">
        <v>372</v>
      </c>
      <c r="L1223">
        <v>408</v>
      </c>
      <c r="M1223">
        <v>11.3125</v>
      </c>
      <c r="N1223">
        <f>IFERROR(VLOOKUP(A1223,vlookup_table!$A:$G,2,FALSE),"")</f>
        <v>2</v>
      </c>
      <c r="O1223">
        <f>IFERROR(VLOOKUP(A1223,vlookup_table!$A:$G,4,FALSE),"")</f>
        <v>3101</v>
      </c>
      <c r="P1223" t="str">
        <f>IFERROR(VLOOKUP(A1223,vlookup_table!$A:$G,5,FALSE),"")</f>
        <v>R2</v>
      </c>
      <c r="Q1223">
        <f>IFERROR(VLOOKUP(A1223,vlookup_table!$A:$G,7,FALSE),"")</f>
        <v>17</v>
      </c>
      <c r="R1223">
        <f t="shared" si="76"/>
        <v>66</v>
      </c>
      <c r="S1223" t="str" cm="1">
        <f t="array" ref="S1223">IF(P1223="","",_xlfn.SWITCH(LEFT(P1223,1),"C","Ciudad","T","Pueblo","R","Rural","S","Suburbano","U","Urbano",""))</f>
        <v>Rural</v>
      </c>
      <c r="T1223" t="str">
        <f t="shared" si="77"/>
        <v>M</v>
      </c>
      <c r="U1223" t="str">
        <f t="shared" si="78"/>
        <v>WI</v>
      </c>
      <c r="V1223" t="str">
        <f t="shared" si="79"/>
        <v>12547</v>
      </c>
    </row>
    <row r="1224" spans="1:22" x14ac:dyDescent="0.35">
      <c r="A1224">
        <v>140457</v>
      </c>
      <c r="B1224" t="s">
        <v>54</v>
      </c>
      <c r="C1224" t="s">
        <v>14</v>
      </c>
      <c r="D1224">
        <v>576</v>
      </c>
      <c r="E1224">
        <v>263</v>
      </c>
      <c r="F1224">
        <v>338</v>
      </c>
      <c r="G1224">
        <v>1</v>
      </c>
      <c r="H1224">
        <v>12326</v>
      </c>
      <c r="I1224">
        <v>0</v>
      </c>
      <c r="J1224">
        <v>51</v>
      </c>
      <c r="K1224">
        <v>355</v>
      </c>
      <c r="L1224">
        <v>304</v>
      </c>
      <c r="M1224">
        <v>6.04</v>
      </c>
      <c r="N1224">
        <f>IFERROR(VLOOKUP(A1224,vlookup_table!$A:$G,2,FALSE),"")</f>
        <v>1</v>
      </c>
      <c r="O1224">
        <f>IFERROR(VLOOKUP(A1224,vlookup_table!$A:$G,4,FALSE),"")</f>
        <v>2401</v>
      </c>
      <c r="P1224" t="str">
        <f>IFERROR(VLOOKUP(A1224,vlookup_table!$A:$G,5,FALSE),"")</f>
        <v>T2</v>
      </c>
      <c r="Q1224">
        <f>IFERROR(VLOOKUP(A1224,vlookup_table!$A:$G,7,FALSE),"")</f>
        <v>10</v>
      </c>
      <c r="R1224">
        <f t="shared" si="76"/>
        <v>73</v>
      </c>
      <c r="S1224" t="str" cm="1">
        <f t="array" ref="S1224">IF(P1224="","",_xlfn.SWITCH(LEFT(P1224,1),"C","Ciudad","T","Pueblo","R","Rural","S","Suburbano","U","Urbano",""))</f>
        <v>Pueblo</v>
      </c>
      <c r="T1224" t="str">
        <f t="shared" si="77"/>
        <v>M</v>
      </c>
      <c r="U1224" t="str">
        <f t="shared" si="78"/>
        <v>NM</v>
      </c>
      <c r="V1224" t="str">
        <f t="shared" si="79"/>
        <v>12326</v>
      </c>
    </row>
    <row r="1225" spans="1:22" x14ac:dyDescent="0.35">
      <c r="A1225">
        <v>70144</v>
      </c>
      <c r="B1225" t="s">
        <v>13</v>
      </c>
      <c r="C1225" t="s">
        <v>17</v>
      </c>
      <c r="D1225">
        <v>585</v>
      </c>
      <c r="E1225">
        <v>459</v>
      </c>
      <c r="F1225">
        <v>427</v>
      </c>
      <c r="G1225">
        <v>0</v>
      </c>
      <c r="H1225">
        <v>8656</v>
      </c>
      <c r="I1225">
        <v>0</v>
      </c>
      <c r="J1225">
        <v>33</v>
      </c>
      <c r="K1225">
        <v>393</v>
      </c>
      <c r="L1225">
        <v>445</v>
      </c>
      <c r="M1225">
        <v>13.58333333</v>
      </c>
      <c r="N1225">
        <f>IFERROR(VLOOKUP(A1225,vlookup_table!$A:$G,2,FALSE),"")</f>
        <v>0</v>
      </c>
      <c r="O1225">
        <f>IFERROR(VLOOKUP(A1225,vlookup_table!$A:$G,4,FALSE),"")</f>
        <v>1711</v>
      </c>
      <c r="P1225" t="str">
        <f>IFERROR(VLOOKUP(A1225,vlookup_table!$A:$G,5,FALSE),"")</f>
        <v>S3</v>
      </c>
      <c r="Q1225">
        <f>IFERROR(VLOOKUP(A1225,vlookup_table!$A:$G,7,FALSE),"")</f>
        <v>15</v>
      </c>
      <c r="R1225">
        <f t="shared" si="76"/>
        <v>80</v>
      </c>
      <c r="S1225" t="str" cm="1">
        <f t="array" ref="S1225">IF(P1225="","",_xlfn.SWITCH(LEFT(P1225,1),"C","Ciudad","T","Pueblo","R","Rural","S","Suburbano","U","Urbano",""))</f>
        <v>Suburbano</v>
      </c>
      <c r="T1225" t="str">
        <f t="shared" si="77"/>
        <v>F</v>
      </c>
      <c r="U1225" t="str">
        <f t="shared" si="78"/>
        <v>FL</v>
      </c>
      <c r="V1225" t="str">
        <f t="shared" si="79"/>
        <v>8656</v>
      </c>
    </row>
    <row r="1226" spans="1:22" x14ac:dyDescent="0.35">
      <c r="A1226">
        <v>157947</v>
      </c>
      <c r="B1226" t="s">
        <v>22</v>
      </c>
      <c r="C1226" t="s">
        <v>17</v>
      </c>
      <c r="D1226">
        <v>2022</v>
      </c>
      <c r="E1226">
        <v>441</v>
      </c>
      <c r="F1226">
        <v>569</v>
      </c>
      <c r="G1226">
        <v>52</v>
      </c>
      <c r="H1226">
        <v>21300</v>
      </c>
      <c r="I1226">
        <v>14</v>
      </c>
      <c r="J1226">
        <v>44</v>
      </c>
      <c r="K1226">
        <v>534</v>
      </c>
      <c r="L1226">
        <v>496</v>
      </c>
      <c r="M1226">
        <v>4.7777777779999999</v>
      </c>
      <c r="N1226">
        <f>IFERROR(VLOOKUP(A1226,vlookup_table!$A:$G,2,FALSE),"")</f>
        <v>0</v>
      </c>
      <c r="O1226">
        <f>IFERROR(VLOOKUP(A1226,vlookup_table!$A:$G,4,FALSE),"")</f>
        <v>0</v>
      </c>
      <c r="P1226" t="str">
        <f>IFERROR(VLOOKUP(A1226,vlookup_table!$A:$G,5,FALSE),"")</f>
        <v>U1</v>
      </c>
      <c r="Q1226">
        <f>IFERROR(VLOOKUP(A1226,vlookup_table!$A:$G,7,FALSE),"")</f>
        <v>5</v>
      </c>
      <c r="R1226">
        <f t="shared" si="76"/>
        <v>97</v>
      </c>
      <c r="S1226" t="str" cm="1">
        <f t="array" ref="S1226">IF(P1226="","",_xlfn.SWITCH(LEFT(P1226,1),"C","Ciudad","T","Pueblo","R","Rural","S","Suburbano","U","Urbano",""))</f>
        <v>Urbano</v>
      </c>
      <c r="T1226" t="str">
        <f t="shared" si="77"/>
        <v>F</v>
      </c>
      <c r="U1226" t="str">
        <f t="shared" si="78"/>
        <v>CA</v>
      </c>
      <c r="V1226" t="str">
        <f t="shared" si="79"/>
        <v>21300</v>
      </c>
    </row>
    <row r="1227" spans="1:22" x14ac:dyDescent="0.35">
      <c r="A1227">
        <v>137680</v>
      </c>
      <c r="B1227" t="s">
        <v>64</v>
      </c>
      <c r="C1227" t="s">
        <v>60</v>
      </c>
      <c r="D1227">
        <v>786</v>
      </c>
      <c r="E1227">
        <v>220</v>
      </c>
      <c r="F1227">
        <v>318</v>
      </c>
      <c r="G1227">
        <v>2</v>
      </c>
      <c r="H1227">
        <v>11624</v>
      </c>
      <c r="I1227">
        <v>2</v>
      </c>
      <c r="J1227">
        <v>27</v>
      </c>
      <c r="K1227">
        <v>264</v>
      </c>
      <c r="L1227">
        <v>274</v>
      </c>
      <c r="M1227">
        <v>6.2222222220000001</v>
      </c>
      <c r="N1227">
        <f>IFERROR(VLOOKUP(A1227,vlookup_table!$A:$G,2,FALSE),"")</f>
        <v>0</v>
      </c>
      <c r="O1227">
        <f>IFERROR(VLOOKUP(A1227,vlookup_table!$A:$G,4,FALSE),"")</f>
        <v>2308</v>
      </c>
      <c r="P1227" t="str">
        <f>IFERROR(VLOOKUP(A1227,vlookup_table!$A:$G,5,FALSE),"")</f>
        <v>R2</v>
      </c>
      <c r="Q1227">
        <f>IFERROR(VLOOKUP(A1227,vlookup_table!$A:$G,7,FALSE),"")</f>
        <v>5</v>
      </c>
      <c r="R1227">
        <f t="shared" si="76"/>
        <v>74</v>
      </c>
      <c r="S1227" t="str" cm="1">
        <f t="array" ref="S1227">IF(P1227="","",_xlfn.SWITCH(LEFT(P1227,1),"C","Ciudad","T","Pueblo","R","Rural","S","Suburbano","U","Urbano",""))</f>
        <v>Rural</v>
      </c>
      <c r="T1227" t="str">
        <f t="shared" si="77"/>
        <v>F</v>
      </c>
      <c r="U1227" t="str">
        <f t="shared" si="78"/>
        <v>Arizona</v>
      </c>
      <c r="V1227" t="str">
        <f t="shared" si="79"/>
        <v>11624</v>
      </c>
    </row>
    <row r="1228" spans="1:22" x14ac:dyDescent="0.35">
      <c r="A1228">
        <v>153708</v>
      </c>
      <c r="B1228" t="s">
        <v>22</v>
      </c>
      <c r="C1228" t="s">
        <v>17</v>
      </c>
      <c r="D1228">
        <v>1406</v>
      </c>
      <c r="E1228">
        <v>431</v>
      </c>
      <c r="F1228">
        <v>556</v>
      </c>
      <c r="G1228">
        <v>21</v>
      </c>
      <c r="H1228">
        <v>21369</v>
      </c>
      <c r="I1228">
        <v>21</v>
      </c>
      <c r="J1228">
        <v>35</v>
      </c>
      <c r="K1228">
        <v>536</v>
      </c>
      <c r="L1228">
        <v>453</v>
      </c>
      <c r="M1228">
        <v>15</v>
      </c>
      <c r="N1228">
        <f>IFERROR(VLOOKUP(A1228,vlookup_table!$A:$G,2,FALSE),"")</f>
        <v>28</v>
      </c>
      <c r="O1228">
        <f>IFERROR(VLOOKUP(A1228,vlookup_table!$A:$G,4,FALSE),"")</f>
        <v>0</v>
      </c>
      <c r="P1228" t="str">
        <f>IFERROR(VLOOKUP(A1228,vlookup_table!$A:$G,5,FALSE),"")</f>
        <v>U2</v>
      </c>
      <c r="Q1228">
        <f>IFERROR(VLOOKUP(A1228,vlookup_table!$A:$G,7,FALSE),"")</f>
        <v>21</v>
      </c>
      <c r="R1228">
        <f t="shared" si="76"/>
        <v>97</v>
      </c>
      <c r="S1228" t="str" cm="1">
        <f t="array" ref="S1228">IF(P1228="","",_xlfn.SWITCH(LEFT(P1228,1),"C","Ciudad","T","Pueblo","R","Rural","S","Suburbano","U","Urbano",""))</f>
        <v>Urbano</v>
      </c>
      <c r="T1228" t="str">
        <f t="shared" si="77"/>
        <v>F</v>
      </c>
      <c r="U1228" t="str">
        <f t="shared" si="78"/>
        <v>CA</v>
      </c>
      <c r="V1228" t="str">
        <f t="shared" si="79"/>
        <v>21369</v>
      </c>
    </row>
    <row r="1229" spans="1:22" x14ac:dyDescent="0.35">
      <c r="A1229">
        <v>27217</v>
      </c>
      <c r="B1229" t="s">
        <v>39</v>
      </c>
      <c r="C1229" t="s">
        <v>17</v>
      </c>
      <c r="D1229">
        <v>503</v>
      </c>
      <c r="E1229">
        <v>239</v>
      </c>
      <c r="F1229">
        <v>324</v>
      </c>
      <c r="G1229">
        <v>1</v>
      </c>
      <c r="H1229">
        <v>10308</v>
      </c>
      <c r="I1229">
        <v>0</v>
      </c>
      <c r="J1229">
        <v>84</v>
      </c>
      <c r="K1229">
        <v>275</v>
      </c>
      <c r="L1229">
        <v>287</v>
      </c>
      <c r="M1229">
        <v>20</v>
      </c>
      <c r="N1229">
        <f>IFERROR(VLOOKUP(A1229,vlookup_table!$A:$G,2,FALSE),"")</f>
        <v>0</v>
      </c>
      <c r="O1229">
        <f>IFERROR(VLOOKUP(A1229,vlookup_table!$A:$G,4,FALSE),"")</f>
        <v>0</v>
      </c>
      <c r="P1229" t="str">
        <f>IFERROR(VLOOKUP(A1229,vlookup_table!$A:$G,5,FALSE),"")</f>
        <v>R2</v>
      </c>
      <c r="Q1229">
        <f>IFERROR(VLOOKUP(A1229,vlookup_table!$A:$G,7,FALSE),"")</f>
        <v>15</v>
      </c>
      <c r="R1229">
        <f t="shared" si="76"/>
        <v>97</v>
      </c>
      <c r="S1229" t="str" cm="1">
        <f t="array" ref="S1229">IF(P1229="","",_xlfn.SWITCH(LEFT(P1229,1),"C","Ciudad","T","Pueblo","R","Rural","S","Suburbano","U","Urbano",""))</f>
        <v>Rural</v>
      </c>
      <c r="T1229" t="str">
        <f t="shared" si="77"/>
        <v>F</v>
      </c>
      <c r="U1229" t="str">
        <f t="shared" si="78"/>
        <v>GA</v>
      </c>
      <c r="V1229" t="str">
        <f t="shared" si="79"/>
        <v>10308</v>
      </c>
    </row>
    <row r="1230" spans="1:22" x14ac:dyDescent="0.35">
      <c r="A1230">
        <v>1442</v>
      </c>
      <c r="B1230" t="s">
        <v>36</v>
      </c>
      <c r="C1230" t="s">
        <v>17</v>
      </c>
      <c r="D1230">
        <v>1602</v>
      </c>
      <c r="E1230">
        <v>459</v>
      </c>
      <c r="F1230">
        <v>593</v>
      </c>
      <c r="G1230">
        <v>32</v>
      </c>
      <c r="H1230">
        <v>18855</v>
      </c>
      <c r="I1230">
        <v>4</v>
      </c>
      <c r="J1230">
        <v>67</v>
      </c>
      <c r="K1230">
        <v>475</v>
      </c>
      <c r="L1230">
        <v>561</v>
      </c>
      <c r="M1230">
        <v>18.421052629999998</v>
      </c>
      <c r="N1230">
        <f>IFERROR(VLOOKUP(A1230,vlookup_table!$A:$G,2,FALSE),"")</f>
        <v>0</v>
      </c>
      <c r="O1230">
        <f>IFERROR(VLOOKUP(A1230,vlookup_table!$A:$G,4,FALSE),"")</f>
        <v>5901</v>
      </c>
      <c r="P1230" t="str">
        <f>IFERROR(VLOOKUP(A1230,vlookup_table!$A:$G,5,FALSE),"")</f>
        <v>C1</v>
      </c>
      <c r="Q1230">
        <f>IFERROR(VLOOKUP(A1230,vlookup_table!$A:$G,7,FALSE),"")</f>
        <v>24</v>
      </c>
      <c r="R1230">
        <f t="shared" si="76"/>
        <v>38</v>
      </c>
      <c r="S1230" t="str" cm="1">
        <f t="array" ref="S1230">IF(P1230="","",_xlfn.SWITCH(LEFT(P1230,1),"C","Ciudad","T","Pueblo","R","Rural","S","Suburbano","U","Urbano",""))</f>
        <v>Ciudad</v>
      </c>
      <c r="T1230" t="str">
        <f t="shared" si="77"/>
        <v>F</v>
      </c>
      <c r="U1230" t="str">
        <f t="shared" si="78"/>
        <v>MO</v>
      </c>
      <c r="V1230" t="str">
        <f t="shared" si="79"/>
        <v>18855</v>
      </c>
    </row>
    <row r="1231" spans="1:22" x14ac:dyDescent="0.35">
      <c r="A1231">
        <v>38327</v>
      </c>
      <c r="B1231" t="s">
        <v>13</v>
      </c>
      <c r="C1231" t="s">
        <v>14</v>
      </c>
      <c r="D1231">
        <v>736</v>
      </c>
      <c r="E1231">
        <v>274</v>
      </c>
      <c r="F1231">
        <v>316</v>
      </c>
      <c r="G1231">
        <v>0</v>
      </c>
      <c r="H1231">
        <v>11510</v>
      </c>
      <c r="I1231">
        <v>69</v>
      </c>
      <c r="J1231">
        <v>16</v>
      </c>
      <c r="K1231">
        <v>276</v>
      </c>
      <c r="L1231">
        <v>311</v>
      </c>
      <c r="M1231">
        <v>10.4</v>
      </c>
      <c r="N1231">
        <f>IFERROR(VLOOKUP(A1231,vlookup_table!$A:$G,2,FALSE),"")</f>
        <v>1</v>
      </c>
      <c r="O1231">
        <f>IFERROR(VLOOKUP(A1231,vlookup_table!$A:$G,4,FALSE),"")</f>
        <v>1103</v>
      </c>
      <c r="P1231" t="str">
        <f>IFERROR(VLOOKUP(A1231,vlookup_table!$A:$G,5,FALSE),"")</f>
        <v>S2</v>
      </c>
      <c r="Q1231">
        <f>IFERROR(VLOOKUP(A1231,vlookup_table!$A:$G,7,FALSE),"")</f>
        <v>11</v>
      </c>
      <c r="R1231">
        <f t="shared" si="76"/>
        <v>86</v>
      </c>
      <c r="S1231" t="str" cm="1">
        <f t="array" ref="S1231">IF(P1231="","",_xlfn.SWITCH(LEFT(P1231,1),"C","Ciudad","T","Pueblo","R","Rural","S","Suburbano","U","Urbano",""))</f>
        <v>Suburbano</v>
      </c>
      <c r="T1231" t="str">
        <f t="shared" si="77"/>
        <v>M</v>
      </c>
      <c r="U1231" t="str">
        <f t="shared" si="78"/>
        <v>FL</v>
      </c>
      <c r="V1231" t="str">
        <f t="shared" si="79"/>
        <v>11510</v>
      </c>
    </row>
    <row r="1232" spans="1:22" x14ac:dyDescent="0.35">
      <c r="A1232">
        <v>109287</v>
      </c>
      <c r="B1232" t="s">
        <v>49</v>
      </c>
      <c r="C1232" t="s">
        <v>17</v>
      </c>
      <c r="D1232">
        <v>393</v>
      </c>
      <c r="E1232">
        <v>130</v>
      </c>
      <c r="F1232">
        <v>213</v>
      </c>
      <c r="G1232">
        <v>0</v>
      </c>
      <c r="H1232">
        <v>5559</v>
      </c>
      <c r="I1232">
        <v>0</v>
      </c>
      <c r="J1232">
        <v>92</v>
      </c>
      <c r="K1232">
        <v>147</v>
      </c>
      <c r="L1232">
        <v>178</v>
      </c>
      <c r="M1232">
        <v>4.3636363640000004</v>
      </c>
      <c r="N1232">
        <f>IFERROR(VLOOKUP(A1232,vlookup_table!$A:$G,2,FALSE),"")</f>
        <v>0</v>
      </c>
      <c r="O1232">
        <f>IFERROR(VLOOKUP(A1232,vlookup_table!$A:$G,4,FALSE),"")</f>
        <v>0</v>
      </c>
      <c r="P1232" t="str">
        <f>IFERROR(VLOOKUP(A1232,vlookup_table!$A:$G,5,FALSE),"")</f>
        <v>C3</v>
      </c>
      <c r="Q1232">
        <f>IFERROR(VLOOKUP(A1232,vlookup_table!$A:$G,7,FALSE),"")</f>
        <v>5</v>
      </c>
      <c r="R1232">
        <f t="shared" si="76"/>
        <v>97</v>
      </c>
      <c r="S1232" t="str" cm="1">
        <f t="array" ref="S1232">IF(P1232="","",_xlfn.SWITCH(LEFT(P1232,1),"C","Ciudad","T","Pueblo","R","Rural","S","Suburbano","U","Urbano",""))</f>
        <v>Ciudad</v>
      </c>
      <c r="T1232" t="str">
        <f t="shared" si="77"/>
        <v>F</v>
      </c>
      <c r="U1232" t="str">
        <f t="shared" si="78"/>
        <v>LA</v>
      </c>
      <c r="V1232" t="str">
        <f t="shared" si="79"/>
        <v>5559</v>
      </c>
    </row>
    <row r="1233" spans="1:22" x14ac:dyDescent="0.35">
      <c r="A1233">
        <v>77784</v>
      </c>
      <c r="B1233" t="s">
        <v>35</v>
      </c>
      <c r="C1233" t="s">
        <v>17</v>
      </c>
      <c r="D1233">
        <v>987</v>
      </c>
      <c r="E1233">
        <v>430</v>
      </c>
      <c r="F1233">
        <v>521</v>
      </c>
      <c r="G1233">
        <v>2</v>
      </c>
      <c r="H1233">
        <v>18625</v>
      </c>
      <c r="I1233">
        <v>1</v>
      </c>
      <c r="J1233">
        <v>80</v>
      </c>
      <c r="K1233">
        <v>469</v>
      </c>
      <c r="L1233">
        <v>476</v>
      </c>
      <c r="M1233">
        <v>10</v>
      </c>
      <c r="N1233">
        <f>IFERROR(VLOOKUP(A1233,vlookup_table!$A:$G,2,FALSE),"")</f>
        <v>0</v>
      </c>
      <c r="O1233">
        <f>IFERROR(VLOOKUP(A1233,vlookup_table!$A:$G,4,FALSE),"")</f>
        <v>7102</v>
      </c>
      <c r="P1233" t="str">
        <f>IFERROR(VLOOKUP(A1233,vlookup_table!$A:$G,5,FALSE),"")</f>
        <v>S1</v>
      </c>
      <c r="Q1233">
        <f>IFERROR(VLOOKUP(A1233,vlookup_table!$A:$G,7,FALSE),"")</f>
        <v>16</v>
      </c>
      <c r="R1233">
        <f t="shared" si="76"/>
        <v>26</v>
      </c>
      <c r="S1233" t="str" cm="1">
        <f t="array" ref="S1233">IF(P1233="","",_xlfn.SWITCH(LEFT(P1233,1),"C","Ciudad","T","Pueblo","R","Rural","S","Suburbano","U","Urbano",""))</f>
        <v>Suburbano</v>
      </c>
      <c r="T1233" t="str">
        <f t="shared" si="77"/>
        <v>F</v>
      </c>
      <c r="U1233" t="str">
        <f t="shared" si="78"/>
        <v>WI</v>
      </c>
      <c r="V1233" t="str">
        <f t="shared" si="79"/>
        <v>18625</v>
      </c>
    </row>
    <row r="1234" spans="1:22" x14ac:dyDescent="0.35">
      <c r="A1234">
        <v>22098</v>
      </c>
      <c r="B1234" t="s">
        <v>18</v>
      </c>
      <c r="C1234" t="s">
        <v>20</v>
      </c>
      <c r="D1234">
        <v>529</v>
      </c>
      <c r="E1234">
        <v>254</v>
      </c>
      <c r="F1234">
        <v>326</v>
      </c>
      <c r="G1234">
        <v>1</v>
      </c>
      <c r="H1234">
        <v>11595</v>
      </c>
      <c r="I1234">
        <v>2</v>
      </c>
      <c r="J1234">
        <v>73</v>
      </c>
      <c r="K1234">
        <v>301</v>
      </c>
      <c r="L1234">
        <v>284</v>
      </c>
      <c r="M1234">
        <v>2.4398148150000001</v>
      </c>
      <c r="N1234">
        <f>IFERROR(VLOOKUP(A1234,vlookup_table!$A:$G,2,FALSE),"")</f>
        <v>2</v>
      </c>
      <c r="O1234">
        <f>IFERROR(VLOOKUP(A1234,vlookup_table!$A:$G,4,FALSE),"")</f>
        <v>2801</v>
      </c>
      <c r="P1234" t="str">
        <f>IFERROR(VLOOKUP(A1234,vlookup_table!$A:$G,5,FALSE),"")</f>
        <v>T2</v>
      </c>
      <c r="Q1234">
        <f>IFERROR(VLOOKUP(A1234,vlookup_table!$A:$G,7,FALSE),"")</f>
        <v>2</v>
      </c>
      <c r="R1234">
        <f t="shared" si="76"/>
        <v>69</v>
      </c>
      <c r="S1234" t="str" cm="1">
        <f t="array" ref="S1234">IF(P1234="","",_xlfn.SWITCH(LEFT(P1234,1),"C","Ciudad","T","Pueblo","R","Rural","S","Suburbano","U","Urbano",""))</f>
        <v>Pueblo</v>
      </c>
      <c r="T1234" t="str">
        <f t="shared" si="77"/>
        <v>F</v>
      </c>
      <c r="U1234" t="str">
        <f t="shared" si="78"/>
        <v>NC</v>
      </c>
      <c r="V1234" t="str">
        <f t="shared" si="79"/>
        <v>11595</v>
      </c>
    </row>
    <row r="1235" spans="1:22" x14ac:dyDescent="0.35">
      <c r="A1235">
        <v>156224</v>
      </c>
      <c r="B1235" t="s">
        <v>22</v>
      </c>
      <c r="C1235" t="s">
        <v>14</v>
      </c>
      <c r="D1235">
        <v>4933</v>
      </c>
      <c r="E1235">
        <v>691</v>
      </c>
      <c r="F1235">
        <v>816</v>
      </c>
      <c r="G1235">
        <v>94</v>
      </c>
      <c r="H1235">
        <v>37073</v>
      </c>
      <c r="I1235">
        <v>14</v>
      </c>
      <c r="J1235">
        <v>26</v>
      </c>
      <c r="K1235">
        <v>736</v>
      </c>
      <c r="L1235">
        <v>762</v>
      </c>
      <c r="M1235">
        <v>26.5</v>
      </c>
      <c r="N1235">
        <f>IFERROR(VLOOKUP(A1235,vlookup_table!$A:$G,2,FALSE),"")</f>
        <v>0</v>
      </c>
      <c r="O1235">
        <f>IFERROR(VLOOKUP(A1235,vlookup_table!$A:$G,4,FALSE),"")</f>
        <v>4701</v>
      </c>
      <c r="P1235" t="str">
        <f>IFERROR(VLOOKUP(A1235,vlookup_table!$A:$G,5,FALSE),"")</f>
        <v>T1</v>
      </c>
      <c r="Q1235">
        <f>IFERROR(VLOOKUP(A1235,vlookup_table!$A:$G,7,FALSE),"")</f>
        <v>30</v>
      </c>
      <c r="R1235">
        <f t="shared" si="76"/>
        <v>50</v>
      </c>
      <c r="S1235" t="str" cm="1">
        <f t="array" ref="S1235">IF(P1235="","",_xlfn.SWITCH(LEFT(P1235,1),"C","Ciudad","T","Pueblo","R","Rural","S","Suburbano","U","Urbano",""))</f>
        <v>Pueblo</v>
      </c>
      <c r="T1235" t="str">
        <f t="shared" si="77"/>
        <v>M</v>
      </c>
      <c r="U1235" t="str">
        <f t="shared" si="78"/>
        <v>CA</v>
      </c>
      <c r="V1235" t="str">
        <f t="shared" si="79"/>
        <v>37073</v>
      </c>
    </row>
    <row r="1236" spans="1:22" x14ac:dyDescent="0.35">
      <c r="A1236">
        <v>169224</v>
      </c>
      <c r="B1236" t="s">
        <v>22</v>
      </c>
      <c r="C1236" t="s">
        <v>17</v>
      </c>
      <c r="D1236">
        <v>1178</v>
      </c>
      <c r="E1236">
        <v>482</v>
      </c>
      <c r="F1236">
        <v>573</v>
      </c>
      <c r="G1236">
        <v>0</v>
      </c>
      <c r="H1236">
        <v>16952</v>
      </c>
      <c r="I1236">
        <v>3</v>
      </c>
      <c r="J1236">
        <v>48</v>
      </c>
      <c r="K1236">
        <v>507</v>
      </c>
      <c r="L1236">
        <v>543</v>
      </c>
      <c r="M1236">
        <v>15.57142857</v>
      </c>
      <c r="N1236">
        <f>IFERROR(VLOOKUP(A1236,vlookup_table!$A:$G,2,FALSE),"")</f>
        <v>0</v>
      </c>
      <c r="O1236">
        <f>IFERROR(VLOOKUP(A1236,vlookup_table!$A:$G,4,FALSE),"")</f>
        <v>2201</v>
      </c>
      <c r="P1236" t="str">
        <f>IFERROR(VLOOKUP(A1236,vlookup_table!$A:$G,5,FALSE),"")</f>
        <v>C1</v>
      </c>
      <c r="Q1236">
        <f>IFERROR(VLOOKUP(A1236,vlookup_table!$A:$G,7,FALSE),"")</f>
        <v>36</v>
      </c>
      <c r="R1236">
        <f t="shared" si="76"/>
        <v>75</v>
      </c>
      <c r="S1236" t="str" cm="1">
        <f t="array" ref="S1236">IF(P1236="","",_xlfn.SWITCH(LEFT(P1236,1),"C","Ciudad","T","Pueblo","R","Rural","S","Suburbano","U","Urbano",""))</f>
        <v>Ciudad</v>
      </c>
      <c r="T1236" t="str">
        <f t="shared" si="77"/>
        <v>F</v>
      </c>
      <c r="U1236" t="str">
        <f t="shared" si="78"/>
        <v>CA</v>
      </c>
      <c r="V1236" t="str">
        <f t="shared" si="79"/>
        <v>16952</v>
      </c>
    </row>
    <row r="1237" spans="1:22" x14ac:dyDescent="0.35">
      <c r="A1237">
        <v>146341</v>
      </c>
      <c r="B1237" t="s">
        <v>22</v>
      </c>
      <c r="C1237" t="s">
        <v>14</v>
      </c>
      <c r="D1237">
        <v>2397</v>
      </c>
      <c r="E1237">
        <v>409</v>
      </c>
      <c r="F1237">
        <v>459</v>
      </c>
      <c r="G1237">
        <v>77</v>
      </c>
      <c r="H1237">
        <v>16946</v>
      </c>
      <c r="I1237">
        <v>13</v>
      </c>
      <c r="J1237">
        <v>47</v>
      </c>
      <c r="K1237">
        <v>486</v>
      </c>
      <c r="L1237">
        <v>402</v>
      </c>
      <c r="M1237">
        <v>9.9</v>
      </c>
      <c r="N1237">
        <f>IFERROR(VLOOKUP(A1237,vlookup_table!$A:$G,2,FALSE),"")</f>
        <v>1</v>
      </c>
      <c r="O1237">
        <f>IFERROR(VLOOKUP(A1237,vlookup_table!$A:$G,4,FALSE),"")</f>
        <v>1701</v>
      </c>
      <c r="P1237" t="str">
        <f>IFERROR(VLOOKUP(A1237,vlookup_table!$A:$G,5,FALSE),"")</f>
        <v>U2</v>
      </c>
      <c r="Q1237">
        <f>IFERROR(VLOOKUP(A1237,vlookup_table!$A:$G,7,FALSE),"")</f>
        <v>20</v>
      </c>
      <c r="R1237">
        <f t="shared" si="76"/>
        <v>80</v>
      </c>
      <c r="S1237" t="str" cm="1">
        <f t="array" ref="S1237">IF(P1237="","",_xlfn.SWITCH(LEFT(P1237,1),"C","Ciudad","T","Pueblo","R","Rural","S","Suburbano","U","Urbano",""))</f>
        <v>Urbano</v>
      </c>
      <c r="T1237" t="str">
        <f t="shared" si="77"/>
        <v>M</v>
      </c>
      <c r="U1237" t="str">
        <f t="shared" si="78"/>
        <v>CA</v>
      </c>
      <c r="V1237" t="str">
        <f t="shared" si="79"/>
        <v>16946</v>
      </c>
    </row>
    <row r="1238" spans="1:22" x14ac:dyDescent="0.35">
      <c r="A1238">
        <v>102630</v>
      </c>
      <c r="B1238" t="s">
        <v>36</v>
      </c>
      <c r="C1238" t="s">
        <v>14</v>
      </c>
      <c r="D1238">
        <v>651</v>
      </c>
      <c r="E1238">
        <v>336</v>
      </c>
      <c r="F1238">
        <v>459</v>
      </c>
      <c r="G1238">
        <v>0</v>
      </c>
      <c r="H1238">
        <v>15058</v>
      </c>
      <c r="I1238">
        <v>0</v>
      </c>
      <c r="J1238">
        <v>75</v>
      </c>
      <c r="K1238">
        <v>415</v>
      </c>
      <c r="L1238">
        <v>395</v>
      </c>
      <c r="M1238">
        <v>3.5789473680000001</v>
      </c>
      <c r="N1238">
        <f>IFERROR(VLOOKUP(A1238,vlookup_table!$A:$G,2,FALSE),"")</f>
        <v>2</v>
      </c>
      <c r="O1238">
        <f>IFERROR(VLOOKUP(A1238,vlookup_table!$A:$G,4,FALSE),"")</f>
        <v>0</v>
      </c>
      <c r="P1238" t="str">
        <f>IFERROR(VLOOKUP(A1238,vlookup_table!$A:$G,5,FALSE),"")</f>
        <v>R2</v>
      </c>
      <c r="Q1238">
        <f>IFERROR(VLOOKUP(A1238,vlookup_table!$A:$G,7,FALSE),"")</f>
        <v>5</v>
      </c>
      <c r="R1238">
        <f t="shared" si="76"/>
        <v>97</v>
      </c>
      <c r="S1238" t="str" cm="1">
        <f t="array" ref="S1238">IF(P1238="","",_xlfn.SWITCH(LEFT(P1238,1),"C","Ciudad","T","Pueblo","R","Rural","S","Suburbano","U","Urbano",""))</f>
        <v>Rural</v>
      </c>
      <c r="T1238" t="str">
        <f t="shared" si="77"/>
        <v>M</v>
      </c>
      <c r="U1238" t="str">
        <f t="shared" si="78"/>
        <v>MO</v>
      </c>
      <c r="V1238" t="str">
        <f t="shared" si="79"/>
        <v>15058</v>
      </c>
    </row>
    <row r="1239" spans="1:22" x14ac:dyDescent="0.35">
      <c r="A1239">
        <v>119362</v>
      </c>
      <c r="B1239" t="s">
        <v>21</v>
      </c>
      <c r="C1239" t="s">
        <v>17</v>
      </c>
      <c r="D1239">
        <v>1711</v>
      </c>
      <c r="E1239">
        <v>400</v>
      </c>
      <c r="F1239">
        <v>810</v>
      </c>
      <c r="G1239">
        <v>34</v>
      </c>
      <c r="H1239">
        <v>33841</v>
      </c>
      <c r="I1239">
        <v>2</v>
      </c>
      <c r="J1239">
        <v>66</v>
      </c>
      <c r="K1239">
        <v>806</v>
      </c>
      <c r="L1239">
        <v>566</v>
      </c>
      <c r="M1239">
        <v>16</v>
      </c>
      <c r="N1239">
        <f>IFERROR(VLOOKUP(A1239,vlookup_table!$A:$G,2,FALSE),"")</f>
        <v>28</v>
      </c>
      <c r="O1239">
        <f>IFERROR(VLOOKUP(A1239,vlookup_table!$A:$G,4,FALSE),"")</f>
        <v>2001</v>
      </c>
      <c r="P1239" t="str">
        <f>IFERROR(VLOOKUP(A1239,vlookup_table!$A:$G,5,FALSE),"")</f>
        <v>C1</v>
      </c>
      <c r="Q1239">
        <f>IFERROR(VLOOKUP(A1239,vlookup_table!$A:$G,7,FALSE),"")</f>
        <v>45</v>
      </c>
      <c r="R1239">
        <f t="shared" si="76"/>
        <v>77</v>
      </c>
      <c r="S1239" t="str" cm="1">
        <f t="array" ref="S1239">IF(P1239="","",_xlfn.SWITCH(LEFT(P1239,1),"C","Ciudad","T","Pueblo","R","Rural","S","Suburbano","U","Urbano",""))</f>
        <v>Ciudad</v>
      </c>
      <c r="T1239" t="str">
        <f t="shared" si="77"/>
        <v>F</v>
      </c>
      <c r="U1239" t="str">
        <f t="shared" si="78"/>
        <v>TX</v>
      </c>
      <c r="V1239" t="str">
        <f t="shared" si="79"/>
        <v>33841</v>
      </c>
    </row>
    <row r="1240" spans="1:22" x14ac:dyDescent="0.35">
      <c r="A1240">
        <v>92962</v>
      </c>
      <c r="B1240" t="s">
        <v>22</v>
      </c>
      <c r="C1240" t="s">
        <v>14</v>
      </c>
      <c r="D1240">
        <v>3663</v>
      </c>
      <c r="E1240">
        <v>749</v>
      </c>
      <c r="F1240">
        <v>818</v>
      </c>
      <c r="G1240">
        <v>87</v>
      </c>
      <c r="H1240">
        <v>27400</v>
      </c>
      <c r="I1240">
        <v>14</v>
      </c>
      <c r="J1240">
        <v>52</v>
      </c>
      <c r="K1240">
        <v>777</v>
      </c>
      <c r="L1240">
        <v>784</v>
      </c>
      <c r="M1240">
        <v>20</v>
      </c>
      <c r="N1240">
        <f>IFERROR(VLOOKUP(A1240,vlookup_table!$A:$G,2,FALSE),"")</f>
        <v>1</v>
      </c>
      <c r="O1240">
        <f>IFERROR(VLOOKUP(A1240,vlookup_table!$A:$G,4,FALSE),"")</f>
        <v>0</v>
      </c>
      <c r="P1240" t="str">
        <f>IFERROR(VLOOKUP(A1240,vlookup_table!$A:$G,5,FALSE),"")</f>
        <v>U1</v>
      </c>
      <c r="Q1240">
        <f>IFERROR(VLOOKUP(A1240,vlookup_table!$A:$G,7,FALSE),"")</f>
        <v>20</v>
      </c>
      <c r="R1240">
        <f t="shared" si="76"/>
        <v>97</v>
      </c>
      <c r="S1240" t="str" cm="1">
        <f t="array" ref="S1240">IF(P1240="","",_xlfn.SWITCH(LEFT(P1240,1),"C","Ciudad","T","Pueblo","R","Rural","S","Suburbano","U","Urbano",""))</f>
        <v>Urbano</v>
      </c>
      <c r="T1240" t="str">
        <f t="shared" si="77"/>
        <v>M</v>
      </c>
      <c r="U1240" t="str">
        <f t="shared" si="78"/>
        <v>CA</v>
      </c>
      <c r="V1240" t="str">
        <f t="shared" si="79"/>
        <v>27400</v>
      </c>
    </row>
    <row r="1241" spans="1:22" x14ac:dyDescent="0.35">
      <c r="A1241">
        <v>14420</v>
      </c>
      <c r="B1241" t="s">
        <v>46</v>
      </c>
      <c r="C1241" t="s">
        <v>17</v>
      </c>
      <c r="D1241">
        <v>473</v>
      </c>
      <c r="E1241">
        <v>300</v>
      </c>
      <c r="F1241">
        <v>373</v>
      </c>
      <c r="G1241">
        <v>0</v>
      </c>
      <c r="H1241">
        <v>11482</v>
      </c>
      <c r="I1241">
        <v>0</v>
      </c>
      <c r="J1241">
        <v>80</v>
      </c>
      <c r="K1241">
        <v>319</v>
      </c>
      <c r="L1241">
        <v>333</v>
      </c>
      <c r="M1241">
        <v>8.6666666669999994</v>
      </c>
      <c r="N1241">
        <f>IFERROR(VLOOKUP(A1241,vlookup_table!$A:$G,2,FALSE),"")</f>
        <v>0</v>
      </c>
      <c r="O1241">
        <f>IFERROR(VLOOKUP(A1241,vlookup_table!$A:$G,4,FALSE),"")</f>
        <v>403</v>
      </c>
      <c r="P1241" t="str">
        <f>IFERROR(VLOOKUP(A1241,vlookup_table!$A:$G,5,FALSE),"")</f>
        <v>T2</v>
      </c>
      <c r="Q1241">
        <f>IFERROR(VLOOKUP(A1241,vlookup_table!$A:$G,7,FALSE),"")</f>
        <v>10</v>
      </c>
      <c r="R1241">
        <f t="shared" si="76"/>
        <v>93</v>
      </c>
      <c r="S1241" t="str" cm="1">
        <f t="array" ref="S1241">IF(P1241="","",_xlfn.SWITCH(LEFT(P1241,1),"C","Ciudad","T","Pueblo","R","Rural","S","Suburbano","U","Urbano",""))</f>
        <v>Pueblo</v>
      </c>
      <c r="T1241" t="str">
        <f t="shared" si="77"/>
        <v>F</v>
      </c>
      <c r="U1241" t="str">
        <f t="shared" si="78"/>
        <v>SC</v>
      </c>
      <c r="V1241" t="str">
        <f t="shared" si="79"/>
        <v>11482</v>
      </c>
    </row>
    <row r="1242" spans="1:22" x14ac:dyDescent="0.35">
      <c r="A1242">
        <v>157687</v>
      </c>
      <c r="B1242" t="s">
        <v>22</v>
      </c>
      <c r="C1242" t="s">
        <v>17</v>
      </c>
      <c r="D1242">
        <v>4954</v>
      </c>
      <c r="E1242">
        <v>1106</v>
      </c>
      <c r="F1242">
        <v>1146</v>
      </c>
      <c r="G1242">
        <v>99</v>
      </c>
      <c r="H1242">
        <v>42857</v>
      </c>
      <c r="I1242">
        <v>6</v>
      </c>
      <c r="J1242">
        <v>55</v>
      </c>
      <c r="K1242">
        <v>1195</v>
      </c>
      <c r="L1242">
        <v>1086</v>
      </c>
      <c r="M1242">
        <v>7.4444444440000002</v>
      </c>
      <c r="N1242">
        <f>IFERROR(VLOOKUP(A1242,vlookup_table!$A:$G,2,FALSE),"")</f>
        <v>0</v>
      </c>
      <c r="O1242">
        <f>IFERROR(VLOOKUP(A1242,vlookup_table!$A:$G,4,FALSE),"")</f>
        <v>3801</v>
      </c>
      <c r="P1242" t="str">
        <f>IFERROR(VLOOKUP(A1242,vlookup_table!$A:$G,5,FALSE),"")</f>
        <v>T1</v>
      </c>
      <c r="Q1242">
        <f>IFERROR(VLOOKUP(A1242,vlookup_table!$A:$G,7,FALSE),"")</f>
        <v>15</v>
      </c>
      <c r="R1242">
        <f t="shared" si="76"/>
        <v>59</v>
      </c>
      <c r="S1242" t="str" cm="1">
        <f t="array" ref="S1242">IF(P1242="","",_xlfn.SWITCH(LEFT(P1242,1),"C","Ciudad","T","Pueblo","R","Rural","S","Suburbano","U","Urbano",""))</f>
        <v>Pueblo</v>
      </c>
      <c r="T1242" t="str">
        <f t="shared" si="77"/>
        <v>F</v>
      </c>
      <c r="U1242" t="str">
        <f t="shared" si="78"/>
        <v>CA</v>
      </c>
      <c r="V1242" t="str">
        <f t="shared" si="79"/>
        <v>42857</v>
      </c>
    </row>
    <row r="1243" spans="1:22" x14ac:dyDescent="0.35">
      <c r="A1243">
        <v>145436</v>
      </c>
      <c r="B1243" t="s">
        <v>21</v>
      </c>
      <c r="C1243" t="s">
        <v>14</v>
      </c>
      <c r="D1243">
        <v>775</v>
      </c>
      <c r="E1243">
        <v>494</v>
      </c>
      <c r="F1243">
        <v>467</v>
      </c>
      <c r="G1243">
        <v>1</v>
      </c>
      <c r="H1243">
        <v>14903</v>
      </c>
      <c r="I1243">
        <v>5</v>
      </c>
      <c r="J1243">
        <v>59</v>
      </c>
      <c r="K1243">
        <v>465</v>
      </c>
      <c r="L1243">
        <v>489</v>
      </c>
      <c r="M1243">
        <v>25</v>
      </c>
      <c r="N1243">
        <f>IFERROR(VLOOKUP(A1243,vlookup_table!$A:$G,2,FALSE),"")</f>
        <v>1</v>
      </c>
      <c r="O1243">
        <f>IFERROR(VLOOKUP(A1243,vlookup_table!$A:$G,4,FALSE),"")</f>
        <v>0</v>
      </c>
      <c r="P1243" t="str">
        <f>IFERROR(VLOOKUP(A1243,vlookup_table!$A:$G,5,FALSE),"")</f>
        <v>U1</v>
      </c>
      <c r="Q1243">
        <f>IFERROR(VLOOKUP(A1243,vlookup_table!$A:$G,7,FALSE),"")</f>
        <v>10</v>
      </c>
      <c r="R1243">
        <f t="shared" si="76"/>
        <v>97</v>
      </c>
      <c r="S1243" t="str" cm="1">
        <f t="array" ref="S1243">IF(P1243="","",_xlfn.SWITCH(LEFT(P1243,1),"C","Ciudad","T","Pueblo","R","Rural","S","Suburbano","U","Urbano",""))</f>
        <v>Urbano</v>
      </c>
      <c r="T1243" t="str">
        <f t="shared" si="77"/>
        <v>M</v>
      </c>
      <c r="U1243" t="str">
        <f t="shared" si="78"/>
        <v>TX</v>
      </c>
      <c r="V1243" t="str">
        <f t="shared" si="79"/>
        <v>14903</v>
      </c>
    </row>
    <row r="1244" spans="1:22" x14ac:dyDescent="0.35">
      <c r="A1244">
        <v>62795</v>
      </c>
      <c r="B1244" t="s">
        <v>33</v>
      </c>
      <c r="C1244" t="s">
        <v>17</v>
      </c>
      <c r="D1244">
        <v>505</v>
      </c>
      <c r="E1244">
        <v>273</v>
      </c>
      <c r="F1244">
        <v>356</v>
      </c>
      <c r="G1244">
        <v>1</v>
      </c>
      <c r="H1244">
        <v>10974</v>
      </c>
      <c r="I1244">
        <v>1</v>
      </c>
      <c r="J1244">
        <v>43</v>
      </c>
      <c r="K1244">
        <v>330</v>
      </c>
      <c r="L1244">
        <v>316</v>
      </c>
      <c r="M1244">
        <v>20</v>
      </c>
      <c r="N1244">
        <f>IFERROR(VLOOKUP(A1244,vlookup_table!$A:$G,2,FALSE),"")</f>
        <v>0</v>
      </c>
      <c r="O1244">
        <f>IFERROR(VLOOKUP(A1244,vlookup_table!$A:$G,4,FALSE),"")</f>
        <v>0</v>
      </c>
      <c r="P1244" t="str">
        <f>IFERROR(VLOOKUP(A1244,vlookup_table!$A:$G,5,FALSE),"")</f>
        <v>R2</v>
      </c>
      <c r="Q1244">
        <f>IFERROR(VLOOKUP(A1244,vlookup_table!$A:$G,7,FALSE),"")</f>
        <v>20</v>
      </c>
      <c r="R1244">
        <f t="shared" si="76"/>
        <v>97</v>
      </c>
      <c r="S1244" t="str" cm="1">
        <f t="array" ref="S1244">IF(P1244="","",_xlfn.SWITCH(LEFT(P1244,1),"C","Ciudad","T","Pueblo","R","Rural","S","Suburbano","U","Urbano",""))</f>
        <v>Rural</v>
      </c>
      <c r="T1244" t="str">
        <f t="shared" si="77"/>
        <v>F</v>
      </c>
      <c r="U1244" t="str">
        <f t="shared" si="78"/>
        <v>IN</v>
      </c>
      <c r="V1244" t="str">
        <f t="shared" si="79"/>
        <v>10974</v>
      </c>
    </row>
    <row r="1245" spans="1:22" x14ac:dyDescent="0.35">
      <c r="A1245">
        <v>80153</v>
      </c>
      <c r="B1245" t="s">
        <v>35</v>
      </c>
      <c r="C1245" t="s">
        <v>51</v>
      </c>
      <c r="D1245">
        <v>416</v>
      </c>
      <c r="E1245">
        <v>247</v>
      </c>
      <c r="F1245">
        <v>340</v>
      </c>
      <c r="G1245">
        <v>0</v>
      </c>
      <c r="H1245">
        <v>11789</v>
      </c>
      <c r="I1245">
        <v>2</v>
      </c>
      <c r="J1245">
        <v>62</v>
      </c>
      <c r="K1245">
        <v>297</v>
      </c>
      <c r="L1245">
        <v>292</v>
      </c>
      <c r="M1245">
        <v>15</v>
      </c>
      <c r="N1245">
        <f>IFERROR(VLOOKUP(A1245,vlookup_table!$A:$G,2,FALSE),"")</f>
        <v>0</v>
      </c>
      <c r="O1245">
        <f>IFERROR(VLOOKUP(A1245,vlookup_table!$A:$G,4,FALSE),"")</f>
        <v>2301</v>
      </c>
      <c r="P1245" t="str">
        <f>IFERROR(VLOOKUP(A1245,vlookup_table!$A:$G,5,FALSE),"")</f>
        <v>C3</v>
      </c>
      <c r="Q1245">
        <f>IFERROR(VLOOKUP(A1245,vlookup_table!$A:$G,7,FALSE),"")</f>
        <v>5</v>
      </c>
      <c r="R1245">
        <f t="shared" si="76"/>
        <v>74</v>
      </c>
      <c r="S1245" t="str" cm="1">
        <f t="array" ref="S1245">IF(P1245="","",_xlfn.SWITCH(LEFT(P1245,1),"C","Ciudad","T","Pueblo","R","Rural","S","Suburbano","U","Urbano",""))</f>
        <v>Ciudad</v>
      </c>
      <c r="T1245" t="str">
        <f t="shared" si="77"/>
        <v>M</v>
      </c>
      <c r="U1245" t="str">
        <f t="shared" si="78"/>
        <v>WI</v>
      </c>
      <c r="V1245" t="str">
        <f t="shared" si="79"/>
        <v>11789</v>
      </c>
    </row>
    <row r="1246" spans="1:22" x14ac:dyDescent="0.35">
      <c r="A1246">
        <v>21107</v>
      </c>
      <c r="B1246" t="s">
        <v>18</v>
      </c>
      <c r="D1246">
        <v>678</v>
      </c>
      <c r="E1246">
        <v>260</v>
      </c>
      <c r="F1246">
        <v>335</v>
      </c>
      <c r="G1246">
        <v>4</v>
      </c>
      <c r="H1246">
        <v>11906</v>
      </c>
      <c r="I1246">
        <v>1</v>
      </c>
      <c r="J1246">
        <v>56</v>
      </c>
      <c r="K1246">
        <v>289</v>
      </c>
      <c r="L1246">
        <v>303</v>
      </c>
      <c r="M1246">
        <v>8.7777777780000008</v>
      </c>
      <c r="N1246">
        <f>IFERROR(VLOOKUP(A1246,vlookup_table!$A:$G,2,FALSE),"")</f>
        <v>1</v>
      </c>
      <c r="O1246">
        <f>IFERROR(VLOOKUP(A1246,vlookup_table!$A:$G,4,FALSE),"")</f>
        <v>1907</v>
      </c>
      <c r="P1246" t="str">
        <f>IFERROR(VLOOKUP(A1246,vlookup_table!$A:$G,5,FALSE),"")</f>
        <v>T2</v>
      </c>
      <c r="Q1246">
        <f>IFERROR(VLOOKUP(A1246,vlookup_table!$A:$G,7,FALSE),"")</f>
        <v>7</v>
      </c>
      <c r="R1246">
        <f t="shared" si="76"/>
        <v>78</v>
      </c>
      <c r="S1246" t="str" cm="1">
        <f t="array" ref="S1246">IF(P1246="","",_xlfn.SWITCH(LEFT(P1246,1),"C","Ciudad","T","Pueblo","R","Rural","S","Suburbano","U","Urbano",""))</f>
        <v>Pueblo</v>
      </c>
      <c r="T1246" t="str">
        <f t="shared" si="77"/>
        <v/>
      </c>
      <c r="U1246" t="str">
        <f t="shared" si="78"/>
        <v>NC</v>
      </c>
      <c r="V1246" t="str">
        <f t="shared" si="79"/>
        <v>11906</v>
      </c>
    </row>
    <row r="1247" spans="1:22" x14ac:dyDescent="0.35">
      <c r="A1247">
        <v>164551</v>
      </c>
      <c r="B1247" t="s">
        <v>22</v>
      </c>
      <c r="C1247" t="s">
        <v>17</v>
      </c>
      <c r="D1247">
        <v>1158</v>
      </c>
      <c r="E1247">
        <v>369</v>
      </c>
      <c r="F1247">
        <v>386</v>
      </c>
      <c r="G1247">
        <v>3</v>
      </c>
      <c r="H1247">
        <v>11592</v>
      </c>
      <c r="I1247">
        <v>3</v>
      </c>
      <c r="J1247">
        <v>64</v>
      </c>
      <c r="K1247">
        <v>398</v>
      </c>
      <c r="L1247">
        <v>373</v>
      </c>
      <c r="M1247">
        <v>4.0909090910000003</v>
      </c>
      <c r="N1247">
        <f>IFERROR(VLOOKUP(A1247,vlookup_table!$A:$G,2,FALSE),"")</f>
        <v>0</v>
      </c>
      <c r="O1247">
        <f>IFERROR(VLOOKUP(A1247,vlookup_table!$A:$G,4,FALSE),"")</f>
        <v>0</v>
      </c>
      <c r="P1247" t="str">
        <f>IFERROR(VLOOKUP(A1247,vlookup_table!$A:$G,5,FALSE),"")</f>
        <v>C2</v>
      </c>
      <c r="Q1247">
        <f>IFERROR(VLOOKUP(A1247,vlookup_table!$A:$G,7,FALSE),"")</f>
        <v>3</v>
      </c>
      <c r="R1247">
        <f t="shared" si="76"/>
        <v>97</v>
      </c>
      <c r="S1247" t="str" cm="1">
        <f t="array" ref="S1247">IF(P1247="","",_xlfn.SWITCH(LEFT(P1247,1),"C","Ciudad","T","Pueblo","R","Rural","S","Suburbano","U","Urbano",""))</f>
        <v>Ciudad</v>
      </c>
      <c r="T1247" t="str">
        <f t="shared" si="77"/>
        <v>F</v>
      </c>
      <c r="U1247" t="str">
        <f t="shared" si="78"/>
        <v>CA</v>
      </c>
      <c r="V1247" t="str">
        <f t="shared" si="79"/>
        <v>11592</v>
      </c>
    </row>
    <row r="1248" spans="1:22" x14ac:dyDescent="0.35">
      <c r="A1248">
        <v>53485</v>
      </c>
      <c r="B1248" t="s">
        <v>53</v>
      </c>
      <c r="C1248" t="s">
        <v>17</v>
      </c>
      <c r="D1248">
        <v>861</v>
      </c>
      <c r="E1248">
        <v>248</v>
      </c>
      <c r="F1248">
        <v>328</v>
      </c>
      <c r="G1248">
        <v>0</v>
      </c>
      <c r="H1248">
        <v>16517</v>
      </c>
      <c r="I1248">
        <v>6</v>
      </c>
      <c r="J1248">
        <v>44</v>
      </c>
      <c r="K1248">
        <v>314</v>
      </c>
      <c r="L1248">
        <v>278</v>
      </c>
      <c r="M1248">
        <v>7</v>
      </c>
      <c r="N1248">
        <f>IFERROR(VLOOKUP(A1248,vlookup_table!$A:$G,2,FALSE),"")</f>
        <v>28</v>
      </c>
      <c r="O1248">
        <f>IFERROR(VLOOKUP(A1248,vlookup_table!$A:$G,4,FALSE),"")</f>
        <v>0</v>
      </c>
      <c r="P1248" t="str">
        <f>IFERROR(VLOOKUP(A1248,vlookup_table!$A:$G,5,FALSE),"")</f>
        <v>S2</v>
      </c>
      <c r="Q1248">
        <f>IFERROR(VLOOKUP(A1248,vlookup_table!$A:$G,7,FALSE),"")</f>
        <v>7</v>
      </c>
      <c r="R1248">
        <f t="shared" si="76"/>
        <v>97</v>
      </c>
      <c r="S1248" t="str" cm="1">
        <f t="array" ref="S1248">IF(P1248="","",_xlfn.SWITCH(LEFT(P1248,1),"C","Ciudad","T","Pueblo","R","Rural","S","Suburbano","U","Urbano",""))</f>
        <v>Suburbano</v>
      </c>
      <c r="T1248" t="str">
        <f t="shared" si="77"/>
        <v>F</v>
      </c>
      <c r="U1248" t="str">
        <f t="shared" si="78"/>
        <v>TN</v>
      </c>
      <c r="V1248" t="str">
        <f t="shared" si="79"/>
        <v>16517</v>
      </c>
    </row>
    <row r="1249" spans="1:22" x14ac:dyDescent="0.35">
      <c r="A1249">
        <v>25331</v>
      </c>
      <c r="B1249" t="s">
        <v>46</v>
      </c>
      <c r="C1249" t="s">
        <v>17</v>
      </c>
      <c r="D1249">
        <v>407</v>
      </c>
      <c r="E1249">
        <v>157</v>
      </c>
      <c r="F1249">
        <v>260</v>
      </c>
      <c r="G1249">
        <v>0</v>
      </c>
      <c r="H1249">
        <v>7762</v>
      </c>
      <c r="I1249">
        <v>1</v>
      </c>
      <c r="J1249">
        <v>79</v>
      </c>
      <c r="K1249">
        <v>193</v>
      </c>
      <c r="L1249">
        <v>221</v>
      </c>
      <c r="M1249">
        <v>16.666666670000001</v>
      </c>
      <c r="N1249">
        <f>IFERROR(VLOOKUP(A1249,vlookup_table!$A:$G,2,FALSE),"")</f>
        <v>0</v>
      </c>
      <c r="O1249">
        <f>IFERROR(VLOOKUP(A1249,vlookup_table!$A:$G,4,FALSE),"")</f>
        <v>0</v>
      </c>
      <c r="P1249" t="str">
        <f>IFERROR(VLOOKUP(A1249,vlookup_table!$A:$G,5,FALSE),"")</f>
        <v>R2</v>
      </c>
      <c r="Q1249">
        <f>IFERROR(VLOOKUP(A1249,vlookup_table!$A:$G,7,FALSE),"")</f>
        <v>22</v>
      </c>
      <c r="R1249">
        <f t="shared" si="76"/>
        <v>97</v>
      </c>
      <c r="S1249" t="str" cm="1">
        <f t="array" ref="S1249">IF(P1249="","",_xlfn.SWITCH(LEFT(P1249,1),"C","Ciudad","T","Pueblo","R","Rural","S","Suburbano","U","Urbano",""))</f>
        <v>Rural</v>
      </c>
      <c r="T1249" t="str">
        <f t="shared" si="77"/>
        <v>F</v>
      </c>
      <c r="U1249" t="str">
        <f t="shared" si="78"/>
        <v>SC</v>
      </c>
      <c r="V1249" t="str">
        <f t="shared" si="79"/>
        <v>7762</v>
      </c>
    </row>
    <row r="1250" spans="1:22" x14ac:dyDescent="0.35">
      <c r="A1250">
        <v>189130</v>
      </c>
      <c r="B1250" t="s">
        <v>16</v>
      </c>
      <c r="C1250" t="s">
        <v>14</v>
      </c>
      <c r="D1250">
        <v>1094</v>
      </c>
      <c r="E1250">
        <v>363</v>
      </c>
      <c r="F1250">
        <v>444</v>
      </c>
      <c r="G1250">
        <v>2</v>
      </c>
      <c r="H1250">
        <v>15967</v>
      </c>
      <c r="I1250">
        <v>23</v>
      </c>
      <c r="J1250">
        <v>66</v>
      </c>
      <c r="K1250">
        <v>388</v>
      </c>
      <c r="L1250">
        <v>421</v>
      </c>
      <c r="M1250">
        <v>20.833333329999999</v>
      </c>
      <c r="N1250">
        <f>IFERROR(VLOOKUP(A1250,vlookup_table!$A:$G,2,FALSE),"")</f>
        <v>1</v>
      </c>
      <c r="O1250">
        <f>IFERROR(VLOOKUP(A1250,vlookup_table!$A:$G,4,FALSE),"")</f>
        <v>2810</v>
      </c>
      <c r="P1250" t="str">
        <f>IFERROR(VLOOKUP(A1250,vlookup_table!$A:$G,5,FALSE),"")</f>
        <v>U2</v>
      </c>
      <c r="Q1250">
        <f>IFERROR(VLOOKUP(A1250,vlookup_table!$A:$G,7,FALSE),"")</f>
        <v>51</v>
      </c>
      <c r="R1250">
        <f t="shared" si="76"/>
        <v>69</v>
      </c>
      <c r="S1250" t="str" cm="1">
        <f t="array" ref="S1250">IF(P1250="","",_xlfn.SWITCH(LEFT(P1250,1),"C","Ciudad","T","Pueblo","R","Rural","S","Suburbano","U","Urbano",""))</f>
        <v>Urbano</v>
      </c>
      <c r="T1250" t="str">
        <f t="shared" si="77"/>
        <v>M</v>
      </c>
      <c r="U1250" t="str">
        <f t="shared" si="78"/>
        <v>IL</v>
      </c>
      <c r="V1250" t="str">
        <f t="shared" si="79"/>
        <v>15967</v>
      </c>
    </row>
    <row r="1251" spans="1:22" x14ac:dyDescent="0.35">
      <c r="A1251">
        <v>190840</v>
      </c>
      <c r="B1251" t="s">
        <v>16</v>
      </c>
      <c r="C1251" t="s">
        <v>14</v>
      </c>
      <c r="D1251">
        <v>485</v>
      </c>
      <c r="E1251">
        <v>297</v>
      </c>
      <c r="F1251">
        <v>340</v>
      </c>
      <c r="G1251">
        <v>0</v>
      </c>
      <c r="H1251">
        <v>10899</v>
      </c>
      <c r="I1251">
        <v>3</v>
      </c>
      <c r="J1251">
        <v>60</v>
      </c>
      <c r="K1251">
        <v>309</v>
      </c>
      <c r="L1251">
        <v>329</v>
      </c>
      <c r="M1251">
        <v>21.25</v>
      </c>
      <c r="N1251">
        <f>IFERROR(VLOOKUP(A1251,vlookup_table!$A:$G,2,FALSE),"")</f>
        <v>1</v>
      </c>
      <c r="O1251">
        <f>IFERROR(VLOOKUP(A1251,vlookup_table!$A:$G,4,FALSE),"")</f>
        <v>4912</v>
      </c>
      <c r="P1251" t="str">
        <f>IFERROR(VLOOKUP(A1251,vlookup_table!$A:$G,5,FALSE),"")</f>
        <v>C3</v>
      </c>
      <c r="Q1251">
        <f>IFERROR(VLOOKUP(A1251,vlookup_table!$A:$G,7,FALSE),"")</f>
        <v>25</v>
      </c>
      <c r="R1251">
        <f t="shared" si="76"/>
        <v>48</v>
      </c>
      <c r="S1251" t="str" cm="1">
        <f t="array" ref="S1251">IF(P1251="","",_xlfn.SWITCH(LEFT(P1251,1),"C","Ciudad","T","Pueblo","R","Rural","S","Suburbano","U","Urbano",""))</f>
        <v>Ciudad</v>
      </c>
      <c r="T1251" t="str">
        <f t="shared" si="77"/>
        <v>M</v>
      </c>
      <c r="U1251" t="str">
        <f t="shared" si="78"/>
        <v>IL</v>
      </c>
      <c r="V1251" t="str">
        <f t="shared" si="79"/>
        <v>10899</v>
      </c>
    </row>
    <row r="1252" spans="1:22" x14ac:dyDescent="0.35">
      <c r="A1252">
        <v>341</v>
      </c>
      <c r="B1252" t="s">
        <v>39</v>
      </c>
      <c r="C1252" t="s">
        <v>17</v>
      </c>
      <c r="D1252">
        <v>517</v>
      </c>
      <c r="E1252">
        <v>327</v>
      </c>
      <c r="F1252">
        <v>416</v>
      </c>
      <c r="G1252">
        <v>0</v>
      </c>
      <c r="H1252">
        <v>12605</v>
      </c>
      <c r="I1252">
        <v>0</v>
      </c>
      <c r="J1252">
        <v>87</v>
      </c>
      <c r="K1252">
        <v>375</v>
      </c>
      <c r="L1252">
        <v>389</v>
      </c>
      <c r="M1252">
        <v>11</v>
      </c>
      <c r="N1252">
        <f>IFERROR(VLOOKUP(A1252,vlookup_table!$A:$G,2,FALSE),"")</f>
        <v>0</v>
      </c>
      <c r="O1252">
        <f>IFERROR(VLOOKUP(A1252,vlookup_table!$A:$G,4,FALSE),"")</f>
        <v>3011</v>
      </c>
      <c r="P1252" t="str">
        <f>IFERROR(VLOOKUP(A1252,vlookup_table!$A:$G,5,FALSE),"")</f>
        <v>R2</v>
      </c>
      <c r="Q1252">
        <f>IFERROR(VLOOKUP(A1252,vlookup_table!$A:$G,7,FALSE),"")</f>
        <v>25</v>
      </c>
      <c r="R1252">
        <f t="shared" si="76"/>
        <v>67</v>
      </c>
      <c r="S1252" t="str" cm="1">
        <f t="array" ref="S1252">IF(P1252="","",_xlfn.SWITCH(LEFT(P1252,1),"C","Ciudad","T","Pueblo","R","Rural","S","Suburbano","U","Urbano",""))</f>
        <v>Rural</v>
      </c>
      <c r="T1252" t="str">
        <f t="shared" si="77"/>
        <v>F</v>
      </c>
      <c r="U1252" t="str">
        <f t="shared" si="78"/>
        <v>GA</v>
      </c>
      <c r="V1252" t="str">
        <f t="shared" si="79"/>
        <v>12605</v>
      </c>
    </row>
    <row r="1253" spans="1:22" x14ac:dyDescent="0.35">
      <c r="A1253">
        <v>109240</v>
      </c>
      <c r="B1253" t="s">
        <v>49</v>
      </c>
      <c r="C1253" t="s">
        <v>14</v>
      </c>
      <c r="D1253">
        <v>445</v>
      </c>
      <c r="E1253">
        <v>180</v>
      </c>
      <c r="F1253">
        <v>256</v>
      </c>
      <c r="G1253">
        <v>1</v>
      </c>
      <c r="H1253">
        <v>7560</v>
      </c>
      <c r="I1253">
        <v>0</v>
      </c>
      <c r="J1253">
        <v>96</v>
      </c>
      <c r="K1253">
        <v>210</v>
      </c>
      <c r="L1253">
        <v>226</v>
      </c>
      <c r="M1253">
        <v>6.3214285710000002</v>
      </c>
      <c r="N1253">
        <f>IFERROR(VLOOKUP(A1253,vlookup_table!$A:$G,2,FALSE),"")</f>
        <v>0</v>
      </c>
      <c r="O1253">
        <f>IFERROR(VLOOKUP(A1253,vlookup_table!$A:$G,4,FALSE),"")</f>
        <v>3711</v>
      </c>
      <c r="P1253" t="str">
        <f>IFERROR(VLOOKUP(A1253,vlookup_table!$A:$G,5,FALSE),"")</f>
        <v>T3</v>
      </c>
      <c r="Q1253">
        <f>IFERROR(VLOOKUP(A1253,vlookup_table!$A:$G,7,FALSE),"")</f>
        <v>7</v>
      </c>
      <c r="R1253">
        <f t="shared" si="76"/>
        <v>60</v>
      </c>
      <c r="S1253" t="str" cm="1">
        <f t="array" ref="S1253">IF(P1253="","",_xlfn.SWITCH(LEFT(P1253,1),"C","Ciudad","T","Pueblo","R","Rural","S","Suburbano","U","Urbano",""))</f>
        <v>Pueblo</v>
      </c>
      <c r="T1253" t="str">
        <f t="shared" si="77"/>
        <v>M</v>
      </c>
      <c r="U1253" t="str">
        <f t="shared" si="78"/>
        <v>LA</v>
      </c>
      <c r="V1253" t="str">
        <f t="shared" si="79"/>
        <v>7560</v>
      </c>
    </row>
    <row r="1254" spans="1:22" x14ac:dyDescent="0.35">
      <c r="A1254">
        <v>6028</v>
      </c>
      <c r="B1254" t="s">
        <v>59</v>
      </c>
      <c r="C1254" t="s">
        <v>14</v>
      </c>
      <c r="D1254">
        <v>2458</v>
      </c>
      <c r="E1254">
        <v>1178</v>
      </c>
      <c r="F1254">
        <v>1118</v>
      </c>
      <c r="G1254">
        <v>73</v>
      </c>
      <c r="H1254">
        <v>58088</v>
      </c>
      <c r="I1254">
        <v>6</v>
      </c>
      <c r="J1254">
        <v>56</v>
      </c>
      <c r="K1254">
        <v>1203</v>
      </c>
      <c r="L1254">
        <v>1095</v>
      </c>
      <c r="M1254">
        <v>13.581395349999999</v>
      </c>
      <c r="N1254">
        <f>IFERROR(VLOOKUP(A1254,vlookup_table!$A:$G,2,FALSE),"")</f>
        <v>4</v>
      </c>
      <c r="O1254">
        <f>IFERROR(VLOOKUP(A1254,vlookup_table!$A:$G,4,FALSE),"")</f>
        <v>4912</v>
      </c>
      <c r="P1254" t="str">
        <f>IFERROR(VLOOKUP(A1254,vlookup_table!$A:$G,5,FALSE),"")</f>
        <v>S1</v>
      </c>
      <c r="Q1254">
        <f>IFERROR(VLOOKUP(A1254,vlookup_table!$A:$G,7,FALSE),"")</f>
        <v>15</v>
      </c>
      <c r="R1254">
        <f t="shared" si="76"/>
        <v>48</v>
      </c>
      <c r="S1254" t="str" cm="1">
        <f t="array" ref="S1254">IF(P1254="","",_xlfn.SWITCH(LEFT(P1254,1),"C","Ciudad","T","Pueblo","R","Rural","S","Suburbano","U","Urbano",""))</f>
        <v>Suburbano</v>
      </c>
      <c r="T1254" t="str">
        <f t="shared" si="77"/>
        <v>M</v>
      </c>
      <c r="U1254" t="str">
        <f t="shared" si="78"/>
        <v>NE</v>
      </c>
      <c r="V1254" t="str">
        <f t="shared" si="79"/>
        <v>58088</v>
      </c>
    </row>
    <row r="1255" spans="1:22" x14ac:dyDescent="0.35">
      <c r="A1255">
        <v>169722</v>
      </c>
      <c r="B1255" t="s">
        <v>22</v>
      </c>
      <c r="C1255" t="s">
        <v>17</v>
      </c>
      <c r="D1255">
        <v>1428</v>
      </c>
      <c r="E1255">
        <v>301</v>
      </c>
      <c r="F1255">
        <v>297</v>
      </c>
      <c r="G1255">
        <v>3</v>
      </c>
      <c r="H1255">
        <v>9201</v>
      </c>
      <c r="I1255">
        <v>29</v>
      </c>
      <c r="J1255">
        <v>49</v>
      </c>
      <c r="K1255">
        <v>277</v>
      </c>
      <c r="L1255">
        <v>322</v>
      </c>
      <c r="M1255">
        <v>25</v>
      </c>
      <c r="N1255">
        <f>IFERROR(VLOOKUP(A1255,vlookup_table!$A:$G,2,FALSE),"")</f>
        <v>0</v>
      </c>
      <c r="O1255">
        <f>IFERROR(VLOOKUP(A1255,vlookup_table!$A:$G,4,FALSE),"")</f>
        <v>4701</v>
      </c>
      <c r="P1255" t="str">
        <f>IFERROR(VLOOKUP(A1255,vlookup_table!$A:$G,5,FALSE),"")</f>
        <v>C2</v>
      </c>
      <c r="Q1255">
        <f>IFERROR(VLOOKUP(A1255,vlookup_table!$A:$G,7,FALSE),"")</f>
        <v>20</v>
      </c>
      <c r="R1255">
        <f t="shared" si="76"/>
        <v>50</v>
      </c>
      <c r="S1255" t="str" cm="1">
        <f t="array" ref="S1255">IF(P1255="","",_xlfn.SWITCH(LEFT(P1255,1),"C","Ciudad","T","Pueblo","R","Rural","S","Suburbano","U","Urbano",""))</f>
        <v>Ciudad</v>
      </c>
      <c r="T1255" t="str">
        <f t="shared" si="77"/>
        <v>F</v>
      </c>
      <c r="U1255" t="str">
        <f t="shared" si="78"/>
        <v>CA</v>
      </c>
      <c r="V1255" t="str">
        <f t="shared" si="79"/>
        <v>9201</v>
      </c>
    </row>
    <row r="1256" spans="1:22" x14ac:dyDescent="0.35">
      <c r="A1256">
        <v>91467</v>
      </c>
      <c r="B1256" t="s">
        <v>16</v>
      </c>
      <c r="C1256" t="s">
        <v>17</v>
      </c>
      <c r="D1256">
        <v>693</v>
      </c>
      <c r="E1256">
        <v>407</v>
      </c>
      <c r="F1256">
        <v>386</v>
      </c>
      <c r="G1256">
        <v>1</v>
      </c>
      <c r="H1256">
        <v>11864</v>
      </c>
      <c r="I1256">
        <v>0</v>
      </c>
      <c r="J1256">
        <v>81</v>
      </c>
      <c r="K1256">
        <v>399</v>
      </c>
      <c r="L1256">
        <v>390</v>
      </c>
      <c r="M1256">
        <v>6.5882352940000004</v>
      </c>
      <c r="N1256">
        <f>IFERROR(VLOOKUP(A1256,vlookup_table!$A:$G,2,FALSE),"")</f>
        <v>28</v>
      </c>
      <c r="O1256">
        <f>IFERROR(VLOOKUP(A1256,vlookup_table!$A:$G,4,FALSE),"")</f>
        <v>4106</v>
      </c>
      <c r="P1256" t="str">
        <f>IFERROR(VLOOKUP(A1256,vlookup_table!$A:$G,5,FALSE),"")</f>
        <v>T2</v>
      </c>
      <c r="Q1256">
        <f>IFERROR(VLOOKUP(A1256,vlookup_table!$A:$G,7,FALSE),"")</f>
        <v>8</v>
      </c>
      <c r="R1256">
        <f t="shared" si="76"/>
        <v>56</v>
      </c>
      <c r="S1256" t="str" cm="1">
        <f t="array" ref="S1256">IF(P1256="","",_xlfn.SWITCH(LEFT(P1256,1),"C","Ciudad","T","Pueblo","R","Rural","S","Suburbano","U","Urbano",""))</f>
        <v>Pueblo</v>
      </c>
      <c r="T1256" t="str">
        <f t="shared" si="77"/>
        <v>F</v>
      </c>
      <c r="U1256" t="str">
        <f t="shared" si="78"/>
        <v>IL</v>
      </c>
      <c r="V1256" t="str">
        <f t="shared" si="79"/>
        <v>11864</v>
      </c>
    </row>
    <row r="1257" spans="1:22" x14ac:dyDescent="0.35">
      <c r="A1257">
        <v>88537</v>
      </c>
      <c r="B1257" t="s">
        <v>16</v>
      </c>
      <c r="C1257" t="s">
        <v>14</v>
      </c>
      <c r="D1257">
        <v>873</v>
      </c>
      <c r="E1257">
        <v>211</v>
      </c>
      <c r="F1257">
        <v>319</v>
      </c>
      <c r="G1257">
        <v>0</v>
      </c>
      <c r="H1257">
        <v>14513</v>
      </c>
      <c r="I1257">
        <v>4</v>
      </c>
      <c r="J1257">
        <v>75</v>
      </c>
      <c r="K1257">
        <v>291</v>
      </c>
      <c r="L1257">
        <v>251</v>
      </c>
      <c r="M1257">
        <v>3.1739130439999999</v>
      </c>
      <c r="N1257">
        <f>IFERROR(VLOOKUP(A1257,vlookup_table!$A:$G,2,FALSE),"")</f>
        <v>1</v>
      </c>
      <c r="O1257">
        <f>IFERROR(VLOOKUP(A1257,vlookup_table!$A:$G,4,FALSE),"")</f>
        <v>2106</v>
      </c>
      <c r="P1257" t="str">
        <f>IFERROR(VLOOKUP(A1257,vlookup_table!$A:$G,5,FALSE),"")</f>
        <v>T2</v>
      </c>
      <c r="Q1257">
        <f>IFERROR(VLOOKUP(A1257,vlookup_table!$A:$G,7,FALSE),"")</f>
        <v>5</v>
      </c>
      <c r="R1257">
        <f t="shared" si="76"/>
        <v>76</v>
      </c>
      <c r="S1257" t="str" cm="1">
        <f t="array" ref="S1257">IF(P1257="","",_xlfn.SWITCH(LEFT(P1257,1),"C","Ciudad","T","Pueblo","R","Rural","S","Suburbano","U","Urbano",""))</f>
        <v>Pueblo</v>
      </c>
      <c r="T1257" t="str">
        <f t="shared" si="77"/>
        <v>M</v>
      </c>
      <c r="U1257" t="str">
        <f t="shared" si="78"/>
        <v>IL</v>
      </c>
      <c r="V1257" t="str">
        <f t="shared" si="79"/>
        <v>14513</v>
      </c>
    </row>
    <row r="1258" spans="1:22" x14ac:dyDescent="0.35">
      <c r="A1258">
        <v>162740</v>
      </c>
      <c r="B1258" t="s">
        <v>22</v>
      </c>
      <c r="C1258" t="s">
        <v>17</v>
      </c>
      <c r="D1258">
        <v>2807</v>
      </c>
      <c r="E1258">
        <v>478</v>
      </c>
      <c r="F1258">
        <v>542</v>
      </c>
      <c r="G1258">
        <v>92</v>
      </c>
      <c r="H1258">
        <v>17103</v>
      </c>
      <c r="I1258">
        <v>21</v>
      </c>
      <c r="J1258">
        <v>58</v>
      </c>
      <c r="K1258">
        <v>497</v>
      </c>
      <c r="L1258">
        <v>504</v>
      </c>
      <c r="M1258">
        <v>12.75</v>
      </c>
      <c r="N1258">
        <f>IFERROR(VLOOKUP(A1258,vlookup_table!$A:$G,2,FALSE),"")</f>
        <v>0</v>
      </c>
      <c r="O1258">
        <f>IFERROR(VLOOKUP(A1258,vlookup_table!$A:$G,4,FALSE),"")</f>
        <v>2201</v>
      </c>
      <c r="P1258" t="str">
        <f>IFERROR(VLOOKUP(A1258,vlookup_table!$A:$G,5,FALSE),"")</f>
        <v>S2</v>
      </c>
      <c r="Q1258">
        <f>IFERROR(VLOOKUP(A1258,vlookup_table!$A:$G,7,FALSE),"")</f>
        <v>14</v>
      </c>
      <c r="R1258">
        <f t="shared" si="76"/>
        <v>75</v>
      </c>
      <c r="S1258" t="str" cm="1">
        <f t="array" ref="S1258">IF(P1258="","",_xlfn.SWITCH(LEFT(P1258,1),"C","Ciudad","T","Pueblo","R","Rural","S","Suburbano","U","Urbano",""))</f>
        <v>Suburbano</v>
      </c>
      <c r="T1258" t="str">
        <f t="shared" si="77"/>
        <v>F</v>
      </c>
      <c r="U1258" t="str">
        <f t="shared" si="78"/>
        <v>CA</v>
      </c>
      <c r="V1258" t="str">
        <f t="shared" si="79"/>
        <v>17103</v>
      </c>
    </row>
    <row r="1259" spans="1:22" x14ac:dyDescent="0.35">
      <c r="A1259">
        <v>123622</v>
      </c>
      <c r="B1259" t="s">
        <v>21</v>
      </c>
      <c r="C1259" t="s">
        <v>14</v>
      </c>
      <c r="D1259">
        <v>351</v>
      </c>
      <c r="E1259">
        <v>241</v>
      </c>
      <c r="F1259">
        <v>304</v>
      </c>
      <c r="G1259">
        <v>0</v>
      </c>
      <c r="H1259">
        <v>9113</v>
      </c>
      <c r="I1259">
        <v>19</v>
      </c>
      <c r="J1259">
        <v>61</v>
      </c>
      <c r="K1259">
        <v>278</v>
      </c>
      <c r="L1259">
        <v>283</v>
      </c>
      <c r="M1259">
        <v>14</v>
      </c>
      <c r="N1259">
        <f>IFERROR(VLOOKUP(A1259,vlookup_table!$A:$G,2,FALSE),"")</f>
        <v>1</v>
      </c>
      <c r="O1259">
        <f>IFERROR(VLOOKUP(A1259,vlookup_table!$A:$G,4,FALSE),"")</f>
        <v>5401</v>
      </c>
      <c r="P1259" t="str">
        <f>IFERROR(VLOOKUP(A1259,vlookup_table!$A:$G,5,FALSE),"")</f>
        <v>S3</v>
      </c>
      <c r="Q1259">
        <f>IFERROR(VLOOKUP(A1259,vlookup_table!$A:$G,7,FALSE),"")</f>
        <v>25</v>
      </c>
      <c r="R1259">
        <f t="shared" si="76"/>
        <v>43</v>
      </c>
      <c r="S1259" t="str" cm="1">
        <f t="array" ref="S1259">IF(P1259="","",_xlfn.SWITCH(LEFT(P1259,1),"C","Ciudad","T","Pueblo","R","Rural","S","Suburbano","U","Urbano",""))</f>
        <v>Suburbano</v>
      </c>
      <c r="T1259" t="str">
        <f t="shared" si="77"/>
        <v>M</v>
      </c>
      <c r="U1259" t="str">
        <f t="shared" si="78"/>
        <v>TX</v>
      </c>
      <c r="V1259" t="str">
        <f t="shared" si="79"/>
        <v>9113</v>
      </c>
    </row>
    <row r="1260" spans="1:22" x14ac:dyDescent="0.35">
      <c r="A1260">
        <v>12370</v>
      </c>
      <c r="B1260" t="s">
        <v>22</v>
      </c>
      <c r="C1260" t="s">
        <v>17</v>
      </c>
      <c r="D1260">
        <v>2067</v>
      </c>
      <c r="E1260">
        <v>489</v>
      </c>
      <c r="F1260">
        <v>583</v>
      </c>
      <c r="G1260">
        <v>53</v>
      </c>
      <c r="H1260">
        <v>19624</v>
      </c>
      <c r="I1260">
        <v>10</v>
      </c>
      <c r="J1260">
        <v>54</v>
      </c>
      <c r="K1260">
        <v>534</v>
      </c>
      <c r="L1260">
        <v>540</v>
      </c>
      <c r="M1260">
        <v>450</v>
      </c>
      <c r="N1260">
        <f>IFERROR(VLOOKUP(A1260,vlookup_table!$A:$G,2,FALSE),"")</f>
        <v>0</v>
      </c>
      <c r="O1260">
        <f>IFERROR(VLOOKUP(A1260,vlookup_table!$A:$G,4,FALSE),"")</f>
        <v>0</v>
      </c>
      <c r="P1260" t="str">
        <f>IFERROR(VLOOKUP(A1260,vlookup_table!$A:$G,5,FALSE),"")</f>
        <v>C1</v>
      </c>
      <c r="Q1260">
        <f>IFERROR(VLOOKUP(A1260,vlookup_table!$A:$G,7,FALSE),"")</f>
        <v>20</v>
      </c>
      <c r="R1260">
        <f t="shared" si="76"/>
        <v>97</v>
      </c>
      <c r="S1260" t="str" cm="1">
        <f t="array" ref="S1260">IF(P1260="","",_xlfn.SWITCH(LEFT(P1260,1),"C","Ciudad","T","Pueblo","R","Rural","S","Suburbano","U","Urbano",""))</f>
        <v>Ciudad</v>
      </c>
      <c r="T1260" t="str">
        <f t="shared" si="77"/>
        <v>F</v>
      </c>
      <c r="U1260" t="str">
        <f t="shared" si="78"/>
        <v>CA</v>
      </c>
      <c r="V1260" t="str">
        <f t="shared" si="79"/>
        <v>19624</v>
      </c>
    </row>
    <row r="1261" spans="1:22" x14ac:dyDescent="0.35">
      <c r="A1261">
        <v>91453</v>
      </c>
      <c r="B1261" t="s">
        <v>16</v>
      </c>
      <c r="C1261" t="s">
        <v>17</v>
      </c>
      <c r="D1261">
        <v>999</v>
      </c>
      <c r="E1261">
        <v>411</v>
      </c>
      <c r="F1261">
        <v>496</v>
      </c>
      <c r="G1261">
        <v>12</v>
      </c>
      <c r="H1261">
        <v>15934</v>
      </c>
      <c r="I1261">
        <v>2</v>
      </c>
      <c r="J1261">
        <v>80</v>
      </c>
      <c r="K1261">
        <v>453</v>
      </c>
      <c r="L1261">
        <v>465</v>
      </c>
      <c r="M1261">
        <v>18.714285709999999</v>
      </c>
      <c r="N1261">
        <f>IFERROR(VLOOKUP(A1261,vlookup_table!$A:$G,2,FALSE),"")</f>
        <v>0</v>
      </c>
      <c r="O1261">
        <f>IFERROR(VLOOKUP(A1261,vlookup_table!$A:$G,4,FALSE),"")</f>
        <v>0</v>
      </c>
      <c r="P1261" t="str">
        <f>IFERROR(VLOOKUP(A1261,vlookup_table!$A:$G,5,FALSE),"")</f>
        <v>T2</v>
      </c>
      <c r="Q1261">
        <f>IFERROR(VLOOKUP(A1261,vlookup_table!$A:$G,7,FALSE),"")</f>
        <v>21</v>
      </c>
      <c r="R1261">
        <f t="shared" si="76"/>
        <v>97</v>
      </c>
      <c r="S1261" t="str" cm="1">
        <f t="array" ref="S1261">IF(P1261="","",_xlfn.SWITCH(LEFT(P1261,1),"C","Ciudad","T","Pueblo","R","Rural","S","Suburbano","U","Urbano",""))</f>
        <v>Pueblo</v>
      </c>
      <c r="T1261" t="str">
        <f t="shared" si="77"/>
        <v>F</v>
      </c>
      <c r="U1261" t="str">
        <f t="shared" si="78"/>
        <v>IL</v>
      </c>
      <c r="V1261" t="str">
        <f t="shared" si="79"/>
        <v>15934</v>
      </c>
    </row>
    <row r="1262" spans="1:22" x14ac:dyDescent="0.35">
      <c r="A1262">
        <v>42543</v>
      </c>
      <c r="B1262" t="s">
        <v>13</v>
      </c>
      <c r="C1262" t="s">
        <v>14</v>
      </c>
      <c r="D1262">
        <v>419</v>
      </c>
      <c r="E1262">
        <v>218</v>
      </c>
      <c r="F1262">
        <v>305</v>
      </c>
      <c r="G1262">
        <v>1</v>
      </c>
      <c r="H1262">
        <v>9540</v>
      </c>
      <c r="I1262">
        <v>8</v>
      </c>
      <c r="J1262">
        <v>53</v>
      </c>
      <c r="K1262">
        <v>243</v>
      </c>
      <c r="L1262">
        <v>277</v>
      </c>
      <c r="M1262">
        <v>8.75</v>
      </c>
      <c r="N1262">
        <f>IFERROR(VLOOKUP(A1262,vlookup_table!$A:$G,2,FALSE),"")</f>
        <v>0</v>
      </c>
      <c r="O1262">
        <f>IFERROR(VLOOKUP(A1262,vlookup_table!$A:$G,4,FALSE),"")</f>
        <v>0</v>
      </c>
      <c r="P1262" t="str">
        <f>IFERROR(VLOOKUP(A1262,vlookup_table!$A:$G,5,FALSE),"")</f>
        <v>R2</v>
      </c>
      <c r="Q1262">
        <f>IFERROR(VLOOKUP(A1262,vlookup_table!$A:$G,7,FALSE),"")</f>
        <v>20</v>
      </c>
      <c r="R1262">
        <f t="shared" si="76"/>
        <v>97</v>
      </c>
      <c r="S1262" t="str" cm="1">
        <f t="array" ref="S1262">IF(P1262="","",_xlfn.SWITCH(LEFT(P1262,1),"C","Ciudad","T","Pueblo","R","Rural","S","Suburbano","U","Urbano",""))</f>
        <v>Rural</v>
      </c>
      <c r="T1262" t="str">
        <f t="shared" si="77"/>
        <v>M</v>
      </c>
      <c r="U1262" t="str">
        <f t="shared" si="78"/>
        <v>FL</v>
      </c>
      <c r="V1262" t="str">
        <f t="shared" si="79"/>
        <v>9540</v>
      </c>
    </row>
    <row r="1263" spans="1:22" x14ac:dyDescent="0.35">
      <c r="A1263">
        <v>89768</v>
      </c>
      <c r="B1263" t="s">
        <v>16</v>
      </c>
      <c r="C1263" t="s">
        <v>14</v>
      </c>
      <c r="D1263">
        <v>962</v>
      </c>
      <c r="E1263">
        <v>327</v>
      </c>
      <c r="F1263">
        <v>465</v>
      </c>
      <c r="G1263">
        <v>1</v>
      </c>
      <c r="H1263">
        <v>14486</v>
      </c>
      <c r="I1263">
        <v>11</v>
      </c>
      <c r="J1263">
        <v>69</v>
      </c>
      <c r="K1263">
        <v>479</v>
      </c>
      <c r="L1263">
        <v>361</v>
      </c>
      <c r="M1263">
        <v>5.1111111109999996</v>
      </c>
      <c r="N1263">
        <f>IFERROR(VLOOKUP(A1263,vlookup_table!$A:$G,2,FALSE),"")</f>
        <v>2</v>
      </c>
      <c r="O1263">
        <f>IFERROR(VLOOKUP(A1263,vlookup_table!$A:$G,4,FALSE),"")</f>
        <v>0</v>
      </c>
      <c r="P1263" t="str">
        <f>IFERROR(VLOOKUP(A1263,vlookup_table!$A:$G,5,FALSE),"")</f>
        <v>S2</v>
      </c>
      <c r="Q1263">
        <f>IFERROR(VLOOKUP(A1263,vlookup_table!$A:$G,7,FALSE),"")</f>
        <v>11</v>
      </c>
      <c r="R1263">
        <f t="shared" si="76"/>
        <v>97</v>
      </c>
      <c r="S1263" t="str" cm="1">
        <f t="array" ref="S1263">IF(P1263="","",_xlfn.SWITCH(LEFT(P1263,1),"C","Ciudad","T","Pueblo","R","Rural","S","Suburbano","U","Urbano",""))</f>
        <v>Suburbano</v>
      </c>
      <c r="T1263" t="str">
        <f t="shared" si="77"/>
        <v>M</v>
      </c>
      <c r="U1263" t="str">
        <f t="shared" si="78"/>
        <v>IL</v>
      </c>
      <c r="V1263" t="str">
        <f t="shared" si="79"/>
        <v>14486</v>
      </c>
    </row>
    <row r="1264" spans="1:22" x14ac:dyDescent="0.35">
      <c r="A1264">
        <v>139175</v>
      </c>
      <c r="B1264" t="s">
        <v>54</v>
      </c>
      <c r="C1264" t="s">
        <v>17</v>
      </c>
      <c r="D1264">
        <v>542</v>
      </c>
      <c r="E1264">
        <v>220</v>
      </c>
      <c r="F1264">
        <v>298</v>
      </c>
      <c r="G1264">
        <v>1</v>
      </c>
      <c r="H1264">
        <v>9481</v>
      </c>
      <c r="I1264">
        <v>2</v>
      </c>
      <c r="J1264">
        <v>56</v>
      </c>
      <c r="K1264">
        <v>252</v>
      </c>
      <c r="L1264">
        <v>272</v>
      </c>
      <c r="M1264">
        <v>11.513513509999999</v>
      </c>
      <c r="N1264">
        <f>IFERROR(VLOOKUP(A1264,vlookup_table!$A:$G,2,FALSE),"")</f>
        <v>0</v>
      </c>
      <c r="O1264">
        <f>IFERROR(VLOOKUP(A1264,vlookup_table!$A:$G,4,FALSE),"")</f>
        <v>0</v>
      </c>
      <c r="P1264" t="str">
        <f>IFERROR(VLOOKUP(A1264,vlookup_table!$A:$G,5,FALSE),"")</f>
        <v>R2</v>
      </c>
      <c r="Q1264">
        <f>IFERROR(VLOOKUP(A1264,vlookup_table!$A:$G,7,FALSE),"")</f>
        <v>10</v>
      </c>
      <c r="R1264">
        <f t="shared" si="76"/>
        <v>97</v>
      </c>
      <c r="S1264" t="str" cm="1">
        <f t="array" ref="S1264">IF(P1264="","",_xlfn.SWITCH(LEFT(P1264,1),"C","Ciudad","T","Pueblo","R","Rural","S","Suburbano","U","Urbano",""))</f>
        <v>Rural</v>
      </c>
      <c r="T1264" t="str">
        <f t="shared" si="77"/>
        <v>F</v>
      </c>
      <c r="U1264" t="str">
        <f t="shared" si="78"/>
        <v>NM</v>
      </c>
      <c r="V1264" t="str">
        <f t="shared" si="79"/>
        <v>9481</v>
      </c>
    </row>
    <row r="1265" spans="1:22" x14ac:dyDescent="0.35">
      <c r="A1265">
        <v>83559</v>
      </c>
      <c r="B1265" t="s">
        <v>31</v>
      </c>
      <c r="C1265" t="s">
        <v>14</v>
      </c>
      <c r="D1265">
        <v>780</v>
      </c>
      <c r="E1265">
        <v>278</v>
      </c>
      <c r="F1265">
        <v>414</v>
      </c>
      <c r="G1265">
        <v>1</v>
      </c>
      <c r="H1265">
        <v>14360</v>
      </c>
      <c r="I1265">
        <v>3</v>
      </c>
      <c r="J1265">
        <v>36</v>
      </c>
      <c r="K1265">
        <v>323</v>
      </c>
      <c r="L1265">
        <v>345</v>
      </c>
      <c r="M1265">
        <v>14.14285714</v>
      </c>
      <c r="N1265">
        <f>IFERROR(VLOOKUP(A1265,vlookup_table!$A:$G,2,FALSE),"")</f>
        <v>1</v>
      </c>
      <c r="O1265">
        <f>IFERROR(VLOOKUP(A1265,vlookup_table!$A:$G,4,FALSE),"")</f>
        <v>5902</v>
      </c>
      <c r="P1265" t="str">
        <f>IFERROR(VLOOKUP(A1265,vlookup_table!$A:$G,5,FALSE),"")</f>
        <v>U2</v>
      </c>
      <c r="Q1265">
        <f>IFERROR(VLOOKUP(A1265,vlookup_table!$A:$G,7,FALSE),"")</f>
        <v>10</v>
      </c>
      <c r="R1265">
        <f t="shared" si="76"/>
        <v>38</v>
      </c>
      <c r="S1265" t="str" cm="1">
        <f t="array" ref="S1265">IF(P1265="","",_xlfn.SWITCH(LEFT(P1265,1),"C","Ciudad","T","Pueblo","R","Rural","S","Suburbano","U","Urbano",""))</f>
        <v>Urbano</v>
      </c>
      <c r="T1265" t="str">
        <f t="shared" si="77"/>
        <v>M</v>
      </c>
      <c r="U1265" t="str">
        <f t="shared" si="78"/>
        <v>OK</v>
      </c>
      <c r="V1265" t="str">
        <f t="shared" si="79"/>
        <v>14360</v>
      </c>
    </row>
    <row r="1266" spans="1:22" x14ac:dyDescent="0.35">
      <c r="A1266">
        <v>113312</v>
      </c>
      <c r="B1266" t="s">
        <v>31</v>
      </c>
      <c r="C1266" t="s">
        <v>17</v>
      </c>
      <c r="D1266">
        <v>1229</v>
      </c>
      <c r="E1266">
        <v>546</v>
      </c>
      <c r="F1266">
        <v>700</v>
      </c>
      <c r="G1266">
        <v>4</v>
      </c>
      <c r="H1266">
        <v>30054</v>
      </c>
      <c r="I1266">
        <v>4</v>
      </c>
      <c r="J1266">
        <v>60</v>
      </c>
      <c r="K1266">
        <v>649</v>
      </c>
      <c r="L1266">
        <v>555</v>
      </c>
      <c r="M1266">
        <v>5.2142857139999998</v>
      </c>
      <c r="N1266">
        <f>IFERROR(VLOOKUP(A1266,vlookup_table!$A:$G,2,FALSE),"")</f>
        <v>2</v>
      </c>
      <c r="O1266">
        <f>IFERROR(VLOOKUP(A1266,vlookup_table!$A:$G,4,FALSE),"")</f>
        <v>2301</v>
      </c>
      <c r="P1266" t="str">
        <f>IFERROR(VLOOKUP(A1266,vlookup_table!$A:$G,5,FALSE),"")</f>
        <v>C1</v>
      </c>
      <c r="Q1266">
        <f>IFERROR(VLOOKUP(A1266,vlookup_table!$A:$G,7,FALSE),"")</f>
        <v>5</v>
      </c>
      <c r="R1266">
        <f t="shared" si="76"/>
        <v>74</v>
      </c>
      <c r="S1266" t="str" cm="1">
        <f t="array" ref="S1266">IF(P1266="","",_xlfn.SWITCH(LEFT(P1266,1),"C","Ciudad","T","Pueblo","R","Rural","S","Suburbano","U","Urbano",""))</f>
        <v>Ciudad</v>
      </c>
      <c r="T1266" t="str">
        <f t="shared" si="77"/>
        <v>F</v>
      </c>
      <c r="U1266" t="str">
        <f t="shared" si="78"/>
        <v>OK</v>
      </c>
      <c r="V1266" t="str">
        <f t="shared" si="79"/>
        <v>30054</v>
      </c>
    </row>
    <row r="1267" spans="1:22" x14ac:dyDescent="0.35">
      <c r="A1267">
        <v>117329</v>
      </c>
      <c r="B1267" t="s">
        <v>21</v>
      </c>
      <c r="C1267" t="s">
        <v>17</v>
      </c>
      <c r="D1267">
        <v>928</v>
      </c>
      <c r="E1267">
        <v>408</v>
      </c>
      <c r="F1267">
        <v>452</v>
      </c>
      <c r="G1267">
        <v>2</v>
      </c>
      <c r="H1267">
        <v>17067</v>
      </c>
      <c r="I1267">
        <v>1</v>
      </c>
      <c r="J1267">
        <v>48</v>
      </c>
      <c r="K1267">
        <v>452</v>
      </c>
      <c r="L1267">
        <v>444</v>
      </c>
      <c r="M1267">
        <v>12.83333333</v>
      </c>
      <c r="N1267">
        <f>IFERROR(VLOOKUP(A1267,vlookup_table!$A:$G,2,FALSE),"")</f>
        <v>28</v>
      </c>
      <c r="O1267">
        <f>IFERROR(VLOOKUP(A1267,vlookup_table!$A:$G,4,FALSE),"")</f>
        <v>2712</v>
      </c>
      <c r="P1267" t="str">
        <f>IFERROR(VLOOKUP(A1267,vlookup_table!$A:$G,5,FALSE),"")</f>
        <v>S1</v>
      </c>
      <c r="Q1267">
        <f>IFERROR(VLOOKUP(A1267,vlookup_table!$A:$G,7,FALSE),"")</f>
        <v>15</v>
      </c>
      <c r="R1267">
        <f t="shared" si="76"/>
        <v>70</v>
      </c>
      <c r="S1267" t="str" cm="1">
        <f t="array" ref="S1267">IF(P1267="","",_xlfn.SWITCH(LEFT(P1267,1),"C","Ciudad","T","Pueblo","R","Rural","S","Suburbano","U","Urbano",""))</f>
        <v>Suburbano</v>
      </c>
      <c r="T1267" t="str">
        <f t="shared" si="77"/>
        <v>F</v>
      </c>
      <c r="U1267" t="str">
        <f t="shared" si="78"/>
        <v>TX</v>
      </c>
      <c r="V1267" t="str">
        <f t="shared" si="79"/>
        <v>17067</v>
      </c>
    </row>
    <row r="1268" spans="1:22" x14ac:dyDescent="0.35">
      <c r="A1268">
        <v>56674</v>
      </c>
      <c r="B1268" t="s">
        <v>57</v>
      </c>
      <c r="C1268" t="s">
        <v>14</v>
      </c>
      <c r="D1268">
        <v>335</v>
      </c>
      <c r="E1268">
        <v>137</v>
      </c>
      <c r="F1268">
        <v>195</v>
      </c>
      <c r="G1268">
        <v>0</v>
      </c>
      <c r="H1268">
        <v>6927</v>
      </c>
      <c r="I1268">
        <v>1</v>
      </c>
      <c r="J1268">
        <v>80</v>
      </c>
      <c r="K1268">
        <v>205</v>
      </c>
      <c r="L1268">
        <v>166</v>
      </c>
      <c r="M1268">
        <v>6.6666666670000003</v>
      </c>
      <c r="N1268">
        <f>IFERROR(VLOOKUP(A1268,vlookup_table!$A:$G,2,FALSE),"")</f>
        <v>1</v>
      </c>
      <c r="O1268">
        <f>IFERROR(VLOOKUP(A1268,vlookup_table!$A:$G,4,FALSE),"")</f>
        <v>2101</v>
      </c>
      <c r="P1268" t="str">
        <f>IFERROR(VLOOKUP(A1268,vlookup_table!$A:$G,5,FALSE),"")</f>
        <v>U4</v>
      </c>
      <c r="Q1268">
        <f>IFERROR(VLOOKUP(A1268,vlookup_table!$A:$G,7,FALSE),"")</f>
        <v>15</v>
      </c>
      <c r="R1268">
        <f t="shared" si="76"/>
        <v>76</v>
      </c>
      <c r="S1268" t="str" cm="1">
        <f t="array" ref="S1268">IF(P1268="","",_xlfn.SWITCH(LEFT(P1268,1),"C","Ciudad","T","Pueblo","R","Rural","S","Suburbano","U","Urbano",""))</f>
        <v>Urbano</v>
      </c>
      <c r="T1268" t="str">
        <f t="shared" si="77"/>
        <v>M</v>
      </c>
      <c r="U1268" t="str">
        <f t="shared" si="78"/>
        <v>KY</v>
      </c>
      <c r="V1268" t="str">
        <f t="shared" si="79"/>
        <v>6927</v>
      </c>
    </row>
    <row r="1269" spans="1:22" x14ac:dyDescent="0.35">
      <c r="A1269">
        <v>40105</v>
      </c>
      <c r="B1269" t="s">
        <v>13</v>
      </c>
      <c r="C1269" t="s">
        <v>17</v>
      </c>
      <c r="D1269">
        <v>700</v>
      </c>
      <c r="E1269">
        <v>228</v>
      </c>
      <c r="F1269">
        <v>326</v>
      </c>
      <c r="G1269">
        <v>0</v>
      </c>
      <c r="H1269">
        <v>13851</v>
      </c>
      <c r="I1269">
        <v>24</v>
      </c>
      <c r="J1269">
        <v>27</v>
      </c>
      <c r="K1269">
        <v>277</v>
      </c>
      <c r="L1269">
        <v>309</v>
      </c>
      <c r="M1269">
        <v>15</v>
      </c>
      <c r="N1269">
        <f>IFERROR(VLOOKUP(A1269,vlookup_table!$A:$G,2,FALSE),"")</f>
        <v>0</v>
      </c>
      <c r="O1269">
        <f>IFERROR(VLOOKUP(A1269,vlookup_table!$A:$G,4,FALSE),"")</f>
        <v>4608</v>
      </c>
      <c r="P1269" t="str">
        <f>IFERROR(VLOOKUP(A1269,vlookup_table!$A:$G,5,FALSE),"")</f>
        <v>S3</v>
      </c>
      <c r="Q1269">
        <f>IFERROR(VLOOKUP(A1269,vlookup_table!$A:$G,7,FALSE),"")</f>
        <v>23</v>
      </c>
      <c r="R1269">
        <f t="shared" si="76"/>
        <v>51</v>
      </c>
      <c r="S1269" t="str" cm="1">
        <f t="array" ref="S1269">IF(P1269="","",_xlfn.SWITCH(LEFT(P1269,1),"C","Ciudad","T","Pueblo","R","Rural","S","Suburbano","U","Urbano",""))</f>
        <v>Suburbano</v>
      </c>
      <c r="T1269" t="str">
        <f t="shared" si="77"/>
        <v>F</v>
      </c>
      <c r="U1269" t="str">
        <f t="shared" si="78"/>
        <v>FL</v>
      </c>
      <c r="V1269" t="str">
        <f t="shared" si="79"/>
        <v>13851</v>
      </c>
    </row>
    <row r="1270" spans="1:22" x14ac:dyDescent="0.35">
      <c r="A1270">
        <v>76914</v>
      </c>
      <c r="B1270" t="s">
        <v>47</v>
      </c>
      <c r="C1270" t="s">
        <v>14</v>
      </c>
      <c r="D1270">
        <v>337</v>
      </c>
      <c r="E1270">
        <v>220</v>
      </c>
      <c r="F1270">
        <v>301</v>
      </c>
      <c r="G1270">
        <v>0</v>
      </c>
      <c r="H1270">
        <v>8147</v>
      </c>
      <c r="I1270">
        <v>0</v>
      </c>
      <c r="J1270">
        <v>87</v>
      </c>
      <c r="K1270">
        <v>265</v>
      </c>
      <c r="L1270">
        <v>258</v>
      </c>
      <c r="M1270">
        <v>9.7142857140000007</v>
      </c>
      <c r="N1270">
        <f>IFERROR(VLOOKUP(A1270,vlookup_table!$A:$G,2,FALSE),"")</f>
        <v>0</v>
      </c>
      <c r="O1270">
        <f>IFERROR(VLOOKUP(A1270,vlookup_table!$A:$G,4,FALSE),"")</f>
        <v>0</v>
      </c>
      <c r="P1270" t="str">
        <f>IFERROR(VLOOKUP(A1270,vlookup_table!$A:$G,5,FALSE),"")</f>
        <v>R2</v>
      </c>
      <c r="Q1270">
        <f>IFERROR(VLOOKUP(A1270,vlookup_table!$A:$G,7,FALSE),"")</f>
        <v>15</v>
      </c>
      <c r="R1270">
        <f t="shared" si="76"/>
        <v>97</v>
      </c>
      <c r="S1270" t="str" cm="1">
        <f t="array" ref="S1270">IF(P1270="","",_xlfn.SWITCH(LEFT(P1270,1),"C","Ciudad","T","Pueblo","R","Rural","S","Suburbano","U","Urbano",""))</f>
        <v>Rural</v>
      </c>
      <c r="T1270" t="str">
        <f t="shared" si="77"/>
        <v>M</v>
      </c>
      <c r="U1270" t="str">
        <f t="shared" si="78"/>
        <v>IA</v>
      </c>
      <c r="V1270" t="str">
        <f t="shared" si="79"/>
        <v>8147</v>
      </c>
    </row>
    <row r="1271" spans="1:22" x14ac:dyDescent="0.35">
      <c r="A1271">
        <v>7947</v>
      </c>
      <c r="B1271" t="s">
        <v>29</v>
      </c>
      <c r="C1271" t="s">
        <v>14</v>
      </c>
      <c r="D1271">
        <v>557</v>
      </c>
      <c r="E1271">
        <v>279</v>
      </c>
      <c r="F1271">
        <v>372</v>
      </c>
      <c r="G1271">
        <v>1</v>
      </c>
      <c r="H1271">
        <v>12466</v>
      </c>
      <c r="I1271">
        <v>2</v>
      </c>
      <c r="J1271">
        <v>69</v>
      </c>
      <c r="K1271">
        <v>337</v>
      </c>
      <c r="L1271">
        <v>321</v>
      </c>
      <c r="M1271">
        <v>9.0740740740000003</v>
      </c>
      <c r="N1271">
        <f>IFERROR(VLOOKUP(A1271,vlookup_table!$A:$G,2,FALSE),"")</f>
        <v>1</v>
      </c>
      <c r="O1271">
        <f>IFERROR(VLOOKUP(A1271,vlookup_table!$A:$G,4,FALSE),"")</f>
        <v>1612</v>
      </c>
      <c r="P1271" t="str">
        <f>IFERROR(VLOOKUP(A1271,vlookup_table!$A:$G,5,FALSE),"")</f>
        <v>R2</v>
      </c>
      <c r="Q1271">
        <f>IFERROR(VLOOKUP(A1271,vlookup_table!$A:$G,7,FALSE),"")</f>
        <v>11</v>
      </c>
      <c r="R1271">
        <f t="shared" si="76"/>
        <v>81</v>
      </c>
      <c r="S1271" t="str" cm="1">
        <f t="array" ref="S1271">IF(P1271="","",_xlfn.SWITCH(LEFT(P1271,1),"C","Ciudad","T","Pueblo","R","Rural","S","Suburbano","U","Urbano",""))</f>
        <v>Rural</v>
      </c>
      <c r="T1271" t="str">
        <f t="shared" si="77"/>
        <v>M</v>
      </c>
      <c r="U1271" t="str">
        <f t="shared" si="78"/>
        <v>MI</v>
      </c>
      <c r="V1271" t="str">
        <f t="shared" si="79"/>
        <v>12466</v>
      </c>
    </row>
    <row r="1272" spans="1:22" x14ac:dyDescent="0.35">
      <c r="A1272">
        <v>166350</v>
      </c>
      <c r="B1272" t="s">
        <v>22</v>
      </c>
      <c r="C1272" t="s">
        <v>17</v>
      </c>
      <c r="D1272">
        <v>3333</v>
      </c>
      <c r="E1272">
        <v>690</v>
      </c>
      <c r="F1272">
        <v>913</v>
      </c>
      <c r="G1272">
        <v>94</v>
      </c>
      <c r="H1272">
        <v>37495</v>
      </c>
      <c r="I1272">
        <v>9</v>
      </c>
      <c r="J1272">
        <v>50</v>
      </c>
      <c r="K1272">
        <v>871</v>
      </c>
      <c r="L1272">
        <v>759</v>
      </c>
      <c r="M1272">
        <v>20.833333329999999</v>
      </c>
      <c r="N1272">
        <f>IFERROR(VLOOKUP(A1272,vlookup_table!$A:$G,2,FALSE),"")</f>
        <v>0</v>
      </c>
      <c r="O1272">
        <f>IFERROR(VLOOKUP(A1272,vlookup_table!$A:$G,4,FALSE),"")</f>
        <v>5201</v>
      </c>
      <c r="P1272" t="str">
        <f>IFERROR(VLOOKUP(A1272,vlookup_table!$A:$G,5,FALSE),"")</f>
        <v>S1</v>
      </c>
      <c r="Q1272">
        <f>IFERROR(VLOOKUP(A1272,vlookup_table!$A:$G,7,FALSE),"")</f>
        <v>25</v>
      </c>
      <c r="R1272">
        <f t="shared" si="76"/>
        <v>45</v>
      </c>
      <c r="S1272" t="str" cm="1">
        <f t="array" ref="S1272">IF(P1272="","",_xlfn.SWITCH(LEFT(P1272,1),"C","Ciudad","T","Pueblo","R","Rural","S","Suburbano","U","Urbano",""))</f>
        <v>Suburbano</v>
      </c>
      <c r="T1272" t="str">
        <f t="shared" si="77"/>
        <v>F</v>
      </c>
      <c r="U1272" t="str">
        <f t="shared" si="78"/>
        <v>CA</v>
      </c>
      <c r="V1272" t="str">
        <f t="shared" si="79"/>
        <v>37495</v>
      </c>
    </row>
    <row r="1273" spans="1:22" x14ac:dyDescent="0.35">
      <c r="A1273">
        <v>2151</v>
      </c>
      <c r="B1273" t="s">
        <v>22</v>
      </c>
      <c r="C1273" t="s">
        <v>14</v>
      </c>
      <c r="D1273">
        <v>1126</v>
      </c>
      <c r="E1273">
        <v>243</v>
      </c>
      <c r="F1273">
        <v>285</v>
      </c>
      <c r="G1273">
        <v>6</v>
      </c>
      <c r="H1273">
        <v>8614</v>
      </c>
      <c r="I1273">
        <v>39</v>
      </c>
      <c r="J1273">
        <v>38</v>
      </c>
      <c r="K1273">
        <v>261</v>
      </c>
      <c r="L1273">
        <v>275</v>
      </c>
      <c r="M1273">
        <v>20.8</v>
      </c>
      <c r="N1273">
        <f>IFERROR(VLOOKUP(A1273,vlookup_table!$A:$G,2,FALSE),"")</f>
        <v>1</v>
      </c>
      <c r="O1273">
        <f>IFERROR(VLOOKUP(A1273,vlookup_table!$A:$G,4,FALSE),"")</f>
        <v>5001</v>
      </c>
      <c r="P1273" t="str">
        <f>IFERROR(VLOOKUP(A1273,vlookup_table!$A:$G,5,FALSE),"")</f>
        <v>C3</v>
      </c>
      <c r="Q1273">
        <f>IFERROR(VLOOKUP(A1273,vlookup_table!$A:$G,7,FALSE),"")</f>
        <v>25</v>
      </c>
      <c r="R1273">
        <f t="shared" si="76"/>
        <v>47</v>
      </c>
      <c r="S1273" t="str" cm="1">
        <f t="array" ref="S1273">IF(P1273="","",_xlfn.SWITCH(LEFT(P1273,1),"C","Ciudad","T","Pueblo","R","Rural","S","Suburbano","U","Urbano",""))</f>
        <v>Ciudad</v>
      </c>
      <c r="T1273" t="str">
        <f t="shared" si="77"/>
        <v>M</v>
      </c>
      <c r="U1273" t="str">
        <f t="shared" si="78"/>
        <v>CA</v>
      </c>
      <c r="V1273" t="str">
        <f t="shared" si="79"/>
        <v>8614</v>
      </c>
    </row>
    <row r="1274" spans="1:22" x14ac:dyDescent="0.35">
      <c r="A1274">
        <v>107298</v>
      </c>
      <c r="B1274" t="s">
        <v>59</v>
      </c>
      <c r="C1274" t="s">
        <v>17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38</v>
      </c>
      <c r="N1274">
        <f>IFERROR(VLOOKUP(A1274,vlookup_table!$A:$G,2,FALSE),"")</f>
        <v>0</v>
      </c>
      <c r="O1274">
        <f>IFERROR(VLOOKUP(A1274,vlookup_table!$A:$G,4,FALSE),"")</f>
        <v>4401</v>
      </c>
      <c r="P1274" t="str">
        <f>IFERROR(VLOOKUP(A1274,vlookup_table!$A:$G,5,FALSE),"")</f>
        <v>S2</v>
      </c>
      <c r="Q1274">
        <f>IFERROR(VLOOKUP(A1274,vlookup_table!$A:$G,7,FALSE),"")</f>
        <v>43</v>
      </c>
      <c r="R1274">
        <f t="shared" si="76"/>
        <v>53</v>
      </c>
      <c r="S1274" t="str" cm="1">
        <f t="array" ref="S1274">IF(P1274="","",_xlfn.SWITCH(LEFT(P1274,1),"C","Ciudad","T","Pueblo","R","Rural","S","Suburbano","U","Urbano",""))</f>
        <v>Suburbano</v>
      </c>
      <c r="T1274" t="str">
        <f t="shared" si="77"/>
        <v>F</v>
      </c>
      <c r="U1274" t="str">
        <f t="shared" si="78"/>
        <v>NE</v>
      </c>
      <c r="V1274" t="str">
        <f t="shared" si="79"/>
        <v>0</v>
      </c>
    </row>
    <row r="1275" spans="1:22" x14ac:dyDescent="0.35">
      <c r="A1275">
        <v>37762</v>
      </c>
      <c r="B1275" t="s">
        <v>13</v>
      </c>
      <c r="C1275" t="s">
        <v>14</v>
      </c>
      <c r="D1275">
        <v>1987</v>
      </c>
      <c r="E1275">
        <v>403</v>
      </c>
      <c r="F1275">
        <v>633</v>
      </c>
      <c r="G1275">
        <v>49</v>
      </c>
      <c r="H1275">
        <v>29344</v>
      </c>
      <c r="I1275">
        <v>47</v>
      </c>
      <c r="J1275">
        <v>20</v>
      </c>
      <c r="K1275">
        <v>524</v>
      </c>
      <c r="L1275">
        <v>567</v>
      </c>
      <c r="M1275">
        <v>14</v>
      </c>
      <c r="N1275">
        <f>IFERROR(VLOOKUP(A1275,vlookup_table!$A:$G,2,FALSE),"")</f>
        <v>1</v>
      </c>
      <c r="O1275">
        <f>IFERROR(VLOOKUP(A1275,vlookup_table!$A:$G,4,FALSE),"")</f>
        <v>3401</v>
      </c>
      <c r="P1275" t="str">
        <f>IFERROR(VLOOKUP(A1275,vlookup_table!$A:$G,5,FALSE),"")</f>
        <v>C1</v>
      </c>
      <c r="Q1275">
        <f>IFERROR(VLOOKUP(A1275,vlookup_table!$A:$G,7,FALSE),"")</f>
        <v>30</v>
      </c>
      <c r="R1275">
        <f t="shared" si="76"/>
        <v>63</v>
      </c>
      <c r="S1275" t="str" cm="1">
        <f t="array" ref="S1275">IF(P1275="","",_xlfn.SWITCH(LEFT(P1275,1),"C","Ciudad","T","Pueblo","R","Rural","S","Suburbano","U","Urbano",""))</f>
        <v>Ciudad</v>
      </c>
      <c r="T1275" t="str">
        <f t="shared" si="77"/>
        <v>M</v>
      </c>
      <c r="U1275" t="str">
        <f t="shared" si="78"/>
        <v>FL</v>
      </c>
      <c r="V1275" t="str">
        <f t="shared" si="79"/>
        <v>29344</v>
      </c>
    </row>
    <row r="1276" spans="1:22" x14ac:dyDescent="0.35">
      <c r="A1276">
        <v>117383</v>
      </c>
      <c r="B1276" t="s">
        <v>21</v>
      </c>
      <c r="C1276" t="s">
        <v>17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15</v>
      </c>
      <c r="N1276">
        <f>IFERROR(VLOOKUP(A1276,vlookup_table!$A:$G,2,FALSE),"")</f>
        <v>2</v>
      </c>
      <c r="O1276">
        <f>IFERROR(VLOOKUP(A1276,vlookup_table!$A:$G,4,FALSE),"")</f>
        <v>4801</v>
      </c>
      <c r="P1276" t="str">
        <f>IFERROR(VLOOKUP(A1276,vlookup_table!$A:$G,5,FALSE),"")</f>
        <v>S2</v>
      </c>
      <c r="Q1276">
        <f>IFERROR(VLOOKUP(A1276,vlookup_table!$A:$G,7,FALSE),"")</f>
        <v>21</v>
      </c>
      <c r="R1276">
        <f t="shared" si="76"/>
        <v>49</v>
      </c>
      <c r="S1276" t="str" cm="1">
        <f t="array" ref="S1276">IF(P1276="","",_xlfn.SWITCH(LEFT(P1276,1),"C","Ciudad","T","Pueblo","R","Rural","S","Suburbano","U","Urbano",""))</f>
        <v>Suburbano</v>
      </c>
      <c r="T1276" t="str">
        <f t="shared" si="77"/>
        <v>F</v>
      </c>
      <c r="U1276" t="str">
        <f t="shared" si="78"/>
        <v>TX</v>
      </c>
      <c r="V1276" t="str">
        <f t="shared" si="79"/>
        <v>0</v>
      </c>
    </row>
    <row r="1277" spans="1:22" x14ac:dyDescent="0.35">
      <c r="A1277">
        <v>174375</v>
      </c>
      <c r="B1277" t="s">
        <v>50</v>
      </c>
      <c r="C1277" t="s">
        <v>17</v>
      </c>
      <c r="D1277">
        <v>1093</v>
      </c>
      <c r="E1277">
        <v>315</v>
      </c>
      <c r="F1277">
        <v>483</v>
      </c>
      <c r="G1277">
        <v>7</v>
      </c>
      <c r="H1277">
        <v>15130</v>
      </c>
      <c r="I1277">
        <v>5</v>
      </c>
      <c r="J1277">
        <v>44</v>
      </c>
      <c r="K1277">
        <v>431</v>
      </c>
      <c r="L1277">
        <v>386</v>
      </c>
      <c r="M1277">
        <v>25</v>
      </c>
      <c r="N1277">
        <f>IFERROR(VLOOKUP(A1277,vlookup_table!$A:$G,2,FALSE),"")</f>
        <v>28</v>
      </c>
      <c r="O1277">
        <f>IFERROR(VLOOKUP(A1277,vlookup_table!$A:$G,4,FALSE),"")</f>
        <v>5801</v>
      </c>
      <c r="P1277" t="str">
        <f>IFERROR(VLOOKUP(A1277,vlookup_table!$A:$G,5,FALSE),"")</f>
        <v>S2</v>
      </c>
      <c r="Q1277">
        <f>IFERROR(VLOOKUP(A1277,vlookup_table!$A:$G,7,FALSE),"")</f>
        <v>25</v>
      </c>
      <c r="R1277">
        <f t="shared" si="76"/>
        <v>39</v>
      </c>
      <c r="S1277" t="str" cm="1">
        <f t="array" ref="S1277">IF(P1277="","",_xlfn.SWITCH(LEFT(P1277,1),"C","Ciudad","T","Pueblo","R","Rural","S","Suburbano","U","Urbano",""))</f>
        <v>Suburbano</v>
      </c>
      <c r="T1277" t="str">
        <f t="shared" si="77"/>
        <v>F</v>
      </c>
      <c r="U1277" t="str">
        <f t="shared" si="78"/>
        <v>OR</v>
      </c>
      <c r="V1277" t="str">
        <f t="shared" si="79"/>
        <v>15130</v>
      </c>
    </row>
    <row r="1278" spans="1:22" x14ac:dyDescent="0.35">
      <c r="A1278">
        <v>102742</v>
      </c>
      <c r="B1278" t="s">
        <v>36</v>
      </c>
      <c r="C1278" t="s">
        <v>14</v>
      </c>
      <c r="D1278">
        <v>238</v>
      </c>
      <c r="E1278">
        <v>176</v>
      </c>
      <c r="F1278">
        <v>287</v>
      </c>
      <c r="G1278">
        <v>0</v>
      </c>
      <c r="H1278">
        <v>10253</v>
      </c>
      <c r="I1278">
        <v>0</v>
      </c>
      <c r="J1278">
        <v>82</v>
      </c>
      <c r="K1278">
        <v>225</v>
      </c>
      <c r="L1278">
        <v>233</v>
      </c>
      <c r="M1278">
        <v>6.6363636359999996</v>
      </c>
      <c r="N1278">
        <f>IFERROR(VLOOKUP(A1278,vlookup_table!$A:$G,2,FALSE),"")</f>
        <v>1</v>
      </c>
      <c r="O1278">
        <f>IFERROR(VLOOKUP(A1278,vlookup_table!$A:$G,4,FALSE),"")</f>
        <v>4401</v>
      </c>
      <c r="P1278" t="str">
        <f>IFERROR(VLOOKUP(A1278,vlookup_table!$A:$G,5,FALSE),"")</f>
        <v>R2</v>
      </c>
      <c r="Q1278">
        <f>IFERROR(VLOOKUP(A1278,vlookup_table!$A:$G,7,FALSE),"")</f>
        <v>9</v>
      </c>
      <c r="R1278">
        <f t="shared" si="76"/>
        <v>53</v>
      </c>
      <c r="S1278" t="str" cm="1">
        <f t="array" ref="S1278">IF(P1278="","",_xlfn.SWITCH(LEFT(P1278,1),"C","Ciudad","T","Pueblo","R","Rural","S","Suburbano","U","Urbano",""))</f>
        <v>Rural</v>
      </c>
      <c r="T1278" t="str">
        <f t="shared" si="77"/>
        <v>M</v>
      </c>
      <c r="U1278" t="str">
        <f t="shared" si="78"/>
        <v>MO</v>
      </c>
      <c r="V1278" t="str">
        <f t="shared" si="79"/>
        <v>10253</v>
      </c>
    </row>
    <row r="1279" spans="1:22" x14ac:dyDescent="0.35">
      <c r="A1279">
        <v>53793</v>
      </c>
      <c r="B1279" t="s">
        <v>53</v>
      </c>
      <c r="C1279" t="s">
        <v>17</v>
      </c>
      <c r="D1279">
        <v>966</v>
      </c>
      <c r="E1279">
        <v>517</v>
      </c>
      <c r="F1279">
        <v>569</v>
      </c>
      <c r="G1279">
        <v>2</v>
      </c>
      <c r="H1279">
        <v>18463</v>
      </c>
      <c r="I1279">
        <v>3</v>
      </c>
      <c r="J1279">
        <v>47</v>
      </c>
      <c r="K1279">
        <v>528</v>
      </c>
      <c r="L1279">
        <v>547</v>
      </c>
      <c r="M1279">
        <v>7.7142857139999998</v>
      </c>
      <c r="N1279">
        <f>IFERROR(VLOOKUP(A1279,vlookup_table!$A:$G,2,FALSE),"")</f>
        <v>28</v>
      </c>
      <c r="O1279">
        <f>IFERROR(VLOOKUP(A1279,vlookup_table!$A:$G,4,FALSE),"")</f>
        <v>4901</v>
      </c>
      <c r="P1279" t="str">
        <f>IFERROR(VLOOKUP(A1279,vlookup_table!$A:$G,5,FALSE),"")</f>
        <v>S1</v>
      </c>
      <c r="Q1279">
        <f>IFERROR(VLOOKUP(A1279,vlookup_table!$A:$G,7,FALSE),"")</f>
        <v>5</v>
      </c>
      <c r="R1279">
        <f t="shared" si="76"/>
        <v>48</v>
      </c>
      <c r="S1279" t="str" cm="1">
        <f t="array" ref="S1279">IF(P1279="","",_xlfn.SWITCH(LEFT(P1279,1),"C","Ciudad","T","Pueblo","R","Rural","S","Suburbano","U","Urbano",""))</f>
        <v>Suburbano</v>
      </c>
      <c r="T1279" t="str">
        <f t="shared" si="77"/>
        <v>F</v>
      </c>
      <c r="U1279" t="str">
        <f t="shared" si="78"/>
        <v>TN</v>
      </c>
      <c r="V1279" t="str">
        <f t="shared" si="79"/>
        <v>18463</v>
      </c>
    </row>
    <row r="1280" spans="1:22" x14ac:dyDescent="0.35">
      <c r="A1280">
        <v>59070</v>
      </c>
      <c r="B1280" t="s">
        <v>57</v>
      </c>
      <c r="C1280" t="s">
        <v>14</v>
      </c>
      <c r="D1280">
        <v>377</v>
      </c>
      <c r="E1280">
        <v>234</v>
      </c>
      <c r="F1280">
        <v>285</v>
      </c>
      <c r="G1280">
        <v>0</v>
      </c>
      <c r="H1280">
        <v>9657</v>
      </c>
      <c r="I1280">
        <v>0</v>
      </c>
      <c r="J1280">
        <v>85</v>
      </c>
      <c r="K1280">
        <v>252</v>
      </c>
      <c r="L1280">
        <v>276</v>
      </c>
      <c r="M1280">
        <v>10.25</v>
      </c>
      <c r="N1280">
        <f>IFERROR(VLOOKUP(A1280,vlookup_table!$A:$G,2,FALSE),"")</f>
        <v>1</v>
      </c>
      <c r="O1280">
        <f>IFERROR(VLOOKUP(A1280,vlookup_table!$A:$G,4,FALSE),"")</f>
        <v>5003</v>
      </c>
      <c r="P1280" t="str">
        <f>IFERROR(VLOOKUP(A1280,vlookup_table!$A:$G,5,FALSE),"")</f>
        <v>R3</v>
      </c>
      <c r="Q1280">
        <f>IFERROR(VLOOKUP(A1280,vlookup_table!$A:$G,7,FALSE),"")</f>
        <v>10</v>
      </c>
      <c r="R1280">
        <f t="shared" si="76"/>
        <v>47</v>
      </c>
      <c r="S1280" t="str" cm="1">
        <f t="array" ref="S1280">IF(P1280="","",_xlfn.SWITCH(LEFT(P1280,1),"C","Ciudad","T","Pueblo","R","Rural","S","Suburbano","U","Urbano",""))</f>
        <v>Rural</v>
      </c>
      <c r="T1280" t="str">
        <f t="shared" si="77"/>
        <v>M</v>
      </c>
      <c r="U1280" t="str">
        <f t="shared" si="78"/>
        <v>KY</v>
      </c>
      <c r="V1280" t="str">
        <f t="shared" si="79"/>
        <v>9657</v>
      </c>
    </row>
    <row r="1281" spans="1:22" x14ac:dyDescent="0.35">
      <c r="A1281">
        <v>107279</v>
      </c>
      <c r="B1281" t="s">
        <v>59</v>
      </c>
      <c r="C1281" t="s">
        <v>17</v>
      </c>
      <c r="D1281">
        <v>825</v>
      </c>
      <c r="E1281">
        <v>417</v>
      </c>
      <c r="F1281">
        <v>503</v>
      </c>
      <c r="G1281">
        <v>2</v>
      </c>
      <c r="H1281">
        <v>16332</v>
      </c>
      <c r="I1281">
        <v>2</v>
      </c>
      <c r="J1281">
        <v>68</v>
      </c>
      <c r="K1281">
        <v>459</v>
      </c>
      <c r="L1281">
        <v>453</v>
      </c>
      <c r="M1281">
        <v>4</v>
      </c>
      <c r="N1281">
        <f>IFERROR(VLOOKUP(A1281,vlookup_table!$A:$G,2,FALSE),"")</f>
        <v>0</v>
      </c>
      <c r="O1281">
        <f>IFERROR(VLOOKUP(A1281,vlookup_table!$A:$G,4,FALSE),"")</f>
        <v>4701</v>
      </c>
      <c r="P1281" t="str">
        <f>IFERROR(VLOOKUP(A1281,vlookup_table!$A:$G,5,FALSE),"")</f>
        <v>S1</v>
      </c>
      <c r="Q1281">
        <f>IFERROR(VLOOKUP(A1281,vlookup_table!$A:$G,7,FALSE),"")</f>
        <v>4</v>
      </c>
      <c r="R1281">
        <f t="shared" si="76"/>
        <v>50</v>
      </c>
      <c r="S1281" t="str" cm="1">
        <f t="array" ref="S1281">IF(P1281="","",_xlfn.SWITCH(LEFT(P1281,1),"C","Ciudad","T","Pueblo","R","Rural","S","Suburbano","U","Urbano",""))</f>
        <v>Suburbano</v>
      </c>
      <c r="T1281" t="str">
        <f t="shared" si="77"/>
        <v>F</v>
      </c>
      <c r="U1281" t="str">
        <f t="shared" si="78"/>
        <v>NE</v>
      </c>
      <c r="V1281" t="str">
        <f t="shared" si="79"/>
        <v>16332</v>
      </c>
    </row>
    <row r="1282" spans="1:22" x14ac:dyDescent="0.35">
      <c r="A1282">
        <v>88886</v>
      </c>
      <c r="B1282" t="s">
        <v>16</v>
      </c>
      <c r="C1282" t="s">
        <v>14</v>
      </c>
      <c r="D1282">
        <v>962</v>
      </c>
      <c r="E1282">
        <v>391</v>
      </c>
      <c r="F1282">
        <v>486</v>
      </c>
      <c r="G1282">
        <v>12</v>
      </c>
      <c r="H1282">
        <v>17404</v>
      </c>
      <c r="I1282">
        <v>3</v>
      </c>
      <c r="J1282">
        <v>67</v>
      </c>
      <c r="K1282">
        <v>444</v>
      </c>
      <c r="L1282">
        <v>452</v>
      </c>
      <c r="M1282">
        <v>35</v>
      </c>
      <c r="N1282">
        <f>IFERROR(VLOOKUP(A1282,vlookup_table!$A:$G,2,FALSE),"")</f>
        <v>1</v>
      </c>
      <c r="O1282">
        <f>IFERROR(VLOOKUP(A1282,vlookup_table!$A:$G,4,FALSE),"")</f>
        <v>5411</v>
      </c>
      <c r="P1282" t="str">
        <f>IFERROR(VLOOKUP(A1282,vlookup_table!$A:$G,5,FALSE),"")</f>
        <v>R2</v>
      </c>
      <c r="Q1282">
        <f>IFERROR(VLOOKUP(A1282,vlookup_table!$A:$G,7,FALSE),"")</f>
        <v>40</v>
      </c>
      <c r="R1282">
        <f t="shared" ref="R1282:R1345" si="80">IF(O1282="","",97-INT(O1282/100))</f>
        <v>43</v>
      </c>
      <c r="S1282" t="str" cm="1">
        <f t="array" ref="S1282">IF(P1282="","",_xlfn.SWITCH(LEFT(P1282,1),"C","Ciudad","T","Pueblo","R","Rural","S","Suburbano","U","Urbano",""))</f>
        <v>Rural</v>
      </c>
      <c r="T1282" t="str">
        <f t="shared" ref="T1282:T1345" si="81">IF(C1282="","",IF(OR(UPPER(C1282)="M",UPPER(C1282)="MALE"),"M",IF(OR(UPPER(C1282)="F",UPPER(C1282)="FEMALE",UPPER(C1282)="FEAMALE"),"F",C1282)))</f>
        <v>M</v>
      </c>
      <c r="U1282" t="str">
        <f t="shared" ref="U1282:U1345" si="82">IF(OR(UPPER(B1282)="CALIFORNIA",UPPER(B1282)="CALI"),"CA",B1282)</f>
        <v>IL</v>
      </c>
      <c r="V1282" t="str">
        <f t="shared" ref="V1282:V1345" si="83">SUBSTITUTE(H1282,"@","")</f>
        <v>17404</v>
      </c>
    </row>
    <row r="1283" spans="1:22" x14ac:dyDescent="0.35">
      <c r="A1283">
        <v>190552</v>
      </c>
      <c r="B1283" t="s">
        <v>54</v>
      </c>
      <c r="C1283" t="s">
        <v>14</v>
      </c>
      <c r="D1283">
        <v>1082</v>
      </c>
      <c r="E1283">
        <v>482</v>
      </c>
      <c r="F1283">
        <v>609</v>
      </c>
      <c r="G1283">
        <v>2</v>
      </c>
      <c r="H1283">
        <v>22454</v>
      </c>
      <c r="I1283">
        <v>4</v>
      </c>
      <c r="J1283">
        <v>24</v>
      </c>
      <c r="K1283">
        <v>566</v>
      </c>
      <c r="L1283">
        <v>522</v>
      </c>
      <c r="M1283">
        <v>10.08333333</v>
      </c>
      <c r="N1283">
        <f>IFERROR(VLOOKUP(A1283,vlookup_table!$A:$G,2,FALSE),"")</f>
        <v>1</v>
      </c>
      <c r="O1283">
        <f>IFERROR(VLOOKUP(A1283,vlookup_table!$A:$G,4,FALSE),"")</f>
        <v>3501</v>
      </c>
      <c r="P1283">
        <f>IFERROR(VLOOKUP(A1283,vlookup_table!$A:$G,5,FALSE),"")</f>
        <v>0</v>
      </c>
      <c r="Q1283">
        <f>IFERROR(VLOOKUP(A1283,vlookup_table!$A:$G,7,FALSE),"")</f>
        <v>7</v>
      </c>
      <c r="R1283">
        <f t="shared" si="80"/>
        <v>62</v>
      </c>
      <c r="S1283" t="str" cm="1">
        <f t="array" ref="S1283">IF(P1283="","",_xlfn.SWITCH(LEFT(P1283,1),"C","Ciudad","T","Pueblo","R","Rural","S","Suburbano","U","Urbano",""))</f>
        <v/>
      </c>
      <c r="T1283" t="str">
        <f t="shared" si="81"/>
        <v>M</v>
      </c>
      <c r="U1283" t="str">
        <f t="shared" si="82"/>
        <v>NM</v>
      </c>
      <c r="V1283" t="str">
        <f t="shared" si="83"/>
        <v>22454</v>
      </c>
    </row>
    <row r="1284" spans="1:22" x14ac:dyDescent="0.35">
      <c r="A1284">
        <v>148869</v>
      </c>
      <c r="B1284" t="s">
        <v>22</v>
      </c>
      <c r="C1284" t="s">
        <v>14</v>
      </c>
      <c r="D1284">
        <v>2362</v>
      </c>
      <c r="E1284">
        <v>613</v>
      </c>
      <c r="F1284">
        <v>678</v>
      </c>
      <c r="G1284">
        <v>74</v>
      </c>
      <c r="H1284">
        <v>21179</v>
      </c>
      <c r="I1284">
        <v>9</v>
      </c>
      <c r="J1284">
        <v>61</v>
      </c>
      <c r="K1284">
        <v>632</v>
      </c>
      <c r="L1284">
        <v>655</v>
      </c>
      <c r="M1284">
        <v>13.375</v>
      </c>
      <c r="N1284">
        <f>IFERROR(VLOOKUP(A1284,vlookup_table!$A:$G,2,FALSE),"")</f>
        <v>1</v>
      </c>
      <c r="O1284">
        <f>IFERROR(VLOOKUP(A1284,vlookup_table!$A:$G,4,FALSE),"")</f>
        <v>6401</v>
      </c>
      <c r="P1284" t="str">
        <f>IFERROR(VLOOKUP(A1284,vlookup_table!$A:$G,5,FALSE),"")</f>
        <v>C1</v>
      </c>
      <c r="Q1284">
        <f>IFERROR(VLOOKUP(A1284,vlookup_table!$A:$G,7,FALSE),"")</f>
        <v>15</v>
      </c>
      <c r="R1284">
        <f t="shared" si="80"/>
        <v>33</v>
      </c>
      <c r="S1284" t="str" cm="1">
        <f t="array" ref="S1284">IF(P1284="","",_xlfn.SWITCH(LEFT(P1284,1),"C","Ciudad","T","Pueblo","R","Rural","S","Suburbano","U","Urbano",""))</f>
        <v>Ciudad</v>
      </c>
      <c r="T1284" t="str">
        <f t="shared" si="81"/>
        <v>M</v>
      </c>
      <c r="U1284" t="str">
        <f t="shared" si="82"/>
        <v>CA</v>
      </c>
      <c r="V1284" t="str">
        <f t="shared" si="83"/>
        <v>21179</v>
      </c>
    </row>
    <row r="1285" spans="1:22" x14ac:dyDescent="0.35">
      <c r="A1285">
        <v>146463</v>
      </c>
      <c r="B1285" t="s">
        <v>22</v>
      </c>
      <c r="C1285" t="s">
        <v>30</v>
      </c>
      <c r="D1285">
        <v>2163</v>
      </c>
      <c r="E1285">
        <v>484</v>
      </c>
      <c r="F1285">
        <v>581</v>
      </c>
      <c r="G1285">
        <v>67</v>
      </c>
      <c r="H1285">
        <v>17262</v>
      </c>
      <c r="I1285">
        <v>7</v>
      </c>
      <c r="J1285">
        <v>66</v>
      </c>
      <c r="K1285">
        <v>522</v>
      </c>
      <c r="L1285">
        <v>537</v>
      </c>
      <c r="M1285">
        <v>4.8333333329999997</v>
      </c>
      <c r="N1285">
        <f>IFERROR(VLOOKUP(A1285,vlookup_table!$A:$G,2,FALSE),"")</f>
        <v>0</v>
      </c>
      <c r="O1285">
        <f>IFERROR(VLOOKUP(A1285,vlookup_table!$A:$G,4,FALSE),"")</f>
        <v>2601</v>
      </c>
      <c r="P1285" t="str">
        <f>IFERROR(VLOOKUP(A1285,vlookup_table!$A:$G,5,FALSE),"")</f>
        <v>U2</v>
      </c>
      <c r="Q1285">
        <f>IFERROR(VLOOKUP(A1285,vlookup_table!$A:$G,7,FALSE),"")</f>
        <v>5</v>
      </c>
      <c r="R1285">
        <f t="shared" si="80"/>
        <v>71</v>
      </c>
      <c r="S1285" t="str" cm="1">
        <f t="array" ref="S1285">IF(P1285="","",_xlfn.SWITCH(LEFT(P1285,1),"C","Ciudad","T","Pueblo","R","Rural","S","Suburbano","U","Urbano",""))</f>
        <v>Urbano</v>
      </c>
      <c r="T1285" t="str">
        <f t="shared" si="81"/>
        <v>U</v>
      </c>
      <c r="U1285" t="str">
        <f t="shared" si="82"/>
        <v>CA</v>
      </c>
      <c r="V1285" t="str">
        <f t="shared" si="83"/>
        <v>17262</v>
      </c>
    </row>
    <row r="1286" spans="1:22" x14ac:dyDescent="0.35">
      <c r="A1286">
        <v>85204</v>
      </c>
      <c r="B1286" t="s">
        <v>56</v>
      </c>
      <c r="C1286" t="s">
        <v>14</v>
      </c>
      <c r="D1286">
        <v>359</v>
      </c>
      <c r="E1286">
        <v>168</v>
      </c>
      <c r="F1286">
        <v>269</v>
      </c>
      <c r="G1286">
        <v>1</v>
      </c>
      <c r="H1286">
        <v>9568</v>
      </c>
      <c r="I1286">
        <v>1</v>
      </c>
      <c r="J1286">
        <v>85</v>
      </c>
      <c r="K1286">
        <v>258</v>
      </c>
      <c r="L1286">
        <v>203</v>
      </c>
      <c r="M1286">
        <v>11.91666667</v>
      </c>
      <c r="N1286">
        <f>IFERROR(VLOOKUP(A1286,vlookup_table!$A:$G,2,FALSE),"")</f>
        <v>1</v>
      </c>
      <c r="O1286">
        <f>IFERROR(VLOOKUP(A1286,vlookup_table!$A:$G,4,FALSE),"")</f>
        <v>2210</v>
      </c>
      <c r="P1286" t="str">
        <f>IFERROR(VLOOKUP(A1286,vlookup_table!$A:$G,5,FALSE),"")</f>
        <v>R2</v>
      </c>
      <c r="Q1286">
        <f>IFERROR(VLOOKUP(A1286,vlookup_table!$A:$G,7,FALSE),"")</f>
        <v>20</v>
      </c>
      <c r="R1286">
        <f t="shared" si="80"/>
        <v>75</v>
      </c>
      <c r="S1286" t="str" cm="1">
        <f t="array" ref="S1286">IF(P1286="","",_xlfn.SWITCH(LEFT(P1286,1),"C","Ciudad","T","Pueblo","R","Rural","S","Suburbano","U","Urbano",""))</f>
        <v>Rural</v>
      </c>
      <c r="T1286" t="str">
        <f t="shared" si="81"/>
        <v>M</v>
      </c>
      <c r="U1286" t="str">
        <f t="shared" si="82"/>
        <v>MN</v>
      </c>
      <c r="V1286" t="str">
        <f t="shared" si="83"/>
        <v>9568</v>
      </c>
    </row>
    <row r="1287" spans="1:22" x14ac:dyDescent="0.35">
      <c r="A1287">
        <v>143782</v>
      </c>
      <c r="B1287" t="s">
        <v>22</v>
      </c>
      <c r="C1287" t="s">
        <v>14</v>
      </c>
      <c r="D1287">
        <v>5854</v>
      </c>
      <c r="E1287">
        <v>927</v>
      </c>
      <c r="F1287">
        <v>993</v>
      </c>
      <c r="G1287">
        <v>99</v>
      </c>
      <c r="H1287">
        <v>45167</v>
      </c>
      <c r="I1287">
        <v>15</v>
      </c>
      <c r="J1287">
        <v>43</v>
      </c>
      <c r="K1287">
        <v>1077</v>
      </c>
      <c r="L1287">
        <v>920</v>
      </c>
      <c r="M1287">
        <v>28</v>
      </c>
      <c r="N1287">
        <f>IFERROR(VLOOKUP(A1287,vlookup_table!$A:$G,2,FALSE),"")</f>
        <v>1</v>
      </c>
      <c r="O1287">
        <f>IFERROR(VLOOKUP(A1287,vlookup_table!$A:$G,4,FALSE),"")</f>
        <v>4801</v>
      </c>
      <c r="P1287" t="str">
        <f>IFERROR(VLOOKUP(A1287,vlookup_table!$A:$G,5,FALSE),"")</f>
        <v>S1</v>
      </c>
      <c r="Q1287">
        <f>IFERROR(VLOOKUP(A1287,vlookup_table!$A:$G,7,FALSE),"")</f>
        <v>25</v>
      </c>
      <c r="R1287">
        <f t="shared" si="80"/>
        <v>49</v>
      </c>
      <c r="S1287" t="str" cm="1">
        <f t="array" ref="S1287">IF(P1287="","",_xlfn.SWITCH(LEFT(P1287,1),"C","Ciudad","T","Pueblo","R","Rural","S","Suburbano","U","Urbano",""))</f>
        <v>Suburbano</v>
      </c>
      <c r="T1287" t="str">
        <f t="shared" si="81"/>
        <v>M</v>
      </c>
      <c r="U1287" t="str">
        <f t="shared" si="82"/>
        <v>CA</v>
      </c>
      <c r="V1287" t="str">
        <f t="shared" si="83"/>
        <v>45167</v>
      </c>
    </row>
    <row r="1288" spans="1:22" x14ac:dyDescent="0.35">
      <c r="A1288">
        <v>17102</v>
      </c>
      <c r="B1288" t="s">
        <v>18</v>
      </c>
      <c r="C1288" t="s">
        <v>20</v>
      </c>
      <c r="D1288">
        <v>685</v>
      </c>
      <c r="E1288">
        <v>271</v>
      </c>
      <c r="F1288">
        <v>396</v>
      </c>
      <c r="G1288">
        <v>1</v>
      </c>
      <c r="H1288">
        <v>13235</v>
      </c>
      <c r="I1288">
        <v>0</v>
      </c>
      <c r="J1288">
        <v>67</v>
      </c>
      <c r="K1288">
        <v>314</v>
      </c>
      <c r="L1288">
        <v>339</v>
      </c>
      <c r="M1288">
        <v>5.692307692</v>
      </c>
      <c r="N1288">
        <f>IFERROR(VLOOKUP(A1288,vlookup_table!$A:$G,2,FALSE),"")</f>
        <v>2</v>
      </c>
      <c r="O1288">
        <f>IFERROR(VLOOKUP(A1288,vlookup_table!$A:$G,4,FALSE),"")</f>
        <v>0</v>
      </c>
      <c r="P1288" t="str">
        <f>IFERROR(VLOOKUP(A1288,vlookup_table!$A:$G,5,FALSE),"")</f>
        <v>T2</v>
      </c>
      <c r="Q1288">
        <f>IFERROR(VLOOKUP(A1288,vlookup_table!$A:$G,7,FALSE),"")</f>
        <v>7</v>
      </c>
      <c r="R1288">
        <f t="shared" si="80"/>
        <v>97</v>
      </c>
      <c r="S1288" t="str" cm="1">
        <f t="array" ref="S1288">IF(P1288="","",_xlfn.SWITCH(LEFT(P1288,1),"C","Ciudad","T","Pueblo","R","Rural","S","Suburbano","U","Urbano",""))</f>
        <v>Pueblo</v>
      </c>
      <c r="T1288" t="str">
        <f t="shared" si="81"/>
        <v>F</v>
      </c>
      <c r="U1288" t="str">
        <f t="shared" si="82"/>
        <v>NC</v>
      </c>
      <c r="V1288" t="str">
        <f t="shared" si="83"/>
        <v>13235</v>
      </c>
    </row>
    <row r="1289" spans="1:22" x14ac:dyDescent="0.35">
      <c r="A1289">
        <v>190157</v>
      </c>
      <c r="B1289" t="s">
        <v>18</v>
      </c>
      <c r="C1289" t="s">
        <v>20</v>
      </c>
      <c r="D1289">
        <v>603</v>
      </c>
      <c r="E1289">
        <v>173</v>
      </c>
      <c r="F1289">
        <v>329</v>
      </c>
      <c r="G1289">
        <v>4</v>
      </c>
      <c r="H1289">
        <v>12562</v>
      </c>
      <c r="I1289">
        <v>3</v>
      </c>
      <c r="J1289">
        <v>84</v>
      </c>
      <c r="K1289">
        <v>215</v>
      </c>
      <c r="L1289">
        <v>239</v>
      </c>
      <c r="M1289">
        <v>9.8571428569999995</v>
      </c>
      <c r="N1289">
        <f>IFERROR(VLOOKUP(A1289,vlookup_table!$A:$G,2,FALSE),"")</f>
        <v>0</v>
      </c>
      <c r="O1289">
        <f>IFERROR(VLOOKUP(A1289,vlookup_table!$A:$G,4,FALSE),"")</f>
        <v>0</v>
      </c>
      <c r="P1289" t="str">
        <f>IFERROR(VLOOKUP(A1289,vlookup_table!$A:$G,5,FALSE),"")</f>
        <v>T2</v>
      </c>
      <c r="Q1289">
        <f>IFERROR(VLOOKUP(A1289,vlookup_table!$A:$G,7,FALSE),"")</f>
        <v>15</v>
      </c>
      <c r="R1289">
        <f t="shared" si="80"/>
        <v>97</v>
      </c>
      <c r="S1289" t="str" cm="1">
        <f t="array" ref="S1289">IF(P1289="","",_xlfn.SWITCH(LEFT(P1289,1),"C","Ciudad","T","Pueblo","R","Rural","S","Suburbano","U","Urbano",""))</f>
        <v>Pueblo</v>
      </c>
      <c r="T1289" t="str">
        <f t="shared" si="81"/>
        <v>F</v>
      </c>
      <c r="U1289" t="str">
        <f t="shared" si="82"/>
        <v>NC</v>
      </c>
      <c r="V1289" t="str">
        <f t="shared" si="83"/>
        <v>12562</v>
      </c>
    </row>
    <row r="1290" spans="1:22" x14ac:dyDescent="0.35">
      <c r="A1290">
        <v>93681</v>
      </c>
      <c r="B1290" t="s">
        <v>16</v>
      </c>
      <c r="C1290" t="s">
        <v>14</v>
      </c>
      <c r="D1290">
        <v>682</v>
      </c>
      <c r="E1290">
        <v>322</v>
      </c>
      <c r="F1290">
        <v>336</v>
      </c>
      <c r="G1290">
        <v>1</v>
      </c>
      <c r="H1290">
        <v>8194</v>
      </c>
      <c r="I1290">
        <v>0</v>
      </c>
      <c r="J1290">
        <v>62</v>
      </c>
      <c r="K1290">
        <v>359</v>
      </c>
      <c r="L1290">
        <v>297</v>
      </c>
      <c r="M1290">
        <v>12.33333333</v>
      </c>
      <c r="N1290">
        <f>IFERROR(VLOOKUP(A1290,vlookup_table!$A:$G,2,FALSE),"")</f>
        <v>1</v>
      </c>
      <c r="O1290">
        <f>IFERROR(VLOOKUP(A1290,vlookup_table!$A:$G,4,FALSE),"")</f>
        <v>2309</v>
      </c>
      <c r="P1290" t="str">
        <f>IFERROR(VLOOKUP(A1290,vlookup_table!$A:$G,5,FALSE),"")</f>
        <v>U3</v>
      </c>
      <c r="Q1290">
        <f>IFERROR(VLOOKUP(A1290,vlookup_table!$A:$G,7,FALSE),"")</f>
        <v>16</v>
      </c>
      <c r="R1290">
        <f t="shared" si="80"/>
        <v>74</v>
      </c>
      <c r="S1290" t="str" cm="1">
        <f t="array" ref="S1290">IF(P1290="","",_xlfn.SWITCH(LEFT(P1290,1),"C","Ciudad","T","Pueblo","R","Rural","S","Suburbano","U","Urbano",""))</f>
        <v>Urbano</v>
      </c>
      <c r="T1290" t="str">
        <f t="shared" si="81"/>
        <v>M</v>
      </c>
      <c r="U1290" t="str">
        <f t="shared" si="82"/>
        <v>IL</v>
      </c>
      <c r="V1290" t="str">
        <f t="shared" si="83"/>
        <v>8194</v>
      </c>
    </row>
    <row r="1291" spans="1:22" x14ac:dyDescent="0.35">
      <c r="A1291">
        <v>105741</v>
      </c>
      <c r="B1291" t="s">
        <v>28</v>
      </c>
      <c r="C1291" t="s">
        <v>14</v>
      </c>
      <c r="D1291">
        <v>581</v>
      </c>
      <c r="E1291">
        <v>295</v>
      </c>
      <c r="F1291">
        <v>402</v>
      </c>
      <c r="G1291">
        <v>1</v>
      </c>
      <c r="H1291">
        <v>13925</v>
      </c>
      <c r="I1291">
        <v>5</v>
      </c>
      <c r="J1291">
        <v>65</v>
      </c>
      <c r="K1291">
        <v>349</v>
      </c>
      <c r="L1291">
        <v>349</v>
      </c>
      <c r="M1291">
        <v>17</v>
      </c>
      <c r="N1291">
        <f>IFERROR(VLOOKUP(A1291,vlookup_table!$A:$G,2,FALSE),"")</f>
        <v>2</v>
      </c>
      <c r="O1291">
        <f>IFERROR(VLOOKUP(A1291,vlookup_table!$A:$G,4,FALSE),"")</f>
        <v>4401</v>
      </c>
      <c r="P1291" t="str">
        <f>IFERROR(VLOOKUP(A1291,vlookup_table!$A:$G,5,FALSE),"")</f>
        <v>S2</v>
      </c>
      <c r="Q1291">
        <f>IFERROR(VLOOKUP(A1291,vlookup_table!$A:$G,7,FALSE),"")</f>
        <v>20</v>
      </c>
      <c r="R1291">
        <f t="shared" si="80"/>
        <v>53</v>
      </c>
      <c r="S1291" t="str" cm="1">
        <f t="array" ref="S1291">IF(P1291="","",_xlfn.SWITCH(LEFT(P1291,1),"C","Ciudad","T","Pueblo","R","Rural","S","Suburbano","U","Urbano",""))</f>
        <v>Suburbano</v>
      </c>
      <c r="T1291" t="str">
        <f t="shared" si="81"/>
        <v>M</v>
      </c>
      <c r="U1291" t="str">
        <f t="shared" si="82"/>
        <v>KS</v>
      </c>
      <c r="V1291" t="str">
        <f t="shared" si="83"/>
        <v>13925</v>
      </c>
    </row>
    <row r="1292" spans="1:22" x14ac:dyDescent="0.35">
      <c r="A1292">
        <v>98962</v>
      </c>
      <c r="B1292" t="s">
        <v>16</v>
      </c>
      <c r="C1292" t="s">
        <v>17</v>
      </c>
      <c r="D1292">
        <v>380</v>
      </c>
      <c r="E1292">
        <v>229</v>
      </c>
      <c r="F1292">
        <v>351</v>
      </c>
      <c r="G1292">
        <v>1</v>
      </c>
      <c r="H1292">
        <v>11773</v>
      </c>
      <c r="I1292">
        <v>1</v>
      </c>
      <c r="J1292">
        <v>86</v>
      </c>
      <c r="K1292">
        <v>277</v>
      </c>
      <c r="L1292">
        <v>299</v>
      </c>
      <c r="M1292">
        <v>11.66666667</v>
      </c>
      <c r="N1292">
        <f>IFERROR(VLOOKUP(A1292,vlookup_table!$A:$G,2,FALSE),"")</f>
        <v>0</v>
      </c>
      <c r="O1292">
        <f>IFERROR(VLOOKUP(A1292,vlookup_table!$A:$G,4,FALSE),"")</f>
        <v>2308</v>
      </c>
      <c r="P1292" t="str">
        <f>IFERROR(VLOOKUP(A1292,vlookup_table!$A:$G,5,FALSE),"")</f>
        <v>R2</v>
      </c>
      <c r="Q1292">
        <f>IFERROR(VLOOKUP(A1292,vlookup_table!$A:$G,7,FALSE),"")</f>
        <v>25</v>
      </c>
      <c r="R1292">
        <f t="shared" si="80"/>
        <v>74</v>
      </c>
      <c r="S1292" t="str" cm="1">
        <f t="array" ref="S1292">IF(P1292="","",_xlfn.SWITCH(LEFT(P1292,1),"C","Ciudad","T","Pueblo","R","Rural","S","Suburbano","U","Urbano",""))</f>
        <v>Rural</v>
      </c>
      <c r="T1292" t="str">
        <f t="shared" si="81"/>
        <v>F</v>
      </c>
      <c r="U1292" t="str">
        <f t="shared" si="82"/>
        <v>IL</v>
      </c>
      <c r="V1292" t="str">
        <f t="shared" si="83"/>
        <v>11773</v>
      </c>
    </row>
    <row r="1293" spans="1:22" x14ac:dyDescent="0.35">
      <c r="A1293">
        <v>32552</v>
      </c>
      <c r="B1293" t="s">
        <v>13</v>
      </c>
      <c r="C1293" t="s">
        <v>17</v>
      </c>
      <c r="D1293">
        <v>1229</v>
      </c>
      <c r="E1293">
        <v>469</v>
      </c>
      <c r="F1293">
        <v>544</v>
      </c>
      <c r="G1293">
        <v>21</v>
      </c>
      <c r="H1293">
        <v>17313</v>
      </c>
      <c r="I1293">
        <v>2</v>
      </c>
      <c r="J1293">
        <v>30</v>
      </c>
      <c r="K1293">
        <v>502</v>
      </c>
      <c r="L1293">
        <v>507</v>
      </c>
      <c r="M1293">
        <v>7.5</v>
      </c>
      <c r="N1293">
        <f>IFERROR(VLOOKUP(A1293,vlookup_table!$A:$G,2,FALSE),"")</f>
        <v>0</v>
      </c>
      <c r="O1293">
        <f>IFERROR(VLOOKUP(A1293,vlookup_table!$A:$G,4,FALSE),"")</f>
        <v>3802</v>
      </c>
      <c r="P1293" t="str">
        <f>IFERROR(VLOOKUP(A1293,vlookup_table!$A:$G,5,FALSE),"")</f>
        <v>T1</v>
      </c>
      <c r="Q1293">
        <f>IFERROR(VLOOKUP(A1293,vlookup_table!$A:$G,7,FALSE),"")</f>
        <v>20</v>
      </c>
      <c r="R1293">
        <f t="shared" si="80"/>
        <v>59</v>
      </c>
      <c r="S1293" t="str" cm="1">
        <f t="array" ref="S1293">IF(P1293="","",_xlfn.SWITCH(LEFT(P1293,1),"C","Ciudad","T","Pueblo","R","Rural","S","Suburbano","U","Urbano",""))</f>
        <v>Pueblo</v>
      </c>
      <c r="T1293" t="str">
        <f t="shared" si="81"/>
        <v>F</v>
      </c>
      <c r="U1293" t="str">
        <f t="shared" si="82"/>
        <v>FL</v>
      </c>
      <c r="V1293" t="str">
        <f t="shared" si="83"/>
        <v>17313</v>
      </c>
    </row>
    <row r="1294" spans="1:22" x14ac:dyDescent="0.35">
      <c r="A1294">
        <v>23465</v>
      </c>
      <c r="B1294" t="s">
        <v>46</v>
      </c>
      <c r="C1294" t="s">
        <v>17</v>
      </c>
      <c r="D1294">
        <v>689</v>
      </c>
      <c r="E1294">
        <v>313</v>
      </c>
      <c r="F1294">
        <v>350</v>
      </c>
      <c r="G1294">
        <v>0</v>
      </c>
      <c r="H1294">
        <v>12601</v>
      </c>
      <c r="I1294">
        <v>1</v>
      </c>
      <c r="J1294">
        <v>69</v>
      </c>
      <c r="K1294">
        <v>320</v>
      </c>
      <c r="L1294">
        <v>343</v>
      </c>
      <c r="M1294">
        <v>12</v>
      </c>
      <c r="N1294">
        <f>IFERROR(VLOOKUP(A1294,vlookup_table!$A:$G,2,FALSE),"")</f>
        <v>1</v>
      </c>
      <c r="O1294">
        <f>IFERROR(VLOOKUP(A1294,vlookup_table!$A:$G,4,FALSE),"")</f>
        <v>2701</v>
      </c>
      <c r="P1294" t="str">
        <f>IFERROR(VLOOKUP(A1294,vlookup_table!$A:$G,5,FALSE),"")</f>
        <v>S2</v>
      </c>
      <c r="Q1294">
        <f>IFERROR(VLOOKUP(A1294,vlookup_table!$A:$G,7,FALSE),"")</f>
        <v>15</v>
      </c>
      <c r="R1294">
        <f t="shared" si="80"/>
        <v>70</v>
      </c>
      <c r="S1294" t="str" cm="1">
        <f t="array" ref="S1294">IF(P1294="","",_xlfn.SWITCH(LEFT(P1294,1),"C","Ciudad","T","Pueblo","R","Rural","S","Suburbano","U","Urbano",""))</f>
        <v>Suburbano</v>
      </c>
      <c r="T1294" t="str">
        <f t="shared" si="81"/>
        <v>F</v>
      </c>
      <c r="U1294" t="str">
        <f t="shared" si="82"/>
        <v>SC</v>
      </c>
      <c r="V1294" t="str">
        <f t="shared" si="83"/>
        <v>12601</v>
      </c>
    </row>
    <row r="1295" spans="1:22" x14ac:dyDescent="0.35">
      <c r="A1295">
        <v>155130</v>
      </c>
      <c r="B1295" t="s">
        <v>22</v>
      </c>
      <c r="C1295" t="s">
        <v>14</v>
      </c>
      <c r="D1295">
        <v>1715</v>
      </c>
      <c r="E1295">
        <v>607</v>
      </c>
      <c r="F1295">
        <v>660</v>
      </c>
      <c r="G1295">
        <v>34</v>
      </c>
      <c r="H1295">
        <v>21473</v>
      </c>
      <c r="I1295">
        <v>10</v>
      </c>
      <c r="J1295">
        <v>55</v>
      </c>
      <c r="K1295">
        <v>619</v>
      </c>
      <c r="L1295">
        <v>647</v>
      </c>
      <c r="M1295">
        <v>4.8</v>
      </c>
      <c r="N1295">
        <f>IFERROR(VLOOKUP(A1295,vlookup_table!$A:$G,2,FALSE),"")</f>
        <v>1</v>
      </c>
      <c r="O1295">
        <f>IFERROR(VLOOKUP(A1295,vlookup_table!$A:$G,4,FALSE),"")</f>
        <v>4901</v>
      </c>
      <c r="P1295" t="str">
        <f>IFERROR(VLOOKUP(A1295,vlookup_table!$A:$G,5,FALSE),"")</f>
        <v>S1</v>
      </c>
      <c r="Q1295" t="str">
        <f>IFERROR(VLOOKUP(A1295,vlookup_table!$A:$G,7,FALSE),"")</f>
        <v>4.5</v>
      </c>
      <c r="R1295">
        <f t="shared" si="80"/>
        <v>48</v>
      </c>
      <c r="S1295" t="str" cm="1">
        <f t="array" ref="S1295">IF(P1295="","",_xlfn.SWITCH(LEFT(P1295,1),"C","Ciudad","T","Pueblo","R","Rural","S","Suburbano","U","Urbano",""))</f>
        <v>Suburbano</v>
      </c>
      <c r="T1295" t="str">
        <f t="shared" si="81"/>
        <v>M</v>
      </c>
      <c r="U1295" t="str">
        <f t="shared" si="82"/>
        <v>CA</v>
      </c>
      <c r="V1295" t="str">
        <f t="shared" si="83"/>
        <v>21473</v>
      </c>
    </row>
    <row r="1296" spans="1:22" x14ac:dyDescent="0.35">
      <c r="A1296">
        <v>15017</v>
      </c>
      <c r="B1296" t="s">
        <v>13</v>
      </c>
      <c r="C1296" t="s">
        <v>17</v>
      </c>
      <c r="D1296">
        <v>762</v>
      </c>
      <c r="E1296">
        <v>254</v>
      </c>
      <c r="F1296">
        <v>411</v>
      </c>
      <c r="G1296">
        <v>7</v>
      </c>
      <c r="H1296">
        <v>17458</v>
      </c>
      <c r="I1296">
        <v>7</v>
      </c>
      <c r="J1296">
        <v>13</v>
      </c>
      <c r="K1296">
        <v>355</v>
      </c>
      <c r="L1296">
        <v>327</v>
      </c>
      <c r="M1296">
        <v>8.7619047620000003</v>
      </c>
      <c r="N1296">
        <f>IFERROR(VLOOKUP(A1296,vlookup_table!$A:$G,2,FALSE),"")</f>
        <v>0</v>
      </c>
      <c r="O1296">
        <f>IFERROR(VLOOKUP(A1296,vlookup_table!$A:$G,4,FALSE),"")</f>
        <v>0</v>
      </c>
      <c r="P1296">
        <f>IFERROR(VLOOKUP(A1296,vlookup_table!$A:$G,5,FALSE),"")</f>
        <v>0</v>
      </c>
      <c r="Q1296">
        <f>IFERROR(VLOOKUP(A1296,vlookup_table!$A:$G,7,FALSE),"")</f>
        <v>18</v>
      </c>
      <c r="R1296">
        <f t="shared" si="80"/>
        <v>97</v>
      </c>
      <c r="S1296" t="str" cm="1">
        <f t="array" ref="S1296">IF(P1296="","",_xlfn.SWITCH(LEFT(P1296,1),"C","Ciudad","T","Pueblo","R","Rural","S","Suburbano","U","Urbano",""))</f>
        <v/>
      </c>
      <c r="T1296" t="str">
        <f t="shared" si="81"/>
        <v>F</v>
      </c>
      <c r="U1296" t="str">
        <f t="shared" si="82"/>
        <v>FL</v>
      </c>
      <c r="V1296" t="str">
        <f t="shared" si="83"/>
        <v>17458</v>
      </c>
    </row>
    <row r="1297" spans="1:22" x14ac:dyDescent="0.35">
      <c r="A1297">
        <v>123438</v>
      </c>
      <c r="B1297" t="s">
        <v>21</v>
      </c>
      <c r="C1297" t="s">
        <v>17</v>
      </c>
      <c r="D1297">
        <v>683</v>
      </c>
      <c r="E1297">
        <v>449</v>
      </c>
      <c r="F1297">
        <v>507</v>
      </c>
      <c r="G1297">
        <v>0</v>
      </c>
      <c r="H1297">
        <v>19552</v>
      </c>
      <c r="I1297">
        <v>6</v>
      </c>
      <c r="J1297">
        <v>50</v>
      </c>
      <c r="K1297">
        <v>471</v>
      </c>
      <c r="L1297">
        <v>484</v>
      </c>
      <c r="M1297">
        <v>6.8125</v>
      </c>
      <c r="N1297">
        <f>IFERROR(VLOOKUP(A1297,vlookup_table!$A:$G,2,FALSE),"")</f>
        <v>0</v>
      </c>
      <c r="O1297">
        <f>IFERROR(VLOOKUP(A1297,vlookup_table!$A:$G,4,FALSE),"")</f>
        <v>6601</v>
      </c>
      <c r="P1297" t="str">
        <f>IFERROR(VLOOKUP(A1297,vlookup_table!$A:$G,5,FALSE),"")</f>
        <v>T2</v>
      </c>
      <c r="Q1297">
        <f>IFERROR(VLOOKUP(A1297,vlookup_table!$A:$G,7,FALSE),"")</f>
        <v>3</v>
      </c>
      <c r="R1297">
        <f t="shared" si="80"/>
        <v>31</v>
      </c>
      <c r="S1297" t="str" cm="1">
        <f t="array" ref="S1297">IF(P1297="","",_xlfn.SWITCH(LEFT(P1297,1),"C","Ciudad","T","Pueblo","R","Rural","S","Suburbano","U","Urbano",""))</f>
        <v>Pueblo</v>
      </c>
      <c r="T1297" t="str">
        <f t="shared" si="81"/>
        <v>F</v>
      </c>
      <c r="U1297" t="str">
        <f t="shared" si="82"/>
        <v>TX</v>
      </c>
      <c r="V1297" t="str">
        <f t="shared" si="83"/>
        <v>19552</v>
      </c>
    </row>
    <row r="1298" spans="1:22" x14ac:dyDescent="0.35">
      <c r="A1298">
        <v>178796</v>
      </c>
      <c r="B1298" t="s">
        <v>40</v>
      </c>
      <c r="C1298" t="s">
        <v>17</v>
      </c>
      <c r="D1298">
        <v>1648</v>
      </c>
      <c r="E1298">
        <v>395</v>
      </c>
      <c r="F1298">
        <v>542</v>
      </c>
      <c r="G1298">
        <v>28</v>
      </c>
      <c r="H1298">
        <v>22216</v>
      </c>
      <c r="I1298">
        <v>5</v>
      </c>
      <c r="J1298">
        <v>50</v>
      </c>
      <c r="K1298">
        <v>488</v>
      </c>
      <c r="L1298">
        <v>480</v>
      </c>
      <c r="M1298">
        <v>8.538461539</v>
      </c>
      <c r="N1298">
        <f>IFERROR(VLOOKUP(A1298,vlookup_table!$A:$G,2,FALSE),"")</f>
        <v>28</v>
      </c>
      <c r="O1298">
        <f>IFERROR(VLOOKUP(A1298,vlookup_table!$A:$G,4,FALSE),"")</f>
        <v>3503</v>
      </c>
      <c r="P1298" t="str">
        <f>IFERROR(VLOOKUP(A1298,vlookup_table!$A:$G,5,FALSE),"")</f>
        <v>S1</v>
      </c>
      <c r="Q1298">
        <f>IFERROR(VLOOKUP(A1298,vlookup_table!$A:$G,7,FALSE),"")</f>
        <v>9</v>
      </c>
      <c r="R1298">
        <f t="shared" si="80"/>
        <v>62</v>
      </c>
      <c r="S1298" t="str" cm="1">
        <f t="array" ref="S1298">IF(P1298="","",_xlfn.SWITCH(LEFT(P1298,1),"C","Ciudad","T","Pueblo","R","Rural","S","Suburbano","U","Urbano",""))</f>
        <v>Suburbano</v>
      </c>
      <c r="T1298" t="str">
        <f t="shared" si="81"/>
        <v>F</v>
      </c>
      <c r="U1298" t="str">
        <f t="shared" si="82"/>
        <v>WA</v>
      </c>
      <c r="V1298" t="str">
        <f t="shared" si="83"/>
        <v>22216</v>
      </c>
    </row>
    <row r="1299" spans="1:22" x14ac:dyDescent="0.35">
      <c r="A1299">
        <v>143790</v>
      </c>
      <c r="B1299" t="s">
        <v>22</v>
      </c>
      <c r="C1299" t="s">
        <v>17</v>
      </c>
      <c r="D1299">
        <v>5907</v>
      </c>
      <c r="E1299">
        <v>1285</v>
      </c>
      <c r="F1299">
        <v>1144</v>
      </c>
      <c r="G1299">
        <v>99</v>
      </c>
      <c r="H1299">
        <v>91205</v>
      </c>
      <c r="I1299">
        <v>18</v>
      </c>
      <c r="J1299">
        <v>26</v>
      </c>
      <c r="K1299">
        <v>1340</v>
      </c>
      <c r="L1299">
        <v>1063</v>
      </c>
      <c r="M1299">
        <v>16</v>
      </c>
      <c r="N1299">
        <f>IFERROR(VLOOKUP(A1299,vlookup_table!$A:$G,2,FALSE),"")</f>
        <v>2</v>
      </c>
      <c r="O1299">
        <f>IFERROR(VLOOKUP(A1299,vlookup_table!$A:$G,4,FALSE),"")</f>
        <v>4101</v>
      </c>
      <c r="P1299" t="str">
        <f>IFERROR(VLOOKUP(A1299,vlookup_table!$A:$G,5,FALSE),"")</f>
        <v>S1</v>
      </c>
      <c r="Q1299">
        <f>IFERROR(VLOOKUP(A1299,vlookup_table!$A:$G,7,FALSE),"")</f>
        <v>15</v>
      </c>
      <c r="R1299">
        <f t="shared" si="80"/>
        <v>56</v>
      </c>
      <c r="S1299" t="str" cm="1">
        <f t="array" ref="S1299">IF(P1299="","",_xlfn.SWITCH(LEFT(P1299,1),"C","Ciudad","T","Pueblo","R","Rural","S","Suburbano","U","Urbano",""))</f>
        <v>Suburbano</v>
      </c>
      <c r="T1299" t="str">
        <f t="shared" si="81"/>
        <v>F</v>
      </c>
      <c r="U1299" t="str">
        <f t="shared" si="82"/>
        <v>CA</v>
      </c>
      <c r="V1299" t="str">
        <f t="shared" si="83"/>
        <v>91205</v>
      </c>
    </row>
    <row r="1300" spans="1:22" x14ac:dyDescent="0.35">
      <c r="A1300">
        <v>173737</v>
      </c>
      <c r="B1300" t="s">
        <v>37</v>
      </c>
      <c r="C1300" t="s">
        <v>14</v>
      </c>
      <c r="D1300">
        <v>1473</v>
      </c>
      <c r="E1300">
        <v>327</v>
      </c>
      <c r="F1300">
        <v>382</v>
      </c>
      <c r="G1300">
        <v>23</v>
      </c>
      <c r="H1300">
        <v>12051</v>
      </c>
      <c r="I1300">
        <v>17</v>
      </c>
      <c r="J1300">
        <v>67</v>
      </c>
      <c r="K1300">
        <v>324</v>
      </c>
      <c r="L1300">
        <v>395</v>
      </c>
      <c r="M1300">
        <v>20.666666670000001</v>
      </c>
      <c r="N1300">
        <f>IFERROR(VLOOKUP(A1300,vlookup_table!$A:$G,2,FALSE),"")</f>
        <v>1</v>
      </c>
      <c r="O1300">
        <f>IFERROR(VLOOKUP(A1300,vlookup_table!$A:$G,4,FALSE),"")</f>
        <v>1801</v>
      </c>
      <c r="P1300" t="str">
        <f>IFERROR(VLOOKUP(A1300,vlookup_table!$A:$G,5,FALSE),"")</f>
        <v>T2</v>
      </c>
      <c r="Q1300">
        <f>IFERROR(VLOOKUP(A1300,vlookup_table!$A:$G,7,FALSE),"")</f>
        <v>20</v>
      </c>
      <c r="R1300">
        <f t="shared" si="80"/>
        <v>79</v>
      </c>
      <c r="S1300" t="str" cm="1">
        <f t="array" ref="S1300">IF(P1300="","",_xlfn.SWITCH(LEFT(P1300,1),"C","Ciudad","T","Pueblo","R","Rural","S","Suburbano","U","Urbano",""))</f>
        <v>Pueblo</v>
      </c>
      <c r="T1300" t="str">
        <f t="shared" si="81"/>
        <v>M</v>
      </c>
      <c r="U1300" t="str">
        <f t="shared" si="82"/>
        <v>HI</v>
      </c>
      <c r="V1300" t="str">
        <f t="shared" si="83"/>
        <v>12051</v>
      </c>
    </row>
    <row r="1301" spans="1:22" x14ac:dyDescent="0.35">
      <c r="A1301">
        <v>57017</v>
      </c>
      <c r="B1301" t="s">
        <v>13</v>
      </c>
      <c r="C1301" t="s">
        <v>17</v>
      </c>
      <c r="D1301">
        <v>484</v>
      </c>
      <c r="E1301">
        <v>150</v>
      </c>
      <c r="F1301">
        <v>266</v>
      </c>
      <c r="G1301">
        <v>0</v>
      </c>
      <c r="H1301">
        <v>11909</v>
      </c>
      <c r="I1301">
        <v>8</v>
      </c>
      <c r="J1301">
        <v>11</v>
      </c>
      <c r="K1301">
        <v>243</v>
      </c>
      <c r="L1301">
        <v>195</v>
      </c>
      <c r="M1301">
        <v>20</v>
      </c>
      <c r="N1301">
        <f>IFERROR(VLOOKUP(A1301,vlookup_table!$A:$G,2,FALSE),"")</f>
        <v>0</v>
      </c>
      <c r="O1301">
        <f>IFERROR(VLOOKUP(A1301,vlookup_table!$A:$G,4,FALSE),"")</f>
        <v>0</v>
      </c>
      <c r="P1301" t="str">
        <f>IFERROR(VLOOKUP(A1301,vlookup_table!$A:$G,5,FALSE),"")</f>
        <v>T2</v>
      </c>
      <c r="Q1301">
        <f>IFERROR(VLOOKUP(A1301,vlookup_table!$A:$G,7,FALSE),"")</f>
        <v>20</v>
      </c>
      <c r="R1301">
        <f t="shared" si="80"/>
        <v>97</v>
      </c>
      <c r="S1301" t="str" cm="1">
        <f t="array" ref="S1301">IF(P1301="","",_xlfn.SWITCH(LEFT(P1301,1),"C","Ciudad","T","Pueblo","R","Rural","S","Suburbano","U","Urbano",""))</f>
        <v>Pueblo</v>
      </c>
      <c r="T1301" t="str">
        <f t="shared" si="81"/>
        <v>F</v>
      </c>
      <c r="U1301" t="str">
        <f t="shared" si="82"/>
        <v>FL</v>
      </c>
      <c r="V1301" t="str">
        <f t="shared" si="83"/>
        <v>11909</v>
      </c>
    </row>
    <row r="1302" spans="1:22" x14ac:dyDescent="0.35">
      <c r="A1302">
        <v>131551</v>
      </c>
      <c r="B1302" t="s">
        <v>48</v>
      </c>
      <c r="C1302" t="s">
        <v>14</v>
      </c>
      <c r="D1302">
        <v>645</v>
      </c>
      <c r="E1302">
        <v>214</v>
      </c>
      <c r="F1302">
        <v>313</v>
      </c>
      <c r="G1302">
        <v>0</v>
      </c>
      <c r="H1302">
        <v>14783</v>
      </c>
      <c r="I1302">
        <v>3</v>
      </c>
      <c r="J1302">
        <v>32</v>
      </c>
      <c r="K1302">
        <v>308</v>
      </c>
      <c r="L1302">
        <v>251</v>
      </c>
      <c r="M1302">
        <v>8.9166666669999994</v>
      </c>
      <c r="N1302">
        <f>IFERROR(VLOOKUP(A1302,vlookup_table!$A:$G,2,FALSE),"")</f>
        <v>1</v>
      </c>
      <c r="O1302">
        <f>IFERROR(VLOOKUP(A1302,vlookup_table!$A:$G,4,FALSE),"")</f>
        <v>1710</v>
      </c>
      <c r="P1302" t="str">
        <f>IFERROR(VLOOKUP(A1302,vlookup_table!$A:$G,5,FALSE),"")</f>
        <v>C2</v>
      </c>
      <c r="Q1302">
        <f>IFERROR(VLOOKUP(A1302,vlookup_table!$A:$G,7,FALSE),"")</f>
        <v>10</v>
      </c>
      <c r="R1302">
        <f t="shared" si="80"/>
        <v>80</v>
      </c>
      <c r="S1302" t="str" cm="1">
        <f t="array" ref="S1302">IF(P1302="","",_xlfn.SWITCH(LEFT(P1302,1),"C","Ciudad","T","Pueblo","R","Rural","S","Suburbano","U","Urbano",""))</f>
        <v>Ciudad</v>
      </c>
      <c r="T1302" t="str">
        <f t="shared" si="81"/>
        <v>M</v>
      </c>
      <c r="U1302" t="str">
        <f t="shared" si="82"/>
        <v>CO</v>
      </c>
      <c r="V1302" t="str">
        <f t="shared" si="83"/>
        <v>14783</v>
      </c>
    </row>
    <row r="1303" spans="1:22" x14ac:dyDescent="0.35">
      <c r="A1303">
        <v>72796</v>
      </c>
      <c r="B1303" t="s">
        <v>29</v>
      </c>
      <c r="C1303" t="s">
        <v>14</v>
      </c>
      <c r="D1303">
        <v>577</v>
      </c>
      <c r="E1303">
        <v>375</v>
      </c>
      <c r="F1303">
        <v>394</v>
      </c>
      <c r="G1303">
        <v>0</v>
      </c>
      <c r="H1303">
        <v>15853</v>
      </c>
      <c r="I1303">
        <v>1</v>
      </c>
      <c r="J1303">
        <v>74</v>
      </c>
      <c r="K1303">
        <v>380</v>
      </c>
      <c r="L1303">
        <v>389</v>
      </c>
      <c r="M1303">
        <v>9.5714285710000002</v>
      </c>
      <c r="N1303">
        <f>IFERROR(VLOOKUP(A1303,vlookup_table!$A:$G,2,FALSE),"")</f>
        <v>0</v>
      </c>
      <c r="O1303">
        <f>IFERROR(VLOOKUP(A1303,vlookup_table!$A:$G,4,FALSE),"")</f>
        <v>4905</v>
      </c>
      <c r="P1303" t="str">
        <f>IFERROR(VLOOKUP(A1303,vlookup_table!$A:$G,5,FALSE),"")</f>
        <v>R2</v>
      </c>
      <c r="Q1303">
        <f>IFERROR(VLOOKUP(A1303,vlookup_table!$A:$G,7,FALSE),"")</f>
        <v>15</v>
      </c>
      <c r="R1303">
        <f t="shared" si="80"/>
        <v>48</v>
      </c>
      <c r="S1303" t="str" cm="1">
        <f t="array" ref="S1303">IF(P1303="","",_xlfn.SWITCH(LEFT(P1303,1),"C","Ciudad","T","Pueblo","R","Rural","S","Suburbano","U","Urbano",""))</f>
        <v>Rural</v>
      </c>
      <c r="T1303" t="str">
        <f t="shared" si="81"/>
        <v>M</v>
      </c>
      <c r="U1303" t="str">
        <f t="shared" si="82"/>
        <v>MI</v>
      </c>
      <c r="V1303" t="str">
        <f t="shared" si="83"/>
        <v>15853</v>
      </c>
    </row>
    <row r="1304" spans="1:22" x14ac:dyDescent="0.35">
      <c r="A1304">
        <v>178498</v>
      </c>
      <c r="B1304" t="s">
        <v>40</v>
      </c>
      <c r="C1304" t="s">
        <v>51</v>
      </c>
      <c r="D1304">
        <v>1642</v>
      </c>
      <c r="E1304">
        <v>275</v>
      </c>
      <c r="F1304">
        <v>485</v>
      </c>
      <c r="G1304">
        <v>30</v>
      </c>
      <c r="H1304">
        <v>19679</v>
      </c>
      <c r="I1304">
        <v>10</v>
      </c>
      <c r="J1304">
        <v>32</v>
      </c>
      <c r="K1304">
        <v>388</v>
      </c>
      <c r="L1304">
        <v>349</v>
      </c>
      <c r="M1304">
        <v>11.83333333</v>
      </c>
      <c r="N1304">
        <f>IFERROR(VLOOKUP(A1304,vlookup_table!$A:$G,2,FALSE),"")</f>
        <v>0</v>
      </c>
      <c r="O1304">
        <f>IFERROR(VLOOKUP(A1304,vlookup_table!$A:$G,4,FALSE),"")</f>
        <v>2802</v>
      </c>
      <c r="P1304" t="str">
        <f>IFERROR(VLOOKUP(A1304,vlookup_table!$A:$G,5,FALSE),"")</f>
        <v>S2</v>
      </c>
      <c r="Q1304">
        <f>IFERROR(VLOOKUP(A1304,vlookup_table!$A:$G,7,FALSE),"")</f>
        <v>15</v>
      </c>
      <c r="R1304">
        <f t="shared" si="80"/>
        <v>69</v>
      </c>
      <c r="S1304" t="str" cm="1">
        <f t="array" ref="S1304">IF(P1304="","",_xlfn.SWITCH(LEFT(P1304,1),"C","Ciudad","T","Pueblo","R","Rural","S","Suburbano","U","Urbano",""))</f>
        <v>Suburbano</v>
      </c>
      <c r="T1304" t="str">
        <f t="shared" si="81"/>
        <v>M</v>
      </c>
      <c r="U1304" t="str">
        <f t="shared" si="82"/>
        <v>WA</v>
      </c>
      <c r="V1304" t="str">
        <f t="shared" si="83"/>
        <v>19679</v>
      </c>
    </row>
    <row r="1305" spans="1:22" x14ac:dyDescent="0.35">
      <c r="A1305">
        <v>77742</v>
      </c>
      <c r="B1305" t="s">
        <v>21</v>
      </c>
      <c r="D1305">
        <v>1163</v>
      </c>
      <c r="E1305">
        <v>378</v>
      </c>
      <c r="F1305">
        <v>526</v>
      </c>
      <c r="G1305">
        <v>11</v>
      </c>
      <c r="H1305">
        <v>23408</v>
      </c>
      <c r="I1305">
        <v>4</v>
      </c>
      <c r="J1305">
        <v>41</v>
      </c>
      <c r="K1305">
        <v>459</v>
      </c>
      <c r="L1305">
        <v>439</v>
      </c>
      <c r="M1305">
        <v>5.4</v>
      </c>
      <c r="N1305">
        <f>IFERROR(VLOOKUP(A1305,vlookup_table!$A:$G,2,FALSE),"")</f>
        <v>0</v>
      </c>
      <c r="O1305">
        <f>IFERROR(VLOOKUP(A1305,vlookup_table!$A:$G,4,FALSE),"")</f>
        <v>0</v>
      </c>
      <c r="P1305" t="str">
        <f>IFERROR(VLOOKUP(A1305,vlookup_table!$A:$G,5,FALSE),"")</f>
        <v>R2</v>
      </c>
      <c r="Q1305">
        <f>IFERROR(VLOOKUP(A1305,vlookup_table!$A:$G,7,FALSE),"")</f>
        <v>5</v>
      </c>
      <c r="R1305">
        <f t="shared" si="80"/>
        <v>97</v>
      </c>
      <c r="S1305" t="str" cm="1">
        <f t="array" ref="S1305">IF(P1305="","",_xlfn.SWITCH(LEFT(P1305,1),"C","Ciudad","T","Pueblo","R","Rural","S","Suburbano","U","Urbano",""))</f>
        <v>Rural</v>
      </c>
      <c r="T1305" t="str">
        <f t="shared" si="81"/>
        <v/>
      </c>
      <c r="U1305" t="str">
        <f t="shared" si="82"/>
        <v>TX</v>
      </c>
      <c r="V1305" t="str">
        <f t="shared" si="83"/>
        <v>23408</v>
      </c>
    </row>
    <row r="1306" spans="1:22" x14ac:dyDescent="0.35">
      <c r="A1306">
        <v>21204</v>
      </c>
      <c r="B1306" t="s">
        <v>18</v>
      </c>
      <c r="C1306" t="s">
        <v>20</v>
      </c>
      <c r="D1306">
        <v>675</v>
      </c>
      <c r="E1306">
        <v>305</v>
      </c>
      <c r="F1306">
        <v>427</v>
      </c>
      <c r="G1306">
        <v>0</v>
      </c>
      <c r="H1306">
        <v>16318</v>
      </c>
      <c r="I1306">
        <v>2</v>
      </c>
      <c r="J1306">
        <v>69</v>
      </c>
      <c r="K1306">
        <v>373</v>
      </c>
      <c r="L1306">
        <v>365</v>
      </c>
      <c r="M1306">
        <v>6.4090909089999997</v>
      </c>
      <c r="N1306">
        <f>IFERROR(VLOOKUP(A1306,vlookup_table!$A:$G,2,FALSE),"")</f>
        <v>2</v>
      </c>
      <c r="O1306">
        <f>IFERROR(VLOOKUP(A1306,vlookup_table!$A:$G,4,FALSE),"")</f>
        <v>4001</v>
      </c>
      <c r="P1306" t="str">
        <f>IFERROR(VLOOKUP(A1306,vlookup_table!$A:$G,5,FALSE),"")</f>
        <v>C2</v>
      </c>
      <c r="Q1306">
        <f>IFERROR(VLOOKUP(A1306,vlookup_table!$A:$G,7,FALSE),"")</f>
        <v>8</v>
      </c>
      <c r="R1306">
        <f t="shared" si="80"/>
        <v>57</v>
      </c>
      <c r="S1306" t="str" cm="1">
        <f t="array" ref="S1306">IF(P1306="","",_xlfn.SWITCH(LEFT(P1306,1),"C","Ciudad","T","Pueblo","R","Rural","S","Suburbano","U","Urbano",""))</f>
        <v>Ciudad</v>
      </c>
      <c r="T1306" t="str">
        <f t="shared" si="81"/>
        <v>F</v>
      </c>
      <c r="U1306" t="str">
        <f t="shared" si="82"/>
        <v>NC</v>
      </c>
      <c r="V1306" t="str">
        <f t="shared" si="83"/>
        <v>16318</v>
      </c>
    </row>
    <row r="1307" spans="1:22" x14ac:dyDescent="0.35">
      <c r="A1307">
        <v>71146</v>
      </c>
      <c r="B1307" t="s">
        <v>29</v>
      </c>
      <c r="C1307" t="s">
        <v>17</v>
      </c>
      <c r="D1307">
        <v>602</v>
      </c>
      <c r="E1307">
        <v>336</v>
      </c>
      <c r="F1307">
        <v>391</v>
      </c>
      <c r="G1307">
        <v>0</v>
      </c>
      <c r="H1307">
        <v>12418</v>
      </c>
      <c r="I1307">
        <v>1</v>
      </c>
      <c r="J1307">
        <v>87</v>
      </c>
      <c r="K1307">
        <v>366</v>
      </c>
      <c r="L1307">
        <v>363</v>
      </c>
      <c r="M1307">
        <v>9</v>
      </c>
      <c r="N1307">
        <f>IFERROR(VLOOKUP(A1307,vlookup_table!$A:$G,2,FALSE),"")</f>
        <v>0</v>
      </c>
      <c r="O1307">
        <f>IFERROR(VLOOKUP(A1307,vlookup_table!$A:$G,4,FALSE),"")</f>
        <v>7401</v>
      </c>
      <c r="P1307" t="str">
        <f>IFERROR(VLOOKUP(A1307,vlookup_table!$A:$G,5,FALSE),"")</f>
        <v>T2</v>
      </c>
      <c r="Q1307">
        <f>IFERROR(VLOOKUP(A1307,vlookup_table!$A:$G,7,FALSE),"")</f>
        <v>10</v>
      </c>
      <c r="R1307">
        <f t="shared" si="80"/>
        <v>23</v>
      </c>
      <c r="S1307" t="str" cm="1">
        <f t="array" ref="S1307">IF(P1307="","",_xlfn.SWITCH(LEFT(P1307,1),"C","Ciudad","T","Pueblo","R","Rural","S","Suburbano","U","Urbano",""))</f>
        <v>Pueblo</v>
      </c>
      <c r="T1307" t="str">
        <f t="shared" si="81"/>
        <v>F</v>
      </c>
      <c r="U1307" t="str">
        <f t="shared" si="82"/>
        <v>MI</v>
      </c>
      <c r="V1307" t="str">
        <f t="shared" si="83"/>
        <v>12418</v>
      </c>
    </row>
    <row r="1308" spans="1:22" x14ac:dyDescent="0.35">
      <c r="A1308">
        <v>161230</v>
      </c>
      <c r="B1308" t="s">
        <v>22</v>
      </c>
      <c r="C1308" t="s">
        <v>17</v>
      </c>
      <c r="D1308">
        <v>746</v>
      </c>
      <c r="E1308">
        <v>346</v>
      </c>
      <c r="F1308">
        <v>368</v>
      </c>
      <c r="G1308">
        <v>0</v>
      </c>
      <c r="H1308">
        <v>10165</v>
      </c>
      <c r="I1308">
        <v>3</v>
      </c>
      <c r="J1308">
        <v>64</v>
      </c>
      <c r="K1308">
        <v>352</v>
      </c>
      <c r="L1308">
        <v>363</v>
      </c>
      <c r="M1308">
        <v>15.764705879999999</v>
      </c>
      <c r="N1308">
        <f>IFERROR(VLOOKUP(A1308,vlookup_table!$A:$G,2,FALSE),"")</f>
        <v>0</v>
      </c>
      <c r="O1308">
        <f>IFERROR(VLOOKUP(A1308,vlookup_table!$A:$G,4,FALSE),"")</f>
        <v>5207</v>
      </c>
      <c r="P1308" t="str">
        <f>IFERROR(VLOOKUP(A1308,vlookup_table!$A:$G,5,FALSE),"")</f>
        <v>T2</v>
      </c>
      <c r="Q1308">
        <f>IFERROR(VLOOKUP(A1308,vlookup_table!$A:$G,7,FALSE),"")</f>
        <v>20</v>
      </c>
      <c r="R1308">
        <f t="shared" si="80"/>
        <v>45</v>
      </c>
      <c r="S1308" t="str" cm="1">
        <f t="array" ref="S1308">IF(P1308="","",_xlfn.SWITCH(LEFT(P1308,1),"C","Ciudad","T","Pueblo","R","Rural","S","Suburbano","U","Urbano",""))</f>
        <v>Pueblo</v>
      </c>
      <c r="T1308" t="str">
        <f t="shared" si="81"/>
        <v>F</v>
      </c>
      <c r="U1308" t="str">
        <f t="shared" si="82"/>
        <v>CA</v>
      </c>
      <c r="V1308" t="str">
        <f t="shared" si="83"/>
        <v>10165</v>
      </c>
    </row>
    <row r="1309" spans="1:22" x14ac:dyDescent="0.35">
      <c r="A1309">
        <v>67712</v>
      </c>
      <c r="B1309" t="s">
        <v>29</v>
      </c>
      <c r="C1309" t="s">
        <v>17</v>
      </c>
      <c r="D1309">
        <v>459</v>
      </c>
      <c r="E1309">
        <v>116</v>
      </c>
      <c r="F1309">
        <v>533</v>
      </c>
      <c r="G1309">
        <v>0</v>
      </c>
      <c r="H1309">
        <v>19070</v>
      </c>
      <c r="I1309">
        <v>3</v>
      </c>
      <c r="J1309">
        <v>41</v>
      </c>
      <c r="K1309">
        <v>518</v>
      </c>
      <c r="L1309">
        <v>280</v>
      </c>
      <c r="M1309">
        <v>27.42307692</v>
      </c>
      <c r="N1309">
        <f>IFERROR(VLOOKUP(A1309,vlookup_table!$A:$G,2,FALSE),"")</f>
        <v>0</v>
      </c>
      <c r="O1309">
        <f>IFERROR(VLOOKUP(A1309,vlookup_table!$A:$G,4,FALSE),"")</f>
        <v>801</v>
      </c>
      <c r="P1309" t="str">
        <f>IFERROR(VLOOKUP(A1309,vlookup_table!$A:$G,5,FALSE),"")</f>
        <v>U2</v>
      </c>
      <c r="Q1309">
        <f>IFERROR(VLOOKUP(A1309,vlookup_table!$A:$G,7,FALSE),"")</f>
        <v>100</v>
      </c>
      <c r="R1309">
        <f t="shared" si="80"/>
        <v>89</v>
      </c>
      <c r="S1309" t="str" cm="1">
        <f t="array" ref="S1309">IF(P1309="","",_xlfn.SWITCH(LEFT(P1309,1),"C","Ciudad","T","Pueblo","R","Rural","S","Suburbano","U","Urbano",""))</f>
        <v>Urbano</v>
      </c>
      <c r="T1309" t="str">
        <f t="shared" si="81"/>
        <v>F</v>
      </c>
      <c r="U1309" t="str">
        <f t="shared" si="82"/>
        <v>MI</v>
      </c>
      <c r="V1309" t="str">
        <f t="shared" si="83"/>
        <v>19070</v>
      </c>
    </row>
    <row r="1310" spans="1:22" x14ac:dyDescent="0.35">
      <c r="A1310">
        <v>178540</v>
      </c>
      <c r="B1310" t="s">
        <v>40</v>
      </c>
      <c r="C1310" t="s">
        <v>17</v>
      </c>
      <c r="D1310">
        <v>922</v>
      </c>
      <c r="E1310">
        <v>232</v>
      </c>
      <c r="F1310">
        <v>361</v>
      </c>
      <c r="G1310">
        <v>3</v>
      </c>
      <c r="H1310">
        <v>13725</v>
      </c>
      <c r="I1310">
        <v>5</v>
      </c>
      <c r="J1310">
        <v>52</v>
      </c>
      <c r="K1310">
        <v>298</v>
      </c>
      <c r="L1310">
        <v>298</v>
      </c>
      <c r="M1310">
        <v>8.5</v>
      </c>
      <c r="N1310">
        <f>IFERROR(VLOOKUP(A1310,vlookup_table!$A:$G,2,FALSE),"")</f>
        <v>0</v>
      </c>
      <c r="O1310">
        <f>IFERROR(VLOOKUP(A1310,vlookup_table!$A:$G,4,FALSE),"")</f>
        <v>1501</v>
      </c>
      <c r="P1310" t="str">
        <f>IFERROR(VLOOKUP(A1310,vlookup_table!$A:$G,5,FALSE),"")</f>
        <v>T2</v>
      </c>
      <c r="Q1310">
        <f>IFERROR(VLOOKUP(A1310,vlookup_table!$A:$G,7,FALSE),"")</f>
        <v>15</v>
      </c>
      <c r="R1310">
        <f t="shared" si="80"/>
        <v>82</v>
      </c>
      <c r="S1310" t="str" cm="1">
        <f t="array" ref="S1310">IF(P1310="","",_xlfn.SWITCH(LEFT(P1310,1),"C","Ciudad","T","Pueblo","R","Rural","S","Suburbano","U","Urbano",""))</f>
        <v>Pueblo</v>
      </c>
      <c r="T1310" t="str">
        <f t="shared" si="81"/>
        <v>F</v>
      </c>
      <c r="U1310" t="str">
        <f t="shared" si="82"/>
        <v>WA</v>
      </c>
      <c r="V1310" t="str">
        <f t="shared" si="83"/>
        <v>13725</v>
      </c>
    </row>
    <row r="1311" spans="1:22" x14ac:dyDescent="0.35">
      <c r="A1311">
        <v>35306</v>
      </c>
      <c r="B1311" t="s">
        <v>13</v>
      </c>
      <c r="C1311" t="s">
        <v>17</v>
      </c>
      <c r="D1311">
        <v>833</v>
      </c>
      <c r="E1311">
        <v>277</v>
      </c>
      <c r="F1311">
        <v>387</v>
      </c>
      <c r="G1311">
        <v>0</v>
      </c>
      <c r="H1311">
        <v>14317</v>
      </c>
      <c r="I1311">
        <v>8</v>
      </c>
      <c r="J1311">
        <v>21</v>
      </c>
      <c r="K1311">
        <v>350</v>
      </c>
      <c r="L1311">
        <v>329</v>
      </c>
      <c r="M1311">
        <v>12.25</v>
      </c>
      <c r="N1311">
        <f>IFERROR(VLOOKUP(A1311,vlookup_table!$A:$G,2,FALSE),"")</f>
        <v>0</v>
      </c>
      <c r="O1311">
        <f>IFERROR(VLOOKUP(A1311,vlookup_table!$A:$G,4,FALSE),"")</f>
        <v>5610</v>
      </c>
      <c r="P1311" t="str">
        <f>IFERROR(VLOOKUP(A1311,vlookup_table!$A:$G,5,FALSE),"")</f>
        <v>C2</v>
      </c>
      <c r="Q1311">
        <f>IFERROR(VLOOKUP(A1311,vlookup_table!$A:$G,7,FALSE),"")</f>
        <v>25</v>
      </c>
      <c r="R1311">
        <f t="shared" si="80"/>
        <v>41</v>
      </c>
      <c r="S1311" t="str" cm="1">
        <f t="array" ref="S1311">IF(P1311="","",_xlfn.SWITCH(LEFT(P1311,1),"C","Ciudad","T","Pueblo","R","Rural","S","Suburbano","U","Urbano",""))</f>
        <v>Ciudad</v>
      </c>
      <c r="T1311" t="str">
        <f t="shared" si="81"/>
        <v>F</v>
      </c>
      <c r="U1311" t="str">
        <f t="shared" si="82"/>
        <v>FL</v>
      </c>
      <c r="V1311" t="str">
        <f t="shared" si="83"/>
        <v>14317</v>
      </c>
    </row>
    <row r="1312" spans="1:22" x14ac:dyDescent="0.35">
      <c r="A1312">
        <v>14984</v>
      </c>
      <c r="B1312" t="s">
        <v>56</v>
      </c>
      <c r="C1312" t="s">
        <v>14</v>
      </c>
      <c r="D1312">
        <v>1793</v>
      </c>
      <c r="E1312">
        <v>781</v>
      </c>
      <c r="F1312">
        <v>849</v>
      </c>
      <c r="G1312">
        <v>38</v>
      </c>
      <c r="H1312">
        <v>27481</v>
      </c>
      <c r="I1312">
        <v>1</v>
      </c>
      <c r="J1312">
        <v>66</v>
      </c>
      <c r="K1312">
        <v>796</v>
      </c>
      <c r="L1312">
        <v>832</v>
      </c>
      <c r="M1312">
        <v>14.28571429</v>
      </c>
      <c r="N1312">
        <f>IFERROR(VLOOKUP(A1312,vlookup_table!$A:$G,2,FALSE),"")</f>
        <v>1</v>
      </c>
      <c r="O1312">
        <f>IFERROR(VLOOKUP(A1312,vlookup_table!$A:$G,4,FALSE),"")</f>
        <v>5401</v>
      </c>
      <c r="P1312">
        <f>IFERROR(VLOOKUP(A1312,vlookup_table!$A:$G,5,FALSE),"")</f>
        <v>0</v>
      </c>
      <c r="Q1312">
        <f>IFERROR(VLOOKUP(A1312,vlookup_table!$A:$G,7,FALSE),"")</f>
        <v>15</v>
      </c>
      <c r="R1312">
        <f t="shared" si="80"/>
        <v>43</v>
      </c>
      <c r="S1312" t="str" cm="1">
        <f t="array" ref="S1312">IF(P1312="","",_xlfn.SWITCH(LEFT(P1312,1),"C","Ciudad","T","Pueblo","R","Rural","S","Suburbano","U","Urbano",""))</f>
        <v/>
      </c>
      <c r="T1312" t="str">
        <f t="shared" si="81"/>
        <v>M</v>
      </c>
      <c r="U1312" t="str">
        <f t="shared" si="82"/>
        <v>MN</v>
      </c>
      <c r="V1312" t="str">
        <f t="shared" si="83"/>
        <v>27481</v>
      </c>
    </row>
    <row r="1313" spans="1:22" x14ac:dyDescent="0.35">
      <c r="A1313">
        <v>53295</v>
      </c>
      <c r="B1313" t="s">
        <v>53</v>
      </c>
      <c r="C1313" t="s">
        <v>17</v>
      </c>
      <c r="D1313">
        <v>470</v>
      </c>
      <c r="E1313">
        <v>235</v>
      </c>
      <c r="F1313">
        <v>318</v>
      </c>
      <c r="G1313">
        <v>0</v>
      </c>
      <c r="H1313">
        <v>8963</v>
      </c>
      <c r="I1313">
        <v>0</v>
      </c>
      <c r="J1313">
        <v>80</v>
      </c>
      <c r="K1313">
        <v>292</v>
      </c>
      <c r="L1313">
        <v>275</v>
      </c>
      <c r="M1313">
        <v>12.5</v>
      </c>
      <c r="N1313">
        <f>IFERROR(VLOOKUP(A1313,vlookup_table!$A:$G,2,FALSE),"")</f>
        <v>0</v>
      </c>
      <c r="O1313">
        <f>IFERROR(VLOOKUP(A1313,vlookup_table!$A:$G,4,FALSE),"")</f>
        <v>5401</v>
      </c>
      <c r="P1313" t="str">
        <f>IFERROR(VLOOKUP(A1313,vlookup_table!$A:$G,5,FALSE),"")</f>
        <v>U3</v>
      </c>
      <c r="Q1313">
        <f>IFERROR(VLOOKUP(A1313,vlookup_table!$A:$G,7,FALSE),"")</f>
        <v>15</v>
      </c>
      <c r="R1313">
        <f t="shared" si="80"/>
        <v>43</v>
      </c>
      <c r="S1313" t="str" cm="1">
        <f t="array" ref="S1313">IF(P1313="","",_xlfn.SWITCH(LEFT(P1313,1),"C","Ciudad","T","Pueblo","R","Rural","S","Suburbano","U","Urbano",""))</f>
        <v>Urbano</v>
      </c>
      <c r="T1313" t="str">
        <f t="shared" si="81"/>
        <v>F</v>
      </c>
      <c r="U1313" t="str">
        <f t="shared" si="82"/>
        <v>TN</v>
      </c>
      <c r="V1313" t="str">
        <f t="shared" si="83"/>
        <v>8963</v>
      </c>
    </row>
    <row r="1314" spans="1:22" x14ac:dyDescent="0.35">
      <c r="A1314">
        <v>115398</v>
      </c>
      <c r="B1314" t="s">
        <v>31</v>
      </c>
      <c r="C1314" t="s">
        <v>17</v>
      </c>
      <c r="D1314">
        <v>338</v>
      </c>
      <c r="E1314">
        <v>203</v>
      </c>
      <c r="F1314">
        <v>284</v>
      </c>
      <c r="G1314">
        <v>0</v>
      </c>
      <c r="H1314">
        <v>9618</v>
      </c>
      <c r="I1314">
        <v>0</v>
      </c>
      <c r="J1314">
        <v>76</v>
      </c>
      <c r="K1314">
        <v>254</v>
      </c>
      <c r="L1314">
        <v>242</v>
      </c>
      <c r="M1314">
        <v>5.076923077</v>
      </c>
      <c r="N1314">
        <f>IFERROR(VLOOKUP(A1314,vlookup_table!$A:$G,2,FALSE),"")</f>
        <v>0</v>
      </c>
      <c r="O1314">
        <f>IFERROR(VLOOKUP(A1314,vlookup_table!$A:$G,4,FALSE),"")</f>
        <v>2901</v>
      </c>
      <c r="P1314" t="str">
        <f>IFERROR(VLOOKUP(A1314,vlookup_table!$A:$G,5,FALSE),"")</f>
        <v>R2</v>
      </c>
      <c r="Q1314">
        <f>IFERROR(VLOOKUP(A1314,vlookup_table!$A:$G,7,FALSE),"")</f>
        <v>5</v>
      </c>
      <c r="R1314">
        <f t="shared" si="80"/>
        <v>68</v>
      </c>
      <c r="S1314" t="str" cm="1">
        <f t="array" ref="S1314">IF(P1314="","",_xlfn.SWITCH(LEFT(P1314,1),"C","Ciudad","T","Pueblo","R","Rural","S","Suburbano","U","Urbano",""))</f>
        <v>Rural</v>
      </c>
      <c r="T1314" t="str">
        <f t="shared" si="81"/>
        <v>F</v>
      </c>
      <c r="U1314" t="str">
        <f t="shared" si="82"/>
        <v>OK</v>
      </c>
      <c r="V1314" t="str">
        <f t="shared" si="83"/>
        <v>9618</v>
      </c>
    </row>
    <row r="1315" spans="1:22" x14ac:dyDescent="0.35">
      <c r="A1315">
        <v>24610</v>
      </c>
      <c r="B1315" t="s">
        <v>46</v>
      </c>
      <c r="C1315" t="s">
        <v>14</v>
      </c>
      <c r="D1315">
        <v>420</v>
      </c>
      <c r="E1315">
        <v>225</v>
      </c>
      <c r="F1315">
        <v>285</v>
      </c>
      <c r="G1315">
        <v>0</v>
      </c>
      <c r="H1315">
        <v>9634</v>
      </c>
      <c r="I1315">
        <v>0</v>
      </c>
      <c r="J1315">
        <v>90</v>
      </c>
      <c r="K1315">
        <v>253</v>
      </c>
      <c r="L1315">
        <v>249</v>
      </c>
      <c r="M1315">
        <v>4.9000000000000004</v>
      </c>
      <c r="N1315">
        <f>IFERROR(VLOOKUP(A1315,vlookup_table!$A:$G,2,FALSE),"")</f>
        <v>0</v>
      </c>
      <c r="O1315">
        <f>IFERROR(VLOOKUP(A1315,vlookup_table!$A:$G,4,FALSE),"")</f>
        <v>1701</v>
      </c>
      <c r="P1315" t="str">
        <f>IFERROR(VLOOKUP(A1315,vlookup_table!$A:$G,5,FALSE),"")</f>
        <v>R3</v>
      </c>
      <c r="Q1315">
        <f>IFERROR(VLOOKUP(A1315,vlookup_table!$A:$G,7,FALSE),"")</f>
        <v>4</v>
      </c>
      <c r="R1315">
        <f t="shared" si="80"/>
        <v>80</v>
      </c>
      <c r="S1315" t="str" cm="1">
        <f t="array" ref="S1315">IF(P1315="","",_xlfn.SWITCH(LEFT(P1315,1),"C","Ciudad","T","Pueblo","R","Rural","S","Suburbano","U","Urbano",""))</f>
        <v>Rural</v>
      </c>
      <c r="T1315" t="str">
        <f t="shared" si="81"/>
        <v>M</v>
      </c>
      <c r="U1315" t="str">
        <f t="shared" si="82"/>
        <v>SC</v>
      </c>
      <c r="V1315" t="str">
        <f t="shared" si="83"/>
        <v>9634</v>
      </c>
    </row>
    <row r="1316" spans="1:22" x14ac:dyDescent="0.35">
      <c r="A1316">
        <v>116993</v>
      </c>
      <c r="B1316" t="s">
        <v>21</v>
      </c>
      <c r="C1316" t="s">
        <v>14</v>
      </c>
      <c r="D1316">
        <v>1576</v>
      </c>
      <c r="E1316">
        <v>388</v>
      </c>
      <c r="F1316">
        <v>579</v>
      </c>
      <c r="G1316">
        <v>8</v>
      </c>
      <c r="H1316">
        <v>24013</v>
      </c>
      <c r="I1316">
        <v>0</v>
      </c>
      <c r="J1316">
        <v>71</v>
      </c>
      <c r="K1316">
        <v>418</v>
      </c>
      <c r="L1316">
        <v>528</v>
      </c>
      <c r="M1316">
        <v>12.85714286</v>
      </c>
      <c r="N1316">
        <f>IFERROR(VLOOKUP(A1316,vlookup_table!$A:$G,2,FALSE),"")</f>
        <v>1</v>
      </c>
      <c r="O1316">
        <f>IFERROR(VLOOKUP(A1316,vlookup_table!$A:$G,4,FALSE),"")</f>
        <v>1</v>
      </c>
      <c r="P1316" t="str">
        <f>IFERROR(VLOOKUP(A1316,vlookup_table!$A:$G,5,FALSE),"")</f>
        <v>U1</v>
      </c>
      <c r="Q1316">
        <f>IFERROR(VLOOKUP(A1316,vlookup_table!$A:$G,7,FALSE),"")</f>
        <v>10</v>
      </c>
      <c r="R1316">
        <f t="shared" si="80"/>
        <v>97</v>
      </c>
      <c r="S1316" t="str" cm="1">
        <f t="array" ref="S1316">IF(P1316="","",_xlfn.SWITCH(LEFT(P1316,1),"C","Ciudad","T","Pueblo","R","Rural","S","Suburbano","U","Urbano",""))</f>
        <v>Urbano</v>
      </c>
      <c r="T1316" t="str">
        <f t="shared" si="81"/>
        <v>M</v>
      </c>
      <c r="U1316" t="str">
        <f t="shared" si="82"/>
        <v>TX</v>
      </c>
      <c r="V1316" t="str">
        <f t="shared" si="83"/>
        <v>24013</v>
      </c>
    </row>
    <row r="1317" spans="1:22" x14ac:dyDescent="0.35">
      <c r="A1317">
        <v>80800</v>
      </c>
      <c r="B1317" t="s">
        <v>35</v>
      </c>
      <c r="C1317" t="s">
        <v>17</v>
      </c>
      <c r="D1317">
        <v>677</v>
      </c>
      <c r="E1317">
        <v>282</v>
      </c>
      <c r="F1317">
        <v>370</v>
      </c>
      <c r="G1317">
        <v>0</v>
      </c>
      <c r="H1317">
        <v>11541</v>
      </c>
      <c r="I1317">
        <v>0</v>
      </c>
      <c r="J1317">
        <v>84</v>
      </c>
      <c r="K1317">
        <v>303</v>
      </c>
      <c r="L1317">
        <v>334</v>
      </c>
      <c r="M1317">
        <v>8.4285714289999998</v>
      </c>
      <c r="N1317">
        <f>IFERROR(VLOOKUP(A1317,vlookup_table!$A:$G,2,FALSE),"")</f>
        <v>2</v>
      </c>
      <c r="O1317">
        <f>IFERROR(VLOOKUP(A1317,vlookup_table!$A:$G,4,FALSE),"")</f>
        <v>3001</v>
      </c>
      <c r="P1317" t="str">
        <f>IFERROR(VLOOKUP(A1317,vlookup_table!$A:$G,5,FALSE),"")</f>
        <v>R2</v>
      </c>
      <c r="Q1317">
        <f>IFERROR(VLOOKUP(A1317,vlookup_table!$A:$G,7,FALSE),"")</f>
        <v>8</v>
      </c>
      <c r="R1317">
        <f t="shared" si="80"/>
        <v>67</v>
      </c>
      <c r="S1317" t="str" cm="1">
        <f t="array" ref="S1317">IF(P1317="","",_xlfn.SWITCH(LEFT(P1317,1),"C","Ciudad","T","Pueblo","R","Rural","S","Suburbano","U","Urbano",""))</f>
        <v>Rural</v>
      </c>
      <c r="T1317" t="str">
        <f t="shared" si="81"/>
        <v>F</v>
      </c>
      <c r="U1317" t="str">
        <f t="shared" si="82"/>
        <v>WI</v>
      </c>
      <c r="V1317" t="str">
        <f t="shared" si="83"/>
        <v>11541</v>
      </c>
    </row>
    <row r="1318" spans="1:22" x14ac:dyDescent="0.35">
      <c r="A1318">
        <v>72757</v>
      </c>
      <c r="B1318" t="s">
        <v>29</v>
      </c>
      <c r="C1318" t="s">
        <v>17</v>
      </c>
      <c r="D1318">
        <v>559</v>
      </c>
      <c r="E1318">
        <v>344</v>
      </c>
      <c r="F1318">
        <v>403</v>
      </c>
      <c r="G1318">
        <v>0</v>
      </c>
      <c r="H1318">
        <v>13072</v>
      </c>
      <c r="I1318">
        <v>1</v>
      </c>
      <c r="J1318">
        <v>85</v>
      </c>
      <c r="K1318">
        <v>361</v>
      </c>
      <c r="L1318">
        <v>378</v>
      </c>
      <c r="M1318">
        <v>11</v>
      </c>
      <c r="N1318">
        <f>IFERROR(VLOOKUP(A1318,vlookup_table!$A:$G,2,FALSE),"")</f>
        <v>2</v>
      </c>
      <c r="O1318">
        <f>IFERROR(VLOOKUP(A1318,vlookup_table!$A:$G,4,FALSE),"")</f>
        <v>1105</v>
      </c>
      <c r="P1318" t="str">
        <f>IFERROR(VLOOKUP(A1318,vlookup_table!$A:$G,5,FALSE),"")</f>
        <v>R2</v>
      </c>
      <c r="Q1318">
        <f>IFERROR(VLOOKUP(A1318,vlookup_table!$A:$G,7,FALSE),"")</f>
        <v>21</v>
      </c>
      <c r="R1318">
        <f t="shared" si="80"/>
        <v>86</v>
      </c>
      <c r="S1318" t="str" cm="1">
        <f t="array" ref="S1318">IF(P1318="","",_xlfn.SWITCH(LEFT(P1318,1),"C","Ciudad","T","Pueblo","R","Rural","S","Suburbano","U","Urbano",""))</f>
        <v>Rural</v>
      </c>
      <c r="T1318" t="str">
        <f t="shared" si="81"/>
        <v>F</v>
      </c>
      <c r="U1318" t="str">
        <f t="shared" si="82"/>
        <v>MI</v>
      </c>
      <c r="V1318" t="str">
        <f t="shared" si="83"/>
        <v>13072</v>
      </c>
    </row>
    <row r="1319" spans="1:22" x14ac:dyDescent="0.35">
      <c r="A1319">
        <v>38642</v>
      </c>
      <c r="B1319" t="s">
        <v>13</v>
      </c>
      <c r="C1319" t="s">
        <v>14</v>
      </c>
      <c r="D1319">
        <v>731</v>
      </c>
      <c r="E1319">
        <v>350</v>
      </c>
      <c r="F1319">
        <v>432</v>
      </c>
      <c r="G1319">
        <v>4</v>
      </c>
      <c r="H1319">
        <v>13977</v>
      </c>
      <c r="I1319">
        <v>24</v>
      </c>
      <c r="J1319">
        <v>33</v>
      </c>
      <c r="K1319">
        <v>385</v>
      </c>
      <c r="L1319">
        <v>401</v>
      </c>
      <c r="M1319">
        <v>15</v>
      </c>
      <c r="N1319">
        <f>IFERROR(VLOOKUP(A1319,vlookup_table!$A:$G,2,FALSE),"")</f>
        <v>0</v>
      </c>
      <c r="O1319">
        <f>IFERROR(VLOOKUP(A1319,vlookup_table!$A:$G,4,FALSE),"")</f>
        <v>7401</v>
      </c>
      <c r="P1319" t="str">
        <f>IFERROR(VLOOKUP(A1319,vlookup_table!$A:$G,5,FALSE),"")</f>
        <v>S2</v>
      </c>
      <c r="Q1319">
        <f>IFERROR(VLOOKUP(A1319,vlookup_table!$A:$G,7,FALSE),"")</f>
        <v>10</v>
      </c>
      <c r="R1319">
        <f t="shared" si="80"/>
        <v>23</v>
      </c>
      <c r="S1319" t="str" cm="1">
        <f t="array" ref="S1319">IF(P1319="","",_xlfn.SWITCH(LEFT(P1319,1),"C","Ciudad","T","Pueblo","R","Rural","S","Suburbano","U","Urbano",""))</f>
        <v>Suburbano</v>
      </c>
      <c r="T1319" t="str">
        <f t="shared" si="81"/>
        <v>M</v>
      </c>
      <c r="U1319" t="str">
        <f t="shared" si="82"/>
        <v>FL</v>
      </c>
      <c r="V1319" t="str">
        <f t="shared" si="83"/>
        <v>13977</v>
      </c>
    </row>
    <row r="1320" spans="1:22" x14ac:dyDescent="0.35">
      <c r="A1320">
        <v>179293</v>
      </c>
      <c r="B1320" t="s">
        <v>40</v>
      </c>
      <c r="C1320" t="s">
        <v>51</v>
      </c>
      <c r="D1320">
        <v>1196</v>
      </c>
      <c r="E1320">
        <v>327</v>
      </c>
      <c r="F1320">
        <v>456</v>
      </c>
      <c r="G1320">
        <v>4</v>
      </c>
      <c r="H1320">
        <v>16530</v>
      </c>
      <c r="I1320">
        <v>3</v>
      </c>
      <c r="J1320">
        <v>49</v>
      </c>
      <c r="K1320">
        <v>406</v>
      </c>
      <c r="L1320">
        <v>382</v>
      </c>
      <c r="M1320">
        <v>10.46153846</v>
      </c>
      <c r="N1320">
        <f>IFERROR(VLOOKUP(A1320,vlookup_table!$A:$G,2,FALSE),"")</f>
        <v>2</v>
      </c>
      <c r="O1320">
        <f>IFERROR(VLOOKUP(A1320,vlookup_table!$A:$G,4,FALSE),"")</f>
        <v>0</v>
      </c>
      <c r="P1320" t="str">
        <f>IFERROR(VLOOKUP(A1320,vlookup_table!$A:$G,5,FALSE),"")</f>
        <v>S2</v>
      </c>
      <c r="Q1320">
        <f>IFERROR(VLOOKUP(A1320,vlookup_table!$A:$G,7,FALSE),"")</f>
        <v>10</v>
      </c>
      <c r="R1320">
        <f t="shared" si="80"/>
        <v>97</v>
      </c>
      <c r="S1320" t="str" cm="1">
        <f t="array" ref="S1320">IF(P1320="","",_xlfn.SWITCH(LEFT(P1320,1),"C","Ciudad","T","Pueblo","R","Rural","S","Suburbano","U","Urbano",""))</f>
        <v>Suburbano</v>
      </c>
      <c r="T1320" t="str">
        <f t="shared" si="81"/>
        <v>M</v>
      </c>
      <c r="U1320" t="str">
        <f t="shared" si="82"/>
        <v>WA</v>
      </c>
      <c r="V1320" t="str">
        <f t="shared" si="83"/>
        <v>16530</v>
      </c>
    </row>
    <row r="1321" spans="1:22" x14ac:dyDescent="0.35">
      <c r="A1321">
        <v>79427</v>
      </c>
      <c r="B1321" t="s">
        <v>35</v>
      </c>
      <c r="C1321" t="s">
        <v>17</v>
      </c>
      <c r="D1321">
        <v>718</v>
      </c>
      <c r="E1321">
        <v>410</v>
      </c>
      <c r="F1321">
        <v>462</v>
      </c>
      <c r="G1321">
        <v>0</v>
      </c>
      <c r="H1321">
        <v>14721</v>
      </c>
      <c r="I1321">
        <v>1</v>
      </c>
      <c r="J1321">
        <v>80</v>
      </c>
      <c r="K1321">
        <v>443</v>
      </c>
      <c r="L1321">
        <v>425</v>
      </c>
      <c r="M1321">
        <v>8.5789473679999997</v>
      </c>
      <c r="N1321">
        <f>IFERROR(VLOOKUP(A1321,vlookup_table!$A:$G,2,FALSE),"")</f>
        <v>2</v>
      </c>
      <c r="O1321">
        <f>IFERROR(VLOOKUP(A1321,vlookup_table!$A:$G,4,FALSE),"")</f>
        <v>3508</v>
      </c>
      <c r="P1321" t="str">
        <f>IFERROR(VLOOKUP(A1321,vlookup_table!$A:$G,5,FALSE),"")</f>
        <v>T2</v>
      </c>
      <c r="Q1321">
        <f>IFERROR(VLOOKUP(A1321,vlookup_table!$A:$G,7,FALSE),"")</f>
        <v>10</v>
      </c>
      <c r="R1321">
        <f t="shared" si="80"/>
        <v>62</v>
      </c>
      <c r="S1321" t="str" cm="1">
        <f t="array" ref="S1321">IF(P1321="","",_xlfn.SWITCH(LEFT(P1321,1),"C","Ciudad","T","Pueblo","R","Rural","S","Suburbano","U","Urbano",""))</f>
        <v>Pueblo</v>
      </c>
      <c r="T1321" t="str">
        <f t="shared" si="81"/>
        <v>F</v>
      </c>
      <c r="U1321" t="str">
        <f t="shared" si="82"/>
        <v>WI</v>
      </c>
      <c r="V1321" t="str">
        <f t="shared" si="83"/>
        <v>14721</v>
      </c>
    </row>
    <row r="1322" spans="1:22" x14ac:dyDescent="0.35">
      <c r="A1322">
        <v>99813</v>
      </c>
      <c r="B1322" t="s">
        <v>36</v>
      </c>
      <c r="C1322" t="s">
        <v>14</v>
      </c>
      <c r="D1322">
        <v>460</v>
      </c>
      <c r="E1322">
        <v>223</v>
      </c>
      <c r="F1322">
        <v>297</v>
      </c>
      <c r="G1322">
        <v>0</v>
      </c>
      <c r="H1322">
        <v>9579</v>
      </c>
      <c r="I1322">
        <v>0</v>
      </c>
      <c r="J1322">
        <v>72</v>
      </c>
      <c r="K1322">
        <v>265</v>
      </c>
      <c r="L1322">
        <v>257</v>
      </c>
      <c r="M1322">
        <v>11</v>
      </c>
      <c r="N1322">
        <f>IFERROR(VLOOKUP(A1322,vlookup_table!$A:$G,2,FALSE),"")</f>
        <v>1</v>
      </c>
      <c r="O1322">
        <f>IFERROR(VLOOKUP(A1322,vlookup_table!$A:$G,4,FALSE),"")</f>
        <v>4701</v>
      </c>
      <c r="P1322" t="str">
        <f>IFERROR(VLOOKUP(A1322,vlookup_table!$A:$G,5,FALSE),"")</f>
        <v>R3</v>
      </c>
      <c r="Q1322">
        <f>IFERROR(VLOOKUP(A1322,vlookup_table!$A:$G,7,FALSE),"")</f>
        <v>20</v>
      </c>
      <c r="R1322">
        <f t="shared" si="80"/>
        <v>50</v>
      </c>
      <c r="S1322" t="str" cm="1">
        <f t="array" ref="S1322">IF(P1322="","",_xlfn.SWITCH(LEFT(P1322,1),"C","Ciudad","T","Pueblo","R","Rural","S","Suburbano","U","Urbano",""))</f>
        <v>Rural</v>
      </c>
      <c r="T1322" t="str">
        <f t="shared" si="81"/>
        <v>M</v>
      </c>
      <c r="U1322" t="str">
        <f t="shared" si="82"/>
        <v>MO</v>
      </c>
      <c r="V1322" t="str">
        <f t="shared" si="83"/>
        <v>9579</v>
      </c>
    </row>
    <row r="1323" spans="1:22" x14ac:dyDescent="0.35">
      <c r="A1323">
        <v>368</v>
      </c>
      <c r="B1323" t="s">
        <v>22</v>
      </c>
      <c r="C1323" t="s">
        <v>14</v>
      </c>
      <c r="D1323">
        <v>2257</v>
      </c>
      <c r="E1323">
        <v>485</v>
      </c>
      <c r="F1323">
        <v>523</v>
      </c>
      <c r="G1323">
        <v>78</v>
      </c>
      <c r="H1323">
        <v>17885</v>
      </c>
      <c r="I1323">
        <v>8</v>
      </c>
      <c r="J1323">
        <v>50</v>
      </c>
      <c r="K1323">
        <v>541</v>
      </c>
      <c r="L1323">
        <v>488</v>
      </c>
      <c r="M1323">
        <v>6.5</v>
      </c>
      <c r="N1323">
        <f>IFERROR(VLOOKUP(A1323,vlookup_table!$A:$G,2,FALSE),"")</f>
        <v>1</v>
      </c>
      <c r="O1323">
        <f>IFERROR(VLOOKUP(A1323,vlookup_table!$A:$G,4,FALSE),"")</f>
        <v>2205</v>
      </c>
      <c r="P1323" t="str">
        <f>IFERROR(VLOOKUP(A1323,vlookup_table!$A:$G,5,FALSE),"")</f>
        <v>U1</v>
      </c>
      <c r="Q1323">
        <f>IFERROR(VLOOKUP(A1323,vlookup_table!$A:$G,7,FALSE),"")</f>
        <v>10</v>
      </c>
      <c r="R1323">
        <f t="shared" si="80"/>
        <v>75</v>
      </c>
      <c r="S1323" t="str" cm="1">
        <f t="array" ref="S1323">IF(P1323="","",_xlfn.SWITCH(LEFT(P1323,1),"C","Ciudad","T","Pueblo","R","Rural","S","Suburbano","U","Urbano",""))</f>
        <v>Urbano</v>
      </c>
      <c r="T1323" t="str">
        <f t="shared" si="81"/>
        <v>M</v>
      </c>
      <c r="U1323" t="str">
        <f t="shared" si="82"/>
        <v>CA</v>
      </c>
      <c r="V1323" t="str">
        <f t="shared" si="83"/>
        <v>17885</v>
      </c>
    </row>
    <row r="1324" spans="1:22" x14ac:dyDescent="0.35">
      <c r="A1324">
        <v>129200</v>
      </c>
      <c r="B1324" t="s">
        <v>48</v>
      </c>
      <c r="C1324" t="s">
        <v>17</v>
      </c>
      <c r="D1324">
        <v>726</v>
      </c>
      <c r="E1324">
        <v>370</v>
      </c>
      <c r="F1324">
        <v>406</v>
      </c>
      <c r="G1324">
        <v>0</v>
      </c>
      <c r="H1324">
        <v>13631</v>
      </c>
      <c r="I1324">
        <v>3</v>
      </c>
      <c r="J1324">
        <v>37</v>
      </c>
      <c r="K1324">
        <v>426</v>
      </c>
      <c r="L1324">
        <v>388</v>
      </c>
      <c r="M1324">
        <v>9.1999999999999993</v>
      </c>
      <c r="N1324">
        <f>IFERROR(VLOOKUP(A1324,vlookup_table!$A:$G,2,FALSE),"")</f>
        <v>2</v>
      </c>
      <c r="O1324">
        <f>IFERROR(VLOOKUP(A1324,vlookup_table!$A:$G,4,FALSE),"")</f>
        <v>4801</v>
      </c>
      <c r="P1324" t="str">
        <f>IFERROR(VLOOKUP(A1324,vlookup_table!$A:$G,5,FALSE),"")</f>
        <v>S2</v>
      </c>
      <c r="Q1324">
        <f>IFERROR(VLOOKUP(A1324,vlookup_table!$A:$G,7,FALSE),"")</f>
        <v>14</v>
      </c>
      <c r="R1324">
        <f t="shared" si="80"/>
        <v>49</v>
      </c>
      <c r="S1324" t="str" cm="1">
        <f t="array" ref="S1324">IF(P1324="","",_xlfn.SWITCH(LEFT(P1324,1),"C","Ciudad","T","Pueblo","R","Rural","S","Suburbano","U","Urbano",""))</f>
        <v>Suburbano</v>
      </c>
      <c r="T1324" t="str">
        <f t="shared" si="81"/>
        <v>F</v>
      </c>
      <c r="U1324" t="str">
        <f t="shared" si="82"/>
        <v>CO</v>
      </c>
      <c r="V1324" t="str">
        <f t="shared" si="83"/>
        <v>13631</v>
      </c>
    </row>
    <row r="1325" spans="1:22" x14ac:dyDescent="0.35">
      <c r="A1325">
        <v>171215</v>
      </c>
      <c r="B1325" t="s">
        <v>22</v>
      </c>
      <c r="C1325" t="s">
        <v>14</v>
      </c>
      <c r="D1325">
        <v>1327</v>
      </c>
      <c r="E1325">
        <v>397</v>
      </c>
      <c r="F1325">
        <v>442</v>
      </c>
      <c r="G1325">
        <v>8</v>
      </c>
      <c r="H1325">
        <v>15850</v>
      </c>
      <c r="I1325">
        <v>6</v>
      </c>
      <c r="J1325">
        <v>54</v>
      </c>
      <c r="K1325">
        <v>409</v>
      </c>
      <c r="L1325">
        <v>435</v>
      </c>
      <c r="M1325">
        <v>11.33333333</v>
      </c>
      <c r="N1325">
        <f>IFERROR(VLOOKUP(A1325,vlookup_table!$A:$G,2,FALSE),"")</f>
        <v>1</v>
      </c>
      <c r="O1325">
        <f>IFERROR(VLOOKUP(A1325,vlookup_table!$A:$G,4,FALSE),"")</f>
        <v>4701</v>
      </c>
      <c r="P1325" t="str">
        <f>IFERROR(VLOOKUP(A1325,vlookup_table!$A:$G,5,FALSE),"")</f>
        <v>S1</v>
      </c>
      <c r="Q1325">
        <f>IFERROR(VLOOKUP(A1325,vlookup_table!$A:$G,7,FALSE),"")</f>
        <v>17</v>
      </c>
      <c r="R1325">
        <f t="shared" si="80"/>
        <v>50</v>
      </c>
      <c r="S1325" t="str" cm="1">
        <f t="array" ref="S1325">IF(P1325="","",_xlfn.SWITCH(LEFT(P1325,1),"C","Ciudad","T","Pueblo","R","Rural","S","Suburbano","U","Urbano",""))</f>
        <v>Suburbano</v>
      </c>
      <c r="T1325" t="str">
        <f t="shared" si="81"/>
        <v>M</v>
      </c>
      <c r="U1325" t="str">
        <f t="shared" si="82"/>
        <v>CA</v>
      </c>
      <c r="V1325" t="str">
        <f t="shared" si="83"/>
        <v>15850</v>
      </c>
    </row>
    <row r="1326" spans="1:22" x14ac:dyDescent="0.35">
      <c r="A1326">
        <v>41222</v>
      </c>
      <c r="B1326" t="s">
        <v>13</v>
      </c>
      <c r="C1326" t="s">
        <v>14</v>
      </c>
      <c r="D1326">
        <v>956</v>
      </c>
      <c r="E1326">
        <v>348</v>
      </c>
      <c r="F1326">
        <v>417</v>
      </c>
      <c r="G1326">
        <v>3</v>
      </c>
      <c r="H1326">
        <v>13177</v>
      </c>
      <c r="I1326">
        <v>2</v>
      </c>
      <c r="J1326">
        <v>33</v>
      </c>
      <c r="K1326">
        <v>344</v>
      </c>
      <c r="L1326">
        <v>412</v>
      </c>
      <c r="M1326">
        <v>11.44444444</v>
      </c>
      <c r="N1326">
        <f>IFERROR(VLOOKUP(A1326,vlookup_table!$A:$G,2,FALSE),"")</f>
        <v>1</v>
      </c>
      <c r="O1326">
        <f>IFERROR(VLOOKUP(A1326,vlookup_table!$A:$G,4,FALSE),"")</f>
        <v>6509</v>
      </c>
      <c r="P1326" t="str">
        <f>IFERROR(VLOOKUP(A1326,vlookup_table!$A:$G,5,FALSE),"")</f>
        <v>S3</v>
      </c>
      <c r="Q1326">
        <f>IFERROR(VLOOKUP(A1326,vlookup_table!$A:$G,7,FALSE),"")</f>
        <v>20</v>
      </c>
      <c r="R1326">
        <f t="shared" si="80"/>
        <v>32</v>
      </c>
      <c r="S1326" t="str" cm="1">
        <f t="array" ref="S1326">IF(P1326="","",_xlfn.SWITCH(LEFT(P1326,1),"C","Ciudad","T","Pueblo","R","Rural","S","Suburbano","U","Urbano",""))</f>
        <v>Suburbano</v>
      </c>
      <c r="T1326" t="str">
        <f t="shared" si="81"/>
        <v>M</v>
      </c>
      <c r="U1326" t="str">
        <f t="shared" si="82"/>
        <v>FL</v>
      </c>
      <c r="V1326" t="str">
        <f t="shared" si="83"/>
        <v>13177</v>
      </c>
    </row>
    <row r="1327" spans="1:22" x14ac:dyDescent="0.35">
      <c r="A1327">
        <v>44410</v>
      </c>
      <c r="B1327" t="s">
        <v>13</v>
      </c>
      <c r="C1327" t="s">
        <v>14</v>
      </c>
      <c r="D1327">
        <v>565</v>
      </c>
      <c r="E1327">
        <v>154</v>
      </c>
      <c r="F1327">
        <v>193</v>
      </c>
      <c r="G1327">
        <v>0</v>
      </c>
      <c r="H1327">
        <v>6724</v>
      </c>
      <c r="I1327">
        <v>3</v>
      </c>
      <c r="J1327">
        <v>31</v>
      </c>
      <c r="K1327">
        <v>163</v>
      </c>
      <c r="L1327">
        <v>180</v>
      </c>
      <c r="M1327">
        <v>6.9090909089999997</v>
      </c>
      <c r="N1327">
        <f>IFERROR(VLOOKUP(A1327,vlookup_table!$A:$G,2,FALSE),"")</f>
        <v>1</v>
      </c>
      <c r="O1327">
        <f>IFERROR(VLOOKUP(A1327,vlookup_table!$A:$G,4,FALSE),"")</f>
        <v>2506</v>
      </c>
      <c r="P1327" t="str">
        <f>IFERROR(VLOOKUP(A1327,vlookup_table!$A:$G,5,FALSE),"")</f>
        <v>T2</v>
      </c>
      <c r="Q1327">
        <f>IFERROR(VLOOKUP(A1327,vlookup_table!$A:$G,7,FALSE),"")</f>
        <v>8</v>
      </c>
      <c r="R1327">
        <f t="shared" si="80"/>
        <v>72</v>
      </c>
      <c r="S1327" t="str" cm="1">
        <f t="array" ref="S1327">IF(P1327="","",_xlfn.SWITCH(LEFT(P1327,1),"C","Ciudad","T","Pueblo","R","Rural","S","Suburbano","U","Urbano",""))</f>
        <v>Pueblo</v>
      </c>
      <c r="T1327" t="str">
        <f t="shared" si="81"/>
        <v>M</v>
      </c>
      <c r="U1327" t="str">
        <f t="shared" si="82"/>
        <v>FL</v>
      </c>
      <c r="V1327" t="str">
        <f t="shared" si="83"/>
        <v>6724</v>
      </c>
    </row>
    <row r="1328" spans="1:22" x14ac:dyDescent="0.35">
      <c r="A1328">
        <v>175057</v>
      </c>
      <c r="B1328" t="s">
        <v>50</v>
      </c>
      <c r="C1328" t="s">
        <v>14</v>
      </c>
      <c r="D1328">
        <v>987</v>
      </c>
      <c r="E1328">
        <v>361</v>
      </c>
      <c r="F1328">
        <v>485</v>
      </c>
      <c r="G1328">
        <v>1</v>
      </c>
      <c r="H1328">
        <v>18610</v>
      </c>
      <c r="I1328">
        <v>3</v>
      </c>
      <c r="J1328">
        <v>45</v>
      </c>
      <c r="K1328">
        <v>440</v>
      </c>
      <c r="L1328">
        <v>400</v>
      </c>
      <c r="M1328">
        <v>12.11111111</v>
      </c>
      <c r="N1328">
        <f>IFERROR(VLOOKUP(A1328,vlookup_table!$A:$G,2,FALSE),"")</f>
        <v>1002</v>
      </c>
      <c r="O1328">
        <f>IFERROR(VLOOKUP(A1328,vlookup_table!$A:$G,4,FALSE),"")</f>
        <v>5109</v>
      </c>
      <c r="P1328" t="str">
        <f>IFERROR(VLOOKUP(A1328,vlookup_table!$A:$G,5,FALSE),"")</f>
        <v>T2</v>
      </c>
      <c r="Q1328">
        <f>IFERROR(VLOOKUP(A1328,vlookup_table!$A:$G,7,FALSE),"")</f>
        <v>19</v>
      </c>
      <c r="R1328">
        <f t="shared" si="80"/>
        <v>46</v>
      </c>
      <c r="S1328" t="str" cm="1">
        <f t="array" ref="S1328">IF(P1328="","",_xlfn.SWITCH(LEFT(P1328,1),"C","Ciudad","T","Pueblo","R","Rural","S","Suburbano","U","Urbano",""))</f>
        <v>Pueblo</v>
      </c>
      <c r="T1328" t="str">
        <f t="shared" si="81"/>
        <v>M</v>
      </c>
      <c r="U1328" t="str">
        <f t="shared" si="82"/>
        <v>OR</v>
      </c>
      <c r="V1328" t="str">
        <f t="shared" si="83"/>
        <v>18610</v>
      </c>
    </row>
    <row r="1329" spans="1:22" x14ac:dyDescent="0.35">
      <c r="A1329">
        <v>83959</v>
      </c>
      <c r="B1329" t="s">
        <v>56</v>
      </c>
      <c r="C1329" t="s">
        <v>17</v>
      </c>
      <c r="D1329">
        <v>1138</v>
      </c>
      <c r="E1329">
        <v>545</v>
      </c>
      <c r="F1329">
        <v>672</v>
      </c>
      <c r="G1329">
        <v>1</v>
      </c>
      <c r="H1329">
        <v>23589</v>
      </c>
      <c r="I1329">
        <v>3</v>
      </c>
      <c r="J1329">
        <v>71</v>
      </c>
      <c r="K1329">
        <v>613</v>
      </c>
      <c r="L1329">
        <v>602</v>
      </c>
      <c r="M1329">
        <v>9.68</v>
      </c>
      <c r="N1329">
        <f>IFERROR(VLOOKUP(A1329,vlookup_table!$A:$G,2,FALSE),"")</f>
        <v>2</v>
      </c>
      <c r="O1329">
        <f>IFERROR(VLOOKUP(A1329,vlookup_table!$A:$G,4,FALSE),"")</f>
        <v>3805</v>
      </c>
      <c r="P1329" t="str">
        <f>IFERROR(VLOOKUP(A1329,vlookup_table!$A:$G,5,FALSE),"")</f>
        <v>S1</v>
      </c>
      <c r="Q1329">
        <f>IFERROR(VLOOKUP(A1329,vlookup_table!$A:$G,7,FALSE),"")</f>
        <v>16</v>
      </c>
      <c r="R1329">
        <f t="shared" si="80"/>
        <v>59</v>
      </c>
      <c r="S1329" t="str" cm="1">
        <f t="array" ref="S1329">IF(P1329="","",_xlfn.SWITCH(LEFT(P1329,1),"C","Ciudad","T","Pueblo","R","Rural","S","Suburbano","U","Urbano",""))</f>
        <v>Suburbano</v>
      </c>
      <c r="T1329" t="str">
        <f t="shared" si="81"/>
        <v>F</v>
      </c>
      <c r="U1329" t="str">
        <f t="shared" si="82"/>
        <v>MN</v>
      </c>
      <c r="V1329" t="str">
        <f t="shared" si="83"/>
        <v>23589</v>
      </c>
    </row>
    <row r="1330" spans="1:22" x14ac:dyDescent="0.35">
      <c r="A1330">
        <v>35877</v>
      </c>
      <c r="B1330" t="s">
        <v>13</v>
      </c>
      <c r="C1330" t="s">
        <v>17</v>
      </c>
      <c r="D1330">
        <v>535</v>
      </c>
      <c r="E1330">
        <v>226</v>
      </c>
      <c r="F1330">
        <v>265</v>
      </c>
      <c r="G1330">
        <v>1</v>
      </c>
      <c r="H1330">
        <v>9934</v>
      </c>
      <c r="I1330">
        <v>3</v>
      </c>
      <c r="J1330">
        <v>32</v>
      </c>
      <c r="K1330">
        <v>236</v>
      </c>
      <c r="L1330">
        <v>250</v>
      </c>
      <c r="M1330">
        <v>4.2857142860000002</v>
      </c>
      <c r="N1330">
        <f>IFERROR(VLOOKUP(A1330,vlookup_table!$A:$G,2,FALSE),"")</f>
        <v>28</v>
      </c>
      <c r="O1330">
        <f>IFERROR(VLOOKUP(A1330,vlookup_table!$A:$G,4,FALSE),"")</f>
        <v>2401</v>
      </c>
      <c r="P1330" t="str">
        <f>IFERROR(VLOOKUP(A1330,vlookup_table!$A:$G,5,FALSE),"")</f>
        <v>S3</v>
      </c>
      <c r="Q1330">
        <f>IFERROR(VLOOKUP(A1330,vlookup_table!$A:$G,7,FALSE),"")</f>
        <v>5</v>
      </c>
      <c r="R1330">
        <f t="shared" si="80"/>
        <v>73</v>
      </c>
      <c r="S1330" t="str" cm="1">
        <f t="array" ref="S1330">IF(P1330="","",_xlfn.SWITCH(LEFT(P1330,1),"C","Ciudad","T","Pueblo","R","Rural","S","Suburbano","U","Urbano",""))</f>
        <v>Suburbano</v>
      </c>
      <c r="T1330" t="str">
        <f t="shared" si="81"/>
        <v>F</v>
      </c>
      <c r="U1330" t="str">
        <f t="shared" si="82"/>
        <v>FL</v>
      </c>
      <c r="V1330" t="str">
        <f t="shared" si="83"/>
        <v>9934</v>
      </c>
    </row>
    <row r="1331" spans="1:22" x14ac:dyDescent="0.35">
      <c r="A1331">
        <v>96763</v>
      </c>
      <c r="B1331" t="s">
        <v>16</v>
      </c>
      <c r="C1331" t="s">
        <v>17</v>
      </c>
      <c r="D1331">
        <v>427</v>
      </c>
      <c r="E1331">
        <v>71</v>
      </c>
      <c r="F1331">
        <v>253</v>
      </c>
      <c r="G1331">
        <v>0</v>
      </c>
      <c r="H1331">
        <v>6671</v>
      </c>
      <c r="I1331">
        <v>1</v>
      </c>
      <c r="J1331">
        <v>72</v>
      </c>
      <c r="K1331">
        <v>141</v>
      </c>
      <c r="L1331">
        <v>121</v>
      </c>
      <c r="M1331">
        <v>10.75</v>
      </c>
      <c r="N1331">
        <f>IFERROR(VLOOKUP(A1331,vlookup_table!$A:$G,2,FALSE),"")</f>
        <v>2</v>
      </c>
      <c r="O1331">
        <f>IFERROR(VLOOKUP(A1331,vlookup_table!$A:$G,4,FALSE),"")</f>
        <v>1805</v>
      </c>
      <c r="P1331" t="str">
        <f>IFERROR(VLOOKUP(A1331,vlookup_table!$A:$G,5,FALSE),"")</f>
        <v>C2</v>
      </c>
      <c r="Q1331">
        <f>IFERROR(VLOOKUP(A1331,vlookup_table!$A:$G,7,FALSE),"")</f>
        <v>20</v>
      </c>
      <c r="R1331">
        <f t="shared" si="80"/>
        <v>79</v>
      </c>
      <c r="S1331" t="str" cm="1">
        <f t="array" ref="S1331">IF(P1331="","",_xlfn.SWITCH(LEFT(P1331,1),"C","Ciudad","T","Pueblo","R","Rural","S","Suburbano","U","Urbano",""))</f>
        <v>Ciudad</v>
      </c>
      <c r="T1331" t="str">
        <f t="shared" si="81"/>
        <v>F</v>
      </c>
      <c r="U1331" t="str">
        <f t="shared" si="82"/>
        <v>IL</v>
      </c>
      <c r="V1331" t="str">
        <f t="shared" si="83"/>
        <v>6671</v>
      </c>
    </row>
    <row r="1332" spans="1:22" x14ac:dyDescent="0.35">
      <c r="A1332">
        <v>144691</v>
      </c>
      <c r="B1332" t="s">
        <v>22</v>
      </c>
      <c r="C1332" t="s">
        <v>14</v>
      </c>
      <c r="D1332">
        <v>5806</v>
      </c>
      <c r="E1332">
        <v>778</v>
      </c>
      <c r="F1332">
        <v>896</v>
      </c>
      <c r="G1332">
        <v>99</v>
      </c>
      <c r="H1332">
        <v>50987</v>
      </c>
      <c r="I1332">
        <v>10</v>
      </c>
      <c r="J1332">
        <v>46</v>
      </c>
      <c r="K1332">
        <v>871</v>
      </c>
      <c r="L1332">
        <v>830</v>
      </c>
      <c r="M1332">
        <v>20</v>
      </c>
      <c r="N1332">
        <f>IFERROR(VLOOKUP(A1332,vlookup_table!$A:$G,2,FALSE),"")</f>
        <v>1</v>
      </c>
      <c r="O1332">
        <f>IFERROR(VLOOKUP(A1332,vlookup_table!$A:$G,4,FALSE),"")</f>
        <v>4701</v>
      </c>
      <c r="P1332" t="str">
        <f>IFERROR(VLOOKUP(A1332,vlookup_table!$A:$G,5,FALSE),"")</f>
        <v>T1</v>
      </c>
      <c r="Q1332">
        <f>IFERROR(VLOOKUP(A1332,vlookup_table!$A:$G,7,FALSE),"")</f>
        <v>20</v>
      </c>
      <c r="R1332">
        <f t="shared" si="80"/>
        <v>50</v>
      </c>
      <c r="S1332" t="str" cm="1">
        <f t="array" ref="S1332">IF(P1332="","",_xlfn.SWITCH(LEFT(P1332,1),"C","Ciudad","T","Pueblo","R","Rural","S","Suburbano","U","Urbano",""))</f>
        <v>Pueblo</v>
      </c>
      <c r="T1332" t="str">
        <f t="shared" si="81"/>
        <v>M</v>
      </c>
      <c r="U1332" t="str">
        <f t="shared" si="82"/>
        <v>CA</v>
      </c>
      <c r="V1332" t="str">
        <f t="shared" si="83"/>
        <v>50987</v>
      </c>
    </row>
    <row r="1333" spans="1:22" x14ac:dyDescent="0.35">
      <c r="A1333">
        <v>180805</v>
      </c>
      <c r="B1333" t="s">
        <v>40</v>
      </c>
      <c r="C1333" t="s">
        <v>17</v>
      </c>
      <c r="D1333">
        <v>1413</v>
      </c>
      <c r="E1333">
        <v>306</v>
      </c>
      <c r="F1333">
        <v>435</v>
      </c>
      <c r="G1333">
        <v>22</v>
      </c>
      <c r="H1333">
        <v>18792</v>
      </c>
      <c r="I1333">
        <v>13</v>
      </c>
      <c r="J1333">
        <v>46</v>
      </c>
      <c r="K1333">
        <v>329</v>
      </c>
      <c r="L1333">
        <v>397</v>
      </c>
      <c r="M1333">
        <v>6.6666666670000003</v>
      </c>
      <c r="N1333">
        <f>IFERROR(VLOOKUP(A1333,vlookup_table!$A:$G,2,FALSE),"")</f>
        <v>2</v>
      </c>
      <c r="O1333">
        <f>IFERROR(VLOOKUP(A1333,vlookup_table!$A:$G,4,FALSE),"")</f>
        <v>2401</v>
      </c>
      <c r="P1333" t="str">
        <f>IFERROR(VLOOKUP(A1333,vlookup_table!$A:$G,5,FALSE),"")</f>
        <v>R2</v>
      </c>
      <c r="Q1333">
        <f>IFERROR(VLOOKUP(A1333,vlookup_table!$A:$G,7,FALSE),"")</f>
        <v>20</v>
      </c>
      <c r="R1333">
        <f t="shared" si="80"/>
        <v>73</v>
      </c>
      <c r="S1333" t="str" cm="1">
        <f t="array" ref="S1333">IF(P1333="","",_xlfn.SWITCH(LEFT(P1333,1),"C","Ciudad","T","Pueblo","R","Rural","S","Suburbano","U","Urbano",""))</f>
        <v>Rural</v>
      </c>
      <c r="T1333" t="str">
        <f t="shared" si="81"/>
        <v>F</v>
      </c>
      <c r="U1333" t="str">
        <f t="shared" si="82"/>
        <v>WA</v>
      </c>
      <c r="V1333" t="str">
        <f t="shared" si="83"/>
        <v>18792</v>
      </c>
    </row>
    <row r="1334" spans="1:22" x14ac:dyDescent="0.35">
      <c r="A1334">
        <v>180050</v>
      </c>
      <c r="B1334" t="s">
        <v>40</v>
      </c>
      <c r="C1334" t="s">
        <v>17</v>
      </c>
      <c r="D1334">
        <v>1180</v>
      </c>
      <c r="E1334">
        <v>333</v>
      </c>
      <c r="F1334">
        <v>464</v>
      </c>
      <c r="G1334">
        <v>4</v>
      </c>
      <c r="H1334">
        <v>20815</v>
      </c>
      <c r="I1334">
        <v>8</v>
      </c>
      <c r="J1334">
        <v>54</v>
      </c>
      <c r="K1334">
        <v>385</v>
      </c>
      <c r="L1334">
        <v>414</v>
      </c>
      <c r="M1334">
        <v>12.9</v>
      </c>
      <c r="N1334">
        <f>IFERROR(VLOOKUP(A1334,vlookup_table!$A:$G,2,FALSE),"")</f>
        <v>0</v>
      </c>
      <c r="O1334">
        <f>IFERROR(VLOOKUP(A1334,vlookup_table!$A:$G,4,FALSE),"")</f>
        <v>0</v>
      </c>
      <c r="P1334" t="str">
        <f>IFERROR(VLOOKUP(A1334,vlookup_table!$A:$G,5,FALSE),"")</f>
        <v>S2</v>
      </c>
      <c r="Q1334">
        <f>IFERROR(VLOOKUP(A1334,vlookup_table!$A:$G,7,FALSE),"")</f>
        <v>25</v>
      </c>
      <c r="R1334">
        <f t="shared" si="80"/>
        <v>97</v>
      </c>
      <c r="S1334" t="str" cm="1">
        <f t="array" ref="S1334">IF(P1334="","",_xlfn.SWITCH(LEFT(P1334,1),"C","Ciudad","T","Pueblo","R","Rural","S","Suburbano","U","Urbano",""))</f>
        <v>Suburbano</v>
      </c>
      <c r="T1334" t="str">
        <f t="shared" si="81"/>
        <v>F</v>
      </c>
      <c r="U1334" t="str">
        <f t="shared" si="82"/>
        <v>WA</v>
      </c>
      <c r="V1334" t="str">
        <f t="shared" si="83"/>
        <v>20815</v>
      </c>
    </row>
    <row r="1335" spans="1:22" x14ac:dyDescent="0.35">
      <c r="A1335">
        <v>111592</v>
      </c>
      <c r="B1335" t="s">
        <v>32</v>
      </c>
      <c r="C1335" t="s">
        <v>14</v>
      </c>
      <c r="D1335">
        <v>318</v>
      </c>
      <c r="E1335">
        <v>53</v>
      </c>
      <c r="F1335">
        <v>152</v>
      </c>
      <c r="G1335">
        <v>0</v>
      </c>
      <c r="H1335">
        <v>3748</v>
      </c>
      <c r="I1335">
        <v>9</v>
      </c>
      <c r="J1335">
        <v>83</v>
      </c>
      <c r="K1335">
        <v>105</v>
      </c>
      <c r="L1335">
        <v>113</v>
      </c>
      <c r="M1335">
        <v>17.454545459999999</v>
      </c>
      <c r="N1335">
        <f>IFERROR(VLOOKUP(A1335,vlookup_table!$A:$G,2,FALSE),"")</f>
        <v>1</v>
      </c>
      <c r="O1335">
        <f>IFERROR(VLOOKUP(A1335,vlookup_table!$A:$G,4,FALSE),"")</f>
        <v>2109</v>
      </c>
      <c r="P1335" t="str">
        <f>IFERROR(VLOOKUP(A1335,vlookup_table!$A:$G,5,FALSE),"")</f>
        <v>C3</v>
      </c>
      <c r="Q1335">
        <f>IFERROR(VLOOKUP(A1335,vlookup_table!$A:$G,7,FALSE),"")</f>
        <v>16</v>
      </c>
      <c r="R1335">
        <f t="shared" si="80"/>
        <v>76</v>
      </c>
      <c r="S1335" t="str" cm="1">
        <f t="array" ref="S1335">IF(P1335="","",_xlfn.SWITCH(LEFT(P1335,1),"C","Ciudad","T","Pueblo","R","Rural","S","Suburbano","U","Urbano",""))</f>
        <v>Ciudad</v>
      </c>
      <c r="T1335" t="str">
        <f t="shared" si="81"/>
        <v>M</v>
      </c>
      <c r="U1335" t="str">
        <f t="shared" si="82"/>
        <v>AR</v>
      </c>
      <c r="V1335" t="str">
        <f t="shared" si="83"/>
        <v>3748</v>
      </c>
    </row>
    <row r="1336" spans="1:22" x14ac:dyDescent="0.35">
      <c r="A1336">
        <v>66087</v>
      </c>
      <c r="B1336" t="s">
        <v>29</v>
      </c>
      <c r="C1336" t="s">
        <v>17</v>
      </c>
      <c r="D1336">
        <v>554</v>
      </c>
      <c r="E1336">
        <v>414</v>
      </c>
      <c r="F1336">
        <v>445</v>
      </c>
      <c r="G1336">
        <v>0</v>
      </c>
      <c r="H1336">
        <v>15267</v>
      </c>
      <c r="I1336">
        <v>4</v>
      </c>
      <c r="J1336">
        <v>69</v>
      </c>
      <c r="K1336">
        <v>424</v>
      </c>
      <c r="L1336">
        <v>432</v>
      </c>
      <c r="M1336">
        <v>7.8666666669999996</v>
      </c>
      <c r="N1336">
        <f>IFERROR(VLOOKUP(A1336,vlookup_table!$A:$G,2,FALSE),"")</f>
        <v>0</v>
      </c>
      <c r="O1336">
        <f>IFERROR(VLOOKUP(A1336,vlookup_table!$A:$G,4,FALSE),"")</f>
        <v>4912</v>
      </c>
      <c r="P1336" t="str">
        <f>IFERROR(VLOOKUP(A1336,vlookup_table!$A:$G,5,FALSE),"")</f>
        <v>T2</v>
      </c>
      <c r="Q1336">
        <f>IFERROR(VLOOKUP(A1336,vlookup_table!$A:$G,7,FALSE),"")</f>
        <v>20</v>
      </c>
      <c r="R1336">
        <f t="shared" si="80"/>
        <v>48</v>
      </c>
      <c r="S1336" t="str" cm="1">
        <f t="array" ref="S1336">IF(P1336="","",_xlfn.SWITCH(LEFT(P1336,1),"C","Ciudad","T","Pueblo","R","Rural","S","Suburbano","U","Urbano",""))</f>
        <v>Pueblo</v>
      </c>
      <c r="T1336" t="str">
        <f t="shared" si="81"/>
        <v>F</v>
      </c>
      <c r="U1336" t="str">
        <f t="shared" si="82"/>
        <v>MI</v>
      </c>
      <c r="V1336" t="str">
        <f t="shared" si="83"/>
        <v>15267</v>
      </c>
    </row>
    <row r="1337" spans="1:22" x14ac:dyDescent="0.35">
      <c r="A1337">
        <v>121554</v>
      </c>
      <c r="B1337" t="s">
        <v>21</v>
      </c>
      <c r="C1337" t="s">
        <v>17</v>
      </c>
      <c r="D1337">
        <v>1900</v>
      </c>
      <c r="E1337">
        <v>404</v>
      </c>
      <c r="F1337">
        <v>664</v>
      </c>
      <c r="G1337">
        <v>43</v>
      </c>
      <c r="H1337">
        <v>34592</v>
      </c>
      <c r="I1337">
        <v>16</v>
      </c>
      <c r="J1337">
        <v>38</v>
      </c>
      <c r="K1337">
        <v>582</v>
      </c>
      <c r="L1337">
        <v>498</v>
      </c>
      <c r="M1337">
        <v>5.2</v>
      </c>
      <c r="N1337">
        <f>IFERROR(VLOOKUP(A1337,vlookup_table!$A:$G,2,FALSE),"")</f>
        <v>28</v>
      </c>
      <c r="O1337">
        <f>IFERROR(VLOOKUP(A1337,vlookup_table!$A:$G,4,FALSE),"")</f>
        <v>6301</v>
      </c>
      <c r="P1337" t="str">
        <f>IFERROR(VLOOKUP(A1337,vlookup_table!$A:$G,5,FALSE),"")</f>
        <v>U1</v>
      </c>
      <c r="Q1337">
        <f>IFERROR(VLOOKUP(A1337,vlookup_table!$A:$G,7,FALSE),"")</f>
        <v>6</v>
      </c>
      <c r="R1337">
        <f t="shared" si="80"/>
        <v>34</v>
      </c>
      <c r="S1337" t="str" cm="1">
        <f t="array" ref="S1337">IF(P1337="","",_xlfn.SWITCH(LEFT(P1337,1),"C","Ciudad","T","Pueblo","R","Rural","S","Suburbano","U","Urbano",""))</f>
        <v>Urbano</v>
      </c>
      <c r="T1337" t="str">
        <f t="shared" si="81"/>
        <v>F</v>
      </c>
      <c r="U1337" t="str">
        <f t="shared" si="82"/>
        <v>TX</v>
      </c>
      <c r="V1337" t="str">
        <f t="shared" si="83"/>
        <v>34592</v>
      </c>
    </row>
    <row r="1338" spans="1:22" x14ac:dyDescent="0.35">
      <c r="A1338">
        <v>137429</v>
      </c>
      <c r="B1338" t="s">
        <v>64</v>
      </c>
      <c r="C1338" t="s">
        <v>14</v>
      </c>
      <c r="D1338">
        <v>866</v>
      </c>
      <c r="E1338">
        <v>387</v>
      </c>
      <c r="F1338">
        <v>491</v>
      </c>
      <c r="G1338">
        <v>1</v>
      </c>
      <c r="H1338">
        <v>24381</v>
      </c>
      <c r="I1338">
        <v>4</v>
      </c>
      <c r="J1338">
        <v>0</v>
      </c>
      <c r="K1338">
        <v>453</v>
      </c>
      <c r="L1338">
        <v>428</v>
      </c>
      <c r="M1338">
        <v>25</v>
      </c>
      <c r="N1338">
        <f>IFERROR(VLOOKUP(A1338,vlookup_table!$A:$G,2,FALSE),"")</f>
        <v>1</v>
      </c>
      <c r="O1338">
        <f>IFERROR(VLOOKUP(A1338,vlookup_table!$A:$G,4,FALSE),"")</f>
        <v>1301</v>
      </c>
      <c r="P1338" t="str">
        <f>IFERROR(VLOOKUP(A1338,vlookup_table!$A:$G,5,FALSE),"")</f>
        <v>C2</v>
      </c>
      <c r="Q1338">
        <f>IFERROR(VLOOKUP(A1338,vlookup_table!$A:$G,7,FALSE),"")</f>
        <v>25</v>
      </c>
      <c r="R1338">
        <f t="shared" si="80"/>
        <v>84</v>
      </c>
      <c r="S1338" t="str" cm="1">
        <f t="array" ref="S1338">IF(P1338="","",_xlfn.SWITCH(LEFT(P1338,1),"C","Ciudad","T","Pueblo","R","Rural","S","Suburbano","U","Urbano",""))</f>
        <v>Ciudad</v>
      </c>
      <c r="T1338" t="str">
        <f t="shared" si="81"/>
        <v>M</v>
      </c>
      <c r="U1338" t="str">
        <f t="shared" si="82"/>
        <v>Arizona</v>
      </c>
      <c r="V1338" t="str">
        <f t="shared" si="83"/>
        <v>24381</v>
      </c>
    </row>
    <row r="1339" spans="1:22" x14ac:dyDescent="0.35">
      <c r="A1339">
        <v>127171</v>
      </c>
      <c r="B1339" t="s">
        <v>21</v>
      </c>
      <c r="C1339" t="s">
        <v>17</v>
      </c>
      <c r="D1339">
        <v>1223</v>
      </c>
      <c r="E1339">
        <v>313</v>
      </c>
      <c r="F1339">
        <v>538</v>
      </c>
      <c r="G1339">
        <v>22</v>
      </c>
      <c r="H1339">
        <v>17822</v>
      </c>
      <c r="I1339">
        <v>1</v>
      </c>
      <c r="J1339">
        <v>62</v>
      </c>
      <c r="K1339">
        <v>419</v>
      </c>
      <c r="L1339">
        <v>444</v>
      </c>
      <c r="M1339">
        <v>9</v>
      </c>
      <c r="N1339">
        <f>IFERROR(VLOOKUP(A1339,vlookup_table!$A:$G,2,FALSE),"")</f>
        <v>0</v>
      </c>
      <c r="O1339">
        <f>IFERROR(VLOOKUP(A1339,vlookup_table!$A:$G,4,FALSE),"")</f>
        <v>1601</v>
      </c>
      <c r="P1339" t="str">
        <f>IFERROR(VLOOKUP(A1339,vlookup_table!$A:$G,5,FALSE),"")</f>
        <v>R1</v>
      </c>
      <c r="Q1339">
        <f>IFERROR(VLOOKUP(A1339,vlookup_table!$A:$G,7,FALSE),"")</f>
        <v>15</v>
      </c>
      <c r="R1339">
        <f t="shared" si="80"/>
        <v>81</v>
      </c>
      <c r="S1339" t="str" cm="1">
        <f t="array" ref="S1339">IF(P1339="","",_xlfn.SWITCH(LEFT(P1339,1),"C","Ciudad","T","Pueblo","R","Rural","S","Suburbano","U","Urbano",""))</f>
        <v>Rural</v>
      </c>
      <c r="T1339" t="str">
        <f t="shared" si="81"/>
        <v>F</v>
      </c>
      <c r="U1339" t="str">
        <f t="shared" si="82"/>
        <v>TX</v>
      </c>
      <c r="V1339" t="str">
        <f t="shared" si="83"/>
        <v>17822</v>
      </c>
    </row>
    <row r="1340" spans="1:22" x14ac:dyDescent="0.35">
      <c r="A1340">
        <v>167517</v>
      </c>
      <c r="B1340" t="s">
        <v>22</v>
      </c>
      <c r="C1340" t="s">
        <v>17</v>
      </c>
      <c r="D1340">
        <v>2324</v>
      </c>
      <c r="E1340">
        <v>374</v>
      </c>
      <c r="F1340">
        <v>484</v>
      </c>
      <c r="G1340">
        <v>64</v>
      </c>
      <c r="H1340">
        <v>14229</v>
      </c>
      <c r="I1340">
        <v>13</v>
      </c>
      <c r="J1340">
        <v>64</v>
      </c>
      <c r="K1340">
        <v>404</v>
      </c>
      <c r="L1340">
        <v>445</v>
      </c>
      <c r="M1340">
        <v>10.6</v>
      </c>
      <c r="N1340">
        <f>IFERROR(VLOOKUP(A1340,vlookup_table!$A:$G,2,FALSE),"")</f>
        <v>0</v>
      </c>
      <c r="O1340">
        <f>IFERROR(VLOOKUP(A1340,vlookup_table!$A:$G,4,FALSE),"")</f>
        <v>0</v>
      </c>
      <c r="P1340" t="str">
        <f>IFERROR(VLOOKUP(A1340,vlookup_table!$A:$G,5,FALSE),"")</f>
        <v>R1</v>
      </c>
      <c r="Q1340">
        <f>IFERROR(VLOOKUP(A1340,vlookup_table!$A:$G,7,FALSE),"")</f>
        <v>25</v>
      </c>
      <c r="R1340">
        <f t="shared" si="80"/>
        <v>97</v>
      </c>
      <c r="S1340" t="str" cm="1">
        <f t="array" ref="S1340">IF(P1340="","",_xlfn.SWITCH(LEFT(P1340,1),"C","Ciudad","T","Pueblo","R","Rural","S","Suburbano","U","Urbano",""))</f>
        <v>Rural</v>
      </c>
      <c r="T1340" t="str">
        <f t="shared" si="81"/>
        <v>F</v>
      </c>
      <c r="U1340" t="str">
        <f t="shared" si="82"/>
        <v>CA</v>
      </c>
      <c r="V1340" t="str">
        <f t="shared" si="83"/>
        <v>14229</v>
      </c>
    </row>
    <row r="1341" spans="1:22" x14ac:dyDescent="0.35">
      <c r="A1341">
        <v>14386</v>
      </c>
      <c r="B1341" t="s">
        <v>36</v>
      </c>
      <c r="C1341" t="s">
        <v>17</v>
      </c>
      <c r="D1341">
        <v>2528</v>
      </c>
      <c r="E1341">
        <v>439</v>
      </c>
      <c r="F1341">
        <v>686</v>
      </c>
      <c r="G1341">
        <v>53</v>
      </c>
      <c r="H1341">
        <v>32768</v>
      </c>
      <c r="I1341">
        <v>4</v>
      </c>
      <c r="J1341">
        <v>44</v>
      </c>
      <c r="K1341">
        <v>591</v>
      </c>
      <c r="L1341">
        <v>542</v>
      </c>
      <c r="M1341">
        <v>24.777777780000001</v>
      </c>
      <c r="N1341">
        <f>IFERROR(VLOOKUP(A1341,vlookup_table!$A:$G,2,FALSE),"")</f>
        <v>2</v>
      </c>
      <c r="O1341">
        <f>IFERROR(VLOOKUP(A1341,vlookup_table!$A:$G,4,FALSE),"")</f>
        <v>1101</v>
      </c>
      <c r="P1341" t="str">
        <f>IFERROR(VLOOKUP(A1341,vlookup_table!$A:$G,5,FALSE),"")</f>
        <v>S1</v>
      </c>
      <c r="Q1341">
        <f>IFERROR(VLOOKUP(A1341,vlookup_table!$A:$G,7,FALSE),"")</f>
        <v>10</v>
      </c>
      <c r="R1341">
        <f t="shared" si="80"/>
        <v>86</v>
      </c>
      <c r="S1341" t="str" cm="1">
        <f t="array" ref="S1341">IF(P1341="","",_xlfn.SWITCH(LEFT(P1341,1),"C","Ciudad","T","Pueblo","R","Rural","S","Suburbano","U","Urbano",""))</f>
        <v>Suburbano</v>
      </c>
      <c r="T1341" t="str">
        <f t="shared" si="81"/>
        <v>F</v>
      </c>
      <c r="U1341" t="str">
        <f t="shared" si="82"/>
        <v>MO</v>
      </c>
      <c r="V1341" t="str">
        <f t="shared" si="83"/>
        <v>32768</v>
      </c>
    </row>
    <row r="1342" spans="1:22" x14ac:dyDescent="0.35">
      <c r="A1342">
        <v>184011</v>
      </c>
      <c r="B1342" t="s">
        <v>40</v>
      </c>
      <c r="C1342" t="s">
        <v>17</v>
      </c>
      <c r="D1342">
        <v>1183</v>
      </c>
      <c r="E1342">
        <v>217</v>
      </c>
      <c r="F1342">
        <v>628</v>
      </c>
      <c r="G1342">
        <v>26</v>
      </c>
      <c r="H1342">
        <v>24703</v>
      </c>
      <c r="I1342">
        <v>0</v>
      </c>
      <c r="J1342">
        <v>52</v>
      </c>
      <c r="K1342">
        <v>528</v>
      </c>
      <c r="L1342">
        <v>379</v>
      </c>
      <c r="M1342">
        <v>37.5</v>
      </c>
      <c r="N1342">
        <f>IFERROR(VLOOKUP(A1342,vlookup_table!$A:$G,2,FALSE),"")</f>
        <v>28</v>
      </c>
      <c r="O1342">
        <f>IFERROR(VLOOKUP(A1342,vlookup_table!$A:$G,4,FALSE),"")</f>
        <v>1502</v>
      </c>
      <c r="P1342" t="str">
        <f>IFERROR(VLOOKUP(A1342,vlookup_table!$A:$G,5,FALSE),"")</f>
        <v>C1</v>
      </c>
      <c r="Q1342">
        <f>IFERROR(VLOOKUP(A1342,vlookup_table!$A:$G,7,FALSE),"")</f>
        <v>25</v>
      </c>
      <c r="R1342">
        <f t="shared" si="80"/>
        <v>82</v>
      </c>
      <c r="S1342" t="str" cm="1">
        <f t="array" ref="S1342">IF(P1342="","",_xlfn.SWITCH(LEFT(P1342,1),"C","Ciudad","T","Pueblo","R","Rural","S","Suburbano","U","Urbano",""))</f>
        <v>Ciudad</v>
      </c>
      <c r="T1342" t="str">
        <f t="shared" si="81"/>
        <v>F</v>
      </c>
      <c r="U1342" t="str">
        <f t="shared" si="82"/>
        <v>WA</v>
      </c>
      <c r="V1342" t="str">
        <f t="shared" si="83"/>
        <v>24703</v>
      </c>
    </row>
    <row r="1343" spans="1:22" x14ac:dyDescent="0.35">
      <c r="A1343">
        <v>121967</v>
      </c>
      <c r="B1343" t="s">
        <v>21</v>
      </c>
      <c r="C1343" t="s">
        <v>14</v>
      </c>
      <c r="D1343">
        <v>655</v>
      </c>
      <c r="E1343">
        <v>318</v>
      </c>
      <c r="F1343">
        <v>324</v>
      </c>
      <c r="G1343">
        <v>0</v>
      </c>
      <c r="H1343">
        <v>8044</v>
      </c>
      <c r="I1343">
        <v>40</v>
      </c>
      <c r="J1343">
        <v>41</v>
      </c>
      <c r="K1343">
        <v>315</v>
      </c>
      <c r="L1343">
        <v>328</v>
      </c>
      <c r="M1343">
        <v>8.75</v>
      </c>
      <c r="N1343">
        <f>IFERROR(VLOOKUP(A1343,vlookup_table!$A:$G,2,FALSE),"")</f>
        <v>1</v>
      </c>
      <c r="O1343">
        <f>IFERROR(VLOOKUP(A1343,vlookup_table!$A:$G,4,FALSE),"")</f>
        <v>3801</v>
      </c>
      <c r="P1343" t="str">
        <f>IFERROR(VLOOKUP(A1343,vlookup_table!$A:$G,5,FALSE),"")</f>
        <v>S2</v>
      </c>
      <c r="Q1343">
        <f>IFERROR(VLOOKUP(A1343,vlookup_table!$A:$G,7,FALSE),"")</f>
        <v>15</v>
      </c>
      <c r="R1343">
        <f t="shared" si="80"/>
        <v>59</v>
      </c>
      <c r="S1343" t="str" cm="1">
        <f t="array" ref="S1343">IF(P1343="","",_xlfn.SWITCH(LEFT(P1343,1),"C","Ciudad","T","Pueblo","R","Rural","S","Suburbano","U","Urbano",""))</f>
        <v>Suburbano</v>
      </c>
      <c r="T1343" t="str">
        <f t="shared" si="81"/>
        <v>M</v>
      </c>
      <c r="U1343" t="str">
        <f t="shared" si="82"/>
        <v>TX</v>
      </c>
      <c r="V1343" t="str">
        <f t="shared" si="83"/>
        <v>8044</v>
      </c>
    </row>
    <row r="1344" spans="1:22" x14ac:dyDescent="0.35">
      <c r="A1344">
        <v>20194</v>
      </c>
      <c r="B1344" t="s">
        <v>18</v>
      </c>
      <c r="C1344" t="s">
        <v>20</v>
      </c>
      <c r="D1344">
        <v>399</v>
      </c>
      <c r="E1344">
        <v>211</v>
      </c>
      <c r="F1344">
        <v>295</v>
      </c>
      <c r="G1344">
        <v>0</v>
      </c>
      <c r="H1344">
        <v>9617</v>
      </c>
      <c r="I1344">
        <v>0</v>
      </c>
      <c r="J1344">
        <v>79</v>
      </c>
      <c r="K1344">
        <v>259</v>
      </c>
      <c r="L1344">
        <v>249</v>
      </c>
      <c r="M1344">
        <v>6.2</v>
      </c>
      <c r="N1344">
        <f>IFERROR(VLOOKUP(A1344,vlookup_table!$A:$G,2,FALSE),"")</f>
        <v>28</v>
      </c>
      <c r="O1344">
        <f>IFERROR(VLOOKUP(A1344,vlookup_table!$A:$G,4,FALSE),"")</f>
        <v>3601</v>
      </c>
      <c r="P1344" t="str">
        <f>IFERROR(VLOOKUP(A1344,vlookup_table!$A:$G,5,FALSE),"")</f>
        <v>T3</v>
      </c>
      <c r="Q1344">
        <f>IFERROR(VLOOKUP(A1344,vlookup_table!$A:$G,7,FALSE),"")</f>
        <v>10</v>
      </c>
      <c r="R1344">
        <f t="shared" si="80"/>
        <v>61</v>
      </c>
      <c r="S1344" t="str" cm="1">
        <f t="array" ref="S1344">IF(P1344="","",_xlfn.SWITCH(LEFT(P1344,1),"C","Ciudad","T","Pueblo","R","Rural","S","Suburbano","U","Urbano",""))</f>
        <v>Pueblo</v>
      </c>
      <c r="T1344" t="str">
        <f t="shared" si="81"/>
        <v>F</v>
      </c>
      <c r="U1344" t="str">
        <f t="shared" si="82"/>
        <v>NC</v>
      </c>
      <c r="V1344" t="str">
        <f t="shared" si="83"/>
        <v>9617</v>
      </c>
    </row>
    <row r="1345" spans="1:22" x14ac:dyDescent="0.35">
      <c r="A1345">
        <v>84967</v>
      </c>
      <c r="B1345" t="s">
        <v>56</v>
      </c>
      <c r="C1345" t="s">
        <v>14</v>
      </c>
      <c r="D1345">
        <v>418</v>
      </c>
      <c r="E1345">
        <v>190</v>
      </c>
      <c r="F1345">
        <v>403</v>
      </c>
      <c r="G1345">
        <v>0</v>
      </c>
      <c r="H1345">
        <v>13707</v>
      </c>
      <c r="I1345">
        <v>0</v>
      </c>
      <c r="J1345">
        <v>88</v>
      </c>
      <c r="K1345">
        <v>290</v>
      </c>
      <c r="L1345">
        <v>244</v>
      </c>
      <c r="M1345">
        <v>10.71428571</v>
      </c>
      <c r="N1345">
        <f>IFERROR(VLOOKUP(A1345,vlookup_table!$A:$G,2,FALSE),"")</f>
        <v>0</v>
      </c>
      <c r="O1345">
        <f>IFERROR(VLOOKUP(A1345,vlookup_table!$A:$G,4,FALSE),"")</f>
        <v>4805</v>
      </c>
      <c r="P1345" t="str">
        <f>IFERROR(VLOOKUP(A1345,vlookup_table!$A:$G,5,FALSE),"")</f>
        <v>T2</v>
      </c>
      <c r="Q1345">
        <f>IFERROR(VLOOKUP(A1345,vlookup_table!$A:$G,7,FALSE),"")</f>
        <v>15</v>
      </c>
      <c r="R1345">
        <f t="shared" si="80"/>
        <v>49</v>
      </c>
      <c r="S1345" t="str" cm="1">
        <f t="array" ref="S1345">IF(P1345="","",_xlfn.SWITCH(LEFT(P1345,1),"C","Ciudad","T","Pueblo","R","Rural","S","Suburbano","U","Urbano",""))</f>
        <v>Pueblo</v>
      </c>
      <c r="T1345" t="str">
        <f t="shared" si="81"/>
        <v>M</v>
      </c>
      <c r="U1345" t="str">
        <f t="shared" si="82"/>
        <v>MN</v>
      </c>
      <c r="V1345" t="str">
        <f t="shared" si="83"/>
        <v>13707</v>
      </c>
    </row>
    <row r="1346" spans="1:22" x14ac:dyDescent="0.35">
      <c r="A1346">
        <v>93684</v>
      </c>
      <c r="B1346" t="s">
        <v>16</v>
      </c>
      <c r="C1346" t="s">
        <v>14</v>
      </c>
      <c r="D1346">
        <v>595</v>
      </c>
      <c r="E1346">
        <v>385</v>
      </c>
      <c r="F1346">
        <v>419</v>
      </c>
      <c r="G1346">
        <v>0</v>
      </c>
      <c r="H1346">
        <v>12802</v>
      </c>
      <c r="I1346">
        <v>2</v>
      </c>
      <c r="J1346">
        <v>63</v>
      </c>
      <c r="K1346">
        <v>394</v>
      </c>
      <c r="L1346">
        <v>406</v>
      </c>
      <c r="M1346">
        <v>8.875</v>
      </c>
      <c r="N1346">
        <f>IFERROR(VLOOKUP(A1346,vlookup_table!$A:$G,2,FALSE),"")</f>
        <v>1</v>
      </c>
      <c r="O1346">
        <f>IFERROR(VLOOKUP(A1346,vlookup_table!$A:$G,4,FALSE),"")</f>
        <v>4202</v>
      </c>
      <c r="P1346" t="str">
        <f>IFERROR(VLOOKUP(A1346,vlookup_table!$A:$G,5,FALSE),"")</f>
        <v>U2</v>
      </c>
      <c r="Q1346">
        <f>IFERROR(VLOOKUP(A1346,vlookup_table!$A:$G,7,FALSE),"")</f>
        <v>11</v>
      </c>
      <c r="R1346">
        <f t="shared" ref="R1346:R1409" si="84">IF(O1346="","",97-INT(O1346/100))</f>
        <v>55</v>
      </c>
      <c r="S1346" t="str" cm="1">
        <f t="array" ref="S1346">IF(P1346="","",_xlfn.SWITCH(LEFT(P1346,1),"C","Ciudad","T","Pueblo","R","Rural","S","Suburbano","U","Urbano",""))</f>
        <v>Urbano</v>
      </c>
      <c r="T1346" t="str">
        <f t="shared" ref="T1346:T1409" si="85">IF(C1346="","",IF(OR(UPPER(C1346)="M",UPPER(C1346)="MALE"),"M",IF(OR(UPPER(C1346)="F",UPPER(C1346)="FEMALE",UPPER(C1346)="FEAMALE"),"F",C1346)))</f>
        <v>M</v>
      </c>
      <c r="U1346" t="str">
        <f t="shared" ref="U1346:U1409" si="86">IF(OR(UPPER(B1346)="CALIFORNIA",UPPER(B1346)="CALI"),"CA",B1346)</f>
        <v>IL</v>
      </c>
      <c r="V1346" t="str">
        <f t="shared" ref="V1346:V1409" si="87">SUBSTITUTE(H1346,"@","")</f>
        <v>12802</v>
      </c>
    </row>
    <row r="1347" spans="1:22" x14ac:dyDescent="0.35">
      <c r="A1347">
        <v>92802</v>
      </c>
      <c r="B1347" t="s">
        <v>16</v>
      </c>
      <c r="C1347" t="s">
        <v>14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11.33333333</v>
      </c>
      <c r="N1347">
        <f>IFERROR(VLOOKUP(A1347,vlookup_table!$A:$G,2,FALSE),"")</f>
        <v>1</v>
      </c>
      <c r="O1347">
        <f>IFERROR(VLOOKUP(A1347,vlookup_table!$A:$G,4,FALSE),"")</f>
        <v>4210</v>
      </c>
      <c r="P1347" t="str">
        <f>IFERROR(VLOOKUP(A1347,vlookup_table!$A:$G,5,FALSE),"")</f>
        <v>U1</v>
      </c>
      <c r="Q1347">
        <f>IFERROR(VLOOKUP(A1347,vlookup_table!$A:$G,7,FALSE),"")</f>
        <v>10</v>
      </c>
      <c r="R1347">
        <f t="shared" si="84"/>
        <v>55</v>
      </c>
      <c r="S1347" t="str" cm="1">
        <f t="array" ref="S1347">IF(P1347="","",_xlfn.SWITCH(LEFT(P1347,1),"C","Ciudad","T","Pueblo","R","Rural","S","Suburbano","U","Urbano",""))</f>
        <v>Urbano</v>
      </c>
      <c r="T1347" t="str">
        <f t="shared" si="85"/>
        <v>M</v>
      </c>
      <c r="U1347" t="str">
        <f t="shared" si="86"/>
        <v>IL</v>
      </c>
      <c r="V1347" t="str">
        <f t="shared" si="87"/>
        <v>0</v>
      </c>
    </row>
    <row r="1348" spans="1:22" x14ac:dyDescent="0.35">
      <c r="A1348">
        <v>24900</v>
      </c>
      <c r="B1348" t="s">
        <v>46</v>
      </c>
      <c r="C1348" t="s">
        <v>17</v>
      </c>
      <c r="D1348">
        <v>548</v>
      </c>
      <c r="E1348">
        <v>289</v>
      </c>
      <c r="F1348">
        <v>388</v>
      </c>
      <c r="G1348">
        <v>2</v>
      </c>
      <c r="H1348">
        <v>11933</v>
      </c>
      <c r="I1348">
        <v>0</v>
      </c>
      <c r="J1348">
        <v>72</v>
      </c>
      <c r="K1348">
        <v>327</v>
      </c>
      <c r="L1348">
        <v>340</v>
      </c>
      <c r="M1348">
        <v>11.66666667</v>
      </c>
      <c r="N1348">
        <f>IFERROR(VLOOKUP(A1348,vlookup_table!$A:$G,2,FALSE),"")</f>
        <v>0</v>
      </c>
      <c r="O1348">
        <f>IFERROR(VLOOKUP(A1348,vlookup_table!$A:$G,4,FALSE),"")</f>
        <v>5201</v>
      </c>
      <c r="P1348" t="str">
        <f>IFERROR(VLOOKUP(A1348,vlookup_table!$A:$G,5,FALSE),"")</f>
        <v>T2</v>
      </c>
      <c r="Q1348">
        <f>IFERROR(VLOOKUP(A1348,vlookup_table!$A:$G,7,FALSE),"")</f>
        <v>25</v>
      </c>
      <c r="R1348">
        <f t="shared" si="84"/>
        <v>45</v>
      </c>
      <c r="S1348" t="str" cm="1">
        <f t="array" ref="S1348">IF(P1348="","",_xlfn.SWITCH(LEFT(P1348,1),"C","Ciudad","T","Pueblo","R","Rural","S","Suburbano","U","Urbano",""))</f>
        <v>Pueblo</v>
      </c>
      <c r="T1348" t="str">
        <f t="shared" si="85"/>
        <v>F</v>
      </c>
      <c r="U1348" t="str">
        <f t="shared" si="86"/>
        <v>SC</v>
      </c>
      <c r="V1348" t="str">
        <f t="shared" si="87"/>
        <v>11933</v>
      </c>
    </row>
    <row r="1349" spans="1:22" x14ac:dyDescent="0.35">
      <c r="A1349">
        <v>121926</v>
      </c>
      <c r="B1349" t="s">
        <v>21</v>
      </c>
      <c r="C1349" t="s">
        <v>17</v>
      </c>
      <c r="D1349">
        <v>1125</v>
      </c>
      <c r="E1349">
        <v>227</v>
      </c>
      <c r="F1349">
        <v>279</v>
      </c>
      <c r="G1349">
        <v>0</v>
      </c>
      <c r="H1349">
        <v>15743</v>
      </c>
      <c r="I1349">
        <v>2</v>
      </c>
      <c r="J1349">
        <v>55</v>
      </c>
      <c r="K1349">
        <v>287</v>
      </c>
      <c r="L1349">
        <v>246</v>
      </c>
      <c r="M1349">
        <v>10.25</v>
      </c>
      <c r="N1349">
        <f>IFERROR(VLOOKUP(A1349,vlookup_table!$A:$G,2,FALSE),"")</f>
        <v>28</v>
      </c>
      <c r="O1349">
        <f>IFERROR(VLOOKUP(A1349,vlookup_table!$A:$G,4,FALSE),"")</f>
        <v>0</v>
      </c>
      <c r="P1349" t="str">
        <f>IFERROR(VLOOKUP(A1349,vlookup_table!$A:$G,5,FALSE),"")</f>
        <v>S1</v>
      </c>
      <c r="Q1349">
        <f>IFERROR(VLOOKUP(A1349,vlookup_table!$A:$G,7,FALSE),"")</f>
        <v>20</v>
      </c>
      <c r="R1349">
        <f t="shared" si="84"/>
        <v>97</v>
      </c>
      <c r="S1349" t="str" cm="1">
        <f t="array" ref="S1349">IF(P1349="","",_xlfn.SWITCH(LEFT(P1349,1),"C","Ciudad","T","Pueblo","R","Rural","S","Suburbano","U","Urbano",""))</f>
        <v>Suburbano</v>
      </c>
      <c r="T1349" t="str">
        <f t="shared" si="85"/>
        <v>F</v>
      </c>
      <c r="U1349" t="str">
        <f t="shared" si="86"/>
        <v>TX</v>
      </c>
      <c r="V1349" t="str">
        <f t="shared" si="87"/>
        <v>15743</v>
      </c>
    </row>
    <row r="1350" spans="1:22" x14ac:dyDescent="0.35">
      <c r="A1350">
        <v>12003</v>
      </c>
      <c r="B1350" t="s">
        <v>22</v>
      </c>
      <c r="C1350" t="s">
        <v>17</v>
      </c>
      <c r="D1350">
        <v>3626</v>
      </c>
      <c r="E1350">
        <v>749</v>
      </c>
      <c r="F1350">
        <v>838</v>
      </c>
      <c r="G1350">
        <v>96</v>
      </c>
      <c r="H1350">
        <v>30685</v>
      </c>
      <c r="I1350">
        <v>9</v>
      </c>
      <c r="J1350">
        <v>45</v>
      </c>
      <c r="K1350">
        <v>785</v>
      </c>
      <c r="L1350">
        <v>795</v>
      </c>
      <c r="M1350">
        <v>12.3125</v>
      </c>
      <c r="N1350">
        <f>IFERROR(VLOOKUP(A1350,vlookup_table!$A:$G,2,FALSE),"")</f>
        <v>28</v>
      </c>
      <c r="O1350">
        <f>IFERROR(VLOOKUP(A1350,vlookup_table!$A:$G,4,FALSE),"")</f>
        <v>2901</v>
      </c>
      <c r="P1350" t="str">
        <f>IFERROR(VLOOKUP(A1350,vlookup_table!$A:$G,5,FALSE),"")</f>
        <v>U2</v>
      </c>
      <c r="Q1350">
        <f>IFERROR(VLOOKUP(A1350,vlookup_table!$A:$G,7,FALSE),"")</f>
        <v>20</v>
      </c>
      <c r="R1350">
        <f t="shared" si="84"/>
        <v>68</v>
      </c>
      <c r="S1350" t="str" cm="1">
        <f t="array" ref="S1350">IF(P1350="","",_xlfn.SWITCH(LEFT(P1350,1),"C","Ciudad","T","Pueblo","R","Rural","S","Suburbano","U","Urbano",""))</f>
        <v>Urbano</v>
      </c>
      <c r="T1350" t="str">
        <f t="shared" si="85"/>
        <v>F</v>
      </c>
      <c r="U1350" t="str">
        <f t="shared" si="86"/>
        <v>CA</v>
      </c>
      <c r="V1350" t="str">
        <f t="shared" si="87"/>
        <v>30685</v>
      </c>
    </row>
    <row r="1351" spans="1:22" x14ac:dyDescent="0.35">
      <c r="A1351">
        <v>7852</v>
      </c>
      <c r="B1351" t="s">
        <v>59</v>
      </c>
      <c r="C1351" t="s">
        <v>17</v>
      </c>
      <c r="D1351">
        <v>503</v>
      </c>
      <c r="E1351">
        <v>261</v>
      </c>
      <c r="F1351">
        <v>308</v>
      </c>
      <c r="G1351">
        <v>0</v>
      </c>
      <c r="H1351">
        <v>9917</v>
      </c>
      <c r="I1351">
        <v>0</v>
      </c>
      <c r="J1351">
        <v>61</v>
      </c>
      <c r="K1351">
        <v>267</v>
      </c>
      <c r="L1351">
        <v>290</v>
      </c>
      <c r="M1351">
        <v>8.8636363639999995</v>
      </c>
      <c r="N1351">
        <f>IFERROR(VLOOKUP(A1351,vlookup_table!$A:$G,2,FALSE),"")</f>
        <v>2</v>
      </c>
      <c r="O1351">
        <f>IFERROR(VLOOKUP(A1351,vlookup_table!$A:$G,4,FALSE),"")</f>
        <v>0</v>
      </c>
      <c r="P1351" t="str">
        <f>IFERROR(VLOOKUP(A1351,vlookup_table!$A:$G,5,FALSE),"")</f>
        <v>T2</v>
      </c>
      <c r="Q1351">
        <f>IFERROR(VLOOKUP(A1351,vlookup_table!$A:$G,7,FALSE),"")</f>
        <v>10</v>
      </c>
      <c r="R1351">
        <f t="shared" si="84"/>
        <v>97</v>
      </c>
      <c r="S1351" t="str" cm="1">
        <f t="array" ref="S1351">IF(P1351="","",_xlfn.SWITCH(LEFT(P1351,1),"C","Ciudad","T","Pueblo","R","Rural","S","Suburbano","U","Urbano",""))</f>
        <v>Pueblo</v>
      </c>
      <c r="T1351" t="str">
        <f t="shared" si="85"/>
        <v>F</v>
      </c>
      <c r="U1351" t="str">
        <f t="shared" si="86"/>
        <v>NE</v>
      </c>
      <c r="V1351" t="str">
        <f t="shared" si="87"/>
        <v>9917</v>
      </c>
    </row>
    <row r="1352" spans="1:22" x14ac:dyDescent="0.35">
      <c r="A1352">
        <v>111137</v>
      </c>
      <c r="B1352" t="s">
        <v>32</v>
      </c>
      <c r="C1352" t="s">
        <v>60</v>
      </c>
      <c r="D1352">
        <v>545</v>
      </c>
      <c r="E1352">
        <v>257</v>
      </c>
      <c r="F1352">
        <v>301</v>
      </c>
      <c r="G1352">
        <v>1</v>
      </c>
      <c r="H1352">
        <v>10669</v>
      </c>
      <c r="I1352">
        <v>0</v>
      </c>
      <c r="J1352">
        <v>59</v>
      </c>
      <c r="K1352">
        <v>265</v>
      </c>
      <c r="L1352">
        <v>301</v>
      </c>
      <c r="M1352">
        <v>17.625</v>
      </c>
      <c r="N1352">
        <f>IFERROR(VLOOKUP(A1352,vlookup_table!$A:$G,2,FALSE),"")</f>
        <v>0</v>
      </c>
      <c r="O1352">
        <f>IFERROR(VLOOKUP(A1352,vlookup_table!$A:$G,4,FALSE),"")</f>
        <v>0</v>
      </c>
      <c r="P1352" t="str">
        <f>IFERROR(VLOOKUP(A1352,vlookup_table!$A:$G,5,FALSE),"")</f>
        <v>C2</v>
      </c>
      <c r="Q1352">
        <f>IFERROR(VLOOKUP(A1352,vlookup_table!$A:$G,7,FALSE),"")</f>
        <v>21</v>
      </c>
      <c r="R1352">
        <f t="shared" si="84"/>
        <v>97</v>
      </c>
      <c r="S1352" t="str" cm="1">
        <f t="array" ref="S1352">IF(P1352="","",_xlfn.SWITCH(LEFT(P1352,1),"C","Ciudad","T","Pueblo","R","Rural","S","Suburbano","U","Urbano",""))</f>
        <v>Ciudad</v>
      </c>
      <c r="T1352" t="str">
        <f t="shared" si="85"/>
        <v>F</v>
      </c>
      <c r="U1352" t="str">
        <f t="shared" si="86"/>
        <v>AR</v>
      </c>
      <c r="V1352" t="str">
        <f t="shared" si="87"/>
        <v>10669</v>
      </c>
    </row>
    <row r="1353" spans="1:22" x14ac:dyDescent="0.35">
      <c r="A1353">
        <v>47688</v>
      </c>
      <c r="B1353" t="s">
        <v>43</v>
      </c>
      <c r="C1353" t="s">
        <v>17</v>
      </c>
      <c r="D1353">
        <v>455</v>
      </c>
      <c r="E1353">
        <v>257</v>
      </c>
      <c r="F1353">
        <v>389</v>
      </c>
      <c r="G1353">
        <v>1</v>
      </c>
      <c r="H1353">
        <v>13452</v>
      </c>
      <c r="I1353">
        <v>0</v>
      </c>
      <c r="J1353">
        <v>84</v>
      </c>
      <c r="K1353">
        <v>350</v>
      </c>
      <c r="L1353">
        <v>321</v>
      </c>
      <c r="M1353">
        <v>12</v>
      </c>
      <c r="N1353">
        <f>IFERROR(VLOOKUP(A1353,vlookup_table!$A:$G,2,FALSE),"")</f>
        <v>0</v>
      </c>
      <c r="O1353">
        <f>IFERROR(VLOOKUP(A1353,vlookup_table!$A:$G,4,FALSE),"")</f>
        <v>0</v>
      </c>
      <c r="P1353" t="str">
        <f>IFERROR(VLOOKUP(A1353,vlookup_table!$A:$G,5,FALSE),"")</f>
        <v>R2</v>
      </c>
      <c r="Q1353">
        <f>IFERROR(VLOOKUP(A1353,vlookup_table!$A:$G,7,FALSE),"")</f>
        <v>10</v>
      </c>
      <c r="R1353">
        <f t="shared" si="84"/>
        <v>97</v>
      </c>
      <c r="S1353" t="str" cm="1">
        <f t="array" ref="S1353">IF(P1353="","",_xlfn.SWITCH(LEFT(P1353,1),"C","Ciudad","T","Pueblo","R","Rural","S","Suburbano","U","Urbano",""))</f>
        <v>Rural</v>
      </c>
      <c r="T1353" t="str">
        <f t="shared" si="85"/>
        <v>F</v>
      </c>
      <c r="U1353" t="str">
        <f t="shared" si="86"/>
        <v>AL</v>
      </c>
      <c r="V1353" t="str">
        <f t="shared" si="87"/>
        <v>13452</v>
      </c>
    </row>
    <row r="1354" spans="1:22" x14ac:dyDescent="0.35">
      <c r="A1354">
        <v>25576</v>
      </c>
      <c r="B1354" t="s">
        <v>39</v>
      </c>
      <c r="C1354" t="s">
        <v>14</v>
      </c>
      <c r="D1354">
        <v>1201</v>
      </c>
      <c r="E1354">
        <v>317</v>
      </c>
      <c r="F1354">
        <v>507</v>
      </c>
      <c r="G1354">
        <v>3</v>
      </c>
      <c r="H1354">
        <v>19960</v>
      </c>
      <c r="I1354">
        <v>3</v>
      </c>
      <c r="J1354">
        <v>52</v>
      </c>
      <c r="K1354">
        <v>408</v>
      </c>
      <c r="L1354">
        <v>426</v>
      </c>
      <c r="M1354">
        <v>7.8181818180000002</v>
      </c>
      <c r="N1354">
        <f>IFERROR(VLOOKUP(A1354,vlookup_table!$A:$G,2,FALSE),"")</f>
        <v>0</v>
      </c>
      <c r="O1354">
        <f>IFERROR(VLOOKUP(A1354,vlookup_table!$A:$G,4,FALSE),"")</f>
        <v>1401</v>
      </c>
      <c r="P1354" t="str">
        <f>IFERROR(VLOOKUP(A1354,vlookup_table!$A:$G,5,FALSE),"")</f>
        <v>S1</v>
      </c>
      <c r="Q1354">
        <f>IFERROR(VLOOKUP(A1354,vlookup_table!$A:$G,7,FALSE),"")</f>
        <v>21</v>
      </c>
      <c r="R1354">
        <f t="shared" si="84"/>
        <v>83</v>
      </c>
      <c r="S1354" t="str" cm="1">
        <f t="array" ref="S1354">IF(P1354="","",_xlfn.SWITCH(LEFT(P1354,1),"C","Ciudad","T","Pueblo","R","Rural","S","Suburbano","U","Urbano",""))</f>
        <v>Suburbano</v>
      </c>
      <c r="T1354" t="str">
        <f t="shared" si="85"/>
        <v>M</v>
      </c>
      <c r="U1354" t="str">
        <f t="shared" si="86"/>
        <v>GA</v>
      </c>
      <c r="V1354" t="str">
        <f t="shared" si="87"/>
        <v>19960</v>
      </c>
    </row>
    <row r="1355" spans="1:22" x14ac:dyDescent="0.35">
      <c r="A1355">
        <v>127392</v>
      </c>
      <c r="B1355" t="s">
        <v>21</v>
      </c>
      <c r="C1355" t="s">
        <v>14</v>
      </c>
      <c r="D1355">
        <v>592</v>
      </c>
      <c r="E1355">
        <v>188</v>
      </c>
      <c r="F1355">
        <v>359</v>
      </c>
      <c r="G1355">
        <v>0</v>
      </c>
      <c r="H1355">
        <v>14406</v>
      </c>
      <c r="I1355">
        <v>0</v>
      </c>
      <c r="J1355">
        <v>53</v>
      </c>
      <c r="K1355">
        <v>406</v>
      </c>
      <c r="L1355">
        <v>240</v>
      </c>
      <c r="M1355">
        <v>16.272727270000001</v>
      </c>
      <c r="N1355">
        <f>IFERROR(VLOOKUP(A1355,vlookup_table!$A:$G,2,FALSE),"")</f>
        <v>1</v>
      </c>
      <c r="O1355">
        <f>IFERROR(VLOOKUP(A1355,vlookup_table!$A:$G,4,FALSE),"")</f>
        <v>4108</v>
      </c>
      <c r="P1355" t="str">
        <f>IFERROR(VLOOKUP(A1355,vlookup_table!$A:$G,5,FALSE),"")</f>
        <v>C1</v>
      </c>
      <c r="Q1355">
        <f>IFERROR(VLOOKUP(A1355,vlookup_table!$A:$G,7,FALSE),"")</f>
        <v>23</v>
      </c>
      <c r="R1355">
        <f t="shared" si="84"/>
        <v>56</v>
      </c>
      <c r="S1355" t="str" cm="1">
        <f t="array" ref="S1355">IF(P1355="","",_xlfn.SWITCH(LEFT(P1355,1),"C","Ciudad","T","Pueblo","R","Rural","S","Suburbano","U","Urbano",""))</f>
        <v>Ciudad</v>
      </c>
      <c r="T1355" t="str">
        <f t="shared" si="85"/>
        <v>M</v>
      </c>
      <c r="U1355" t="str">
        <f t="shared" si="86"/>
        <v>TX</v>
      </c>
      <c r="V1355" t="str">
        <f t="shared" si="87"/>
        <v>14406</v>
      </c>
    </row>
    <row r="1356" spans="1:22" x14ac:dyDescent="0.35">
      <c r="A1356">
        <v>77495</v>
      </c>
      <c r="B1356" t="s">
        <v>35</v>
      </c>
      <c r="C1356" t="s">
        <v>17</v>
      </c>
      <c r="D1356">
        <v>614</v>
      </c>
      <c r="E1356">
        <v>340</v>
      </c>
      <c r="F1356">
        <v>428</v>
      </c>
      <c r="G1356">
        <v>1</v>
      </c>
      <c r="H1356">
        <v>14439</v>
      </c>
      <c r="I1356">
        <v>1</v>
      </c>
      <c r="J1356">
        <v>88</v>
      </c>
      <c r="K1356">
        <v>388</v>
      </c>
      <c r="L1356">
        <v>377</v>
      </c>
      <c r="M1356">
        <v>7.6363636359999996</v>
      </c>
      <c r="N1356">
        <f>IFERROR(VLOOKUP(A1356,vlookup_table!$A:$G,2,FALSE),"")</f>
        <v>0</v>
      </c>
      <c r="O1356">
        <f>IFERROR(VLOOKUP(A1356,vlookup_table!$A:$G,4,FALSE),"")</f>
        <v>0</v>
      </c>
      <c r="P1356" t="str">
        <f>IFERROR(VLOOKUP(A1356,vlookup_table!$A:$G,5,FALSE),"")</f>
        <v>T2</v>
      </c>
      <c r="Q1356">
        <f>IFERROR(VLOOKUP(A1356,vlookup_table!$A:$G,7,FALSE),"")</f>
        <v>10</v>
      </c>
      <c r="R1356">
        <f t="shared" si="84"/>
        <v>97</v>
      </c>
      <c r="S1356" t="str" cm="1">
        <f t="array" ref="S1356">IF(P1356="","",_xlfn.SWITCH(LEFT(P1356,1),"C","Ciudad","T","Pueblo","R","Rural","S","Suburbano","U","Urbano",""))</f>
        <v>Pueblo</v>
      </c>
      <c r="T1356" t="str">
        <f t="shared" si="85"/>
        <v>F</v>
      </c>
      <c r="U1356" t="str">
        <f t="shared" si="86"/>
        <v>WI</v>
      </c>
      <c r="V1356" t="str">
        <f t="shared" si="87"/>
        <v>14439</v>
      </c>
    </row>
    <row r="1357" spans="1:22" x14ac:dyDescent="0.35">
      <c r="A1357">
        <v>87210</v>
      </c>
      <c r="B1357" t="s">
        <v>34</v>
      </c>
      <c r="C1357" t="s">
        <v>20</v>
      </c>
      <c r="D1357">
        <v>423</v>
      </c>
      <c r="E1357">
        <v>256</v>
      </c>
      <c r="F1357">
        <v>344</v>
      </c>
      <c r="G1357">
        <v>0</v>
      </c>
      <c r="H1357">
        <v>10311</v>
      </c>
      <c r="I1357">
        <v>2</v>
      </c>
      <c r="J1357">
        <v>75</v>
      </c>
      <c r="K1357">
        <v>296</v>
      </c>
      <c r="L1357">
        <v>295</v>
      </c>
      <c r="M1357">
        <v>11</v>
      </c>
      <c r="N1357">
        <f>IFERROR(VLOOKUP(A1357,vlookup_table!$A:$G,2,FALSE),"")</f>
        <v>0</v>
      </c>
      <c r="O1357">
        <f>IFERROR(VLOOKUP(A1357,vlookup_table!$A:$G,4,FALSE),"")</f>
        <v>0</v>
      </c>
      <c r="P1357" t="str">
        <f>IFERROR(VLOOKUP(A1357,vlookup_table!$A:$G,5,FALSE),"")</f>
        <v>R2</v>
      </c>
      <c r="Q1357">
        <f>IFERROR(VLOOKUP(A1357,vlookup_table!$A:$G,7,FALSE),"")</f>
        <v>20</v>
      </c>
      <c r="R1357">
        <f t="shared" si="84"/>
        <v>97</v>
      </c>
      <c r="S1357" t="str" cm="1">
        <f t="array" ref="S1357">IF(P1357="","",_xlfn.SWITCH(LEFT(P1357,1),"C","Ciudad","T","Pueblo","R","Rural","S","Suburbano","U","Urbano",""))</f>
        <v>Rural</v>
      </c>
      <c r="T1357" t="str">
        <f t="shared" si="85"/>
        <v>F</v>
      </c>
      <c r="U1357" t="str">
        <f t="shared" si="86"/>
        <v>MT</v>
      </c>
      <c r="V1357" t="str">
        <f t="shared" si="87"/>
        <v>10311</v>
      </c>
    </row>
    <row r="1358" spans="1:22" x14ac:dyDescent="0.35">
      <c r="A1358">
        <v>93218</v>
      </c>
      <c r="B1358" t="s">
        <v>16</v>
      </c>
      <c r="C1358" t="s">
        <v>14</v>
      </c>
      <c r="D1358">
        <v>302</v>
      </c>
      <c r="E1358">
        <v>208</v>
      </c>
      <c r="F1358">
        <v>203</v>
      </c>
      <c r="G1358">
        <v>0</v>
      </c>
      <c r="H1358">
        <v>5668</v>
      </c>
      <c r="I1358">
        <v>11</v>
      </c>
      <c r="J1358">
        <v>67</v>
      </c>
      <c r="K1358">
        <v>216</v>
      </c>
      <c r="L1358">
        <v>207</v>
      </c>
      <c r="M1358">
        <v>11.25</v>
      </c>
      <c r="N1358">
        <f>IFERROR(VLOOKUP(A1358,vlookup_table!$A:$G,2,FALSE),"")</f>
        <v>72</v>
      </c>
      <c r="O1358">
        <f>IFERROR(VLOOKUP(A1358,vlookup_table!$A:$G,4,FALSE),"")</f>
        <v>0</v>
      </c>
      <c r="P1358" t="str">
        <f>IFERROR(VLOOKUP(A1358,vlookup_table!$A:$G,5,FALSE),"")</f>
        <v>U4</v>
      </c>
      <c r="Q1358">
        <f>IFERROR(VLOOKUP(A1358,vlookup_table!$A:$G,7,FALSE),"")</f>
        <v>10</v>
      </c>
      <c r="R1358">
        <f t="shared" si="84"/>
        <v>97</v>
      </c>
      <c r="S1358" t="str" cm="1">
        <f t="array" ref="S1358">IF(P1358="","",_xlfn.SWITCH(LEFT(P1358,1),"C","Ciudad","T","Pueblo","R","Rural","S","Suburbano","U","Urbano",""))</f>
        <v>Urbano</v>
      </c>
      <c r="T1358" t="str">
        <f t="shared" si="85"/>
        <v>M</v>
      </c>
      <c r="U1358" t="str">
        <f t="shared" si="86"/>
        <v>IL</v>
      </c>
      <c r="V1358" t="str">
        <f t="shared" si="87"/>
        <v>5668</v>
      </c>
    </row>
    <row r="1359" spans="1:22" x14ac:dyDescent="0.35">
      <c r="A1359">
        <v>184974</v>
      </c>
      <c r="B1359" t="s">
        <v>70</v>
      </c>
      <c r="C1359" t="s">
        <v>17</v>
      </c>
      <c r="D1359">
        <v>1157</v>
      </c>
      <c r="E1359">
        <v>365</v>
      </c>
      <c r="F1359">
        <v>559</v>
      </c>
      <c r="G1359">
        <v>8</v>
      </c>
      <c r="H1359">
        <v>21892</v>
      </c>
      <c r="I1359">
        <v>8</v>
      </c>
      <c r="J1359">
        <v>33</v>
      </c>
      <c r="K1359">
        <v>514</v>
      </c>
      <c r="L1359">
        <v>448</v>
      </c>
      <c r="M1359">
        <v>7.7142857139999998</v>
      </c>
      <c r="N1359">
        <f>IFERROR(VLOOKUP(A1359,vlookup_table!$A:$G,2,FALSE),"")</f>
        <v>0</v>
      </c>
      <c r="O1359">
        <f>IFERROR(VLOOKUP(A1359,vlookup_table!$A:$G,4,FALSE),"")</f>
        <v>2601</v>
      </c>
      <c r="P1359" t="str">
        <f>IFERROR(VLOOKUP(A1359,vlookup_table!$A:$G,5,FALSE),"")</f>
        <v>T2</v>
      </c>
      <c r="Q1359">
        <f>IFERROR(VLOOKUP(A1359,vlookup_table!$A:$G,7,FALSE),"")</f>
        <v>10</v>
      </c>
      <c r="R1359">
        <f t="shared" si="84"/>
        <v>71</v>
      </c>
      <c r="S1359" t="str" cm="1">
        <f t="array" ref="S1359">IF(P1359="","",_xlfn.SWITCH(LEFT(P1359,1),"C","Ciudad","T","Pueblo","R","Rural","S","Suburbano","U","Urbano",""))</f>
        <v>Pueblo</v>
      </c>
      <c r="T1359" t="str">
        <f t="shared" si="85"/>
        <v>F</v>
      </c>
      <c r="U1359" t="str">
        <f t="shared" si="86"/>
        <v>AK</v>
      </c>
      <c r="V1359" t="str">
        <f t="shared" si="87"/>
        <v>21892</v>
      </c>
    </row>
    <row r="1360" spans="1:22" x14ac:dyDescent="0.35">
      <c r="A1360">
        <v>136768</v>
      </c>
      <c r="B1360" t="s">
        <v>22</v>
      </c>
      <c r="C1360" t="s">
        <v>17</v>
      </c>
      <c r="D1360">
        <v>2312</v>
      </c>
      <c r="E1360">
        <v>456</v>
      </c>
      <c r="F1360">
        <v>589</v>
      </c>
      <c r="G1360">
        <v>63</v>
      </c>
      <c r="H1360">
        <v>21372</v>
      </c>
      <c r="I1360">
        <v>7</v>
      </c>
      <c r="J1360">
        <v>44</v>
      </c>
      <c r="K1360">
        <v>516</v>
      </c>
      <c r="L1360">
        <v>531</v>
      </c>
      <c r="M1360">
        <v>6.3333333329999997</v>
      </c>
      <c r="N1360">
        <f>IFERROR(VLOOKUP(A1360,vlookup_table!$A:$G,2,FALSE),"")</f>
        <v>0</v>
      </c>
      <c r="O1360">
        <f>IFERROR(VLOOKUP(A1360,vlookup_table!$A:$G,4,FALSE),"")</f>
        <v>5301</v>
      </c>
      <c r="P1360" t="str">
        <f>IFERROR(VLOOKUP(A1360,vlookup_table!$A:$G,5,FALSE),"")</f>
        <v>S1</v>
      </c>
      <c r="Q1360">
        <f>IFERROR(VLOOKUP(A1360,vlookup_table!$A:$G,7,FALSE),"")</f>
        <v>2</v>
      </c>
      <c r="R1360">
        <f t="shared" si="84"/>
        <v>44</v>
      </c>
      <c r="S1360" t="str" cm="1">
        <f t="array" ref="S1360">IF(P1360="","",_xlfn.SWITCH(LEFT(P1360,1),"C","Ciudad","T","Pueblo","R","Rural","S","Suburbano","U","Urbano",""))</f>
        <v>Suburbano</v>
      </c>
      <c r="T1360" t="str">
        <f t="shared" si="85"/>
        <v>F</v>
      </c>
      <c r="U1360" t="str">
        <f t="shared" si="86"/>
        <v>CA</v>
      </c>
      <c r="V1360" t="str">
        <f t="shared" si="87"/>
        <v>21372</v>
      </c>
    </row>
    <row r="1361" spans="1:22" x14ac:dyDescent="0.35">
      <c r="A1361">
        <v>42724</v>
      </c>
      <c r="B1361" t="s">
        <v>13</v>
      </c>
      <c r="C1361" t="s">
        <v>14</v>
      </c>
      <c r="D1361">
        <v>440</v>
      </c>
      <c r="E1361">
        <v>164</v>
      </c>
      <c r="F1361">
        <v>254</v>
      </c>
      <c r="G1361">
        <v>0</v>
      </c>
      <c r="H1361">
        <v>8444</v>
      </c>
      <c r="I1361">
        <v>3</v>
      </c>
      <c r="J1361">
        <v>41</v>
      </c>
      <c r="K1361">
        <v>186</v>
      </c>
      <c r="L1361">
        <v>220</v>
      </c>
      <c r="M1361">
        <v>9.6666666669999994</v>
      </c>
      <c r="N1361">
        <f>IFERROR(VLOOKUP(A1361,vlookup_table!$A:$G,2,FALSE),"")</f>
        <v>1</v>
      </c>
      <c r="O1361">
        <f>IFERROR(VLOOKUP(A1361,vlookup_table!$A:$G,4,FALSE),"")</f>
        <v>3601</v>
      </c>
      <c r="P1361" t="str">
        <f>IFERROR(VLOOKUP(A1361,vlookup_table!$A:$G,5,FALSE),"")</f>
        <v>C3</v>
      </c>
      <c r="Q1361">
        <f>IFERROR(VLOOKUP(A1361,vlookup_table!$A:$G,7,FALSE),"")</f>
        <v>25</v>
      </c>
      <c r="R1361">
        <f t="shared" si="84"/>
        <v>61</v>
      </c>
      <c r="S1361" t="str" cm="1">
        <f t="array" ref="S1361">IF(P1361="","",_xlfn.SWITCH(LEFT(P1361,1),"C","Ciudad","T","Pueblo","R","Rural","S","Suburbano","U","Urbano",""))</f>
        <v>Ciudad</v>
      </c>
      <c r="T1361" t="str">
        <f t="shared" si="85"/>
        <v>M</v>
      </c>
      <c r="U1361" t="str">
        <f t="shared" si="86"/>
        <v>FL</v>
      </c>
      <c r="V1361" t="str">
        <f t="shared" si="87"/>
        <v>8444</v>
      </c>
    </row>
    <row r="1362" spans="1:22" x14ac:dyDescent="0.35">
      <c r="A1362">
        <v>82313</v>
      </c>
      <c r="B1362" t="s">
        <v>56</v>
      </c>
      <c r="C1362" t="s">
        <v>17</v>
      </c>
      <c r="D1362">
        <v>569</v>
      </c>
      <c r="E1362">
        <v>276</v>
      </c>
      <c r="F1362">
        <v>350</v>
      </c>
      <c r="G1362">
        <v>1</v>
      </c>
      <c r="H1362">
        <v>12795</v>
      </c>
      <c r="I1362">
        <v>1</v>
      </c>
      <c r="J1362">
        <v>84</v>
      </c>
      <c r="K1362">
        <v>315</v>
      </c>
      <c r="L1362">
        <v>317</v>
      </c>
      <c r="M1362">
        <v>9.7272727270000008</v>
      </c>
      <c r="N1362">
        <f>IFERROR(VLOOKUP(A1362,vlookup_table!$A:$G,2,FALSE),"")</f>
        <v>0</v>
      </c>
      <c r="O1362">
        <f>IFERROR(VLOOKUP(A1362,vlookup_table!$A:$G,4,FALSE),"")</f>
        <v>2705</v>
      </c>
      <c r="P1362" t="str">
        <f>IFERROR(VLOOKUP(A1362,vlookup_table!$A:$G,5,FALSE),"")</f>
        <v>T2</v>
      </c>
      <c r="Q1362">
        <f>IFERROR(VLOOKUP(A1362,vlookup_table!$A:$G,7,FALSE),"")</f>
        <v>15</v>
      </c>
      <c r="R1362">
        <f t="shared" si="84"/>
        <v>70</v>
      </c>
      <c r="S1362" t="str" cm="1">
        <f t="array" ref="S1362">IF(P1362="","",_xlfn.SWITCH(LEFT(P1362,1),"C","Ciudad","T","Pueblo","R","Rural","S","Suburbano","U","Urbano",""))</f>
        <v>Pueblo</v>
      </c>
      <c r="T1362" t="str">
        <f t="shared" si="85"/>
        <v>F</v>
      </c>
      <c r="U1362" t="str">
        <f t="shared" si="86"/>
        <v>MN</v>
      </c>
      <c r="V1362" t="str">
        <f t="shared" si="87"/>
        <v>12795</v>
      </c>
    </row>
    <row r="1363" spans="1:22" x14ac:dyDescent="0.35">
      <c r="A1363">
        <v>132820</v>
      </c>
      <c r="B1363" t="s">
        <v>66</v>
      </c>
      <c r="C1363" t="s">
        <v>17</v>
      </c>
      <c r="D1363">
        <v>680</v>
      </c>
      <c r="E1363">
        <v>353</v>
      </c>
      <c r="F1363">
        <v>457</v>
      </c>
      <c r="G1363">
        <v>1</v>
      </c>
      <c r="H1363">
        <v>14347</v>
      </c>
      <c r="I1363">
        <v>3</v>
      </c>
      <c r="J1363">
        <v>39</v>
      </c>
      <c r="K1363">
        <v>393</v>
      </c>
      <c r="L1363">
        <v>406</v>
      </c>
      <c r="M1363">
        <v>9.0588235289999997</v>
      </c>
      <c r="N1363">
        <f>IFERROR(VLOOKUP(A1363,vlookup_table!$A:$G,2,FALSE),"")</f>
        <v>0</v>
      </c>
      <c r="O1363">
        <f>IFERROR(VLOOKUP(A1363,vlookup_table!$A:$G,4,FALSE),"")</f>
        <v>5201</v>
      </c>
      <c r="P1363" t="str">
        <f>IFERROR(VLOOKUP(A1363,vlookup_table!$A:$G,5,FALSE),"")</f>
        <v>R1</v>
      </c>
      <c r="Q1363">
        <f>IFERROR(VLOOKUP(A1363,vlookup_table!$A:$G,7,FALSE),"")</f>
        <v>15</v>
      </c>
      <c r="R1363">
        <f t="shared" si="84"/>
        <v>45</v>
      </c>
      <c r="S1363" t="str" cm="1">
        <f t="array" ref="S1363">IF(P1363="","",_xlfn.SWITCH(LEFT(P1363,1),"C","Ciudad","T","Pueblo","R","Rural","S","Suburbano","U","Urbano",""))</f>
        <v>Rural</v>
      </c>
      <c r="T1363" t="str">
        <f t="shared" si="85"/>
        <v>F</v>
      </c>
      <c r="U1363" t="str">
        <f t="shared" si="86"/>
        <v>WY</v>
      </c>
      <c r="V1363" t="str">
        <f t="shared" si="87"/>
        <v>14347</v>
      </c>
    </row>
    <row r="1364" spans="1:22" x14ac:dyDescent="0.35">
      <c r="A1364">
        <v>51683</v>
      </c>
      <c r="B1364" t="s">
        <v>53</v>
      </c>
      <c r="C1364" t="s">
        <v>14</v>
      </c>
      <c r="D1364">
        <v>690</v>
      </c>
      <c r="E1364">
        <v>194</v>
      </c>
      <c r="F1364">
        <v>411</v>
      </c>
      <c r="G1364">
        <v>1</v>
      </c>
      <c r="H1364">
        <v>13120</v>
      </c>
      <c r="I1364">
        <v>5</v>
      </c>
      <c r="J1364">
        <v>57</v>
      </c>
      <c r="K1364">
        <v>371</v>
      </c>
      <c r="L1364">
        <v>263</v>
      </c>
      <c r="M1364">
        <v>5</v>
      </c>
      <c r="N1364">
        <f>IFERROR(VLOOKUP(A1364,vlookup_table!$A:$G,2,FALSE),"")</f>
        <v>1002</v>
      </c>
      <c r="O1364">
        <f>IFERROR(VLOOKUP(A1364,vlookup_table!$A:$G,4,FALSE),"")</f>
        <v>0</v>
      </c>
      <c r="P1364" t="str">
        <f>IFERROR(VLOOKUP(A1364,vlookup_table!$A:$G,5,FALSE),"")</f>
        <v>C2</v>
      </c>
      <c r="Q1364">
        <f>IFERROR(VLOOKUP(A1364,vlookup_table!$A:$G,7,FALSE),"")</f>
        <v>5</v>
      </c>
      <c r="R1364">
        <f t="shared" si="84"/>
        <v>97</v>
      </c>
      <c r="S1364" t="str" cm="1">
        <f t="array" ref="S1364">IF(P1364="","",_xlfn.SWITCH(LEFT(P1364,1),"C","Ciudad","T","Pueblo","R","Rural","S","Suburbano","U","Urbano",""))</f>
        <v>Ciudad</v>
      </c>
      <c r="T1364" t="str">
        <f t="shared" si="85"/>
        <v>M</v>
      </c>
      <c r="U1364" t="str">
        <f t="shared" si="86"/>
        <v>TN</v>
      </c>
      <c r="V1364" t="str">
        <f t="shared" si="87"/>
        <v>13120</v>
      </c>
    </row>
    <row r="1365" spans="1:22" x14ac:dyDescent="0.35">
      <c r="A1365">
        <v>93538</v>
      </c>
      <c r="B1365" t="s">
        <v>16</v>
      </c>
      <c r="C1365" t="s">
        <v>17</v>
      </c>
      <c r="D1365">
        <v>438</v>
      </c>
      <c r="E1365">
        <v>159</v>
      </c>
      <c r="F1365">
        <v>156</v>
      </c>
      <c r="G1365">
        <v>17</v>
      </c>
      <c r="H1365">
        <v>3975</v>
      </c>
      <c r="I1365">
        <v>0</v>
      </c>
      <c r="J1365">
        <v>58</v>
      </c>
      <c r="K1365">
        <v>146</v>
      </c>
      <c r="L1365">
        <v>165</v>
      </c>
      <c r="M1365">
        <v>20.666666670000001</v>
      </c>
      <c r="N1365">
        <f>IFERROR(VLOOKUP(A1365,vlookup_table!$A:$G,2,FALSE),"")</f>
        <v>0</v>
      </c>
      <c r="O1365">
        <f>IFERROR(VLOOKUP(A1365,vlookup_table!$A:$G,4,FALSE),"")</f>
        <v>2503</v>
      </c>
      <c r="P1365" t="str">
        <f>IFERROR(VLOOKUP(A1365,vlookup_table!$A:$G,5,FALSE),"")</f>
        <v>U4</v>
      </c>
      <c r="Q1365">
        <f>IFERROR(VLOOKUP(A1365,vlookup_table!$A:$G,7,FALSE),"")</f>
        <v>36</v>
      </c>
      <c r="R1365">
        <f t="shared" si="84"/>
        <v>72</v>
      </c>
      <c r="S1365" t="str" cm="1">
        <f t="array" ref="S1365">IF(P1365="","",_xlfn.SWITCH(LEFT(P1365,1),"C","Ciudad","T","Pueblo","R","Rural","S","Suburbano","U","Urbano",""))</f>
        <v>Urbano</v>
      </c>
      <c r="T1365" t="str">
        <f t="shared" si="85"/>
        <v>F</v>
      </c>
      <c r="U1365" t="str">
        <f t="shared" si="86"/>
        <v>IL</v>
      </c>
      <c r="V1365" t="str">
        <f t="shared" si="87"/>
        <v>3975</v>
      </c>
    </row>
    <row r="1366" spans="1:22" x14ac:dyDescent="0.35">
      <c r="A1366">
        <v>145407</v>
      </c>
      <c r="B1366" t="s">
        <v>22</v>
      </c>
      <c r="C1366" t="s">
        <v>17</v>
      </c>
      <c r="D1366">
        <v>2166</v>
      </c>
      <c r="E1366">
        <v>415</v>
      </c>
      <c r="F1366">
        <v>445</v>
      </c>
      <c r="G1366">
        <v>68</v>
      </c>
      <c r="H1366">
        <v>16471</v>
      </c>
      <c r="I1366">
        <v>8</v>
      </c>
      <c r="J1366">
        <v>52</v>
      </c>
      <c r="K1366">
        <v>402</v>
      </c>
      <c r="L1366">
        <v>457</v>
      </c>
      <c r="M1366">
        <v>8.0952380949999991</v>
      </c>
      <c r="N1366">
        <f>IFERROR(VLOOKUP(A1366,vlookup_table!$A:$G,2,FALSE),"")</f>
        <v>0</v>
      </c>
      <c r="O1366">
        <f>IFERROR(VLOOKUP(A1366,vlookup_table!$A:$G,4,FALSE),"")</f>
        <v>0</v>
      </c>
      <c r="P1366" t="str">
        <f>IFERROR(VLOOKUP(A1366,vlookup_table!$A:$G,5,FALSE),"")</f>
        <v>S2</v>
      </c>
      <c r="Q1366">
        <f>IFERROR(VLOOKUP(A1366,vlookup_table!$A:$G,7,FALSE),"")</f>
        <v>10</v>
      </c>
      <c r="R1366">
        <f t="shared" si="84"/>
        <v>97</v>
      </c>
      <c r="S1366" t="str" cm="1">
        <f t="array" ref="S1366">IF(P1366="","",_xlfn.SWITCH(LEFT(P1366,1),"C","Ciudad","T","Pueblo","R","Rural","S","Suburbano","U","Urbano",""))</f>
        <v>Suburbano</v>
      </c>
      <c r="T1366" t="str">
        <f t="shared" si="85"/>
        <v>F</v>
      </c>
      <c r="U1366" t="str">
        <f t="shared" si="86"/>
        <v>CA</v>
      </c>
      <c r="V1366" t="str">
        <f t="shared" si="87"/>
        <v>16471</v>
      </c>
    </row>
    <row r="1367" spans="1:22" x14ac:dyDescent="0.35">
      <c r="A1367">
        <v>55553</v>
      </c>
      <c r="B1367" t="s">
        <v>62</v>
      </c>
      <c r="C1367" t="s">
        <v>14</v>
      </c>
      <c r="D1367">
        <v>394</v>
      </c>
      <c r="E1367">
        <v>188</v>
      </c>
      <c r="F1367">
        <v>252</v>
      </c>
      <c r="G1367">
        <v>0</v>
      </c>
      <c r="H1367">
        <v>8350</v>
      </c>
      <c r="I1367">
        <v>0</v>
      </c>
      <c r="J1367">
        <v>89</v>
      </c>
      <c r="K1367">
        <v>220</v>
      </c>
      <c r="L1367">
        <v>227</v>
      </c>
      <c r="M1367">
        <v>25</v>
      </c>
      <c r="N1367">
        <f>IFERROR(VLOOKUP(A1367,vlookup_table!$A:$G,2,FALSE),"")</f>
        <v>1</v>
      </c>
      <c r="O1367">
        <f>IFERROR(VLOOKUP(A1367,vlookup_table!$A:$G,4,FALSE),"")</f>
        <v>0</v>
      </c>
      <c r="P1367" t="str">
        <f>IFERROR(VLOOKUP(A1367,vlookup_table!$A:$G,5,FALSE),"")</f>
        <v>R2</v>
      </c>
      <c r="Q1367">
        <f>IFERROR(VLOOKUP(A1367,vlookup_table!$A:$G,7,FALSE),"")</f>
        <v>20</v>
      </c>
      <c r="R1367">
        <f t="shared" si="84"/>
        <v>97</v>
      </c>
      <c r="S1367" t="str" cm="1">
        <f t="array" ref="S1367">IF(P1367="","",_xlfn.SWITCH(LEFT(P1367,1),"C","Ciudad","T","Pueblo","R","Rural","S","Suburbano","U","Urbano",""))</f>
        <v>Rural</v>
      </c>
      <c r="T1367" t="str">
        <f t="shared" si="85"/>
        <v>M</v>
      </c>
      <c r="U1367" t="str">
        <f t="shared" si="86"/>
        <v>MS</v>
      </c>
      <c r="V1367" t="str">
        <f t="shared" si="87"/>
        <v>8350</v>
      </c>
    </row>
    <row r="1368" spans="1:22" x14ac:dyDescent="0.35">
      <c r="A1368">
        <v>58447</v>
      </c>
      <c r="B1368" t="s">
        <v>57</v>
      </c>
      <c r="C1368" t="s">
        <v>17</v>
      </c>
      <c r="D1368">
        <v>630</v>
      </c>
      <c r="E1368">
        <v>300</v>
      </c>
      <c r="F1368">
        <v>361</v>
      </c>
      <c r="G1368">
        <v>0</v>
      </c>
      <c r="H1368">
        <v>13719</v>
      </c>
      <c r="I1368">
        <v>8</v>
      </c>
      <c r="J1368">
        <v>55</v>
      </c>
      <c r="K1368">
        <v>327</v>
      </c>
      <c r="L1368">
        <v>321</v>
      </c>
      <c r="M1368">
        <v>9.1999999999999993</v>
      </c>
      <c r="N1368">
        <f>IFERROR(VLOOKUP(A1368,vlookup_table!$A:$G,2,FALSE),"")</f>
        <v>0</v>
      </c>
      <c r="O1368">
        <f>IFERROR(VLOOKUP(A1368,vlookup_table!$A:$G,4,FALSE),"")</f>
        <v>3001</v>
      </c>
      <c r="P1368" t="str">
        <f>IFERROR(VLOOKUP(A1368,vlookup_table!$A:$G,5,FALSE),"")</f>
        <v>T2</v>
      </c>
      <c r="Q1368">
        <f>IFERROR(VLOOKUP(A1368,vlookup_table!$A:$G,7,FALSE),"")</f>
        <v>10</v>
      </c>
      <c r="R1368">
        <f t="shared" si="84"/>
        <v>67</v>
      </c>
      <c r="S1368" t="str" cm="1">
        <f t="array" ref="S1368">IF(P1368="","",_xlfn.SWITCH(LEFT(P1368,1),"C","Ciudad","T","Pueblo","R","Rural","S","Suburbano","U","Urbano",""))</f>
        <v>Pueblo</v>
      </c>
      <c r="T1368" t="str">
        <f t="shared" si="85"/>
        <v>F</v>
      </c>
      <c r="U1368" t="str">
        <f t="shared" si="86"/>
        <v>KY</v>
      </c>
      <c r="V1368" t="str">
        <f t="shared" si="87"/>
        <v>13719</v>
      </c>
    </row>
    <row r="1369" spans="1:22" x14ac:dyDescent="0.35">
      <c r="A1369">
        <v>159424</v>
      </c>
      <c r="B1369" t="s">
        <v>22</v>
      </c>
      <c r="C1369" t="s">
        <v>14</v>
      </c>
      <c r="D1369">
        <v>3276</v>
      </c>
      <c r="E1369">
        <v>358</v>
      </c>
      <c r="F1369">
        <v>555</v>
      </c>
      <c r="G1369">
        <v>92</v>
      </c>
      <c r="H1369">
        <v>23535</v>
      </c>
      <c r="I1369">
        <v>15</v>
      </c>
      <c r="J1369">
        <v>40</v>
      </c>
      <c r="K1369">
        <v>478</v>
      </c>
      <c r="L1369">
        <v>436</v>
      </c>
      <c r="M1369">
        <v>25</v>
      </c>
      <c r="N1369">
        <f>IFERROR(VLOOKUP(A1369,vlookup_table!$A:$G,2,FALSE),"")</f>
        <v>1</v>
      </c>
      <c r="O1369">
        <f>IFERROR(VLOOKUP(A1369,vlookup_table!$A:$G,4,FALSE),"")</f>
        <v>2401</v>
      </c>
      <c r="P1369" t="str">
        <f>IFERROR(VLOOKUP(A1369,vlookup_table!$A:$G,5,FALSE),"")</f>
        <v>S1</v>
      </c>
      <c r="Q1369">
        <f>IFERROR(VLOOKUP(A1369,vlookup_table!$A:$G,7,FALSE),"")</f>
        <v>75</v>
      </c>
      <c r="R1369">
        <f t="shared" si="84"/>
        <v>73</v>
      </c>
      <c r="S1369" t="str" cm="1">
        <f t="array" ref="S1369">IF(P1369="","",_xlfn.SWITCH(LEFT(P1369,1),"C","Ciudad","T","Pueblo","R","Rural","S","Suburbano","U","Urbano",""))</f>
        <v>Suburbano</v>
      </c>
      <c r="T1369" t="str">
        <f t="shared" si="85"/>
        <v>M</v>
      </c>
      <c r="U1369" t="str">
        <f t="shared" si="86"/>
        <v>CA</v>
      </c>
      <c r="V1369" t="str">
        <f t="shared" si="87"/>
        <v>23535</v>
      </c>
    </row>
    <row r="1370" spans="1:22" x14ac:dyDescent="0.35">
      <c r="A1370">
        <v>34649</v>
      </c>
      <c r="B1370" t="s">
        <v>13</v>
      </c>
      <c r="C1370" t="s">
        <v>17</v>
      </c>
      <c r="D1370">
        <v>1171</v>
      </c>
      <c r="E1370">
        <v>483</v>
      </c>
      <c r="F1370">
        <v>570</v>
      </c>
      <c r="G1370">
        <v>9</v>
      </c>
      <c r="H1370">
        <v>19553</v>
      </c>
      <c r="I1370">
        <v>5</v>
      </c>
      <c r="J1370">
        <v>20</v>
      </c>
      <c r="K1370">
        <v>512</v>
      </c>
      <c r="L1370">
        <v>544</v>
      </c>
      <c r="M1370">
        <v>5.2</v>
      </c>
      <c r="N1370">
        <f>IFERROR(VLOOKUP(A1370,vlookup_table!$A:$G,2,FALSE),"")</f>
        <v>0</v>
      </c>
      <c r="O1370">
        <f>IFERROR(VLOOKUP(A1370,vlookup_table!$A:$G,4,FALSE),"")</f>
        <v>2901</v>
      </c>
      <c r="P1370" t="str">
        <f>IFERROR(VLOOKUP(A1370,vlookup_table!$A:$G,5,FALSE),"")</f>
        <v>S1</v>
      </c>
      <c r="Q1370">
        <f>IFERROR(VLOOKUP(A1370,vlookup_table!$A:$G,7,FALSE),"")</f>
        <v>7</v>
      </c>
      <c r="R1370">
        <f t="shared" si="84"/>
        <v>68</v>
      </c>
      <c r="S1370" t="str" cm="1">
        <f t="array" ref="S1370">IF(P1370="","",_xlfn.SWITCH(LEFT(P1370,1),"C","Ciudad","T","Pueblo","R","Rural","S","Suburbano","U","Urbano",""))</f>
        <v>Suburbano</v>
      </c>
      <c r="T1370" t="str">
        <f t="shared" si="85"/>
        <v>F</v>
      </c>
      <c r="U1370" t="str">
        <f t="shared" si="86"/>
        <v>FL</v>
      </c>
      <c r="V1370" t="str">
        <f t="shared" si="87"/>
        <v>19553</v>
      </c>
    </row>
    <row r="1371" spans="1:22" x14ac:dyDescent="0.35">
      <c r="A1371">
        <v>50154</v>
      </c>
      <c r="B1371" t="s">
        <v>53</v>
      </c>
      <c r="C1371" t="s">
        <v>14</v>
      </c>
      <c r="D1371">
        <v>1103</v>
      </c>
      <c r="E1371">
        <v>467</v>
      </c>
      <c r="F1371">
        <v>524</v>
      </c>
      <c r="G1371">
        <v>3</v>
      </c>
      <c r="H1371">
        <v>17130</v>
      </c>
      <c r="I1371">
        <v>2</v>
      </c>
      <c r="J1371">
        <v>74</v>
      </c>
      <c r="K1371">
        <v>503</v>
      </c>
      <c r="L1371">
        <v>497</v>
      </c>
      <c r="M1371">
        <v>15</v>
      </c>
      <c r="N1371">
        <f>IFERROR(VLOOKUP(A1371,vlookup_table!$A:$G,2,FALSE),"")</f>
        <v>1002</v>
      </c>
      <c r="O1371">
        <f>IFERROR(VLOOKUP(A1371,vlookup_table!$A:$G,4,FALSE),"")</f>
        <v>6801</v>
      </c>
      <c r="P1371" t="str">
        <f>IFERROR(VLOOKUP(A1371,vlookup_table!$A:$G,5,FALSE),"")</f>
        <v>T1</v>
      </c>
      <c r="Q1371">
        <f>IFERROR(VLOOKUP(A1371,vlookup_table!$A:$G,7,FALSE),"")</f>
        <v>15</v>
      </c>
      <c r="R1371">
        <f t="shared" si="84"/>
        <v>29</v>
      </c>
      <c r="S1371" t="str" cm="1">
        <f t="array" ref="S1371">IF(P1371="","",_xlfn.SWITCH(LEFT(P1371,1),"C","Ciudad","T","Pueblo","R","Rural","S","Suburbano","U","Urbano",""))</f>
        <v>Pueblo</v>
      </c>
      <c r="T1371" t="str">
        <f t="shared" si="85"/>
        <v>M</v>
      </c>
      <c r="U1371" t="str">
        <f t="shared" si="86"/>
        <v>TN</v>
      </c>
      <c r="V1371" t="str">
        <f t="shared" si="87"/>
        <v>17130</v>
      </c>
    </row>
    <row r="1372" spans="1:22" x14ac:dyDescent="0.35">
      <c r="A1372">
        <v>77432</v>
      </c>
      <c r="B1372" t="s">
        <v>35</v>
      </c>
      <c r="C1372" t="s">
        <v>51</v>
      </c>
      <c r="D1372">
        <v>673</v>
      </c>
      <c r="E1372">
        <v>293</v>
      </c>
      <c r="F1372">
        <v>348</v>
      </c>
      <c r="G1372">
        <v>0</v>
      </c>
      <c r="H1372">
        <v>12900</v>
      </c>
      <c r="I1372">
        <v>2</v>
      </c>
      <c r="J1372">
        <v>88</v>
      </c>
      <c r="K1372">
        <v>335</v>
      </c>
      <c r="L1372">
        <v>296</v>
      </c>
      <c r="M1372">
        <v>11.5</v>
      </c>
      <c r="N1372">
        <f>IFERROR(VLOOKUP(A1372,vlookup_table!$A:$G,2,FALSE),"")</f>
        <v>2</v>
      </c>
      <c r="O1372">
        <f>IFERROR(VLOOKUP(A1372,vlookup_table!$A:$G,4,FALSE),"")</f>
        <v>5401</v>
      </c>
      <c r="P1372" t="str">
        <f>IFERROR(VLOOKUP(A1372,vlookup_table!$A:$G,5,FALSE),"")</f>
        <v>T2</v>
      </c>
      <c r="Q1372">
        <f>IFERROR(VLOOKUP(A1372,vlookup_table!$A:$G,7,FALSE),"")</f>
        <v>15</v>
      </c>
      <c r="R1372">
        <f t="shared" si="84"/>
        <v>43</v>
      </c>
      <c r="S1372" t="str" cm="1">
        <f t="array" ref="S1372">IF(P1372="","",_xlfn.SWITCH(LEFT(P1372,1),"C","Ciudad","T","Pueblo","R","Rural","S","Suburbano","U","Urbano",""))</f>
        <v>Pueblo</v>
      </c>
      <c r="T1372" t="str">
        <f t="shared" si="85"/>
        <v>M</v>
      </c>
      <c r="U1372" t="str">
        <f t="shared" si="86"/>
        <v>WI</v>
      </c>
      <c r="V1372" t="str">
        <f t="shared" si="87"/>
        <v>12900</v>
      </c>
    </row>
    <row r="1373" spans="1:22" x14ac:dyDescent="0.35">
      <c r="A1373">
        <v>152821</v>
      </c>
      <c r="B1373" t="s">
        <v>22</v>
      </c>
      <c r="C1373" t="s">
        <v>17</v>
      </c>
      <c r="D1373">
        <v>1633</v>
      </c>
      <c r="E1373">
        <v>286</v>
      </c>
      <c r="F1373">
        <v>351</v>
      </c>
      <c r="G1373">
        <v>8</v>
      </c>
      <c r="H1373">
        <v>16765</v>
      </c>
      <c r="I1373">
        <v>9</v>
      </c>
      <c r="J1373">
        <v>13</v>
      </c>
      <c r="K1373">
        <v>318</v>
      </c>
      <c r="L1373">
        <v>306</v>
      </c>
      <c r="M1373">
        <v>5.8</v>
      </c>
      <c r="N1373">
        <f>IFERROR(VLOOKUP(A1373,vlookup_table!$A:$G,2,FALSE),"")</f>
        <v>0</v>
      </c>
      <c r="O1373">
        <f>IFERROR(VLOOKUP(A1373,vlookup_table!$A:$G,4,FALSE),"")</f>
        <v>5401</v>
      </c>
      <c r="P1373" t="str">
        <f>IFERROR(VLOOKUP(A1373,vlookup_table!$A:$G,5,FALSE),"")</f>
        <v>S2</v>
      </c>
      <c r="Q1373">
        <f>IFERROR(VLOOKUP(A1373,vlookup_table!$A:$G,7,FALSE),"")</f>
        <v>11</v>
      </c>
      <c r="R1373">
        <f t="shared" si="84"/>
        <v>43</v>
      </c>
      <c r="S1373" t="str" cm="1">
        <f t="array" ref="S1373">IF(P1373="","",_xlfn.SWITCH(LEFT(P1373,1),"C","Ciudad","T","Pueblo","R","Rural","S","Suburbano","U","Urbano",""))</f>
        <v>Suburbano</v>
      </c>
      <c r="T1373" t="str">
        <f t="shared" si="85"/>
        <v>F</v>
      </c>
      <c r="U1373" t="str">
        <f t="shared" si="86"/>
        <v>CA</v>
      </c>
      <c r="V1373" t="str">
        <f t="shared" si="87"/>
        <v>16765</v>
      </c>
    </row>
    <row r="1374" spans="1:22" x14ac:dyDescent="0.35">
      <c r="A1374">
        <v>57964</v>
      </c>
      <c r="B1374" t="s">
        <v>57</v>
      </c>
      <c r="C1374" t="s">
        <v>14</v>
      </c>
      <c r="D1374">
        <v>428</v>
      </c>
      <c r="E1374">
        <v>166</v>
      </c>
      <c r="F1374">
        <v>334</v>
      </c>
      <c r="G1374">
        <v>4</v>
      </c>
      <c r="H1374">
        <v>13608</v>
      </c>
      <c r="I1374">
        <v>1</v>
      </c>
      <c r="J1374">
        <v>71</v>
      </c>
      <c r="K1374">
        <v>304</v>
      </c>
      <c r="L1374">
        <v>240</v>
      </c>
      <c r="M1374">
        <v>9.1875</v>
      </c>
      <c r="N1374">
        <f>IFERROR(VLOOKUP(A1374,vlookup_table!$A:$G,2,FALSE),"")</f>
        <v>1</v>
      </c>
      <c r="O1374">
        <f>IFERROR(VLOOKUP(A1374,vlookup_table!$A:$G,4,FALSE),"")</f>
        <v>2601</v>
      </c>
      <c r="P1374" t="str">
        <f>IFERROR(VLOOKUP(A1374,vlookup_table!$A:$G,5,FALSE),"")</f>
        <v>C3</v>
      </c>
      <c r="Q1374">
        <f>IFERROR(VLOOKUP(A1374,vlookup_table!$A:$G,7,FALSE),"")</f>
        <v>12</v>
      </c>
      <c r="R1374">
        <f t="shared" si="84"/>
        <v>71</v>
      </c>
      <c r="S1374" t="str" cm="1">
        <f t="array" ref="S1374">IF(P1374="","",_xlfn.SWITCH(LEFT(P1374,1),"C","Ciudad","T","Pueblo","R","Rural","S","Suburbano","U","Urbano",""))</f>
        <v>Ciudad</v>
      </c>
      <c r="T1374" t="str">
        <f t="shared" si="85"/>
        <v>M</v>
      </c>
      <c r="U1374" t="str">
        <f t="shared" si="86"/>
        <v>KY</v>
      </c>
      <c r="V1374" t="str">
        <f t="shared" si="87"/>
        <v>13608</v>
      </c>
    </row>
    <row r="1375" spans="1:22" x14ac:dyDescent="0.35">
      <c r="A1375">
        <v>188385</v>
      </c>
      <c r="B1375" t="s">
        <v>21</v>
      </c>
      <c r="C1375" t="s">
        <v>17</v>
      </c>
      <c r="D1375">
        <v>262</v>
      </c>
      <c r="E1375">
        <v>150</v>
      </c>
      <c r="F1375">
        <v>228</v>
      </c>
      <c r="G1375">
        <v>0</v>
      </c>
      <c r="H1375">
        <v>8475</v>
      </c>
      <c r="I1375">
        <v>0</v>
      </c>
      <c r="J1375">
        <v>67</v>
      </c>
      <c r="K1375">
        <v>194</v>
      </c>
      <c r="L1375">
        <v>186</v>
      </c>
      <c r="M1375">
        <v>15</v>
      </c>
      <c r="N1375">
        <f>IFERROR(VLOOKUP(A1375,vlookup_table!$A:$G,2,FALSE),"")</f>
        <v>2</v>
      </c>
      <c r="O1375">
        <f>IFERROR(VLOOKUP(A1375,vlookup_table!$A:$G,4,FALSE),"")</f>
        <v>1601</v>
      </c>
      <c r="P1375" t="str">
        <f>IFERROR(VLOOKUP(A1375,vlookup_table!$A:$G,5,FALSE),"")</f>
        <v>T3</v>
      </c>
      <c r="Q1375">
        <f>IFERROR(VLOOKUP(A1375,vlookup_table!$A:$G,7,FALSE),"")</f>
        <v>5</v>
      </c>
      <c r="R1375">
        <f t="shared" si="84"/>
        <v>81</v>
      </c>
      <c r="S1375" t="str" cm="1">
        <f t="array" ref="S1375">IF(P1375="","",_xlfn.SWITCH(LEFT(P1375,1),"C","Ciudad","T","Pueblo","R","Rural","S","Suburbano","U","Urbano",""))</f>
        <v>Pueblo</v>
      </c>
      <c r="T1375" t="str">
        <f t="shared" si="85"/>
        <v>F</v>
      </c>
      <c r="U1375" t="str">
        <f t="shared" si="86"/>
        <v>TX</v>
      </c>
      <c r="V1375" t="str">
        <f t="shared" si="87"/>
        <v>8475</v>
      </c>
    </row>
    <row r="1376" spans="1:22" x14ac:dyDescent="0.35">
      <c r="A1376">
        <v>65899</v>
      </c>
      <c r="B1376" t="s">
        <v>29</v>
      </c>
      <c r="C1376" t="s">
        <v>17</v>
      </c>
      <c r="D1376">
        <v>905</v>
      </c>
      <c r="E1376">
        <v>470</v>
      </c>
      <c r="F1376">
        <v>605</v>
      </c>
      <c r="G1376">
        <v>0</v>
      </c>
      <c r="H1376">
        <v>21564</v>
      </c>
      <c r="I1376">
        <v>11</v>
      </c>
      <c r="J1376">
        <v>70</v>
      </c>
      <c r="K1376">
        <v>533</v>
      </c>
      <c r="L1376">
        <v>549</v>
      </c>
      <c r="M1376">
        <v>7.25</v>
      </c>
      <c r="N1376">
        <f>IFERROR(VLOOKUP(A1376,vlookup_table!$A:$G,2,FALSE),"")</f>
        <v>28</v>
      </c>
      <c r="O1376">
        <f>IFERROR(VLOOKUP(A1376,vlookup_table!$A:$G,4,FALSE),"")</f>
        <v>4301</v>
      </c>
      <c r="P1376" t="str">
        <f>IFERROR(VLOOKUP(A1376,vlookup_table!$A:$G,5,FALSE),"")</f>
        <v>S2</v>
      </c>
      <c r="Q1376">
        <f>IFERROR(VLOOKUP(A1376,vlookup_table!$A:$G,7,FALSE),"")</f>
        <v>10</v>
      </c>
      <c r="R1376">
        <f t="shared" si="84"/>
        <v>54</v>
      </c>
      <c r="S1376" t="str" cm="1">
        <f t="array" ref="S1376">IF(P1376="","",_xlfn.SWITCH(LEFT(P1376,1),"C","Ciudad","T","Pueblo","R","Rural","S","Suburbano","U","Urbano",""))</f>
        <v>Suburbano</v>
      </c>
      <c r="T1376" t="str">
        <f t="shared" si="85"/>
        <v>F</v>
      </c>
      <c r="U1376" t="str">
        <f t="shared" si="86"/>
        <v>MI</v>
      </c>
      <c r="V1376" t="str">
        <f t="shared" si="87"/>
        <v>21564</v>
      </c>
    </row>
    <row r="1377" spans="1:22" x14ac:dyDescent="0.35">
      <c r="A1377">
        <v>171302</v>
      </c>
      <c r="B1377" t="s">
        <v>22</v>
      </c>
      <c r="C1377" t="s">
        <v>17</v>
      </c>
      <c r="D1377">
        <v>1693</v>
      </c>
      <c r="E1377">
        <v>423</v>
      </c>
      <c r="F1377">
        <v>492</v>
      </c>
      <c r="G1377">
        <v>23</v>
      </c>
      <c r="H1377">
        <v>17493</v>
      </c>
      <c r="I1377">
        <v>6</v>
      </c>
      <c r="J1377">
        <v>58</v>
      </c>
      <c r="K1377">
        <v>467</v>
      </c>
      <c r="L1377">
        <v>457</v>
      </c>
      <c r="M1377">
        <v>11.66666667</v>
      </c>
      <c r="N1377">
        <f>IFERROR(VLOOKUP(A1377,vlookup_table!$A:$G,2,FALSE),"")</f>
        <v>0</v>
      </c>
      <c r="O1377">
        <f>IFERROR(VLOOKUP(A1377,vlookup_table!$A:$G,4,FALSE),"")</f>
        <v>4701</v>
      </c>
      <c r="P1377" t="str">
        <f>IFERROR(VLOOKUP(A1377,vlookup_table!$A:$G,5,FALSE),"")</f>
        <v>S1</v>
      </c>
      <c r="Q1377">
        <f>IFERROR(VLOOKUP(A1377,vlookup_table!$A:$G,7,FALSE),"")</f>
        <v>15</v>
      </c>
      <c r="R1377">
        <f t="shared" si="84"/>
        <v>50</v>
      </c>
      <c r="S1377" t="str" cm="1">
        <f t="array" ref="S1377">IF(P1377="","",_xlfn.SWITCH(LEFT(P1377,1),"C","Ciudad","T","Pueblo","R","Rural","S","Suburbano","U","Urbano",""))</f>
        <v>Suburbano</v>
      </c>
      <c r="T1377" t="str">
        <f t="shared" si="85"/>
        <v>F</v>
      </c>
      <c r="U1377" t="str">
        <f t="shared" si="86"/>
        <v>CA</v>
      </c>
      <c r="V1377" t="str">
        <f t="shared" si="87"/>
        <v>17493</v>
      </c>
    </row>
    <row r="1378" spans="1:22" x14ac:dyDescent="0.35">
      <c r="A1378">
        <v>38106</v>
      </c>
      <c r="B1378" t="s">
        <v>13</v>
      </c>
      <c r="C1378" t="s">
        <v>17</v>
      </c>
      <c r="D1378">
        <v>1806</v>
      </c>
      <c r="E1378">
        <v>243</v>
      </c>
      <c r="F1378">
        <v>450</v>
      </c>
      <c r="G1378">
        <v>33</v>
      </c>
      <c r="H1378">
        <v>22969</v>
      </c>
      <c r="I1378">
        <v>38</v>
      </c>
      <c r="J1378">
        <v>5</v>
      </c>
      <c r="K1378">
        <v>312</v>
      </c>
      <c r="L1378">
        <v>338</v>
      </c>
      <c r="M1378">
        <v>2.7954545460000002</v>
      </c>
      <c r="N1378">
        <f>IFERROR(VLOOKUP(A1378,vlookup_table!$A:$G,2,FALSE),"")</f>
        <v>0</v>
      </c>
      <c r="O1378">
        <f>IFERROR(VLOOKUP(A1378,vlookup_table!$A:$G,4,FALSE),"")</f>
        <v>804</v>
      </c>
      <c r="P1378" t="str">
        <f>IFERROR(VLOOKUP(A1378,vlookup_table!$A:$G,5,FALSE),"")</f>
        <v>U2</v>
      </c>
      <c r="Q1378">
        <f>IFERROR(VLOOKUP(A1378,vlookup_table!$A:$G,7,FALSE),"")</f>
        <v>3</v>
      </c>
      <c r="R1378">
        <f t="shared" si="84"/>
        <v>89</v>
      </c>
      <c r="S1378" t="str" cm="1">
        <f t="array" ref="S1378">IF(P1378="","",_xlfn.SWITCH(LEFT(P1378,1),"C","Ciudad","T","Pueblo","R","Rural","S","Suburbano","U","Urbano",""))</f>
        <v>Urbano</v>
      </c>
      <c r="T1378" t="str">
        <f t="shared" si="85"/>
        <v>F</v>
      </c>
      <c r="U1378" t="str">
        <f t="shared" si="86"/>
        <v>FL</v>
      </c>
      <c r="V1378" t="str">
        <f t="shared" si="87"/>
        <v>22969</v>
      </c>
    </row>
    <row r="1379" spans="1:22" x14ac:dyDescent="0.35">
      <c r="A1379">
        <v>35906</v>
      </c>
      <c r="B1379" t="s">
        <v>13</v>
      </c>
      <c r="C1379" t="s">
        <v>17</v>
      </c>
      <c r="D1379">
        <v>683</v>
      </c>
      <c r="E1379">
        <v>284</v>
      </c>
      <c r="F1379">
        <v>368</v>
      </c>
      <c r="G1379">
        <v>2</v>
      </c>
      <c r="H1379">
        <v>12396</v>
      </c>
      <c r="I1379">
        <v>4</v>
      </c>
      <c r="J1379">
        <v>32</v>
      </c>
      <c r="K1379">
        <v>325</v>
      </c>
      <c r="L1379">
        <v>313</v>
      </c>
      <c r="M1379">
        <v>15.33333333</v>
      </c>
      <c r="N1379">
        <f>IFERROR(VLOOKUP(A1379,vlookup_table!$A:$G,2,FALSE),"")</f>
        <v>0</v>
      </c>
      <c r="O1379">
        <f>IFERROR(VLOOKUP(A1379,vlookup_table!$A:$G,4,FALSE),"")</f>
        <v>5701</v>
      </c>
      <c r="P1379" t="str">
        <f>IFERROR(VLOOKUP(A1379,vlookup_table!$A:$G,5,FALSE),"")</f>
        <v>T2</v>
      </c>
      <c r="Q1379">
        <f>IFERROR(VLOOKUP(A1379,vlookup_table!$A:$G,7,FALSE),"")</f>
        <v>15</v>
      </c>
      <c r="R1379">
        <f t="shared" si="84"/>
        <v>40</v>
      </c>
      <c r="S1379" t="str" cm="1">
        <f t="array" ref="S1379">IF(P1379="","",_xlfn.SWITCH(LEFT(P1379,1),"C","Ciudad","T","Pueblo","R","Rural","S","Suburbano","U","Urbano",""))</f>
        <v>Pueblo</v>
      </c>
      <c r="T1379" t="str">
        <f t="shared" si="85"/>
        <v>F</v>
      </c>
      <c r="U1379" t="str">
        <f t="shared" si="86"/>
        <v>FL</v>
      </c>
      <c r="V1379" t="str">
        <f t="shared" si="87"/>
        <v>12396</v>
      </c>
    </row>
    <row r="1380" spans="1:22" x14ac:dyDescent="0.35">
      <c r="A1380">
        <v>4513</v>
      </c>
      <c r="B1380" t="s">
        <v>29</v>
      </c>
      <c r="C1380" t="s">
        <v>14</v>
      </c>
      <c r="D1380">
        <v>630</v>
      </c>
      <c r="E1380">
        <v>355</v>
      </c>
      <c r="F1380">
        <v>437</v>
      </c>
      <c r="G1380">
        <v>0</v>
      </c>
      <c r="H1380">
        <v>15914</v>
      </c>
      <c r="I1380">
        <v>3</v>
      </c>
      <c r="J1380">
        <v>75</v>
      </c>
      <c r="K1380">
        <v>396</v>
      </c>
      <c r="L1380">
        <v>395</v>
      </c>
      <c r="M1380">
        <v>13</v>
      </c>
      <c r="N1380">
        <f>IFERROR(VLOOKUP(A1380,vlookup_table!$A:$G,2,FALSE),"")</f>
        <v>1</v>
      </c>
      <c r="O1380">
        <f>IFERROR(VLOOKUP(A1380,vlookup_table!$A:$G,4,FALSE),"")</f>
        <v>2804</v>
      </c>
      <c r="P1380" t="str">
        <f>IFERROR(VLOOKUP(A1380,vlookup_table!$A:$G,5,FALSE),"")</f>
        <v>C2</v>
      </c>
      <c r="Q1380">
        <f>IFERROR(VLOOKUP(A1380,vlookup_table!$A:$G,7,FALSE),"")</f>
        <v>20</v>
      </c>
      <c r="R1380">
        <f t="shared" si="84"/>
        <v>69</v>
      </c>
      <c r="S1380" t="str" cm="1">
        <f t="array" ref="S1380">IF(P1380="","",_xlfn.SWITCH(LEFT(P1380,1),"C","Ciudad","T","Pueblo","R","Rural","S","Suburbano","U","Urbano",""))</f>
        <v>Ciudad</v>
      </c>
      <c r="T1380" t="str">
        <f t="shared" si="85"/>
        <v>M</v>
      </c>
      <c r="U1380" t="str">
        <f t="shared" si="86"/>
        <v>MI</v>
      </c>
      <c r="V1380" t="str">
        <f t="shared" si="87"/>
        <v>15914</v>
      </c>
    </row>
    <row r="1381" spans="1:22" x14ac:dyDescent="0.35">
      <c r="A1381">
        <v>14272</v>
      </c>
      <c r="B1381" t="s">
        <v>32</v>
      </c>
      <c r="C1381" t="s">
        <v>60</v>
      </c>
      <c r="D1381">
        <v>389</v>
      </c>
      <c r="E1381">
        <v>207</v>
      </c>
      <c r="F1381">
        <v>286</v>
      </c>
      <c r="G1381">
        <v>0</v>
      </c>
      <c r="H1381">
        <v>9933</v>
      </c>
      <c r="I1381">
        <v>1</v>
      </c>
      <c r="J1381">
        <v>69</v>
      </c>
      <c r="K1381">
        <v>234</v>
      </c>
      <c r="L1381">
        <v>253</v>
      </c>
      <c r="M1381">
        <v>12.66666667</v>
      </c>
      <c r="N1381">
        <f>IFERROR(VLOOKUP(A1381,vlookup_table!$A:$G,2,FALSE),"")</f>
        <v>0</v>
      </c>
      <c r="O1381">
        <f>IFERROR(VLOOKUP(A1381,vlookup_table!$A:$G,4,FALSE),"")</f>
        <v>4001</v>
      </c>
      <c r="P1381" t="str">
        <f>IFERROR(VLOOKUP(A1381,vlookup_table!$A:$G,5,FALSE),"")</f>
        <v>R2</v>
      </c>
      <c r="Q1381">
        <f>IFERROR(VLOOKUP(A1381,vlookup_table!$A:$G,7,FALSE),"")</f>
        <v>20</v>
      </c>
      <c r="R1381">
        <f t="shared" si="84"/>
        <v>57</v>
      </c>
      <c r="S1381" t="str" cm="1">
        <f t="array" ref="S1381">IF(P1381="","",_xlfn.SWITCH(LEFT(P1381,1),"C","Ciudad","T","Pueblo","R","Rural","S","Suburbano","U","Urbano",""))</f>
        <v>Rural</v>
      </c>
      <c r="T1381" t="str">
        <f t="shared" si="85"/>
        <v>F</v>
      </c>
      <c r="U1381" t="str">
        <f t="shared" si="86"/>
        <v>AR</v>
      </c>
      <c r="V1381" t="str">
        <f t="shared" si="87"/>
        <v>9933</v>
      </c>
    </row>
    <row r="1382" spans="1:22" x14ac:dyDescent="0.35">
      <c r="A1382">
        <v>1779</v>
      </c>
      <c r="B1382" t="s">
        <v>32</v>
      </c>
      <c r="C1382" t="s">
        <v>14</v>
      </c>
      <c r="D1382">
        <v>417</v>
      </c>
      <c r="E1382">
        <v>131</v>
      </c>
      <c r="F1382">
        <v>282</v>
      </c>
      <c r="G1382">
        <v>0</v>
      </c>
      <c r="H1382">
        <v>6858</v>
      </c>
      <c r="I1382">
        <v>6</v>
      </c>
      <c r="J1382">
        <v>42</v>
      </c>
      <c r="K1382">
        <v>199</v>
      </c>
      <c r="L1382">
        <v>200</v>
      </c>
      <c r="M1382">
        <v>13</v>
      </c>
      <c r="N1382">
        <f>IFERROR(VLOOKUP(A1382,vlookup_table!$A:$G,2,FALSE),"")</f>
        <v>0</v>
      </c>
      <c r="O1382">
        <f>IFERROR(VLOOKUP(A1382,vlookup_table!$A:$G,4,FALSE),"")</f>
        <v>0</v>
      </c>
      <c r="P1382" t="str">
        <f>IFERROR(VLOOKUP(A1382,vlookup_table!$A:$G,5,FALSE),"")</f>
        <v>T3</v>
      </c>
      <c r="Q1382" t="str">
        <f>IFERROR(VLOOKUP(A1382,vlookup_table!$A:$G,7,FALSE),"")</f>
        <v>12.5</v>
      </c>
      <c r="R1382">
        <f t="shared" si="84"/>
        <v>97</v>
      </c>
      <c r="S1382" t="str" cm="1">
        <f t="array" ref="S1382">IF(P1382="","",_xlfn.SWITCH(LEFT(P1382,1),"C","Ciudad","T","Pueblo","R","Rural","S","Suburbano","U","Urbano",""))</f>
        <v>Pueblo</v>
      </c>
      <c r="T1382" t="str">
        <f t="shared" si="85"/>
        <v>M</v>
      </c>
      <c r="U1382" t="str">
        <f t="shared" si="86"/>
        <v>AR</v>
      </c>
      <c r="V1382" t="str">
        <f t="shared" si="87"/>
        <v>6858</v>
      </c>
    </row>
    <row r="1383" spans="1:22" x14ac:dyDescent="0.35">
      <c r="A1383">
        <v>180512</v>
      </c>
      <c r="B1383" t="s">
        <v>40</v>
      </c>
      <c r="C1383" t="s">
        <v>51</v>
      </c>
      <c r="D1383">
        <v>731</v>
      </c>
      <c r="E1383">
        <v>304</v>
      </c>
      <c r="F1383">
        <v>382</v>
      </c>
      <c r="G1383">
        <v>1</v>
      </c>
      <c r="H1383">
        <v>13513</v>
      </c>
      <c r="I1383">
        <v>4</v>
      </c>
      <c r="J1383">
        <v>53</v>
      </c>
      <c r="K1383">
        <v>355</v>
      </c>
      <c r="L1383">
        <v>349</v>
      </c>
      <c r="M1383">
        <v>6.5789473679999997</v>
      </c>
      <c r="N1383">
        <f>IFERROR(VLOOKUP(A1383,vlookup_table!$A:$G,2,FALSE),"")</f>
        <v>2</v>
      </c>
      <c r="O1383">
        <f>IFERROR(VLOOKUP(A1383,vlookup_table!$A:$G,4,FALSE),"")</f>
        <v>1312</v>
      </c>
      <c r="P1383" t="str">
        <f>IFERROR(VLOOKUP(A1383,vlookup_table!$A:$G,5,FALSE),"")</f>
        <v>T2</v>
      </c>
      <c r="Q1383">
        <f>IFERROR(VLOOKUP(A1383,vlookup_table!$A:$G,7,FALSE),"")</f>
        <v>10</v>
      </c>
      <c r="R1383">
        <f t="shared" si="84"/>
        <v>84</v>
      </c>
      <c r="S1383" t="str" cm="1">
        <f t="array" ref="S1383">IF(P1383="","",_xlfn.SWITCH(LEFT(P1383,1),"C","Ciudad","T","Pueblo","R","Rural","S","Suburbano","U","Urbano",""))</f>
        <v>Pueblo</v>
      </c>
      <c r="T1383" t="str">
        <f t="shared" si="85"/>
        <v>M</v>
      </c>
      <c r="U1383" t="str">
        <f t="shared" si="86"/>
        <v>WA</v>
      </c>
      <c r="V1383" t="str">
        <f t="shared" si="87"/>
        <v>13513</v>
      </c>
    </row>
    <row r="1384" spans="1:22" x14ac:dyDescent="0.35">
      <c r="A1384">
        <v>41065</v>
      </c>
      <c r="B1384" t="s">
        <v>24</v>
      </c>
      <c r="C1384" t="s">
        <v>17</v>
      </c>
      <c r="D1384">
        <v>1569</v>
      </c>
      <c r="E1384">
        <v>673</v>
      </c>
      <c r="F1384">
        <v>781</v>
      </c>
      <c r="G1384">
        <v>22</v>
      </c>
      <c r="H1384">
        <v>25775</v>
      </c>
      <c r="I1384">
        <v>3</v>
      </c>
      <c r="J1384">
        <v>44</v>
      </c>
      <c r="K1384">
        <v>672</v>
      </c>
      <c r="L1384">
        <v>785</v>
      </c>
      <c r="M1384">
        <v>12.5</v>
      </c>
      <c r="N1384">
        <f>IFERROR(VLOOKUP(A1384,vlookup_table!$A:$G,2,FALSE),"")</f>
        <v>0</v>
      </c>
      <c r="O1384">
        <f>IFERROR(VLOOKUP(A1384,vlookup_table!$A:$G,4,FALSE),"")</f>
        <v>3401</v>
      </c>
      <c r="P1384" t="str">
        <f>IFERROR(VLOOKUP(A1384,vlookup_table!$A:$G,5,FALSE),"")</f>
        <v>C3</v>
      </c>
      <c r="Q1384">
        <f>IFERROR(VLOOKUP(A1384,vlookup_table!$A:$G,7,FALSE),"")</f>
        <v>15</v>
      </c>
      <c r="R1384">
        <f t="shared" si="84"/>
        <v>63</v>
      </c>
      <c r="S1384" t="str" cm="1">
        <f t="array" ref="S1384">IF(P1384="","",_xlfn.SWITCH(LEFT(P1384,1),"C","Ciudad","T","Pueblo","R","Rural","S","Suburbano","U","Urbano",""))</f>
        <v>Ciudad</v>
      </c>
      <c r="T1384" t="str">
        <f t="shared" si="85"/>
        <v>F</v>
      </c>
      <c r="U1384" t="str">
        <f t="shared" si="86"/>
        <v>NV</v>
      </c>
      <c r="V1384" t="str">
        <f t="shared" si="87"/>
        <v>25775</v>
      </c>
    </row>
    <row r="1385" spans="1:22" x14ac:dyDescent="0.35">
      <c r="A1385">
        <v>111949</v>
      </c>
      <c r="B1385" t="s">
        <v>32</v>
      </c>
      <c r="C1385" t="s">
        <v>60</v>
      </c>
      <c r="D1385">
        <v>335</v>
      </c>
      <c r="E1385">
        <v>166</v>
      </c>
      <c r="F1385">
        <v>239</v>
      </c>
      <c r="G1385">
        <v>0</v>
      </c>
      <c r="H1385">
        <v>8297</v>
      </c>
      <c r="I1385">
        <v>0</v>
      </c>
      <c r="J1385">
        <v>76</v>
      </c>
      <c r="K1385">
        <v>207</v>
      </c>
      <c r="L1385">
        <v>207</v>
      </c>
      <c r="M1385">
        <v>4.6060606059999998</v>
      </c>
      <c r="N1385">
        <f>IFERROR(VLOOKUP(A1385,vlookup_table!$A:$G,2,FALSE),"")</f>
        <v>0</v>
      </c>
      <c r="O1385">
        <f>IFERROR(VLOOKUP(A1385,vlookup_table!$A:$G,4,FALSE),"")</f>
        <v>0</v>
      </c>
      <c r="P1385" t="str">
        <f>IFERROR(VLOOKUP(A1385,vlookup_table!$A:$G,5,FALSE),"")</f>
        <v>R3</v>
      </c>
      <c r="Q1385">
        <f>IFERROR(VLOOKUP(A1385,vlookup_table!$A:$G,7,FALSE),"")</f>
        <v>5</v>
      </c>
      <c r="R1385">
        <f t="shared" si="84"/>
        <v>97</v>
      </c>
      <c r="S1385" t="str" cm="1">
        <f t="array" ref="S1385">IF(P1385="","",_xlfn.SWITCH(LEFT(P1385,1),"C","Ciudad","T","Pueblo","R","Rural","S","Suburbano","U","Urbano",""))</f>
        <v>Rural</v>
      </c>
      <c r="T1385" t="str">
        <f t="shared" si="85"/>
        <v>F</v>
      </c>
      <c r="U1385" t="str">
        <f t="shared" si="86"/>
        <v>AR</v>
      </c>
      <c r="V1385" t="str">
        <f t="shared" si="87"/>
        <v>8297</v>
      </c>
    </row>
    <row r="1386" spans="1:22" x14ac:dyDescent="0.35">
      <c r="A1386">
        <v>35043</v>
      </c>
      <c r="B1386" t="s">
        <v>13</v>
      </c>
      <c r="C1386" t="s">
        <v>14</v>
      </c>
      <c r="D1386">
        <v>1357</v>
      </c>
      <c r="E1386">
        <v>521</v>
      </c>
      <c r="F1386">
        <v>587</v>
      </c>
      <c r="G1386">
        <v>26</v>
      </c>
      <c r="H1386">
        <v>20642</v>
      </c>
      <c r="I1386">
        <v>4</v>
      </c>
      <c r="J1386">
        <v>30</v>
      </c>
      <c r="K1386">
        <v>534</v>
      </c>
      <c r="L1386">
        <v>571</v>
      </c>
      <c r="M1386">
        <v>13</v>
      </c>
      <c r="N1386">
        <f>IFERROR(VLOOKUP(A1386,vlookup_table!$A:$G,2,FALSE),"")</f>
        <v>1</v>
      </c>
      <c r="O1386">
        <f>IFERROR(VLOOKUP(A1386,vlookup_table!$A:$G,4,FALSE),"")</f>
        <v>4304</v>
      </c>
      <c r="P1386" t="str">
        <f>IFERROR(VLOOKUP(A1386,vlookup_table!$A:$G,5,FALSE),"")</f>
        <v>C1</v>
      </c>
      <c r="Q1386">
        <f>IFERROR(VLOOKUP(A1386,vlookup_table!$A:$G,7,FALSE),"")</f>
        <v>16</v>
      </c>
      <c r="R1386">
        <f t="shared" si="84"/>
        <v>54</v>
      </c>
      <c r="S1386" t="str" cm="1">
        <f t="array" ref="S1386">IF(P1386="","",_xlfn.SWITCH(LEFT(P1386,1),"C","Ciudad","T","Pueblo","R","Rural","S","Suburbano","U","Urbano",""))</f>
        <v>Ciudad</v>
      </c>
      <c r="T1386" t="str">
        <f t="shared" si="85"/>
        <v>M</v>
      </c>
      <c r="U1386" t="str">
        <f t="shared" si="86"/>
        <v>FL</v>
      </c>
      <c r="V1386" t="str">
        <f t="shared" si="87"/>
        <v>20642</v>
      </c>
    </row>
    <row r="1387" spans="1:22" x14ac:dyDescent="0.35">
      <c r="A1387">
        <v>86311</v>
      </c>
      <c r="B1387" t="s">
        <v>52</v>
      </c>
      <c r="C1387" t="s">
        <v>30</v>
      </c>
      <c r="D1387">
        <v>530</v>
      </c>
      <c r="E1387">
        <v>309</v>
      </c>
      <c r="F1387">
        <v>375</v>
      </c>
      <c r="G1387">
        <v>0</v>
      </c>
      <c r="H1387">
        <v>11438</v>
      </c>
      <c r="I1387">
        <v>1</v>
      </c>
      <c r="J1387">
        <v>80</v>
      </c>
      <c r="K1387">
        <v>375</v>
      </c>
      <c r="L1387">
        <v>276</v>
      </c>
      <c r="M1387">
        <v>5.5</v>
      </c>
      <c r="N1387">
        <f>IFERROR(VLOOKUP(A1387,vlookup_table!$A:$G,2,FALSE),"")</f>
        <v>0</v>
      </c>
      <c r="O1387">
        <f>IFERROR(VLOOKUP(A1387,vlookup_table!$A:$G,4,FALSE),"")</f>
        <v>0</v>
      </c>
      <c r="P1387" t="str">
        <f>IFERROR(VLOOKUP(A1387,vlookup_table!$A:$G,5,FALSE),"")</f>
        <v>R2</v>
      </c>
      <c r="Q1387">
        <f>IFERROR(VLOOKUP(A1387,vlookup_table!$A:$G,7,FALSE),"")</f>
        <v>6</v>
      </c>
      <c r="R1387">
        <f t="shared" si="84"/>
        <v>97</v>
      </c>
      <c r="S1387" t="str" cm="1">
        <f t="array" ref="S1387">IF(P1387="","",_xlfn.SWITCH(LEFT(P1387,1),"C","Ciudad","T","Pueblo","R","Rural","S","Suburbano","U","Urbano",""))</f>
        <v>Rural</v>
      </c>
      <c r="T1387" t="str">
        <f t="shared" si="85"/>
        <v>U</v>
      </c>
      <c r="U1387" t="str">
        <f t="shared" si="86"/>
        <v>SD</v>
      </c>
      <c r="V1387" t="str">
        <f t="shared" si="87"/>
        <v>11438</v>
      </c>
    </row>
    <row r="1388" spans="1:22" x14ac:dyDescent="0.35">
      <c r="A1388">
        <v>182293</v>
      </c>
      <c r="B1388" t="s">
        <v>40</v>
      </c>
      <c r="C1388" t="s">
        <v>51</v>
      </c>
      <c r="D1388">
        <v>883</v>
      </c>
      <c r="E1388">
        <v>294</v>
      </c>
      <c r="F1388">
        <v>363</v>
      </c>
      <c r="G1388">
        <v>6</v>
      </c>
      <c r="H1388">
        <v>13642</v>
      </c>
      <c r="I1388">
        <v>2</v>
      </c>
      <c r="J1388">
        <v>66</v>
      </c>
      <c r="K1388">
        <v>315</v>
      </c>
      <c r="L1388">
        <v>355</v>
      </c>
      <c r="M1388">
        <v>14.25</v>
      </c>
      <c r="N1388">
        <f>IFERROR(VLOOKUP(A1388,vlookup_table!$A:$G,2,FALSE),"")</f>
        <v>1</v>
      </c>
      <c r="O1388">
        <f>IFERROR(VLOOKUP(A1388,vlookup_table!$A:$G,4,FALSE),"")</f>
        <v>0</v>
      </c>
      <c r="P1388" t="str">
        <f>IFERROR(VLOOKUP(A1388,vlookup_table!$A:$G,5,FALSE),"")</f>
        <v>C2</v>
      </c>
      <c r="Q1388">
        <f>IFERROR(VLOOKUP(A1388,vlookup_table!$A:$G,7,FALSE),"")</f>
        <v>19</v>
      </c>
      <c r="R1388">
        <f t="shared" si="84"/>
        <v>97</v>
      </c>
      <c r="S1388" t="str" cm="1">
        <f t="array" ref="S1388">IF(P1388="","",_xlfn.SWITCH(LEFT(P1388,1),"C","Ciudad","T","Pueblo","R","Rural","S","Suburbano","U","Urbano",""))</f>
        <v>Ciudad</v>
      </c>
      <c r="T1388" t="str">
        <f t="shared" si="85"/>
        <v>M</v>
      </c>
      <c r="U1388" t="str">
        <f t="shared" si="86"/>
        <v>WA</v>
      </c>
      <c r="V1388" t="str">
        <f t="shared" si="87"/>
        <v>13642</v>
      </c>
    </row>
    <row r="1389" spans="1:22" x14ac:dyDescent="0.35">
      <c r="A1389">
        <v>179023</v>
      </c>
      <c r="B1389" t="s">
        <v>40</v>
      </c>
      <c r="C1389" t="s">
        <v>51</v>
      </c>
      <c r="D1389">
        <v>982</v>
      </c>
      <c r="E1389">
        <v>318</v>
      </c>
      <c r="F1389">
        <v>384</v>
      </c>
      <c r="G1389">
        <v>0</v>
      </c>
      <c r="H1389">
        <v>12744</v>
      </c>
      <c r="I1389">
        <v>5</v>
      </c>
      <c r="J1389">
        <v>61</v>
      </c>
      <c r="K1389">
        <v>388</v>
      </c>
      <c r="L1389">
        <v>341</v>
      </c>
      <c r="M1389">
        <v>20</v>
      </c>
      <c r="N1389">
        <f>IFERROR(VLOOKUP(A1389,vlookup_table!$A:$G,2,FALSE),"")</f>
        <v>1</v>
      </c>
      <c r="O1389">
        <f>IFERROR(VLOOKUP(A1389,vlookup_table!$A:$G,4,FALSE),"")</f>
        <v>0</v>
      </c>
      <c r="P1389" t="str">
        <f>IFERROR(VLOOKUP(A1389,vlookup_table!$A:$G,5,FALSE),"")</f>
        <v>S2</v>
      </c>
      <c r="Q1389">
        <f>IFERROR(VLOOKUP(A1389,vlookup_table!$A:$G,7,FALSE),"")</f>
        <v>35</v>
      </c>
      <c r="R1389">
        <f t="shared" si="84"/>
        <v>97</v>
      </c>
      <c r="S1389" t="str" cm="1">
        <f t="array" ref="S1389">IF(P1389="","",_xlfn.SWITCH(LEFT(P1389,1),"C","Ciudad","T","Pueblo","R","Rural","S","Suburbano","U","Urbano",""))</f>
        <v>Suburbano</v>
      </c>
      <c r="T1389" t="str">
        <f t="shared" si="85"/>
        <v>M</v>
      </c>
      <c r="U1389" t="str">
        <f t="shared" si="86"/>
        <v>WA</v>
      </c>
      <c r="V1389" t="str">
        <f t="shared" si="87"/>
        <v>12744</v>
      </c>
    </row>
    <row r="1390" spans="1:22" x14ac:dyDescent="0.35">
      <c r="A1390">
        <v>65481</v>
      </c>
      <c r="B1390" t="s">
        <v>29</v>
      </c>
      <c r="C1390" t="s">
        <v>14</v>
      </c>
      <c r="D1390">
        <v>663</v>
      </c>
      <c r="E1390">
        <v>432</v>
      </c>
      <c r="F1390">
        <v>534</v>
      </c>
      <c r="G1390">
        <v>0</v>
      </c>
      <c r="H1390">
        <v>16668</v>
      </c>
      <c r="I1390">
        <v>5</v>
      </c>
      <c r="J1390">
        <v>64</v>
      </c>
      <c r="K1390">
        <v>501</v>
      </c>
      <c r="L1390">
        <v>483</v>
      </c>
      <c r="M1390">
        <v>15</v>
      </c>
      <c r="N1390">
        <f>IFERROR(VLOOKUP(A1390,vlookup_table!$A:$G,2,FALSE),"")</f>
        <v>1</v>
      </c>
      <c r="O1390">
        <f>IFERROR(VLOOKUP(A1390,vlookup_table!$A:$G,4,FALSE),"")</f>
        <v>4401</v>
      </c>
      <c r="P1390" t="str">
        <f>IFERROR(VLOOKUP(A1390,vlookup_table!$A:$G,5,FALSE),"")</f>
        <v>U2</v>
      </c>
      <c r="Q1390">
        <f>IFERROR(VLOOKUP(A1390,vlookup_table!$A:$G,7,FALSE),"")</f>
        <v>20</v>
      </c>
      <c r="R1390">
        <f t="shared" si="84"/>
        <v>53</v>
      </c>
      <c r="S1390" t="str" cm="1">
        <f t="array" ref="S1390">IF(P1390="","",_xlfn.SWITCH(LEFT(P1390,1),"C","Ciudad","T","Pueblo","R","Rural","S","Suburbano","U","Urbano",""))</f>
        <v>Urbano</v>
      </c>
      <c r="T1390" t="str">
        <f t="shared" si="85"/>
        <v>M</v>
      </c>
      <c r="U1390" t="str">
        <f t="shared" si="86"/>
        <v>MI</v>
      </c>
      <c r="V1390" t="str">
        <f t="shared" si="87"/>
        <v>16668</v>
      </c>
    </row>
    <row r="1391" spans="1:22" x14ac:dyDescent="0.35">
      <c r="A1391">
        <v>21144</v>
      </c>
      <c r="B1391" t="s">
        <v>18</v>
      </c>
      <c r="C1391" t="s">
        <v>14</v>
      </c>
      <c r="D1391">
        <v>827</v>
      </c>
      <c r="E1391">
        <v>240</v>
      </c>
      <c r="F1391">
        <v>319</v>
      </c>
      <c r="G1391">
        <v>8</v>
      </c>
      <c r="H1391">
        <v>12413</v>
      </c>
      <c r="I1391">
        <v>1</v>
      </c>
      <c r="J1391">
        <v>60</v>
      </c>
      <c r="K1391">
        <v>275</v>
      </c>
      <c r="L1391">
        <v>297</v>
      </c>
      <c r="M1391">
        <v>6.3125</v>
      </c>
      <c r="N1391">
        <f>IFERROR(VLOOKUP(A1391,vlookup_table!$A:$G,2,FALSE),"")</f>
        <v>2</v>
      </c>
      <c r="O1391">
        <f>IFERROR(VLOOKUP(A1391,vlookup_table!$A:$G,4,FALSE),"")</f>
        <v>0</v>
      </c>
      <c r="P1391" t="str">
        <f>IFERROR(VLOOKUP(A1391,vlookup_table!$A:$G,5,FALSE),"")</f>
        <v>R2</v>
      </c>
      <c r="Q1391">
        <f>IFERROR(VLOOKUP(A1391,vlookup_table!$A:$G,7,FALSE),"")</f>
        <v>6</v>
      </c>
      <c r="R1391">
        <f t="shared" si="84"/>
        <v>97</v>
      </c>
      <c r="S1391" t="str" cm="1">
        <f t="array" ref="S1391">IF(P1391="","",_xlfn.SWITCH(LEFT(P1391,1),"C","Ciudad","T","Pueblo","R","Rural","S","Suburbano","U","Urbano",""))</f>
        <v>Rural</v>
      </c>
      <c r="T1391" t="str">
        <f t="shared" si="85"/>
        <v>M</v>
      </c>
      <c r="U1391" t="str">
        <f t="shared" si="86"/>
        <v>NC</v>
      </c>
      <c r="V1391" t="str">
        <f t="shared" si="87"/>
        <v>12413</v>
      </c>
    </row>
    <row r="1392" spans="1:22" x14ac:dyDescent="0.35">
      <c r="A1392">
        <v>9390</v>
      </c>
      <c r="B1392" t="s">
        <v>29</v>
      </c>
      <c r="C1392" t="s">
        <v>17</v>
      </c>
      <c r="D1392">
        <v>266</v>
      </c>
      <c r="E1392">
        <v>146</v>
      </c>
      <c r="F1392">
        <v>211</v>
      </c>
      <c r="G1392">
        <v>0</v>
      </c>
      <c r="H1392">
        <v>7863</v>
      </c>
      <c r="I1392">
        <v>16</v>
      </c>
      <c r="J1392">
        <v>72</v>
      </c>
      <c r="K1392">
        <v>167</v>
      </c>
      <c r="L1392">
        <v>217</v>
      </c>
      <c r="M1392">
        <v>8.09375</v>
      </c>
      <c r="N1392">
        <f>IFERROR(VLOOKUP(A1392,vlookup_table!$A:$G,2,FALSE),"")</f>
        <v>3</v>
      </c>
      <c r="O1392">
        <f>IFERROR(VLOOKUP(A1392,vlookup_table!$A:$G,4,FALSE),"")</f>
        <v>4009</v>
      </c>
      <c r="P1392" t="str">
        <f>IFERROR(VLOOKUP(A1392,vlookup_table!$A:$G,5,FALSE),"")</f>
        <v>U4</v>
      </c>
      <c r="Q1392">
        <f>IFERROR(VLOOKUP(A1392,vlookup_table!$A:$G,7,FALSE),"")</f>
        <v>5</v>
      </c>
      <c r="R1392">
        <f t="shared" si="84"/>
        <v>57</v>
      </c>
      <c r="S1392" t="str" cm="1">
        <f t="array" ref="S1392">IF(P1392="","",_xlfn.SWITCH(LEFT(P1392,1),"C","Ciudad","T","Pueblo","R","Rural","S","Suburbano","U","Urbano",""))</f>
        <v>Urbano</v>
      </c>
      <c r="T1392" t="str">
        <f t="shared" si="85"/>
        <v>F</v>
      </c>
      <c r="U1392" t="str">
        <f t="shared" si="86"/>
        <v>MI</v>
      </c>
      <c r="V1392" t="str">
        <f t="shared" si="87"/>
        <v>7863</v>
      </c>
    </row>
    <row r="1393" spans="1:22" x14ac:dyDescent="0.35">
      <c r="A1393">
        <v>157973</v>
      </c>
      <c r="B1393" t="s">
        <v>22</v>
      </c>
      <c r="C1393" t="s">
        <v>14</v>
      </c>
      <c r="D1393">
        <v>1967</v>
      </c>
      <c r="E1393">
        <v>371</v>
      </c>
      <c r="F1393">
        <v>436</v>
      </c>
      <c r="G1393">
        <v>45</v>
      </c>
      <c r="H1393">
        <v>24029</v>
      </c>
      <c r="I1393">
        <v>8</v>
      </c>
      <c r="J1393">
        <v>15</v>
      </c>
      <c r="K1393">
        <v>409</v>
      </c>
      <c r="L1393">
        <v>403</v>
      </c>
      <c r="M1393">
        <v>10.5</v>
      </c>
      <c r="N1393">
        <f>IFERROR(VLOOKUP(A1393,vlookup_table!$A:$G,2,FALSE),"")</f>
        <v>1</v>
      </c>
      <c r="O1393">
        <f>IFERROR(VLOOKUP(A1393,vlookup_table!$A:$G,4,FALSE),"")</f>
        <v>2001</v>
      </c>
      <c r="P1393" t="str">
        <f>IFERROR(VLOOKUP(A1393,vlookup_table!$A:$G,5,FALSE),"")</f>
        <v>C1</v>
      </c>
      <c r="Q1393">
        <f>IFERROR(VLOOKUP(A1393,vlookup_table!$A:$G,7,FALSE),"")</f>
        <v>12</v>
      </c>
      <c r="R1393">
        <f t="shared" si="84"/>
        <v>77</v>
      </c>
      <c r="S1393" t="str" cm="1">
        <f t="array" ref="S1393">IF(P1393="","",_xlfn.SWITCH(LEFT(P1393,1),"C","Ciudad","T","Pueblo","R","Rural","S","Suburbano","U","Urbano",""))</f>
        <v>Ciudad</v>
      </c>
      <c r="T1393" t="str">
        <f t="shared" si="85"/>
        <v>M</v>
      </c>
      <c r="U1393" t="str">
        <f t="shared" si="86"/>
        <v>CA</v>
      </c>
      <c r="V1393" t="str">
        <f t="shared" si="87"/>
        <v>24029</v>
      </c>
    </row>
    <row r="1394" spans="1:22" x14ac:dyDescent="0.35">
      <c r="A1394">
        <v>176890</v>
      </c>
      <c r="B1394" t="s">
        <v>50</v>
      </c>
      <c r="C1394" t="s">
        <v>17</v>
      </c>
      <c r="D1394">
        <v>470</v>
      </c>
      <c r="E1394">
        <v>305</v>
      </c>
      <c r="F1394">
        <v>355</v>
      </c>
      <c r="G1394">
        <v>1</v>
      </c>
      <c r="H1394">
        <v>11035</v>
      </c>
      <c r="I1394">
        <v>6</v>
      </c>
      <c r="J1394">
        <v>45</v>
      </c>
      <c r="K1394">
        <v>339</v>
      </c>
      <c r="L1394">
        <v>318</v>
      </c>
      <c r="M1394">
        <v>5.625</v>
      </c>
      <c r="N1394">
        <f>IFERROR(VLOOKUP(A1394,vlookup_table!$A:$G,2,FALSE),"")</f>
        <v>0</v>
      </c>
      <c r="O1394">
        <f>IFERROR(VLOOKUP(A1394,vlookup_table!$A:$G,4,FALSE),"")</f>
        <v>3001</v>
      </c>
      <c r="P1394" t="str">
        <f>IFERROR(VLOOKUP(A1394,vlookup_table!$A:$G,5,FALSE),"")</f>
        <v>T2</v>
      </c>
      <c r="Q1394">
        <f>IFERROR(VLOOKUP(A1394,vlookup_table!$A:$G,7,FALSE),"")</f>
        <v>8</v>
      </c>
      <c r="R1394">
        <f t="shared" si="84"/>
        <v>67</v>
      </c>
      <c r="S1394" t="str" cm="1">
        <f t="array" ref="S1394">IF(P1394="","",_xlfn.SWITCH(LEFT(P1394,1),"C","Ciudad","T","Pueblo","R","Rural","S","Suburbano","U","Urbano",""))</f>
        <v>Pueblo</v>
      </c>
      <c r="T1394" t="str">
        <f t="shared" si="85"/>
        <v>F</v>
      </c>
      <c r="U1394" t="str">
        <f t="shared" si="86"/>
        <v>OR</v>
      </c>
      <c r="V1394" t="str">
        <f t="shared" si="87"/>
        <v>11035</v>
      </c>
    </row>
    <row r="1395" spans="1:22" x14ac:dyDescent="0.35">
      <c r="A1395">
        <v>65181</v>
      </c>
      <c r="B1395" t="s">
        <v>29</v>
      </c>
      <c r="C1395" t="s">
        <v>14</v>
      </c>
      <c r="D1395">
        <v>626</v>
      </c>
      <c r="E1395">
        <v>356</v>
      </c>
      <c r="F1395">
        <v>440</v>
      </c>
      <c r="G1395">
        <v>2</v>
      </c>
      <c r="H1395">
        <v>16309</v>
      </c>
      <c r="I1395">
        <v>2</v>
      </c>
      <c r="J1395">
        <v>83</v>
      </c>
      <c r="K1395">
        <v>388</v>
      </c>
      <c r="L1395">
        <v>392</v>
      </c>
      <c r="M1395">
        <v>9.8000000000000007</v>
      </c>
      <c r="N1395">
        <f>IFERROR(VLOOKUP(A1395,vlookup_table!$A:$G,2,FALSE),"")</f>
        <v>2</v>
      </c>
      <c r="O1395">
        <f>IFERROR(VLOOKUP(A1395,vlookup_table!$A:$G,4,FALSE),"")</f>
        <v>3603</v>
      </c>
      <c r="P1395" t="str">
        <f>IFERROR(VLOOKUP(A1395,vlookup_table!$A:$G,5,FALSE),"")</f>
        <v>C2</v>
      </c>
      <c r="Q1395">
        <f>IFERROR(VLOOKUP(A1395,vlookup_table!$A:$G,7,FALSE),"")</f>
        <v>11</v>
      </c>
      <c r="R1395">
        <f t="shared" si="84"/>
        <v>61</v>
      </c>
      <c r="S1395" t="str" cm="1">
        <f t="array" ref="S1395">IF(P1395="","",_xlfn.SWITCH(LEFT(P1395,1),"C","Ciudad","T","Pueblo","R","Rural","S","Suburbano","U","Urbano",""))</f>
        <v>Ciudad</v>
      </c>
      <c r="T1395" t="str">
        <f t="shared" si="85"/>
        <v>M</v>
      </c>
      <c r="U1395" t="str">
        <f t="shared" si="86"/>
        <v>MI</v>
      </c>
      <c r="V1395" t="str">
        <f t="shared" si="87"/>
        <v>16309</v>
      </c>
    </row>
    <row r="1396" spans="1:22" x14ac:dyDescent="0.35">
      <c r="A1396">
        <v>181083</v>
      </c>
      <c r="B1396" t="s">
        <v>40</v>
      </c>
      <c r="C1396" t="s">
        <v>51</v>
      </c>
      <c r="D1396">
        <v>1521</v>
      </c>
      <c r="E1396">
        <v>412</v>
      </c>
      <c r="F1396">
        <v>543</v>
      </c>
      <c r="G1396">
        <v>33</v>
      </c>
      <c r="H1396">
        <v>19703</v>
      </c>
      <c r="I1396">
        <v>3</v>
      </c>
      <c r="J1396">
        <v>64</v>
      </c>
      <c r="K1396">
        <v>422</v>
      </c>
      <c r="L1396">
        <v>497</v>
      </c>
      <c r="M1396">
        <v>8.5714285710000002</v>
      </c>
      <c r="N1396">
        <f>IFERROR(VLOOKUP(A1396,vlookup_table!$A:$G,2,FALSE),"")</f>
        <v>1</v>
      </c>
      <c r="O1396">
        <f>IFERROR(VLOOKUP(A1396,vlookup_table!$A:$G,4,FALSE),"")</f>
        <v>5001</v>
      </c>
      <c r="P1396" t="str">
        <f>IFERROR(VLOOKUP(A1396,vlookup_table!$A:$G,5,FALSE),"")</f>
        <v>T2</v>
      </c>
      <c r="Q1396">
        <f>IFERROR(VLOOKUP(A1396,vlookup_table!$A:$G,7,FALSE),"")</f>
        <v>5</v>
      </c>
      <c r="R1396">
        <f t="shared" si="84"/>
        <v>47</v>
      </c>
      <c r="S1396" t="str" cm="1">
        <f t="array" ref="S1396">IF(P1396="","",_xlfn.SWITCH(LEFT(P1396,1),"C","Ciudad","T","Pueblo","R","Rural","S","Suburbano","U","Urbano",""))</f>
        <v>Pueblo</v>
      </c>
      <c r="T1396" t="str">
        <f t="shared" si="85"/>
        <v>M</v>
      </c>
      <c r="U1396" t="str">
        <f t="shared" si="86"/>
        <v>WA</v>
      </c>
      <c r="V1396" t="str">
        <f t="shared" si="87"/>
        <v>19703</v>
      </c>
    </row>
    <row r="1397" spans="1:22" x14ac:dyDescent="0.35">
      <c r="A1397">
        <v>175951</v>
      </c>
      <c r="B1397" t="s">
        <v>50</v>
      </c>
      <c r="C1397" t="s">
        <v>17</v>
      </c>
      <c r="D1397">
        <v>584</v>
      </c>
      <c r="E1397">
        <v>282</v>
      </c>
      <c r="F1397">
        <v>347</v>
      </c>
      <c r="G1397">
        <v>0</v>
      </c>
      <c r="H1397">
        <v>13789</v>
      </c>
      <c r="I1397">
        <v>7</v>
      </c>
      <c r="J1397">
        <v>51</v>
      </c>
      <c r="K1397">
        <v>314</v>
      </c>
      <c r="L1397">
        <v>318</v>
      </c>
      <c r="M1397">
        <v>10.4</v>
      </c>
      <c r="N1397">
        <f>IFERROR(VLOOKUP(A1397,vlookup_table!$A:$G,2,FALSE),"")</f>
        <v>2</v>
      </c>
      <c r="O1397">
        <f>IFERROR(VLOOKUP(A1397,vlookup_table!$A:$G,4,FALSE),"")</f>
        <v>4501</v>
      </c>
      <c r="P1397" t="str">
        <f>IFERROR(VLOOKUP(A1397,vlookup_table!$A:$G,5,FALSE),"")</f>
        <v>S2</v>
      </c>
      <c r="Q1397">
        <f>IFERROR(VLOOKUP(A1397,vlookup_table!$A:$G,7,FALSE),"")</f>
        <v>15</v>
      </c>
      <c r="R1397">
        <f t="shared" si="84"/>
        <v>52</v>
      </c>
      <c r="S1397" t="str" cm="1">
        <f t="array" ref="S1397">IF(P1397="","",_xlfn.SWITCH(LEFT(P1397,1),"C","Ciudad","T","Pueblo","R","Rural","S","Suburbano","U","Urbano",""))</f>
        <v>Suburbano</v>
      </c>
      <c r="T1397" t="str">
        <f t="shared" si="85"/>
        <v>F</v>
      </c>
      <c r="U1397" t="str">
        <f t="shared" si="86"/>
        <v>OR</v>
      </c>
      <c r="V1397" t="str">
        <f t="shared" si="87"/>
        <v>13789</v>
      </c>
    </row>
    <row r="1398" spans="1:22" x14ac:dyDescent="0.35">
      <c r="A1398">
        <v>20966</v>
      </c>
      <c r="B1398" t="s">
        <v>18</v>
      </c>
      <c r="C1398" t="s">
        <v>20</v>
      </c>
      <c r="D1398">
        <v>588</v>
      </c>
      <c r="E1398">
        <v>257</v>
      </c>
      <c r="F1398">
        <v>318</v>
      </c>
      <c r="G1398">
        <v>0</v>
      </c>
      <c r="H1398">
        <v>10225</v>
      </c>
      <c r="I1398">
        <v>2</v>
      </c>
      <c r="J1398">
        <v>56</v>
      </c>
      <c r="K1398">
        <v>288</v>
      </c>
      <c r="L1398">
        <v>285</v>
      </c>
      <c r="M1398">
        <v>19</v>
      </c>
      <c r="N1398">
        <f>IFERROR(VLOOKUP(A1398,vlookup_table!$A:$G,2,FALSE),"")</f>
        <v>28</v>
      </c>
      <c r="O1398">
        <f>IFERROR(VLOOKUP(A1398,vlookup_table!$A:$G,4,FALSE),"")</f>
        <v>4801</v>
      </c>
      <c r="P1398" t="str">
        <f>IFERROR(VLOOKUP(A1398,vlookup_table!$A:$G,5,FALSE),"")</f>
        <v>T2</v>
      </c>
      <c r="Q1398">
        <f>IFERROR(VLOOKUP(A1398,vlookup_table!$A:$G,7,FALSE),"")</f>
        <v>20</v>
      </c>
      <c r="R1398">
        <f t="shared" si="84"/>
        <v>49</v>
      </c>
      <c r="S1398" t="str" cm="1">
        <f t="array" ref="S1398">IF(P1398="","",_xlfn.SWITCH(LEFT(P1398,1),"C","Ciudad","T","Pueblo","R","Rural","S","Suburbano","U","Urbano",""))</f>
        <v>Pueblo</v>
      </c>
      <c r="T1398" t="str">
        <f t="shared" si="85"/>
        <v>F</v>
      </c>
      <c r="U1398" t="str">
        <f t="shared" si="86"/>
        <v>NC</v>
      </c>
      <c r="V1398" t="str">
        <f t="shared" si="87"/>
        <v>10225</v>
      </c>
    </row>
    <row r="1399" spans="1:22" x14ac:dyDescent="0.35">
      <c r="A1399">
        <v>91779</v>
      </c>
      <c r="B1399" t="s">
        <v>16</v>
      </c>
      <c r="C1399" t="s">
        <v>17</v>
      </c>
      <c r="D1399">
        <v>1063</v>
      </c>
      <c r="E1399">
        <v>294</v>
      </c>
      <c r="F1399">
        <v>434</v>
      </c>
      <c r="G1399">
        <v>0</v>
      </c>
      <c r="H1399">
        <v>18383</v>
      </c>
      <c r="I1399">
        <v>5</v>
      </c>
      <c r="J1399">
        <v>79</v>
      </c>
      <c r="K1399">
        <v>360</v>
      </c>
      <c r="L1399">
        <v>354</v>
      </c>
      <c r="M1399">
        <v>20</v>
      </c>
      <c r="N1399">
        <f>IFERROR(VLOOKUP(A1399,vlookup_table!$A:$G,2,FALSE),"")</f>
        <v>0</v>
      </c>
      <c r="O1399">
        <f>IFERROR(VLOOKUP(A1399,vlookup_table!$A:$G,4,FALSE),"")</f>
        <v>6001</v>
      </c>
      <c r="P1399" t="str">
        <f>IFERROR(VLOOKUP(A1399,vlookup_table!$A:$G,5,FALSE),"")</f>
        <v>C2</v>
      </c>
      <c r="Q1399">
        <f>IFERROR(VLOOKUP(A1399,vlookup_table!$A:$G,7,FALSE),"")</f>
        <v>20</v>
      </c>
      <c r="R1399">
        <f t="shared" si="84"/>
        <v>37</v>
      </c>
      <c r="S1399" t="str" cm="1">
        <f t="array" ref="S1399">IF(P1399="","",_xlfn.SWITCH(LEFT(P1399,1),"C","Ciudad","T","Pueblo","R","Rural","S","Suburbano","U","Urbano",""))</f>
        <v>Ciudad</v>
      </c>
      <c r="T1399" t="str">
        <f t="shared" si="85"/>
        <v>F</v>
      </c>
      <c r="U1399" t="str">
        <f t="shared" si="86"/>
        <v>IL</v>
      </c>
      <c r="V1399" t="str">
        <f t="shared" si="87"/>
        <v>18383</v>
      </c>
    </row>
    <row r="1400" spans="1:22" x14ac:dyDescent="0.35">
      <c r="A1400">
        <v>98099</v>
      </c>
      <c r="B1400" t="s">
        <v>16</v>
      </c>
      <c r="C1400" t="s">
        <v>17</v>
      </c>
      <c r="D1400">
        <v>588</v>
      </c>
      <c r="E1400">
        <v>272</v>
      </c>
      <c r="F1400">
        <v>387</v>
      </c>
      <c r="G1400">
        <v>2</v>
      </c>
      <c r="H1400">
        <v>13570</v>
      </c>
      <c r="I1400">
        <v>1</v>
      </c>
      <c r="J1400">
        <v>85</v>
      </c>
      <c r="K1400">
        <v>345</v>
      </c>
      <c r="L1400">
        <v>331</v>
      </c>
      <c r="M1400">
        <v>13.33333333</v>
      </c>
      <c r="N1400">
        <f>IFERROR(VLOOKUP(A1400,vlookup_table!$A:$G,2,FALSE),"")</f>
        <v>0</v>
      </c>
      <c r="O1400">
        <f>IFERROR(VLOOKUP(A1400,vlookup_table!$A:$G,4,FALSE),"")</f>
        <v>6601</v>
      </c>
      <c r="P1400" t="str">
        <f>IFERROR(VLOOKUP(A1400,vlookup_table!$A:$G,5,FALSE),"")</f>
        <v>R2</v>
      </c>
      <c r="Q1400">
        <f>IFERROR(VLOOKUP(A1400,vlookup_table!$A:$G,7,FALSE),"")</f>
        <v>21</v>
      </c>
      <c r="R1400">
        <f t="shared" si="84"/>
        <v>31</v>
      </c>
      <c r="S1400" t="str" cm="1">
        <f t="array" ref="S1400">IF(P1400="","",_xlfn.SWITCH(LEFT(P1400,1),"C","Ciudad","T","Pueblo","R","Rural","S","Suburbano","U","Urbano",""))</f>
        <v>Rural</v>
      </c>
      <c r="T1400" t="str">
        <f t="shared" si="85"/>
        <v>F</v>
      </c>
      <c r="U1400" t="str">
        <f t="shared" si="86"/>
        <v>IL</v>
      </c>
      <c r="V1400" t="str">
        <f t="shared" si="87"/>
        <v>13570</v>
      </c>
    </row>
    <row r="1401" spans="1:22" x14ac:dyDescent="0.35">
      <c r="A1401">
        <v>32485</v>
      </c>
      <c r="B1401" t="s">
        <v>13</v>
      </c>
      <c r="C1401" t="s">
        <v>17</v>
      </c>
      <c r="D1401">
        <v>663</v>
      </c>
      <c r="E1401">
        <v>293</v>
      </c>
      <c r="F1401">
        <v>340</v>
      </c>
      <c r="G1401">
        <v>3</v>
      </c>
      <c r="H1401">
        <v>12675</v>
      </c>
      <c r="I1401">
        <v>3</v>
      </c>
      <c r="J1401">
        <v>24</v>
      </c>
      <c r="K1401">
        <v>315</v>
      </c>
      <c r="L1401">
        <v>305</v>
      </c>
      <c r="M1401">
        <v>11.66666667</v>
      </c>
      <c r="N1401">
        <f>IFERROR(VLOOKUP(A1401,vlookup_table!$A:$G,2,FALSE),"")</f>
        <v>0</v>
      </c>
      <c r="O1401">
        <f>IFERROR(VLOOKUP(A1401,vlookup_table!$A:$G,4,FALSE),"")</f>
        <v>3601</v>
      </c>
      <c r="P1401" t="str">
        <f>IFERROR(VLOOKUP(A1401,vlookup_table!$A:$G,5,FALSE),"")</f>
        <v>T2</v>
      </c>
      <c r="Q1401">
        <f>IFERROR(VLOOKUP(A1401,vlookup_table!$A:$G,7,FALSE),"")</f>
        <v>37</v>
      </c>
      <c r="R1401">
        <f t="shared" si="84"/>
        <v>61</v>
      </c>
      <c r="S1401" t="str" cm="1">
        <f t="array" ref="S1401">IF(P1401="","",_xlfn.SWITCH(LEFT(P1401,1),"C","Ciudad","T","Pueblo","R","Rural","S","Suburbano","U","Urbano",""))</f>
        <v>Pueblo</v>
      </c>
      <c r="T1401" t="str">
        <f t="shared" si="85"/>
        <v>F</v>
      </c>
      <c r="U1401" t="str">
        <f t="shared" si="86"/>
        <v>FL</v>
      </c>
      <c r="V1401" t="str">
        <f t="shared" si="87"/>
        <v>12675</v>
      </c>
    </row>
    <row r="1402" spans="1:22" x14ac:dyDescent="0.35">
      <c r="A1402">
        <v>111284</v>
      </c>
      <c r="B1402" t="s">
        <v>32</v>
      </c>
      <c r="C1402" t="s">
        <v>60</v>
      </c>
      <c r="D1402">
        <v>582</v>
      </c>
      <c r="E1402">
        <v>292</v>
      </c>
      <c r="F1402">
        <v>340</v>
      </c>
      <c r="G1402">
        <v>0</v>
      </c>
      <c r="H1402">
        <v>10930</v>
      </c>
      <c r="I1402">
        <v>1</v>
      </c>
      <c r="J1402">
        <v>61</v>
      </c>
      <c r="K1402">
        <v>308</v>
      </c>
      <c r="L1402">
        <v>323</v>
      </c>
      <c r="M1402">
        <v>4.2727272730000001</v>
      </c>
      <c r="N1402">
        <f>IFERROR(VLOOKUP(A1402,vlookup_table!$A:$G,2,FALSE),"")</f>
        <v>2</v>
      </c>
      <c r="O1402">
        <f>IFERROR(VLOOKUP(A1402,vlookup_table!$A:$G,4,FALSE),"")</f>
        <v>3801</v>
      </c>
      <c r="P1402" t="str">
        <f>IFERROR(VLOOKUP(A1402,vlookup_table!$A:$G,5,FALSE),"")</f>
        <v>T2</v>
      </c>
      <c r="Q1402">
        <f>IFERROR(VLOOKUP(A1402,vlookup_table!$A:$G,7,FALSE),"")</f>
        <v>5</v>
      </c>
      <c r="R1402">
        <f t="shared" si="84"/>
        <v>59</v>
      </c>
      <c r="S1402" t="str" cm="1">
        <f t="array" ref="S1402">IF(P1402="","",_xlfn.SWITCH(LEFT(P1402,1),"C","Ciudad","T","Pueblo","R","Rural","S","Suburbano","U","Urbano",""))</f>
        <v>Pueblo</v>
      </c>
      <c r="T1402" t="str">
        <f t="shared" si="85"/>
        <v>F</v>
      </c>
      <c r="U1402" t="str">
        <f t="shared" si="86"/>
        <v>AR</v>
      </c>
      <c r="V1402" t="str">
        <f t="shared" si="87"/>
        <v>10930</v>
      </c>
    </row>
    <row r="1403" spans="1:22" x14ac:dyDescent="0.35">
      <c r="A1403">
        <v>15651</v>
      </c>
      <c r="B1403" t="s">
        <v>18</v>
      </c>
      <c r="C1403" t="s">
        <v>20</v>
      </c>
      <c r="D1403">
        <v>1497</v>
      </c>
      <c r="E1403">
        <v>581</v>
      </c>
      <c r="F1403">
        <v>762</v>
      </c>
      <c r="G1403">
        <v>21</v>
      </c>
      <c r="H1403">
        <v>30594</v>
      </c>
      <c r="I1403">
        <v>1</v>
      </c>
      <c r="J1403">
        <v>76</v>
      </c>
      <c r="K1403">
        <v>678</v>
      </c>
      <c r="L1403">
        <v>667</v>
      </c>
      <c r="M1403">
        <v>6.9285714289999998</v>
      </c>
      <c r="N1403">
        <f>IFERROR(VLOOKUP(A1403,vlookup_table!$A:$G,2,FALSE),"")</f>
        <v>0</v>
      </c>
      <c r="O1403">
        <f>IFERROR(VLOOKUP(A1403,vlookup_table!$A:$G,4,FALSE),"")</f>
        <v>5501</v>
      </c>
      <c r="P1403" t="str">
        <f>IFERROR(VLOOKUP(A1403,vlookup_table!$A:$G,5,FALSE),"")</f>
        <v>C1</v>
      </c>
      <c r="Q1403">
        <f>IFERROR(VLOOKUP(A1403,vlookup_table!$A:$G,7,FALSE),"")</f>
        <v>10</v>
      </c>
      <c r="R1403">
        <f t="shared" si="84"/>
        <v>42</v>
      </c>
      <c r="S1403" t="str" cm="1">
        <f t="array" ref="S1403">IF(P1403="","",_xlfn.SWITCH(LEFT(P1403,1),"C","Ciudad","T","Pueblo","R","Rural","S","Suburbano","U","Urbano",""))</f>
        <v>Ciudad</v>
      </c>
      <c r="T1403" t="str">
        <f t="shared" si="85"/>
        <v>F</v>
      </c>
      <c r="U1403" t="str">
        <f t="shared" si="86"/>
        <v>NC</v>
      </c>
      <c r="V1403" t="str">
        <f t="shared" si="87"/>
        <v>30594</v>
      </c>
    </row>
    <row r="1404" spans="1:22" x14ac:dyDescent="0.35">
      <c r="A1404">
        <v>96220</v>
      </c>
      <c r="B1404" t="s">
        <v>16</v>
      </c>
      <c r="C1404" t="s">
        <v>17</v>
      </c>
      <c r="D1404">
        <v>281</v>
      </c>
      <c r="E1404">
        <v>280</v>
      </c>
      <c r="F1404">
        <v>342</v>
      </c>
      <c r="G1404">
        <v>0</v>
      </c>
      <c r="H1404">
        <v>10874</v>
      </c>
      <c r="I1404">
        <v>0</v>
      </c>
      <c r="J1404">
        <v>83</v>
      </c>
      <c r="K1404">
        <v>314</v>
      </c>
      <c r="L1404">
        <v>274</v>
      </c>
      <c r="M1404">
        <v>7.7142857139999998</v>
      </c>
      <c r="N1404">
        <f>IFERROR(VLOOKUP(A1404,vlookup_table!$A:$G,2,FALSE),"")</f>
        <v>0</v>
      </c>
      <c r="O1404">
        <f>IFERROR(VLOOKUP(A1404,vlookup_table!$A:$G,4,FALSE),"")</f>
        <v>3503</v>
      </c>
      <c r="P1404" t="str">
        <f>IFERROR(VLOOKUP(A1404,vlookup_table!$A:$G,5,FALSE),"")</f>
        <v>R2</v>
      </c>
      <c r="Q1404">
        <f>IFERROR(VLOOKUP(A1404,vlookup_table!$A:$G,7,FALSE),"")</f>
        <v>14</v>
      </c>
      <c r="R1404">
        <f t="shared" si="84"/>
        <v>62</v>
      </c>
      <c r="S1404" t="str" cm="1">
        <f t="array" ref="S1404">IF(P1404="","",_xlfn.SWITCH(LEFT(P1404,1),"C","Ciudad","T","Pueblo","R","Rural","S","Suburbano","U","Urbano",""))</f>
        <v>Rural</v>
      </c>
      <c r="T1404" t="str">
        <f t="shared" si="85"/>
        <v>F</v>
      </c>
      <c r="U1404" t="str">
        <f t="shared" si="86"/>
        <v>IL</v>
      </c>
      <c r="V1404" t="str">
        <f t="shared" si="87"/>
        <v>10874</v>
      </c>
    </row>
    <row r="1405" spans="1:22" x14ac:dyDescent="0.35">
      <c r="A1405">
        <v>73221</v>
      </c>
      <c r="B1405" t="s">
        <v>29</v>
      </c>
      <c r="C1405" t="s">
        <v>14</v>
      </c>
      <c r="D1405">
        <v>784</v>
      </c>
      <c r="E1405">
        <v>289</v>
      </c>
      <c r="F1405">
        <v>400</v>
      </c>
      <c r="G1405">
        <v>2</v>
      </c>
      <c r="H1405">
        <v>12840</v>
      </c>
      <c r="I1405">
        <v>5</v>
      </c>
      <c r="J1405">
        <v>67</v>
      </c>
      <c r="K1405">
        <v>378</v>
      </c>
      <c r="L1405">
        <v>332</v>
      </c>
      <c r="M1405">
        <v>11</v>
      </c>
      <c r="N1405">
        <f>IFERROR(VLOOKUP(A1405,vlookup_table!$A:$G,2,FALSE),"")</f>
        <v>2</v>
      </c>
      <c r="O1405">
        <f>IFERROR(VLOOKUP(A1405,vlookup_table!$A:$G,4,FALSE),"")</f>
        <v>0</v>
      </c>
      <c r="P1405" t="str">
        <f>IFERROR(VLOOKUP(A1405,vlookup_table!$A:$G,5,FALSE),"")</f>
        <v>C2</v>
      </c>
      <c r="Q1405">
        <f>IFERROR(VLOOKUP(A1405,vlookup_table!$A:$G,7,FALSE),"")</f>
        <v>10</v>
      </c>
      <c r="R1405">
        <f t="shared" si="84"/>
        <v>97</v>
      </c>
      <c r="S1405" t="str" cm="1">
        <f t="array" ref="S1405">IF(P1405="","",_xlfn.SWITCH(LEFT(P1405,1),"C","Ciudad","T","Pueblo","R","Rural","S","Suburbano","U","Urbano",""))</f>
        <v>Ciudad</v>
      </c>
      <c r="T1405" t="str">
        <f t="shared" si="85"/>
        <v>M</v>
      </c>
      <c r="U1405" t="str">
        <f t="shared" si="86"/>
        <v>MI</v>
      </c>
      <c r="V1405" t="str">
        <f t="shared" si="87"/>
        <v>12840</v>
      </c>
    </row>
    <row r="1406" spans="1:22" x14ac:dyDescent="0.35">
      <c r="A1406">
        <v>170143</v>
      </c>
      <c r="B1406" t="s">
        <v>22</v>
      </c>
      <c r="C1406" t="s">
        <v>17</v>
      </c>
      <c r="D1406">
        <v>1722</v>
      </c>
      <c r="E1406">
        <v>404</v>
      </c>
      <c r="F1406">
        <v>433</v>
      </c>
      <c r="G1406">
        <v>39</v>
      </c>
      <c r="H1406">
        <v>13454</v>
      </c>
      <c r="I1406">
        <v>13</v>
      </c>
      <c r="J1406">
        <v>59</v>
      </c>
      <c r="K1406">
        <v>420</v>
      </c>
      <c r="L1406">
        <v>411</v>
      </c>
      <c r="M1406">
        <v>4.5714285710000002</v>
      </c>
      <c r="N1406">
        <f>IFERROR(VLOOKUP(A1406,vlookup_table!$A:$G,2,FALSE),"")</f>
        <v>2</v>
      </c>
      <c r="O1406">
        <f>IFERROR(VLOOKUP(A1406,vlookup_table!$A:$G,4,FALSE),"")</f>
        <v>905</v>
      </c>
      <c r="P1406" t="str">
        <f>IFERROR(VLOOKUP(A1406,vlookup_table!$A:$G,5,FALSE),"")</f>
        <v>T2</v>
      </c>
      <c r="Q1406">
        <f>IFERROR(VLOOKUP(A1406,vlookup_table!$A:$G,7,FALSE),"")</f>
        <v>5</v>
      </c>
      <c r="R1406">
        <f t="shared" si="84"/>
        <v>88</v>
      </c>
      <c r="S1406" t="str" cm="1">
        <f t="array" ref="S1406">IF(P1406="","",_xlfn.SWITCH(LEFT(P1406,1),"C","Ciudad","T","Pueblo","R","Rural","S","Suburbano","U","Urbano",""))</f>
        <v>Pueblo</v>
      </c>
      <c r="T1406" t="str">
        <f t="shared" si="85"/>
        <v>F</v>
      </c>
      <c r="U1406" t="str">
        <f t="shared" si="86"/>
        <v>CA</v>
      </c>
      <c r="V1406" t="str">
        <f t="shared" si="87"/>
        <v>13454</v>
      </c>
    </row>
    <row r="1407" spans="1:22" x14ac:dyDescent="0.35">
      <c r="A1407">
        <v>43884</v>
      </c>
      <c r="B1407" t="s">
        <v>13</v>
      </c>
      <c r="C1407" t="s">
        <v>14</v>
      </c>
      <c r="D1407">
        <v>645</v>
      </c>
      <c r="E1407">
        <v>226</v>
      </c>
      <c r="F1407">
        <v>284</v>
      </c>
      <c r="G1407">
        <v>1</v>
      </c>
      <c r="H1407">
        <v>13007</v>
      </c>
      <c r="I1407">
        <v>6</v>
      </c>
      <c r="J1407">
        <v>7</v>
      </c>
      <c r="K1407">
        <v>249</v>
      </c>
      <c r="L1407">
        <v>257</v>
      </c>
      <c r="M1407">
        <v>5.2857142860000002</v>
      </c>
      <c r="N1407">
        <f>IFERROR(VLOOKUP(A1407,vlookup_table!$A:$G,2,FALSE),"")</f>
        <v>1</v>
      </c>
      <c r="O1407">
        <f>IFERROR(VLOOKUP(A1407,vlookup_table!$A:$G,4,FALSE),"")</f>
        <v>3202</v>
      </c>
      <c r="P1407" t="str">
        <f>IFERROR(VLOOKUP(A1407,vlookup_table!$A:$G,5,FALSE),"")</f>
        <v>C3</v>
      </c>
      <c r="Q1407">
        <f>IFERROR(VLOOKUP(A1407,vlookup_table!$A:$G,7,FALSE),"")</f>
        <v>5</v>
      </c>
      <c r="R1407">
        <f t="shared" si="84"/>
        <v>65</v>
      </c>
      <c r="S1407" t="str" cm="1">
        <f t="array" ref="S1407">IF(P1407="","",_xlfn.SWITCH(LEFT(P1407,1),"C","Ciudad","T","Pueblo","R","Rural","S","Suburbano","U","Urbano",""))</f>
        <v>Ciudad</v>
      </c>
      <c r="T1407" t="str">
        <f t="shared" si="85"/>
        <v>M</v>
      </c>
      <c r="U1407" t="str">
        <f t="shared" si="86"/>
        <v>FL</v>
      </c>
      <c r="V1407" t="str">
        <f t="shared" si="87"/>
        <v>13007</v>
      </c>
    </row>
    <row r="1408" spans="1:22" x14ac:dyDescent="0.35">
      <c r="A1408">
        <v>61338</v>
      </c>
      <c r="B1408" t="s">
        <v>33</v>
      </c>
      <c r="C1408" t="s">
        <v>14</v>
      </c>
      <c r="D1408">
        <v>544</v>
      </c>
      <c r="E1408">
        <v>330</v>
      </c>
      <c r="F1408">
        <v>433</v>
      </c>
      <c r="G1408">
        <v>0</v>
      </c>
      <c r="H1408">
        <v>14398</v>
      </c>
      <c r="I1408">
        <v>5</v>
      </c>
      <c r="J1408">
        <v>68</v>
      </c>
      <c r="K1408">
        <v>403</v>
      </c>
      <c r="L1408">
        <v>360</v>
      </c>
      <c r="M1408">
        <v>5.1333333330000004</v>
      </c>
      <c r="N1408">
        <f>IFERROR(VLOOKUP(A1408,vlookup_table!$A:$G,2,FALSE),"")</f>
        <v>1</v>
      </c>
      <c r="O1408">
        <f>IFERROR(VLOOKUP(A1408,vlookup_table!$A:$G,4,FALSE),"")</f>
        <v>5701</v>
      </c>
      <c r="P1408" t="str">
        <f>IFERROR(VLOOKUP(A1408,vlookup_table!$A:$G,5,FALSE),"")</f>
        <v>S2</v>
      </c>
      <c r="Q1408">
        <f>IFERROR(VLOOKUP(A1408,vlookup_table!$A:$G,7,FALSE),"")</f>
        <v>5</v>
      </c>
      <c r="R1408">
        <f t="shared" si="84"/>
        <v>40</v>
      </c>
      <c r="S1408" t="str" cm="1">
        <f t="array" ref="S1408">IF(P1408="","",_xlfn.SWITCH(LEFT(P1408,1),"C","Ciudad","T","Pueblo","R","Rural","S","Suburbano","U","Urbano",""))</f>
        <v>Suburbano</v>
      </c>
      <c r="T1408" t="str">
        <f t="shared" si="85"/>
        <v>M</v>
      </c>
      <c r="U1408" t="str">
        <f t="shared" si="86"/>
        <v>IN</v>
      </c>
      <c r="V1408" t="str">
        <f t="shared" si="87"/>
        <v>14398</v>
      </c>
    </row>
    <row r="1409" spans="1:22" x14ac:dyDescent="0.35">
      <c r="A1409">
        <v>82636</v>
      </c>
      <c r="B1409" t="s">
        <v>56</v>
      </c>
      <c r="C1409" t="s">
        <v>17</v>
      </c>
      <c r="D1409">
        <v>896</v>
      </c>
      <c r="E1409">
        <v>291</v>
      </c>
      <c r="F1409">
        <v>438</v>
      </c>
      <c r="G1409">
        <v>6</v>
      </c>
      <c r="H1409">
        <v>17357</v>
      </c>
      <c r="I1409">
        <v>2</v>
      </c>
      <c r="J1409">
        <v>70</v>
      </c>
      <c r="K1409">
        <v>335</v>
      </c>
      <c r="L1409">
        <v>340</v>
      </c>
      <c r="M1409">
        <v>8.6</v>
      </c>
      <c r="N1409">
        <f>IFERROR(VLOOKUP(A1409,vlookup_table!$A:$G,2,FALSE),"")</f>
        <v>0</v>
      </c>
      <c r="O1409">
        <f>IFERROR(VLOOKUP(A1409,vlookup_table!$A:$G,4,FALSE),"")</f>
        <v>4101</v>
      </c>
      <c r="P1409" t="str">
        <f>IFERROR(VLOOKUP(A1409,vlookup_table!$A:$G,5,FALSE),"")</f>
        <v>C1</v>
      </c>
      <c r="Q1409">
        <f>IFERROR(VLOOKUP(A1409,vlookup_table!$A:$G,7,FALSE),"")</f>
        <v>15</v>
      </c>
      <c r="R1409">
        <f t="shared" si="84"/>
        <v>56</v>
      </c>
      <c r="S1409" t="str" cm="1">
        <f t="array" ref="S1409">IF(P1409="","",_xlfn.SWITCH(LEFT(P1409,1),"C","Ciudad","T","Pueblo","R","Rural","S","Suburbano","U","Urbano",""))</f>
        <v>Ciudad</v>
      </c>
      <c r="T1409" t="str">
        <f t="shared" si="85"/>
        <v>F</v>
      </c>
      <c r="U1409" t="str">
        <f t="shared" si="86"/>
        <v>MN</v>
      </c>
      <c r="V1409" t="str">
        <f t="shared" si="87"/>
        <v>17357</v>
      </c>
    </row>
    <row r="1410" spans="1:22" x14ac:dyDescent="0.35">
      <c r="A1410">
        <v>190730</v>
      </c>
      <c r="B1410" t="s">
        <v>24</v>
      </c>
      <c r="C1410" t="s">
        <v>14</v>
      </c>
      <c r="D1410">
        <v>398</v>
      </c>
      <c r="E1410">
        <v>248</v>
      </c>
      <c r="F1410">
        <v>337</v>
      </c>
      <c r="G1410">
        <v>0</v>
      </c>
      <c r="H1410">
        <v>11618</v>
      </c>
      <c r="I1410">
        <v>3</v>
      </c>
      <c r="J1410">
        <v>39</v>
      </c>
      <c r="K1410">
        <v>303</v>
      </c>
      <c r="L1410">
        <v>292</v>
      </c>
      <c r="M1410">
        <v>8.4499999999999993</v>
      </c>
      <c r="N1410">
        <f>IFERROR(VLOOKUP(A1410,vlookup_table!$A:$G,2,FALSE),"")</f>
        <v>2</v>
      </c>
      <c r="O1410">
        <f>IFERROR(VLOOKUP(A1410,vlookup_table!$A:$G,4,FALSE),"")</f>
        <v>1407</v>
      </c>
      <c r="P1410">
        <f>IFERROR(VLOOKUP(A1410,vlookup_table!$A:$G,5,FALSE),"")</f>
        <v>0</v>
      </c>
      <c r="Q1410">
        <f>IFERROR(VLOOKUP(A1410,vlookup_table!$A:$G,7,FALSE),"")</f>
        <v>14</v>
      </c>
      <c r="R1410">
        <f t="shared" ref="R1410:R1473" si="88">IF(O1410="","",97-INT(O1410/100))</f>
        <v>83</v>
      </c>
      <c r="S1410" t="str" cm="1">
        <f t="array" ref="S1410">IF(P1410="","",_xlfn.SWITCH(LEFT(P1410,1),"C","Ciudad","T","Pueblo","R","Rural","S","Suburbano","U","Urbano",""))</f>
        <v/>
      </c>
      <c r="T1410" t="str">
        <f t="shared" ref="T1410:T1473" si="89">IF(C1410="","",IF(OR(UPPER(C1410)="M",UPPER(C1410)="MALE"),"M",IF(OR(UPPER(C1410)="F",UPPER(C1410)="FEMALE",UPPER(C1410)="FEAMALE"),"F",C1410)))</f>
        <v>M</v>
      </c>
      <c r="U1410" t="str">
        <f t="shared" ref="U1410:U1473" si="90">IF(OR(UPPER(B1410)="CALIFORNIA",UPPER(B1410)="CALI"),"CA",B1410)</f>
        <v>NV</v>
      </c>
      <c r="V1410" t="str">
        <f t="shared" ref="V1410:V1473" si="91">SUBSTITUTE(H1410,"@","")</f>
        <v>11618</v>
      </c>
    </row>
    <row r="1411" spans="1:22" x14ac:dyDescent="0.35">
      <c r="A1411">
        <v>121071</v>
      </c>
      <c r="B1411" t="s">
        <v>21</v>
      </c>
      <c r="C1411" t="s">
        <v>17</v>
      </c>
      <c r="D1411">
        <v>900</v>
      </c>
      <c r="E1411">
        <v>273</v>
      </c>
      <c r="F1411">
        <v>455</v>
      </c>
      <c r="G1411">
        <v>3</v>
      </c>
      <c r="H1411">
        <v>19298</v>
      </c>
      <c r="I1411">
        <v>15</v>
      </c>
      <c r="J1411">
        <v>43</v>
      </c>
      <c r="K1411">
        <v>337</v>
      </c>
      <c r="L1411">
        <v>336</v>
      </c>
      <c r="M1411">
        <v>13.6</v>
      </c>
      <c r="N1411">
        <f>IFERROR(VLOOKUP(A1411,vlookup_table!$A:$G,2,FALSE),"")</f>
        <v>28</v>
      </c>
      <c r="O1411">
        <f>IFERROR(VLOOKUP(A1411,vlookup_table!$A:$G,4,FALSE),"")</f>
        <v>4912</v>
      </c>
      <c r="P1411" t="str">
        <f>IFERROR(VLOOKUP(A1411,vlookup_table!$A:$G,5,FALSE),"")</f>
        <v>U1</v>
      </c>
      <c r="Q1411">
        <f>IFERROR(VLOOKUP(A1411,vlookup_table!$A:$G,7,FALSE),"")</f>
        <v>15</v>
      </c>
      <c r="R1411">
        <f t="shared" si="88"/>
        <v>48</v>
      </c>
      <c r="S1411" t="str" cm="1">
        <f t="array" ref="S1411">IF(P1411="","",_xlfn.SWITCH(LEFT(P1411,1),"C","Ciudad","T","Pueblo","R","Rural","S","Suburbano","U","Urbano",""))</f>
        <v>Urbano</v>
      </c>
      <c r="T1411" t="str">
        <f t="shared" si="89"/>
        <v>F</v>
      </c>
      <c r="U1411" t="str">
        <f t="shared" si="90"/>
        <v>TX</v>
      </c>
      <c r="V1411" t="str">
        <f t="shared" si="91"/>
        <v>19298</v>
      </c>
    </row>
    <row r="1412" spans="1:22" x14ac:dyDescent="0.35">
      <c r="A1412">
        <v>94386</v>
      </c>
      <c r="B1412" t="s">
        <v>16</v>
      </c>
      <c r="C1412" t="s">
        <v>14</v>
      </c>
      <c r="D1412">
        <v>1421</v>
      </c>
      <c r="E1412">
        <v>435</v>
      </c>
      <c r="F1412">
        <v>662</v>
      </c>
      <c r="G1412">
        <v>24</v>
      </c>
      <c r="H1412">
        <v>18555</v>
      </c>
      <c r="I1412">
        <v>6</v>
      </c>
      <c r="J1412">
        <v>81</v>
      </c>
      <c r="K1412">
        <v>604</v>
      </c>
      <c r="L1412">
        <v>534</v>
      </c>
      <c r="M1412">
        <v>5.7142857139999998</v>
      </c>
      <c r="N1412">
        <f>IFERROR(VLOOKUP(A1412,vlookup_table!$A:$G,2,FALSE),"")</f>
        <v>1</v>
      </c>
      <c r="O1412">
        <f>IFERROR(VLOOKUP(A1412,vlookup_table!$A:$G,4,FALSE),"")</f>
        <v>3301</v>
      </c>
      <c r="P1412" t="str">
        <f>IFERROR(VLOOKUP(A1412,vlookup_table!$A:$G,5,FALSE),"")</f>
        <v>U1</v>
      </c>
      <c r="Q1412">
        <f>IFERROR(VLOOKUP(A1412,vlookup_table!$A:$G,7,FALSE),"")</f>
        <v>6</v>
      </c>
      <c r="R1412">
        <f t="shared" si="88"/>
        <v>64</v>
      </c>
      <c r="S1412" t="str" cm="1">
        <f t="array" ref="S1412">IF(P1412="","",_xlfn.SWITCH(LEFT(P1412,1),"C","Ciudad","T","Pueblo","R","Rural","S","Suburbano","U","Urbano",""))</f>
        <v>Urbano</v>
      </c>
      <c r="T1412" t="str">
        <f t="shared" si="89"/>
        <v>M</v>
      </c>
      <c r="U1412" t="str">
        <f t="shared" si="90"/>
        <v>IL</v>
      </c>
      <c r="V1412" t="str">
        <f t="shared" si="91"/>
        <v>18555</v>
      </c>
    </row>
    <row r="1413" spans="1:22" x14ac:dyDescent="0.35">
      <c r="A1413">
        <v>31094</v>
      </c>
      <c r="B1413" t="s">
        <v>39</v>
      </c>
      <c r="C1413" t="s">
        <v>17</v>
      </c>
      <c r="D1413">
        <v>405</v>
      </c>
      <c r="E1413">
        <v>166</v>
      </c>
      <c r="F1413">
        <v>254</v>
      </c>
      <c r="G1413">
        <v>0</v>
      </c>
      <c r="H1413">
        <v>7997</v>
      </c>
      <c r="I1413">
        <v>1</v>
      </c>
      <c r="J1413">
        <v>81</v>
      </c>
      <c r="K1413">
        <v>208</v>
      </c>
      <c r="L1413">
        <v>215</v>
      </c>
      <c r="M1413">
        <v>6.6666666670000003</v>
      </c>
      <c r="N1413">
        <f>IFERROR(VLOOKUP(A1413,vlookup_table!$A:$G,2,FALSE),"")</f>
        <v>0</v>
      </c>
      <c r="O1413">
        <f>IFERROR(VLOOKUP(A1413,vlookup_table!$A:$G,4,FALSE),"")</f>
        <v>2801</v>
      </c>
      <c r="P1413" t="str">
        <f>IFERROR(VLOOKUP(A1413,vlookup_table!$A:$G,5,FALSE),"")</f>
        <v>R3</v>
      </c>
      <c r="Q1413">
        <f>IFERROR(VLOOKUP(A1413,vlookup_table!$A:$G,7,FALSE),"")</f>
        <v>5</v>
      </c>
      <c r="R1413">
        <f t="shared" si="88"/>
        <v>69</v>
      </c>
      <c r="S1413" t="str" cm="1">
        <f t="array" ref="S1413">IF(P1413="","",_xlfn.SWITCH(LEFT(P1413,1),"C","Ciudad","T","Pueblo","R","Rural","S","Suburbano","U","Urbano",""))</f>
        <v>Rural</v>
      </c>
      <c r="T1413" t="str">
        <f t="shared" si="89"/>
        <v>F</v>
      </c>
      <c r="U1413" t="str">
        <f t="shared" si="90"/>
        <v>GA</v>
      </c>
      <c r="V1413" t="str">
        <f t="shared" si="91"/>
        <v>7997</v>
      </c>
    </row>
    <row r="1414" spans="1:22" x14ac:dyDescent="0.35">
      <c r="A1414">
        <v>58463</v>
      </c>
      <c r="B1414" t="s">
        <v>57</v>
      </c>
      <c r="C1414" t="s">
        <v>14</v>
      </c>
      <c r="D1414">
        <v>297</v>
      </c>
      <c r="E1414">
        <v>176</v>
      </c>
      <c r="F1414">
        <v>187</v>
      </c>
      <c r="G1414">
        <v>0</v>
      </c>
      <c r="H1414">
        <v>5972</v>
      </c>
      <c r="I1414">
        <v>0</v>
      </c>
      <c r="J1414">
        <v>72</v>
      </c>
      <c r="K1414">
        <v>178</v>
      </c>
      <c r="L1414">
        <v>185</v>
      </c>
      <c r="M1414">
        <v>21</v>
      </c>
      <c r="N1414">
        <f>IFERROR(VLOOKUP(A1414,vlookup_table!$A:$G,2,FALSE),"")</f>
        <v>2</v>
      </c>
      <c r="O1414">
        <f>IFERROR(VLOOKUP(A1414,vlookup_table!$A:$G,4,FALSE),"")</f>
        <v>1605</v>
      </c>
      <c r="P1414" t="str">
        <f>IFERROR(VLOOKUP(A1414,vlookup_table!$A:$G,5,FALSE),"")</f>
        <v>R3</v>
      </c>
      <c r="Q1414">
        <f>IFERROR(VLOOKUP(A1414,vlookup_table!$A:$G,7,FALSE),"")</f>
        <v>10</v>
      </c>
      <c r="R1414">
        <f t="shared" si="88"/>
        <v>81</v>
      </c>
      <c r="S1414" t="str" cm="1">
        <f t="array" ref="S1414">IF(P1414="","",_xlfn.SWITCH(LEFT(P1414,1),"C","Ciudad","T","Pueblo","R","Rural","S","Suburbano","U","Urbano",""))</f>
        <v>Rural</v>
      </c>
      <c r="T1414" t="str">
        <f t="shared" si="89"/>
        <v>M</v>
      </c>
      <c r="U1414" t="str">
        <f t="shared" si="90"/>
        <v>KY</v>
      </c>
      <c r="V1414" t="str">
        <f t="shared" si="91"/>
        <v>5972</v>
      </c>
    </row>
    <row r="1415" spans="1:22" x14ac:dyDescent="0.35">
      <c r="A1415">
        <v>160716</v>
      </c>
      <c r="B1415" t="s">
        <v>28</v>
      </c>
      <c r="C1415" t="s">
        <v>17</v>
      </c>
      <c r="D1415">
        <v>317</v>
      </c>
      <c r="E1415">
        <v>231</v>
      </c>
      <c r="F1415">
        <v>249</v>
      </c>
      <c r="G1415">
        <v>0</v>
      </c>
      <c r="H1415">
        <v>17155</v>
      </c>
      <c r="I1415">
        <v>3</v>
      </c>
      <c r="J1415">
        <v>64</v>
      </c>
      <c r="K1415">
        <v>249</v>
      </c>
      <c r="L1415">
        <v>241</v>
      </c>
      <c r="M1415">
        <v>4.8857692310000003</v>
      </c>
      <c r="N1415">
        <f>IFERROR(VLOOKUP(A1415,vlookup_table!$A:$G,2,FALSE),"")</f>
        <v>28</v>
      </c>
      <c r="O1415">
        <f>IFERROR(VLOOKUP(A1415,vlookup_table!$A:$G,4,FALSE),"")</f>
        <v>0</v>
      </c>
      <c r="P1415" t="str">
        <f>IFERROR(VLOOKUP(A1415,vlookup_table!$A:$G,5,FALSE),"")</f>
        <v>C2</v>
      </c>
      <c r="Q1415">
        <f>IFERROR(VLOOKUP(A1415,vlookup_table!$A:$G,7,FALSE),"")</f>
        <v>7</v>
      </c>
      <c r="R1415">
        <f t="shared" si="88"/>
        <v>97</v>
      </c>
      <c r="S1415" t="str" cm="1">
        <f t="array" ref="S1415">IF(P1415="","",_xlfn.SWITCH(LEFT(P1415,1),"C","Ciudad","T","Pueblo","R","Rural","S","Suburbano","U","Urbano",""))</f>
        <v>Ciudad</v>
      </c>
      <c r="T1415" t="str">
        <f t="shared" si="89"/>
        <v>F</v>
      </c>
      <c r="U1415" t="str">
        <f t="shared" si="90"/>
        <v>KS</v>
      </c>
      <c r="V1415" t="str">
        <f t="shared" si="91"/>
        <v>17155</v>
      </c>
    </row>
    <row r="1416" spans="1:22" x14ac:dyDescent="0.35">
      <c r="A1416">
        <v>156414</v>
      </c>
      <c r="B1416" t="s">
        <v>22</v>
      </c>
      <c r="C1416" t="s">
        <v>17</v>
      </c>
      <c r="D1416">
        <v>2184</v>
      </c>
      <c r="E1416">
        <v>351</v>
      </c>
      <c r="F1416">
        <v>419</v>
      </c>
      <c r="G1416">
        <v>67</v>
      </c>
      <c r="H1416">
        <v>16480</v>
      </c>
      <c r="I1416">
        <v>25</v>
      </c>
      <c r="J1416">
        <v>38</v>
      </c>
      <c r="K1416">
        <v>376</v>
      </c>
      <c r="L1416">
        <v>394</v>
      </c>
      <c r="M1416">
        <v>12.5</v>
      </c>
      <c r="N1416">
        <f>IFERROR(VLOOKUP(A1416,vlookup_table!$A:$G,2,FALSE),"")</f>
        <v>0</v>
      </c>
      <c r="O1416">
        <f>IFERROR(VLOOKUP(A1416,vlookup_table!$A:$G,4,FALSE),"")</f>
        <v>1601</v>
      </c>
      <c r="P1416" t="str">
        <f>IFERROR(VLOOKUP(A1416,vlookup_table!$A:$G,5,FALSE),"")</f>
        <v>U1</v>
      </c>
      <c r="Q1416">
        <f>IFERROR(VLOOKUP(A1416,vlookup_table!$A:$G,7,FALSE),"")</f>
        <v>20</v>
      </c>
      <c r="R1416">
        <f t="shared" si="88"/>
        <v>81</v>
      </c>
      <c r="S1416" t="str" cm="1">
        <f t="array" ref="S1416">IF(P1416="","",_xlfn.SWITCH(LEFT(P1416,1),"C","Ciudad","T","Pueblo","R","Rural","S","Suburbano","U","Urbano",""))</f>
        <v>Urbano</v>
      </c>
      <c r="T1416" t="str">
        <f t="shared" si="89"/>
        <v>F</v>
      </c>
      <c r="U1416" t="str">
        <f t="shared" si="90"/>
        <v>CA</v>
      </c>
      <c r="V1416" t="str">
        <f t="shared" si="91"/>
        <v>16480</v>
      </c>
    </row>
    <row r="1417" spans="1:22" x14ac:dyDescent="0.35">
      <c r="A1417">
        <v>137592</v>
      </c>
      <c r="B1417" t="s">
        <v>64</v>
      </c>
      <c r="C1417" t="s">
        <v>14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17.5</v>
      </c>
      <c r="N1417">
        <f>IFERROR(VLOOKUP(A1417,vlookup_table!$A:$G,2,FALSE),"")</f>
        <v>1</v>
      </c>
      <c r="O1417">
        <f>IFERROR(VLOOKUP(A1417,vlookup_table!$A:$G,4,FALSE),"")</f>
        <v>1201</v>
      </c>
      <c r="P1417" t="str">
        <f>IFERROR(VLOOKUP(A1417,vlookup_table!$A:$G,5,FALSE),"")</f>
        <v>C3</v>
      </c>
      <c r="Q1417">
        <f>IFERROR(VLOOKUP(A1417,vlookup_table!$A:$G,7,FALSE),"")</f>
        <v>25</v>
      </c>
      <c r="R1417">
        <f t="shared" si="88"/>
        <v>85</v>
      </c>
      <c r="S1417" t="str" cm="1">
        <f t="array" ref="S1417">IF(P1417="","",_xlfn.SWITCH(LEFT(P1417,1),"C","Ciudad","T","Pueblo","R","Rural","S","Suburbano","U","Urbano",""))</f>
        <v>Ciudad</v>
      </c>
      <c r="T1417" t="str">
        <f t="shared" si="89"/>
        <v>M</v>
      </c>
      <c r="U1417" t="str">
        <f t="shared" si="90"/>
        <v>Arizona</v>
      </c>
      <c r="V1417" t="str">
        <f t="shared" si="91"/>
        <v>0</v>
      </c>
    </row>
    <row r="1418" spans="1:22" x14ac:dyDescent="0.35">
      <c r="A1418">
        <v>130840</v>
      </c>
      <c r="B1418" t="s">
        <v>48</v>
      </c>
      <c r="C1418" t="s">
        <v>14</v>
      </c>
      <c r="D1418">
        <v>1848</v>
      </c>
      <c r="E1418">
        <v>643</v>
      </c>
      <c r="F1418">
        <v>765</v>
      </c>
      <c r="G1418">
        <v>40</v>
      </c>
      <c r="H1418">
        <v>27612</v>
      </c>
      <c r="I1418">
        <v>3</v>
      </c>
      <c r="J1418">
        <v>24</v>
      </c>
      <c r="K1418">
        <v>688</v>
      </c>
      <c r="L1418">
        <v>705</v>
      </c>
      <c r="M1418">
        <v>8.35</v>
      </c>
      <c r="N1418">
        <f>IFERROR(VLOOKUP(A1418,vlookup_table!$A:$G,2,FALSE),"")</f>
        <v>0</v>
      </c>
      <c r="O1418">
        <f>IFERROR(VLOOKUP(A1418,vlookup_table!$A:$G,4,FALSE),"")</f>
        <v>1805</v>
      </c>
      <c r="P1418" t="str">
        <f>IFERROR(VLOOKUP(A1418,vlookup_table!$A:$G,5,FALSE),"")</f>
        <v>T1</v>
      </c>
      <c r="Q1418">
        <f>IFERROR(VLOOKUP(A1418,vlookup_table!$A:$G,7,FALSE),"")</f>
        <v>20</v>
      </c>
      <c r="R1418">
        <f t="shared" si="88"/>
        <v>79</v>
      </c>
      <c r="S1418" t="str" cm="1">
        <f t="array" ref="S1418">IF(P1418="","",_xlfn.SWITCH(LEFT(P1418,1),"C","Ciudad","T","Pueblo","R","Rural","S","Suburbano","U","Urbano",""))</f>
        <v>Pueblo</v>
      </c>
      <c r="T1418" t="str">
        <f t="shared" si="89"/>
        <v>M</v>
      </c>
      <c r="U1418" t="str">
        <f t="shared" si="90"/>
        <v>CO</v>
      </c>
      <c r="V1418" t="str">
        <f t="shared" si="91"/>
        <v>27612</v>
      </c>
    </row>
    <row r="1419" spans="1:22" x14ac:dyDescent="0.35">
      <c r="A1419">
        <v>133176</v>
      </c>
      <c r="B1419" t="s">
        <v>41</v>
      </c>
      <c r="D1419">
        <v>2111</v>
      </c>
      <c r="E1419">
        <v>320</v>
      </c>
      <c r="F1419">
        <v>550</v>
      </c>
      <c r="G1419">
        <v>53</v>
      </c>
      <c r="H1419">
        <v>28034</v>
      </c>
      <c r="I1419">
        <v>4</v>
      </c>
      <c r="J1419">
        <v>26</v>
      </c>
      <c r="K1419">
        <v>408</v>
      </c>
      <c r="L1419">
        <v>444</v>
      </c>
      <c r="M1419">
        <v>16.5</v>
      </c>
      <c r="N1419">
        <f>IFERROR(VLOOKUP(A1419,vlookup_table!$A:$G,2,FALSE),"")</f>
        <v>2</v>
      </c>
      <c r="O1419">
        <f>IFERROR(VLOOKUP(A1419,vlookup_table!$A:$G,4,FALSE),"")</f>
        <v>3601</v>
      </c>
      <c r="P1419" t="str">
        <f>IFERROR(VLOOKUP(A1419,vlookup_table!$A:$G,5,FALSE),"")</f>
        <v>R1</v>
      </c>
      <c r="Q1419">
        <f>IFERROR(VLOOKUP(A1419,vlookup_table!$A:$G,7,FALSE),"")</f>
        <v>50</v>
      </c>
      <c r="R1419">
        <f t="shared" si="88"/>
        <v>61</v>
      </c>
      <c r="S1419" t="str" cm="1">
        <f t="array" ref="S1419">IF(P1419="","",_xlfn.SWITCH(LEFT(P1419,1),"C","Ciudad","T","Pueblo","R","Rural","S","Suburbano","U","Urbano",""))</f>
        <v>Rural</v>
      </c>
      <c r="T1419" t="str">
        <f t="shared" si="89"/>
        <v/>
      </c>
      <c r="U1419" t="str">
        <f t="shared" si="90"/>
        <v>ID</v>
      </c>
      <c r="V1419" t="str">
        <f t="shared" si="91"/>
        <v>28034</v>
      </c>
    </row>
    <row r="1420" spans="1:22" x14ac:dyDescent="0.35">
      <c r="A1420">
        <v>164044</v>
      </c>
      <c r="B1420" t="s">
        <v>22</v>
      </c>
      <c r="C1420" t="s">
        <v>14</v>
      </c>
      <c r="D1420">
        <v>5795</v>
      </c>
      <c r="E1420">
        <v>1329</v>
      </c>
      <c r="F1420">
        <v>1204</v>
      </c>
      <c r="G1420">
        <v>99</v>
      </c>
      <c r="H1420">
        <v>57002</v>
      </c>
      <c r="I1420">
        <v>17</v>
      </c>
      <c r="J1420">
        <v>36</v>
      </c>
      <c r="K1420">
        <v>1326</v>
      </c>
      <c r="L1420">
        <v>1201</v>
      </c>
      <c r="M1420">
        <v>11.66666667</v>
      </c>
      <c r="N1420">
        <f>IFERROR(VLOOKUP(A1420,vlookup_table!$A:$G,2,FALSE),"")</f>
        <v>0</v>
      </c>
      <c r="O1420">
        <f>IFERROR(VLOOKUP(A1420,vlookup_table!$A:$G,4,FALSE),"")</f>
        <v>4201</v>
      </c>
      <c r="P1420" t="str">
        <f>IFERROR(VLOOKUP(A1420,vlookup_table!$A:$G,5,FALSE),"")</f>
        <v>T1</v>
      </c>
      <c r="Q1420">
        <f>IFERROR(VLOOKUP(A1420,vlookup_table!$A:$G,7,FALSE),"")</f>
        <v>15</v>
      </c>
      <c r="R1420">
        <f t="shared" si="88"/>
        <v>55</v>
      </c>
      <c r="S1420" t="str" cm="1">
        <f t="array" ref="S1420">IF(P1420="","",_xlfn.SWITCH(LEFT(P1420,1),"C","Ciudad","T","Pueblo","R","Rural","S","Suburbano","U","Urbano",""))</f>
        <v>Pueblo</v>
      </c>
      <c r="T1420" t="str">
        <f t="shared" si="89"/>
        <v>M</v>
      </c>
      <c r="U1420" t="str">
        <f t="shared" si="90"/>
        <v>CA</v>
      </c>
      <c r="V1420" t="str">
        <f t="shared" si="91"/>
        <v>57002</v>
      </c>
    </row>
    <row r="1421" spans="1:22" x14ac:dyDescent="0.35">
      <c r="A1421">
        <v>190746</v>
      </c>
      <c r="B1421" t="s">
        <v>43</v>
      </c>
      <c r="C1421" t="s">
        <v>27</v>
      </c>
      <c r="D1421">
        <v>710</v>
      </c>
      <c r="E1421">
        <v>402</v>
      </c>
      <c r="F1421">
        <v>457</v>
      </c>
      <c r="G1421">
        <v>0</v>
      </c>
      <c r="H1421">
        <v>14119</v>
      </c>
      <c r="I1421">
        <v>3</v>
      </c>
      <c r="J1421">
        <v>50</v>
      </c>
      <c r="K1421">
        <v>429</v>
      </c>
      <c r="L1421">
        <v>433</v>
      </c>
      <c r="M1421">
        <v>10.71428571</v>
      </c>
      <c r="N1421">
        <f>IFERROR(VLOOKUP(A1421,vlookup_table!$A:$G,2,FALSE),"")</f>
        <v>1</v>
      </c>
      <c r="O1421">
        <f>IFERROR(VLOOKUP(A1421,vlookup_table!$A:$G,4,FALSE),"")</f>
        <v>3701</v>
      </c>
      <c r="P1421" t="str">
        <f>IFERROR(VLOOKUP(A1421,vlookup_table!$A:$G,5,FALSE),"")</f>
        <v>T1</v>
      </c>
      <c r="Q1421">
        <f>IFERROR(VLOOKUP(A1421,vlookup_table!$A:$G,7,FALSE),"")</f>
        <v>11</v>
      </c>
      <c r="R1421">
        <f t="shared" si="88"/>
        <v>60</v>
      </c>
      <c r="S1421" t="str" cm="1">
        <f t="array" ref="S1421">IF(P1421="","",_xlfn.SWITCH(LEFT(P1421,1),"C","Ciudad","T","Pueblo","R","Rural","S","Suburbano","U","Urbano",""))</f>
        <v>Pueblo</v>
      </c>
      <c r="T1421" t="str">
        <f t="shared" si="89"/>
        <v>M</v>
      </c>
      <c r="U1421" t="str">
        <f t="shared" si="90"/>
        <v>AL</v>
      </c>
      <c r="V1421" t="str">
        <f t="shared" si="91"/>
        <v>14119</v>
      </c>
    </row>
    <row r="1422" spans="1:22" x14ac:dyDescent="0.35">
      <c r="A1422">
        <v>52116</v>
      </c>
      <c r="B1422" t="s">
        <v>18</v>
      </c>
      <c r="C1422" t="s">
        <v>20</v>
      </c>
      <c r="D1422">
        <v>680</v>
      </c>
      <c r="E1422">
        <v>236</v>
      </c>
      <c r="F1422">
        <v>318</v>
      </c>
      <c r="G1422">
        <v>2</v>
      </c>
      <c r="H1422">
        <v>11568</v>
      </c>
      <c r="I1422">
        <v>3</v>
      </c>
      <c r="J1422">
        <v>60</v>
      </c>
      <c r="K1422">
        <v>279</v>
      </c>
      <c r="L1422">
        <v>277</v>
      </c>
      <c r="M1422">
        <v>9.269230769</v>
      </c>
      <c r="N1422">
        <f>IFERROR(VLOOKUP(A1422,vlookup_table!$A:$G,2,FALSE),"")</f>
        <v>0</v>
      </c>
      <c r="O1422">
        <f>IFERROR(VLOOKUP(A1422,vlookup_table!$A:$G,4,FALSE),"")</f>
        <v>1703</v>
      </c>
      <c r="P1422" t="str">
        <f>IFERROR(VLOOKUP(A1422,vlookup_table!$A:$G,5,FALSE),"")</f>
        <v>T2</v>
      </c>
      <c r="Q1422">
        <f>IFERROR(VLOOKUP(A1422,vlookup_table!$A:$G,7,FALSE),"")</f>
        <v>10</v>
      </c>
      <c r="R1422">
        <f t="shared" si="88"/>
        <v>80</v>
      </c>
      <c r="S1422" t="str" cm="1">
        <f t="array" ref="S1422">IF(P1422="","",_xlfn.SWITCH(LEFT(P1422,1),"C","Ciudad","T","Pueblo","R","Rural","S","Suburbano","U","Urbano",""))</f>
        <v>Pueblo</v>
      </c>
      <c r="T1422" t="str">
        <f t="shared" si="89"/>
        <v>F</v>
      </c>
      <c r="U1422" t="str">
        <f t="shared" si="90"/>
        <v>NC</v>
      </c>
      <c r="V1422" t="str">
        <f t="shared" si="91"/>
        <v>11568</v>
      </c>
    </row>
    <row r="1423" spans="1:22" x14ac:dyDescent="0.35">
      <c r="A1423">
        <v>42913</v>
      </c>
      <c r="B1423" t="s">
        <v>13</v>
      </c>
      <c r="C1423" t="s">
        <v>14</v>
      </c>
      <c r="D1423">
        <v>950</v>
      </c>
      <c r="E1423">
        <v>357</v>
      </c>
      <c r="F1423">
        <v>469</v>
      </c>
      <c r="G1423">
        <v>3</v>
      </c>
      <c r="H1423">
        <v>18756</v>
      </c>
      <c r="I1423">
        <v>5</v>
      </c>
      <c r="J1423">
        <v>16</v>
      </c>
      <c r="K1423">
        <v>449</v>
      </c>
      <c r="L1423">
        <v>420</v>
      </c>
      <c r="M1423">
        <v>7.2</v>
      </c>
      <c r="N1423">
        <f>IFERROR(VLOOKUP(A1423,vlookup_table!$A:$G,2,FALSE),"")</f>
        <v>0</v>
      </c>
      <c r="O1423">
        <f>IFERROR(VLOOKUP(A1423,vlookup_table!$A:$G,4,FALSE),"")</f>
        <v>4601</v>
      </c>
      <c r="P1423" t="str">
        <f>IFERROR(VLOOKUP(A1423,vlookup_table!$A:$G,5,FALSE),"")</f>
        <v>C2</v>
      </c>
      <c r="Q1423">
        <f>IFERROR(VLOOKUP(A1423,vlookup_table!$A:$G,7,FALSE),"")</f>
        <v>5</v>
      </c>
      <c r="R1423">
        <f t="shared" si="88"/>
        <v>51</v>
      </c>
      <c r="S1423" t="str" cm="1">
        <f t="array" ref="S1423">IF(P1423="","",_xlfn.SWITCH(LEFT(P1423,1),"C","Ciudad","T","Pueblo","R","Rural","S","Suburbano","U","Urbano",""))</f>
        <v>Ciudad</v>
      </c>
      <c r="T1423" t="str">
        <f t="shared" si="89"/>
        <v>M</v>
      </c>
      <c r="U1423" t="str">
        <f t="shared" si="90"/>
        <v>FL</v>
      </c>
      <c r="V1423" t="str">
        <f t="shared" si="91"/>
        <v>18756</v>
      </c>
    </row>
    <row r="1424" spans="1:22" x14ac:dyDescent="0.35">
      <c r="A1424">
        <v>124143</v>
      </c>
      <c r="B1424" t="s">
        <v>21</v>
      </c>
      <c r="C1424" t="s">
        <v>14</v>
      </c>
      <c r="D1424">
        <v>846</v>
      </c>
      <c r="E1424">
        <v>538</v>
      </c>
      <c r="F1424">
        <v>602</v>
      </c>
      <c r="G1424">
        <v>0</v>
      </c>
      <c r="H1424">
        <v>18861</v>
      </c>
      <c r="I1424">
        <v>1</v>
      </c>
      <c r="J1424">
        <v>73</v>
      </c>
      <c r="K1424">
        <v>541</v>
      </c>
      <c r="L1424">
        <v>595</v>
      </c>
      <c r="M1424">
        <v>5.1818181819999998</v>
      </c>
      <c r="N1424">
        <f>IFERROR(VLOOKUP(A1424,vlookup_table!$A:$G,2,FALSE),"")</f>
        <v>72</v>
      </c>
      <c r="O1424">
        <f>IFERROR(VLOOKUP(A1424,vlookup_table!$A:$G,4,FALSE),"")</f>
        <v>3803</v>
      </c>
      <c r="P1424" t="str">
        <f>IFERROR(VLOOKUP(A1424,vlookup_table!$A:$G,5,FALSE),"")</f>
        <v>C1</v>
      </c>
      <c r="Q1424">
        <f>IFERROR(VLOOKUP(A1424,vlookup_table!$A:$G,7,FALSE),"")</f>
        <v>6</v>
      </c>
      <c r="R1424">
        <f t="shared" si="88"/>
        <v>59</v>
      </c>
      <c r="S1424" t="str" cm="1">
        <f t="array" ref="S1424">IF(P1424="","",_xlfn.SWITCH(LEFT(P1424,1),"C","Ciudad","T","Pueblo","R","Rural","S","Suburbano","U","Urbano",""))</f>
        <v>Ciudad</v>
      </c>
      <c r="T1424" t="str">
        <f t="shared" si="89"/>
        <v>M</v>
      </c>
      <c r="U1424" t="str">
        <f t="shared" si="90"/>
        <v>TX</v>
      </c>
      <c r="V1424" t="str">
        <f t="shared" si="91"/>
        <v>18861</v>
      </c>
    </row>
    <row r="1425" spans="1:22" x14ac:dyDescent="0.35">
      <c r="A1425">
        <v>47385</v>
      </c>
      <c r="B1425" t="s">
        <v>43</v>
      </c>
      <c r="C1425" t="s">
        <v>27</v>
      </c>
      <c r="D1425">
        <v>2432</v>
      </c>
      <c r="E1425">
        <v>1273</v>
      </c>
      <c r="F1425">
        <v>1105</v>
      </c>
      <c r="G1425">
        <v>64</v>
      </c>
      <c r="H1425">
        <v>55765</v>
      </c>
      <c r="I1425">
        <v>0</v>
      </c>
      <c r="J1425">
        <v>62</v>
      </c>
      <c r="K1425">
        <v>1332</v>
      </c>
      <c r="L1425">
        <v>1057</v>
      </c>
      <c r="M1425">
        <v>15</v>
      </c>
      <c r="N1425">
        <f>IFERROR(VLOOKUP(A1425,vlookup_table!$A:$G,2,FALSE),"")</f>
        <v>1</v>
      </c>
      <c r="O1425">
        <f>IFERROR(VLOOKUP(A1425,vlookup_table!$A:$G,4,FALSE),"")</f>
        <v>6001</v>
      </c>
      <c r="P1425" t="str">
        <f>IFERROR(VLOOKUP(A1425,vlookup_table!$A:$G,5,FALSE),"")</f>
        <v>S1</v>
      </c>
      <c r="Q1425">
        <f>IFERROR(VLOOKUP(A1425,vlookup_table!$A:$G,7,FALSE),"")</f>
        <v>15</v>
      </c>
      <c r="R1425">
        <f t="shared" si="88"/>
        <v>37</v>
      </c>
      <c r="S1425" t="str" cm="1">
        <f t="array" ref="S1425">IF(P1425="","",_xlfn.SWITCH(LEFT(P1425,1),"C","Ciudad","T","Pueblo","R","Rural","S","Suburbano","U","Urbano",""))</f>
        <v>Suburbano</v>
      </c>
      <c r="T1425" t="str">
        <f t="shared" si="89"/>
        <v>M</v>
      </c>
      <c r="U1425" t="str">
        <f t="shared" si="90"/>
        <v>AL</v>
      </c>
      <c r="V1425" t="str">
        <f t="shared" si="91"/>
        <v>55765</v>
      </c>
    </row>
    <row r="1426" spans="1:22" x14ac:dyDescent="0.35">
      <c r="A1426">
        <v>92312</v>
      </c>
      <c r="B1426" t="s">
        <v>16</v>
      </c>
      <c r="C1426" t="s">
        <v>17</v>
      </c>
      <c r="D1426">
        <v>3573</v>
      </c>
      <c r="E1426">
        <v>1245</v>
      </c>
      <c r="F1426">
        <v>1179</v>
      </c>
      <c r="G1426">
        <v>98</v>
      </c>
      <c r="H1426">
        <v>83519</v>
      </c>
      <c r="I1426">
        <v>15</v>
      </c>
      <c r="J1426">
        <v>70</v>
      </c>
      <c r="K1426">
        <v>1474</v>
      </c>
      <c r="L1426">
        <v>1065</v>
      </c>
      <c r="M1426">
        <v>10.33333333</v>
      </c>
      <c r="N1426">
        <f>IFERROR(VLOOKUP(A1426,vlookup_table!$A:$G,2,FALSE),"")</f>
        <v>28</v>
      </c>
      <c r="O1426">
        <f>IFERROR(VLOOKUP(A1426,vlookup_table!$A:$G,4,FALSE),"")</f>
        <v>3202</v>
      </c>
      <c r="P1426" t="str">
        <f>IFERROR(VLOOKUP(A1426,vlookup_table!$A:$G,5,FALSE),"")</f>
        <v>S1</v>
      </c>
      <c r="Q1426">
        <f>IFERROR(VLOOKUP(A1426,vlookup_table!$A:$G,7,FALSE),"")</f>
        <v>24</v>
      </c>
      <c r="R1426">
        <f t="shared" si="88"/>
        <v>65</v>
      </c>
      <c r="S1426" t="str" cm="1">
        <f t="array" ref="S1426">IF(P1426="","",_xlfn.SWITCH(LEFT(P1426,1),"C","Ciudad","T","Pueblo","R","Rural","S","Suburbano","U","Urbano",""))</f>
        <v>Suburbano</v>
      </c>
      <c r="T1426" t="str">
        <f t="shared" si="89"/>
        <v>F</v>
      </c>
      <c r="U1426" t="str">
        <f t="shared" si="90"/>
        <v>IL</v>
      </c>
      <c r="V1426" t="str">
        <f t="shared" si="91"/>
        <v>83519</v>
      </c>
    </row>
    <row r="1427" spans="1:22" x14ac:dyDescent="0.35">
      <c r="A1427">
        <v>114208</v>
      </c>
      <c r="B1427" t="s">
        <v>31</v>
      </c>
      <c r="C1427" t="s">
        <v>14</v>
      </c>
      <c r="D1427">
        <v>393</v>
      </c>
      <c r="E1427">
        <v>195</v>
      </c>
      <c r="F1427">
        <v>221</v>
      </c>
      <c r="G1427">
        <v>0</v>
      </c>
      <c r="H1427">
        <v>10232</v>
      </c>
      <c r="I1427">
        <v>1</v>
      </c>
      <c r="J1427">
        <v>65</v>
      </c>
      <c r="K1427">
        <v>212</v>
      </c>
      <c r="L1427">
        <v>222</v>
      </c>
      <c r="M1427">
        <v>15.55555556</v>
      </c>
      <c r="N1427">
        <f>IFERROR(VLOOKUP(A1427,vlookup_table!$A:$G,2,FALSE),"")</f>
        <v>0</v>
      </c>
      <c r="O1427">
        <f>IFERROR(VLOOKUP(A1427,vlookup_table!$A:$G,4,FALSE),"")</f>
        <v>3401</v>
      </c>
      <c r="P1427" t="str">
        <f>IFERROR(VLOOKUP(A1427,vlookup_table!$A:$G,5,FALSE),"")</f>
        <v>T3</v>
      </c>
      <c r="Q1427">
        <f>IFERROR(VLOOKUP(A1427,vlookup_table!$A:$G,7,FALSE),"")</f>
        <v>50</v>
      </c>
      <c r="R1427">
        <f t="shared" si="88"/>
        <v>63</v>
      </c>
      <c r="S1427" t="str" cm="1">
        <f t="array" ref="S1427">IF(P1427="","",_xlfn.SWITCH(LEFT(P1427,1),"C","Ciudad","T","Pueblo","R","Rural","S","Suburbano","U","Urbano",""))</f>
        <v>Pueblo</v>
      </c>
      <c r="T1427" t="str">
        <f t="shared" si="89"/>
        <v>M</v>
      </c>
      <c r="U1427" t="str">
        <f t="shared" si="90"/>
        <v>OK</v>
      </c>
      <c r="V1427" t="str">
        <f t="shared" si="91"/>
        <v>10232</v>
      </c>
    </row>
    <row r="1428" spans="1:22" x14ac:dyDescent="0.35">
      <c r="A1428">
        <v>127744</v>
      </c>
      <c r="B1428" t="s">
        <v>21</v>
      </c>
      <c r="C1428" t="s">
        <v>14</v>
      </c>
      <c r="D1428">
        <v>600</v>
      </c>
      <c r="E1428">
        <v>420</v>
      </c>
      <c r="F1428">
        <v>479</v>
      </c>
      <c r="G1428">
        <v>0</v>
      </c>
      <c r="H1428">
        <v>17725</v>
      </c>
      <c r="I1428">
        <v>0</v>
      </c>
      <c r="J1428">
        <v>77</v>
      </c>
      <c r="K1428">
        <v>461</v>
      </c>
      <c r="L1428">
        <v>467</v>
      </c>
      <c r="M1428">
        <v>8.7272727270000008</v>
      </c>
      <c r="N1428">
        <f>IFERROR(VLOOKUP(A1428,vlookup_table!$A:$G,2,FALSE),"")</f>
        <v>0</v>
      </c>
      <c r="O1428">
        <f>IFERROR(VLOOKUP(A1428,vlookup_table!$A:$G,4,FALSE),"")</f>
        <v>2104</v>
      </c>
      <c r="P1428" t="str">
        <f>IFERROR(VLOOKUP(A1428,vlookup_table!$A:$G,5,FALSE),"")</f>
        <v>T1</v>
      </c>
      <c r="Q1428">
        <f>IFERROR(VLOOKUP(A1428,vlookup_table!$A:$G,7,FALSE),"")</f>
        <v>15</v>
      </c>
      <c r="R1428">
        <f t="shared" si="88"/>
        <v>76</v>
      </c>
      <c r="S1428" t="str" cm="1">
        <f t="array" ref="S1428">IF(P1428="","",_xlfn.SWITCH(LEFT(P1428,1),"C","Ciudad","T","Pueblo","R","Rural","S","Suburbano","U","Urbano",""))</f>
        <v>Pueblo</v>
      </c>
      <c r="T1428" t="str">
        <f t="shared" si="89"/>
        <v>M</v>
      </c>
      <c r="U1428" t="str">
        <f t="shared" si="90"/>
        <v>TX</v>
      </c>
      <c r="V1428" t="str">
        <f t="shared" si="91"/>
        <v>17725</v>
      </c>
    </row>
    <row r="1429" spans="1:22" x14ac:dyDescent="0.35">
      <c r="A1429">
        <v>86696</v>
      </c>
      <c r="B1429" t="s">
        <v>45</v>
      </c>
      <c r="C1429" t="s">
        <v>17</v>
      </c>
      <c r="D1429">
        <v>469</v>
      </c>
      <c r="E1429">
        <v>293</v>
      </c>
      <c r="F1429">
        <v>398</v>
      </c>
      <c r="G1429">
        <v>0</v>
      </c>
      <c r="H1429">
        <v>13446</v>
      </c>
      <c r="I1429">
        <v>0</v>
      </c>
      <c r="J1429">
        <v>79</v>
      </c>
      <c r="K1429">
        <v>354</v>
      </c>
      <c r="L1429">
        <v>331</v>
      </c>
      <c r="M1429">
        <v>19.285714290000001</v>
      </c>
      <c r="N1429">
        <f>IFERROR(VLOOKUP(A1429,vlookup_table!$A:$G,2,FALSE),"")</f>
        <v>0</v>
      </c>
      <c r="O1429">
        <f>IFERROR(VLOOKUP(A1429,vlookup_table!$A:$G,4,FALSE),"")</f>
        <v>2307</v>
      </c>
      <c r="P1429" t="str">
        <f>IFERROR(VLOOKUP(A1429,vlookup_table!$A:$G,5,FALSE),"")</f>
        <v>T1</v>
      </c>
      <c r="Q1429">
        <f>IFERROR(VLOOKUP(A1429,vlookup_table!$A:$G,7,FALSE),"")</f>
        <v>25</v>
      </c>
      <c r="R1429">
        <f t="shared" si="88"/>
        <v>74</v>
      </c>
      <c r="S1429" t="str" cm="1">
        <f t="array" ref="S1429">IF(P1429="","",_xlfn.SWITCH(LEFT(P1429,1),"C","Ciudad","T","Pueblo","R","Rural","S","Suburbano","U","Urbano",""))</f>
        <v>Pueblo</v>
      </c>
      <c r="T1429" t="str">
        <f t="shared" si="89"/>
        <v>F</v>
      </c>
      <c r="U1429" t="str">
        <f t="shared" si="90"/>
        <v>ND</v>
      </c>
      <c r="V1429" t="str">
        <f t="shared" si="91"/>
        <v>13446</v>
      </c>
    </row>
    <row r="1430" spans="1:22" x14ac:dyDescent="0.35">
      <c r="A1430">
        <v>177131</v>
      </c>
      <c r="B1430" t="s">
        <v>50</v>
      </c>
      <c r="C1430" t="s">
        <v>17</v>
      </c>
      <c r="D1430">
        <v>605</v>
      </c>
      <c r="E1430">
        <v>223</v>
      </c>
      <c r="F1430">
        <v>323</v>
      </c>
      <c r="G1430">
        <v>0</v>
      </c>
      <c r="H1430">
        <v>12224</v>
      </c>
      <c r="I1430">
        <v>3</v>
      </c>
      <c r="J1430">
        <v>47</v>
      </c>
      <c r="K1430">
        <v>326</v>
      </c>
      <c r="L1430">
        <v>283</v>
      </c>
      <c r="M1430">
        <v>12.25</v>
      </c>
      <c r="N1430">
        <f>IFERROR(VLOOKUP(A1430,vlookup_table!$A:$G,2,FALSE),"")</f>
        <v>28</v>
      </c>
      <c r="O1430">
        <f>IFERROR(VLOOKUP(A1430,vlookup_table!$A:$G,4,FALSE),"")</f>
        <v>2101</v>
      </c>
      <c r="P1430" t="str">
        <f>IFERROR(VLOOKUP(A1430,vlookup_table!$A:$G,5,FALSE),"")</f>
        <v>C2</v>
      </c>
      <c r="Q1430">
        <f>IFERROR(VLOOKUP(A1430,vlookup_table!$A:$G,7,FALSE),"")</f>
        <v>10</v>
      </c>
      <c r="R1430">
        <f t="shared" si="88"/>
        <v>76</v>
      </c>
      <c r="S1430" t="str" cm="1">
        <f t="array" ref="S1430">IF(P1430="","",_xlfn.SWITCH(LEFT(P1430,1),"C","Ciudad","T","Pueblo","R","Rural","S","Suburbano","U","Urbano",""))</f>
        <v>Ciudad</v>
      </c>
      <c r="T1430" t="str">
        <f t="shared" si="89"/>
        <v>F</v>
      </c>
      <c r="U1430" t="str">
        <f t="shared" si="90"/>
        <v>OR</v>
      </c>
      <c r="V1430" t="str">
        <f t="shared" si="91"/>
        <v>12224</v>
      </c>
    </row>
    <row r="1431" spans="1:22" x14ac:dyDescent="0.35">
      <c r="A1431">
        <v>42689</v>
      </c>
      <c r="B1431" t="s">
        <v>13</v>
      </c>
      <c r="C1431" t="s">
        <v>17</v>
      </c>
      <c r="D1431">
        <v>711</v>
      </c>
      <c r="E1431">
        <v>267</v>
      </c>
      <c r="F1431">
        <v>363</v>
      </c>
      <c r="G1431">
        <v>0</v>
      </c>
      <c r="H1431">
        <v>15229</v>
      </c>
      <c r="I1431">
        <v>12</v>
      </c>
      <c r="J1431">
        <v>7</v>
      </c>
      <c r="K1431">
        <v>305</v>
      </c>
      <c r="L1431">
        <v>307</v>
      </c>
      <c r="M1431">
        <v>3.8571428569999999</v>
      </c>
      <c r="N1431">
        <f>IFERROR(VLOOKUP(A1431,vlookup_table!$A:$G,2,FALSE),"")</f>
        <v>2</v>
      </c>
      <c r="O1431">
        <f>IFERROR(VLOOKUP(A1431,vlookup_table!$A:$G,4,FALSE),"")</f>
        <v>0</v>
      </c>
      <c r="P1431" t="str">
        <f>IFERROR(VLOOKUP(A1431,vlookup_table!$A:$G,5,FALSE),"")</f>
        <v>C2</v>
      </c>
      <c r="Q1431">
        <f>IFERROR(VLOOKUP(A1431,vlookup_table!$A:$G,7,FALSE),"")</f>
        <v>4</v>
      </c>
      <c r="R1431">
        <f t="shared" si="88"/>
        <v>97</v>
      </c>
      <c r="S1431" t="str" cm="1">
        <f t="array" ref="S1431">IF(P1431="","",_xlfn.SWITCH(LEFT(P1431,1),"C","Ciudad","T","Pueblo","R","Rural","S","Suburbano","U","Urbano",""))</f>
        <v>Ciudad</v>
      </c>
      <c r="T1431" t="str">
        <f t="shared" si="89"/>
        <v>F</v>
      </c>
      <c r="U1431" t="str">
        <f t="shared" si="90"/>
        <v>FL</v>
      </c>
      <c r="V1431" t="str">
        <f t="shared" si="91"/>
        <v>15229</v>
      </c>
    </row>
    <row r="1432" spans="1:22" x14ac:dyDescent="0.35">
      <c r="A1432">
        <v>7879</v>
      </c>
      <c r="B1432" t="s">
        <v>22</v>
      </c>
      <c r="C1432" t="s">
        <v>17</v>
      </c>
      <c r="D1432">
        <v>1072</v>
      </c>
      <c r="E1432">
        <v>284</v>
      </c>
      <c r="F1432">
        <v>427</v>
      </c>
      <c r="G1432">
        <v>6</v>
      </c>
      <c r="H1432">
        <v>14572</v>
      </c>
      <c r="I1432">
        <v>14</v>
      </c>
      <c r="J1432">
        <v>63</v>
      </c>
      <c r="K1432">
        <v>306</v>
      </c>
      <c r="L1432">
        <v>378</v>
      </c>
      <c r="M1432">
        <v>17.85714286</v>
      </c>
      <c r="N1432">
        <f>IFERROR(VLOOKUP(A1432,vlookup_table!$A:$G,2,FALSE),"")</f>
        <v>2</v>
      </c>
      <c r="O1432">
        <f>IFERROR(VLOOKUP(A1432,vlookup_table!$A:$G,4,FALSE),"")</f>
        <v>3011</v>
      </c>
      <c r="P1432" t="str">
        <f>IFERROR(VLOOKUP(A1432,vlookup_table!$A:$G,5,FALSE),"")</f>
        <v>C2</v>
      </c>
      <c r="Q1432">
        <f>IFERROR(VLOOKUP(A1432,vlookup_table!$A:$G,7,FALSE),"")</f>
        <v>25</v>
      </c>
      <c r="R1432">
        <f t="shared" si="88"/>
        <v>67</v>
      </c>
      <c r="S1432" t="str" cm="1">
        <f t="array" ref="S1432">IF(P1432="","",_xlfn.SWITCH(LEFT(P1432,1),"C","Ciudad","T","Pueblo","R","Rural","S","Suburbano","U","Urbano",""))</f>
        <v>Ciudad</v>
      </c>
      <c r="T1432" t="str">
        <f t="shared" si="89"/>
        <v>F</v>
      </c>
      <c r="U1432" t="str">
        <f t="shared" si="90"/>
        <v>CA</v>
      </c>
      <c r="V1432" t="str">
        <f t="shared" si="91"/>
        <v>14572</v>
      </c>
    </row>
    <row r="1433" spans="1:22" x14ac:dyDescent="0.35">
      <c r="A1433">
        <v>13089</v>
      </c>
      <c r="B1433" t="s">
        <v>29</v>
      </c>
      <c r="C1433" t="s">
        <v>17</v>
      </c>
      <c r="D1433">
        <v>782</v>
      </c>
      <c r="E1433">
        <v>462</v>
      </c>
      <c r="F1433">
        <v>504</v>
      </c>
      <c r="G1433">
        <v>1</v>
      </c>
      <c r="H1433">
        <v>15816</v>
      </c>
      <c r="I1433">
        <v>0</v>
      </c>
      <c r="J1433">
        <v>89</v>
      </c>
      <c r="K1433">
        <v>475</v>
      </c>
      <c r="L1433">
        <v>498</v>
      </c>
      <c r="M1433">
        <v>20.18181818</v>
      </c>
      <c r="N1433">
        <f>IFERROR(VLOOKUP(A1433,vlookup_table!$A:$G,2,FALSE),"")</f>
        <v>0</v>
      </c>
      <c r="O1433">
        <f>IFERROR(VLOOKUP(A1433,vlookup_table!$A:$G,4,FALSE),"")</f>
        <v>6112</v>
      </c>
      <c r="P1433" t="str">
        <f>IFERROR(VLOOKUP(A1433,vlookup_table!$A:$G,5,FALSE),"")</f>
        <v>T2</v>
      </c>
      <c r="Q1433">
        <f>IFERROR(VLOOKUP(A1433,vlookup_table!$A:$G,7,FALSE),"")</f>
        <v>34</v>
      </c>
      <c r="R1433">
        <f t="shared" si="88"/>
        <v>36</v>
      </c>
      <c r="S1433" t="str" cm="1">
        <f t="array" ref="S1433">IF(P1433="","",_xlfn.SWITCH(LEFT(P1433,1),"C","Ciudad","T","Pueblo","R","Rural","S","Suburbano","U","Urbano",""))</f>
        <v>Pueblo</v>
      </c>
      <c r="T1433" t="str">
        <f t="shared" si="89"/>
        <v>F</v>
      </c>
      <c r="U1433" t="str">
        <f t="shared" si="90"/>
        <v>MI</v>
      </c>
      <c r="V1433" t="str">
        <f t="shared" si="91"/>
        <v>15816</v>
      </c>
    </row>
    <row r="1434" spans="1:22" x14ac:dyDescent="0.35">
      <c r="A1434">
        <v>98085</v>
      </c>
      <c r="B1434" t="s">
        <v>16</v>
      </c>
      <c r="C1434" t="s">
        <v>14</v>
      </c>
      <c r="D1434">
        <v>464</v>
      </c>
      <c r="E1434">
        <v>225</v>
      </c>
      <c r="F1434">
        <v>364</v>
      </c>
      <c r="G1434">
        <v>0</v>
      </c>
      <c r="H1434">
        <v>12445</v>
      </c>
      <c r="I1434">
        <v>0</v>
      </c>
      <c r="J1434">
        <v>84</v>
      </c>
      <c r="K1434">
        <v>291</v>
      </c>
      <c r="L1434">
        <v>277</v>
      </c>
      <c r="M1434">
        <v>10.199999999999999</v>
      </c>
      <c r="N1434">
        <f>IFERROR(VLOOKUP(A1434,vlookup_table!$A:$G,2,FALSE),"")</f>
        <v>1</v>
      </c>
      <c r="O1434">
        <f>IFERROR(VLOOKUP(A1434,vlookup_table!$A:$G,4,FALSE),"")</f>
        <v>0</v>
      </c>
      <c r="P1434" t="str">
        <f>IFERROR(VLOOKUP(A1434,vlookup_table!$A:$G,5,FALSE),"")</f>
        <v>R2</v>
      </c>
      <c r="Q1434">
        <f>IFERROR(VLOOKUP(A1434,vlookup_table!$A:$G,7,FALSE),"")</f>
        <v>10</v>
      </c>
      <c r="R1434">
        <f t="shared" si="88"/>
        <v>97</v>
      </c>
      <c r="S1434" t="str" cm="1">
        <f t="array" ref="S1434">IF(P1434="","",_xlfn.SWITCH(LEFT(P1434,1),"C","Ciudad","T","Pueblo","R","Rural","S","Suburbano","U","Urbano",""))</f>
        <v>Rural</v>
      </c>
      <c r="T1434" t="str">
        <f t="shared" si="89"/>
        <v>M</v>
      </c>
      <c r="U1434" t="str">
        <f t="shared" si="90"/>
        <v>IL</v>
      </c>
      <c r="V1434" t="str">
        <f t="shared" si="91"/>
        <v>12445</v>
      </c>
    </row>
    <row r="1435" spans="1:22" x14ac:dyDescent="0.35">
      <c r="A1435">
        <v>5614</v>
      </c>
      <c r="B1435" t="s">
        <v>22</v>
      </c>
      <c r="C1435" t="s">
        <v>14</v>
      </c>
      <c r="D1435">
        <v>1803</v>
      </c>
      <c r="E1435">
        <v>281</v>
      </c>
      <c r="F1435">
        <v>492</v>
      </c>
      <c r="G1435">
        <v>20</v>
      </c>
      <c r="H1435">
        <v>24681</v>
      </c>
      <c r="I1435">
        <v>13</v>
      </c>
      <c r="J1435">
        <v>13</v>
      </c>
      <c r="K1435">
        <v>418</v>
      </c>
      <c r="L1435">
        <v>364</v>
      </c>
      <c r="M1435">
        <v>13.71428571</v>
      </c>
      <c r="N1435">
        <f>IFERROR(VLOOKUP(A1435,vlookup_table!$A:$G,2,FALSE),"")</f>
        <v>1</v>
      </c>
      <c r="O1435">
        <f>IFERROR(VLOOKUP(A1435,vlookup_table!$A:$G,4,FALSE),"")</f>
        <v>1908</v>
      </c>
      <c r="P1435" t="str">
        <f>IFERROR(VLOOKUP(A1435,vlookup_table!$A:$G,5,FALSE),"")</f>
        <v>C2</v>
      </c>
      <c r="Q1435">
        <f>IFERROR(VLOOKUP(A1435,vlookup_table!$A:$G,7,FALSE),"")</f>
        <v>19</v>
      </c>
      <c r="R1435">
        <f t="shared" si="88"/>
        <v>78</v>
      </c>
      <c r="S1435" t="str" cm="1">
        <f t="array" ref="S1435">IF(P1435="","",_xlfn.SWITCH(LEFT(P1435,1),"C","Ciudad","T","Pueblo","R","Rural","S","Suburbano","U","Urbano",""))</f>
        <v>Ciudad</v>
      </c>
      <c r="T1435" t="str">
        <f t="shared" si="89"/>
        <v>M</v>
      </c>
      <c r="U1435" t="str">
        <f t="shared" si="90"/>
        <v>CA</v>
      </c>
      <c r="V1435" t="str">
        <f t="shared" si="91"/>
        <v>24681</v>
      </c>
    </row>
    <row r="1436" spans="1:22" x14ac:dyDescent="0.35">
      <c r="A1436">
        <v>122198</v>
      </c>
      <c r="B1436" t="s">
        <v>21</v>
      </c>
      <c r="C1436" t="s">
        <v>17</v>
      </c>
      <c r="D1436">
        <v>1329</v>
      </c>
      <c r="E1436">
        <v>685</v>
      </c>
      <c r="F1436">
        <v>743</v>
      </c>
      <c r="G1436">
        <v>1</v>
      </c>
      <c r="H1436">
        <v>21941</v>
      </c>
      <c r="I1436">
        <v>13</v>
      </c>
      <c r="J1436">
        <v>38</v>
      </c>
      <c r="K1436">
        <v>727</v>
      </c>
      <c r="L1436">
        <v>689</v>
      </c>
      <c r="M1436">
        <v>6.2</v>
      </c>
      <c r="N1436">
        <f>IFERROR(VLOOKUP(A1436,vlookup_table!$A:$G,2,FALSE),"")</f>
        <v>2</v>
      </c>
      <c r="O1436">
        <f>IFERROR(VLOOKUP(A1436,vlookup_table!$A:$G,4,FALSE),"")</f>
        <v>5601</v>
      </c>
      <c r="P1436" t="str">
        <f>IFERROR(VLOOKUP(A1436,vlookup_table!$A:$G,5,FALSE),"")</f>
        <v>C1</v>
      </c>
      <c r="Q1436">
        <f>IFERROR(VLOOKUP(A1436,vlookup_table!$A:$G,7,FALSE),"")</f>
        <v>6</v>
      </c>
      <c r="R1436">
        <f t="shared" si="88"/>
        <v>41</v>
      </c>
      <c r="S1436" t="str" cm="1">
        <f t="array" ref="S1436">IF(P1436="","",_xlfn.SWITCH(LEFT(P1436,1),"C","Ciudad","T","Pueblo","R","Rural","S","Suburbano","U","Urbano",""))</f>
        <v>Ciudad</v>
      </c>
      <c r="T1436" t="str">
        <f t="shared" si="89"/>
        <v>F</v>
      </c>
      <c r="U1436" t="str">
        <f t="shared" si="90"/>
        <v>TX</v>
      </c>
      <c r="V1436" t="str">
        <f t="shared" si="91"/>
        <v>21941</v>
      </c>
    </row>
    <row r="1437" spans="1:22" x14ac:dyDescent="0.35">
      <c r="A1437">
        <v>131537</v>
      </c>
      <c r="B1437" t="s">
        <v>43</v>
      </c>
      <c r="C1437" t="s">
        <v>17</v>
      </c>
      <c r="D1437">
        <v>408</v>
      </c>
      <c r="E1437">
        <v>215</v>
      </c>
      <c r="F1437">
        <v>286</v>
      </c>
      <c r="G1437">
        <v>1</v>
      </c>
      <c r="H1437">
        <v>9667</v>
      </c>
      <c r="I1437">
        <v>0</v>
      </c>
      <c r="J1437">
        <v>87</v>
      </c>
      <c r="K1437">
        <v>253</v>
      </c>
      <c r="L1437">
        <v>259</v>
      </c>
      <c r="M1437">
        <v>8.4444444440000002</v>
      </c>
      <c r="N1437">
        <f>IFERROR(VLOOKUP(A1437,vlookup_table!$A:$G,2,FALSE),"")</f>
        <v>0</v>
      </c>
      <c r="O1437">
        <f>IFERROR(VLOOKUP(A1437,vlookup_table!$A:$G,4,FALSE),"")</f>
        <v>0</v>
      </c>
      <c r="P1437" t="str">
        <f>IFERROR(VLOOKUP(A1437,vlookup_table!$A:$G,5,FALSE),"")</f>
        <v>C2</v>
      </c>
      <c r="Q1437">
        <f>IFERROR(VLOOKUP(A1437,vlookup_table!$A:$G,7,FALSE),"")</f>
        <v>7</v>
      </c>
      <c r="R1437">
        <f t="shared" si="88"/>
        <v>97</v>
      </c>
      <c r="S1437" t="str" cm="1">
        <f t="array" ref="S1437">IF(P1437="","",_xlfn.SWITCH(LEFT(P1437,1),"C","Ciudad","T","Pueblo","R","Rural","S","Suburbano","U","Urbano",""))</f>
        <v>Ciudad</v>
      </c>
      <c r="T1437" t="str">
        <f t="shared" si="89"/>
        <v>F</v>
      </c>
      <c r="U1437" t="str">
        <f t="shared" si="90"/>
        <v>AL</v>
      </c>
      <c r="V1437" t="str">
        <f t="shared" si="91"/>
        <v>9667</v>
      </c>
    </row>
    <row r="1438" spans="1:22" x14ac:dyDescent="0.35">
      <c r="A1438">
        <v>171609</v>
      </c>
      <c r="B1438" t="s">
        <v>22</v>
      </c>
      <c r="C1438" t="s">
        <v>17</v>
      </c>
      <c r="D1438">
        <v>1537</v>
      </c>
      <c r="E1438">
        <v>495</v>
      </c>
      <c r="F1438">
        <v>544</v>
      </c>
      <c r="G1438">
        <v>19</v>
      </c>
      <c r="H1438">
        <v>17689</v>
      </c>
      <c r="I1438">
        <v>13</v>
      </c>
      <c r="J1438">
        <v>58</v>
      </c>
      <c r="K1438">
        <v>509</v>
      </c>
      <c r="L1438">
        <v>528</v>
      </c>
      <c r="M1438">
        <v>13</v>
      </c>
      <c r="N1438">
        <f>IFERROR(VLOOKUP(A1438,vlookup_table!$A:$G,2,FALSE),"")</f>
        <v>0</v>
      </c>
      <c r="O1438">
        <f>IFERROR(VLOOKUP(A1438,vlookup_table!$A:$G,4,FALSE),"")</f>
        <v>4201</v>
      </c>
      <c r="P1438" t="str">
        <f>IFERROR(VLOOKUP(A1438,vlookup_table!$A:$G,5,FALSE),"")</f>
        <v>S1</v>
      </c>
      <c r="Q1438">
        <f>IFERROR(VLOOKUP(A1438,vlookup_table!$A:$G,7,FALSE),"")</f>
        <v>20</v>
      </c>
      <c r="R1438">
        <f t="shared" si="88"/>
        <v>55</v>
      </c>
      <c r="S1438" t="str" cm="1">
        <f t="array" ref="S1438">IF(P1438="","",_xlfn.SWITCH(LEFT(P1438,1),"C","Ciudad","T","Pueblo","R","Rural","S","Suburbano","U","Urbano",""))</f>
        <v>Suburbano</v>
      </c>
      <c r="T1438" t="str">
        <f t="shared" si="89"/>
        <v>F</v>
      </c>
      <c r="U1438" t="str">
        <f t="shared" si="90"/>
        <v>CA</v>
      </c>
      <c r="V1438" t="str">
        <f t="shared" si="91"/>
        <v>17689</v>
      </c>
    </row>
    <row r="1439" spans="1:22" x14ac:dyDescent="0.35">
      <c r="A1439">
        <v>47914</v>
      </c>
      <c r="B1439" t="s">
        <v>43</v>
      </c>
      <c r="C1439" t="s">
        <v>17</v>
      </c>
      <c r="D1439">
        <v>488</v>
      </c>
      <c r="E1439">
        <v>300</v>
      </c>
      <c r="F1439">
        <v>311</v>
      </c>
      <c r="G1439">
        <v>0</v>
      </c>
      <c r="H1439">
        <v>10516</v>
      </c>
      <c r="I1439">
        <v>0</v>
      </c>
      <c r="J1439">
        <v>82</v>
      </c>
      <c r="K1439">
        <v>314</v>
      </c>
      <c r="L1439">
        <v>282</v>
      </c>
      <c r="M1439">
        <v>4.7142857139999998</v>
      </c>
      <c r="N1439">
        <f>IFERROR(VLOOKUP(A1439,vlookup_table!$A:$G,2,FALSE),"")</f>
        <v>30</v>
      </c>
      <c r="O1439">
        <f>IFERROR(VLOOKUP(A1439,vlookup_table!$A:$G,4,FALSE),"")</f>
        <v>1901</v>
      </c>
      <c r="P1439" t="str">
        <f>IFERROR(VLOOKUP(A1439,vlookup_table!$A:$G,5,FALSE),"")</f>
        <v>T2</v>
      </c>
      <c r="Q1439">
        <f>IFERROR(VLOOKUP(A1439,vlookup_table!$A:$G,7,FALSE),"")</f>
        <v>5</v>
      </c>
      <c r="R1439">
        <f t="shared" si="88"/>
        <v>78</v>
      </c>
      <c r="S1439" t="str" cm="1">
        <f t="array" ref="S1439">IF(P1439="","",_xlfn.SWITCH(LEFT(P1439,1),"C","Ciudad","T","Pueblo","R","Rural","S","Suburbano","U","Urbano",""))</f>
        <v>Pueblo</v>
      </c>
      <c r="T1439" t="str">
        <f t="shared" si="89"/>
        <v>F</v>
      </c>
      <c r="U1439" t="str">
        <f t="shared" si="90"/>
        <v>AL</v>
      </c>
      <c r="V1439" t="str">
        <f t="shared" si="91"/>
        <v>10516</v>
      </c>
    </row>
    <row r="1440" spans="1:22" x14ac:dyDescent="0.35">
      <c r="A1440">
        <v>25226</v>
      </c>
      <c r="B1440" t="s">
        <v>46</v>
      </c>
      <c r="C1440" t="s">
        <v>14</v>
      </c>
      <c r="D1440">
        <v>799</v>
      </c>
      <c r="E1440">
        <v>429</v>
      </c>
      <c r="F1440">
        <v>467</v>
      </c>
      <c r="G1440">
        <v>0</v>
      </c>
      <c r="H1440">
        <v>15469</v>
      </c>
      <c r="I1440">
        <v>0</v>
      </c>
      <c r="J1440">
        <v>70</v>
      </c>
      <c r="K1440">
        <v>445</v>
      </c>
      <c r="L1440">
        <v>421</v>
      </c>
      <c r="M1440">
        <v>9.125</v>
      </c>
      <c r="N1440">
        <f>IFERROR(VLOOKUP(A1440,vlookup_table!$A:$G,2,FALSE),"")</f>
        <v>1</v>
      </c>
      <c r="O1440">
        <f>IFERROR(VLOOKUP(A1440,vlookup_table!$A:$G,4,FALSE),"")</f>
        <v>2703</v>
      </c>
      <c r="P1440" t="str">
        <f>IFERROR(VLOOKUP(A1440,vlookup_table!$A:$G,5,FALSE),"")</f>
        <v>T2</v>
      </c>
      <c r="Q1440" t="str">
        <f>IFERROR(VLOOKUP(A1440,vlookup_table!$A:$G,7,FALSE),"")</f>
        <v>12.5</v>
      </c>
      <c r="R1440">
        <f t="shared" si="88"/>
        <v>70</v>
      </c>
      <c r="S1440" t="str" cm="1">
        <f t="array" ref="S1440">IF(P1440="","",_xlfn.SWITCH(LEFT(P1440,1),"C","Ciudad","T","Pueblo","R","Rural","S","Suburbano","U","Urbano",""))</f>
        <v>Pueblo</v>
      </c>
      <c r="T1440" t="str">
        <f t="shared" si="89"/>
        <v>M</v>
      </c>
      <c r="U1440" t="str">
        <f t="shared" si="90"/>
        <v>SC</v>
      </c>
      <c r="V1440" t="str">
        <f t="shared" si="91"/>
        <v>15469</v>
      </c>
    </row>
    <row r="1441" spans="1:22" x14ac:dyDescent="0.35">
      <c r="A1441">
        <v>158567</v>
      </c>
      <c r="B1441" t="s">
        <v>22</v>
      </c>
      <c r="D1441">
        <v>1722</v>
      </c>
      <c r="E1441">
        <v>324</v>
      </c>
      <c r="F1441">
        <v>408</v>
      </c>
      <c r="G1441">
        <v>13</v>
      </c>
      <c r="H1441">
        <v>15603</v>
      </c>
      <c r="I1441">
        <v>10</v>
      </c>
      <c r="J1441">
        <v>62</v>
      </c>
      <c r="K1441">
        <v>406</v>
      </c>
      <c r="L1441">
        <v>365</v>
      </c>
      <c r="M1441">
        <v>6.0714285710000002</v>
      </c>
      <c r="N1441">
        <f>IFERROR(VLOOKUP(A1441,vlookup_table!$A:$G,2,FALSE),"")</f>
        <v>0</v>
      </c>
      <c r="O1441">
        <f>IFERROR(VLOOKUP(A1441,vlookup_table!$A:$G,4,FALSE),"")</f>
        <v>1110</v>
      </c>
      <c r="P1441" t="str">
        <f>IFERROR(VLOOKUP(A1441,vlookup_table!$A:$G,5,FALSE),"")</f>
        <v>S1</v>
      </c>
      <c r="Q1441">
        <f>IFERROR(VLOOKUP(A1441,vlookup_table!$A:$G,7,FALSE),"")</f>
        <v>6</v>
      </c>
      <c r="R1441">
        <f t="shared" si="88"/>
        <v>86</v>
      </c>
      <c r="S1441" t="str" cm="1">
        <f t="array" ref="S1441">IF(P1441="","",_xlfn.SWITCH(LEFT(P1441,1),"C","Ciudad","T","Pueblo","R","Rural","S","Suburbano","U","Urbano",""))</f>
        <v>Suburbano</v>
      </c>
      <c r="T1441" t="str">
        <f t="shared" si="89"/>
        <v/>
      </c>
      <c r="U1441" t="str">
        <f t="shared" si="90"/>
        <v>CA</v>
      </c>
      <c r="V1441" t="str">
        <f t="shared" si="91"/>
        <v>15603</v>
      </c>
    </row>
    <row r="1442" spans="1:22" x14ac:dyDescent="0.35">
      <c r="A1442">
        <v>103535</v>
      </c>
      <c r="B1442" t="s">
        <v>36</v>
      </c>
      <c r="C1442" t="s">
        <v>17</v>
      </c>
      <c r="D1442">
        <v>365</v>
      </c>
      <c r="E1442">
        <v>215</v>
      </c>
      <c r="F1442">
        <v>296</v>
      </c>
      <c r="G1442">
        <v>0</v>
      </c>
      <c r="H1442">
        <v>9330</v>
      </c>
      <c r="I1442">
        <v>0</v>
      </c>
      <c r="J1442">
        <v>70</v>
      </c>
      <c r="K1442">
        <v>249</v>
      </c>
      <c r="L1442">
        <v>269</v>
      </c>
      <c r="M1442">
        <v>13.33333333</v>
      </c>
      <c r="N1442">
        <f>IFERROR(VLOOKUP(A1442,vlookup_table!$A:$G,2,FALSE),"")</f>
        <v>2</v>
      </c>
      <c r="O1442">
        <f>IFERROR(VLOOKUP(A1442,vlookup_table!$A:$G,4,FALSE),"")</f>
        <v>3801</v>
      </c>
      <c r="P1442" t="str">
        <f>IFERROR(VLOOKUP(A1442,vlookup_table!$A:$G,5,FALSE),"")</f>
        <v>R3</v>
      </c>
      <c r="Q1442">
        <f>IFERROR(VLOOKUP(A1442,vlookup_table!$A:$G,7,FALSE),"")</f>
        <v>15</v>
      </c>
      <c r="R1442">
        <f t="shared" si="88"/>
        <v>59</v>
      </c>
      <c r="S1442" t="str" cm="1">
        <f t="array" ref="S1442">IF(P1442="","",_xlfn.SWITCH(LEFT(P1442,1),"C","Ciudad","T","Pueblo","R","Rural","S","Suburbano","U","Urbano",""))</f>
        <v>Rural</v>
      </c>
      <c r="T1442" t="str">
        <f t="shared" si="89"/>
        <v>F</v>
      </c>
      <c r="U1442" t="str">
        <f t="shared" si="90"/>
        <v>MO</v>
      </c>
      <c r="V1442" t="str">
        <f t="shared" si="91"/>
        <v>9330</v>
      </c>
    </row>
    <row r="1443" spans="1:22" x14ac:dyDescent="0.35">
      <c r="A1443">
        <v>13394</v>
      </c>
      <c r="B1443" t="s">
        <v>16</v>
      </c>
      <c r="C1443" t="s">
        <v>17</v>
      </c>
      <c r="D1443">
        <v>1204</v>
      </c>
      <c r="E1443">
        <v>444</v>
      </c>
      <c r="F1443">
        <v>557</v>
      </c>
      <c r="G1443">
        <v>5</v>
      </c>
      <c r="H1443">
        <v>18966</v>
      </c>
      <c r="I1443">
        <v>7</v>
      </c>
      <c r="J1443">
        <v>72</v>
      </c>
      <c r="K1443">
        <v>514</v>
      </c>
      <c r="L1443">
        <v>491</v>
      </c>
      <c r="M1443">
        <v>7.4</v>
      </c>
      <c r="N1443">
        <f>IFERROR(VLOOKUP(A1443,vlookup_table!$A:$G,2,FALSE),"")</f>
        <v>0</v>
      </c>
      <c r="O1443">
        <f>IFERROR(VLOOKUP(A1443,vlookup_table!$A:$G,4,FALSE),"")</f>
        <v>3001</v>
      </c>
      <c r="P1443" t="str">
        <f>IFERROR(VLOOKUP(A1443,vlookup_table!$A:$G,5,FALSE),"")</f>
        <v>S1</v>
      </c>
      <c r="Q1443">
        <f>IFERROR(VLOOKUP(A1443,vlookup_table!$A:$G,7,FALSE),"")</f>
        <v>15</v>
      </c>
      <c r="R1443">
        <f t="shared" si="88"/>
        <v>67</v>
      </c>
      <c r="S1443" t="str" cm="1">
        <f t="array" ref="S1443">IF(P1443="","",_xlfn.SWITCH(LEFT(P1443,1),"C","Ciudad","T","Pueblo","R","Rural","S","Suburbano","U","Urbano",""))</f>
        <v>Suburbano</v>
      </c>
      <c r="T1443" t="str">
        <f t="shared" si="89"/>
        <v>F</v>
      </c>
      <c r="U1443" t="str">
        <f t="shared" si="90"/>
        <v>IL</v>
      </c>
      <c r="V1443" t="str">
        <f t="shared" si="91"/>
        <v>18966</v>
      </c>
    </row>
    <row r="1444" spans="1:22" x14ac:dyDescent="0.35">
      <c r="A1444">
        <v>45870</v>
      </c>
      <c r="B1444" t="s">
        <v>13</v>
      </c>
      <c r="C1444" t="s">
        <v>14</v>
      </c>
      <c r="D1444">
        <v>518</v>
      </c>
      <c r="E1444">
        <v>184</v>
      </c>
      <c r="F1444">
        <v>264</v>
      </c>
      <c r="G1444">
        <v>0</v>
      </c>
      <c r="H1444">
        <v>11126</v>
      </c>
      <c r="I1444">
        <v>7</v>
      </c>
      <c r="J1444">
        <v>12</v>
      </c>
      <c r="K1444">
        <v>213</v>
      </c>
      <c r="L1444">
        <v>228</v>
      </c>
      <c r="M1444">
        <v>9.3333333330000006</v>
      </c>
      <c r="N1444">
        <f>IFERROR(VLOOKUP(A1444,vlookup_table!$A:$G,2,FALSE),"")</f>
        <v>1</v>
      </c>
      <c r="O1444">
        <f>IFERROR(VLOOKUP(A1444,vlookup_table!$A:$G,4,FALSE),"")</f>
        <v>3001</v>
      </c>
      <c r="P1444" t="str">
        <f>IFERROR(VLOOKUP(A1444,vlookup_table!$A:$G,5,FALSE),"")</f>
        <v>C3</v>
      </c>
      <c r="Q1444">
        <f>IFERROR(VLOOKUP(A1444,vlookup_table!$A:$G,7,FALSE),"")</f>
        <v>20</v>
      </c>
      <c r="R1444">
        <f t="shared" si="88"/>
        <v>67</v>
      </c>
      <c r="S1444" t="str" cm="1">
        <f t="array" ref="S1444">IF(P1444="","",_xlfn.SWITCH(LEFT(P1444,1),"C","Ciudad","T","Pueblo","R","Rural","S","Suburbano","U","Urbano",""))</f>
        <v>Ciudad</v>
      </c>
      <c r="T1444" t="str">
        <f t="shared" si="89"/>
        <v>M</v>
      </c>
      <c r="U1444" t="str">
        <f t="shared" si="90"/>
        <v>FL</v>
      </c>
      <c r="V1444" t="str">
        <f t="shared" si="91"/>
        <v>11126</v>
      </c>
    </row>
    <row r="1445" spans="1:22" x14ac:dyDescent="0.35">
      <c r="A1445">
        <v>169703</v>
      </c>
      <c r="B1445" t="s">
        <v>22</v>
      </c>
      <c r="C1445" t="s">
        <v>17</v>
      </c>
      <c r="D1445">
        <v>2486</v>
      </c>
      <c r="E1445">
        <v>475</v>
      </c>
      <c r="F1445">
        <v>543</v>
      </c>
      <c r="G1445">
        <v>73</v>
      </c>
      <c r="H1445">
        <v>26926</v>
      </c>
      <c r="I1445">
        <v>7</v>
      </c>
      <c r="J1445">
        <v>71</v>
      </c>
      <c r="K1445">
        <v>508</v>
      </c>
      <c r="L1445">
        <v>516</v>
      </c>
      <c r="M1445">
        <v>3.4919354839999999</v>
      </c>
      <c r="N1445">
        <f>IFERROR(VLOOKUP(A1445,vlookup_table!$A:$G,2,FALSE),"")</f>
        <v>0</v>
      </c>
      <c r="O1445">
        <f>IFERROR(VLOOKUP(A1445,vlookup_table!$A:$G,4,FALSE),"")</f>
        <v>1501</v>
      </c>
      <c r="P1445" t="str">
        <f>IFERROR(VLOOKUP(A1445,vlookup_table!$A:$G,5,FALSE),"")</f>
        <v>C2</v>
      </c>
      <c r="Q1445">
        <f>IFERROR(VLOOKUP(A1445,vlookup_table!$A:$G,7,FALSE),"")</f>
        <v>25</v>
      </c>
      <c r="R1445">
        <f t="shared" si="88"/>
        <v>82</v>
      </c>
      <c r="S1445" t="str" cm="1">
        <f t="array" ref="S1445">IF(P1445="","",_xlfn.SWITCH(LEFT(P1445,1),"C","Ciudad","T","Pueblo","R","Rural","S","Suburbano","U","Urbano",""))</f>
        <v>Ciudad</v>
      </c>
      <c r="T1445" t="str">
        <f t="shared" si="89"/>
        <v>F</v>
      </c>
      <c r="U1445" t="str">
        <f t="shared" si="90"/>
        <v>CA</v>
      </c>
      <c r="V1445" t="str">
        <f t="shared" si="91"/>
        <v>26926</v>
      </c>
    </row>
    <row r="1446" spans="1:22" x14ac:dyDescent="0.35">
      <c r="A1446">
        <v>147484</v>
      </c>
      <c r="B1446" t="s">
        <v>22</v>
      </c>
      <c r="C1446" t="s">
        <v>14</v>
      </c>
      <c r="D1446">
        <v>5439</v>
      </c>
      <c r="E1446">
        <v>984</v>
      </c>
      <c r="F1446">
        <v>1004</v>
      </c>
      <c r="G1446">
        <v>98</v>
      </c>
      <c r="H1446">
        <v>42403</v>
      </c>
      <c r="I1446">
        <v>18</v>
      </c>
      <c r="J1446">
        <v>45</v>
      </c>
      <c r="K1446">
        <v>1029</v>
      </c>
      <c r="L1446">
        <v>961</v>
      </c>
      <c r="M1446">
        <v>12.222222220000001</v>
      </c>
      <c r="N1446">
        <f>IFERROR(VLOOKUP(A1446,vlookup_table!$A:$G,2,FALSE),"")</f>
        <v>0</v>
      </c>
      <c r="O1446">
        <f>IFERROR(VLOOKUP(A1446,vlookup_table!$A:$G,4,FALSE),"")</f>
        <v>1601</v>
      </c>
      <c r="P1446" t="str">
        <f>IFERROR(VLOOKUP(A1446,vlookup_table!$A:$G,5,FALSE),"")</f>
        <v>S1</v>
      </c>
      <c r="Q1446">
        <f>IFERROR(VLOOKUP(A1446,vlookup_table!$A:$G,7,FALSE),"")</f>
        <v>12</v>
      </c>
      <c r="R1446">
        <f t="shared" si="88"/>
        <v>81</v>
      </c>
      <c r="S1446" t="str" cm="1">
        <f t="array" ref="S1446">IF(P1446="","",_xlfn.SWITCH(LEFT(P1446,1),"C","Ciudad","T","Pueblo","R","Rural","S","Suburbano","U","Urbano",""))</f>
        <v>Suburbano</v>
      </c>
      <c r="T1446" t="str">
        <f t="shared" si="89"/>
        <v>M</v>
      </c>
      <c r="U1446" t="str">
        <f t="shared" si="90"/>
        <v>CA</v>
      </c>
      <c r="V1446" t="str">
        <f t="shared" si="91"/>
        <v>42403</v>
      </c>
    </row>
    <row r="1447" spans="1:22" x14ac:dyDescent="0.35">
      <c r="A1447">
        <v>151907</v>
      </c>
      <c r="B1447" t="s">
        <v>22</v>
      </c>
      <c r="C1447" t="s">
        <v>17</v>
      </c>
      <c r="D1447">
        <v>3477</v>
      </c>
      <c r="E1447">
        <v>424</v>
      </c>
      <c r="F1447">
        <v>629</v>
      </c>
      <c r="G1447">
        <v>90</v>
      </c>
      <c r="H1447">
        <v>27103</v>
      </c>
      <c r="I1447">
        <v>14</v>
      </c>
      <c r="J1447">
        <v>37</v>
      </c>
      <c r="K1447">
        <v>601</v>
      </c>
      <c r="L1447">
        <v>528</v>
      </c>
      <c r="M1447">
        <v>5.4</v>
      </c>
      <c r="N1447">
        <f>IFERROR(VLOOKUP(A1447,vlookup_table!$A:$G,2,FALSE),"")</f>
        <v>0</v>
      </c>
      <c r="O1447">
        <f>IFERROR(VLOOKUP(A1447,vlookup_table!$A:$G,4,FALSE),"")</f>
        <v>5901</v>
      </c>
      <c r="P1447" t="str">
        <f>IFERROR(VLOOKUP(A1447,vlookup_table!$A:$G,5,FALSE),"")</f>
        <v>C1</v>
      </c>
      <c r="Q1447">
        <f>IFERROR(VLOOKUP(A1447,vlookup_table!$A:$G,7,FALSE),"")</f>
        <v>6</v>
      </c>
      <c r="R1447">
        <f t="shared" si="88"/>
        <v>38</v>
      </c>
      <c r="S1447" t="str" cm="1">
        <f t="array" ref="S1447">IF(P1447="","",_xlfn.SWITCH(LEFT(P1447,1),"C","Ciudad","T","Pueblo","R","Rural","S","Suburbano","U","Urbano",""))</f>
        <v>Ciudad</v>
      </c>
      <c r="T1447" t="str">
        <f t="shared" si="89"/>
        <v>F</v>
      </c>
      <c r="U1447" t="str">
        <f t="shared" si="90"/>
        <v>CA</v>
      </c>
      <c r="V1447" t="str">
        <f t="shared" si="91"/>
        <v>27103</v>
      </c>
    </row>
    <row r="1448" spans="1:22" x14ac:dyDescent="0.35">
      <c r="A1448">
        <v>152283</v>
      </c>
      <c r="B1448" t="s">
        <v>22</v>
      </c>
      <c r="C1448" t="s">
        <v>17</v>
      </c>
      <c r="D1448">
        <v>2813</v>
      </c>
      <c r="E1448">
        <v>313</v>
      </c>
      <c r="F1448">
        <v>474</v>
      </c>
      <c r="G1448">
        <v>81</v>
      </c>
      <c r="H1448">
        <v>23850</v>
      </c>
      <c r="I1448">
        <v>10</v>
      </c>
      <c r="J1448">
        <v>12</v>
      </c>
      <c r="K1448">
        <v>366</v>
      </c>
      <c r="L1448">
        <v>388</v>
      </c>
      <c r="M1448">
        <v>10</v>
      </c>
      <c r="N1448">
        <f>IFERROR(VLOOKUP(A1448,vlookup_table!$A:$G,2,FALSE),"")</f>
        <v>0</v>
      </c>
      <c r="O1448">
        <f>IFERROR(VLOOKUP(A1448,vlookup_table!$A:$G,4,FALSE),"")</f>
        <v>3604</v>
      </c>
      <c r="P1448" t="str">
        <f>IFERROR(VLOOKUP(A1448,vlookup_table!$A:$G,5,FALSE),"")</f>
        <v>C2</v>
      </c>
      <c r="Q1448">
        <f>IFERROR(VLOOKUP(A1448,vlookup_table!$A:$G,7,FALSE),"")</f>
        <v>10</v>
      </c>
      <c r="R1448">
        <f t="shared" si="88"/>
        <v>61</v>
      </c>
      <c r="S1448" t="str" cm="1">
        <f t="array" ref="S1448">IF(P1448="","",_xlfn.SWITCH(LEFT(P1448,1),"C","Ciudad","T","Pueblo","R","Rural","S","Suburbano","U","Urbano",""))</f>
        <v>Ciudad</v>
      </c>
      <c r="T1448" t="str">
        <f t="shared" si="89"/>
        <v>F</v>
      </c>
      <c r="U1448" t="str">
        <f t="shared" si="90"/>
        <v>CA</v>
      </c>
      <c r="V1448" t="str">
        <f t="shared" si="91"/>
        <v>23850</v>
      </c>
    </row>
    <row r="1449" spans="1:22" x14ac:dyDescent="0.35">
      <c r="A1449">
        <v>146742</v>
      </c>
      <c r="B1449" t="s">
        <v>22</v>
      </c>
      <c r="C1449" t="s">
        <v>14</v>
      </c>
      <c r="D1449">
        <v>3909</v>
      </c>
      <c r="E1449">
        <v>870</v>
      </c>
      <c r="F1449">
        <v>901</v>
      </c>
      <c r="G1449">
        <v>98</v>
      </c>
      <c r="H1449">
        <v>34835</v>
      </c>
      <c r="I1449">
        <v>16</v>
      </c>
      <c r="J1449">
        <v>45</v>
      </c>
      <c r="K1449">
        <v>886</v>
      </c>
      <c r="L1449">
        <v>878</v>
      </c>
      <c r="M1449">
        <v>11.28571429</v>
      </c>
      <c r="N1449">
        <f>IFERROR(VLOOKUP(A1449,vlookup_table!$A:$G,2,FALSE),"")</f>
        <v>1</v>
      </c>
      <c r="O1449">
        <f>IFERROR(VLOOKUP(A1449,vlookup_table!$A:$G,4,FALSE),"")</f>
        <v>3001</v>
      </c>
      <c r="P1449" t="str">
        <f>IFERROR(VLOOKUP(A1449,vlookup_table!$A:$G,5,FALSE),"")</f>
        <v>S1</v>
      </c>
      <c r="Q1449">
        <f>IFERROR(VLOOKUP(A1449,vlookup_table!$A:$G,7,FALSE),"")</f>
        <v>15</v>
      </c>
      <c r="R1449">
        <f t="shared" si="88"/>
        <v>67</v>
      </c>
      <c r="S1449" t="str" cm="1">
        <f t="array" ref="S1449">IF(P1449="","",_xlfn.SWITCH(LEFT(P1449,1),"C","Ciudad","T","Pueblo","R","Rural","S","Suburbano","U","Urbano",""))</f>
        <v>Suburbano</v>
      </c>
      <c r="T1449" t="str">
        <f t="shared" si="89"/>
        <v>M</v>
      </c>
      <c r="U1449" t="str">
        <f t="shared" si="90"/>
        <v>CA</v>
      </c>
      <c r="V1449" t="str">
        <f t="shared" si="91"/>
        <v>34835</v>
      </c>
    </row>
    <row r="1450" spans="1:22" x14ac:dyDescent="0.35">
      <c r="A1450">
        <v>68240</v>
      </c>
      <c r="B1450" t="s">
        <v>29</v>
      </c>
      <c r="C1450" t="s">
        <v>14</v>
      </c>
      <c r="D1450">
        <v>237</v>
      </c>
      <c r="E1450">
        <v>255</v>
      </c>
      <c r="F1450">
        <v>274</v>
      </c>
      <c r="G1450">
        <v>0</v>
      </c>
      <c r="H1450">
        <v>12378</v>
      </c>
      <c r="I1450">
        <v>3</v>
      </c>
      <c r="J1450">
        <v>58</v>
      </c>
      <c r="K1450">
        <v>250</v>
      </c>
      <c r="L1450">
        <v>274</v>
      </c>
      <c r="M1450">
        <v>12.84615385</v>
      </c>
      <c r="N1450">
        <f>IFERROR(VLOOKUP(A1450,vlookup_table!$A:$G,2,FALSE),"")</f>
        <v>0</v>
      </c>
      <c r="O1450">
        <f>IFERROR(VLOOKUP(A1450,vlookup_table!$A:$G,4,FALSE),"")</f>
        <v>3001</v>
      </c>
      <c r="P1450" t="str">
        <f>IFERROR(VLOOKUP(A1450,vlookup_table!$A:$G,5,FALSE),"")</f>
        <v>U4</v>
      </c>
      <c r="Q1450">
        <f>IFERROR(VLOOKUP(A1450,vlookup_table!$A:$G,7,FALSE),"")</f>
        <v>25</v>
      </c>
      <c r="R1450">
        <f t="shared" si="88"/>
        <v>67</v>
      </c>
      <c r="S1450" t="str" cm="1">
        <f t="array" ref="S1450">IF(P1450="","",_xlfn.SWITCH(LEFT(P1450,1),"C","Ciudad","T","Pueblo","R","Rural","S","Suburbano","U","Urbano",""))</f>
        <v>Urbano</v>
      </c>
      <c r="T1450" t="str">
        <f t="shared" si="89"/>
        <v>M</v>
      </c>
      <c r="U1450" t="str">
        <f t="shared" si="90"/>
        <v>MI</v>
      </c>
      <c r="V1450" t="str">
        <f t="shared" si="91"/>
        <v>12378</v>
      </c>
    </row>
    <row r="1451" spans="1:22" x14ac:dyDescent="0.35">
      <c r="A1451">
        <v>24975</v>
      </c>
      <c r="B1451" t="s">
        <v>46</v>
      </c>
      <c r="C1451" t="s">
        <v>17</v>
      </c>
      <c r="D1451">
        <v>545</v>
      </c>
      <c r="E1451">
        <v>302</v>
      </c>
      <c r="F1451">
        <v>338</v>
      </c>
      <c r="G1451">
        <v>1</v>
      </c>
      <c r="H1451">
        <v>12022</v>
      </c>
      <c r="I1451">
        <v>0</v>
      </c>
      <c r="J1451">
        <v>80</v>
      </c>
      <c r="K1451">
        <v>316</v>
      </c>
      <c r="L1451">
        <v>324</v>
      </c>
      <c r="M1451">
        <v>15</v>
      </c>
      <c r="N1451">
        <f>IFERROR(VLOOKUP(A1451,vlookup_table!$A:$G,2,FALSE),"")</f>
        <v>0</v>
      </c>
      <c r="O1451">
        <f>IFERROR(VLOOKUP(A1451,vlookup_table!$A:$G,4,FALSE),"")</f>
        <v>4401</v>
      </c>
      <c r="P1451" t="str">
        <f>IFERROR(VLOOKUP(A1451,vlookup_table!$A:$G,5,FALSE),"")</f>
        <v>R2</v>
      </c>
      <c r="Q1451">
        <f>IFERROR(VLOOKUP(A1451,vlookup_table!$A:$G,7,FALSE),"")</f>
        <v>20</v>
      </c>
      <c r="R1451">
        <f t="shared" si="88"/>
        <v>53</v>
      </c>
      <c r="S1451" t="str" cm="1">
        <f t="array" ref="S1451">IF(P1451="","",_xlfn.SWITCH(LEFT(P1451,1),"C","Ciudad","T","Pueblo","R","Rural","S","Suburbano","U","Urbano",""))</f>
        <v>Rural</v>
      </c>
      <c r="T1451" t="str">
        <f t="shared" si="89"/>
        <v>F</v>
      </c>
      <c r="U1451" t="str">
        <f t="shared" si="90"/>
        <v>SC</v>
      </c>
      <c r="V1451" t="str">
        <f t="shared" si="91"/>
        <v>12022</v>
      </c>
    </row>
    <row r="1452" spans="1:22" x14ac:dyDescent="0.35">
      <c r="A1452">
        <v>25027</v>
      </c>
      <c r="B1452" t="s">
        <v>46</v>
      </c>
      <c r="C1452" t="s">
        <v>14</v>
      </c>
      <c r="D1452">
        <v>482</v>
      </c>
      <c r="E1452">
        <v>239</v>
      </c>
      <c r="F1452">
        <v>335</v>
      </c>
      <c r="G1452">
        <v>1</v>
      </c>
      <c r="H1452">
        <v>11149</v>
      </c>
      <c r="I1452">
        <v>0</v>
      </c>
      <c r="J1452">
        <v>81</v>
      </c>
      <c r="K1452">
        <v>282</v>
      </c>
      <c r="L1452">
        <v>287</v>
      </c>
      <c r="M1452">
        <v>5.0714285710000002</v>
      </c>
      <c r="N1452">
        <f>IFERROR(VLOOKUP(A1452,vlookup_table!$A:$G,2,FALSE),"")</f>
        <v>0</v>
      </c>
      <c r="O1452">
        <f>IFERROR(VLOOKUP(A1452,vlookup_table!$A:$G,4,FALSE),"")</f>
        <v>5502</v>
      </c>
      <c r="P1452" t="str">
        <f>IFERROR(VLOOKUP(A1452,vlookup_table!$A:$G,5,FALSE),"")</f>
        <v>R2</v>
      </c>
      <c r="Q1452">
        <f>IFERROR(VLOOKUP(A1452,vlookup_table!$A:$G,7,FALSE),"")</f>
        <v>5</v>
      </c>
      <c r="R1452">
        <f t="shared" si="88"/>
        <v>42</v>
      </c>
      <c r="S1452" t="str" cm="1">
        <f t="array" ref="S1452">IF(P1452="","",_xlfn.SWITCH(LEFT(P1452,1),"C","Ciudad","T","Pueblo","R","Rural","S","Suburbano","U","Urbano",""))</f>
        <v>Rural</v>
      </c>
      <c r="T1452" t="str">
        <f t="shared" si="89"/>
        <v>M</v>
      </c>
      <c r="U1452" t="str">
        <f t="shared" si="90"/>
        <v>SC</v>
      </c>
      <c r="V1452" t="str">
        <f t="shared" si="91"/>
        <v>11149</v>
      </c>
    </row>
    <row r="1453" spans="1:22" x14ac:dyDescent="0.35">
      <c r="A1453">
        <v>184269</v>
      </c>
      <c r="B1453" t="s">
        <v>40</v>
      </c>
      <c r="D1453">
        <v>506</v>
      </c>
      <c r="E1453">
        <v>274</v>
      </c>
      <c r="F1453">
        <v>356</v>
      </c>
      <c r="G1453">
        <v>0</v>
      </c>
      <c r="H1453">
        <v>12932</v>
      </c>
      <c r="I1453">
        <v>11</v>
      </c>
      <c r="J1453">
        <v>37</v>
      </c>
      <c r="K1453">
        <v>320</v>
      </c>
      <c r="L1453">
        <v>310</v>
      </c>
      <c r="M1453">
        <v>10</v>
      </c>
      <c r="N1453">
        <f>IFERROR(VLOOKUP(A1453,vlookup_table!$A:$G,2,FALSE),"")</f>
        <v>0</v>
      </c>
      <c r="O1453">
        <f>IFERROR(VLOOKUP(A1453,vlookup_table!$A:$G,4,FALSE),"")</f>
        <v>1406</v>
      </c>
      <c r="P1453" t="str">
        <f>IFERROR(VLOOKUP(A1453,vlookup_table!$A:$G,5,FALSE),"")</f>
        <v>C2</v>
      </c>
      <c r="Q1453">
        <f>IFERROR(VLOOKUP(A1453,vlookup_table!$A:$G,7,FALSE),"")</f>
        <v>10</v>
      </c>
      <c r="R1453">
        <f t="shared" si="88"/>
        <v>83</v>
      </c>
      <c r="S1453" t="str" cm="1">
        <f t="array" ref="S1453">IF(P1453="","",_xlfn.SWITCH(LEFT(P1453,1),"C","Ciudad","T","Pueblo","R","Rural","S","Suburbano","U","Urbano",""))</f>
        <v>Ciudad</v>
      </c>
      <c r="T1453" t="str">
        <f t="shared" si="89"/>
        <v/>
      </c>
      <c r="U1453" t="str">
        <f t="shared" si="90"/>
        <v>WA</v>
      </c>
      <c r="V1453" t="str">
        <f t="shared" si="91"/>
        <v>12932</v>
      </c>
    </row>
    <row r="1454" spans="1:22" x14ac:dyDescent="0.35">
      <c r="A1454">
        <v>187915</v>
      </c>
      <c r="B1454" t="s">
        <v>58</v>
      </c>
      <c r="C1454" t="s">
        <v>17</v>
      </c>
      <c r="D1454">
        <v>1344</v>
      </c>
      <c r="E1454">
        <v>436</v>
      </c>
      <c r="F1454">
        <v>472</v>
      </c>
      <c r="G1454">
        <v>7</v>
      </c>
      <c r="H1454">
        <v>14568</v>
      </c>
      <c r="I1454">
        <v>4</v>
      </c>
      <c r="J1454">
        <v>75</v>
      </c>
      <c r="K1454">
        <v>468</v>
      </c>
      <c r="L1454">
        <v>439</v>
      </c>
      <c r="M1454">
        <v>3.9315384610000002</v>
      </c>
      <c r="N1454">
        <f>IFERROR(VLOOKUP(A1454,vlookup_table!$A:$G,2,FALSE),"")</f>
        <v>0</v>
      </c>
      <c r="O1454">
        <f>IFERROR(VLOOKUP(A1454,vlookup_table!$A:$G,4,FALSE),"")</f>
        <v>0</v>
      </c>
      <c r="P1454" t="str">
        <f>IFERROR(VLOOKUP(A1454,vlookup_table!$A:$G,5,FALSE),"")</f>
        <v>T2</v>
      </c>
      <c r="Q1454">
        <f>IFERROR(VLOOKUP(A1454,vlookup_table!$A:$G,7,FALSE),"")</f>
        <v>20</v>
      </c>
      <c r="R1454">
        <f t="shared" si="88"/>
        <v>97</v>
      </c>
      <c r="S1454" t="str" cm="1">
        <f t="array" ref="S1454">IF(P1454="","",_xlfn.SWITCH(LEFT(P1454,1),"C","Ciudad","T","Pueblo","R","Rural","S","Suburbano","U","Urbano",""))</f>
        <v>Pueblo</v>
      </c>
      <c r="T1454" t="str">
        <f t="shared" si="89"/>
        <v>F</v>
      </c>
      <c r="U1454" t="str">
        <f t="shared" si="90"/>
        <v>NJ</v>
      </c>
      <c r="V1454" t="str">
        <f t="shared" si="91"/>
        <v>14568</v>
      </c>
    </row>
    <row r="1455" spans="1:22" x14ac:dyDescent="0.35">
      <c r="A1455">
        <v>16972</v>
      </c>
      <c r="B1455" t="s">
        <v>18</v>
      </c>
      <c r="C1455" t="s">
        <v>14</v>
      </c>
      <c r="D1455">
        <v>621</v>
      </c>
      <c r="E1455">
        <v>267</v>
      </c>
      <c r="F1455">
        <v>352</v>
      </c>
      <c r="G1455">
        <v>0</v>
      </c>
      <c r="H1455">
        <v>11523</v>
      </c>
      <c r="I1455">
        <v>1</v>
      </c>
      <c r="J1455">
        <v>81</v>
      </c>
      <c r="K1455">
        <v>328</v>
      </c>
      <c r="L1455">
        <v>300</v>
      </c>
      <c r="M1455">
        <v>10.5875</v>
      </c>
      <c r="N1455">
        <f>IFERROR(VLOOKUP(A1455,vlookup_table!$A:$G,2,FALSE),"")</f>
        <v>1</v>
      </c>
      <c r="O1455">
        <f>IFERROR(VLOOKUP(A1455,vlookup_table!$A:$G,4,FALSE),"")</f>
        <v>5801</v>
      </c>
      <c r="P1455" t="str">
        <f>IFERROR(VLOOKUP(A1455,vlookup_table!$A:$G,5,FALSE),"")</f>
        <v>R2</v>
      </c>
      <c r="Q1455">
        <f>IFERROR(VLOOKUP(A1455,vlookup_table!$A:$G,7,FALSE),"")</f>
        <v>12</v>
      </c>
      <c r="R1455">
        <f t="shared" si="88"/>
        <v>39</v>
      </c>
      <c r="S1455" t="str" cm="1">
        <f t="array" ref="S1455">IF(P1455="","",_xlfn.SWITCH(LEFT(P1455,1),"C","Ciudad","T","Pueblo","R","Rural","S","Suburbano","U","Urbano",""))</f>
        <v>Rural</v>
      </c>
      <c r="T1455" t="str">
        <f t="shared" si="89"/>
        <v>M</v>
      </c>
      <c r="U1455" t="str">
        <f t="shared" si="90"/>
        <v>NC</v>
      </c>
      <c r="V1455" t="str">
        <f t="shared" si="91"/>
        <v>11523</v>
      </c>
    </row>
    <row r="1456" spans="1:22" x14ac:dyDescent="0.35">
      <c r="A1456">
        <v>126469</v>
      </c>
      <c r="B1456" t="s">
        <v>21</v>
      </c>
      <c r="C1456" t="s">
        <v>14</v>
      </c>
      <c r="D1456">
        <v>564</v>
      </c>
      <c r="E1456">
        <v>199</v>
      </c>
      <c r="F1456">
        <v>288</v>
      </c>
      <c r="G1456">
        <v>1</v>
      </c>
      <c r="H1456">
        <v>10369</v>
      </c>
      <c r="I1456">
        <v>7</v>
      </c>
      <c r="J1456">
        <v>73</v>
      </c>
      <c r="K1456">
        <v>207</v>
      </c>
      <c r="L1456">
        <v>274</v>
      </c>
      <c r="M1456">
        <v>8.730769231</v>
      </c>
      <c r="N1456">
        <f>IFERROR(VLOOKUP(A1456,vlookup_table!$A:$G,2,FALSE),"")</f>
        <v>0</v>
      </c>
      <c r="O1456">
        <f>IFERROR(VLOOKUP(A1456,vlookup_table!$A:$G,4,FALSE),"")</f>
        <v>1808</v>
      </c>
      <c r="P1456" t="str">
        <f>IFERROR(VLOOKUP(A1456,vlookup_table!$A:$G,5,FALSE),"")</f>
        <v>C1</v>
      </c>
      <c r="Q1456">
        <f>IFERROR(VLOOKUP(A1456,vlookup_table!$A:$G,7,FALSE),"")</f>
        <v>15</v>
      </c>
      <c r="R1456">
        <f t="shared" si="88"/>
        <v>79</v>
      </c>
      <c r="S1456" t="str" cm="1">
        <f t="array" ref="S1456">IF(P1456="","",_xlfn.SWITCH(LEFT(P1456,1),"C","Ciudad","T","Pueblo","R","Rural","S","Suburbano","U","Urbano",""))</f>
        <v>Ciudad</v>
      </c>
      <c r="T1456" t="str">
        <f t="shared" si="89"/>
        <v>M</v>
      </c>
      <c r="U1456" t="str">
        <f t="shared" si="90"/>
        <v>TX</v>
      </c>
      <c r="V1456" t="str">
        <f t="shared" si="91"/>
        <v>10369</v>
      </c>
    </row>
    <row r="1457" spans="1:22" x14ac:dyDescent="0.35">
      <c r="A1457">
        <v>42548</v>
      </c>
      <c r="B1457" t="s">
        <v>13</v>
      </c>
      <c r="C1457" t="s">
        <v>17</v>
      </c>
      <c r="D1457">
        <v>398</v>
      </c>
      <c r="E1457">
        <v>193</v>
      </c>
      <c r="F1457">
        <v>210</v>
      </c>
      <c r="G1457">
        <v>0</v>
      </c>
      <c r="H1457">
        <v>6768</v>
      </c>
      <c r="I1457">
        <v>8</v>
      </c>
      <c r="J1457">
        <v>42</v>
      </c>
      <c r="K1457">
        <v>207</v>
      </c>
      <c r="L1457">
        <v>195</v>
      </c>
      <c r="M1457">
        <v>8.769230769</v>
      </c>
      <c r="N1457">
        <f>IFERROR(VLOOKUP(A1457,vlookup_table!$A:$G,2,FALSE),"")</f>
        <v>0</v>
      </c>
      <c r="O1457">
        <f>IFERROR(VLOOKUP(A1457,vlookup_table!$A:$G,4,FALSE),"")</f>
        <v>2401</v>
      </c>
      <c r="P1457" t="str">
        <f>IFERROR(VLOOKUP(A1457,vlookup_table!$A:$G,5,FALSE),"")</f>
        <v>T3</v>
      </c>
      <c r="Q1457">
        <f>IFERROR(VLOOKUP(A1457,vlookup_table!$A:$G,7,FALSE),"")</f>
        <v>11</v>
      </c>
      <c r="R1457">
        <f t="shared" si="88"/>
        <v>73</v>
      </c>
      <c r="S1457" t="str" cm="1">
        <f t="array" ref="S1457">IF(P1457="","",_xlfn.SWITCH(LEFT(P1457,1),"C","Ciudad","T","Pueblo","R","Rural","S","Suburbano","U","Urbano",""))</f>
        <v>Pueblo</v>
      </c>
      <c r="T1457" t="str">
        <f t="shared" si="89"/>
        <v>F</v>
      </c>
      <c r="U1457" t="str">
        <f t="shared" si="90"/>
        <v>FL</v>
      </c>
      <c r="V1457" t="str">
        <f t="shared" si="91"/>
        <v>6768</v>
      </c>
    </row>
    <row r="1458" spans="1:22" x14ac:dyDescent="0.35">
      <c r="A1458">
        <v>72416</v>
      </c>
      <c r="B1458" t="s">
        <v>29</v>
      </c>
      <c r="C1458" t="s">
        <v>14</v>
      </c>
      <c r="D1458">
        <v>667</v>
      </c>
      <c r="E1458">
        <v>333</v>
      </c>
      <c r="F1458">
        <v>395</v>
      </c>
      <c r="G1458">
        <v>0</v>
      </c>
      <c r="H1458">
        <v>12506</v>
      </c>
      <c r="I1458">
        <v>4</v>
      </c>
      <c r="J1458">
        <v>68</v>
      </c>
      <c r="K1458">
        <v>380</v>
      </c>
      <c r="L1458">
        <v>345</v>
      </c>
      <c r="M1458">
        <v>6.7222222220000001</v>
      </c>
      <c r="N1458">
        <f>IFERROR(VLOOKUP(A1458,vlookup_table!$A:$G,2,FALSE),"")</f>
        <v>1002</v>
      </c>
      <c r="O1458">
        <f>IFERROR(VLOOKUP(A1458,vlookup_table!$A:$G,4,FALSE),"")</f>
        <v>1606</v>
      </c>
      <c r="P1458" t="str">
        <f>IFERROR(VLOOKUP(A1458,vlookup_table!$A:$G,5,FALSE),"")</f>
        <v>R2</v>
      </c>
      <c r="Q1458">
        <f>IFERROR(VLOOKUP(A1458,vlookup_table!$A:$G,7,FALSE),"")</f>
        <v>5</v>
      </c>
      <c r="R1458">
        <f t="shared" si="88"/>
        <v>81</v>
      </c>
      <c r="S1458" t="str" cm="1">
        <f t="array" ref="S1458">IF(P1458="","",_xlfn.SWITCH(LEFT(P1458,1),"C","Ciudad","T","Pueblo","R","Rural","S","Suburbano","U","Urbano",""))</f>
        <v>Rural</v>
      </c>
      <c r="T1458" t="str">
        <f t="shared" si="89"/>
        <v>M</v>
      </c>
      <c r="U1458" t="str">
        <f t="shared" si="90"/>
        <v>MI</v>
      </c>
      <c r="V1458" t="str">
        <f t="shared" si="91"/>
        <v>12506</v>
      </c>
    </row>
    <row r="1459" spans="1:22" x14ac:dyDescent="0.35">
      <c r="A1459">
        <v>118163</v>
      </c>
      <c r="B1459" t="s">
        <v>21</v>
      </c>
      <c r="C1459" t="s">
        <v>14</v>
      </c>
      <c r="D1459">
        <v>948</v>
      </c>
      <c r="E1459">
        <v>545</v>
      </c>
      <c r="F1459">
        <v>684</v>
      </c>
      <c r="G1459">
        <v>1</v>
      </c>
      <c r="H1459">
        <v>20038</v>
      </c>
      <c r="I1459">
        <v>8</v>
      </c>
      <c r="J1459">
        <v>54</v>
      </c>
      <c r="K1459">
        <v>604</v>
      </c>
      <c r="L1459">
        <v>655</v>
      </c>
      <c r="M1459">
        <v>5</v>
      </c>
      <c r="N1459">
        <f>IFERROR(VLOOKUP(A1459,vlookup_table!$A:$G,2,FALSE),"")</f>
        <v>2</v>
      </c>
      <c r="O1459">
        <f>IFERROR(VLOOKUP(A1459,vlookup_table!$A:$G,4,FALSE),"")</f>
        <v>0</v>
      </c>
      <c r="P1459" t="str">
        <f>IFERROR(VLOOKUP(A1459,vlookup_table!$A:$G,5,FALSE),"")</f>
        <v>R2</v>
      </c>
      <c r="Q1459">
        <f>IFERROR(VLOOKUP(A1459,vlookup_table!$A:$G,7,FALSE),"")</f>
        <v>5</v>
      </c>
      <c r="R1459">
        <f t="shared" si="88"/>
        <v>97</v>
      </c>
      <c r="S1459" t="str" cm="1">
        <f t="array" ref="S1459">IF(P1459="","",_xlfn.SWITCH(LEFT(P1459,1),"C","Ciudad","T","Pueblo","R","Rural","S","Suburbano","U","Urbano",""))</f>
        <v>Rural</v>
      </c>
      <c r="T1459" t="str">
        <f t="shared" si="89"/>
        <v>M</v>
      </c>
      <c r="U1459" t="str">
        <f t="shared" si="90"/>
        <v>TX</v>
      </c>
      <c r="V1459" t="str">
        <f t="shared" si="91"/>
        <v>20038</v>
      </c>
    </row>
    <row r="1460" spans="1:22" x14ac:dyDescent="0.35">
      <c r="A1460">
        <v>174833</v>
      </c>
      <c r="B1460" t="s">
        <v>50</v>
      </c>
      <c r="C1460" t="s">
        <v>17</v>
      </c>
      <c r="D1460">
        <v>953</v>
      </c>
      <c r="E1460">
        <v>319</v>
      </c>
      <c r="F1460">
        <v>455</v>
      </c>
      <c r="G1460">
        <v>1</v>
      </c>
      <c r="H1460">
        <v>15729</v>
      </c>
      <c r="I1460">
        <v>3</v>
      </c>
      <c r="J1460">
        <v>45</v>
      </c>
      <c r="K1460">
        <v>379</v>
      </c>
      <c r="L1460">
        <v>387</v>
      </c>
      <c r="M1460">
        <v>13.2</v>
      </c>
      <c r="N1460">
        <f>IFERROR(VLOOKUP(A1460,vlookup_table!$A:$G,2,FALSE),"")</f>
        <v>2</v>
      </c>
      <c r="O1460">
        <f>IFERROR(VLOOKUP(A1460,vlookup_table!$A:$G,4,FALSE),"")</f>
        <v>2002</v>
      </c>
      <c r="P1460" t="str">
        <f>IFERROR(VLOOKUP(A1460,vlookup_table!$A:$G,5,FALSE),"")</f>
        <v>S2</v>
      </c>
      <c r="Q1460">
        <f>IFERROR(VLOOKUP(A1460,vlookup_table!$A:$G,7,FALSE),"")</f>
        <v>20</v>
      </c>
      <c r="R1460">
        <f t="shared" si="88"/>
        <v>77</v>
      </c>
      <c r="S1460" t="str" cm="1">
        <f t="array" ref="S1460">IF(P1460="","",_xlfn.SWITCH(LEFT(P1460,1),"C","Ciudad","T","Pueblo","R","Rural","S","Suburbano","U","Urbano",""))</f>
        <v>Suburbano</v>
      </c>
      <c r="T1460" t="str">
        <f t="shared" si="89"/>
        <v>F</v>
      </c>
      <c r="U1460" t="str">
        <f t="shared" si="90"/>
        <v>OR</v>
      </c>
      <c r="V1460" t="str">
        <f t="shared" si="91"/>
        <v>15729</v>
      </c>
    </row>
    <row r="1461" spans="1:22" x14ac:dyDescent="0.35">
      <c r="A1461">
        <v>19623</v>
      </c>
      <c r="B1461" t="s">
        <v>18</v>
      </c>
      <c r="C1461" t="s">
        <v>20</v>
      </c>
      <c r="D1461">
        <v>1070</v>
      </c>
      <c r="E1461">
        <v>384</v>
      </c>
      <c r="F1461">
        <v>476</v>
      </c>
      <c r="G1461">
        <v>24</v>
      </c>
      <c r="H1461">
        <v>17806</v>
      </c>
      <c r="I1461">
        <v>1</v>
      </c>
      <c r="J1461">
        <v>67</v>
      </c>
      <c r="K1461">
        <v>420</v>
      </c>
      <c r="L1461">
        <v>435</v>
      </c>
      <c r="M1461">
        <v>6.5333333329999999</v>
      </c>
      <c r="N1461">
        <f>IFERROR(VLOOKUP(A1461,vlookup_table!$A:$G,2,FALSE),"")</f>
        <v>0</v>
      </c>
      <c r="O1461">
        <f>IFERROR(VLOOKUP(A1461,vlookup_table!$A:$G,4,FALSE),"")</f>
        <v>6201</v>
      </c>
      <c r="P1461" t="str">
        <f>IFERROR(VLOOKUP(A1461,vlookup_table!$A:$G,5,FALSE),"")</f>
        <v>T1</v>
      </c>
      <c r="Q1461">
        <f>IFERROR(VLOOKUP(A1461,vlookup_table!$A:$G,7,FALSE),"")</f>
        <v>14</v>
      </c>
      <c r="R1461">
        <f t="shared" si="88"/>
        <v>35</v>
      </c>
      <c r="S1461" t="str" cm="1">
        <f t="array" ref="S1461">IF(P1461="","",_xlfn.SWITCH(LEFT(P1461,1),"C","Ciudad","T","Pueblo","R","Rural","S","Suburbano","U","Urbano",""))</f>
        <v>Pueblo</v>
      </c>
      <c r="T1461" t="str">
        <f t="shared" si="89"/>
        <v>F</v>
      </c>
      <c r="U1461" t="str">
        <f t="shared" si="90"/>
        <v>NC</v>
      </c>
      <c r="V1461" t="str">
        <f t="shared" si="91"/>
        <v>17806</v>
      </c>
    </row>
    <row r="1462" spans="1:22" x14ac:dyDescent="0.35">
      <c r="A1462">
        <v>159506</v>
      </c>
      <c r="B1462" t="s">
        <v>22</v>
      </c>
      <c r="C1462" t="s">
        <v>14</v>
      </c>
      <c r="D1462">
        <v>1029</v>
      </c>
      <c r="E1462">
        <v>415</v>
      </c>
      <c r="F1462">
        <v>413</v>
      </c>
      <c r="G1462">
        <v>5</v>
      </c>
      <c r="H1462">
        <v>17789</v>
      </c>
      <c r="I1462">
        <v>2</v>
      </c>
      <c r="J1462">
        <v>64</v>
      </c>
      <c r="K1462">
        <v>401</v>
      </c>
      <c r="L1462">
        <v>408</v>
      </c>
      <c r="M1462">
        <v>5.1333333330000004</v>
      </c>
      <c r="N1462">
        <f>IFERROR(VLOOKUP(A1462,vlookup_table!$A:$G,2,FALSE),"")</f>
        <v>1</v>
      </c>
      <c r="O1462">
        <f>IFERROR(VLOOKUP(A1462,vlookup_table!$A:$G,4,FALSE),"")</f>
        <v>0</v>
      </c>
      <c r="P1462" t="str">
        <f>IFERROR(VLOOKUP(A1462,vlookup_table!$A:$G,5,FALSE),"")</f>
        <v>R2</v>
      </c>
      <c r="Q1462">
        <f>IFERROR(VLOOKUP(A1462,vlookup_table!$A:$G,7,FALSE),"")</f>
        <v>10</v>
      </c>
      <c r="R1462">
        <f t="shared" si="88"/>
        <v>97</v>
      </c>
      <c r="S1462" t="str" cm="1">
        <f t="array" ref="S1462">IF(P1462="","",_xlfn.SWITCH(LEFT(P1462,1),"C","Ciudad","T","Pueblo","R","Rural","S","Suburbano","U","Urbano",""))</f>
        <v>Rural</v>
      </c>
      <c r="T1462" t="str">
        <f t="shared" si="89"/>
        <v>M</v>
      </c>
      <c r="U1462" t="str">
        <f t="shared" si="90"/>
        <v>CA</v>
      </c>
      <c r="V1462" t="str">
        <f t="shared" si="91"/>
        <v>17789</v>
      </c>
    </row>
    <row r="1463" spans="1:22" x14ac:dyDescent="0.35">
      <c r="A1463">
        <v>153743</v>
      </c>
      <c r="B1463" t="s">
        <v>22</v>
      </c>
      <c r="C1463" t="s">
        <v>14</v>
      </c>
      <c r="D1463">
        <v>1325</v>
      </c>
      <c r="E1463">
        <v>381</v>
      </c>
      <c r="F1463">
        <v>464</v>
      </c>
      <c r="G1463">
        <v>4</v>
      </c>
      <c r="H1463">
        <v>19380</v>
      </c>
      <c r="I1463">
        <v>18</v>
      </c>
      <c r="J1463">
        <v>38</v>
      </c>
      <c r="K1463">
        <v>458</v>
      </c>
      <c r="L1463">
        <v>403</v>
      </c>
      <c r="M1463">
        <v>16.352941179999998</v>
      </c>
      <c r="N1463">
        <f>IFERROR(VLOOKUP(A1463,vlookup_table!$A:$G,2,FALSE),"")</f>
        <v>0</v>
      </c>
      <c r="O1463">
        <f>IFERROR(VLOOKUP(A1463,vlookup_table!$A:$G,4,FALSE),"")</f>
        <v>5901</v>
      </c>
      <c r="P1463" t="str">
        <f>IFERROR(VLOOKUP(A1463,vlookup_table!$A:$G,5,FALSE),"")</f>
        <v>S1</v>
      </c>
      <c r="Q1463">
        <f>IFERROR(VLOOKUP(A1463,vlookup_table!$A:$G,7,FALSE),"")</f>
        <v>26</v>
      </c>
      <c r="R1463">
        <f t="shared" si="88"/>
        <v>38</v>
      </c>
      <c r="S1463" t="str" cm="1">
        <f t="array" ref="S1463">IF(P1463="","",_xlfn.SWITCH(LEFT(P1463,1),"C","Ciudad","T","Pueblo","R","Rural","S","Suburbano","U","Urbano",""))</f>
        <v>Suburbano</v>
      </c>
      <c r="T1463" t="str">
        <f t="shared" si="89"/>
        <v>M</v>
      </c>
      <c r="U1463" t="str">
        <f t="shared" si="90"/>
        <v>CA</v>
      </c>
      <c r="V1463" t="str">
        <f t="shared" si="91"/>
        <v>19380</v>
      </c>
    </row>
    <row r="1464" spans="1:22" x14ac:dyDescent="0.35">
      <c r="A1464">
        <v>100447</v>
      </c>
      <c r="B1464" t="s">
        <v>36</v>
      </c>
      <c r="C1464" t="s">
        <v>17</v>
      </c>
      <c r="D1464">
        <v>806</v>
      </c>
      <c r="E1464">
        <v>357</v>
      </c>
      <c r="F1464">
        <v>441</v>
      </c>
      <c r="G1464">
        <v>0</v>
      </c>
      <c r="H1464">
        <v>14575</v>
      </c>
      <c r="I1464">
        <v>4</v>
      </c>
      <c r="J1464">
        <v>81</v>
      </c>
      <c r="K1464">
        <v>393</v>
      </c>
      <c r="L1464">
        <v>386</v>
      </c>
      <c r="M1464">
        <v>4</v>
      </c>
      <c r="N1464">
        <f>IFERROR(VLOOKUP(A1464,vlookup_table!$A:$G,2,FALSE),"")</f>
        <v>0</v>
      </c>
      <c r="O1464">
        <f>IFERROR(VLOOKUP(A1464,vlookup_table!$A:$G,4,FALSE),"")</f>
        <v>5401</v>
      </c>
      <c r="P1464" t="str">
        <f>IFERROR(VLOOKUP(A1464,vlookup_table!$A:$G,5,FALSE),"")</f>
        <v>S2</v>
      </c>
      <c r="Q1464">
        <f>IFERROR(VLOOKUP(A1464,vlookup_table!$A:$G,7,FALSE),"")</f>
        <v>3</v>
      </c>
      <c r="R1464">
        <f t="shared" si="88"/>
        <v>43</v>
      </c>
      <c r="S1464" t="str" cm="1">
        <f t="array" ref="S1464">IF(P1464="","",_xlfn.SWITCH(LEFT(P1464,1),"C","Ciudad","T","Pueblo","R","Rural","S","Suburbano","U","Urbano",""))</f>
        <v>Suburbano</v>
      </c>
      <c r="T1464" t="str">
        <f t="shared" si="89"/>
        <v>F</v>
      </c>
      <c r="U1464" t="str">
        <f t="shared" si="90"/>
        <v>MO</v>
      </c>
      <c r="V1464" t="str">
        <f t="shared" si="91"/>
        <v>14575</v>
      </c>
    </row>
    <row r="1465" spans="1:22" x14ac:dyDescent="0.35">
      <c r="A1465">
        <v>126403</v>
      </c>
      <c r="B1465" t="s">
        <v>21</v>
      </c>
      <c r="C1465" t="s">
        <v>17</v>
      </c>
      <c r="D1465">
        <v>339</v>
      </c>
      <c r="E1465">
        <v>158</v>
      </c>
      <c r="F1465">
        <v>207</v>
      </c>
      <c r="G1465">
        <v>0</v>
      </c>
      <c r="H1465">
        <v>5445</v>
      </c>
      <c r="I1465">
        <v>27</v>
      </c>
      <c r="J1465">
        <v>58</v>
      </c>
      <c r="K1465">
        <v>161</v>
      </c>
      <c r="L1465">
        <v>212</v>
      </c>
      <c r="M1465">
        <v>8.25</v>
      </c>
      <c r="N1465">
        <f>IFERROR(VLOOKUP(A1465,vlookup_table!$A:$G,2,FALSE),"")</f>
        <v>2</v>
      </c>
      <c r="O1465">
        <f>IFERROR(VLOOKUP(A1465,vlookup_table!$A:$G,4,FALSE),"")</f>
        <v>2403</v>
      </c>
      <c r="P1465" t="str">
        <f>IFERROR(VLOOKUP(A1465,vlookup_table!$A:$G,5,FALSE),"")</f>
        <v>C3</v>
      </c>
      <c r="Q1465">
        <f>IFERROR(VLOOKUP(A1465,vlookup_table!$A:$G,7,FALSE),"")</f>
        <v>10</v>
      </c>
      <c r="R1465">
        <f t="shared" si="88"/>
        <v>73</v>
      </c>
      <c r="S1465" t="str" cm="1">
        <f t="array" ref="S1465">IF(P1465="","",_xlfn.SWITCH(LEFT(P1465,1),"C","Ciudad","T","Pueblo","R","Rural","S","Suburbano","U","Urbano",""))</f>
        <v>Ciudad</v>
      </c>
      <c r="T1465" t="str">
        <f t="shared" si="89"/>
        <v>F</v>
      </c>
      <c r="U1465" t="str">
        <f t="shared" si="90"/>
        <v>TX</v>
      </c>
      <c r="V1465" t="str">
        <f t="shared" si="91"/>
        <v>5445</v>
      </c>
    </row>
    <row r="1466" spans="1:22" x14ac:dyDescent="0.35">
      <c r="A1466">
        <v>77695</v>
      </c>
      <c r="B1466" t="s">
        <v>35</v>
      </c>
      <c r="C1466" t="s">
        <v>51</v>
      </c>
      <c r="D1466">
        <v>1040</v>
      </c>
      <c r="E1466">
        <v>492</v>
      </c>
      <c r="F1466">
        <v>569</v>
      </c>
      <c r="G1466">
        <v>5</v>
      </c>
      <c r="H1466">
        <v>18196</v>
      </c>
      <c r="I1466">
        <v>2</v>
      </c>
      <c r="J1466">
        <v>79</v>
      </c>
      <c r="K1466">
        <v>505</v>
      </c>
      <c r="L1466">
        <v>549</v>
      </c>
      <c r="M1466">
        <v>15</v>
      </c>
      <c r="N1466">
        <f>IFERROR(VLOOKUP(A1466,vlookup_table!$A:$G,2,FALSE),"")</f>
        <v>1</v>
      </c>
      <c r="O1466">
        <f>IFERROR(VLOOKUP(A1466,vlookup_table!$A:$G,4,FALSE),"")</f>
        <v>5801</v>
      </c>
      <c r="P1466" t="str">
        <f>IFERROR(VLOOKUP(A1466,vlookup_table!$A:$G,5,FALSE),"")</f>
        <v>T1</v>
      </c>
      <c r="Q1466">
        <f>IFERROR(VLOOKUP(A1466,vlookup_table!$A:$G,7,FALSE),"")</f>
        <v>20</v>
      </c>
      <c r="R1466">
        <f t="shared" si="88"/>
        <v>39</v>
      </c>
      <c r="S1466" t="str" cm="1">
        <f t="array" ref="S1466">IF(P1466="","",_xlfn.SWITCH(LEFT(P1466,1),"C","Ciudad","T","Pueblo","R","Rural","S","Suburbano","U","Urbano",""))</f>
        <v>Pueblo</v>
      </c>
      <c r="T1466" t="str">
        <f t="shared" si="89"/>
        <v>M</v>
      </c>
      <c r="U1466" t="str">
        <f t="shared" si="90"/>
        <v>WI</v>
      </c>
      <c r="V1466" t="str">
        <f t="shared" si="91"/>
        <v>18196</v>
      </c>
    </row>
    <row r="1467" spans="1:22" x14ac:dyDescent="0.35">
      <c r="A1467">
        <v>18266</v>
      </c>
      <c r="B1467" t="s">
        <v>18</v>
      </c>
      <c r="C1467" t="s">
        <v>14</v>
      </c>
      <c r="D1467">
        <v>487</v>
      </c>
      <c r="E1467">
        <v>273</v>
      </c>
      <c r="F1467">
        <v>314</v>
      </c>
      <c r="G1467">
        <v>0</v>
      </c>
      <c r="H1467">
        <v>13272</v>
      </c>
      <c r="I1467">
        <v>1</v>
      </c>
      <c r="J1467">
        <v>76</v>
      </c>
      <c r="K1467">
        <v>308</v>
      </c>
      <c r="L1467">
        <v>275</v>
      </c>
      <c r="M1467">
        <v>5</v>
      </c>
      <c r="N1467">
        <f>IFERROR(VLOOKUP(A1467,vlookup_table!$A:$G,2,FALSE),"")</f>
        <v>0</v>
      </c>
      <c r="O1467">
        <f>IFERROR(VLOOKUP(A1467,vlookup_table!$A:$G,4,FALSE),"")</f>
        <v>2505</v>
      </c>
      <c r="P1467" t="str">
        <f>IFERROR(VLOOKUP(A1467,vlookup_table!$A:$G,5,FALSE),"")</f>
        <v>C3</v>
      </c>
      <c r="Q1467">
        <f>IFERROR(VLOOKUP(A1467,vlookup_table!$A:$G,7,FALSE),"")</f>
        <v>5</v>
      </c>
      <c r="R1467">
        <f t="shared" si="88"/>
        <v>72</v>
      </c>
      <c r="S1467" t="str" cm="1">
        <f t="array" ref="S1467">IF(P1467="","",_xlfn.SWITCH(LEFT(P1467,1),"C","Ciudad","T","Pueblo","R","Rural","S","Suburbano","U","Urbano",""))</f>
        <v>Ciudad</v>
      </c>
      <c r="T1467" t="str">
        <f t="shared" si="89"/>
        <v>M</v>
      </c>
      <c r="U1467" t="str">
        <f t="shared" si="90"/>
        <v>NC</v>
      </c>
      <c r="V1467" t="str">
        <f t="shared" si="91"/>
        <v>13272</v>
      </c>
    </row>
    <row r="1468" spans="1:22" x14ac:dyDescent="0.35">
      <c r="A1468">
        <v>80893</v>
      </c>
      <c r="B1468" t="s">
        <v>35</v>
      </c>
      <c r="C1468" t="s">
        <v>51</v>
      </c>
      <c r="D1468">
        <v>498</v>
      </c>
      <c r="E1468">
        <v>278</v>
      </c>
      <c r="F1468">
        <v>390</v>
      </c>
      <c r="G1468">
        <v>0</v>
      </c>
      <c r="H1468">
        <v>13894</v>
      </c>
      <c r="I1468">
        <v>0</v>
      </c>
      <c r="J1468">
        <v>87</v>
      </c>
      <c r="K1468">
        <v>348</v>
      </c>
      <c r="L1468">
        <v>357</v>
      </c>
      <c r="M1468">
        <v>8.3333333330000006</v>
      </c>
      <c r="N1468">
        <f>IFERROR(VLOOKUP(A1468,vlookup_table!$A:$G,2,FALSE),"")</f>
        <v>1</v>
      </c>
      <c r="O1468">
        <f>IFERROR(VLOOKUP(A1468,vlookup_table!$A:$G,4,FALSE),"")</f>
        <v>1507</v>
      </c>
      <c r="P1468" t="str">
        <f>IFERROR(VLOOKUP(A1468,vlookup_table!$A:$G,5,FALSE),"")</f>
        <v>T2</v>
      </c>
      <c r="Q1468">
        <f>IFERROR(VLOOKUP(A1468,vlookup_table!$A:$G,7,FALSE),"")</f>
        <v>25</v>
      </c>
      <c r="R1468">
        <f t="shared" si="88"/>
        <v>82</v>
      </c>
      <c r="S1468" t="str" cm="1">
        <f t="array" ref="S1468">IF(P1468="","",_xlfn.SWITCH(LEFT(P1468,1),"C","Ciudad","T","Pueblo","R","Rural","S","Suburbano","U","Urbano",""))</f>
        <v>Pueblo</v>
      </c>
      <c r="T1468" t="str">
        <f t="shared" si="89"/>
        <v>M</v>
      </c>
      <c r="U1468" t="str">
        <f t="shared" si="90"/>
        <v>WI</v>
      </c>
      <c r="V1468" t="str">
        <f t="shared" si="91"/>
        <v>13894</v>
      </c>
    </row>
    <row r="1469" spans="1:22" x14ac:dyDescent="0.35">
      <c r="A1469">
        <v>169553</v>
      </c>
      <c r="B1469" t="s">
        <v>22</v>
      </c>
      <c r="C1469" t="s">
        <v>17</v>
      </c>
      <c r="D1469">
        <v>942</v>
      </c>
      <c r="E1469">
        <v>204</v>
      </c>
      <c r="F1469">
        <v>304</v>
      </c>
      <c r="G1469">
        <v>6</v>
      </c>
      <c r="H1469">
        <v>10323</v>
      </c>
      <c r="I1469">
        <v>14</v>
      </c>
      <c r="J1469">
        <v>58</v>
      </c>
      <c r="K1469">
        <v>254</v>
      </c>
      <c r="L1469">
        <v>306</v>
      </c>
      <c r="M1469">
        <v>5.6111111109999996</v>
      </c>
      <c r="N1469">
        <f>IFERROR(VLOOKUP(A1469,vlookup_table!$A:$G,2,FALSE),"")</f>
        <v>28</v>
      </c>
      <c r="O1469">
        <f>IFERROR(VLOOKUP(A1469,vlookup_table!$A:$G,4,FALSE),"")</f>
        <v>5901</v>
      </c>
      <c r="P1469" t="str">
        <f>IFERROR(VLOOKUP(A1469,vlookup_table!$A:$G,5,FALSE),"")</f>
        <v>R2</v>
      </c>
      <c r="Q1469">
        <f>IFERROR(VLOOKUP(A1469,vlookup_table!$A:$G,7,FALSE),"")</f>
        <v>10</v>
      </c>
      <c r="R1469">
        <f t="shared" si="88"/>
        <v>38</v>
      </c>
      <c r="S1469" t="str" cm="1">
        <f t="array" ref="S1469">IF(P1469="","",_xlfn.SWITCH(LEFT(P1469,1),"C","Ciudad","T","Pueblo","R","Rural","S","Suburbano","U","Urbano",""))</f>
        <v>Rural</v>
      </c>
      <c r="T1469" t="str">
        <f t="shared" si="89"/>
        <v>F</v>
      </c>
      <c r="U1469" t="str">
        <f t="shared" si="90"/>
        <v>CA</v>
      </c>
      <c r="V1469" t="str">
        <f t="shared" si="91"/>
        <v>10323</v>
      </c>
    </row>
    <row r="1470" spans="1:22" x14ac:dyDescent="0.35">
      <c r="A1470">
        <v>30450</v>
      </c>
      <c r="B1470" t="s">
        <v>39</v>
      </c>
      <c r="C1470" t="s">
        <v>17</v>
      </c>
      <c r="D1470">
        <v>1156</v>
      </c>
      <c r="E1470">
        <v>420</v>
      </c>
      <c r="F1470">
        <v>655</v>
      </c>
      <c r="G1470">
        <v>5</v>
      </c>
      <c r="H1470">
        <v>22639</v>
      </c>
      <c r="I1470">
        <v>1</v>
      </c>
      <c r="J1470">
        <v>56</v>
      </c>
      <c r="K1470">
        <v>617</v>
      </c>
      <c r="L1470">
        <v>541</v>
      </c>
      <c r="M1470">
        <v>31</v>
      </c>
      <c r="N1470">
        <f>IFERROR(VLOOKUP(A1470,vlookup_table!$A:$G,2,FALSE),"")</f>
        <v>2</v>
      </c>
      <c r="O1470">
        <f>IFERROR(VLOOKUP(A1470,vlookup_table!$A:$G,4,FALSE),"")</f>
        <v>2407</v>
      </c>
      <c r="P1470" t="str">
        <f>IFERROR(VLOOKUP(A1470,vlookup_table!$A:$G,5,FALSE),"")</f>
        <v>C2</v>
      </c>
      <c r="Q1470">
        <f>IFERROR(VLOOKUP(A1470,vlookup_table!$A:$G,7,FALSE),"")</f>
        <v>50</v>
      </c>
      <c r="R1470">
        <f t="shared" si="88"/>
        <v>73</v>
      </c>
      <c r="S1470" t="str" cm="1">
        <f t="array" ref="S1470">IF(P1470="","",_xlfn.SWITCH(LEFT(P1470,1),"C","Ciudad","T","Pueblo","R","Rural","S","Suburbano","U","Urbano",""))</f>
        <v>Ciudad</v>
      </c>
      <c r="T1470" t="str">
        <f t="shared" si="89"/>
        <v>F</v>
      </c>
      <c r="U1470" t="str">
        <f t="shared" si="90"/>
        <v>GA</v>
      </c>
      <c r="V1470" t="str">
        <f t="shared" si="91"/>
        <v>22639</v>
      </c>
    </row>
    <row r="1471" spans="1:22" x14ac:dyDescent="0.35">
      <c r="A1471">
        <v>98220</v>
      </c>
      <c r="B1471" t="s">
        <v>16</v>
      </c>
      <c r="C1471" t="s">
        <v>14</v>
      </c>
      <c r="D1471">
        <v>331</v>
      </c>
      <c r="E1471">
        <v>195</v>
      </c>
      <c r="F1471">
        <v>314</v>
      </c>
      <c r="G1471">
        <v>0</v>
      </c>
      <c r="H1471">
        <v>11368</v>
      </c>
      <c r="I1471">
        <v>0</v>
      </c>
      <c r="J1471">
        <v>72</v>
      </c>
      <c r="K1471">
        <v>288</v>
      </c>
      <c r="L1471">
        <v>255</v>
      </c>
      <c r="M1471">
        <v>7.5</v>
      </c>
      <c r="N1471">
        <f>IFERROR(VLOOKUP(A1471,vlookup_table!$A:$G,2,FALSE),"")</f>
        <v>0</v>
      </c>
      <c r="O1471">
        <f>IFERROR(VLOOKUP(A1471,vlookup_table!$A:$G,4,FALSE),"")</f>
        <v>3601</v>
      </c>
      <c r="P1471" t="str">
        <f>IFERROR(VLOOKUP(A1471,vlookup_table!$A:$G,5,FALSE),"")</f>
        <v>R3</v>
      </c>
      <c r="Q1471">
        <f>IFERROR(VLOOKUP(A1471,vlookup_table!$A:$G,7,FALSE),"")</f>
        <v>10</v>
      </c>
      <c r="R1471">
        <f t="shared" si="88"/>
        <v>61</v>
      </c>
      <c r="S1471" t="str" cm="1">
        <f t="array" ref="S1471">IF(P1471="","",_xlfn.SWITCH(LEFT(P1471,1),"C","Ciudad","T","Pueblo","R","Rural","S","Suburbano","U","Urbano",""))</f>
        <v>Rural</v>
      </c>
      <c r="T1471" t="str">
        <f t="shared" si="89"/>
        <v>M</v>
      </c>
      <c r="U1471" t="str">
        <f t="shared" si="90"/>
        <v>IL</v>
      </c>
      <c r="V1471" t="str">
        <f t="shared" si="91"/>
        <v>11368</v>
      </c>
    </row>
    <row r="1472" spans="1:22" x14ac:dyDescent="0.35">
      <c r="A1472">
        <v>134833</v>
      </c>
      <c r="B1472" t="s">
        <v>38</v>
      </c>
      <c r="C1472" t="s">
        <v>14</v>
      </c>
      <c r="D1472">
        <v>498</v>
      </c>
      <c r="E1472">
        <v>139</v>
      </c>
      <c r="F1472">
        <v>299</v>
      </c>
      <c r="G1472">
        <v>0</v>
      </c>
      <c r="H1472">
        <v>7461</v>
      </c>
      <c r="I1472">
        <v>8</v>
      </c>
      <c r="J1472">
        <v>70</v>
      </c>
      <c r="K1472">
        <v>229</v>
      </c>
      <c r="L1472">
        <v>246</v>
      </c>
      <c r="M1472">
        <v>5.5</v>
      </c>
      <c r="N1472">
        <f>IFERROR(VLOOKUP(A1472,vlookup_table!$A:$G,2,FALSE),"")</f>
        <v>1</v>
      </c>
      <c r="O1472">
        <f>IFERROR(VLOOKUP(A1472,vlookup_table!$A:$G,4,FALSE),"")</f>
        <v>3901</v>
      </c>
      <c r="P1472" t="str">
        <f>IFERROR(VLOOKUP(A1472,vlookup_table!$A:$G,5,FALSE),"")</f>
        <v>R2</v>
      </c>
      <c r="Q1472">
        <f>IFERROR(VLOOKUP(A1472,vlookup_table!$A:$G,7,FALSE),"")</f>
        <v>6</v>
      </c>
      <c r="R1472">
        <f t="shared" si="88"/>
        <v>58</v>
      </c>
      <c r="S1472" t="str" cm="1">
        <f t="array" ref="S1472">IF(P1472="","",_xlfn.SWITCH(LEFT(P1472,1),"C","Ciudad","T","Pueblo","R","Rural","S","Suburbano","U","Urbano",""))</f>
        <v>Rural</v>
      </c>
      <c r="T1472" t="str">
        <f t="shared" si="89"/>
        <v>M</v>
      </c>
      <c r="U1472" t="str">
        <f t="shared" si="90"/>
        <v>UT</v>
      </c>
      <c r="V1472" t="str">
        <f t="shared" si="91"/>
        <v>7461</v>
      </c>
    </row>
    <row r="1473" spans="1:22" x14ac:dyDescent="0.35">
      <c r="A1473">
        <v>179014</v>
      </c>
      <c r="B1473" t="s">
        <v>40</v>
      </c>
      <c r="C1473" t="s">
        <v>17</v>
      </c>
      <c r="D1473">
        <v>904</v>
      </c>
      <c r="E1473">
        <v>296</v>
      </c>
      <c r="F1473">
        <v>407</v>
      </c>
      <c r="G1473">
        <v>2</v>
      </c>
      <c r="H1473">
        <v>17248</v>
      </c>
      <c r="I1473">
        <v>3</v>
      </c>
      <c r="J1473">
        <v>46</v>
      </c>
      <c r="K1473">
        <v>372</v>
      </c>
      <c r="L1473">
        <v>330</v>
      </c>
      <c r="M1473">
        <v>13.6</v>
      </c>
      <c r="N1473">
        <f>IFERROR(VLOOKUP(A1473,vlookup_table!$A:$G,2,FALSE),"")</f>
        <v>2</v>
      </c>
      <c r="O1473">
        <f>IFERROR(VLOOKUP(A1473,vlookup_table!$A:$G,4,FALSE),"")</f>
        <v>1001</v>
      </c>
      <c r="P1473" t="str">
        <f>IFERROR(VLOOKUP(A1473,vlookup_table!$A:$G,5,FALSE),"")</f>
        <v>T1</v>
      </c>
      <c r="Q1473">
        <f>IFERROR(VLOOKUP(A1473,vlookup_table!$A:$G,7,FALSE),"")</f>
        <v>23</v>
      </c>
      <c r="R1473">
        <f t="shared" si="88"/>
        <v>87</v>
      </c>
      <c r="S1473" t="str" cm="1">
        <f t="array" ref="S1473">IF(P1473="","",_xlfn.SWITCH(LEFT(P1473,1),"C","Ciudad","T","Pueblo","R","Rural","S","Suburbano","U","Urbano",""))</f>
        <v>Pueblo</v>
      </c>
      <c r="T1473" t="str">
        <f t="shared" si="89"/>
        <v>F</v>
      </c>
      <c r="U1473" t="str">
        <f t="shared" si="90"/>
        <v>WA</v>
      </c>
      <c r="V1473" t="str">
        <f t="shared" si="91"/>
        <v>17248</v>
      </c>
    </row>
    <row r="1474" spans="1:22" x14ac:dyDescent="0.35">
      <c r="A1474">
        <v>77023</v>
      </c>
      <c r="B1474" t="s">
        <v>47</v>
      </c>
      <c r="C1474" t="s">
        <v>14</v>
      </c>
      <c r="D1474">
        <v>324</v>
      </c>
      <c r="E1474">
        <v>146</v>
      </c>
      <c r="F1474">
        <v>202</v>
      </c>
      <c r="G1474">
        <v>0</v>
      </c>
      <c r="H1474">
        <v>8170</v>
      </c>
      <c r="I1474">
        <v>11</v>
      </c>
      <c r="J1474">
        <v>47</v>
      </c>
      <c r="K1474">
        <v>192</v>
      </c>
      <c r="L1474">
        <v>186</v>
      </c>
      <c r="M1474">
        <v>12.5</v>
      </c>
      <c r="N1474">
        <f>IFERROR(VLOOKUP(A1474,vlookup_table!$A:$G,2,FALSE),"")</f>
        <v>1</v>
      </c>
      <c r="O1474">
        <f>IFERROR(VLOOKUP(A1474,vlookup_table!$A:$G,4,FALSE),"")</f>
        <v>4301</v>
      </c>
      <c r="P1474" t="str">
        <f>IFERROR(VLOOKUP(A1474,vlookup_table!$A:$G,5,FALSE),"")</f>
        <v>C3</v>
      </c>
      <c r="Q1474">
        <f>IFERROR(VLOOKUP(A1474,vlookup_table!$A:$G,7,FALSE),"")</f>
        <v>15</v>
      </c>
      <c r="R1474">
        <f t="shared" ref="R1474:R1537" si="92">IF(O1474="","",97-INT(O1474/100))</f>
        <v>54</v>
      </c>
      <c r="S1474" t="str" cm="1">
        <f t="array" ref="S1474">IF(P1474="","",_xlfn.SWITCH(LEFT(P1474,1),"C","Ciudad","T","Pueblo","R","Rural","S","Suburbano","U","Urbano",""))</f>
        <v>Ciudad</v>
      </c>
      <c r="T1474" t="str">
        <f t="shared" ref="T1474:T1537" si="93">IF(C1474="","",IF(OR(UPPER(C1474)="M",UPPER(C1474)="MALE"),"M",IF(OR(UPPER(C1474)="F",UPPER(C1474)="FEMALE",UPPER(C1474)="FEAMALE"),"F",C1474)))</f>
        <v>M</v>
      </c>
      <c r="U1474" t="str">
        <f t="shared" ref="U1474:U1537" si="94">IF(OR(UPPER(B1474)="CALIFORNIA",UPPER(B1474)="CALI"),"CA",B1474)</f>
        <v>IA</v>
      </c>
      <c r="V1474" t="str">
        <f t="shared" ref="V1474:V1537" si="95">SUBSTITUTE(H1474,"@","")</f>
        <v>8170</v>
      </c>
    </row>
    <row r="1475" spans="1:22" x14ac:dyDescent="0.35">
      <c r="A1475">
        <v>10028</v>
      </c>
      <c r="B1475" t="s">
        <v>22</v>
      </c>
      <c r="C1475" t="s">
        <v>14</v>
      </c>
      <c r="D1475">
        <v>1771</v>
      </c>
      <c r="E1475">
        <v>314</v>
      </c>
      <c r="F1475">
        <v>341</v>
      </c>
      <c r="G1475">
        <v>13</v>
      </c>
      <c r="H1475">
        <v>17567</v>
      </c>
      <c r="I1475">
        <v>9</v>
      </c>
      <c r="J1475">
        <v>45</v>
      </c>
      <c r="K1475">
        <v>335</v>
      </c>
      <c r="L1475">
        <v>322</v>
      </c>
      <c r="M1475">
        <v>11.1875</v>
      </c>
      <c r="N1475">
        <f>IFERROR(VLOOKUP(A1475,vlookup_table!$A:$G,2,FALSE),"")</f>
        <v>1</v>
      </c>
      <c r="O1475">
        <f>IFERROR(VLOOKUP(A1475,vlookup_table!$A:$G,4,FALSE),"")</f>
        <v>0</v>
      </c>
      <c r="P1475" t="str">
        <f>IFERROR(VLOOKUP(A1475,vlookup_table!$A:$G,5,FALSE),"")</f>
        <v>C2</v>
      </c>
      <c r="Q1475">
        <f>IFERROR(VLOOKUP(A1475,vlookup_table!$A:$G,7,FALSE),"")</f>
        <v>20</v>
      </c>
      <c r="R1475">
        <f t="shared" si="92"/>
        <v>97</v>
      </c>
      <c r="S1475" t="str" cm="1">
        <f t="array" ref="S1475">IF(P1475="","",_xlfn.SWITCH(LEFT(P1475,1),"C","Ciudad","T","Pueblo","R","Rural","S","Suburbano","U","Urbano",""))</f>
        <v>Ciudad</v>
      </c>
      <c r="T1475" t="str">
        <f t="shared" si="93"/>
        <v>M</v>
      </c>
      <c r="U1475" t="str">
        <f t="shared" si="94"/>
        <v>CA</v>
      </c>
      <c r="V1475" t="str">
        <f t="shared" si="95"/>
        <v>17567</v>
      </c>
    </row>
    <row r="1476" spans="1:22" x14ac:dyDescent="0.35">
      <c r="A1476">
        <v>20522</v>
      </c>
      <c r="B1476" t="s">
        <v>18</v>
      </c>
      <c r="C1476" t="s">
        <v>14</v>
      </c>
      <c r="D1476">
        <v>1203</v>
      </c>
      <c r="E1476">
        <v>462</v>
      </c>
      <c r="F1476">
        <v>543</v>
      </c>
      <c r="G1476">
        <v>10</v>
      </c>
      <c r="H1476">
        <v>17989</v>
      </c>
      <c r="I1476">
        <v>1</v>
      </c>
      <c r="J1476">
        <v>51</v>
      </c>
      <c r="K1476">
        <v>473</v>
      </c>
      <c r="L1476">
        <v>497</v>
      </c>
      <c r="M1476">
        <v>15</v>
      </c>
      <c r="N1476">
        <f>IFERROR(VLOOKUP(A1476,vlookup_table!$A:$G,2,FALSE),"")</f>
        <v>1</v>
      </c>
      <c r="O1476">
        <f>IFERROR(VLOOKUP(A1476,vlookup_table!$A:$G,4,FALSE),"")</f>
        <v>5001</v>
      </c>
      <c r="P1476" t="str">
        <f>IFERROR(VLOOKUP(A1476,vlookup_table!$A:$G,5,FALSE),"")</f>
        <v>T1</v>
      </c>
      <c r="Q1476">
        <f>IFERROR(VLOOKUP(A1476,vlookup_table!$A:$G,7,FALSE),"")</f>
        <v>15</v>
      </c>
      <c r="R1476">
        <f t="shared" si="92"/>
        <v>47</v>
      </c>
      <c r="S1476" t="str" cm="1">
        <f t="array" ref="S1476">IF(P1476="","",_xlfn.SWITCH(LEFT(P1476,1),"C","Ciudad","T","Pueblo","R","Rural","S","Suburbano","U","Urbano",""))</f>
        <v>Pueblo</v>
      </c>
      <c r="T1476" t="str">
        <f t="shared" si="93"/>
        <v>M</v>
      </c>
      <c r="U1476" t="str">
        <f t="shared" si="94"/>
        <v>NC</v>
      </c>
      <c r="V1476" t="str">
        <f t="shared" si="95"/>
        <v>17989</v>
      </c>
    </row>
    <row r="1477" spans="1:22" x14ac:dyDescent="0.35">
      <c r="A1477">
        <v>82065</v>
      </c>
      <c r="B1477" t="s">
        <v>56</v>
      </c>
      <c r="C1477" t="s">
        <v>14</v>
      </c>
      <c r="D1477">
        <v>737</v>
      </c>
      <c r="E1477">
        <v>506</v>
      </c>
      <c r="F1477">
        <v>469</v>
      </c>
      <c r="G1477">
        <v>0</v>
      </c>
      <c r="H1477">
        <v>13295</v>
      </c>
      <c r="I1477">
        <v>0</v>
      </c>
      <c r="J1477">
        <v>83</v>
      </c>
      <c r="K1477">
        <v>504</v>
      </c>
      <c r="L1477">
        <v>472</v>
      </c>
      <c r="M1477">
        <v>8.4545454549999999</v>
      </c>
      <c r="N1477">
        <f>IFERROR(VLOOKUP(A1477,vlookup_table!$A:$G,2,FALSE),"")</f>
        <v>0</v>
      </c>
      <c r="O1477">
        <f>IFERROR(VLOOKUP(A1477,vlookup_table!$A:$G,4,FALSE),"")</f>
        <v>3601</v>
      </c>
      <c r="P1477" t="str">
        <f>IFERROR(VLOOKUP(A1477,vlookup_table!$A:$G,5,FALSE),"")</f>
        <v>T2</v>
      </c>
      <c r="Q1477">
        <f>IFERROR(VLOOKUP(A1477,vlookup_table!$A:$G,7,FALSE),"")</f>
        <v>10</v>
      </c>
      <c r="R1477">
        <f t="shared" si="92"/>
        <v>61</v>
      </c>
      <c r="S1477" t="str" cm="1">
        <f t="array" ref="S1477">IF(P1477="","",_xlfn.SWITCH(LEFT(P1477,1),"C","Ciudad","T","Pueblo","R","Rural","S","Suburbano","U","Urbano",""))</f>
        <v>Pueblo</v>
      </c>
      <c r="T1477" t="str">
        <f t="shared" si="93"/>
        <v>M</v>
      </c>
      <c r="U1477" t="str">
        <f t="shared" si="94"/>
        <v>MN</v>
      </c>
      <c r="V1477" t="str">
        <f t="shared" si="95"/>
        <v>13295</v>
      </c>
    </row>
    <row r="1478" spans="1:22" x14ac:dyDescent="0.35">
      <c r="A1478">
        <v>20769</v>
      </c>
      <c r="B1478" t="s">
        <v>18</v>
      </c>
      <c r="C1478" t="s">
        <v>14</v>
      </c>
      <c r="D1478">
        <v>504</v>
      </c>
      <c r="E1478">
        <v>191</v>
      </c>
      <c r="F1478">
        <v>287</v>
      </c>
      <c r="G1478">
        <v>1</v>
      </c>
      <c r="H1478">
        <v>9564</v>
      </c>
      <c r="I1478">
        <v>0</v>
      </c>
      <c r="J1478">
        <v>81</v>
      </c>
      <c r="K1478">
        <v>228</v>
      </c>
      <c r="L1478">
        <v>246</v>
      </c>
      <c r="M1478">
        <v>5</v>
      </c>
      <c r="N1478">
        <f>IFERROR(VLOOKUP(A1478,vlookup_table!$A:$G,2,FALSE),"")</f>
        <v>2</v>
      </c>
      <c r="O1478">
        <f>IFERROR(VLOOKUP(A1478,vlookup_table!$A:$G,4,FALSE),"")</f>
        <v>4601</v>
      </c>
      <c r="P1478" t="str">
        <f>IFERROR(VLOOKUP(A1478,vlookup_table!$A:$G,5,FALSE),"")</f>
        <v>T2</v>
      </c>
      <c r="Q1478">
        <f>IFERROR(VLOOKUP(A1478,vlookup_table!$A:$G,7,FALSE),"")</f>
        <v>5</v>
      </c>
      <c r="R1478">
        <f t="shared" si="92"/>
        <v>51</v>
      </c>
      <c r="S1478" t="str" cm="1">
        <f t="array" ref="S1478">IF(P1478="","",_xlfn.SWITCH(LEFT(P1478,1),"C","Ciudad","T","Pueblo","R","Rural","S","Suburbano","U","Urbano",""))</f>
        <v>Pueblo</v>
      </c>
      <c r="T1478" t="str">
        <f t="shared" si="93"/>
        <v>M</v>
      </c>
      <c r="U1478" t="str">
        <f t="shared" si="94"/>
        <v>NC</v>
      </c>
      <c r="V1478" t="str">
        <f t="shared" si="95"/>
        <v>9564</v>
      </c>
    </row>
    <row r="1479" spans="1:22" x14ac:dyDescent="0.35">
      <c r="A1479">
        <v>160970</v>
      </c>
      <c r="B1479" t="s">
        <v>22</v>
      </c>
      <c r="C1479" t="s">
        <v>14</v>
      </c>
      <c r="D1479">
        <v>931</v>
      </c>
      <c r="E1479">
        <v>307</v>
      </c>
      <c r="F1479">
        <v>343</v>
      </c>
      <c r="G1479">
        <v>2</v>
      </c>
      <c r="H1479">
        <v>12060</v>
      </c>
      <c r="I1479">
        <v>8</v>
      </c>
      <c r="J1479">
        <v>50</v>
      </c>
      <c r="K1479">
        <v>318</v>
      </c>
      <c r="L1479">
        <v>332</v>
      </c>
      <c r="M1479">
        <v>5.0909090910000003</v>
      </c>
      <c r="N1479">
        <f>IFERROR(VLOOKUP(A1479,vlookup_table!$A:$G,2,FALSE),"")</f>
        <v>1</v>
      </c>
      <c r="O1479">
        <f>IFERROR(VLOOKUP(A1479,vlookup_table!$A:$G,4,FALSE),"")</f>
        <v>2111</v>
      </c>
      <c r="P1479" t="str">
        <f>IFERROR(VLOOKUP(A1479,vlookup_table!$A:$G,5,FALSE),"")</f>
        <v>T1</v>
      </c>
      <c r="Q1479">
        <f>IFERROR(VLOOKUP(A1479,vlookup_table!$A:$G,7,FALSE),"")</f>
        <v>5</v>
      </c>
      <c r="R1479">
        <f t="shared" si="92"/>
        <v>76</v>
      </c>
      <c r="S1479" t="str" cm="1">
        <f t="array" ref="S1479">IF(P1479="","",_xlfn.SWITCH(LEFT(P1479,1),"C","Ciudad","T","Pueblo","R","Rural","S","Suburbano","U","Urbano",""))</f>
        <v>Pueblo</v>
      </c>
      <c r="T1479" t="str">
        <f t="shared" si="93"/>
        <v>M</v>
      </c>
      <c r="U1479" t="str">
        <f t="shared" si="94"/>
        <v>CA</v>
      </c>
      <c r="V1479" t="str">
        <f t="shared" si="95"/>
        <v>12060</v>
      </c>
    </row>
    <row r="1480" spans="1:22" x14ac:dyDescent="0.35">
      <c r="A1480">
        <v>174609</v>
      </c>
      <c r="B1480" t="s">
        <v>50</v>
      </c>
      <c r="C1480" t="s">
        <v>17</v>
      </c>
      <c r="D1480">
        <v>819</v>
      </c>
      <c r="E1480">
        <v>259</v>
      </c>
      <c r="F1480">
        <v>367</v>
      </c>
      <c r="G1480">
        <v>2</v>
      </c>
      <c r="H1480">
        <v>13539</v>
      </c>
      <c r="I1480">
        <v>1</v>
      </c>
      <c r="J1480">
        <v>41</v>
      </c>
      <c r="K1480">
        <v>275</v>
      </c>
      <c r="L1480">
        <v>331</v>
      </c>
      <c r="M1480">
        <v>7.538461539</v>
      </c>
      <c r="N1480">
        <f>IFERROR(VLOOKUP(A1480,vlookup_table!$A:$G,2,FALSE),"")</f>
        <v>0</v>
      </c>
      <c r="O1480">
        <f>IFERROR(VLOOKUP(A1480,vlookup_table!$A:$G,4,FALSE),"")</f>
        <v>0</v>
      </c>
      <c r="P1480" t="str">
        <f>IFERROR(VLOOKUP(A1480,vlookup_table!$A:$G,5,FALSE),"")</f>
        <v>T2</v>
      </c>
      <c r="Q1480">
        <f>IFERROR(VLOOKUP(A1480,vlookup_table!$A:$G,7,FALSE),"")</f>
        <v>10</v>
      </c>
      <c r="R1480">
        <f t="shared" si="92"/>
        <v>97</v>
      </c>
      <c r="S1480" t="str" cm="1">
        <f t="array" ref="S1480">IF(P1480="","",_xlfn.SWITCH(LEFT(P1480,1),"C","Ciudad","T","Pueblo","R","Rural","S","Suburbano","U","Urbano",""))</f>
        <v>Pueblo</v>
      </c>
      <c r="T1480" t="str">
        <f t="shared" si="93"/>
        <v>F</v>
      </c>
      <c r="U1480" t="str">
        <f t="shared" si="94"/>
        <v>OR</v>
      </c>
      <c r="V1480" t="str">
        <f t="shared" si="95"/>
        <v>13539</v>
      </c>
    </row>
    <row r="1481" spans="1:22" x14ac:dyDescent="0.35">
      <c r="A1481">
        <v>127166</v>
      </c>
      <c r="B1481" t="s">
        <v>21</v>
      </c>
      <c r="C1481" t="s">
        <v>44</v>
      </c>
      <c r="D1481">
        <v>1490</v>
      </c>
      <c r="E1481">
        <v>612</v>
      </c>
      <c r="F1481">
        <v>818</v>
      </c>
      <c r="G1481">
        <v>25</v>
      </c>
      <c r="H1481">
        <v>38526</v>
      </c>
      <c r="I1481">
        <v>7</v>
      </c>
      <c r="J1481">
        <v>56</v>
      </c>
      <c r="K1481">
        <v>645</v>
      </c>
      <c r="L1481">
        <v>733</v>
      </c>
      <c r="M1481">
        <v>18.47826087</v>
      </c>
      <c r="N1481">
        <f>IFERROR(VLOOKUP(A1481,vlookup_table!$A:$G,2,FALSE),"")</f>
        <v>1002</v>
      </c>
      <c r="O1481">
        <f>IFERROR(VLOOKUP(A1481,vlookup_table!$A:$G,4,FALSE),"")</f>
        <v>2512</v>
      </c>
      <c r="P1481" t="str">
        <f>IFERROR(VLOOKUP(A1481,vlookup_table!$A:$G,5,FALSE),"")</f>
        <v>S1</v>
      </c>
      <c r="Q1481">
        <f>IFERROR(VLOOKUP(A1481,vlookup_table!$A:$G,7,FALSE),"")</f>
        <v>30</v>
      </c>
      <c r="R1481">
        <f t="shared" si="92"/>
        <v>72</v>
      </c>
      <c r="S1481" t="str" cm="1">
        <f t="array" ref="S1481">IF(P1481="","",_xlfn.SWITCH(LEFT(P1481,1),"C","Ciudad","T","Pueblo","R","Rural","S","Suburbano","U","Urbano",""))</f>
        <v>Suburbano</v>
      </c>
      <c r="T1481" t="str">
        <f t="shared" si="93"/>
        <v>J</v>
      </c>
      <c r="U1481" t="str">
        <f t="shared" si="94"/>
        <v>TX</v>
      </c>
      <c r="V1481" t="str">
        <f t="shared" si="95"/>
        <v>38526</v>
      </c>
    </row>
    <row r="1482" spans="1:22" x14ac:dyDescent="0.35">
      <c r="A1482">
        <v>155967</v>
      </c>
      <c r="B1482" t="s">
        <v>22</v>
      </c>
      <c r="C1482" t="s">
        <v>17</v>
      </c>
      <c r="D1482">
        <v>2521</v>
      </c>
      <c r="E1482">
        <v>412</v>
      </c>
      <c r="F1482">
        <v>516</v>
      </c>
      <c r="G1482">
        <v>63</v>
      </c>
      <c r="H1482">
        <v>13961</v>
      </c>
      <c r="I1482">
        <v>38</v>
      </c>
      <c r="J1482">
        <v>45</v>
      </c>
      <c r="K1482">
        <v>424</v>
      </c>
      <c r="L1482">
        <v>512</v>
      </c>
      <c r="M1482">
        <v>5.5555555559999998</v>
      </c>
      <c r="N1482">
        <f>IFERROR(VLOOKUP(A1482,vlookup_table!$A:$G,2,FALSE),"")</f>
        <v>0</v>
      </c>
      <c r="O1482">
        <f>IFERROR(VLOOKUP(A1482,vlookup_table!$A:$G,4,FALSE),"")</f>
        <v>2001</v>
      </c>
      <c r="P1482" t="str">
        <f>IFERROR(VLOOKUP(A1482,vlookup_table!$A:$G,5,FALSE),"")</f>
        <v>C2</v>
      </c>
      <c r="Q1482">
        <f>IFERROR(VLOOKUP(A1482,vlookup_table!$A:$G,7,FALSE),"")</f>
        <v>5</v>
      </c>
      <c r="R1482">
        <f t="shared" si="92"/>
        <v>77</v>
      </c>
      <c r="S1482" t="str" cm="1">
        <f t="array" ref="S1482">IF(P1482="","",_xlfn.SWITCH(LEFT(P1482,1),"C","Ciudad","T","Pueblo","R","Rural","S","Suburbano","U","Urbano",""))</f>
        <v>Ciudad</v>
      </c>
      <c r="T1482" t="str">
        <f t="shared" si="93"/>
        <v>F</v>
      </c>
      <c r="U1482" t="str">
        <f t="shared" si="94"/>
        <v>CA</v>
      </c>
      <c r="V1482" t="str">
        <f t="shared" si="95"/>
        <v>13961</v>
      </c>
    </row>
    <row r="1483" spans="1:22" x14ac:dyDescent="0.35">
      <c r="A1483">
        <v>14790</v>
      </c>
      <c r="B1483" t="s">
        <v>22</v>
      </c>
      <c r="C1483" t="s">
        <v>14</v>
      </c>
      <c r="D1483">
        <v>4068</v>
      </c>
      <c r="E1483">
        <v>753</v>
      </c>
      <c r="F1483">
        <v>872</v>
      </c>
      <c r="G1483">
        <v>99</v>
      </c>
      <c r="H1483">
        <v>31920</v>
      </c>
      <c r="I1483">
        <v>20</v>
      </c>
      <c r="J1483">
        <v>37</v>
      </c>
      <c r="K1483">
        <v>821</v>
      </c>
      <c r="L1483">
        <v>748</v>
      </c>
      <c r="M1483">
        <v>6.4</v>
      </c>
      <c r="N1483">
        <f>IFERROR(VLOOKUP(A1483,vlookup_table!$A:$G,2,FALSE),"")</f>
        <v>1</v>
      </c>
      <c r="O1483">
        <f>IFERROR(VLOOKUP(A1483,vlookup_table!$A:$G,4,FALSE),"")</f>
        <v>2104</v>
      </c>
      <c r="P1483" t="str">
        <f>IFERROR(VLOOKUP(A1483,vlookup_table!$A:$G,5,FALSE),"")</f>
        <v>U1</v>
      </c>
      <c r="Q1483">
        <f>IFERROR(VLOOKUP(A1483,vlookup_table!$A:$G,7,FALSE),"")</f>
        <v>15</v>
      </c>
      <c r="R1483">
        <f t="shared" si="92"/>
        <v>76</v>
      </c>
      <c r="S1483" t="str" cm="1">
        <f t="array" ref="S1483">IF(P1483="","",_xlfn.SWITCH(LEFT(P1483,1),"C","Ciudad","T","Pueblo","R","Rural","S","Suburbano","U","Urbano",""))</f>
        <v>Urbano</v>
      </c>
      <c r="T1483" t="str">
        <f t="shared" si="93"/>
        <v>M</v>
      </c>
      <c r="U1483" t="str">
        <f t="shared" si="94"/>
        <v>CA</v>
      </c>
      <c r="V1483" t="str">
        <f t="shared" si="95"/>
        <v>31920</v>
      </c>
    </row>
    <row r="1484" spans="1:22" x14ac:dyDescent="0.35">
      <c r="A1484">
        <v>20583</v>
      </c>
      <c r="B1484" t="s">
        <v>18</v>
      </c>
      <c r="C1484" t="s">
        <v>20</v>
      </c>
      <c r="D1484">
        <v>810</v>
      </c>
      <c r="E1484">
        <v>441</v>
      </c>
      <c r="F1484">
        <v>503</v>
      </c>
      <c r="G1484">
        <v>1</v>
      </c>
      <c r="H1484">
        <v>17642</v>
      </c>
      <c r="I1484">
        <v>2</v>
      </c>
      <c r="J1484">
        <v>56</v>
      </c>
      <c r="K1484">
        <v>457</v>
      </c>
      <c r="L1484">
        <v>489</v>
      </c>
      <c r="M1484">
        <v>8.1333333329999995</v>
      </c>
      <c r="N1484">
        <f>IFERROR(VLOOKUP(A1484,vlookup_table!$A:$G,2,FALSE),"")</f>
        <v>28</v>
      </c>
      <c r="O1484">
        <f>IFERROR(VLOOKUP(A1484,vlookup_table!$A:$G,4,FALSE),"")</f>
        <v>2801</v>
      </c>
      <c r="P1484" t="str">
        <f>IFERROR(VLOOKUP(A1484,vlookup_table!$A:$G,5,FALSE),"")</f>
        <v>C1</v>
      </c>
      <c r="Q1484">
        <f>IFERROR(VLOOKUP(A1484,vlookup_table!$A:$G,7,FALSE),"")</f>
        <v>14</v>
      </c>
      <c r="R1484">
        <f t="shared" si="92"/>
        <v>69</v>
      </c>
      <c r="S1484" t="str" cm="1">
        <f t="array" ref="S1484">IF(P1484="","",_xlfn.SWITCH(LEFT(P1484,1),"C","Ciudad","T","Pueblo","R","Rural","S","Suburbano","U","Urbano",""))</f>
        <v>Ciudad</v>
      </c>
      <c r="T1484" t="str">
        <f t="shared" si="93"/>
        <v>F</v>
      </c>
      <c r="U1484" t="str">
        <f t="shared" si="94"/>
        <v>NC</v>
      </c>
      <c r="V1484" t="str">
        <f t="shared" si="95"/>
        <v>17642</v>
      </c>
    </row>
    <row r="1485" spans="1:22" x14ac:dyDescent="0.35">
      <c r="A1485">
        <v>185934</v>
      </c>
      <c r="B1485" t="s">
        <v>22</v>
      </c>
      <c r="C1485" t="s">
        <v>17</v>
      </c>
      <c r="D1485">
        <v>1364</v>
      </c>
      <c r="E1485">
        <v>244</v>
      </c>
      <c r="F1485">
        <v>308</v>
      </c>
      <c r="G1485">
        <v>15</v>
      </c>
      <c r="H1485">
        <v>6939</v>
      </c>
      <c r="I1485">
        <v>50</v>
      </c>
      <c r="J1485">
        <v>43</v>
      </c>
      <c r="K1485">
        <v>255</v>
      </c>
      <c r="L1485">
        <v>296</v>
      </c>
      <c r="M1485">
        <v>18.75</v>
      </c>
      <c r="N1485">
        <f>IFERROR(VLOOKUP(A1485,vlookup_table!$A:$G,2,FALSE),"")</f>
        <v>2</v>
      </c>
      <c r="O1485">
        <f>IFERROR(VLOOKUP(A1485,vlookup_table!$A:$G,4,FALSE),"")</f>
        <v>0</v>
      </c>
      <c r="P1485" t="str">
        <f>IFERROR(VLOOKUP(A1485,vlookup_table!$A:$G,5,FALSE),"")</f>
        <v>U4</v>
      </c>
      <c r="Q1485">
        <f>IFERROR(VLOOKUP(A1485,vlookup_table!$A:$G,7,FALSE),"")</f>
        <v>25</v>
      </c>
      <c r="R1485">
        <f t="shared" si="92"/>
        <v>97</v>
      </c>
      <c r="S1485" t="str" cm="1">
        <f t="array" ref="S1485">IF(P1485="","",_xlfn.SWITCH(LEFT(P1485,1),"C","Ciudad","T","Pueblo","R","Rural","S","Suburbano","U","Urbano",""))</f>
        <v>Urbano</v>
      </c>
      <c r="T1485" t="str">
        <f t="shared" si="93"/>
        <v>F</v>
      </c>
      <c r="U1485" t="str">
        <f t="shared" si="94"/>
        <v>CA</v>
      </c>
      <c r="V1485" t="str">
        <f t="shared" si="95"/>
        <v>6939</v>
      </c>
    </row>
    <row r="1486" spans="1:22" x14ac:dyDescent="0.35">
      <c r="A1486">
        <v>109449</v>
      </c>
      <c r="B1486" t="s">
        <v>49</v>
      </c>
      <c r="C1486" t="s">
        <v>17</v>
      </c>
      <c r="D1486">
        <v>456</v>
      </c>
      <c r="E1486">
        <v>238</v>
      </c>
      <c r="F1486">
        <v>317</v>
      </c>
      <c r="G1486">
        <v>0</v>
      </c>
      <c r="H1486">
        <v>10293</v>
      </c>
      <c r="I1486">
        <v>1</v>
      </c>
      <c r="J1486">
        <v>67</v>
      </c>
      <c r="K1486">
        <v>263</v>
      </c>
      <c r="L1486">
        <v>281</v>
      </c>
      <c r="M1486">
        <v>11</v>
      </c>
      <c r="N1486">
        <f>IFERROR(VLOOKUP(A1486,vlookup_table!$A:$G,2,FALSE),"")</f>
        <v>2</v>
      </c>
      <c r="O1486">
        <f>IFERROR(VLOOKUP(A1486,vlookup_table!$A:$G,4,FALSE),"")</f>
        <v>2211</v>
      </c>
      <c r="P1486" t="str">
        <f>IFERROR(VLOOKUP(A1486,vlookup_table!$A:$G,5,FALSE),"")</f>
        <v>T2</v>
      </c>
      <c r="Q1486">
        <f>IFERROR(VLOOKUP(A1486,vlookup_table!$A:$G,7,FALSE),"")</f>
        <v>12</v>
      </c>
      <c r="R1486">
        <f t="shared" si="92"/>
        <v>75</v>
      </c>
      <c r="S1486" t="str" cm="1">
        <f t="array" ref="S1486">IF(P1486="","",_xlfn.SWITCH(LEFT(P1486,1),"C","Ciudad","T","Pueblo","R","Rural","S","Suburbano","U","Urbano",""))</f>
        <v>Pueblo</v>
      </c>
      <c r="T1486" t="str">
        <f t="shared" si="93"/>
        <v>F</v>
      </c>
      <c r="U1486" t="str">
        <f t="shared" si="94"/>
        <v>LA</v>
      </c>
      <c r="V1486" t="str">
        <f t="shared" si="95"/>
        <v>10293</v>
      </c>
    </row>
    <row r="1487" spans="1:22" x14ac:dyDescent="0.35">
      <c r="A1487">
        <v>64115</v>
      </c>
      <c r="B1487" t="s">
        <v>33</v>
      </c>
      <c r="C1487" t="s">
        <v>14</v>
      </c>
      <c r="D1487">
        <v>501</v>
      </c>
      <c r="E1487">
        <v>359</v>
      </c>
      <c r="F1487">
        <v>445</v>
      </c>
      <c r="G1487">
        <v>0</v>
      </c>
      <c r="H1487">
        <v>16856</v>
      </c>
      <c r="I1487">
        <v>0</v>
      </c>
      <c r="J1487">
        <v>65</v>
      </c>
      <c r="K1487">
        <v>407</v>
      </c>
      <c r="L1487">
        <v>385</v>
      </c>
      <c r="M1487">
        <v>7.5</v>
      </c>
      <c r="N1487">
        <f>IFERROR(VLOOKUP(A1487,vlookup_table!$A:$G,2,FALSE),"")</f>
        <v>1</v>
      </c>
      <c r="O1487">
        <f>IFERROR(VLOOKUP(A1487,vlookup_table!$A:$G,4,FALSE),"")</f>
        <v>2506</v>
      </c>
      <c r="P1487" t="str">
        <f>IFERROR(VLOOKUP(A1487,vlookup_table!$A:$G,5,FALSE),"")</f>
        <v>C2</v>
      </c>
      <c r="Q1487">
        <f>IFERROR(VLOOKUP(A1487,vlookup_table!$A:$G,7,FALSE),"")</f>
        <v>15</v>
      </c>
      <c r="R1487">
        <f t="shared" si="92"/>
        <v>72</v>
      </c>
      <c r="S1487" t="str" cm="1">
        <f t="array" ref="S1487">IF(P1487="","",_xlfn.SWITCH(LEFT(P1487,1),"C","Ciudad","T","Pueblo","R","Rural","S","Suburbano","U","Urbano",""))</f>
        <v>Ciudad</v>
      </c>
      <c r="T1487" t="str">
        <f t="shared" si="93"/>
        <v>M</v>
      </c>
      <c r="U1487" t="str">
        <f t="shared" si="94"/>
        <v>IN</v>
      </c>
      <c r="V1487" t="str">
        <f t="shared" si="95"/>
        <v>16856</v>
      </c>
    </row>
    <row r="1488" spans="1:22" x14ac:dyDescent="0.35">
      <c r="A1488">
        <v>154202</v>
      </c>
      <c r="B1488" t="s">
        <v>22</v>
      </c>
      <c r="C1488" t="s">
        <v>17</v>
      </c>
      <c r="D1488">
        <v>810</v>
      </c>
      <c r="E1488">
        <v>180</v>
      </c>
      <c r="F1488">
        <v>264</v>
      </c>
      <c r="G1488">
        <v>2</v>
      </c>
      <c r="H1488">
        <v>12413</v>
      </c>
      <c r="I1488">
        <v>15</v>
      </c>
      <c r="J1488">
        <v>32</v>
      </c>
      <c r="K1488">
        <v>214</v>
      </c>
      <c r="L1488">
        <v>217</v>
      </c>
      <c r="M1488">
        <v>12.83333333</v>
      </c>
      <c r="N1488">
        <f>IFERROR(VLOOKUP(A1488,vlookup_table!$A:$G,2,FALSE),"")</f>
        <v>0</v>
      </c>
      <c r="O1488">
        <f>IFERROR(VLOOKUP(A1488,vlookup_table!$A:$G,4,FALSE),"")</f>
        <v>0</v>
      </c>
      <c r="P1488" t="str">
        <f>IFERROR(VLOOKUP(A1488,vlookup_table!$A:$G,5,FALSE),"")</f>
        <v>T2</v>
      </c>
      <c r="Q1488">
        <f>IFERROR(VLOOKUP(A1488,vlookup_table!$A:$G,7,FALSE),"")</f>
        <v>50</v>
      </c>
      <c r="R1488">
        <f t="shared" si="92"/>
        <v>97</v>
      </c>
      <c r="S1488" t="str" cm="1">
        <f t="array" ref="S1488">IF(P1488="","",_xlfn.SWITCH(LEFT(P1488,1),"C","Ciudad","T","Pueblo","R","Rural","S","Suburbano","U","Urbano",""))</f>
        <v>Pueblo</v>
      </c>
      <c r="T1488" t="str">
        <f t="shared" si="93"/>
        <v>F</v>
      </c>
      <c r="U1488" t="str">
        <f t="shared" si="94"/>
        <v>CA</v>
      </c>
      <c r="V1488" t="str">
        <f t="shared" si="95"/>
        <v>12413</v>
      </c>
    </row>
    <row r="1489" spans="1:22" x14ac:dyDescent="0.35">
      <c r="A1489">
        <v>153001</v>
      </c>
      <c r="B1489" t="s">
        <v>22</v>
      </c>
      <c r="C1489" t="s">
        <v>14</v>
      </c>
      <c r="D1489">
        <v>1960</v>
      </c>
      <c r="E1489">
        <v>265</v>
      </c>
      <c r="F1489">
        <v>469</v>
      </c>
      <c r="G1489">
        <v>46</v>
      </c>
      <c r="H1489">
        <v>17243</v>
      </c>
      <c r="I1489">
        <v>10</v>
      </c>
      <c r="J1489">
        <v>33</v>
      </c>
      <c r="K1489">
        <v>321</v>
      </c>
      <c r="L1489">
        <v>362</v>
      </c>
      <c r="M1489">
        <v>6.3</v>
      </c>
      <c r="N1489">
        <f>IFERROR(VLOOKUP(A1489,vlookup_table!$A:$G,2,FALSE),"")</f>
        <v>1</v>
      </c>
      <c r="O1489">
        <f>IFERROR(VLOOKUP(A1489,vlookup_table!$A:$G,4,FALSE),"")</f>
        <v>5203</v>
      </c>
      <c r="P1489" t="str">
        <f>IFERROR(VLOOKUP(A1489,vlookup_table!$A:$G,5,FALSE),"")</f>
        <v>S2</v>
      </c>
      <c r="Q1489">
        <f>IFERROR(VLOOKUP(A1489,vlookup_table!$A:$G,7,FALSE),"")</f>
        <v>5</v>
      </c>
      <c r="R1489">
        <f t="shared" si="92"/>
        <v>45</v>
      </c>
      <c r="S1489" t="str" cm="1">
        <f t="array" ref="S1489">IF(P1489="","",_xlfn.SWITCH(LEFT(P1489,1),"C","Ciudad","T","Pueblo","R","Rural","S","Suburbano","U","Urbano",""))</f>
        <v>Suburbano</v>
      </c>
      <c r="T1489" t="str">
        <f t="shared" si="93"/>
        <v>M</v>
      </c>
      <c r="U1489" t="str">
        <f t="shared" si="94"/>
        <v>CA</v>
      </c>
      <c r="V1489" t="str">
        <f t="shared" si="95"/>
        <v>17243</v>
      </c>
    </row>
    <row r="1490" spans="1:22" x14ac:dyDescent="0.35">
      <c r="A1490">
        <v>154216</v>
      </c>
      <c r="B1490" t="s">
        <v>22</v>
      </c>
      <c r="C1490" t="s">
        <v>17</v>
      </c>
      <c r="D1490">
        <v>770</v>
      </c>
      <c r="E1490">
        <v>213</v>
      </c>
      <c r="F1490">
        <v>313</v>
      </c>
      <c r="G1490">
        <v>3</v>
      </c>
      <c r="H1490">
        <v>11794</v>
      </c>
      <c r="I1490">
        <v>10</v>
      </c>
      <c r="J1490">
        <v>45</v>
      </c>
      <c r="K1490">
        <v>264</v>
      </c>
      <c r="L1490">
        <v>276</v>
      </c>
      <c r="M1490">
        <v>4.7142857139999998</v>
      </c>
      <c r="N1490">
        <f>IFERROR(VLOOKUP(A1490,vlookup_table!$A:$G,2,FALSE),"")</f>
        <v>2</v>
      </c>
      <c r="O1490">
        <f>IFERROR(VLOOKUP(A1490,vlookup_table!$A:$G,4,FALSE),"")</f>
        <v>1301</v>
      </c>
      <c r="P1490" t="str">
        <f>IFERROR(VLOOKUP(A1490,vlookup_table!$A:$G,5,FALSE),"")</f>
        <v>T2</v>
      </c>
      <c r="Q1490">
        <f>IFERROR(VLOOKUP(A1490,vlookup_table!$A:$G,7,FALSE),"")</f>
        <v>13</v>
      </c>
      <c r="R1490">
        <f t="shared" si="92"/>
        <v>84</v>
      </c>
      <c r="S1490" t="str" cm="1">
        <f t="array" ref="S1490">IF(P1490="","",_xlfn.SWITCH(LEFT(P1490,1),"C","Ciudad","T","Pueblo","R","Rural","S","Suburbano","U","Urbano",""))</f>
        <v>Pueblo</v>
      </c>
      <c r="T1490" t="str">
        <f t="shared" si="93"/>
        <v>F</v>
      </c>
      <c r="U1490" t="str">
        <f t="shared" si="94"/>
        <v>CA</v>
      </c>
      <c r="V1490" t="str">
        <f t="shared" si="95"/>
        <v>11794</v>
      </c>
    </row>
    <row r="1491" spans="1:22" x14ac:dyDescent="0.35">
      <c r="A1491">
        <v>174976</v>
      </c>
      <c r="B1491" t="s">
        <v>50</v>
      </c>
      <c r="C1491" t="s">
        <v>17</v>
      </c>
      <c r="D1491">
        <v>619</v>
      </c>
      <c r="E1491">
        <v>244</v>
      </c>
      <c r="F1491">
        <v>324</v>
      </c>
      <c r="G1491">
        <v>1</v>
      </c>
      <c r="H1491">
        <v>13392</v>
      </c>
      <c r="I1491">
        <v>1</v>
      </c>
      <c r="J1491">
        <v>53</v>
      </c>
      <c r="K1491">
        <v>271</v>
      </c>
      <c r="L1491">
        <v>300</v>
      </c>
      <c r="M1491">
        <v>12.25</v>
      </c>
      <c r="N1491">
        <f>IFERROR(VLOOKUP(A1491,vlookup_table!$A:$G,2,FALSE),"")</f>
        <v>0</v>
      </c>
      <c r="O1491">
        <f>IFERROR(VLOOKUP(A1491,vlookup_table!$A:$G,4,FALSE),"")</f>
        <v>5901</v>
      </c>
      <c r="P1491" t="str">
        <f>IFERROR(VLOOKUP(A1491,vlookup_table!$A:$G,5,FALSE),"")</f>
        <v>R2</v>
      </c>
      <c r="Q1491">
        <f>IFERROR(VLOOKUP(A1491,vlookup_table!$A:$G,7,FALSE),"")</f>
        <v>15</v>
      </c>
      <c r="R1491">
        <f t="shared" si="92"/>
        <v>38</v>
      </c>
      <c r="S1491" t="str" cm="1">
        <f t="array" ref="S1491">IF(P1491="","",_xlfn.SWITCH(LEFT(P1491,1),"C","Ciudad","T","Pueblo","R","Rural","S","Suburbano","U","Urbano",""))</f>
        <v>Rural</v>
      </c>
      <c r="T1491" t="str">
        <f t="shared" si="93"/>
        <v>F</v>
      </c>
      <c r="U1491" t="str">
        <f t="shared" si="94"/>
        <v>OR</v>
      </c>
      <c r="V1491" t="str">
        <f t="shared" si="95"/>
        <v>13392</v>
      </c>
    </row>
    <row r="1492" spans="1:22" x14ac:dyDescent="0.35">
      <c r="A1492">
        <v>140547</v>
      </c>
      <c r="B1492" t="s">
        <v>54</v>
      </c>
      <c r="C1492" t="s">
        <v>14</v>
      </c>
      <c r="D1492">
        <v>544</v>
      </c>
      <c r="E1492">
        <v>259</v>
      </c>
      <c r="F1492">
        <v>341</v>
      </c>
      <c r="G1492">
        <v>1</v>
      </c>
      <c r="H1492">
        <v>11638</v>
      </c>
      <c r="I1492">
        <v>2</v>
      </c>
      <c r="J1492">
        <v>44</v>
      </c>
      <c r="K1492">
        <v>305</v>
      </c>
      <c r="L1492">
        <v>322</v>
      </c>
      <c r="M1492">
        <v>20</v>
      </c>
      <c r="N1492">
        <f>IFERROR(VLOOKUP(A1492,vlookup_table!$A:$G,2,FALSE),"")</f>
        <v>0</v>
      </c>
      <c r="O1492">
        <f>IFERROR(VLOOKUP(A1492,vlookup_table!$A:$G,4,FALSE),"")</f>
        <v>0</v>
      </c>
      <c r="P1492" t="str">
        <f>IFERROR(VLOOKUP(A1492,vlookup_table!$A:$G,5,FALSE),"")</f>
        <v>R2</v>
      </c>
      <c r="Q1492">
        <f>IFERROR(VLOOKUP(A1492,vlookup_table!$A:$G,7,FALSE),"")</f>
        <v>20</v>
      </c>
      <c r="R1492">
        <f t="shared" si="92"/>
        <v>97</v>
      </c>
      <c r="S1492" t="str" cm="1">
        <f t="array" ref="S1492">IF(P1492="","",_xlfn.SWITCH(LEFT(P1492,1),"C","Ciudad","T","Pueblo","R","Rural","S","Suburbano","U","Urbano",""))</f>
        <v>Rural</v>
      </c>
      <c r="T1492" t="str">
        <f t="shared" si="93"/>
        <v>M</v>
      </c>
      <c r="U1492" t="str">
        <f t="shared" si="94"/>
        <v>NM</v>
      </c>
      <c r="V1492" t="str">
        <f t="shared" si="95"/>
        <v>11638</v>
      </c>
    </row>
    <row r="1493" spans="1:22" x14ac:dyDescent="0.35">
      <c r="A1493">
        <v>169371</v>
      </c>
      <c r="B1493" t="s">
        <v>22</v>
      </c>
      <c r="C1493" t="s">
        <v>17</v>
      </c>
      <c r="D1493">
        <v>1436</v>
      </c>
      <c r="E1493">
        <v>308</v>
      </c>
      <c r="F1493">
        <v>372</v>
      </c>
      <c r="G1493">
        <v>16</v>
      </c>
      <c r="H1493">
        <v>11970</v>
      </c>
      <c r="I1493">
        <v>7</v>
      </c>
      <c r="J1493">
        <v>66</v>
      </c>
      <c r="K1493">
        <v>347</v>
      </c>
      <c r="L1493">
        <v>338</v>
      </c>
      <c r="M1493">
        <v>25</v>
      </c>
      <c r="N1493">
        <f>IFERROR(VLOOKUP(A1493,vlookup_table!$A:$G,2,FALSE),"")</f>
        <v>0</v>
      </c>
      <c r="O1493">
        <f>IFERROR(VLOOKUP(A1493,vlookup_table!$A:$G,4,FALSE),"")</f>
        <v>1601</v>
      </c>
      <c r="P1493" t="str">
        <f>IFERROR(VLOOKUP(A1493,vlookup_table!$A:$G,5,FALSE),"")</f>
        <v>T2</v>
      </c>
      <c r="Q1493">
        <f>IFERROR(VLOOKUP(A1493,vlookup_table!$A:$G,7,FALSE),"")</f>
        <v>20</v>
      </c>
      <c r="R1493">
        <f t="shared" si="92"/>
        <v>81</v>
      </c>
      <c r="S1493" t="str" cm="1">
        <f t="array" ref="S1493">IF(P1493="","",_xlfn.SWITCH(LEFT(P1493,1),"C","Ciudad","T","Pueblo","R","Rural","S","Suburbano","U","Urbano",""))</f>
        <v>Pueblo</v>
      </c>
      <c r="T1493" t="str">
        <f t="shared" si="93"/>
        <v>F</v>
      </c>
      <c r="U1493" t="str">
        <f t="shared" si="94"/>
        <v>CA</v>
      </c>
      <c r="V1493" t="str">
        <f t="shared" si="95"/>
        <v>11970</v>
      </c>
    </row>
    <row r="1494" spans="1:22" x14ac:dyDescent="0.35">
      <c r="A1494">
        <v>167100</v>
      </c>
      <c r="B1494" t="s">
        <v>22</v>
      </c>
      <c r="C1494" t="s">
        <v>14</v>
      </c>
      <c r="D1494">
        <v>3223</v>
      </c>
      <c r="E1494">
        <v>487</v>
      </c>
      <c r="F1494">
        <v>597</v>
      </c>
      <c r="G1494">
        <v>89</v>
      </c>
      <c r="H1494">
        <v>22177</v>
      </c>
      <c r="I1494">
        <v>9</v>
      </c>
      <c r="J1494">
        <v>59</v>
      </c>
      <c r="K1494">
        <v>516</v>
      </c>
      <c r="L1494">
        <v>568</v>
      </c>
      <c r="M1494">
        <v>6.4444444440000002</v>
      </c>
      <c r="N1494">
        <f>IFERROR(VLOOKUP(A1494,vlookup_table!$A:$G,2,FALSE),"")</f>
        <v>0</v>
      </c>
      <c r="O1494">
        <f>IFERROR(VLOOKUP(A1494,vlookup_table!$A:$G,4,FALSE),"")</f>
        <v>1704</v>
      </c>
      <c r="P1494" t="str">
        <f>IFERROR(VLOOKUP(A1494,vlookup_table!$A:$G,5,FALSE),"")</f>
        <v>S1</v>
      </c>
      <c r="Q1494">
        <f>IFERROR(VLOOKUP(A1494,vlookup_table!$A:$G,7,FALSE),"")</f>
        <v>10</v>
      </c>
      <c r="R1494">
        <f t="shared" si="92"/>
        <v>80</v>
      </c>
      <c r="S1494" t="str" cm="1">
        <f t="array" ref="S1494">IF(P1494="","",_xlfn.SWITCH(LEFT(P1494,1),"C","Ciudad","T","Pueblo","R","Rural","S","Suburbano","U","Urbano",""))</f>
        <v>Suburbano</v>
      </c>
      <c r="T1494" t="str">
        <f t="shared" si="93"/>
        <v>M</v>
      </c>
      <c r="U1494" t="str">
        <f t="shared" si="94"/>
        <v>CA</v>
      </c>
      <c r="V1494" t="str">
        <f t="shared" si="95"/>
        <v>22177</v>
      </c>
    </row>
    <row r="1495" spans="1:22" x14ac:dyDescent="0.35">
      <c r="A1495">
        <v>157295</v>
      </c>
      <c r="B1495" t="s">
        <v>22</v>
      </c>
      <c r="C1495" t="s">
        <v>30</v>
      </c>
      <c r="D1495">
        <v>5500</v>
      </c>
      <c r="E1495">
        <v>365</v>
      </c>
      <c r="F1495">
        <v>614</v>
      </c>
      <c r="G1495">
        <v>99</v>
      </c>
      <c r="H1495">
        <v>31227</v>
      </c>
      <c r="I1495">
        <v>8</v>
      </c>
      <c r="J1495">
        <v>50</v>
      </c>
      <c r="K1495">
        <v>424</v>
      </c>
      <c r="L1495">
        <v>456</v>
      </c>
      <c r="M1495">
        <v>11.53846154</v>
      </c>
      <c r="N1495">
        <f>IFERROR(VLOOKUP(A1495,vlookup_table!$A:$G,2,FALSE),"")</f>
        <v>2</v>
      </c>
      <c r="O1495">
        <f>IFERROR(VLOOKUP(A1495,vlookup_table!$A:$G,4,FALSE),"")</f>
        <v>1501</v>
      </c>
      <c r="P1495" t="str">
        <f>IFERROR(VLOOKUP(A1495,vlookup_table!$A:$G,5,FALSE),"")</f>
        <v>S1</v>
      </c>
      <c r="Q1495">
        <f>IFERROR(VLOOKUP(A1495,vlookup_table!$A:$G,7,FALSE),"")</f>
        <v>35</v>
      </c>
      <c r="R1495">
        <f t="shared" si="92"/>
        <v>82</v>
      </c>
      <c r="S1495" t="str" cm="1">
        <f t="array" ref="S1495">IF(P1495="","",_xlfn.SWITCH(LEFT(P1495,1),"C","Ciudad","T","Pueblo","R","Rural","S","Suburbano","U","Urbano",""))</f>
        <v>Suburbano</v>
      </c>
      <c r="T1495" t="str">
        <f t="shared" si="93"/>
        <v>U</v>
      </c>
      <c r="U1495" t="str">
        <f t="shared" si="94"/>
        <v>CA</v>
      </c>
      <c r="V1495" t="str">
        <f t="shared" si="95"/>
        <v>31227</v>
      </c>
    </row>
    <row r="1496" spans="1:22" x14ac:dyDescent="0.35">
      <c r="A1496">
        <v>19020</v>
      </c>
      <c r="B1496" t="s">
        <v>18</v>
      </c>
      <c r="C1496" t="s">
        <v>20</v>
      </c>
      <c r="D1496">
        <v>1588</v>
      </c>
      <c r="E1496">
        <v>450</v>
      </c>
      <c r="F1496">
        <v>511</v>
      </c>
      <c r="G1496">
        <v>35</v>
      </c>
      <c r="H1496">
        <v>18048</v>
      </c>
      <c r="I1496">
        <v>0</v>
      </c>
      <c r="J1496">
        <v>61</v>
      </c>
      <c r="K1496">
        <v>471</v>
      </c>
      <c r="L1496">
        <v>478</v>
      </c>
      <c r="M1496">
        <v>16.2</v>
      </c>
      <c r="N1496">
        <f>IFERROR(VLOOKUP(A1496,vlookup_table!$A:$G,2,FALSE),"")</f>
        <v>2</v>
      </c>
      <c r="O1496">
        <f>IFERROR(VLOOKUP(A1496,vlookup_table!$A:$G,4,FALSE),"")</f>
        <v>2801</v>
      </c>
      <c r="P1496" t="str">
        <f>IFERROR(VLOOKUP(A1496,vlookup_table!$A:$G,5,FALSE),"")</f>
        <v>T1</v>
      </c>
      <c r="Q1496">
        <f>IFERROR(VLOOKUP(A1496,vlookup_table!$A:$G,7,FALSE),"")</f>
        <v>19</v>
      </c>
      <c r="R1496">
        <f t="shared" si="92"/>
        <v>69</v>
      </c>
      <c r="S1496" t="str" cm="1">
        <f t="array" ref="S1496">IF(P1496="","",_xlfn.SWITCH(LEFT(P1496,1),"C","Ciudad","T","Pueblo","R","Rural","S","Suburbano","U","Urbano",""))</f>
        <v>Pueblo</v>
      </c>
      <c r="T1496" t="str">
        <f t="shared" si="93"/>
        <v>F</v>
      </c>
      <c r="U1496" t="str">
        <f t="shared" si="94"/>
        <v>NC</v>
      </c>
      <c r="V1496" t="str">
        <f t="shared" si="95"/>
        <v>18048</v>
      </c>
    </row>
    <row r="1497" spans="1:22" x14ac:dyDescent="0.35">
      <c r="A1497">
        <v>105325</v>
      </c>
      <c r="B1497" t="s">
        <v>28</v>
      </c>
      <c r="C1497" t="s">
        <v>17</v>
      </c>
      <c r="D1497">
        <v>227</v>
      </c>
      <c r="E1497">
        <v>202</v>
      </c>
      <c r="F1497">
        <v>251</v>
      </c>
      <c r="G1497">
        <v>0</v>
      </c>
      <c r="H1497">
        <v>8250</v>
      </c>
      <c r="I1497">
        <v>0</v>
      </c>
      <c r="J1497">
        <v>72</v>
      </c>
      <c r="K1497">
        <v>241</v>
      </c>
      <c r="L1497">
        <v>220</v>
      </c>
      <c r="M1497">
        <v>2.4459459460000001</v>
      </c>
      <c r="N1497">
        <f>IFERROR(VLOOKUP(A1497,vlookup_table!$A:$G,2,FALSE),"")</f>
        <v>28</v>
      </c>
      <c r="O1497">
        <f>IFERROR(VLOOKUP(A1497,vlookup_table!$A:$G,4,FALSE),"")</f>
        <v>0</v>
      </c>
      <c r="P1497" t="str">
        <f>IFERROR(VLOOKUP(A1497,vlookup_table!$A:$G,5,FALSE),"")</f>
        <v>T2</v>
      </c>
      <c r="Q1497">
        <f>IFERROR(VLOOKUP(A1497,vlookup_table!$A:$G,7,FALSE),"")</f>
        <v>6</v>
      </c>
      <c r="R1497">
        <f t="shared" si="92"/>
        <v>97</v>
      </c>
      <c r="S1497" t="str" cm="1">
        <f t="array" ref="S1497">IF(P1497="","",_xlfn.SWITCH(LEFT(P1497,1),"C","Ciudad","T","Pueblo","R","Rural","S","Suburbano","U","Urbano",""))</f>
        <v>Pueblo</v>
      </c>
      <c r="T1497" t="str">
        <f t="shared" si="93"/>
        <v>F</v>
      </c>
      <c r="U1497" t="str">
        <f t="shared" si="94"/>
        <v>KS</v>
      </c>
      <c r="V1497" t="str">
        <f t="shared" si="95"/>
        <v>8250</v>
      </c>
    </row>
    <row r="1498" spans="1:22" x14ac:dyDescent="0.35">
      <c r="A1498">
        <v>30117</v>
      </c>
      <c r="B1498" t="s">
        <v>39</v>
      </c>
      <c r="C1498" t="s">
        <v>14</v>
      </c>
      <c r="D1498">
        <v>679</v>
      </c>
      <c r="E1498">
        <v>350</v>
      </c>
      <c r="F1498">
        <v>402</v>
      </c>
      <c r="G1498">
        <v>0</v>
      </c>
      <c r="H1498">
        <v>11290</v>
      </c>
      <c r="I1498">
        <v>0</v>
      </c>
      <c r="J1498">
        <v>87</v>
      </c>
      <c r="K1498">
        <v>374</v>
      </c>
      <c r="L1498">
        <v>377</v>
      </c>
      <c r="M1498">
        <v>13</v>
      </c>
      <c r="N1498">
        <f>IFERROR(VLOOKUP(A1498,vlookup_table!$A:$G,2,FALSE),"")</f>
        <v>1</v>
      </c>
      <c r="O1498">
        <f>IFERROR(VLOOKUP(A1498,vlookup_table!$A:$G,4,FALSE),"")</f>
        <v>7101</v>
      </c>
      <c r="P1498" t="str">
        <f>IFERROR(VLOOKUP(A1498,vlookup_table!$A:$G,5,FALSE),"")</f>
        <v>T2</v>
      </c>
      <c r="Q1498">
        <f>IFERROR(VLOOKUP(A1498,vlookup_table!$A:$G,7,FALSE),"")</f>
        <v>16</v>
      </c>
      <c r="R1498">
        <f t="shared" si="92"/>
        <v>26</v>
      </c>
      <c r="S1498" t="str" cm="1">
        <f t="array" ref="S1498">IF(P1498="","",_xlfn.SWITCH(LEFT(P1498,1),"C","Ciudad","T","Pueblo","R","Rural","S","Suburbano","U","Urbano",""))</f>
        <v>Pueblo</v>
      </c>
      <c r="T1498" t="str">
        <f t="shared" si="93"/>
        <v>M</v>
      </c>
      <c r="U1498" t="str">
        <f t="shared" si="94"/>
        <v>GA</v>
      </c>
      <c r="V1498" t="str">
        <f t="shared" si="95"/>
        <v>11290</v>
      </c>
    </row>
    <row r="1499" spans="1:22" x14ac:dyDescent="0.35">
      <c r="A1499">
        <v>121798</v>
      </c>
      <c r="B1499" t="s">
        <v>21</v>
      </c>
      <c r="C1499" t="s">
        <v>14</v>
      </c>
      <c r="D1499">
        <v>612</v>
      </c>
      <c r="E1499">
        <v>508</v>
      </c>
      <c r="F1499">
        <v>547</v>
      </c>
      <c r="G1499">
        <v>0</v>
      </c>
      <c r="H1499">
        <v>23219</v>
      </c>
      <c r="I1499">
        <v>18</v>
      </c>
      <c r="J1499">
        <v>51</v>
      </c>
      <c r="K1499">
        <v>510</v>
      </c>
      <c r="L1499">
        <v>551</v>
      </c>
      <c r="M1499">
        <v>12.33333333</v>
      </c>
      <c r="N1499">
        <f>IFERROR(VLOOKUP(A1499,vlookup_table!$A:$G,2,FALSE),"")</f>
        <v>1</v>
      </c>
      <c r="O1499">
        <f>IFERROR(VLOOKUP(A1499,vlookup_table!$A:$G,4,FALSE),"")</f>
        <v>3601</v>
      </c>
      <c r="P1499" t="str">
        <f>IFERROR(VLOOKUP(A1499,vlookup_table!$A:$G,5,FALSE),"")</f>
        <v>U1</v>
      </c>
      <c r="Q1499">
        <f>IFERROR(VLOOKUP(A1499,vlookup_table!$A:$G,7,FALSE),"")</f>
        <v>15</v>
      </c>
      <c r="R1499">
        <f t="shared" si="92"/>
        <v>61</v>
      </c>
      <c r="S1499" t="str" cm="1">
        <f t="array" ref="S1499">IF(P1499="","",_xlfn.SWITCH(LEFT(P1499,1),"C","Ciudad","T","Pueblo","R","Rural","S","Suburbano","U","Urbano",""))</f>
        <v>Urbano</v>
      </c>
      <c r="T1499" t="str">
        <f t="shared" si="93"/>
        <v>M</v>
      </c>
      <c r="U1499" t="str">
        <f t="shared" si="94"/>
        <v>TX</v>
      </c>
      <c r="V1499" t="str">
        <f t="shared" si="95"/>
        <v>23219</v>
      </c>
    </row>
    <row r="1500" spans="1:22" x14ac:dyDescent="0.35">
      <c r="A1500">
        <v>86322</v>
      </c>
      <c r="B1500" t="s">
        <v>52</v>
      </c>
      <c r="C1500" t="s">
        <v>17</v>
      </c>
      <c r="D1500">
        <v>213</v>
      </c>
      <c r="E1500">
        <v>222</v>
      </c>
      <c r="F1500">
        <v>329</v>
      </c>
      <c r="G1500">
        <v>1</v>
      </c>
      <c r="H1500">
        <v>12227</v>
      </c>
      <c r="I1500">
        <v>1</v>
      </c>
      <c r="J1500">
        <v>57</v>
      </c>
      <c r="K1500">
        <v>273</v>
      </c>
      <c r="L1500">
        <v>283</v>
      </c>
      <c r="M1500">
        <v>5.125</v>
      </c>
      <c r="N1500">
        <f>IFERROR(VLOOKUP(A1500,vlookup_table!$A:$G,2,FALSE),"")</f>
        <v>0</v>
      </c>
      <c r="O1500">
        <f>IFERROR(VLOOKUP(A1500,vlookup_table!$A:$G,4,FALSE),"")</f>
        <v>6701</v>
      </c>
      <c r="P1500" t="str">
        <f>IFERROR(VLOOKUP(A1500,vlookup_table!$A:$G,5,FALSE),"")</f>
        <v>T2</v>
      </c>
      <c r="Q1500">
        <f>IFERROR(VLOOKUP(A1500,vlookup_table!$A:$G,7,FALSE),"")</f>
        <v>5</v>
      </c>
      <c r="R1500">
        <f t="shared" si="92"/>
        <v>30</v>
      </c>
      <c r="S1500" t="str" cm="1">
        <f t="array" ref="S1500">IF(P1500="","",_xlfn.SWITCH(LEFT(P1500,1),"C","Ciudad","T","Pueblo","R","Rural","S","Suburbano","U","Urbano",""))</f>
        <v>Pueblo</v>
      </c>
      <c r="T1500" t="str">
        <f t="shared" si="93"/>
        <v>F</v>
      </c>
      <c r="U1500" t="str">
        <f t="shared" si="94"/>
        <v>SD</v>
      </c>
      <c r="V1500" t="str">
        <f t="shared" si="95"/>
        <v>12227</v>
      </c>
    </row>
    <row r="1501" spans="1:22" x14ac:dyDescent="0.35">
      <c r="A1501">
        <v>56886</v>
      </c>
      <c r="B1501" t="s">
        <v>57</v>
      </c>
      <c r="C1501" t="s">
        <v>14</v>
      </c>
      <c r="D1501">
        <v>1111</v>
      </c>
      <c r="E1501">
        <v>506</v>
      </c>
      <c r="F1501">
        <v>636</v>
      </c>
      <c r="G1501">
        <v>2</v>
      </c>
      <c r="H1501">
        <v>21181</v>
      </c>
      <c r="I1501">
        <v>4</v>
      </c>
      <c r="J1501">
        <v>52</v>
      </c>
      <c r="K1501">
        <v>591</v>
      </c>
      <c r="L1501">
        <v>552</v>
      </c>
      <c r="M1501">
        <v>6.6363636359999996</v>
      </c>
      <c r="N1501">
        <f>IFERROR(VLOOKUP(A1501,vlookup_table!$A:$G,2,FALSE),"")</f>
        <v>1</v>
      </c>
      <c r="O1501">
        <f>IFERROR(VLOOKUP(A1501,vlookup_table!$A:$G,4,FALSE),"")</f>
        <v>2601</v>
      </c>
      <c r="P1501" t="str">
        <f>IFERROR(VLOOKUP(A1501,vlookup_table!$A:$G,5,FALSE),"")</f>
        <v>S1</v>
      </c>
      <c r="Q1501">
        <f>IFERROR(VLOOKUP(A1501,vlookup_table!$A:$G,7,FALSE),"")</f>
        <v>12</v>
      </c>
      <c r="R1501">
        <f t="shared" si="92"/>
        <v>71</v>
      </c>
      <c r="S1501" t="str" cm="1">
        <f t="array" ref="S1501">IF(P1501="","",_xlfn.SWITCH(LEFT(P1501,1),"C","Ciudad","T","Pueblo","R","Rural","S","Suburbano","U","Urbano",""))</f>
        <v>Suburbano</v>
      </c>
      <c r="T1501" t="str">
        <f t="shared" si="93"/>
        <v>M</v>
      </c>
      <c r="U1501" t="str">
        <f t="shared" si="94"/>
        <v>KY</v>
      </c>
      <c r="V1501" t="str">
        <f t="shared" si="95"/>
        <v>21181</v>
      </c>
    </row>
    <row r="1502" spans="1:22" x14ac:dyDescent="0.35">
      <c r="A1502">
        <v>177613</v>
      </c>
      <c r="B1502" t="s">
        <v>50</v>
      </c>
      <c r="C1502" t="s">
        <v>14</v>
      </c>
      <c r="D1502">
        <v>803</v>
      </c>
      <c r="E1502">
        <v>222</v>
      </c>
      <c r="F1502">
        <v>326</v>
      </c>
      <c r="G1502">
        <v>4</v>
      </c>
      <c r="H1502">
        <v>11846</v>
      </c>
      <c r="I1502">
        <v>3</v>
      </c>
      <c r="J1502">
        <v>36</v>
      </c>
      <c r="K1502">
        <v>240</v>
      </c>
      <c r="L1502">
        <v>311</v>
      </c>
      <c r="M1502">
        <v>19.23076923</v>
      </c>
      <c r="N1502">
        <f>IFERROR(VLOOKUP(A1502,vlookup_table!$A:$G,2,FALSE),"")</f>
        <v>0</v>
      </c>
      <c r="O1502">
        <f>IFERROR(VLOOKUP(A1502,vlookup_table!$A:$G,4,FALSE),"")</f>
        <v>0</v>
      </c>
      <c r="P1502" t="str">
        <f>IFERROR(VLOOKUP(A1502,vlookup_table!$A:$G,5,FALSE),"")</f>
        <v>R2</v>
      </c>
      <c r="Q1502">
        <f>IFERROR(VLOOKUP(A1502,vlookup_table!$A:$G,7,FALSE),"")</f>
        <v>20</v>
      </c>
      <c r="R1502">
        <f t="shared" si="92"/>
        <v>97</v>
      </c>
      <c r="S1502" t="str" cm="1">
        <f t="array" ref="S1502">IF(P1502="","",_xlfn.SWITCH(LEFT(P1502,1),"C","Ciudad","T","Pueblo","R","Rural","S","Suburbano","U","Urbano",""))</f>
        <v>Rural</v>
      </c>
      <c r="T1502" t="str">
        <f t="shared" si="93"/>
        <v>M</v>
      </c>
      <c r="U1502" t="str">
        <f t="shared" si="94"/>
        <v>OR</v>
      </c>
      <c r="V1502" t="str">
        <f t="shared" si="95"/>
        <v>11846</v>
      </c>
    </row>
    <row r="1503" spans="1:22" x14ac:dyDescent="0.35">
      <c r="A1503">
        <v>43492</v>
      </c>
      <c r="B1503" t="s">
        <v>13</v>
      </c>
      <c r="C1503" t="s">
        <v>17</v>
      </c>
      <c r="D1503">
        <v>665</v>
      </c>
      <c r="E1503">
        <v>240</v>
      </c>
      <c r="F1503">
        <v>312</v>
      </c>
      <c r="G1503">
        <v>2</v>
      </c>
      <c r="H1503">
        <v>11939</v>
      </c>
      <c r="I1503">
        <v>1</v>
      </c>
      <c r="J1503">
        <v>26</v>
      </c>
      <c r="K1503">
        <v>264</v>
      </c>
      <c r="L1503">
        <v>273</v>
      </c>
      <c r="M1503">
        <v>7</v>
      </c>
      <c r="N1503">
        <f>IFERROR(VLOOKUP(A1503,vlookup_table!$A:$G,2,FALSE),"")</f>
        <v>0</v>
      </c>
      <c r="O1503">
        <f>IFERROR(VLOOKUP(A1503,vlookup_table!$A:$G,4,FALSE),"")</f>
        <v>0</v>
      </c>
      <c r="P1503" t="str">
        <f>IFERROR(VLOOKUP(A1503,vlookup_table!$A:$G,5,FALSE),"")</f>
        <v>S2</v>
      </c>
      <c r="Q1503">
        <f>IFERROR(VLOOKUP(A1503,vlookup_table!$A:$G,7,FALSE),"")</f>
        <v>12</v>
      </c>
      <c r="R1503">
        <f t="shared" si="92"/>
        <v>97</v>
      </c>
      <c r="S1503" t="str" cm="1">
        <f t="array" ref="S1503">IF(P1503="","",_xlfn.SWITCH(LEFT(P1503,1),"C","Ciudad","T","Pueblo","R","Rural","S","Suburbano","U","Urbano",""))</f>
        <v>Suburbano</v>
      </c>
      <c r="T1503" t="str">
        <f t="shared" si="93"/>
        <v>F</v>
      </c>
      <c r="U1503" t="str">
        <f t="shared" si="94"/>
        <v>FL</v>
      </c>
      <c r="V1503" t="str">
        <f t="shared" si="95"/>
        <v>11939</v>
      </c>
    </row>
    <row r="1504" spans="1:22" x14ac:dyDescent="0.35">
      <c r="A1504">
        <v>931</v>
      </c>
      <c r="B1504" t="s">
        <v>50</v>
      </c>
      <c r="C1504" t="s">
        <v>14</v>
      </c>
      <c r="D1504">
        <v>646</v>
      </c>
      <c r="E1504">
        <v>239</v>
      </c>
      <c r="F1504">
        <v>328</v>
      </c>
      <c r="G1504">
        <v>1</v>
      </c>
      <c r="H1504">
        <v>10757</v>
      </c>
      <c r="I1504">
        <v>6</v>
      </c>
      <c r="J1504">
        <v>58</v>
      </c>
      <c r="K1504">
        <v>249</v>
      </c>
      <c r="L1504">
        <v>305</v>
      </c>
      <c r="M1504">
        <v>5.0999999999999996</v>
      </c>
      <c r="N1504">
        <f>IFERROR(VLOOKUP(A1504,vlookup_table!$A:$G,2,FALSE),"")</f>
        <v>1002</v>
      </c>
      <c r="O1504">
        <f>IFERROR(VLOOKUP(A1504,vlookup_table!$A:$G,4,FALSE),"")</f>
        <v>4711</v>
      </c>
      <c r="P1504" t="str">
        <f>IFERROR(VLOOKUP(A1504,vlookup_table!$A:$G,5,FALSE),"")</f>
        <v>R2</v>
      </c>
      <c r="Q1504">
        <f>IFERROR(VLOOKUP(A1504,vlookup_table!$A:$G,7,FALSE),"")</f>
        <v>12</v>
      </c>
      <c r="R1504">
        <f t="shared" si="92"/>
        <v>50</v>
      </c>
      <c r="S1504" t="str" cm="1">
        <f t="array" ref="S1504">IF(P1504="","",_xlfn.SWITCH(LEFT(P1504,1),"C","Ciudad","T","Pueblo","R","Rural","S","Suburbano","U","Urbano",""))</f>
        <v>Rural</v>
      </c>
      <c r="T1504" t="str">
        <f t="shared" si="93"/>
        <v>M</v>
      </c>
      <c r="U1504" t="str">
        <f t="shared" si="94"/>
        <v>OR</v>
      </c>
      <c r="V1504" t="str">
        <f t="shared" si="95"/>
        <v>10757</v>
      </c>
    </row>
    <row r="1505" spans="1:22" x14ac:dyDescent="0.35">
      <c r="A1505">
        <v>19510</v>
      </c>
      <c r="B1505" t="s">
        <v>18</v>
      </c>
      <c r="C1505" t="s">
        <v>14</v>
      </c>
      <c r="D1505">
        <v>2441</v>
      </c>
      <c r="E1505">
        <v>579</v>
      </c>
      <c r="F1505">
        <v>866</v>
      </c>
      <c r="G1505">
        <v>67</v>
      </c>
      <c r="H1505">
        <v>46160</v>
      </c>
      <c r="I1505">
        <v>2</v>
      </c>
      <c r="J1505">
        <v>54</v>
      </c>
      <c r="K1505">
        <v>740</v>
      </c>
      <c r="L1505">
        <v>697</v>
      </c>
      <c r="M1505">
        <v>11</v>
      </c>
      <c r="N1505">
        <f>IFERROR(VLOOKUP(A1505,vlookup_table!$A:$G,2,FALSE),"")</f>
        <v>0</v>
      </c>
      <c r="O1505">
        <f>IFERROR(VLOOKUP(A1505,vlookup_table!$A:$G,4,FALSE),"")</f>
        <v>2001</v>
      </c>
      <c r="P1505" t="str">
        <f>IFERROR(VLOOKUP(A1505,vlookup_table!$A:$G,5,FALSE),"")</f>
        <v>C1</v>
      </c>
      <c r="Q1505" t="str">
        <f>IFERROR(VLOOKUP(A1505,vlookup_table!$A:$G,7,FALSE),"")</f>
        <v>12.5</v>
      </c>
      <c r="R1505">
        <f t="shared" si="92"/>
        <v>77</v>
      </c>
      <c r="S1505" t="str" cm="1">
        <f t="array" ref="S1505">IF(P1505="","",_xlfn.SWITCH(LEFT(P1505,1),"C","Ciudad","T","Pueblo","R","Rural","S","Suburbano","U","Urbano",""))</f>
        <v>Ciudad</v>
      </c>
      <c r="T1505" t="str">
        <f t="shared" si="93"/>
        <v>M</v>
      </c>
      <c r="U1505" t="str">
        <f t="shared" si="94"/>
        <v>NC</v>
      </c>
      <c r="V1505" t="str">
        <f t="shared" si="95"/>
        <v>46160</v>
      </c>
    </row>
    <row r="1506" spans="1:22" x14ac:dyDescent="0.35">
      <c r="A1506">
        <v>38165</v>
      </c>
      <c r="B1506" t="s">
        <v>22</v>
      </c>
      <c r="C1506" t="s">
        <v>17</v>
      </c>
      <c r="D1506">
        <v>1985</v>
      </c>
      <c r="E1506">
        <v>414</v>
      </c>
      <c r="F1506">
        <v>490</v>
      </c>
      <c r="G1506">
        <v>48</v>
      </c>
      <c r="H1506">
        <v>17181</v>
      </c>
      <c r="I1506">
        <v>12</v>
      </c>
      <c r="J1506">
        <v>38</v>
      </c>
      <c r="K1506">
        <v>446</v>
      </c>
      <c r="L1506">
        <v>467</v>
      </c>
      <c r="M1506">
        <v>10.363636359999999</v>
      </c>
      <c r="N1506">
        <f>IFERROR(VLOOKUP(A1506,vlookup_table!$A:$G,2,FALSE),"")</f>
        <v>1002</v>
      </c>
      <c r="O1506">
        <f>IFERROR(VLOOKUP(A1506,vlookup_table!$A:$G,4,FALSE),"")</f>
        <v>4607</v>
      </c>
      <c r="P1506" t="str">
        <f>IFERROR(VLOOKUP(A1506,vlookup_table!$A:$G,5,FALSE),"")</f>
        <v>U2</v>
      </c>
      <c r="Q1506">
        <f>IFERROR(VLOOKUP(A1506,vlookup_table!$A:$G,7,FALSE),"")</f>
        <v>14</v>
      </c>
      <c r="R1506">
        <f t="shared" si="92"/>
        <v>51</v>
      </c>
      <c r="S1506" t="str" cm="1">
        <f t="array" ref="S1506">IF(P1506="","",_xlfn.SWITCH(LEFT(P1506,1),"C","Ciudad","T","Pueblo","R","Rural","S","Suburbano","U","Urbano",""))</f>
        <v>Urbano</v>
      </c>
      <c r="T1506" t="str">
        <f t="shared" si="93"/>
        <v>F</v>
      </c>
      <c r="U1506" t="str">
        <f t="shared" si="94"/>
        <v>CA</v>
      </c>
      <c r="V1506" t="str">
        <f t="shared" si="95"/>
        <v>17181</v>
      </c>
    </row>
    <row r="1507" spans="1:22" x14ac:dyDescent="0.35">
      <c r="A1507">
        <v>171879</v>
      </c>
      <c r="B1507" t="s">
        <v>22</v>
      </c>
      <c r="C1507" t="s">
        <v>17</v>
      </c>
      <c r="D1507">
        <v>1016</v>
      </c>
      <c r="E1507">
        <v>235</v>
      </c>
      <c r="F1507">
        <v>303</v>
      </c>
      <c r="G1507">
        <v>1</v>
      </c>
      <c r="H1507">
        <v>12496</v>
      </c>
      <c r="I1507">
        <v>6</v>
      </c>
      <c r="J1507">
        <v>66</v>
      </c>
      <c r="K1507">
        <v>246</v>
      </c>
      <c r="L1507">
        <v>278</v>
      </c>
      <c r="M1507">
        <v>20</v>
      </c>
      <c r="N1507">
        <f>IFERROR(VLOOKUP(A1507,vlookup_table!$A:$G,2,FALSE),"")</f>
        <v>0</v>
      </c>
      <c r="O1507">
        <f>IFERROR(VLOOKUP(A1507,vlookup_table!$A:$G,4,FALSE),"")</f>
        <v>0</v>
      </c>
      <c r="P1507" t="str">
        <f>IFERROR(VLOOKUP(A1507,vlookup_table!$A:$G,5,FALSE),"")</f>
        <v>U3</v>
      </c>
      <c r="Q1507">
        <f>IFERROR(VLOOKUP(A1507,vlookup_table!$A:$G,7,FALSE),"")</f>
        <v>20</v>
      </c>
      <c r="R1507">
        <f t="shared" si="92"/>
        <v>97</v>
      </c>
      <c r="S1507" t="str" cm="1">
        <f t="array" ref="S1507">IF(P1507="","",_xlfn.SWITCH(LEFT(P1507,1),"C","Ciudad","T","Pueblo","R","Rural","S","Suburbano","U","Urbano",""))</f>
        <v>Urbano</v>
      </c>
      <c r="T1507" t="str">
        <f t="shared" si="93"/>
        <v>F</v>
      </c>
      <c r="U1507" t="str">
        <f t="shared" si="94"/>
        <v>CA</v>
      </c>
      <c r="V1507" t="str">
        <f t="shared" si="95"/>
        <v>12496</v>
      </c>
    </row>
    <row r="1508" spans="1:22" x14ac:dyDescent="0.35">
      <c r="A1508">
        <v>135248</v>
      </c>
      <c r="B1508" t="s">
        <v>64</v>
      </c>
      <c r="C1508" t="s">
        <v>14</v>
      </c>
      <c r="D1508">
        <v>596</v>
      </c>
      <c r="E1508">
        <v>308</v>
      </c>
      <c r="F1508">
        <v>361</v>
      </c>
      <c r="G1508">
        <v>0</v>
      </c>
      <c r="H1508">
        <v>11474</v>
      </c>
      <c r="I1508">
        <v>2</v>
      </c>
      <c r="J1508">
        <v>42</v>
      </c>
      <c r="K1508">
        <v>316</v>
      </c>
      <c r="L1508">
        <v>345</v>
      </c>
      <c r="M1508">
        <v>11.81818182</v>
      </c>
      <c r="N1508">
        <f>IFERROR(VLOOKUP(A1508,vlookup_table!$A:$G,2,FALSE),"")</f>
        <v>1</v>
      </c>
      <c r="O1508">
        <f>IFERROR(VLOOKUP(A1508,vlookup_table!$A:$G,4,FALSE),"")</f>
        <v>1612</v>
      </c>
      <c r="P1508" t="str">
        <f>IFERROR(VLOOKUP(A1508,vlookup_table!$A:$G,5,FALSE),"")</f>
        <v>U2</v>
      </c>
      <c r="Q1508">
        <f>IFERROR(VLOOKUP(A1508,vlookup_table!$A:$G,7,FALSE),"")</f>
        <v>20</v>
      </c>
      <c r="R1508">
        <f t="shared" si="92"/>
        <v>81</v>
      </c>
      <c r="S1508" t="str" cm="1">
        <f t="array" ref="S1508">IF(P1508="","",_xlfn.SWITCH(LEFT(P1508,1),"C","Ciudad","T","Pueblo","R","Rural","S","Suburbano","U","Urbano",""))</f>
        <v>Urbano</v>
      </c>
      <c r="T1508" t="str">
        <f t="shared" si="93"/>
        <v>M</v>
      </c>
      <c r="U1508" t="str">
        <f t="shared" si="94"/>
        <v>Arizona</v>
      </c>
      <c r="V1508" t="str">
        <f t="shared" si="95"/>
        <v>11474</v>
      </c>
    </row>
    <row r="1509" spans="1:22" x14ac:dyDescent="0.35">
      <c r="A1509">
        <v>187171</v>
      </c>
      <c r="B1509" t="s">
        <v>64</v>
      </c>
      <c r="C1509" t="s">
        <v>14</v>
      </c>
      <c r="D1509">
        <v>851</v>
      </c>
      <c r="E1509">
        <v>299</v>
      </c>
      <c r="F1509">
        <v>387</v>
      </c>
      <c r="G1509">
        <v>0</v>
      </c>
      <c r="H1509">
        <v>19138</v>
      </c>
      <c r="I1509">
        <v>9</v>
      </c>
      <c r="J1509">
        <v>10</v>
      </c>
      <c r="K1509">
        <v>363</v>
      </c>
      <c r="L1509">
        <v>330</v>
      </c>
      <c r="M1509">
        <v>15</v>
      </c>
      <c r="N1509">
        <f>IFERROR(VLOOKUP(A1509,vlookup_table!$A:$G,2,FALSE),"")</f>
        <v>1</v>
      </c>
      <c r="O1509">
        <f>IFERROR(VLOOKUP(A1509,vlookup_table!$A:$G,4,FALSE),"")</f>
        <v>0</v>
      </c>
      <c r="P1509" t="str">
        <f>IFERROR(VLOOKUP(A1509,vlookup_table!$A:$G,5,FALSE),"")</f>
        <v>C2</v>
      </c>
      <c r="Q1509">
        <f>IFERROR(VLOOKUP(A1509,vlookup_table!$A:$G,7,FALSE),"")</f>
        <v>15</v>
      </c>
      <c r="R1509">
        <f t="shared" si="92"/>
        <v>97</v>
      </c>
      <c r="S1509" t="str" cm="1">
        <f t="array" ref="S1509">IF(P1509="","",_xlfn.SWITCH(LEFT(P1509,1),"C","Ciudad","T","Pueblo","R","Rural","S","Suburbano","U","Urbano",""))</f>
        <v>Ciudad</v>
      </c>
      <c r="T1509" t="str">
        <f t="shared" si="93"/>
        <v>M</v>
      </c>
      <c r="U1509" t="str">
        <f t="shared" si="94"/>
        <v>Arizona</v>
      </c>
      <c r="V1509" t="str">
        <f t="shared" si="95"/>
        <v>19138</v>
      </c>
    </row>
    <row r="1510" spans="1:22" x14ac:dyDescent="0.35">
      <c r="A1510">
        <v>77915</v>
      </c>
      <c r="B1510" t="s">
        <v>35</v>
      </c>
      <c r="C1510" t="s">
        <v>51</v>
      </c>
      <c r="D1510">
        <v>477</v>
      </c>
      <c r="E1510">
        <v>278</v>
      </c>
      <c r="F1510">
        <v>375</v>
      </c>
      <c r="G1510">
        <v>0</v>
      </c>
      <c r="H1510">
        <v>11950</v>
      </c>
      <c r="I1510">
        <v>7</v>
      </c>
      <c r="J1510">
        <v>66</v>
      </c>
      <c r="K1510">
        <v>321</v>
      </c>
      <c r="L1510">
        <v>303</v>
      </c>
      <c r="M1510">
        <v>8.5714285710000002</v>
      </c>
      <c r="N1510">
        <f>IFERROR(VLOOKUP(A1510,vlookup_table!$A:$G,2,FALSE),"")</f>
        <v>0</v>
      </c>
      <c r="O1510">
        <f>IFERROR(VLOOKUP(A1510,vlookup_table!$A:$G,4,FALSE),"")</f>
        <v>2212</v>
      </c>
      <c r="P1510" t="str">
        <f>IFERROR(VLOOKUP(A1510,vlookup_table!$A:$G,5,FALSE),"")</f>
        <v>S3</v>
      </c>
      <c r="Q1510">
        <f>IFERROR(VLOOKUP(A1510,vlookup_table!$A:$G,7,FALSE),"")</f>
        <v>15</v>
      </c>
      <c r="R1510">
        <f t="shared" si="92"/>
        <v>75</v>
      </c>
      <c r="S1510" t="str" cm="1">
        <f t="array" ref="S1510">IF(P1510="","",_xlfn.SWITCH(LEFT(P1510,1),"C","Ciudad","T","Pueblo","R","Rural","S","Suburbano","U","Urbano",""))</f>
        <v>Suburbano</v>
      </c>
      <c r="T1510" t="str">
        <f t="shared" si="93"/>
        <v>M</v>
      </c>
      <c r="U1510" t="str">
        <f t="shared" si="94"/>
        <v>WI</v>
      </c>
      <c r="V1510" t="str">
        <f t="shared" si="95"/>
        <v>11950</v>
      </c>
    </row>
    <row r="1511" spans="1:22" x14ac:dyDescent="0.35">
      <c r="A1511">
        <v>64419</v>
      </c>
      <c r="B1511" t="s">
        <v>33</v>
      </c>
      <c r="C1511" t="s">
        <v>14</v>
      </c>
      <c r="D1511">
        <v>725</v>
      </c>
      <c r="E1511">
        <v>305</v>
      </c>
      <c r="F1511">
        <v>360</v>
      </c>
      <c r="G1511">
        <v>1</v>
      </c>
      <c r="H1511">
        <v>13264</v>
      </c>
      <c r="I1511">
        <v>2</v>
      </c>
      <c r="J1511">
        <v>77</v>
      </c>
      <c r="K1511">
        <v>309</v>
      </c>
      <c r="L1511">
        <v>349</v>
      </c>
      <c r="M1511">
        <v>10.222222220000001</v>
      </c>
      <c r="N1511">
        <f>IFERROR(VLOOKUP(A1511,vlookup_table!$A:$G,2,FALSE),"")</f>
        <v>1</v>
      </c>
      <c r="O1511">
        <f>IFERROR(VLOOKUP(A1511,vlookup_table!$A:$G,4,FALSE),"")</f>
        <v>0</v>
      </c>
      <c r="P1511" t="str">
        <f>IFERROR(VLOOKUP(A1511,vlookup_table!$A:$G,5,FALSE),"")</f>
        <v>R2</v>
      </c>
      <c r="Q1511">
        <f>IFERROR(VLOOKUP(A1511,vlookup_table!$A:$G,7,FALSE),"")</f>
        <v>14</v>
      </c>
      <c r="R1511">
        <f t="shared" si="92"/>
        <v>97</v>
      </c>
      <c r="S1511" t="str" cm="1">
        <f t="array" ref="S1511">IF(P1511="","",_xlfn.SWITCH(LEFT(P1511,1),"C","Ciudad","T","Pueblo","R","Rural","S","Suburbano","U","Urbano",""))</f>
        <v>Rural</v>
      </c>
      <c r="T1511" t="str">
        <f t="shared" si="93"/>
        <v>M</v>
      </c>
      <c r="U1511" t="str">
        <f t="shared" si="94"/>
        <v>IN</v>
      </c>
      <c r="V1511" t="str">
        <f t="shared" si="95"/>
        <v>13264</v>
      </c>
    </row>
    <row r="1512" spans="1:22" x14ac:dyDescent="0.35">
      <c r="A1512">
        <v>51185</v>
      </c>
      <c r="B1512" t="s">
        <v>53</v>
      </c>
      <c r="C1512" t="s">
        <v>14</v>
      </c>
      <c r="D1512">
        <v>457</v>
      </c>
      <c r="E1512">
        <v>186</v>
      </c>
      <c r="F1512">
        <v>292</v>
      </c>
      <c r="G1512">
        <v>0</v>
      </c>
      <c r="H1512">
        <v>10259</v>
      </c>
      <c r="I1512">
        <v>0</v>
      </c>
      <c r="J1512">
        <v>78</v>
      </c>
      <c r="K1512">
        <v>242</v>
      </c>
      <c r="L1512">
        <v>237</v>
      </c>
      <c r="M1512">
        <v>9.3333333330000006</v>
      </c>
      <c r="N1512">
        <f>IFERROR(VLOOKUP(A1512,vlookup_table!$A:$G,2,FALSE),"")</f>
        <v>1</v>
      </c>
      <c r="O1512">
        <f>IFERROR(VLOOKUP(A1512,vlookup_table!$A:$G,4,FALSE),"")</f>
        <v>0</v>
      </c>
      <c r="P1512" t="str">
        <f>IFERROR(VLOOKUP(A1512,vlookup_table!$A:$G,5,FALSE),"")</f>
        <v>R2</v>
      </c>
      <c r="Q1512">
        <f>IFERROR(VLOOKUP(A1512,vlookup_table!$A:$G,7,FALSE),"")</f>
        <v>10</v>
      </c>
      <c r="R1512">
        <f t="shared" si="92"/>
        <v>97</v>
      </c>
      <c r="S1512" t="str" cm="1">
        <f t="array" ref="S1512">IF(P1512="","",_xlfn.SWITCH(LEFT(P1512,1),"C","Ciudad","T","Pueblo","R","Rural","S","Suburbano","U","Urbano",""))</f>
        <v>Rural</v>
      </c>
      <c r="T1512" t="str">
        <f t="shared" si="93"/>
        <v>M</v>
      </c>
      <c r="U1512" t="str">
        <f t="shared" si="94"/>
        <v>TN</v>
      </c>
      <c r="V1512" t="str">
        <f t="shared" si="95"/>
        <v>10259</v>
      </c>
    </row>
    <row r="1513" spans="1:22" x14ac:dyDescent="0.35">
      <c r="A1513">
        <v>79116</v>
      </c>
      <c r="B1513" t="s">
        <v>35</v>
      </c>
      <c r="C1513" t="s">
        <v>17</v>
      </c>
      <c r="D1513">
        <v>377</v>
      </c>
      <c r="E1513">
        <v>311</v>
      </c>
      <c r="F1513">
        <v>375</v>
      </c>
      <c r="G1513">
        <v>0</v>
      </c>
      <c r="H1513">
        <v>10276</v>
      </c>
      <c r="I1513">
        <v>4</v>
      </c>
      <c r="J1513">
        <v>49</v>
      </c>
      <c r="K1513">
        <v>363</v>
      </c>
      <c r="L1513">
        <v>320</v>
      </c>
      <c r="M1513">
        <v>5</v>
      </c>
      <c r="N1513">
        <f>IFERROR(VLOOKUP(A1513,vlookup_table!$A:$G,2,FALSE),"")</f>
        <v>0</v>
      </c>
      <c r="O1513">
        <f>IFERROR(VLOOKUP(A1513,vlookup_table!$A:$G,4,FALSE),"")</f>
        <v>3601</v>
      </c>
      <c r="P1513" t="str">
        <f>IFERROR(VLOOKUP(A1513,vlookup_table!$A:$G,5,FALSE),"")</f>
        <v>C2</v>
      </c>
      <c r="Q1513">
        <f>IFERROR(VLOOKUP(A1513,vlookup_table!$A:$G,7,FALSE),"")</f>
        <v>10</v>
      </c>
      <c r="R1513">
        <f t="shared" si="92"/>
        <v>61</v>
      </c>
      <c r="S1513" t="str" cm="1">
        <f t="array" ref="S1513">IF(P1513="","",_xlfn.SWITCH(LEFT(P1513,1),"C","Ciudad","T","Pueblo","R","Rural","S","Suburbano","U","Urbano",""))</f>
        <v>Ciudad</v>
      </c>
      <c r="T1513" t="str">
        <f t="shared" si="93"/>
        <v>F</v>
      </c>
      <c r="U1513" t="str">
        <f t="shared" si="94"/>
        <v>WI</v>
      </c>
      <c r="V1513" t="str">
        <f t="shared" si="95"/>
        <v>10276</v>
      </c>
    </row>
    <row r="1514" spans="1:22" x14ac:dyDescent="0.35">
      <c r="A1514">
        <v>68951</v>
      </c>
      <c r="B1514" t="s">
        <v>29</v>
      </c>
      <c r="C1514" t="s">
        <v>14</v>
      </c>
      <c r="D1514">
        <v>1223</v>
      </c>
      <c r="E1514">
        <v>575</v>
      </c>
      <c r="F1514">
        <v>704</v>
      </c>
      <c r="G1514">
        <v>8</v>
      </c>
      <c r="H1514">
        <v>27751</v>
      </c>
      <c r="I1514">
        <v>4</v>
      </c>
      <c r="J1514">
        <v>68</v>
      </c>
      <c r="K1514">
        <v>644</v>
      </c>
      <c r="L1514">
        <v>638</v>
      </c>
      <c r="M1514">
        <v>25</v>
      </c>
      <c r="N1514">
        <f>IFERROR(VLOOKUP(A1514,vlookup_table!$A:$G,2,FALSE),"")</f>
        <v>1</v>
      </c>
      <c r="O1514">
        <f>IFERROR(VLOOKUP(A1514,vlookup_table!$A:$G,4,FALSE),"")</f>
        <v>7107</v>
      </c>
      <c r="P1514" t="str">
        <f>IFERROR(VLOOKUP(A1514,vlookup_table!$A:$G,5,FALSE),"")</f>
        <v>S1</v>
      </c>
      <c r="Q1514">
        <f>IFERROR(VLOOKUP(A1514,vlookup_table!$A:$G,7,FALSE),"")</f>
        <v>25</v>
      </c>
      <c r="R1514">
        <f t="shared" si="92"/>
        <v>26</v>
      </c>
      <c r="S1514" t="str" cm="1">
        <f t="array" ref="S1514">IF(P1514="","",_xlfn.SWITCH(LEFT(P1514,1),"C","Ciudad","T","Pueblo","R","Rural","S","Suburbano","U","Urbano",""))</f>
        <v>Suburbano</v>
      </c>
      <c r="T1514" t="str">
        <f t="shared" si="93"/>
        <v>M</v>
      </c>
      <c r="U1514" t="str">
        <f t="shared" si="94"/>
        <v>MI</v>
      </c>
      <c r="V1514" t="str">
        <f t="shared" si="95"/>
        <v>27751</v>
      </c>
    </row>
    <row r="1515" spans="1:22" x14ac:dyDescent="0.35">
      <c r="A1515">
        <v>50570</v>
      </c>
      <c r="B1515" t="s">
        <v>53</v>
      </c>
      <c r="C1515" t="s">
        <v>14</v>
      </c>
      <c r="D1515">
        <v>308</v>
      </c>
      <c r="E1515">
        <v>182</v>
      </c>
      <c r="F1515">
        <v>269</v>
      </c>
      <c r="G1515">
        <v>0</v>
      </c>
      <c r="H1515">
        <v>9150</v>
      </c>
      <c r="I1515">
        <v>0</v>
      </c>
      <c r="J1515">
        <v>76</v>
      </c>
      <c r="K1515">
        <v>220</v>
      </c>
      <c r="L1515">
        <v>231</v>
      </c>
      <c r="M1515">
        <v>10</v>
      </c>
      <c r="N1515">
        <f>IFERROR(VLOOKUP(A1515,vlookup_table!$A:$G,2,FALSE),"")</f>
        <v>1</v>
      </c>
      <c r="O1515">
        <f>IFERROR(VLOOKUP(A1515,vlookup_table!$A:$G,4,FALSE),"")</f>
        <v>0</v>
      </c>
      <c r="P1515" t="str">
        <f>IFERROR(VLOOKUP(A1515,vlookup_table!$A:$G,5,FALSE),"")</f>
        <v>R3</v>
      </c>
      <c r="Q1515">
        <f>IFERROR(VLOOKUP(A1515,vlookup_table!$A:$G,7,FALSE),"")</f>
        <v>10</v>
      </c>
      <c r="R1515">
        <f t="shared" si="92"/>
        <v>97</v>
      </c>
      <c r="S1515" t="str" cm="1">
        <f t="array" ref="S1515">IF(P1515="","",_xlfn.SWITCH(LEFT(P1515,1),"C","Ciudad","T","Pueblo","R","Rural","S","Suburbano","U","Urbano",""))</f>
        <v>Rural</v>
      </c>
      <c r="T1515" t="str">
        <f t="shared" si="93"/>
        <v>M</v>
      </c>
      <c r="U1515" t="str">
        <f t="shared" si="94"/>
        <v>TN</v>
      </c>
      <c r="V1515" t="str">
        <f t="shared" si="95"/>
        <v>9150</v>
      </c>
    </row>
    <row r="1516" spans="1:22" x14ac:dyDescent="0.35">
      <c r="A1516">
        <v>90775</v>
      </c>
      <c r="B1516" t="s">
        <v>16</v>
      </c>
      <c r="C1516" t="s">
        <v>14</v>
      </c>
      <c r="D1516">
        <v>1097</v>
      </c>
      <c r="E1516">
        <v>312</v>
      </c>
      <c r="F1516">
        <v>473</v>
      </c>
      <c r="G1516">
        <v>3</v>
      </c>
      <c r="H1516">
        <v>16896</v>
      </c>
      <c r="I1516">
        <v>10</v>
      </c>
      <c r="J1516">
        <v>79</v>
      </c>
      <c r="K1516">
        <v>463</v>
      </c>
      <c r="L1516">
        <v>371</v>
      </c>
      <c r="M1516">
        <v>10.71428571</v>
      </c>
      <c r="N1516">
        <f>IFERROR(VLOOKUP(A1516,vlookup_table!$A:$G,2,FALSE),"")</f>
        <v>1</v>
      </c>
      <c r="O1516">
        <f>IFERROR(VLOOKUP(A1516,vlookup_table!$A:$G,4,FALSE),"")</f>
        <v>5103</v>
      </c>
      <c r="P1516" t="str">
        <f>IFERROR(VLOOKUP(A1516,vlookup_table!$A:$G,5,FALSE),"")</f>
        <v>S2</v>
      </c>
      <c r="Q1516">
        <f>IFERROR(VLOOKUP(A1516,vlookup_table!$A:$G,7,FALSE),"")</f>
        <v>17</v>
      </c>
      <c r="R1516">
        <f t="shared" si="92"/>
        <v>46</v>
      </c>
      <c r="S1516" t="str" cm="1">
        <f t="array" ref="S1516">IF(P1516="","",_xlfn.SWITCH(LEFT(P1516,1),"C","Ciudad","T","Pueblo","R","Rural","S","Suburbano","U","Urbano",""))</f>
        <v>Suburbano</v>
      </c>
      <c r="T1516" t="str">
        <f t="shared" si="93"/>
        <v>M</v>
      </c>
      <c r="U1516" t="str">
        <f t="shared" si="94"/>
        <v>IL</v>
      </c>
      <c r="V1516" t="str">
        <f t="shared" si="95"/>
        <v>16896</v>
      </c>
    </row>
    <row r="1517" spans="1:22" x14ac:dyDescent="0.35">
      <c r="A1517">
        <v>186375</v>
      </c>
      <c r="B1517" t="s">
        <v>50</v>
      </c>
      <c r="C1517" t="s">
        <v>14</v>
      </c>
      <c r="D1517">
        <v>1060</v>
      </c>
      <c r="E1517">
        <v>340</v>
      </c>
      <c r="F1517">
        <v>500</v>
      </c>
      <c r="G1517">
        <v>11</v>
      </c>
      <c r="H1517">
        <v>19213</v>
      </c>
      <c r="I1517">
        <v>5</v>
      </c>
      <c r="J1517">
        <v>32</v>
      </c>
      <c r="K1517">
        <v>425</v>
      </c>
      <c r="L1517">
        <v>422</v>
      </c>
      <c r="M1517">
        <v>15</v>
      </c>
      <c r="N1517">
        <f>IFERROR(VLOOKUP(A1517,vlookup_table!$A:$G,2,FALSE),"")</f>
        <v>0</v>
      </c>
      <c r="O1517">
        <f>IFERROR(VLOOKUP(A1517,vlookup_table!$A:$G,4,FALSE),"")</f>
        <v>0</v>
      </c>
      <c r="P1517" t="str">
        <f>IFERROR(VLOOKUP(A1517,vlookup_table!$A:$G,5,FALSE),"")</f>
        <v>C1</v>
      </c>
      <c r="Q1517">
        <f>IFERROR(VLOOKUP(A1517,vlookup_table!$A:$G,7,FALSE),"")</f>
        <v>10</v>
      </c>
      <c r="R1517">
        <f t="shared" si="92"/>
        <v>97</v>
      </c>
      <c r="S1517" t="str" cm="1">
        <f t="array" ref="S1517">IF(P1517="","",_xlfn.SWITCH(LEFT(P1517,1),"C","Ciudad","T","Pueblo","R","Rural","S","Suburbano","U","Urbano",""))</f>
        <v>Ciudad</v>
      </c>
      <c r="T1517" t="str">
        <f t="shared" si="93"/>
        <v>M</v>
      </c>
      <c r="U1517" t="str">
        <f t="shared" si="94"/>
        <v>OR</v>
      </c>
      <c r="V1517" t="str">
        <f t="shared" si="95"/>
        <v>19213</v>
      </c>
    </row>
    <row r="1518" spans="1:22" x14ac:dyDescent="0.35">
      <c r="A1518">
        <v>90765</v>
      </c>
      <c r="B1518" t="s">
        <v>16</v>
      </c>
      <c r="C1518" t="s">
        <v>17</v>
      </c>
      <c r="D1518">
        <v>870</v>
      </c>
      <c r="E1518">
        <v>356</v>
      </c>
      <c r="F1518">
        <v>420</v>
      </c>
      <c r="G1518">
        <v>0</v>
      </c>
      <c r="H1518">
        <v>17028</v>
      </c>
      <c r="I1518">
        <v>20</v>
      </c>
      <c r="J1518">
        <v>64</v>
      </c>
      <c r="K1518">
        <v>405</v>
      </c>
      <c r="L1518">
        <v>361</v>
      </c>
      <c r="M1518">
        <v>26.666666670000001</v>
      </c>
      <c r="N1518">
        <f>IFERROR(VLOOKUP(A1518,vlookup_table!$A:$G,2,FALSE),"")</f>
        <v>3</v>
      </c>
      <c r="O1518">
        <f>IFERROR(VLOOKUP(A1518,vlookup_table!$A:$G,4,FALSE),"")</f>
        <v>0</v>
      </c>
      <c r="P1518" t="str">
        <f>IFERROR(VLOOKUP(A1518,vlookup_table!$A:$G,5,FALSE),"")</f>
        <v>U2</v>
      </c>
      <c r="Q1518">
        <f>IFERROR(VLOOKUP(A1518,vlookup_table!$A:$G,7,FALSE),"")</f>
        <v>20</v>
      </c>
      <c r="R1518">
        <f t="shared" si="92"/>
        <v>97</v>
      </c>
      <c r="S1518" t="str" cm="1">
        <f t="array" ref="S1518">IF(P1518="","",_xlfn.SWITCH(LEFT(P1518,1),"C","Ciudad","T","Pueblo","R","Rural","S","Suburbano","U","Urbano",""))</f>
        <v>Urbano</v>
      </c>
      <c r="T1518" t="str">
        <f t="shared" si="93"/>
        <v>F</v>
      </c>
      <c r="U1518" t="str">
        <f t="shared" si="94"/>
        <v>IL</v>
      </c>
      <c r="V1518" t="str">
        <f t="shared" si="95"/>
        <v>17028</v>
      </c>
    </row>
    <row r="1519" spans="1:22" x14ac:dyDescent="0.35">
      <c r="A1519">
        <v>76128</v>
      </c>
      <c r="B1519" t="s">
        <v>47</v>
      </c>
      <c r="C1519" t="s">
        <v>14</v>
      </c>
      <c r="D1519">
        <v>543</v>
      </c>
      <c r="E1519">
        <v>271</v>
      </c>
      <c r="F1519">
        <v>387</v>
      </c>
      <c r="G1519">
        <v>0</v>
      </c>
      <c r="H1519">
        <v>12961</v>
      </c>
      <c r="I1519">
        <v>2</v>
      </c>
      <c r="J1519">
        <v>83</v>
      </c>
      <c r="K1519">
        <v>349</v>
      </c>
      <c r="L1519">
        <v>339</v>
      </c>
      <c r="M1519">
        <v>4.9642857139999998</v>
      </c>
      <c r="N1519">
        <f>IFERROR(VLOOKUP(A1519,vlookup_table!$A:$G,2,FALSE),"")</f>
        <v>0</v>
      </c>
      <c r="O1519">
        <f>IFERROR(VLOOKUP(A1519,vlookup_table!$A:$G,4,FALSE),"")</f>
        <v>3201</v>
      </c>
      <c r="P1519" t="str">
        <f>IFERROR(VLOOKUP(A1519,vlookup_table!$A:$G,5,FALSE),"")</f>
        <v>R2</v>
      </c>
      <c r="Q1519">
        <f>IFERROR(VLOOKUP(A1519,vlookup_table!$A:$G,7,FALSE),"")</f>
        <v>5</v>
      </c>
      <c r="R1519">
        <f t="shared" si="92"/>
        <v>65</v>
      </c>
      <c r="S1519" t="str" cm="1">
        <f t="array" ref="S1519">IF(P1519="","",_xlfn.SWITCH(LEFT(P1519,1),"C","Ciudad","T","Pueblo","R","Rural","S","Suburbano","U","Urbano",""))</f>
        <v>Rural</v>
      </c>
      <c r="T1519" t="str">
        <f t="shared" si="93"/>
        <v>M</v>
      </c>
      <c r="U1519" t="str">
        <f t="shared" si="94"/>
        <v>IA</v>
      </c>
      <c r="V1519" t="str">
        <f t="shared" si="95"/>
        <v>12961</v>
      </c>
    </row>
    <row r="1520" spans="1:22" x14ac:dyDescent="0.35">
      <c r="A1520">
        <v>28082</v>
      </c>
      <c r="B1520" t="s">
        <v>39</v>
      </c>
      <c r="D1520">
        <v>1063</v>
      </c>
      <c r="E1520">
        <v>477</v>
      </c>
      <c r="F1520">
        <v>558</v>
      </c>
      <c r="G1520">
        <v>7</v>
      </c>
      <c r="H1520">
        <v>18253</v>
      </c>
      <c r="I1520">
        <v>2</v>
      </c>
      <c r="J1520">
        <v>65</v>
      </c>
      <c r="K1520">
        <v>529</v>
      </c>
      <c r="L1520">
        <v>526</v>
      </c>
      <c r="M1520">
        <v>15</v>
      </c>
      <c r="N1520">
        <f>IFERROR(VLOOKUP(A1520,vlookup_table!$A:$G,2,FALSE),"")</f>
        <v>0</v>
      </c>
      <c r="O1520">
        <f>IFERROR(VLOOKUP(A1520,vlookup_table!$A:$G,4,FALSE),"")</f>
        <v>0</v>
      </c>
      <c r="P1520" t="str">
        <f>IFERROR(VLOOKUP(A1520,vlookup_table!$A:$G,5,FALSE),"")</f>
        <v>T2</v>
      </c>
      <c r="Q1520">
        <f>IFERROR(VLOOKUP(A1520,vlookup_table!$A:$G,7,FALSE),"")</f>
        <v>20</v>
      </c>
      <c r="R1520">
        <f t="shared" si="92"/>
        <v>97</v>
      </c>
      <c r="S1520" t="str" cm="1">
        <f t="array" ref="S1520">IF(P1520="","",_xlfn.SWITCH(LEFT(P1520,1),"C","Ciudad","T","Pueblo","R","Rural","S","Suburbano","U","Urbano",""))</f>
        <v>Pueblo</v>
      </c>
      <c r="T1520" t="str">
        <f t="shared" si="93"/>
        <v/>
      </c>
      <c r="U1520" t="str">
        <f t="shared" si="94"/>
        <v>GA</v>
      </c>
      <c r="V1520" t="str">
        <f t="shared" si="95"/>
        <v>18253</v>
      </c>
    </row>
    <row r="1521" spans="1:22" x14ac:dyDescent="0.35">
      <c r="A1521">
        <v>47869</v>
      </c>
      <c r="B1521" t="s">
        <v>43</v>
      </c>
      <c r="C1521" t="s">
        <v>17</v>
      </c>
      <c r="D1521">
        <v>402</v>
      </c>
      <c r="E1521">
        <v>186</v>
      </c>
      <c r="F1521">
        <v>287</v>
      </c>
      <c r="G1521">
        <v>0</v>
      </c>
      <c r="H1521">
        <v>10573</v>
      </c>
      <c r="I1521">
        <v>1</v>
      </c>
      <c r="J1521">
        <v>71</v>
      </c>
      <c r="K1521">
        <v>240</v>
      </c>
      <c r="L1521">
        <v>230</v>
      </c>
      <c r="M1521">
        <v>37.200000000000003</v>
      </c>
      <c r="N1521">
        <f>IFERROR(VLOOKUP(A1521,vlookup_table!$A:$G,2,FALSE),"")</f>
        <v>2</v>
      </c>
      <c r="O1521">
        <f>IFERROR(VLOOKUP(A1521,vlookup_table!$A:$G,4,FALSE),"")</f>
        <v>2401</v>
      </c>
      <c r="P1521" t="str">
        <f>IFERROR(VLOOKUP(A1521,vlookup_table!$A:$G,5,FALSE),"")</f>
        <v>C3</v>
      </c>
      <c r="Q1521">
        <f>IFERROR(VLOOKUP(A1521,vlookup_table!$A:$G,7,FALSE),"")</f>
        <v>20</v>
      </c>
      <c r="R1521">
        <f t="shared" si="92"/>
        <v>73</v>
      </c>
      <c r="S1521" t="str" cm="1">
        <f t="array" ref="S1521">IF(P1521="","",_xlfn.SWITCH(LEFT(P1521,1),"C","Ciudad","T","Pueblo","R","Rural","S","Suburbano","U","Urbano",""))</f>
        <v>Ciudad</v>
      </c>
      <c r="T1521" t="str">
        <f t="shared" si="93"/>
        <v>F</v>
      </c>
      <c r="U1521" t="str">
        <f t="shared" si="94"/>
        <v>AL</v>
      </c>
      <c r="V1521" t="str">
        <f t="shared" si="95"/>
        <v>10573</v>
      </c>
    </row>
    <row r="1522" spans="1:22" x14ac:dyDescent="0.35">
      <c r="A1522">
        <v>176740</v>
      </c>
      <c r="B1522" t="s">
        <v>50</v>
      </c>
      <c r="C1522" t="s">
        <v>14</v>
      </c>
      <c r="D1522">
        <v>770</v>
      </c>
      <c r="E1522">
        <v>228</v>
      </c>
      <c r="F1522">
        <v>318</v>
      </c>
      <c r="G1522">
        <v>3</v>
      </c>
      <c r="H1522">
        <v>12603</v>
      </c>
      <c r="I1522">
        <v>3</v>
      </c>
      <c r="J1522">
        <v>47</v>
      </c>
      <c r="K1522">
        <v>282</v>
      </c>
      <c r="L1522">
        <v>272</v>
      </c>
      <c r="M1522">
        <v>20</v>
      </c>
      <c r="N1522">
        <f>IFERROR(VLOOKUP(A1522,vlookup_table!$A:$G,2,FALSE),"")</f>
        <v>1</v>
      </c>
      <c r="O1522">
        <f>IFERROR(VLOOKUP(A1522,vlookup_table!$A:$G,4,FALSE),"")</f>
        <v>0</v>
      </c>
      <c r="P1522" t="str">
        <f>IFERROR(VLOOKUP(A1522,vlookup_table!$A:$G,5,FALSE),"")</f>
        <v>C1</v>
      </c>
      <c r="Q1522">
        <f>IFERROR(VLOOKUP(A1522,vlookup_table!$A:$G,7,FALSE),"")</f>
        <v>30</v>
      </c>
      <c r="R1522">
        <f t="shared" si="92"/>
        <v>97</v>
      </c>
      <c r="S1522" t="str" cm="1">
        <f t="array" ref="S1522">IF(P1522="","",_xlfn.SWITCH(LEFT(P1522,1),"C","Ciudad","T","Pueblo","R","Rural","S","Suburbano","U","Urbano",""))</f>
        <v>Ciudad</v>
      </c>
      <c r="T1522" t="str">
        <f t="shared" si="93"/>
        <v>M</v>
      </c>
      <c r="U1522" t="str">
        <f t="shared" si="94"/>
        <v>OR</v>
      </c>
      <c r="V1522" t="str">
        <f t="shared" si="95"/>
        <v>12603</v>
      </c>
    </row>
    <row r="1523" spans="1:22" x14ac:dyDescent="0.35">
      <c r="A1523">
        <v>48487</v>
      </c>
      <c r="B1523" t="s">
        <v>43</v>
      </c>
      <c r="C1523" t="s">
        <v>17</v>
      </c>
      <c r="D1523">
        <v>364</v>
      </c>
      <c r="E1523">
        <v>170</v>
      </c>
      <c r="F1523">
        <v>277</v>
      </c>
      <c r="G1523">
        <v>0</v>
      </c>
      <c r="H1523">
        <v>8962</v>
      </c>
      <c r="I1523">
        <v>0</v>
      </c>
      <c r="J1523">
        <v>92</v>
      </c>
      <c r="K1523">
        <v>231</v>
      </c>
      <c r="L1523">
        <v>221</v>
      </c>
      <c r="M1523">
        <v>10</v>
      </c>
      <c r="N1523">
        <f>IFERROR(VLOOKUP(A1523,vlookup_table!$A:$G,2,FALSE),"")</f>
        <v>0</v>
      </c>
      <c r="O1523">
        <f>IFERROR(VLOOKUP(A1523,vlookup_table!$A:$G,4,FALSE),"")</f>
        <v>4601</v>
      </c>
      <c r="P1523" t="str">
        <f>IFERROR(VLOOKUP(A1523,vlookup_table!$A:$G,5,FALSE),"")</f>
        <v>R3</v>
      </c>
      <c r="Q1523">
        <f>IFERROR(VLOOKUP(A1523,vlookup_table!$A:$G,7,FALSE),"")</f>
        <v>25</v>
      </c>
      <c r="R1523">
        <f t="shared" si="92"/>
        <v>51</v>
      </c>
      <c r="S1523" t="str" cm="1">
        <f t="array" ref="S1523">IF(P1523="","",_xlfn.SWITCH(LEFT(P1523,1),"C","Ciudad","T","Pueblo","R","Rural","S","Suburbano","U","Urbano",""))</f>
        <v>Rural</v>
      </c>
      <c r="T1523" t="str">
        <f t="shared" si="93"/>
        <v>F</v>
      </c>
      <c r="U1523" t="str">
        <f t="shared" si="94"/>
        <v>AL</v>
      </c>
      <c r="V1523" t="str">
        <f t="shared" si="95"/>
        <v>8962</v>
      </c>
    </row>
    <row r="1524" spans="1:22" x14ac:dyDescent="0.35">
      <c r="A1524">
        <v>2490</v>
      </c>
      <c r="B1524" t="s">
        <v>46</v>
      </c>
      <c r="C1524" t="s">
        <v>14</v>
      </c>
      <c r="D1524">
        <v>620</v>
      </c>
      <c r="E1524">
        <v>323</v>
      </c>
      <c r="F1524">
        <v>373</v>
      </c>
      <c r="G1524">
        <v>0</v>
      </c>
      <c r="H1524">
        <v>11492</v>
      </c>
      <c r="I1524">
        <v>2</v>
      </c>
      <c r="J1524">
        <v>69</v>
      </c>
      <c r="K1524">
        <v>358</v>
      </c>
      <c r="L1524">
        <v>348</v>
      </c>
      <c r="M1524">
        <v>3.3551612899999999</v>
      </c>
      <c r="N1524">
        <f>IFERROR(VLOOKUP(A1524,vlookup_table!$A:$G,2,FALSE),"")</f>
        <v>0</v>
      </c>
      <c r="O1524">
        <f>IFERROR(VLOOKUP(A1524,vlookup_table!$A:$G,4,FALSE),"")</f>
        <v>2901</v>
      </c>
      <c r="P1524" t="str">
        <f>IFERROR(VLOOKUP(A1524,vlookup_table!$A:$G,5,FALSE),"")</f>
        <v>T2</v>
      </c>
      <c r="Q1524">
        <f>IFERROR(VLOOKUP(A1524,vlookup_table!$A:$G,7,FALSE),"")</f>
        <v>3</v>
      </c>
      <c r="R1524">
        <f t="shared" si="92"/>
        <v>68</v>
      </c>
      <c r="S1524" t="str" cm="1">
        <f t="array" ref="S1524">IF(P1524="","",_xlfn.SWITCH(LEFT(P1524,1),"C","Ciudad","T","Pueblo","R","Rural","S","Suburbano","U","Urbano",""))</f>
        <v>Pueblo</v>
      </c>
      <c r="T1524" t="str">
        <f t="shared" si="93"/>
        <v>M</v>
      </c>
      <c r="U1524" t="str">
        <f t="shared" si="94"/>
        <v>SC</v>
      </c>
      <c r="V1524" t="str">
        <f t="shared" si="95"/>
        <v>11492</v>
      </c>
    </row>
    <row r="1525" spans="1:22" x14ac:dyDescent="0.35">
      <c r="A1525">
        <v>41312</v>
      </c>
      <c r="B1525" t="s">
        <v>13</v>
      </c>
      <c r="C1525" t="s">
        <v>17</v>
      </c>
      <c r="D1525">
        <v>577</v>
      </c>
      <c r="E1525">
        <v>157</v>
      </c>
      <c r="F1525">
        <v>373</v>
      </c>
      <c r="G1525">
        <v>0</v>
      </c>
      <c r="H1525">
        <v>10497</v>
      </c>
      <c r="I1525">
        <v>8</v>
      </c>
      <c r="J1525">
        <v>45</v>
      </c>
      <c r="K1525">
        <v>324</v>
      </c>
      <c r="L1525">
        <v>224</v>
      </c>
      <c r="M1525">
        <v>11.09090909</v>
      </c>
      <c r="N1525">
        <f>IFERROR(VLOOKUP(A1525,vlookup_table!$A:$G,2,FALSE),"")</f>
        <v>2</v>
      </c>
      <c r="O1525">
        <f>IFERROR(VLOOKUP(A1525,vlookup_table!$A:$G,4,FALSE),"")</f>
        <v>2912</v>
      </c>
      <c r="P1525" t="str">
        <f>IFERROR(VLOOKUP(A1525,vlookup_table!$A:$G,5,FALSE),"")</f>
        <v>U3</v>
      </c>
      <c r="Q1525">
        <f>IFERROR(VLOOKUP(A1525,vlookup_table!$A:$G,7,FALSE),"")</f>
        <v>23</v>
      </c>
      <c r="R1525">
        <f t="shared" si="92"/>
        <v>68</v>
      </c>
      <c r="S1525" t="str" cm="1">
        <f t="array" ref="S1525">IF(P1525="","",_xlfn.SWITCH(LEFT(P1525,1),"C","Ciudad","T","Pueblo","R","Rural","S","Suburbano","U","Urbano",""))</f>
        <v>Urbano</v>
      </c>
      <c r="T1525" t="str">
        <f t="shared" si="93"/>
        <v>F</v>
      </c>
      <c r="U1525" t="str">
        <f t="shared" si="94"/>
        <v>FL</v>
      </c>
      <c r="V1525" t="str">
        <f t="shared" si="95"/>
        <v>10497</v>
      </c>
    </row>
    <row r="1526" spans="1:22" x14ac:dyDescent="0.35">
      <c r="A1526">
        <v>17094</v>
      </c>
      <c r="B1526" t="s">
        <v>18</v>
      </c>
      <c r="C1526" t="s">
        <v>20</v>
      </c>
      <c r="D1526">
        <v>897</v>
      </c>
      <c r="E1526">
        <v>454</v>
      </c>
      <c r="F1526">
        <v>479</v>
      </c>
      <c r="G1526">
        <v>0</v>
      </c>
      <c r="H1526">
        <v>15887</v>
      </c>
      <c r="I1526">
        <v>1</v>
      </c>
      <c r="J1526">
        <v>60</v>
      </c>
      <c r="K1526">
        <v>473</v>
      </c>
      <c r="L1526">
        <v>444</v>
      </c>
      <c r="M1526">
        <v>13</v>
      </c>
      <c r="N1526">
        <f>IFERROR(VLOOKUP(A1526,vlookup_table!$A:$G,2,FALSE),"")</f>
        <v>0</v>
      </c>
      <c r="O1526">
        <f>IFERROR(VLOOKUP(A1526,vlookup_table!$A:$G,4,FALSE),"")</f>
        <v>4001</v>
      </c>
      <c r="P1526" t="str">
        <f>IFERROR(VLOOKUP(A1526,vlookup_table!$A:$G,5,FALSE),"")</f>
        <v>T1</v>
      </c>
      <c r="Q1526">
        <f>IFERROR(VLOOKUP(A1526,vlookup_table!$A:$G,7,FALSE),"")</f>
        <v>15</v>
      </c>
      <c r="R1526">
        <f t="shared" si="92"/>
        <v>57</v>
      </c>
      <c r="S1526" t="str" cm="1">
        <f t="array" ref="S1526">IF(P1526="","",_xlfn.SWITCH(LEFT(P1526,1),"C","Ciudad","T","Pueblo","R","Rural","S","Suburbano","U","Urbano",""))</f>
        <v>Pueblo</v>
      </c>
      <c r="T1526" t="str">
        <f t="shared" si="93"/>
        <v>F</v>
      </c>
      <c r="U1526" t="str">
        <f t="shared" si="94"/>
        <v>NC</v>
      </c>
      <c r="V1526" t="str">
        <f t="shared" si="95"/>
        <v>15887</v>
      </c>
    </row>
    <row r="1527" spans="1:22" x14ac:dyDescent="0.35">
      <c r="A1527">
        <v>56787</v>
      </c>
      <c r="B1527" t="s">
        <v>57</v>
      </c>
      <c r="C1527" t="s">
        <v>14</v>
      </c>
      <c r="D1527">
        <v>651</v>
      </c>
      <c r="E1527">
        <v>321</v>
      </c>
      <c r="F1527">
        <v>359</v>
      </c>
      <c r="G1527">
        <v>0</v>
      </c>
      <c r="H1527">
        <v>15114</v>
      </c>
      <c r="I1527">
        <v>7</v>
      </c>
      <c r="J1527">
        <v>76</v>
      </c>
      <c r="K1527">
        <v>345</v>
      </c>
      <c r="L1527">
        <v>361</v>
      </c>
      <c r="M1527">
        <v>9.6666666669999994</v>
      </c>
      <c r="N1527">
        <f>IFERROR(VLOOKUP(A1527,vlookup_table!$A:$G,2,FALSE),"")</f>
        <v>1</v>
      </c>
      <c r="O1527">
        <f>IFERROR(VLOOKUP(A1527,vlookup_table!$A:$G,4,FALSE),"")</f>
        <v>6508</v>
      </c>
      <c r="P1527" t="str">
        <f>IFERROR(VLOOKUP(A1527,vlookup_table!$A:$G,5,FALSE),"")</f>
        <v>S2</v>
      </c>
      <c r="Q1527">
        <f>IFERROR(VLOOKUP(A1527,vlookup_table!$A:$G,7,FALSE),"")</f>
        <v>13</v>
      </c>
      <c r="R1527">
        <f t="shared" si="92"/>
        <v>32</v>
      </c>
      <c r="S1527" t="str" cm="1">
        <f t="array" ref="S1527">IF(P1527="","",_xlfn.SWITCH(LEFT(P1527,1),"C","Ciudad","T","Pueblo","R","Rural","S","Suburbano","U","Urbano",""))</f>
        <v>Suburbano</v>
      </c>
      <c r="T1527" t="str">
        <f t="shared" si="93"/>
        <v>M</v>
      </c>
      <c r="U1527" t="str">
        <f t="shared" si="94"/>
        <v>KY</v>
      </c>
      <c r="V1527" t="str">
        <f t="shared" si="95"/>
        <v>15114</v>
      </c>
    </row>
    <row r="1528" spans="1:22" x14ac:dyDescent="0.35">
      <c r="A1528">
        <v>164167</v>
      </c>
      <c r="B1528" t="s">
        <v>22</v>
      </c>
      <c r="C1528" t="s">
        <v>17</v>
      </c>
      <c r="D1528">
        <v>2292</v>
      </c>
      <c r="E1528">
        <v>642</v>
      </c>
      <c r="F1528">
        <v>710</v>
      </c>
      <c r="G1528">
        <v>70</v>
      </c>
      <c r="H1528">
        <v>22186</v>
      </c>
      <c r="I1528">
        <v>13</v>
      </c>
      <c r="J1528">
        <v>52</v>
      </c>
      <c r="K1528">
        <v>670</v>
      </c>
      <c r="L1528">
        <v>680</v>
      </c>
      <c r="M1528">
        <v>6.4</v>
      </c>
      <c r="N1528">
        <f>IFERROR(VLOOKUP(A1528,vlookup_table!$A:$G,2,FALSE),"")</f>
        <v>0</v>
      </c>
      <c r="O1528">
        <f>IFERROR(VLOOKUP(A1528,vlookup_table!$A:$G,4,FALSE),"")</f>
        <v>5301</v>
      </c>
      <c r="P1528" t="str">
        <f>IFERROR(VLOOKUP(A1528,vlookup_table!$A:$G,5,FALSE),"")</f>
        <v>S1</v>
      </c>
      <c r="Q1528">
        <f>IFERROR(VLOOKUP(A1528,vlookup_table!$A:$G,7,FALSE),"")</f>
        <v>13</v>
      </c>
      <c r="R1528">
        <f t="shared" si="92"/>
        <v>44</v>
      </c>
      <c r="S1528" t="str" cm="1">
        <f t="array" ref="S1528">IF(P1528="","",_xlfn.SWITCH(LEFT(P1528,1),"C","Ciudad","T","Pueblo","R","Rural","S","Suburbano","U","Urbano",""))</f>
        <v>Suburbano</v>
      </c>
      <c r="T1528" t="str">
        <f t="shared" si="93"/>
        <v>F</v>
      </c>
      <c r="U1528" t="str">
        <f t="shared" si="94"/>
        <v>CA</v>
      </c>
      <c r="V1528" t="str">
        <f t="shared" si="95"/>
        <v>22186</v>
      </c>
    </row>
    <row r="1529" spans="1:22" x14ac:dyDescent="0.35">
      <c r="A1529">
        <v>41785</v>
      </c>
      <c r="B1529" t="s">
        <v>13</v>
      </c>
      <c r="C1529" t="s">
        <v>17</v>
      </c>
      <c r="D1529">
        <v>972</v>
      </c>
      <c r="E1529">
        <v>316</v>
      </c>
      <c r="F1529">
        <v>462</v>
      </c>
      <c r="G1529">
        <v>12</v>
      </c>
      <c r="H1529">
        <v>20831</v>
      </c>
      <c r="I1529">
        <v>19</v>
      </c>
      <c r="J1529">
        <v>10</v>
      </c>
      <c r="K1529">
        <v>367</v>
      </c>
      <c r="L1529">
        <v>388</v>
      </c>
      <c r="M1529">
        <v>11.2</v>
      </c>
      <c r="N1529">
        <f>IFERROR(VLOOKUP(A1529,vlookup_table!$A:$G,2,FALSE),"")</f>
        <v>0</v>
      </c>
      <c r="O1529">
        <f>IFERROR(VLOOKUP(A1529,vlookup_table!$A:$G,4,FALSE),"")</f>
        <v>2811</v>
      </c>
      <c r="P1529" t="str">
        <f>IFERROR(VLOOKUP(A1529,vlookup_table!$A:$G,5,FALSE),"")</f>
        <v>C1</v>
      </c>
      <c r="Q1529">
        <f>IFERROR(VLOOKUP(A1529,vlookup_table!$A:$G,7,FALSE),"")</f>
        <v>17</v>
      </c>
      <c r="R1529">
        <f t="shared" si="92"/>
        <v>69</v>
      </c>
      <c r="S1529" t="str" cm="1">
        <f t="array" ref="S1529">IF(P1529="","",_xlfn.SWITCH(LEFT(P1529,1),"C","Ciudad","T","Pueblo","R","Rural","S","Suburbano","U","Urbano",""))</f>
        <v>Ciudad</v>
      </c>
      <c r="T1529" t="str">
        <f t="shared" si="93"/>
        <v>F</v>
      </c>
      <c r="U1529" t="str">
        <f t="shared" si="94"/>
        <v>FL</v>
      </c>
      <c r="V1529" t="str">
        <f t="shared" si="95"/>
        <v>20831</v>
      </c>
    </row>
    <row r="1530" spans="1:22" x14ac:dyDescent="0.35">
      <c r="A1530">
        <v>126959</v>
      </c>
      <c r="B1530" t="s">
        <v>21</v>
      </c>
      <c r="C1530" t="s">
        <v>14</v>
      </c>
      <c r="D1530">
        <v>1035</v>
      </c>
      <c r="E1530">
        <v>273</v>
      </c>
      <c r="F1530">
        <v>471</v>
      </c>
      <c r="G1530">
        <v>10</v>
      </c>
      <c r="H1530">
        <v>14432</v>
      </c>
      <c r="I1530">
        <v>3</v>
      </c>
      <c r="J1530">
        <v>73</v>
      </c>
      <c r="K1530">
        <v>386</v>
      </c>
      <c r="L1530">
        <v>356</v>
      </c>
      <c r="M1530">
        <v>11.42857143</v>
      </c>
      <c r="N1530">
        <f>IFERROR(VLOOKUP(A1530,vlookup_table!$A:$G,2,FALSE),"")</f>
        <v>1</v>
      </c>
      <c r="O1530">
        <f>IFERROR(VLOOKUP(A1530,vlookup_table!$A:$G,4,FALSE),"")</f>
        <v>5601</v>
      </c>
      <c r="P1530" t="str">
        <f>IFERROR(VLOOKUP(A1530,vlookup_table!$A:$G,5,FALSE),"")</f>
        <v>R1</v>
      </c>
      <c r="Q1530">
        <f>IFERROR(VLOOKUP(A1530,vlookup_table!$A:$G,7,FALSE),"")</f>
        <v>15</v>
      </c>
      <c r="R1530">
        <f t="shared" si="92"/>
        <v>41</v>
      </c>
      <c r="S1530" t="str" cm="1">
        <f t="array" ref="S1530">IF(P1530="","",_xlfn.SWITCH(LEFT(P1530,1),"C","Ciudad","T","Pueblo","R","Rural","S","Suburbano","U","Urbano",""))</f>
        <v>Rural</v>
      </c>
      <c r="T1530" t="str">
        <f t="shared" si="93"/>
        <v>M</v>
      </c>
      <c r="U1530" t="str">
        <f t="shared" si="94"/>
        <v>TX</v>
      </c>
      <c r="V1530" t="str">
        <f t="shared" si="95"/>
        <v>14432</v>
      </c>
    </row>
    <row r="1531" spans="1:22" x14ac:dyDescent="0.35">
      <c r="A1531">
        <v>29526</v>
      </c>
      <c r="B1531" t="s">
        <v>39</v>
      </c>
      <c r="C1531" t="s">
        <v>17</v>
      </c>
      <c r="D1531">
        <v>431</v>
      </c>
      <c r="E1531">
        <v>258</v>
      </c>
      <c r="F1531">
        <v>319</v>
      </c>
      <c r="G1531">
        <v>0</v>
      </c>
      <c r="H1531">
        <v>9791</v>
      </c>
      <c r="I1531">
        <v>0</v>
      </c>
      <c r="J1531">
        <v>81</v>
      </c>
      <c r="K1531">
        <v>283</v>
      </c>
      <c r="L1531">
        <v>289</v>
      </c>
      <c r="M1531">
        <v>7.25</v>
      </c>
      <c r="N1531">
        <f>IFERROR(VLOOKUP(A1531,vlookup_table!$A:$G,2,FALSE),"")</f>
        <v>28</v>
      </c>
      <c r="O1531">
        <f>IFERROR(VLOOKUP(A1531,vlookup_table!$A:$G,4,FALSE),"")</f>
        <v>4001</v>
      </c>
      <c r="P1531" t="str">
        <f>IFERROR(VLOOKUP(A1531,vlookup_table!$A:$G,5,FALSE),"")</f>
        <v>R3</v>
      </c>
      <c r="Q1531">
        <f>IFERROR(VLOOKUP(A1531,vlookup_table!$A:$G,7,FALSE),"")</f>
        <v>10</v>
      </c>
      <c r="R1531">
        <f t="shared" si="92"/>
        <v>57</v>
      </c>
      <c r="S1531" t="str" cm="1">
        <f t="array" ref="S1531">IF(P1531="","",_xlfn.SWITCH(LEFT(P1531,1),"C","Ciudad","T","Pueblo","R","Rural","S","Suburbano","U","Urbano",""))</f>
        <v>Rural</v>
      </c>
      <c r="T1531" t="str">
        <f t="shared" si="93"/>
        <v>F</v>
      </c>
      <c r="U1531" t="str">
        <f t="shared" si="94"/>
        <v>GA</v>
      </c>
      <c r="V1531" t="str">
        <f t="shared" si="95"/>
        <v>9791</v>
      </c>
    </row>
    <row r="1532" spans="1:22" x14ac:dyDescent="0.35">
      <c r="A1532">
        <v>142901</v>
      </c>
      <c r="B1532" t="s">
        <v>22</v>
      </c>
      <c r="C1532" t="s">
        <v>17</v>
      </c>
      <c r="D1532">
        <v>4947</v>
      </c>
      <c r="E1532">
        <v>586</v>
      </c>
      <c r="F1532">
        <v>748</v>
      </c>
      <c r="G1532">
        <v>99</v>
      </c>
      <c r="H1532">
        <v>33685</v>
      </c>
      <c r="I1532">
        <v>19</v>
      </c>
      <c r="J1532">
        <v>38</v>
      </c>
      <c r="K1532">
        <v>608</v>
      </c>
      <c r="L1532">
        <v>682</v>
      </c>
      <c r="M1532">
        <v>10</v>
      </c>
      <c r="N1532">
        <f>IFERROR(VLOOKUP(A1532,vlookup_table!$A:$G,2,FALSE),"")</f>
        <v>2</v>
      </c>
      <c r="O1532">
        <f>IFERROR(VLOOKUP(A1532,vlookup_table!$A:$G,4,FALSE),"")</f>
        <v>2101</v>
      </c>
      <c r="P1532" t="str">
        <f>IFERROR(VLOOKUP(A1532,vlookup_table!$A:$G,5,FALSE),"")</f>
        <v>U1</v>
      </c>
      <c r="Q1532">
        <f>IFERROR(VLOOKUP(A1532,vlookup_table!$A:$G,7,FALSE),"")</f>
        <v>10</v>
      </c>
      <c r="R1532">
        <f t="shared" si="92"/>
        <v>76</v>
      </c>
      <c r="S1532" t="str" cm="1">
        <f t="array" ref="S1532">IF(P1532="","",_xlfn.SWITCH(LEFT(P1532,1),"C","Ciudad","T","Pueblo","R","Rural","S","Suburbano","U","Urbano",""))</f>
        <v>Urbano</v>
      </c>
      <c r="T1532" t="str">
        <f t="shared" si="93"/>
        <v>F</v>
      </c>
      <c r="U1532" t="str">
        <f t="shared" si="94"/>
        <v>CA</v>
      </c>
      <c r="V1532" t="str">
        <f t="shared" si="95"/>
        <v>33685</v>
      </c>
    </row>
    <row r="1533" spans="1:22" x14ac:dyDescent="0.35">
      <c r="A1533">
        <v>105827</v>
      </c>
      <c r="B1533" t="s">
        <v>28</v>
      </c>
      <c r="C1533" t="s">
        <v>17</v>
      </c>
      <c r="D1533">
        <v>351</v>
      </c>
      <c r="E1533">
        <v>213</v>
      </c>
      <c r="F1533">
        <v>356</v>
      </c>
      <c r="G1533">
        <v>0</v>
      </c>
      <c r="H1533">
        <v>9679</v>
      </c>
      <c r="I1533">
        <v>2</v>
      </c>
      <c r="J1533">
        <v>62</v>
      </c>
      <c r="K1533">
        <v>245</v>
      </c>
      <c r="L1533">
        <v>225</v>
      </c>
      <c r="M1533">
        <v>12.89473684</v>
      </c>
      <c r="N1533">
        <f>IFERROR(VLOOKUP(A1533,vlookup_table!$A:$G,2,FALSE),"")</f>
        <v>0</v>
      </c>
      <c r="O1533">
        <f>IFERROR(VLOOKUP(A1533,vlookup_table!$A:$G,4,FALSE),"")</f>
        <v>5001</v>
      </c>
      <c r="P1533" t="str">
        <f>IFERROR(VLOOKUP(A1533,vlookup_table!$A:$G,5,FALSE),"")</f>
        <v>C3</v>
      </c>
      <c r="Q1533">
        <f>IFERROR(VLOOKUP(A1533,vlookup_table!$A:$G,7,FALSE),"")</f>
        <v>20</v>
      </c>
      <c r="R1533">
        <f t="shared" si="92"/>
        <v>47</v>
      </c>
      <c r="S1533" t="str" cm="1">
        <f t="array" ref="S1533">IF(P1533="","",_xlfn.SWITCH(LEFT(P1533,1),"C","Ciudad","T","Pueblo","R","Rural","S","Suburbano","U","Urbano",""))</f>
        <v>Ciudad</v>
      </c>
      <c r="T1533" t="str">
        <f t="shared" si="93"/>
        <v>F</v>
      </c>
      <c r="U1533" t="str">
        <f t="shared" si="94"/>
        <v>KS</v>
      </c>
      <c r="V1533" t="str">
        <f t="shared" si="95"/>
        <v>9679</v>
      </c>
    </row>
    <row r="1534" spans="1:22" x14ac:dyDescent="0.35">
      <c r="A1534">
        <v>159439</v>
      </c>
      <c r="B1534" t="s">
        <v>22</v>
      </c>
      <c r="C1534" t="s">
        <v>14</v>
      </c>
      <c r="D1534">
        <v>439</v>
      </c>
      <c r="E1534">
        <v>203</v>
      </c>
      <c r="F1534">
        <v>228</v>
      </c>
      <c r="G1534">
        <v>0</v>
      </c>
      <c r="H1534">
        <v>5774</v>
      </c>
      <c r="I1534">
        <v>26</v>
      </c>
      <c r="J1534">
        <v>57</v>
      </c>
      <c r="K1534">
        <v>203</v>
      </c>
      <c r="L1534">
        <v>230</v>
      </c>
      <c r="M1534">
        <v>5.6363636359999996</v>
      </c>
      <c r="N1534">
        <f>IFERROR(VLOOKUP(A1534,vlookup_table!$A:$G,2,FALSE),"")</f>
        <v>1</v>
      </c>
      <c r="O1534">
        <f>IFERROR(VLOOKUP(A1534,vlookup_table!$A:$G,4,FALSE),"")</f>
        <v>0</v>
      </c>
      <c r="P1534" t="str">
        <f>IFERROR(VLOOKUP(A1534,vlookup_table!$A:$G,5,FALSE),"")</f>
        <v>R3</v>
      </c>
      <c r="Q1534">
        <f>IFERROR(VLOOKUP(A1534,vlookup_table!$A:$G,7,FALSE),"")</f>
        <v>5</v>
      </c>
      <c r="R1534">
        <f t="shared" si="92"/>
        <v>97</v>
      </c>
      <c r="S1534" t="str" cm="1">
        <f t="array" ref="S1534">IF(P1534="","",_xlfn.SWITCH(LEFT(P1534,1),"C","Ciudad","T","Pueblo","R","Rural","S","Suburbano","U","Urbano",""))</f>
        <v>Rural</v>
      </c>
      <c r="T1534" t="str">
        <f t="shared" si="93"/>
        <v>M</v>
      </c>
      <c r="U1534" t="str">
        <f t="shared" si="94"/>
        <v>CA</v>
      </c>
      <c r="V1534" t="str">
        <f t="shared" si="95"/>
        <v>5774</v>
      </c>
    </row>
    <row r="1535" spans="1:22" x14ac:dyDescent="0.35">
      <c r="A1535">
        <v>11459</v>
      </c>
      <c r="B1535" t="s">
        <v>22</v>
      </c>
      <c r="C1535" t="s">
        <v>14</v>
      </c>
      <c r="D1535">
        <v>1967</v>
      </c>
      <c r="E1535">
        <v>371</v>
      </c>
      <c r="F1535">
        <v>482</v>
      </c>
      <c r="G1535">
        <v>49</v>
      </c>
      <c r="H1535">
        <v>15962</v>
      </c>
      <c r="I1535">
        <v>6</v>
      </c>
      <c r="J1535">
        <v>53</v>
      </c>
      <c r="K1535">
        <v>418</v>
      </c>
      <c r="L1535">
        <v>438</v>
      </c>
      <c r="M1535">
        <v>5.2618518520000004</v>
      </c>
      <c r="N1535">
        <f>IFERROR(VLOOKUP(A1535,vlookup_table!$A:$G,2,FALSE),"")</f>
        <v>1</v>
      </c>
      <c r="O1535">
        <f>IFERROR(VLOOKUP(A1535,vlookup_table!$A:$G,4,FALSE),"")</f>
        <v>0</v>
      </c>
      <c r="P1535" t="str">
        <f>IFERROR(VLOOKUP(A1535,vlookup_table!$A:$G,5,FALSE),"")</f>
        <v>T2</v>
      </c>
      <c r="Q1535">
        <f>IFERROR(VLOOKUP(A1535,vlookup_table!$A:$G,7,FALSE),"")</f>
        <v>7</v>
      </c>
      <c r="R1535">
        <f t="shared" si="92"/>
        <v>97</v>
      </c>
      <c r="S1535" t="str" cm="1">
        <f t="array" ref="S1535">IF(P1535="","",_xlfn.SWITCH(LEFT(P1535,1),"C","Ciudad","T","Pueblo","R","Rural","S","Suburbano","U","Urbano",""))</f>
        <v>Pueblo</v>
      </c>
      <c r="T1535" t="str">
        <f t="shared" si="93"/>
        <v>M</v>
      </c>
      <c r="U1535" t="str">
        <f t="shared" si="94"/>
        <v>CA</v>
      </c>
      <c r="V1535" t="str">
        <f t="shared" si="95"/>
        <v>15962</v>
      </c>
    </row>
    <row r="1536" spans="1:22" x14ac:dyDescent="0.35">
      <c r="A1536">
        <v>129268</v>
      </c>
      <c r="B1536" t="s">
        <v>48</v>
      </c>
      <c r="C1536" t="s">
        <v>17</v>
      </c>
      <c r="D1536">
        <v>952</v>
      </c>
      <c r="E1536">
        <v>394</v>
      </c>
      <c r="F1536">
        <v>457</v>
      </c>
      <c r="G1536">
        <v>1</v>
      </c>
      <c r="H1536">
        <v>15275</v>
      </c>
      <c r="I1536">
        <v>1</v>
      </c>
      <c r="J1536">
        <v>47</v>
      </c>
      <c r="K1536">
        <v>407</v>
      </c>
      <c r="L1536">
        <v>436</v>
      </c>
      <c r="M1536">
        <v>6.1428571429999996</v>
      </c>
      <c r="N1536">
        <f>IFERROR(VLOOKUP(A1536,vlookup_table!$A:$G,2,FALSE),"")</f>
        <v>2</v>
      </c>
      <c r="O1536">
        <f>IFERROR(VLOOKUP(A1536,vlookup_table!$A:$G,4,FALSE),"")</f>
        <v>3109</v>
      </c>
      <c r="P1536" t="str">
        <f>IFERROR(VLOOKUP(A1536,vlookup_table!$A:$G,5,FALSE),"")</f>
        <v>S1</v>
      </c>
      <c r="Q1536">
        <f>IFERROR(VLOOKUP(A1536,vlookup_table!$A:$G,7,FALSE),"")</f>
        <v>10</v>
      </c>
      <c r="R1536">
        <f t="shared" si="92"/>
        <v>66</v>
      </c>
      <c r="S1536" t="str" cm="1">
        <f t="array" ref="S1536">IF(P1536="","",_xlfn.SWITCH(LEFT(P1536,1),"C","Ciudad","T","Pueblo","R","Rural","S","Suburbano","U","Urbano",""))</f>
        <v>Suburbano</v>
      </c>
      <c r="T1536" t="str">
        <f t="shared" si="93"/>
        <v>F</v>
      </c>
      <c r="U1536" t="str">
        <f t="shared" si="94"/>
        <v>CO</v>
      </c>
      <c r="V1536" t="str">
        <f t="shared" si="95"/>
        <v>15275</v>
      </c>
    </row>
    <row r="1537" spans="1:22" x14ac:dyDescent="0.35">
      <c r="A1537">
        <v>122256</v>
      </c>
      <c r="B1537" t="s">
        <v>21</v>
      </c>
      <c r="C1537" t="s">
        <v>17</v>
      </c>
      <c r="D1537">
        <v>637</v>
      </c>
      <c r="E1537">
        <v>404</v>
      </c>
      <c r="F1537">
        <v>457</v>
      </c>
      <c r="G1537">
        <v>0</v>
      </c>
      <c r="H1537">
        <v>13216</v>
      </c>
      <c r="I1537">
        <v>35</v>
      </c>
      <c r="J1537">
        <v>37</v>
      </c>
      <c r="K1537">
        <v>407</v>
      </c>
      <c r="L1537">
        <v>446</v>
      </c>
      <c r="M1537">
        <v>4.7142857139999998</v>
      </c>
      <c r="N1537">
        <f>IFERROR(VLOOKUP(A1537,vlookup_table!$A:$G,2,FALSE),"")</f>
        <v>0</v>
      </c>
      <c r="O1537">
        <f>IFERROR(VLOOKUP(A1537,vlookup_table!$A:$G,4,FALSE),"")</f>
        <v>5401</v>
      </c>
      <c r="P1537" t="str">
        <f>IFERROR(VLOOKUP(A1537,vlookup_table!$A:$G,5,FALSE),"")</f>
        <v>U1</v>
      </c>
      <c r="Q1537">
        <f>IFERROR(VLOOKUP(A1537,vlookup_table!$A:$G,7,FALSE),"")</f>
        <v>20</v>
      </c>
      <c r="R1537">
        <f t="shared" si="92"/>
        <v>43</v>
      </c>
      <c r="S1537" t="str" cm="1">
        <f t="array" ref="S1537">IF(P1537="","",_xlfn.SWITCH(LEFT(P1537,1),"C","Ciudad","T","Pueblo","R","Rural","S","Suburbano","U","Urbano",""))</f>
        <v>Urbano</v>
      </c>
      <c r="T1537" t="str">
        <f t="shared" si="93"/>
        <v>F</v>
      </c>
      <c r="U1537" t="str">
        <f t="shared" si="94"/>
        <v>TX</v>
      </c>
      <c r="V1537" t="str">
        <f t="shared" si="95"/>
        <v>13216</v>
      </c>
    </row>
    <row r="1538" spans="1:22" x14ac:dyDescent="0.35">
      <c r="A1538">
        <v>92355</v>
      </c>
      <c r="B1538" t="s">
        <v>16</v>
      </c>
      <c r="C1538" t="s">
        <v>14</v>
      </c>
      <c r="D1538">
        <v>1413</v>
      </c>
      <c r="E1538">
        <v>414</v>
      </c>
      <c r="F1538">
        <v>539</v>
      </c>
      <c r="G1538">
        <v>6</v>
      </c>
      <c r="H1538">
        <v>30680</v>
      </c>
      <c r="I1538">
        <v>8</v>
      </c>
      <c r="J1538">
        <v>68</v>
      </c>
      <c r="K1538">
        <v>482</v>
      </c>
      <c r="L1538">
        <v>489</v>
      </c>
      <c r="M1538">
        <v>8</v>
      </c>
      <c r="N1538">
        <f>IFERROR(VLOOKUP(A1538,vlookup_table!$A:$G,2,FALSE),"")</f>
        <v>1</v>
      </c>
      <c r="O1538">
        <f>IFERROR(VLOOKUP(A1538,vlookup_table!$A:$G,4,FALSE),"")</f>
        <v>2601</v>
      </c>
      <c r="P1538" t="str">
        <f>IFERROR(VLOOKUP(A1538,vlookup_table!$A:$G,5,FALSE),"")</f>
        <v>C1</v>
      </c>
      <c r="Q1538">
        <f>IFERROR(VLOOKUP(A1538,vlookup_table!$A:$G,7,FALSE),"")</f>
        <v>25</v>
      </c>
      <c r="R1538">
        <f t="shared" ref="R1538:R1601" si="96">IF(O1538="","",97-INT(O1538/100))</f>
        <v>71</v>
      </c>
      <c r="S1538" t="str" cm="1">
        <f t="array" ref="S1538">IF(P1538="","",_xlfn.SWITCH(LEFT(P1538,1),"C","Ciudad","T","Pueblo","R","Rural","S","Suburbano","U","Urbano",""))</f>
        <v>Ciudad</v>
      </c>
      <c r="T1538" t="str">
        <f t="shared" ref="T1538:T1601" si="97">IF(C1538="","",IF(OR(UPPER(C1538)="M",UPPER(C1538)="MALE"),"M",IF(OR(UPPER(C1538)="F",UPPER(C1538)="FEMALE",UPPER(C1538)="FEAMALE"),"F",C1538)))</f>
        <v>M</v>
      </c>
      <c r="U1538" t="str">
        <f t="shared" ref="U1538:U1601" si="98">IF(OR(UPPER(B1538)="CALIFORNIA",UPPER(B1538)="CALI"),"CA",B1538)</f>
        <v>IL</v>
      </c>
      <c r="V1538" t="str">
        <f t="shared" ref="V1538:V1601" si="99">SUBSTITUTE(H1538,"@","")</f>
        <v>30680</v>
      </c>
    </row>
    <row r="1539" spans="1:22" x14ac:dyDescent="0.35">
      <c r="A1539">
        <v>59811</v>
      </c>
      <c r="B1539" t="s">
        <v>33</v>
      </c>
      <c r="C1539" t="s">
        <v>17</v>
      </c>
      <c r="D1539">
        <v>360</v>
      </c>
      <c r="E1539">
        <v>206</v>
      </c>
      <c r="F1539">
        <v>307</v>
      </c>
      <c r="G1539">
        <v>0</v>
      </c>
      <c r="H1539">
        <v>9936</v>
      </c>
      <c r="I1539">
        <v>1</v>
      </c>
      <c r="J1539">
        <v>76</v>
      </c>
      <c r="K1539">
        <v>266</v>
      </c>
      <c r="L1539">
        <v>252</v>
      </c>
      <c r="M1539">
        <v>15.28571429</v>
      </c>
      <c r="N1539">
        <f>IFERROR(VLOOKUP(A1539,vlookup_table!$A:$G,2,FALSE),"")</f>
        <v>0</v>
      </c>
      <c r="O1539">
        <f>IFERROR(VLOOKUP(A1539,vlookup_table!$A:$G,4,FALSE),"")</f>
        <v>0</v>
      </c>
      <c r="P1539" t="str">
        <f>IFERROR(VLOOKUP(A1539,vlookup_table!$A:$G,5,FALSE),"")</f>
        <v>T3</v>
      </c>
      <c r="Q1539">
        <f>IFERROR(VLOOKUP(A1539,vlookup_table!$A:$G,7,FALSE),"")</f>
        <v>5</v>
      </c>
      <c r="R1539">
        <f t="shared" si="96"/>
        <v>97</v>
      </c>
      <c r="S1539" t="str" cm="1">
        <f t="array" ref="S1539">IF(P1539="","",_xlfn.SWITCH(LEFT(P1539,1),"C","Ciudad","T","Pueblo","R","Rural","S","Suburbano","U","Urbano",""))</f>
        <v>Pueblo</v>
      </c>
      <c r="T1539" t="str">
        <f t="shared" si="97"/>
        <v>F</v>
      </c>
      <c r="U1539" t="str">
        <f t="shared" si="98"/>
        <v>IN</v>
      </c>
      <c r="V1539" t="str">
        <f t="shared" si="99"/>
        <v>9936</v>
      </c>
    </row>
    <row r="1540" spans="1:22" x14ac:dyDescent="0.35">
      <c r="A1540">
        <v>173497</v>
      </c>
      <c r="B1540" t="s">
        <v>37</v>
      </c>
      <c r="C1540" t="s">
        <v>17</v>
      </c>
      <c r="D1540">
        <v>3676</v>
      </c>
      <c r="E1540">
        <v>683</v>
      </c>
      <c r="F1540">
        <v>722</v>
      </c>
      <c r="G1540">
        <v>91</v>
      </c>
      <c r="H1540">
        <v>23977</v>
      </c>
      <c r="I1540">
        <v>6</v>
      </c>
      <c r="J1540">
        <v>68</v>
      </c>
      <c r="K1540">
        <v>692</v>
      </c>
      <c r="L1540">
        <v>724</v>
      </c>
      <c r="M1540">
        <v>20</v>
      </c>
      <c r="N1540">
        <f>IFERROR(VLOOKUP(A1540,vlookup_table!$A:$G,2,FALSE),"")</f>
        <v>2</v>
      </c>
      <c r="O1540">
        <f>IFERROR(VLOOKUP(A1540,vlookup_table!$A:$G,4,FALSE),"")</f>
        <v>2801</v>
      </c>
      <c r="P1540" t="str">
        <f>IFERROR(VLOOKUP(A1540,vlookup_table!$A:$G,5,FALSE),"")</f>
        <v>S1</v>
      </c>
      <c r="Q1540">
        <f>IFERROR(VLOOKUP(A1540,vlookup_table!$A:$G,7,FALSE),"")</f>
        <v>5</v>
      </c>
      <c r="R1540">
        <f t="shared" si="96"/>
        <v>69</v>
      </c>
      <c r="S1540" t="str" cm="1">
        <f t="array" ref="S1540">IF(P1540="","",_xlfn.SWITCH(LEFT(P1540,1),"C","Ciudad","T","Pueblo","R","Rural","S","Suburbano","U","Urbano",""))</f>
        <v>Suburbano</v>
      </c>
      <c r="T1540" t="str">
        <f t="shared" si="97"/>
        <v>F</v>
      </c>
      <c r="U1540" t="str">
        <f t="shared" si="98"/>
        <v>HI</v>
      </c>
      <c r="V1540" t="str">
        <f t="shared" si="99"/>
        <v>23977</v>
      </c>
    </row>
    <row r="1541" spans="1:22" x14ac:dyDescent="0.35">
      <c r="A1541">
        <v>177017</v>
      </c>
      <c r="B1541" t="s">
        <v>50</v>
      </c>
      <c r="C1541" t="s">
        <v>14</v>
      </c>
      <c r="D1541">
        <v>719</v>
      </c>
      <c r="E1541">
        <v>224</v>
      </c>
      <c r="F1541">
        <v>321</v>
      </c>
      <c r="G1541">
        <v>6</v>
      </c>
      <c r="H1541">
        <v>12226</v>
      </c>
      <c r="I1541">
        <v>3</v>
      </c>
      <c r="J1541">
        <v>42</v>
      </c>
      <c r="K1541">
        <v>269</v>
      </c>
      <c r="L1541">
        <v>280</v>
      </c>
      <c r="M1541">
        <v>7.6</v>
      </c>
      <c r="N1541">
        <f>IFERROR(VLOOKUP(A1541,vlookup_table!$A:$G,2,FALSE),"")</f>
        <v>1</v>
      </c>
      <c r="O1541">
        <f>IFERROR(VLOOKUP(A1541,vlookup_table!$A:$G,4,FALSE),"")</f>
        <v>0</v>
      </c>
      <c r="P1541" t="str">
        <f>IFERROR(VLOOKUP(A1541,vlookup_table!$A:$G,5,FALSE),"")</f>
        <v>R2</v>
      </c>
      <c r="Q1541">
        <f>IFERROR(VLOOKUP(A1541,vlookup_table!$A:$G,7,FALSE),"")</f>
        <v>15</v>
      </c>
      <c r="R1541">
        <f t="shared" si="96"/>
        <v>97</v>
      </c>
      <c r="S1541" t="str" cm="1">
        <f t="array" ref="S1541">IF(P1541="","",_xlfn.SWITCH(LEFT(P1541,1),"C","Ciudad","T","Pueblo","R","Rural","S","Suburbano","U","Urbano",""))</f>
        <v>Rural</v>
      </c>
      <c r="T1541" t="str">
        <f t="shared" si="97"/>
        <v>M</v>
      </c>
      <c r="U1541" t="str">
        <f t="shared" si="98"/>
        <v>OR</v>
      </c>
      <c r="V1541" t="str">
        <f t="shared" si="99"/>
        <v>12226</v>
      </c>
    </row>
    <row r="1542" spans="1:22" x14ac:dyDescent="0.35">
      <c r="A1542">
        <v>15350</v>
      </c>
      <c r="B1542" t="s">
        <v>18</v>
      </c>
      <c r="C1542" t="s">
        <v>20</v>
      </c>
      <c r="D1542">
        <v>1071</v>
      </c>
      <c r="E1542">
        <v>357</v>
      </c>
      <c r="F1542">
        <v>575</v>
      </c>
      <c r="G1542">
        <v>18</v>
      </c>
      <c r="H1542">
        <v>23527</v>
      </c>
      <c r="I1542">
        <v>5</v>
      </c>
      <c r="J1542">
        <v>55</v>
      </c>
      <c r="K1542">
        <v>494</v>
      </c>
      <c r="L1542">
        <v>490</v>
      </c>
      <c r="M1542">
        <v>17.5</v>
      </c>
      <c r="N1542">
        <f>IFERROR(VLOOKUP(A1542,vlookup_table!$A:$G,2,FALSE),"")</f>
        <v>28</v>
      </c>
      <c r="O1542">
        <f>IFERROR(VLOOKUP(A1542,vlookup_table!$A:$G,4,FALSE),"")</f>
        <v>2701</v>
      </c>
      <c r="P1542" t="str">
        <f>IFERROR(VLOOKUP(A1542,vlookup_table!$A:$G,5,FALSE),"")</f>
        <v>C1</v>
      </c>
      <c r="Q1542">
        <f>IFERROR(VLOOKUP(A1542,vlookup_table!$A:$G,7,FALSE),"")</f>
        <v>15</v>
      </c>
      <c r="R1542">
        <f t="shared" si="96"/>
        <v>70</v>
      </c>
      <c r="S1542" t="str" cm="1">
        <f t="array" ref="S1542">IF(P1542="","",_xlfn.SWITCH(LEFT(P1542,1),"C","Ciudad","T","Pueblo","R","Rural","S","Suburbano","U","Urbano",""))</f>
        <v>Ciudad</v>
      </c>
      <c r="T1542" t="str">
        <f t="shared" si="97"/>
        <v>F</v>
      </c>
      <c r="U1542" t="str">
        <f t="shared" si="98"/>
        <v>NC</v>
      </c>
      <c r="V1542" t="str">
        <f t="shared" si="99"/>
        <v>23527</v>
      </c>
    </row>
    <row r="1543" spans="1:22" x14ac:dyDescent="0.35">
      <c r="A1543">
        <v>4629</v>
      </c>
      <c r="B1543" t="s">
        <v>48</v>
      </c>
      <c r="C1543" t="s">
        <v>14</v>
      </c>
      <c r="D1543">
        <v>1460</v>
      </c>
      <c r="E1543">
        <v>551</v>
      </c>
      <c r="F1543">
        <v>668</v>
      </c>
      <c r="G1543">
        <v>12</v>
      </c>
      <c r="H1543">
        <v>21916</v>
      </c>
      <c r="I1543">
        <v>3</v>
      </c>
      <c r="J1543">
        <v>36</v>
      </c>
      <c r="K1543">
        <v>565</v>
      </c>
      <c r="L1543">
        <v>641</v>
      </c>
      <c r="M1543">
        <v>7.1029411769999999</v>
      </c>
      <c r="N1543">
        <f>IFERROR(VLOOKUP(A1543,vlookup_table!$A:$G,2,FALSE),"")</f>
        <v>1</v>
      </c>
      <c r="O1543">
        <f>IFERROR(VLOOKUP(A1543,vlookup_table!$A:$G,4,FALSE),"")</f>
        <v>2302</v>
      </c>
      <c r="P1543" t="str">
        <f>IFERROR(VLOOKUP(A1543,vlookup_table!$A:$G,5,FALSE),"")</f>
        <v>C1</v>
      </c>
      <c r="Q1543">
        <f>IFERROR(VLOOKUP(A1543,vlookup_table!$A:$G,7,FALSE),"")</f>
        <v>15</v>
      </c>
      <c r="R1543">
        <f t="shared" si="96"/>
        <v>74</v>
      </c>
      <c r="S1543" t="str" cm="1">
        <f t="array" ref="S1543">IF(P1543="","",_xlfn.SWITCH(LEFT(P1543,1),"C","Ciudad","T","Pueblo","R","Rural","S","Suburbano","U","Urbano",""))</f>
        <v>Ciudad</v>
      </c>
      <c r="T1543" t="str">
        <f t="shared" si="97"/>
        <v>M</v>
      </c>
      <c r="U1543" t="str">
        <f t="shared" si="98"/>
        <v>CO</v>
      </c>
      <c r="V1543" t="str">
        <f t="shared" si="99"/>
        <v>21916</v>
      </c>
    </row>
    <row r="1544" spans="1:22" x14ac:dyDescent="0.35">
      <c r="A1544">
        <v>162598</v>
      </c>
      <c r="B1544" t="s">
        <v>22</v>
      </c>
      <c r="C1544" t="s">
        <v>17</v>
      </c>
      <c r="D1544">
        <v>2766</v>
      </c>
      <c r="E1544">
        <v>362</v>
      </c>
      <c r="F1544">
        <v>439</v>
      </c>
      <c r="G1544">
        <v>84</v>
      </c>
      <c r="H1544">
        <v>17063</v>
      </c>
      <c r="I1544">
        <v>24</v>
      </c>
      <c r="J1544">
        <v>53</v>
      </c>
      <c r="K1544">
        <v>433</v>
      </c>
      <c r="L1544">
        <v>398</v>
      </c>
      <c r="M1544">
        <v>13</v>
      </c>
      <c r="N1544">
        <f>IFERROR(VLOOKUP(A1544,vlookup_table!$A:$G,2,FALSE),"")</f>
        <v>2</v>
      </c>
      <c r="O1544">
        <f>IFERROR(VLOOKUP(A1544,vlookup_table!$A:$G,4,FALSE),"")</f>
        <v>2001</v>
      </c>
      <c r="P1544" t="str">
        <f>IFERROR(VLOOKUP(A1544,vlookup_table!$A:$G,5,FALSE),"")</f>
        <v>S1</v>
      </c>
      <c r="Q1544">
        <f>IFERROR(VLOOKUP(A1544,vlookup_table!$A:$G,7,FALSE),"")</f>
        <v>20</v>
      </c>
      <c r="R1544">
        <f t="shared" si="96"/>
        <v>77</v>
      </c>
      <c r="S1544" t="str" cm="1">
        <f t="array" ref="S1544">IF(P1544="","",_xlfn.SWITCH(LEFT(P1544,1),"C","Ciudad","T","Pueblo","R","Rural","S","Suburbano","U","Urbano",""))</f>
        <v>Suburbano</v>
      </c>
      <c r="T1544" t="str">
        <f t="shared" si="97"/>
        <v>F</v>
      </c>
      <c r="U1544" t="str">
        <f t="shared" si="98"/>
        <v>CA</v>
      </c>
      <c r="V1544" t="str">
        <f t="shared" si="99"/>
        <v>17063</v>
      </c>
    </row>
    <row r="1545" spans="1:22" x14ac:dyDescent="0.35">
      <c r="A1545">
        <v>178949</v>
      </c>
      <c r="B1545" t="s">
        <v>40</v>
      </c>
      <c r="C1545" t="s">
        <v>51</v>
      </c>
      <c r="D1545">
        <v>3442</v>
      </c>
      <c r="E1545">
        <v>658</v>
      </c>
      <c r="F1545">
        <v>793</v>
      </c>
      <c r="G1545">
        <v>77</v>
      </c>
      <c r="H1545">
        <v>28222</v>
      </c>
      <c r="I1545">
        <v>10</v>
      </c>
      <c r="J1545">
        <v>46</v>
      </c>
      <c r="K1545">
        <v>671</v>
      </c>
      <c r="L1545">
        <v>749</v>
      </c>
      <c r="M1545">
        <v>10</v>
      </c>
      <c r="N1545">
        <f>IFERROR(VLOOKUP(A1545,vlookup_table!$A:$G,2,FALSE),"")</f>
        <v>1</v>
      </c>
      <c r="O1545">
        <f>IFERROR(VLOOKUP(A1545,vlookup_table!$A:$G,4,FALSE),"")</f>
        <v>3901</v>
      </c>
      <c r="P1545" t="str">
        <f>IFERROR(VLOOKUP(A1545,vlookup_table!$A:$G,5,FALSE),"")</f>
        <v>S1</v>
      </c>
      <c r="Q1545">
        <f>IFERROR(VLOOKUP(A1545,vlookup_table!$A:$G,7,FALSE),"")</f>
        <v>15</v>
      </c>
      <c r="R1545">
        <f t="shared" si="96"/>
        <v>58</v>
      </c>
      <c r="S1545" t="str" cm="1">
        <f t="array" ref="S1545">IF(P1545="","",_xlfn.SWITCH(LEFT(P1545,1),"C","Ciudad","T","Pueblo","R","Rural","S","Suburbano","U","Urbano",""))</f>
        <v>Suburbano</v>
      </c>
      <c r="T1545" t="str">
        <f t="shared" si="97"/>
        <v>M</v>
      </c>
      <c r="U1545" t="str">
        <f t="shared" si="98"/>
        <v>WA</v>
      </c>
      <c r="V1545" t="str">
        <f t="shared" si="99"/>
        <v>28222</v>
      </c>
    </row>
    <row r="1546" spans="1:22" x14ac:dyDescent="0.35">
      <c r="A1546">
        <v>189880</v>
      </c>
      <c r="B1546" t="s">
        <v>56</v>
      </c>
      <c r="C1546" t="s">
        <v>17</v>
      </c>
      <c r="D1546">
        <v>528</v>
      </c>
      <c r="E1546">
        <v>204</v>
      </c>
      <c r="F1546">
        <v>335</v>
      </c>
      <c r="G1546">
        <v>0</v>
      </c>
      <c r="H1546">
        <v>11183</v>
      </c>
      <c r="I1546">
        <v>2</v>
      </c>
      <c r="J1546">
        <v>69</v>
      </c>
      <c r="K1546">
        <v>271</v>
      </c>
      <c r="L1546">
        <v>243</v>
      </c>
      <c r="M1546">
        <v>8.3333333330000006</v>
      </c>
      <c r="N1546">
        <f>IFERROR(VLOOKUP(A1546,vlookup_table!$A:$G,2,FALSE),"")</f>
        <v>2</v>
      </c>
      <c r="O1546">
        <f>IFERROR(VLOOKUP(A1546,vlookup_table!$A:$G,4,FALSE),"")</f>
        <v>1801</v>
      </c>
      <c r="P1546" t="str">
        <f>IFERROR(VLOOKUP(A1546,vlookup_table!$A:$G,5,FALSE),"")</f>
        <v>T2</v>
      </c>
      <c r="Q1546">
        <f>IFERROR(VLOOKUP(A1546,vlookup_table!$A:$G,7,FALSE),"")</f>
        <v>10</v>
      </c>
      <c r="R1546">
        <f t="shared" si="96"/>
        <v>79</v>
      </c>
      <c r="S1546" t="str" cm="1">
        <f t="array" ref="S1546">IF(P1546="","",_xlfn.SWITCH(LEFT(P1546,1),"C","Ciudad","T","Pueblo","R","Rural","S","Suburbano","U","Urbano",""))</f>
        <v>Pueblo</v>
      </c>
      <c r="T1546" t="str">
        <f t="shared" si="97"/>
        <v>F</v>
      </c>
      <c r="U1546" t="str">
        <f t="shared" si="98"/>
        <v>MN</v>
      </c>
      <c r="V1546" t="str">
        <f t="shared" si="99"/>
        <v>11183</v>
      </c>
    </row>
    <row r="1547" spans="1:22" x14ac:dyDescent="0.35">
      <c r="A1547">
        <v>132031</v>
      </c>
      <c r="B1547" t="s">
        <v>54</v>
      </c>
      <c r="C1547" t="s">
        <v>14</v>
      </c>
      <c r="D1547">
        <v>1345</v>
      </c>
      <c r="E1547">
        <v>609</v>
      </c>
      <c r="F1547">
        <v>678</v>
      </c>
      <c r="G1547">
        <v>3</v>
      </c>
      <c r="H1547">
        <v>29493</v>
      </c>
      <c r="I1547">
        <v>3</v>
      </c>
      <c r="J1547">
        <v>18</v>
      </c>
      <c r="K1547">
        <v>635</v>
      </c>
      <c r="L1547">
        <v>629</v>
      </c>
      <c r="M1547">
        <v>11</v>
      </c>
      <c r="N1547">
        <f>IFERROR(VLOOKUP(A1547,vlookup_table!$A:$G,2,FALSE),"")</f>
        <v>1</v>
      </c>
      <c r="O1547">
        <f>IFERROR(VLOOKUP(A1547,vlookup_table!$A:$G,4,FALSE),"")</f>
        <v>2301</v>
      </c>
      <c r="P1547" t="str">
        <f>IFERROR(VLOOKUP(A1547,vlookup_table!$A:$G,5,FALSE),"")</f>
        <v>R2</v>
      </c>
      <c r="Q1547">
        <f>IFERROR(VLOOKUP(A1547,vlookup_table!$A:$G,7,FALSE),"")</f>
        <v>23</v>
      </c>
      <c r="R1547">
        <f t="shared" si="96"/>
        <v>74</v>
      </c>
      <c r="S1547" t="str" cm="1">
        <f t="array" ref="S1547">IF(P1547="","",_xlfn.SWITCH(LEFT(P1547,1),"C","Ciudad","T","Pueblo","R","Rural","S","Suburbano","U","Urbano",""))</f>
        <v>Rural</v>
      </c>
      <c r="T1547" t="str">
        <f t="shared" si="97"/>
        <v>M</v>
      </c>
      <c r="U1547" t="str">
        <f t="shared" si="98"/>
        <v>NM</v>
      </c>
      <c r="V1547" t="str">
        <f t="shared" si="99"/>
        <v>29493</v>
      </c>
    </row>
    <row r="1548" spans="1:22" x14ac:dyDescent="0.35">
      <c r="A1548">
        <v>38111</v>
      </c>
      <c r="B1548" t="s">
        <v>13</v>
      </c>
      <c r="C1548" t="s">
        <v>14</v>
      </c>
      <c r="D1548">
        <v>747</v>
      </c>
      <c r="E1548">
        <v>380</v>
      </c>
      <c r="F1548">
        <v>376</v>
      </c>
      <c r="G1548">
        <v>0</v>
      </c>
      <c r="H1548">
        <v>17585</v>
      </c>
      <c r="I1548">
        <v>29</v>
      </c>
      <c r="J1548">
        <v>25</v>
      </c>
      <c r="K1548">
        <v>385</v>
      </c>
      <c r="L1548">
        <v>398</v>
      </c>
      <c r="M1548">
        <v>4.7222222220000001</v>
      </c>
      <c r="N1548">
        <f>IFERROR(VLOOKUP(A1548,vlookup_table!$A:$G,2,FALSE),"")</f>
        <v>1</v>
      </c>
      <c r="O1548">
        <f>IFERROR(VLOOKUP(A1548,vlookup_table!$A:$G,4,FALSE),"")</f>
        <v>1311</v>
      </c>
      <c r="P1548" t="str">
        <f>IFERROR(VLOOKUP(A1548,vlookup_table!$A:$G,5,FALSE),"")</f>
        <v>C1</v>
      </c>
      <c r="Q1548">
        <f>IFERROR(VLOOKUP(A1548,vlookup_table!$A:$G,7,FALSE),"")</f>
        <v>7</v>
      </c>
      <c r="R1548">
        <f t="shared" si="96"/>
        <v>84</v>
      </c>
      <c r="S1548" t="str" cm="1">
        <f t="array" ref="S1548">IF(P1548="","",_xlfn.SWITCH(LEFT(P1548,1),"C","Ciudad","T","Pueblo","R","Rural","S","Suburbano","U","Urbano",""))</f>
        <v>Ciudad</v>
      </c>
      <c r="T1548" t="str">
        <f t="shared" si="97"/>
        <v>M</v>
      </c>
      <c r="U1548" t="str">
        <f t="shared" si="98"/>
        <v>FL</v>
      </c>
      <c r="V1548" t="str">
        <f t="shared" si="99"/>
        <v>17585</v>
      </c>
    </row>
    <row r="1549" spans="1:22" x14ac:dyDescent="0.35">
      <c r="A1549">
        <v>21375</v>
      </c>
      <c r="B1549" t="s">
        <v>18</v>
      </c>
      <c r="C1549" t="s">
        <v>20</v>
      </c>
      <c r="D1549">
        <v>498</v>
      </c>
      <c r="E1549">
        <v>243</v>
      </c>
      <c r="F1549">
        <v>326</v>
      </c>
      <c r="G1549">
        <v>1</v>
      </c>
      <c r="H1549">
        <v>11462</v>
      </c>
      <c r="I1549">
        <v>0</v>
      </c>
      <c r="J1549">
        <v>86</v>
      </c>
      <c r="K1549">
        <v>284</v>
      </c>
      <c r="L1549">
        <v>285</v>
      </c>
      <c r="M1549">
        <v>20</v>
      </c>
      <c r="N1549">
        <f>IFERROR(VLOOKUP(A1549,vlookup_table!$A:$G,2,FALSE),"")</f>
        <v>0</v>
      </c>
      <c r="O1549">
        <f>IFERROR(VLOOKUP(A1549,vlookup_table!$A:$G,4,FALSE),"")</f>
        <v>5401</v>
      </c>
      <c r="P1549" t="str">
        <f>IFERROR(VLOOKUP(A1549,vlookup_table!$A:$G,5,FALSE),"")</f>
        <v>T2</v>
      </c>
      <c r="Q1549">
        <f>IFERROR(VLOOKUP(A1549,vlookup_table!$A:$G,7,FALSE),"")</f>
        <v>25</v>
      </c>
      <c r="R1549">
        <f t="shared" si="96"/>
        <v>43</v>
      </c>
      <c r="S1549" t="str" cm="1">
        <f t="array" ref="S1549">IF(P1549="","",_xlfn.SWITCH(LEFT(P1549,1),"C","Ciudad","T","Pueblo","R","Rural","S","Suburbano","U","Urbano",""))</f>
        <v>Pueblo</v>
      </c>
      <c r="T1549" t="str">
        <f t="shared" si="97"/>
        <v>F</v>
      </c>
      <c r="U1549" t="str">
        <f t="shared" si="98"/>
        <v>NC</v>
      </c>
      <c r="V1549" t="str">
        <f t="shared" si="99"/>
        <v>11462</v>
      </c>
    </row>
    <row r="1550" spans="1:22" x14ac:dyDescent="0.35">
      <c r="A1550">
        <v>31735</v>
      </c>
      <c r="B1550" t="s">
        <v>13</v>
      </c>
      <c r="C1550" t="s">
        <v>17</v>
      </c>
      <c r="D1550">
        <v>881</v>
      </c>
      <c r="E1550">
        <v>355</v>
      </c>
      <c r="F1550">
        <v>496</v>
      </c>
      <c r="G1550">
        <v>5</v>
      </c>
      <c r="H1550">
        <v>17641</v>
      </c>
      <c r="I1550">
        <v>3</v>
      </c>
      <c r="J1550">
        <v>27</v>
      </c>
      <c r="K1550">
        <v>464</v>
      </c>
      <c r="L1550">
        <v>388</v>
      </c>
      <c r="M1550">
        <v>11</v>
      </c>
      <c r="N1550">
        <f>IFERROR(VLOOKUP(A1550,vlookup_table!$A:$G,2,FALSE),"")</f>
        <v>28</v>
      </c>
      <c r="O1550">
        <f>IFERROR(VLOOKUP(A1550,vlookup_table!$A:$G,4,FALSE),"")</f>
        <v>0</v>
      </c>
      <c r="P1550" t="str">
        <f>IFERROR(VLOOKUP(A1550,vlookup_table!$A:$G,5,FALSE),"")</f>
        <v>T1</v>
      </c>
      <c r="Q1550">
        <f>IFERROR(VLOOKUP(A1550,vlookup_table!$A:$G,7,FALSE),"")</f>
        <v>19</v>
      </c>
      <c r="R1550">
        <f t="shared" si="96"/>
        <v>97</v>
      </c>
      <c r="S1550" t="str" cm="1">
        <f t="array" ref="S1550">IF(P1550="","",_xlfn.SWITCH(LEFT(P1550,1),"C","Ciudad","T","Pueblo","R","Rural","S","Suburbano","U","Urbano",""))</f>
        <v>Pueblo</v>
      </c>
      <c r="T1550" t="str">
        <f t="shared" si="97"/>
        <v>F</v>
      </c>
      <c r="U1550" t="str">
        <f t="shared" si="98"/>
        <v>FL</v>
      </c>
      <c r="V1550" t="str">
        <f t="shared" si="99"/>
        <v>17641</v>
      </c>
    </row>
    <row r="1551" spans="1:22" x14ac:dyDescent="0.35">
      <c r="A1551">
        <v>132456</v>
      </c>
      <c r="B1551" t="s">
        <v>48</v>
      </c>
      <c r="C1551" t="s">
        <v>17</v>
      </c>
      <c r="D1551">
        <v>957</v>
      </c>
      <c r="E1551">
        <v>319</v>
      </c>
      <c r="F1551">
        <v>400</v>
      </c>
      <c r="G1551">
        <v>9</v>
      </c>
      <c r="H1551">
        <v>13186</v>
      </c>
      <c r="I1551">
        <v>3</v>
      </c>
      <c r="J1551">
        <v>49</v>
      </c>
      <c r="K1551">
        <v>360</v>
      </c>
      <c r="L1551">
        <v>365</v>
      </c>
      <c r="M1551">
        <v>5</v>
      </c>
      <c r="N1551">
        <f>IFERROR(VLOOKUP(A1551,vlookup_table!$A:$G,2,FALSE),"")</f>
        <v>2</v>
      </c>
      <c r="O1551">
        <f>IFERROR(VLOOKUP(A1551,vlookup_table!$A:$G,4,FALSE),"")</f>
        <v>2201</v>
      </c>
      <c r="P1551" t="str">
        <f>IFERROR(VLOOKUP(A1551,vlookup_table!$A:$G,5,FALSE),"")</f>
        <v>R1</v>
      </c>
      <c r="Q1551">
        <f>IFERROR(VLOOKUP(A1551,vlookup_table!$A:$G,7,FALSE),"")</f>
        <v>7</v>
      </c>
      <c r="R1551">
        <f t="shared" si="96"/>
        <v>75</v>
      </c>
      <c r="S1551" t="str" cm="1">
        <f t="array" ref="S1551">IF(P1551="","",_xlfn.SWITCH(LEFT(P1551,1),"C","Ciudad","T","Pueblo","R","Rural","S","Suburbano","U","Urbano",""))</f>
        <v>Rural</v>
      </c>
      <c r="T1551" t="str">
        <f t="shared" si="97"/>
        <v>F</v>
      </c>
      <c r="U1551" t="str">
        <f t="shared" si="98"/>
        <v>CO</v>
      </c>
      <c r="V1551" t="str">
        <f t="shared" si="99"/>
        <v>13186</v>
      </c>
    </row>
    <row r="1552" spans="1:22" x14ac:dyDescent="0.35">
      <c r="A1552">
        <v>121165</v>
      </c>
      <c r="B1552" t="s">
        <v>21</v>
      </c>
      <c r="C1552" t="s">
        <v>14</v>
      </c>
      <c r="D1552">
        <v>920</v>
      </c>
      <c r="E1552">
        <v>160</v>
      </c>
      <c r="F1552">
        <v>633</v>
      </c>
      <c r="G1552">
        <v>8</v>
      </c>
      <c r="H1552">
        <v>20828</v>
      </c>
      <c r="I1552">
        <v>12</v>
      </c>
      <c r="J1552">
        <v>43</v>
      </c>
      <c r="K1552">
        <v>753</v>
      </c>
      <c r="L1552">
        <v>348</v>
      </c>
      <c r="M1552">
        <v>15</v>
      </c>
      <c r="N1552">
        <f>IFERROR(VLOOKUP(A1552,vlookup_table!$A:$G,2,FALSE),"")</f>
        <v>1</v>
      </c>
      <c r="O1552">
        <f>IFERROR(VLOOKUP(A1552,vlookup_table!$A:$G,4,FALSE),"")</f>
        <v>6601</v>
      </c>
      <c r="P1552" t="str">
        <f>IFERROR(VLOOKUP(A1552,vlookup_table!$A:$G,5,FALSE),"")</f>
        <v>U1</v>
      </c>
      <c r="Q1552">
        <f>IFERROR(VLOOKUP(A1552,vlookup_table!$A:$G,7,FALSE),"")</f>
        <v>10</v>
      </c>
      <c r="R1552">
        <f t="shared" si="96"/>
        <v>31</v>
      </c>
      <c r="S1552" t="str" cm="1">
        <f t="array" ref="S1552">IF(P1552="","",_xlfn.SWITCH(LEFT(P1552,1),"C","Ciudad","T","Pueblo","R","Rural","S","Suburbano","U","Urbano",""))</f>
        <v>Urbano</v>
      </c>
      <c r="T1552" t="str">
        <f t="shared" si="97"/>
        <v>M</v>
      </c>
      <c r="U1552" t="str">
        <f t="shared" si="98"/>
        <v>TX</v>
      </c>
      <c r="V1552" t="str">
        <f t="shared" si="99"/>
        <v>20828</v>
      </c>
    </row>
    <row r="1553" spans="1:22" x14ac:dyDescent="0.35">
      <c r="A1553">
        <v>175226</v>
      </c>
      <c r="B1553" t="s">
        <v>50</v>
      </c>
      <c r="C1553" t="s">
        <v>14</v>
      </c>
      <c r="D1553">
        <v>693</v>
      </c>
      <c r="E1553">
        <v>213</v>
      </c>
      <c r="F1553">
        <v>259</v>
      </c>
      <c r="G1553">
        <v>2</v>
      </c>
      <c r="H1553">
        <v>10095</v>
      </c>
      <c r="I1553">
        <v>0</v>
      </c>
      <c r="J1553">
        <v>61</v>
      </c>
      <c r="K1553">
        <v>248</v>
      </c>
      <c r="L1553">
        <v>232</v>
      </c>
      <c r="M1553">
        <v>7.25</v>
      </c>
      <c r="N1553">
        <f>IFERROR(VLOOKUP(A1553,vlookup_table!$A:$G,2,FALSE),"")</f>
        <v>1</v>
      </c>
      <c r="O1553">
        <f>IFERROR(VLOOKUP(A1553,vlookup_table!$A:$G,4,FALSE),"")</f>
        <v>1809</v>
      </c>
      <c r="P1553" t="str">
        <f>IFERROR(VLOOKUP(A1553,vlookup_table!$A:$G,5,FALSE),"")</f>
        <v>R2</v>
      </c>
      <c r="Q1553">
        <f>IFERROR(VLOOKUP(A1553,vlookup_table!$A:$G,7,FALSE),"")</f>
        <v>11</v>
      </c>
      <c r="R1553">
        <f t="shared" si="96"/>
        <v>79</v>
      </c>
      <c r="S1553" t="str" cm="1">
        <f t="array" ref="S1553">IF(P1553="","",_xlfn.SWITCH(LEFT(P1553,1),"C","Ciudad","T","Pueblo","R","Rural","S","Suburbano","U","Urbano",""))</f>
        <v>Rural</v>
      </c>
      <c r="T1553" t="str">
        <f t="shared" si="97"/>
        <v>M</v>
      </c>
      <c r="U1553" t="str">
        <f t="shared" si="98"/>
        <v>OR</v>
      </c>
      <c r="V1553" t="str">
        <f t="shared" si="99"/>
        <v>10095</v>
      </c>
    </row>
    <row r="1554" spans="1:22" x14ac:dyDescent="0.35">
      <c r="A1554">
        <v>190534</v>
      </c>
      <c r="B1554" t="s">
        <v>22</v>
      </c>
      <c r="C1554" t="s">
        <v>17</v>
      </c>
      <c r="D1554">
        <v>1922</v>
      </c>
      <c r="E1554">
        <v>284</v>
      </c>
      <c r="F1554">
        <v>332</v>
      </c>
      <c r="G1554">
        <v>44</v>
      </c>
      <c r="H1554">
        <v>9661</v>
      </c>
      <c r="I1554">
        <v>35</v>
      </c>
      <c r="J1554">
        <v>45</v>
      </c>
      <c r="K1554">
        <v>307</v>
      </c>
      <c r="L1554">
        <v>300</v>
      </c>
      <c r="M1554">
        <v>5.5454545450000001</v>
      </c>
      <c r="N1554">
        <f>IFERROR(VLOOKUP(A1554,vlookup_table!$A:$G,2,FALSE),"")</f>
        <v>0</v>
      </c>
      <c r="O1554">
        <f>IFERROR(VLOOKUP(A1554,vlookup_table!$A:$G,4,FALSE),"")</f>
        <v>501</v>
      </c>
      <c r="P1554" t="str">
        <f>IFERROR(VLOOKUP(A1554,vlookup_table!$A:$G,5,FALSE),"")</f>
        <v>U3</v>
      </c>
      <c r="Q1554">
        <f>IFERROR(VLOOKUP(A1554,vlookup_table!$A:$G,7,FALSE),"")</f>
        <v>6</v>
      </c>
      <c r="R1554">
        <f t="shared" si="96"/>
        <v>92</v>
      </c>
      <c r="S1554" t="str" cm="1">
        <f t="array" ref="S1554">IF(P1554="","",_xlfn.SWITCH(LEFT(P1554,1),"C","Ciudad","T","Pueblo","R","Rural","S","Suburbano","U","Urbano",""))</f>
        <v>Urbano</v>
      </c>
      <c r="T1554" t="str">
        <f t="shared" si="97"/>
        <v>F</v>
      </c>
      <c r="U1554" t="str">
        <f t="shared" si="98"/>
        <v>CA</v>
      </c>
      <c r="V1554" t="str">
        <f t="shared" si="99"/>
        <v>9661</v>
      </c>
    </row>
    <row r="1555" spans="1:22" x14ac:dyDescent="0.35">
      <c r="A1555">
        <v>33383</v>
      </c>
      <c r="B1555" t="s">
        <v>13</v>
      </c>
      <c r="C1555" t="s">
        <v>17</v>
      </c>
      <c r="D1555">
        <v>1473</v>
      </c>
      <c r="E1555">
        <v>611</v>
      </c>
      <c r="F1555">
        <v>688</v>
      </c>
      <c r="G1555">
        <v>17</v>
      </c>
      <c r="H1555">
        <v>26812</v>
      </c>
      <c r="I1555">
        <v>10</v>
      </c>
      <c r="J1555">
        <v>28</v>
      </c>
      <c r="K1555">
        <v>647</v>
      </c>
      <c r="L1555">
        <v>649</v>
      </c>
      <c r="M1555">
        <v>7.3333333329999997</v>
      </c>
      <c r="N1555">
        <f>IFERROR(VLOOKUP(A1555,vlookup_table!$A:$G,2,FALSE),"")</f>
        <v>28</v>
      </c>
      <c r="O1555">
        <f>IFERROR(VLOOKUP(A1555,vlookup_table!$A:$G,4,FALSE),"")</f>
        <v>0</v>
      </c>
      <c r="P1555" t="str">
        <f>IFERROR(VLOOKUP(A1555,vlookup_table!$A:$G,5,FALSE),"")</f>
        <v>T1</v>
      </c>
      <c r="Q1555">
        <f>IFERROR(VLOOKUP(A1555,vlookup_table!$A:$G,7,FALSE),"")</f>
        <v>11</v>
      </c>
      <c r="R1555">
        <f t="shared" si="96"/>
        <v>97</v>
      </c>
      <c r="S1555" t="str" cm="1">
        <f t="array" ref="S1555">IF(P1555="","",_xlfn.SWITCH(LEFT(P1555,1),"C","Ciudad","T","Pueblo","R","Rural","S","Suburbano","U","Urbano",""))</f>
        <v>Pueblo</v>
      </c>
      <c r="T1555" t="str">
        <f t="shared" si="97"/>
        <v>F</v>
      </c>
      <c r="U1555" t="str">
        <f t="shared" si="98"/>
        <v>FL</v>
      </c>
      <c r="V1555" t="str">
        <f t="shared" si="99"/>
        <v>26812</v>
      </c>
    </row>
    <row r="1556" spans="1:22" x14ac:dyDescent="0.35">
      <c r="A1556">
        <v>64261</v>
      </c>
      <c r="B1556" t="s">
        <v>33</v>
      </c>
      <c r="C1556" t="s">
        <v>17</v>
      </c>
      <c r="D1556">
        <v>369</v>
      </c>
      <c r="E1556">
        <v>251</v>
      </c>
      <c r="F1556">
        <v>346</v>
      </c>
      <c r="G1556">
        <v>0</v>
      </c>
      <c r="H1556">
        <v>11275</v>
      </c>
      <c r="I1556">
        <v>1</v>
      </c>
      <c r="J1556">
        <v>88</v>
      </c>
      <c r="K1556">
        <v>305</v>
      </c>
      <c r="L1556">
        <v>295</v>
      </c>
      <c r="M1556">
        <v>5.625</v>
      </c>
      <c r="N1556">
        <f>IFERROR(VLOOKUP(A1556,vlookup_table!$A:$G,2,FALSE),"")</f>
        <v>2</v>
      </c>
      <c r="O1556">
        <f>IFERROR(VLOOKUP(A1556,vlookup_table!$A:$G,4,FALSE),"")</f>
        <v>0</v>
      </c>
      <c r="P1556" t="str">
        <f>IFERROR(VLOOKUP(A1556,vlookup_table!$A:$G,5,FALSE),"")</f>
        <v>T2</v>
      </c>
      <c r="Q1556">
        <f>IFERROR(VLOOKUP(A1556,vlookup_table!$A:$G,7,FALSE),"")</f>
        <v>10</v>
      </c>
      <c r="R1556">
        <f t="shared" si="96"/>
        <v>97</v>
      </c>
      <c r="S1556" t="str" cm="1">
        <f t="array" ref="S1556">IF(P1556="","",_xlfn.SWITCH(LEFT(P1556,1),"C","Ciudad","T","Pueblo","R","Rural","S","Suburbano","U","Urbano",""))</f>
        <v>Pueblo</v>
      </c>
      <c r="T1556" t="str">
        <f t="shared" si="97"/>
        <v>F</v>
      </c>
      <c r="U1556" t="str">
        <f t="shared" si="98"/>
        <v>IN</v>
      </c>
      <c r="V1556" t="str">
        <f t="shared" si="99"/>
        <v>11275</v>
      </c>
    </row>
    <row r="1557" spans="1:22" x14ac:dyDescent="0.35">
      <c r="A1557">
        <v>106854</v>
      </c>
      <c r="B1557" t="s">
        <v>48</v>
      </c>
      <c r="C1557" t="s">
        <v>17</v>
      </c>
      <c r="D1557">
        <v>1070</v>
      </c>
      <c r="E1557">
        <v>505</v>
      </c>
      <c r="F1557">
        <v>518</v>
      </c>
      <c r="G1557">
        <v>0</v>
      </c>
      <c r="H1557">
        <v>16105</v>
      </c>
      <c r="I1557">
        <v>1</v>
      </c>
      <c r="J1557">
        <v>34</v>
      </c>
      <c r="K1557">
        <v>510</v>
      </c>
      <c r="L1557">
        <v>529</v>
      </c>
      <c r="M1557">
        <v>7.5833333329999997</v>
      </c>
      <c r="N1557">
        <f>IFERROR(VLOOKUP(A1557,vlookup_table!$A:$G,2,FALSE),"")</f>
        <v>2</v>
      </c>
      <c r="O1557">
        <f>IFERROR(VLOOKUP(A1557,vlookup_table!$A:$G,4,FALSE),"")</f>
        <v>0</v>
      </c>
      <c r="P1557" t="str">
        <f>IFERROR(VLOOKUP(A1557,vlookup_table!$A:$G,5,FALSE),"")</f>
        <v>T1</v>
      </c>
      <c r="Q1557">
        <f>IFERROR(VLOOKUP(A1557,vlookup_table!$A:$G,7,FALSE),"")</f>
        <v>8</v>
      </c>
      <c r="R1557">
        <f t="shared" si="96"/>
        <v>97</v>
      </c>
      <c r="S1557" t="str" cm="1">
        <f t="array" ref="S1557">IF(P1557="","",_xlfn.SWITCH(LEFT(P1557,1),"C","Ciudad","T","Pueblo","R","Rural","S","Suburbano","U","Urbano",""))</f>
        <v>Pueblo</v>
      </c>
      <c r="T1557" t="str">
        <f t="shared" si="97"/>
        <v>F</v>
      </c>
      <c r="U1557" t="str">
        <f t="shared" si="98"/>
        <v>CO</v>
      </c>
      <c r="V1557" t="str">
        <f t="shared" si="99"/>
        <v>16105</v>
      </c>
    </row>
    <row r="1558" spans="1:22" x14ac:dyDescent="0.35">
      <c r="A1558">
        <v>115676</v>
      </c>
      <c r="B1558" t="s">
        <v>21</v>
      </c>
      <c r="D1558">
        <v>340</v>
      </c>
      <c r="E1558">
        <v>191</v>
      </c>
      <c r="F1558">
        <v>237</v>
      </c>
      <c r="G1558">
        <v>0</v>
      </c>
      <c r="H1558">
        <v>7393</v>
      </c>
      <c r="I1558">
        <v>1</v>
      </c>
      <c r="J1558">
        <v>57</v>
      </c>
      <c r="K1558">
        <v>221</v>
      </c>
      <c r="L1558">
        <v>208</v>
      </c>
      <c r="M1558">
        <v>14.222222220000001</v>
      </c>
      <c r="N1558">
        <f>IFERROR(VLOOKUP(A1558,vlookup_table!$A:$G,2,FALSE),"")</f>
        <v>4</v>
      </c>
      <c r="O1558">
        <f>IFERROR(VLOOKUP(A1558,vlookup_table!$A:$G,4,FALSE),"")</f>
        <v>0</v>
      </c>
      <c r="P1558" t="str">
        <f>IFERROR(VLOOKUP(A1558,vlookup_table!$A:$G,5,FALSE),"")</f>
        <v>T2</v>
      </c>
      <c r="Q1558">
        <f>IFERROR(VLOOKUP(A1558,vlookup_table!$A:$G,7,FALSE),"")</f>
        <v>20</v>
      </c>
      <c r="R1558">
        <f t="shared" si="96"/>
        <v>97</v>
      </c>
      <c r="S1558" t="str" cm="1">
        <f t="array" ref="S1558">IF(P1558="","",_xlfn.SWITCH(LEFT(P1558,1),"C","Ciudad","T","Pueblo","R","Rural","S","Suburbano","U","Urbano",""))</f>
        <v>Pueblo</v>
      </c>
      <c r="T1558" t="str">
        <f t="shared" si="97"/>
        <v/>
      </c>
      <c r="U1558" t="str">
        <f t="shared" si="98"/>
        <v>TX</v>
      </c>
      <c r="V1558" t="str">
        <f t="shared" si="99"/>
        <v>7393</v>
      </c>
    </row>
    <row r="1559" spans="1:22" x14ac:dyDescent="0.35">
      <c r="A1559">
        <v>60195</v>
      </c>
      <c r="B1559" t="s">
        <v>33</v>
      </c>
      <c r="C1559" t="s">
        <v>17</v>
      </c>
      <c r="D1559">
        <v>684</v>
      </c>
      <c r="E1559">
        <v>272</v>
      </c>
      <c r="F1559">
        <v>357</v>
      </c>
      <c r="G1559">
        <v>1</v>
      </c>
      <c r="H1559">
        <v>14675</v>
      </c>
      <c r="I1559">
        <v>2</v>
      </c>
      <c r="J1559">
        <v>74</v>
      </c>
      <c r="K1559">
        <v>321</v>
      </c>
      <c r="L1559">
        <v>298</v>
      </c>
      <c r="M1559">
        <v>13.5</v>
      </c>
      <c r="N1559">
        <f>IFERROR(VLOOKUP(A1559,vlookup_table!$A:$G,2,FALSE),"")</f>
        <v>0</v>
      </c>
      <c r="O1559">
        <f>IFERROR(VLOOKUP(A1559,vlookup_table!$A:$G,4,FALSE),"")</f>
        <v>5501</v>
      </c>
      <c r="P1559" t="str">
        <f>IFERROR(VLOOKUP(A1559,vlookup_table!$A:$G,5,FALSE),"")</f>
        <v>S1</v>
      </c>
      <c r="Q1559">
        <f>IFERROR(VLOOKUP(A1559,vlookup_table!$A:$G,7,FALSE),"")</f>
        <v>25</v>
      </c>
      <c r="R1559">
        <f t="shared" si="96"/>
        <v>42</v>
      </c>
      <c r="S1559" t="str" cm="1">
        <f t="array" ref="S1559">IF(P1559="","",_xlfn.SWITCH(LEFT(P1559,1),"C","Ciudad","T","Pueblo","R","Rural","S","Suburbano","U","Urbano",""))</f>
        <v>Suburbano</v>
      </c>
      <c r="T1559" t="str">
        <f t="shared" si="97"/>
        <v>F</v>
      </c>
      <c r="U1559" t="str">
        <f t="shared" si="98"/>
        <v>IN</v>
      </c>
      <c r="V1559" t="str">
        <f t="shared" si="99"/>
        <v>14675</v>
      </c>
    </row>
    <row r="1560" spans="1:22" x14ac:dyDescent="0.35">
      <c r="A1560">
        <v>6308</v>
      </c>
      <c r="B1560" t="s">
        <v>46</v>
      </c>
      <c r="C1560" t="s">
        <v>14</v>
      </c>
      <c r="D1560">
        <v>454</v>
      </c>
      <c r="E1560">
        <v>244</v>
      </c>
      <c r="F1560">
        <v>320</v>
      </c>
      <c r="G1560">
        <v>0</v>
      </c>
      <c r="H1560">
        <v>10904</v>
      </c>
      <c r="I1560">
        <v>1</v>
      </c>
      <c r="J1560">
        <v>85</v>
      </c>
      <c r="K1560">
        <v>285</v>
      </c>
      <c r="L1560">
        <v>280</v>
      </c>
      <c r="M1560">
        <v>10.777777779999999</v>
      </c>
      <c r="N1560">
        <f>IFERROR(VLOOKUP(A1560,vlookup_table!$A:$G,2,FALSE),"")</f>
        <v>0</v>
      </c>
      <c r="O1560">
        <f>IFERROR(VLOOKUP(A1560,vlookup_table!$A:$G,4,FALSE),"")</f>
        <v>1803</v>
      </c>
      <c r="P1560" t="str">
        <f>IFERROR(VLOOKUP(A1560,vlookup_table!$A:$G,5,FALSE),"")</f>
        <v>R2</v>
      </c>
      <c r="Q1560">
        <f>IFERROR(VLOOKUP(A1560,vlookup_table!$A:$G,7,FALSE),"")</f>
        <v>12</v>
      </c>
      <c r="R1560">
        <f t="shared" si="96"/>
        <v>79</v>
      </c>
      <c r="S1560" t="str" cm="1">
        <f t="array" ref="S1560">IF(P1560="","",_xlfn.SWITCH(LEFT(P1560,1),"C","Ciudad","T","Pueblo","R","Rural","S","Suburbano","U","Urbano",""))</f>
        <v>Rural</v>
      </c>
      <c r="T1560" t="str">
        <f t="shared" si="97"/>
        <v>M</v>
      </c>
      <c r="U1560" t="str">
        <f t="shared" si="98"/>
        <v>SC</v>
      </c>
      <c r="V1560" t="str">
        <f t="shared" si="99"/>
        <v>10904</v>
      </c>
    </row>
    <row r="1561" spans="1:22" x14ac:dyDescent="0.35">
      <c r="A1561">
        <v>93883</v>
      </c>
      <c r="B1561" t="s">
        <v>16</v>
      </c>
      <c r="C1561" t="s">
        <v>14</v>
      </c>
      <c r="D1561">
        <v>574</v>
      </c>
      <c r="E1561">
        <v>289</v>
      </c>
      <c r="F1561">
        <v>363</v>
      </c>
      <c r="G1561">
        <v>0</v>
      </c>
      <c r="H1561">
        <v>11250</v>
      </c>
      <c r="I1561">
        <v>25</v>
      </c>
      <c r="J1561">
        <v>69</v>
      </c>
      <c r="K1561">
        <v>318</v>
      </c>
      <c r="L1561">
        <v>315</v>
      </c>
      <c r="M1561">
        <v>3.5555555559999998</v>
      </c>
      <c r="N1561">
        <f>IFERROR(VLOOKUP(A1561,vlookup_table!$A:$G,2,FALSE),"")</f>
        <v>0</v>
      </c>
      <c r="O1561">
        <f>IFERROR(VLOOKUP(A1561,vlookup_table!$A:$G,4,FALSE),"")</f>
        <v>4601</v>
      </c>
      <c r="P1561" t="str">
        <f>IFERROR(VLOOKUP(A1561,vlookup_table!$A:$G,5,FALSE),"")</f>
        <v>U3</v>
      </c>
      <c r="Q1561">
        <f>IFERROR(VLOOKUP(A1561,vlookup_table!$A:$G,7,FALSE),"")</f>
        <v>4</v>
      </c>
      <c r="R1561">
        <f t="shared" si="96"/>
        <v>51</v>
      </c>
      <c r="S1561" t="str" cm="1">
        <f t="array" ref="S1561">IF(P1561="","",_xlfn.SWITCH(LEFT(P1561,1),"C","Ciudad","T","Pueblo","R","Rural","S","Suburbano","U","Urbano",""))</f>
        <v>Urbano</v>
      </c>
      <c r="T1561" t="str">
        <f t="shared" si="97"/>
        <v>M</v>
      </c>
      <c r="U1561" t="str">
        <f t="shared" si="98"/>
        <v>IL</v>
      </c>
      <c r="V1561" t="str">
        <f t="shared" si="99"/>
        <v>11250</v>
      </c>
    </row>
    <row r="1562" spans="1:22" x14ac:dyDescent="0.35">
      <c r="A1562">
        <v>38812</v>
      </c>
      <c r="B1562" t="s">
        <v>13</v>
      </c>
      <c r="C1562" t="s">
        <v>17</v>
      </c>
      <c r="D1562">
        <v>3772</v>
      </c>
      <c r="E1562">
        <v>515</v>
      </c>
      <c r="F1562">
        <v>791</v>
      </c>
      <c r="G1562">
        <v>87</v>
      </c>
      <c r="H1562">
        <v>46740</v>
      </c>
      <c r="I1562">
        <v>17</v>
      </c>
      <c r="J1562">
        <v>16</v>
      </c>
      <c r="K1562">
        <v>661</v>
      </c>
      <c r="L1562">
        <v>647</v>
      </c>
      <c r="M1562">
        <v>14.33333333</v>
      </c>
      <c r="N1562">
        <f>IFERROR(VLOOKUP(A1562,vlookup_table!$A:$G,2,FALSE),"")</f>
        <v>2</v>
      </c>
      <c r="O1562">
        <f>IFERROR(VLOOKUP(A1562,vlookup_table!$A:$G,4,FALSE),"")</f>
        <v>2310</v>
      </c>
      <c r="P1562" t="str">
        <f>IFERROR(VLOOKUP(A1562,vlookup_table!$A:$G,5,FALSE),"")</f>
        <v>U1</v>
      </c>
      <c r="Q1562">
        <f>IFERROR(VLOOKUP(A1562,vlookup_table!$A:$G,7,FALSE),"")</f>
        <v>17</v>
      </c>
      <c r="R1562">
        <f t="shared" si="96"/>
        <v>74</v>
      </c>
      <c r="S1562" t="str" cm="1">
        <f t="array" ref="S1562">IF(P1562="","",_xlfn.SWITCH(LEFT(P1562,1),"C","Ciudad","T","Pueblo","R","Rural","S","Suburbano","U","Urbano",""))</f>
        <v>Urbano</v>
      </c>
      <c r="T1562" t="str">
        <f t="shared" si="97"/>
        <v>F</v>
      </c>
      <c r="U1562" t="str">
        <f t="shared" si="98"/>
        <v>FL</v>
      </c>
      <c r="V1562" t="str">
        <f t="shared" si="99"/>
        <v>46740</v>
      </c>
    </row>
    <row r="1563" spans="1:22" x14ac:dyDescent="0.35">
      <c r="A1563">
        <v>15219</v>
      </c>
      <c r="B1563" t="s">
        <v>18</v>
      </c>
      <c r="C1563" t="s">
        <v>20</v>
      </c>
      <c r="D1563">
        <v>730</v>
      </c>
      <c r="E1563">
        <v>309</v>
      </c>
      <c r="F1563">
        <v>419</v>
      </c>
      <c r="G1563">
        <v>1</v>
      </c>
      <c r="H1563">
        <v>14673</v>
      </c>
      <c r="I1563">
        <v>1</v>
      </c>
      <c r="J1563">
        <v>75</v>
      </c>
      <c r="K1563">
        <v>374</v>
      </c>
      <c r="L1563">
        <v>365</v>
      </c>
      <c r="M1563">
        <v>25</v>
      </c>
      <c r="N1563">
        <f>IFERROR(VLOOKUP(A1563,vlookup_table!$A:$G,2,FALSE),"")</f>
        <v>0</v>
      </c>
      <c r="O1563">
        <f>IFERROR(VLOOKUP(A1563,vlookup_table!$A:$G,4,FALSE),"")</f>
        <v>0</v>
      </c>
      <c r="P1563" t="str">
        <f>IFERROR(VLOOKUP(A1563,vlookup_table!$A:$G,5,FALSE),"")</f>
        <v>T2</v>
      </c>
      <c r="Q1563">
        <f>IFERROR(VLOOKUP(A1563,vlookup_table!$A:$G,7,FALSE),"")</f>
        <v>25</v>
      </c>
      <c r="R1563">
        <f t="shared" si="96"/>
        <v>97</v>
      </c>
      <c r="S1563" t="str" cm="1">
        <f t="array" ref="S1563">IF(P1563="","",_xlfn.SWITCH(LEFT(P1563,1),"C","Ciudad","T","Pueblo","R","Rural","S","Suburbano","U","Urbano",""))</f>
        <v>Pueblo</v>
      </c>
      <c r="T1563" t="str">
        <f t="shared" si="97"/>
        <v>F</v>
      </c>
      <c r="U1563" t="str">
        <f t="shared" si="98"/>
        <v>NC</v>
      </c>
      <c r="V1563" t="str">
        <f t="shared" si="99"/>
        <v>14673</v>
      </c>
    </row>
    <row r="1564" spans="1:22" x14ac:dyDescent="0.35">
      <c r="A1564">
        <v>76442</v>
      </c>
      <c r="B1564" t="s">
        <v>47</v>
      </c>
      <c r="C1564" t="s">
        <v>14</v>
      </c>
      <c r="D1564">
        <v>588</v>
      </c>
      <c r="E1564">
        <v>332</v>
      </c>
      <c r="F1564">
        <v>405</v>
      </c>
      <c r="G1564">
        <v>0</v>
      </c>
      <c r="H1564">
        <v>11164</v>
      </c>
      <c r="I1564">
        <v>1</v>
      </c>
      <c r="J1564">
        <v>67</v>
      </c>
      <c r="K1564">
        <v>380</v>
      </c>
      <c r="L1564">
        <v>354</v>
      </c>
      <c r="M1564">
        <v>4</v>
      </c>
      <c r="N1564">
        <f>IFERROR(VLOOKUP(A1564,vlookup_table!$A:$G,2,FALSE),"")</f>
        <v>1</v>
      </c>
      <c r="O1564">
        <f>IFERROR(VLOOKUP(A1564,vlookup_table!$A:$G,4,FALSE),"")</f>
        <v>3801</v>
      </c>
      <c r="P1564" t="str">
        <f>IFERROR(VLOOKUP(A1564,vlookup_table!$A:$G,5,FALSE),"")</f>
        <v>R2</v>
      </c>
      <c r="Q1564">
        <f>IFERROR(VLOOKUP(A1564,vlookup_table!$A:$G,7,FALSE),"")</f>
        <v>5</v>
      </c>
      <c r="R1564">
        <f t="shared" si="96"/>
        <v>59</v>
      </c>
      <c r="S1564" t="str" cm="1">
        <f t="array" ref="S1564">IF(P1564="","",_xlfn.SWITCH(LEFT(P1564,1),"C","Ciudad","T","Pueblo","R","Rural","S","Suburbano","U","Urbano",""))</f>
        <v>Rural</v>
      </c>
      <c r="T1564" t="str">
        <f t="shared" si="97"/>
        <v>M</v>
      </c>
      <c r="U1564" t="str">
        <f t="shared" si="98"/>
        <v>IA</v>
      </c>
      <c r="V1564" t="str">
        <f t="shared" si="99"/>
        <v>11164</v>
      </c>
    </row>
    <row r="1565" spans="1:22" x14ac:dyDescent="0.35">
      <c r="A1565">
        <v>175659</v>
      </c>
      <c r="B1565" t="s">
        <v>50</v>
      </c>
      <c r="C1565" t="s">
        <v>17</v>
      </c>
      <c r="D1565">
        <v>1465</v>
      </c>
      <c r="E1565">
        <v>514</v>
      </c>
      <c r="F1565">
        <v>720</v>
      </c>
      <c r="G1565">
        <v>25</v>
      </c>
      <c r="H1565">
        <v>27151</v>
      </c>
      <c r="I1565">
        <v>9</v>
      </c>
      <c r="J1565">
        <v>33</v>
      </c>
      <c r="K1565">
        <v>638</v>
      </c>
      <c r="L1565">
        <v>589</v>
      </c>
      <c r="M1565">
        <v>7.8181818180000002</v>
      </c>
      <c r="N1565">
        <f>IFERROR(VLOOKUP(A1565,vlookup_table!$A:$G,2,FALSE),"")</f>
        <v>2</v>
      </c>
      <c r="O1565">
        <f>IFERROR(VLOOKUP(A1565,vlookup_table!$A:$G,4,FALSE),"")</f>
        <v>1504</v>
      </c>
      <c r="P1565" t="str">
        <f>IFERROR(VLOOKUP(A1565,vlookup_table!$A:$G,5,FALSE),"")</f>
        <v>S1</v>
      </c>
      <c r="Q1565">
        <f>IFERROR(VLOOKUP(A1565,vlookup_table!$A:$G,7,FALSE),"")</f>
        <v>10</v>
      </c>
      <c r="R1565">
        <f t="shared" si="96"/>
        <v>82</v>
      </c>
      <c r="S1565" t="str" cm="1">
        <f t="array" ref="S1565">IF(P1565="","",_xlfn.SWITCH(LEFT(P1565,1),"C","Ciudad","T","Pueblo","R","Rural","S","Suburbano","U","Urbano",""))</f>
        <v>Suburbano</v>
      </c>
      <c r="T1565" t="str">
        <f t="shared" si="97"/>
        <v>F</v>
      </c>
      <c r="U1565" t="str">
        <f t="shared" si="98"/>
        <v>OR</v>
      </c>
      <c r="V1565" t="str">
        <f t="shared" si="99"/>
        <v>27151</v>
      </c>
    </row>
    <row r="1566" spans="1:22" x14ac:dyDescent="0.35">
      <c r="A1566">
        <v>21859</v>
      </c>
      <c r="B1566" t="s">
        <v>18</v>
      </c>
      <c r="C1566" t="s">
        <v>20</v>
      </c>
      <c r="D1566">
        <v>824</v>
      </c>
      <c r="E1566">
        <v>285</v>
      </c>
      <c r="F1566">
        <v>356</v>
      </c>
      <c r="G1566">
        <v>3</v>
      </c>
      <c r="H1566">
        <v>13339</v>
      </c>
      <c r="I1566">
        <v>2</v>
      </c>
      <c r="J1566">
        <v>59</v>
      </c>
      <c r="K1566">
        <v>305</v>
      </c>
      <c r="L1566">
        <v>333</v>
      </c>
      <c r="M1566">
        <v>9.9090909089999997</v>
      </c>
      <c r="N1566">
        <f>IFERROR(VLOOKUP(A1566,vlookup_table!$A:$G,2,FALSE),"")</f>
        <v>0</v>
      </c>
      <c r="O1566">
        <f>IFERROR(VLOOKUP(A1566,vlookup_table!$A:$G,4,FALSE),"")</f>
        <v>3901</v>
      </c>
      <c r="P1566" t="str">
        <f>IFERROR(VLOOKUP(A1566,vlookup_table!$A:$G,5,FALSE),"")</f>
        <v>R2</v>
      </c>
      <c r="Q1566">
        <f>IFERROR(VLOOKUP(A1566,vlookup_table!$A:$G,7,FALSE),"")</f>
        <v>10</v>
      </c>
      <c r="R1566">
        <f t="shared" si="96"/>
        <v>58</v>
      </c>
      <c r="S1566" t="str" cm="1">
        <f t="array" ref="S1566">IF(P1566="","",_xlfn.SWITCH(LEFT(P1566,1),"C","Ciudad","T","Pueblo","R","Rural","S","Suburbano","U","Urbano",""))</f>
        <v>Rural</v>
      </c>
      <c r="T1566" t="str">
        <f t="shared" si="97"/>
        <v>F</v>
      </c>
      <c r="U1566" t="str">
        <f t="shared" si="98"/>
        <v>NC</v>
      </c>
      <c r="V1566" t="str">
        <f t="shared" si="99"/>
        <v>13339</v>
      </c>
    </row>
    <row r="1567" spans="1:22" x14ac:dyDescent="0.35">
      <c r="A1567">
        <v>32892</v>
      </c>
      <c r="B1567" t="s">
        <v>13</v>
      </c>
      <c r="C1567" t="s">
        <v>14</v>
      </c>
      <c r="D1567">
        <v>852</v>
      </c>
      <c r="E1567">
        <v>443</v>
      </c>
      <c r="F1567">
        <v>497</v>
      </c>
      <c r="G1567">
        <v>1</v>
      </c>
      <c r="H1567">
        <v>16681</v>
      </c>
      <c r="I1567">
        <v>2</v>
      </c>
      <c r="J1567">
        <v>41</v>
      </c>
      <c r="K1567">
        <v>446</v>
      </c>
      <c r="L1567">
        <v>480</v>
      </c>
      <c r="M1567">
        <v>10.19047619</v>
      </c>
      <c r="N1567">
        <f>IFERROR(VLOOKUP(A1567,vlookup_table!$A:$G,2,FALSE),"")</f>
        <v>0</v>
      </c>
      <c r="O1567">
        <f>IFERROR(VLOOKUP(A1567,vlookup_table!$A:$G,4,FALSE),"")</f>
        <v>5010</v>
      </c>
      <c r="P1567" t="str">
        <f>IFERROR(VLOOKUP(A1567,vlookup_table!$A:$G,5,FALSE),"")</f>
        <v>S1</v>
      </c>
      <c r="Q1567">
        <f>IFERROR(VLOOKUP(A1567,vlookup_table!$A:$G,7,FALSE),"")</f>
        <v>10</v>
      </c>
      <c r="R1567">
        <f t="shared" si="96"/>
        <v>47</v>
      </c>
      <c r="S1567" t="str" cm="1">
        <f t="array" ref="S1567">IF(P1567="","",_xlfn.SWITCH(LEFT(P1567,1),"C","Ciudad","T","Pueblo","R","Rural","S","Suburbano","U","Urbano",""))</f>
        <v>Suburbano</v>
      </c>
      <c r="T1567" t="str">
        <f t="shared" si="97"/>
        <v>M</v>
      </c>
      <c r="U1567" t="str">
        <f t="shared" si="98"/>
        <v>FL</v>
      </c>
      <c r="V1567" t="str">
        <f t="shared" si="99"/>
        <v>16681</v>
      </c>
    </row>
    <row r="1568" spans="1:22" x14ac:dyDescent="0.35">
      <c r="A1568">
        <v>65740</v>
      </c>
      <c r="B1568" t="s">
        <v>29</v>
      </c>
      <c r="C1568" t="s">
        <v>17</v>
      </c>
      <c r="D1568">
        <v>777</v>
      </c>
      <c r="E1568">
        <v>444</v>
      </c>
      <c r="F1568">
        <v>511</v>
      </c>
      <c r="G1568">
        <v>0</v>
      </c>
      <c r="H1568">
        <v>16822</v>
      </c>
      <c r="I1568">
        <v>6</v>
      </c>
      <c r="J1568">
        <v>81</v>
      </c>
      <c r="K1568">
        <v>485</v>
      </c>
      <c r="L1568">
        <v>476</v>
      </c>
      <c r="M1568">
        <v>9.3000000000000007</v>
      </c>
      <c r="N1568">
        <f>IFERROR(VLOOKUP(A1568,vlookup_table!$A:$G,2,FALSE),"")</f>
        <v>0</v>
      </c>
      <c r="O1568">
        <f>IFERROR(VLOOKUP(A1568,vlookup_table!$A:$G,4,FALSE),"")</f>
        <v>6901</v>
      </c>
      <c r="P1568" t="str">
        <f>IFERROR(VLOOKUP(A1568,vlookup_table!$A:$G,5,FALSE),"")</f>
        <v>S2</v>
      </c>
      <c r="Q1568">
        <f>IFERROR(VLOOKUP(A1568,vlookup_table!$A:$G,7,FALSE),"")</f>
        <v>12</v>
      </c>
      <c r="R1568">
        <f t="shared" si="96"/>
        <v>28</v>
      </c>
      <c r="S1568" t="str" cm="1">
        <f t="array" ref="S1568">IF(P1568="","",_xlfn.SWITCH(LEFT(P1568,1),"C","Ciudad","T","Pueblo","R","Rural","S","Suburbano","U","Urbano",""))</f>
        <v>Suburbano</v>
      </c>
      <c r="T1568" t="str">
        <f t="shared" si="97"/>
        <v>F</v>
      </c>
      <c r="U1568" t="str">
        <f t="shared" si="98"/>
        <v>MI</v>
      </c>
      <c r="V1568" t="str">
        <f t="shared" si="99"/>
        <v>16822</v>
      </c>
    </row>
    <row r="1569" spans="1:22" x14ac:dyDescent="0.35">
      <c r="A1569">
        <v>117264</v>
      </c>
      <c r="B1569" t="s">
        <v>21</v>
      </c>
      <c r="C1569" t="s">
        <v>17</v>
      </c>
      <c r="D1569">
        <v>532</v>
      </c>
      <c r="E1569">
        <v>237</v>
      </c>
      <c r="F1569">
        <v>396</v>
      </c>
      <c r="G1569">
        <v>0</v>
      </c>
      <c r="H1569">
        <v>11962</v>
      </c>
      <c r="I1569">
        <v>5</v>
      </c>
      <c r="J1569">
        <v>65</v>
      </c>
      <c r="K1569">
        <v>404</v>
      </c>
      <c r="L1569">
        <v>297</v>
      </c>
      <c r="M1569">
        <v>12</v>
      </c>
      <c r="N1569">
        <f>IFERROR(VLOOKUP(A1569,vlookup_table!$A:$G,2,FALSE),"")</f>
        <v>2</v>
      </c>
      <c r="O1569">
        <f>IFERROR(VLOOKUP(A1569,vlookup_table!$A:$G,4,FALSE),"")</f>
        <v>5208</v>
      </c>
      <c r="P1569" t="str">
        <f>IFERROR(VLOOKUP(A1569,vlookup_table!$A:$G,5,FALSE),"")</f>
        <v>U3</v>
      </c>
      <c r="Q1569">
        <f>IFERROR(VLOOKUP(A1569,vlookup_table!$A:$G,7,FALSE),"")</f>
        <v>17</v>
      </c>
      <c r="R1569">
        <f t="shared" si="96"/>
        <v>45</v>
      </c>
      <c r="S1569" t="str" cm="1">
        <f t="array" ref="S1569">IF(P1569="","",_xlfn.SWITCH(LEFT(P1569,1),"C","Ciudad","T","Pueblo","R","Rural","S","Suburbano","U","Urbano",""))</f>
        <v>Urbano</v>
      </c>
      <c r="T1569" t="str">
        <f t="shared" si="97"/>
        <v>F</v>
      </c>
      <c r="U1569" t="str">
        <f t="shared" si="98"/>
        <v>TX</v>
      </c>
      <c r="V1569" t="str">
        <f t="shared" si="99"/>
        <v>11962</v>
      </c>
    </row>
    <row r="1570" spans="1:22" x14ac:dyDescent="0.35">
      <c r="A1570">
        <v>156344</v>
      </c>
      <c r="B1570" t="s">
        <v>22</v>
      </c>
      <c r="C1570" t="s">
        <v>14</v>
      </c>
      <c r="D1570">
        <v>2917</v>
      </c>
      <c r="E1570">
        <v>625</v>
      </c>
      <c r="F1570">
        <v>709</v>
      </c>
      <c r="G1570">
        <v>93</v>
      </c>
      <c r="H1570">
        <v>23064</v>
      </c>
      <c r="I1570">
        <v>13</v>
      </c>
      <c r="J1570">
        <v>53</v>
      </c>
      <c r="K1570">
        <v>613</v>
      </c>
      <c r="L1570">
        <v>712</v>
      </c>
      <c r="M1570">
        <v>10.09090909</v>
      </c>
      <c r="N1570">
        <f>IFERROR(VLOOKUP(A1570,vlookup_table!$A:$G,2,FALSE),"")</f>
        <v>1</v>
      </c>
      <c r="O1570">
        <f>IFERROR(VLOOKUP(A1570,vlookup_table!$A:$G,4,FALSE),"")</f>
        <v>0</v>
      </c>
      <c r="P1570" t="str">
        <f>IFERROR(VLOOKUP(A1570,vlookup_table!$A:$G,5,FALSE),"")</f>
        <v>S1</v>
      </c>
      <c r="Q1570">
        <f>IFERROR(VLOOKUP(A1570,vlookup_table!$A:$G,7,FALSE),"")</f>
        <v>10</v>
      </c>
      <c r="R1570">
        <f t="shared" si="96"/>
        <v>97</v>
      </c>
      <c r="S1570" t="str" cm="1">
        <f t="array" ref="S1570">IF(P1570="","",_xlfn.SWITCH(LEFT(P1570,1),"C","Ciudad","T","Pueblo","R","Rural","S","Suburbano","U","Urbano",""))</f>
        <v>Suburbano</v>
      </c>
      <c r="T1570" t="str">
        <f t="shared" si="97"/>
        <v>M</v>
      </c>
      <c r="U1570" t="str">
        <f t="shared" si="98"/>
        <v>CA</v>
      </c>
      <c r="V1570" t="str">
        <f t="shared" si="99"/>
        <v>23064</v>
      </c>
    </row>
    <row r="1571" spans="1:22" x14ac:dyDescent="0.35">
      <c r="A1571">
        <v>152816</v>
      </c>
      <c r="B1571" t="s">
        <v>22</v>
      </c>
      <c r="C1571" t="s">
        <v>17</v>
      </c>
      <c r="D1571">
        <v>1990</v>
      </c>
      <c r="E1571">
        <v>301</v>
      </c>
      <c r="F1571">
        <v>395</v>
      </c>
      <c r="G1571">
        <v>49</v>
      </c>
      <c r="H1571">
        <v>14403</v>
      </c>
      <c r="I1571">
        <v>12</v>
      </c>
      <c r="J1571">
        <v>53</v>
      </c>
      <c r="K1571">
        <v>326</v>
      </c>
      <c r="L1571">
        <v>389</v>
      </c>
      <c r="M1571">
        <v>15</v>
      </c>
      <c r="N1571">
        <f>IFERROR(VLOOKUP(A1571,vlookup_table!$A:$G,2,FALSE),"")</f>
        <v>2</v>
      </c>
      <c r="O1571">
        <f>IFERROR(VLOOKUP(A1571,vlookup_table!$A:$G,4,FALSE),"")</f>
        <v>3201</v>
      </c>
      <c r="P1571" t="str">
        <f>IFERROR(VLOOKUP(A1571,vlookup_table!$A:$G,5,FALSE),"")</f>
        <v>S2</v>
      </c>
      <c r="Q1571">
        <f>IFERROR(VLOOKUP(A1571,vlookup_table!$A:$G,7,FALSE),"")</f>
        <v>35</v>
      </c>
      <c r="R1571">
        <f t="shared" si="96"/>
        <v>65</v>
      </c>
      <c r="S1571" t="str" cm="1">
        <f t="array" ref="S1571">IF(P1571="","",_xlfn.SWITCH(LEFT(P1571,1),"C","Ciudad","T","Pueblo","R","Rural","S","Suburbano","U","Urbano",""))</f>
        <v>Suburbano</v>
      </c>
      <c r="T1571" t="str">
        <f t="shared" si="97"/>
        <v>F</v>
      </c>
      <c r="U1571" t="str">
        <f t="shared" si="98"/>
        <v>CA</v>
      </c>
      <c r="V1571" t="str">
        <f t="shared" si="99"/>
        <v>14403</v>
      </c>
    </row>
    <row r="1572" spans="1:22" x14ac:dyDescent="0.35">
      <c r="A1572">
        <v>133042</v>
      </c>
      <c r="B1572" t="s">
        <v>41</v>
      </c>
      <c r="C1572" t="s">
        <v>14</v>
      </c>
      <c r="D1572">
        <v>427</v>
      </c>
      <c r="E1572">
        <v>231</v>
      </c>
      <c r="F1572">
        <v>341</v>
      </c>
      <c r="G1572">
        <v>0</v>
      </c>
      <c r="H1572">
        <v>10388</v>
      </c>
      <c r="I1572">
        <v>6</v>
      </c>
      <c r="J1572">
        <v>71</v>
      </c>
      <c r="K1572">
        <v>290</v>
      </c>
      <c r="L1572">
        <v>290</v>
      </c>
      <c r="M1572">
        <v>27.5</v>
      </c>
      <c r="N1572">
        <f>IFERROR(VLOOKUP(A1572,vlookup_table!$A:$G,2,FALSE),"")</f>
        <v>1</v>
      </c>
      <c r="O1572">
        <f>IFERROR(VLOOKUP(A1572,vlookup_table!$A:$G,4,FALSE),"")</f>
        <v>1301</v>
      </c>
      <c r="P1572" t="str">
        <f>IFERROR(VLOOKUP(A1572,vlookup_table!$A:$G,5,FALSE),"")</f>
        <v>R3</v>
      </c>
      <c r="Q1572">
        <f>IFERROR(VLOOKUP(A1572,vlookup_table!$A:$G,7,FALSE),"")</f>
        <v>40</v>
      </c>
      <c r="R1572">
        <f t="shared" si="96"/>
        <v>84</v>
      </c>
      <c r="S1572" t="str" cm="1">
        <f t="array" ref="S1572">IF(P1572="","",_xlfn.SWITCH(LEFT(P1572,1),"C","Ciudad","T","Pueblo","R","Rural","S","Suburbano","U","Urbano",""))</f>
        <v>Rural</v>
      </c>
      <c r="T1572" t="str">
        <f t="shared" si="97"/>
        <v>M</v>
      </c>
      <c r="U1572" t="str">
        <f t="shared" si="98"/>
        <v>ID</v>
      </c>
      <c r="V1572" t="str">
        <f t="shared" si="99"/>
        <v>10388</v>
      </c>
    </row>
    <row r="1573" spans="1:22" x14ac:dyDescent="0.35">
      <c r="A1573">
        <v>9063</v>
      </c>
      <c r="B1573" t="s">
        <v>64</v>
      </c>
      <c r="C1573" t="s">
        <v>14</v>
      </c>
      <c r="D1573">
        <v>844</v>
      </c>
      <c r="E1573">
        <v>293</v>
      </c>
      <c r="F1573">
        <v>390</v>
      </c>
      <c r="G1573">
        <v>0</v>
      </c>
      <c r="H1573">
        <v>19809</v>
      </c>
      <c r="I1573">
        <v>7</v>
      </c>
      <c r="J1573">
        <v>1</v>
      </c>
      <c r="K1573">
        <v>336</v>
      </c>
      <c r="L1573">
        <v>333</v>
      </c>
      <c r="M1573">
        <v>9.8666666670000005</v>
      </c>
      <c r="N1573">
        <f>IFERROR(VLOOKUP(A1573,vlookup_table!$A:$G,2,FALSE),"")</f>
        <v>1</v>
      </c>
      <c r="O1573">
        <f>IFERROR(VLOOKUP(A1573,vlookup_table!$A:$G,4,FALSE),"")</f>
        <v>1601</v>
      </c>
      <c r="P1573">
        <f>IFERROR(VLOOKUP(A1573,vlookup_table!$A:$G,5,FALSE),"")</f>
        <v>0</v>
      </c>
      <c r="Q1573">
        <f>IFERROR(VLOOKUP(A1573,vlookup_table!$A:$G,7,FALSE),"")</f>
        <v>10</v>
      </c>
      <c r="R1573">
        <f t="shared" si="96"/>
        <v>81</v>
      </c>
      <c r="S1573" t="str" cm="1">
        <f t="array" ref="S1573">IF(P1573="","",_xlfn.SWITCH(LEFT(P1573,1),"C","Ciudad","T","Pueblo","R","Rural","S","Suburbano","U","Urbano",""))</f>
        <v/>
      </c>
      <c r="T1573" t="str">
        <f t="shared" si="97"/>
        <v>M</v>
      </c>
      <c r="U1573" t="str">
        <f t="shared" si="98"/>
        <v>Arizona</v>
      </c>
      <c r="V1573" t="str">
        <f t="shared" si="99"/>
        <v>19809</v>
      </c>
    </row>
    <row r="1574" spans="1:22" x14ac:dyDescent="0.35">
      <c r="A1574">
        <v>127527</v>
      </c>
      <c r="B1574" t="s">
        <v>21</v>
      </c>
      <c r="C1574" t="s">
        <v>14</v>
      </c>
      <c r="D1574">
        <v>822</v>
      </c>
      <c r="E1574">
        <v>228</v>
      </c>
      <c r="F1574">
        <v>385</v>
      </c>
      <c r="G1574">
        <v>2</v>
      </c>
      <c r="H1574">
        <v>11594</v>
      </c>
      <c r="I1574">
        <v>9</v>
      </c>
      <c r="J1574">
        <v>72</v>
      </c>
      <c r="K1574">
        <v>322</v>
      </c>
      <c r="L1574">
        <v>321</v>
      </c>
      <c r="M1574">
        <v>10.75</v>
      </c>
      <c r="N1574">
        <f>IFERROR(VLOOKUP(A1574,vlookup_table!$A:$G,2,FALSE),"")</f>
        <v>1002</v>
      </c>
      <c r="O1574">
        <f>IFERROR(VLOOKUP(A1574,vlookup_table!$A:$G,4,FALSE),"")</f>
        <v>6002</v>
      </c>
      <c r="P1574" t="str">
        <f>IFERROR(VLOOKUP(A1574,vlookup_table!$A:$G,5,FALSE),"")</f>
        <v>R1</v>
      </c>
      <c r="Q1574">
        <f>IFERROR(VLOOKUP(A1574,vlookup_table!$A:$G,7,FALSE),"")</f>
        <v>12</v>
      </c>
      <c r="R1574">
        <f t="shared" si="96"/>
        <v>37</v>
      </c>
      <c r="S1574" t="str" cm="1">
        <f t="array" ref="S1574">IF(P1574="","",_xlfn.SWITCH(LEFT(P1574,1),"C","Ciudad","T","Pueblo","R","Rural","S","Suburbano","U","Urbano",""))</f>
        <v>Rural</v>
      </c>
      <c r="T1574" t="str">
        <f t="shared" si="97"/>
        <v>M</v>
      </c>
      <c r="U1574" t="str">
        <f t="shared" si="98"/>
        <v>TX</v>
      </c>
      <c r="V1574" t="str">
        <f t="shared" si="99"/>
        <v>11594</v>
      </c>
    </row>
    <row r="1575" spans="1:22" x14ac:dyDescent="0.35">
      <c r="A1575">
        <v>24940</v>
      </c>
      <c r="B1575" t="s">
        <v>46</v>
      </c>
      <c r="C1575" t="s">
        <v>17</v>
      </c>
      <c r="D1575">
        <v>761</v>
      </c>
      <c r="E1575">
        <v>396</v>
      </c>
      <c r="F1575">
        <v>464</v>
      </c>
      <c r="G1575">
        <v>2</v>
      </c>
      <c r="H1575">
        <v>15429</v>
      </c>
      <c r="I1575">
        <v>2</v>
      </c>
      <c r="J1575">
        <v>62</v>
      </c>
      <c r="K1575">
        <v>422</v>
      </c>
      <c r="L1575">
        <v>425</v>
      </c>
      <c r="M1575">
        <v>6.4666666670000001</v>
      </c>
      <c r="N1575">
        <f>IFERROR(VLOOKUP(A1575,vlookup_table!$A:$G,2,FALSE),"")</f>
        <v>0</v>
      </c>
      <c r="O1575">
        <f>IFERROR(VLOOKUP(A1575,vlookup_table!$A:$G,4,FALSE),"")</f>
        <v>0</v>
      </c>
      <c r="P1575" t="str">
        <f>IFERROR(VLOOKUP(A1575,vlookup_table!$A:$G,5,FALSE),"")</f>
        <v>T1</v>
      </c>
      <c r="Q1575">
        <f>IFERROR(VLOOKUP(A1575,vlookup_table!$A:$G,7,FALSE),"")</f>
        <v>15</v>
      </c>
      <c r="R1575">
        <f t="shared" si="96"/>
        <v>97</v>
      </c>
      <c r="S1575" t="str" cm="1">
        <f t="array" ref="S1575">IF(P1575="","",_xlfn.SWITCH(LEFT(P1575,1),"C","Ciudad","T","Pueblo","R","Rural","S","Suburbano","U","Urbano",""))</f>
        <v>Pueblo</v>
      </c>
      <c r="T1575" t="str">
        <f t="shared" si="97"/>
        <v>F</v>
      </c>
      <c r="U1575" t="str">
        <f t="shared" si="98"/>
        <v>SC</v>
      </c>
      <c r="V1575" t="str">
        <f t="shared" si="99"/>
        <v>15429</v>
      </c>
    </row>
    <row r="1576" spans="1:22" x14ac:dyDescent="0.35">
      <c r="A1576">
        <v>40520</v>
      </c>
      <c r="B1576" t="s">
        <v>13</v>
      </c>
      <c r="C1576" t="s">
        <v>17</v>
      </c>
      <c r="D1576">
        <v>965</v>
      </c>
      <c r="E1576">
        <v>356</v>
      </c>
      <c r="F1576">
        <v>495</v>
      </c>
      <c r="G1576">
        <v>7</v>
      </c>
      <c r="H1576">
        <v>19633</v>
      </c>
      <c r="I1576">
        <v>8</v>
      </c>
      <c r="J1576">
        <v>24</v>
      </c>
      <c r="K1576">
        <v>453</v>
      </c>
      <c r="L1576">
        <v>426</v>
      </c>
      <c r="M1576">
        <v>9.538461539</v>
      </c>
      <c r="N1576">
        <f>IFERROR(VLOOKUP(A1576,vlookup_table!$A:$G,2,FALSE),"")</f>
        <v>0</v>
      </c>
      <c r="O1576">
        <f>IFERROR(VLOOKUP(A1576,vlookup_table!$A:$G,4,FALSE),"")</f>
        <v>1012</v>
      </c>
      <c r="P1576" t="str">
        <f>IFERROR(VLOOKUP(A1576,vlookup_table!$A:$G,5,FALSE),"")</f>
        <v>S1</v>
      </c>
      <c r="Q1576">
        <f>IFERROR(VLOOKUP(A1576,vlookup_table!$A:$G,7,FALSE),"")</f>
        <v>10</v>
      </c>
      <c r="R1576">
        <f t="shared" si="96"/>
        <v>87</v>
      </c>
      <c r="S1576" t="str" cm="1">
        <f t="array" ref="S1576">IF(P1576="","",_xlfn.SWITCH(LEFT(P1576,1),"C","Ciudad","T","Pueblo","R","Rural","S","Suburbano","U","Urbano",""))</f>
        <v>Suburbano</v>
      </c>
      <c r="T1576" t="str">
        <f t="shared" si="97"/>
        <v>F</v>
      </c>
      <c r="U1576" t="str">
        <f t="shared" si="98"/>
        <v>FL</v>
      </c>
      <c r="V1576" t="str">
        <f t="shared" si="99"/>
        <v>19633</v>
      </c>
    </row>
    <row r="1577" spans="1:22" x14ac:dyDescent="0.35">
      <c r="A1577">
        <v>101263</v>
      </c>
      <c r="B1577" t="s">
        <v>36</v>
      </c>
      <c r="C1577" t="s">
        <v>17</v>
      </c>
      <c r="D1577">
        <v>150</v>
      </c>
      <c r="E1577">
        <v>162</v>
      </c>
      <c r="F1577">
        <v>239</v>
      </c>
      <c r="G1577">
        <v>0</v>
      </c>
      <c r="H1577">
        <v>8299</v>
      </c>
      <c r="I1577">
        <v>1</v>
      </c>
      <c r="J1577">
        <v>85</v>
      </c>
      <c r="K1577">
        <v>197</v>
      </c>
      <c r="L1577">
        <v>198</v>
      </c>
      <c r="M1577">
        <v>6.3333333329999997</v>
      </c>
      <c r="N1577">
        <f>IFERROR(VLOOKUP(A1577,vlookup_table!$A:$G,2,FALSE),"")</f>
        <v>28</v>
      </c>
      <c r="O1577">
        <f>IFERROR(VLOOKUP(A1577,vlookup_table!$A:$G,4,FALSE),"")</f>
        <v>1601</v>
      </c>
      <c r="P1577" t="str">
        <f>IFERROR(VLOOKUP(A1577,vlookup_table!$A:$G,5,FALSE),"")</f>
        <v>R3</v>
      </c>
      <c r="Q1577">
        <f>IFERROR(VLOOKUP(A1577,vlookup_table!$A:$G,7,FALSE),"")</f>
        <v>10</v>
      </c>
      <c r="R1577">
        <f t="shared" si="96"/>
        <v>81</v>
      </c>
      <c r="S1577" t="str" cm="1">
        <f t="array" ref="S1577">IF(P1577="","",_xlfn.SWITCH(LEFT(P1577,1),"C","Ciudad","T","Pueblo","R","Rural","S","Suburbano","U","Urbano",""))</f>
        <v>Rural</v>
      </c>
      <c r="T1577" t="str">
        <f t="shared" si="97"/>
        <v>F</v>
      </c>
      <c r="U1577" t="str">
        <f t="shared" si="98"/>
        <v>MO</v>
      </c>
      <c r="V1577" t="str">
        <f t="shared" si="99"/>
        <v>8299</v>
      </c>
    </row>
    <row r="1578" spans="1:22" x14ac:dyDescent="0.35">
      <c r="A1578">
        <v>130185</v>
      </c>
      <c r="B1578" t="s">
        <v>48</v>
      </c>
      <c r="C1578" t="s">
        <v>17</v>
      </c>
      <c r="D1578">
        <v>607</v>
      </c>
      <c r="E1578">
        <v>239</v>
      </c>
      <c r="F1578">
        <v>279</v>
      </c>
      <c r="G1578">
        <v>0</v>
      </c>
      <c r="H1578">
        <v>10199</v>
      </c>
      <c r="I1578">
        <v>5</v>
      </c>
      <c r="J1578">
        <v>57</v>
      </c>
      <c r="K1578">
        <v>260</v>
      </c>
      <c r="L1578">
        <v>256</v>
      </c>
      <c r="M1578">
        <v>3.6</v>
      </c>
      <c r="N1578">
        <f>IFERROR(VLOOKUP(A1578,vlookup_table!$A:$G,2,FALSE),"")</f>
        <v>2</v>
      </c>
      <c r="O1578">
        <f>IFERROR(VLOOKUP(A1578,vlookup_table!$A:$G,4,FALSE),"")</f>
        <v>1601</v>
      </c>
      <c r="P1578" t="str">
        <f>IFERROR(VLOOKUP(A1578,vlookup_table!$A:$G,5,FALSE),"")</f>
        <v>U3</v>
      </c>
      <c r="Q1578">
        <f>IFERROR(VLOOKUP(A1578,vlookup_table!$A:$G,7,FALSE),"")</f>
        <v>3</v>
      </c>
      <c r="R1578">
        <f t="shared" si="96"/>
        <v>81</v>
      </c>
      <c r="S1578" t="str" cm="1">
        <f t="array" ref="S1578">IF(P1578="","",_xlfn.SWITCH(LEFT(P1578,1),"C","Ciudad","T","Pueblo","R","Rural","S","Suburbano","U","Urbano",""))</f>
        <v>Urbano</v>
      </c>
      <c r="T1578" t="str">
        <f t="shared" si="97"/>
        <v>F</v>
      </c>
      <c r="U1578" t="str">
        <f t="shared" si="98"/>
        <v>CO</v>
      </c>
      <c r="V1578" t="str">
        <f t="shared" si="99"/>
        <v>10199</v>
      </c>
    </row>
    <row r="1579" spans="1:22" x14ac:dyDescent="0.35">
      <c r="A1579">
        <v>84599</v>
      </c>
      <c r="B1579" t="s">
        <v>56</v>
      </c>
      <c r="C1579" t="s">
        <v>17</v>
      </c>
      <c r="D1579">
        <v>760</v>
      </c>
      <c r="E1579">
        <v>469</v>
      </c>
      <c r="F1579">
        <v>544</v>
      </c>
      <c r="G1579">
        <v>0</v>
      </c>
      <c r="H1579">
        <v>17948</v>
      </c>
      <c r="I1579">
        <v>0</v>
      </c>
      <c r="J1579">
        <v>66</v>
      </c>
      <c r="K1579">
        <v>505</v>
      </c>
      <c r="L1579">
        <v>492</v>
      </c>
      <c r="M1579">
        <v>7.8</v>
      </c>
      <c r="N1579">
        <f>IFERROR(VLOOKUP(A1579,vlookup_table!$A:$G,2,FALSE),"")</f>
        <v>28</v>
      </c>
      <c r="O1579">
        <f>IFERROR(VLOOKUP(A1579,vlookup_table!$A:$G,4,FALSE),"")</f>
        <v>5801</v>
      </c>
      <c r="P1579" t="str">
        <f>IFERROR(VLOOKUP(A1579,vlookup_table!$A:$G,5,FALSE),"")</f>
        <v>C2</v>
      </c>
      <c r="Q1579">
        <f>IFERROR(VLOOKUP(A1579,vlookup_table!$A:$G,7,FALSE),"")</f>
        <v>11</v>
      </c>
      <c r="R1579">
        <f t="shared" si="96"/>
        <v>39</v>
      </c>
      <c r="S1579" t="str" cm="1">
        <f t="array" ref="S1579">IF(P1579="","",_xlfn.SWITCH(LEFT(P1579,1),"C","Ciudad","T","Pueblo","R","Rural","S","Suburbano","U","Urbano",""))</f>
        <v>Ciudad</v>
      </c>
      <c r="T1579" t="str">
        <f t="shared" si="97"/>
        <v>F</v>
      </c>
      <c r="U1579" t="str">
        <f t="shared" si="98"/>
        <v>MN</v>
      </c>
      <c r="V1579" t="str">
        <f t="shared" si="99"/>
        <v>17948</v>
      </c>
    </row>
    <row r="1580" spans="1:22" x14ac:dyDescent="0.35">
      <c r="A1580">
        <v>95208</v>
      </c>
      <c r="B1580" t="s">
        <v>16</v>
      </c>
      <c r="C1580" t="s">
        <v>17</v>
      </c>
      <c r="D1580">
        <v>445</v>
      </c>
      <c r="E1580">
        <v>234</v>
      </c>
      <c r="F1580">
        <v>306</v>
      </c>
      <c r="G1580">
        <v>0</v>
      </c>
      <c r="H1580">
        <v>10475</v>
      </c>
      <c r="I1580">
        <v>1</v>
      </c>
      <c r="J1580">
        <v>84</v>
      </c>
      <c r="K1580">
        <v>253</v>
      </c>
      <c r="L1580">
        <v>270</v>
      </c>
      <c r="M1580">
        <v>8.9</v>
      </c>
      <c r="N1580">
        <f>IFERROR(VLOOKUP(A1580,vlookup_table!$A:$G,2,FALSE),"")</f>
        <v>0</v>
      </c>
      <c r="O1580">
        <f>IFERROR(VLOOKUP(A1580,vlookup_table!$A:$G,4,FALSE),"")</f>
        <v>2312</v>
      </c>
      <c r="P1580" t="str">
        <f>IFERROR(VLOOKUP(A1580,vlookup_table!$A:$G,5,FALSE),"")</f>
        <v>R2</v>
      </c>
      <c r="Q1580">
        <f>IFERROR(VLOOKUP(A1580,vlookup_table!$A:$G,7,FALSE),"")</f>
        <v>10</v>
      </c>
      <c r="R1580">
        <f t="shared" si="96"/>
        <v>74</v>
      </c>
      <c r="S1580" t="str" cm="1">
        <f t="array" ref="S1580">IF(P1580="","",_xlfn.SWITCH(LEFT(P1580,1),"C","Ciudad","T","Pueblo","R","Rural","S","Suburbano","U","Urbano",""))</f>
        <v>Rural</v>
      </c>
      <c r="T1580" t="str">
        <f t="shared" si="97"/>
        <v>F</v>
      </c>
      <c r="U1580" t="str">
        <f t="shared" si="98"/>
        <v>IL</v>
      </c>
      <c r="V1580" t="str">
        <f t="shared" si="99"/>
        <v>10475</v>
      </c>
    </row>
    <row r="1581" spans="1:22" x14ac:dyDescent="0.35">
      <c r="A1581">
        <v>129822</v>
      </c>
      <c r="B1581" t="s">
        <v>48</v>
      </c>
      <c r="C1581" t="s">
        <v>17</v>
      </c>
      <c r="D1581">
        <v>1331</v>
      </c>
      <c r="E1581">
        <v>503</v>
      </c>
      <c r="F1581">
        <v>635</v>
      </c>
      <c r="G1581">
        <v>13</v>
      </c>
      <c r="H1581">
        <v>22045</v>
      </c>
      <c r="I1581">
        <v>7</v>
      </c>
      <c r="J1581">
        <v>26</v>
      </c>
      <c r="K1581">
        <v>579</v>
      </c>
      <c r="L1581">
        <v>561</v>
      </c>
      <c r="M1581">
        <v>12.2</v>
      </c>
      <c r="N1581">
        <f>IFERROR(VLOOKUP(A1581,vlookup_table!$A:$G,2,FALSE),"")</f>
        <v>28</v>
      </c>
      <c r="O1581">
        <f>IFERROR(VLOOKUP(A1581,vlookup_table!$A:$G,4,FALSE),"")</f>
        <v>4701</v>
      </c>
      <c r="P1581" t="str">
        <f>IFERROR(VLOOKUP(A1581,vlookup_table!$A:$G,5,FALSE),"")</f>
        <v>S1</v>
      </c>
      <c r="Q1581">
        <f>IFERROR(VLOOKUP(A1581,vlookup_table!$A:$G,7,FALSE),"")</f>
        <v>20</v>
      </c>
      <c r="R1581">
        <f t="shared" si="96"/>
        <v>50</v>
      </c>
      <c r="S1581" t="str" cm="1">
        <f t="array" ref="S1581">IF(P1581="","",_xlfn.SWITCH(LEFT(P1581,1),"C","Ciudad","T","Pueblo","R","Rural","S","Suburbano","U","Urbano",""))</f>
        <v>Suburbano</v>
      </c>
      <c r="T1581" t="str">
        <f t="shared" si="97"/>
        <v>F</v>
      </c>
      <c r="U1581" t="str">
        <f t="shared" si="98"/>
        <v>CO</v>
      </c>
      <c r="V1581" t="str">
        <f t="shared" si="99"/>
        <v>22045</v>
      </c>
    </row>
    <row r="1582" spans="1:22" x14ac:dyDescent="0.35">
      <c r="A1582">
        <v>97026</v>
      </c>
      <c r="B1582" t="s">
        <v>16</v>
      </c>
      <c r="C1582" t="s">
        <v>17</v>
      </c>
      <c r="D1582">
        <v>598</v>
      </c>
      <c r="E1582">
        <v>371</v>
      </c>
      <c r="F1582">
        <v>487</v>
      </c>
      <c r="G1582">
        <v>0</v>
      </c>
      <c r="H1582">
        <v>16242</v>
      </c>
      <c r="I1582">
        <v>2</v>
      </c>
      <c r="J1582">
        <v>73</v>
      </c>
      <c r="K1582">
        <v>453</v>
      </c>
      <c r="L1582">
        <v>419</v>
      </c>
      <c r="M1582">
        <v>11.5</v>
      </c>
      <c r="N1582">
        <f>IFERROR(VLOOKUP(A1582,vlookup_table!$A:$G,2,FALSE),"")</f>
        <v>0</v>
      </c>
      <c r="O1582">
        <f>IFERROR(VLOOKUP(A1582,vlookup_table!$A:$G,4,FALSE),"")</f>
        <v>4701</v>
      </c>
      <c r="P1582" t="str">
        <f>IFERROR(VLOOKUP(A1582,vlookup_table!$A:$G,5,FALSE),"")</f>
        <v>C1</v>
      </c>
      <c r="Q1582">
        <f>IFERROR(VLOOKUP(A1582,vlookup_table!$A:$G,7,FALSE),"")</f>
        <v>10</v>
      </c>
      <c r="R1582">
        <f t="shared" si="96"/>
        <v>50</v>
      </c>
      <c r="S1582" t="str" cm="1">
        <f t="array" ref="S1582">IF(P1582="","",_xlfn.SWITCH(LEFT(P1582,1),"C","Ciudad","T","Pueblo","R","Rural","S","Suburbano","U","Urbano",""))</f>
        <v>Ciudad</v>
      </c>
      <c r="T1582" t="str">
        <f t="shared" si="97"/>
        <v>F</v>
      </c>
      <c r="U1582" t="str">
        <f t="shared" si="98"/>
        <v>IL</v>
      </c>
      <c r="V1582" t="str">
        <f t="shared" si="99"/>
        <v>16242</v>
      </c>
    </row>
    <row r="1583" spans="1:22" x14ac:dyDescent="0.35">
      <c r="A1583">
        <v>165378</v>
      </c>
      <c r="B1583" t="s">
        <v>22</v>
      </c>
      <c r="C1583" t="s">
        <v>17</v>
      </c>
      <c r="D1583">
        <v>3997</v>
      </c>
      <c r="E1583">
        <v>896</v>
      </c>
      <c r="F1583">
        <v>945</v>
      </c>
      <c r="G1583">
        <v>97</v>
      </c>
      <c r="H1583">
        <v>41664</v>
      </c>
      <c r="I1583">
        <v>16</v>
      </c>
      <c r="J1583">
        <v>49</v>
      </c>
      <c r="K1583">
        <v>915</v>
      </c>
      <c r="L1583">
        <v>919</v>
      </c>
      <c r="M1583">
        <v>10.625</v>
      </c>
      <c r="N1583">
        <f>IFERROR(VLOOKUP(A1583,vlookup_table!$A:$G,2,FALSE),"")</f>
        <v>0</v>
      </c>
      <c r="O1583">
        <f>IFERROR(VLOOKUP(A1583,vlookup_table!$A:$G,4,FALSE),"")</f>
        <v>6006</v>
      </c>
      <c r="P1583" t="str">
        <f>IFERROR(VLOOKUP(A1583,vlookup_table!$A:$G,5,FALSE),"")</f>
        <v>S1</v>
      </c>
      <c r="Q1583">
        <f>IFERROR(VLOOKUP(A1583,vlookup_table!$A:$G,7,FALSE),"")</f>
        <v>23</v>
      </c>
      <c r="R1583">
        <f t="shared" si="96"/>
        <v>37</v>
      </c>
      <c r="S1583" t="str" cm="1">
        <f t="array" ref="S1583">IF(P1583="","",_xlfn.SWITCH(LEFT(P1583,1),"C","Ciudad","T","Pueblo","R","Rural","S","Suburbano","U","Urbano",""))</f>
        <v>Suburbano</v>
      </c>
      <c r="T1583" t="str">
        <f t="shared" si="97"/>
        <v>F</v>
      </c>
      <c r="U1583" t="str">
        <f t="shared" si="98"/>
        <v>CA</v>
      </c>
      <c r="V1583" t="str">
        <f t="shared" si="99"/>
        <v>41664</v>
      </c>
    </row>
    <row r="1584" spans="1:22" x14ac:dyDescent="0.35">
      <c r="A1584">
        <v>160196</v>
      </c>
      <c r="B1584" t="s">
        <v>22</v>
      </c>
      <c r="C1584" t="s">
        <v>17</v>
      </c>
      <c r="D1584">
        <v>3461</v>
      </c>
      <c r="E1584">
        <v>404</v>
      </c>
      <c r="F1584">
        <v>514</v>
      </c>
      <c r="G1584">
        <v>90</v>
      </c>
      <c r="H1584">
        <v>17618</v>
      </c>
      <c r="I1584">
        <v>3</v>
      </c>
      <c r="J1584">
        <v>67</v>
      </c>
      <c r="K1584">
        <v>423</v>
      </c>
      <c r="L1584">
        <v>479</v>
      </c>
      <c r="M1584">
        <v>6.153846154</v>
      </c>
      <c r="N1584">
        <f>IFERROR(VLOOKUP(A1584,vlookup_table!$A:$G,2,FALSE),"")</f>
        <v>0</v>
      </c>
      <c r="O1584">
        <f>IFERROR(VLOOKUP(A1584,vlookup_table!$A:$G,4,FALSE),"")</f>
        <v>5101</v>
      </c>
      <c r="P1584" t="str">
        <f>IFERROR(VLOOKUP(A1584,vlookup_table!$A:$G,5,FALSE),"")</f>
        <v>T1</v>
      </c>
      <c r="Q1584">
        <f>IFERROR(VLOOKUP(A1584,vlookup_table!$A:$G,7,FALSE),"")</f>
        <v>10</v>
      </c>
      <c r="R1584">
        <f t="shared" si="96"/>
        <v>46</v>
      </c>
      <c r="S1584" t="str" cm="1">
        <f t="array" ref="S1584">IF(P1584="","",_xlfn.SWITCH(LEFT(P1584,1),"C","Ciudad","T","Pueblo","R","Rural","S","Suburbano","U","Urbano",""))</f>
        <v>Pueblo</v>
      </c>
      <c r="T1584" t="str">
        <f t="shared" si="97"/>
        <v>F</v>
      </c>
      <c r="U1584" t="str">
        <f t="shared" si="98"/>
        <v>CA</v>
      </c>
      <c r="V1584" t="str">
        <f t="shared" si="99"/>
        <v>17618</v>
      </c>
    </row>
    <row r="1585" spans="1:22" x14ac:dyDescent="0.35">
      <c r="A1585">
        <v>57052</v>
      </c>
      <c r="B1585" t="s">
        <v>57</v>
      </c>
      <c r="C1585" t="s">
        <v>30</v>
      </c>
      <c r="D1585">
        <v>683</v>
      </c>
      <c r="E1585">
        <v>267</v>
      </c>
      <c r="F1585">
        <v>362</v>
      </c>
      <c r="G1585">
        <v>2</v>
      </c>
      <c r="H1585">
        <v>11879</v>
      </c>
      <c r="I1585">
        <v>1</v>
      </c>
      <c r="J1585">
        <v>84</v>
      </c>
      <c r="K1585">
        <v>309</v>
      </c>
      <c r="L1585">
        <v>325</v>
      </c>
      <c r="M1585">
        <v>16.571428569999998</v>
      </c>
      <c r="N1585">
        <f>IFERROR(VLOOKUP(A1585,vlookup_table!$A:$G,2,FALSE),"")</f>
        <v>0</v>
      </c>
      <c r="O1585">
        <f>IFERROR(VLOOKUP(A1585,vlookup_table!$A:$G,4,FALSE),"")</f>
        <v>4701</v>
      </c>
      <c r="P1585" t="str">
        <f>IFERROR(VLOOKUP(A1585,vlookup_table!$A:$G,5,FALSE),"")</f>
        <v>R2</v>
      </c>
      <c r="Q1585">
        <f>IFERROR(VLOOKUP(A1585,vlookup_table!$A:$G,7,FALSE),"")</f>
        <v>29</v>
      </c>
      <c r="R1585">
        <f t="shared" si="96"/>
        <v>50</v>
      </c>
      <c r="S1585" t="str" cm="1">
        <f t="array" ref="S1585">IF(P1585="","",_xlfn.SWITCH(LEFT(P1585,1),"C","Ciudad","T","Pueblo","R","Rural","S","Suburbano","U","Urbano",""))</f>
        <v>Rural</v>
      </c>
      <c r="T1585" t="str">
        <f t="shared" si="97"/>
        <v>U</v>
      </c>
      <c r="U1585" t="str">
        <f t="shared" si="98"/>
        <v>KY</v>
      </c>
      <c r="V1585" t="str">
        <f t="shared" si="99"/>
        <v>11879</v>
      </c>
    </row>
    <row r="1586" spans="1:22" x14ac:dyDescent="0.35">
      <c r="A1586">
        <v>144577</v>
      </c>
      <c r="B1586" t="s">
        <v>22</v>
      </c>
      <c r="C1586" t="s">
        <v>14</v>
      </c>
      <c r="D1586">
        <v>5739</v>
      </c>
      <c r="E1586">
        <v>634</v>
      </c>
      <c r="F1586">
        <v>810</v>
      </c>
      <c r="G1586">
        <v>97</v>
      </c>
      <c r="H1586">
        <v>45680</v>
      </c>
      <c r="I1586">
        <v>8</v>
      </c>
      <c r="J1586">
        <v>45</v>
      </c>
      <c r="K1586">
        <v>670</v>
      </c>
      <c r="L1586">
        <v>792</v>
      </c>
      <c r="M1586">
        <v>9.2857142859999993</v>
      </c>
      <c r="N1586">
        <f>IFERROR(VLOOKUP(A1586,vlookup_table!$A:$G,2,FALSE),"")</f>
        <v>1</v>
      </c>
      <c r="O1586">
        <f>IFERROR(VLOOKUP(A1586,vlookup_table!$A:$G,4,FALSE),"")</f>
        <v>1603</v>
      </c>
      <c r="P1586" t="str">
        <f>IFERROR(VLOOKUP(A1586,vlookup_table!$A:$G,5,FALSE),"")</f>
        <v>U1</v>
      </c>
      <c r="Q1586">
        <f>IFERROR(VLOOKUP(A1586,vlookup_table!$A:$G,7,FALSE),"")</f>
        <v>15</v>
      </c>
      <c r="R1586">
        <f t="shared" si="96"/>
        <v>81</v>
      </c>
      <c r="S1586" t="str" cm="1">
        <f t="array" ref="S1586">IF(P1586="","",_xlfn.SWITCH(LEFT(P1586,1),"C","Ciudad","T","Pueblo","R","Rural","S","Suburbano","U","Urbano",""))</f>
        <v>Urbano</v>
      </c>
      <c r="T1586" t="str">
        <f t="shared" si="97"/>
        <v>M</v>
      </c>
      <c r="U1586" t="str">
        <f t="shared" si="98"/>
        <v>CA</v>
      </c>
      <c r="V1586" t="str">
        <f t="shared" si="99"/>
        <v>45680</v>
      </c>
    </row>
    <row r="1587" spans="1:22" x14ac:dyDescent="0.35">
      <c r="A1587">
        <v>103591</v>
      </c>
      <c r="B1587" t="s">
        <v>36</v>
      </c>
      <c r="C1587" t="s">
        <v>14</v>
      </c>
      <c r="D1587">
        <v>150</v>
      </c>
      <c r="E1587">
        <v>202</v>
      </c>
      <c r="F1587">
        <v>258</v>
      </c>
      <c r="G1587">
        <v>0</v>
      </c>
      <c r="H1587">
        <v>8084</v>
      </c>
      <c r="I1587">
        <v>1</v>
      </c>
      <c r="J1587">
        <v>90</v>
      </c>
      <c r="K1587">
        <v>251</v>
      </c>
      <c r="L1587">
        <v>223</v>
      </c>
      <c r="M1587">
        <v>6.1</v>
      </c>
      <c r="N1587">
        <f>IFERROR(VLOOKUP(A1587,vlookup_table!$A:$G,2,FALSE),"")</f>
        <v>39002</v>
      </c>
      <c r="O1587">
        <f>IFERROR(VLOOKUP(A1587,vlookup_table!$A:$G,4,FALSE),"")</f>
        <v>0</v>
      </c>
      <c r="P1587" t="str">
        <f>IFERROR(VLOOKUP(A1587,vlookup_table!$A:$G,5,FALSE),"")</f>
        <v>R2</v>
      </c>
      <c r="Q1587">
        <f>IFERROR(VLOOKUP(A1587,vlookup_table!$A:$G,7,FALSE),"")</f>
        <v>3</v>
      </c>
      <c r="R1587">
        <f t="shared" si="96"/>
        <v>97</v>
      </c>
      <c r="S1587" t="str" cm="1">
        <f t="array" ref="S1587">IF(P1587="","",_xlfn.SWITCH(LEFT(P1587,1),"C","Ciudad","T","Pueblo","R","Rural","S","Suburbano","U","Urbano",""))</f>
        <v>Rural</v>
      </c>
      <c r="T1587" t="str">
        <f t="shared" si="97"/>
        <v>M</v>
      </c>
      <c r="U1587" t="str">
        <f t="shared" si="98"/>
        <v>MO</v>
      </c>
      <c r="V1587" t="str">
        <f t="shared" si="99"/>
        <v>8084</v>
      </c>
    </row>
    <row r="1588" spans="1:22" x14ac:dyDescent="0.35">
      <c r="A1588">
        <v>111708</v>
      </c>
      <c r="B1588" t="s">
        <v>32</v>
      </c>
      <c r="C1588" t="s">
        <v>60</v>
      </c>
      <c r="D1588">
        <v>502</v>
      </c>
      <c r="E1588">
        <v>247</v>
      </c>
      <c r="F1588">
        <v>336</v>
      </c>
      <c r="G1588">
        <v>0</v>
      </c>
      <c r="H1588">
        <v>11053</v>
      </c>
      <c r="I1588">
        <v>2</v>
      </c>
      <c r="J1588">
        <v>75</v>
      </c>
      <c r="K1588">
        <v>298</v>
      </c>
      <c r="L1588">
        <v>292</v>
      </c>
      <c r="M1588">
        <v>9</v>
      </c>
      <c r="N1588">
        <f>IFERROR(VLOOKUP(A1588,vlookup_table!$A:$G,2,FALSE),"")</f>
        <v>0</v>
      </c>
      <c r="O1588">
        <f>IFERROR(VLOOKUP(A1588,vlookup_table!$A:$G,4,FALSE),"")</f>
        <v>0</v>
      </c>
      <c r="P1588" t="str">
        <f>IFERROR(VLOOKUP(A1588,vlookup_table!$A:$G,5,FALSE),"")</f>
        <v>S1</v>
      </c>
      <c r="Q1588">
        <f>IFERROR(VLOOKUP(A1588,vlookup_table!$A:$G,7,FALSE),"")</f>
        <v>15</v>
      </c>
      <c r="R1588">
        <f t="shared" si="96"/>
        <v>97</v>
      </c>
      <c r="S1588" t="str" cm="1">
        <f t="array" ref="S1588">IF(P1588="","",_xlfn.SWITCH(LEFT(P1588,1),"C","Ciudad","T","Pueblo","R","Rural","S","Suburbano","U","Urbano",""))</f>
        <v>Suburbano</v>
      </c>
      <c r="T1588" t="str">
        <f t="shared" si="97"/>
        <v>F</v>
      </c>
      <c r="U1588" t="str">
        <f t="shared" si="98"/>
        <v>AR</v>
      </c>
      <c r="V1588" t="str">
        <f t="shared" si="99"/>
        <v>11053</v>
      </c>
    </row>
    <row r="1589" spans="1:22" x14ac:dyDescent="0.35">
      <c r="A1589">
        <v>89030</v>
      </c>
      <c r="B1589" t="s">
        <v>16</v>
      </c>
      <c r="C1589" t="s">
        <v>17</v>
      </c>
      <c r="D1589">
        <v>539</v>
      </c>
      <c r="E1589">
        <v>268</v>
      </c>
      <c r="F1589">
        <v>384</v>
      </c>
      <c r="G1589">
        <v>0</v>
      </c>
      <c r="H1589">
        <v>10905</v>
      </c>
      <c r="I1589">
        <v>15</v>
      </c>
      <c r="J1589">
        <v>45</v>
      </c>
      <c r="K1589">
        <v>303</v>
      </c>
      <c r="L1589">
        <v>377</v>
      </c>
      <c r="M1589">
        <v>5.625</v>
      </c>
      <c r="N1589">
        <f>IFERROR(VLOOKUP(A1589,vlookup_table!$A:$G,2,FALSE),"")</f>
        <v>0</v>
      </c>
      <c r="O1589">
        <f>IFERROR(VLOOKUP(A1589,vlookup_table!$A:$G,4,FALSE),"")</f>
        <v>2501</v>
      </c>
      <c r="P1589" t="str">
        <f>IFERROR(VLOOKUP(A1589,vlookup_table!$A:$G,5,FALSE),"")</f>
        <v>U3</v>
      </c>
      <c r="Q1589">
        <f>IFERROR(VLOOKUP(A1589,vlookup_table!$A:$G,7,FALSE),"")</f>
        <v>11</v>
      </c>
      <c r="R1589">
        <f t="shared" si="96"/>
        <v>72</v>
      </c>
      <c r="S1589" t="str" cm="1">
        <f t="array" ref="S1589">IF(P1589="","",_xlfn.SWITCH(LEFT(P1589,1),"C","Ciudad","T","Pueblo","R","Rural","S","Suburbano","U","Urbano",""))</f>
        <v>Urbano</v>
      </c>
      <c r="T1589" t="str">
        <f t="shared" si="97"/>
        <v>F</v>
      </c>
      <c r="U1589" t="str">
        <f t="shared" si="98"/>
        <v>IL</v>
      </c>
      <c r="V1589" t="str">
        <f t="shared" si="99"/>
        <v>10905</v>
      </c>
    </row>
    <row r="1590" spans="1:22" x14ac:dyDescent="0.35">
      <c r="A1590">
        <v>169678</v>
      </c>
      <c r="B1590" t="s">
        <v>22</v>
      </c>
      <c r="C1590" t="s">
        <v>17</v>
      </c>
      <c r="D1590">
        <v>1856</v>
      </c>
      <c r="E1590">
        <v>504</v>
      </c>
      <c r="F1590">
        <v>536</v>
      </c>
      <c r="G1590">
        <v>33</v>
      </c>
      <c r="H1590">
        <v>17132</v>
      </c>
      <c r="I1590">
        <v>6</v>
      </c>
      <c r="J1590">
        <v>63</v>
      </c>
      <c r="K1590">
        <v>523</v>
      </c>
      <c r="L1590">
        <v>516</v>
      </c>
      <c r="M1590">
        <v>13</v>
      </c>
      <c r="N1590">
        <f>IFERROR(VLOOKUP(A1590,vlookup_table!$A:$G,2,FALSE),"")</f>
        <v>0</v>
      </c>
      <c r="O1590">
        <f>IFERROR(VLOOKUP(A1590,vlookup_table!$A:$G,4,FALSE),"")</f>
        <v>2401</v>
      </c>
      <c r="P1590" t="str">
        <f>IFERROR(VLOOKUP(A1590,vlookup_table!$A:$G,5,FALSE),"")</f>
        <v>S1</v>
      </c>
      <c r="Q1590">
        <f>IFERROR(VLOOKUP(A1590,vlookup_table!$A:$G,7,FALSE),"")</f>
        <v>20</v>
      </c>
      <c r="R1590">
        <f t="shared" si="96"/>
        <v>73</v>
      </c>
      <c r="S1590" t="str" cm="1">
        <f t="array" ref="S1590">IF(P1590="","",_xlfn.SWITCH(LEFT(P1590,1),"C","Ciudad","T","Pueblo","R","Rural","S","Suburbano","U","Urbano",""))</f>
        <v>Suburbano</v>
      </c>
      <c r="T1590" t="str">
        <f t="shared" si="97"/>
        <v>F</v>
      </c>
      <c r="U1590" t="str">
        <f t="shared" si="98"/>
        <v>CA</v>
      </c>
      <c r="V1590" t="str">
        <f t="shared" si="99"/>
        <v>17132</v>
      </c>
    </row>
    <row r="1591" spans="1:22" x14ac:dyDescent="0.35">
      <c r="A1591">
        <v>95831</v>
      </c>
      <c r="B1591" t="s">
        <v>16</v>
      </c>
      <c r="C1591" t="s">
        <v>14</v>
      </c>
      <c r="D1591">
        <v>301</v>
      </c>
      <c r="E1591">
        <v>238</v>
      </c>
      <c r="F1591">
        <v>347</v>
      </c>
      <c r="G1591">
        <v>0</v>
      </c>
      <c r="H1591">
        <v>12366</v>
      </c>
      <c r="I1591">
        <v>0</v>
      </c>
      <c r="J1591">
        <v>80</v>
      </c>
      <c r="K1591">
        <v>354</v>
      </c>
      <c r="L1591">
        <v>267</v>
      </c>
      <c r="M1591">
        <v>10.5</v>
      </c>
      <c r="N1591">
        <f>IFERROR(VLOOKUP(A1591,vlookup_table!$A:$G,2,FALSE),"")</f>
        <v>1</v>
      </c>
      <c r="O1591">
        <f>IFERROR(VLOOKUP(A1591,vlookup_table!$A:$G,4,FALSE),"")</f>
        <v>2701</v>
      </c>
      <c r="P1591" t="str">
        <f>IFERROR(VLOOKUP(A1591,vlookup_table!$A:$G,5,FALSE),"")</f>
        <v>R2</v>
      </c>
      <c r="Q1591">
        <f>IFERROR(VLOOKUP(A1591,vlookup_table!$A:$G,7,FALSE),"")</f>
        <v>10</v>
      </c>
      <c r="R1591">
        <f t="shared" si="96"/>
        <v>70</v>
      </c>
      <c r="S1591" t="str" cm="1">
        <f t="array" ref="S1591">IF(P1591="","",_xlfn.SWITCH(LEFT(P1591,1),"C","Ciudad","T","Pueblo","R","Rural","S","Suburbano","U","Urbano",""))</f>
        <v>Rural</v>
      </c>
      <c r="T1591" t="str">
        <f t="shared" si="97"/>
        <v>M</v>
      </c>
      <c r="U1591" t="str">
        <f t="shared" si="98"/>
        <v>IL</v>
      </c>
      <c r="V1591" t="str">
        <f t="shared" si="99"/>
        <v>12366</v>
      </c>
    </row>
    <row r="1592" spans="1:22" x14ac:dyDescent="0.35">
      <c r="A1592">
        <v>48047</v>
      </c>
      <c r="B1592" t="s">
        <v>43</v>
      </c>
      <c r="C1592" t="s">
        <v>17</v>
      </c>
      <c r="D1592">
        <v>1075</v>
      </c>
      <c r="E1592">
        <v>511</v>
      </c>
      <c r="F1592">
        <v>590</v>
      </c>
      <c r="G1592">
        <v>6</v>
      </c>
      <c r="H1592">
        <v>20216</v>
      </c>
      <c r="I1592">
        <v>4</v>
      </c>
      <c r="J1592">
        <v>41</v>
      </c>
      <c r="K1592">
        <v>556</v>
      </c>
      <c r="L1592">
        <v>552</v>
      </c>
      <c r="M1592">
        <v>5.8</v>
      </c>
      <c r="N1592">
        <f>IFERROR(VLOOKUP(A1592,vlookup_table!$A:$G,2,FALSE),"")</f>
        <v>0</v>
      </c>
      <c r="O1592">
        <f>IFERROR(VLOOKUP(A1592,vlookup_table!$A:$G,4,FALSE),"")</f>
        <v>0</v>
      </c>
      <c r="P1592" t="str">
        <f>IFERROR(VLOOKUP(A1592,vlookup_table!$A:$G,5,FALSE),"")</f>
        <v>T1</v>
      </c>
      <c r="Q1592">
        <f>IFERROR(VLOOKUP(A1592,vlookup_table!$A:$G,7,FALSE),"")</f>
        <v>6</v>
      </c>
      <c r="R1592">
        <f t="shared" si="96"/>
        <v>97</v>
      </c>
      <c r="S1592" t="str" cm="1">
        <f t="array" ref="S1592">IF(P1592="","",_xlfn.SWITCH(LEFT(P1592,1),"C","Ciudad","T","Pueblo","R","Rural","S","Suburbano","U","Urbano",""))</f>
        <v>Pueblo</v>
      </c>
      <c r="T1592" t="str">
        <f t="shared" si="97"/>
        <v>F</v>
      </c>
      <c r="U1592" t="str">
        <f t="shared" si="98"/>
        <v>AL</v>
      </c>
      <c r="V1592" t="str">
        <f t="shared" si="99"/>
        <v>20216</v>
      </c>
    </row>
    <row r="1593" spans="1:22" x14ac:dyDescent="0.35">
      <c r="A1593">
        <v>156378</v>
      </c>
      <c r="B1593" t="s">
        <v>22</v>
      </c>
      <c r="C1593" t="s">
        <v>17</v>
      </c>
      <c r="D1593">
        <v>5000</v>
      </c>
      <c r="E1593">
        <v>738</v>
      </c>
      <c r="F1593">
        <v>959</v>
      </c>
      <c r="G1593">
        <v>99</v>
      </c>
      <c r="H1593">
        <v>50907</v>
      </c>
      <c r="I1593">
        <v>9</v>
      </c>
      <c r="J1593">
        <v>48</v>
      </c>
      <c r="K1593">
        <v>963</v>
      </c>
      <c r="L1593">
        <v>797</v>
      </c>
      <c r="M1593">
        <v>11</v>
      </c>
      <c r="N1593">
        <f>IFERROR(VLOOKUP(A1593,vlookup_table!$A:$G,2,FALSE),"")</f>
        <v>0</v>
      </c>
      <c r="O1593">
        <f>IFERROR(VLOOKUP(A1593,vlookup_table!$A:$G,4,FALSE),"")</f>
        <v>2807</v>
      </c>
      <c r="P1593" t="str">
        <f>IFERROR(VLOOKUP(A1593,vlookup_table!$A:$G,5,FALSE),"")</f>
        <v>S1</v>
      </c>
      <c r="Q1593">
        <f>IFERROR(VLOOKUP(A1593,vlookup_table!$A:$G,7,FALSE),"")</f>
        <v>13</v>
      </c>
      <c r="R1593">
        <f t="shared" si="96"/>
        <v>69</v>
      </c>
      <c r="S1593" t="str" cm="1">
        <f t="array" ref="S1593">IF(P1593="","",_xlfn.SWITCH(LEFT(P1593,1),"C","Ciudad","T","Pueblo","R","Rural","S","Suburbano","U","Urbano",""))</f>
        <v>Suburbano</v>
      </c>
      <c r="T1593" t="str">
        <f t="shared" si="97"/>
        <v>F</v>
      </c>
      <c r="U1593" t="str">
        <f t="shared" si="98"/>
        <v>CA</v>
      </c>
      <c r="V1593" t="str">
        <f t="shared" si="99"/>
        <v>50907</v>
      </c>
    </row>
    <row r="1594" spans="1:22" x14ac:dyDescent="0.35">
      <c r="A1594">
        <v>58130</v>
      </c>
      <c r="B1594" t="s">
        <v>57</v>
      </c>
      <c r="C1594" t="s">
        <v>17</v>
      </c>
      <c r="D1594">
        <v>283</v>
      </c>
      <c r="E1594">
        <v>149</v>
      </c>
      <c r="F1594">
        <v>227</v>
      </c>
      <c r="G1594">
        <v>0</v>
      </c>
      <c r="H1594">
        <v>7466</v>
      </c>
      <c r="I1594">
        <v>0</v>
      </c>
      <c r="J1594">
        <v>73</v>
      </c>
      <c r="K1594">
        <v>168</v>
      </c>
      <c r="L1594">
        <v>207</v>
      </c>
      <c r="M1594">
        <v>5.1111111109999996</v>
      </c>
      <c r="N1594">
        <f>IFERROR(VLOOKUP(A1594,vlookup_table!$A:$G,2,FALSE),"")</f>
        <v>0</v>
      </c>
      <c r="O1594">
        <f>IFERROR(VLOOKUP(A1594,vlookup_table!$A:$G,4,FALSE),"")</f>
        <v>0</v>
      </c>
      <c r="P1594" t="str">
        <f>IFERROR(VLOOKUP(A1594,vlookup_table!$A:$G,5,FALSE),"")</f>
        <v>R3</v>
      </c>
      <c r="Q1594">
        <f>IFERROR(VLOOKUP(A1594,vlookup_table!$A:$G,7,FALSE),"")</f>
        <v>7</v>
      </c>
      <c r="R1594">
        <f t="shared" si="96"/>
        <v>97</v>
      </c>
      <c r="S1594" t="str" cm="1">
        <f t="array" ref="S1594">IF(P1594="","",_xlfn.SWITCH(LEFT(P1594,1),"C","Ciudad","T","Pueblo","R","Rural","S","Suburbano","U","Urbano",""))</f>
        <v>Rural</v>
      </c>
      <c r="T1594" t="str">
        <f t="shared" si="97"/>
        <v>F</v>
      </c>
      <c r="U1594" t="str">
        <f t="shared" si="98"/>
        <v>KY</v>
      </c>
      <c r="V1594" t="str">
        <f t="shared" si="99"/>
        <v>7466</v>
      </c>
    </row>
    <row r="1595" spans="1:22" x14ac:dyDescent="0.35">
      <c r="A1595">
        <v>111459</v>
      </c>
      <c r="B1595" t="s">
        <v>32</v>
      </c>
      <c r="C1595" t="s">
        <v>60</v>
      </c>
      <c r="D1595">
        <v>1054</v>
      </c>
      <c r="E1595">
        <v>584</v>
      </c>
      <c r="F1595">
        <v>726</v>
      </c>
      <c r="G1595">
        <v>11</v>
      </c>
      <c r="H1595">
        <v>26074</v>
      </c>
      <c r="I1595">
        <v>2</v>
      </c>
      <c r="J1595">
        <v>63</v>
      </c>
      <c r="K1595">
        <v>644</v>
      </c>
      <c r="L1595">
        <v>652</v>
      </c>
      <c r="M1595">
        <v>13.53846154</v>
      </c>
      <c r="N1595">
        <f>IFERROR(VLOOKUP(A1595,vlookup_table!$A:$G,2,FALSE),"")</f>
        <v>28</v>
      </c>
      <c r="O1595">
        <f>IFERROR(VLOOKUP(A1595,vlookup_table!$A:$G,4,FALSE),"")</f>
        <v>5801</v>
      </c>
      <c r="P1595" t="str">
        <f>IFERROR(VLOOKUP(A1595,vlookup_table!$A:$G,5,FALSE),"")</f>
        <v>C1</v>
      </c>
      <c r="Q1595">
        <f>IFERROR(VLOOKUP(A1595,vlookup_table!$A:$G,7,FALSE),"")</f>
        <v>20</v>
      </c>
      <c r="R1595">
        <f t="shared" si="96"/>
        <v>39</v>
      </c>
      <c r="S1595" t="str" cm="1">
        <f t="array" ref="S1595">IF(P1595="","",_xlfn.SWITCH(LEFT(P1595,1),"C","Ciudad","T","Pueblo","R","Rural","S","Suburbano","U","Urbano",""))</f>
        <v>Ciudad</v>
      </c>
      <c r="T1595" t="str">
        <f t="shared" si="97"/>
        <v>F</v>
      </c>
      <c r="U1595" t="str">
        <f t="shared" si="98"/>
        <v>AR</v>
      </c>
      <c r="V1595" t="str">
        <f t="shared" si="99"/>
        <v>26074</v>
      </c>
    </row>
    <row r="1596" spans="1:22" x14ac:dyDescent="0.35">
      <c r="A1596">
        <v>77574</v>
      </c>
      <c r="B1596" t="s">
        <v>35</v>
      </c>
      <c r="C1596" t="s">
        <v>17</v>
      </c>
      <c r="D1596">
        <v>1260</v>
      </c>
      <c r="E1596">
        <v>252</v>
      </c>
      <c r="F1596">
        <v>404</v>
      </c>
      <c r="G1596">
        <v>24</v>
      </c>
      <c r="H1596">
        <v>17617</v>
      </c>
      <c r="I1596">
        <v>6</v>
      </c>
      <c r="J1596">
        <v>79</v>
      </c>
      <c r="K1596">
        <v>357</v>
      </c>
      <c r="L1596">
        <v>309</v>
      </c>
      <c r="M1596">
        <v>4.8571428570000004</v>
      </c>
      <c r="N1596">
        <f>IFERROR(VLOOKUP(A1596,vlookup_table!$A:$G,2,FALSE),"")</f>
        <v>2</v>
      </c>
      <c r="O1596">
        <f>IFERROR(VLOOKUP(A1596,vlookup_table!$A:$G,4,FALSE),"")</f>
        <v>2301</v>
      </c>
      <c r="P1596" t="str">
        <f>IFERROR(VLOOKUP(A1596,vlookup_table!$A:$G,5,FALSE),"")</f>
        <v>C2</v>
      </c>
      <c r="Q1596">
        <f>IFERROR(VLOOKUP(A1596,vlookup_table!$A:$G,7,FALSE),"")</f>
        <v>5</v>
      </c>
      <c r="R1596">
        <f t="shared" si="96"/>
        <v>74</v>
      </c>
      <c r="S1596" t="str" cm="1">
        <f t="array" ref="S1596">IF(P1596="","",_xlfn.SWITCH(LEFT(P1596,1),"C","Ciudad","T","Pueblo","R","Rural","S","Suburbano","U","Urbano",""))</f>
        <v>Ciudad</v>
      </c>
      <c r="T1596" t="str">
        <f t="shared" si="97"/>
        <v>F</v>
      </c>
      <c r="U1596" t="str">
        <f t="shared" si="98"/>
        <v>WI</v>
      </c>
      <c r="V1596" t="str">
        <f t="shared" si="99"/>
        <v>17617</v>
      </c>
    </row>
    <row r="1597" spans="1:22" x14ac:dyDescent="0.35">
      <c r="A1597">
        <v>157536</v>
      </c>
      <c r="B1597" t="s">
        <v>22</v>
      </c>
      <c r="C1597" t="s">
        <v>17</v>
      </c>
      <c r="D1597">
        <v>3009</v>
      </c>
      <c r="E1597">
        <v>411</v>
      </c>
      <c r="F1597">
        <v>546</v>
      </c>
      <c r="G1597">
        <v>85</v>
      </c>
      <c r="H1597">
        <v>20728</v>
      </c>
      <c r="I1597">
        <v>12</v>
      </c>
      <c r="J1597">
        <v>39</v>
      </c>
      <c r="K1597">
        <v>455</v>
      </c>
      <c r="L1597">
        <v>493</v>
      </c>
      <c r="M1597">
        <v>12.5</v>
      </c>
      <c r="N1597">
        <f>IFERROR(VLOOKUP(A1597,vlookup_table!$A:$G,2,FALSE),"")</f>
        <v>2</v>
      </c>
      <c r="O1597">
        <f>IFERROR(VLOOKUP(A1597,vlookup_table!$A:$G,4,FALSE),"")</f>
        <v>1901</v>
      </c>
      <c r="P1597" t="str">
        <f>IFERROR(VLOOKUP(A1597,vlookup_table!$A:$G,5,FALSE),"")</f>
        <v>C2</v>
      </c>
      <c r="Q1597">
        <f>IFERROR(VLOOKUP(A1597,vlookup_table!$A:$G,7,FALSE),"")</f>
        <v>17</v>
      </c>
      <c r="R1597">
        <f t="shared" si="96"/>
        <v>78</v>
      </c>
      <c r="S1597" t="str" cm="1">
        <f t="array" ref="S1597">IF(P1597="","",_xlfn.SWITCH(LEFT(P1597,1),"C","Ciudad","T","Pueblo","R","Rural","S","Suburbano","U","Urbano",""))</f>
        <v>Ciudad</v>
      </c>
      <c r="T1597" t="str">
        <f t="shared" si="97"/>
        <v>F</v>
      </c>
      <c r="U1597" t="str">
        <f t="shared" si="98"/>
        <v>CA</v>
      </c>
      <c r="V1597" t="str">
        <f t="shared" si="99"/>
        <v>20728</v>
      </c>
    </row>
    <row r="1598" spans="1:22" x14ac:dyDescent="0.35">
      <c r="A1598">
        <v>86270</v>
      </c>
      <c r="B1598" t="s">
        <v>52</v>
      </c>
      <c r="C1598" t="s">
        <v>14</v>
      </c>
      <c r="D1598">
        <v>462</v>
      </c>
      <c r="E1598">
        <v>224</v>
      </c>
      <c r="F1598">
        <v>253</v>
      </c>
      <c r="G1598">
        <v>0</v>
      </c>
      <c r="H1598">
        <v>8866</v>
      </c>
      <c r="I1598">
        <v>1</v>
      </c>
      <c r="J1598">
        <v>55</v>
      </c>
      <c r="K1598">
        <v>264</v>
      </c>
      <c r="L1598">
        <v>248</v>
      </c>
      <c r="M1598">
        <v>8</v>
      </c>
      <c r="N1598">
        <f>IFERROR(VLOOKUP(A1598,vlookup_table!$A:$G,2,FALSE),"")</f>
        <v>2</v>
      </c>
      <c r="O1598">
        <f>IFERROR(VLOOKUP(A1598,vlookup_table!$A:$G,4,FALSE),"")</f>
        <v>5501</v>
      </c>
      <c r="P1598" t="str">
        <f>IFERROR(VLOOKUP(A1598,vlookup_table!$A:$G,5,FALSE),"")</f>
        <v>C2</v>
      </c>
      <c r="Q1598">
        <f>IFERROR(VLOOKUP(A1598,vlookup_table!$A:$G,7,FALSE),"")</f>
        <v>16</v>
      </c>
      <c r="R1598">
        <f t="shared" si="96"/>
        <v>42</v>
      </c>
      <c r="S1598" t="str" cm="1">
        <f t="array" ref="S1598">IF(P1598="","",_xlfn.SWITCH(LEFT(P1598,1),"C","Ciudad","T","Pueblo","R","Rural","S","Suburbano","U","Urbano",""))</f>
        <v>Ciudad</v>
      </c>
      <c r="T1598" t="str">
        <f t="shared" si="97"/>
        <v>M</v>
      </c>
      <c r="U1598" t="str">
        <f t="shared" si="98"/>
        <v>SD</v>
      </c>
      <c r="V1598" t="str">
        <f t="shared" si="99"/>
        <v>8866</v>
      </c>
    </row>
    <row r="1599" spans="1:22" x14ac:dyDescent="0.35">
      <c r="A1599">
        <v>71882</v>
      </c>
      <c r="B1599" t="s">
        <v>29</v>
      </c>
      <c r="C1599" t="s">
        <v>17</v>
      </c>
      <c r="D1599">
        <v>574</v>
      </c>
      <c r="E1599">
        <v>299</v>
      </c>
      <c r="F1599">
        <v>420</v>
      </c>
      <c r="G1599">
        <v>0</v>
      </c>
      <c r="H1599">
        <v>17296</v>
      </c>
      <c r="I1599">
        <v>3</v>
      </c>
      <c r="J1599">
        <v>72</v>
      </c>
      <c r="K1599">
        <v>363</v>
      </c>
      <c r="L1599">
        <v>360</v>
      </c>
      <c r="M1599">
        <v>6.1666666670000003</v>
      </c>
      <c r="N1599">
        <f>IFERROR(VLOOKUP(A1599,vlookup_table!$A:$G,2,FALSE),"")</f>
        <v>0</v>
      </c>
      <c r="O1599">
        <f>IFERROR(VLOOKUP(A1599,vlookup_table!$A:$G,4,FALSE),"")</f>
        <v>0</v>
      </c>
      <c r="P1599" t="str">
        <f>IFERROR(VLOOKUP(A1599,vlookup_table!$A:$G,5,FALSE),"")</f>
        <v>C2</v>
      </c>
      <c r="Q1599">
        <f>IFERROR(VLOOKUP(A1599,vlookup_table!$A:$G,7,FALSE),"")</f>
        <v>14</v>
      </c>
      <c r="R1599">
        <f t="shared" si="96"/>
        <v>97</v>
      </c>
      <c r="S1599" t="str" cm="1">
        <f t="array" ref="S1599">IF(P1599="","",_xlfn.SWITCH(LEFT(P1599,1),"C","Ciudad","T","Pueblo","R","Rural","S","Suburbano","U","Urbano",""))</f>
        <v>Ciudad</v>
      </c>
      <c r="T1599" t="str">
        <f t="shared" si="97"/>
        <v>F</v>
      </c>
      <c r="U1599" t="str">
        <f t="shared" si="98"/>
        <v>MI</v>
      </c>
      <c r="V1599" t="str">
        <f t="shared" si="99"/>
        <v>17296</v>
      </c>
    </row>
    <row r="1600" spans="1:22" x14ac:dyDescent="0.35">
      <c r="A1600">
        <v>53213</v>
      </c>
      <c r="B1600" t="s">
        <v>53</v>
      </c>
      <c r="C1600" t="s">
        <v>17</v>
      </c>
      <c r="D1600">
        <v>402</v>
      </c>
      <c r="E1600">
        <v>194</v>
      </c>
      <c r="F1600">
        <v>267</v>
      </c>
      <c r="G1600">
        <v>0</v>
      </c>
      <c r="H1600">
        <v>8742</v>
      </c>
      <c r="I1600">
        <v>0</v>
      </c>
      <c r="J1600">
        <v>84</v>
      </c>
      <c r="K1600">
        <v>229</v>
      </c>
      <c r="L1600">
        <v>234</v>
      </c>
      <c r="M1600">
        <v>12</v>
      </c>
      <c r="N1600">
        <f>IFERROR(VLOOKUP(A1600,vlookup_table!$A:$G,2,FALSE),"")</f>
        <v>0</v>
      </c>
      <c r="O1600">
        <f>IFERROR(VLOOKUP(A1600,vlookup_table!$A:$G,4,FALSE),"")</f>
        <v>4401</v>
      </c>
      <c r="P1600" t="str">
        <f>IFERROR(VLOOKUP(A1600,vlookup_table!$A:$G,5,FALSE),"")</f>
        <v>R3</v>
      </c>
      <c r="Q1600">
        <f>IFERROR(VLOOKUP(A1600,vlookup_table!$A:$G,7,FALSE),"")</f>
        <v>15</v>
      </c>
      <c r="R1600">
        <f t="shared" si="96"/>
        <v>53</v>
      </c>
      <c r="S1600" t="str" cm="1">
        <f t="array" ref="S1600">IF(P1600="","",_xlfn.SWITCH(LEFT(P1600,1),"C","Ciudad","T","Pueblo","R","Rural","S","Suburbano","U","Urbano",""))</f>
        <v>Rural</v>
      </c>
      <c r="T1600" t="str">
        <f t="shared" si="97"/>
        <v>F</v>
      </c>
      <c r="U1600" t="str">
        <f t="shared" si="98"/>
        <v>TN</v>
      </c>
      <c r="V1600" t="str">
        <f t="shared" si="99"/>
        <v>8742</v>
      </c>
    </row>
    <row r="1601" spans="1:22" x14ac:dyDescent="0.35">
      <c r="A1601">
        <v>121292</v>
      </c>
      <c r="B1601" t="s">
        <v>21</v>
      </c>
      <c r="C1601" t="s">
        <v>17</v>
      </c>
      <c r="D1601">
        <v>557</v>
      </c>
      <c r="E1601">
        <v>211</v>
      </c>
      <c r="F1601">
        <v>205</v>
      </c>
      <c r="G1601">
        <v>0</v>
      </c>
      <c r="H1601">
        <v>5550</v>
      </c>
      <c r="I1601">
        <v>30</v>
      </c>
      <c r="J1601">
        <v>60</v>
      </c>
      <c r="K1601">
        <v>188</v>
      </c>
      <c r="L1601">
        <v>221</v>
      </c>
      <c r="M1601">
        <v>13</v>
      </c>
      <c r="N1601">
        <f>IFERROR(VLOOKUP(A1601,vlookup_table!$A:$G,2,FALSE),"")</f>
        <v>3</v>
      </c>
      <c r="O1601">
        <f>IFERROR(VLOOKUP(A1601,vlookup_table!$A:$G,4,FALSE),"")</f>
        <v>0</v>
      </c>
      <c r="P1601" t="str">
        <f>IFERROR(VLOOKUP(A1601,vlookup_table!$A:$G,5,FALSE),"")</f>
        <v>U3</v>
      </c>
      <c r="Q1601">
        <f>IFERROR(VLOOKUP(A1601,vlookup_table!$A:$G,7,FALSE),"")</f>
        <v>16</v>
      </c>
      <c r="R1601">
        <f t="shared" si="96"/>
        <v>97</v>
      </c>
      <c r="S1601" t="str" cm="1">
        <f t="array" ref="S1601">IF(P1601="","",_xlfn.SWITCH(LEFT(P1601,1),"C","Ciudad","T","Pueblo","R","Rural","S","Suburbano","U","Urbano",""))</f>
        <v>Urbano</v>
      </c>
      <c r="T1601" t="str">
        <f t="shared" si="97"/>
        <v>F</v>
      </c>
      <c r="U1601" t="str">
        <f t="shared" si="98"/>
        <v>TX</v>
      </c>
      <c r="V1601" t="str">
        <f t="shared" si="99"/>
        <v>5550</v>
      </c>
    </row>
    <row r="1602" spans="1:22" x14ac:dyDescent="0.35">
      <c r="A1602">
        <v>101614</v>
      </c>
      <c r="B1602" t="s">
        <v>36</v>
      </c>
      <c r="C1602" t="s">
        <v>17</v>
      </c>
      <c r="D1602">
        <v>320</v>
      </c>
      <c r="E1602">
        <v>148</v>
      </c>
      <c r="F1602">
        <v>233</v>
      </c>
      <c r="G1602">
        <v>0</v>
      </c>
      <c r="H1602">
        <v>9379</v>
      </c>
      <c r="I1602">
        <v>0</v>
      </c>
      <c r="J1602">
        <v>78</v>
      </c>
      <c r="K1602">
        <v>183</v>
      </c>
      <c r="L1602">
        <v>202</v>
      </c>
      <c r="M1602">
        <v>13.33333333</v>
      </c>
      <c r="N1602">
        <f>IFERROR(VLOOKUP(A1602,vlookup_table!$A:$G,2,FALSE),"")</f>
        <v>0</v>
      </c>
      <c r="O1602">
        <f>IFERROR(VLOOKUP(A1602,vlookup_table!$A:$G,4,FALSE),"")</f>
        <v>4401</v>
      </c>
      <c r="P1602" t="str">
        <f>IFERROR(VLOOKUP(A1602,vlookup_table!$A:$G,5,FALSE),"")</f>
        <v>R2</v>
      </c>
      <c r="Q1602">
        <f>IFERROR(VLOOKUP(A1602,vlookup_table!$A:$G,7,FALSE),"")</f>
        <v>21</v>
      </c>
      <c r="R1602">
        <f t="shared" ref="R1602:R1665" si="100">IF(O1602="","",97-INT(O1602/100))</f>
        <v>53</v>
      </c>
      <c r="S1602" t="str" cm="1">
        <f t="array" ref="S1602">IF(P1602="","",_xlfn.SWITCH(LEFT(P1602,1),"C","Ciudad","T","Pueblo","R","Rural","S","Suburbano","U","Urbano",""))</f>
        <v>Rural</v>
      </c>
      <c r="T1602" t="str">
        <f t="shared" ref="T1602:T1665" si="101">IF(C1602="","",IF(OR(UPPER(C1602)="M",UPPER(C1602)="MALE"),"M",IF(OR(UPPER(C1602)="F",UPPER(C1602)="FEMALE",UPPER(C1602)="FEAMALE"),"F",C1602)))</f>
        <v>F</v>
      </c>
      <c r="U1602" t="str">
        <f t="shared" ref="U1602:U1665" si="102">IF(OR(UPPER(B1602)="CALIFORNIA",UPPER(B1602)="CALI"),"CA",B1602)</f>
        <v>MO</v>
      </c>
      <c r="V1602" t="str">
        <f t="shared" ref="V1602:V1665" si="103">SUBSTITUTE(H1602,"@","")</f>
        <v>9379</v>
      </c>
    </row>
    <row r="1603" spans="1:22" x14ac:dyDescent="0.35">
      <c r="A1603">
        <v>161479</v>
      </c>
      <c r="B1603" t="s">
        <v>50</v>
      </c>
      <c r="C1603" t="s">
        <v>17</v>
      </c>
      <c r="D1603">
        <v>758</v>
      </c>
      <c r="E1603">
        <v>407</v>
      </c>
      <c r="F1603">
        <v>457</v>
      </c>
      <c r="G1603">
        <v>0</v>
      </c>
      <c r="H1603">
        <v>17576</v>
      </c>
      <c r="I1603">
        <v>4</v>
      </c>
      <c r="J1603">
        <v>53</v>
      </c>
      <c r="K1603">
        <v>409</v>
      </c>
      <c r="L1603">
        <v>455</v>
      </c>
      <c r="M1603">
        <v>7.4545454549999999</v>
      </c>
      <c r="N1603">
        <f>IFERROR(VLOOKUP(A1603,vlookup_table!$A:$G,2,FALSE),"")</f>
        <v>2</v>
      </c>
      <c r="O1603">
        <f>IFERROR(VLOOKUP(A1603,vlookup_table!$A:$G,4,FALSE),"")</f>
        <v>2101</v>
      </c>
      <c r="P1603" t="str">
        <f>IFERROR(VLOOKUP(A1603,vlookup_table!$A:$G,5,FALSE),"")</f>
        <v>S2</v>
      </c>
      <c r="Q1603">
        <f>IFERROR(VLOOKUP(A1603,vlookup_table!$A:$G,7,FALSE),"")</f>
        <v>11</v>
      </c>
      <c r="R1603">
        <f t="shared" si="100"/>
        <v>76</v>
      </c>
      <c r="S1603" t="str" cm="1">
        <f t="array" ref="S1603">IF(P1603="","",_xlfn.SWITCH(LEFT(P1603,1),"C","Ciudad","T","Pueblo","R","Rural","S","Suburbano","U","Urbano",""))</f>
        <v>Suburbano</v>
      </c>
      <c r="T1603" t="str">
        <f t="shared" si="101"/>
        <v>F</v>
      </c>
      <c r="U1603" t="str">
        <f t="shared" si="102"/>
        <v>OR</v>
      </c>
      <c r="V1603" t="str">
        <f t="shared" si="103"/>
        <v>17576</v>
      </c>
    </row>
    <row r="1604" spans="1:22" x14ac:dyDescent="0.35">
      <c r="A1604">
        <v>74183</v>
      </c>
      <c r="B1604" t="s">
        <v>29</v>
      </c>
      <c r="C1604" t="s">
        <v>17</v>
      </c>
      <c r="D1604">
        <v>836</v>
      </c>
      <c r="E1604">
        <v>332</v>
      </c>
      <c r="F1604">
        <v>425</v>
      </c>
      <c r="G1604">
        <v>15</v>
      </c>
      <c r="H1604">
        <v>13813</v>
      </c>
      <c r="I1604">
        <v>3</v>
      </c>
      <c r="J1604">
        <v>74</v>
      </c>
      <c r="K1604">
        <v>354</v>
      </c>
      <c r="L1604">
        <v>380</v>
      </c>
      <c r="M1604">
        <v>4.4761904760000002</v>
      </c>
      <c r="N1604">
        <f>IFERROR(VLOOKUP(A1604,vlookup_table!$A:$G,2,FALSE),"")</f>
        <v>2</v>
      </c>
      <c r="O1604">
        <f>IFERROR(VLOOKUP(A1604,vlookup_table!$A:$G,4,FALSE),"")</f>
        <v>0</v>
      </c>
      <c r="P1604">
        <f>IFERROR(VLOOKUP(A1604,vlookup_table!$A:$G,5,FALSE),"")</f>
        <v>0</v>
      </c>
      <c r="Q1604">
        <f>IFERROR(VLOOKUP(A1604,vlookup_table!$A:$G,7,FALSE),"")</f>
        <v>5</v>
      </c>
      <c r="R1604">
        <f t="shared" si="100"/>
        <v>97</v>
      </c>
      <c r="S1604" t="str" cm="1">
        <f t="array" ref="S1604">IF(P1604="","",_xlfn.SWITCH(LEFT(P1604,1),"C","Ciudad","T","Pueblo","R","Rural","S","Suburbano","U","Urbano",""))</f>
        <v/>
      </c>
      <c r="T1604" t="str">
        <f t="shared" si="101"/>
        <v>F</v>
      </c>
      <c r="U1604" t="str">
        <f t="shared" si="102"/>
        <v>MI</v>
      </c>
      <c r="V1604" t="str">
        <f t="shared" si="103"/>
        <v>13813</v>
      </c>
    </row>
    <row r="1605" spans="1:22" x14ac:dyDescent="0.35">
      <c r="A1605">
        <v>53611</v>
      </c>
      <c r="B1605" t="s">
        <v>53</v>
      </c>
      <c r="C1605" t="s">
        <v>17</v>
      </c>
      <c r="D1605">
        <v>468</v>
      </c>
      <c r="E1605">
        <v>245</v>
      </c>
      <c r="F1605">
        <v>315</v>
      </c>
      <c r="G1605">
        <v>0</v>
      </c>
      <c r="H1605">
        <v>11358</v>
      </c>
      <c r="I1605">
        <v>0</v>
      </c>
      <c r="J1605">
        <v>66</v>
      </c>
      <c r="K1605">
        <v>308</v>
      </c>
      <c r="L1605">
        <v>294</v>
      </c>
      <c r="M1605">
        <v>8</v>
      </c>
      <c r="N1605">
        <f>IFERROR(VLOOKUP(A1605,vlookup_table!$A:$G,2,FALSE),"")</f>
        <v>28</v>
      </c>
      <c r="O1605">
        <f>IFERROR(VLOOKUP(A1605,vlookup_table!$A:$G,4,FALSE),"")</f>
        <v>5401</v>
      </c>
      <c r="P1605" t="str">
        <f>IFERROR(VLOOKUP(A1605,vlookup_table!$A:$G,5,FALSE),"")</f>
        <v>S3</v>
      </c>
      <c r="Q1605" t="str">
        <f>IFERROR(VLOOKUP(A1605,vlookup_table!$A:$G,7,FALSE),"")</f>
        <v>18.25</v>
      </c>
      <c r="R1605">
        <f t="shared" si="100"/>
        <v>43</v>
      </c>
      <c r="S1605" t="str" cm="1">
        <f t="array" ref="S1605">IF(P1605="","",_xlfn.SWITCH(LEFT(P1605,1),"C","Ciudad","T","Pueblo","R","Rural","S","Suburbano","U","Urbano",""))</f>
        <v>Suburbano</v>
      </c>
      <c r="T1605" t="str">
        <f t="shared" si="101"/>
        <v>F</v>
      </c>
      <c r="U1605" t="str">
        <f t="shared" si="102"/>
        <v>TN</v>
      </c>
      <c r="V1605" t="str">
        <f t="shared" si="103"/>
        <v>11358</v>
      </c>
    </row>
    <row r="1606" spans="1:22" x14ac:dyDescent="0.35">
      <c r="A1606">
        <v>143610</v>
      </c>
      <c r="B1606" t="s">
        <v>22</v>
      </c>
      <c r="C1606" t="s">
        <v>17</v>
      </c>
      <c r="D1606">
        <v>5000</v>
      </c>
      <c r="E1606">
        <v>569</v>
      </c>
      <c r="F1606">
        <v>932</v>
      </c>
      <c r="G1606">
        <v>99</v>
      </c>
      <c r="H1606">
        <v>52576</v>
      </c>
      <c r="I1606">
        <v>21</v>
      </c>
      <c r="J1606">
        <v>34</v>
      </c>
      <c r="K1606">
        <v>936</v>
      </c>
      <c r="L1606">
        <v>712</v>
      </c>
      <c r="M1606">
        <v>15</v>
      </c>
      <c r="N1606">
        <f>IFERROR(VLOOKUP(A1606,vlookup_table!$A:$G,2,FALSE),"")</f>
        <v>0</v>
      </c>
      <c r="O1606">
        <f>IFERROR(VLOOKUP(A1606,vlookup_table!$A:$G,4,FALSE),"")</f>
        <v>0</v>
      </c>
      <c r="P1606" t="str">
        <f>IFERROR(VLOOKUP(A1606,vlookup_table!$A:$G,5,FALSE),"")</f>
        <v>U1</v>
      </c>
      <c r="Q1606" t="str">
        <f>IFERROR(VLOOKUP(A1606,vlookup_table!$A:$G,7,FALSE),"")</f>
        <v>5.25</v>
      </c>
      <c r="R1606">
        <f t="shared" si="100"/>
        <v>97</v>
      </c>
      <c r="S1606" t="str" cm="1">
        <f t="array" ref="S1606">IF(P1606="","",_xlfn.SWITCH(LEFT(P1606,1),"C","Ciudad","T","Pueblo","R","Rural","S","Suburbano","U","Urbano",""))</f>
        <v>Urbano</v>
      </c>
      <c r="T1606" t="str">
        <f t="shared" si="101"/>
        <v>F</v>
      </c>
      <c r="U1606" t="str">
        <f t="shared" si="102"/>
        <v>CA</v>
      </c>
      <c r="V1606" t="str">
        <f t="shared" si="103"/>
        <v>52576</v>
      </c>
    </row>
    <row r="1607" spans="1:22" x14ac:dyDescent="0.35">
      <c r="A1607">
        <v>158534</v>
      </c>
      <c r="B1607" t="s">
        <v>22</v>
      </c>
      <c r="C1607" t="s">
        <v>17</v>
      </c>
      <c r="D1607">
        <v>2541</v>
      </c>
      <c r="E1607">
        <v>423</v>
      </c>
      <c r="F1607">
        <v>528</v>
      </c>
      <c r="G1607">
        <v>75</v>
      </c>
      <c r="H1607">
        <v>19220</v>
      </c>
      <c r="I1607">
        <v>16</v>
      </c>
      <c r="J1607">
        <v>48</v>
      </c>
      <c r="K1607">
        <v>486</v>
      </c>
      <c r="L1607">
        <v>454</v>
      </c>
      <c r="M1607">
        <v>24.285714290000001</v>
      </c>
      <c r="N1607">
        <f>IFERROR(VLOOKUP(A1607,vlookup_table!$A:$G,2,FALSE),"")</f>
        <v>0</v>
      </c>
      <c r="O1607">
        <f>IFERROR(VLOOKUP(A1607,vlookup_table!$A:$G,4,FALSE),"")</f>
        <v>4801</v>
      </c>
      <c r="P1607" t="str">
        <f>IFERROR(VLOOKUP(A1607,vlookup_table!$A:$G,5,FALSE),"")</f>
        <v>S1</v>
      </c>
      <c r="Q1607">
        <f>IFERROR(VLOOKUP(A1607,vlookup_table!$A:$G,7,FALSE),"")</f>
        <v>25</v>
      </c>
      <c r="R1607">
        <f t="shared" si="100"/>
        <v>49</v>
      </c>
      <c r="S1607" t="str" cm="1">
        <f t="array" ref="S1607">IF(P1607="","",_xlfn.SWITCH(LEFT(P1607,1),"C","Ciudad","T","Pueblo","R","Rural","S","Suburbano","U","Urbano",""))</f>
        <v>Suburbano</v>
      </c>
      <c r="T1607" t="str">
        <f t="shared" si="101"/>
        <v>F</v>
      </c>
      <c r="U1607" t="str">
        <f t="shared" si="102"/>
        <v>CA</v>
      </c>
      <c r="V1607" t="str">
        <f t="shared" si="103"/>
        <v>19220</v>
      </c>
    </row>
    <row r="1608" spans="1:22" x14ac:dyDescent="0.35">
      <c r="A1608">
        <v>66265</v>
      </c>
      <c r="B1608" t="s">
        <v>29</v>
      </c>
      <c r="C1608" t="s">
        <v>14</v>
      </c>
      <c r="D1608">
        <v>497</v>
      </c>
      <c r="E1608">
        <v>362</v>
      </c>
      <c r="F1608">
        <v>421</v>
      </c>
      <c r="G1608">
        <v>0</v>
      </c>
      <c r="H1608">
        <v>13649</v>
      </c>
      <c r="I1608">
        <v>7</v>
      </c>
      <c r="J1608">
        <v>79</v>
      </c>
      <c r="K1608">
        <v>452</v>
      </c>
      <c r="L1608">
        <v>384</v>
      </c>
      <c r="M1608">
        <v>20.416666670000001</v>
      </c>
      <c r="N1608">
        <f>IFERROR(VLOOKUP(A1608,vlookup_table!$A:$G,2,FALSE),"")</f>
        <v>1</v>
      </c>
      <c r="O1608">
        <f>IFERROR(VLOOKUP(A1608,vlookup_table!$A:$G,4,FALSE),"")</f>
        <v>4511</v>
      </c>
      <c r="P1608" t="str">
        <f>IFERROR(VLOOKUP(A1608,vlookup_table!$A:$G,5,FALSE),"")</f>
        <v>S3</v>
      </c>
      <c r="Q1608">
        <f>IFERROR(VLOOKUP(A1608,vlookup_table!$A:$G,7,FALSE),"")</f>
        <v>40</v>
      </c>
      <c r="R1608">
        <f t="shared" si="100"/>
        <v>52</v>
      </c>
      <c r="S1608" t="str" cm="1">
        <f t="array" ref="S1608">IF(P1608="","",_xlfn.SWITCH(LEFT(P1608,1),"C","Ciudad","T","Pueblo","R","Rural","S","Suburbano","U","Urbano",""))</f>
        <v>Suburbano</v>
      </c>
      <c r="T1608" t="str">
        <f t="shared" si="101"/>
        <v>M</v>
      </c>
      <c r="U1608" t="str">
        <f t="shared" si="102"/>
        <v>MI</v>
      </c>
      <c r="V1608" t="str">
        <f t="shared" si="103"/>
        <v>13649</v>
      </c>
    </row>
    <row r="1609" spans="1:22" x14ac:dyDescent="0.35">
      <c r="A1609">
        <v>141468</v>
      </c>
      <c r="B1609" t="s">
        <v>24</v>
      </c>
      <c r="C1609" t="s">
        <v>14</v>
      </c>
      <c r="D1609">
        <v>1003</v>
      </c>
      <c r="E1609">
        <v>258</v>
      </c>
      <c r="F1609">
        <v>386</v>
      </c>
      <c r="G1609">
        <v>5</v>
      </c>
      <c r="H1609">
        <v>15748</v>
      </c>
      <c r="I1609">
        <v>12</v>
      </c>
      <c r="J1609">
        <v>13</v>
      </c>
      <c r="K1609">
        <v>322</v>
      </c>
      <c r="L1609">
        <v>318</v>
      </c>
      <c r="M1609">
        <v>25</v>
      </c>
      <c r="N1609">
        <f>IFERROR(VLOOKUP(A1609,vlookup_table!$A:$G,2,FALSE),"")</f>
        <v>0</v>
      </c>
      <c r="O1609">
        <f>IFERROR(VLOOKUP(A1609,vlookup_table!$A:$G,4,FALSE),"")</f>
        <v>1801</v>
      </c>
      <c r="P1609" t="str">
        <f>IFERROR(VLOOKUP(A1609,vlookup_table!$A:$G,5,FALSE),"")</f>
        <v>S2</v>
      </c>
      <c r="Q1609">
        <f>IFERROR(VLOOKUP(A1609,vlookup_table!$A:$G,7,FALSE),"")</f>
        <v>25</v>
      </c>
      <c r="R1609">
        <f t="shared" si="100"/>
        <v>79</v>
      </c>
      <c r="S1609" t="str" cm="1">
        <f t="array" ref="S1609">IF(P1609="","",_xlfn.SWITCH(LEFT(P1609,1),"C","Ciudad","T","Pueblo","R","Rural","S","Suburbano","U","Urbano",""))</f>
        <v>Suburbano</v>
      </c>
      <c r="T1609" t="str">
        <f t="shared" si="101"/>
        <v>M</v>
      </c>
      <c r="U1609" t="str">
        <f t="shared" si="102"/>
        <v>NV</v>
      </c>
      <c r="V1609" t="str">
        <f t="shared" si="103"/>
        <v>15748</v>
      </c>
    </row>
    <row r="1610" spans="1:22" x14ac:dyDescent="0.35">
      <c r="A1610">
        <v>121683</v>
      </c>
      <c r="B1610" t="s">
        <v>21</v>
      </c>
      <c r="C1610" t="s">
        <v>14</v>
      </c>
      <c r="D1610">
        <v>770</v>
      </c>
      <c r="E1610">
        <v>477</v>
      </c>
      <c r="F1610">
        <v>578</v>
      </c>
      <c r="G1610">
        <v>0</v>
      </c>
      <c r="H1610">
        <v>19810</v>
      </c>
      <c r="I1610">
        <v>8</v>
      </c>
      <c r="J1610">
        <v>54</v>
      </c>
      <c r="K1610">
        <v>522</v>
      </c>
      <c r="L1610">
        <v>522</v>
      </c>
      <c r="M1610">
        <v>20</v>
      </c>
      <c r="N1610">
        <f>IFERROR(VLOOKUP(A1610,vlookup_table!$A:$G,2,FALSE),"")</f>
        <v>1</v>
      </c>
      <c r="O1610">
        <f>IFERROR(VLOOKUP(A1610,vlookup_table!$A:$G,4,FALSE),"")</f>
        <v>5101</v>
      </c>
      <c r="P1610" t="str">
        <f>IFERROR(VLOOKUP(A1610,vlookup_table!$A:$G,5,FALSE),"")</f>
        <v>S1</v>
      </c>
      <c r="Q1610">
        <f>IFERROR(VLOOKUP(A1610,vlookup_table!$A:$G,7,FALSE),"")</f>
        <v>10</v>
      </c>
      <c r="R1610">
        <f t="shared" si="100"/>
        <v>46</v>
      </c>
      <c r="S1610" t="str" cm="1">
        <f t="array" ref="S1610">IF(P1610="","",_xlfn.SWITCH(LEFT(P1610,1),"C","Ciudad","T","Pueblo","R","Rural","S","Suburbano","U","Urbano",""))</f>
        <v>Suburbano</v>
      </c>
      <c r="T1610" t="str">
        <f t="shared" si="101"/>
        <v>M</v>
      </c>
      <c r="U1610" t="str">
        <f t="shared" si="102"/>
        <v>TX</v>
      </c>
      <c r="V1610" t="str">
        <f t="shared" si="103"/>
        <v>19810</v>
      </c>
    </row>
    <row r="1611" spans="1:22" x14ac:dyDescent="0.35">
      <c r="A1611">
        <v>130239</v>
      </c>
      <c r="B1611" t="s">
        <v>48</v>
      </c>
      <c r="C1611" t="s">
        <v>14</v>
      </c>
      <c r="D1611">
        <v>739</v>
      </c>
      <c r="E1611">
        <v>369</v>
      </c>
      <c r="F1611">
        <v>428</v>
      </c>
      <c r="G1611">
        <v>0</v>
      </c>
      <c r="H1611">
        <v>14453</v>
      </c>
      <c r="I1611">
        <v>3</v>
      </c>
      <c r="J1611">
        <v>53</v>
      </c>
      <c r="K1611">
        <v>368</v>
      </c>
      <c r="L1611">
        <v>419</v>
      </c>
      <c r="M1611">
        <v>20</v>
      </c>
      <c r="N1611">
        <f>IFERROR(VLOOKUP(A1611,vlookup_table!$A:$G,2,FALSE),"")</f>
        <v>0</v>
      </c>
      <c r="O1611">
        <f>IFERROR(VLOOKUP(A1611,vlookup_table!$A:$G,4,FALSE),"")</f>
        <v>5601</v>
      </c>
      <c r="P1611" t="str">
        <f>IFERROR(VLOOKUP(A1611,vlookup_table!$A:$G,5,FALSE),"")</f>
        <v>S2</v>
      </c>
      <c r="Q1611">
        <f>IFERROR(VLOOKUP(A1611,vlookup_table!$A:$G,7,FALSE),"")</f>
        <v>20</v>
      </c>
      <c r="R1611">
        <f t="shared" si="100"/>
        <v>41</v>
      </c>
      <c r="S1611" t="str" cm="1">
        <f t="array" ref="S1611">IF(P1611="","",_xlfn.SWITCH(LEFT(P1611,1),"C","Ciudad","T","Pueblo","R","Rural","S","Suburbano","U","Urbano",""))</f>
        <v>Suburbano</v>
      </c>
      <c r="T1611" t="str">
        <f t="shared" si="101"/>
        <v>M</v>
      </c>
      <c r="U1611" t="str">
        <f t="shared" si="102"/>
        <v>CO</v>
      </c>
      <c r="V1611" t="str">
        <f t="shared" si="103"/>
        <v>14453</v>
      </c>
    </row>
    <row r="1612" spans="1:22" x14ac:dyDescent="0.35">
      <c r="A1612">
        <v>987</v>
      </c>
      <c r="B1612" t="s">
        <v>39</v>
      </c>
      <c r="C1612" t="s">
        <v>17</v>
      </c>
      <c r="D1612">
        <v>2140</v>
      </c>
      <c r="E1612">
        <v>773</v>
      </c>
      <c r="F1612">
        <v>850</v>
      </c>
      <c r="G1612">
        <v>59</v>
      </c>
      <c r="H1612">
        <v>33069</v>
      </c>
      <c r="I1612">
        <v>1</v>
      </c>
      <c r="J1612">
        <v>48</v>
      </c>
      <c r="K1612">
        <v>789</v>
      </c>
      <c r="L1612">
        <v>816</v>
      </c>
      <c r="M1612">
        <v>3.7619047619999999</v>
      </c>
      <c r="N1612">
        <f>IFERROR(VLOOKUP(A1612,vlookup_table!$A:$G,2,FALSE),"")</f>
        <v>0</v>
      </c>
      <c r="O1612">
        <f>IFERROR(VLOOKUP(A1612,vlookup_table!$A:$G,4,FALSE),"")</f>
        <v>4301</v>
      </c>
      <c r="P1612" t="str">
        <f>IFERROR(VLOOKUP(A1612,vlookup_table!$A:$G,5,FALSE),"")</f>
        <v>S1</v>
      </c>
      <c r="Q1612">
        <f>IFERROR(VLOOKUP(A1612,vlookup_table!$A:$G,7,FALSE),"")</f>
        <v>3</v>
      </c>
      <c r="R1612">
        <f t="shared" si="100"/>
        <v>54</v>
      </c>
      <c r="S1612" t="str" cm="1">
        <f t="array" ref="S1612">IF(P1612="","",_xlfn.SWITCH(LEFT(P1612,1),"C","Ciudad","T","Pueblo","R","Rural","S","Suburbano","U","Urbano",""))</f>
        <v>Suburbano</v>
      </c>
      <c r="T1612" t="str">
        <f t="shared" si="101"/>
        <v>F</v>
      </c>
      <c r="U1612" t="str">
        <f t="shared" si="102"/>
        <v>GA</v>
      </c>
      <c r="V1612" t="str">
        <f t="shared" si="103"/>
        <v>33069</v>
      </c>
    </row>
    <row r="1613" spans="1:22" x14ac:dyDescent="0.35">
      <c r="A1613">
        <v>76585</v>
      </c>
      <c r="B1613" t="s">
        <v>47</v>
      </c>
      <c r="C1613" t="s">
        <v>17</v>
      </c>
      <c r="D1613">
        <v>1282</v>
      </c>
      <c r="E1613">
        <v>550</v>
      </c>
      <c r="F1613">
        <v>703</v>
      </c>
      <c r="G1613">
        <v>15</v>
      </c>
      <c r="H1613">
        <v>26007</v>
      </c>
      <c r="I1613">
        <v>2</v>
      </c>
      <c r="J1613">
        <v>66</v>
      </c>
      <c r="K1613">
        <v>637</v>
      </c>
      <c r="L1613">
        <v>607</v>
      </c>
      <c r="M1613">
        <v>4.8571428570000004</v>
      </c>
      <c r="N1613">
        <f>IFERROR(VLOOKUP(A1613,vlookup_table!$A:$G,2,FALSE),"")</f>
        <v>0</v>
      </c>
      <c r="O1613">
        <f>IFERROR(VLOOKUP(A1613,vlookup_table!$A:$G,4,FALSE),"")</f>
        <v>3110</v>
      </c>
      <c r="P1613" t="str">
        <f>IFERROR(VLOOKUP(A1613,vlookup_table!$A:$G,5,FALSE),"")</f>
        <v>C1</v>
      </c>
      <c r="Q1613">
        <f>IFERROR(VLOOKUP(A1613,vlookup_table!$A:$G,7,FALSE),"")</f>
        <v>5</v>
      </c>
      <c r="R1613">
        <f t="shared" si="100"/>
        <v>66</v>
      </c>
      <c r="S1613" t="str" cm="1">
        <f t="array" ref="S1613">IF(P1613="","",_xlfn.SWITCH(LEFT(P1613,1),"C","Ciudad","T","Pueblo","R","Rural","S","Suburbano","U","Urbano",""))</f>
        <v>Ciudad</v>
      </c>
      <c r="T1613" t="str">
        <f t="shared" si="101"/>
        <v>F</v>
      </c>
      <c r="U1613" t="str">
        <f t="shared" si="102"/>
        <v>IA</v>
      </c>
      <c r="V1613" t="str">
        <f t="shared" si="103"/>
        <v>26007</v>
      </c>
    </row>
    <row r="1614" spans="1:22" x14ac:dyDescent="0.35">
      <c r="A1614">
        <v>155240</v>
      </c>
      <c r="B1614" t="s">
        <v>22</v>
      </c>
      <c r="C1614" t="s">
        <v>17</v>
      </c>
      <c r="D1614">
        <v>1167</v>
      </c>
      <c r="E1614">
        <v>211</v>
      </c>
      <c r="F1614">
        <v>406</v>
      </c>
      <c r="G1614">
        <v>4</v>
      </c>
      <c r="H1614">
        <v>16425</v>
      </c>
      <c r="I1614">
        <v>6</v>
      </c>
      <c r="J1614">
        <v>21</v>
      </c>
      <c r="K1614">
        <v>272</v>
      </c>
      <c r="L1614">
        <v>329</v>
      </c>
      <c r="M1614">
        <v>11.14285714</v>
      </c>
      <c r="N1614">
        <f>IFERROR(VLOOKUP(A1614,vlookup_table!$A:$G,2,FALSE),"")</f>
        <v>28</v>
      </c>
      <c r="O1614">
        <f>IFERROR(VLOOKUP(A1614,vlookup_table!$A:$G,4,FALSE),"")</f>
        <v>2201</v>
      </c>
      <c r="P1614" t="str">
        <f>IFERROR(VLOOKUP(A1614,vlookup_table!$A:$G,5,FALSE),"")</f>
        <v>C2</v>
      </c>
      <c r="Q1614">
        <f>IFERROR(VLOOKUP(A1614,vlookup_table!$A:$G,7,FALSE),"")</f>
        <v>15</v>
      </c>
      <c r="R1614">
        <f t="shared" si="100"/>
        <v>75</v>
      </c>
      <c r="S1614" t="str" cm="1">
        <f t="array" ref="S1614">IF(P1614="","",_xlfn.SWITCH(LEFT(P1614,1),"C","Ciudad","T","Pueblo","R","Rural","S","Suburbano","U","Urbano",""))</f>
        <v>Ciudad</v>
      </c>
      <c r="T1614" t="str">
        <f t="shared" si="101"/>
        <v>F</v>
      </c>
      <c r="U1614" t="str">
        <f t="shared" si="102"/>
        <v>CA</v>
      </c>
      <c r="V1614" t="str">
        <f t="shared" si="103"/>
        <v>16425</v>
      </c>
    </row>
    <row r="1615" spans="1:22" x14ac:dyDescent="0.35">
      <c r="A1615">
        <v>147841</v>
      </c>
      <c r="B1615" t="s">
        <v>22</v>
      </c>
      <c r="C1615" t="s">
        <v>17</v>
      </c>
      <c r="D1615">
        <v>5626</v>
      </c>
      <c r="E1615">
        <v>1023</v>
      </c>
      <c r="F1615">
        <v>1051</v>
      </c>
      <c r="G1615">
        <v>98</v>
      </c>
      <c r="H1615">
        <v>62324</v>
      </c>
      <c r="I1615">
        <v>20</v>
      </c>
      <c r="J1615">
        <v>40</v>
      </c>
      <c r="K1615">
        <v>1109</v>
      </c>
      <c r="L1615">
        <v>969</v>
      </c>
      <c r="M1615">
        <v>30.75</v>
      </c>
      <c r="N1615">
        <f>IFERROR(VLOOKUP(A1615,vlookup_table!$A:$G,2,FALSE),"")</f>
        <v>0</v>
      </c>
      <c r="O1615">
        <f>IFERROR(VLOOKUP(A1615,vlookup_table!$A:$G,4,FALSE),"")</f>
        <v>1706</v>
      </c>
      <c r="P1615" t="str">
        <f>IFERROR(VLOOKUP(A1615,vlookup_table!$A:$G,5,FALSE),"")</f>
        <v>S1</v>
      </c>
      <c r="Q1615">
        <f>IFERROR(VLOOKUP(A1615,vlookup_table!$A:$G,7,FALSE),"")</f>
        <v>100</v>
      </c>
      <c r="R1615">
        <f t="shared" si="100"/>
        <v>80</v>
      </c>
      <c r="S1615" t="str" cm="1">
        <f t="array" ref="S1615">IF(P1615="","",_xlfn.SWITCH(LEFT(P1615,1),"C","Ciudad","T","Pueblo","R","Rural","S","Suburbano","U","Urbano",""))</f>
        <v>Suburbano</v>
      </c>
      <c r="T1615" t="str">
        <f t="shared" si="101"/>
        <v>F</v>
      </c>
      <c r="U1615" t="str">
        <f t="shared" si="102"/>
        <v>CA</v>
      </c>
      <c r="V1615" t="str">
        <f t="shared" si="103"/>
        <v>62324</v>
      </c>
    </row>
    <row r="1616" spans="1:22" x14ac:dyDescent="0.35">
      <c r="A1616">
        <v>140481</v>
      </c>
      <c r="B1616" t="s">
        <v>54</v>
      </c>
      <c r="C1616" t="s">
        <v>17</v>
      </c>
      <c r="D1616">
        <v>636</v>
      </c>
      <c r="E1616">
        <v>281</v>
      </c>
      <c r="F1616">
        <v>341</v>
      </c>
      <c r="G1616">
        <v>1</v>
      </c>
      <c r="H1616">
        <v>11957</v>
      </c>
      <c r="I1616">
        <v>4</v>
      </c>
      <c r="J1616">
        <v>47</v>
      </c>
      <c r="K1616">
        <v>311</v>
      </c>
      <c r="L1616">
        <v>295</v>
      </c>
      <c r="M1616">
        <v>8.75</v>
      </c>
      <c r="N1616">
        <f>IFERROR(VLOOKUP(A1616,vlookup_table!$A:$G,2,FALSE),"")</f>
        <v>2</v>
      </c>
      <c r="O1616">
        <f>IFERROR(VLOOKUP(A1616,vlookup_table!$A:$G,4,FALSE),"")</f>
        <v>5201</v>
      </c>
      <c r="P1616" t="str">
        <f>IFERROR(VLOOKUP(A1616,vlookup_table!$A:$G,5,FALSE),"")</f>
        <v>T3</v>
      </c>
      <c r="Q1616">
        <f>IFERROR(VLOOKUP(A1616,vlookup_table!$A:$G,7,FALSE),"")</f>
        <v>20</v>
      </c>
      <c r="R1616">
        <f t="shared" si="100"/>
        <v>45</v>
      </c>
      <c r="S1616" t="str" cm="1">
        <f t="array" ref="S1616">IF(P1616="","",_xlfn.SWITCH(LEFT(P1616,1),"C","Ciudad","T","Pueblo","R","Rural","S","Suburbano","U","Urbano",""))</f>
        <v>Pueblo</v>
      </c>
      <c r="T1616" t="str">
        <f t="shared" si="101"/>
        <v>F</v>
      </c>
      <c r="U1616" t="str">
        <f t="shared" si="102"/>
        <v>NM</v>
      </c>
      <c r="V1616" t="str">
        <f t="shared" si="103"/>
        <v>11957</v>
      </c>
    </row>
    <row r="1617" spans="1:22" x14ac:dyDescent="0.35">
      <c r="A1617">
        <v>159034</v>
      </c>
      <c r="B1617" t="s">
        <v>22</v>
      </c>
      <c r="C1617" t="s">
        <v>14</v>
      </c>
      <c r="D1617">
        <v>1834</v>
      </c>
      <c r="E1617">
        <v>442</v>
      </c>
      <c r="F1617">
        <v>420</v>
      </c>
      <c r="G1617">
        <v>23</v>
      </c>
      <c r="H1617">
        <v>11448</v>
      </c>
      <c r="I1617">
        <v>20</v>
      </c>
      <c r="J1617">
        <v>46</v>
      </c>
      <c r="K1617">
        <v>371</v>
      </c>
      <c r="L1617">
        <v>441</v>
      </c>
      <c r="M1617">
        <v>14.8</v>
      </c>
      <c r="N1617">
        <f>IFERROR(VLOOKUP(A1617,vlookup_table!$A:$G,2,FALSE),"")</f>
        <v>1</v>
      </c>
      <c r="O1617">
        <f>IFERROR(VLOOKUP(A1617,vlookup_table!$A:$G,4,FALSE),"")</f>
        <v>1601</v>
      </c>
      <c r="P1617" t="str">
        <f>IFERROR(VLOOKUP(A1617,vlookup_table!$A:$G,5,FALSE),"")</f>
        <v>U2</v>
      </c>
      <c r="Q1617">
        <f>IFERROR(VLOOKUP(A1617,vlookup_table!$A:$G,7,FALSE),"")</f>
        <v>21</v>
      </c>
      <c r="R1617">
        <f t="shared" si="100"/>
        <v>81</v>
      </c>
      <c r="S1617" t="str" cm="1">
        <f t="array" ref="S1617">IF(P1617="","",_xlfn.SWITCH(LEFT(P1617,1),"C","Ciudad","T","Pueblo","R","Rural","S","Suburbano","U","Urbano",""))</f>
        <v>Urbano</v>
      </c>
      <c r="T1617" t="str">
        <f t="shared" si="101"/>
        <v>M</v>
      </c>
      <c r="U1617" t="str">
        <f t="shared" si="102"/>
        <v>CA</v>
      </c>
      <c r="V1617" t="str">
        <f t="shared" si="103"/>
        <v>11448</v>
      </c>
    </row>
    <row r="1618" spans="1:22" x14ac:dyDescent="0.35">
      <c r="A1618">
        <v>3933</v>
      </c>
      <c r="B1618" t="s">
        <v>16</v>
      </c>
      <c r="C1618" t="s">
        <v>14</v>
      </c>
      <c r="D1618">
        <v>912</v>
      </c>
      <c r="E1618">
        <v>334</v>
      </c>
      <c r="F1618">
        <v>453</v>
      </c>
      <c r="G1618">
        <v>0</v>
      </c>
      <c r="H1618">
        <v>14883</v>
      </c>
      <c r="I1618">
        <v>18</v>
      </c>
      <c r="J1618">
        <v>78</v>
      </c>
      <c r="K1618">
        <v>393</v>
      </c>
      <c r="L1618">
        <v>375</v>
      </c>
      <c r="M1618">
        <v>8.5625</v>
      </c>
      <c r="N1618">
        <f>IFERROR(VLOOKUP(A1618,vlookup_table!$A:$G,2,FALSE),"")</f>
        <v>1</v>
      </c>
      <c r="O1618">
        <f>IFERROR(VLOOKUP(A1618,vlookup_table!$A:$G,4,FALSE),"")</f>
        <v>6606</v>
      </c>
      <c r="P1618" t="str">
        <f>IFERROR(VLOOKUP(A1618,vlookup_table!$A:$G,5,FALSE),"")</f>
        <v>U2</v>
      </c>
      <c r="Q1618">
        <f>IFERROR(VLOOKUP(A1618,vlookup_table!$A:$G,7,FALSE),"")</f>
        <v>20</v>
      </c>
      <c r="R1618">
        <f t="shared" si="100"/>
        <v>31</v>
      </c>
      <c r="S1618" t="str" cm="1">
        <f t="array" ref="S1618">IF(P1618="","",_xlfn.SWITCH(LEFT(P1618,1),"C","Ciudad","T","Pueblo","R","Rural","S","Suburbano","U","Urbano",""))</f>
        <v>Urbano</v>
      </c>
      <c r="T1618" t="str">
        <f t="shared" si="101"/>
        <v>M</v>
      </c>
      <c r="U1618" t="str">
        <f t="shared" si="102"/>
        <v>IL</v>
      </c>
      <c r="V1618" t="str">
        <f t="shared" si="103"/>
        <v>14883</v>
      </c>
    </row>
    <row r="1619" spans="1:22" x14ac:dyDescent="0.35">
      <c r="A1619">
        <v>167138</v>
      </c>
      <c r="B1619" t="s">
        <v>22</v>
      </c>
      <c r="C1619" t="s">
        <v>17</v>
      </c>
      <c r="D1619">
        <v>2125</v>
      </c>
      <c r="E1619">
        <v>375</v>
      </c>
      <c r="F1619">
        <v>468</v>
      </c>
      <c r="G1619">
        <v>58</v>
      </c>
      <c r="H1619">
        <v>21196</v>
      </c>
      <c r="I1619">
        <v>9</v>
      </c>
      <c r="J1619">
        <v>57</v>
      </c>
      <c r="K1619">
        <v>399</v>
      </c>
      <c r="L1619">
        <v>411</v>
      </c>
      <c r="M1619">
        <v>20</v>
      </c>
      <c r="N1619">
        <f>IFERROR(VLOOKUP(A1619,vlookup_table!$A:$G,2,FALSE),"")</f>
        <v>0</v>
      </c>
      <c r="O1619">
        <f>IFERROR(VLOOKUP(A1619,vlookup_table!$A:$G,4,FALSE),"")</f>
        <v>5301</v>
      </c>
      <c r="P1619" t="str">
        <f>IFERROR(VLOOKUP(A1619,vlookup_table!$A:$G,5,FALSE),"")</f>
        <v>U1</v>
      </c>
      <c r="Q1619">
        <f>IFERROR(VLOOKUP(A1619,vlookup_table!$A:$G,7,FALSE),"")</f>
        <v>30</v>
      </c>
      <c r="R1619">
        <f t="shared" si="100"/>
        <v>44</v>
      </c>
      <c r="S1619" t="str" cm="1">
        <f t="array" ref="S1619">IF(P1619="","",_xlfn.SWITCH(LEFT(P1619,1),"C","Ciudad","T","Pueblo","R","Rural","S","Suburbano","U","Urbano",""))</f>
        <v>Urbano</v>
      </c>
      <c r="T1619" t="str">
        <f t="shared" si="101"/>
        <v>F</v>
      </c>
      <c r="U1619" t="str">
        <f t="shared" si="102"/>
        <v>CA</v>
      </c>
      <c r="V1619" t="str">
        <f t="shared" si="103"/>
        <v>21196</v>
      </c>
    </row>
    <row r="1620" spans="1:22" x14ac:dyDescent="0.35">
      <c r="A1620">
        <v>100900</v>
      </c>
      <c r="B1620" t="s">
        <v>36</v>
      </c>
      <c r="C1620" t="s">
        <v>17</v>
      </c>
      <c r="D1620">
        <v>1180</v>
      </c>
      <c r="E1620">
        <v>513</v>
      </c>
      <c r="F1620">
        <v>607</v>
      </c>
      <c r="G1620">
        <v>7</v>
      </c>
      <c r="H1620">
        <v>19444</v>
      </c>
      <c r="I1620">
        <v>4</v>
      </c>
      <c r="J1620">
        <v>55</v>
      </c>
      <c r="K1620">
        <v>548</v>
      </c>
      <c r="L1620">
        <v>554</v>
      </c>
      <c r="M1620">
        <v>5.5</v>
      </c>
      <c r="N1620">
        <f>IFERROR(VLOOKUP(A1620,vlookup_table!$A:$G,2,FALSE),"")</f>
        <v>2</v>
      </c>
      <c r="O1620">
        <f>IFERROR(VLOOKUP(A1620,vlookup_table!$A:$G,4,FALSE),"")</f>
        <v>0</v>
      </c>
      <c r="P1620" t="str">
        <f>IFERROR(VLOOKUP(A1620,vlookup_table!$A:$G,5,FALSE),"")</f>
        <v>C1</v>
      </c>
      <c r="Q1620">
        <f>IFERROR(VLOOKUP(A1620,vlookup_table!$A:$G,7,FALSE),"")</f>
        <v>5</v>
      </c>
      <c r="R1620">
        <f t="shared" si="100"/>
        <v>97</v>
      </c>
      <c r="S1620" t="str" cm="1">
        <f t="array" ref="S1620">IF(P1620="","",_xlfn.SWITCH(LEFT(P1620,1),"C","Ciudad","T","Pueblo","R","Rural","S","Suburbano","U","Urbano",""))</f>
        <v>Ciudad</v>
      </c>
      <c r="T1620" t="str">
        <f t="shared" si="101"/>
        <v>F</v>
      </c>
      <c r="U1620" t="str">
        <f t="shared" si="102"/>
        <v>MO</v>
      </c>
      <c r="V1620" t="str">
        <f t="shared" si="103"/>
        <v>19444</v>
      </c>
    </row>
    <row r="1621" spans="1:22" x14ac:dyDescent="0.35">
      <c r="A1621">
        <v>161634</v>
      </c>
      <c r="B1621" t="s">
        <v>22</v>
      </c>
      <c r="C1621" t="s">
        <v>17</v>
      </c>
      <c r="D1621">
        <v>669</v>
      </c>
      <c r="E1621">
        <v>190</v>
      </c>
      <c r="F1621">
        <v>226</v>
      </c>
      <c r="G1621">
        <v>0</v>
      </c>
      <c r="H1621">
        <v>7245</v>
      </c>
      <c r="I1621">
        <v>28</v>
      </c>
      <c r="J1621">
        <v>50</v>
      </c>
      <c r="K1621">
        <v>198</v>
      </c>
      <c r="L1621">
        <v>214</v>
      </c>
      <c r="M1621">
        <v>8.4</v>
      </c>
      <c r="N1621">
        <f>IFERROR(VLOOKUP(A1621,vlookup_table!$A:$G,2,FALSE),"")</f>
        <v>28</v>
      </c>
      <c r="O1621">
        <f>IFERROR(VLOOKUP(A1621,vlookup_table!$A:$G,4,FALSE),"")</f>
        <v>6302</v>
      </c>
      <c r="P1621" t="str">
        <f>IFERROR(VLOOKUP(A1621,vlookup_table!$A:$G,5,FALSE),"")</f>
        <v>C2</v>
      </c>
      <c r="Q1621">
        <f>IFERROR(VLOOKUP(A1621,vlookup_table!$A:$G,7,FALSE),"")</f>
        <v>15</v>
      </c>
      <c r="R1621">
        <f t="shared" si="100"/>
        <v>34</v>
      </c>
      <c r="S1621" t="str" cm="1">
        <f t="array" ref="S1621">IF(P1621="","",_xlfn.SWITCH(LEFT(P1621,1),"C","Ciudad","T","Pueblo","R","Rural","S","Suburbano","U","Urbano",""))</f>
        <v>Ciudad</v>
      </c>
      <c r="T1621" t="str">
        <f t="shared" si="101"/>
        <v>F</v>
      </c>
      <c r="U1621" t="str">
        <f t="shared" si="102"/>
        <v>CA</v>
      </c>
      <c r="V1621" t="str">
        <f t="shared" si="103"/>
        <v>7245</v>
      </c>
    </row>
    <row r="1622" spans="1:22" x14ac:dyDescent="0.35">
      <c r="A1622">
        <v>162945</v>
      </c>
      <c r="B1622" t="s">
        <v>22</v>
      </c>
      <c r="C1622" t="s">
        <v>17</v>
      </c>
      <c r="D1622">
        <v>0</v>
      </c>
      <c r="E1622">
        <v>132</v>
      </c>
      <c r="F1622">
        <v>186</v>
      </c>
      <c r="G1622">
        <v>0</v>
      </c>
      <c r="H1622">
        <v>9308</v>
      </c>
      <c r="I1622">
        <v>46</v>
      </c>
      <c r="J1622">
        <v>21</v>
      </c>
      <c r="K1622">
        <v>147</v>
      </c>
      <c r="L1622">
        <v>178</v>
      </c>
      <c r="M1622">
        <v>4.5</v>
      </c>
      <c r="N1622">
        <f>IFERROR(VLOOKUP(A1622,vlookup_table!$A:$G,2,FALSE),"")</f>
        <v>0</v>
      </c>
      <c r="O1622">
        <f>IFERROR(VLOOKUP(A1622,vlookup_table!$A:$G,4,FALSE),"")</f>
        <v>1201</v>
      </c>
      <c r="P1622" t="str">
        <f>IFERROR(VLOOKUP(A1622,vlookup_table!$A:$G,5,FALSE),"")</f>
        <v>U4</v>
      </c>
      <c r="Q1622">
        <f>IFERROR(VLOOKUP(A1622,vlookup_table!$A:$G,7,FALSE),"")</f>
        <v>5</v>
      </c>
      <c r="R1622">
        <f t="shared" si="100"/>
        <v>85</v>
      </c>
      <c r="S1622" t="str" cm="1">
        <f t="array" ref="S1622">IF(P1622="","",_xlfn.SWITCH(LEFT(P1622,1),"C","Ciudad","T","Pueblo","R","Rural","S","Suburbano","U","Urbano",""))</f>
        <v>Urbano</v>
      </c>
      <c r="T1622" t="str">
        <f t="shared" si="101"/>
        <v>F</v>
      </c>
      <c r="U1622" t="str">
        <f t="shared" si="102"/>
        <v>CA</v>
      </c>
      <c r="V1622" t="str">
        <f t="shared" si="103"/>
        <v>9308</v>
      </c>
    </row>
    <row r="1623" spans="1:22" x14ac:dyDescent="0.35">
      <c r="A1623">
        <v>12626</v>
      </c>
      <c r="B1623" t="s">
        <v>39</v>
      </c>
      <c r="C1623" t="s">
        <v>17</v>
      </c>
      <c r="D1623">
        <v>533</v>
      </c>
      <c r="E1623">
        <v>301</v>
      </c>
      <c r="F1623">
        <v>386</v>
      </c>
      <c r="G1623">
        <v>0</v>
      </c>
      <c r="H1623">
        <v>11562</v>
      </c>
      <c r="I1623">
        <v>5</v>
      </c>
      <c r="J1623">
        <v>48</v>
      </c>
      <c r="K1623">
        <v>349</v>
      </c>
      <c r="L1623">
        <v>339</v>
      </c>
      <c r="M1623">
        <v>8.1999999999999993</v>
      </c>
      <c r="N1623">
        <f>IFERROR(VLOOKUP(A1623,vlookup_table!$A:$G,2,FALSE),"")</f>
        <v>2</v>
      </c>
      <c r="O1623">
        <f>IFERROR(VLOOKUP(A1623,vlookup_table!$A:$G,4,FALSE),"")</f>
        <v>0</v>
      </c>
      <c r="P1623" t="str">
        <f>IFERROR(VLOOKUP(A1623,vlookup_table!$A:$G,5,FALSE),"")</f>
        <v>R2</v>
      </c>
      <c r="Q1623">
        <f>IFERROR(VLOOKUP(A1623,vlookup_table!$A:$G,7,FALSE),"")</f>
        <v>9</v>
      </c>
      <c r="R1623">
        <f t="shared" si="100"/>
        <v>97</v>
      </c>
      <c r="S1623" t="str" cm="1">
        <f t="array" ref="S1623">IF(P1623="","",_xlfn.SWITCH(LEFT(P1623,1),"C","Ciudad","T","Pueblo","R","Rural","S","Suburbano","U","Urbano",""))</f>
        <v>Rural</v>
      </c>
      <c r="T1623" t="str">
        <f t="shared" si="101"/>
        <v>F</v>
      </c>
      <c r="U1623" t="str">
        <f t="shared" si="102"/>
        <v>GA</v>
      </c>
      <c r="V1623" t="str">
        <f t="shared" si="103"/>
        <v>11562</v>
      </c>
    </row>
    <row r="1624" spans="1:22" x14ac:dyDescent="0.35">
      <c r="A1624">
        <v>134005</v>
      </c>
      <c r="B1624" t="s">
        <v>38</v>
      </c>
      <c r="C1624" t="s">
        <v>14</v>
      </c>
      <c r="D1624">
        <v>582</v>
      </c>
      <c r="E1624">
        <v>361</v>
      </c>
      <c r="F1624">
        <v>392</v>
      </c>
      <c r="G1624">
        <v>0</v>
      </c>
      <c r="H1624">
        <v>12270</v>
      </c>
      <c r="I1624">
        <v>0</v>
      </c>
      <c r="J1624">
        <v>62</v>
      </c>
      <c r="K1624">
        <v>368</v>
      </c>
      <c r="L1624">
        <v>385</v>
      </c>
      <c r="M1624">
        <v>9.6666666669999994</v>
      </c>
      <c r="N1624">
        <f>IFERROR(VLOOKUP(A1624,vlookup_table!$A:$G,2,FALSE),"")</f>
        <v>13</v>
      </c>
      <c r="O1624">
        <f>IFERROR(VLOOKUP(A1624,vlookup_table!$A:$G,4,FALSE),"")</f>
        <v>1409</v>
      </c>
      <c r="P1624" t="str">
        <f>IFERROR(VLOOKUP(A1624,vlookup_table!$A:$G,5,FALSE),"")</f>
        <v>C2</v>
      </c>
      <c r="Q1624">
        <f>IFERROR(VLOOKUP(A1624,vlookup_table!$A:$G,7,FALSE),"")</f>
        <v>10</v>
      </c>
      <c r="R1624">
        <f t="shared" si="100"/>
        <v>83</v>
      </c>
      <c r="S1624" t="str" cm="1">
        <f t="array" ref="S1624">IF(P1624="","",_xlfn.SWITCH(LEFT(P1624,1),"C","Ciudad","T","Pueblo","R","Rural","S","Suburbano","U","Urbano",""))</f>
        <v>Ciudad</v>
      </c>
      <c r="T1624" t="str">
        <f t="shared" si="101"/>
        <v>M</v>
      </c>
      <c r="U1624" t="str">
        <f t="shared" si="102"/>
        <v>UT</v>
      </c>
      <c r="V1624" t="str">
        <f t="shared" si="103"/>
        <v>12270</v>
      </c>
    </row>
    <row r="1625" spans="1:22" x14ac:dyDescent="0.35">
      <c r="A1625">
        <v>176948</v>
      </c>
      <c r="B1625" t="s">
        <v>50</v>
      </c>
      <c r="C1625" t="s">
        <v>14</v>
      </c>
      <c r="D1625">
        <v>480</v>
      </c>
      <c r="E1625">
        <v>203</v>
      </c>
      <c r="F1625">
        <v>237</v>
      </c>
      <c r="G1625">
        <v>1</v>
      </c>
      <c r="H1625">
        <v>8973</v>
      </c>
      <c r="I1625">
        <v>2</v>
      </c>
      <c r="J1625">
        <v>50</v>
      </c>
      <c r="K1625">
        <v>217</v>
      </c>
      <c r="L1625">
        <v>202</v>
      </c>
      <c r="M1625">
        <v>17.333333329999999</v>
      </c>
      <c r="N1625">
        <f>IFERROR(VLOOKUP(A1625,vlookup_table!$A:$G,2,FALSE),"")</f>
        <v>1</v>
      </c>
      <c r="O1625">
        <f>IFERROR(VLOOKUP(A1625,vlookup_table!$A:$G,4,FALSE),"")</f>
        <v>2401</v>
      </c>
      <c r="P1625" t="str">
        <f>IFERROR(VLOOKUP(A1625,vlookup_table!$A:$G,5,FALSE),"")</f>
        <v>T2</v>
      </c>
      <c r="Q1625">
        <f>IFERROR(VLOOKUP(A1625,vlookup_table!$A:$G,7,FALSE),"")</f>
        <v>20</v>
      </c>
      <c r="R1625">
        <f t="shared" si="100"/>
        <v>73</v>
      </c>
      <c r="S1625" t="str" cm="1">
        <f t="array" ref="S1625">IF(P1625="","",_xlfn.SWITCH(LEFT(P1625,1),"C","Ciudad","T","Pueblo","R","Rural","S","Suburbano","U","Urbano",""))</f>
        <v>Pueblo</v>
      </c>
      <c r="T1625" t="str">
        <f t="shared" si="101"/>
        <v>M</v>
      </c>
      <c r="U1625" t="str">
        <f t="shared" si="102"/>
        <v>OR</v>
      </c>
      <c r="V1625" t="str">
        <f t="shared" si="103"/>
        <v>8973</v>
      </c>
    </row>
    <row r="1626" spans="1:22" x14ac:dyDescent="0.35">
      <c r="A1626">
        <v>123270</v>
      </c>
      <c r="B1626" t="s">
        <v>21</v>
      </c>
      <c r="C1626" t="s">
        <v>14</v>
      </c>
      <c r="D1626">
        <v>435</v>
      </c>
      <c r="E1626">
        <v>174</v>
      </c>
      <c r="F1626">
        <v>289</v>
      </c>
      <c r="G1626">
        <v>1</v>
      </c>
      <c r="H1626">
        <v>7881</v>
      </c>
      <c r="I1626">
        <v>24</v>
      </c>
      <c r="J1626">
        <v>63</v>
      </c>
      <c r="K1626">
        <v>209</v>
      </c>
      <c r="L1626">
        <v>256</v>
      </c>
      <c r="M1626">
        <v>12.83333333</v>
      </c>
      <c r="N1626">
        <f>IFERROR(VLOOKUP(A1626,vlookup_table!$A:$G,2,FALSE),"")</f>
        <v>0</v>
      </c>
      <c r="O1626">
        <f>IFERROR(VLOOKUP(A1626,vlookup_table!$A:$G,4,FALSE),"")</f>
        <v>3508</v>
      </c>
      <c r="P1626" t="str">
        <f>IFERROR(VLOOKUP(A1626,vlookup_table!$A:$G,5,FALSE),"")</f>
        <v>C3</v>
      </c>
      <c r="Q1626">
        <f>IFERROR(VLOOKUP(A1626,vlookup_table!$A:$G,7,FALSE),"")</f>
        <v>10</v>
      </c>
      <c r="R1626">
        <f t="shared" si="100"/>
        <v>62</v>
      </c>
      <c r="S1626" t="str" cm="1">
        <f t="array" ref="S1626">IF(P1626="","",_xlfn.SWITCH(LEFT(P1626,1),"C","Ciudad","T","Pueblo","R","Rural","S","Suburbano","U","Urbano",""))</f>
        <v>Ciudad</v>
      </c>
      <c r="T1626" t="str">
        <f t="shared" si="101"/>
        <v>M</v>
      </c>
      <c r="U1626" t="str">
        <f t="shared" si="102"/>
        <v>TX</v>
      </c>
      <c r="V1626" t="str">
        <f t="shared" si="103"/>
        <v>7881</v>
      </c>
    </row>
    <row r="1627" spans="1:22" x14ac:dyDescent="0.35">
      <c r="A1627">
        <v>133884</v>
      </c>
      <c r="B1627" t="s">
        <v>41</v>
      </c>
      <c r="C1627" t="s">
        <v>17</v>
      </c>
      <c r="D1627">
        <v>609</v>
      </c>
      <c r="E1627">
        <v>250</v>
      </c>
      <c r="F1627">
        <v>323</v>
      </c>
      <c r="G1627">
        <v>1</v>
      </c>
      <c r="H1627">
        <v>10580</v>
      </c>
      <c r="I1627">
        <v>1</v>
      </c>
      <c r="J1627">
        <v>34</v>
      </c>
      <c r="K1627">
        <v>291</v>
      </c>
      <c r="L1627">
        <v>290</v>
      </c>
      <c r="M1627">
        <v>3.9085714290000002</v>
      </c>
      <c r="N1627">
        <f>IFERROR(VLOOKUP(A1627,vlookup_table!$A:$G,2,FALSE),"")</f>
        <v>0</v>
      </c>
      <c r="O1627">
        <f>IFERROR(VLOOKUP(A1627,vlookup_table!$A:$G,4,FALSE),"")</f>
        <v>0</v>
      </c>
      <c r="P1627" t="str">
        <f>IFERROR(VLOOKUP(A1627,vlookup_table!$A:$G,5,FALSE),"")</f>
        <v>T2</v>
      </c>
      <c r="Q1627">
        <f>IFERROR(VLOOKUP(A1627,vlookup_table!$A:$G,7,FALSE),"")</f>
        <v>50</v>
      </c>
      <c r="R1627">
        <f t="shared" si="100"/>
        <v>97</v>
      </c>
      <c r="S1627" t="str" cm="1">
        <f t="array" ref="S1627">IF(P1627="","",_xlfn.SWITCH(LEFT(P1627,1),"C","Ciudad","T","Pueblo","R","Rural","S","Suburbano","U","Urbano",""))</f>
        <v>Pueblo</v>
      </c>
      <c r="T1627" t="str">
        <f t="shared" si="101"/>
        <v>F</v>
      </c>
      <c r="U1627" t="str">
        <f t="shared" si="102"/>
        <v>ID</v>
      </c>
      <c r="V1627" t="str">
        <f t="shared" si="103"/>
        <v>10580</v>
      </c>
    </row>
    <row r="1628" spans="1:22" x14ac:dyDescent="0.35">
      <c r="A1628">
        <v>21815</v>
      </c>
      <c r="B1628" t="s">
        <v>18</v>
      </c>
      <c r="C1628" t="s">
        <v>20</v>
      </c>
      <c r="D1628">
        <v>548</v>
      </c>
      <c r="E1628">
        <v>213</v>
      </c>
      <c r="F1628">
        <v>317</v>
      </c>
      <c r="G1628">
        <v>0</v>
      </c>
      <c r="H1628">
        <v>11564</v>
      </c>
      <c r="I1628">
        <v>1</v>
      </c>
      <c r="J1628">
        <v>86</v>
      </c>
      <c r="K1628">
        <v>307</v>
      </c>
      <c r="L1628">
        <v>256</v>
      </c>
      <c r="M1628">
        <v>5.8</v>
      </c>
      <c r="N1628">
        <f>IFERROR(VLOOKUP(A1628,vlookup_table!$A:$G,2,FALSE),"")</f>
        <v>0</v>
      </c>
      <c r="O1628">
        <f>IFERROR(VLOOKUP(A1628,vlookup_table!$A:$G,4,FALSE),"")</f>
        <v>7101</v>
      </c>
      <c r="P1628" t="str">
        <f>IFERROR(VLOOKUP(A1628,vlookup_table!$A:$G,5,FALSE),"")</f>
        <v>T2</v>
      </c>
      <c r="Q1628">
        <f>IFERROR(VLOOKUP(A1628,vlookup_table!$A:$G,7,FALSE),"")</f>
        <v>5</v>
      </c>
      <c r="R1628">
        <f t="shared" si="100"/>
        <v>26</v>
      </c>
      <c r="S1628" t="str" cm="1">
        <f t="array" ref="S1628">IF(P1628="","",_xlfn.SWITCH(LEFT(P1628,1),"C","Ciudad","T","Pueblo","R","Rural","S","Suburbano","U","Urbano",""))</f>
        <v>Pueblo</v>
      </c>
      <c r="T1628" t="str">
        <f t="shared" si="101"/>
        <v>F</v>
      </c>
      <c r="U1628" t="str">
        <f t="shared" si="102"/>
        <v>NC</v>
      </c>
      <c r="V1628" t="str">
        <f t="shared" si="103"/>
        <v>11564</v>
      </c>
    </row>
    <row r="1629" spans="1:22" x14ac:dyDescent="0.35">
      <c r="A1629">
        <v>56700</v>
      </c>
      <c r="B1629" t="s">
        <v>57</v>
      </c>
      <c r="C1629" t="s">
        <v>14</v>
      </c>
      <c r="D1629">
        <v>447</v>
      </c>
      <c r="E1629">
        <v>214</v>
      </c>
      <c r="F1629">
        <v>314</v>
      </c>
      <c r="G1629">
        <v>0</v>
      </c>
      <c r="H1629">
        <v>12305</v>
      </c>
      <c r="I1629">
        <v>1</v>
      </c>
      <c r="J1629">
        <v>88</v>
      </c>
      <c r="K1629">
        <v>280</v>
      </c>
      <c r="L1629">
        <v>265</v>
      </c>
      <c r="M1629">
        <v>12.33333333</v>
      </c>
      <c r="N1629">
        <f>IFERROR(VLOOKUP(A1629,vlookup_table!$A:$G,2,FALSE),"")</f>
        <v>1</v>
      </c>
      <c r="O1629">
        <f>IFERROR(VLOOKUP(A1629,vlookup_table!$A:$G,4,FALSE),"")</f>
        <v>0</v>
      </c>
      <c r="P1629" t="str">
        <f>IFERROR(VLOOKUP(A1629,vlookup_table!$A:$G,5,FALSE),"")</f>
        <v>C3</v>
      </c>
      <c r="Q1629">
        <f>IFERROR(VLOOKUP(A1629,vlookup_table!$A:$G,7,FALSE),"")</f>
        <v>20</v>
      </c>
      <c r="R1629">
        <f t="shared" si="100"/>
        <v>97</v>
      </c>
      <c r="S1629" t="str" cm="1">
        <f t="array" ref="S1629">IF(P1629="","",_xlfn.SWITCH(LEFT(P1629,1),"C","Ciudad","T","Pueblo","R","Rural","S","Suburbano","U","Urbano",""))</f>
        <v>Ciudad</v>
      </c>
      <c r="T1629" t="str">
        <f t="shared" si="101"/>
        <v>M</v>
      </c>
      <c r="U1629" t="str">
        <f t="shared" si="102"/>
        <v>KY</v>
      </c>
      <c r="V1629" t="str">
        <f t="shared" si="103"/>
        <v>12305</v>
      </c>
    </row>
    <row r="1630" spans="1:22" x14ac:dyDescent="0.35">
      <c r="A1630">
        <v>41920</v>
      </c>
      <c r="B1630" t="s">
        <v>13</v>
      </c>
      <c r="C1630" t="s">
        <v>14</v>
      </c>
      <c r="D1630">
        <v>467</v>
      </c>
      <c r="E1630">
        <v>192</v>
      </c>
      <c r="F1630">
        <v>323</v>
      </c>
      <c r="G1630">
        <v>0</v>
      </c>
      <c r="H1630">
        <v>10376</v>
      </c>
      <c r="I1630">
        <v>6</v>
      </c>
      <c r="J1630">
        <v>33</v>
      </c>
      <c r="K1630">
        <v>261</v>
      </c>
      <c r="L1630">
        <v>261</v>
      </c>
      <c r="M1630">
        <v>15</v>
      </c>
      <c r="N1630">
        <f>IFERROR(VLOOKUP(A1630,vlookup_table!$A:$G,2,FALSE),"")</f>
        <v>0</v>
      </c>
      <c r="O1630">
        <f>IFERROR(VLOOKUP(A1630,vlookup_table!$A:$G,4,FALSE),"")</f>
        <v>4201</v>
      </c>
      <c r="P1630" t="str">
        <f>IFERROR(VLOOKUP(A1630,vlookup_table!$A:$G,5,FALSE),"")</f>
        <v>U4</v>
      </c>
      <c r="Q1630">
        <f>IFERROR(VLOOKUP(A1630,vlookup_table!$A:$G,7,FALSE),"")</f>
        <v>15</v>
      </c>
      <c r="R1630">
        <f t="shared" si="100"/>
        <v>55</v>
      </c>
      <c r="S1630" t="str" cm="1">
        <f t="array" ref="S1630">IF(P1630="","",_xlfn.SWITCH(LEFT(P1630,1),"C","Ciudad","T","Pueblo","R","Rural","S","Suburbano","U","Urbano",""))</f>
        <v>Urbano</v>
      </c>
      <c r="T1630" t="str">
        <f t="shared" si="101"/>
        <v>M</v>
      </c>
      <c r="U1630" t="str">
        <f t="shared" si="102"/>
        <v>FL</v>
      </c>
      <c r="V1630" t="str">
        <f t="shared" si="103"/>
        <v>10376</v>
      </c>
    </row>
    <row r="1631" spans="1:22" x14ac:dyDescent="0.35">
      <c r="A1631">
        <v>68440</v>
      </c>
      <c r="B1631" t="s">
        <v>29</v>
      </c>
      <c r="C1631" t="s">
        <v>14</v>
      </c>
      <c r="D1631">
        <v>327</v>
      </c>
      <c r="E1631">
        <v>232</v>
      </c>
      <c r="F1631">
        <v>325</v>
      </c>
      <c r="G1631">
        <v>0</v>
      </c>
      <c r="H1631">
        <v>12587</v>
      </c>
      <c r="I1631">
        <v>1</v>
      </c>
      <c r="J1631">
        <v>48</v>
      </c>
      <c r="K1631">
        <v>256</v>
      </c>
      <c r="L1631">
        <v>284</v>
      </c>
      <c r="M1631">
        <v>13.66666667</v>
      </c>
      <c r="N1631">
        <f>IFERROR(VLOOKUP(A1631,vlookup_table!$A:$G,2,FALSE),"")</f>
        <v>2</v>
      </c>
      <c r="O1631">
        <f>IFERROR(VLOOKUP(A1631,vlookup_table!$A:$G,4,FALSE),"")</f>
        <v>3101</v>
      </c>
      <c r="P1631" t="str">
        <f>IFERROR(VLOOKUP(A1631,vlookup_table!$A:$G,5,FALSE),"")</f>
        <v>U4</v>
      </c>
      <c r="Q1631">
        <f>IFERROR(VLOOKUP(A1631,vlookup_table!$A:$G,7,FALSE),"")</f>
        <v>15</v>
      </c>
      <c r="R1631">
        <f t="shared" si="100"/>
        <v>66</v>
      </c>
      <c r="S1631" t="str" cm="1">
        <f t="array" ref="S1631">IF(P1631="","",_xlfn.SWITCH(LEFT(P1631,1),"C","Ciudad","T","Pueblo","R","Rural","S","Suburbano","U","Urbano",""))</f>
        <v>Urbano</v>
      </c>
      <c r="T1631" t="str">
        <f t="shared" si="101"/>
        <v>M</v>
      </c>
      <c r="U1631" t="str">
        <f t="shared" si="102"/>
        <v>MI</v>
      </c>
      <c r="V1631" t="str">
        <f t="shared" si="103"/>
        <v>12587</v>
      </c>
    </row>
    <row r="1632" spans="1:22" x14ac:dyDescent="0.35">
      <c r="A1632">
        <v>8013</v>
      </c>
      <c r="B1632" t="s">
        <v>16</v>
      </c>
      <c r="C1632" t="s">
        <v>17</v>
      </c>
      <c r="D1632">
        <v>890</v>
      </c>
      <c r="E1632">
        <v>437</v>
      </c>
      <c r="F1632">
        <v>455</v>
      </c>
      <c r="G1632">
        <v>5</v>
      </c>
      <c r="H1632">
        <v>20927</v>
      </c>
      <c r="I1632">
        <v>13</v>
      </c>
      <c r="J1632">
        <v>63</v>
      </c>
      <c r="K1632">
        <v>426</v>
      </c>
      <c r="L1632">
        <v>459</v>
      </c>
      <c r="M1632">
        <v>8.2857142859999993</v>
      </c>
      <c r="N1632">
        <f>IFERROR(VLOOKUP(A1632,vlookup_table!$A:$G,2,FALSE),"")</f>
        <v>0</v>
      </c>
      <c r="O1632">
        <f>IFERROR(VLOOKUP(A1632,vlookup_table!$A:$G,4,FALSE),"")</f>
        <v>3701</v>
      </c>
      <c r="P1632" t="str">
        <f>IFERROR(VLOOKUP(A1632,vlookup_table!$A:$G,5,FALSE),"")</f>
        <v>S1</v>
      </c>
      <c r="Q1632">
        <f>IFERROR(VLOOKUP(A1632,vlookup_table!$A:$G,7,FALSE),"")</f>
        <v>10</v>
      </c>
      <c r="R1632">
        <f t="shared" si="100"/>
        <v>60</v>
      </c>
      <c r="S1632" t="str" cm="1">
        <f t="array" ref="S1632">IF(P1632="","",_xlfn.SWITCH(LEFT(P1632,1),"C","Ciudad","T","Pueblo","R","Rural","S","Suburbano","U","Urbano",""))</f>
        <v>Suburbano</v>
      </c>
      <c r="T1632" t="str">
        <f t="shared" si="101"/>
        <v>F</v>
      </c>
      <c r="U1632" t="str">
        <f t="shared" si="102"/>
        <v>IL</v>
      </c>
      <c r="V1632" t="str">
        <f t="shared" si="103"/>
        <v>20927</v>
      </c>
    </row>
    <row r="1633" spans="1:22" x14ac:dyDescent="0.35">
      <c r="A1633">
        <v>12801</v>
      </c>
      <c r="B1633" t="s">
        <v>22</v>
      </c>
      <c r="C1633" t="s">
        <v>17</v>
      </c>
      <c r="D1633">
        <v>2947</v>
      </c>
      <c r="E1633">
        <v>564</v>
      </c>
      <c r="F1633">
        <v>754</v>
      </c>
      <c r="G1633">
        <v>86</v>
      </c>
      <c r="H1633">
        <v>44438</v>
      </c>
      <c r="I1633">
        <v>9</v>
      </c>
      <c r="J1633">
        <v>28</v>
      </c>
      <c r="K1633">
        <v>658</v>
      </c>
      <c r="L1633">
        <v>665</v>
      </c>
      <c r="M1633">
        <v>15</v>
      </c>
      <c r="N1633">
        <f>IFERROR(VLOOKUP(A1633,vlookup_table!$A:$G,2,FALSE),"")</f>
        <v>28</v>
      </c>
      <c r="O1633">
        <f>IFERROR(VLOOKUP(A1633,vlookup_table!$A:$G,4,FALSE),"")</f>
        <v>2001</v>
      </c>
      <c r="P1633" t="str">
        <f>IFERROR(VLOOKUP(A1633,vlookup_table!$A:$G,5,FALSE),"")</f>
        <v>S1</v>
      </c>
      <c r="Q1633">
        <f>IFERROR(VLOOKUP(A1633,vlookup_table!$A:$G,7,FALSE),"")</f>
        <v>15</v>
      </c>
      <c r="R1633">
        <f t="shared" si="100"/>
        <v>77</v>
      </c>
      <c r="S1633" t="str" cm="1">
        <f t="array" ref="S1633">IF(P1633="","",_xlfn.SWITCH(LEFT(P1633,1),"C","Ciudad","T","Pueblo","R","Rural","S","Suburbano","U","Urbano",""))</f>
        <v>Suburbano</v>
      </c>
      <c r="T1633" t="str">
        <f t="shared" si="101"/>
        <v>F</v>
      </c>
      <c r="U1633" t="str">
        <f t="shared" si="102"/>
        <v>CA</v>
      </c>
      <c r="V1633" t="str">
        <f t="shared" si="103"/>
        <v>44438</v>
      </c>
    </row>
    <row r="1634" spans="1:22" x14ac:dyDescent="0.35">
      <c r="A1634">
        <v>36495</v>
      </c>
      <c r="B1634" t="s">
        <v>13</v>
      </c>
      <c r="C1634" t="s">
        <v>17</v>
      </c>
      <c r="D1634">
        <v>679</v>
      </c>
      <c r="E1634">
        <v>192</v>
      </c>
      <c r="F1634">
        <v>321</v>
      </c>
      <c r="G1634">
        <v>0</v>
      </c>
      <c r="H1634">
        <v>13762</v>
      </c>
      <c r="I1634">
        <v>28</v>
      </c>
      <c r="J1634">
        <v>11</v>
      </c>
      <c r="K1634">
        <v>238</v>
      </c>
      <c r="L1634">
        <v>242</v>
      </c>
      <c r="M1634">
        <v>7.4285714289999998</v>
      </c>
      <c r="N1634">
        <f>IFERROR(VLOOKUP(A1634,vlookup_table!$A:$G,2,FALSE),"")</f>
        <v>0</v>
      </c>
      <c r="O1634">
        <f>IFERROR(VLOOKUP(A1634,vlookup_table!$A:$G,4,FALSE),"")</f>
        <v>401</v>
      </c>
      <c r="P1634" t="str">
        <f>IFERROR(VLOOKUP(A1634,vlookup_table!$A:$G,5,FALSE),"")</f>
        <v>U3</v>
      </c>
      <c r="Q1634">
        <f>IFERROR(VLOOKUP(A1634,vlookup_table!$A:$G,7,FALSE),"")</f>
        <v>10</v>
      </c>
      <c r="R1634">
        <f t="shared" si="100"/>
        <v>93</v>
      </c>
      <c r="S1634" t="str" cm="1">
        <f t="array" ref="S1634">IF(P1634="","",_xlfn.SWITCH(LEFT(P1634,1),"C","Ciudad","T","Pueblo","R","Rural","S","Suburbano","U","Urbano",""))</f>
        <v>Urbano</v>
      </c>
      <c r="T1634" t="str">
        <f t="shared" si="101"/>
        <v>F</v>
      </c>
      <c r="U1634" t="str">
        <f t="shared" si="102"/>
        <v>FL</v>
      </c>
      <c r="V1634" t="str">
        <f t="shared" si="103"/>
        <v>13762</v>
      </c>
    </row>
    <row r="1635" spans="1:22" x14ac:dyDescent="0.35">
      <c r="A1635">
        <v>151730</v>
      </c>
      <c r="B1635" t="s">
        <v>22</v>
      </c>
      <c r="C1635" t="s">
        <v>17</v>
      </c>
      <c r="D1635">
        <v>1522</v>
      </c>
      <c r="E1635">
        <v>374</v>
      </c>
      <c r="F1635">
        <v>537</v>
      </c>
      <c r="G1635">
        <v>9</v>
      </c>
      <c r="H1635">
        <v>20172</v>
      </c>
      <c r="I1635">
        <v>3</v>
      </c>
      <c r="J1635">
        <v>42</v>
      </c>
      <c r="K1635">
        <v>485</v>
      </c>
      <c r="L1635">
        <v>453</v>
      </c>
      <c r="M1635">
        <v>5</v>
      </c>
      <c r="N1635">
        <f>IFERROR(VLOOKUP(A1635,vlookup_table!$A:$G,2,FALSE),"")</f>
        <v>0</v>
      </c>
      <c r="O1635">
        <f>IFERROR(VLOOKUP(A1635,vlookup_table!$A:$G,4,FALSE),"")</f>
        <v>0</v>
      </c>
      <c r="P1635" t="str">
        <f>IFERROR(VLOOKUP(A1635,vlookup_table!$A:$G,5,FALSE),"")</f>
        <v>U2</v>
      </c>
      <c r="Q1635">
        <f>IFERROR(VLOOKUP(A1635,vlookup_table!$A:$G,7,FALSE),"")</f>
        <v>5</v>
      </c>
      <c r="R1635">
        <f t="shared" si="100"/>
        <v>97</v>
      </c>
      <c r="S1635" t="str" cm="1">
        <f t="array" ref="S1635">IF(P1635="","",_xlfn.SWITCH(LEFT(P1635,1),"C","Ciudad","T","Pueblo","R","Rural","S","Suburbano","U","Urbano",""))</f>
        <v>Urbano</v>
      </c>
      <c r="T1635" t="str">
        <f t="shared" si="101"/>
        <v>F</v>
      </c>
      <c r="U1635" t="str">
        <f t="shared" si="102"/>
        <v>CA</v>
      </c>
      <c r="V1635" t="str">
        <f t="shared" si="103"/>
        <v>20172</v>
      </c>
    </row>
    <row r="1636" spans="1:22" x14ac:dyDescent="0.35">
      <c r="A1636">
        <v>89174</v>
      </c>
      <c r="B1636" t="s">
        <v>16</v>
      </c>
      <c r="C1636" t="s">
        <v>14</v>
      </c>
      <c r="D1636">
        <v>5324</v>
      </c>
      <c r="E1636">
        <v>1159</v>
      </c>
      <c r="F1636">
        <v>1217</v>
      </c>
      <c r="G1636">
        <v>95</v>
      </c>
      <c r="H1636">
        <v>95913</v>
      </c>
      <c r="I1636">
        <v>12</v>
      </c>
      <c r="J1636">
        <v>45</v>
      </c>
      <c r="K1636">
        <v>1500</v>
      </c>
      <c r="L1636">
        <v>1053</v>
      </c>
      <c r="M1636">
        <v>22.25</v>
      </c>
      <c r="N1636">
        <f>IFERROR(VLOOKUP(A1636,vlookup_table!$A:$G,2,FALSE),"")</f>
        <v>1</v>
      </c>
      <c r="O1636">
        <f>IFERROR(VLOOKUP(A1636,vlookup_table!$A:$G,4,FALSE),"")</f>
        <v>805</v>
      </c>
      <c r="P1636" t="str">
        <f>IFERROR(VLOOKUP(A1636,vlookup_table!$A:$G,5,FALSE),"")</f>
        <v>S1</v>
      </c>
      <c r="Q1636">
        <f>IFERROR(VLOOKUP(A1636,vlookup_table!$A:$G,7,FALSE),"")</f>
        <v>20</v>
      </c>
      <c r="R1636">
        <f t="shared" si="100"/>
        <v>89</v>
      </c>
      <c r="S1636" t="str" cm="1">
        <f t="array" ref="S1636">IF(P1636="","",_xlfn.SWITCH(LEFT(P1636,1),"C","Ciudad","T","Pueblo","R","Rural","S","Suburbano","U","Urbano",""))</f>
        <v>Suburbano</v>
      </c>
      <c r="T1636" t="str">
        <f t="shared" si="101"/>
        <v>M</v>
      </c>
      <c r="U1636" t="str">
        <f t="shared" si="102"/>
        <v>IL</v>
      </c>
      <c r="V1636" t="str">
        <f t="shared" si="103"/>
        <v>95913</v>
      </c>
    </row>
    <row r="1637" spans="1:22" x14ac:dyDescent="0.35">
      <c r="A1637">
        <v>5123</v>
      </c>
      <c r="B1637" t="s">
        <v>22</v>
      </c>
      <c r="C1637" t="s">
        <v>17</v>
      </c>
      <c r="D1637">
        <v>1878</v>
      </c>
      <c r="E1637">
        <v>351</v>
      </c>
      <c r="F1637">
        <v>475</v>
      </c>
      <c r="G1637">
        <v>45</v>
      </c>
      <c r="H1637">
        <v>15262</v>
      </c>
      <c r="I1637">
        <v>9</v>
      </c>
      <c r="J1637">
        <v>62</v>
      </c>
      <c r="K1637">
        <v>439</v>
      </c>
      <c r="L1637">
        <v>389</v>
      </c>
      <c r="M1637">
        <v>5.3</v>
      </c>
      <c r="N1637">
        <f>IFERROR(VLOOKUP(A1637,vlookup_table!$A:$G,2,FALSE),"")</f>
        <v>2</v>
      </c>
      <c r="O1637">
        <f>IFERROR(VLOOKUP(A1637,vlookup_table!$A:$G,4,FALSE),"")</f>
        <v>0</v>
      </c>
      <c r="P1637" t="str">
        <f>IFERROR(VLOOKUP(A1637,vlookup_table!$A:$G,5,FALSE),"")</f>
        <v>T2</v>
      </c>
      <c r="Q1637">
        <f>IFERROR(VLOOKUP(A1637,vlookup_table!$A:$G,7,FALSE),"")</f>
        <v>6</v>
      </c>
      <c r="R1637">
        <f t="shared" si="100"/>
        <v>97</v>
      </c>
      <c r="S1637" t="str" cm="1">
        <f t="array" ref="S1637">IF(P1637="","",_xlfn.SWITCH(LEFT(P1637,1),"C","Ciudad","T","Pueblo","R","Rural","S","Suburbano","U","Urbano",""))</f>
        <v>Pueblo</v>
      </c>
      <c r="T1637" t="str">
        <f t="shared" si="101"/>
        <v>F</v>
      </c>
      <c r="U1637" t="str">
        <f t="shared" si="102"/>
        <v>CA</v>
      </c>
      <c r="V1637" t="str">
        <f t="shared" si="103"/>
        <v>15262</v>
      </c>
    </row>
    <row r="1638" spans="1:22" x14ac:dyDescent="0.35">
      <c r="A1638">
        <v>3931</v>
      </c>
      <c r="B1638" t="s">
        <v>33</v>
      </c>
      <c r="C1638" t="s">
        <v>17</v>
      </c>
      <c r="D1638">
        <v>529</v>
      </c>
      <c r="E1638">
        <v>277</v>
      </c>
      <c r="F1638">
        <v>397</v>
      </c>
      <c r="G1638">
        <v>0</v>
      </c>
      <c r="H1638">
        <v>12618</v>
      </c>
      <c r="I1638">
        <v>2</v>
      </c>
      <c r="J1638">
        <v>71</v>
      </c>
      <c r="K1638">
        <v>360</v>
      </c>
      <c r="L1638">
        <v>345</v>
      </c>
      <c r="M1638">
        <v>17.5</v>
      </c>
      <c r="N1638">
        <f>IFERROR(VLOOKUP(A1638,vlookup_table!$A:$G,2,FALSE),"")</f>
        <v>2</v>
      </c>
      <c r="O1638">
        <f>IFERROR(VLOOKUP(A1638,vlookup_table!$A:$G,4,FALSE),"")</f>
        <v>0</v>
      </c>
      <c r="P1638" t="str">
        <f>IFERROR(VLOOKUP(A1638,vlookup_table!$A:$G,5,FALSE),"")</f>
        <v>C2</v>
      </c>
      <c r="Q1638">
        <f>IFERROR(VLOOKUP(A1638,vlookup_table!$A:$G,7,FALSE),"")</f>
        <v>10</v>
      </c>
      <c r="R1638">
        <f t="shared" si="100"/>
        <v>97</v>
      </c>
      <c r="S1638" t="str" cm="1">
        <f t="array" ref="S1638">IF(P1638="","",_xlfn.SWITCH(LEFT(P1638,1),"C","Ciudad","T","Pueblo","R","Rural","S","Suburbano","U","Urbano",""))</f>
        <v>Ciudad</v>
      </c>
      <c r="T1638" t="str">
        <f t="shared" si="101"/>
        <v>F</v>
      </c>
      <c r="U1638" t="str">
        <f t="shared" si="102"/>
        <v>IN</v>
      </c>
      <c r="V1638" t="str">
        <f t="shared" si="103"/>
        <v>12618</v>
      </c>
    </row>
    <row r="1639" spans="1:22" x14ac:dyDescent="0.35">
      <c r="A1639">
        <v>8330</v>
      </c>
      <c r="B1639" t="s">
        <v>13</v>
      </c>
      <c r="C1639" t="s">
        <v>17</v>
      </c>
      <c r="D1639">
        <v>742</v>
      </c>
      <c r="E1639">
        <v>239</v>
      </c>
      <c r="F1639">
        <v>356</v>
      </c>
      <c r="G1639">
        <v>9</v>
      </c>
      <c r="H1639">
        <v>18464</v>
      </c>
      <c r="I1639">
        <v>10</v>
      </c>
      <c r="J1639">
        <v>0</v>
      </c>
      <c r="K1639">
        <v>293</v>
      </c>
      <c r="L1639">
        <v>290</v>
      </c>
      <c r="M1639">
        <v>5.7272727269999999</v>
      </c>
      <c r="N1639">
        <f>IFERROR(VLOOKUP(A1639,vlookup_table!$A:$G,2,FALSE),"")</f>
        <v>28</v>
      </c>
      <c r="O1639">
        <f>IFERROR(VLOOKUP(A1639,vlookup_table!$A:$G,4,FALSE),"")</f>
        <v>2501</v>
      </c>
      <c r="P1639" t="str">
        <f>IFERROR(VLOOKUP(A1639,vlookup_table!$A:$G,5,FALSE),"")</f>
        <v>C2</v>
      </c>
      <c r="Q1639">
        <f>IFERROR(VLOOKUP(A1639,vlookup_table!$A:$G,7,FALSE),"")</f>
        <v>5</v>
      </c>
      <c r="R1639">
        <f t="shared" si="100"/>
        <v>72</v>
      </c>
      <c r="S1639" t="str" cm="1">
        <f t="array" ref="S1639">IF(P1639="","",_xlfn.SWITCH(LEFT(P1639,1),"C","Ciudad","T","Pueblo","R","Rural","S","Suburbano","U","Urbano",""))</f>
        <v>Ciudad</v>
      </c>
      <c r="T1639" t="str">
        <f t="shared" si="101"/>
        <v>F</v>
      </c>
      <c r="U1639" t="str">
        <f t="shared" si="102"/>
        <v>FL</v>
      </c>
      <c r="V1639" t="str">
        <f t="shared" si="103"/>
        <v>18464</v>
      </c>
    </row>
    <row r="1640" spans="1:22" x14ac:dyDescent="0.35">
      <c r="A1640">
        <v>113354</v>
      </c>
      <c r="B1640" t="s">
        <v>31</v>
      </c>
      <c r="C1640" t="s">
        <v>17</v>
      </c>
      <c r="D1640">
        <v>466</v>
      </c>
      <c r="E1640">
        <v>332</v>
      </c>
      <c r="F1640">
        <v>399</v>
      </c>
      <c r="G1640">
        <v>0</v>
      </c>
      <c r="H1640">
        <v>12452</v>
      </c>
      <c r="I1640">
        <v>5</v>
      </c>
      <c r="J1640">
        <v>69</v>
      </c>
      <c r="K1640">
        <v>368</v>
      </c>
      <c r="L1640">
        <v>368</v>
      </c>
      <c r="M1640">
        <v>10.878787880000001</v>
      </c>
      <c r="N1640">
        <f>IFERROR(VLOOKUP(A1640,vlookup_table!$A:$G,2,FALSE),"")</f>
        <v>0</v>
      </c>
      <c r="O1640">
        <f>IFERROR(VLOOKUP(A1640,vlookup_table!$A:$G,4,FALSE),"")</f>
        <v>5501</v>
      </c>
      <c r="P1640" t="str">
        <f>IFERROR(VLOOKUP(A1640,vlookup_table!$A:$G,5,FALSE),"")</f>
        <v>S2</v>
      </c>
      <c r="Q1640">
        <f>IFERROR(VLOOKUP(A1640,vlookup_table!$A:$G,7,FALSE),"")</f>
        <v>20</v>
      </c>
      <c r="R1640">
        <f t="shared" si="100"/>
        <v>42</v>
      </c>
      <c r="S1640" t="str" cm="1">
        <f t="array" ref="S1640">IF(P1640="","",_xlfn.SWITCH(LEFT(P1640,1),"C","Ciudad","T","Pueblo","R","Rural","S","Suburbano","U","Urbano",""))</f>
        <v>Suburbano</v>
      </c>
      <c r="T1640" t="str">
        <f t="shared" si="101"/>
        <v>F</v>
      </c>
      <c r="U1640" t="str">
        <f t="shared" si="102"/>
        <v>OK</v>
      </c>
      <c r="V1640" t="str">
        <f t="shared" si="103"/>
        <v>12452</v>
      </c>
    </row>
    <row r="1641" spans="1:22" x14ac:dyDescent="0.35">
      <c r="A1641">
        <v>164296</v>
      </c>
      <c r="B1641" t="s">
        <v>22</v>
      </c>
      <c r="C1641" t="s">
        <v>17</v>
      </c>
      <c r="D1641">
        <v>911</v>
      </c>
      <c r="E1641">
        <v>325</v>
      </c>
      <c r="F1641">
        <v>384</v>
      </c>
      <c r="G1641">
        <v>0</v>
      </c>
      <c r="H1641">
        <v>16016</v>
      </c>
      <c r="I1641">
        <v>8</v>
      </c>
      <c r="J1641">
        <v>58</v>
      </c>
      <c r="K1641">
        <v>358</v>
      </c>
      <c r="L1641">
        <v>330</v>
      </c>
      <c r="M1641">
        <v>5.9444444440000002</v>
      </c>
      <c r="N1641">
        <f>IFERROR(VLOOKUP(A1641,vlookup_table!$A:$G,2,FALSE),"")</f>
        <v>2</v>
      </c>
      <c r="O1641">
        <f>IFERROR(VLOOKUP(A1641,vlookup_table!$A:$G,4,FALSE),"")</f>
        <v>3601</v>
      </c>
      <c r="P1641" t="str">
        <f>IFERROR(VLOOKUP(A1641,vlookup_table!$A:$G,5,FALSE),"")</f>
        <v>S2</v>
      </c>
      <c r="Q1641">
        <f>IFERROR(VLOOKUP(A1641,vlookup_table!$A:$G,7,FALSE),"")</f>
        <v>10</v>
      </c>
      <c r="R1641">
        <f t="shared" si="100"/>
        <v>61</v>
      </c>
      <c r="S1641" t="str" cm="1">
        <f t="array" ref="S1641">IF(P1641="","",_xlfn.SWITCH(LEFT(P1641,1),"C","Ciudad","T","Pueblo","R","Rural","S","Suburbano","U","Urbano",""))</f>
        <v>Suburbano</v>
      </c>
      <c r="T1641" t="str">
        <f t="shared" si="101"/>
        <v>F</v>
      </c>
      <c r="U1641" t="str">
        <f t="shared" si="102"/>
        <v>CA</v>
      </c>
      <c r="V1641" t="str">
        <f t="shared" si="103"/>
        <v>16016</v>
      </c>
    </row>
    <row r="1642" spans="1:22" x14ac:dyDescent="0.35">
      <c r="A1642">
        <v>184017</v>
      </c>
      <c r="B1642" t="s">
        <v>40</v>
      </c>
      <c r="C1642" t="s">
        <v>51</v>
      </c>
      <c r="D1642">
        <v>952</v>
      </c>
      <c r="E1642">
        <v>414</v>
      </c>
      <c r="F1642">
        <v>529</v>
      </c>
      <c r="G1642">
        <v>4</v>
      </c>
      <c r="H1642">
        <v>23125</v>
      </c>
      <c r="I1642">
        <v>2</v>
      </c>
      <c r="J1642">
        <v>48</v>
      </c>
      <c r="K1642">
        <v>452</v>
      </c>
      <c r="L1642">
        <v>484</v>
      </c>
      <c r="M1642">
        <v>14.222222220000001</v>
      </c>
      <c r="N1642">
        <f>IFERROR(VLOOKUP(A1642,vlookup_table!$A:$G,2,FALSE),"")</f>
        <v>1002</v>
      </c>
      <c r="O1642">
        <f>IFERROR(VLOOKUP(A1642,vlookup_table!$A:$G,4,FALSE),"")</f>
        <v>3501</v>
      </c>
      <c r="P1642" t="str">
        <f>IFERROR(VLOOKUP(A1642,vlookup_table!$A:$G,5,FALSE),"")</f>
        <v>R1</v>
      </c>
      <c r="Q1642">
        <f>IFERROR(VLOOKUP(A1642,vlookup_table!$A:$G,7,FALSE),"")</f>
        <v>20</v>
      </c>
      <c r="R1642">
        <f t="shared" si="100"/>
        <v>62</v>
      </c>
      <c r="S1642" t="str" cm="1">
        <f t="array" ref="S1642">IF(P1642="","",_xlfn.SWITCH(LEFT(P1642,1),"C","Ciudad","T","Pueblo","R","Rural","S","Suburbano","U","Urbano",""))</f>
        <v>Rural</v>
      </c>
      <c r="T1642" t="str">
        <f t="shared" si="101"/>
        <v>M</v>
      </c>
      <c r="U1642" t="str">
        <f t="shared" si="102"/>
        <v>WA</v>
      </c>
      <c r="V1642" t="str">
        <f t="shared" si="103"/>
        <v>23125</v>
      </c>
    </row>
    <row r="1643" spans="1:22" x14ac:dyDescent="0.35">
      <c r="A1643">
        <v>37852</v>
      </c>
      <c r="B1643" t="s">
        <v>13</v>
      </c>
      <c r="C1643" t="s">
        <v>14</v>
      </c>
      <c r="D1643">
        <v>879</v>
      </c>
      <c r="E1643">
        <v>235</v>
      </c>
      <c r="F1643">
        <v>327</v>
      </c>
      <c r="G1643">
        <v>1</v>
      </c>
      <c r="H1643">
        <v>9954</v>
      </c>
      <c r="I1643">
        <v>70</v>
      </c>
      <c r="J1643">
        <v>17</v>
      </c>
      <c r="K1643">
        <v>251</v>
      </c>
      <c r="L1643">
        <v>303</v>
      </c>
      <c r="M1643">
        <v>10.5</v>
      </c>
      <c r="N1643">
        <f>IFERROR(VLOOKUP(A1643,vlookup_table!$A:$G,2,FALSE),"")</f>
        <v>0</v>
      </c>
      <c r="O1643">
        <f>IFERROR(VLOOKUP(A1643,vlookup_table!$A:$G,4,FALSE),"")</f>
        <v>6009</v>
      </c>
      <c r="P1643" t="str">
        <f>IFERROR(VLOOKUP(A1643,vlookup_table!$A:$G,5,FALSE),"")</f>
        <v>U3</v>
      </c>
      <c r="Q1643">
        <f>IFERROR(VLOOKUP(A1643,vlookup_table!$A:$G,7,FALSE),"")</f>
        <v>20</v>
      </c>
      <c r="R1643">
        <f t="shared" si="100"/>
        <v>37</v>
      </c>
      <c r="S1643" t="str" cm="1">
        <f t="array" ref="S1643">IF(P1643="","",_xlfn.SWITCH(LEFT(P1643,1),"C","Ciudad","T","Pueblo","R","Rural","S","Suburbano","U","Urbano",""))</f>
        <v>Urbano</v>
      </c>
      <c r="T1643" t="str">
        <f t="shared" si="101"/>
        <v>M</v>
      </c>
      <c r="U1643" t="str">
        <f t="shared" si="102"/>
        <v>FL</v>
      </c>
      <c r="V1643" t="str">
        <f t="shared" si="103"/>
        <v>9954</v>
      </c>
    </row>
    <row r="1644" spans="1:22" x14ac:dyDescent="0.35">
      <c r="A1644">
        <v>64170</v>
      </c>
      <c r="B1644" t="s">
        <v>33</v>
      </c>
      <c r="C1644" t="s">
        <v>17</v>
      </c>
      <c r="D1644">
        <v>573</v>
      </c>
      <c r="E1644">
        <v>393</v>
      </c>
      <c r="F1644">
        <v>471</v>
      </c>
      <c r="G1644">
        <v>1</v>
      </c>
      <c r="H1644">
        <v>16377</v>
      </c>
      <c r="I1644">
        <v>0</v>
      </c>
      <c r="J1644">
        <v>69</v>
      </c>
      <c r="K1644">
        <v>437</v>
      </c>
      <c r="L1644">
        <v>413</v>
      </c>
      <c r="M1644">
        <v>16.285714290000001</v>
      </c>
      <c r="N1644">
        <f>IFERROR(VLOOKUP(A1644,vlookup_table!$A:$G,2,FALSE),"")</f>
        <v>0</v>
      </c>
      <c r="O1644">
        <f>IFERROR(VLOOKUP(A1644,vlookup_table!$A:$G,4,FALSE),"")</f>
        <v>3001</v>
      </c>
      <c r="P1644" t="str">
        <f>IFERROR(VLOOKUP(A1644,vlookup_table!$A:$G,5,FALSE),"")</f>
        <v>T2</v>
      </c>
      <c r="Q1644">
        <f>IFERROR(VLOOKUP(A1644,vlookup_table!$A:$G,7,FALSE),"")</f>
        <v>15</v>
      </c>
      <c r="R1644">
        <f t="shared" si="100"/>
        <v>67</v>
      </c>
      <c r="S1644" t="str" cm="1">
        <f t="array" ref="S1644">IF(P1644="","",_xlfn.SWITCH(LEFT(P1644,1),"C","Ciudad","T","Pueblo","R","Rural","S","Suburbano","U","Urbano",""))</f>
        <v>Pueblo</v>
      </c>
      <c r="T1644" t="str">
        <f t="shared" si="101"/>
        <v>F</v>
      </c>
      <c r="U1644" t="str">
        <f t="shared" si="102"/>
        <v>IN</v>
      </c>
      <c r="V1644" t="str">
        <f t="shared" si="103"/>
        <v>16377</v>
      </c>
    </row>
    <row r="1645" spans="1:22" x14ac:dyDescent="0.35">
      <c r="A1645">
        <v>152118</v>
      </c>
      <c r="B1645" t="s">
        <v>22</v>
      </c>
      <c r="C1645" t="s">
        <v>17</v>
      </c>
      <c r="D1645">
        <v>1644</v>
      </c>
      <c r="E1645">
        <v>396</v>
      </c>
      <c r="F1645">
        <v>489</v>
      </c>
      <c r="G1645">
        <v>35</v>
      </c>
      <c r="H1645">
        <v>16298</v>
      </c>
      <c r="I1645">
        <v>3</v>
      </c>
      <c r="J1645">
        <v>54</v>
      </c>
      <c r="K1645">
        <v>426</v>
      </c>
      <c r="L1645">
        <v>450</v>
      </c>
      <c r="M1645">
        <v>3</v>
      </c>
      <c r="N1645">
        <f>IFERROR(VLOOKUP(A1645,vlookup_table!$A:$G,2,FALSE),"")</f>
        <v>2</v>
      </c>
      <c r="O1645">
        <f>IFERROR(VLOOKUP(A1645,vlookup_table!$A:$G,4,FALSE),"")</f>
        <v>2209</v>
      </c>
      <c r="P1645" t="str">
        <f>IFERROR(VLOOKUP(A1645,vlookup_table!$A:$G,5,FALSE),"")</f>
        <v>S2</v>
      </c>
      <c r="Q1645">
        <f>IFERROR(VLOOKUP(A1645,vlookup_table!$A:$G,7,FALSE),"")</f>
        <v>4</v>
      </c>
      <c r="R1645">
        <f t="shared" si="100"/>
        <v>75</v>
      </c>
      <c r="S1645" t="str" cm="1">
        <f t="array" ref="S1645">IF(P1645="","",_xlfn.SWITCH(LEFT(P1645,1),"C","Ciudad","T","Pueblo","R","Rural","S","Suburbano","U","Urbano",""))</f>
        <v>Suburbano</v>
      </c>
      <c r="T1645" t="str">
        <f t="shared" si="101"/>
        <v>F</v>
      </c>
      <c r="U1645" t="str">
        <f t="shared" si="102"/>
        <v>CA</v>
      </c>
      <c r="V1645" t="str">
        <f t="shared" si="103"/>
        <v>16298</v>
      </c>
    </row>
    <row r="1646" spans="1:22" x14ac:dyDescent="0.35">
      <c r="A1646">
        <v>190281</v>
      </c>
      <c r="B1646" t="s">
        <v>48</v>
      </c>
      <c r="C1646" t="s">
        <v>17</v>
      </c>
      <c r="D1646">
        <v>905</v>
      </c>
      <c r="E1646">
        <v>215</v>
      </c>
      <c r="F1646">
        <v>331</v>
      </c>
      <c r="G1646">
        <v>3</v>
      </c>
      <c r="H1646">
        <v>10917</v>
      </c>
      <c r="I1646">
        <v>10</v>
      </c>
      <c r="J1646">
        <v>37</v>
      </c>
      <c r="K1646">
        <v>245</v>
      </c>
      <c r="L1646">
        <v>269</v>
      </c>
      <c r="M1646">
        <v>13.14285714</v>
      </c>
      <c r="N1646">
        <f>IFERROR(VLOOKUP(A1646,vlookup_table!$A:$G,2,FALSE),"")</f>
        <v>2</v>
      </c>
      <c r="O1646">
        <f>IFERROR(VLOOKUP(A1646,vlookup_table!$A:$G,4,FALSE),"")</f>
        <v>0</v>
      </c>
      <c r="P1646" t="str">
        <f>IFERROR(VLOOKUP(A1646,vlookup_table!$A:$G,5,FALSE),"")</f>
        <v>S3</v>
      </c>
      <c r="Q1646">
        <f>IFERROR(VLOOKUP(A1646,vlookup_table!$A:$G,7,FALSE),"")</f>
        <v>25</v>
      </c>
      <c r="R1646">
        <f t="shared" si="100"/>
        <v>97</v>
      </c>
      <c r="S1646" t="str" cm="1">
        <f t="array" ref="S1646">IF(P1646="","",_xlfn.SWITCH(LEFT(P1646,1),"C","Ciudad","T","Pueblo","R","Rural","S","Suburbano","U","Urbano",""))</f>
        <v>Suburbano</v>
      </c>
      <c r="T1646" t="str">
        <f t="shared" si="101"/>
        <v>F</v>
      </c>
      <c r="U1646" t="str">
        <f t="shared" si="102"/>
        <v>CO</v>
      </c>
      <c r="V1646" t="str">
        <f t="shared" si="103"/>
        <v>10917</v>
      </c>
    </row>
    <row r="1647" spans="1:22" x14ac:dyDescent="0.35">
      <c r="A1647">
        <v>28786</v>
      </c>
      <c r="B1647" t="s">
        <v>39</v>
      </c>
      <c r="C1647" t="s">
        <v>17</v>
      </c>
      <c r="D1647">
        <v>406</v>
      </c>
      <c r="E1647">
        <v>183</v>
      </c>
      <c r="F1647">
        <v>287</v>
      </c>
      <c r="G1647">
        <v>1</v>
      </c>
      <c r="H1647">
        <v>8848</v>
      </c>
      <c r="I1647">
        <v>0</v>
      </c>
      <c r="J1647">
        <v>83</v>
      </c>
      <c r="K1647">
        <v>225</v>
      </c>
      <c r="L1647">
        <v>245</v>
      </c>
      <c r="M1647">
        <v>7.4444444440000002</v>
      </c>
      <c r="N1647">
        <f>IFERROR(VLOOKUP(A1647,vlookup_table!$A:$G,2,FALSE),"")</f>
        <v>0</v>
      </c>
      <c r="O1647">
        <f>IFERROR(VLOOKUP(A1647,vlookup_table!$A:$G,4,FALSE),"")</f>
        <v>0</v>
      </c>
      <c r="P1647" t="str">
        <f>IFERROR(VLOOKUP(A1647,vlookup_table!$A:$G,5,FALSE),"")</f>
        <v>R3</v>
      </c>
      <c r="Q1647">
        <f>IFERROR(VLOOKUP(A1647,vlookup_table!$A:$G,7,FALSE),"")</f>
        <v>10</v>
      </c>
      <c r="R1647">
        <f t="shared" si="100"/>
        <v>97</v>
      </c>
      <c r="S1647" t="str" cm="1">
        <f t="array" ref="S1647">IF(P1647="","",_xlfn.SWITCH(LEFT(P1647,1),"C","Ciudad","T","Pueblo","R","Rural","S","Suburbano","U","Urbano",""))</f>
        <v>Rural</v>
      </c>
      <c r="T1647" t="str">
        <f t="shared" si="101"/>
        <v>F</v>
      </c>
      <c r="U1647" t="str">
        <f t="shared" si="102"/>
        <v>GA</v>
      </c>
      <c r="V1647" t="str">
        <f t="shared" si="103"/>
        <v>8848</v>
      </c>
    </row>
    <row r="1648" spans="1:22" x14ac:dyDescent="0.35">
      <c r="A1648">
        <v>45551</v>
      </c>
      <c r="B1648" t="s">
        <v>13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12.5</v>
      </c>
      <c r="N1648">
        <f>IFERROR(VLOOKUP(A1648,vlookup_table!$A:$G,2,FALSE),"")</f>
        <v>2</v>
      </c>
      <c r="O1648">
        <f>IFERROR(VLOOKUP(A1648,vlookup_table!$A:$G,4,FALSE),"")</f>
        <v>0</v>
      </c>
      <c r="P1648" t="str">
        <f>IFERROR(VLOOKUP(A1648,vlookup_table!$A:$G,5,FALSE),"")</f>
        <v>S3</v>
      </c>
      <c r="Q1648">
        <f>IFERROR(VLOOKUP(A1648,vlookup_table!$A:$G,7,FALSE),"")</f>
        <v>15</v>
      </c>
      <c r="R1648">
        <f t="shared" si="100"/>
        <v>97</v>
      </c>
      <c r="S1648" t="str" cm="1">
        <f t="array" ref="S1648">IF(P1648="","",_xlfn.SWITCH(LEFT(P1648,1),"C","Ciudad","T","Pueblo","R","Rural","S","Suburbano","U","Urbano",""))</f>
        <v>Suburbano</v>
      </c>
      <c r="T1648" t="str">
        <f t="shared" si="101"/>
        <v/>
      </c>
      <c r="U1648" t="str">
        <f t="shared" si="102"/>
        <v>FL</v>
      </c>
      <c r="V1648" t="str">
        <f t="shared" si="103"/>
        <v>0</v>
      </c>
    </row>
    <row r="1649" spans="1:22" x14ac:dyDescent="0.35">
      <c r="A1649">
        <v>181931</v>
      </c>
      <c r="B1649" t="s">
        <v>40</v>
      </c>
      <c r="C1649" t="s">
        <v>17</v>
      </c>
      <c r="D1649">
        <v>430</v>
      </c>
      <c r="E1649">
        <v>221</v>
      </c>
      <c r="F1649">
        <v>243</v>
      </c>
      <c r="G1649">
        <v>0</v>
      </c>
      <c r="H1649">
        <v>8096</v>
      </c>
      <c r="I1649">
        <v>5</v>
      </c>
      <c r="J1649">
        <v>59</v>
      </c>
      <c r="K1649">
        <v>234</v>
      </c>
      <c r="L1649">
        <v>236</v>
      </c>
      <c r="M1649">
        <v>10.272727270000001</v>
      </c>
      <c r="N1649">
        <f>IFERROR(VLOOKUP(A1649,vlookup_table!$A:$G,2,FALSE),"")</f>
        <v>0</v>
      </c>
      <c r="O1649">
        <f>IFERROR(VLOOKUP(A1649,vlookup_table!$A:$G,4,FALSE),"")</f>
        <v>1909</v>
      </c>
      <c r="P1649" t="str">
        <f>IFERROR(VLOOKUP(A1649,vlookup_table!$A:$G,5,FALSE),"")</f>
        <v>U1</v>
      </c>
      <c r="Q1649">
        <f>IFERROR(VLOOKUP(A1649,vlookup_table!$A:$G,7,FALSE),"")</f>
        <v>13</v>
      </c>
      <c r="R1649">
        <f t="shared" si="100"/>
        <v>78</v>
      </c>
      <c r="S1649" t="str" cm="1">
        <f t="array" ref="S1649">IF(P1649="","",_xlfn.SWITCH(LEFT(P1649,1),"C","Ciudad","T","Pueblo","R","Rural","S","Suburbano","U","Urbano",""))</f>
        <v>Urbano</v>
      </c>
      <c r="T1649" t="str">
        <f t="shared" si="101"/>
        <v>F</v>
      </c>
      <c r="U1649" t="str">
        <f t="shared" si="102"/>
        <v>WA</v>
      </c>
      <c r="V1649" t="str">
        <f t="shared" si="103"/>
        <v>8096</v>
      </c>
    </row>
    <row r="1650" spans="1:22" x14ac:dyDescent="0.35">
      <c r="A1650">
        <v>45431</v>
      </c>
      <c r="B1650" t="s">
        <v>13</v>
      </c>
      <c r="C1650" t="s">
        <v>17</v>
      </c>
      <c r="D1650">
        <v>492</v>
      </c>
      <c r="E1650">
        <v>200</v>
      </c>
      <c r="F1650">
        <v>288</v>
      </c>
      <c r="G1650">
        <v>0</v>
      </c>
      <c r="H1650">
        <v>13616</v>
      </c>
      <c r="I1650">
        <v>10</v>
      </c>
      <c r="J1650">
        <v>7</v>
      </c>
      <c r="K1650">
        <v>244</v>
      </c>
      <c r="L1650">
        <v>243</v>
      </c>
      <c r="M1650">
        <v>15</v>
      </c>
      <c r="N1650">
        <f>IFERROR(VLOOKUP(A1650,vlookup_table!$A:$G,2,FALSE),"")</f>
        <v>1</v>
      </c>
      <c r="O1650">
        <f>IFERROR(VLOOKUP(A1650,vlookup_table!$A:$G,4,FALSE),"")</f>
        <v>2609</v>
      </c>
      <c r="P1650" t="str">
        <f>IFERROR(VLOOKUP(A1650,vlookup_table!$A:$G,5,FALSE),"")</f>
        <v>C3</v>
      </c>
      <c r="Q1650">
        <f>IFERROR(VLOOKUP(A1650,vlookup_table!$A:$G,7,FALSE),"")</f>
        <v>20</v>
      </c>
      <c r="R1650">
        <f t="shared" si="100"/>
        <v>71</v>
      </c>
      <c r="S1650" t="str" cm="1">
        <f t="array" ref="S1650">IF(P1650="","",_xlfn.SWITCH(LEFT(P1650,1),"C","Ciudad","T","Pueblo","R","Rural","S","Suburbano","U","Urbano",""))</f>
        <v>Ciudad</v>
      </c>
      <c r="T1650" t="str">
        <f t="shared" si="101"/>
        <v>F</v>
      </c>
      <c r="U1650" t="str">
        <f t="shared" si="102"/>
        <v>FL</v>
      </c>
      <c r="V1650" t="str">
        <f t="shared" si="103"/>
        <v>13616</v>
      </c>
    </row>
    <row r="1651" spans="1:22" x14ac:dyDescent="0.35">
      <c r="A1651">
        <v>25635</v>
      </c>
      <c r="B1651" t="s">
        <v>39</v>
      </c>
      <c r="C1651" t="s">
        <v>14</v>
      </c>
      <c r="D1651">
        <v>553</v>
      </c>
      <c r="E1651">
        <v>325</v>
      </c>
      <c r="F1651">
        <v>345</v>
      </c>
      <c r="G1651">
        <v>0</v>
      </c>
      <c r="H1651">
        <v>11881</v>
      </c>
      <c r="I1651">
        <v>2</v>
      </c>
      <c r="J1651">
        <v>69</v>
      </c>
      <c r="K1651">
        <v>334</v>
      </c>
      <c r="L1651">
        <v>343</v>
      </c>
      <c r="M1651">
        <v>7.2</v>
      </c>
      <c r="N1651">
        <f>IFERROR(VLOOKUP(A1651,vlookup_table!$A:$G,2,FALSE),"")</f>
        <v>1</v>
      </c>
      <c r="O1651">
        <f>IFERROR(VLOOKUP(A1651,vlookup_table!$A:$G,4,FALSE),"")</f>
        <v>2001</v>
      </c>
      <c r="P1651" t="str">
        <f>IFERROR(VLOOKUP(A1651,vlookup_table!$A:$G,5,FALSE),"")</f>
        <v>S2</v>
      </c>
      <c r="Q1651">
        <f>IFERROR(VLOOKUP(A1651,vlookup_table!$A:$G,7,FALSE),"")</f>
        <v>11</v>
      </c>
      <c r="R1651">
        <f t="shared" si="100"/>
        <v>77</v>
      </c>
      <c r="S1651" t="str" cm="1">
        <f t="array" ref="S1651">IF(P1651="","",_xlfn.SWITCH(LEFT(P1651,1),"C","Ciudad","T","Pueblo","R","Rural","S","Suburbano","U","Urbano",""))</f>
        <v>Suburbano</v>
      </c>
      <c r="T1651" t="str">
        <f t="shared" si="101"/>
        <v>M</v>
      </c>
      <c r="U1651" t="str">
        <f t="shared" si="102"/>
        <v>GA</v>
      </c>
      <c r="V1651" t="str">
        <f t="shared" si="103"/>
        <v>11881</v>
      </c>
    </row>
    <row r="1652" spans="1:22" x14ac:dyDescent="0.35">
      <c r="A1652">
        <v>135112</v>
      </c>
      <c r="B1652" t="s">
        <v>64</v>
      </c>
      <c r="C1652" t="s">
        <v>60</v>
      </c>
      <c r="D1652">
        <v>719</v>
      </c>
      <c r="E1652">
        <v>313</v>
      </c>
      <c r="F1652">
        <v>407</v>
      </c>
      <c r="G1652">
        <v>1</v>
      </c>
      <c r="H1652">
        <v>13050</v>
      </c>
      <c r="I1652">
        <v>2</v>
      </c>
      <c r="J1652">
        <v>52</v>
      </c>
      <c r="K1652">
        <v>366</v>
      </c>
      <c r="L1652">
        <v>331</v>
      </c>
      <c r="M1652">
        <v>5.4285714289999998</v>
      </c>
      <c r="N1652">
        <f>IFERROR(VLOOKUP(A1652,vlookup_table!$A:$G,2,FALSE),"")</f>
        <v>0</v>
      </c>
      <c r="O1652">
        <f>IFERROR(VLOOKUP(A1652,vlookup_table!$A:$G,4,FALSE),"")</f>
        <v>3001</v>
      </c>
      <c r="P1652" t="str">
        <f>IFERROR(VLOOKUP(A1652,vlookup_table!$A:$G,5,FALSE),"")</f>
        <v>U2</v>
      </c>
      <c r="Q1652">
        <f>IFERROR(VLOOKUP(A1652,vlookup_table!$A:$G,7,FALSE),"")</f>
        <v>8</v>
      </c>
      <c r="R1652">
        <f t="shared" si="100"/>
        <v>67</v>
      </c>
      <c r="S1652" t="str" cm="1">
        <f t="array" ref="S1652">IF(P1652="","",_xlfn.SWITCH(LEFT(P1652,1),"C","Ciudad","T","Pueblo","R","Rural","S","Suburbano","U","Urbano",""))</f>
        <v>Urbano</v>
      </c>
      <c r="T1652" t="str">
        <f t="shared" si="101"/>
        <v>F</v>
      </c>
      <c r="U1652" t="str">
        <f t="shared" si="102"/>
        <v>Arizona</v>
      </c>
      <c r="V1652" t="str">
        <f t="shared" si="103"/>
        <v>13050</v>
      </c>
    </row>
    <row r="1653" spans="1:22" x14ac:dyDescent="0.35">
      <c r="A1653">
        <v>179111</v>
      </c>
      <c r="B1653" t="s">
        <v>40</v>
      </c>
      <c r="C1653" t="s">
        <v>51</v>
      </c>
      <c r="D1653">
        <v>1761</v>
      </c>
      <c r="E1653">
        <v>583</v>
      </c>
      <c r="F1653">
        <v>715</v>
      </c>
      <c r="G1653">
        <v>31</v>
      </c>
      <c r="H1653">
        <v>25887</v>
      </c>
      <c r="I1653">
        <v>13</v>
      </c>
      <c r="J1653">
        <v>38</v>
      </c>
      <c r="K1653">
        <v>588</v>
      </c>
      <c r="L1653">
        <v>692</v>
      </c>
      <c r="M1653">
        <v>12.5</v>
      </c>
      <c r="N1653">
        <f>IFERROR(VLOOKUP(A1653,vlookup_table!$A:$G,2,FALSE),"")</f>
        <v>0</v>
      </c>
      <c r="O1653">
        <f>IFERROR(VLOOKUP(A1653,vlookup_table!$A:$G,4,FALSE),"")</f>
        <v>4201</v>
      </c>
      <c r="P1653" t="str">
        <f>IFERROR(VLOOKUP(A1653,vlookup_table!$A:$G,5,FALSE),"")</f>
        <v>S1</v>
      </c>
      <c r="Q1653">
        <f>IFERROR(VLOOKUP(A1653,vlookup_table!$A:$G,7,FALSE),"")</f>
        <v>20</v>
      </c>
      <c r="R1653">
        <f t="shared" si="100"/>
        <v>55</v>
      </c>
      <c r="S1653" t="str" cm="1">
        <f t="array" ref="S1653">IF(P1653="","",_xlfn.SWITCH(LEFT(P1653,1),"C","Ciudad","T","Pueblo","R","Rural","S","Suburbano","U","Urbano",""))</f>
        <v>Suburbano</v>
      </c>
      <c r="T1653" t="str">
        <f t="shared" si="101"/>
        <v>M</v>
      </c>
      <c r="U1653" t="str">
        <f t="shared" si="102"/>
        <v>WA</v>
      </c>
      <c r="V1653" t="str">
        <f t="shared" si="103"/>
        <v>25887</v>
      </c>
    </row>
    <row r="1654" spans="1:22" x14ac:dyDescent="0.35">
      <c r="A1654">
        <v>65596</v>
      </c>
      <c r="B1654" t="s">
        <v>29</v>
      </c>
      <c r="C1654" t="s">
        <v>14</v>
      </c>
      <c r="D1654">
        <v>587</v>
      </c>
      <c r="E1654">
        <v>438</v>
      </c>
      <c r="F1654">
        <v>473</v>
      </c>
      <c r="G1654">
        <v>0</v>
      </c>
      <c r="H1654">
        <v>14390</v>
      </c>
      <c r="I1654">
        <v>2</v>
      </c>
      <c r="J1654">
        <v>89</v>
      </c>
      <c r="K1654">
        <v>466</v>
      </c>
      <c r="L1654">
        <v>438</v>
      </c>
      <c r="M1654">
        <v>4.5909090910000003</v>
      </c>
      <c r="N1654">
        <f>IFERROR(VLOOKUP(A1654,vlookup_table!$A:$G,2,FALSE),"")</f>
        <v>1002</v>
      </c>
      <c r="O1654">
        <f>IFERROR(VLOOKUP(A1654,vlookup_table!$A:$G,4,FALSE),"")</f>
        <v>5801</v>
      </c>
      <c r="P1654" t="str">
        <f>IFERROR(VLOOKUP(A1654,vlookup_table!$A:$G,5,FALSE),"")</f>
        <v>S2</v>
      </c>
      <c r="Q1654">
        <f>IFERROR(VLOOKUP(A1654,vlookup_table!$A:$G,7,FALSE),"")</f>
        <v>9</v>
      </c>
      <c r="R1654">
        <f t="shared" si="100"/>
        <v>39</v>
      </c>
      <c r="S1654" t="str" cm="1">
        <f t="array" ref="S1654">IF(P1654="","",_xlfn.SWITCH(LEFT(P1654,1),"C","Ciudad","T","Pueblo","R","Rural","S","Suburbano","U","Urbano",""))</f>
        <v>Suburbano</v>
      </c>
      <c r="T1654" t="str">
        <f t="shared" si="101"/>
        <v>M</v>
      </c>
      <c r="U1654" t="str">
        <f t="shared" si="102"/>
        <v>MI</v>
      </c>
      <c r="V1654" t="str">
        <f t="shared" si="103"/>
        <v>14390</v>
      </c>
    </row>
    <row r="1655" spans="1:22" x14ac:dyDescent="0.35">
      <c r="A1655">
        <v>73282</v>
      </c>
      <c r="B1655" t="s">
        <v>29</v>
      </c>
      <c r="C1655" t="s">
        <v>14</v>
      </c>
      <c r="D1655">
        <v>800</v>
      </c>
      <c r="E1655">
        <v>409</v>
      </c>
      <c r="F1655">
        <v>478</v>
      </c>
      <c r="G1655">
        <v>1</v>
      </c>
      <c r="H1655">
        <v>14218</v>
      </c>
      <c r="I1655">
        <v>3</v>
      </c>
      <c r="J1655">
        <v>85</v>
      </c>
      <c r="K1655">
        <v>448</v>
      </c>
      <c r="L1655">
        <v>433</v>
      </c>
      <c r="M1655">
        <v>20.833333329999999</v>
      </c>
      <c r="N1655">
        <f>IFERROR(VLOOKUP(A1655,vlookup_table!$A:$G,2,FALSE),"")</f>
        <v>1</v>
      </c>
      <c r="O1655">
        <f>IFERROR(VLOOKUP(A1655,vlookup_table!$A:$G,4,FALSE),"")</f>
        <v>2201</v>
      </c>
      <c r="P1655" t="str">
        <f>IFERROR(VLOOKUP(A1655,vlookup_table!$A:$G,5,FALSE),"")</f>
        <v>S2</v>
      </c>
      <c r="Q1655">
        <f>IFERROR(VLOOKUP(A1655,vlookup_table!$A:$G,7,FALSE),"")</f>
        <v>25</v>
      </c>
      <c r="R1655">
        <f t="shared" si="100"/>
        <v>75</v>
      </c>
      <c r="S1655" t="str" cm="1">
        <f t="array" ref="S1655">IF(P1655="","",_xlfn.SWITCH(LEFT(P1655,1),"C","Ciudad","T","Pueblo","R","Rural","S","Suburbano","U","Urbano",""))</f>
        <v>Suburbano</v>
      </c>
      <c r="T1655" t="str">
        <f t="shared" si="101"/>
        <v>M</v>
      </c>
      <c r="U1655" t="str">
        <f t="shared" si="102"/>
        <v>MI</v>
      </c>
      <c r="V1655" t="str">
        <f t="shared" si="103"/>
        <v>14218</v>
      </c>
    </row>
    <row r="1656" spans="1:22" x14ac:dyDescent="0.35">
      <c r="A1656">
        <v>146241</v>
      </c>
      <c r="B1656" t="s">
        <v>22</v>
      </c>
      <c r="C1656" t="s">
        <v>14</v>
      </c>
      <c r="D1656">
        <v>3196</v>
      </c>
      <c r="E1656">
        <v>655</v>
      </c>
      <c r="F1656">
        <v>731</v>
      </c>
      <c r="G1656">
        <v>91</v>
      </c>
      <c r="H1656">
        <v>21091</v>
      </c>
      <c r="I1656">
        <v>33</v>
      </c>
      <c r="J1656">
        <v>41</v>
      </c>
      <c r="K1656">
        <v>692</v>
      </c>
      <c r="L1656">
        <v>695</v>
      </c>
      <c r="M1656">
        <v>30</v>
      </c>
      <c r="N1656">
        <f>IFERROR(VLOOKUP(A1656,vlookup_table!$A:$G,2,FALSE),"")</f>
        <v>1</v>
      </c>
      <c r="O1656">
        <f>IFERROR(VLOOKUP(A1656,vlookup_table!$A:$G,4,FALSE),"")</f>
        <v>3401</v>
      </c>
      <c r="P1656" t="str">
        <f>IFERROR(VLOOKUP(A1656,vlookup_table!$A:$G,5,FALSE),"")</f>
        <v>U1</v>
      </c>
      <c r="Q1656">
        <f>IFERROR(VLOOKUP(A1656,vlookup_table!$A:$G,7,FALSE),"")</f>
        <v>50</v>
      </c>
      <c r="R1656">
        <f t="shared" si="100"/>
        <v>63</v>
      </c>
      <c r="S1656" t="str" cm="1">
        <f t="array" ref="S1656">IF(P1656="","",_xlfn.SWITCH(LEFT(P1656,1),"C","Ciudad","T","Pueblo","R","Rural","S","Suburbano","U","Urbano",""))</f>
        <v>Urbano</v>
      </c>
      <c r="T1656" t="str">
        <f t="shared" si="101"/>
        <v>M</v>
      </c>
      <c r="U1656" t="str">
        <f t="shared" si="102"/>
        <v>CA</v>
      </c>
      <c r="V1656" t="str">
        <f t="shared" si="103"/>
        <v>21091</v>
      </c>
    </row>
    <row r="1657" spans="1:22" x14ac:dyDescent="0.35">
      <c r="A1657">
        <v>60098</v>
      </c>
      <c r="B1657" t="s">
        <v>33</v>
      </c>
      <c r="C1657" t="s">
        <v>14</v>
      </c>
      <c r="D1657">
        <v>789</v>
      </c>
      <c r="E1657">
        <v>383</v>
      </c>
      <c r="F1657">
        <v>462</v>
      </c>
      <c r="G1657">
        <v>0</v>
      </c>
      <c r="H1657">
        <v>17643</v>
      </c>
      <c r="I1657">
        <v>1</v>
      </c>
      <c r="J1657">
        <v>79</v>
      </c>
      <c r="K1657">
        <v>434</v>
      </c>
      <c r="L1657">
        <v>412</v>
      </c>
      <c r="M1657">
        <v>9.9166666669999994</v>
      </c>
      <c r="N1657">
        <f>IFERROR(VLOOKUP(A1657,vlookup_table!$A:$G,2,FALSE),"")</f>
        <v>1</v>
      </c>
      <c r="O1657">
        <f>IFERROR(VLOOKUP(A1657,vlookup_table!$A:$G,4,FALSE),"")</f>
        <v>4106</v>
      </c>
      <c r="P1657" t="str">
        <f>IFERROR(VLOOKUP(A1657,vlookup_table!$A:$G,5,FALSE),"")</f>
        <v>S2</v>
      </c>
      <c r="Q1657">
        <f>IFERROR(VLOOKUP(A1657,vlookup_table!$A:$G,7,FALSE),"")</f>
        <v>25</v>
      </c>
      <c r="R1657">
        <f t="shared" si="100"/>
        <v>56</v>
      </c>
      <c r="S1657" t="str" cm="1">
        <f t="array" ref="S1657">IF(P1657="","",_xlfn.SWITCH(LEFT(P1657,1),"C","Ciudad","T","Pueblo","R","Rural","S","Suburbano","U","Urbano",""))</f>
        <v>Suburbano</v>
      </c>
      <c r="T1657" t="str">
        <f t="shared" si="101"/>
        <v>M</v>
      </c>
      <c r="U1657" t="str">
        <f t="shared" si="102"/>
        <v>IN</v>
      </c>
      <c r="V1657" t="str">
        <f t="shared" si="103"/>
        <v>17643</v>
      </c>
    </row>
    <row r="1658" spans="1:22" x14ac:dyDescent="0.35">
      <c r="A1658">
        <v>74361</v>
      </c>
      <c r="B1658" t="s">
        <v>29</v>
      </c>
      <c r="C1658" t="s">
        <v>14</v>
      </c>
      <c r="D1658">
        <v>545</v>
      </c>
      <c r="E1658">
        <v>265</v>
      </c>
      <c r="F1658">
        <v>328</v>
      </c>
      <c r="G1658">
        <v>3</v>
      </c>
      <c r="H1658">
        <v>10786</v>
      </c>
      <c r="I1658">
        <v>1</v>
      </c>
      <c r="J1658">
        <v>84</v>
      </c>
      <c r="K1658">
        <v>281</v>
      </c>
      <c r="L1658">
        <v>312</v>
      </c>
      <c r="M1658">
        <v>10.0625</v>
      </c>
      <c r="N1658">
        <f>IFERROR(VLOOKUP(A1658,vlookup_table!$A:$G,2,FALSE),"")</f>
        <v>0</v>
      </c>
      <c r="O1658">
        <f>IFERROR(VLOOKUP(A1658,vlookup_table!$A:$G,4,FALSE),"")</f>
        <v>7012</v>
      </c>
      <c r="P1658" t="str">
        <f>IFERROR(VLOOKUP(A1658,vlookup_table!$A:$G,5,FALSE),"")</f>
        <v>R2</v>
      </c>
      <c r="Q1658">
        <f>IFERROR(VLOOKUP(A1658,vlookup_table!$A:$G,7,FALSE),"")</f>
        <v>10</v>
      </c>
      <c r="R1658">
        <f t="shared" si="100"/>
        <v>27</v>
      </c>
      <c r="S1658" t="str" cm="1">
        <f t="array" ref="S1658">IF(P1658="","",_xlfn.SWITCH(LEFT(P1658,1),"C","Ciudad","T","Pueblo","R","Rural","S","Suburbano","U","Urbano",""))</f>
        <v>Rural</v>
      </c>
      <c r="T1658" t="str">
        <f t="shared" si="101"/>
        <v>M</v>
      </c>
      <c r="U1658" t="str">
        <f t="shared" si="102"/>
        <v>MI</v>
      </c>
      <c r="V1658" t="str">
        <f t="shared" si="103"/>
        <v>10786</v>
      </c>
    </row>
    <row r="1659" spans="1:22" x14ac:dyDescent="0.35">
      <c r="A1659">
        <v>82857</v>
      </c>
      <c r="B1659" t="s">
        <v>56</v>
      </c>
      <c r="C1659" t="s">
        <v>14</v>
      </c>
      <c r="D1659">
        <v>745</v>
      </c>
      <c r="E1659">
        <v>326</v>
      </c>
      <c r="F1659">
        <v>428</v>
      </c>
      <c r="G1659">
        <v>1</v>
      </c>
      <c r="H1659">
        <v>15081</v>
      </c>
      <c r="I1659">
        <v>3</v>
      </c>
      <c r="J1659">
        <v>76</v>
      </c>
      <c r="K1659">
        <v>382</v>
      </c>
      <c r="L1659">
        <v>374</v>
      </c>
      <c r="M1659">
        <v>11.42857143</v>
      </c>
      <c r="N1659">
        <f>IFERROR(VLOOKUP(A1659,vlookup_table!$A:$G,2,FALSE),"")</f>
        <v>1</v>
      </c>
      <c r="O1659">
        <f>IFERROR(VLOOKUP(A1659,vlookup_table!$A:$G,4,FALSE),"")</f>
        <v>3804</v>
      </c>
      <c r="P1659" t="str">
        <f>IFERROR(VLOOKUP(A1659,vlookup_table!$A:$G,5,FALSE),"")</f>
        <v>S1</v>
      </c>
      <c r="Q1659">
        <f>IFERROR(VLOOKUP(A1659,vlookup_table!$A:$G,7,FALSE),"")</f>
        <v>10</v>
      </c>
      <c r="R1659">
        <f t="shared" si="100"/>
        <v>59</v>
      </c>
      <c r="S1659" t="str" cm="1">
        <f t="array" ref="S1659">IF(P1659="","",_xlfn.SWITCH(LEFT(P1659,1),"C","Ciudad","T","Pueblo","R","Rural","S","Suburbano","U","Urbano",""))</f>
        <v>Suburbano</v>
      </c>
      <c r="T1659" t="str">
        <f t="shared" si="101"/>
        <v>M</v>
      </c>
      <c r="U1659" t="str">
        <f t="shared" si="102"/>
        <v>MN</v>
      </c>
      <c r="V1659" t="str">
        <f t="shared" si="103"/>
        <v>15081</v>
      </c>
    </row>
    <row r="1660" spans="1:22" x14ac:dyDescent="0.35">
      <c r="A1660">
        <v>38580</v>
      </c>
      <c r="B1660" t="s">
        <v>13</v>
      </c>
      <c r="C1660" t="s">
        <v>14</v>
      </c>
      <c r="D1660">
        <v>1144</v>
      </c>
      <c r="E1660">
        <v>333</v>
      </c>
      <c r="F1660">
        <v>505</v>
      </c>
      <c r="G1660">
        <v>0</v>
      </c>
      <c r="H1660">
        <v>16518</v>
      </c>
      <c r="I1660">
        <v>29</v>
      </c>
      <c r="J1660">
        <v>27</v>
      </c>
      <c r="K1660">
        <v>443</v>
      </c>
      <c r="L1660">
        <v>436</v>
      </c>
      <c r="M1660">
        <v>14.81818182</v>
      </c>
      <c r="N1660">
        <f>IFERROR(VLOOKUP(A1660,vlookup_table!$A:$G,2,FALSE),"")</f>
        <v>0</v>
      </c>
      <c r="O1660">
        <f>IFERROR(VLOOKUP(A1660,vlookup_table!$A:$G,4,FALSE),"")</f>
        <v>3607</v>
      </c>
      <c r="P1660" t="str">
        <f>IFERROR(VLOOKUP(A1660,vlookup_table!$A:$G,5,FALSE),"")</f>
        <v>S2</v>
      </c>
      <c r="Q1660">
        <f>IFERROR(VLOOKUP(A1660,vlookup_table!$A:$G,7,FALSE),"")</f>
        <v>10</v>
      </c>
      <c r="R1660">
        <f t="shared" si="100"/>
        <v>61</v>
      </c>
      <c r="S1660" t="str" cm="1">
        <f t="array" ref="S1660">IF(P1660="","",_xlfn.SWITCH(LEFT(P1660,1),"C","Ciudad","T","Pueblo","R","Rural","S","Suburbano","U","Urbano",""))</f>
        <v>Suburbano</v>
      </c>
      <c r="T1660" t="str">
        <f t="shared" si="101"/>
        <v>M</v>
      </c>
      <c r="U1660" t="str">
        <f t="shared" si="102"/>
        <v>FL</v>
      </c>
      <c r="V1660" t="str">
        <f t="shared" si="103"/>
        <v>16518</v>
      </c>
    </row>
    <row r="1661" spans="1:22" x14ac:dyDescent="0.35">
      <c r="A1661">
        <v>36471</v>
      </c>
      <c r="B1661" t="s">
        <v>13</v>
      </c>
      <c r="C1661" t="s">
        <v>17</v>
      </c>
      <c r="D1661">
        <v>730</v>
      </c>
      <c r="E1661">
        <v>181</v>
      </c>
      <c r="F1661">
        <v>272</v>
      </c>
      <c r="G1661">
        <v>1</v>
      </c>
      <c r="H1661">
        <v>12098</v>
      </c>
      <c r="I1661">
        <v>33</v>
      </c>
      <c r="J1661">
        <v>22</v>
      </c>
      <c r="K1661">
        <v>191</v>
      </c>
      <c r="L1661">
        <v>287</v>
      </c>
      <c r="M1661">
        <v>10.5</v>
      </c>
      <c r="N1661">
        <f>IFERROR(VLOOKUP(A1661,vlookup_table!$A:$G,2,FALSE),"")</f>
        <v>28</v>
      </c>
      <c r="O1661">
        <f>IFERROR(VLOOKUP(A1661,vlookup_table!$A:$G,4,FALSE),"")</f>
        <v>2710</v>
      </c>
      <c r="P1661" t="str">
        <f>IFERROR(VLOOKUP(A1661,vlookup_table!$A:$G,5,FALSE),"")</f>
        <v>U3</v>
      </c>
      <c r="Q1661">
        <f>IFERROR(VLOOKUP(A1661,vlookup_table!$A:$G,7,FALSE),"")</f>
        <v>20</v>
      </c>
      <c r="R1661">
        <f t="shared" si="100"/>
        <v>70</v>
      </c>
      <c r="S1661" t="str" cm="1">
        <f t="array" ref="S1661">IF(P1661="","",_xlfn.SWITCH(LEFT(P1661,1),"C","Ciudad","T","Pueblo","R","Rural","S","Suburbano","U","Urbano",""))</f>
        <v>Urbano</v>
      </c>
      <c r="T1661" t="str">
        <f t="shared" si="101"/>
        <v>F</v>
      </c>
      <c r="U1661" t="str">
        <f t="shared" si="102"/>
        <v>FL</v>
      </c>
      <c r="V1661" t="str">
        <f t="shared" si="103"/>
        <v>12098</v>
      </c>
    </row>
    <row r="1662" spans="1:22" x14ac:dyDescent="0.35">
      <c r="A1662">
        <v>140135</v>
      </c>
      <c r="B1662" t="s">
        <v>54</v>
      </c>
      <c r="C1662" t="s">
        <v>17</v>
      </c>
      <c r="D1662">
        <v>506</v>
      </c>
      <c r="E1662">
        <v>191</v>
      </c>
      <c r="F1662">
        <v>273</v>
      </c>
      <c r="G1662">
        <v>2</v>
      </c>
      <c r="H1662">
        <v>8923</v>
      </c>
      <c r="I1662">
        <v>7</v>
      </c>
      <c r="J1662">
        <v>72</v>
      </c>
      <c r="K1662">
        <v>214</v>
      </c>
      <c r="L1662">
        <v>253</v>
      </c>
      <c r="M1662">
        <v>14.81818182</v>
      </c>
      <c r="N1662">
        <f>IFERROR(VLOOKUP(A1662,vlookup_table!$A:$G,2,FALSE),"")</f>
        <v>28</v>
      </c>
      <c r="O1662">
        <f>IFERROR(VLOOKUP(A1662,vlookup_table!$A:$G,4,FALSE),"")</f>
        <v>3901</v>
      </c>
      <c r="P1662" t="str">
        <f>IFERROR(VLOOKUP(A1662,vlookup_table!$A:$G,5,FALSE),"")</f>
        <v>R2</v>
      </c>
      <c r="Q1662">
        <f>IFERROR(VLOOKUP(A1662,vlookup_table!$A:$G,7,FALSE),"")</f>
        <v>20</v>
      </c>
      <c r="R1662">
        <f t="shared" si="100"/>
        <v>58</v>
      </c>
      <c r="S1662" t="str" cm="1">
        <f t="array" ref="S1662">IF(P1662="","",_xlfn.SWITCH(LEFT(P1662,1),"C","Ciudad","T","Pueblo","R","Rural","S","Suburbano","U","Urbano",""))</f>
        <v>Rural</v>
      </c>
      <c r="T1662" t="str">
        <f t="shared" si="101"/>
        <v>F</v>
      </c>
      <c r="U1662" t="str">
        <f t="shared" si="102"/>
        <v>NM</v>
      </c>
      <c r="V1662" t="str">
        <f t="shared" si="103"/>
        <v>8923</v>
      </c>
    </row>
    <row r="1663" spans="1:22" x14ac:dyDescent="0.35">
      <c r="A1663">
        <v>133029</v>
      </c>
      <c r="B1663" t="s">
        <v>41</v>
      </c>
      <c r="C1663" t="s">
        <v>17</v>
      </c>
      <c r="D1663">
        <v>488</v>
      </c>
      <c r="E1663">
        <v>159</v>
      </c>
      <c r="F1663">
        <v>234</v>
      </c>
      <c r="G1663">
        <v>0</v>
      </c>
      <c r="H1663">
        <v>8393</v>
      </c>
      <c r="I1663">
        <v>1</v>
      </c>
      <c r="J1663">
        <v>62</v>
      </c>
      <c r="K1663">
        <v>220</v>
      </c>
      <c r="L1663">
        <v>203</v>
      </c>
      <c r="M1663">
        <v>11.94117647</v>
      </c>
      <c r="N1663">
        <f>IFERROR(VLOOKUP(A1663,vlookup_table!$A:$G,2,FALSE),"")</f>
        <v>0</v>
      </c>
      <c r="O1663">
        <f>IFERROR(VLOOKUP(A1663,vlookup_table!$A:$G,4,FALSE),"")</f>
        <v>3801</v>
      </c>
      <c r="P1663" t="str">
        <f>IFERROR(VLOOKUP(A1663,vlookup_table!$A:$G,5,FALSE),"")</f>
        <v>C2</v>
      </c>
      <c r="Q1663">
        <f>IFERROR(VLOOKUP(A1663,vlookup_table!$A:$G,7,FALSE),"")</f>
        <v>5</v>
      </c>
      <c r="R1663">
        <f t="shared" si="100"/>
        <v>59</v>
      </c>
      <c r="S1663" t="str" cm="1">
        <f t="array" ref="S1663">IF(P1663="","",_xlfn.SWITCH(LEFT(P1663,1),"C","Ciudad","T","Pueblo","R","Rural","S","Suburbano","U","Urbano",""))</f>
        <v>Ciudad</v>
      </c>
      <c r="T1663" t="str">
        <f t="shared" si="101"/>
        <v>F</v>
      </c>
      <c r="U1663" t="str">
        <f t="shared" si="102"/>
        <v>ID</v>
      </c>
      <c r="V1663" t="str">
        <f t="shared" si="103"/>
        <v>8393</v>
      </c>
    </row>
    <row r="1664" spans="1:22" x14ac:dyDescent="0.35">
      <c r="A1664">
        <v>161829</v>
      </c>
      <c r="B1664" t="s">
        <v>22</v>
      </c>
      <c r="C1664" t="s">
        <v>17</v>
      </c>
      <c r="D1664">
        <v>1748</v>
      </c>
      <c r="E1664">
        <v>351</v>
      </c>
      <c r="F1664">
        <v>391</v>
      </c>
      <c r="G1664">
        <v>22</v>
      </c>
      <c r="H1664">
        <v>14059</v>
      </c>
      <c r="I1664">
        <v>24</v>
      </c>
      <c r="J1664">
        <v>24</v>
      </c>
      <c r="K1664">
        <v>355</v>
      </c>
      <c r="L1664">
        <v>382</v>
      </c>
      <c r="M1664">
        <v>5.5238095239999998</v>
      </c>
      <c r="N1664">
        <f>IFERROR(VLOOKUP(A1664,vlookup_table!$A:$G,2,FALSE),"")</f>
        <v>0</v>
      </c>
      <c r="O1664">
        <f>IFERROR(VLOOKUP(A1664,vlookup_table!$A:$G,4,FALSE),"")</f>
        <v>3402</v>
      </c>
      <c r="P1664" t="str">
        <f>IFERROR(VLOOKUP(A1664,vlookup_table!$A:$G,5,FALSE),"")</f>
        <v>S2</v>
      </c>
      <c r="Q1664">
        <f>IFERROR(VLOOKUP(A1664,vlookup_table!$A:$G,7,FALSE),"")</f>
        <v>10</v>
      </c>
      <c r="R1664">
        <f t="shared" si="100"/>
        <v>63</v>
      </c>
      <c r="S1664" t="str" cm="1">
        <f t="array" ref="S1664">IF(P1664="","",_xlfn.SWITCH(LEFT(P1664,1),"C","Ciudad","T","Pueblo","R","Rural","S","Suburbano","U","Urbano",""))</f>
        <v>Suburbano</v>
      </c>
      <c r="T1664" t="str">
        <f t="shared" si="101"/>
        <v>F</v>
      </c>
      <c r="U1664" t="str">
        <f t="shared" si="102"/>
        <v>CA</v>
      </c>
      <c r="V1664" t="str">
        <f t="shared" si="103"/>
        <v>14059</v>
      </c>
    </row>
    <row r="1665" spans="1:22" x14ac:dyDescent="0.35">
      <c r="A1665">
        <v>168268</v>
      </c>
      <c r="B1665" t="s">
        <v>22</v>
      </c>
      <c r="C1665" t="s">
        <v>17</v>
      </c>
      <c r="D1665">
        <v>2159</v>
      </c>
      <c r="E1665">
        <v>233</v>
      </c>
      <c r="F1665">
        <v>394</v>
      </c>
      <c r="G1665">
        <v>67</v>
      </c>
      <c r="H1665">
        <v>12950</v>
      </c>
      <c r="I1665">
        <v>8</v>
      </c>
      <c r="J1665">
        <v>62</v>
      </c>
      <c r="K1665">
        <v>280</v>
      </c>
      <c r="L1665">
        <v>247</v>
      </c>
      <c r="M1665">
        <v>20.176470590000001</v>
      </c>
      <c r="N1665">
        <f>IFERROR(VLOOKUP(A1665,vlookup_table!$A:$G,2,FALSE),"")</f>
        <v>0</v>
      </c>
      <c r="O1665">
        <f>IFERROR(VLOOKUP(A1665,vlookup_table!$A:$G,4,FALSE),"")</f>
        <v>2207</v>
      </c>
      <c r="P1665" t="str">
        <f>IFERROR(VLOOKUP(A1665,vlookup_table!$A:$G,5,FALSE),"")</f>
        <v>U2</v>
      </c>
      <c r="Q1665">
        <f>IFERROR(VLOOKUP(A1665,vlookup_table!$A:$G,7,FALSE),"")</f>
        <v>15</v>
      </c>
      <c r="R1665">
        <f t="shared" si="100"/>
        <v>75</v>
      </c>
      <c r="S1665" t="str" cm="1">
        <f t="array" ref="S1665">IF(P1665="","",_xlfn.SWITCH(LEFT(P1665,1),"C","Ciudad","T","Pueblo","R","Rural","S","Suburbano","U","Urbano",""))</f>
        <v>Urbano</v>
      </c>
      <c r="T1665" t="str">
        <f t="shared" si="101"/>
        <v>F</v>
      </c>
      <c r="U1665" t="str">
        <f t="shared" si="102"/>
        <v>CA</v>
      </c>
      <c r="V1665" t="str">
        <f t="shared" si="103"/>
        <v>12950</v>
      </c>
    </row>
    <row r="1666" spans="1:22" x14ac:dyDescent="0.35">
      <c r="A1666">
        <v>19490</v>
      </c>
      <c r="B1666" t="s">
        <v>18</v>
      </c>
      <c r="C1666" t="s">
        <v>20</v>
      </c>
      <c r="D1666">
        <v>739</v>
      </c>
      <c r="E1666">
        <v>309</v>
      </c>
      <c r="F1666">
        <v>451</v>
      </c>
      <c r="G1666">
        <v>0</v>
      </c>
      <c r="H1666">
        <v>17709</v>
      </c>
      <c r="I1666">
        <v>5</v>
      </c>
      <c r="J1666">
        <v>40</v>
      </c>
      <c r="K1666">
        <v>402</v>
      </c>
      <c r="L1666">
        <v>405</v>
      </c>
      <c r="M1666">
        <v>10.42857143</v>
      </c>
      <c r="N1666">
        <f>IFERROR(VLOOKUP(A1666,vlookup_table!$A:$G,2,FALSE),"")</f>
        <v>28</v>
      </c>
      <c r="O1666">
        <f>IFERROR(VLOOKUP(A1666,vlookup_table!$A:$G,4,FALSE),"")</f>
        <v>4201</v>
      </c>
      <c r="P1666" t="str">
        <f>IFERROR(VLOOKUP(A1666,vlookup_table!$A:$G,5,FALSE),"")</f>
        <v>C2</v>
      </c>
      <c r="Q1666">
        <f>IFERROR(VLOOKUP(A1666,vlookup_table!$A:$G,7,FALSE),"")</f>
        <v>10</v>
      </c>
      <c r="R1666">
        <f t="shared" ref="R1666:R1729" si="104">IF(O1666="","",97-INT(O1666/100))</f>
        <v>55</v>
      </c>
      <c r="S1666" t="str" cm="1">
        <f t="array" ref="S1666">IF(P1666="","",_xlfn.SWITCH(LEFT(P1666,1),"C","Ciudad","T","Pueblo","R","Rural","S","Suburbano","U","Urbano",""))</f>
        <v>Ciudad</v>
      </c>
      <c r="T1666" t="str">
        <f t="shared" ref="T1666:T1729" si="105">IF(C1666="","",IF(OR(UPPER(C1666)="M",UPPER(C1666)="MALE"),"M",IF(OR(UPPER(C1666)="F",UPPER(C1666)="FEMALE",UPPER(C1666)="FEAMALE"),"F",C1666)))</f>
        <v>F</v>
      </c>
      <c r="U1666" t="str">
        <f t="shared" ref="U1666:U1729" si="106">IF(OR(UPPER(B1666)="CALIFORNIA",UPPER(B1666)="CALI"),"CA",B1666)</f>
        <v>NC</v>
      </c>
      <c r="V1666" t="str">
        <f t="shared" ref="V1666:V1729" si="107">SUBSTITUTE(H1666,"@","")</f>
        <v>17709</v>
      </c>
    </row>
    <row r="1667" spans="1:22" x14ac:dyDescent="0.35">
      <c r="A1667">
        <v>166899</v>
      </c>
      <c r="B1667" t="s">
        <v>22</v>
      </c>
      <c r="C1667" t="s">
        <v>17</v>
      </c>
      <c r="D1667">
        <v>2153</v>
      </c>
      <c r="E1667">
        <v>320</v>
      </c>
      <c r="F1667">
        <v>397</v>
      </c>
      <c r="G1667">
        <v>60</v>
      </c>
      <c r="H1667">
        <v>15000</v>
      </c>
      <c r="I1667">
        <v>16</v>
      </c>
      <c r="J1667">
        <v>46</v>
      </c>
      <c r="K1667">
        <v>379</v>
      </c>
      <c r="L1667">
        <v>360</v>
      </c>
      <c r="M1667">
        <v>22.5</v>
      </c>
      <c r="N1667">
        <f>IFERROR(VLOOKUP(A1667,vlookup_table!$A:$G,2,FALSE),"")</f>
        <v>2</v>
      </c>
      <c r="O1667">
        <f>IFERROR(VLOOKUP(A1667,vlookup_table!$A:$G,4,FALSE),"")</f>
        <v>3601</v>
      </c>
      <c r="P1667" t="str">
        <f>IFERROR(VLOOKUP(A1667,vlookup_table!$A:$G,5,FALSE),"")</f>
        <v>S2</v>
      </c>
      <c r="Q1667">
        <f>IFERROR(VLOOKUP(A1667,vlookup_table!$A:$G,7,FALSE),"")</f>
        <v>35</v>
      </c>
      <c r="R1667">
        <f t="shared" si="104"/>
        <v>61</v>
      </c>
      <c r="S1667" t="str" cm="1">
        <f t="array" ref="S1667">IF(P1667="","",_xlfn.SWITCH(LEFT(P1667,1),"C","Ciudad","T","Pueblo","R","Rural","S","Suburbano","U","Urbano",""))</f>
        <v>Suburbano</v>
      </c>
      <c r="T1667" t="str">
        <f t="shared" si="105"/>
        <v>F</v>
      </c>
      <c r="U1667" t="str">
        <f t="shared" si="106"/>
        <v>CA</v>
      </c>
      <c r="V1667" t="str">
        <f t="shared" si="107"/>
        <v>15000</v>
      </c>
    </row>
    <row r="1668" spans="1:22" x14ac:dyDescent="0.35">
      <c r="A1668">
        <v>145982</v>
      </c>
      <c r="B1668" t="s">
        <v>22</v>
      </c>
      <c r="C1668" t="s">
        <v>17</v>
      </c>
      <c r="D1668">
        <v>2051</v>
      </c>
      <c r="E1668">
        <v>523</v>
      </c>
      <c r="F1668">
        <v>561</v>
      </c>
      <c r="G1668">
        <v>54</v>
      </c>
      <c r="H1668">
        <v>19319</v>
      </c>
      <c r="I1668">
        <v>10</v>
      </c>
      <c r="J1668">
        <v>55</v>
      </c>
      <c r="K1668">
        <v>545</v>
      </c>
      <c r="L1668">
        <v>543</v>
      </c>
      <c r="M1668">
        <v>33</v>
      </c>
      <c r="N1668">
        <f>IFERROR(VLOOKUP(A1668,vlookup_table!$A:$G,2,FALSE),"")</f>
        <v>0</v>
      </c>
      <c r="O1668">
        <f>IFERROR(VLOOKUP(A1668,vlookup_table!$A:$G,4,FALSE),"")</f>
        <v>5801</v>
      </c>
      <c r="P1668" t="str">
        <f>IFERROR(VLOOKUP(A1668,vlookup_table!$A:$G,5,FALSE),"")</f>
        <v>S2</v>
      </c>
      <c r="Q1668">
        <f>IFERROR(VLOOKUP(A1668,vlookup_table!$A:$G,7,FALSE),"")</f>
        <v>30</v>
      </c>
      <c r="R1668">
        <f t="shared" si="104"/>
        <v>39</v>
      </c>
      <c r="S1668" t="str" cm="1">
        <f t="array" ref="S1668">IF(P1668="","",_xlfn.SWITCH(LEFT(P1668,1),"C","Ciudad","T","Pueblo","R","Rural","S","Suburbano","U","Urbano",""))</f>
        <v>Suburbano</v>
      </c>
      <c r="T1668" t="str">
        <f t="shared" si="105"/>
        <v>F</v>
      </c>
      <c r="U1668" t="str">
        <f t="shared" si="106"/>
        <v>CA</v>
      </c>
      <c r="V1668" t="str">
        <f t="shared" si="107"/>
        <v>19319</v>
      </c>
    </row>
    <row r="1669" spans="1:22" x14ac:dyDescent="0.35">
      <c r="A1669">
        <v>187764</v>
      </c>
      <c r="B1669" t="s">
        <v>64</v>
      </c>
      <c r="D1669">
        <v>1553</v>
      </c>
      <c r="E1669">
        <v>634</v>
      </c>
      <c r="F1669">
        <v>725</v>
      </c>
      <c r="G1669">
        <v>32</v>
      </c>
      <c r="H1669">
        <v>29972</v>
      </c>
      <c r="I1669">
        <v>4</v>
      </c>
      <c r="J1669">
        <v>17</v>
      </c>
      <c r="K1669">
        <v>653</v>
      </c>
      <c r="L1669">
        <v>694</v>
      </c>
      <c r="M1669">
        <v>23.333333329999999</v>
      </c>
      <c r="N1669">
        <f>IFERROR(VLOOKUP(A1669,vlookup_table!$A:$G,2,FALSE),"")</f>
        <v>0</v>
      </c>
      <c r="O1669">
        <f>IFERROR(VLOOKUP(A1669,vlookup_table!$A:$G,4,FALSE),"")</f>
        <v>0</v>
      </c>
      <c r="P1669">
        <f>IFERROR(VLOOKUP(A1669,vlookup_table!$A:$G,5,FALSE),"")</f>
        <v>0</v>
      </c>
      <c r="Q1669">
        <f>IFERROR(VLOOKUP(A1669,vlookup_table!$A:$G,7,FALSE),"")</f>
        <v>25</v>
      </c>
      <c r="R1669">
        <f t="shared" si="104"/>
        <v>97</v>
      </c>
      <c r="S1669" t="str" cm="1">
        <f t="array" ref="S1669">IF(P1669="","",_xlfn.SWITCH(LEFT(P1669,1),"C","Ciudad","T","Pueblo","R","Rural","S","Suburbano","U","Urbano",""))</f>
        <v/>
      </c>
      <c r="T1669" t="str">
        <f t="shared" si="105"/>
        <v/>
      </c>
      <c r="U1669" t="str">
        <f t="shared" si="106"/>
        <v>Arizona</v>
      </c>
      <c r="V1669" t="str">
        <f t="shared" si="107"/>
        <v>29972</v>
      </c>
    </row>
    <row r="1670" spans="1:22" x14ac:dyDescent="0.35">
      <c r="A1670">
        <v>171227</v>
      </c>
      <c r="B1670" t="s">
        <v>22</v>
      </c>
      <c r="C1670" t="s">
        <v>14</v>
      </c>
      <c r="D1670">
        <v>986</v>
      </c>
      <c r="E1670">
        <v>354</v>
      </c>
      <c r="F1670">
        <v>405</v>
      </c>
      <c r="G1670">
        <v>1</v>
      </c>
      <c r="H1670">
        <v>13968</v>
      </c>
      <c r="I1670">
        <v>5</v>
      </c>
      <c r="J1670">
        <v>58</v>
      </c>
      <c r="K1670">
        <v>389</v>
      </c>
      <c r="L1670">
        <v>369</v>
      </c>
      <c r="M1670">
        <v>7.6</v>
      </c>
      <c r="N1670">
        <f>IFERROR(VLOOKUP(A1670,vlookup_table!$A:$G,2,FALSE),"")</f>
        <v>1</v>
      </c>
      <c r="O1670">
        <f>IFERROR(VLOOKUP(A1670,vlookup_table!$A:$G,4,FALSE),"")</f>
        <v>0</v>
      </c>
      <c r="P1670" t="str">
        <f>IFERROR(VLOOKUP(A1670,vlookup_table!$A:$G,5,FALSE),"")</f>
        <v>S2</v>
      </c>
      <c r="Q1670">
        <f>IFERROR(VLOOKUP(A1670,vlookup_table!$A:$G,7,FALSE),"")</f>
        <v>7</v>
      </c>
      <c r="R1670">
        <f t="shared" si="104"/>
        <v>97</v>
      </c>
      <c r="S1670" t="str" cm="1">
        <f t="array" ref="S1670">IF(P1670="","",_xlfn.SWITCH(LEFT(P1670,1),"C","Ciudad","T","Pueblo","R","Rural","S","Suburbano","U","Urbano",""))</f>
        <v>Suburbano</v>
      </c>
      <c r="T1670" t="str">
        <f t="shared" si="105"/>
        <v>M</v>
      </c>
      <c r="U1670" t="str">
        <f t="shared" si="106"/>
        <v>CA</v>
      </c>
      <c r="V1670" t="str">
        <f t="shared" si="107"/>
        <v>13968</v>
      </c>
    </row>
    <row r="1671" spans="1:22" x14ac:dyDescent="0.35">
      <c r="A1671">
        <v>27419</v>
      </c>
      <c r="B1671" t="s">
        <v>39</v>
      </c>
      <c r="C1671" t="s">
        <v>14</v>
      </c>
      <c r="D1671">
        <v>442</v>
      </c>
      <c r="E1671">
        <v>218</v>
      </c>
      <c r="F1671">
        <v>286</v>
      </c>
      <c r="G1671">
        <v>0</v>
      </c>
      <c r="H1671">
        <v>9399</v>
      </c>
      <c r="I1671">
        <v>0</v>
      </c>
      <c r="J1671">
        <v>78</v>
      </c>
      <c r="K1671">
        <v>253</v>
      </c>
      <c r="L1671">
        <v>257</v>
      </c>
      <c r="M1671">
        <v>15</v>
      </c>
      <c r="N1671">
        <f>IFERROR(VLOOKUP(A1671,vlookup_table!$A:$G,2,FALSE),"")</f>
        <v>1</v>
      </c>
      <c r="O1671">
        <f>IFERROR(VLOOKUP(A1671,vlookup_table!$A:$G,4,FALSE),"")</f>
        <v>0</v>
      </c>
      <c r="P1671" t="str">
        <f>IFERROR(VLOOKUP(A1671,vlookup_table!$A:$G,5,FALSE),"")</f>
        <v>R3</v>
      </c>
      <c r="Q1671">
        <f>IFERROR(VLOOKUP(A1671,vlookup_table!$A:$G,7,FALSE),"")</f>
        <v>20</v>
      </c>
      <c r="R1671">
        <f t="shared" si="104"/>
        <v>97</v>
      </c>
      <c r="S1671" t="str" cm="1">
        <f t="array" ref="S1671">IF(P1671="","",_xlfn.SWITCH(LEFT(P1671,1),"C","Ciudad","T","Pueblo","R","Rural","S","Suburbano","U","Urbano",""))</f>
        <v>Rural</v>
      </c>
      <c r="T1671" t="str">
        <f t="shared" si="105"/>
        <v>M</v>
      </c>
      <c r="U1671" t="str">
        <f t="shared" si="106"/>
        <v>GA</v>
      </c>
      <c r="V1671" t="str">
        <f t="shared" si="107"/>
        <v>9399</v>
      </c>
    </row>
    <row r="1672" spans="1:22" x14ac:dyDescent="0.35">
      <c r="A1672">
        <v>106488</v>
      </c>
      <c r="B1672" t="s">
        <v>28</v>
      </c>
      <c r="C1672" t="s">
        <v>17</v>
      </c>
      <c r="D1672">
        <v>405</v>
      </c>
      <c r="E1672">
        <v>241</v>
      </c>
      <c r="F1672">
        <v>349</v>
      </c>
      <c r="G1672">
        <v>0</v>
      </c>
      <c r="H1672">
        <v>11254</v>
      </c>
      <c r="I1672">
        <v>4</v>
      </c>
      <c r="J1672">
        <v>59</v>
      </c>
      <c r="K1672">
        <v>274</v>
      </c>
      <c r="L1672">
        <v>291</v>
      </c>
      <c r="M1672">
        <v>21.06666667</v>
      </c>
      <c r="N1672">
        <f>IFERROR(VLOOKUP(A1672,vlookup_table!$A:$G,2,FALSE),"")</f>
        <v>0</v>
      </c>
      <c r="O1672">
        <f>IFERROR(VLOOKUP(A1672,vlookup_table!$A:$G,4,FALSE),"")</f>
        <v>0</v>
      </c>
      <c r="P1672" t="str">
        <f>IFERROR(VLOOKUP(A1672,vlookup_table!$A:$G,5,FALSE),"")</f>
        <v>R2</v>
      </c>
      <c r="Q1672">
        <f>IFERROR(VLOOKUP(A1672,vlookup_table!$A:$G,7,FALSE),"")</f>
        <v>26</v>
      </c>
      <c r="R1672">
        <f t="shared" si="104"/>
        <v>97</v>
      </c>
      <c r="S1672" t="str" cm="1">
        <f t="array" ref="S1672">IF(P1672="","",_xlfn.SWITCH(LEFT(P1672,1),"C","Ciudad","T","Pueblo","R","Rural","S","Suburbano","U","Urbano",""))</f>
        <v>Rural</v>
      </c>
      <c r="T1672" t="str">
        <f t="shared" si="105"/>
        <v>F</v>
      </c>
      <c r="U1672" t="str">
        <f t="shared" si="106"/>
        <v>KS</v>
      </c>
      <c r="V1672" t="str">
        <f t="shared" si="107"/>
        <v>11254</v>
      </c>
    </row>
    <row r="1673" spans="1:22" x14ac:dyDescent="0.35">
      <c r="A1673">
        <v>70722</v>
      </c>
      <c r="B1673" t="s">
        <v>29</v>
      </c>
      <c r="C1673" t="s">
        <v>17</v>
      </c>
      <c r="D1673">
        <v>355</v>
      </c>
      <c r="E1673">
        <v>252</v>
      </c>
      <c r="F1673">
        <v>309</v>
      </c>
      <c r="G1673">
        <v>0</v>
      </c>
      <c r="H1673">
        <v>10409</v>
      </c>
      <c r="I1673">
        <v>2</v>
      </c>
      <c r="J1673">
        <v>93</v>
      </c>
      <c r="K1673">
        <v>292</v>
      </c>
      <c r="L1673">
        <v>271</v>
      </c>
      <c r="M1673">
        <v>12.33333333</v>
      </c>
      <c r="N1673">
        <f>IFERROR(VLOOKUP(A1673,vlookup_table!$A:$G,2,FALSE),"")</f>
        <v>0</v>
      </c>
      <c r="O1673">
        <f>IFERROR(VLOOKUP(A1673,vlookup_table!$A:$G,4,FALSE),"")</f>
        <v>907</v>
      </c>
      <c r="P1673" t="str">
        <f>IFERROR(VLOOKUP(A1673,vlookup_table!$A:$G,5,FALSE),"")</f>
        <v>C3</v>
      </c>
      <c r="Q1673">
        <f>IFERROR(VLOOKUP(A1673,vlookup_table!$A:$G,7,FALSE),"")</f>
        <v>16</v>
      </c>
      <c r="R1673">
        <f t="shared" si="104"/>
        <v>88</v>
      </c>
      <c r="S1673" t="str" cm="1">
        <f t="array" ref="S1673">IF(P1673="","",_xlfn.SWITCH(LEFT(P1673,1),"C","Ciudad","T","Pueblo","R","Rural","S","Suburbano","U","Urbano",""))</f>
        <v>Ciudad</v>
      </c>
      <c r="T1673" t="str">
        <f t="shared" si="105"/>
        <v>F</v>
      </c>
      <c r="U1673" t="str">
        <f t="shared" si="106"/>
        <v>MI</v>
      </c>
      <c r="V1673" t="str">
        <f t="shared" si="107"/>
        <v>10409</v>
      </c>
    </row>
    <row r="1674" spans="1:22" x14ac:dyDescent="0.35">
      <c r="A1674">
        <v>187495</v>
      </c>
      <c r="B1674" t="s">
        <v>31</v>
      </c>
      <c r="C1674" t="s">
        <v>14</v>
      </c>
      <c r="D1674">
        <v>922</v>
      </c>
      <c r="E1674">
        <v>374</v>
      </c>
      <c r="F1674">
        <v>501</v>
      </c>
      <c r="G1674">
        <v>3</v>
      </c>
      <c r="H1674">
        <v>16125</v>
      </c>
      <c r="I1674">
        <v>2</v>
      </c>
      <c r="J1674">
        <v>66</v>
      </c>
      <c r="K1674">
        <v>442</v>
      </c>
      <c r="L1674">
        <v>449</v>
      </c>
      <c r="M1674">
        <v>14</v>
      </c>
      <c r="N1674">
        <f>IFERROR(VLOOKUP(A1674,vlookup_table!$A:$G,2,FALSE),"")</f>
        <v>1</v>
      </c>
      <c r="O1674">
        <f>IFERROR(VLOOKUP(A1674,vlookup_table!$A:$G,4,FALSE),"")</f>
        <v>0</v>
      </c>
      <c r="P1674" t="str">
        <f>IFERROR(VLOOKUP(A1674,vlookup_table!$A:$G,5,FALSE),"")</f>
        <v>T1</v>
      </c>
      <c r="Q1674">
        <f>IFERROR(VLOOKUP(A1674,vlookup_table!$A:$G,7,FALSE),"")</f>
        <v>17</v>
      </c>
      <c r="R1674">
        <f t="shared" si="104"/>
        <v>97</v>
      </c>
      <c r="S1674" t="str" cm="1">
        <f t="array" ref="S1674">IF(P1674="","",_xlfn.SWITCH(LEFT(P1674,1),"C","Ciudad","T","Pueblo","R","Rural","S","Suburbano","U","Urbano",""))</f>
        <v>Pueblo</v>
      </c>
      <c r="T1674" t="str">
        <f t="shared" si="105"/>
        <v>M</v>
      </c>
      <c r="U1674" t="str">
        <f t="shared" si="106"/>
        <v>OK</v>
      </c>
      <c r="V1674" t="str">
        <f t="shared" si="107"/>
        <v>16125</v>
      </c>
    </row>
    <row r="1675" spans="1:22" x14ac:dyDescent="0.35">
      <c r="A1675">
        <v>18543</v>
      </c>
      <c r="B1675" t="s">
        <v>18</v>
      </c>
      <c r="C1675" t="s">
        <v>20</v>
      </c>
      <c r="D1675">
        <v>506</v>
      </c>
      <c r="E1675">
        <v>243</v>
      </c>
      <c r="F1675">
        <v>336</v>
      </c>
      <c r="G1675">
        <v>0</v>
      </c>
      <c r="H1675">
        <v>11973</v>
      </c>
      <c r="I1675">
        <v>0</v>
      </c>
      <c r="J1675">
        <v>89</v>
      </c>
      <c r="K1675">
        <v>285</v>
      </c>
      <c r="L1675">
        <v>294</v>
      </c>
      <c r="M1675">
        <v>9.0909090910000003</v>
      </c>
      <c r="N1675">
        <f>IFERROR(VLOOKUP(A1675,vlookup_table!$A:$G,2,FALSE),"")</f>
        <v>0</v>
      </c>
      <c r="O1675">
        <f>IFERROR(VLOOKUP(A1675,vlookup_table!$A:$G,4,FALSE),"")</f>
        <v>6001</v>
      </c>
      <c r="P1675" t="str">
        <f>IFERROR(VLOOKUP(A1675,vlookup_table!$A:$G,5,FALSE),"")</f>
        <v>T2</v>
      </c>
      <c r="Q1675">
        <f>IFERROR(VLOOKUP(A1675,vlookup_table!$A:$G,7,FALSE),"")</f>
        <v>14</v>
      </c>
      <c r="R1675">
        <f t="shared" si="104"/>
        <v>37</v>
      </c>
      <c r="S1675" t="str" cm="1">
        <f t="array" ref="S1675">IF(P1675="","",_xlfn.SWITCH(LEFT(P1675,1),"C","Ciudad","T","Pueblo","R","Rural","S","Suburbano","U","Urbano",""))</f>
        <v>Pueblo</v>
      </c>
      <c r="T1675" t="str">
        <f t="shared" si="105"/>
        <v>F</v>
      </c>
      <c r="U1675" t="str">
        <f t="shared" si="106"/>
        <v>NC</v>
      </c>
      <c r="V1675" t="str">
        <f t="shared" si="107"/>
        <v>11973</v>
      </c>
    </row>
    <row r="1676" spans="1:22" x14ac:dyDescent="0.35">
      <c r="A1676">
        <v>38707</v>
      </c>
      <c r="B1676" t="s">
        <v>13</v>
      </c>
      <c r="C1676" t="s">
        <v>14</v>
      </c>
      <c r="D1676">
        <v>3333</v>
      </c>
      <c r="E1676">
        <v>390</v>
      </c>
      <c r="F1676">
        <v>815</v>
      </c>
      <c r="G1676">
        <v>79</v>
      </c>
      <c r="H1676">
        <v>48235</v>
      </c>
      <c r="I1676">
        <v>5</v>
      </c>
      <c r="J1676">
        <v>20</v>
      </c>
      <c r="K1676">
        <v>609</v>
      </c>
      <c r="L1676">
        <v>549</v>
      </c>
      <c r="M1676">
        <v>10</v>
      </c>
      <c r="N1676">
        <f>IFERROR(VLOOKUP(A1676,vlookup_table!$A:$G,2,FALSE),"")</f>
        <v>1</v>
      </c>
      <c r="O1676">
        <f>IFERROR(VLOOKUP(A1676,vlookup_table!$A:$G,4,FALSE),"")</f>
        <v>0</v>
      </c>
      <c r="P1676" t="str">
        <f>IFERROR(VLOOKUP(A1676,vlookup_table!$A:$G,5,FALSE),"")</f>
        <v>C1</v>
      </c>
      <c r="Q1676">
        <f>IFERROR(VLOOKUP(A1676,vlookup_table!$A:$G,7,FALSE),"")</f>
        <v>17</v>
      </c>
      <c r="R1676">
        <f t="shared" si="104"/>
        <v>97</v>
      </c>
      <c r="S1676" t="str" cm="1">
        <f t="array" ref="S1676">IF(P1676="","",_xlfn.SWITCH(LEFT(P1676,1),"C","Ciudad","T","Pueblo","R","Rural","S","Suburbano","U","Urbano",""))</f>
        <v>Ciudad</v>
      </c>
      <c r="T1676" t="str">
        <f t="shared" si="105"/>
        <v>M</v>
      </c>
      <c r="U1676" t="str">
        <f t="shared" si="106"/>
        <v>FL</v>
      </c>
      <c r="V1676" t="str">
        <f t="shared" si="107"/>
        <v>48235</v>
      </c>
    </row>
    <row r="1677" spans="1:22" x14ac:dyDescent="0.35">
      <c r="A1677">
        <v>138528</v>
      </c>
      <c r="B1677" t="s">
        <v>64</v>
      </c>
      <c r="C1677" t="s">
        <v>14</v>
      </c>
      <c r="D1677">
        <v>723</v>
      </c>
      <c r="E1677">
        <v>265</v>
      </c>
      <c r="F1677">
        <v>485</v>
      </c>
      <c r="G1677">
        <v>0</v>
      </c>
      <c r="H1677">
        <v>17145</v>
      </c>
      <c r="I1677">
        <v>7</v>
      </c>
      <c r="J1677">
        <v>42</v>
      </c>
      <c r="K1677">
        <v>361</v>
      </c>
      <c r="L1677">
        <v>351</v>
      </c>
      <c r="M1677">
        <v>18.399999999999999</v>
      </c>
      <c r="N1677">
        <f>IFERROR(VLOOKUP(A1677,vlookup_table!$A:$G,2,FALSE),"")</f>
        <v>1</v>
      </c>
      <c r="O1677">
        <f>IFERROR(VLOOKUP(A1677,vlookup_table!$A:$G,4,FALSE),"")</f>
        <v>2406</v>
      </c>
      <c r="P1677" t="str">
        <f>IFERROR(VLOOKUP(A1677,vlookup_table!$A:$G,5,FALSE),"")</f>
        <v>S2</v>
      </c>
      <c r="Q1677">
        <f>IFERROR(VLOOKUP(A1677,vlookup_table!$A:$G,7,FALSE),"")</f>
        <v>26</v>
      </c>
      <c r="R1677">
        <f t="shared" si="104"/>
        <v>73</v>
      </c>
      <c r="S1677" t="str" cm="1">
        <f t="array" ref="S1677">IF(P1677="","",_xlfn.SWITCH(LEFT(P1677,1),"C","Ciudad","T","Pueblo","R","Rural","S","Suburbano","U","Urbano",""))</f>
        <v>Suburbano</v>
      </c>
      <c r="T1677" t="str">
        <f t="shared" si="105"/>
        <v>M</v>
      </c>
      <c r="U1677" t="str">
        <f t="shared" si="106"/>
        <v>Arizona</v>
      </c>
      <c r="V1677" t="str">
        <f t="shared" si="107"/>
        <v>17145</v>
      </c>
    </row>
    <row r="1678" spans="1:22" x14ac:dyDescent="0.35">
      <c r="A1678">
        <v>177960</v>
      </c>
      <c r="B1678" t="s">
        <v>50</v>
      </c>
      <c r="C1678" t="s">
        <v>14</v>
      </c>
      <c r="D1678">
        <v>528</v>
      </c>
      <c r="E1678">
        <v>284</v>
      </c>
      <c r="F1678">
        <v>359</v>
      </c>
      <c r="G1678">
        <v>0</v>
      </c>
      <c r="H1678">
        <v>11925</v>
      </c>
      <c r="I1678">
        <v>1</v>
      </c>
      <c r="J1678">
        <v>51</v>
      </c>
      <c r="K1678">
        <v>338</v>
      </c>
      <c r="L1678">
        <v>306</v>
      </c>
      <c r="M1678">
        <v>12.47826087</v>
      </c>
      <c r="N1678">
        <f>IFERROR(VLOOKUP(A1678,vlookup_table!$A:$G,2,FALSE),"")</f>
        <v>1</v>
      </c>
      <c r="O1678">
        <f>IFERROR(VLOOKUP(A1678,vlookup_table!$A:$G,4,FALSE),"")</f>
        <v>3803</v>
      </c>
      <c r="P1678" t="str">
        <f>IFERROR(VLOOKUP(A1678,vlookup_table!$A:$G,5,FALSE),"")</f>
        <v>T2</v>
      </c>
      <c r="Q1678">
        <f>IFERROR(VLOOKUP(A1678,vlookup_table!$A:$G,7,FALSE),"")</f>
        <v>25</v>
      </c>
      <c r="R1678">
        <f t="shared" si="104"/>
        <v>59</v>
      </c>
      <c r="S1678" t="str" cm="1">
        <f t="array" ref="S1678">IF(P1678="","",_xlfn.SWITCH(LEFT(P1678,1),"C","Ciudad","T","Pueblo","R","Rural","S","Suburbano","U","Urbano",""))</f>
        <v>Pueblo</v>
      </c>
      <c r="T1678" t="str">
        <f t="shared" si="105"/>
        <v>M</v>
      </c>
      <c r="U1678" t="str">
        <f t="shared" si="106"/>
        <v>OR</v>
      </c>
      <c r="V1678" t="str">
        <f t="shared" si="107"/>
        <v>11925</v>
      </c>
    </row>
    <row r="1679" spans="1:22" x14ac:dyDescent="0.35">
      <c r="A1679">
        <v>97221</v>
      </c>
      <c r="B1679" t="s">
        <v>16</v>
      </c>
      <c r="C1679" t="s">
        <v>17</v>
      </c>
      <c r="D1679">
        <v>418</v>
      </c>
      <c r="E1679">
        <v>330</v>
      </c>
      <c r="F1679">
        <v>430</v>
      </c>
      <c r="G1679">
        <v>0</v>
      </c>
      <c r="H1679">
        <v>14006</v>
      </c>
      <c r="I1679">
        <v>0</v>
      </c>
      <c r="J1679">
        <v>90</v>
      </c>
      <c r="K1679">
        <v>343</v>
      </c>
      <c r="L1679">
        <v>381</v>
      </c>
      <c r="M1679">
        <v>11</v>
      </c>
      <c r="N1679">
        <f>IFERROR(VLOOKUP(A1679,vlookup_table!$A:$G,2,FALSE),"")</f>
        <v>0</v>
      </c>
      <c r="O1679">
        <f>IFERROR(VLOOKUP(A1679,vlookup_table!$A:$G,4,FALSE),"")</f>
        <v>3101</v>
      </c>
      <c r="P1679" t="str">
        <f>IFERROR(VLOOKUP(A1679,vlookup_table!$A:$G,5,FALSE),"")</f>
        <v>R2</v>
      </c>
      <c r="Q1679">
        <f>IFERROR(VLOOKUP(A1679,vlookup_table!$A:$G,7,FALSE),"")</f>
        <v>25</v>
      </c>
      <c r="R1679">
        <f t="shared" si="104"/>
        <v>66</v>
      </c>
      <c r="S1679" t="str" cm="1">
        <f t="array" ref="S1679">IF(P1679="","",_xlfn.SWITCH(LEFT(P1679,1),"C","Ciudad","T","Pueblo","R","Rural","S","Suburbano","U","Urbano",""))</f>
        <v>Rural</v>
      </c>
      <c r="T1679" t="str">
        <f t="shared" si="105"/>
        <v>F</v>
      </c>
      <c r="U1679" t="str">
        <f t="shared" si="106"/>
        <v>IL</v>
      </c>
      <c r="V1679" t="str">
        <f t="shared" si="107"/>
        <v>14006</v>
      </c>
    </row>
    <row r="1680" spans="1:22" x14ac:dyDescent="0.35">
      <c r="A1680">
        <v>158816</v>
      </c>
      <c r="B1680" t="s">
        <v>22</v>
      </c>
      <c r="C1680" t="s">
        <v>17</v>
      </c>
      <c r="D1680">
        <v>2322</v>
      </c>
      <c r="E1680">
        <v>469</v>
      </c>
      <c r="F1680">
        <v>498</v>
      </c>
      <c r="G1680">
        <v>76</v>
      </c>
      <c r="H1680">
        <v>18806</v>
      </c>
      <c r="I1680">
        <v>12</v>
      </c>
      <c r="J1680">
        <v>48</v>
      </c>
      <c r="K1680">
        <v>472</v>
      </c>
      <c r="L1680">
        <v>499</v>
      </c>
      <c r="M1680">
        <v>7.84375</v>
      </c>
      <c r="N1680">
        <f>IFERROR(VLOOKUP(A1680,vlookup_table!$A:$G,2,FALSE),"")</f>
        <v>2</v>
      </c>
      <c r="O1680">
        <f>IFERROR(VLOOKUP(A1680,vlookup_table!$A:$G,4,FALSE),"")</f>
        <v>3601</v>
      </c>
      <c r="P1680" t="str">
        <f>IFERROR(VLOOKUP(A1680,vlookup_table!$A:$G,5,FALSE),"")</f>
        <v>C1</v>
      </c>
      <c r="Q1680">
        <f>IFERROR(VLOOKUP(A1680,vlookup_table!$A:$G,7,FALSE),"")</f>
        <v>11</v>
      </c>
      <c r="R1680">
        <f t="shared" si="104"/>
        <v>61</v>
      </c>
      <c r="S1680" t="str" cm="1">
        <f t="array" ref="S1680">IF(P1680="","",_xlfn.SWITCH(LEFT(P1680,1),"C","Ciudad","T","Pueblo","R","Rural","S","Suburbano","U","Urbano",""))</f>
        <v>Ciudad</v>
      </c>
      <c r="T1680" t="str">
        <f t="shared" si="105"/>
        <v>F</v>
      </c>
      <c r="U1680" t="str">
        <f t="shared" si="106"/>
        <v>CA</v>
      </c>
      <c r="V1680" t="str">
        <f t="shared" si="107"/>
        <v>18806</v>
      </c>
    </row>
    <row r="1681" spans="1:22" x14ac:dyDescent="0.35">
      <c r="A1681">
        <v>93713</v>
      </c>
      <c r="B1681" t="s">
        <v>16</v>
      </c>
      <c r="C1681" t="s">
        <v>17</v>
      </c>
      <c r="D1681">
        <v>704</v>
      </c>
      <c r="E1681">
        <v>314</v>
      </c>
      <c r="F1681">
        <v>415</v>
      </c>
      <c r="G1681">
        <v>0</v>
      </c>
      <c r="H1681">
        <v>11865</v>
      </c>
      <c r="I1681">
        <v>19</v>
      </c>
      <c r="J1681">
        <v>73</v>
      </c>
      <c r="K1681">
        <v>349</v>
      </c>
      <c r="L1681">
        <v>358</v>
      </c>
      <c r="M1681">
        <v>13</v>
      </c>
      <c r="N1681">
        <f>IFERROR(VLOOKUP(A1681,vlookup_table!$A:$G,2,FALSE),"")</f>
        <v>0</v>
      </c>
      <c r="O1681">
        <f>IFERROR(VLOOKUP(A1681,vlookup_table!$A:$G,4,FALSE),"")</f>
        <v>3101</v>
      </c>
      <c r="P1681" t="str">
        <f>IFERROR(VLOOKUP(A1681,vlookup_table!$A:$G,5,FALSE),"")</f>
        <v>U3</v>
      </c>
      <c r="Q1681">
        <f>IFERROR(VLOOKUP(A1681,vlookup_table!$A:$G,7,FALSE),"")</f>
        <v>20</v>
      </c>
      <c r="R1681">
        <f t="shared" si="104"/>
        <v>66</v>
      </c>
      <c r="S1681" t="str" cm="1">
        <f t="array" ref="S1681">IF(P1681="","",_xlfn.SWITCH(LEFT(P1681,1),"C","Ciudad","T","Pueblo","R","Rural","S","Suburbano","U","Urbano",""))</f>
        <v>Urbano</v>
      </c>
      <c r="T1681" t="str">
        <f t="shared" si="105"/>
        <v>F</v>
      </c>
      <c r="U1681" t="str">
        <f t="shared" si="106"/>
        <v>IL</v>
      </c>
      <c r="V1681" t="str">
        <f t="shared" si="107"/>
        <v>11865</v>
      </c>
    </row>
    <row r="1682" spans="1:22" x14ac:dyDescent="0.35">
      <c r="A1682">
        <v>135535</v>
      </c>
      <c r="B1682" t="s">
        <v>64</v>
      </c>
      <c r="C1682" t="s">
        <v>60</v>
      </c>
      <c r="D1682">
        <v>1060</v>
      </c>
      <c r="E1682">
        <v>519</v>
      </c>
      <c r="F1682">
        <v>631</v>
      </c>
      <c r="G1682">
        <v>0</v>
      </c>
      <c r="H1682">
        <v>18341</v>
      </c>
      <c r="I1682">
        <v>5</v>
      </c>
      <c r="J1682">
        <v>42</v>
      </c>
      <c r="K1682">
        <v>602</v>
      </c>
      <c r="L1682">
        <v>559</v>
      </c>
      <c r="M1682">
        <v>6.3571428570000004</v>
      </c>
      <c r="N1682">
        <f>IFERROR(VLOOKUP(A1682,vlookup_table!$A:$G,2,FALSE),"")</f>
        <v>28</v>
      </c>
      <c r="O1682">
        <f>IFERROR(VLOOKUP(A1682,vlookup_table!$A:$G,4,FALSE),"")</f>
        <v>4707</v>
      </c>
      <c r="P1682" t="str">
        <f>IFERROR(VLOOKUP(A1682,vlookup_table!$A:$G,5,FALSE),"")</f>
        <v>U1</v>
      </c>
      <c r="Q1682">
        <f>IFERROR(VLOOKUP(A1682,vlookup_table!$A:$G,7,FALSE),"")</f>
        <v>13</v>
      </c>
      <c r="R1682">
        <f t="shared" si="104"/>
        <v>50</v>
      </c>
      <c r="S1682" t="str" cm="1">
        <f t="array" ref="S1682">IF(P1682="","",_xlfn.SWITCH(LEFT(P1682,1),"C","Ciudad","T","Pueblo","R","Rural","S","Suburbano","U","Urbano",""))</f>
        <v>Urbano</v>
      </c>
      <c r="T1682" t="str">
        <f t="shared" si="105"/>
        <v>F</v>
      </c>
      <c r="U1682" t="str">
        <f t="shared" si="106"/>
        <v>Arizona</v>
      </c>
      <c r="V1682" t="str">
        <f t="shared" si="107"/>
        <v>18341</v>
      </c>
    </row>
    <row r="1683" spans="1:22" x14ac:dyDescent="0.35">
      <c r="A1683">
        <v>91194</v>
      </c>
      <c r="B1683" t="s">
        <v>16</v>
      </c>
      <c r="C1683" t="s">
        <v>17</v>
      </c>
      <c r="D1683">
        <v>539</v>
      </c>
      <c r="E1683">
        <v>254</v>
      </c>
      <c r="F1683">
        <v>343</v>
      </c>
      <c r="G1683">
        <v>0</v>
      </c>
      <c r="H1683">
        <v>12966</v>
      </c>
      <c r="I1683">
        <v>8</v>
      </c>
      <c r="J1683">
        <v>80</v>
      </c>
      <c r="K1683">
        <v>348</v>
      </c>
      <c r="L1683">
        <v>297</v>
      </c>
      <c r="M1683">
        <v>7.8947368420000004</v>
      </c>
      <c r="N1683">
        <f>IFERROR(VLOOKUP(A1683,vlookup_table!$A:$G,2,FALSE),"")</f>
        <v>0</v>
      </c>
      <c r="O1683">
        <f>IFERROR(VLOOKUP(A1683,vlookup_table!$A:$G,4,FALSE),"")</f>
        <v>5001</v>
      </c>
      <c r="P1683" t="str">
        <f>IFERROR(VLOOKUP(A1683,vlookup_table!$A:$G,5,FALSE),"")</f>
        <v>C3</v>
      </c>
      <c r="Q1683">
        <f>IFERROR(VLOOKUP(A1683,vlookup_table!$A:$G,7,FALSE),"")</f>
        <v>7</v>
      </c>
      <c r="R1683">
        <f t="shared" si="104"/>
        <v>47</v>
      </c>
      <c r="S1683" t="str" cm="1">
        <f t="array" ref="S1683">IF(P1683="","",_xlfn.SWITCH(LEFT(P1683,1),"C","Ciudad","T","Pueblo","R","Rural","S","Suburbano","U","Urbano",""))</f>
        <v>Ciudad</v>
      </c>
      <c r="T1683" t="str">
        <f t="shared" si="105"/>
        <v>F</v>
      </c>
      <c r="U1683" t="str">
        <f t="shared" si="106"/>
        <v>IL</v>
      </c>
      <c r="V1683" t="str">
        <f t="shared" si="107"/>
        <v>12966</v>
      </c>
    </row>
    <row r="1684" spans="1:22" x14ac:dyDescent="0.35">
      <c r="A1684">
        <v>62232</v>
      </c>
      <c r="B1684" t="s">
        <v>33</v>
      </c>
      <c r="C1684" t="s">
        <v>17</v>
      </c>
      <c r="D1684">
        <v>1097</v>
      </c>
      <c r="E1684">
        <v>485</v>
      </c>
      <c r="F1684">
        <v>601</v>
      </c>
      <c r="G1684">
        <v>4</v>
      </c>
      <c r="H1684">
        <v>21132</v>
      </c>
      <c r="I1684">
        <v>2</v>
      </c>
      <c r="J1684">
        <v>64</v>
      </c>
      <c r="K1684">
        <v>562</v>
      </c>
      <c r="L1684">
        <v>534</v>
      </c>
      <c r="M1684">
        <v>14.6</v>
      </c>
      <c r="N1684">
        <f>IFERROR(VLOOKUP(A1684,vlookup_table!$A:$G,2,FALSE),"")</f>
        <v>0</v>
      </c>
      <c r="O1684">
        <f>IFERROR(VLOOKUP(A1684,vlookup_table!$A:$G,4,FALSE),"")</f>
        <v>4206</v>
      </c>
      <c r="P1684" t="str">
        <f>IFERROR(VLOOKUP(A1684,vlookup_table!$A:$G,5,FALSE),"")</f>
        <v>T1</v>
      </c>
      <c r="Q1684">
        <f>IFERROR(VLOOKUP(A1684,vlookup_table!$A:$G,7,FALSE),"")</f>
        <v>19</v>
      </c>
      <c r="R1684">
        <f t="shared" si="104"/>
        <v>55</v>
      </c>
      <c r="S1684" t="str" cm="1">
        <f t="array" ref="S1684">IF(P1684="","",_xlfn.SWITCH(LEFT(P1684,1),"C","Ciudad","T","Pueblo","R","Rural","S","Suburbano","U","Urbano",""))</f>
        <v>Pueblo</v>
      </c>
      <c r="T1684" t="str">
        <f t="shared" si="105"/>
        <v>F</v>
      </c>
      <c r="U1684" t="str">
        <f t="shared" si="106"/>
        <v>IN</v>
      </c>
      <c r="V1684" t="str">
        <f t="shared" si="107"/>
        <v>21132</v>
      </c>
    </row>
    <row r="1685" spans="1:22" x14ac:dyDescent="0.35">
      <c r="A1685">
        <v>91507</v>
      </c>
      <c r="B1685" t="s">
        <v>16</v>
      </c>
      <c r="C1685" t="s">
        <v>17</v>
      </c>
      <c r="D1685">
        <v>1058</v>
      </c>
      <c r="E1685">
        <v>479</v>
      </c>
      <c r="F1685">
        <v>562</v>
      </c>
      <c r="G1685">
        <v>1</v>
      </c>
      <c r="H1685">
        <v>18116</v>
      </c>
      <c r="I1685">
        <v>2</v>
      </c>
      <c r="J1685">
        <v>86</v>
      </c>
      <c r="K1685">
        <v>499</v>
      </c>
      <c r="L1685">
        <v>525</v>
      </c>
      <c r="M1685">
        <v>8.75</v>
      </c>
      <c r="N1685">
        <f>IFERROR(VLOOKUP(A1685,vlookup_table!$A:$G,2,FALSE),"")</f>
        <v>0</v>
      </c>
      <c r="O1685">
        <f>IFERROR(VLOOKUP(A1685,vlookup_table!$A:$G,4,FALSE),"")</f>
        <v>3601</v>
      </c>
      <c r="P1685" t="str">
        <f>IFERROR(VLOOKUP(A1685,vlookup_table!$A:$G,5,FALSE),"")</f>
        <v>S1</v>
      </c>
      <c r="Q1685">
        <f>IFERROR(VLOOKUP(A1685,vlookup_table!$A:$G,7,FALSE),"")</f>
        <v>14</v>
      </c>
      <c r="R1685">
        <f t="shared" si="104"/>
        <v>61</v>
      </c>
      <c r="S1685" t="str" cm="1">
        <f t="array" ref="S1685">IF(P1685="","",_xlfn.SWITCH(LEFT(P1685,1),"C","Ciudad","T","Pueblo","R","Rural","S","Suburbano","U","Urbano",""))</f>
        <v>Suburbano</v>
      </c>
      <c r="T1685" t="str">
        <f t="shared" si="105"/>
        <v>F</v>
      </c>
      <c r="U1685" t="str">
        <f t="shared" si="106"/>
        <v>IL</v>
      </c>
      <c r="V1685" t="str">
        <f t="shared" si="107"/>
        <v>18116</v>
      </c>
    </row>
    <row r="1686" spans="1:22" x14ac:dyDescent="0.35">
      <c r="A1686">
        <v>153467</v>
      </c>
      <c r="B1686" t="s">
        <v>22</v>
      </c>
      <c r="C1686" t="s">
        <v>14</v>
      </c>
      <c r="D1686">
        <v>1971</v>
      </c>
      <c r="E1686">
        <v>553</v>
      </c>
      <c r="F1686">
        <v>607</v>
      </c>
      <c r="G1686">
        <v>46</v>
      </c>
      <c r="H1686">
        <v>17576</v>
      </c>
      <c r="I1686">
        <v>13</v>
      </c>
      <c r="J1686">
        <v>39</v>
      </c>
      <c r="K1686">
        <v>605</v>
      </c>
      <c r="L1686">
        <v>559</v>
      </c>
      <c r="M1686">
        <v>15</v>
      </c>
      <c r="N1686">
        <f>IFERROR(VLOOKUP(A1686,vlookup_table!$A:$G,2,FALSE),"")</f>
        <v>1</v>
      </c>
      <c r="O1686">
        <f>IFERROR(VLOOKUP(A1686,vlookup_table!$A:$G,4,FALSE),"")</f>
        <v>2301</v>
      </c>
      <c r="P1686" t="str">
        <f>IFERROR(VLOOKUP(A1686,vlookup_table!$A:$G,5,FALSE),"")</f>
        <v>S1</v>
      </c>
      <c r="Q1686">
        <f>IFERROR(VLOOKUP(A1686,vlookup_table!$A:$G,7,FALSE),"")</f>
        <v>21</v>
      </c>
      <c r="R1686">
        <f t="shared" si="104"/>
        <v>74</v>
      </c>
      <c r="S1686" t="str" cm="1">
        <f t="array" ref="S1686">IF(P1686="","",_xlfn.SWITCH(LEFT(P1686,1),"C","Ciudad","T","Pueblo","R","Rural","S","Suburbano","U","Urbano",""))</f>
        <v>Suburbano</v>
      </c>
      <c r="T1686" t="str">
        <f t="shared" si="105"/>
        <v>M</v>
      </c>
      <c r="U1686" t="str">
        <f t="shared" si="106"/>
        <v>CA</v>
      </c>
      <c r="V1686" t="str">
        <f t="shared" si="107"/>
        <v>17576</v>
      </c>
    </row>
    <row r="1687" spans="1:22" x14ac:dyDescent="0.35">
      <c r="A1687">
        <v>28718</v>
      </c>
      <c r="B1687" t="s">
        <v>39</v>
      </c>
      <c r="C1687" t="s">
        <v>14</v>
      </c>
      <c r="D1687">
        <v>512</v>
      </c>
      <c r="E1687">
        <v>190</v>
      </c>
      <c r="F1687">
        <v>297</v>
      </c>
      <c r="G1687">
        <v>0</v>
      </c>
      <c r="H1687">
        <v>9317</v>
      </c>
      <c r="I1687">
        <v>31</v>
      </c>
      <c r="J1687">
        <v>55</v>
      </c>
      <c r="K1687">
        <v>237</v>
      </c>
      <c r="L1687">
        <v>248</v>
      </c>
      <c r="M1687">
        <v>20</v>
      </c>
      <c r="N1687">
        <f>IFERROR(VLOOKUP(A1687,vlookup_table!$A:$G,2,FALSE),"")</f>
        <v>1</v>
      </c>
      <c r="O1687">
        <f>IFERROR(VLOOKUP(A1687,vlookup_table!$A:$G,4,FALSE),"")</f>
        <v>2201</v>
      </c>
      <c r="P1687" t="str">
        <f>IFERROR(VLOOKUP(A1687,vlookup_table!$A:$G,5,FALSE),"")</f>
        <v>C3</v>
      </c>
      <c r="Q1687">
        <f>IFERROR(VLOOKUP(A1687,vlookup_table!$A:$G,7,FALSE),"")</f>
        <v>20</v>
      </c>
      <c r="R1687">
        <f t="shared" si="104"/>
        <v>75</v>
      </c>
      <c r="S1687" t="str" cm="1">
        <f t="array" ref="S1687">IF(P1687="","",_xlfn.SWITCH(LEFT(P1687,1),"C","Ciudad","T","Pueblo","R","Rural","S","Suburbano","U","Urbano",""))</f>
        <v>Ciudad</v>
      </c>
      <c r="T1687" t="str">
        <f t="shared" si="105"/>
        <v>M</v>
      </c>
      <c r="U1687" t="str">
        <f t="shared" si="106"/>
        <v>GA</v>
      </c>
      <c r="V1687" t="str">
        <f t="shared" si="107"/>
        <v>9317</v>
      </c>
    </row>
    <row r="1688" spans="1:22" x14ac:dyDescent="0.35">
      <c r="A1688">
        <v>119902</v>
      </c>
      <c r="B1688" t="s">
        <v>21</v>
      </c>
      <c r="C1688" t="s">
        <v>14</v>
      </c>
      <c r="D1688">
        <v>321</v>
      </c>
      <c r="E1688">
        <v>170</v>
      </c>
      <c r="F1688">
        <v>271</v>
      </c>
      <c r="G1688">
        <v>1</v>
      </c>
      <c r="H1688">
        <v>9720</v>
      </c>
      <c r="I1688">
        <v>0</v>
      </c>
      <c r="J1688">
        <v>81</v>
      </c>
      <c r="K1688">
        <v>189</v>
      </c>
      <c r="L1688">
        <v>233</v>
      </c>
      <c r="M1688">
        <v>10</v>
      </c>
      <c r="N1688">
        <f>IFERROR(VLOOKUP(A1688,vlookup_table!$A:$G,2,FALSE),"")</f>
        <v>1</v>
      </c>
      <c r="O1688">
        <f>IFERROR(VLOOKUP(A1688,vlookup_table!$A:$G,4,FALSE),"")</f>
        <v>2201</v>
      </c>
      <c r="P1688" t="str">
        <f>IFERROR(VLOOKUP(A1688,vlookup_table!$A:$G,5,FALSE),"")</f>
        <v>R3</v>
      </c>
      <c r="Q1688">
        <f>IFERROR(VLOOKUP(A1688,vlookup_table!$A:$G,7,FALSE),"")</f>
        <v>5</v>
      </c>
      <c r="R1688">
        <f t="shared" si="104"/>
        <v>75</v>
      </c>
      <c r="S1688" t="str" cm="1">
        <f t="array" ref="S1688">IF(P1688="","",_xlfn.SWITCH(LEFT(P1688,1),"C","Ciudad","T","Pueblo","R","Rural","S","Suburbano","U","Urbano",""))</f>
        <v>Rural</v>
      </c>
      <c r="T1688" t="str">
        <f t="shared" si="105"/>
        <v>M</v>
      </c>
      <c r="U1688" t="str">
        <f t="shared" si="106"/>
        <v>TX</v>
      </c>
      <c r="V1688" t="str">
        <f t="shared" si="107"/>
        <v>9720</v>
      </c>
    </row>
    <row r="1689" spans="1:22" x14ac:dyDescent="0.35">
      <c r="A1689">
        <v>179339</v>
      </c>
      <c r="B1689" t="s">
        <v>40</v>
      </c>
      <c r="C1689" t="s">
        <v>51</v>
      </c>
      <c r="D1689">
        <v>2321</v>
      </c>
      <c r="E1689">
        <v>631</v>
      </c>
      <c r="F1689">
        <v>718</v>
      </c>
      <c r="G1689">
        <v>65</v>
      </c>
      <c r="H1689">
        <v>21434</v>
      </c>
      <c r="I1689">
        <v>2</v>
      </c>
      <c r="J1689">
        <v>61</v>
      </c>
      <c r="K1689">
        <v>638</v>
      </c>
      <c r="L1689">
        <v>713</v>
      </c>
      <c r="M1689">
        <v>6.7</v>
      </c>
      <c r="N1689">
        <f>IFERROR(VLOOKUP(A1689,vlookup_table!$A:$G,2,FALSE),"")</f>
        <v>0</v>
      </c>
      <c r="O1689">
        <f>IFERROR(VLOOKUP(A1689,vlookup_table!$A:$G,4,FALSE),"")</f>
        <v>9310</v>
      </c>
      <c r="P1689" t="str">
        <f>IFERROR(VLOOKUP(A1689,vlookup_table!$A:$G,5,FALSE),"")</f>
        <v>T1</v>
      </c>
      <c r="Q1689">
        <f>IFERROR(VLOOKUP(A1689,vlookup_table!$A:$G,7,FALSE),"")</f>
        <v>13</v>
      </c>
      <c r="R1689">
        <f t="shared" si="104"/>
        <v>4</v>
      </c>
      <c r="S1689" t="str" cm="1">
        <f t="array" ref="S1689">IF(P1689="","",_xlfn.SWITCH(LEFT(P1689,1),"C","Ciudad","T","Pueblo","R","Rural","S","Suburbano","U","Urbano",""))</f>
        <v>Pueblo</v>
      </c>
      <c r="T1689" t="str">
        <f t="shared" si="105"/>
        <v>M</v>
      </c>
      <c r="U1689" t="str">
        <f t="shared" si="106"/>
        <v>WA</v>
      </c>
      <c r="V1689" t="str">
        <f t="shared" si="107"/>
        <v>21434</v>
      </c>
    </row>
    <row r="1690" spans="1:22" x14ac:dyDescent="0.35">
      <c r="A1690">
        <v>74880</v>
      </c>
      <c r="B1690" t="s">
        <v>47</v>
      </c>
      <c r="C1690" t="s">
        <v>17</v>
      </c>
      <c r="D1690">
        <v>622</v>
      </c>
      <c r="E1690">
        <v>347</v>
      </c>
      <c r="F1690">
        <v>416</v>
      </c>
      <c r="G1690">
        <v>0</v>
      </c>
      <c r="H1690">
        <v>15808</v>
      </c>
      <c r="I1690">
        <v>0</v>
      </c>
      <c r="J1690">
        <v>88</v>
      </c>
      <c r="K1690">
        <v>378</v>
      </c>
      <c r="L1690">
        <v>401</v>
      </c>
      <c r="M1690">
        <v>15</v>
      </c>
      <c r="N1690">
        <f>IFERROR(VLOOKUP(A1690,vlookup_table!$A:$G,2,FALSE),"")</f>
        <v>0</v>
      </c>
      <c r="O1690">
        <f>IFERROR(VLOOKUP(A1690,vlookup_table!$A:$G,4,FALSE),"")</f>
        <v>2201</v>
      </c>
      <c r="P1690" t="str">
        <f>IFERROR(VLOOKUP(A1690,vlookup_table!$A:$G,5,FALSE),"")</f>
        <v>T2</v>
      </c>
      <c r="Q1690">
        <f>IFERROR(VLOOKUP(A1690,vlookup_table!$A:$G,7,FALSE),"")</f>
        <v>25</v>
      </c>
      <c r="R1690">
        <f t="shared" si="104"/>
        <v>75</v>
      </c>
      <c r="S1690" t="str" cm="1">
        <f t="array" ref="S1690">IF(P1690="","",_xlfn.SWITCH(LEFT(P1690,1),"C","Ciudad","T","Pueblo","R","Rural","S","Suburbano","U","Urbano",""))</f>
        <v>Pueblo</v>
      </c>
      <c r="T1690" t="str">
        <f t="shared" si="105"/>
        <v>F</v>
      </c>
      <c r="U1690" t="str">
        <f t="shared" si="106"/>
        <v>IA</v>
      </c>
      <c r="V1690" t="str">
        <f t="shared" si="107"/>
        <v>15808</v>
      </c>
    </row>
    <row r="1691" spans="1:22" x14ac:dyDescent="0.35">
      <c r="A1691">
        <v>29988</v>
      </c>
      <c r="B1691" t="s">
        <v>39</v>
      </c>
      <c r="C1691" t="s">
        <v>14</v>
      </c>
      <c r="D1691">
        <v>351</v>
      </c>
      <c r="E1691">
        <v>171</v>
      </c>
      <c r="F1691">
        <v>237</v>
      </c>
      <c r="G1691">
        <v>0</v>
      </c>
      <c r="H1691">
        <v>8814</v>
      </c>
      <c r="I1691">
        <v>0</v>
      </c>
      <c r="J1691">
        <v>78</v>
      </c>
      <c r="K1691">
        <v>186</v>
      </c>
      <c r="L1691">
        <v>219</v>
      </c>
      <c r="M1691">
        <v>25</v>
      </c>
      <c r="N1691">
        <f>IFERROR(VLOOKUP(A1691,vlookup_table!$A:$G,2,FALSE),"")</f>
        <v>1</v>
      </c>
      <c r="O1691">
        <f>IFERROR(VLOOKUP(A1691,vlookup_table!$A:$G,4,FALSE),"")</f>
        <v>0</v>
      </c>
      <c r="P1691" t="str">
        <f>IFERROR(VLOOKUP(A1691,vlookup_table!$A:$G,5,FALSE),"")</f>
        <v>R1</v>
      </c>
      <c r="Q1691">
        <f>IFERROR(VLOOKUP(A1691,vlookup_table!$A:$G,7,FALSE),"")</f>
        <v>25</v>
      </c>
      <c r="R1691">
        <f t="shared" si="104"/>
        <v>97</v>
      </c>
      <c r="S1691" t="str" cm="1">
        <f t="array" ref="S1691">IF(P1691="","",_xlfn.SWITCH(LEFT(P1691,1),"C","Ciudad","T","Pueblo","R","Rural","S","Suburbano","U","Urbano",""))</f>
        <v>Rural</v>
      </c>
      <c r="T1691" t="str">
        <f t="shared" si="105"/>
        <v>M</v>
      </c>
      <c r="U1691" t="str">
        <f t="shared" si="106"/>
        <v>GA</v>
      </c>
      <c r="V1691" t="str">
        <f t="shared" si="107"/>
        <v>8814</v>
      </c>
    </row>
    <row r="1692" spans="1:22" x14ac:dyDescent="0.35">
      <c r="A1692">
        <v>132508</v>
      </c>
      <c r="B1692" t="s">
        <v>66</v>
      </c>
      <c r="C1692" t="s">
        <v>17</v>
      </c>
      <c r="D1692">
        <v>540</v>
      </c>
      <c r="E1692">
        <v>191</v>
      </c>
      <c r="F1692">
        <v>237</v>
      </c>
      <c r="G1692">
        <v>0</v>
      </c>
      <c r="H1692">
        <v>10336</v>
      </c>
      <c r="I1692">
        <v>2</v>
      </c>
      <c r="J1692">
        <v>34</v>
      </c>
      <c r="K1692">
        <v>215</v>
      </c>
      <c r="L1692">
        <v>195</v>
      </c>
      <c r="M1692">
        <v>10.5</v>
      </c>
      <c r="N1692">
        <f>IFERROR(VLOOKUP(A1692,vlookup_table!$A:$G,2,FALSE),"")</f>
        <v>28</v>
      </c>
      <c r="O1692">
        <f>IFERROR(VLOOKUP(A1692,vlookup_table!$A:$G,4,FALSE),"")</f>
        <v>0</v>
      </c>
      <c r="P1692" t="str">
        <f>IFERROR(VLOOKUP(A1692,vlookup_table!$A:$G,5,FALSE),"")</f>
        <v>C2</v>
      </c>
      <c r="Q1692">
        <f>IFERROR(VLOOKUP(A1692,vlookup_table!$A:$G,7,FALSE),"")</f>
        <v>10</v>
      </c>
      <c r="R1692">
        <f t="shared" si="104"/>
        <v>97</v>
      </c>
      <c r="S1692" t="str" cm="1">
        <f t="array" ref="S1692">IF(P1692="","",_xlfn.SWITCH(LEFT(P1692,1),"C","Ciudad","T","Pueblo","R","Rural","S","Suburbano","U","Urbano",""))</f>
        <v>Ciudad</v>
      </c>
      <c r="T1692" t="str">
        <f t="shared" si="105"/>
        <v>F</v>
      </c>
      <c r="U1692" t="str">
        <f t="shared" si="106"/>
        <v>WY</v>
      </c>
      <c r="V1692" t="str">
        <f t="shared" si="107"/>
        <v>10336</v>
      </c>
    </row>
    <row r="1693" spans="1:22" x14ac:dyDescent="0.35">
      <c r="A1693">
        <v>144351</v>
      </c>
      <c r="B1693" t="s">
        <v>22</v>
      </c>
      <c r="C1693" t="s">
        <v>17</v>
      </c>
      <c r="D1693">
        <v>2855</v>
      </c>
      <c r="E1693">
        <v>311</v>
      </c>
      <c r="F1693">
        <v>537</v>
      </c>
      <c r="G1693">
        <v>78</v>
      </c>
      <c r="H1693">
        <v>18525</v>
      </c>
      <c r="I1693">
        <v>28</v>
      </c>
      <c r="J1693">
        <v>47</v>
      </c>
      <c r="K1693">
        <v>385</v>
      </c>
      <c r="L1693">
        <v>484</v>
      </c>
      <c r="M1693">
        <v>11.46153846</v>
      </c>
      <c r="N1693">
        <f>IFERROR(VLOOKUP(A1693,vlookup_table!$A:$G,2,FALSE),"")</f>
        <v>0</v>
      </c>
      <c r="O1693">
        <f>IFERROR(VLOOKUP(A1693,vlookup_table!$A:$G,4,FALSE),"")</f>
        <v>3609</v>
      </c>
      <c r="P1693" t="str">
        <f>IFERROR(VLOOKUP(A1693,vlookup_table!$A:$G,5,FALSE),"")</f>
        <v>U2</v>
      </c>
      <c r="Q1693">
        <f>IFERROR(VLOOKUP(A1693,vlookup_table!$A:$G,7,FALSE),"")</f>
        <v>40</v>
      </c>
      <c r="R1693">
        <f t="shared" si="104"/>
        <v>61</v>
      </c>
      <c r="S1693" t="str" cm="1">
        <f t="array" ref="S1693">IF(P1693="","",_xlfn.SWITCH(LEFT(P1693,1),"C","Ciudad","T","Pueblo","R","Rural","S","Suburbano","U","Urbano",""))</f>
        <v>Urbano</v>
      </c>
      <c r="T1693" t="str">
        <f t="shared" si="105"/>
        <v>F</v>
      </c>
      <c r="U1693" t="str">
        <f t="shared" si="106"/>
        <v>CA</v>
      </c>
      <c r="V1693" t="str">
        <f t="shared" si="107"/>
        <v>18525</v>
      </c>
    </row>
    <row r="1694" spans="1:22" x14ac:dyDescent="0.35">
      <c r="A1694">
        <v>38388</v>
      </c>
      <c r="B1694" t="s">
        <v>13</v>
      </c>
      <c r="C1694" t="s">
        <v>17</v>
      </c>
      <c r="D1694">
        <v>955</v>
      </c>
      <c r="E1694">
        <v>324</v>
      </c>
      <c r="F1694">
        <v>444</v>
      </c>
      <c r="G1694">
        <v>2</v>
      </c>
      <c r="H1694">
        <v>12645</v>
      </c>
      <c r="I1694">
        <v>71</v>
      </c>
      <c r="J1694">
        <v>17</v>
      </c>
      <c r="K1694">
        <v>379</v>
      </c>
      <c r="L1694">
        <v>397</v>
      </c>
      <c r="M1694">
        <v>7.2643478259999998</v>
      </c>
      <c r="N1694">
        <f>IFERROR(VLOOKUP(A1694,vlookup_table!$A:$G,2,FALSE),"")</f>
        <v>2</v>
      </c>
      <c r="O1694">
        <f>IFERROR(VLOOKUP(A1694,vlookup_table!$A:$G,4,FALSE),"")</f>
        <v>4810</v>
      </c>
      <c r="P1694" t="str">
        <f>IFERROR(VLOOKUP(A1694,vlookup_table!$A:$G,5,FALSE),"")</f>
        <v>U2</v>
      </c>
      <c r="Q1694">
        <f>IFERROR(VLOOKUP(A1694,vlookup_table!$A:$G,7,FALSE),"")</f>
        <v>10</v>
      </c>
      <c r="R1694">
        <f t="shared" si="104"/>
        <v>49</v>
      </c>
      <c r="S1694" t="str" cm="1">
        <f t="array" ref="S1694">IF(P1694="","",_xlfn.SWITCH(LEFT(P1694,1),"C","Ciudad","T","Pueblo","R","Rural","S","Suburbano","U","Urbano",""))</f>
        <v>Urbano</v>
      </c>
      <c r="T1694" t="str">
        <f t="shared" si="105"/>
        <v>F</v>
      </c>
      <c r="U1694" t="str">
        <f t="shared" si="106"/>
        <v>FL</v>
      </c>
      <c r="V1694" t="str">
        <f t="shared" si="107"/>
        <v>12645</v>
      </c>
    </row>
    <row r="1695" spans="1:22" x14ac:dyDescent="0.35">
      <c r="A1695">
        <v>176863</v>
      </c>
      <c r="B1695" t="s">
        <v>50</v>
      </c>
      <c r="C1695" t="s">
        <v>14</v>
      </c>
      <c r="D1695">
        <v>442</v>
      </c>
      <c r="E1695">
        <v>156</v>
      </c>
      <c r="F1695">
        <v>191</v>
      </c>
      <c r="G1695">
        <v>0</v>
      </c>
      <c r="H1695">
        <v>6370</v>
      </c>
      <c r="I1695">
        <v>2</v>
      </c>
      <c r="J1695">
        <v>53</v>
      </c>
      <c r="K1695">
        <v>195</v>
      </c>
      <c r="L1695">
        <v>165</v>
      </c>
      <c r="M1695">
        <v>16.5</v>
      </c>
      <c r="N1695">
        <f>IFERROR(VLOOKUP(A1695,vlookup_table!$A:$G,2,FALSE),"")</f>
        <v>1</v>
      </c>
      <c r="O1695">
        <f>IFERROR(VLOOKUP(A1695,vlookup_table!$A:$G,4,FALSE),"")</f>
        <v>6101</v>
      </c>
      <c r="P1695" t="str">
        <f>IFERROR(VLOOKUP(A1695,vlookup_table!$A:$G,5,FALSE),"")</f>
        <v>R3</v>
      </c>
      <c r="Q1695">
        <f>IFERROR(VLOOKUP(A1695,vlookup_table!$A:$G,7,FALSE),"")</f>
        <v>20</v>
      </c>
      <c r="R1695">
        <f t="shared" si="104"/>
        <v>36</v>
      </c>
      <c r="S1695" t="str" cm="1">
        <f t="array" ref="S1695">IF(P1695="","",_xlfn.SWITCH(LEFT(P1695,1),"C","Ciudad","T","Pueblo","R","Rural","S","Suburbano","U","Urbano",""))</f>
        <v>Rural</v>
      </c>
      <c r="T1695" t="str">
        <f t="shared" si="105"/>
        <v>M</v>
      </c>
      <c r="U1695" t="str">
        <f t="shared" si="106"/>
        <v>OR</v>
      </c>
      <c r="V1695" t="str">
        <f t="shared" si="107"/>
        <v>6370</v>
      </c>
    </row>
    <row r="1696" spans="1:22" x14ac:dyDescent="0.35">
      <c r="A1696">
        <v>70696</v>
      </c>
      <c r="B1696" t="s">
        <v>29</v>
      </c>
      <c r="C1696" t="s">
        <v>17</v>
      </c>
      <c r="D1696">
        <v>569</v>
      </c>
      <c r="E1696">
        <v>356</v>
      </c>
      <c r="F1696">
        <v>515</v>
      </c>
      <c r="G1696">
        <v>2</v>
      </c>
      <c r="H1696">
        <v>19771</v>
      </c>
      <c r="I1696">
        <v>2</v>
      </c>
      <c r="J1696">
        <v>83</v>
      </c>
      <c r="K1696">
        <v>384</v>
      </c>
      <c r="L1696">
        <v>440</v>
      </c>
      <c r="M1696">
        <v>6.75</v>
      </c>
      <c r="N1696">
        <f>IFERROR(VLOOKUP(A1696,vlookup_table!$A:$G,2,FALSE),"")</f>
        <v>0</v>
      </c>
      <c r="O1696">
        <f>IFERROR(VLOOKUP(A1696,vlookup_table!$A:$G,4,FALSE),"")</f>
        <v>4701</v>
      </c>
      <c r="P1696" t="str">
        <f>IFERROR(VLOOKUP(A1696,vlookup_table!$A:$G,5,FALSE),"")</f>
        <v>C2</v>
      </c>
      <c r="Q1696">
        <f>IFERROR(VLOOKUP(A1696,vlookup_table!$A:$G,7,FALSE),"")</f>
        <v>12</v>
      </c>
      <c r="R1696">
        <f t="shared" si="104"/>
        <v>50</v>
      </c>
      <c r="S1696" t="str" cm="1">
        <f t="array" ref="S1696">IF(P1696="","",_xlfn.SWITCH(LEFT(P1696,1),"C","Ciudad","T","Pueblo","R","Rural","S","Suburbano","U","Urbano",""))</f>
        <v>Ciudad</v>
      </c>
      <c r="T1696" t="str">
        <f t="shared" si="105"/>
        <v>F</v>
      </c>
      <c r="U1696" t="str">
        <f t="shared" si="106"/>
        <v>MI</v>
      </c>
      <c r="V1696" t="str">
        <f t="shared" si="107"/>
        <v>19771</v>
      </c>
    </row>
    <row r="1697" spans="1:22" x14ac:dyDescent="0.35">
      <c r="A1697">
        <v>151819</v>
      </c>
      <c r="B1697" t="s">
        <v>22</v>
      </c>
      <c r="C1697" t="s">
        <v>14</v>
      </c>
      <c r="D1697">
        <v>1170</v>
      </c>
      <c r="E1697">
        <v>210</v>
      </c>
      <c r="F1697">
        <v>255</v>
      </c>
      <c r="G1697">
        <v>3</v>
      </c>
      <c r="H1697">
        <v>7629</v>
      </c>
      <c r="I1697">
        <v>40</v>
      </c>
      <c r="J1697">
        <v>50</v>
      </c>
      <c r="K1697">
        <v>220</v>
      </c>
      <c r="L1697">
        <v>252</v>
      </c>
      <c r="M1697">
        <v>5.7</v>
      </c>
      <c r="N1697">
        <f>IFERROR(VLOOKUP(A1697,vlookup_table!$A:$G,2,FALSE),"")</f>
        <v>0</v>
      </c>
      <c r="O1697">
        <f>IFERROR(VLOOKUP(A1697,vlookup_table!$A:$G,4,FALSE),"")</f>
        <v>4601</v>
      </c>
      <c r="P1697" t="str">
        <f>IFERROR(VLOOKUP(A1697,vlookup_table!$A:$G,5,FALSE),"")</f>
        <v>U4</v>
      </c>
      <c r="Q1697">
        <f>IFERROR(VLOOKUP(A1697,vlookup_table!$A:$G,7,FALSE),"")</f>
        <v>6</v>
      </c>
      <c r="R1697">
        <f t="shared" si="104"/>
        <v>51</v>
      </c>
      <c r="S1697" t="str" cm="1">
        <f t="array" ref="S1697">IF(P1697="","",_xlfn.SWITCH(LEFT(P1697,1),"C","Ciudad","T","Pueblo","R","Rural","S","Suburbano","U","Urbano",""))</f>
        <v>Urbano</v>
      </c>
      <c r="T1697" t="str">
        <f t="shared" si="105"/>
        <v>M</v>
      </c>
      <c r="U1697" t="str">
        <f t="shared" si="106"/>
        <v>CA</v>
      </c>
      <c r="V1697" t="str">
        <f t="shared" si="107"/>
        <v>7629</v>
      </c>
    </row>
    <row r="1698" spans="1:22" x14ac:dyDescent="0.35">
      <c r="A1698">
        <v>146500</v>
      </c>
      <c r="B1698" t="s">
        <v>22</v>
      </c>
      <c r="C1698" t="s">
        <v>17</v>
      </c>
      <c r="D1698">
        <v>2353</v>
      </c>
      <c r="E1698">
        <v>301</v>
      </c>
      <c r="F1698">
        <v>367</v>
      </c>
      <c r="G1698">
        <v>71</v>
      </c>
      <c r="H1698">
        <v>10333</v>
      </c>
      <c r="I1698">
        <v>46</v>
      </c>
      <c r="J1698">
        <v>33</v>
      </c>
      <c r="K1698">
        <v>316</v>
      </c>
      <c r="L1698">
        <v>333</v>
      </c>
      <c r="M1698">
        <v>25</v>
      </c>
      <c r="N1698">
        <f>IFERROR(VLOOKUP(A1698,vlookup_table!$A:$G,2,FALSE),"")</f>
        <v>28</v>
      </c>
      <c r="O1698">
        <f>IFERROR(VLOOKUP(A1698,vlookup_table!$A:$G,4,FALSE),"")</f>
        <v>2201</v>
      </c>
      <c r="P1698" t="str">
        <f>IFERROR(VLOOKUP(A1698,vlookup_table!$A:$G,5,FALSE),"")</f>
        <v>S2</v>
      </c>
      <c r="Q1698">
        <f>IFERROR(VLOOKUP(A1698,vlookup_table!$A:$G,7,FALSE),"")</f>
        <v>25</v>
      </c>
      <c r="R1698">
        <f t="shared" si="104"/>
        <v>75</v>
      </c>
      <c r="S1698" t="str" cm="1">
        <f t="array" ref="S1698">IF(P1698="","",_xlfn.SWITCH(LEFT(P1698,1),"C","Ciudad","T","Pueblo","R","Rural","S","Suburbano","U","Urbano",""))</f>
        <v>Suburbano</v>
      </c>
      <c r="T1698" t="str">
        <f t="shared" si="105"/>
        <v>F</v>
      </c>
      <c r="U1698" t="str">
        <f t="shared" si="106"/>
        <v>CA</v>
      </c>
      <c r="V1698" t="str">
        <f t="shared" si="107"/>
        <v>10333</v>
      </c>
    </row>
    <row r="1699" spans="1:22" x14ac:dyDescent="0.35">
      <c r="A1699">
        <v>72679</v>
      </c>
      <c r="B1699" t="s">
        <v>29</v>
      </c>
      <c r="C1699" t="s">
        <v>17</v>
      </c>
      <c r="D1699">
        <v>330</v>
      </c>
      <c r="E1699">
        <v>249</v>
      </c>
      <c r="F1699">
        <v>357</v>
      </c>
      <c r="G1699">
        <v>0</v>
      </c>
      <c r="H1699">
        <v>10932</v>
      </c>
      <c r="I1699">
        <v>1</v>
      </c>
      <c r="J1699">
        <v>84</v>
      </c>
      <c r="K1699">
        <v>317</v>
      </c>
      <c r="L1699">
        <v>289</v>
      </c>
      <c r="M1699">
        <v>7.3333333329999997</v>
      </c>
      <c r="N1699">
        <f>IFERROR(VLOOKUP(A1699,vlookup_table!$A:$G,2,FALSE),"")</f>
        <v>0</v>
      </c>
      <c r="O1699">
        <f>IFERROR(VLOOKUP(A1699,vlookup_table!$A:$G,4,FALSE),"")</f>
        <v>6401</v>
      </c>
      <c r="P1699" t="str">
        <f>IFERROR(VLOOKUP(A1699,vlookup_table!$A:$G,5,FALSE),"")</f>
        <v>R2</v>
      </c>
      <c r="Q1699">
        <f>IFERROR(VLOOKUP(A1699,vlookup_table!$A:$G,7,FALSE),"")</f>
        <v>10</v>
      </c>
      <c r="R1699">
        <f t="shared" si="104"/>
        <v>33</v>
      </c>
      <c r="S1699" t="str" cm="1">
        <f t="array" ref="S1699">IF(P1699="","",_xlfn.SWITCH(LEFT(P1699,1),"C","Ciudad","T","Pueblo","R","Rural","S","Suburbano","U","Urbano",""))</f>
        <v>Rural</v>
      </c>
      <c r="T1699" t="str">
        <f t="shared" si="105"/>
        <v>F</v>
      </c>
      <c r="U1699" t="str">
        <f t="shared" si="106"/>
        <v>MI</v>
      </c>
      <c r="V1699" t="str">
        <f t="shared" si="107"/>
        <v>10932</v>
      </c>
    </row>
    <row r="1700" spans="1:22" x14ac:dyDescent="0.35">
      <c r="A1700">
        <v>61805</v>
      </c>
      <c r="B1700" t="s">
        <v>33</v>
      </c>
      <c r="C1700" t="s">
        <v>17</v>
      </c>
      <c r="D1700">
        <v>428</v>
      </c>
      <c r="E1700">
        <v>253</v>
      </c>
      <c r="F1700">
        <v>319</v>
      </c>
      <c r="G1700">
        <v>0</v>
      </c>
      <c r="H1700">
        <v>10747</v>
      </c>
      <c r="I1700">
        <v>0</v>
      </c>
      <c r="J1700">
        <v>79</v>
      </c>
      <c r="K1700">
        <v>294</v>
      </c>
      <c r="L1700">
        <v>284</v>
      </c>
      <c r="M1700">
        <v>2.625</v>
      </c>
      <c r="N1700">
        <f>IFERROR(VLOOKUP(A1700,vlookup_table!$A:$G,2,FALSE),"")</f>
        <v>0</v>
      </c>
      <c r="O1700">
        <f>IFERROR(VLOOKUP(A1700,vlookup_table!$A:$G,4,FALSE),"")</f>
        <v>0</v>
      </c>
      <c r="P1700" t="str">
        <f>IFERROR(VLOOKUP(A1700,vlookup_table!$A:$G,5,FALSE),"")</f>
        <v>R2</v>
      </c>
      <c r="Q1700">
        <f>IFERROR(VLOOKUP(A1700,vlookup_table!$A:$G,7,FALSE),"")</f>
        <v>5</v>
      </c>
      <c r="R1700">
        <f t="shared" si="104"/>
        <v>97</v>
      </c>
      <c r="S1700" t="str" cm="1">
        <f t="array" ref="S1700">IF(P1700="","",_xlfn.SWITCH(LEFT(P1700,1),"C","Ciudad","T","Pueblo","R","Rural","S","Suburbano","U","Urbano",""))</f>
        <v>Rural</v>
      </c>
      <c r="T1700" t="str">
        <f t="shared" si="105"/>
        <v>F</v>
      </c>
      <c r="U1700" t="str">
        <f t="shared" si="106"/>
        <v>IN</v>
      </c>
      <c r="V1700" t="str">
        <f t="shared" si="107"/>
        <v>10747</v>
      </c>
    </row>
    <row r="1701" spans="1:22" x14ac:dyDescent="0.35">
      <c r="A1701">
        <v>142742</v>
      </c>
      <c r="B1701" t="s">
        <v>22</v>
      </c>
      <c r="C1701" t="s">
        <v>17</v>
      </c>
      <c r="D1701">
        <v>1713</v>
      </c>
      <c r="E1701">
        <v>217</v>
      </c>
      <c r="F1701">
        <v>334</v>
      </c>
      <c r="G1701">
        <v>41</v>
      </c>
      <c r="H1701">
        <v>9763</v>
      </c>
      <c r="I1701">
        <v>59</v>
      </c>
      <c r="J1701">
        <v>26</v>
      </c>
      <c r="K1701">
        <v>244</v>
      </c>
      <c r="L1701">
        <v>310</v>
      </c>
      <c r="M1701">
        <v>15</v>
      </c>
      <c r="N1701">
        <f>IFERROR(VLOOKUP(A1701,vlookup_table!$A:$G,2,FALSE),"")</f>
        <v>2</v>
      </c>
      <c r="O1701">
        <f>IFERROR(VLOOKUP(A1701,vlookup_table!$A:$G,4,FALSE),"")</f>
        <v>4801</v>
      </c>
      <c r="P1701" t="str">
        <f>IFERROR(VLOOKUP(A1701,vlookup_table!$A:$G,5,FALSE),"")</f>
        <v>U3</v>
      </c>
      <c r="Q1701">
        <f>IFERROR(VLOOKUP(A1701,vlookup_table!$A:$G,7,FALSE),"")</f>
        <v>15</v>
      </c>
      <c r="R1701">
        <f t="shared" si="104"/>
        <v>49</v>
      </c>
      <c r="S1701" t="str" cm="1">
        <f t="array" ref="S1701">IF(P1701="","",_xlfn.SWITCH(LEFT(P1701,1),"C","Ciudad","T","Pueblo","R","Rural","S","Suburbano","U","Urbano",""))</f>
        <v>Urbano</v>
      </c>
      <c r="T1701" t="str">
        <f t="shared" si="105"/>
        <v>F</v>
      </c>
      <c r="U1701" t="str">
        <f t="shared" si="106"/>
        <v>CA</v>
      </c>
      <c r="V1701" t="str">
        <f t="shared" si="107"/>
        <v>9763</v>
      </c>
    </row>
    <row r="1702" spans="1:22" x14ac:dyDescent="0.35">
      <c r="A1702">
        <v>29342</v>
      </c>
      <c r="B1702" t="s">
        <v>39</v>
      </c>
      <c r="C1702" t="s">
        <v>17</v>
      </c>
      <c r="D1702">
        <v>618</v>
      </c>
      <c r="E1702">
        <v>278</v>
      </c>
      <c r="F1702">
        <v>364</v>
      </c>
      <c r="G1702">
        <v>0</v>
      </c>
      <c r="H1702">
        <v>11899</v>
      </c>
      <c r="I1702">
        <v>1</v>
      </c>
      <c r="J1702">
        <v>81</v>
      </c>
      <c r="K1702">
        <v>291</v>
      </c>
      <c r="L1702">
        <v>322</v>
      </c>
      <c r="M1702">
        <v>7.2857142860000002</v>
      </c>
      <c r="N1702">
        <f>IFERROR(VLOOKUP(A1702,vlookup_table!$A:$G,2,FALSE),"")</f>
        <v>0</v>
      </c>
      <c r="O1702">
        <f>IFERROR(VLOOKUP(A1702,vlookup_table!$A:$G,4,FALSE),"")</f>
        <v>0</v>
      </c>
      <c r="P1702">
        <f>IFERROR(VLOOKUP(A1702,vlookup_table!$A:$G,5,FALSE),"")</f>
        <v>0</v>
      </c>
      <c r="Q1702">
        <f>IFERROR(VLOOKUP(A1702,vlookup_table!$A:$G,7,FALSE),"")</f>
        <v>10</v>
      </c>
      <c r="R1702">
        <f t="shared" si="104"/>
        <v>97</v>
      </c>
      <c r="S1702" t="str" cm="1">
        <f t="array" ref="S1702">IF(P1702="","",_xlfn.SWITCH(LEFT(P1702,1),"C","Ciudad","T","Pueblo","R","Rural","S","Suburbano","U","Urbano",""))</f>
        <v/>
      </c>
      <c r="T1702" t="str">
        <f t="shared" si="105"/>
        <v>F</v>
      </c>
      <c r="U1702" t="str">
        <f t="shared" si="106"/>
        <v>GA</v>
      </c>
      <c r="V1702" t="str">
        <f t="shared" si="107"/>
        <v>11899</v>
      </c>
    </row>
    <row r="1703" spans="1:22" x14ac:dyDescent="0.35">
      <c r="A1703">
        <v>49712</v>
      </c>
      <c r="B1703" t="s">
        <v>43</v>
      </c>
      <c r="C1703" t="s">
        <v>27</v>
      </c>
      <c r="D1703">
        <v>310</v>
      </c>
      <c r="E1703">
        <v>243</v>
      </c>
      <c r="F1703">
        <v>297</v>
      </c>
      <c r="G1703">
        <v>1</v>
      </c>
      <c r="H1703">
        <v>9642</v>
      </c>
      <c r="I1703">
        <v>0</v>
      </c>
      <c r="J1703">
        <v>94</v>
      </c>
      <c r="K1703">
        <v>308</v>
      </c>
      <c r="L1703">
        <v>265</v>
      </c>
      <c r="M1703">
        <v>11.2</v>
      </c>
      <c r="N1703">
        <f>IFERROR(VLOOKUP(A1703,vlookup_table!$A:$G,2,FALSE),"")</f>
        <v>1</v>
      </c>
      <c r="O1703">
        <f>IFERROR(VLOOKUP(A1703,vlookup_table!$A:$G,4,FALSE),"")</f>
        <v>0</v>
      </c>
      <c r="P1703" t="str">
        <f>IFERROR(VLOOKUP(A1703,vlookup_table!$A:$G,5,FALSE),"")</f>
        <v>R3</v>
      </c>
      <c r="Q1703">
        <f>IFERROR(VLOOKUP(A1703,vlookup_table!$A:$G,7,FALSE),"")</f>
        <v>17</v>
      </c>
      <c r="R1703">
        <f t="shared" si="104"/>
        <v>97</v>
      </c>
      <c r="S1703" t="str" cm="1">
        <f t="array" ref="S1703">IF(P1703="","",_xlfn.SWITCH(LEFT(P1703,1),"C","Ciudad","T","Pueblo","R","Rural","S","Suburbano","U","Urbano",""))</f>
        <v>Rural</v>
      </c>
      <c r="T1703" t="str">
        <f t="shared" si="105"/>
        <v>M</v>
      </c>
      <c r="U1703" t="str">
        <f t="shared" si="106"/>
        <v>AL</v>
      </c>
      <c r="V1703" t="str">
        <f t="shared" si="107"/>
        <v>9642</v>
      </c>
    </row>
    <row r="1704" spans="1:22" x14ac:dyDescent="0.35">
      <c r="A1704">
        <v>53529</v>
      </c>
      <c r="B1704" t="s">
        <v>68</v>
      </c>
      <c r="C1704" t="s">
        <v>17</v>
      </c>
      <c r="D1704">
        <v>1183</v>
      </c>
      <c r="E1704">
        <v>496</v>
      </c>
      <c r="F1704">
        <v>654</v>
      </c>
      <c r="G1704">
        <v>1</v>
      </c>
      <c r="H1704">
        <v>27491</v>
      </c>
      <c r="I1704">
        <v>0</v>
      </c>
      <c r="J1704">
        <v>44</v>
      </c>
      <c r="K1704">
        <v>603</v>
      </c>
      <c r="L1704">
        <v>566</v>
      </c>
      <c r="M1704">
        <v>10.65217391</v>
      </c>
      <c r="N1704">
        <f>IFERROR(VLOOKUP(A1704,vlookup_table!$A:$G,2,FALSE),"")</f>
        <v>0</v>
      </c>
      <c r="O1704">
        <f>IFERROR(VLOOKUP(A1704,vlookup_table!$A:$G,4,FALSE),"")</f>
        <v>0</v>
      </c>
      <c r="P1704" t="str">
        <f>IFERROR(VLOOKUP(A1704,vlookup_table!$A:$G,5,FALSE),"")</f>
        <v>S1</v>
      </c>
      <c r="Q1704">
        <f>IFERROR(VLOOKUP(A1704,vlookup_table!$A:$G,7,FALSE),"")</f>
        <v>5</v>
      </c>
      <c r="R1704">
        <f t="shared" si="104"/>
        <v>97</v>
      </c>
      <c r="S1704" t="str" cm="1">
        <f t="array" ref="S1704">IF(P1704="","",_xlfn.SWITCH(LEFT(P1704,1),"C","Ciudad","T","Pueblo","R","Rural","S","Suburbano","U","Urbano",""))</f>
        <v>Suburbano</v>
      </c>
      <c r="T1704" t="str">
        <f t="shared" si="105"/>
        <v>F</v>
      </c>
      <c r="U1704" t="str">
        <f t="shared" si="106"/>
        <v>Tennessee</v>
      </c>
      <c r="V1704" t="str">
        <f t="shared" si="107"/>
        <v>27491</v>
      </c>
    </row>
    <row r="1705" spans="1:22" x14ac:dyDescent="0.35">
      <c r="A1705">
        <v>70803</v>
      </c>
      <c r="B1705" t="s">
        <v>29</v>
      </c>
      <c r="C1705" t="s">
        <v>14</v>
      </c>
      <c r="D1705">
        <v>299</v>
      </c>
      <c r="E1705">
        <v>244</v>
      </c>
      <c r="F1705">
        <v>303</v>
      </c>
      <c r="G1705">
        <v>0</v>
      </c>
      <c r="H1705">
        <v>10136</v>
      </c>
      <c r="I1705">
        <v>6</v>
      </c>
      <c r="J1705">
        <v>77</v>
      </c>
      <c r="K1705">
        <v>267</v>
      </c>
      <c r="L1705">
        <v>263</v>
      </c>
      <c r="M1705">
        <v>4.9375</v>
      </c>
      <c r="N1705">
        <f>IFERROR(VLOOKUP(A1705,vlookup_table!$A:$G,2,FALSE),"")</f>
        <v>1</v>
      </c>
      <c r="O1705">
        <f>IFERROR(VLOOKUP(A1705,vlookup_table!$A:$G,4,FALSE),"")</f>
        <v>1112</v>
      </c>
      <c r="P1705" t="str">
        <f>IFERROR(VLOOKUP(A1705,vlookup_table!$A:$G,5,FALSE),"")</f>
        <v>R3</v>
      </c>
      <c r="Q1705">
        <f>IFERROR(VLOOKUP(A1705,vlookup_table!$A:$G,7,FALSE),"")</f>
        <v>4</v>
      </c>
      <c r="R1705">
        <f t="shared" si="104"/>
        <v>86</v>
      </c>
      <c r="S1705" t="str" cm="1">
        <f t="array" ref="S1705">IF(P1705="","",_xlfn.SWITCH(LEFT(P1705,1),"C","Ciudad","T","Pueblo","R","Rural","S","Suburbano","U","Urbano",""))</f>
        <v>Rural</v>
      </c>
      <c r="T1705" t="str">
        <f t="shared" si="105"/>
        <v>M</v>
      </c>
      <c r="U1705" t="str">
        <f t="shared" si="106"/>
        <v>MI</v>
      </c>
      <c r="V1705" t="str">
        <f t="shared" si="107"/>
        <v>10136</v>
      </c>
    </row>
    <row r="1706" spans="1:22" x14ac:dyDescent="0.35">
      <c r="A1706">
        <v>20721</v>
      </c>
      <c r="B1706" t="s">
        <v>18</v>
      </c>
      <c r="C1706" t="s">
        <v>20</v>
      </c>
      <c r="D1706">
        <v>504</v>
      </c>
      <c r="E1706">
        <v>238</v>
      </c>
      <c r="F1706">
        <v>424</v>
      </c>
      <c r="G1706">
        <v>1</v>
      </c>
      <c r="H1706">
        <v>14205</v>
      </c>
      <c r="I1706">
        <v>0</v>
      </c>
      <c r="J1706">
        <v>60</v>
      </c>
      <c r="K1706">
        <v>355</v>
      </c>
      <c r="L1706">
        <v>319</v>
      </c>
      <c r="M1706">
        <v>8.5</v>
      </c>
      <c r="N1706">
        <f>IFERROR(VLOOKUP(A1706,vlookup_table!$A:$G,2,FALSE),"")</f>
        <v>0</v>
      </c>
      <c r="O1706">
        <f>IFERROR(VLOOKUP(A1706,vlookup_table!$A:$G,4,FALSE),"")</f>
        <v>5805</v>
      </c>
      <c r="P1706" t="str">
        <f>IFERROR(VLOOKUP(A1706,vlookup_table!$A:$G,5,FALSE),"")</f>
        <v>R2</v>
      </c>
      <c r="Q1706">
        <f>IFERROR(VLOOKUP(A1706,vlookup_table!$A:$G,7,FALSE),"")</f>
        <v>10</v>
      </c>
      <c r="R1706">
        <f t="shared" si="104"/>
        <v>39</v>
      </c>
      <c r="S1706" t="str" cm="1">
        <f t="array" ref="S1706">IF(P1706="","",_xlfn.SWITCH(LEFT(P1706,1),"C","Ciudad","T","Pueblo","R","Rural","S","Suburbano","U","Urbano",""))</f>
        <v>Rural</v>
      </c>
      <c r="T1706" t="str">
        <f t="shared" si="105"/>
        <v>F</v>
      </c>
      <c r="U1706" t="str">
        <f t="shared" si="106"/>
        <v>NC</v>
      </c>
      <c r="V1706" t="str">
        <f t="shared" si="107"/>
        <v>14205</v>
      </c>
    </row>
    <row r="1707" spans="1:22" x14ac:dyDescent="0.35">
      <c r="A1707">
        <v>15445</v>
      </c>
      <c r="B1707" t="s">
        <v>18</v>
      </c>
      <c r="C1707" t="s">
        <v>14</v>
      </c>
      <c r="D1707">
        <v>782</v>
      </c>
      <c r="E1707">
        <v>223</v>
      </c>
      <c r="F1707">
        <v>357</v>
      </c>
      <c r="G1707">
        <v>0</v>
      </c>
      <c r="H1707">
        <v>11910</v>
      </c>
      <c r="I1707">
        <v>5</v>
      </c>
      <c r="J1707">
        <v>45</v>
      </c>
      <c r="K1707">
        <v>341</v>
      </c>
      <c r="L1707">
        <v>272</v>
      </c>
      <c r="M1707">
        <v>10.23076923</v>
      </c>
      <c r="N1707">
        <f>IFERROR(VLOOKUP(A1707,vlookup_table!$A:$G,2,FALSE),"")</f>
        <v>1</v>
      </c>
      <c r="O1707">
        <f>IFERROR(VLOOKUP(A1707,vlookup_table!$A:$G,4,FALSE),"")</f>
        <v>5501</v>
      </c>
      <c r="P1707" t="str">
        <f>IFERROR(VLOOKUP(A1707,vlookup_table!$A:$G,5,FALSE),"")</f>
        <v>C2</v>
      </c>
      <c r="Q1707">
        <f>IFERROR(VLOOKUP(A1707,vlookup_table!$A:$G,7,FALSE),"")</f>
        <v>20</v>
      </c>
      <c r="R1707">
        <f t="shared" si="104"/>
        <v>42</v>
      </c>
      <c r="S1707" t="str" cm="1">
        <f t="array" ref="S1707">IF(P1707="","",_xlfn.SWITCH(LEFT(P1707,1),"C","Ciudad","T","Pueblo","R","Rural","S","Suburbano","U","Urbano",""))</f>
        <v>Ciudad</v>
      </c>
      <c r="T1707" t="str">
        <f t="shared" si="105"/>
        <v>M</v>
      </c>
      <c r="U1707" t="str">
        <f t="shared" si="106"/>
        <v>NC</v>
      </c>
      <c r="V1707" t="str">
        <f t="shared" si="107"/>
        <v>11910</v>
      </c>
    </row>
    <row r="1708" spans="1:22" x14ac:dyDescent="0.35">
      <c r="A1708">
        <v>24030</v>
      </c>
      <c r="B1708" t="s">
        <v>46</v>
      </c>
      <c r="C1708" t="s">
        <v>17</v>
      </c>
      <c r="D1708">
        <v>383</v>
      </c>
      <c r="E1708">
        <v>76</v>
      </c>
      <c r="F1708">
        <v>180</v>
      </c>
      <c r="G1708">
        <v>0</v>
      </c>
      <c r="H1708">
        <v>5990</v>
      </c>
      <c r="I1708">
        <v>0</v>
      </c>
      <c r="J1708">
        <v>78</v>
      </c>
      <c r="K1708">
        <v>134</v>
      </c>
      <c r="L1708">
        <v>135</v>
      </c>
      <c r="M1708">
        <v>12.2</v>
      </c>
      <c r="N1708">
        <f>IFERROR(VLOOKUP(A1708,vlookup_table!$A:$G,2,FALSE),"")</f>
        <v>0</v>
      </c>
      <c r="O1708">
        <f>IFERROR(VLOOKUP(A1708,vlookup_table!$A:$G,4,FALSE),"")</f>
        <v>3306</v>
      </c>
      <c r="P1708" t="str">
        <f>IFERROR(VLOOKUP(A1708,vlookup_table!$A:$G,5,FALSE),"")</f>
        <v>T3</v>
      </c>
      <c r="Q1708">
        <f>IFERROR(VLOOKUP(A1708,vlookup_table!$A:$G,7,FALSE),"")</f>
        <v>20</v>
      </c>
      <c r="R1708">
        <f t="shared" si="104"/>
        <v>64</v>
      </c>
      <c r="S1708" t="str" cm="1">
        <f t="array" ref="S1708">IF(P1708="","",_xlfn.SWITCH(LEFT(P1708,1),"C","Ciudad","T","Pueblo","R","Rural","S","Suburbano","U","Urbano",""))</f>
        <v>Pueblo</v>
      </c>
      <c r="T1708" t="str">
        <f t="shared" si="105"/>
        <v>F</v>
      </c>
      <c r="U1708" t="str">
        <f t="shared" si="106"/>
        <v>SC</v>
      </c>
      <c r="V1708" t="str">
        <f t="shared" si="107"/>
        <v>5990</v>
      </c>
    </row>
    <row r="1709" spans="1:22" x14ac:dyDescent="0.35">
      <c r="A1709">
        <v>150177</v>
      </c>
      <c r="B1709" t="s">
        <v>22</v>
      </c>
      <c r="C1709" t="s">
        <v>14</v>
      </c>
      <c r="D1709">
        <v>2044</v>
      </c>
      <c r="E1709">
        <v>329</v>
      </c>
      <c r="F1709">
        <v>423</v>
      </c>
      <c r="G1709">
        <v>53</v>
      </c>
      <c r="H1709">
        <v>13686</v>
      </c>
      <c r="I1709">
        <v>27</v>
      </c>
      <c r="J1709">
        <v>47</v>
      </c>
      <c r="K1709">
        <v>337</v>
      </c>
      <c r="L1709">
        <v>397</v>
      </c>
      <c r="M1709">
        <v>10.75</v>
      </c>
      <c r="N1709">
        <f>IFERROR(VLOOKUP(A1709,vlookup_table!$A:$G,2,FALSE),"")</f>
        <v>0</v>
      </c>
      <c r="O1709">
        <f>IFERROR(VLOOKUP(A1709,vlookup_table!$A:$G,4,FALSE),"")</f>
        <v>2001</v>
      </c>
      <c r="P1709" t="str">
        <f>IFERROR(VLOOKUP(A1709,vlookup_table!$A:$G,5,FALSE),"")</f>
        <v>S2</v>
      </c>
      <c r="Q1709">
        <f>IFERROR(VLOOKUP(A1709,vlookup_table!$A:$G,7,FALSE),"")</f>
        <v>20</v>
      </c>
      <c r="R1709">
        <f t="shared" si="104"/>
        <v>77</v>
      </c>
      <c r="S1709" t="str" cm="1">
        <f t="array" ref="S1709">IF(P1709="","",_xlfn.SWITCH(LEFT(P1709,1),"C","Ciudad","T","Pueblo","R","Rural","S","Suburbano","U","Urbano",""))</f>
        <v>Suburbano</v>
      </c>
      <c r="T1709" t="str">
        <f t="shared" si="105"/>
        <v>M</v>
      </c>
      <c r="U1709" t="str">
        <f t="shared" si="106"/>
        <v>CA</v>
      </c>
      <c r="V1709" t="str">
        <f t="shared" si="107"/>
        <v>13686</v>
      </c>
    </row>
    <row r="1710" spans="1:22" x14ac:dyDescent="0.35">
      <c r="A1710">
        <v>137540</v>
      </c>
      <c r="B1710" t="s">
        <v>64</v>
      </c>
      <c r="C1710" t="s">
        <v>60</v>
      </c>
      <c r="D1710">
        <v>2158</v>
      </c>
      <c r="E1710">
        <v>411</v>
      </c>
      <c r="F1710">
        <v>640</v>
      </c>
      <c r="G1710">
        <v>54</v>
      </c>
      <c r="H1710">
        <v>33235</v>
      </c>
      <c r="I1710">
        <v>7</v>
      </c>
      <c r="J1710">
        <v>12</v>
      </c>
      <c r="K1710">
        <v>516</v>
      </c>
      <c r="L1710">
        <v>535</v>
      </c>
      <c r="M1710">
        <v>9</v>
      </c>
      <c r="N1710">
        <f>IFERROR(VLOOKUP(A1710,vlookup_table!$A:$G,2,FALSE),"")</f>
        <v>2</v>
      </c>
      <c r="O1710">
        <f>IFERROR(VLOOKUP(A1710,vlookup_table!$A:$G,4,FALSE),"")</f>
        <v>4801</v>
      </c>
      <c r="P1710" t="str">
        <f>IFERROR(VLOOKUP(A1710,vlookup_table!$A:$G,5,FALSE),"")</f>
        <v>C1</v>
      </c>
      <c r="Q1710">
        <f>IFERROR(VLOOKUP(A1710,vlookup_table!$A:$G,7,FALSE),"")</f>
        <v>10</v>
      </c>
      <c r="R1710">
        <f t="shared" si="104"/>
        <v>49</v>
      </c>
      <c r="S1710" t="str" cm="1">
        <f t="array" ref="S1710">IF(P1710="","",_xlfn.SWITCH(LEFT(P1710,1),"C","Ciudad","T","Pueblo","R","Rural","S","Suburbano","U","Urbano",""))</f>
        <v>Ciudad</v>
      </c>
      <c r="T1710" t="str">
        <f t="shared" si="105"/>
        <v>F</v>
      </c>
      <c r="U1710" t="str">
        <f t="shared" si="106"/>
        <v>Arizona</v>
      </c>
      <c r="V1710" t="str">
        <f t="shared" si="107"/>
        <v>33235</v>
      </c>
    </row>
    <row r="1711" spans="1:22" x14ac:dyDescent="0.35">
      <c r="A1711">
        <v>13496</v>
      </c>
      <c r="B1711" t="s">
        <v>22</v>
      </c>
      <c r="C1711" t="s">
        <v>17</v>
      </c>
      <c r="D1711">
        <v>3222</v>
      </c>
      <c r="E1711">
        <v>569</v>
      </c>
      <c r="F1711">
        <v>652</v>
      </c>
      <c r="G1711">
        <v>93</v>
      </c>
      <c r="H1711">
        <v>34407</v>
      </c>
      <c r="I1711">
        <v>23</v>
      </c>
      <c r="J1711">
        <v>35</v>
      </c>
      <c r="K1711">
        <v>614</v>
      </c>
      <c r="L1711">
        <v>607</v>
      </c>
      <c r="M1711">
        <v>16.545454549999999</v>
      </c>
      <c r="N1711">
        <f>IFERROR(VLOOKUP(A1711,vlookup_table!$A:$G,2,FALSE),"")</f>
        <v>28</v>
      </c>
      <c r="O1711">
        <f>IFERROR(VLOOKUP(A1711,vlookup_table!$A:$G,4,FALSE),"")</f>
        <v>2801</v>
      </c>
      <c r="P1711" t="str">
        <f>IFERROR(VLOOKUP(A1711,vlookup_table!$A:$G,5,FALSE),"")</f>
        <v>U1</v>
      </c>
      <c r="Q1711">
        <f>IFERROR(VLOOKUP(A1711,vlookup_table!$A:$G,7,FALSE),"")</f>
        <v>25</v>
      </c>
      <c r="R1711">
        <f t="shared" si="104"/>
        <v>69</v>
      </c>
      <c r="S1711" t="str" cm="1">
        <f t="array" ref="S1711">IF(P1711="","",_xlfn.SWITCH(LEFT(P1711,1),"C","Ciudad","T","Pueblo","R","Rural","S","Suburbano","U","Urbano",""))</f>
        <v>Urbano</v>
      </c>
      <c r="T1711" t="str">
        <f t="shared" si="105"/>
        <v>F</v>
      </c>
      <c r="U1711" t="str">
        <f t="shared" si="106"/>
        <v>CA</v>
      </c>
      <c r="V1711" t="str">
        <f t="shared" si="107"/>
        <v>34407</v>
      </c>
    </row>
    <row r="1712" spans="1:22" x14ac:dyDescent="0.35">
      <c r="A1712">
        <v>28040</v>
      </c>
      <c r="B1712" t="s">
        <v>39</v>
      </c>
      <c r="C1712" t="s">
        <v>14</v>
      </c>
      <c r="D1712">
        <v>866</v>
      </c>
      <c r="E1712">
        <v>463</v>
      </c>
      <c r="F1712">
        <v>492</v>
      </c>
      <c r="G1712">
        <v>1</v>
      </c>
      <c r="H1712">
        <v>15563</v>
      </c>
      <c r="I1712">
        <v>1</v>
      </c>
      <c r="J1712">
        <v>66</v>
      </c>
      <c r="K1712">
        <v>475</v>
      </c>
      <c r="L1712">
        <v>467</v>
      </c>
      <c r="M1712">
        <v>7.5454545450000001</v>
      </c>
      <c r="N1712">
        <f>IFERROR(VLOOKUP(A1712,vlookup_table!$A:$G,2,FALSE),"")</f>
        <v>1</v>
      </c>
      <c r="O1712">
        <f>IFERROR(VLOOKUP(A1712,vlookup_table!$A:$G,4,FALSE),"")</f>
        <v>2901</v>
      </c>
      <c r="P1712" t="str">
        <f>IFERROR(VLOOKUP(A1712,vlookup_table!$A:$G,5,FALSE),"")</f>
        <v>T2</v>
      </c>
      <c r="Q1712">
        <f>IFERROR(VLOOKUP(A1712,vlookup_table!$A:$G,7,FALSE),"")</f>
        <v>11</v>
      </c>
      <c r="R1712">
        <f t="shared" si="104"/>
        <v>68</v>
      </c>
      <c r="S1712" t="str" cm="1">
        <f t="array" ref="S1712">IF(P1712="","",_xlfn.SWITCH(LEFT(P1712,1),"C","Ciudad","T","Pueblo","R","Rural","S","Suburbano","U","Urbano",""))</f>
        <v>Pueblo</v>
      </c>
      <c r="T1712" t="str">
        <f t="shared" si="105"/>
        <v>M</v>
      </c>
      <c r="U1712" t="str">
        <f t="shared" si="106"/>
        <v>GA</v>
      </c>
      <c r="V1712" t="str">
        <f t="shared" si="107"/>
        <v>15563</v>
      </c>
    </row>
    <row r="1713" spans="1:22" x14ac:dyDescent="0.35">
      <c r="A1713">
        <v>156174</v>
      </c>
      <c r="B1713" t="s">
        <v>24</v>
      </c>
      <c r="C1713" t="s">
        <v>14</v>
      </c>
      <c r="D1713">
        <v>899</v>
      </c>
      <c r="E1713">
        <v>479</v>
      </c>
      <c r="F1713">
        <v>535</v>
      </c>
      <c r="G1713">
        <v>1</v>
      </c>
      <c r="H1713">
        <v>15544</v>
      </c>
      <c r="I1713">
        <v>2</v>
      </c>
      <c r="J1713">
        <v>26</v>
      </c>
      <c r="K1713">
        <v>486</v>
      </c>
      <c r="L1713">
        <v>542</v>
      </c>
      <c r="M1713">
        <v>9.4444444440000002</v>
      </c>
      <c r="N1713">
        <f>IFERROR(VLOOKUP(A1713,vlookup_table!$A:$G,2,FALSE),"")</f>
        <v>1</v>
      </c>
      <c r="O1713">
        <f>IFERROR(VLOOKUP(A1713,vlookup_table!$A:$G,4,FALSE),"")</f>
        <v>2601</v>
      </c>
      <c r="P1713" t="str">
        <f>IFERROR(VLOOKUP(A1713,vlookup_table!$A:$G,5,FALSE),"")</f>
        <v>C2</v>
      </c>
      <c r="Q1713">
        <f>IFERROR(VLOOKUP(A1713,vlookup_table!$A:$G,7,FALSE),"")</f>
        <v>10</v>
      </c>
      <c r="R1713">
        <f t="shared" si="104"/>
        <v>71</v>
      </c>
      <c r="S1713" t="str" cm="1">
        <f t="array" ref="S1713">IF(P1713="","",_xlfn.SWITCH(LEFT(P1713,1),"C","Ciudad","T","Pueblo","R","Rural","S","Suburbano","U","Urbano",""))</f>
        <v>Ciudad</v>
      </c>
      <c r="T1713" t="str">
        <f t="shared" si="105"/>
        <v>M</v>
      </c>
      <c r="U1713" t="str">
        <f t="shared" si="106"/>
        <v>NV</v>
      </c>
      <c r="V1713" t="str">
        <f t="shared" si="107"/>
        <v>15544</v>
      </c>
    </row>
    <row r="1714" spans="1:22" x14ac:dyDescent="0.35">
      <c r="A1714">
        <v>75461</v>
      </c>
      <c r="B1714" t="s">
        <v>47</v>
      </c>
      <c r="D1714">
        <v>221</v>
      </c>
      <c r="E1714">
        <v>216</v>
      </c>
      <c r="F1714">
        <v>304</v>
      </c>
      <c r="G1714">
        <v>0</v>
      </c>
      <c r="H1714">
        <v>10791</v>
      </c>
      <c r="I1714">
        <v>0</v>
      </c>
      <c r="J1714">
        <v>87</v>
      </c>
      <c r="K1714">
        <v>274</v>
      </c>
      <c r="L1714">
        <v>252</v>
      </c>
      <c r="M1714">
        <v>11.33333333</v>
      </c>
      <c r="N1714">
        <f>IFERROR(VLOOKUP(A1714,vlookup_table!$A:$G,2,FALSE),"")</f>
        <v>2</v>
      </c>
      <c r="O1714">
        <f>IFERROR(VLOOKUP(A1714,vlookup_table!$A:$G,4,FALSE),"")</f>
        <v>1612</v>
      </c>
      <c r="P1714">
        <f>IFERROR(VLOOKUP(A1714,vlookup_table!$A:$G,5,FALSE),"")</f>
        <v>0</v>
      </c>
      <c r="Q1714">
        <f>IFERROR(VLOOKUP(A1714,vlookup_table!$A:$G,7,FALSE),"")</f>
        <v>15</v>
      </c>
      <c r="R1714">
        <f t="shared" si="104"/>
        <v>81</v>
      </c>
      <c r="S1714" t="str" cm="1">
        <f t="array" ref="S1714">IF(P1714="","",_xlfn.SWITCH(LEFT(P1714,1),"C","Ciudad","T","Pueblo","R","Rural","S","Suburbano","U","Urbano",""))</f>
        <v/>
      </c>
      <c r="T1714" t="str">
        <f t="shared" si="105"/>
        <v/>
      </c>
      <c r="U1714" t="str">
        <f t="shared" si="106"/>
        <v>IA</v>
      </c>
      <c r="V1714" t="str">
        <f t="shared" si="107"/>
        <v>10791</v>
      </c>
    </row>
    <row r="1715" spans="1:22" x14ac:dyDescent="0.35">
      <c r="A1715">
        <v>2781</v>
      </c>
      <c r="B1715" t="s">
        <v>22</v>
      </c>
      <c r="C1715" t="s">
        <v>17</v>
      </c>
      <c r="D1715">
        <v>2432</v>
      </c>
      <c r="E1715">
        <v>340</v>
      </c>
      <c r="F1715">
        <v>432</v>
      </c>
      <c r="G1715">
        <v>72</v>
      </c>
      <c r="H1715">
        <v>13558</v>
      </c>
      <c r="I1715">
        <v>42</v>
      </c>
      <c r="J1715">
        <v>37</v>
      </c>
      <c r="K1715">
        <v>364</v>
      </c>
      <c r="L1715">
        <v>397</v>
      </c>
      <c r="M1715">
        <v>9</v>
      </c>
      <c r="N1715">
        <f>IFERROR(VLOOKUP(A1715,vlookup_table!$A:$G,2,FALSE),"")</f>
        <v>0</v>
      </c>
      <c r="O1715">
        <f>IFERROR(VLOOKUP(A1715,vlookup_table!$A:$G,4,FALSE),"")</f>
        <v>4501</v>
      </c>
      <c r="P1715" t="str">
        <f>IFERROR(VLOOKUP(A1715,vlookup_table!$A:$G,5,FALSE),"")</f>
        <v>U2</v>
      </c>
      <c r="Q1715">
        <f>IFERROR(VLOOKUP(A1715,vlookup_table!$A:$G,7,FALSE),"")</f>
        <v>20</v>
      </c>
      <c r="R1715">
        <f t="shared" si="104"/>
        <v>52</v>
      </c>
      <c r="S1715" t="str" cm="1">
        <f t="array" ref="S1715">IF(P1715="","",_xlfn.SWITCH(LEFT(P1715,1),"C","Ciudad","T","Pueblo","R","Rural","S","Suburbano","U","Urbano",""))</f>
        <v>Urbano</v>
      </c>
      <c r="T1715" t="str">
        <f t="shared" si="105"/>
        <v>F</v>
      </c>
      <c r="U1715" t="str">
        <f t="shared" si="106"/>
        <v>CA</v>
      </c>
      <c r="V1715" t="str">
        <f t="shared" si="107"/>
        <v>13558</v>
      </c>
    </row>
    <row r="1716" spans="1:22" x14ac:dyDescent="0.35">
      <c r="A1716">
        <v>85476</v>
      </c>
      <c r="B1716" t="s">
        <v>56</v>
      </c>
      <c r="C1716" t="s">
        <v>17</v>
      </c>
      <c r="D1716">
        <v>198</v>
      </c>
      <c r="E1716">
        <v>173</v>
      </c>
      <c r="F1716">
        <v>238</v>
      </c>
      <c r="G1716">
        <v>0</v>
      </c>
      <c r="H1716">
        <v>7616</v>
      </c>
      <c r="I1716">
        <v>1</v>
      </c>
      <c r="J1716">
        <v>83</v>
      </c>
      <c r="K1716">
        <v>209</v>
      </c>
      <c r="L1716">
        <v>208</v>
      </c>
      <c r="M1716">
        <v>5</v>
      </c>
      <c r="N1716">
        <f>IFERROR(VLOOKUP(A1716,vlookup_table!$A:$G,2,FALSE),"")</f>
        <v>2</v>
      </c>
      <c r="O1716">
        <f>IFERROR(VLOOKUP(A1716,vlookup_table!$A:$G,4,FALSE),"")</f>
        <v>3801</v>
      </c>
      <c r="P1716" t="str">
        <f>IFERROR(VLOOKUP(A1716,vlookup_table!$A:$G,5,FALSE),"")</f>
        <v>R3</v>
      </c>
      <c r="Q1716">
        <f>IFERROR(VLOOKUP(A1716,vlookup_table!$A:$G,7,FALSE),"")</f>
        <v>5</v>
      </c>
      <c r="R1716">
        <f t="shared" si="104"/>
        <v>59</v>
      </c>
      <c r="S1716" t="str" cm="1">
        <f t="array" ref="S1716">IF(P1716="","",_xlfn.SWITCH(LEFT(P1716,1),"C","Ciudad","T","Pueblo","R","Rural","S","Suburbano","U","Urbano",""))</f>
        <v>Rural</v>
      </c>
      <c r="T1716" t="str">
        <f t="shared" si="105"/>
        <v>F</v>
      </c>
      <c r="U1716" t="str">
        <f t="shared" si="106"/>
        <v>MN</v>
      </c>
      <c r="V1716" t="str">
        <f t="shared" si="107"/>
        <v>7616</v>
      </c>
    </row>
    <row r="1717" spans="1:22" x14ac:dyDescent="0.35">
      <c r="A1717">
        <v>177640</v>
      </c>
      <c r="B1717" t="s">
        <v>50</v>
      </c>
      <c r="C1717" t="s">
        <v>14</v>
      </c>
      <c r="D1717">
        <v>600</v>
      </c>
      <c r="E1717">
        <v>236</v>
      </c>
      <c r="F1717">
        <v>275</v>
      </c>
      <c r="G1717">
        <v>2</v>
      </c>
      <c r="H1717">
        <v>9757</v>
      </c>
      <c r="I1717">
        <v>1</v>
      </c>
      <c r="J1717">
        <v>44</v>
      </c>
      <c r="K1717">
        <v>256</v>
      </c>
      <c r="L1717">
        <v>273</v>
      </c>
      <c r="M1717">
        <v>18.958333329999999</v>
      </c>
      <c r="N1717">
        <f>IFERROR(VLOOKUP(A1717,vlookup_table!$A:$G,2,FALSE),"")</f>
        <v>1</v>
      </c>
      <c r="O1717">
        <f>IFERROR(VLOOKUP(A1717,vlookup_table!$A:$G,4,FALSE),"")</f>
        <v>4911</v>
      </c>
      <c r="P1717" t="str">
        <f>IFERROR(VLOOKUP(A1717,vlookup_table!$A:$G,5,FALSE),"")</f>
        <v>R2</v>
      </c>
      <c r="Q1717">
        <f>IFERROR(VLOOKUP(A1717,vlookup_table!$A:$G,7,FALSE),"")</f>
        <v>30</v>
      </c>
      <c r="R1717">
        <f t="shared" si="104"/>
        <v>48</v>
      </c>
      <c r="S1717" t="str" cm="1">
        <f t="array" ref="S1717">IF(P1717="","",_xlfn.SWITCH(LEFT(P1717,1),"C","Ciudad","T","Pueblo","R","Rural","S","Suburbano","U","Urbano",""))</f>
        <v>Rural</v>
      </c>
      <c r="T1717" t="str">
        <f t="shared" si="105"/>
        <v>M</v>
      </c>
      <c r="U1717" t="str">
        <f t="shared" si="106"/>
        <v>OR</v>
      </c>
      <c r="V1717" t="str">
        <f t="shared" si="107"/>
        <v>9757</v>
      </c>
    </row>
    <row r="1718" spans="1:22" x14ac:dyDescent="0.35">
      <c r="A1718">
        <v>183052</v>
      </c>
      <c r="B1718" t="s">
        <v>40</v>
      </c>
      <c r="C1718" t="s">
        <v>51</v>
      </c>
      <c r="D1718">
        <v>944</v>
      </c>
      <c r="E1718">
        <v>395</v>
      </c>
      <c r="F1718">
        <v>461</v>
      </c>
      <c r="G1718">
        <v>5</v>
      </c>
      <c r="H1718">
        <v>13714</v>
      </c>
      <c r="I1718">
        <v>3</v>
      </c>
      <c r="J1718">
        <v>38</v>
      </c>
      <c r="K1718">
        <v>417</v>
      </c>
      <c r="L1718">
        <v>414</v>
      </c>
      <c r="M1718">
        <v>5.266666667</v>
      </c>
      <c r="N1718">
        <f>IFERROR(VLOOKUP(A1718,vlookup_table!$A:$G,2,FALSE),"")</f>
        <v>1</v>
      </c>
      <c r="O1718">
        <f>IFERROR(VLOOKUP(A1718,vlookup_table!$A:$G,4,FALSE),"")</f>
        <v>3511</v>
      </c>
      <c r="P1718" t="str">
        <f>IFERROR(VLOOKUP(A1718,vlookup_table!$A:$G,5,FALSE),"")</f>
        <v>T2</v>
      </c>
      <c r="Q1718">
        <f>IFERROR(VLOOKUP(A1718,vlookup_table!$A:$G,7,FALSE),"")</f>
        <v>5</v>
      </c>
      <c r="R1718">
        <f t="shared" si="104"/>
        <v>62</v>
      </c>
      <c r="S1718" t="str" cm="1">
        <f t="array" ref="S1718">IF(P1718="","",_xlfn.SWITCH(LEFT(P1718,1),"C","Ciudad","T","Pueblo","R","Rural","S","Suburbano","U","Urbano",""))</f>
        <v>Pueblo</v>
      </c>
      <c r="T1718" t="str">
        <f t="shared" si="105"/>
        <v>M</v>
      </c>
      <c r="U1718" t="str">
        <f t="shared" si="106"/>
        <v>WA</v>
      </c>
      <c r="V1718" t="str">
        <f t="shared" si="107"/>
        <v>13714</v>
      </c>
    </row>
    <row r="1719" spans="1:22" x14ac:dyDescent="0.35">
      <c r="A1719">
        <v>115935</v>
      </c>
      <c r="B1719" t="s">
        <v>21</v>
      </c>
      <c r="C1719" t="s">
        <v>17</v>
      </c>
      <c r="D1719">
        <v>463</v>
      </c>
      <c r="E1719">
        <v>404</v>
      </c>
      <c r="F1719">
        <v>470</v>
      </c>
      <c r="G1719">
        <v>0</v>
      </c>
      <c r="H1719">
        <v>16020</v>
      </c>
      <c r="I1719">
        <v>3</v>
      </c>
      <c r="J1719">
        <v>46</v>
      </c>
      <c r="K1719">
        <v>416</v>
      </c>
      <c r="L1719">
        <v>427</v>
      </c>
      <c r="M1719">
        <v>10.4</v>
      </c>
      <c r="N1719">
        <f>IFERROR(VLOOKUP(A1719,vlookup_table!$A:$G,2,FALSE),"")</f>
        <v>28</v>
      </c>
      <c r="O1719">
        <f>IFERROR(VLOOKUP(A1719,vlookup_table!$A:$G,4,FALSE),"")</f>
        <v>0</v>
      </c>
      <c r="P1719" t="str">
        <f>IFERROR(VLOOKUP(A1719,vlookup_table!$A:$G,5,FALSE),"")</f>
        <v>C2</v>
      </c>
      <c r="Q1719">
        <f>IFERROR(VLOOKUP(A1719,vlookup_table!$A:$G,7,FALSE),"")</f>
        <v>20</v>
      </c>
      <c r="R1719">
        <f t="shared" si="104"/>
        <v>97</v>
      </c>
      <c r="S1719" t="str" cm="1">
        <f t="array" ref="S1719">IF(P1719="","",_xlfn.SWITCH(LEFT(P1719,1),"C","Ciudad","T","Pueblo","R","Rural","S","Suburbano","U","Urbano",""))</f>
        <v>Ciudad</v>
      </c>
      <c r="T1719" t="str">
        <f t="shared" si="105"/>
        <v>F</v>
      </c>
      <c r="U1719" t="str">
        <f t="shared" si="106"/>
        <v>TX</v>
      </c>
      <c r="V1719" t="str">
        <f t="shared" si="107"/>
        <v>16020</v>
      </c>
    </row>
    <row r="1720" spans="1:22" x14ac:dyDescent="0.35">
      <c r="A1720">
        <v>103872</v>
      </c>
      <c r="B1720" t="s">
        <v>36</v>
      </c>
      <c r="C1720" t="s">
        <v>17</v>
      </c>
      <c r="D1720">
        <v>290</v>
      </c>
      <c r="E1720">
        <v>182</v>
      </c>
      <c r="F1720">
        <v>277</v>
      </c>
      <c r="G1720">
        <v>0</v>
      </c>
      <c r="H1720">
        <v>9887</v>
      </c>
      <c r="I1720">
        <v>1</v>
      </c>
      <c r="J1720">
        <v>76</v>
      </c>
      <c r="K1720">
        <v>228</v>
      </c>
      <c r="L1720">
        <v>235</v>
      </c>
      <c r="M1720">
        <v>20</v>
      </c>
      <c r="N1720">
        <f>IFERROR(VLOOKUP(A1720,vlookup_table!$A:$G,2,FALSE),"")</f>
        <v>2</v>
      </c>
      <c r="O1720">
        <f>IFERROR(VLOOKUP(A1720,vlookup_table!$A:$G,4,FALSE),"")</f>
        <v>3401</v>
      </c>
      <c r="P1720" t="str">
        <f>IFERROR(VLOOKUP(A1720,vlookup_table!$A:$G,5,FALSE),"")</f>
        <v>R3</v>
      </c>
      <c r="Q1720">
        <f>IFERROR(VLOOKUP(A1720,vlookup_table!$A:$G,7,FALSE),"")</f>
        <v>20</v>
      </c>
      <c r="R1720">
        <f t="shared" si="104"/>
        <v>63</v>
      </c>
      <c r="S1720" t="str" cm="1">
        <f t="array" ref="S1720">IF(P1720="","",_xlfn.SWITCH(LEFT(P1720,1),"C","Ciudad","T","Pueblo","R","Rural","S","Suburbano","U","Urbano",""))</f>
        <v>Rural</v>
      </c>
      <c r="T1720" t="str">
        <f t="shared" si="105"/>
        <v>F</v>
      </c>
      <c r="U1720" t="str">
        <f t="shared" si="106"/>
        <v>MO</v>
      </c>
      <c r="V1720" t="str">
        <f t="shared" si="107"/>
        <v>9887</v>
      </c>
    </row>
    <row r="1721" spans="1:22" x14ac:dyDescent="0.35">
      <c r="A1721">
        <v>10064</v>
      </c>
      <c r="B1721" t="s">
        <v>33</v>
      </c>
      <c r="C1721" t="s">
        <v>17</v>
      </c>
      <c r="D1721">
        <v>694</v>
      </c>
      <c r="E1721">
        <v>270</v>
      </c>
      <c r="F1721">
        <v>450</v>
      </c>
      <c r="G1721">
        <v>1</v>
      </c>
      <c r="H1721">
        <v>14428</v>
      </c>
      <c r="I1721">
        <v>0</v>
      </c>
      <c r="J1721">
        <v>76</v>
      </c>
      <c r="K1721">
        <v>376</v>
      </c>
      <c r="L1721">
        <v>339</v>
      </c>
      <c r="M1721">
        <v>13</v>
      </c>
      <c r="N1721">
        <f>IFERROR(VLOOKUP(A1721,vlookup_table!$A:$G,2,FALSE),"")</f>
        <v>0</v>
      </c>
      <c r="O1721">
        <f>IFERROR(VLOOKUP(A1721,vlookup_table!$A:$G,4,FALSE),"")</f>
        <v>0</v>
      </c>
      <c r="P1721" t="str">
        <f>IFERROR(VLOOKUP(A1721,vlookup_table!$A:$G,5,FALSE),"")</f>
        <v>T3</v>
      </c>
      <c r="Q1721">
        <f>IFERROR(VLOOKUP(A1721,vlookup_table!$A:$G,7,FALSE),"")</f>
        <v>18</v>
      </c>
      <c r="R1721">
        <f t="shared" si="104"/>
        <v>97</v>
      </c>
      <c r="S1721" t="str" cm="1">
        <f t="array" ref="S1721">IF(P1721="","",_xlfn.SWITCH(LEFT(P1721,1),"C","Ciudad","T","Pueblo","R","Rural","S","Suburbano","U","Urbano",""))</f>
        <v>Pueblo</v>
      </c>
      <c r="T1721" t="str">
        <f t="shared" si="105"/>
        <v>F</v>
      </c>
      <c r="U1721" t="str">
        <f t="shared" si="106"/>
        <v>IN</v>
      </c>
      <c r="V1721" t="str">
        <f t="shared" si="107"/>
        <v>14428</v>
      </c>
    </row>
    <row r="1722" spans="1:22" x14ac:dyDescent="0.35">
      <c r="A1722">
        <v>84854</v>
      </c>
      <c r="B1722" t="s">
        <v>56</v>
      </c>
      <c r="C1722" t="s">
        <v>17</v>
      </c>
      <c r="D1722">
        <v>797</v>
      </c>
      <c r="E1722">
        <v>259</v>
      </c>
      <c r="F1722">
        <v>392</v>
      </c>
      <c r="G1722">
        <v>0</v>
      </c>
      <c r="H1722">
        <v>12827</v>
      </c>
      <c r="I1722">
        <v>4</v>
      </c>
      <c r="J1722">
        <v>70</v>
      </c>
      <c r="K1722">
        <v>378</v>
      </c>
      <c r="L1722">
        <v>318</v>
      </c>
      <c r="M1722">
        <v>3.1612903229999998</v>
      </c>
      <c r="N1722">
        <f>IFERROR(VLOOKUP(A1722,vlookup_table!$A:$G,2,FALSE),"")</f>
        <v>0</v>
      </c>
      <c r="O1722">
        <f>IFERROR(VLOOKUP(A1722,vlookup_table!$A:$G,4,FALSE),"")</f>
        <v>3701</v>
      </c>
      <c r="P1722" t="str">
        <f>IFERROR(VLOOKUP(A1722,vlookup_table!$A:$G,5,FALSE),"")</f>
        <v>C2</v>
      </c>
      <c r="Q1722">
        <f>IFERROR(VLOOKUP(A1722,vlookup_table!$A:$G,7,FALSE),"")</f>
        <v>3</v>
      </c>
      <c r="R1722">
        <f t="shared" si="104"/>
        <v>60</v>
      </c>
      <c r="S1722" t="str" cm="1">
        <f t="array" ref="S1722">IF(P1722="","",_xlfn.SWITCH(LEFT(P1722,1),"C","Ciudad","T","Pueblo","R","Rural","S","Suburbano","U","Urbano",""))</f>
        <v>Ciudad</v>
      </c>
      <c r="T1722" t="str">
        <f t="shared" si="105"/>
        <v>F</v>
      </c>
      <c r="U1722" t="str">
        <f t="shared" si="106"/>
        <v>MN</v>
      </c>
      <c r="V1722" t="str">
        <f t="shared" si="107"/>
        <v>12827</v>
      </c>
    </row>
    <row r="1723" spans="1:22" x14ac:dyDescent="0.35">
      <c r="A1723">
        <v>106430</v>
      </c>
      <c r="B1723" t="s">
        <v>28</v>
      </c>
      <c r="C1723" t="s">
        <v>17</v>
      </c>
      <c r="D1723">
        <v>589</v>
      </c>
      <c r="E1723">
        <v>282</v>
      </c>
      <c r="F1723">
        <v>366</v>
      </c>
      <c r="G1723">
        <v>0</v>
      </c>
      <c r="H1723">
        <v>16020</v>
      </c>
      <c r="I1723">
        <v>0</v>
      </c>
      <c r="J1723">
        <v>74</v>
      </c>
      <c r="K1723">
        <v>286</v>
      </c>
      <c r="L1723">
        <v>337</v>
      </c>
      <c r="M1723">
        <v>10</v>
      </c>
      <c r="N1723">
        <f>IFERROR(VLOOKUP(A1723,vlookup_table!$A:$G,2,FALSE),"")</f>
        <v>3</v>
      </c>
      <c r="O1723">
        <f>IFERROR(VLOOKUP(A1723,vlookup_table!$A:$G,4,FALSE),"")</f>
        <v>5104</v>
      </c>
      <c r="P1723" t="str">
        <f>IFERROR(VLOOKUP(A1723,vlookup_table!$A:$G,5,FALSE),"")</f>
        <v>T2</v>
      </c>
      <c r="Q1723">
        <f>IFERROR(VLOOKUP(A1723,vlookup_table!$A:$G,7,FALSE),"")</f>
        <v>14</v>
      </c>
      <c r="R1723">
        <f t="shared" si="104"/>
        <v>46</v>
      </c>
      <c r="S1723" t="str" cm="1">
        <f t="array" ref="S1723">IF(P1723="","",_xlfn.SWITCH(LEFT(P1723,1),"C","Ciudad","T","Pueblo","R","Rural","S","Suburbano","U","Urbano",""))</f>
        <v>Pueblo</v>
      </c>
      <c r="T1723" t="str">
        <f t="shared" si="105"/>
        <v>F</v>
      </c>
      <c r="U1723" t="str">
        <f t="shared" si="106"/>
        <v>KS</v>
      </c>
      <c r="V1723" t="str">
        <f t="shared" si="107"/>
        <v>16020</v>
      </c>
    </row>
    <row r="1724" spans="1:22" x14ac:dyDescent="0.35">
      <c r="A1724">
        <v>18438</v>
      </c>
      <c r="B1724" t="s">
        <v>18</v>
      </c>
      <c r="C1724" t="s">
        <v>14</v>
      </c>
      <c r="D1724">
        <v>1205</v>
      </c>
      <c r="E1724">
        <v>246</v>
      </c>
      <c r="F1724">
        <v>473</v>
      </c>
      <c r="G1724">
        <v>21</v>
      </c>
      <c r="H1724">
        <v>19319</v>
      </c>
      <c r="I1724">
        <v>0</v>
      </c>
      <c r="J1724">
        <v>25</v>
      </c>
      <c r="K1724">
        <v>459</v>
      </c>
      <c r="L1724">
        <v>345</v>
      </c>
      <c r="M1724">
        <v>4.1764705879999999</v>
      </c>
      <c r="N1724">
        <f>IFERROR(VLOOKUP(A1724,vlookup_table!$A:$G,2,FALSE),"")</f>
        <v>1</v>
      </c>
      <c r="O1724">
        <f>IFERROR(VLOOKUP(A1724,vlookup_table!$A:$G,4,FALSE),"")</f>
        <v>2806</v>
      </c>
      <c r="P1724" t="str">
        <f>IFERROR(VLOOKUP(A1724,vlookup_table!$A:$G,5,FALSE),"")</f>
        <v>R2</v>
      </c>
      <c r="Q1724">
        <f>IFERROR(VLOOKUP(A1724,vlookup_table!$A:$G,7,FALSE),"")</f>
        <v>5</v>
      </c>
      <c r="R1724">
        <f t="shared" si="104"/>
        <v>69</v>
      </c>
      <c r="S1724" t="str" cm="1">
        <f t="array" ref="S1724">IF(P1724="","",_xlfn.SWITCH(LEFT(P1724,1),"C","Ciudad","T","Pueblo","R","Rural","S","Suburbano","U","Urbano",""))</f>
        <v>Rural</v>
      </c>
      <c r="T1724" t="str">
        <f t="shared" si="105"/>
        <v>M</v>
      </c>
      <c r="U1724" t="str">
        <f t="shared" si="106"/>
        <v>NC</v>
      </c>
      <c r="V1724" t="str">
        <f t="shared" si="107"/>
        <v>19319</v>
      </c>
    </row>
    <row r="1725" spans="1:22" x14ac:dyDescent="0.35">
      <c r="A1725">
        <v>49519</v>
      </c>
      <c r="B1725" t="s">
        <v>43</v>
      </c>
      <c r="C1725" t="s">
        <v>27</v>
      </c>
      <c r="D1725">
        <v>464</v>
      </c>
      <c r="E1725">
        <v>270</v>
      </c>
      <c r="F1725">
        <v>307</v>
      </c>
      <c r="G1725">
        <v>0</v>
      </c>
      <c r="H1725">
        <v>9942</v>
      </c>
      <c r="I1725">
        <v>1</v>
      </c>
      <c r="J1725">
        <v>77</v>
      </c>
      <c r="K1725">
        <v>288</v>
      </c>
      <c r="L1725">
        <v>289</v>
      </c>
      <c r="M1725">
        <v>6.5</v>
      </c>
      <c r="N1725">
        <f>IFERROR(VLOOKUP(A1725,vlookup_table!$A:$G,2,FALSE),"")</f>
        <v>2</v>
      </c>
      <c r="O1725">
        <f>IFERROR(VLOOKUP(A1725,vlookup_table!$A:$G,4,FALSE),"")</f>
        <v>4007</v>
      </c>
      <c r="P1725" t="str">
        <f>IFERROR(VLOOKUP(A1725,vlookup_table!$A:$G,5,FALSE),"")</f>
        <v>S3</v>
      </c>
      <c r="Q1725">
        <f>IFERROR(VLOOKUP(A1725,vlookup_table!$A:$G,7,FALSE),"")</f>
        <v>5</v>
      </c>
      <c r="R1725">
        <f t="shared" si="104"/>
        <v>57</v>
      </c>
      <c r="S1725" t="str" cm="1">
        <f t="array" ref="S1725">IF(P1725="","",_xlfn.SWITCH(LEFT(P1725,1),"C","Ciudad","T","Pueblo","R","Rural","S","Suburbano","U","Urbano",""))</f>
        <v>Suburbano</v>
      </c>
      <c r="T1725" t="str">
        <f t="shared" si="105"/>
        <v>M</v>
      </c>
      <c r="U1725" t="str">
        <f t="shared" si="106"/>
        <v>AL</v>
      </c>
      <c r="V1725" t="str">
        <f t="shared" si="107"/>
        <v>9942</v>
      </c>
    </row>
    <row r="1726" spans="1:22" x14ac:dyDescent="0.35">
      <c r="A1726">
        <v>63971</v>
      </c>
      <c r="B1726" t="s">
        <v>33</v>
      </c>
      <c r="C1726" t="s">
        <v>14</v>
      </c>
      <c r="D1726">
        <v>444</v>
      </c>
      <c r="E1726">
        <v>265</v>
      </c>
      <c r="F1726">
        <v>353</v>
      </c>
      <c r="G1726">
        <v>0</v>
      </c>
      <c r="H1726">
        <v>11781</v>
      </c>
      <c r="I1726">
        <v>0</v>
      </c>
      <c r="J1726">
        <v>56</v>
      </c>
      <c r="K1726">
        <v>324</v>
      </c>
      <c r="L1726">
        <v>304</v>
      </c>
      <c r="M1726">
        <v>4.5</v>
      </c>
      <c r="N1726">
        <f>IFERROR(VLOOKUP(A1726,vlookup_table!$A:$G,2,FALSE),"")</f>
        <v>1002</v>
      </c>
      <c r="O1726">
        <f>IFERROR(VLOOKUP(A1726,vlookup_table!$A:$G,4,FALSE),"")</f>
        <v>4201</v>
      </c>
      <c r="P1726" t="str">
        <f>IFERROR(VLOOKUP(A1726,vlookup_table!$A:$G,5,FALSE),"")</f>
        <v>R2</v>
      </c>
      <c r="Q1726">
        <f>IFERROR(VLOOKUP(A1726,vlookup_table!$A:$G,7,FALSE),"")</f>
        <v>4</v>
      </c>
      <c r="R1726">
        <f t="shared" si="104"/>
        <v>55</v>
      </c>
      <c r="S1726" t="str" cm="1">
        <f t="array" ref="S1726">IF(P1726="","",_xlfn.SWITCH(LEFT(P1726,1),"C","Ciudad","T","Pueblo","R","Rural","S","Suburbano","U","Urbano",""))</f>
        <v>Rural</v>
      </c>
      <c r="T1726" t="str">
        <f t="shared" si="105"/>
        <v>M</v>
      </c>
      <c r="U1726" t="str">
        <f t="shared" si="106"/>
        <v>IN</v>
      </c>
      <c r="V1726" t="str">
        <f t="shared" si="107"/>
        <v>11781</v>
      </c>
    </row>
    <row r="1727" spans="1:22" x14ac:dyDescent="0.35">
      <c r="A1727">
        <v>34079</v>
      </c>
      <c r="B1727" t="s">
        <v>13</v>
      </c>
      <c r="C1727" t="s">
        <v>17</v>
      </c>
      <c r="D1727">
        <v>801</v>
      </c>
      <c r="E1727">
        <v>324</v>
      </c>
      <c r="F1727">
        <v>478</v>
      </c>
      <c r="G1727">
        <v>11</v>
      </c>
      <c r="H1727">
        <v>19724</v>
      </c>
      <c r="I1727">
        <v>6</v>
      </c>
      <c r="J1727">
        <v>20</v>
      </c>
      <c r="K1727">
        <v>382</v>
      </c>
      <c r="L1727">
        <v>419</v>
      </c>
      <c r="M1727">
        <v>4.9000000000000004</v>
      </c>
      <c r="N1727">
        <f>IFERROR(VLOOKUP(A1727,vlookup_table!$A:$G,2,FALSE),"")</f>
        <v>0</v>
      </c>
      <c r="O1727">
        <f>IFERROR(VLOOKUP(A1727,vlookup_table!$A:$G,4,FALSE),"")</f>
        <v>2201</v>
      </c>
      <c r="P1727" t="str">
        <f>IFERROR(VLOOKUP(A1727,vlookup_table!$A:$G,5,FALSE),"")</f>
        <v>C2</v>
      </c>
      <c r="Q1727">
        <f>IFERROR(VLOOKUP(A1727,vlookup_table!$A:$G,7,FALSE),"")</f>
        <v>5</v>
      </c>
      <c r="R1727">
        <f t="shared" si="104"/>
        <v>75</v>
      </c>
      <c r="S1727" t="str" cm="1">
        <f t="array" ref="S1727">IF(P1727="","",_xlfn.SWITCH(LEFT(P1727,1),"C","Ciudad","T","Pueblo","R","Rural","S","Suburbano","U","Urbano",""))</f>
        <v>Ciudad</v>
      </c>
      <c r="T1727" t="str">
        <f t="shared" si="105"/>
        <v>F</v>
      </c>
      <c r="U1727" t="str">
        <f t="shared" si="106"/>
        <v>FL</v>
      </c>
      <c r="V1727" t="str">
        <f t="shared" si="107"/>
        <v>19724</v>
      </c>
    </row>
    <row r="1728" spans="1:22" x14ac:dyDescent="0.35">
      <c r="A1728">
        <v>120509</v>
      </c>
      <c r="B1728" t="s">
        <v>21</v>
      </c>
      <c r="C1728" t="s">
        <v>17</v>
      </c>
      <c r="D1728">
        <v>337</v>
      </c>
      <c r="E1728">
        <v>204</v>
      </c>
      <c r="F1728">
        <v>298</v>
      </c>
      <c r="G1728">
        <v>1</v>
      </c>
      <c r="H1728">
        <v>12342</v>
      </c>
      <c r="I1728">
        <v>1</v>
      </c>
      <c r="J1728">
        <v>87</v>
      </c>
      <c r="K1728">
        <v>261</v>
      </c>
      <c r="L1728">
        <v>263</v>
      </c>
      <c r="M1728">
        <v>8.2941176470000002</v>
      </c>
      <c r="N1728">
        <f>IFERROR(VLOOKUP(A1728,vlookup_table!$A:$G,2,FALSE),"")</f>
        <v>2</v>
      </c>
      <c r="O1728">
        <f>IFERROR(VLOOKUP(A1728,vlookup_table!$A:$G,4,FALSE),"")</f>
        <v>1502</v>
      </c>
      <c r="P1728" t="str">
        <f>IFERROR(VLOOKUP(A1728,vlookup_table!$A:$G,5,FALSE),"")</f>
        <v>R3</v>
      </c>
      <c r="Q1728">
        <f>IFERROR(VLOOKUP(A1728,vlookup_table!$A:$G,7,FALSE),"")</f>
        <v>10</v>
      </c>
      <c r="R1728">
        <f t="shared" si="104"/>
        <v>82</v>
      </c>
      <c r="S1728" t="str" cm="1">
        <f t="array" ref="S1728">IF(P1728="","",_xlfn.SWITCH(LEFT(P1728,1),"C","Ciudad","T","Pueblo","R","Rural","S","Suburbano","U","Urbano",""))</f>
        <v>Rural</v>
      </c>
      <c r="T1728" t="str">
        <f t="shared" si="105"/>
        <v>F</v>
      </c>
      <c r="U1728" t="str">
        <f t="shared" si="106"/>
        <v>TX</v>
      </c>
      <c r="V1728" t="str">
        <f t="shared" si="107"/>
        <v>12342</v>
      </c>
    </row>
    <row r="1729" spans="1:22" x14ac:dyDescent="0.35">
      <c r="A1729">
        <v>66244</v>
      </c>
      <c r="B1729" t="s">
        <v>29</v>
      </c>
      <c r="C1729" t="s">
        <v>14</v>
      </c>
      <c r="D1729">
        <v>434</v>
      </c>
      <c r="E1729">
        <v>237</v>
      </c>
      <c r="F1729">
        <v>372</v>
      </c>
      <c r="G1729">
        <v>0</v>
      </c>
      <c r="H1729">
        <v>11550</v>
      </c>
      <c r="I1729">
        <v>4</v>
      </c>
      <c r="J1729">
        <v>78</v>
      </c>
      <c r="K1729">
        <v>337</v>
      </c>
      <c r="L1729">
        <v>305</v>
      </c>
      <c r="M1729">
        <v>11.66666667</v>
      </c>
      <c r="N1729">
        <f>IFERROR(VLOOKUP(A1729,vlookup_table!$A:$G,2,FALSE),"")</f>
        <v>1002</v>
      </c>
      <c r="O1729">
        <f>IFERROR(VLOOKUP(A1729,vlookup_table!$A:$G,4,FALSE),"")</f>
        <v>0</v>
      </c>
      <c r="P1729" t="str">
        <f>IFERROR(VLOOKUP(A1729,vlookup_table!$A:$G,5,FALSE),"")</f>
        <v>S3</v>
      </c>
      <c r="Q1729">
        <f>IFERROR(VLOOKUP(A1729,vlookup_table!$A:$G,7,FALSE),"")</f>
        <v>10</v>
      </c>
      <c r="R1729">
        <f t="shared" si="104"/>
        <v>97</v>
      </c>
      <c r="S1729" t="str" cm="1">
        <f t="array" ref="S1729">IF(P1729="","",_xlfn.SWITCH(LEFT(P1729,1),"C","Ciudad","T","Pueblo","R","Rural","S","Suburbano","U","Urbano",""))</f>
        <v>Suburbano</v>
      </c>
      <c r="T1729" t="str">
        <f t="shared" si="105"/>
        <v>M</v>
      </c>
      <c r="U1729" t="str">
        <f t="shared" si="106"/>
        <v>MI</v>
      </c>
      <c r="V1729" t="str">
        <f t="shared" si="107"/>
        <v>11550</v>
      </c>
    </row>
    <row r="1730" spans="1:22" x14ac:dyDescent="0.35">
      <c r="A1730">
        <v>44715</v>
      </c>
      <c r="B1730" t="s">
        <v>13</v>
      </c>
      <c r="C1730" t="s">
        <v>17</v>
      </c>
      <c r="D1730">
        <v>646</v>
      </c>
      <c r="E1730">
        <v>241</v>
      </c>
      <c r="F1730">
        <v>299</v>
      </c>
      <c r="G1730">
        <v>1</v>
      </c>
      <c r="H1730">
        <v>12694</v>
      </c>
      <c r="I1730">
        <v>8</v>
      </c>
      <c r="J1730">
        <v>9</v>
      </c>
      <c r="K1730">
        <v>257</v>
      </c>
      <c r="L1730">
        <v>278</v>
      </c>
      <c r="M1730">
        <v>7.1875</v>
      </c>
      <c r="N1730">
        <f>IFERROR(VLOOKUP(A1730,vlookup_table!$A:$G,2,FALSE),"")</f>
        <v>28</v>
      </c>
      <c r="O1730">
        <f>IFERROR(VLOOKUP(A1730,vlookup_table!$A:$G,4,FALSE),"")</f>
        <v>2601</v>
      </c>
      <c r="P1730" t="str">
        <f>IFERROR(VLOOKUP(A1730,vlookup_table!$A:$G,5,FALSE),"")</f>
        <v>C2</v>
      </c>
      <c r="Q1730">
        <f>IFERROR(VLOOKUP(A1730,vlookup_table!$A:$G,7,FALSE),"")</f>
        <v>12</v>
      </c>
      <c r="R1730">
        <f t="shared" ref="R1730:R1793" si="108">IF(O1730="","",97-INT(O1730/100))</f>
        <v>71</v>
      </c>
      <c r="S1730" t="str" cm="1">
        <f t="array" ref="S1730">IF(P1730="","",_xlfn.SWITCH(LEFT(P1730,1),"C","Ciudad","T","Pueblo","R","Rural","S","Suburbano","U","Urbano",""))</f>
        <v>Ciudad</v>
      </c>
      <c r="T1730" t="str">
        <f t="shared" ref="T1730:T1793" si="109">IF(C1730="","",IF(OR(UPPER(C1730)="M",UPPER(C1730)="MALE"),"M",IF(OR(UPPER(C1730)="F",UPPER(C1730)="FEMALE",UPPER(C1730)="FEAMALE"),"F",C1730)))</f>
        <v>F</v>
      </c>
      <c r="U1730" t="str">
        <f t="shared" ref="U1730:U1793" si="110">IF(OR(UPPER(B1730)="CALIFORNIA",UPPER(B1730)="CALI"),"CA",B1730)</f>
        <v>FL</v>
      </c>
      <c r="V1730" t="str">
        <f t="shared" ref="V1730:V1793" si="111">SUBSTITUTE(H1730,"@","")</f>
        <v>12694</v>
      </c>
    </row>
    <row r="1731" spans="1:22" x14ac:dyDescent="0.35">
      <c r="A1731">
        <v>104891</v>
      </c>
      <c r="B1731" t="s">
        <v>28</v>
      </c>
      <c r="C1731" t="s">
        <v>14</v>
      </c>
      <c r="D1731">
        <v>740</v>
      </c>
      <c r="E1731">
        <v>295</v>
      </c>
      <c r="F1731">
        <v>420</v>
      </c>
      <c r="G1731">
        <v>0</v>
      </c>
      <c r="H1731">
        <v>15354</v>
      </c>
      <c r="I1731">
        <v>2</v>
      </c>
      <c r="J1731">
        <v>37</v>
      </c>
      <c r="K1731">
        <v>376</v>
      </c>
      <c r="L1731">
        <v>329</v>
      </c>
      <c r="M1731">
        <v>12.6</v>
      </c>
      <c r="N1731">
        <f>IFERROR(VLOOKUP(A1731,vlookup_table!$A:$G,2,FALSE),"")</f>
        <v>0</v>
      </c>
      <c r="O1731">
        <f>IFERROR(VLOOKUP(A1731,vlookup_table!$A:$G,4,FALSE),"")</f>
        <v>1706</v>
      </c>
      <c r="P1731" t="str">
        <f>IFERROR(VLOOKUP(A1731,vlookup_table!$A:$G,5,FALSE),"")</f>
        <v>S2</v>
      </c>
      <c r="Q1731">
        <f>IFERROR(VLOOKUP(A1731,vlookup_table!$A:$G,7,FALSE),"")</f>
        <v>23</v>
      </c>
      <c r="R1731">
        <f t="shared" si="108"/>
        <v>80</v>
      </c>
      <c r="S1731" t="str" cm="1">
        <f t="array" ref="S1731">IF(P1731="","",_xlfn.SWITCH(LEFT(P1731,1),"C","Ciudad","T","Pueblo","R","Rural","S","Suburbano","U","Urbano",""))</f>
        <v>Suburbano</v>
      </c>
      <c r="T1731" t="str">
        <f t="shared" si="109"/>
        <v>M</v>
      </c>
      <c r="U1731" t="str">
        <f t="shared" si="110"/>
        <v>KS</v>
      </c>
      <c r="V1731" t="str">
        <f t="shared" si="111"/>
        <v>15354</v>
      </c>
    </row>
    <row r="1732" spans="1:22" x14ac:dyDescent="0.35">
      <c r="A1732">
        <v>30988</v>
      </c>
      <c r="B1732" t="s">
        <v>39</v>
      </c>
      <c r="C1732" t="s">
        <v>17</v>
      </c>
      <c r="D1732">
        <v>717</v>
      </c>
      <c r="E1732">
        <v>316</v>
      </c>
      <c r="F1732">
        <v>366</v>
      </c>
      <c r="G1732">
        <v>4</v>
      </c>
      <c r="H1732">
        <v>12673</v>
      </c>
      <c r="I1732">
        <v>4</v>
      </c>
      <c r="J1732">
        <v>22</v>
      </c>
      <c r="K1732">
        <v>339</v>
      </c>
      <c r="L1732">
        <v>349</v>
      </c>
      <c r="M1732">
        <v>10</v>
      </c>
      <c r="N1732">
        <f>IFERROR(VLOOKUP(A1732,vlookup_table!$A:$G,2,FALSE),"")</f>
        <v>0</v>
      </c>
      <c r="O1732">
        <f>IFERROR(VLOOKUP(A1732,vlookup_table!$A:$G,4,FALSE),"")</f>
        <v>5401</v>
      </c>
      <c r="P1732" t="str">
        <f>IFERROR(VLOOKUP(A1732,vlookup_table!$A:$G,5,FALSE),"")</f>
        <v>R2</v>
      </c>
      <c r="Q1732">
        <f>IFERROR(VLOOKUP(A1732,vlookup_table!$A:$G,7,FALSE),"")</f>
        <v>10</v>
      </c>
      <c r="R1732">
        <f t="shared" si="108"/>
        <v>43</v>
      </c>
      <c r="S1732" t="str" cm="1">
        <f t="array" ref="S1732">IF(P1732="","",_xlfn.SWITCH(LEFT(P1732,1),"C","Ciudad","T","Pueblo","R","Rural","S","Suburbano","U","Urbano",""))</f>
        <v>Rural</v>
      </c>
      <c r="T1732" t="str">
        <f t="shared" si="109"/>
        <v>F</v>
      </c>
      <c r="U1732" t="str">
        <f t="shared" si="110"/>
        <v>GA</v>
      </c>
      <c r="V1732" t="str">
        <f t="shared" si="111"/>
        <v>12673</v>
      </c>
    </row>
    <row r="1733" spans="1:22" x14ac:dyDescent="0.35">
      <c r="A1733">
        <v>158389</v>
      </c>
      <c r="B1733" t="s">
        <v>22</v>
      </c>
      <c r="C1733" t="s">
        <v>14</v>
      </c>
      <c r="D1733">
        <v>2971</v>
      </c>
      <c r="E1733">
        <v>302</v>
      </c>
      <c r="F1733">
        <v>322</v>
      </c>
      <c r="G1733">
        <v>98</v>
      </c>
      <c r="H1733">
        <v>6309</v>
      </c>
      <c r="I1733">
        <v>65</v>
      </c>
      <c r="J1733">
        <v>27</v>
      </c>
      <c r="K1733">
        <v>288</v>
      </c>
      <c r="L1733">
        <v>340</v>
      </c>
      <c r="M1733">
        <v>7</v>
      </c>
      <c r="N1733">
        <f>IFERROR(VLOOKUP(A1733,vlookup_table!$A:$G,2,FALSE),"")</f>
        <v>1</v>
      </c>
      <c r="O1733">
        <f>IFERROR(VLOOKUP(A1733,vlookup_table!$A:$G,4,FALSE),"")</f>
        <v>1101</v>
      </c>
      <c r="P1733" t="str">
        <f>IFERROR(VLOOKUP(A1733,vlookup_table!$A:$G,5,FALSE),"")</f>
        <v>S3</v>
      </c>
      <c r="Q1733">
        <f>IFERROR(VLOOKUP(A1733,vlookup_table!$A:$G,7,FALSE),"")</f>
        <v>12</v>
      </c>
      <c r="R1733">
        <f t="shared" si="108"/>
        <v>86</v>
      </c>
      <c r="S1733" t="str" cm="1">
        <f t="array" ref="S1733">IF(P1733="","",_xlfn.SWITCH(LEFT(P1733,1),"C","Ciudad","T","Pueblo","R","Rural","S","Suburbano","U","Urbano",""))</f>
        <v>Suburbano</v>
      </c>
      <c r="T1733" t="str">
        <f t="shared" si="109"/>
        <v>M</v>
      </c>
      <c r="U1733" t="str">
        <f t="shared" si="110"/>
        <v>CA</v>
      </c>
      <c r="V1733" t="str">
        <f t="shared" si="111"/>
        <v>6309</v>
      </c>
    </row>
    <row r="1734" spans="1:22" x14ac:dyDescent="0.35">
      <c r="A1734">
        <v>97020</v>
      </c>
      <c r="B1734" t="s">
        <v>16</v>
      </c>
      <c r="C1734" t="s">
        <v>17</v>
      </c>
      <c r="D1734">
        <v>636</v>
      </c>
      <c r="E1734">
        <v>316</v>
      </c>
      <c r="F1734">
        <v>393</v>
      </c>
      <c r="G1734">
        <v>0</v>
      </c>
      <c r="H1734">
        <v>15018</v>
      </c>
      <c r="I1734">
        <v>3</v>
      </c>
      <c r="J1734">
        <v>60</v>
      </c>
      <c r="K1734">
        <v>395</v>
      </c>
      <c r="L1734">
        <v>325</v>
      </c>
      <c r="M1734">
        <v>14.25</v>
      </c>
      <c r="N1734">
        <f>IFERROR(VLOOKUP(A1734,vlookup_table!$A:$G,2,FALSE),"")</f>
        <v>0</v>
      </c>
      <c r="O1734">
        <f>IFERROR(VLOOKUP(A1734,vlookup_table!$A:$G,4,FALSE),"")</f>
        <v>3901</v>
      </c>
      <c r="P1734" t="str">
        <f>IFERROR(VLOOKUP(A1734,vlookup_table!$A:$G,5,FALSE),"")</f>
        <v>C1</v>
      </c>
      <c r="Q1734">
        <f>IFERROR(VLOOKUP(A1734,vlookup_table!$A:$G,7,FALSE),"")</f>
        <v>17</v>
      </c>
      <c r="R1734">
        <f t="shared" si="108"/>
        <v>58</v>
      </c>
      <c r="S1734" t="str" cm="1">
        <f t="array" ref="S1734">IF(P1734="","",_xlfn.SWITCH(LEFT(P1734,1),"C","Ciudad","T","Pueblo","R","Rural","S","Suburbano","U","Urbano",""))</f>
        <v>Ciudad</v>
      </c>
      <c r="T1734" t="str">
        <f t="shared" si="109"/>
        <v>F</v>
      </c>
      <c r="U1734" t="str">
        <f t="shared" si="110"/>
        <v>IL</v>
      </c>
      <c r="V1734" t="str">
        <f t="shared" si="111"/>
        <v>15018</v>
      </c>
    </row>
    <row r="1735" spans="1:22" x14ac:dyDescent="0.35">
      <c r="A1735">
        <v>92801</v>
      </c>
      <c r="B1735" t="s">
        <v>16</v>
      </c>
      <c r="C1735" t="s">
        <v>14</v>
      </c>
      <c r="D1735">
        <v>2906</v>
      </c>
      <c r="E1735">
        <v>688</v>
      </c>
      <c r="F1735">
        <v>707</v>
      </c>
      <c r="G1735">
        <v>99</v>
      </c>
      <c r="H1735">
        <v>26708</v>
      </c>
      <c r="I1735">
        <v>0</v>
      </c>
      <c r="J1735">
        <v>37</v>
      </c>
      <c r="K1735">
        <v>653</v>
      </c>
      <c r="L1735">
        <v>740</v>
      </c>
      <c r="M1735">
        <v>10.6</v>
      </c>
      <c r="N1735">
        <f>IFERROR(VLOOKUP(A1735,vlookup_table!$A:$G,2,FALSE),"")</f>
        <v>1</v>
      </c>
      <c r="O1735">
        <f>IFERROR(VLOOKUP(A1735,vlookup_table!$A:$G,4,FALSE),"")</f>
        <v>3503</v>
      </c>
      <c r="P1735" t="str">
        <f>IFERROR(VLOOKUP(A1735,vlookup_table!$A:$G,5,FALSE),"")</f>
        <v>U1</v>
      </c>
      <c r="Q1735">
        <f>IFERROR(VLOOKUP(A1735,vlookup_table!$A:$G,7,FALSE),"")</f>
        <v>15</v>
      </c>
      <c r="R1735">
        <f t="shared" si="108"/>
        <v>62</v>
      </c>
      <c r="S1735" t="str" cm="1">
        <f t="array" ref="S1735">IF(P1735="","",_xlfn.SWITCH(LEFT(P1735,1),"C","Ciudad","T","Pueblo","R","Rural","S","Suburbano","U","Urbano",""))</f>
        <v>Urbano</v>
      </c>
      <c r="T1735" t="str">
        <f t="shared" si="109"/>
        <v>M</v>
      </c>
      <c r="U1735" t="str">
        <f t="shared" si="110"/>
        <v>IL</v>
      </c>
      <c r="V1735" t="str">
        <f t="shared" si="111"/>
        <v>26708</v>
      </c>
    </row>
    <row r="1736" spans="1:22" x14ac:dyDescent="0.35">
      <c r="A1736">
        <v>28960</v>
      </c>
      <c r="B1736" t="s">
        <v>39</v>
      </c>
      <c r="C1736" t="s">
        <v>17</v>
      </c>
      <c r="D1736">
        <v>717</v>
      </c>
      <c r="E1736">
        <v>327</v>
      </c>
      <c r="F1736">
        <v>364</v>
      </c>
      <c r="G1736">
        <v>2</v>
      </c>
      <c r="H1736">
        <v>12615</v>
      </c>
      <c r="I1736">
        <v>1</v>
      </c>
      <c r="J1736">
        <v>62</v>
      </c>
      <c r="K1736">
        <v>352</v>
      </c>
      <c r="L1736">
        <v>347</v>
      </c>
      <c r="M1736">
        <v>10</v>
      </c>
      <c r="N1736">
        <f>IFERROR(VLOOKUP(A1736,vlookup_table!$A:$G,2,FALSE),"")</f>
        <v>0</v>
      </c>
      <c r="O1736">
        <f>IFERROR(VLOOKUP(A1736,vlookup_table!$A:$G,4,FALSE),"")</f>
        <v>0</v>
      </c>
      <c r="P1736" t="str">
        <f>IFERROR(VLOOKUP(A1736,vlookup_table!$A:$G,5,FALSE),"")</f>
        <v>T2</v>
      </c>
      <c r="Q1736">
        <f>IFERROR(VLOOKUP(A1736,vlookup_table!$A:$G,7,FALSE),"")</f>
        <v>10</v>
      </c>
      <c r="R1736">
        <f t="shared" si="108"/>
        <v>97</v>
      </c>
      <c r="S1736" t="str" cm="1">
        <f t="array" ref="S1736">IF(P1736="","",_xlfn.SWITCH(LEFT(P1736,1),"C","Ciudad","T","Pueblo","R","Rural","S","Suburbano","U","Urbano",""))</f>
        <v>Pueblo</v>
      </c>
      <c r="T1736" t="str">
        <f t="shared" si="109"/>
        <v>F</v>
      </c>
      <c r="U1736" t="str">
        <f t="shared" si="110"/>
        <v>GA</v>
      </c>
      <c r="V1736" t="str">
        <f t="shared" si="111"/>
        <v>12615</v>
      </c>
    </row>
    <row r="1737" spans="1:22" x14ac:dyDescent="0.35">
      <c r="A1737">
        <v>121969</v>
      </c>
      <c r="B1737" t="s">
        <v>21</v>
      </c>
      <c r="C1737" t="s">
        <v>17</v>
      </c>
      <c r="D1737">
        <v>715</v>
      </c>
      <c r="E1737">
        <v>295</v>
      </c>
      <c r="F1737">
        <v>355</v>
      </c>
      <c r="G1737">
        <v>5</v>
      </c>
      <c r="H1737">
        <v>9884</v>
      </c>
      <c r="I1737">
        <v>28</v>
      </c>
      <c r="J1737">
        <v>41</v>
      </c>
      <c r="K1737">
        <v>301</v>
      </c>
      <c r="L1737">
        <v>333</v>
      </c>
      <c r="M1737">
        <v>7.1111111109999996</v>
      </c>
      <c r="N1737">
        <f>IFERROR(VLOOKUP(A1737,vlookup_table!$A:$G,2,FALSE),"")</f>
        <v>0</v>
      </c>
      <c r="O1737">
        <f>IFERROR(VLOOKUP(A1737,vlookup_table!$A:$G,4,FALSE),"")</f>
        <v>5005</v>
      </c>
      <c r="P1737" t="str">
        <f>IFERROR(VLOOKUP(A1737,vlookup_table!$A:$G,5,FALSE),"")</f>
        <v>S2</v>
      </c>
      <c r="Q1737">
        <f>IFERROR(VLOOKUP(A1737,vlookup_table!$A:$G,7,FALSE),"")</f>
        <v>8</v>
      </c>
      <c r="R1737">
        <f t="shared" si="108"/>
        <v>47</v>
      </c>
      <c r="S1737" t="str" cm="1">
        <f t="array" ref="S1737">IF(P1737="","",_xlfn.SWITCH(LEFT(P1737,1),"C","Ciudad","T","Pueblo","R","Rural","S","Suburbano","U","Urbano",""))</f>
        <v>Suburbano</v>
      </c>
      <c r="T1737" t="str">
        <f t="shared" si="109"/>
        <v>F</v>
      </c>
      <c r="U1737" t="str">
        <f t="shared" si="110"/>
        <v>TX</v>
      </c>
      <c r="V1737" t="str">
        <f t="shared" si="111"/>
        <v>9884</v>
      </c>
    </row>
    <row r="1738" spans="1:22" x14ac:dyDescent="0.35">
      <c r="A1738">
        <v>52330</v>
      </c>
      <c r="B1738" t="s">
        <v>68</v>
      </c>
      <c r="C1738" t="s">
        <v>30</v>
      </c>
      <c r="D1738">
        <v>565</v>
      </c>
      <c r="E1738">
        <v>294</v>
      </c>
      <c r="F1738">
        <v>344</v>
      </c>
      <c r="G1738">
        <v>0</v>
      </c>
      <c r="H1738">
        <v>11329</v>
      </c>
      <c r="I1738">
        <v>2</v>
      </c>
      <c r="J1738">
        <v>83</v>
      </c>
      <c r="K1738">
        <v>367</v>
      </c>
      <c r="L1738">
        <v>314</v>
      </c>
      <c r="M1738">
        <v>4.4545454549999999</v>
      </c>
      <c r="N1738">
        <f>IFERROR(VLOOKUP(A1738,vlookup_table!$A:$G,2,FALSE),"")</f>
        <v>0</v>
      </c>
      <c r="O1738">
        <f>IFERROR(VLOOKUP(A1738,vlookup_table!$A:$G,4,FALSE),"")</f>
        <v>2801</v>
      </c>
      <c r="P1738" t="str">
        <f>IFERROR(VLOOKUP(A1738,vlookup_table!$A:$G,5,FALSE),"")</f>
        <v>T2</v>
      </c>
      <c r="Q1738">
        <f>IFERROR(VLOOKUP(A1738,vlookup_table!$A:$G,7,FALSE),"")</f>
        <v>3</v>
      </c>
      <c r="R1738">
        <f t="shared" si="108"/>
        <v>69</v>
      </c>
      <c r="S1738" t="str" cm="1">
        <f t="array" ref="S1738">IF(P1738="","",_xlfn.SWITCH(LEFT(P1738,1),"C","Ciudad","T","Pueblo","R","Rural","S","Suburbano","U","Urbano",""))</f>
        <v>Pueblo</v>
      </c>
      <c r="T1738" t="str">
        <f t="shared" si="109"/>
        <v>U</v>
      </c>
      <c r="U1738" t="str">
        <f t="shared" si="110"/>
        <v>Tennessee</v>
      </c>
      <c r="V1738" t="str">
        <f t="shared" si="111"/>
        <v>11329</v>
      </c>
    </row>
    <row r="1739" spans="1:22" x14ac:dyDescent="0.35">
      <c r="A1739">
        <v>105709</v>
      </c>
      <c r="B1739" t="s">
        <v>28</v>
      </c>
      <c r="C1739" t="s">
        <v>14</v>
      </c>
      <c r="D1739">
        <v>386</v>
      </c>
      <c r="E1739">
        <v>293</v>
      </c>
      <c r="F1739">
        <v>356</v>
      </c>
      <c r="G1739">
        <v>0</v>
      </c>
      <c r="H1739">
        <v>11937</v>
      </c>
      <c r="I1739">
        <v>0</v>
      </c>
      <c r="J1739">
        <v>67</v>
      </c>
      <c r="K1739">
        <v>354</v>
      </c>
      <c r="L1739">
        <v>302</v>
      </c>
      <c r="M1739">
        <v>4.2173913040000004</v>
      </c>
      <c r="N1739">
        <f>IFERROR(VLOOKUP(A1739,vlookup_table!$A:$G,2,FALSE),"")</f>
        <v>1</v>
      </c>
      <c r="O1739">
        <f>IFERROR(VLOOKUP(A1739,vlookup_table!$A:$G,4,FALSE),"")</f>
        <v>3501</v>
      </c>
      <c r="P1739" t="str">
        <f>IFERROR(VLOOKUP(A1739,vlookup_table!$A:$G,5,FALSE),"")</f>
        <v>T2</v>
      </c>
      <c r="Q1739">
        <f>IFERROR(VLOOKUP(A1739,vlookup_table!$A:$G,7,FALSE),"")</f>
        <v>5</v>
      </c>
      <c r="R1739">
        <f t="shared" si="108"/>
        <v>62</v>
      </c>
      <c r="S1739" t="str" cm="1">
        <f t="array" ref="S1739">IF(P1739="","",_xlfn.SWITCH(LEFT(P1739,1),"C","Ciudad","T","Pueblo","R","Rural","S","Suburbano","U","Urbano",""))</f>
        <v>Pueblo</v>
      </c>
      <c r="T1739" t="str">
        <f t="shared" si="109"/>
        <v>M</v>
      </c>
      <c r="U1739" t="str">
        <f t="shared" si="110"/>
        <v>KS</v>
      </c>
      <c r="V1739" t="str">
        <f t="shared" si="111"/>
        <v>11937</v>
      </c>
    </row>
    <row r="1740" spans="1:22" x14ac:dyDescent="0.35">
      <c r="A1740">
        <v>177329</v>
      </c>
      <c r="B1740" t="s">
        <v>50</v>
      </c>
      <c r="C1740" t="s">
        <v>17</v>
      </c>
      <c r="D1740">
        <v>684</v>
      </c>
      <c r="E1740">
        <v>290</v>
      </c>
      <c r="F1740">
        <v>356</v>
      </c>
      <c r="G1740">
        <v>3</v>
      </c>
      <c r="H1740">
        <v>11910</v>
      </c>
      <c r="I1740">
        <v>3</v>
      </c>
      <c r="J1740">
        <v>43</v>
      </c>
      <c r="K1740">
        <v>323</v>
      </c>
      <c r="L1740">
        <v>323</v>
      </c>
      <c r="M1740">
        <v>20</v>
      </c>
      <c r="N1740">
        <f>IFERROR(VLOOKUP(A1740,vlookup_table!$A:$G,2,FALSE),"")</f>
        <v>2</v>
      </c>
      <c r="O1740">
        <f>IFERROR(VLOOKUP(A1740,vlookup_table!$A:$G,4,FALSE),"")</f>
        <v>4801</v>
      </c>
      <c r="P1740" t="str">
        <f>IFERROR(VLOOKUP(A1740,vlookup_table!$A:$G,5,FALSE),"")</f>
        <v>T3</v>
      </c>
      <c r="Q1740">
        <f>IFERROR(VLOOKUP(A1740,vlookup_table!$A:$G,7,FALSE),"")</f>
        <v>20</v>
      </c>
      <c r="R1740">
        <f t="shared" si="108"/>
        <v>49</v>
      </c>
      <c r="S1740" t="str" cm="1">
        <f t="array" ref="S1740">IF(P1740="","",_xlfn.SWITCH(LEFT(P1740,1),"C","Ciudad","T","Pueblo","R","Rural","S","Suburbano","U","Urbano",""))</f>
        <v>Pueblo</v>
      </c>
      <c r="T1740" t="str">
        <f t="shared" si="109"/>
        <v>F</v>
      </c>
      <c r="U1740" t="str">
        <f t="shared" si="110"/>
        <v>OR</v>
      </c>
      <c r="V1740" t="str">
        <f t="shared" si="111"/>
        <v>11910</v>
      </c>
    </row>
    <row r="1741" spans="1:22" x14ac:dyDescent="0.35">
      <c r="A1741">
        <v>18196</v>
      </c>
      <c r="B1741" t="s">
        <v>18</v>
      </c>
      <c r="C1741" t="s">
        <v>14</v>
      </c>
      <c r="D1741">
        <v>469</v>
      </c>
      <c r="E1741">
        <v>214</v>
      </c>
      <c r="F1741">
        <v>313</v>
      </c>
      <c r="G1741">
        <v>0</v>
      </c>
      <c r="H1741">
        <v>10164</v>
      </c>
      <c r="I1741">
        <v>0</v>
      </c>
      <c r="J1741">
        <v>90</v>
      </c>
      <c r="K1741">
        <v>260</v>
      </c>
      <c r="L1741">
        <v>271</v>
      </c>
      <c r="M1741">
        <v>7.4651162790000001</v>
      </c>
      <c r="N1741">
        <f>IFERROR(VLOOKUP(A1741,vlookup_table!$A:$G,2,FALSE),"")</f>
        <v>2</v>
      </c>
      <c r="O1741">
        <f>IFERROR(VLOOKUP(A1741,vlookup_table!$A:$G,4,FALSE),"")</f>
        <v>0</v>
      </c>
      <c r="P1741" t="str">
        <f>IFERROR(VLOOKUP(A1741,vlookup_table!$A:$G,5,FALSE),"")</f>
        <v>T2</v>
      </c>
      <c r="Q1741">
        <f>IFERROR(VLOOKUP(A1741,vlookup_table!$A:$G,7,FALSE),"")</f>
        <v>12</v>
      </c>
      <c r="R1741">
        <f t="shared" si="108"/>
        <v>97</v>
      </c>
      <c r="S1741" t="str" cm="1">
        <f t="array" ref="S1741">IF(P1741="","",_xlfn.SWITCH(LEFT(P1741,1),"C","Ciudad","T","Pueblo","R","Rural","S","Suburbano","U","Urbano",""))</f>
        <v>Pueblo</v>
      </c>
      <c r="T1741" t="str">
        <f t="shared" si="109"/>
        <v>M</v>
      </c>
      <c r="U1741" t="str">
        <f t="shared" si="110"/>
        <v>NC</v>
      </c>
      <c r="V1741" t="str">
        <f t="shared" si="111"/>
        <v>10164</v>
      </c>
    </row>
    <row r="1742" spans="1:22" x14ac:dyDescent="0.35">
      <c r="A1742">
        <v>185572</v>
      </c>
      <c r="B1742" t="s">
        <v>57</v>
      </c>
      <c r="C1742" t="s">
        <v>14</v>
      </c>
      <c r="D1742">
        <v>884</v>
      </c>
      <c r="E1742">
        <v>332</v>
      </c>
      <c r="F1742">
        <v>404</v>
      </c>
      <c r="G1742">
        <v>0</v>
      </c>
      <c r="H1742">
        <v>14624</v>
      </c>
      <c r="I1742">
        <v>3</v>
      </c>
      <c r="J1742">
        <v>59</v>
      </c>
      <c r="K1742">
        <v>377</v>
      </c>
      <c r="L1742">
        <v>366</v>
      </c>
      <c r="M1742">
        <v>7.6666666670000003</v>
      </c>
      <c r="N1742">
        <f>IFERROR(VLOOKUP(A1742,vlookup_table!$A:$G,2,FALSE),"")</f>
        <v>1</v>
      </c>
      <c r="O1742">
        <f>IFERROR(VLOOKUP(A1742,vlookup_table!$A:$G,4,FALSE),"")</f>
        <v>0</v>
      </c>
      <c r="P1742" t="str">
        <f>IFERROR(VLOOKUP(A1742,vlookup_table!$A:$G,5,FALSE),"")</f>
        <v>S1</v>
      </c>
      <c r="Q1742">
        <f>IFERROR(VLOOKUP(A1742,vlookup_table!$A:$G,7,FALSE),"")</f>
        <v>5</v>
      </c>
      <c r="R1742">
        <f t="shared" si="108"/>
        <v>97</v>
      </c>
      <c r="S1742" t="str" cm="1">
        <f t="array" ref="S1742">IF(P1742="","",_xlfn.SWITCH(LEFT(P1742,1),"C","Ciudad","T","Pueblo","R","Rural","S","Suburbano","U","Urbano",""))</f>
        <v>Suburbano</v>
      </c>
      <c r="T1742" t="str">
        <f t="shared" si="109"/>
        <v>M</v>
      </c>
      <c r="U1742" t="str">
        <f t="shared" si="110"/>
        <v>KY</v>
      </c>
      <c r="V1742" t="str">
        <f t="shared" si="111"/>
        <v>14624</v>
      </c>
    </row>
    <row r="1743" spans="1:22" x14ac:dyDescent="0.35">
      <c r="A1743">
        <v>103613</v>
      </c>
      <c r="B1743" t="s">
        <v>36</v>
      </c>
      <c r="C1743" t="s">
        <v>17</v>
      </c>
      <c r="D1743">
        <v>275</v>
      </c>
      <c r="E1743">
        <v>154</v>
      </c>
      <c r="F1743">
        <v>246</v>
      </c>
      <c r="G1743">
        <v>0</v>
      </c>
      <c r="H1743">
        <v>7925</v>
      </c>
      <c r="I1743">
        <v>1</v>
      </c>
      <c r="J1743">
        <v>73</v>
      </c>
      <c r="K1743">
        <v>161</v>
      </c>
      <c r="L1743">
        <v>224</v>
      </c>
      <c r="M1743">
        <v>9.25</v>
      </c>
      <c r="N1743">
        <f>IFERROR(VLOOKUP(A1743,vlookup_table!$A:$G,2,FALSE),"")</f>
        <v>28</v>
      </c>
      <c r="O1743">
        <f>IFERROR(VLOOKUP(A1743,vlookup_table!$A:$G,4,FALSE),"")</f>
        <v>3801</v>
      </c>
      <c r="P1743" t="str">
        <f>IFERROR(VLOOKUP(A1743,vlookup_table!$A:$G,5,FALSE),"")</f>
        <v>R2</v>
      </c>
      <c r="Q1743">
        <f>IFERROR(VLOOKUP(A1743,vlookup_table!$A:$G,7,FALSE),"")</f>
        <v>15</v>
      </c>
      <c r="R1743">
        <f t="shared" si="108"/>
        <v>59</v>
      </c>
      <c r="S1743" t="str" cm="1">
        <f t="array" ref="S1743">IF(P1743="","",_xlfn.SWITCH(LEFT(P1743,1),"C","Ciudad","T","Pueblo","R","Rural","S","Suburbano","U","Urbano",""))</f>
        <v>Rural</v>
      </c>
      <c r="T1743" t="str">
        <f t="shared" si="109"/>
        <v>F</v>
      </c>
      <c r="U1743" t="str">
        <f t="shared" si="110"/>
        <v>MO</v>
      </c>
      <c r="V1743" t="str">
        <f t="shared" si="111"/>
        <v>7925</v>
      </c>
    </row>
    <row r="1744" spans="1:22" x14ac:dyDescent="0.35">
      <c r="A1744">
        <v>84144</v>
      </c>
      <c r="B1744" t="s">
        <v>56</v>
      </c>
      <c r="C1744" t="s">
        <v>17</v>
      </c>
      <c r="D1744">
        <v>1122</v>
      </c>
      <c r="E1744">
        <v>554</v>
      </c>
      <c r="F1744">
        <v>618</v>
      </c>
      <c r="G1744">
        <v>5</v>
      </c>
      <c r="H1744">
        <v>20341</v>
      </c>
      <c r="I1744">
        <v>5</v>
      </c>
      <c r="J1744">
        <v>71</v>
      </c>
      <c r="K1744">
        <v>560</v>
      </c>
      <c r="L1744">
        <v>607</v>
      </c>
      <c r="M1744">
        <v>25.125</v>
      </c>
      <c r="N1744">
        <f>IFERROR(VLOOKUP(A1744,vlookup_table!$A:$G,2,FALSE),"")</f>
        <v>0</v>
      </c>
      <c r="O1744">
        <f>IFERROR(VLOOKUP(A1744,vlookup_table!$A:$G,4,FALSE),"")</f>
        <v>6408</v>
      </c>
      <c r="P1744" t="str">
        <f>IFERROR(VLOOKUP(A1744,vlookup_table!$A:$G,5,FALSE),"")</f>
        <v>S1</v>
      </c>
      <c r="Q1744">
        <f>IFERROR(VLOOKUP(A1744,vlookup_table!$A:$G,7,FALSE),"")</f>
        <v>20</v>
      </c>
      <c r="R1744">
        <f t="shared" si="108"/>
        <v>33</v>
      </c>
      <c r="S1744" t="str" cm="1">
        <f t="array" ref="S1744">IF(P1744="","",_xlfn.SWITCH(LEFT(P1744,1),"C","Ciudad","T","Pueblo","R","Rural","S","Suburbano","U","Urbano",""))</f>
        <v>Suburbano</v>
      </c>
      <c r="T1744" t="str">
        <f t="shared" si="109"/>
        <v>F</v>
      </c>
      <c r="U1744" t="str">
        <f t="shared" si="110"/>
        <v>MN</v>
      </c>
      <c r="V1744" t="str">
        <f t="shared" si="111"/>
        <v>20341</v>
      </c>
    </row>
    <row r="1745" spans="1:22" x14ac:dyDescent="0.35">
      <c r="A1745">
        <v>83530</v>
      </c>
      <c r="B1745" t="s">
        <v>56</v>
      </c>
      <c r="D1745">
        <v>656</v>
      </c>
      <c r="E1745">
        <v>272</v>
      </c>
      <c r="F1745">
        <v>373</v>
      </c>
      <c r="G1745">
        <v>1</v>
      </c>
      <c r="H1745">
        <v>14010</v>
      </c>
      <c r="I1745">
        <v>5</v>
      </c>
      <c r="J1745">
        <v>70</v>
      </c>
      <c r="K1745">
        <v>339</v>
      </c>
      <c r="L1745">
        <v>318</v>
      </c>
      <c r="M1745">
        <v>28.6</v>
      </c>
      <c r="N1745">
        <f>IFERROR(VLOOKUP(A1745,vlookup_table!$A:$G,2,FALSE),"")</f>
        <v>0</v>
      </c>
      <c r="O1745">
        <f>IFERROR(VLOOKUP(A1745,vlookup_table!$A:$G,4,FALSE),"")</f>
        <v>2207</v>
      </c>
      <c r="P1745" t="str">
        <f>IFERROR(VLOOKUP(A1745,vlookup_table!$A:$G,5,FALSE),"")</f>
        <v>U3</v>
      </c>
      <c r="Q1745">
        <f>IFERROR(VLOOKUP(A1745,vlookup_table!$A:$G,7,FALSE),"")</f>
        <v>5</v>
      </c>
      <c r="R1745">
        <f t="shared" si="108"/>
        <v>75</v>
      </c>
      <c r="S1745" t="str" cm="1">
        <f t="array" ref="S1745">IF(P1745="","",_xlfn.SWITCH(LEFT(P1745,1),"C","Ciudad","T","Pueblo","R","Rural","S","Suburbano","U","Urbano",""))</f>
        <v>Urbano</v>
      </c>
      <c r="T1745" t="str">
        <f t="shared" si="109"/>
        <v/>
      </c>
      <c r="U1745" t="str">
        <f t="shared" si="110"/>
        <v>MN</v>
      </c>
      <c r="V1745" t="str">
        <f t="shared" si="111"/>
        <v>14010</v>
      </c>
    </row>
    <row r="1746" spans="1:22" x14ac:dyDescent="0.35">
      <c r="A1746">
        <v>46495</v>
      </c>
      <c r="B1746" t="s">
        <v>13</v>
      </c>
      <c r="C1746" t="s">
        <v>17</v>
      </c>
      <c r="D1746">
        <v>880</v>
      </c>
      <c r="E1746">
        <v>335</v>
      </c>
      <c r="F1746">
        <v>403</v>
      </c>
      <c r="G1746">
        <v>1</v>
      </c>
      <c r="H1746">
        <v>13951</v>
      </c>
      <c r="I1746">
        <v>4</v>
      </c>
      <c r="J1746">
        <v>22</v>
      </c>
      <c r="K1746">
        <v>343</v>
      </c>
      <c r="L1746">
        <v>386</v>
      </c>
      <c r="M1746">
        <v>17.714285709999999</v>
      </c>
      <c r="N1746">
        <f>IFERROR(VLOOKUP(A1746,vlookup_table!$A:$G,2,FALSE),"")</f>
        <v>0</v>
      </c>
      <c r="O1746">
        <f>IFERROR(VLOOKUP(A1746,vlookup_table!$A:$G,4,FALSE),"")</f>
        <v>3005</v>
      </c>
      <c r="P1746" t="str">
        <f>IFERROR(VLOOKUP(A1746,vlookup_table!$A:$G,5,FALSE),"")</f>
        <v>C2</v>
      </c>
      <c r="Q1746">
        <f>IFERROR(VLOOKUP(A1746,vlookup_table!$A:$G,7,FALSE),"")</f>
        <v>15</v>
      </c>
      <c r="R1746">
        <f t="shared" si="108"/>
        <v>67</v>
      </c>
      <c r="S1746" t="str" cm="1">
        <f t="array" ref="S1746">IF(P1746="","",_xlfn.SWITCH(LEFT(P1746,1),"C","Ciudad","T","Pueblo","R","Rural","S","Suburbano","U","Urbano",""))</f>
        <v>Ciudad</v>
      </c>
      <c r="T1746" t="str">
        <f t="shared" si="109"/>
        <v>F</v>
      </c>
      <c r="U1746" t="str">
        <f t="shared" si="110"/>
        <v>FL</v>
      </c>
      <c r="V1746" t="str">
        <f t="shared" si="111"/>
        <v>13951</v>
      </c>
    </row>
    <row r="1747" spans="1:22" x14ac:dyDescent="0.35">
      <c r="A1747">
        <v>186458</v>
      </c>
      <c r="B1747" t="s">
        <v>40</v>
      </c>
      <c r="C1747" t="s">
        <v>17</v>
      </c>
      <c r="D1747">
        <v>837</v>
      </c>
      <c r="E1747">
        <v>337</v>
      </c>
      <c r="F1747">
        <v>397</v>
      </c>
      <c r="G1747">
        <v>1</v>
      </c>
      <c r="H1747">
        <v>14154</v>
      </c>
      <c r="I1747">
        <v>4</v>
      </c>
      <c r="J1747">
        <v>48</v>
      </c>
      <c r="K1747">
        <v>381</v>
      </c>
      <c r="L1747">
        <v>369</v>
      </c>
      <c r="M1747">
        <v>3.4666666670000001</v>
      </c>
      <c r="N1747">
        <f>IFERROR(VLOOKUP(A1747,vlookup_table!$A:$G,2,FALSE),"")</f>
        <v>2</v>
      </c>
      <c r="O1747">
        <f>IFERROR(VLOOKUP(A1747,vlookup_table!$A:$G,4,FALSE),"")</f>
        <v>0</v>
      </c>
      <c r="P1747" t="str">
        <f>IFERROR(VLOOKUP(A1747,vlookup_table!$A:$G,5,FALSE),"")</f>
        <v>C2</v>
      </c>
      <c r="Q1747">
        <f>IFERROR(VLOOKUP(A1747,vlookup_table!$A:$G,7,FALSE),"")</f>
        <v>3</v>
      </c>
      <c r="R1747">
        <f t="shared" si="108"/>
        <v>97</v>
      </c>
      <c r="S1747" t="str" cm="1">
        <f t="array" ref="S1747">IF(P1747="","",_xlfn.SWITCH(LEFT(P1747,1),"C","Ciudad","T","Pueblo","R","Rural","S","Suburbano","U","Urbano",""))</f>
        <v>Ciudad</v>
      </c>
      <c r="T1747" t="str">
        <f t="shared" si="109"/>
        <v>F</v>
      </c>
      <c r="U1747" t="str">
        <f t="shared" si="110"/>
        <v>WA</v>
      </c>
      <c r="V1747" t="str">
        <f t="shared" si="111"/>
        <v>14154</v>
      </c>
    </row>
    <row r="1748" spans="1:22" x14ac:dyDescent="0.35">
      <c r="A1748">
        <v>162253</v>
      </c>
      <c r="B1748" t="s">
        <v>22</v>
      </c>
      <c r="C1748" t="s">
        <v>17</v>
      </c>
      <c r="D1748">
        <v>2322</v>
      </c>
      <c r="E1748">
        <v>506</v>
      </c>
      <c r="F1748">
        <v>579</v>
      </c>
      <c r="G1748">
        <v>73</v>
      </c>
      <c r="H1748">
        <v>19463</v>
      </c>
      <c r="I1748">
        <v>16</v>
      </c>
      <c r="J1748">
        <v>55</v>
      </c>
      <c r="K1748">
        <v>548</v>
      </c>
      <c r="L1748">
        <v>469</v>
      </c>
      <c r="M1748">
        <v>4.4310344830000004</v>
      </c>
      <c r="N1748">
        <f>IFERROR(VLOOKUP(A1748,vlookup_table!$A:$G,2,FALSE),"")</f>
        <v>0</v>
      </c>
      <c r="O1748">
        <f>IFERROR(VLOOKUP(A1748,vlookup_table!$A:$G,4,FALSE),"")</f>
        <v>0</v>
      </c>
      <c r="P1748" t="str">
        <f>IFERROR(VLOOKUP(A1748,vlookup_table!$A:$G,5,FALSE),"")</f>
        <v>S1</v>
      </c>
      <c r="Q1748">
        <f>IFERROR(VLOOKUP(A1748,vlookup_table!$A:$G,7,FALSE),"")</f>
        <v>5</v>
      </c>
      <c r="R1748">
        <f t="shared" si="108"/>
        <v>97</v>
      </c>
      <c r="S1748" t="str" cm="1">
        <f t="array" ref="S1748">IF(P1748="","",_xlfn.SWITCH(LEFT(P1748,1),"C","Ciudad","T","Pueblo","R","Rural","S","Suburbano","U","Urbano",""))</f>
        <v>Suburbano</v>
      </c>
      <c r="T1748" t="str">
        <f t="shared" si="109"/>
        <v>F</v>
      </c>
      <c r="U1748" t="str">
        <f t="shared" si="110"/>
        <v>CA</v>
      </c>
      <c r="V1748" t="str">
        <f t="shared" si="111"/>
        <v>19463</v>
      </c>
    </row>
    <row r="1749" spans="1:22" x14ac:dyDescent="0.35">
      <c r="A1749">
        <v>24915</v>
      </c>
      <c r="B1749" t="s">
        <v>43</v>
      </c>
      <c r="C1749" t="s">
        <v>17</v>
      </c>
      <c r="D1749">
        <v>853</v>
      </c>
      <c r="E1749">
        <v>445</v>
      </c>
      <c r="F1749">
        <v>475</v>
      </c>
      <c r="G1749">
        <v>4</v>
      </c>
      <c r="H1749">
        <v>15281</v>
      </c>
      <c r="I1749">
        <v>2</v>
      </c>
      <c r="J1749">
        <v>59</v>
      </c>
      <c r="K1749">
        <v>464</v>
      </c>
      <c r="L1749">
        <v>447</v>
      </c>
      <c r="M1749">
        <v>10</v>
      </c>
      <c r="N1749">
        <f>IFERROR(VLOOKUP(A1749,vlookup_table!$A:$G,2,FALSE),"")</f>
        <v>0</v>
      </c>
      <c r="O1749">
        <f>IFERROR(VLOOKUP(A1749,vlookup_table!$A:$G,4,FALSE),"")</f>
        <v>5301</v>
      </c>
      <c r="P1749">
        <f>IFERROR(VLOOKUP(A1749,vlookup_table!$A:$G,5,FALSE),"")</f>
        <v>0</v>
      </c>
      <c r="Q1749">
        <f>IFERROR(VLOOKUP(A1749,vlookup_table!$A:$G,7,FALSE),"")</f>
        <v>10</v>
      </c>
      <c r="R1749">
        <f t="shared" si="108"/>
        <v>44</v>
      </c>
      <c r="S1749" t="str" cm="1">
        <f t="array" ref="S1749">IF(P1749="","",_xlfn.SWITCH(LEFT(P1749,1),"C","Ciudad","T","Pueblo","R","Rural","S","Suburbano","U","Urbano",""))</f>
        <v/>
      </c>
      <c r="T1749" t="str">
        <f t="shared" si="109"/>
        <v>F</v>
      </c>
      <c r="U1749" t="str">
        <f t="shared" si="110"/>
        <v>AL</v>
      </c>
      <c r="V1749" t="str">
        <f t="shared" si="111"/>
        <v>15281</v>
      </c>
    </row>
    <row r="1750" spans="1:22" x14ac:dyDescent="0.35">
      <c r="A1750">
        <v>2081</v>
      </c>
      <c r="B1750" t="s">
        <v>40</v>
      </c>
      <c r="C1750" t="s">
        <v>17</v>
      </c>
      <c r="D1750">
        <v>871</v>
      </c>
      <c r="E1750">
        <v>381</v>
      </c>
      <c r="F1750">
        <v>476</v>
      </c>
      <c r="G1750">
        <v>6</v>
      </c>
      <c r="H1750">
        <v>16559</v>
      </c>
      <c r="I1750">
        <v>4</v>
      </c>
      <c r="J1750">
        <v>51</v>
      </c>
      <c r="K1750">
        <v>412</v>
      </c>
      <c r="L1750">
        <v>436</v>
      </c>
      <c r="M1750">
        <v>7.8367346939999996</v>
      </c>
      <c r="N1750">
        <f>IFERROR(VLOOKUP(A1750,vlookup_table!$A:$G,2,FALSE),"")</f>
        <v>0</v>
      </c>
      <c r="O1750">
        <f>IFERROR(VLOOKUP(A1750,vlookup_table!$A:$G,4,FALSE),"")</f>
        <v>0</v>
      </c>
      <c r="P1750">
        <f>IFERROR(VLOOKUP(A1750,vlookup_table!$A:$G,5,FALSE),"")</f>
        <v>0</v>
      </c>
      <c r="Q1750">
        <f>IFERROR(VLOOKUP(A1750,vlookup_table!$A:$G,7,FALSE),"")</f>
        <v>7</v>
      </c>
      <c r="R1750">
        <f t="shared" si="108"/>
        <v>97</v>
      </c>
      <c r="S1750" t="str" cm="1">
        <f t="array" ref="S1750">IF(P1750="","",_xlfn.SWITCH(LEFT(P1750,1),"C","Ciudad","T","Pueblo","R","Rural","S","Suburbano","U","Urbano",""))</f>
        <v/>
      </c>
      <c r="T1750" t="str">
        <f t="shared" si="109"/>
        <v>F</v>
      </c>
      <c r="U1750" t="str">
        <f t="shared" si="110"/>
        <v>WA</v>
      </c>
      <c r="V1750" t="str">
        <f t="shared" si="111"/>
        <v>16559</v>
      </c>
    </row>
    <row r="1751" spans="1:22" x14ac:dyDescent="0.35">
      <c r="A1751">
        <v>121654</v>
      </c>
      <c r="B1751" t="s">
        <v>21</v>
      </c>
      <c r="C1751" t="s">
        <v>14</v>
      </c>
      <c r="D1751">
        <v>884</v>
      </c>
      <c r="E1751">
        <v>681</v>
      </c>
      <c r="F1751">
        <v>746</v>
      </c>
      <c r="G1751">
        <v>0</v>
      </c>
      <c r="H1751">
        <v>23287</v>
      </c>
      <c r="I1751">
        <v>8</v>
      </c>
      <c r="J1751">
        <v>40</v>
      </c>
      <c r="K1751">
        <v>692</v>
      </c>
      <c r="L1751">
        <v>737</v>
      </c>
      <c r="M1751">
        <v>9.1428571430000005</v>
      </c>
      <c r="N1751">
        <f>IFERROR(VLOOKUP(A1751,vlookup_table!$A:$G,2,FALSE),"")</f>
        <v>2</v>
      </c>
      <c r="O1751">
        <f>IFERROR(VLOOKUP(A1751,vlookup_table!$A:$G,4,FALSE),"")</f>
        <v>4710</v>
      </c>
      <c r="P1751" t="str">
        <f>IFERROR(VLOOKUP(A1751,vlookup_table!$A:$G,5,FALSE),"")</f>
        <v>C1</v>
      </c>
      <c r="Q1751">
        <f>IFERROR(VLOOKUP(A1751,vlookup_table!$A:$G,7,FALSE),"")</f>
        <v>21</v>
      </c>
      <c r="R1751">
        <f t="shared" si="108"/>
        <v>50</v>
      </c>
      <c r="S1751" t="str" cm="1">
        <f t="array" ref="S1751">IF(P1751="","",_xlfn.SWITCH(LEFT(P1751,1),"C","Ciudad","T","Pueblo","R","Rural","S","Suburbano","U","Urbano",""))</f>
        <v>Ciudad</v>
      </c>
      <c r="T1751" t="str">
        <f t="shared" si="109"/>
        <v>M</v>
      </c>
      <c r="U1751" t="str">
        <f t="shared" si="110"/>
        <v>TX</v>
      </c>
      <c r="V1751" t="str">
        <f t="shared" si="111"/>
        <v>23287</v>
      </c>
    </row>
    <row r="1752" spans="1:22" x14ac:dyDescent="0.35">
      <c r="A1752">
        <v>132627</v>
      </c>
      <c r="B1752" t="s">
        <v>66</v>
      </c>
      <c r="C1752" t="s">
        <v>51</v>
      </c>
      <c r="D1752">
        <v>643</v>
      </c>
      <c r="E1752">
        <v>227</v>
      </c>
      <c r="F1752">
        <v>338</v>
      </c>
      <c r="G1752">
        <v>0</v>
      </c>
      <c r="H1752">
        <v>10980</v>
      </c>
      <c r="I1752">
        <v>2</v>
      </c>
      <c r="J1752">
        <v>44</v>
      </c>
      <c r="K1752">
        <v>311</v>
      </c>
      <c r="L1752">
        <v>293</v>
      </c>
      <c r="M1752">
        <v>6.5</v>
      </c>
      <c r="N1752">
        <f>IFERROR(VLOOKUP(A1752,vlookup_table!$A:$G,2,FALSE),"")</f>
        <v>0</v>
      </c>
      <c r="O1752">
        <f>IFERROR(VLOOKUP(A1752,vlookup_table!$A:$G,4,FALSE),"")</f>
        <v>3601</v>
      </c>
      <c r="P1752" t="str">
        <f>IFERROR(VLOOKUP(A1752,vlookup_table!$A:$G,5,FALSE),"")</f>
        <v>R2</v>
      </c>
      <c r="Q1752">
        <f>IFERROR(VLOOKUP(A1752,vlookup_table!$A:$G,7,FALSE),"")</f>
        <v>10</v>
      </c>
      <c r="R1752">
        <f t="shared" si="108"/>
        <v>61</v>
      </c>
      <c r="S1752" t="str" cm="1">
        <f t="array" ref="S1752">IF(P1752="","",_xlfn.SWITCH(LEFT(P1752,1),"C","Ciudad","T","Pueblo","R","Rural","S","Suburbano","U","Urbano",""))</f>
        <v>Rural</v>
      </c>
      <c r="T1752" t="str">
        <f t="shared" si="109"/>
        <v>M</v>
      </c>
      <c r="U1752" t="str">
        <f t="shared" si="110"/>
        <v>WY</v>
      </c>
      <c r="V1752" t="str">
        <f t="shared" si="111"/>
        <v>10980</v>
      </c>
    </row>
    <row r="1753" spans="1:22" x14ac:dyDescent="0.35">
      <c r="A1753">
        <v>149089</v>
      </c>
      <c r="B1753" t="s">
        <v>22</v>
      </c>
      <c r="C1753" t="s">
        <v>17</v>
      </c>
      <c r="D1753">
        <v>5687</v>
      </c>
      <c r="E1753">
        <v>515</v>
      </c>
      <c r="F1753">
        <v>787</v>
      </c>
      <c r="G1753">
        <v>95</v>
      </c>
      <c r="H1753">
        <v>36437</v>
      </c>
      <c r="I1753">
        <v>15</v>
      </c>
      <c r="J1753">
        <v>45</v>
      </c>
      <c r="K1753">
        <v>540</v>
      </c>
      <c r="L1753">
        <v>729</v>
      </c>
      <c r="M1753">
        <v>21.5</v>
      </c>
      <c r="N1753">
        <f>IFERROR(VLOOKUP(A1753,vlookup_table!$A:$G,2,FALSE),"")</f>
        <v>2</v>
      </c>
      <c r="O1753">
        <f>IFERROR(VLOOKUP(A1753,vlookup_table!$A:$G,4,FALSE),"")</f>
        <v>2601</v>
      </c>
      <c r="P1753" t="str">
        <f>IFERROR(VLOOKUP(A1753,vlookup_table!$A:$G,5,FALSE),"")</f>
        <v>T1</v>
      </c>
      <c r="Q1753">
        <f>IFERROR(VLOOKUP(A1753,vlookup_table!$A:$G,7,FALSE),"")</f>
        <v>20</v>
      </c>
      <c r="R1753">
        <f t="shared" si="108"/>
        <v>71</v>
      </c>
      <c r="S1753" t="str" cm="1">
        <f t="array" ref="S1753">IF(P1753="","",_xlfn.SWITCH(LEFT(P1753,1),"C","Ciudad","T","Pueblo","R","Rural","S","Suburbano","U","Urbano",""))</f>
        <v>Pueblo</v>
      </c>
      <c r="T1753" t="str">
        <f t="shared" si="109"/>
        <v>F</v>
      </c>
      <c r="U1753" t="str">
        <f t="shared" si="110"/>
        <v>CA</v>
      </c>
      <c r="V1753" t="str">
        <f t="shared" si="111"/>
        <v>36437</v>
      </c>
    </row>
    <row r="1754" spans="1:22" x14ac:dyDescent="0.35">
      <c r="A1754">
        <v>150497</v>
      </c>
      <c r="B1754" t="s">
        <v>22</v>
      </c>
      <c r="C1754" t="s">
        <v>14</v>
      </c>
      <c r="D1754">
        <v>3343</v>
      </c>
      <c r="E1754">
        <v>708</v>
      </c>
      <c r="F1754">
        <v>794</v>
      </c>
      <c r="G1754">
        <v>92</v>
      </c>
      <c r="H1754">
        <v>23333</v>
      </c>
      <c r="I1754">
        <v>26</v>
      </c>
      <c r="J1754">
        <v>49</v>
      </c>
      <c r="K1754">
        <v>760</v>
      </c>
      <c r="L1754">
        <v>768</v>
      </c>
      <c r="M1754">
        <v>17.5</v>
      </c>
      <c r="N1754">
        <f>IFERROR(VLOOKUP(A1754,vlookup_table!$A:$G,2,FALSE),"")</f>
        <v>0</v>
      </c>
      <c r="O1754">
        <f>IFERROR(VLOOKUP(A1754,vlookup_table!$A:$G,4,FALSE),"")</f>
        <v>7701</v>
      </c>
      <c r="P1754" t="str">
        <f>IFERROR(VLOOKUP(A1754,vlookup_table!$A:$G,5,FALSE),"")</f>
        <v>S1</v>
      </c>
      <c r="Q1754">
        <f>IFERROR(VLOOKUP(A1754,vlookup_table!$A:$G,7,FALSE),"")</f>
        <v>40</v>
      </c>
      <c r="R1754">
        <f t="shared" si="108"/>
        <v>20</v>
      </c>
      <c r="S1754" t="str" cm="1">
        <f t="array" ref="S1754">IF(P1754="","",_xlfn.SWITCH(LEFT(P1754,1),"C","Ciudad","T","Pueblo","R","Rural","S","Suburbano","U","Urbano",""))</f>
        <v>Suburbano</v>
      </c>
      <c r="T1754" t="str">
        <f t="shared" si="109"/>
        <v>M</v>
      </c>
      <c r="U1754" t="str">
        <f t="shared" si="110"/>
        <v>CA</v>
      </c>
      <c r="V1754" t="str">
        <f t="shared" si="111"/>
        <v>23333</v>
      </c>
    </row>
    <row r="1755" spans="1:22" x14ac:dyDescent="0.35">
      <c r="A1755">
        <v>180633</v>
      </c>
      <c r="B1755" t="s">
        <v>40</v>
      </c>
      <c r="C1755" t="s">
        <v>17</v>
      </c>
      <c r="D1755">
        <v>949</v>
      </c>
      <c r="E1755">
        <v>429</v>
      </c>
      <c r="F1755">
        <v>468</v>
      </c>
      <c r="G1755">
        <v>9</v>
      </c>
      <c r="H1755">
        <v>15387</v>
      </c>
      <c r="I1755">
        <v>5</v>
      </c>
      <c r="J1755">
        <v>57</v>
      </c>
      <c r="K1755">
        <v>448</v>
      </c>
      <c r="L1755">
        <v>420</v>
      </c>
      <c r="M1755">
        <v>11.66666667</v>
      </c>
      <c r="N1755">
        <f>IFERROR(VLOOKUP(A1755,vlookup_table!$A:$G,2,FALSE),"")</f>
        <v>2</v>
      </c>
      <c r="O1755">
        <f>IFERROR(VLOOKUP(A1755,vlookup_table!$A:$G,4,FALSE),"")</f>
        <v>2102</v>
      </c>
      <c r="P1755" t="str">
        <f>IFERROR(VLOOKUP(A1755,vlookup_table!$A:$G,5,FALSE),"")</f>
        <v>T2</v>
      </c>
      <c r="Q1755">
        <f>IFERROR(VLOOKUP(A1755,vlookup_table!$A:$G,7,FALSE),"")</f>
        <v>15</v>
      </c>
      <c r="R1755">
        <f t="shared" si="108"/>
        <v>76</v>
      </c>
      <c r="S1755" t="str" cm="1">
        <f t="array" ref="S1755">IF(P1755="","",_xlfn.SWITCH(LEFT(P1755,1),"C","Ciudad","T","Pueblo","R","Rural","S","Suburbano","U","Urbano",""))</f>
        <v>Pueblo</v>
      </c>
      <c r="T1755" t="str">
        <f t="shared" si="109"/>
        <v>F</v>
      </c>
      <c r="U1755" t="str">
        <f t="shared" si="110"/>
        <v>WA</v>
      </c>
      <c r="V1755" t="str">
        <f t="shared" si="111"/>
        <v>15387</v>
      </c>
    </row>
    <row r="1756" spans="1:22" x14ac:dyDescent="0.35">
      <c r="A1756">
        <v>50200</v>
      </c>
      <c r="B1756" t="s">
        <v>68</v>
      </c>
      <c r="C1756" t="s">
        <v>14</v>
      </c>
      <c r="D1756">
        <v>1052</v>
      </c>
      <c r="E1756">
        <v>482</v>
      </c>
      <c r="F1756">
        <v>541</v>
      </c>
      <c r="G1756">
        <v>9</v>
      </c>
      <c r="H1756">
        <v>20492</v>
      </c>
      <c r="I1756">
        <v>1</v>
      </c>
      <c r="J1756">
        <v>44</v>
      </c>
      <c r="K1756">
        <v>499</v>
      </c>
      <c r="L1756">
        <v>516</v>
      </c>
      <c r="M1756">
        <v>10.83333333</v>
      </c>
      <c r="N1756">
        <f>IFERROR(VLOOKUP(A1756,vlookup_table!$A:$G,2,FALSE),"")</f>
        <v>2</v>
      </c>
      <c r="O1756">
        <f>IFERROR(VLOOKUP(A1756,vlookup_table!$A:$G,4,FALSE),"")</f>
        <v>2201</v>
      </c>
      <c r="P1756" t="str">
        <f>IFERROR(VLOOKUP(A1756,vlookup_table!$A:$G,5,FALSE),"")</f>
        <v>C1</v>
      </c>
      <c r="Q1756">
        <f>IFERROR(VLOOKUP(A1756,vlookup_table!$A:$G,7,FALSE),"")</f>
        <v>10</v>
      </c>
      <c r="R1756">
        <f t="shared" si="108"/>
        <v>75</v>
      </c>
      <c r="S1756" t="str" cm="1">
        <f t="array" ref="S1756">IF(P1756="","",_xlfn.SWITCH(LEFT(P1756,1),"C","Ciudad","T","Pueblo","R","Rural","S","Suburbano","U","Urbano",""))</f>
        <v>Ciudad</v>
      </c>
      <c r="T1756" t="str">
        <f t="shared" si="109"/>
        <v>M</v>
      </c>
      <c r="U1756" t="str">
        <f t="shared" si="110"/>
        <v>Tennessee</v>
      </c>
      <c r="V1756" t="str">
        <f t="shared" si="111"/>
        <v>20492</v>
      </c>
    </row>
    <row r="1757" spans="1:22" x14ac:dyDescent="0.35">
      <c r="A1757">
        <v>172176</v>
      </c>
      <c r="B1757" t="s">
        <v>22</v>
      </c>
      <c r="C1757" t="s">
        <v>17</v>
      </c>
      <c r="D1757">
        <v>1788</v>
      </c>
      <c r="E1757">
        <v>368</v>
      </c>
      <c r="F1757">
        <v>514</v>
      </c>
      <c r="G1757">
        <v>44</v>
      </c>
      <c r="H1757">
        <v>23026</v>
      </c>
      <c r="I1757">
        <v>3</v>
      </c>
      <c r="J1757">
        <v>53</v>
      </c>
      <c r="K1757">
        <v>424</v>
      </c>
      <c r="L1757">
        <v>415</v>
      </c>
      <c r="M1757">
        <v>11</v>
      </c>
      <c r="N1757">
        <f>IFERROR(VLOOKUP(A1757,vlookup_table!$A:$G,2,FALSE),"")</f>
        <v>28</v>
      </c>
      <c r="O1757">
        <f>IFERROR(VLOOKUP(A1757,vlookup_table!$A:$G,4,FALSE),"")</f>
        <v>0</v>
      </c>
      <c r="P1757" t="str">
        <f>IFERROR(VLOOKUP(A1757,vlookup_table!$A:$G,5,FALSE),"")</f>
        <v>S1</v>
      </c>
      <c r="Q1757">
        <f>IFERROR(VLOOKUP(A1757,vlookup_table!$A:$G,7,FALSE),"")</f>
        <v>20</v>
      </c>
      <c r="R1757">
        <f t="shared" si="108"/>
        <v>97</v>
      </c>
      <c r="S1757" t="str" cm="1">
        <f t="array" ref="S1757">IF(P1757="","",_xlfn.SWITCH(LEFT(P1757,1),"C","Ciudad","T","Pueblo","R","Rural","S","Suburbano","U","Urbano",""))</f>
        <v>Suburbano</v>
      </c>
      <c r="T1757" t="str">
        <f t="shared" si="109"/>
        <v>F</v>
      </c>
      <c r="U1757" t="str">
        <f t="shared" si="110"/>
        <v>CA</v>
      </c>
      <c r="V1757" t="str">
        <f t="shared" si="111"/>
        <v>23026</v>
      </c>
    </row>
    <row r="1758" spans="1:22" x14ac:dyDescent="0.35">
      <c r="A1758">
        <v>130884</v>
      </c>
      <c r="B1758" t="s">
        <v>48</v>
      </c>
      <c r="C1758" t="s">
        <v>17</v>
      </c>
      <c r="D1758">
        <v>1274</v>
      </c>
      <c r="E1758">
        <v>520</v>
      </c>
      <c r="F1758">
        <v>575</v>
      </c>
      <c r="G1758">
        <v>7</v>
      </c>
      <c r="H1758">
        <v>21997</v>
      </c>
      <c r="I1758">
        <v>2</v>
      </c>
      <c r="J1758">
        <v>32</v>
      </c>
      <c r="K1758">
        <v>541</v>
      </c>
      <c r="L1758">
        <v>548</v>
      </c>
      <c r="M1758">
        <v>6</v>
      </c>
      <c r="N1758">
        <f>IFERROR(VLOOKUP(A1758,vlookup_table!$A:$G,2,FALSE),"")</f>
        <v>0</v>
      </c>
      <c r="O1758">
        <f>IFERROR(VLOOKUP(A1758,vlookup_table!$A:$G,4,FALSE),"")</f>
        <v>2711</v>
      </c>
      <c r="P1758" t="str">
        <f>IFERROR(VLOOKUP(A1758,vlookup_table!$A:$G,5,FALSE),"")</f>
        <v>T1</v>
      </c>
      <c r="Q1758">
        <f>IFERROR(VLOOKUP(A1758,vlookup_table!$A:$G,7,FALSE),"")</f>
        <v>7</v>
      </c>
      <c r="R1758">
        <f t="shared" si="108"/>
        <v>70</v>
      </c>
      <c r="S1758" t="str" cm="1">
        <f t="array" ref="S1758">IF(P1758="","",_xlfn.SWITCH(LEFT(P1758,1),"C","Ciudad","T","Pueblo","R","Rural","S","Suburbano","U","Urbano",""))</f>
        <v>Pueblo</v>
      </c>
      <c r="T1758" t="str">
        <f t="shared" si="109"/>
        <v>F</v>
      </c>
      <c r="U1758" t="str">
        <f t="shared" si="110"/>
        <v>CO</v>
      </c>
      <c r="V1758" t="str">
        <f t="shared" si="111"/>
        <v>21997</v>
      </c>
    </row>
    <row r="1759" spans="1:22" x14ac:dyDescent="0.35">
      <c r="A1759">
        <v>139857</v>
      </c>
      <c r="B1759" t="s">
        <v>54</v>
      </c>
      <c r="C1759" t="s">
        <v>17</v>
      </c>
      <c r="D1759">
        <v>481</v>
      </c>
      <c r="E1759">
        <v>280</v>
      </c>
      <c r="F1759">
        <v>319</v>
      </c>
      <c r="G1759">
        <v>0</v>
      </c>
      <c r="H1759">
        <v>10294</v>
      </c>
      <c r="I1759">
        <v>0</v>
      </c>
      <c r="J1759">
        <v>30</v>
      </c>
      <c r="K1759">
        <v>335</v>
      </c>
      <c r="L1759">
        <v>279</v>
      </c>
      <c r="M1759">
        <v>7.2</v>
      </c>
      <c r="N1759">
        <f>IFERROR(VLOOKUP(A1759,vlookup_table!$A:$G,2,FALSE),"")</f>
        <v>0</v>
      </c>
      <c r="O1759">
        <f>IFERROR(VLOOKUP(A1759,vlookup_table!$A:$G,4,FALSE),"")</f>
        <v>1701</v>
      </c>
      <c r="P1759" t="str">
        <f>IFERROR(VLOOKUP(A1759,vlookup_table!$A:$G,5,FALSE),"")</f>
        <v>T2</v>
      </c>
      <c r="Q1759">
        <f>IFERROR(VLOOKUP(A1759,vlookup_table!$A:$G,7,FALSE),"")</f>
        <v>5</v>
      </c>
      <c r="R1759">
        <f t="shared" si="108"/>
        <v>80</v>
      </c>
      <c r="S1759" t="str" cm="1">
        <f t="array" ref="S1759">IF(P1759="","",_xlfn.SWITCH(LEFT(P1759,1),"C","Ciudad","T","Pueblo","R","Rural","S","Suburbano","U","Urbano",""))</f>
        <v>Pueblo</v>
      </c>
      <c r="T1759" t="str">
        <f t="shared" si="109"/>
        <v>F</v>
      </c>
      <c r="U1759" t="str">
        <f t="shared" si="110"/>
        <v>NM</v>
      </c>
      <c r="V1759" t="str">
        <f t="shared" si="111"/>
        <v>10294</v>
      </c>
    </row>
    <row r="1760" spans="1:22" x14ac:dyDescent="0.35">
      <c r="A1760">
        <v>152325</v>
      </c>
      <c r="B1760" t="s">
        <v>22</v>
      </c>
      <c r="C1760" t="s">
        <v>14</v>
      </c>
      <c r="D1760">
        <v>1728</v>
      </c>
      <c r="E1760">
        <v>470</v>
      </c>
      <c r="F1760">
        <v>523</v>
      </c>
      <c r="G1760">
        <v>30</v>
      </c>
      <c r="H1760">
        <v>16413</v>
      </c>
      <c r="I1760">
        <v>10</v>
      </c>
      <c r="J1760">
        <v>50</v>
      </c>
      <c r="K1760">
        <v>511</v>
      </c>
      <c r="L1760">
        <v>503</v>
      </c>
      <c r="M1760">
        <v>25</v>
      </c>
      <c r="N1760">
        <f>IFERROR(VLOOKUP(A1760,vlookup_table!$A:$G,2,FALSE),"")</f>
        <v>1</v>
      </c>
      <c r="O1760">
        <f>IFERROR(VLOOKUP(A1760,vlookup_table!$A:$G,4,FALSE),"")</f>
        <v>4601</v>
      </c>
      <c r="P1760" t="str">
        <f>IFERROR(VLOOKUP(A1760,vlookup_table!$A:$G,5,FALSE),"")</f>
        <v>S2</v>
      </c>
      <c r="Q1760">
        <f>IFERROR(VLOOKUP(A1760,vlookup_table!$A:$G,7,FALSE),"")</f>
        <v>25</v>
      </c>
      <c r="R1760">
        <f t="shared" si="108"/>
        <v>51</v>
      </c>
      <c r="S1760" t="str" cm="1">
        <f t="array" ref="S1760">IF(P1760="","",_xlfn.SWITCH(LEFT(P1760,1),"C","Ciudad","T","Pueblo","R","Rural","S","Suburbano","U","Urbano",""))</f>
        <v>Suburbano</v>
      </c>
      <c r="T1760" t="str">
        <f t="shared" si="109"/>
        <v>M</v>
      </c>
      <c r="U1760" t="str">
        <f t="shared" si="110"/>
        <v>CA</v>
      </c>
      <c r="V1760" t="str">
        <f t="shared" si="111"/>
        <v>16413</v>
      </c>
    </row>
    <row r="1761" spans="1:22" x14ac:dyDescent="0.35">
      <c r="A1761">
        <v>43559</v>
      </c>
      <c r="B1761" t="s">
        <v>13</v>
      </c>
      <c r="C1761" t="s">
        <v>14</v>
      </c>
      <c r="D1761">
        <v>1322</v>
      </c>
      <c r="E1761">
        <v>355</v>
      </c>
      <c r="F1761">
        <v>454</v>
      </c>
      <c r="G1761">
        <v>7</v>
      </c>
      <c r="H1761">
        <v>14439</v>
      </c>
      <c r="I1761">
        <v>4</v>
      </c>
      <c r="J1761">
        <v>36</v>
      </c>
      <c r="K1761">
        <v>405</v>
      </c>
      <c r="L1761">
        <v>408</v>
      </c>
      <c r="M1761">
        <v>3.5666666669999998</v>
      </c>
      <c r="N1761">
        <f>IFERROR(VLOOKUP(A1761,vlookup_table!$A:$G,2,FALSE),"")</f>
        <v>0</v>
      </c>
      <c r="O1761">
        <f>IFERROR(VLOOKUP(A1761,vlookup_table!$A:$G,4,FALSE),"")</f>
        <v>1301</v>
      </c>
      <c r="P1761" t="str">
        <f>IFERROR(VLOOKUP(A1761,vlookup_table!$A:$G,5,FALSE),"")</f>
        <v>R1</v>
      </c>
      <c r="Q1761">
        <f>IFERROR(VLOOKUP(A1761,vlookup_table!$A:$G,7,FALSE),"")</f>
        <v>2</v>
      </c>
      <c r="R1761">
        <f t="shared" si="108"/>
        <v>84</v>
      </c>
      <c r="S1761" t="str" cm="1">
        <f t="array" ref="S1761">IF(P1761="","",_xlfn.SWITCH(LEFT(P1761,1),"C","Ciudad","T","Pueblo","R","Rural","S","Suburbano","U","Urbano",""))</f>
        <v>Rural</v>
      </c>
      <c r="T1761" t="str">
        <f t="shared" si="109"/>
        <v>M</v>
      </c>
      <c r="U1761" t="str">
        <f t="shared" si="110"/>
        <v>FL</v>
      </c>
      <c r="V1761" t="str">
        <f t="shared" si="111"/>
        <v>14439</v>
      </c>
    </row>
    <row r="1762" spans="1:22" x14ac:dyDescent="0.35">
      <c r="A1762">
        <v>81527</v>
      </c>
      <c r="B1762" t="s">
        <v>35</v>
      </c>
      <c r="C1762" t="s">
        <v>17</v>
      </c>
      <c r="D1762">
        <v>429</v>
      </c>
      <c r="E1762">
        <v>232</v>
      </c>
      <c r="F1762">
        <v>346</v>
      </c>
      <c r="G1762">
        <v>0</v>
      </c>
      <c r="H1762">
        <v>11632</v>
      </c>
      <c r="I1762">
        <v>1</v>
      </c>
      <c r="J1762">
        <v>65</v>
      </c>
      <c r="K1762">
        <v>297</v>
      </c>
      <c r="L1762">
        <v>276</v>
      </c>
      <c r="M1762">
        <v>7.692307692</v>
      </c>
      <c r="N1762">
        <f>IFERROR(VLOOKUP(A1762,vlookup_table!$A:$G,2,FALSE),"")</f>
        <v>2</v>
      </c>
      <c r="O1762">
        <f>IFERROR(VLOOKUP(A1762,vlookup_table!$A:$G,4,FALSE),"")</f>
        <v>1501</v>
      </c>
      <c r="P1762" t="str">
        <f>IFERROR(VLOOKUP(A1762,vlookup_table!$A:$G,5,FALSE),"")</f>
        <v>R2</v>
      </c>
      <c r="Q1762">
        <f>IFERROR(VLOOKUP(A1762,vlookup_table!$A:$G,7,FALSE),"")</f>
        <v>3</v>
      </c>
      <c r="R1762">
        <f t="shared" si="108"/>
        <v>82</v>
      </c>
      <c r="S1762" t="str" cm="1">
        <f t="array" ref="S1762">IF(P1762="","",_xlfn.SWITCH(LEFT(P1762,1),"C","Ciudad","T","Pueblo","R","Rural","S","Suburbano","U","Urbano",""))</f>
        <v>Rural</v>
      </c>
      <c r="T1762" t="str">
        <f t="shared" si="109"/>
        <v>F</v>
      </c>
      <c r="U1762" t="str">
        <f t="shared" si="110"/>
        <v>WI</v>
      </c>
      <c r="V1762" t="str">
        <f t="shared" si="111"/>
        <v>11632</v>
      </c>
    </row>
    <row r="1763" spans="1:22" x14ac:dyDescent="0.35">
      <c r="A1763">
        <v>146913</v>
      </c>
      <c r="B1763" t="s">
        <v>22</v>
      </c>
      <c r="C1763" t="s">
        <v>17</v>
      </c>
      <c r="D1763">
        <v>2674</v>
      </c>
      <c r="E1763">
        <v>561</v>
      </c>
      <c r="F1763">
        <v>662</v>
      </c>
      <c r="G1763">
        <v>77</v>
      </c>
      <c r="H1763">
        <v>37883</v>
      </c>
      <c r="I1763">
        <v>6</v>
      </c>
      <c r="J1763">
        <v>43</v>
      </c>
      <c r="K1763">
        <v>574</v>
      </c>
      <c r="L1763">
        <v>648</v>
      </c>
      <c r="M1763">
        <v>19.166666670000001</v>
      </c>
      <c r="N1763">
        <f>IFERROR(VLOOKUP(A1763,vlookup_table!$A:$G,2,FALSE),"")</f>
        <v>28</v>
      </c>
      <c r="O1763">
        <f>IFERROR(VLOOKUP(A1763,vlookup_table!$A:$G,4,FALSE),"")</f>
        <v>3201</v>
      </c>
      <c r="P1763" t="str">
        <f>IFERROR(VLOOKUP(A1763,vlookup_table!$A:$G,5,FALSE),"")</f>
        <v>S1</v>
      </c>
      <c r="Q1763">
        <f>IFERROR(VLOOKUP(A1763,vlookup_table!$A:$G,7,FALSE),"")</f>
        <v>25</v>
      </c>
      <c r="R1763">
        <f t="shared" si="108"/>
        <v>65</v>
      </c>
      <c r="S1763" t="str" cm="1">
        <f t="array" ref="S1763">IF(P1763="","",_xlfn.SWITCH(LEFT(P1763,1),"C","Ciudad","T","Pueblo","R","Rural","S","Suburbano","U","Urbano",""))</f>
        <v>Suburbano</v>
      </c>
      <c r="T1763" t="str">
        <f t="shared" si="109"/>
        <v>F</v>
      </c>
      <c r="U1763" t="str">
        <f t="shared" si="110"/>
        <v>CA</v>
      </c>
      <c r="V1763" t="str">
        <f t="shared" si="111"/>
        <v>37883</v>
      </c>
    </row>
    <row r="1764" spans="1:22" x14ac:dyDescent="0.35">
      <c r="A1764">
        <v>5968</v>
      </c>
      <c r="B1764" t="s">
        <v>35</v>
      </c>
      <c r="C1764" t="s">
        <v>17</v>
      </c>
      <c r="D1764">
        <v>685</v>
      </c>
      <c r="E1764">
        <v>359</v>
      </c>
      <c r="F1764">
        <v>375</v>
      </c>
      <c r="G1764">
        <v>0</v>
      </c>
      <c r="H1764">
        <v>14570</v>
      </c>
      <c r="I1764">
        <v>4</v>
      </c>
      <c r="J1764">
        <v>81</v>
      </c>
      <c r="K1764">
        <v>365</v>
      </c>
      <c r="L1764">
        <v>372</v>
      </c>
      <c r="M1764">
        <v>3.5892857139999998</v>
      </c>
      <c r="N1764">
        <f>IFERROR(VLOOKUP(A1764,vlookup_table!$A:$G,2,FALSE),"")</f>
        <v>0</v>
      </c>
      <c r="O1764">
        <f>IFERROR(VLOOKUP(A1764,vlookup_table!$A:$G,4,FALSE),"")</f>
        <v>0</v>
      </c>
      <c r="P1764" t="str">
        <f>IFERROR(VLOOKUP(A1764,vlookup_table!$A:$G,5,FALSE),"")</f>
        <v>U1</v>
      </c>
      <c r="Q1764">
        <f>IFERROR(VLOOKUP(A1764,vlookup_table!$A:$G,7,FALSE),"")</f>
        <v>12</v>
      </c>
      <c r="R1764">
        <f t="shared" si="108"/>
        <v>97</v>
      </c>
      <c r="S1764" t="str" cm="1">
        <f t="array" ref="S1764">IF(P1764="","",_xlfn.SWITCH(LEFT(P1764,1),"C","Ciudad","T","Pueblo","R","Rural","S","Suburbano","U","Urbano",""))</f>
        <v>Urbano</v>
      </c>
      <c r="T1764" t="str">
        <f t="shared" si="109"/>
        <v>F</v>
      </c>
      <c r="U1764" t="str">
        <f t="shared" si="110"/>
        <v>WI</v>
      </c>
      <c r="V1764" t="str">
        <f t="shared" si="111"/>
        <v>14570</v>
      </c>
    </row>
    <row r="1765" spans="1:22" x14ac:dyDescent="0.35">
      <c r="A1765">
        <v>3953</v>
      </c>
      <c r="B1765" t="s">
        <v>37</v>
      </c>
      <c r="C1765" t="s">
        <v>14</v>
      </c>
      <c r="D1765">
        <v>2254</v>
      </c>
      <c r="E1765">
        <v>484</v>
      </c>
      <c r="F1765">
        <v>518</v>
      </c>
      <c r="G1765">
        <v>60</v>
      </c>
      <c r="H1765">
        <v>15930</v>
      </c>
      <c r="I1765">
        <v>7</v>
      </c>
      <c r="J1765">
        <v>85</v>
      </c>
      <c r="K1765">
        <v>479</v>
      </c>
      <c r="L1765">
        <v>542</v>
      </c>
      <c r="M1765">
        <v>16.25</v>
      </c>
      <c r="N1765">
        <f>IFERROR(VLOOKUP(A1765,vlookup_table!$A:$G,2,FALSE),"")</f>
        <v>0</v>
      </c>
      <c r="O1765">
        <f>IFERROR(VLOOKUP(A1765,vlookup_table!$A:$G,4,FALSE),"")</f>
        <v>0</v>
      </c>
      <c r="P1765" t="str">
        <f>IFERROR(VLOOKUP(A1765,vlookup_table!$A:$G,5,FALSE),"")</f>
        <v>S2</v>
      </c>
      <c r="Q1765">
        <f>IFERROR(VLOOKUP(A1765,vlookup_table!$A:$G,7,FALSE),"")</f>
        <v>20</v>
      </c>
      <c r="R1765">
        <f t="shared" si="108"/>
        <v>97</v>
      </c>
      <c r="S1765" t="str" cm="1">
        <f t="array" ref="S1765">IF(P1765="","",_xlfn.SWITCH(LEFT(P1765,1),"C","Ciudad","T","Pueblo","R","Rural","S","Suburbano","U","Urbano",""))</f>
        <v>Suburbano</v>
      </c>
      <c r="T1765" t="str">
        <f t="shared" si="109"/>
        <v>M</v>
      </c>
      <c r="U1765" t="str">
        <f t="shared" si="110"/>
        <v>HI</v>
      </c>
      <c r="V1765" t="str">
        <f t="shared" si="111"/>
        <v>15930</v>
      </c>
    </row>
    <row r="1766" spans="1:22" x14ac:dyDescent="0.35">
      <c r="A1766">
        <v>13177</v>
      </c>
      <c r="B1766" t="s">
        <v>22</v>
      </c>
      <c r="C1766" t="s">
        <v>14</v>
      </c>
      <c r="D1766">
        <v>479</v>
      </c>
      <c r="E1766">
        <v>208</v>
      </c>
      <c r="F1766">
        <v>322</v>
      </c>
      <c r="G1766">
        <v>1</v>
      </c>
      <c r="H1766">
        <v>11081</v>
      </c>
      <c r="I1766">
        <v>3</v>
      </c>
      <c r="J1766">
        <v>59</v>
      </c>
      <c r="K1766">
        <v>268</v>
      </c>
      <c r="L1766">
        <v>272</v>
      </c>
      <c r="M1766">
        <v>9.5555555559999998</v>
      </c>
      <c r="N1766">
        <f>IFERROR(VLOOKUP(A1766,vlookup_table!$A:$G,2,FALSE),"")</f>
        <v>0</v>
      </c>
      <c r="O1766">
        <f>IFERROR(VLOOKUP(A1766,vlookup_table!$A:$G,4,FALSE),"")</f>
        <v>3901</v>
      </c>
      <c r="P1766" t="str">
        <f>IFERROR(VLOOKUP(A1766,vlookup_table!$A:$G,5,FALSE),"")</f>
        <v>T2</v>
      </c>
      <c r="Q1766">
        <f>IFERROR(VLOOKUP(A1766,vlookup_table!$A:$G,7,FALSE),"")</f>
        <v>10</v>
      </c>
      <c r="R1766">
        <f t="shared" si="108"/>
        <v>58</v>
      </c>
      <c r="S1766" t="str" cm="1">
        <f t="array" ref="S1766">IF(P1766="","",_xlfn.SWITCH(LEFT(P1766,1),"C","Ciudad","T","Pueblo","R","Rural","S","Suburbano","U","Urbano",""))</f>
        <v>Pueblo</v>
      </c>
      <c r="T1766" t="str">
        <f t="shared" si="109"/>
        <v>M</v>
      </c>
      <c r="U1766" t="str">
        <f t="shared" si="110"/>
        <v>CA</v>
      </c>
      <c r="V1766" t="str">
        <f t="shared" si="111"/>
        <v>11081</v>
      </c>
    </row>
    <row r="1767" spans="1:22" x14ac:dyDescent="0.35">
      <c r="A1767">
        <v>38632</v>
      </c>
      <c r="B1767" t="s">
        <v>13</v>
      </c>
      <c r="C1767" t="s">
        <v>17</v>
      </c>
      <c r="D1767">
        <v>860</v>
      </c>
      <c r="E1767">
        <v>458</v>
      </c>
      <c r="F1767">
        <v>505</v>
      </c>
      <c r="G1767">
        <v>0</v>
      </c>
      <c r="H1767">
        <v>19217</v>
      </c>
      <c r="I1767">
        <v>24</v>
      </c>
      <c r="J1767">
        <v>31</v>
      </c>
      <c r="K1767">
        <v>453</v>
      </c>
      <c r="L1767">
        <v>495</v>
      </c>
      <c r="M1767">
        <v>13.51111111</v>
      </c>
      <c r="N1767">
        <f>IFERROR(VLOOKUP(A1767,vlookup_table!$A:$G,2,FALSE),"")</f>
        <v>0</v>
      </c>
      <c r="O1767">
        <f>IFERROR(VLOOKUP(A1767,vlookup_table!$A:$G,4,FALSE),"")</f>
        <v>5008</v>
      </c>
      <c r="P1767" t="str">
        <f>IFERROR(VLOOKUP(A1767,vlookup_table!$A:$G,5,FALSE),"")</f>
        <v>S1</v>
      </c>
      <c r="Q1767">
        <f>IFERROR(VLOOKUP(A1767,vlookup_table!$A:$G,7,FALSE),"")</f>
        <v>38</v>
      </c>
      <c r="R1767">
        <f t="shared" si="108"/>
        <v>47</v>
      </c>
      <c r="S1767" t="str" cm="1">
        <f t="array" ref="S1767">IF(P1767="","",_xlfn.SWITCH(LEFT(P1767,1),"C","Ciudad","T","Pueblo","R","Rural","S","Suburbano","U","Urbano",""))</f>
        <v>Suburbano</v>
      </c>
      <c r="T1767" t="str">
        <f t="shared" si="109"/>
        <v>F</v>
      </c>
      <c r="U1767" t="str">
        <f t="shared" si="110"/>
        <v>FL</v>
      </c>
      <c r="V1767" t="str">
        <f t="shared" si="111"/>
        <v>19217</v>
      </c>
    </row>
    <row r="1768" spans="1:22" x14ac:dyDescent="0.35">
      <c r="A1768">
        <v>578</v>
      </c>
      <c r="B1768" t="s">
        <v>22</v>
      </c>
      <c r="C1768" t="s">
        <v>17</v>
      </c>
      <c r="D1768">
        <v>1821</v>
      </c>
      <c r="E1768">
        <v>454</v>
      </c>
      <c r="F1768">
        <v>505</v>
      </c>
      <c r="G1768">
        <v>21</v>
      </c>
      <c r="H1768">
        <v>17008</v>
      </c>
      <c r="I1768">
        <v>7</v>
      </c>
      <c r="J1768">
        <v>39</v>
      </c>
      <c r="K1768">
        <v>466</v>
      </c>
      <c r="L1768">
        <v>486</v>
      </c>
      <c r="M1768">
        <v>7.384615385</v>
      </c>
      <c r="N1768">
        <f>IFERROR(VLOOKUP(A1768,vlookup_table!$A:$G,2,FALSE),"")</f>
        <v>28</v>
      </c>
      <c r="O1768">
        <f>IFERROR(VLOOKUP(A1768,vlookup_table!$A:$G,4,FALSE),"")</f>
        <v>0</v>
      </c>
      <c r="P1768" t="str">
        <f>IFERROR(VLOOKUP(A1768,vlookup_table!$A:$G,5,FALSE),"")</f>
        <v>S2</v>
      </c>
      <c r="Q1768">
        <f>IFERROR(VLOOKUP(A1768,vlookup_table!$A:$G,7,FALSE),"")</f>
        <v>10</v>
      </c>
      <c r="R1768">
        <f t="shared" si="108"/>
        <v>97</v>
      </c>
      <c r="S1768" t="str" cm="1">
        <f t="array" ref="S1768">IF(P1768="","",_xlfn.SWITCH(LEFT(P1768,1),"C","Ciudad","T","Pueblo","R","Rural","S","Suburbano","U","Urbano",""))</f>
        <v>Suburbano</v>
      </c>
      <c r="T1768" t="str">
        <f t="shared" si="109"/>
        <v>F</v>
      </c>
      <c r="U1768" t="str">
        <f t="shared" si="110"/>
        <v>CA</v>
      </c>
      <c r="V1768" t="str">
        <f t="shared" si="111"/>
        <v>17008</v>
      </c>
    </row>
    <row r="1769" spans="1:22" x14ac:dyDescent="0.35">
      <c r="A1769">
        <v>186980</v>
      </c>
      <c r="B1769" t="s">
        <v>21</v>
      </c>
      <c r="C1769" t="s">
        <v>14</v>
      </c>
      <c r="D1769">
        <v>1076</v>
      </c>
      <c r="E1769">
        <v>490</v>
      </c>
      <c r="F1769">
        <v>578</v>
      </c>
      <c r="G1769">
        <v>2</v>
      </c>
      <c r="H1769">
        <v>19138</v>
      </c>
      <c r="I1769">
        <v>1</v>
      </c>
      <c r="J1769">
        <v>79</v>
      </c>
      <c r="K1769">
        <v>503</v>
      </c>
      <c r="L1769">
        <v>550</v>
      </c>
      <c r="M1769">
        <v>14.545454550000001</v>
      </c>
      <c r="N1769">
        <f>IFERROR(VLOOKUP(A1769,vlookup_table!$A:$G,2,FALSE),"")</f>
        <v>0</v>
      </c>
      <c r="O1769">
        <f>IFERROR(VLOOKUP(A1769,vlookup_table!$A:$G,4,FALSE),"")</f>
        <v>5311</v>
      </c>
      <c r="P1769" t="str">
        <f>IFERROR(VLOOKUP(A1769,vlookup_table!$A:$G,5,FALSE),"")</f>
        <v>R2</v>
      </c>
      <c r="Q1769">
        <f>IFERROR(VLOOKUP(A1769,vlookup_table!$A:$G,7,FALSE),"")</f>
        <v>50</v>
      </c>
      <c r="R1769">
        <f t="shared" si="108"/>
        <v>44</v>
      </c>
      <c r="S1769" t="str" cm="1">
        <f t="array" ref="S1769">IF(P1769="","",_xlfn.SWITCH(LEFT(P1769,1),"C","Ciudad","T","Pueblo","R","Rural","S","Suburbano","U","Urbano",""))</f>
        <v>Rural</v>
      </c>
      <c r="T1769" t="str">
        <f t="shared" si="109"/>
        <v>M</v>
      </c>
      <c r="U1769" t="str">
        <f t="shared" si="110"/>
        <v>TX</v>
      </c>
      <c r="V1769" t="str">
        <f t="shared" si="111"/>
        <v>19138</v>
      </c>
    </row>
    <row r="1770" spans="1:22" x14ac:dyDescent="0.35">
      <c r="A1770">
        <v>172475</v>
      </c>
      <c r="B1770" t="s">
        <v>22</v>
      </c>
      <c r="C1770" t="s">
        <v>17</v>
      </c>
      <c r="D1770">
        <v>1231</v>
      </c>
      <c r="E1770">
        <v>323</v>
      </c>
      <c r="F1770">
        <v>412</v>
      </c>
      <c r="G1770">
        <v>13</v>
      </c>
      <c r="H1770">
        <v>14716</v>
      </c>
      <c r="I1770">
        <v>2</v>
      </c>
      <c r="J1770">
        <v>67</v>
      </c>
      <c r="K1770">
        <v>398</v>
      </c>
      <c r="L1770">
        <v>367</v>
      </c>
      <c r="M1770">
        <v>12.3</v>
      </c>
      <c r="N1770">
        <f>IFERROR(VLOOKUP(A1770,vlookup_table!$A:$G,2,FALSE),"")</f>
        <v>0</v>
      </c>
      <c r="O1770">
        <f>IFERROR(VLOOKUP(A1770,vlookup_table!$A:$G,4,FALSE),"")</f>
        <v>4602</v>
      </c>
      <c r="P1770" t="str">
        <f>IFERROR(VLOOKUP(A1770,vlookup_table!$A:$G,5,FALSE),"")</f>
        <v>T2</v>
      </c>
      <c r="Q1770">
        <f>IFERROR(VLOOKUP(A1770,vlookup_table!$A:$G,7,FALSE),"")</f>
        <v>16</v>
      </c>
      <c r="R1770">
        <f t="shared" si="108"/>
        <v>51</v>
      </c>
      <c r="S1770" t="str" cm="1">
        <f t="array" ref="S1770">IF(P1770="","",_xlfn.SWITCH(LEFT(P1770,1),"C","Ciudad","T","Pueblo","R","Rural","S","Suburbano","U","Urbano",""))</f>
        <v>Pueblo</v>
      </c>
      <c r="T1770" t="str">
        <f t="shared" si="109"/>
        <v>F</v>
      </c>
      <c r="U1770" t="str">
        <f t="shared" si="110"/>
        <v>CA</v>
      </c>
      <c r="V1770" t="str">
        <f t="shared" si="111"/>
        <v>14716</v>
      </c>
    </row>
    <row r="1771" spans="1:22" x14ac:dyDescent="0.35">
      <c r="A1771">
        <v>33526</v>
      </c>
      <c r="B1771" t="s">
        <v>13</v>
      </c>
      <c r="C1771" t="s">
        <v>17</v>
      </c>
      <c r="D1771">
        <v>440</v>
      </c>
      <c r="E1771">
        <v>185</v>
      </c>
      <c r="F1771">
        <v>299</v>
      </c>
      <c r="G1771">
        <v>1</v>
      </c>
      <c r="H1771">
        <v>9983</v>
      </c>
      <c r="I1771">
        <v>1</v>
      </c>
      <c r="J1771">
        <v>68</v>
      </c>
      <c r="K1771">
        <v>231</v>
      </c>
      <c r="L1771">
        <v>253</v>
      </c>
      <c r="M1771">
        <v>8.9166666669999994</v>
      </c>
      <c r="N1771">
        <f>IFERROR(VLOOKUP(A1771,vlookup_table!$A:$G,2,FALSE),"")</f>
        <v>0</v>
      </c>
      <c r="O1771">
        <f>IFERROR(VLOOKUP(A1771,vlookup_table!$A:$G,4,FALSE),"")</f>
        <v>5308</v>
      </c>
      <c r="P1771" t="str">
        <f>IFERROR(VLOOKUP(A1771,vlookup_table!$A:$G,5,FALSE),"")</f>
        <v>R2</v>
      </c>
      <c r="Q1771">
        <f>IFERROR(VLOOKUP(A1771,vlookup_table!$A:$G,7,FALSE),"")</f>
        <v>5</v>
      </c>
      <c r="R1771">
        <f t="shared" si="108"/>
        <v>44</v>
      </c>
      <c r="S1771" t="str" cm="1">
        <f t="array" ref="S1771">IF(P1771="","",_xlfn.SWITCH(LEFT(P1771,1),"C","Ciudad","T","Pueblo","R","Rural","S","Suburbano","U","Urbano",""))</f>
        <v>Rural</v>
      </c>
      <c r="T1771" t="str">
        <f t="shared" si="109"/>
        <v>F</v>
      </c>
      <c r="U1771" t="str">
        <f t="shared" si="110"/>
        <v>FL</v>
      </c>
      <c r="V1771" t="str">
        <f t="shared" si="111"/>
        <v>9983</v>
      </c>
    </row>
    <row r="1772" spans="1:22" x14ac:dyDescent="0.35">
      <c r="A1772">
        <v>69465</v>
      </c>
      <c r="B1772" t="s">
        <v>29</v>
      </c>
      <c r="C1772" t="s">
        <v>14</v>
      </c>
      <c r="D1772">
        <v>1572</v>
      </c>
      <c r="E1772">
        <v>566</v>
      </c>
      <c r="F1772">
        <v>684</v>
      </c>
      <c r="G1772">
        <v>31</v>
      </c>
      <c r="H1772">
        <v>23133</v>
      </c>
      <c r="I1772">
        <v>3</v>
      </c>
      <c r="J1772">
        <v>79</v>
      </c>
      <c r="K1772">
        <v>587</v>
      </c>
      <c r="L1772">
        <v>623</v>
      </c>
      <c r="M1772">
        <v>10</v>
      </c>
      <c r="N1772">
        <f>IFERROR(VLOOKUP(A1772,vlookup_table!$A:$G,2,FALSE),"")</f>
        <v>1</v>
      </c>
      <c r="O1772">
        <f>IFERROR(VLOOKUP(A1772,vlookup_table!$A:$G,4,FALSE),"")</f>
        <v>4601</v>
      </c>
      <c r="P1772" t="str">
        <f>IFERROR(VLOOKUP(A1772,vlookup_table!$A:$G,5,FALSE),"")</f>
        <v>S1</v>
      </c>
      <c r="Q1772">
        <f>IFERROR(VLOOKUP(A1772,vlookup_table!$A:$G,7,FALSE),"")</f>
        <v>20</v>
      </c>
      <c r="R1772">
        <f t="shared" si="108"/>
        <v>51</v>
      </c>
      <c r="S1772" t="str" cm="1">
        <f t="array" ref="S1772">IF(P1772="","",_xlfn.SWITCH(LEFT(P1772,1),"C","Ciudad","T","Pueblo","R","Rural","S","Suburbano","U","Urbano",""))</f>
        <v>Suburbano</v>
      </c>
      <c r="T1772" t="str">
        <f t="shared" si="109"/>
        <v>M</v>
      </c>
      <c r="U1772" t="str">
        <f t="shared" si="110"/>
        <v>MI</v>
      </c>
      <c r="V1772" t="str">
        <f t="shared" si="111"/>
        <v>23133</v>
      </c>
    </row>
    <row r="1773" spans="1:22" x14ac:dyDescent="0.35">
      <c r="A1773">
        <v>190391</v>
      </c>
      <c r="B1773" t="s">
        <v>18</v>
      </c>
      <c r="C1773" t="s">
        <v>14</v>
      </c>
      <c r="D1773">
        <v>347</v>
      </c>
      <c r="E1773">
        <v>166</v>
      </c>
      <c r="F1773">
        <v>233</v>
      </c>
      <c r="G1773">
        <v>2</v>
      </c>
      <c r="H1773">
        <v>8507</v>
      </c>
      <c r="I1773">
        <v>1</v>
      </c>
      <c r="J1773">
        <v>75</v>
      </c>
      <c r="K1773">
        <v>202</v>
      </c>
      <c r="L1773">
        <v>204</v>
      </c>
      <c r="M1773">
        <v>14.75</v>
      </c>
      <c r="N1773">
        <f>IFERROR(VLOOKUP(A1773,vlookup_table!$A:$G,2,FALSE),"")</f>
        <v>1</v>
      </c>
      <c r="O1773">
        <f>IFERROR(VLOOKUP(A1773,vlookup_table!$A:$G,4,FALSE),"")</f>
        <v>3003</v>
      </c>
      <c r="P1773" t="str">
        <f>IFERROR(VLOOKUP(A1773,vlookup_table!$A:$G,5,FALSE),"")</f>
        <v>R3</v>
      </c>
      <c r="Q1773">
        <f>IFERROR(VLOOKUP(A1773,vlookup_table!$A:$G,7,FALSE),"")</f>
        <v>16</v>
      </c>
      <c r="R1773">
        <f t="shared" si="108"/>
        <v>67</v>
      </c>
      <c r="S1773" t="str" cm="1">
        <f t="array" ref="S1773">IF(P1773="","",_xlfn.SWITCH(LEFT(P1773,1),"C","Ciudad","T","Pueblo","R","Rural","S","Suburbano","U","Urbano",""))</f>
        <v>Rural</v>
      </c>
      <c r="T1773" t="str">
        <f t="shared" si="109"/>
        <v>M</v>
      </c>
      <c r="U1773" t="str">
        <f t="shared" si="110"/>
        <v>NC</v>
      </c>
      <c r="V1773" t="str">
        <f t="shared" si="111"/>
        <v>8507</v>
      </c>
    </row>
    <row r="1774" spans="1:22" x14ac:dyDescent="0.35">
      <c r="A1774">
        <v>26378</v>
      </c>
      <c r="B1774" t="s">
        <v>39</v>
      </c>
      <c r="D1774">
        <v>1153</v>
      </c>
      <c r="E1774">
        <v>562</v>
      </c>
      <c r="F1774">
        <v>629</v>
      </c>
      <c r="G1774">
        <v>8</v>
      </c>
      <c r="H1774">
        <v>22327</v>
      </c>
      <c r="I1774">
        <v>6</v>
      </c>
      <c r="J1774">
        <v>41</v>
      </c>
      <c r="K1774">
        <v>583</v>
      </c>
      <c r="L1774">
        <v>609</v>
      </c>
      <c r="M1774">
        <v>50</v>
      </c>
      <c r="N1774">
        <f>IFERROR(VLOOKUP(A1774,vlookup_table!$A:$G,2,FALSE),"")</f>
        <v>0</v>
      </c>
      <c r="O1774">
        <f>IFERROR(VLOOKUP(A1774,vlookup_table!$A:$G,4,FALSE),"")</f>
        <v>3701</v>
      </c>
      <c r="P1774" t="str">
        <f>IFERROR(VLOOKUP(A1774,vlookup_table!$A:$G,5,FALSE),"")</f>
        <v>T1</v>
      </c>
      <c r="Q1774">
        <f>IFERROR(VLOOKUP(A1774,vlookup_table!$A:$G,7,FALSE),"")</f>
        <v>100</v>
      </c>
      <c r="R1774">
        <f t="shared" si="108"/>
        <v>60</v>
      </c>
      <c r="S1774" t="str" cm="1">
        <f t="array" ref="S1774">IF(P1774="","",_xlfn.SWITCH(LEFT(P1774,1),"C","Ciudad","T","Pueblo","R","Rural","S","Suburbano","U","Urbano",""))</f>
        <v>Pueblo</v>
      </c>
      <c r="T1774" t="str">
        <f t="shared" si="109"/>
        <v/>
      </c>
      <c r="U1774" t="str">
        <f t="shared" si="110"/>
        <v>GA</v>
      </c>
      <c r="V1774" t="str">
        <f t="shared" si="111"/>
        <v>22327</v>
      </c>
    </row>
    <row r="1775" spans="1:22" x14ac:dyDescent="0.35">
      <c r="A1775">
        <v>12998</v>
      </c>
      <c r="B1775" t="s">
        <v>40</v>
      </c>
      <c r="C1775" t="s">
        <v>17</v>
      </c>
      <c r="D1775">
        <v>2075</v>
      </c>
      <c r="E1775">
        <v>723</v>
      </c>
      <c r="F1775">
        <v>845</v>
      </c>
      <c r="G1775">
        <v>53</v>
      </c>
      <c r="H1775">
        <v>29233</v>
      </c>
      <c r="I1775">
        <v>7</v>
      </c>
      <c r="J1775">
        <v>46</v>
      </c>
      <c r="K1775">
        <v>743</v>
      </c>
      <c r="L1775">
        <v>823</v>
      </c>
      <c r="M1775">
        <v>5.5172413789999997</v>
      </c>
      <c r="N1775">
        <f>IFERROR(VLOOKUP(A1775,vlookup_table!$A:$G,2,FALSE),"")</f>
        <v>0</v>
      </c>
      <c r="O1775">
        <f>IFERROR(VLOOKUP(A1775,vlookup_table!$A:$G,4,FALSE),"")</f>
        <v>1801</v>
      </c>
      <c r="P1775" t="str">
        <f>IFERROR(VLOOKUP(A1775,vlookup_table!$A:$G,5,FALSE),"")</f>
        <v>U1</v>
      </c>
      <c r="Q1775">
        <f>IFERROR(VLOOKUP(A1775,vlookup_table!$A:$G,7,FALSE),"")</f>
        <v>6</v>
      </c>
      <c r="R1775">
        <f t="shared" si="108"/>
        <v>79</v>
      </c>
      <c r="S1775" t="str" cm="1">
        <f t="array" ref="S1775">IF(P1775="","",_xlfn.SWITCH(LEFT(P1775,1),"C","Ciudad","T","Pueblo","R","Rural","S","Suburbano","U","Urbano",""))</f>
        <v>Urbano</v>
      </c>
      <c r="T1775" t="str">
        <f t="shared" si="109"/>
        <v>F</v>
      </c>
      <c r="U1775" t="str">
        <f t="shared" si="110"/>
        <v>WA</v>
      </c>
      <c r="V1775" t="str">
        <f t="shared" si="111"/>
        <v>29233</v>
      </c>
    </row>
    <row r="1776" spans="1:22" x14ac:dyDescent="0.35">
      <c r="A1776">
        <v>128035</v>
      </c>
      <c r="B1776" t="s">
        <v>21</v>
      </c>
      <c r="C1776" t="s">
        <v>17</v>
      </c>
      <c r="D1776">
        <v>360</v>
      </c>
      <c r="E1776">
        <v>167</v>
      </c>
      <c r="F1776">
        <v>269</v>
      </c>
      <c r="G1776">
        <v>0</v>
      </c>
      <c r="H1776">
        <v>8048</v>
      </c>
      <c r="I1776">
        <v>1</v>
      </c>
      <c r="J1776">
        <v>85</v>
      </c>
      <c r="K1776">
        <v>235</v>
      </c>
      <c r="L1776">
        <v>219</v>
      </c>
      <c r="M1776">
        <v>11.9</v>
      </c>
      <c r="N1776">
        <f>IFERROR(VLOOKUP(A1776,vlookup_table!$A:$G,2,FALSE),"")</f>
        <v>1</v>
      </c>
      <c r="O1776">
        <f>IFERROR(VLOOKUP(A1776,vlookup_table!$A:$G,4,FALSE),"")</f>
        <v>2506</v>
      </c>
      <c r="P1776" t="str">
        <f>IFERROR(VLOOKUP(A1776,vlookup_table!$A:$G,5,FALSE),"")</f>
        <v>T2</v>
      </c>
      <c r="Q1776">
        <f>IFERROR(VLOOKUP(A1776,vlookup_table!$A:$G,7,FALSE),"")</f>
        <v>21</v>
      </c>
      <c r="R1776">
        <f t="shared" si="108"/>
        <v>72</v>
      </c>
      <c r="S1776" t="str" cm="1">
        <f t="array" ref="S1776">IF(P1776="","",_xlfn.SWITCH(LEFT(P1776,1),"C","Ciudad","T","Pueblo","R","Rural","S","Suburbano","U","Urbano",""))</f>
        <v>Pueblo</v>
      </c>
      <c r="T1776" t="str">
        <f t="shared" si="109"/>
        <v>F</v>
      </c>
      <c r="U1776" t="str">
        <f t="shared" si="110"/>
        <v>TX</v>
      </c>
      <c r="V1776" t="str">
        <f t="shared" si="111"/>
        <v>8048</v>
      </c>
    </row>
    <row r="1777" spans="1:22" x14ac:dyDescent="0.35">
      <c r="A1777">
        <v>16756</v>
      </c>
      <c r="B1777" t="s">
        <v>18</v>
      </c>
      <c r="C1777" t="s">
        <v>14</v>
      </c>
      <c r="D1777">
        <v>542</v>
      </c>
      <c r="E1777">
        <v>211</v>
      </c>
      <c r="F1777">
        <v>361</v>
      </c>
      <c r="G1777">
        <v>1</v>
      </c>
      <c r="H1777">
        <v>19216</v>
      </c>
      <c r="I1777">
        <v>2</v>
      </c>
      <c r="J1777">
        <v>74</v>
      </c>
      <c r="K1777">
        <v>245</v>
      </c>
      <c r="L1777">
        <v>269</v>
      </c>
      <c r="M1777">
        <v>15.4</v>
      </c>
      <c r="N1777">
        <f>IFERROR(VLOOKUP(A1777,vlookup_table!$A:$G,2,FALSE),"")</f>
        <v>0</v>
      </c>
      <c r="O1777">
        <f>IFERROR(VLOOKUP(A1777,vlookup_table!$A:$G,4,FALSE),"")</f>
        <v>6801</v>
      </c>
      <c r="P1777" t="str">
        <f>IFERROR(VLOOKUP(A1777,vlookup_table!$A:$G,5,FALSE),"")</f>
        <v>S2</v>
      </c>
      <c r="Q1777">
        <f>IFERROR(VLOOKUP(A1777,vlookup_table!$A:$G,7,FALSE),"")</f>
        <v>15</v>
      </c>
      <c r="R1777">
        <f t="shared" si="108"/>
        <v>29</v>
      </c>
      <c r="S1777" t="str" cm="1">
        <f t="array" ref="S1777">IF(P1777="","",_xlfn.SWITCH(LEFT(P1777,1),"C","Ciudad","T","Pueblo","R","Rural","S","Suburbano","U","Urbano",""))</f>
        <v>Suburbano</v>
      </c>
      <c r="T1777" t="str">
        <f t="shared" si="109"/>
        <v>M</v>
      </c>
      <c r="U1777" t="str">
        <f t="shared" si="110"/>
        <v>NC</v>
      </c>
      <c r="V1777" t="str">
        <f t="shared" si="111"/>
        <v>19216</v>
      </c>
    </row>
    <row r="1778" spans="1:22" x14ac:dyDescent="0.35">
      <c r="A1778">
        <v>142313</v>
      </c>
      <c r="B1778" t="s">
        <v>24</v>
      </c>
      <c r="C1778" t="s">
        <v>17</v>
      </c>
      <c r="D1778">
        <v>948</v>
      </c>
      <c r="E1778">
        <v>325</v>
      </c>
      <c r="F1778">
        <v>398</v>
      </c>
      <c r="G1778">
        <v>3</v>
      </c>
      <c r="H1778">
        <v>15038</v>
      </c>
      <c r="I1778">
        <v>9</v>
      </c>
      <c r="J1778">
        <v>19</v>
      </c>
      <c r="K1778">
        <v>353</v>
      </c>
      <c r="L1778">
        <v>367</v>
      </c>
      <c r="M1778">
        <v>3.411764706</v>
      </c>
      <c r="N1778">
        <f>IFERROR(VLOOKUP(A1778,vlookup_table!$A:$G,2,FALSE),"")</f>
        <v>28</v>
      </c>
      <c r="O1778">
        <f>IFERROR(VLOOKUP(A1778,vlookup_table!$A:$G,4,FALSE),"")</f>
        <v>3701</v>
      </c>
      <c r="P1778" t="str">
        <f>IFERROR(VLOOKUP(A1778,vlookup_table!$A:$G,5,FALSE),"")</f>
        <v>T2</v>
      </c>
      <c r="Q1778">
        <f>IFERROR(VLOOKUP(A1778,vlookup_table!$A:$G,7,FALSE),"")</f>
        <v>1</v>
      </c>
      <c r="R1778">
        <f t="shared" si="108"/>
        <v>60</v>
      </c>
      <c r="S1778" t="str" cm="1">
        <f t="array" ref="S1778">IF(P1778="","",_xlfn.SWITCH(LEFT(P1778,1),"C","Ciudad","T","Pueblo","R","Rural","S","Suburbano","U","Urbano",""))</f>
        <v>Pueblo</v>
      </c>
      <c r="T1778" t="str">
        <f t="shared" si="109"/>
        <v>F</v>
      </c>
      <c r="U1778" t="str">
        <f t="shared" si="110"/>
        <v>NV</v>
      </c>
      <c r="V1778" t="str">
        <f t="shared" si="111"/>
        <v>15038</v>
      </c>
    </row>
    <row r="1779" spans="1:22" x14ac:dyDescent="0.35">
      <c r="A1779">
        <v>132903</v>
      </c>
      <c r="B1779" t="s">
        <v>66</v>
      </c>
      <c r="C1779" t="s">
        <v>17</v>
      </c>
      <c r="D1779">
        <v>483</v>
      </c>
      <c r="E1779">
        <v>180</v>
      </c>
      <c r="F1779">
        <v>223</v>
      </c>
      <c r="G1779">
        <v>2</v>
      </c>
      <c r="H1779">
        <v>7610</v>
      </c>
      <c r="I1779">
        <v>0</v>
      </c>
      <c r="J1779">
        <v>61</v>
      </c>
      <c r="K1779">
        <v>206</v>
      </c>
      <c r="L1779">
        <v>207</v>
      </c>
      <c r="M1779">
        <v>15</v>
      </c>
      <c r="N1779">
        <f>IFERROR(VLOOKUP(A1779,vlookup_table!$A:$G,2,FALSE),"")</f>
        <v>0</v>
      </c>
      <c r="O1779">
        <f>IFERROR(VLOOKUP(A1779,vlookup_table!$A:$G,4,FALSE),"")</f>
        <v>6201</v>
      </c>
      <c r="P1779" t="str">
        <f>IFERROR(VLOOKUP(A1779,vlookup_table!$A:$G,5,FALSE),"")</f>
        <v>R2</v>
      </c>
      <c r="Q1779">
        <f>IFERROR(VLOOKUP(A1779,vlookup_table!$A:$G,7,FALSE),"")</f>
        <v>21</v>
      </c>
      <c r="R1779">
        <f t="shared" si="108"/>
        <v>35</v>
      </c>
      <c r="S1779" t="str" cm="1">
        <f t="array" ref="S1779">IF(P1779="","",_xlfn.SWITCH(LEFT(P1779,1),"C","Ciudad","T","Pueblo","R","Rural","S","Suburbano","U","Urbano",""))</f>
        <v>Rural</v>
      </c>
      <c r="T1779" t="str">
        <f t="shared" si="109"/>
        <v>F</v>
      </c>
      <c r="U1779" t="str">
        <f t="shared" si="110"/>
        <v>WY</v>
      </c>
      <c r="V1779" t="str">
        <f t="shared" si="111"/>
        <v>7610</v>
      </c>
    </row>
    <row r="1780" spans="1:22" x14ac:dyDescent="0.35">
      <c r="A1780">
        <v>153957</v>
      </c>
      <c r="B1780" t="s">
        <v>22</v>
      </c>
      <c r="C1780" t="s">
        <v>17</v>
      </c>
      <c r="D1780">
        <v>1488</v>
      </c>
      <c r="E1780">
        <v>406</v>
      </c>
      <c r="F1780">
        <v>407</v>
      </c>
      <c r="G1780">
        <v>5</v>
      </c>
      <c r="H1780">
        <v>10419</v>
      </c>
      <c r="I1780">
        <v>34</v>
      </c>
      <c r="J1780">
        <v>36</v>
      </c>
      <c r="K1780">
        <v>400</v>
      </c>
      <c r="L1780">
        <v>402</v>
      </c>
      <c r="M1780">
        <v>9</v>
      </c>
      <c r="N1780">
        <f>IFERROR(VLOOKUP(A1780,vlookup_table!$A:$G,2,FALSE),"")</f>
        <v>28</v>
      </c>
      <c r="O1780">
        <f>IFERROR(VLOOKUP(A1780,vlookup_table!$A:$G,4,FALSE),"")</f>
        <v>5601</v>
      </c>
      <c r="P1780" t="str">
        <f>IFERROR(VLOOKUP(A1780,vlookup_table!$A:$G,5,FALSE),"")</f>
        <v>S2</v>
      </c>
      <c r="Q1780">
        <f>IFERROR(VLOOKUP(A1780,vlookup_table!$A:$G,7,FALSE),"")</f>
        <v>5</v>
      </c>
      <c r="R1780">
        <f t="shared" si="108"/>
        <v>41</v>
      </c>
      <c r="S1780" t="str" cm="1">
        <f t="array" ref="S1780">IF(P1780="","",_xlfn.SWITCH(LEFT(P1780,1),"C","Ciudad","T","Pueblo","R","Rural","S","Suburbano","U","Urbano",""))</f>
        <v>Suburbano</v>
      </c>
      <c r="T1780" t="str">
        <f t="shared" si="109"/>
        <v>F</v>
      </c>
      <c r="U1780" t="str">
        <f t="shared" si="110"/>
        <v>CA</v>
      </c>
      <c r="V1780" t="str">
        <f t="shared" si="111"/>
        <v>10419</v>
      </c>
    </row>
    <row r="1781" spans="1:22" x14ac:dyDescent="0.35">
      <c r="A1781">
        <v>61808</v>
      </c>
      <c r="B1781" t="s">
        <v>33</v>
      </c>
      <c r="C1781" t="s">
        <v>14</v>
      </c>
      <c r="D1781">
        <v>809</v>
      </c>
      <c r="E1781">
        <v>385</v>
      </c>
      <c r="F1781">
        <v>511</v>
      </c>
      <c r="G1781">
        <v>1</v>
      </c>
      <c r="H1781">
        <v>14699</v>
      </c>
      <c r="I1781">
        <v>5</v>
      </c>
      <c r="J1781">
        <v>70</v>
      </c>
      <c r="K1781">
        <v>482</v>
      </c>
      <c r="L1781">
        <v>413</v>
      </c>
      <c r="M1781">
        <v>20</v>
      </c>
      <c r="N1781">
        <f>IFERROR(VLOOKUP(A1781,vlookup_table!$A:$G,2,FALSE),"")</f>
        <v>1</v>
      </c>
      <c r="O1781">
        <f>IFERROR(VLOOKUP(A1781,vlookup_table!$A:$G,4,FALSE),"")</f>
        <v>4901</v>
      </c>
      <c r="P1781" t="str">
        <f>IFERROR(VLOOKUP(A1781,vlookup_table!$A:$G,5,FALSE),"")</f>
        <v>T2</v>
      </c>
      <c r="Q1781">
        <f>IFERROR(VLOOKUP(A1781,vlookup_table!$A:$G,7,FALSE),"")</f>
        <v>25</v>
      </c>
      <c r="R1781">
        <f t="shared" si="108"/>
        <v>48</v>
      </c>
      <c r="S1781" t="str" cm="1">
        <f t="array" ref="S1781">IF(P1781="","",_xlfn.SWITCH(LEFT(P1781,1),"C","Ciudad","T","Pueblo","R","Rural","S","Suburbano","U","Urbano",""))</f>
        <v>Pueblo</v>
      </c>
      <c r="T1781" t="str">
        <f t="shared" si="109"/>
        <v>M</v>
      </c>
      <c r="U1781" t="str">
        <f t="shared" si="110"/>
        <v>IN</v>
      </c>
      <c r="V1781" t="str">
        <f t="shared" si="111"/>
        <v>14699</v>
      </c>
    </row>
    <row r="1782" spans="1:22" x14ac:dyDescent="0.35">
      <c r="A1782">
        <v>143707</v>
      </c>
      <c r="B1782" t="s">
        <v>22</v>
      </c>
      <c r="C1782" t="s">
        <v>14</v>
      </c>
      <c r="D1782">
        <v>2083</v>
      </c>
      <c r="E1782">
        <v>198</v>
      </c>
      <c r="F1782">
        <v>211</v>
      </c>
      <c r="G1782">
        <v>53</v>
      </c>
      <c r="H1782">
        <v>6972</v>
      </c>
      <c r="I1782">
        <v>72</v>
      </c>
      <c r="J1782">
        <v>20</v>
      </c>
      <c r="K1782">
        <v>186</v>
      </c>
      <c r="L1782">
        <v>220</v>
      </c>
      <c r="M1782">
        <v>3.8125</v>
      </c>
      <c r="N1782">
        <f>IFERROR(VLOOKUP(A1782,vlookup_table!$A:$G,2,FALSE),"")</f>
        <v>0</v>
      </c>
      <c r="O1782">
        <f>IFERROR(VLOOKUP(A1782,vlookup_table!$A:$G,4,FALSE),"")</f>
        <v>5901</v>
      </c>
      <c r="P1782" t="str">
        <f>IFERROR(VLOOKUP(A1782,vlookup_table!$A:$G,5,FALSE),"")</f>
        <v>U2</v>
      </c>
      <c r="Q1782">
        <f>IFERROR(VLOOKUP(A1782,vlookup_table!$A:$G,7,FALSE),"")</f>
        <v>4</v>
      </c>
      <c r="R1782">
        <f t="shared" si="108"/>
        <v>38</v>
      </c>
      <c r="S1782" t="str" cm="1">
        <f t="array" ref="S1782">IF(P1782="","",_xlfn.SWITCH(LEFT(P1782,1),"C","Ciudad","T","Pueblo","R","Rural","S","Suburbano","U","Urbano",""))</f>
        <v>Urbano</v>
      </c>
      <c r="T1782" t="str">
        <f t="shared" si="109"/>
        <v>M</v>
      </c>
      <c r="U1782" t="str">
        <f t="shared" si="110"/>
        <v>CA</v>
      </c>
      <c r="V1782" t="str">
        <f t="shared" si="111"/>
        <v>6972</v>
      </c>
    </row>
    <row r="1783" spans="1:22" x14ac:dyDescent="0.35">
      <c r="A1783">
        <v>122001</v>
      </c>
      <c r="B1783" t="s">
        <v>21</v>
      </c>
      <c r="C1783" t="s">
        <v>14</v>
      </c>
      <c r="D1783">
        <v>597</v>
      </c>
      <c r="E1783">
        <v>425</v>
      </c>
      <c r="F1783">
        <v>488</v>
      </c>
      <c r="G1783">
        <v>0</v>
      </c>
      <c r="H1783">
        <v>17264</v>
      </c>
      <c r="I1783">
        <v>25</v>
      </c>
      <c r="J1783">
        <v>38</v>
      </c>
      <c r="K1783">
        <v>448</v>
      </c>
      <c r="L1783">
        <v>475</v>
      </c>
      <c r="M1783">
        <v>13</v>
      </c>
      <c r="N1783">
        <f>IFERROR(VLOOKUP(A1783,vlookup_table!$A:$G,2,FALSE),"")</f>
        <v>1</v>
      </c>
      <c r="O1783">
        <f>IFERROR(VLOOKUP(A1783,vlookup_table!$A:$G,4,FALSE),"")</f>
        <v>6001</v>
      </c>
      <c r="P1783" t="str">
        <f>IFERROR(VLOOKUP(A1783,vlookup_table!$A:$G,5,FALSE),"")</f>
        <v>S1</v>
      </c>
      <c r="Q1783">
        <f>IFERROR(VLOOKUP(A1783,vlookup_table!$A:$G,7,FALSE),"")</f>
        <v>30</v>
      </c>
      <c r="R1783">
        <f t="shared" si="108"/>
        <v>37</v>
      </c>
      <c r="S1783" t="str" cm="1">
        <f t="array" ref="S1783">IF(P1783="","",_xlfn.SWITCH(LEFT(P1783,1),"C","Ciudad","T","Pueblo","R","Rural","S","Suburbano","U","Urbano",""))</f>
        <v>Suburbano</v>
      </c>
      <c r="T1783" t="str">
        <f t="shared" si="109"/>
        <v>M</v>
      </c>
      <c r="U1783" t="str">
        <f t="shared" si="110"/>
        <v>TX</v>
      </c>
      <c r="V1783" t="str">
        <f t="shared" si="111"/>
        <v>17264</v>
      </c>
    </row>
    <row r="1784" spans="1:22" x14ac:dyDescent="0.35">
      <c r="A1784">
        <v>180786</v>
      </c>
      <c r="B1784" t="s">
        <v>40</v>
      </c>
      <c r="C1784" t="s">
        <v>51</v>
      </c>
      <c r="D1784">
        <v>1271</v>
      </c>
      <c r="E1784">
        <v>324</v>
      </c>
      <c r="F1784">
        <v>417</v>
      </c>
      <c r="G1784">
        <v>22</v>
      </c>
      <c r="H1784">
        <v>17340</v>
      </c>
      <c r="I1784">
        <v>6</v>
      </c>
      <c r="J1784">
        <v>53</v>
      </c>
      <c r="K1784">
        <v>351</v>
      </c>
      <c r="L1784">
        <v>393</v>
      </c>
      <c r="M1784">
        <v>9.5</v>
      </c>
      <c r="N1784">
        <f>IFERROR(VLOOKUP(A1784,vlookup_table!$A:$G,2,FALSE),"")</f>
        <v>1</v>
      </c>
      <c r="O1784">
        <f>IFERROR(VLOOKUP(A1784,vlookup_table!$A:$G,4,FALSE),"")</f>
        <v>2106</v>
      </c>
      <c r="P1784" t="str">
        <f>IFERROR(VLOOKUP(A1784,vlookup_table!$A:$G,5,FALSE),"")</f>
        <v>C1</v>
      </c>
      <c r="Q1784">
        <f>IFERROR(VLOOKUP(A1784,vlookup_table!$A:$G,7,FALSE),"")</f>
        <v>18</v>
      </c>
      <c r="R1784">
        <f t="shared" si="108"/>
        <v>76</v>
      </c>
      <c r="S1784" t="str" cm="1">
        <f t="array" ref="S1784">IF(P1784="","",_xlfn.SWITCH(LEFT(P1784,1),"C","Ciudad","T","Pueblo","R","Rural","S","Suburbano","U","Urbano",""))</f>
        <v>Ciudad</v>
      </c>
      <c r="T1784" t="str">
        <f t="shared" si="109"/>
        <v>M</v>
      </c>
      <c r="U1784" t="str">
        <f t="shared" si="110"/>
        <v>WA</v>
      </c>
      <c r="V1784" t="str">
        <f t="shared" si="111"/>
        <v>17340</v>
      </c>
    </row>
    <row r="1785" spans="1:22" x14ac:dyDescent="0.35">
      <c r="A1785">
        <v>96031</v>
      </c>
      <c r="B1785" t="s">
        <v>16</v>
      </c>
      <c r="C1785" t="s">
        <v>14</v>
      </c>
      <c r="D1785">
        <v>440</v>
      </c>
      <c r="E1785">
        <v>286</v>
      </c>
      <c r="F1785">
        <v>375</v>
      </c>
      <c r="G1785">
        <v>0</v>
      </c>
      <c r="H1785">
        <v>12840</v>
      </c>
      <c r="I1785">
        <v>1</v>
      </c>
      <c r="J1785">
        <v>88</v>
      </c>
      <c r="K1785">
        <v>331</v>
      </c>
      <c r="L1785">
        <v>323</v>
      </c>
      <c r="M1785">
        <v>6</v>
      </c>
      <c r="N1785">
        <f>IFERROR(VLOOKUP(A1785,vlookup_table!$A:$G,2,FALSE),"")</f>
        <v>1002</v>
      </c>
      <c r="O1785">
        <f>IFERROR(VLOOKUP(A1785,vlookup_table!$A:$G,4,FALSE),"")</f>
        <v>3601</v>
      </c>
      <c r="P1785" t="str">
        <f>IFERROR(VLOOKUP(A1785,vlookup_table!$A:$G,5,FALSE),"")</f>
        <v>R2</v>
      </c>
      <c r="Q1785">
        <f>IFERROR(VLOOKUP(A1785,vlookup_table!$A:$G,7,FALSE),"")</f>
        <v>5</v>
      </c>
      <c r="R1785">
        <f t="shared" si="108"/>
        <v>61</v>
      </c>
      <c r="S1785" t="str" cm="1">
        <f t="array" ref="S1785">IF(P1785="","",_xlfn.SWITCH(LEFT(P1785,1),"C","Ciudad","T","Pueblo","R","Rural","S","Suburbano","U","Urbano",""))</f>
        <v>Rural</v>
      </c>
      <c r="T1785" t="str">
        <f t="shared" si="109"/>
        <v>M</v>
      </c>
      <c r="U1785" t="str">
        <f t="shared" si="110"/>
        <v>IL</v>
      </c>
      <c r="V1785" t="str">
        <f t="shared" si="111"/>
        <v>12840</v>
      </c>
    </row>
    <row r="1786" spans="1:22" x14ac:dyDescent="0.35">
      <c r="A1786">
        <v>60477</v>
      </c>
      <c r="B1786" t="s">
        <v>33</v>
      </c>
      <c r="C1786" t="s">
        <v>14</v>
      </c>
      <c r="D1786">
        <v>614</v>
      </c>
      <c r="E1786">
        <v>289</v>
      </c>
      <c r="F1786">
        <v>385</v>
      </c>
      <c r="G1786">
        <v>0</v>
      </c>
      <c r="H1786">
        <v>16415</v>
      </c>
      <c r="I1786">
        <v>2</v>
      </c>
      <c r="J1786">
        <v>76</v>
      </c>
      <c r="K1786">
        <v>317</v>
      </c>
      <c r="L1786">
        <v>335</v>
      </c>
      <c r="M1786">
        <v>15</v>
      </c>
      <c r="N1786">
        <f>IFERROR(VLOOKUP(A1786,vlookup_table!$A:$G,2,FALSE),"")</f>
        <v>30</v>
      </c>
      <c r="O1786">
        <f>IFERROR(VLOOKUP(A1786,vlookup_table!$A:$G,4,FALSE),"")</f>
        <v>2401</v>
      </c>
      <c r="P1786" t="str">
        <f>IFERROR(VLOOKUP(A1786,vlookup_table!$A:$G,5,FALSE),"")</f>
        <v>C3</v>
      </c>
      <c r="Q1786">
        <f>IFERROR(VLOOKUP(A1786,vlookup_table!$A:$G,7,FALSE),"")</f>
        <v>20</v>
      </c>
      <c r="R1786">
        <f t="shared" si="108"/>
        <v>73</v>
      </c>
      <c r="S1786" t="str" cm="1">
        <f t="array" ref="S1786">IF(P1786="","",_xlfn.SWITCH(LEFT(P1786,1),"C","Ciudad","T","Pueblo","R","Rural","S","Suburbano","U","Urbano",""))</f>
        <v>Ciudad</v>
      </c>
      <c r="T1786" t="str">
        <f t="shared" si="109"/>
        <v>M</v>
      </c>
      <c r="U1786" t="str">
        <f t="shared" si="110"/>
        <v>IN</v>
      </c>
      <c r="V1786" t="str">
        <f t="shared" si="111"/>
        <v>16415</v>
      </c>
    </row>
    <row r="1787" spans="1:22" x14ac:dyDescent="0.35">
      <c r="A1787">
        <v>144310</v>
      </c>
      <c r="B1787" t="s">
        <v>22</v>
      </c>
      <c r="C1787" t="s">
        <v>14</v>
      </c>
      <c r="D1787">
        <v>2424</v>
      </c>
      <c r="E1787">
        <v>426</v>
      </c>
      <c r="F1787">
        <v>542</v>
      </c>
      <c r="G1787">
        <v>75</v>
      </c>
      <c r="H1787">
        <v>19561</v>
      </c>
      <c r="I1787">
        <v>32</v>
      </c>
      <c r="J1787">
        <v>47</v>
      </c>
      <c r="K1787">
        <v>446</v>
      </c>
      <c r="L1787">
        <v>483</v>
      </c>
      <c r="M1787">
        <v>14.5</v>
      </c>
      <c r="N1787">
        <f>IFERROR(VLOOKUP(A1787,vlookup_table!$A:$G,2,FALSE),"")</f>
        <v>1</v>
      </c>
      <c r="O1787">
        <f>IFERROR(VLOOKUP(A1787,vlookup_table!$A:$G,4,FALSE),"")</f>
        <v>3801</v>
      </c>
      <c r="P1787" t="str">
        <f>IFERROR(VLOOKUP(A1787,vlookup_table!$A:$G,5,FALSE),"")</f>
        <v>U2</v>
      </c>
      <c r="Q1787">
        <f>IFERROR(VLOOKUP(A1787,vlookup_table!$A:$G,7,FALSE),"")</f>
        <v>6</v>
      </c>
      <c r="R1787">
        <f t="shared" si="108"/>
        <v>59</v>
      </c>
      <c r="S1787" t="str" cm="1">
        <f t="array" ref="S1787">IF(P1787="","",_xlfn.SWITCH(LEFT(P1787,1),"C","Ciudad","T","Pueblo","R","Rural","S","Suburbano","U","Urbano",""))</f>
        <v>Urbano</v>
      </c>
      <c r="T1787" t="str">
        <f t="shared" si="109"/>
        <v>M</v>
      </c>
      <c r="U1787" t="str">
        <f t="shared" si="110"/>
        <v>CA</v>
      </c>
      <c r="V1787" t="str">
        <f t="shared" si="111"/>
        <v>19561</v>
      </c>
    </row>
    <row r="1788" spans="1:22" x14ac:dyDescent="0.35">
      <c r="A1788">
        <v>2170</v>
      </c>
      <c r="B1788" t="s">
        <v>29</v>
      </c>
      <c r="C1788" t="s">
        <v>17</v>
      </c>
      <c r="D1788">
        <v>923</v>
      </c>
      <c r="E1788">
        <v>299</v>
      </c>
      <c r="F1788">
        <v>409</v>
      </c>
      <c r="G1788">
        <v>3</v>
      </c>
      <c r="H1788">
        <v>15965</v>
      </c>
      <c r="I1788">
        <v>3</v>
      </c>
      <c r="J1788">
        <v>79</v>
      </c>
      <c r="K1788">
        <v>364</v>
      </c>
      <c r="L1788">
        <v>353</v>
      </c>
      <c r="M1788">
        <v>7.6071428570000004</v>
      </c>
      <c r="N1788">
        <f>IFERROR(VLOOKUP(A1788,vlookup_table!$A:$G,2,FALSE),"")</f>
        <v>0</v>
      </c>
      <c r="O1788">
        <f>IFERROR(VLOOKUP(A1788,vlookup_table!$A:$G,4,FALSE),"")</f>
        <v>3003</v>
      </c>
      <c r="P1788" t="str">
        <f>IFERROR(VLOOKUP(A1788,vlookup_table!$A:$G,5,FALSE),"")</f>
        <v>T2</v>
      </c>
      <c r="Q1788">
        <f>IFERROR(VLOOKUP(A1788,vlookup_table!$A:$G,7,FALSE),"")</f>
        <v>7</v>
      </c>
      <c r="R1788">
        <f t="shared" si="108"/>
        <v>67</v>
      </c>
      <c r="S1788" t="str" cm="1">
        <f t="array" ref="S1788">IF(P1788="","",_xlfn.SWITCH(LEFT(P1788,1),"C","Ciudad","T","Pueblo","R","Rural","S","Suburbano","U","Urbano",""))</f>
        <v>Pueblo</v>
      </c>
      <c r="T1788" t="str">
        <f t="shared" si="109"/>
        <v>F</v>
      </c>
      <c r="U1788" t="str">
        <f t="shared" si="110"/>
        <v>MI</v>
      </c>
      <c r="V1788" t="str">
        <f t="shared" si="111"/>
        <v>15965</v>
      </c>
    </row>
    <row r="1789" spans="1:22" x14ac:dyDescent="0.35">
      <c r="A1789">
        <v>7846</v>
      </c>
      <c r="B1789" t="s">
        <v>21</v>
      </c>
      <c r="C1789" t="s">
        <v>14</v>
      </c>
      <c r="D1789">
        <v>577</v>
      </c>
      <c r="E1789">
        <v>425</v>
      </c>
      <c r="F1789">
        <v>454</v>
      </c>
      <c r="G1789">
        <v>0</v>
      </c>
      <c r="H1789">
        <v>12951</v>
      </c>
      <c r="I1789">
        <v>18</v>
      </c>
      <c r="J1789">
        <v>62</v>
      </c>
      <c r="K1789">
        <v>437</v>
      </c>
      <c r="L1789">
        <v>437</v>
      </c>
      <c r="M1789">
        <v>7.375</v>
      </c>
      <c r="N1789">
        <f>IFERROR(VLOOKUP(A1789,vlookup_table!$A:$G,2,FALSE),"")</f>
        <v>0</v>
      </c>
      <c r="O1789">
        <f>IFERROR(VLOOKUP(A1789,vlookup_table!$A:$G,4,FALSE),"")</f>
        <v>0</v>
      </c>
      <c r="P1789" t="str">
        <f>IFERROR(VLOOKUP(A1789,vlookup_table!$A:$G,5,FALSE),"")</f>
        <v>S2</v>
      </c>
      <c r="Q1789">
        <f>IFERROR(VLOOKUP(A1789,vlookup_table!$A:$G,7,FALSE),"")</f>
        <v>10</v>
      </c>
      <c r="R1789">
        <f t="shared" si="108"/>
        <v>97</v>
      </c>
      <c r="S1789" t="str" cm="1">
        <f t="array" ref="S1789">IF(P1789="","",_xlfn.SWITCH(LEFT(P1789,1),"C","Ciudad","T","Pueblo","R","Rural","S","Suburbano","U","Urbano",""))</f>
        <v>Suburbano</v>
      </c>
      <c r="T1789" t="str">
        <f t="shared" si="109"/>
        <v>M</v>
      </c>
      <c r="U1789" t="str">
        <f t="shared" si="110"/>
        <v>TX</v>
      </c>
      <c r="V1789" t="str">
        <f t="shared" si="111"/>
        <v>12951</v>
      </c>
    </row>
    <row r="1790" spans="1:22" x14ac:dyDescent="0.35">
      <c r="A1790">
        <v>71904</v>
      </c>
      <c r="B1790" t="s">
        <v>29</v>
      </c>
      <c r="C1790" t="s">
        <v>14</v>
      </c>
      <c r="D1790">
        <v>347</v>
      </c>
      <c r="E1790">
        <v>245</v>
      </c>
      <c r="F1790">
        <v>328</v>
      </c>
      <c r="G1790">
        <v>0</v>
      </c>
      <c r="H1790">
        <v>12777</v>
      </c>
      <c r="I1790">
        <v>0</v>
      </c>
      <c r="J1790">
        <v>74</v>
      </c>
      <c r="K1790">
        <v>310</v>
      </c>
      <c r="L1790">
        <v>286</v>
      </c>
      <c r="M1790">
        <v>4.904761905</v>
      </c>
      <c r="N1790">
        <f>IFERROR(VLOOKUP(A1790,vlookup_table!$A:$G,2,FALSE),"")</f>
        <v>1</v>
      </c>
      <c r="O1790">
        <f>IFERROR(VLOOKUP(A1790,vlookup_table!$A:$G,4,FALSE),"")</f>
        <v>1901</v>
      </c>
      <c r="P1790" t="str">
        <f>IFERROR(VLOOKUP(A1790,vlookup_table!$A:$G,5,FALSE),"")</f>
        <v>C3</v>
      </c>
      <c r="Q1790">
        <f>IFERROR(VLOOKUP(A1790,vlookup_table!$A:$G,7,FALSE),"")</f>
        <v>7</v>
      </c>
      <c r="R1790">
        <f t="shared" si="108"/>
        <v>78</v>
      </c>
      <c r="S1790" t="str" cm="1">
        <f t="array" ref="S1790">IF(P1790="","",_xlfn.SWITCH(LEFT(P1790,1),"C","Ciudad","T","Pueblo","R","Rural","S","Suburbano","U","Urbano",""))</f>
        <v>Ciudad</v>
      </c>
      <c r="T1790" t="str">
        <f t="shared" si="109"/>
        <v>M</v>
      </c>
      <c r="U1790" t="str">
        <f t="shared" si="110"/>
        <v>MI</v>
      </c>
      <c r="V1790" t="str">
        <f t="shared" si="111"/>
        <v>12777</v>
      </c>
    </row>
    <row r="1791" spans="1:22" x14ac:dyDescent="0.35">
      <c r="A1791">
        <v>2512</v>
      </c>
      <c r="B1791" t="s">
        <v>18</v>
      </c>
      <c r="C1791" t="s">
        <v>14</v>
      </c>
      <c r="D1791">
        <v>1250</v>
      </c>
      <c r="E1791">
        <v>319</v>
      </c>
      <c r="F1791">
        <v>540</v>
      </c>
      <c r="G1791">
        <v>8</v>
      </c>
      <c r="H1791">
        <v>25660</v>
      </c>
      <c r="I1791">
        <v>3</v>
      </c>
      <c r="J1791">
        <v>33</v>
      </c>
      <c r="K1791">
        <v>411</v>
      </c>
      <c r="L1791">
        <v>429</v>
      </c>
      <c r="M1791">
        <v>25</v>
      </c>
      <c r="N1791">
        <f>IFERROR(VLOOKUP(A1791,vlookup_table!$A:$G,2,FALSE),"")</f>
        <v>1002</v>
      </c>
      <c r="O1791">
        <f>IFERROR(VLOOKUP(A1791,vlookup_table!$A:$G,4,FALSE),"")</f>
        <v>2601</v>
      </c>
      <c r="P1791">
        <f>IFERROR(VLOOKUP(A1791,vlookup_table!$A:$G,5,FALSE),"")</f>
        <v>0</v>
      </c>
      <c r="Q1791">
        <f>IFERROR(VLOOKUP(A1791,vlookup_table!$A:$G,7,FALSE),"")</f>
        <v>25</v>
      </c>
      <c r="R1791">
        <f t="shared" si="108"/>
        <v>71</v>
      </c>
      <c r="S1791" t="str" cm="1">
        <f t="array" ref="S1791">IF(P1791="","",_xlfn.SWITCH(LEFT(P1791,1),"C","Ciudad","T","Pueblo","R","Rural","S","Suburbano","U","Urbano",""))</f>
        <v/>
      </c>
      <c r="T1791" t="str">
        <f t="shared" si="109"/>
        <v>M</v>
      </c>
      <c r="U1791" t="str">
        <f t="shared" si="110"/>
        <v>NC</v>
      </c>
      <c r="V1791" t="str">
        <f t="shared" si="111"/>
        <v>25660</v>
      </c>
    </row>
    <row r="1792" spans="1:22" x14ac:dyDescent="0.35">
      <c r="A1792">
        <v>71682</v>
      </c>
      <c r="B1792" t="s">
        <v>29</v>
      </c>
      <c r="C1792" t="s">
        <v>14</v>
      </c>
      <c r="D1792">
        <v>770</v>
      </c>
      <c r="E1792">
        <v>417</v>
      </c>
      <c r="F1792">
        <v>454</v>
      </c>
      <c r="G1792">
        <v>0</v>
      </c>
      <c r="H1792">
        <v>14053</v>
      </c>
      <c r="I1792">
        <v>3</v>
      </c>
      <c r="J1792">
        <v>88</v>
      </c>
      <c r="K1792">
        <v>426</v>
      </c>
      <c r="L1792">
        <v>450</v>
      </c>
      <c r="M1792">
        <v>10.6</v>
      </c>
      <c r="N1792">
        <f>IFERROR(VLOOKUP(A1792,vlookup_table!$A:$G,2,FALSE),"")</f>
        <v>1</v>
      </c>
      <c r="O1792">
        <f>IFERROR(VLOOKUP(A1792,vlookup_table!$A:$G,4,FALSE),"")</f>
        <v>5511</v>
      </c>
      <c r="P1792" t="str">
        <f>IFERROR(VLOOKUP(A1792,vlookup_table!$A:$G,5,FALSE),"")</f>
        <v>T2</v>
      </c>
      <c r="Q1792">
        <f>IFERROR(VLOOKUP(A1792,vlookup_table!$A:$G,7,FALSE),"")</f>
        <v>20</v>
      </c>
      <c r="R1792">
        <f t="shared" si="108"/>
        <v>42</v>
      </c>
      <c r="S1792" t="str" cm="1">
        <f t="array" ref="S1792">IF(P1792="","",_xlfn.SWITCH(LEFT(P1792,1),"C","Ciudad","T","Pueblo","R","Rural","S","Suburbano","U","Urbano",""))</f>
        <v>Pueblo</v>
      </c>
      <c r="T1792" t="str">
        <f t="shared" si="109"/>
        <v>M</v>
      </c>
      <c r="U1792" t="str">
        <f t="shared" si="110"/>
        <v>MI</v>
      </c>
      <c r="V1792" t="str">
        <f t="shared" si="111"/>
        <v>14053</v>
      </c>
    </row>
    <row r="1793" spans="1:22" x14ac:dyDescent="0.35">
      <c r="A1793">
        <v>142552</v>
      </c>
      <c r="B1793" t="s">
        <v>22</v>
      </c>
      <c r="C1793" t="s">
        <v>14</v>
      </c>
      <c r="D1793">
        <v>1943</v>
      </c>
      <c r="E1793">
        <v>426</v>
      </c>
      <c r="F1793">
        <v>523</v>
      </c>
      <c r="G1793">
        <v>45</v>
      </c>
      <c r="H1793">
        <v>16702</v>
      </c>
      <c r="I1793">
        <v>3</v>
      </c>
      <c r="J1793">
        <v>48</v>
      </c>
      <c r="K1793">
        <v>444</v>
      </c>
      <c r="L1793">
        <v>439</v>
      </c>
      <c r="M1793">
        <v>13.33333333</v>
      </c>
      <c r="N1793">
        <f>IFERROR(VLOOKUP(A1793,vlookup_table!$A:$G,2,FALSE),"")</f>
        <v>1</v>
      </c>
      <c r="O1793">
        <f>IFERROR(VLOOKUP(A1793,vlookup_table!$A:$G,4,FALSE),"")</f>
        <v>2801</v>
      </c>
      <c r="P1793" t="str">
        <f>IFERROR(VLOOKUP(A1793,vlookup_table!$A:$G,5,FALSE),"")</f>
        <v>U2</v>
      </c>
      <c r="Q1793">
        <f>IFERROR(VLOOKUP(A1793,vlookup_table!$A:$G,7,FALSE),"")</f>
        <v>5</v>
      </c>
      <c r="R1793">
        <f t="shared" si="108"/>
        <v>69</v>
      </c>
      <c r="S1793" t="str" cm="1">
        <f t="array" ref="S1793">IF(P1793="","",_xlfn.SWITCH(LEFT(P1793,1),"C","Ciudad","T","Pueblo","R","Rural","S","Suburbano","U","Urbano",""))</f>
        <v>Urbano</v>
      </c>
      <c r="T1793" t="str">
        <f t="shared" si="109"/>
        <v>M</v>
      </c>
      <c r="U1793" t="str">
        <f t="shared" si="110"/>
        <v>CA</v>
      </c>
      <c r="V1793" t="str">
        <f t="shared" si="111"/>
        <v>16702</v>
      </c>
    </row>
    <row r="1794" spans="1:22" x14ac:dyDescent="0.35">
      <c r="A1794">
        <v>109429</v>
      </c>
      <c r="B1794" t="s">
        <v>49</v>
      </c>
      <c r="C1794" t="s">
        <v>30</v>
      </c>
      <c r="D1794">
        <v>589</v>
      </c>
      <c r="E1794">
        <v>378</v>
      </c>
      <c r="F1794">
        <v>422</v>
      </c>
      <c r="G1794">
        <v>0</v>
      </c>
      <c r="H1794">
        <v>15300</v>
      </c>
      <c r="I1794">
        <v>0</v>
      </c>
      <c r="J1794">
        <v>65</v>
      </c>
      <c r="K1794">
        <v>384</v>
      </c>
      <c r="L1794">
        <v>410</v>
      </c>
      <c r="M1794">
        <v>16</v>
      </c>
      <c r="N1794">
        <f>IFERROR(VLOOKUP(A1794,vlookup_table!$A:$G,2,FALSE),"")</f>
        <v>0</v>
      </c>
      <c r="O1794">
        <f>IFERROR(VLOOKUP(A1794,vlookup_table!$A:$G,4,FALSE),"")</f>
        <v>0</v>
      </c>
      <c r="P1794" t="str">
        <f>IFERROR(VLOOKUP(A1794,vlookup_table!$A:$G,5,FALSE),"")</f>
        <v>T2</v>
      </c>
      <c r="Q1794">
        <f>IFERROR(VLOOKUP(A1794,vlookup_table!$A:$G,7,FALSE),"")</f>
        <v>20</v>
      </c>
      <c r="R1794">
        <f t="shared" ref="R1794:R1857" si="112">IF(O1794="","",97-INT(O1794/100))</f>
        <v>97</v>
      </c>
      <c r="S1794" t="str" cm="1">
        <f t="array" ref="S1794">IF(P1794="","",_xlfn.SWITCH(LEFT(P1794,1),"C","Ciudad","T","Pueblo","R","Rural","S","Suburbano","U","Urbano",""))</f>
        <v>Pueblo</v>
      </c>
      <c r="T1794" t="str">
        <f t="shared" ref="T1794:T1857" si="113">IF(C1794="","",IF(OR(UPPER(C1794)="M",UPPER(C1794)="MALE"),"M",IF(OR(UPPER(C1794)="F",UPPER(C1794)="FEMALE",UPPER(C1794)="FEAMALE"),"F",C1794)))</f>
        <v>U</v>
      </c>
      <c r="U1794" t="str">
        <f t="shared" ref="U1794:U1857" si="114">IF(OR(UPPER(B1794)="CALIFORNIA",UPPER(B1794)="CALI"),"CA",B1794)</f>
        <v>LA</v>
      </c>
      <c r="V1794" t="str">
        <f t="shared" ref="V1794:V1857" si="115">SUBSTITUTE(H1794,"@","")</f>
        <v>15300</v>
      </c>
    </row>
    <row r="1795" spans="1:22" x14ac:dyDescent="0.35">
      <c r="A1795">
        <v>57332</v>
      </c>
      <c r="B1795" t="s">
        <v>57</v>
      </c>
      <c r="C1795" t="s">
        <v>14</v>
      </c>
      <c r="D1795">
        <v>687</v>
      </c>
      <c r="E1795">
        <v>368</v>
      </c>
      <c r="F1795">
        <v>419</v>
      </c>
      <c r="G1795">
        <v>0</v>
      </c>
      <c r="H1795">
        <v>14581</v>
      </c>
      <c r="I1795">
        <v>1</v>
      </c>
      <c r="J1795">
        <v>75</v>
      </c>
      <c r="K1795">
        <v>407</v>
      </c>
      <c r="L1795">
        <v>375</v>
      </c>
      <c r="M1795">
        <v>6.1052631579999996</v>
      </c>
      <c r="N1795">
        <f>IFERROR(VLOOKUP(A1795,vlookup_table!$A:$G,2,FALSE),"")</f>
        <v>1</v>
      </c>
      <c r="O1795">
        <f>IFERROR(VLOOKUP(A1795,vlookup_table!$A:$G,4,FALSE),"")</f>
        <v>2808</v>
      </c>
      <c r="P1795" t="str">
        <f>IFERROR(VLOOKUP(A1795,vlookup_table!$A:$G,5,FALSE),"")</f>
        <v>S2</v>
      </c>
      <c r="Q1795">
        <f>IFERROR(VLOOKUP(A1795,vlookup_table!$A:$G,7,FALSE),"")</f>
        <v>6</v>
      </c>
      <c r="R1795">
        <f t="shared" si="112"/>
        <v>69</v>
      </c>
      <c r="S1795" t="str" cm="1">
        <f t="array" ref="S1795">IF(P1795="","",_xlfn.SWITCH(LEFT(P1795,1),"C","Ciudad","T","Pueblo","R","Rural","S","Suburbano","U","Urbano",""))</f>
        <v>Suburbano</v>
      </c>
      <c r="T1795" t="str">
        <f t="shared" si="113"/>
        <v>M</v>
      </c>
      <c r="U1795" t="str">
        <f t="shared" si="114"/>
        <v>KY</v>
      </c>
      <c r="V1795" t="str">
        <f t="shared" si="115"/>
        <v>14581</v>
      </c>
    </row>
    <row r="1796" spans="1:22" x14ac:dyDescent="0.35">
      <c r="A1796">
        <v>190778</v>
      </c>
      <c r="B1796" t="s">
        <v>18</v>
      </c>
      <c r="C1796" t="s">
        <v>14</v>
      </c>
      <c r="D1796">
        <v>875</v>
      </c>
      <c r="E1796">
        <v>280</v>
      </c>
      <c r="F1796">
        <v>381</v>
      </c>
      <c r="G1796">
        <v>10</v>
      </c>
      <c r="H1796">
        <v>15917</v>
      </c>
      <c r="I1796">
        <v>2</v>
      </c>
      <c r="J1796">
        <v>50</v>
      </c>
      <c r="K1796">
        <v>317</v>
      </c>
      <c r="L1796">
        <v>343</v>
      </c>
      <c r="M1796">
        <v>7</v>
      </c>
      <c r="N1796">
        <f>IFERROR(VLOOKUP(A1796,vlookup_table!$A:$G,2,FALSE),"")</f>
        <v>4</v>
      </c>
      <c r="O1796">
        <f>IFERROR(VLOOKUP(A1796,vlookup_table!$A:$G,4,FALSE),"")</f>
        <v>0</v>
      </c>
      <c r="P1796" t="str">
        <f>IFERROR(VLOOKUP(A1796,vlookup_table!$A:$G,5,FALSE),"")</f>
        <v>R2</v>
      </c>
      <c r="Q1796">
        <f>IFERROR(VLOOKUP(A1796,vlookup_table!$A:$G,7,FALSE),"")</f>
        <v>20</v>
      </c>
      <c r="R1796">
        <f t="shared" si="112"/>
        <v>97</v>
      </c>
      <c r="S1796" t="str" cm="1">
        <f t="array" ref="S1796">IF(P1796="","",_xlfn.SWITCH(LEFT(P1796,1),"C","Ciudad","T","Pueblo","R","Rural","S","Suburbano","U","Urbano",""))</f>
        <v>Rural</v>
      </c>
      <c r="T1796" t="str">
        <f t="shared" si="113"/>
        <v>M</v>
      </c>
      <c r="U1796" t="str">
        <f t="shared" si="114"/>
        <v>NC</v>
      </c>
      <c r="V1796" t="str">
        <f t="shared" si="115"/>
        <v>15917</v>
      </c>
    </row>
    <row r="1797" spans="1:22" x14ac:dyDescent="0.35">
      <c r="A1797">
        <v>128235</v>
      </c>
      <c r="B1797" t="s">
        <v>21</v>
      </c>
      <c r="C1797" t="s">
        <v>14</v>
      </c>
      <c r="D1797">
        <v>864</v>
      </c>
      <c r="E1797">
        <v>388</v>
      </c>
      <c r="F1797">
        <v>511</v>
      </c>
      <c r="G1797">
        <v>0</v>
      </c>
      <c r="H1797">
        <v>17015</v>
      </c>
      <c r="I1797">
        <v>2</v>
      </c>
      <c r="J1797">
        <v>67</v>
      </c>
      <c r="K1797">
        <v>480</v>
      </c>
      <c r="L1797">
        <v>402</v>
      </c>
      <c r="M1797">
        <v>8.230769231</v>
      </c>
      <c r="N1797">
        <f>IFERROR(VLOOKUP(A1797,vlookup_table!$A:$G,2,FALSE),"")</f>
        <v>2</v>
      </c>
      <c r="O1797">
        <f>IFERROR(VLOOKUP(A1797,vlookup_table!$A:$G,4,FALSE),"")</f>
        <v>0</v>
      </c>
      <c r="P1797" t="str">
        <f>IFERROR(VLOOKUP(A1797,vlookup_table!$A:$G,5,FALSE),"")</f>
        <v>C1</v>
      </c>
      <c r="Q1797">
        <f>IFERROR(VLOOKUP(A1797,vlookup_table!$A:$G,7,FALSE),"")</f>
        <v>8</v>
      </c>
      <c r="R1797">
        <f t="shared" si="112"/>
        <v>97</v>
      </c>
      <c r="S1797" t="str" cm="1">
        <f t="array" ref="S1797">IF(P1797="","",_xlfn.SWITCH(LEFT(P1797,1),"C","Ciudad","T","Pueblo","R","Rural","S","Suburbano","U","Urbano",""))</f>
        <v>Ciudad</v>
      </c>
      <c r="T1797" t="str">
        <f t="shared" si="113"/>
        <v>M</v>
      </c>
      <c r="U1797" t="str">
        <f t="shared" si="114"/>
        <v>TX</v>
      </c>
      <c r="V1797" t="str">
        <f t="shared" si="115"/>
        <v>17015</v>
      </c>
    </row>
    <row r="1798" spans="1:22" x14ac:dyDescent="0.35">
      <c r="A1798">
        <v>175113</v>
      </c>
      <c r="B1798" t="s">
        <v>50</v>
      </c>
      <c r="C1798" t="s">
        <v>17</v>
      </c>
      <c r="D1798">
        <v>701</v>
      </c>
      <c r="E1798">
        <v>307</v>
      </c>
      <c r="F1798">
        <v>400</v>
      </c>
      <c r="G1798">
        <v>0</v>
      </c>
      <c r="H1798">
        <v>13820</v>
      </c>
      <c r="I1798">
        <v>5</v>
      </c>
      <c r="J1798">
        <v>45</v>
      </c>
      <c r="K1798">
        <v>352</v>
      </c>
      <c r="L1798">
        <v>353</v>
      </c>
      <c r="M1798">
        <v>25</v>
      </c>
      <c r="N1798">
        <f>IFERROR(VLOOKUP(A1798,vlookup_table!$A:$G,2,FALSE),"")</f>
        <v>28</v>
      </c>
      <c r="O1798">
        <f>IFERROR(VLOOKUP(A1798,vlookup_table!$A:$G,4,FALSE),"")</f>
        <v>0</v>
      </c>
      <c r="P1798" t="str">
        <f>IFERROR(VLOOKUP(A1798,vlookup_table!$A:$G,5,FALSE),"")</f>
        <v>T2</v>
      </c>
      <c r="Q1798">
        <f>IFERROR(VLOOKUP(A1798,vlookup_table!$A:$G,7,FALSE),"")</f>
        <v>25</v>
      </c>
      <c r="R1798">
        <f t="shared" si="112"/>
        <v>97</v>
      </c>
      <c r="S1798" t="str" cm="1">
        <f t="array" ref="S1798">IF(P1798="","",_xlfn.SWITCH(LEFT(P1798,1),"C","Ciudad","T","Pueblo","R","Rural","S","Suburbano","U","Urbano",""))</f>
        <v>Pueblo</v>
      </c>
      <c r="T1798" t="str">
        <f t="shared" si="113"/>
        <v>F</v>
      </c>
      <c r="U1798" t="str">
        <f t="shared" si="114"/>
        <v>OR</v>
      </c>
      <c r="V1798" t="str">
        <f t="shared" si="115"/>
        <v>13820</v>
      </c>
    </row>
    <row r="1799" spans="1:22" x14ac:dyDescent="0.35">
      <c r="A1799">
        <v>66757</v>
      </c>
      <c r="B1799" t="s">
        <v>29</v>
      </c>
      <c r="C1799" t="s">
        <v>17</v>
      </c>
      <c r="D1799">
        <v>664</v>
      </c>
      <c r="E1799">
        <v>315</v>
      </c>
      <c r="F1799">
        <v>332</v>
      </c>
      <c r="G1799">
        <v>0</v>
      </c>
      <c r="H1799">
        <v>11283</v>
      </c>
      <c r="I1799">
        <v>0</v>
      </c>
      <c r="J1799">
        <v>63</v>
      </c>
      <c r="K1799">
        <v>308</v>
      </c>
      <c r="L1799">
        <v>336</v>
      </c>
      <c r="M1799">
        <v>3.613636364</v>
      </c>
      <c r="N1799">
        <f>IFERROR(VLOOKUP(A1799,vlookup_table!$A:$G,2,FALSE),"")</f>
        <v>2</v>
      </c>
      <c r="O1799">
        <f>IFERROR(VLOOKUP(A1799,vlookup_table!$A:$G,4,FALSE),"")</f>
        <v>1209</v>
      </c>
      <c r="P1799">
        <f>IFERROR(VLOOKUP(A1799,vlookup_table!$A:$G,5,FALSE),"")</f>
        <v>0</v>
      </c>
      <c r="Q1799">
        <f>IFERROR(VLOOKUP(A1799,vlookup_table!$A:$G,7,FALSE),"")</f>
        <v>4</v>
      </c>
      <c r="R1799">
        <f t="shared" si="112"/>
        <v>85</v>
      </c>
      <c r="S1799" t="str" cm="1">
        <f t="array" ref="S1799">IF(P1799="","",_xlfn.SWITCH(LEFT(P1799,1),"C","Ciudad","T","Pueblo","R","Rural","S","Suburbano","U","Urbano",""))</f>
        <v/>
      </c>
      <c r="T1799" t="str">
        <f t="shared" si="113"/>
        <v>F</v>
      </c>
      <c r="U1799" t="str">
        <f t="shared" si="114"/>
        <v>MI</v>
      </c>
      <c r="V1799" t="str">
        <f t="shared" si="115"/>
        <v>11283</v>
      </c>
    </row>
    <row r="1800" spans="1:22" x14ac:dyDescent="0.35">
      <c r="A1800">
        <v>154150</v>
      </c>
      <c r="B1800" t="s">
        <v>22</v>
      </c>
      <c r="C1800" t="s">
        <v>14</v>
      </c>
      <c r="D1800">
        <v>755</v>
      </c>
      <c r="E1800">
        <v>218</v>
      </c>
      <c r="F1800">
        <v>290</v>
      </c>
      <c r="G1800">
        <v>3</v>
      </c>
      <c r="H1800">
        <v>8572</v>
      </c>
      <c r="I1800">
        <v>53</v>
      </c>
      <c r="J1800">
        <v>40</v>
      </c>
      <c r="K1800">
        <v>232</v>
      </c>
      <c r="L1800">
        <v>282</v>
      </c>
      <c r="M1800">
        <v>11.33333333</v>
      </c>
      <c r="N1800">
        <f>IFERROR(VLOOKUP(A1800,vlookup_table!$A:$G,2,FALSE),"")</f>
        <v>1</v>
      </c>
      <c r="O1800">
        <f>IFERROR(VLOOKUP(A1800,vlookup_table!$A:$G,4,FALSE),"")</f>
        <v>4801</v>
      </c>
      <c r="P1800" t="str">
        <f>IFERROR(VLOOKUP(A1800,vlookup_table!$A:$G,5,FALSE),"")</f>
        <v>R2</v>
      </c>
      <c r="Q1800">
        <f>IFERROR(VLOOKUP(A1800,vlookup_table!$A:$G,7,FALSE),"")</f>
        <v>14</v>
      </c>
      <c r="R1800">
        <f t="shared" si="112"/>
        <v>49</v>
      </c>
      <c r="S1800" t="str" cm="1">
        <f t="array" ref="S1800">IF(P1800="","",_xlfn.SWITCH(LEFT(P1800,1),"C","Ciudad","T","Pueblo","R","Rural","S","Suburbano","U","Urbano",""))</f>
        <v>Rural</v>
      </c>
      <c r="T1800" t="str">
        <f t="shared" si="113"/>
        <v>M</v>
      </c>
      <c r="U1800" t="str">
        <f t="shared" si="114"/>
        <v>CA</v>
      </c>
      <c r="V1800" t="str">
        <f t="shared" si="115"/>
        <v>8572</v>
      </c>
    </row>
    <row r="1801" spans="1:22" x14ac:dyDescent="0.35">
      <c r="A1801">
        <v>55392</v>
      </c>
      <c r="B1801" t="s">
        <v>62</v>
      </c>
      <c r="C1801" t="s">
        <v>14</v>
      </c>
      <c r="D1801">
        <v>423</v>
      </c>
      <c r="E1801">
        <v>212</v>
      </c>
      <c r="F1801">
        <v>287</v>
      </c>
      <c r="G1801">
        <v>0</v>
      </c>
      <c r="H1801">
        <v>9065</v>
      </c>
      <c r="I1801">
        <v>1</v>
      </c>
      <c r="J1801">
        <v>80</v>
      </c>
      <c r="K1801">
        <v>262</v>
      </c>
      <c r="L1801">
        <v>251</v>
      </c>
      <c r="M1801">
        <v>5.9594594599999997</v>
      </c>
      <c r="N1801">
        <f>IFERROR(VLOOKUP(A1801,vlookup_table!$A:$G,2,FALSE),"")</f>
        <v>0</v>
      </c>
      <c r="O1801">
        <f>IFERROR(VLOOKUP(A1801,vlookup_table!$A:$G,4,FALSE),"")</f>
        <v>4601</v>
      </c>
      <c r="P1801" t="str">
        <f>IFERROR(VLOOKUP(A1801,vlookup_table!$A:$G,5,FALSE),"")</f>
        <v>R2</v>
      </c>
      <c r="Q1801">
        <f>IFERROR(VLOOKUP(A1801,vlookup_table!$A:$G,7,FALSE),"")</f>
        <v>6</v>
      </c>
      <c r="R1801">
        <f t="shared" si="112"/>
        <v>51</v>
      </c>
      <c r="S1801" t="str" cm="1">
        <f t="array" ref="S1801">IF(P1801="","",_xlfn.SWITCH(LEFT(P1801,1),"C","Ciudad","T","Pueblo","R","Rural","S","Suburbano","U","Urbano",""))</f>
        <v>Rural</v>
      </c>
      <c r="T1801" t="str">
        <f t="shared" si="113"/>
        <v>M</v>
      </c>
      <c r="U1801" t="str">
        <f t="shared" si="114"/>
        <v>MS</v>
      </c>
      <c r="V1801" t="str">
        <f t="shared" si="115"/>
        <v>9065</v>
      </c>
    </row>
    <row r="1802" spans="1:22" x14ac:dyDescent="0.35">
      <c r="A1802">
        <v>162234</v>
      </c>
      <c r="B1802" t="s">
        <v>22</v>
      </c>
      <c r="C1802" t="s">
        <v>14</v>
      </c>
      <c r="D1802">
        <v>5540</v>
      </c>
      <c r="E1802">
        <v>757</v>
      </c>
      <c r="F1802">
        <v>857</v>
      </c>
      <c r="G1802">
        <v>99</v>
      </c>
      <c r="H1802">
        <v>31488</v>
      </c>
      <c r="I1802">
        <v>14</v>
      </c>
      <c r="J1802">
        <v>49</v>
      </c>
      <c r="K1802">
        <v>815</v>
      </c>
      <c r="L1802">
        <v>814</v>
      </c>
      <c r="M1802">
        <v>21</v>
      </c>
      <c r="N1802">
        <f>IFERROR(VLOOKUP(A1802,vlookup_table!$A:$G,2,FALSE),"")</f>
        <v>1</v>
      </c>
      <c r="O1802">
        <f>IFERROR(VLOOKUP(A1802,vlookup_table!$A:$G,4,FALSE),"")</f>
        <v>1707</v>
      </c>
      <c r="P1802" t="str">
        <f>IFERROR(VLOOKUP(A1802,vlookup_table!$A:$G,5,FALSE),"")</f>
        <v>S1</v>
      </c>
      <c r="Q1802">
        <f>IFERROR(VLOOKUP(A1802,vlookup_table!$A:$G,7,FALSE),"")</f>
        <v>26</v>
      </c>
      <c r="R1802">
        <f t="shared" si="112"/>
        <v>80</v>
      </c>
      <c r="S1802" t="str" cm="1">
        <f t="array" ref="S1802">IF(P1802="","",_xlfn.SWITCH(LEFT(P1802,1),"C","Ciudad","T","Pueblo","R","Rural","S","Suburbano","U","Urbano",""))</f>
        <v>Suburbano</v>
      </c>
      <c r="T1802" t="str">
        <f t="shared" si="113"/>
        <v>M</v>
      </c>
      <c r="U1802" t="str">
        <f t="shared" si="114"/>
        <v>CA</v>
      </c>
      <c r="V1802" t="str">
        <f t="shared" si="115"/>
        <v>31488</v>
      </c>
    </row>
    <row r="1803" spans="1:22" x14ac:dyDescent="0.35">
      <c r="A1803">
        <v>8880</v>
      </c>
      <c r="B1803" t="s">
        <v>22</v>
      </c>
      <c r="C1803" t="s">
        <v>17</v>
      </c>
      <c r="D1803">
        <v>2596</v>
      </c>
      <c r="E1803">
        <v>515</v>
      </c>
      <c r="F1803">
        <v>588</v>
      </c>
      <c r="G1803">
        <v>91</v>
      </c>
      <c r="H1803">
        <v>20539</v>
      </c>
      <c r="I1803">
        <v>15</v>
      </c>
      <c r="J1803">
        <v>48</v>
      </c>
      <c r="K1803">
        <v>518</v>
      </c>
      <c r="L1803">
        <v>584</v>
      </c>
      <c r="M1803">
        <v>24.166666670000001</v>
      </c>
      <c r="N1803">
        <f>IFERROR(VLOOKUP(A1803,vlookup_table!$A:$G,2,FALSE),"")</f>
        <v>0</v>
      </c>
      <c r="O1803">
        <f>IFERROR(VLOOKUP(A1803,vlookup_table!$A:$G,4,FALSE),"")</f>
        <v>4401</v>
      </c>
      <c r="P1803" t="str">
        <f>IFERROR(VLOOKUP(A1803,vlookup_table!$A:$G,5,FALSE),"")</f>
        <v>S1</v>
      </c>
      <c r="Q1803">
        <f>IFERROR(VLOOKUP(A1803,vlookup_table!$A:$G,7,FALSE),"")</f>
        <v>25</v>
      </c>
      <c r="R1803">
        <f t="shared" si="112"/>
        <v>53</v>
      </c>
      <c r="S1803" t="str" cm="1">
        <f t="array" ref="S1803">IF(P1803="","",_xlfn.SWITCH(LEFT(P1803,1),"C","Ciudad","T","Pueblo","R","Rural","S","Suburbano","U","Urbano",""))</f>
        <v>Suburbano</v>
      </c>
      <c r="T1803" t="str">
        <f t="shared" si="113"/>
        <v>F</v>
      </c>
      <c r="U1803" t="str">
        <f t="shared" si="114"/>
        <v>CA</v>
      </c>
      <c r="V1803" t="str">
        <f t="shared" si="115"/>
        <v>20539</v>
      </c>
    </row>
    <row r="1804" spans="1:22" x14ac:dyDescent="0.35">
      <c r="A1804">
        <v>6643</v>
      </c>
      <c r="B1804" t="s">
        <v>22</v>
      </c>
      <c r="C1804" t="s">
        <v>14</v>
      </c>
      <c r="D1804">
        <v>3199</v>
      </c>
      <c r="E1804">
        <v>490</v>
      </c>
      <c r="F1804">
        <v>641</v>
      </c>
      <c r="G1804">
        <v>94</v>
      </c>
      <c r="H1804">
        <v>27239</v>
      </c>
      <c r="I1804">
        <v>9</v>
      </c>
      <c r="J1804">
        <v>56</v>
      </c>
      <c r="K1804">
        <v>537</v>
      </c>
      <c r="L1804">
        <v>595</v>
      </c>
      <c r="M1804">
        <v>14.7</v>
      </c>
      <c r="N1804">
        <f>IFERROR(VLOOKUP(A1804,vlookup_table!$A:$G,2,FALSE),"")</f>
        <v>1</v>
      </c>
      <c r="O1804">
        <f>IFERROR(VLOOKUP(A1804,vlookup_table!$A:$G,4,FALSE),"")</f>
        <v>2203</v>
      </c>
      <c r="P1804" t="str">
        <f>IFERROR(VLOOKUP(A1804,vlookup_table!$A:$G,5,FALSE),"")</f>
        <v>C1</v>
      </c>
      <c r="Q1804">
        <f>IFERROR(VLOOKUP(A1804,vlookup_table!$A:$G,7,FALSE),"")</f>
        <v>16</v>
      </c>
      <c r="R1804">
        <f t="shared" si="112"/>
        <v>75</v>
      </c>
      <c r="S1804" t="str" cm="1">
        <f t="array" ref="S1804">IF(P1804="","",_xlfn.SWITCH(LEFT(P1804,1),"C","Ciudad","T","Pueblo","R","Rural","S","Suburbano","U","Urbano",""))</f>
        <v>Ciudad</v>
      </c>
      <c r="T1804" t="str">
        <f t="shared" si="113"/>
        <v>M</v>
      </c>
      <c r="U1804" t="str">
        <f t="shared" si="114"/>
        <v>CA</v>
      </c>
      <c r="V1804" t="str">
        <f t="shared" si="115"/>
        <v>27239</v>
      </c>
    </row>
    <row r="1805" spans="1:22" x14ac:dyDescent="0.35">
      <c r="A1805">
        <v>170827</v>
      </c>
      <c r="B1805" t="s">
        <v>22</v>
      </c>
      <c r="C1805" t="s">
        <v>17</v>
      </c>
      <c r="D1805">
        <v>1257</v>
      </c>
      <c r="E1805">
        <v>356</v>
      </c>
      <c r="F1805">
        <v>445</v>
      </c>
      <c r="G1805">
        <v>3</v>
      </c>
      <c r="H1805">
        <v>17145</v>
      </c>
      <c r="I1805">
        <v>6</v>
      </c>
      <c r="J1805">
        <v>61</v>
      </c>
      <c r="K1805">
        <v>358</v>
      </c>
      <c r="L1805">
        <v>427</v>
      </c>
      <c r="M1805">
        <v>6.384615385</v>
      </c>
      <c r="N1805">
        <f>IFERROR(VLOOKUP(A1805,vlookup_table!$A:$G,2,FALSE),"")</f>
        <v>2</v>
      </c>
      <c r="O1805">
        <f>IFERROR(VLOOKUP(A1805,vlookup_table!$A:$G,4,FALSE),"")</f>
        <v>201</v>
      </c>
      <c r="P1805" t="str">
        <f>IFERROR(VLOOKUP(A1805,vlookup_table!$A:$G,5,FALSE),"")</f>
        <v>S2</v>
      </c>
      <c r="Q1805">
        <f>IFERROR(VLOOKUP(A1805,vlookup_table!$A:$G,7,FALSE),"")</f>
        <v>17</v>
      </c>
      <c r="R1805">
        <f t="shared" si="112"/>
        <v>95</v>
      </c>
      <c r="S1805" t="str" cm="1">
        <f t="array" ref="S1805">IF(P1805="","",_xlfn.SWITCH(LEFT(P1805,1),"C","Ciudad","T","Pueblo","R","Rural","S","Suburbano","U","Urbano",""))</f>
        <v>Suburbano</v>
      </c>
      <c r="T1805" t="str">
        <f t="shared" si="113"/>
        <v>F</v>
      </c>
      <c r="U1805" t="str">
        <f t="shared" si="114"/>
        <v>CA</v>
      </c>
      <c r="V1805" t="str">
        <f t="shared" si="115"/>
        <v>17145</v>
      </c>
    </row>
    <row r="1806" spans="1:22" x14ac:dyDescent="0.35">
      <c r="A1806">
        <v>105459</v>
      </c>
      <c r="B1806" t="s">
        <v>28</v>
      </c>
      <c r="C1806" t="s">
        <v>17</v>
      </c>
      <c r="D1806">
        <v>205</v>
      </c>
      <c r="E1806">
        <v>189</v>
      </c>
      <c r="F1806">
        <v>255</v>
      </c>
      <c r="G1806">
        <v>0</v>
      </c>
      <c r="H1806">
        <v>8737</v>
      </c>
      <c r="I1806">
        <v>1</v>
      </c>
      <c r="J1806">
        <v>78</v>
      </c>
      <c r="K1806">
        <v>221</v>
      </c>
      <c r="L1806">
        <v>217</v>
      </c>
      <c r="M1806">
        <v>5.1666666670000003</v>
      </c>
      <c r="N1806">
        <f>IFERROR(VLOOKUP(A1806,vlookup_table!$A:$G,2,FALSE),"")</f>
        <v>0</v>
      </c>
      <c r="O1806">
        <f>IFERROR(VLOOKUP(A1806,vlookup_table!$A:$G,4,FALSE),"")</f>
        <v>0</v>
      </c>
      <c r="P1806" t="str">
        <f>IFERROR(VLOOKUP(A1806,vlookup_table!$A:$G,5,FALSE),"")</f>
        <v>R3</v>
      </c>
      <c r="Q1806">
        <f>IFERROR(VLOOKUP(A1806,vlookup_table!$A:$G,7,FALSE),"")</f>
        <v>5</v>
      </c>
      <c r="R1806">
        <f t="shared" si="112"/>
        <v>97</v>
      </c>
      <c r="S1806" t="str" cm="1">
        <f t="array" ref="S1806">IF(P1806="","",_xlfn.SWITCH(LEFT(P1806,1),"C","Ciudad","T","Pueblo","R","Rural","S","Suburbano","U","Urbano",""))</f>
        <v>Rural</v>
      </c>
      <c r="T1806" t="str">
        <f t="shared" si="113"/>
        <v>F</v>
      </c>
      <c r="U1806" t="str">
        <f t="shared" si="114"/>
        <v>KS</v>
      </c>
      <c r="V1806" t="str">
        <f t="shared" si="115"/>
        <v>8737</v>
      </c>
    </row>
    <row r="1807" spans="1:22" x14ac:dyDescent="0.35">
      <c r="A1807">
        <v>26289</v>
      </c>
      <c r="B1807" t="s">
        <v>39</v>
      </c>
      <c r="C1807" t="s">
        <v>17</v>
      </c>
      <c r="D1807">
        <v>1173</v>
      </c>
      <c r="E1807">
        <v>503</v>
      </c>
      <c r="F1807">
        <v>660</v>
      </c>
      <c r="G1807">
        <v>4</v>
      </c>
      <c r="H1807">
        <v>21302</v>
      </c>
      <c r="I1807">
        <v>2</v>
      </c>
      <c r="J1807">
        <v>60</v>
      </c>
      <c r="K1807">
        <v>625</v>
      </c>
      <c r="L1807">
        <v>562</v>
      </c>
      <c r="M1807">
        <v>8.9310344829999995</v>
      </c>
      <c r="N1807">
        <f>IFERROR(VLOOKUP(A1807,vlookup_table!$A:$G,2,FALSE),"")</f>
        <v>0</v>
      </c>
      <c r="O1807">
        <f>IFERROR(VLOOKUP(A1807,vlookup_table!$A:$G,4,FALSE),"")</f>
        <v>4601</v>
      </c>
      <c r="P1807" t="str">
        <f>IFERROR(VLOOKUP(A1807,vlookup_table!$A:$G,5,FALSE),"")</f>
        <v>C1</v>
      </c>
      <c r="Q1807">
        <f>IFERROR(VLOOKUP(A1807,vlookup_table!$A:$G,7,FALSE),"")</f>
        <v>10</v>
      </c>
      <c r="R1807">
        <f t="shared" si="112"/>
        <v>51</v>
      </c>
      <c r="S1807" t="str" cm="1">
        <f t="array" ref="S1807">IF(P1807="","",_xlfn.SWITCH(LEFT(P1807,1),"C","Ciudad","T","Pueblo","R","Rural","S","Suburbano","U","Urbano",""))</f>
        <v>Ciudad</v>
      </c>
      <c r="T1807" t="str">
        <f t="shared" si="113"/>
        <v>F</v>
      </c>
      <c r="U1807" t="str">
        <f t="shared" si="114"/>
        <v>GA</v>
      </c>
      <c r="V1807" t="str">
        <f t="shared" si="115"/>
        <v>21302</v>
      </c>
    </row>
    <row r="1808" spans="1:22" x14ac:dyDescent="0.35">
      <c r="A1808">
        <v>67315</v>
      </c>
      <c r="B1808" t="s">
        <v>29</v>
      </c>
      <c r="C1808" t="s">
        <v>17</v>
      </c>
      <c r="D1808">
        <v>862</v>
      </c>
      <c r="E1808">
        <v>476</v>
      </c>
      <c r="F1808">
        <v>511</v>
      </c>
      <c r="G1808">
        <v>0</v>
      </c>
      <c r="H1808">
        <v>16332</v>
      </c>
      <c r="I1808">
        <v>6</v>
      </c>
      <c r="J1808">
        <v>81</v>
      </c>
      <c r="K1808">
        <v>519</v>
      </c>
      <c r="L1808">
        <v>478</v>
      </c>
      <c r="M1808">
        <v>20.25</v>
      </c>
      <c r="N1808">
        <f>IFERROR(VLOOKUP(A1808,vlookup_table!$A:$G,2,FALSE),"")</f>
        <v>2</v>
      </c>
      <c r="O1808">
        <f>IFERROR(VLOOKUP(A1808,vlookup_table!$A:$G,4,FALSE),"")</f>
        <v>2005</v>
      </c>
      <c r="P1808" t="str">
        <f>IFERROR(VLOOKUP(A1808,vlookup_table!$A:$G,5,FALSE),"")</f>
        <v>S2</v>
      </c>
      <c r="Q1808">
        <f>IFERROR(VLOOKUP(A1808,vlookup_table!$A:$G,7,FALSE),"")</f>
        <v>27</v>
      </c>
      <c r="R1808">
        <f t="shared" si="112"/>
        <v>77</v>
      </c>
      <c r="S1808" t="str" cm="1">
        <f t="array" ref="S1808">IF(P1808="","",_xlfn.SWITCH(LEFT(P1808,1),"C","Ciudad","T","Pueblo","R","Rural","S","Suburbano","U","Urbano",""))</f>
        <v>Suburbano</v>
      </c>
      <c r="T1808" t="str">
        <f t="shared" si="113"/>
        <v>F</v>
      </c>
      <c r="U1808" t="str">
        <f t="shared" si="114"/>
        <v>MI</v>
      </c>
      <c r="V1808" t="str">
        <f t="shared" si="115"/>
        <v>16332</v>
      </c>
    </row>
    <row r="1809" spans="1:22" x14ac:dyDescent="0.35">
      <c r="A1809">
        <v>75910</v>
      </c>
      <c r="B1809" t="s">
        <v>47</v>
      </c>
      <c r="C1809" t="s">
        <v>17</v>
      </c>
      <c r="D1809">
        <v>339</v>
      </c>
      <c r="E1809">
        <v>254</v>
      </c>
      <c r="F1809">
        <v>321</v>
      </c>
      <c r="G1809">
        <v>0</v>
      </c>
      <c r="H1809">
        <v>9822</v>
      </c>
      <c r="I1809">
        <v>1</v>
      </c>
      <c r="J1809">
        <v>56</v>
      </c>
      <c r="K1809">
        <v>271</v>
      </c>
      <c r="L1809">
        <v>293</v>
      </c>
      <c r="M1809">
        <v>5.9285714289999998</v>
      </c>
      <c r="N1809">
        <f>IFERROR(VLOOKUP(A1809,vlookup_table!$A:$G,2,FALSE),"")</f>
        <v>0</v>
      </c>
      <c r="O1809">
        <f>IFERROR(VLOOKUP(A1809,vlookup_table!$A:$G,4,FALSE),"")</f>
        <v>0</v>
      </c>
      <c r="P1809">
        <f>IFERROR(VLOOKUP(A1809,vlookup_table!$A:$G,5,FALSE),"")</f>
        <v>0</v>
      </c>
      <c r="Q1809">
        <f>IFERROR(VLOOKUP(A1809,vlookup_table!$A:$G,7,FALSE),"")</f>
        <v>10</v>
      </c>
      <c r="R1809">
        <f t="shared" si="112"/>
        <v>97</v>
      </c>
      <c r="S1809" t="str" cm="1">
        <f t="array" ref="S1809">IF(P1809="","",_xlfn.SWITCH(LEFT(P1809,1),"C","Ciudad","T","Pueblo","R","Rural","S","Suburbano","U","Urbano",""))</f>
        <v/>
      </c>
      <c r="T1809" t="str">
        <f t="shared" si="113"/>
        <v>F</v>
      </c>
      <c r="U1809" t="str">
        <f t="shared" si="114"/>
        <v>IA</v>
      </c>
      <c r="V1809" t="str">
        <f t="shared" si="115"/>
        <v>9822</v>
      </c>
    </row>
    <row r="1810" spans="1:22" x14ac:dyDescent="0.35">
      <c r="A1810">
        <v>103527</v>
      </c>
      <c r="B1810" t="s">
        <v>36</v>
      </c>
      <c r="C1810" t="s">
        <v>14</v>
      </c>
      <c r="D1810">
        <v>392</v>
      </c>
      <c r="E1810">
        <v>218</v>
      </c>
      <c r="F1810">
        <v>300</v>
      </c>
      <c r="G1810">
        <v>0</v>
      </c>
      <c r="H1810">
        <v>10421</v>
      </c>
      <c r="I1810">
        <v>0</v>
      </c>
      <c r="J1810">
        <v>79</v>
      </c>
      <c r="K1810">
        <v>239</v>
      </c>
      <c r="L1810">
        <v>265</v>
      </c>
      <c r="M1810">
        <v>4.266666667</v>
      </c>
      <c r="N1810">
        <f>IFERROR(VLOOKUP(A1810,vlookup_table!$A:$G,2,FALSE),"")</f>
        <v>1</v>
      </c>
      <c r="O1810">
        <f>IFERROR(VLOOKUP(A1810,vlookup_table!$A:$G,4,FALSE),"")</f>
        <v>5002</v>
      </c>
      <c r="P1810" t="str">
        <f>IFERROR(VLOOKUP(A1810,vlookup_table!$A:$G,5,FALSE),"")</f>
        <v>R3</v>
      </c>
      <c r="Q1810">
        <f>IFERROR(VLOOKUP(A1810,vlookup_table!$A:$G,7,FALSE),"")</f>
        <v>4</v>
      </c>
      <c r="R1810">
        <f t="shared" si="112"/>
        <v>47</v>
      </c>
      <c r="S1810" t="str" cm="1">
        <f t="array" ref="S1810">IF(P1810="","",_xlfn.SWITCH(LEFT(P1810,1),"C","Ciudad","T","Pueblo","R","Rural","S","Suburbano","U","Urbano",""))</f>
        <v>Rural</v>
      </c>
      <c r="T1810" t="str">
        <f t="shared" si="113"/>
        <v>M</v>
      </c>
      <c r="U1810" t="str">
        <f t="shared" si="114"/>
        <v>MO</v>
      </c>
      <c r="V1810" t="str">
        <f t="shared" si="115"/>
        <v>10421</v>
      </c>
    </row>
    <row r="1811" spans="1:22" x14ac:dyDescent="0.35">
      <c r="A1811">
        <v>16247</v>
      </c>
      <c r="B1811" t="s">
        <v>18</v>
      </c>
      <c r="D1811">
        <v>576</v>
      </c>
      <c r="E1811">
        <v>289</v>
      </c>
      <c r="F1811">
        <v>323</v>
      </c>
      <c r="G1811">
        <v>0</v>
      </c>
      <c r="H1811">
        <v>10642</v>
      </c>
      <c r="I1811">
        <v>1</v>
      </c>
      <c r="J1811">
        <v>84</v>
      </c>
      <c r="K1811">
        <v>308</v>
      </c>
      <c r="L1811">
        <v>304</v>
      </c>
      <c r="M1811">
        <v>8.923076923</v>
      </c>
      <c r="N1811">
        <f>IFERROR(VLOOKUP(A1811,vlookup_table!$A:$G,2,FALSE),"")</f>
        <v>2</v>
      </c>
      <c r="O1811">
        <f>IFERROR(VLOOKUP(A1811,vlookup_table!$A:$G,4,FALSE),"")</f>
        <v>0</v>
      </c>
      <c r="P1811" t="str">
        <f>IFERROR(VLOOKUP(A1811,vlookup_table!$A:$G,5,FALSE),"")</f>
        <v>R2</v>
      </c>
      <c r="Q1811">
        <f>IFERROR(VLOOKUP(A1811,vlookup_table!$A:$G,7,FALSE),"")</f>
        <v>10</v>
      </c>
      <c r="R1811">
        <f t="shared" si="112"/>
        <v>97</v>
      </c>
      <c r="S1811" t="str" cm="1">
        <f t="array" ref="S1811">IF(P1811="","",_xlfn.SWITCH(LEFT(P1811,1),"C","Ciudad","T","Pueblo","R","Rural","S","Suburbano","U","Urbano",""))</f>
        <v>Rural</v>
      </c>
      <c r="T1811" t="str">
        <f t="shared" si="113"/>
        <v/>
      </c>
      <c r="U1811" t="str">
        <f t="shared" si="114"/>
        <v>NC</v>
      </c>
      <c r="V1811" t="str">
        <f t="shared" si="115"/>
        <v>10642</v>
      </c>
    </row>
    <row r="1812" spans="1:22" x14ac:dyDescent="0.35">
      <c r="A1812">
        <v>166770</v>
      </c>
      <c r="B1812" t="s">
        <v>22</v>
      </c>
      <c r="C1812" t="s">
        <v>17</v>
      </c>
      <c r="D1812">
        <v>2419</v>
      </c>
      <c r="E1812">
        <v>364</v>
      </c>
      <c r="F1812">
        <v>533</v>
      </c>
      <c r="G1812">
        <v>61</v>
      </c>
      <c r="H1812">
        <v>23128</v>
      </c>
      <c r="I1812">
        <v>6</v>
      </c>
      <c r="J1812">
        <v>59</v>
      </c>
      <c r="K1812">
        <v>409</v>
      </c>
      <c r="L1812">
        <v>470</v>
      </c>
      <c r="M1812">
        <v>9.8571428569999995</v>
      </c>
      <c r="N1812">
        <f>IFERROR(VLOOKUP(A1812,vlookup_table!$A:$G,2,FALSE),"")</f>
        <v>0</v>
      </c>
      <c r="O1812">
        <f>IFERROR(VLOOKUP(A1812,vlookup_table!$A:$G,4,FALSE),"")</f>
        <v>3901</v>
      </c>
      <c r="P1812" t="str">
        <f>IFERROR(VLOOKUP(A1812,vlookup_table!$A:$G,5,FALSE),"")</f>
        <v>R1</v>
      </c>
      <c r="Q1812">
        <f>IFERROR(VLOOKUP(A1812,vlookup_table!$A:$G,7,FALSE),"")</f>
        <v>5</v>
      </c>
      <c r="R1812">
        <f t="shared" si="112"/>
        <v>58</v>
      </c>
      <c r="S1812" t="str" cm="1">
        <f t="array" ref="S1812">IF(P1812="","",_xlfn.SWITCH(LEFT(P1812,1),"C","Ciudad","T","Pueblo","R","Rural","S","Suburbano","U","Urbano",""))</f>
        <v>Rural</v>
      </c>
      <c r="T1812" t="str">
        <f t="shared" si="113"/>
        <v>F</v>
      </c>
      <c r="U1812" t="str">
        <f t="shared" si="114"/>
        <v>CA</v>
      </c>
      <c r="V1812" t="str">
        <f t="shared" si="115"/>
        <v>23128</v>
      </c>
    </row>
    <row r="1813" spans="1:22" x14ac:dyDescent="0.35">
      <c r="A1813">
        <v>82580</v>
      </c>
      <c r="B1813" t="s">
        <v>56</v>
      </c>
      <c r="C1813" t="s">
        <v>17</v>
      </c>
      <c r="D1813">
        <v>575</v>
      </c>
      <c r="E1813">
        <v>209</v>
      </c>
      <c r="F1813">
        <v>265</v>
      </c>
      <c r="G1813">
        <v>0</v>
      </c>
      <c r="H1813">
        <v>8620</v>
      </c>
      <c r="I1813">
        <v>13</v>
      </c>
      <c r="J1813">
        <v>62</v>
      </c>
      <c r="K1813">
        <v>212</v>
      </c>
      <c r="L1813">
        <v>247</v>
      </c>
      <c r="M1813">
        <v>4.4285714289999998</v>
      </c>
      <c r="N1813">
        <f>IFERROR(VLOOKUP(A1813,vlookup_table!$A:$G,2,FALSE),"")</f>
        <v>2</v>
      </c>
      <c r="O1813">
        <f>IFERROR(VLOOKUP(A1813,vlookup_table!$A:$G,4,FALSE),"")</f>
        <v>1001</v>
      </c>
      <c r="P1813" t="str">
        <f>IFERROR(VLOOKUP(A1813,vlookup_table!$A:$G,5,FALSE),"")</f>
        <v>C3</v>
      </c>
      <c r="Q1813">
        <f>IFERROR(VLOOKUP(A1813,vlookup_table!$A:$G,7,FALSE),"")</f>
        <v>5</v>
      </c>
      <c r="R1813">
        <f t="shared" si="112"/>
        <v>87</v>
      </c>
      <c r="S1813" t="str" cm="1">
        <f t="array" ref="S1813">IF(P1813="","",_xlfn.SWITCH(LEFT(P1813,1),"C","Ciudad","T","Pueblo","R","Rural","S","Suburbano","U","Urbano",""))</f>
        <v>Ciudad</v>
      </c>
      <c r="T1813" t="str">
        <f t="shared" si="113"/>
        <v>F</v>
      </c>
      <c r="U1813" t="str">
        <f t="shared" si="114"/>
        <v>MN</v>
      </c>
      <c r="V1813" t="str">
        <f t="shared" si="115"/>
        <v>8620</v>
      </c>
    </row>
    <row r="1814" spans="1:22" x14ac:dyDescent="0.35">
      <c r="A1814">
        <v>34883</v>
      </c>
      <c r="B1814" t="s">
        <v>13</v>
      </c>
      <c r="C1814" t="s">
        <v>14</v>
      </c>
      <c r="D1814">
        <v>709</v>
      </c>
      <c r="E1814">
        <v>220</v>
      </c>
      <c r="F1814">
        <v>296</v>
      </c>
      <c r="G1814">
        <v>1</v>
      </c>
      <c r="H1814">
        <v>12538</v>
      </c>
      <c r="I1814">
        <v>3</v>
      </c>
      <c r="J1814">
        <v>15</v>
      </c>
      <c r="K1814">
        <v>254</v>
      </c>
      <c r="L1814">
        <v>264</v>
      </c>
      <c r="M1814">
        <v>7.3333333329999997</v>
      </c>
      <c r="N1814">
        <f>IFERROR(VLOOKUP(A1814,vlookup_table!$A:$G,2,FALSE),"")</f>
        <v>2</v>
      </c>
      <c r="O1814">
        <f>IFERROR(VLOOKUP(A1814,vlookup_table!$A:$G,4,FALSE),"")</f>
        <v>3001</v>
      </c>
      <c r="P1814" t="str">
        <f>IFERROR(VLOOKUP(A1814,vlookup_table!$A:$G,5,FALSE),"")</f>
        <v>T2</v>
      </c>
      <c r="Q1814">
        <f>IFERROR(VLOOKUP(A1814,vlookup_table!$A:$G,7,FALSE),"")</f>
        <v>5</v>
      </c>
      <c r="R1814">
        <f t="shared" si="112"/>
        <v>67</v>
      </c>
      <c r="S1814" t="str" cm="1">
        <f t="array" ref="S1814">IF(P1814="","",_xlfn.SWITCH(LEFT(P1814,1),"C","Ciudad","T","Pueblo","R","Rural","S","Suburbano","U","Urbano",""))</f>
        <v>Pueblo</v>
      </c>
      <c r="T1814" t="str">
        <f t="shared" si="113"/>
        <v>M</v>
      </c>
      <c r="U1814" t="str">
        <f t="shared" si="114"/>
        <v>FL</v>
      </c>
      <c r="V1814" t="str">
        <f t="shared" si="115"/>
        <v>12538</v>
      </c>
    </row>
    <row r="1815" spans="1:22" x14ac:dyDescent="0.35">
      <c r="A1815">
        <v>57647</v>
      </c>
      <c r="B1815" t="s">
        <v>57</v>
      </c>
      <c r="C1815" t="s">
        <v>14</v>
      </c>
      <c r="D1815">
        <v>724</v>
      </c>
      <c r="E1815">
        <v>322</v>
      </c>
      <c r="F1815">
        <v>393</v>
      </c>
      <c r="G1815">
        <v>2</v>
      </c>
      <c r="H1815">
        <v>11652</v>
      </c>
      <c r="I1815">
        <v>1</v>
      </c>
      <c r="J1815">
        <v>67</v>
      </c>
      <c r="K1815">
        <v>380</v>
      </c>
      <c r="L1815">
        <v>363</v>
      </c>
      <c r="M1815">
        <v>17.222222219999999</v>
      </c>
      <c r="N1815">
        <f>IFERROR(VLOOKUP(A1815,vlookup_table!$A:$G,2,FALSE),"")</f>
        <v>0</v>
      </c>
      <c r="O1815">
        <f>IFERROR(VLOOKUP(A1815,vlookup_table!$A:$G,4,FALSE),"")</f>
        <v>7309</v>
      </c>
      <c r="P1815" t="str">
        <f>IFERROR(VLOOKUP(A1815,vlookup_table!$A:$G,5,FALSE),"")</f>
        <v>R2</v>
      </c>
      <c r="Q1815">
        <f>IFERROR(VLOOKUP(A1815,vlookup_table!$A:$G,7,FALSE),"")</f>
        <v>20</v>
      </c>
      <c r="R1815">
        <f t="shared" si="112"/>
        <v>24</v>
      </c>
      <c r="S1815" t="str" cm="1">
        <f t="array" ref="S1815">IF(P1815="","",_xlfn.SWITCH(LEFT(P1815,1),"C","Ciudad","T","Pueblo","R","Rural","S","Suburbano","U","Urbano",""))</f>
        <v>Rural</v>
      </c>
      <c r="T1815" t="str">
        <f t="shared" si="113"/>
        <v>M</v>
      </c>
      <c r="U1815" t="str">
        <f t="shared" si="114"/>
        <v>KY</v>
      </c>
      <c r="V1815" t="str">
        <f t="shared" si="115"/>
        <v>11652</v>
      </c>
    </row>
    <row r="1816" spans="1:22" x14ac:dyDescent="0.35">
      <c r="A1816">
        <v>82995</v>
      </c>
      <c r="B1816" t="s">
        <v>56</v>
      </c>
      <c r="C1816" t="s">
        <v>14</v>
      </c>
      <c r="D1816">
        <v>719</v>
      </c>
      <c r="E1816">
        <v>365</v>
      </c>
      <c r="F1816">
        <v>519</v>
      </c>
      <c r="G1816">
        <v>0</v>
      </c>
      <c r="H1816">
        <v>18970</v>
      </c>
      <c r="I1816">
        <v>0</v>
      </c>
      <c r="J1816">
        <v>87</v>
      </c>
      <c r="K1816">
        <v>561</v>
      </c>
      <c r="L1816">
        <v>430</v>
      </c>
      <c r="M1816">
        <v>4.4000000000000004</v>
      </c>
      <c r="N1816">
        <f>IFERROR(VLOOKUP(A1816,vlookup_table!$A:$G,2,FALSE),"")</f>
        <v>1002</v>
      </c>
      <c r="O1816">
        <f>IFERROR(VLOOKUP(A1816,vlookup_table!$A:$G,4,FALSE),"")</f>
        <v>3603</v>
      </c>
      <c r="P1816" t="str">
        <f>IFERROR(VLOOKUP(A1816,vlookup_table!$A:$G,5,FALSE),"")</f>
        <v>S2</v>
      </c>
      <c r="Q1816">
        <f>IFERROR(VLOOKUP(A1816,vlookup_table!$A:$G,7,FALSE),"")</f>
        <v>5</v>
      </c>
      <c r="R1816">
        <f t="shared" si="112"/>
        <v>61</v>
      </c>
      <c r="S1816" t="str" cm="1">
        <f t="array" ref="S1816">IF(P1816="","",_xlfn.SWITCH(LEFT(P1816,1),"C","Ciudad","T","Pueblo","R","Rural","S","Suburbano","U","Urbano",""))</f>
        <v>Suburbano</v>
      </c>
      <c r="T1816" t="str">
        <f t="shared" si="113"/>
        <v>M</v>
      </c>
      <c r="U1816" t="str">
        <f t="shared" si="114"/>
        <v>MN</v>
      </c>
      <c r="V1816" t="str">
        <f t="shared" si="115"/>
        <v>18970</v>
      </c>
    </row>
    <row r="1817" spans="1:22" x14ac:dyDescent="0.35">
      <c r="A1817">
        <v>74043</v>
      </c>
      <c r="B1817" t="s">
        <v>29</v>
      </c>
      <c r="C1817" t="s">
        <v>17</v>
      </c>
      <c r="D1817">
        <v>411</v>
      </c>
      <c r="E1817">
        <v>199</v>
      </c>
      <c r="F1817">
        <v>272</v>
      </c>
      <c r="G1817">
        <v>0</v>
      </c>
      <c r="H1817">
        <v>9491</v>
      </c>
      <c r="I1817">
        <v>1</v>
      </c>
      <c r="J1817">
        <v>87</v>
      </c>
      <c r="K1817">
        <v>230</v>
      </c>
      <c r="L1817">
        <v>244</v>
      </c>
      <c r="M1817">
        <v>13</v>
      </c>
      <c r="N1817">
        <f>IFERROR(VLOOKUP(A1817,vlookup_table!$A:$G,2,FALSE),"")</f>
        <v>0</v>
      </c>
      <c r="O1817">
        <f>IFERROR(VLOOKUP(A1817,vlookup_table!$A:$G,4,FALSE),"")</f>
        <v>2401</v>
      </c>
      <c r="P1817" t="str">
        <f>IFERROR(VLOOKUP(A1817,vlookup_table!$A:$G,5,FALSE),"")</f>
        <v>R2</v>
      </c>
      <c r="Q1817">
        <f>IFERROR(VLOOKUP(A1817,vlookup_table!$A:$G,7,FALSE),"")</f>
        <v>12</v>
      </c>
      <c r="R1817">
        <f t="shared" si="112"/>
        <v>73</v>
      </c>
      <c r="S1817" t="str" cm="1">
        <f t="array" ref="S1817">IF(P1817="","",_xlfn.SWITCH(LEFT(P1817,1),"C","Ciudad","T","Pueblo","R","Rural","S","Suburbano","U","Urbano",""))</f>
        <v>Rural</v>
      </c>
      <c r="T1817" t="str">
        <f t="shared" si="113"/>
        <v>F</v>
      </c>
      <c r="U1817" t="str">
        <f t="shared" si="114"/>
        <v>MI</v>
      </c>
      <c r="V1817" t="str">
        <f t="shared" si="115"/>
        <v>9491</v>
      </c>
    </row>
    <row r="1818" spans="1:22" x14ac:dyDescent="0.35">
      <c r="A1818">
        <v>114438</v>
      </c>
      <c r="B1818" t="s">
        <v>31</v>
      </c>
      <c r="C1818" t="s">
        <v>14</v>
      </c>
      <c r="D1818">
        <v>498</v>
      </c>
      <c r="E1818">
        <v>284</v>
      </c>
      <c r="F1818">
        <v>315</v>
      </c>
      <c r="G1818">
        <v>0</v>
      </c>
      <c r="H1818">
        <v>9667</v>
      </c>
      <c r="I1818">
        <v>2</v>
      </c>
      <c r="J1818">
        <v>56</v>
      </c>
      <c r="K1818">
        <v>304</v>
      </c>
      <c r="L1818">
        <v>274</v>
      </c>
      <c r="M1818">
        <v>11.5</v>
      </c>
      <c r="N1818">
        <f>IFERROR(VLOOKUP(A1818,vlookup_table!$A:$G,2,FALSE),"")</f>
        <v>1</v>
      </c>
      <c r="O1818">
        <f>IFERROR(VLOOKUP(A1818,vlookup_table!$A:$G,4,FALSE),"")</f>
        <v>2512</v>
      </c>
      <c r="P1818" t="str">
        <f>IFERROR(VLOOKUP(A1818,vlookup_table!$A:$G,5,FALSE),"")</f>
        <v>T2</v>
      </c>
      <c r="Q1818">
        <f>IFERROR(VLOOKUP(A1818,vlookup_table!$A:$G,7,FALSE),"")</f>
        <v>20</v>
      </c>
      <c r="R1818">
        <f t="shared" si="112"/>
        <v>72</v>
      </c>
      <c r="S1818" t="str" cm="1">
        <f t="array" ref="S1818">IF(P1818="","",_xlfn.SWITCH(LEFT(P1818,1),"C","Ciudad","T","Pueblo","R","Rural","S","Suburbano","U","Urbano",""))</f>
        <v>Pueblo</v>
      </c>
      <c r="T1818" t="str">
        <f t="shared" si="113"/>
        <v>M</v>
      </c>
      <c r="U1818" t="str">
        <f t="shared" si="114"/>
        <v>OK</v>
      </c>
      <c r="V1818" t="str">
        <f t="shared" si="115"/>
        <v>9667</v>
      </c>
    </row>
    <row r="1819" spans="1:22" x14ac:dyDescent="0.35">
      <c r="A1819">
        <v>122046</v>
      </c>
      <c r="B1819" t="s">
        <v>21</v>
      </c>
      <c r="C1819" t="s">
        <v>17</v>
      </c>
      <c r="D1819">
        <v>716</v>
      </c>
      <c r="E1819">
        <v>291</v>
      </c>
      <c r="F1819">
        <v>454</v>
      </c>
      <c r="G1819">
        <v>1</v>
      </c>
      <c r="H1819">
        <v>23868</v>
      </c>
      <c r="I1819">
        <v>11</v>
      </c>
      <c r="J1819">
        <v>40</v>
      </c>
      <c r="K1819">
        <v>438</v>
      </c>
      <c r="L1819">
        <v>351</v>
      </c>
      <c r="M1819">
        <v>20</v>
      </c>
      <c r="N1819">
        <f>IFERROR(VLOOKUP(A1819,vlookup_table!$A:$G,2,FALSE),"")</f>
        <v>0</v>
      </c>
      <c r="O1819">
        <f>IFERROR(VLOOKUP(A1819,vlookup_table!$A:$G,4,FALSE),"")</f>
        <v>3601</v>
      </c>
      <c r="P1819" t="str">
        <f>IFERROR(VLOOKUP(A1819,vlookup_table!$A:$G,5,FALSE),"")</f>
        <v>C1</v>
      </c>
      <c r="Q1819">
        <f>IFERROR(VLOOKUP(A1819,vlookup_table!$A:$G,7,FALSE),"")</f>
        <v>25</v>
      </c>
      <c r="R1819">
        <f t="shared" si="112"/>
        <v>61</v>
      </c>
      <c r="S1819" t="str" cm="1">
        <f t="array" ref="S1819">IF(P1819="","",_xlfn.SWITCH(LEFT(P1819,1),"C","Ciudad","T","Pueblo","R","Rural","S","Suburbano","U","Urbano",""))</f>
        <v>Ciudad</v>
      </c>
      <c r="T1819" t="str">
        <f t="shared" si="113"/>
        <v>F</v>
      </c>
      <c r="U1819" t="str">
        <f t="shared" si="114"/>
        <v>TX</v>
      </c>
      <c r="V1819" t="str">
        <f t="shared" si="115"/>
        <v>23868</v>
      </c>
    </row>
    <row r="1820" spans="1:22" x14ac:dyDescent="0.35">
      <c r="A1820">
        <v>69122</v>
      </c>
      <c r="B1820" t="s">
        <v>29</v>
      </c>
      <c r="C1820" t="s">
        <v>14</v>
      </c>
      <c r="D1820">
        <v>732</v>
      </c>
      <c r="E1820">
        <v>404</v>
      </c>
      <c r="F1820">
        <v>481</v>
      </c>
      <c r="G1820">
        <v>1</v>
      </c>
      <c r="H1820">
        <v>15554</v>
      </c>
      <c r="I1820">
        <v>2</v>
      </c>
      <c r="J1820">
        <v>73</v>
      </c>
      <c r="K1820">
        <v>431</v>
      </c>
      <c r="L1820">
        <v>434</v>
      </c>
      <c r="M1820">
        <v>10.5</v>
      </c>
      <c r="N1820">
        <f>IFERROR(VLOOKUP(A1820,vlookup_table!$A:$G,2,FALSE),"")</f>
        <v>1</v>
      </c>
      <c r="O1820">
        <f>IFERROR(VLOOKUP(A1820,vlookup_table!$A:$G,4,FALSE),"")</f>
        <v>2701</v>
      </c>
      <c r="P1820" t="str">
        <f>IFERROR(VLOOKUP(A1820,vlookup_table!$A:$G,5,FALSE),"")</f>
        <v>S2</v>
      </c>
      <c r="Q1820">
        <f>IFERROR(VLOOKUP(A1820,vlookup_table!$A:$G,7,FALSE),"")</f>
        <v>13</v>
      </c>
      <c r="R1820">
        <f t="shared" si="112"/>
        <v>70</v>
      </c>
      <c r="S1820" t="str" cm="1">
        <f t="array" ref="S1820">IF(P1820="","",_xlfn.SWITCH(LEFT(P1820,1),"C","Ciudad","T","Pueblo","R","Rural","S","Suburbano","U","Urbano",""))</f>
        <v>Suburbano</v>
      </c>
      <c r="T1820" t="str">
        <f t="shared" si="113"/>
        <v>M</v>
      </c>
      <c r="U1820" t="str">
        <f t="shared" si="114"/>
        <v>MI</v>
      </c>
      <c r="V1820" t="str">
        <f t="shared" si="115"/>
        <v>15554</v>
      </c>
    </row>
    <row r="1821" spans="1:22" x14ac:dyDescent="0.35">
      <c r="A1821">
        <v>118739</v>
      </c>
      <c r="B1821" t="s">
        <v>21</v>
      </c>
      <c r="C1821" t="s">
        <v>14</v>
      </c>
      <c r="D1821">
        <v>1155</v>
      </c>
      <c r="E1821">
        <v>684</v>
      </c>
      <c r="F1821">
        <v>750</v>
      </c>
      <c r="G1821">
        <v>0</v>
      </c>
      <c r="H1821">
        <v>22931</v>
      </c>
      <c r="I1821">
        <v>5</v>
      </c>
      <c r="J1821">
        <v>43</v>
      </c>
      <c r="K1821">
        <v>695</v>
      </c>
      <c r="L1821">
        <v>728</v>
      </c>
      <c r="M1821">
        <v>12.5</v>
      </c>
      <c r="N1821">
        <f>IFERROR(VLOOKUP(A1821,vlookup_table!$A:$G,2,FALSE),"")</f>
        <v>0</v>
      </c>
      <c r="O1821">
        <f>IFERROR(VLOOKUP(A1821,vlookup_table!$A:$G,4,FALSE),"")</f>
        <v>4701</v>
      </c>
      <c r="P1821" t="str">
        <f>IFERROR(VLOOKUP(A1821,vlookup_table!$A:$G,5,FALSE),"")</f>
        <v>C1</v>
      </c>
      <c r="Q1821">
        <f>IFERROR(VLOOKUP(A1821,vlookup_table!$A:$G,7,FALSE),"")</f>
        <v>15</v>
      </c>
      <c r="R1821">
        <f t="shared" si="112"/>
        <v>50</v>
      </c>
      <c r="S1821" t="str" cm="1">
        <f t="array" ref="S1821">IF(P1821="","",_xlfn.SWITCH(LEFT(P1821,1),"C","Ciudad","T","Pueblo","R","Rural","S","Suburbano","U","Urbano",""))</f>
        <v>Ciudad</v>
      </c>
      <c r="T1821" t="str">
        <f t="shared" si="113"/>
        <v>M</v>
      </c>
      <c r="U1821" t="str">
        <f t="shared" si="114"/>
        <v>TX</v>
      </c>
      <c r="V1821" t="str">
        <f t="shared" si="115"/>
        <v>22931</v>
      </c>
    </row>
    <row r="1822" spans="1:22" x14ac:dyDescent="0.35">
      <c r="A1822">
        <v>68148</v>
      </c>
      <c r="B1822" t="s">
        <v>29</v>
      </c>
      <c r="C1822" t="s">
        <v>17</v>
      </c>
      <c r="D1822">
        <v>245</v>
      </c>
      <c r="E1822">
        <v>189</v>
      </c>
      <c r="F1822">
        <v>224</v>
      </c>
      <c r="G1822">
        <v>0</v>
      </c>
      <c r="H1822">
        <v>8638</v>
      </c>
      <c r="I1822">
        <v>2</v>
      </c>
      <c r="J1822">
        <v>62</v>
      </c>
      <c r="K1822">
        <v>176</v>
      </c>
      <c r="L1822">
        <v>246</v>
      </c>
      <c r="M1822">
        <v>9.3333333330000006</v>
      </c>
      <c r="N1822">
        <f>IFERROR(VLOOKUP(A1822,vlookup_table!$A:$G,2,FALSE),"")</f>
        <v>0</v>
      </c>
      <c r="O1822">
        <f>IFERROR(VLOOKUP(A1822,vlookup_table!$A:$G,4,FALSE),"")</f>
        <v>5401</v>
      </c>
      <c r="P1822" t="str">
        <f>IFERROR(VLOOKUP(A1822,vlookup_table!$A:$G,5,FALSE),"")</f>
        <v>U4</v>
      </c>
      <c r="Q1822">
        <f>IFERROR(VLOOKUP(A1822,vlookup_table!$A:$G,7,FALSE),"")</f>
        <v>10</v>
      </c>
      <c r="R1822">
        <f t="shared" si="112"/>
        <v>43</v>
      </c>
      <c r="S1822" t="str" cm="1">
        <f t="array" ref="S1822">IF(P1822="","",_xlfn.SWITCH(LEFT(P1822,1),"C","Ciudad","T","Pueblo","R","Rural","S","Suburbano","U","Urbano",""))</f>
        <v>Urbano</v>
      </c>
      <c r="T1822" t="str">
        <f t="shared" si="113"/>
        <v>F</v>
      </c>
      <c r="U1822" t="str">
        <f t="shared" si="114"/>
        <v>MI</v>
      </c>
      <c r="V1822" t="str">
        <f t="shared" si="115"/>
        <v>8638</v>
      </c>
    </row>
    <row r="1823" spans="1:22" x14ac:dyDescent="0.35">
      <c r="A1823">
        <v>22644</v>
      </c>
      <c r="B1823" t="s">
        <v>46</v>
      </c>
      <c r="C1823" t="s">
        <v>17</v>
      </c>
      <c r="D1823">
        <v>489</v>
      </c>
      <c r="E1823">
        <v>191</v>
      </c>
      <c r="F1823">
        <v>277</v>
      </c>
      <c r="G1823">
        <v>1</v>
      </c>
      <c r="H1823">
        <v>8579</v>
      </c>
      <c r="I1823">
        <v>0</v>
      </c>
      <c r="J1823">
        <v>83</v>
      </c>
      <c r="K1823">
        <v>221</v>
      </c>
      <c r="L1823">
        <v>244</v>
      </c>
      <c r="M1823">
        <v>9.1999999999999993</v>
      </c>
      <c r="N1823">
        <f>IFERROR(VLOOKUP(A1823,vlookup_table!$A:$G,2,FALSE),"")</f>
        <v>2</v>
      </c>
      <c r="O1823">
        <f>IFERROR(VLOOKUP(A1823,vlookup_table!$A:$G,4,FALSE),"")</f>
        <v>4201</v>
      </c>
      <c r="P1823" t="str">
        <f>IFERROR(VLOOKUP(A1823,vlookup_table!$A:$G,5,FALSE),"")</f>
        <v>R2</v>
      </c>
      <c r="Q1823">
        <f>IFERROR(VLOOKUP(A1823,vlookup_table!$A:$G,7,FALSE),"")</f>
        <v>21</v>
      </c>
      <c r="R1823">
        <f t="shared" si="112"/>
        <v>55</v>
      </c>
      <c r="S1823" t="str" cm="1">
        <f t="array" ref="S1823">IF(P1823="","",_xlfn.SWITCH(LEFT(P1823,1),"C","Ciudad","T","Pueblo","R","Rural","S","Suburbano","U","Urbano",""))</f>
        <v>Rural</v>
      </c>
      <c r="T1823" t="str">
        <f t="shared" si="113"/>
        <v>F</v>
      </c>
      <c r="U1823" t="str">
        <f t="shared" si="114"/>
        <v>SC</v>
      </c>
      <c r="V1823" t="str">
        <f t="shared" si="115"/>
        <v>8579</v>
      </c>
    </row>
    <row r="1824" spans="1:22" x14ac:dyDescent="0.35">
      <c r="A1824">
        <v>87239</v>
      </c>
      <c r="B1824" t="s">
        <v>34</v>
      </c>
      <c r="C1824" t="s">
        <v>14</v>
      </c>
      <c r="D1824">
        <v>590</v>
      </c>
      <c r="E1824">
        <v>292</v>
      </c>
      <c r="F1824">
        <v>362</v>
      </c>
      <c r="G1824">
        <v>0</v>
      </c>
      <c r="H1824">
        <v>11338</v>
      </c>
      <c r="I1824">
        <v>0</v>
      </c>
      <c r="J1824">
        <v>68</v>
      </c>
      <c r="K1824">
        <v>341</v>
      </c>
      <c r="L1824">
        <v>333</v>
      </c>
      <c r="M1824">
        <v>8.5833333330000006</v>
      </c>
      <c r="N1824">
        <f>IFERROR(VLOOKUP(A1824,vlookup_table!$A:$G,2,FALSE),"")</f>
        <v>1002</v>
      </c>
      <c r="O1824">
        <f>IFERROR(VLOOKUP(A1824,vlookup_table!$A:$G,4,FALSE),"")</f>
        <v>1601</v>
      </c>
      <c r="P1824" t="str">
        <f>IFERROR(VLOOKUP(A1824,vlookup_table!$A:$G,5,FALSE),"")</f>
        <v>T2</v>
      </c>
      <c r="Q1824">
        <f>IFERROR(VLOOKUP(A1824,vlookup_table!$A:$G,7,FALSE),"")</f>
        <v>7</v>
      </c>
      <c r="R1824">
        <f t="shared" si="112"/>
        <v>81</v>
      </c>
      <c r="S1824" t="str" cm="1">
        <f t="array" ref="S1824">IF(P1824="","",_xlfn.SWITCH(LEFT(P1824,1),"C","Ciudad","T","Pueblo","R","Rural","S","Suburbano","U","Urbano",""))</f>
        <v>Pueblo</v>
      </c>
      <c r="T1824" t="str">
        <f t="shared" si="113"/>
        <v>M</v>
      </c>
      <c r="U1824" t="str">
        <f t="shared" si="114"/>
        <v>MT</v>
      </c>
      <c r="V1824" t="str">
        <f t="shared" si="115"/>
        <v>11338</v>
      </c>
    </row>
    <row r="1825" spans="1:22" x14ac:dyDescent="0.35">
      <c r="A1825">
        <v>108447</v>
      </c>
      <c r="B1825" t="s">
        <v>49</v>
      </c>
      <c r="C1825" t="s">
        <v>17</v>
      </c>
      <c r="D1825">
        <v>764</v>
      </c>
      <c r="E1825">
        <v>354</v>
      </c>
      <c r="F1825">
        <v>401</v>
      </c>
      <c r="G1825">
        <v>0</v>
      </c>
      <c r="H1825">
        <v>12713</v>
      </c>
      <c r="I1825">
        <v>4</v>
      </c>
      <c r="J1825">
        <v>70</v>
      </c>
      <c r="K1825">
        <v>362</v>
      </c>
      <c r="L1825">
        <v>383</v>
      </c>
      <c r="M1825">
        <v>6.25</v>
      </c>
      <c r="N1825">
        <f>IFERROR(VLOOKUP(A1825,vlookup_table!$A:$G,2,FALSE),"")</f>
        <v>0</v>
      </c>
      <c r="O1825">
        <f>IFERROR(VLOOKUP(A1825,vlookup_table!$A:$G,4,FALSE),"")</f>
        <v>0</v>
      </c>
      <c r="P1825" t="str">
        <f>IFERROR(VLOOKUP(A1825,vlookup_table!$A:$G,5,FALSE),"")</f>
        <v>S2</v>
      </c>
      <c r="Q1825">
        <f>IFERROR(VLOOKUP(A1825,vlookup_table!$A:$G,7,FALSE),"")</f>
        <v>10</v>
      </c>
      <c r="R1825">
        <f t="shared" si="112"/>
        <v>97</v>
      </c>
      <c r="S1825" t="str" cm="1">
        <f t="array" ref="S1825">IF(P1825="","",_xlfn.SWITCH(LEFT(P1825,1),"C","Ciudad","T","Pueblo","R","Rural","S","Suburbano","U","Urbano",""))</f>
        <v>Suburbano</v>
      </c>
      <c r="T1825" t="str">
        <f t="shared" si="113"/>
        <v>F</v>
      </c>
      <c r="U1825" t="str">
        <f t="shared" si="114"/>
        <v>LA</v>
      </c>
      <c r="V1825" t="str">
        <f t="shared" si="115"/>
        <v>12713</v>
      </c>
    </row>
    <row r="1826" spans="1:22" x14ac:dyDescent="0.35">
      <c r="A1826">
        <v>49860</v>
      </c>
      <c r="B1826" t="s">
        <v>68</v>
      </c>
      <c r="C1826" t="s">
        <v>17</v>
      </c>
      <c r="D1826">
        <v>670</v>
      </c>
      <c r="E1826">
        <v>318</v>
      </c>
      <c r="F1826">
        <v>386</v>
      </c>
      <c r="G1826">
        <v>0</v>
      </c>
      <c r="H1826">
        <v>12457</v>
      </c>
      <c r="I1826">
        <v>4</v>
      </c>
      <c r="J1826">
        <v>68</v>
      </c>
      <c r="K1826">
        <v>358</v>
      </c>
      <c r="L1826">
        <v>354</v>
      </c>
      <c r="M1826">
        <v>4.9583333329999997</v>
      </c>
      <c r="N1826">
        <f>IFERROR(VLOOKUP(A1826,vlookup_table!$A:$G,2,FALSE),"")</f>
        <v>0</v>
      </c>
      <c r="O1826">
        <f>IFERROR(VLOOKUP(A1826,vlookup_table!$A:$G,4,FALSE),"")</f>
        <v>3512</v>
      </c>
      <c r="P1826" t="str">
        <f>IFERROR(VLOOKUP(A1826,vlookup_table!$A:$G,5,FALSE),"")</f>
        <v>S2</v>
      </c>
      <c r="Q1826">
        <f>IFERROR(VLOOKUP(A1826,vlookup_table!$A:$G,7,FALSE),"")</f>
        <v>4</v>
      </c>
      <c r="R1826">
        <f t="shared" si="112"/>
        <v>62</v>
      </c>
      <c r="S1826" t="str" cm="1">
        <f t="array" ref="S1826">IF(P1826="","",_xlfn.SWITCH(LEFT(P1826,1),"C","Ciudad","T","Pueblo","R","Rural","S","Suburbano","U","Urbano",""))</f>
        <v>Suburbano</v>
      </c>
      <c r="T1826" t="str">
        <f t="shared" si="113"/>
        <v>F</v>
      </c>
      <c r="U1826" t="str">
        <f t="shared" si="114"/>
        <v>Tennessee</v>
      </c>
      <c r="V1826" t="str">
        <f t="shared" si="115"/>
        <v>12457</v>
      </c>
    </row>
    <row r="1827" spans="1:22" x14ac:dyDescent="0.35">
      <c r="A1827">
        <v>88662</v>
      </c>
      <c r="B1827" t="s">
        <v>16</v>
      </c>
      <c r="C1827" t="s">
        <v>14</v>
      </c>
      <c r="D1827">
        <v>1000</v>
      </c>
      <c r="E1827">
        <v>453</v>
      </c>
      <c r="F1827">
        <v>478</v>
      </c>
      <c r="G1827">
        <v>0</v>
      </c>
      <c r="H1827">
        <v>15134</v>
      </c>
      <c r="I1827">
        <v>7</v>
      </c>
      <c r="J1827">
        <v>72</v>
      </c>
      <c r="K1827">
        <v>463</v>
      </c>
      <c r="L1827">
        <v>458</v>
      </c>
      <c r="M1827">
        <v>8.7727272729999992</v>
      </c>
      <c r="N1827">
        <f>IFERROR(VLOOKUP(A1827,vlookup_table!$A:$G,2,FALSE),"")</f>
        <v>0</v>
      </c>
      <c r="O1827">
        <f>IFERROR(VLOOKUP(A1827,vlookup_table!$A:$G,4,FALSE),"")</f>
        <v>3004</v>
      </c>
      <c r="P1827" t="str">
        <f>IFERROR(VLOOKUP(A1827,vlookup_table!$A:$G,5,FALSE),"")</f>
        <v>S2</v>
      </c>
      <c r="Q1827">
        <f>IFERROR(VLOOKUP(A1827,vlookup_table!$A:$G,7,FALSE),"")</f>
        <v>12</v>
      </c>
      <c r="R1827">
        <f t="shared" si="112"/>
        <v>67</v>
      </c>
      <c r="S1827" t="str" cm="1">
        <f t="array" ref="S1827">IF(P1827="","",_xlfn.SWITCH(LEFT(P1827,1),"C","Ciudad","T","Pueblo","R","Rural","S","Suburbano","U","Urbano",""))</f>
        <v>Suburbano</v>
      </c>
      <c r="T1827" t="str">
        <f t="shared" si="113"/>
        <v>M</v>
      </c>
      <c r="U1827" t="str">
        <f t="shared" si="114"/>
        <v>IL</v>
      </c>
      <c r="V1827" t="str">
        <f t="shared" si="115"/>
        <v>15134</v>
      </c>
    </row>
    <row r="1828" spans="1:22" x14ac:dyDescent="0.35">
      <c r="A1828">
        <v>59225</v>
      </c>
      <c r="B1828" t="s">
        <v>33</v>
      </c>
      <c r="C1828" t="s">
        <v>17</v>
      </c>
      <c r="D1828">
        <v>519</v>
      </c>
      <c r="E1828">
        <v>314</v>
      </c>
      <c r="F1828">
        <v>381</v>
      </c>
      <c r="G1828">
        <v>0</v>
      </c>
      <c r="H1828">
        <v>12167</v>
      </c>
      <c r="I1828">
        <v>0</v>
      </c>
      <c r="J1828">
        <v>82</v>
      </c>
      <c r="K1828">
        <v>357</v>
      </c>
      <c r="L1828">
        <v>349</v>
      </c>
      <c r="M1828">
        <v>5.6875</v>
      </c>
      <c r="N1828">
        <f>IFERROR(VLOOKUP(A1828,vlookup_table!$A:$G,2,FALSE),"")</f>
        <v>2</v>
      </c>
      <c r="O1828">
        <f>IFERROR(VLOOKUP(A1828,vlookup_table!$A:$G,4,FALSE),"")</f>
        <v>0</v>
      </c>
      <c r="P1828" t="str">
        <f>IFERROR(VLOOKUP(A1828,vlookup_table!$A:$G,5,FALSE),"")</f>
        <v>R2</v>
      </c>
      <c r="Q1828">
        <f>IFERROR(VLOOKUP(A1828,vlookup_table!$A:$G,7,FALSE),"")</f>
        <v>10</v>
      </c>
      <c r="R1828">
        <f t="shared" si="112"/>
        <v>97</v>
      </c>
      <c r="S1828" t="str" cm="1">
        <f t="array" ref="S1828">IF(P1828="","",_xlfn.SWITCH(LEFT(P1828,1),"C","Ciudad","T","Pueblo","R","Rural","S","Suburbano","U","Urbano",""))</f>
        <v>Rural</v>
      </c>
      <c r="T1828" t="str">
        <f t="shared" si="113"/>
        <v>F</v>
      </c>
      <c r="U1828" t="str">
        <f t="shared" si="114"/>
        <v>IN</v>
      </c>
      <c r="V1828" t="str">
        <f t="shared" si="115"/>
        <v>12167</v>
      </c>
    </row>
    <row r="1829" spans="1:22" x14ac:dyDescent="0.35">
      <c r="A1829">
        <v>190377</v>
      </c>
      <c r="B1829" t="s">
        <v>13</v>
      </c>
      <c r="C1829" t="s">
        <v>17</v>
      </c>
      <c r="D1829">
        <v>720</v>
      </c>
      <c r="E1829">
        <v>364</v>
      </c>
      <c r="F1829">
        <v>521</v>
      </c>
      <c r="G1829">
        <v>1</v>
      </c>
      <c r="H1829">
        <v>18273</v>
      </c>
      <c r="I1829">
        <v>10</v>
      </c>
      <c r="J1829">
        <v>21</v>
      </c>
      <c r="K1829">
        <v>416</v>
      </c>
      <c r="L1829">
        <v>450</v>
      </c>
      <c r="M1829">
        <v>17.89473684</v>
      </c>
      <c r="N1829">
        <f>IFERROR(VLOOKUP(A1829,vlookup_table!$A:$G,2,FALSE),"")</f>
        <v>28</v>
      </c>
      <c r="O1829">
        <f>IFERROR(VLOOKUP(A1829,vlookup_table!$A:$G,4,FALSE),"")</f>
        <v>0</v>
      </c>
      <c r="P1829">
        <f>IFERROR(VLOOKUP(A1829,vlookup_table!$A:$G,5,FALSE),"")</f>
        <v>0</v>
      </c>
      <c r="Q1829">
        <f>IFERROR(VLOOKUP(A1829,vlookup_table!$A:$G,7,FALSE),"")</f>
        <v>24</v>
      </c>
      <c r="R1829">
        <f t="shared" si="112"/>
        <v>97</v>
      </c>
      <c r="S1829" t="str" cm="1">
        <f t="array" ref="S1829">IF(P1829="","",_xlfn.SWITCH(LEFT(P1829,1),"C","Ciudad","T","Pueblo","R","Rural","S","Suburbano","U","Urbano",""))</f>
        <v/>
      </c>
      <c r="T1829" t="str">
        <f t="shared" si="113"/>
        <v>F</v>
      </c>
      <c r="U1829" t="str">
        <f t="shared" si="114"/>
        <v>FL</v>
      </c>
      <c r="V1829" t="str">
        <f t="shared" si="115"/>
        <v>18273</v>
      </c>
    </row>
    <row r="1830" spans="1:22" x14ac:dyDescent="0.35">
      <c r="A1830">
        <v>151695</v>
      </c>
      <c r="B1830" t="s">
        <v>22</v>
      </c>
      <c r="C1830" t="s">
        <v>14</v>
      </c>
      <c r="D1830">
        <v>2498</v>
      </c>
      <c r="E1830">
        <v>518</v>
      </c>
      <c r="F1830">
        <v>606</v>
      </c>
      <c r="G1830">
        <v>71</v>
      </c>
      <c r="H1830">
        <v>18830</v>
      </c>
      <c r="I1830">
        <v>7</v>
      </c>
      <c r="J1830">
        <v>55</v>
      </c>
      <c r="K1830">
        <v>550</v>
      </c>
      <c r="L1830">
        <v>570</v>
      </c>
      <c r="M1830">
        <v>25</v>
      </c>
      <c r="N1830">
        <f>IFERROR(VLOOKUP(A1830,vlookup_table!$A:$G,2,FALSE),"")</f>
        <v>1</v>
      </c>
      <c r="O1830">
        <f>IFERROR(VLOOKUP(A1830,vlookup_table!$A:$G,4,FALSE),"")</f>
        <v>0</v>
      </c>
      <c r="P1830" t="str">
        <f>IFERROR(VLOOKUP(A1830,vlookup_table!$A:$G,5,FALSE),"")</f>
        <v>T1</v>
      </c>
      <c r="Q1830">
        <f>IFERROR(VLOOKUP(A1830,vlookup_table!$A:$G,7,FALSE),"")</f>
        <v>35</v>
      </c>
      <c r="R1830">
        <f t="shared" si="112"/>
        <v>97</v>
      </c>
      <c r="S1830" t="str" cm="1">
        <f t="array" ref="S1830">IF(P1830="","",_xlfn.SWITCH(LEFT(P1830,1),"C","Ciudad","T","Pueblo","R","Rural","S","Suburbano","U","Urbano",""))</f>
        <v>Pueblo</v>
      </c>
      <c r="T1830" t="str">
        <f t="shared" si="113"/>
        <v>M</v>
      </c>
      <c r="U1830" t="str">
        <f t="shared" si="114"/>
        <v>CA</v>
      </c>
      <c r="V1830" t="str">
        <f t="shared" si="115"/>
        <v>18830</v>
      </c>
    </row>
    <row r="1831" spans="1:22" x14ac:dyDescent="0.35">
      <c r="A1831">
        <v>146301</v>
      </c>
      <c r="B1831" t="s">
        <v>41</v>
      </c>
      <c r="C1831" t="s">
        <v>17</v>
      </c>
      <c r="D1831">
        <v>887</v>
      </c>
      <c r="E1831">
        <v>337</v>
      </c>
      <c r="F1831">
        <v>531</v>
      </c>
      <c r="G1831">
        <v>6</v>
      </c>
      <c r="H1831">
        <v>21539</v>
      </c>
      <c r="I1831">
        <v>2</v>
      </c>
      <c r="J1831">
        <v>43</v>
      </c>
      <c r="K1831">
        <v>459</v>
      </c>
      <c r="L1831">
        <v>433</v>
      </c>
      <c r="M1831">
        <v>9.6666666669999994</v>
      </c>
      <c r="N1831">
        <f>IFERROR(VLOOKUP(A1831,vlookup_table!$A:$G,2,FALSE),"")</f>
        <v>0</v>
      </c>
      <c r="O1831">
        <f>IFERROR(VLOOKUP(A1831,vlookup_table!$A:$G,4,FALSE),"")</f>
        <v>6301</v>
      </c>
      <c r="P1831" t="str">
        <f>IFERROR(VLOOKUP(A1831,vlookup_table!$A:$G,5,FALSE),"")</f>
        <v>U2</v>
      </c>
      <c r="Q1831">
        <f>IFERROR(VLOOKUP(A1831,vlookup_table!$A:$G,7,FALSE),"")</f>
        <v>17</v>
      </c>
      <c r="R1831">
        <f t="shared" si="112"/>
        <v>34</v>
      </c>
      <c r="S1831" t="str" cm="1">
        <f t="array" ref="S1831">IF(P1831="","",_xlfn.SWITCH(LEFT(P1831,1),"C","Ciudad","T","Pueblo","R","Rural","S","Suburbano","U","Urbano",""))</f>
        <v>Urbano</v>
      </c>
      <c r="T1831" t="str">
        <f t="shared" si="113"/>
        <v>F</v>
      </c>
      <c r="U1831" t="str">
        <f t="shared" si="114"/>
        <v>ID</v>
      </c>
      <c r="V1831" t="str">
        <f t="shared" si="115"/>
        <v>21539</v>
      </c>
    </row>
    <row r="1832" spans="1:22" x14ac:dyDescent="0.35">
      <c r="A1832">
        <v>27944</v>
      </c>
      <c r="B1832" t="s">
        <v>39</v>
      </c>
      <c r="C1832" t="s">
        <v>17</v>
      </c>
      <c r="D1832">
        <v>687</v>
      </c>
      <c r="E1832">
        <v>379</v>
      </c>
      <c r="F1832">
        <v>380</v>
      </c>
      <c r="G1832">
        <v>0</v>
      </c>
      <c r="H1832">
        <v>12223</v>
      </c>
      <c r="I1832">
        <v>1</v>
      </c>
      <c r="J1832">
        <v>57</v>
      </c>
      <c r="K1832">
        <v>403</v>
      </c>
      <c r="L1832">
        <v>360</v>
      </c>
      <c r="M1832">
        <v>13.85714286</v>
      </c>
      <c r="N1832">
        <f>IFERROR(VLOOKUP(A1832,vlookup_table!$A:$G,2,FALSE),"")</f>
        <v>0</v>
      </c>
      <c r="O1832">
        <f>IFERROR(VLOOKUP(A1832,vlookup_table!$A:$G,4,FALSE),"")</f>
        <v>5011</v>
      </c>
      <c r="P1832" t="str">
        <f>IFERROR(VLOOKUP(A1832,vlookup_table!$A:$G,5,FALSE),"")</f>
        <v>C2</v>
      </c>
      <c r="Q1832">
        <f>IFERROR(VLOOKUP(A1832,vlookup_table!$A:$G,7,FALSE),"")</f>
        <v>33</v>
      </c>
      <c r="R1832">
        <f t="shared" si="112"/>
        <v>47</v>
      </c>
      <c r="S1832" t="str" cm="1">
        <f t="array" ref="S1832">IF(P1832="","",_xlfn.SWITCH(LEFT(P1832,1),"C","Ciudad","T","Pueblo","R","Rural","S","Suburbano","U","Urbano",""))</f>
        <v>Ciudad</v>
      </c>
      <c r="T1832" t="str">
        <f t="shared" si="113"/>
        <v>F</v>
      </c>
      <c r="U1832" t="str">
        <f t="shared" si="114"/>
        <v>GA</v>
      </c>
      <c r="V1832" t="str">
        <f t="shared" si="115"/>
        <v>12223</v>
      </c>
    </row>
    <row r="1833" spans="1:22" x14ac:dyDescent="0.35">
      <c r="A1833">
        <v>172801</v>
      </c>
      <c r="B1833" t="s">
        <v>22</v>
      </c>
      <c r="C1833" t="s">
        <v>14</v>
      </c>
      <c r="D1833">
        <v>710</v>
      </c>
      <c r="E1833">
        <v>236</v>
      </c>
      <c r="F1833">
        <v>400</v>
      </c>
      <c r="G1833">
        <v>2</v>
      </c>
      <c r="H1833">
        <v>12318</v>
      </c>
      <c r="I1833">
        <v>4</v>
      </c>
      <c r="J1833">
        <v>79</v>
      </c>
      <c r="K1833">
        <v>388</v>
      </c>
      <c r="L1833">
        <v>313</v>
      </c>
      <c r="M1833">
        <v>13.57142857</v>
      </c>
      <c r="N1833">
        <f>IFERROR(VLOOKUP(A1833,vlookup_table!$A:$G,2,FALSE),"")</f>
        <v>1002</v>
      </c>
      <c r="O1833">
        <f>IFERROR(VLOOKUP(A1833,vlookup_table!$A:$G,4,FALSE),"")</f>
        <v>0</v>
      </c>
      <c r="P1833" t="str">
        <f>IFERROR(VLOOKUP(A1833,vlookup_table!$A:$G,5,FALSE),"")</f>
        <v>R2</v>
      </c>
      <c r="Q1833">
        <f>IFERROR(VLOOKUP(A1833,vlookup_table!$A:$G,7,FALSE),"")</f>
        <v>10</v>
      </c>
      <c r="R1833">
        <f t="shared" si="112"/>
        <v>97</v>
      </c>
      <c r="S1833" t="str" cm="1">
        <f t="array" ref="S1833">IF(P1833="","",_xlfn.SWITCH(LEFT(P1833,1),"C","Ciudad","T","Pueblo","R","Rural","S","Suburbano","U","Urbano",""))</f>
        <v>Rural</v>
      </c>
      <c r="T1833" t="str">
        <f t="shared" si="113"/>
        <v>M</v>
      </c>
      <c r="U1833" t="str">
        <f t="shared" si="114"/>
        <v>CA</v>
      </c>
      <c r="V1833" t="str">
        <f t="shared" si="115"/>
        <v>12318</v>
      </c>
    </row>
    <row r="1834" spans="1:22" x14ac:dyDescent="0.35">
      <c r="A1834">
        <v>78179</v>
      </c>
      <c r="B1834" t="s">
        <v>35</v>
      </c>
      <c r="C1834" t="s">
        <v>51</v>
      </c>
      <c r="D1834">
        <v>708</v>
      </c>
      <c r="E1834">
        <v>358</v>
      </c>
      <c r="F1834">
        <v>414</v>
      </c>
      <c r="G1834">
        <v>0</v>
      </c>
      <c r="H1834">
        <v>14051</v>
      </c>
      <c r="I1834">
        <v>0</v>
      </c>
      <c r="J1834">
        <v>86</v>
      </c>
      <c r="K1834">
        <v>370</v>
      </c>
      <c r="L1834">
        <v>384</v>
      </c>
      <c r="M1834">
        <v>22.5</v>
      </c>
      <c r="N1834">
        <f>IFERROR(VLOOKUP(A1834,vlookup_table!$A:$G,2,FALSE),"")</f>
        <v>1</v>
      </c>
      <c r="O1834">
        <f>IFERROR(VLOOKUP(A1834,vlookup_table!$A:$G,4,FALSE),"")</f>
        <v>6401</v>
      </c>
      <c r="P1834" t="str">
        <f>IFERROR(VLOOKUP(A1834,vlookup_table!$A:$G,5,FALSE),"")</f>
        <v>C3</v>
      </c>
      <c r="Q1834">
        <f>IFERROR(VLOOKUP(A1834,vlookup_table!$A:$G,7,FALSE),"")</f>
        <v>10</v>
      </c>
      <c r="R1834">
        <f t="shared" si="112"/>
        <v>33</v>
      </c>
      <c r="S1834" t="str" cm="1">
        <f t="array" ref="S1834">IF(P1834="","",_xlfn.SWITCH(LEFT(P1834,1),"C","Ciudad","T","Pueblo","R","Rural","S","Suburbano","U","Urbano",""))</f>
        <v>Ciudad</v>
      </c>
      <c r="T1834" t="str">
        <f t="shared" si="113"/>
        <v>M</v>
      </c>
      <c r="U1834" t="str">
        <f t="shared" si="114"/>
        <v>WI</v>
      </c>
      <c r="V1834" t="str">
        <f t="shared" si="115"/>
        <v>14051</v>
      </c>
    </row>
    <row r="1835" spans="1:22" x14ac:dyDescent="0.35">
      <c r="A1835">
        <v>121755</v>
      </c>
      <c r="B1835" t="s">
        <v>21</v>
      </c>
      <c r="C1835" t="s">
        <v>14</v>
      </c>
      <c r="D1835">
        <v>1364</v>
      </c>
      <c r="E1835">
        <v>634</v>
      </c>
      <c r="F1835">
        <v>811</v>
      </c>
      <c r="G1835">
        <v>22</v>
      </c>
      <c r="H1835">
        <v>42549</v>
      </c>
      <c r="I1835">
        <v>11</v>
      </c>
      <c r="J1835">
        <v>34</v>
      </c>
      <c r="K1835">
        <v>673</v>
      </c>
      <c r="L1835">
        <v>768</v>
      </c>
      <c r="M1835">
        <v>15</v>
      </c>
      <c r="N1835">
        <f>IFERROR(VLOOKUP(A1835,vlookup_table!$A:$G,2,FALSE),"")</f>
        <v>0</v>
      </c>
      <c r="O1835">
        <f>IFERROR(VLOOKUP(A1835,vlookup_table!$A:$G,4,FALSE),"")</f>
        <v>2001</v>
      </c>
      <c r="P1835" t="str">
        <f>IFERROR(VLOOKUP(A1835,vlookup_table!$A:$G,5,FALSE),"")</f>
        <v>C1</v>
      </c>
      <c r="Q1835">
        <f>IFERROR(VLOOKUP(A1835,vlookup_table!$A:$G,7,FALSE),"")</f>
        <v>15</v>
      </c>
      <c r="R1835">
        <f t="shared" si="112"/>
        <v>77</v>
      </c>
      <c r="S1835" t="str" cm="1">
        <f t="array" ref="S1835">IF(P1835="","",_xlfn.SWITCH(LEFT(P1835,1),"C","Ciudad","T","Pueblo","R","Rural","S","Suburbano","U","Urbano",""))</f>
        <v>Ciudad</v>
      </c>
      <c r="T1835" t="str">
        <f t="shared" si="113"/>
        <v>M</v>
      </c>
      <c r="U1835" t="str">
        <f t="shared" si="114"/>
        <v>TX</v>
      </c>
      <c r="V1835" t="str">
        <f t="shared" si="115"/>
        <v>42549</v>
      </c>
    </row>
    <row r="1836" spans="1:22" x14ac:dyDescent="0.35">
      <c r="A1836">
        <v>147747</v>
      </c>
      <c r="B1836" t="s">
        <v>22</v>
      </c>
      <c r="C1836" t="s">
        <v>17</v>
      </c>
      <c r="D1836">
        <v>3005</v>
      </c>
      <c r="E1836">
        <v>348</v>
      </c>
      <c r="F1836">
        <v>503</v>
      </c>
      <c r="G1836">
        <v>87</v>
      </c>
      <c r="H1836">
        <v>18396</v>
      </c>
      <c r="I1836">
        <v>32</v>
      </c>
      <c r="J1836">
        <v>35</v>
      </c>
      <c r="K1836">
        <v>385</v>
      </c>
      <c r="L1836">
        <v>455</v>
      </c>
      <c r="M1836">
        <v>9.4705882349999992</v>
      </c>
      <c r="N1836">
        <f>IFERROR(VLOOKUP(A1836,vlookup_table!$A:$G,2,FALSE),"")</f>
        <v>0</v>
      </c>
      <c r="O1836">
        <f>IFERROR(VLOOKUP(A1836,vlookup_table!$A:$G,4,FALSE),"")</f>
        <v>2008</v>
      </c>
      <c r="P1836" t="str">
        <f>IFERROR(VLOOKUP(A1836,vlookup_table!$A:$G,5,FALSE),"")</f>
        <v>S1</v>
      </c>
      <c r="Q1836">
        <f>IFERROR(VLOOKUP(A1836,vlookup_table!$A:$G,7,FALSE),"")</f>
        <v>13</v>
      </c>
      <c r="R1836">
        <f t="shared" si="112"/>
        <v>77</v>
      </c>
      <c r="S1836" t="str" cm="1">
        <f t="array" ref="S1836">IF(P1836="","",_xlfn.SWITCH(LEFT(P1836,1),"C","Ciudad","T","Pueblo","R","Rural","S","Suburbano","U","Urbano",""))</f>
        <v>Suburbano</v>
      </c>
      <c r="T1836" t="str">
        <f t="shared" si="113"/>
        <v>F</v>
      </c>
      <c r="U1836" t="str">
        <f t="shared" si="114"/>
        <v>CA</v>
      </c>
      <c r="V1836" t="str">
        <f t="shared" si="115"/>
        <v>18396</v>
      </c>
    </row>
    <row r="1837" spans="1:22" x14ac:dyDescent="0.35">
      <c r="A1837">
        <v>3685</v>
      </c>
      <c r="B1837" t="s">
        <v>40</v>
      </c>
      <c r="C1837" t="s">
        <v>17</v>
      </c>
      <c r="D1837">
        <v>827</v>
      </c>
      <c r="E1837">
        <v>277</v>
      </c>
      <c r="F1837">
        <v>371</v>
      </c>
      <c r="G1837">
        <v>1</v>
      </c>
      <c r="H1837">
        <v>12751</v>
      </c>
      <c r="I1837">
        <v>9</v>
      </c>
      <c r="J1837">
        <v>47</v>
      </c>
      <c r="K1837">
        <v>328</v>
      </c>
      <c r="L1837">
        <v>309</v>
      </c>
      <c r="M1837">
        <v>10.15789474</v>
      </c>
      <c r="N1837">
        <f>IFERROR(VLOOKUP(A1837,vlookup_table!$A:$G,2,FALSE),"")</f>
        <v>0</v>
      </c>
      <c r="O1837">
        <f>IFERROR(VLOOKUP(A1837,vlookup_table!$A:$G,4,FALSE),"")</f>
        <v>4201</v>
      </c>
      <c r="P1837" t="str">
        <f>IFERROR(VLOOKUP(A1837,vlookup_table!$A:$G,5,FALSE),"")</f>
        <v>S3</v>
      </c>
      <c r="Q1837">
        <f>IFERROR(VLOOKUP(A1837,vlookup_table!$A:$G,7,FALSE),"")</f>
        <v>15</v>
      </c>
      <c r="R1837">
        <f t="shared" si="112"/>
        <v>55</v>
      </c>
      <c r="S1837" t="str" cm="1">
        <f t="array" ref="S1837">IF(P1837="","",_xlfn.SWITCH(LEFT(P1837,1),"C","Ciudad","T","Pueblo","R","Rural","S","Suburbano","U","Urbano",""))</f>
        <v>Suburbano</v>
      </c>
      <c r="T1837" t="str">
        <f t="shared" si="113"/>
        <v>F</v>
      </c>
      <c r="U1837" t="str">
        <f t="shared" si="114"/>
        <v>WA</v>
      </c>
      <c r="V1837" t="str">
        <f t="shared" si="115"/>
        <v>12751</v>
      </c>
    </row>
    <row r="1838" spans="1:22" x14ac:dyDescent="0.35">
      <c r="A1838">
        <v>128934</v>
      </c>
      <c r="B1838" t="s">
        <v>21</v>
      </c>
      <c r="C1838" t="s">
        <v>17</v>
      </c>
      <c r="D1838">
        <v>725</v>
      </c>
      <c r="E1838">
        <v>334</v>
      </c>
      <c r="F1838">
        <v>432</v>
      </c>
      <c r="G1838">
        <v>0</v>
      </c>
      <c r="H1838">
        <v>14447</v>
      </c>
      <c r="I1838">
        <v>14</v>
      </c>
      <c r="J1838">
        <v>53</v>
      </c>
      <c r="K1838">
        <v>354</v>
      </c>
      <c r="L1838">
        <v>418</v>
      </c>
      <c r="M1838">
        <v>15.4</v>
      </c>
      <c r="N1838">
        <f>IFERROR(VLOOKUP(A1838,vlookup_table!$A:$G,2,FALSE),"")</f>
        <v>0</v>
      </c>
      <c r="O1838">
        <f>IFERROR(VLOOKUP(A1838,vlookup_table!$A:$G,4,FALSE),"")</f>
        <v>1</v>
      </c>
      <c r="P1838" t="str">
        <f>IFERROR(VLOOKUP(A1838,vlookup_table!$A:$G,5,FALSE),"")</f>
        <v>S1</v>
      </c>
      <c r="Q1838">
        <f>IFERROR(VLOOKUP(A1838,vlookup_table!$A:$G,7,FALSE),"")</f>
        <v>20</v>
      </c>
      <c r="R1838">
        <f t="shared" si="112"/>
        <v>97</v>
      </c>
      <c r="S1838" t="str" cm="1">
        <f t="array" ref="S1838">IF(P1838="","",_xlfn.SWITCH(LEFT(P1838,1),"C","Ciudad","T","Pueblo","R","Rural","S","Suburbano","U","Urbano",""))</f>
        <v>Suburbano</v>
      </c>
      <c r="T1838" t="str">
        <f t="shared" si="113"/>
        <v>F</v>
      </c>
      <c r="U1838" t="str">
        <f t="shared" si="114"/>
        <v>TX</v>
      </c>
      <c r="V1838" t="str">
        <f t="shared" si="115"/>
        <v>14447</v>
      </c>
    </row>
    <row r="1839" spans="1:22" x14ac:dyDescent="0.35">
      <c r="A1839">
        <v>18038</v>
      </c>
      <c r="B1839" t="s">
        <v>18</v>
      </c>
      <c r="D1839">
        <v>548</v>
      </c>
      <c r="E1839">
        <v>197</v>
      </c>
      <c r="F1839">
        <v>300</v>
      </c>
      <c r="G1839">
        <v>7</v>
      </c>
      <c r="H1839">
        <v>10044</v>
      </c>
      <c r="I1839">
        <v>0</v>
      </c>
      <c r="J1839">
        <v>83</v>
      </c>
      <c r="K1839">
        <v>246</v>
      </c>
      <c r="L1839">
        <v>259</v>
      </c>
      <c r="M1839">
        <v>12.375</v>
      </c>
      <c r="N1839">
        <f>IFERROR(VLOOKUP(A1839,vlookup_table!$A:$G,2,FALSE),"")</f>
        <v>0</v>
      </c>
      <c r="O1839">
        <f>IFERROR(VLOOKUP(A1839,vlookup_table!$A:$G,4,FALSE),"")</f>
        <v>0</v>
      </c>
      <c r="P1839" t="str">
        <f>IFERROR(VLOOKUP(A1839,vlookup_table!$A:$G,5,FALSE),"")</f>
        <v>R2</v>
      </c>
      <c r="Q1839">
        <f>IFERROR(VLOOKUP(A1839,vlookup_table!$A:$G,7,FALSE),"")</f>
        <v>16</v>
      </c>
      <c r="R1839">
        <f t="shared" si="112"/>
        <v>97</v>
      </c>
      <c r="S1839" t="str" cm="1">
        <f t="array" ref="S1839">IF(P1839="","",_xlfn.SWITCH(LEFT(P1839,1),"C","Ciudad","T","Pueblo","R","Rural","S","Suburbano","U","Urbano",""))</f>
        <v>Rural</v>
      </c>
      <c r="T1839" t="str">
        <f t="shared" si="113"/>
        <v/>
      </c>
      <c r="U1839" t="str">
        <f t="shared" si="114"/>
        <v>NC</v>
      </c>
      <c r="V1839" t="str">
        <f t="shared" si="115"/>
        <v>10044</v>
      </c>
    </row>
    <row r="1840" spans="1:22" x14ac:dyDescent="0.35">
      <c r="A1840">
        <v>180272</v>
      </c>
      <c r="B1840" t="s">
        <v>40</v>
      </c>
      <c r="C1840" t="s">
        <v>17</v>
      </c>
      <c r="D1840">
        <v>1055</v>
      </c>
      <c r="E1840">
        <v>319</v>
      </c>
      <c r="F1840">
        <v>421</v>
      </c>
      <c r="G1840">
        <v>6</v>
      </c>
      <c r="H1840">
        <v>16161</v>
      </c>
      <c r="I1840">
        <v>5</v>
      </c>
      <c r="J1840">
        <v>49</v>
      </c>
      <c r="K1840">
        <v>379</v>
      </c>
      <c r="L1840">
        <v>375</v>
      </c>
      <c r="M1840">
        <v>14</v>
      </c>
      <c r="N1840">
        <f>IFERROR(VLOOKUP(A1840,vlookup_table!$A:$G,2,FALSE),"")</f>
        <v>0</v>
      </c>
      <c r="O1840">
        <f>IFERROR(VLOOKUP(A1840,vlookup_table!$A:$G,4,FALSE),"")</f>
        <v>1801</v>
      </c>
      <c r="P1840" t="str">
        <f>IFERROR(VLOOKUP(A1840,vlookup_table!$A:$G,5,FALSE),"")</f>
        <v>C2</v>
      </c>
      <c r="Q1840">
        <f>IFERROR(VLOOKUP(A1840,vlookup_table!$A:$G,7,FALSE),"")</f>
        <v>20</v>
      </c>
      <c r="R1840">
        <f t="shared" si="112"/>
        <v>79</v>
      </c>
      <c r="S1840" t="str" cm="1">
        <f t="array" ref="S1840">IF(P1840="","",_xlfn.SWITCH(LEFT(P1840,1),"C","Ciudad","T","Pueblo","R","Rural","S","Suburbano","U","Urbano",""))</f>
        <v>Ciudad</v>
      </c>
      <c r="T1840" t="str">
        <f t="shared" si="113"/>
        <v>F</v>
      </c>
      <c r="U1840" t="str">
        <f t="shared" si="114"/>
        <v>WA</v>
      </c>
      <c r="V1840" t="str">
        <f t="shared" si="115"/>
        <v>16161</v>
      </c>
    </row>
    <row r="1841" spans="1:22" x14ac:dyDescent="0.35">
      <c r="A1841">
        <v>164986</v>
      </c>
      <c r="B1841" t="s">
        <v>22</v>
      </c>
      <c r="C1841" t="s">
        <v>17</v>
      </c>
      <c r="D1841">
        <v>3142</v>
      </c>
      <c r="E1841">
        <v>658</v>
      </c>
      <c r="F1841">
        <v>768</v>
      </c>
      <c r="G1841">
        <v>95</v>
      </c>
      <c r="H1841">
        <v>23169</v>
      </c>
      <c r="I1841">
        <v>8</v>
      </c>
      <c r="J1841">
        <v>69</v>
      </c>
      <c r="K1841">
        <v>770</v>
      </c>
      <c r="L1841">
        <v>675</v>
      </c>
      <c r="M1841">
        <v>12.5</v>
      </c>
      <c r="N1841">
        <f>IFERROR(VLOOKUP(A1841,vlookup_table!$A:$G,2,FALSE),"")</f>
        <v>0</v>
      </c>
      <c r="O1841">
        <f>IFERROR(VLOOKUP(A1841,vlookup_table!$A:$G,4,FALSE),"")</f>
        <v>2901</v>
      </c>
      <c r="P1841" t="str">
        <f>IFERROR(VLOOKUP(A1841,vlookup_table!$A:$G,5,FALSE),"")</f>
        <v>S1</v>
      </c>
      <c r="Q1841">
        <f>IFERROR(VLOOKUP(A1841,vlookup_table!$A:$G,7,FALSE),"")</f>
        <v>15</v>
      </c>
      <c r="R1841">
        <f t="shared" si="112"/>
        <v>68</v>
      </c>
      <c r="S1841" t="str" cm="1">
        <f t="array" ref="S1841">IF(P1841="","",_xlfn.SWITCH(LEFT(P1841,1),"C","Ciudad","T","Pueblo","R","Rural","S","Suburbano","U","Urbano",""))</f>
        <v>Suburbano</v>
      </c>
      <c r="T1841" t="str">
        <f t="shared" si="113"/>
        <v>F</v>
      </c>
      <c r="U1841" t="str">
        <f t="shared" si="114"/>
        <v>CA</v>
      </c>
      <c r="V1841" t="str">
        <f t="shared" si="115"/>
        <v>23169</v>
      </c>
    </row>
    <row r="1842" spans="1:22" x14ac:dyDescent="0.35">
      <c r="A1842">
        <v>65117</v>
      </c>
      <c r="B1842" t="s">
        <v>29</v>
      </c>
      <c r="C1842" t="s">
        <v>17</v>
      </c>
      <c r="D1842">
        <v>479</v>
      </c>
      <c r="E1842">
        <v>280</v>
      </c>
      <c r="F1842">
        <v>350</v>
      </c>
      <c r="G1842">
        <v>1</v>
      </c>
      <c r="H1842">
        <v>10986</v>
      </c>
      <c r="I1842">
        <v>2</v>
      </c>
      <c r="J1842">
        <v>75</v>
      </c>
      <c r="K1842">
        <v>304</v>
      </c>
      <c r="L1842">
        <v>333</v>
      </c>
      <c r="M1842">
        <v>5.884615385</v>
      </c>
      <c r="N1842">
        <f>IFERROR(VLOOKUP(A1842,vlookup_table!$A:$G,2,FALSE),"")</f>
        <v>28</v>
      </c>
      <c r="O1842">
        <f>IFERROR(VLOOKUP(A1842,vlookup_table!$A:$G,4,FALSE),"")</f>
        <v>5610</v>
      </c>
      <c r="P1842" t="str">
        <f>IFERROR(VLOOKUP(A1842,vlookup_table!$A:$G,5,FALSE),"")</f>
        <v>T3</v>
      </c>
      <c r="Q1842">
        <f>IFERROR(VLOOKUP(A1842,vlookup_table!$A:$G,7,FALSE),"")</f>
        <v>10</v>
      </c>
      <c r="R1842">
        <f t="shared" si="112"/>
        <v>41</v>
      </c>
      <c r="S1842" t="str" cm="1">
        <f t="array" ref="S1842">IF(P1842="","",_xlfn.SWITCH(LEFT(P1842,1),"C","Ciudad","T","Pueblo","R","Rural","S","Suburbano","U","Urbano",""))</f>
        <v>Pueblo</v>
      </c>
      <c r="T1842" t="str">
        <f t="shared" si="113"/>
        <v>F</v>
      </c>
      <c r="U1842" t="str">
        <f t="shared" si="114"/>
        <v>MI</v>
      </c>
      <c r="V1842" t="str">
        <f t="shared" si="115"/>
        <v>10986</v>
      </c>
    </row>
    <row r="1843" spans="1:22" x14ac:dyDescent="0.35">
      <c r="A1843">
        <v>93995</v>
      </c>
      <c r="B1843" t="s">
        <v>16</v>
      </c>
      <c r="C1843" t="s">
        <v>17</v>
      </c>
      <c r="D1843">
        <v>2172</v>
      </c>
      <c r="E1843">
        <v>427</v>
      </c>
      <c r="F1843">
        <v>805</v>
      </c>
      <c r="G1843">
        <v>54</v>
      </c>
      <c r="H1843">
        <v>34738</v>
      </c>
      <c r="I1843">
        <v>9</v>
      </c>
      <c r="J1843">
        <v>54</v>
      </c>
      <c r="K1843">
        <v>625</v>
      </c>
      <c r="L1843">
        <v>561</v>
      </c>
      <c r="M1843">
        <v>3.25</v>
      </c>
      <c r="N1843">
        <f>IFERROR(VLOOKUP(A1843,vlookup_table!$A:$G,2,FALSE),"")</f>
        <v>0</v>
      </c>
      <c r="O1843">
        <f>IFERROR(VLOOKUP(A1843,vlookup_table!$A:$G,4,FALSE),"")</f>
        <v>0</v>
      </c>
      <c r="P1843" t="str">
        <f>IFERROR(VLOOKUP(A1843,vlookup_table!$A:$G,5,FALSE),"")</f>
        <v>U1</v>
      </c>
      <c r="Q1843">
        <f>IFERROR(VLOOKUP(A1843,vlookup_table!$A:$G,7,FALSE),"")</f>
        <v>10</v>
      </c>
      <c r="R1843">
        <f t="shared" si="112"/>
        <v>97</v>
      </c>
      <c r="S1843" t="str" cm="1">
        <f t="array" ref="S1843">IF(P1843="","",_xlfn.SWITCH(LEFT(P1843,1),"C","Ciudad","T","Pueblo","R","Rural","S","Suburbano","U","Urbano",""))</f>
        <v>Urbano</v>
      </c>
      <c r="T1843" t="str">
        <f t="shared" si="113"/>
        <v>F</v>
      </c>
      <c r="U1843" t="str">
        <f t="shared" si="114"/>
        <v>IL</v>
      </c>
      <c r="V1843" t="str">
        <f t="shared" si="115"/>
        <v>34738</v>
      </c>
    </row>
    <row r="1844" spans="1:22" x14ac:dyDescent="0.35">
      <c r="A1844">
        <v>84097</v>
      </c>
      <c r="B1844" t="s">
        <v>56</v>
      </c>
      <c r="C1844" t="s">
        <v>17</v>
      </c>
      <c r="D1844">
        <v>3410</v>
      </c>
      <c r="E1844">
        <v>710</v>
      </c>
      <c r="F1844">
        <v>932</v>
      </c>
      <c r="G1844">
        <v>80</v>
      </c>
      <c r="H1844">
        <v>47973</v>
      </c>
      <c r="I1844">
        <v>3</v>
      </c>
      <c r="J1844">
        <v>62</v>
      </c>
      <c r="K1844">
        <v>941</v>
      </c>
      <c r="L1844">
        <v>775</v>
      </c>
      <c r="M1844">
        <v>25</v>
      </c>
      <c r="N1844">
        <f>IFERROR(VLOOKUP(A1844,vlookup_table!$A:$G,2,FALSE),"")</f>
        <v>2</v>
      </c>
      <c r="O1844">
        <f>IFERROR(VLOOKUP(A1844,vlookup_table!$A:$G,4,FALSE),"")</f>
        <v>1001</v>
      </c>
      <c r="P1844" t="str">
        <f>IFERROR(VLOOKUP(A1844,vlookup_table!$A:$G,5,FALSE),"")</f>
        <v>S1</v>
      </c>
      <c r="Q1844">
        <f>IFERROR(VLOOKUP(A1844,vlookup_table!$A:$G,7,FALSE),"")</f>
        <v>25</v>
      </c>
      <c r="R1844">
        <f t="shared" si="112"/>
        <v>87</v>
      </c>
      <c r="S1844" t="str" cm="1">
        <f t="array" ref="S1844">IF(P1844="","",_xlfn.SWITCH(LEFT(P1844,1),"C","Ciudad","T","Pueblo","R","Rural","S","Suburbano","U","Urbano",""))</f>
        <v>Suburbano</v>
      </c>
      <c r="T1844" t="str">
        <f t="shared" si="113"/>
        <v>F</v>
      </c>
      <c r="U1844" t="str">
        <f t="shared" si="114"/>
        <v>MN</v>
      </c>
      <c r="V1844" t="str">
        <f t="shared" si="115"/>
        <v>47973</v>
      </c>
    </row>
    <row r="1845" spans="1:22" x14ac:dyDescent="0.35">
      <c r="A1845">
        <v>116267</v>
      </c>
      <c r="B1845" t="s">
        <v>21</v>
      </c>
      <c r="C1845" t="s">
        <v>17</v>
      </c>
      <c r="D1845">
        <v>1088</v>
      </c>
      <c r="E1845">
        <v>421</v>
      </c>
      <c r="F1845">
        <v>557</v>
      </c>
      <c r="G1845">
        <v>3</v>
      </c>
      <c r="H1845">
        <v>21558</v>
      </c>
      <c r="I1845">
        <v>2</v>
      </c>
      <c r="J1845">
        <v>52</v>
      </c>
      <c r="K1845">
        <v>514</v>
      </c>
      <c r="L1845">
        <v>511</v>
      </c>
      <c r="M1845">
        <v>15</v>
      </c>
      <c r="N1845">
        <f>IFERROR(VLOOKUP(A1845,vlookup_table!$A:$G,2,FALSE),"")</f>
        <v>0</v>
      </c>
      <c r="O1845">
        <f>IFERROR(VLOOKUP(A1845,vlookup_table!$A:$G,4,FALSE),"")</f>
        <v>2401</v>
      </c>
      <c r="P1845" t="str">
        <f>IFERROR(VLOOKUP(A1845,vlookup_table!$A:$G,5,FALSE),"")</f>
        <v>S1</v>
      </c>
      <c r="Q1845">
        <f>IFERROR(VLOOKUP(A1845,vlookup_table!$A:$G,7,FALSE),"")</f>
        <v>20</v>
      </c>
      <c r="R1845">
        <f t="shared" si="112"/>
        <v>73</v>
      </c>
      <c r="S1845" t="str" cm="1">
        <f t="array" ref="S1845">IF(P1845="","",_xlfn.SWITCH(LEFT(P1845,1),"C","Ciudad","T","Pueblo","R","Rural","S","Suburbano","U","Urbano",""))</f>
        <v>Suburbano</v>
      </c>
      <c r="T1845" t="str">
        <f t="shared" si="113"/>
        <v>F</v>
      </c>
      <c r="U1845" t="str">
        <f t="shared" si="114"/>
        <v>TX</v>
      </c>
      <c r="V1845" t="str">
        <f t="shared" si="115"/>
        <v>21558</v>
      </c>
    </row>
    <row r="1846" spans="1:22" x14ac:dyDescent="0.35">
      <c r="A1846">
        <v>153898</v>
      </c>
      <c r="B1846" t="s">
        <v>22</v>
      </c>
      <c r="C1846" t="s">
        <v>17</v>
      </c>
      <c r="D1846">
        <v>875</v>
      </c>
      <c r="E1846">
        <v>226</v>
      </c>
      <c r="F1846">
        <v>254</v>
      </c>
      <c r="G1846">
        <v>0</v>
      </c>
      <c r="H1846">
        <v>7095</v>
      </c>
      <c r="I1846">
        <v>14</v>
      </c>
      <c r="J1846">
        <v>31</v>
      </c>
      <c r="K1846">
        <v>224</v>
      </c>
      <c r="L1846">
        <v>254</v>
      </c>
      <c r="M1846">
        <v>6</v>
      </c>
      <c r="N1846">
        <f>IFERROR(VLOOKUP(A1846,vlookup_table!$A:$G,2,FALSE),"")</f>
        <v>0</v>
      </c>
      <c r="O1846">
        <f>IFERROR(VLOOKUP(A1846,vlookup_table!$A:$G,4,FALSE),"")</f>
        <v>0</v>
      </c>
      <c r="P1846" t="str">
        <f>IFERROR(VLOOKUP(A1846,vlookup_table!$A:$G,5,FALSE),"")</f>
        <v>U2</v>
      </c>
      <c r="Q1846">
        <f>IFERROR(VLOOKUP(A1846,vlookup_table!$A:$G,7,FALSE),"")</f>
        <v>10</v>
      </c>
      <c r="R1846">
        <f t="shared" si="112"/>
        <v>97</v>
      </c>
      <c r="S1846" t="str" cm="1">
        <f t="array" ref="S1846">IF(P1846="","",_xlfn.SWITCH(LEFT(P1846,1),"C","Ciudad","T","Pueblo","R","Rural","S","Suburbano","U","Urbano",""))</f>
        <v>Urbano</v>
      </c>
      <c r="T1846" t="str">
        <f t="shared" si="113"/>
        <v>F</v>
      </c>
      <c r="U1846" t="str">
        <f t="shared" si="114"/>
        <v>CA</v>
      </c>
      <c r="V1846" t="str">
        <f t="shared" si="115"/>
        <v>7095</v>
      </c>
    </row>
    <row r="1847" spans="1:22" x14ac:dyDescent="0.35">
      <c r="A1847">
        <v>161627</v>
      </c>
      <c r="B1847" t="s">
        <v>22</v>
      </c>
      <c r="C1847" t="s">
        <v>14</v>
      </c>
      <c r="D1847">
        <v>883</v>
      </c>
      <c r="E1847">
        <v>247</v>
      </c>
      <c r="F1847">
        <v>336</v>
      </c>
      <c r="G1847">
        <v>1</v>
      </c>
      <c r="H1847">
        <v>11712</v>
      </c>
      <c r="I1847">
        <v>8</v>
      </c>
      <c r="J1847">
        <v>63</v>
      </c>
      <c r="K1847">
        <v>272</v>
      </c>
      <c r="L1847">
        <v>310</v>
      </c>
      <c r="M1847">
        <v>4.9444444440000002</v>
      </c>
      <c r="N1847">
        <f>IFERROR(VLOOKUP(A1847,vlookup_table!$A:$G,2,FALSE),"")</f>
        <v>2</v>
      </c>
      <c r="O1847">
        <f>IFERROR(VLOOKUP(A1847,vlookup_table!$A:$G,4,FALSE),"")</f>
        <v>4401</v>
      </c>
      <c r="P1847" t="str">
        <f>IFERROR(VLOOKUP(A1847,vlookup_table!$A:$G,5,FALSE),"")</f>
        <v>S2</v>
      </c>
      <c r="Q1847">
        <f>IFERROR(VLOOKUP(A1847,vlookup_table!$A:$G,7,FALSE),"")</f>
        <v>21</v>
      </c>
      <c r="R1847">
        <f t="shared" si="112"/>
        <v>53</v>
      </c>
      <c r="S1847" t="str" cm="1">
        <f t="array" ref="S1847">IF(P1847="","",_xlfn.SWITCH(LEFT(P1847,1),"C","Ciudad","T","Pueblo","R","Rural","S","Suburbano","U","Urbano",""))</f>
        <v>Suburbano</v>
      </c>
      <c r="T1847" t="str">
        <f t="shared" si="113"/>
        <v>M</v>
      </c>
      <c r="U1847" t="str">
        <f t="shared" si="114"/>
        <v>CA</v>
      </c>
      <c r="V1847" t="str">
        <f t="shared" si="115"/>
        <v>11712</v>
      </c>
    </row>
    <row r="1848" spans="1:22" x14ac:dyDescent="0.35">
      <c r="A1848">
        <v>22337</v>
      </c>
      <c r="B1848" t="s">
        <v>18</v>
      </c>
      <c r="C1848" t="s">
        <v>20</v>
      </c>
      <c r="D1848">
        <v>514</v>
      </c>
      <c r="E1848">
        <v>239</v>
      </c>
      <c r="F1848">
        <v>322</v>
      </c>
      <c r="G1848">
        <v>0</v>
      </c>
      <c r="H1848">
        <v>11393</v>
      </c>
      <c r="I1848">
        <v>1</v>
      </c>
      <c r="J1848">
        <v>73</v>
      </c>
      <c r="K1848">
        <v>289</v>
      </c>
      <c r="L1848">
        <v>276</v>
      </c>
      <c r="M1848">
        <v>9.25</v>
      </c>
      <c r="N1848">
        <f>IFERROR(VLOOKUP(A1848,vlookup_table!$A:$G,2,FALSE),"")</f>
        <v>0</v>
      </c>
      <c r="O1848">
        <f>IFERROR(VLOOKUP(A1848,vlookup_table!$A:$G,4,FALSE),"")</f>
        <v>0</v>
      </c>
      <c r="P1848" t="str">
        <f>IFERROR(VLOOKUP(A1848,vlookup_table!$A:$G,5,FALSE),"")</f>
        <v>C2</v>
      </c>
      <c r="Q1848">
        <f>IFERROR(VLOOKUP(A1848,vlookup_table!$A:$G,7,FALSE),"")</f>
        <v>10</v>
      </c>
      <c r="R1848">
        <f t="shared" si="112"/>
        <v>97</v>
      </c>
      <c r="S1848" t="str" cm="1">
        <f t="array" ref="S1848">IF(P1848="","",_xlfn.SWITCH(LEFT(P1848,1),"C","Ciudad","T","Pueblo","R","Rural","S","Suburbano","U","Urbano",""))</f>
        <v>Ciudad</v>
      </c>
      <c r="T1848" t="str">
        <f t="shared" si="113"/>
        <v>F</v>
      </c>
      <c r="U1848" t="str">
        <f t="shared" si="114"/>
        <v>NC</v>
      </c>
      <c r="V1848" t="str">
        <f t="shared" si="115"/>
        <v>11393</v>
      </c>
    </row>
    <row r="1849" spans="1:22" x14ac:dyDescent="0.35">
      <c r="A1849">
        <v>7590</v>
      </c>
      <c r="B1849" t="s">
        <v>21</v>
      </c>
      <c r="C1849" t="s">
        <v>17</v>
      </c>
      <c r="D1849">
        <v>689</v>
      </c>
      <c r="E1849">
        <v>344</v>
      </c>
      <c r="F1849">
        <v>377</v>
      </c>
      <c r="G1849">
        <v>4</v>
      </c>
      <c r="H1849">
        <v>16348</v>
      </c>
      <c r="I1849">
        <v>3</v>
      </c>
      <c r="J1849">
        <v>67</v>
      </c>
      <c r="K1849">
        <v>359</v>
      </c>
      <c r="L1849">
        <v>368</v>
      </c>
      <c r="M1849">
        <v>22.285714290000001</v>
      </c>
      <c r="N1849">
        <f>IFERROR(VLOOKUP(A1849,vlookup_table!$A:$G,2,FALSE),"")</f>
        <v>2</v>
      </c>
      <c r="O1849">
        <f>IFERROR(VLOOKUP(A1849,vlookup_table!$A:$G,4,FALSE),"")</f>
        <v>606</v>
      </c>
      <c r="P1849" t="str">
        <f>IFERROR(VLOOKUP(A1849,vlookup_table!$A:$G,5,FALSE),"")</f>
        <v>R2</v>
      </c>
      <c r="Q1849">
        <f>IFERROR(VLOOKUP(A1849,vlookup_table!$A:$G,7,FALSE),"")</f>
        <v>30</v>
      </c>
      <c r="R1849">
        <f t="shared" si="112"/>
        <v>91</v>
      </c>
      <c r="S1849" t="str" cm="1">
        <f t="array" ref="S1849">IF(P1849="","",_xlfn.SWITCH(LEFT(P1849,1),"C","Ciudad","T","Pueblo","R","Rural","S","Suburbano","U","Urbano",""))</f>
        <v>Rural</v>
      </c>
      <c r="T1849" t="str">
        <f t="shared" si="113"/>
        <v>F</v>
      </c>
      <c r="U1849" t="str">
        <f t="shared" si="114"/>
        <v>TX</v>
      </c>
      <c r="V1849" t="str">
        <f t="shared" si="115"/>
        <v>16348</v>
      </c>
    </row>
    <row r="1850" spans="1:22" x14ac:dyDescent="0.35">
      <c r="A1850">
        <v>108905</v>
      </c>
      <c r="B1850" t="s">
        <v>49</v>
      </c>
      <c r="C1850" t="s">
        <v>17</v>
      </c>
      <c r="D1850">
        <v>708</v>
      </c>
      <c r="E1850">
        <v>368</v>
      </c>
      <c r="F1850">
        <v>441</v>
      </c>
      <c r="G1850">
        <v>1</v>
      </c>
      <c r="H1850">
        <v>14303</v>
      </c>
      <c r="I1850">
        <v>3</v>
      </c>
      <c r="J1850">
        <v>55</v>
      </c>
      <c r="K1850">
        <v>404</v>
      </c>
      <c r="L1850">
        <v>407</v>
      </c>
      <c r="M1850">
        <v>12.52631579</v>
      </c>
      <c r="N1850">
        <f>IFERROR(VLOOKUP(A1850,vlookup_table!$A:$G,2,FALSE),"")</f>
        <v>0</v>
      </c>
      <c r="O1850">
        <f>IFERROR(VLOOKUP(A1850,vlookup_table!$A:$G,4,FALSE),"")</f>
        <v>0</v>
      </c>
      <c r="P1850" t="str">
        <f>IFERROR(VLOOKUP(A1850,vlookup_table!$A:$G,5,FALSE),"")</f>
        <v>C1</v>
      </c>
      <c r="Q1850">
        <f>IFERROR(VLOOKUP(A1850,vlookup_table!$A:$G,7,FALSE),"")</f>
        <v>20</v>
      </c>
      <c r="R1850">
        <f t="shared" si="112"/>
        <v>97</v>
      </c>
      <c r="S1850" t="str" cm="1">
        <f t="array" ref="S1850">IF(P1850="","",_xlfn.SWITCH(LEFT(P1850,1),"C","Ciudad","T","Pueblo","R","Rural","S","Suburbano","U","Urbano",""))</f>
        <v>Ciudad</v>
      </c>
      <c r="T1850" t="str">
        <f t="shared" si="113"/>
        <v>F</v>
      </c>
      <c r="U1850" t="str">
        <f t="shared" si="114"/>
        <v>LA</v>
      </c>
      <c r="V1850" t="str">
        <f t="shared" si="115"/>
        <v>14303</v>
      </c>
    </row>
    <row r="1851" spans="1:22" x14ac:dyDescent="0.35">
      <c r="A1851">
        <v>100411</v>
      </c>
      <c r="B1851" t="s">
        <v>36</v>
      </c>
      <c r="C1851" t="s">
        <v>14</v>
      </c>
      <c r="D1851">
        <v>733</v>
      </c>
      <c r="E1851">
        <v>337</v>
      </c>
      <c r="F1851">
        <v>426</v>
      </c>
      <c r="G1851">
        <v>0</v>
      </c>
      <c r="H1851">
        <v>15662</v>
      </c>
      <c r="I1851">
        <v>1</v>
      </c>
      <c r="J1851">
        <v>83</v>
      </c>
      <c r="K1851">
        <v>409</v>
      </c>
      <c r="L1851">
        <v>359</v>
      </c>
      <c r="M1851">
        <v>26.25</v>
      </c>
      <c r="N1851">
        <f>IFERROR(VLOOKUP(A1851,vlookup_table!$A:$G,2,FALSE),"")</f>
        <v>1</v>
      </c>
      <c r="O1851">
        <f>IFERROR(VLOOKUP(A1851,vlookup_table!$A:$G,4,FALSE),"")</f>
        <v>6607</v>
      </c>
      <c r="P1851" t="str">
        <f>IFERROR(VLOOKUP(A1851,vlookup_table!$A:$G,5,FALSE),"")</f>
        <v>S2</v>
      </c>
      <c r="Q1851">
        <f>IFERROR(VLOOKUP(A1851,vlookup_table!$A:$G,7,FALSE),"")</f>
        <v>30</v>
      </c>
      <c r="R1851">
        <f t="shared" si="112"/>
        <v>31</v>
      </c>
      <c r="S1851" t="str" cm="1">
        <f t="array" ref="S1851">IF(P1851="","",_xlfn.SWITCH(LEFT(P1851,1),"C","Ciudad","T","Pueblo","R","Rural","S","Suburbano","U","Urbano",""))</f>
        <v>Suburbano</v>
      </c>
      <c r="T1851" t="str">
        <f t="shared" si="113"/>
        <v>M</v>
      </c>
      <c r="U1851" t="str">
        <f t="shared" si="114"/>
        <v>MO</v>
      </c>
      <c r="V1851" t="str">
        <f t="shared" si="115"/>
        <v>15662</v>
      </c>
    </row>
    <row r="1852" spans="1:22" x14ac:dyDescent="0.35">
      <c r="A1852">
        <v>103488</v>
      </c>
      <c r="B1852" t="s">
        <v>36</v>
      </c>
      <c r="C1852" t="s">
        <v>17</v>
      </c>
      <c r="D1852">
        <v>476</v>
      </c>
      <c r="E1852">
        <v>219</v>
      </c>
      <c r="F1852">
        <v>319</v>
      </c>
      <c r="G1852">
        <v>0</v>
      </c>
      <c r="H1852">
        <v>10966</v>
      </c>
      <c r="I1852">
        <v>1</v>
      </c>
      <c r="J1852">
        <v>74</v>
      </c>
      <c r="K1852">
        <v>280</v>
      </c>
      <c r="L1852">
        <v>272</v>
      </c>
      <c r="M1852">
        <v>5.434782609</v>
      </c>
      <c r="N1852">
        <f>IFERROR(VLOOKUP(A1852,vlookup_table!$A:$G,2,FALSE),"")</f>
        <v>0</v>
      </c>
      <c r="O1852">
        <f>IFERROR(VLOOKUP(A1852,vlookup_table!$A:$G,4,FALSE),"")</f>
        <v>3001</v>
      </c>
      <c r="P1852" t="str">
        <f>IFERROR(VLOOKUP(A1852,vlookup_table!$A:$G,5,FALSE),"")</f>
        <v>T2</v>
      </c>
      <c r="Q1852">
        <f>IFERROR(VLOOKUP(A1852,vlookup_table!$A:$G,7,FALSE),"")</f>
        <v>10</v>
      </c>
      <c r="R1852">
        <f t="shared" si="112"/>
        <v>67</v>
      </c>
      <c r="S1852" t="str" cm="1">
        <f t="array" ref="S1852">IF(P1852="","",_xlfn.SWITCH(LEFT(P1852,1),"C","Ciudad","T","Pueblo","R","Rural","S","Suburbano","U","Urbano",""))</f>
        <v>Pueblo</v>
      </c>
      <c r="T1852" t="str">
        <f t="shared" si="113"/>
        <v>F</v>
      </c>
      <c r="U1852" t="str">
        <f t="shared" si="114"/>
        <v>MO</v>
      </c>
      <c r="V1852" t="str">
        <f t="shared" si="115"/>
        <v>10966</v>
      </c>
    </row>
    <row r="1853" spans="1:22" x14ac:dyDescent="0.35">
      <c r="A1853">
        <v>99410</v>
      </c>
      <c r="B1853" t="s">
        <v>36</v>
      </c>
      <c r="C1853" t="s">
        <v>17</v>
      </c>
      <c r="D1853">
        <v>2041</v>
      </c>
      <c r="E1853">
        <v>856</v>
      </c>
      <c r="F1853">
        <v>950</v>
      </c>
      <c r="G1853">
        <v>52</v>
      </c>
      <c r="H1853">
        <v>43661</v>
      </c>
      <c r="I1853">
        <v>7</v>
      </c>
      <c r="J1853">
        <v>68</v>
      </c>
      <c r="K1853">
        <v>858</v>
      </c>
      <c r="L1853">
        <v>943</v>
      </c>
      <c r="M1853">
        <v>9.8333333330000006</v>
      </c>
      <c r="N1853">
        <f>IFERROR(VLOOKUP(A1853,vlookup_table!$A:$G,2,FALSE),"")</f>
        <v>0</v>
      </c>
      <c r="O1853">
        <f>IFERROR(VLOOKUP(A1853,vlookup_table!$A:$G,4,FALSE),"")</f>
        <v>2001</v>
      </c>
      <c r="P1853" t="str">
        <f>IFERROR(VLOOKUP(A1853,vlookup_table!$A:$G,5,FALSE),"")</f>
        <v>C1</v>
      </c>
      <c r="Q1853">
        <f>IFERROR(VLOOKUP(A1853,vlookup_table!$A:$G,7,FALSE),"")</f>
        <v>17</v>
      </c>
      <c r="R1853">
        <f t="shared" si="112"/>
        <v>77</v>
      </c>
      <c r="S1853" t="str" cm="1">
        <f t="array" ref="S1853">IF(P1853="","",_xlfn.SWITCH(LEFT(P1853,1),"C","Ciudad","T","Pueblo","R","Rural","S","Suburbano","U","Urbano",""))</f>
        <v>Ciudad</v>
      </c>
      <c r="T1853" t="str">
        <f t="shared" si="113"/>
        <v>F</v>
      </c>
      <c r="U1853" t="str">
        <f t="shared" si="114"/>
        <v>MO</v>
      </c>
      <c r="V1853" t="str">
        <f t="shared" si="115"/>
        <v>43661</v>
      </c>
    </row>
    <row r="1854" spans="1:22" x14ac:dyDescent="0.35">
      <c r="A1854">
        <v>43949</v>
      </c>
      <c r="B1854" t="s">
        <v>13</v>
      </c>
      <c r="C1854" t="s">
        <v>14</v>
      </c>
      <c r="D1854">
        <v>881</v>
      </c>
      <c r="E1854">
        <v>297</v>
      </c>
      <c r="F1854">
        <v>453</v>
      </c>
      <c r="G1854">
        <v>3</v>
      </c>
      <c r="H1854">
        <v>19104</v>
      </c>
      <c r="I1854">
        <v>6</v>
      </c>
      <c r="J1854">
        <v>13</v>
      </c>
      <c r="K1854">
        <v>363</v>
      </c>
      <c r="L1854">
        <v>375</v>
      </c>
      <c r="M1854">
        <v>6.7142857139999998</v>
      </c>
      <c r="N1854">
        <f>IFERROR(VLOOKUP(A1854,vlookup_table!$A:$G,2,FALSE),"")</f>
        <v>0</v>
      </c>
      <c r="O1854">
        <f>IFERROR(VLOOKUP(A1854,vlookup_table!$A:$G,4,FALSE),"")</f>
        <v>1901</v>
      </c>
      <c r="P1854" t="str">
        <f>IFERROR(VLOOKUP(A1854,vlookup_table!$A:$G,5,FALSE),"")</f>
        <v>C2</v>
      </c>
      <c r="Q1854">
        <f>IFERROR(VLOOKUP(A1854,vlookup_table!$A:$G,7,FALSE),"")</f>
        <v>6</v>
      </c>
      <c r="R1854">
        <f t="shared" si="112"/>
        <v>78</v>
      </c>
      <c r="S1854" t="str" cm="1">
        <f t="array" ref="S1854">IF(P1854="","",_xlfn.SWITCH(LEFT(P1854,1),"C","Ciudad","T","Pueblo","R","Rural","S","Suburbano","U","Urbano",""))</f>
        <v>Ciudad</v>
      </c>
      <c r="T1854" t="str">
        <f t="shared" si="113"/>
        <v>M</v>
      </c>
      <c r="U1854" t="str">
        <f t="shared" si="114"/>
        <v>FL</v>
      </c>
      <c r="V1854" t="str">
        <f t="shared" si="115"/>
        <v>19104</v>
      </c>
    </row>
    <row r="1855" spans="1:22" x14ac:dyDescent="0.35">
      <c r="A1855">
        <v>87706</v>
      </c>
      <c r="B1855" t="s">
        <v>34</v>
      </c>
      <c r="C1855" t="s">
        <v>14</v>
      </c>
      <c r="D1855">
        <v>434</v>
      </c>
      <c r="E1855">
        <v>211</v>
      </c>
      <c r="F1855">
        <v>308</v>
      </c>
      <c r="G1855">
        <v>0</v>
      </c>
      <c r="H1855">
        <v>10350</v>
      </c>
      <c r="I1855">
        <v>1</v>
      </c>
      <c r="J1855">
        <v>55</v>
      </c>
      <c r="K1855">
        <v>299</v>
      </c>
      <c r="L1855">
        <v>243</v>
      </c>
      <c r="M1855">
        <v>11.4</v>
      </c>
      <c r="N1855">
        <f>IFERROR(VLOOKUP(A1855,vlookup_table!$A:$G,2,FALSE),"")</f>
        <v>1</v>
      </c>
      <c r="O1855">
        <f>IFERROR(VLOOKUP(A1855,vlookup_table!$A:$G,4,FALSE),"")</f>
        <v>3201</v>
      </c>
      <c r="P1855" t="str">
        <f>IFERROR(VLOOKUP(A1855,vlookup_table!$A:$G,5,FALSE),"")</f>
        <v>T2</v>
      </c>
      <c r="Q1855">
        <f>IFERROR(VLOOKUP(A1855,vlookup_table!$A:$G,7,FALSE),"")</f>
        <v>12</v>
      </c>
      <c r="R1855">
        <f t="shared" si="112"/>
        <v>65</v>
      </c>
      <c r="S1855" t="str" cm="1">
        <f t="array" ref="S1855">IF(P1855="","",_xlfn.SWITCH(LEFT(P1855,1),"C","Ciudad","T","Pueblo","R","Rural","S","Suburbano","U","Urbano",""))</f>
        <v>Pueblo</v>
      </c>
      <c r="T1855" t="str">
        <f t="shared" si="113"/>
        <v>M</v>
      </c>
      <c r="U1855" t="str">
        <f t="shared" si="114"/>
        <v>MT</v>
      </c>
      <c r="V1855" t="str">
        <f t="shared" si="115"/>
        <v>10350</v>
      </c>
    </row>
    <row r="1856" spans="1:22" x14ac:dyDescent="0.35">
      <c r="A1856">
        <v>122217</v>
      </c>
      <c r="B1856" t="s">
        <v>21</v>
      </c>
      <c r="C1856" t="s">
        <v>17</v>
      </c>
      <c r="D1856">
        <v>1150</v>
      </c>
      <c r="E1856">
        <v>196</v>
      </c>
      <c r="F1856">
        <v>270</v>
      </c>
      <c r="G1856">
        <v>0</v>
      </c>
      <c r="H1856">
        <v>14466</v>
      </c>
      <c r="I1856">
        <v>36</v>
      </c>
      <c r="J1856">
        <v>35</v>
      </c>
      <c r="K1856">
        <v>212</v>
      </c>
      <c r="L1856">
        <v>245</v>
      </c>
      <c r="M1856">
        <v>7.6666666670000003</v>
      </c>
      <c r="N1856">
        <f>IFERROR(VLOOKUP(A1856,vlookup_table!$A:$G,2,FALSE),"")</f>
        <v>0</v>
      </c>
      <c r="O1856">
        <f>IFERROR(VLOOKUP(A1856,vlookup_table!$A:$G,4,FALSE),"")</f>
        <v>3001</v>
      </c>
      <c r="P1856" t="str">
        <f>IFERROR(VLOOKUP(A1856,vlookup_table!$A:$G,5,FALSE),"")</f>
        <v>U1</v>
      </c>
      <c r="Q1856">
        <f>IFERROR(VLOOKUP(A1856,vlookup_table!$A:$G,7,FALSE),"")</f>
        <v>5</v>
      </c>
      <c r="R1856">
        <f t="shared" si="112"/>
        <v>67</v>
      </c>
      <c r="S1856" t="str" cm="1">
        <f t="array" ref="S1856">IF(P1856="","",_xlfn.SWITCH(LEFT(P1856,1),"C","Ciudad","T","Pueblo","R","Rural","S","Suburbano","U","Urbano",""))</f>
        <v>Urbano</v>
      </c>
      <c r="T1856" t="str">
        <f t="shared" si="113"/>
        <v>F</v>
      </c>
      <c r="U1856" t="str">
        <f t="shared" si="114"/>
        <v>TX</v>
      </c>
      <c r="V1856" t="str">
        <f t="shared" si="115"/>
        <v>14466</v>
      </c>
    </row>
    <row r="1857" spans="1:22" x14ac:dyDescent="0.35">
      <c r="A1857">
        <v>29724</v>
      </c>
      <c r="B1857" t="s">
        <v>39</v>
      </c>
      <c r="C1857" t="s">
        <v>17</v>
      </c>
      <c r="D1857">
        <v>529</v>
      </c>
      <c r="E1857">
        <v>259</v>
      </c>
      <c r="F1857">
        <v>304</v>
      </c>
      <c r="G1857">
        <v>0</v>
      </c>
      <c r="H1857">
        <v>9796</v>
      </c>
      <c r="I1857">
        <v>2</v>
      </c>
      <c r="J1857">
        <v>64</v>
      </c>
      <c r="K1857">
        <v>304</v>
      </c>
      <c r="L1857">
        <v>280</v>
      </c>
      <c r="M1857">
        <v>5.6111111109999996</v>
      </c>
      <c r="N1857">
        <f>IFERROR(VLOOKUP(A1857,vlookup_table!$A:$G,2,FALSE),"")</f>
        <v>2</v>
      </c>
      <c r="O1857">
        <f>IFERROR(VLOOKUP(A1857,vlookup_table!$A:$G,4,FALSE),"")</f>
        <v>3606</v>
      </c>
      <c r="P1857" t="str">
        <f>IFERROR(VLOOKUP(A1857,vlookup_table!$A:$G,5,FALSE),"")</f>
        <v>R2</v>
      </c>
      <c r="Q1857">
        <f>IFERROR(VLOOKUP(A1857,vlookup_table!$A:$G,7,FALSE),"")</f>
        <v>5</v>
      </c>
      <c r="R1857">
        <f t="shared" si="112"/>
        <v>61</v>
      </c>
      <c r="S1857" t="str" cm="1">
        <f t="array" ref="S1857">IF(P1857="","",_xlfn.SWITCH(LEFT(P1857,1),"C","Ciudad","T","Pueblo","R","Rural","S","Suburbano","U","Urbano",""))</f>
        <v>Rural</v>
      </c>
      <c r="T1857" t="str">
        <f t="shared" si="113"/>
        <v>F</v>
      </c>
      <c r="U1857" t="str">
        <f t="shared" si="114"/>
        <v>GA</v>
      </c>
      <c r="V1857" t="str">
        <f t="shared" si="115"/>
        <v>9796</v>
      </c>
    </row>
    <row r="1858" spans="1:22" x14ac:dyDescent="0.35">
      <c r="A1858">
        <v>172214</v>
      </c>
      <c r="B1858" t="s">
        <v>22</v>
      </c>
      <c r="C1858" t="s">
        <v>17</v>
      </c>
      <c r="D1858">
        <v>1205</v>
      </c>
      <c r="E1858">
        <v>399</v>
      </c>
      <c r="F1858">
        <v>450</v>
      </c>
      <c r="G1858">
        <v>3</v>
      </c>
      <c r="H1858">
        <v>17611</v>
      </c>
      <c r="I1858">
        <v>5</v>
      </c>
      <c r="J1858">
        <v>61</v>
      </c>
      <c r="K1858">
        <v>408</v>
      </c>
      <c r="L1858">
        <v>444</v>
      </c>
      <c r="M1858">
        <v>9.8000000000000007</v>
      </c>
      <c r="N1858">
        <f>IFERROR(VLOOKUP(A1858,vlookup_table!$A:$G,2,FALSE),"")</f>
        <v>0</v>
      </c>
      <c r="O1858">
        <f>IFERROR(VLOOKUP(A1858,vlookup_table!$A:$G,4,FALSE),"")</f>
        <v>4803</v>
      </c>
      <c r="P1858" t="str">
        <f>IFERROR(VLOOKUP(A1858,vlookup_table!$A:$G,5,FALSE),"")</f>
        <v>S2</v>
      </c>
      <c r="Q1858">
        <f>IFERROR(VLOOKUP(A1858,vlookup_table!$A:$G,7,FALSE),"")</f>
        <v>5</v>
      </c>
      <c r="R1858">
        <f t="shared" ref="R1858:R1921" si="116">IF(O1858="","",97-INT(O1858/100))</f>
        <v>49</v>
      </c>
      <c r="S1858" t="str" cm="1">
        <f t="array" ref="S1858">IF(P1858="","",_xlfn.SWITCH(LEFT(P1858,1),"C","Ciudad","T","Pueblo","R","Rural","S","Suburbano","U","Urbano",""))</f>
        <v>Suburbano</v>
      </c>
      <c r="T1858" t="str">
        <f t="shared" ref="T1858:T1921" si="117">IF(C1858="","",IF(OR(UPPER(C1858)="M",UPPER(C1858)="MALE"),"M",IF(OR(UPPER(C1858)="F",UPPER(C1858)="FEMALE",UPPER(C1858)="FEAMALE"),"F",C1858)))</f>
        <v>F</v>
      </c>
      <c r="U1858" t="str">
        <f t="shared" ref="U1858:U1921" si="118">IF(OR(UPPER(B1858)="CALIFORNIA",UPPER(B1858)="CALI"),"CA",B1858)</f>
        <v>CA</v>
      </c>
      <c r="V1858" t="str">
        <f t="shared" ref="V1858:V1921" si="119">SUBSTITUTE(H1858,"@","")</f>
        <v>17611</v>
      </c>
    </row>
    <row r="1859" spans="1:22" x14ac:dyDescent="0.35">
      <c r="A1859">
        <v>106719</v>
      </c>
      <c r="B1859" t="s">
        <v>21</v>
      </c>
      <c r="C1859" t="s">
        <v>17</v>
      </c>
      <c r="D1859">
        <v>301</v>
      </c>
      <c r="E1859">
        <v>215</v>
      </c>
      <c r="F1859">
        <v>299</v>
      </c>
      <c r="G1859">
        <v>1</v>
      </c>
      <c r="H1859">
        <v>10813</v>
      </c>
      <c r="I1859">
        <v>11</v>
      </c>
      <c r="J1859">
        <v>63</v>
      </c>
      <c r="K1859">
        <v>273</v>
      </c>
      <c r="L1859">
        <v>262</v>
      </c>
      <c r="M1859">
        <v>8.9827586210000003</v>
      </c>
      <c r="N1859">
        <f>IFERROR(VLOOKUP(A1859,vlookup_table!$A:$G,2,FALSE),"")</f>
        <v>28</v>
      </c>
      <c r="O1859">
        <f>IFERROR(VLOOKUP(A1859,vlookup_table!$A:$G,4,FALSE),"")</f>
        <v>601</v>
      </c>
      <c r="P1859" t="str">
        <f>IFERROR(VLOOKUP(A1859,vlookup_table!$A:$G,5,FALSE),"")</f>
        <v>U3</v>
      </c>
      <c r="Q1859">
        <f>IFERROR(VLOOKUP(A1859,vlookup_table!$A:$G,7,FALSE),"")</f>
        <v>10</v>
      </c>
      <c r="R1859">
        <f t="shared" si="116"/>
        <v>91</v>
      </c>
      <c r="S1859" t="str" cm="1">
        <f t="array" ref="S1859">IF(P1859="","",_xlfn.SWITCH(LEFT(P1859,1),"C","Ciudad","T","Pueblo","R","Rural","S","Suburbano","U","Urbano",""))</f>
        <v>Urbano</v>
      </c>
      <c r="T1859" t="str">
        <f t="shared" si="117"/>
        <v>F</v>
      </c>
      <c r="U1859" t="str">
        <f t="shared" si="118"/>
        <v>TX</v>
      </c>
      <c r="V1859" t="str">
        <f t="shared" si="119"/>
        <v>10813</v>
      </c>
    </row>
    <row r="1860" spans="1:22" x14ac:dyDescent="0.35">
      <c r="A1860">
        <v>12932</v>
      </c>
      <c r="B1860" t="s">
        <v>68</v>
      </c>
      <c r="C1860" t="s">
        <v>17</v>
      </c>
      <c r="D1860">
        <v>910</v>
      </c>
      <c r="E1860">
        <v>302</v>
      </c>
      <c r="F1860">
        <v>548</v>
      </c>
      <c r="G1860">
        <v>18</v>
      </c>
      <c r="H1860">
        <v>23312</v>
      </c>
      <c r="I1860">
        <v>4</v>
      </c>
      <c r="J1860">
        <v>58</v>
      </c>
      <c r="K1860">
        <v>415</v>
      </c>
      <c r="L1860">
        <v>421</v>
      </c>
      <c r="M1860">
        <v>12.23076923</v>
      </c>
      <c r="N1860">
        <f>IFERROR(VLOOKUP(A1860,vlookup_table!$A:$G,2,FALSE),"")</f>
        <v>28</v>
      </c>
      <c r="O1860">
        <f>IFERROR(VLOOKUP(A1860,vlookup_table!$A:$G,4,FALSE),"")</f>
        <v>4704</v>
      </c>
      <c r="P1860" t="str">
        <f>IFERROR(VLOOKUP(A1860,vlookup_table!$A:$G,5,FALSE),"")</f>
        <v>C2</v>
      </c>
      <c r="Q1860">
        <f>IFERROR(VLOOKUP(A1860,vlookup_table!$A:$G,7,FALSE),"")</f>
        <v>21</v>
      </c>
      <c r="R1860">
        <f t="shared" si="116"/>
        <v>50</v>
      </c>
      <c r="S1860" t="str" cm="1">
        <f t="array" ref="S1860">IF(P1860="","",_xlfn.SWITCH(LEFT(P1860,1),"C","Ciudad","T","Pueblo","R","Rural","S","Suburbano","U","Urbano",""))</f>
        <v>Ciudad</v>
      </c>
      <c r="T1860" t="str">
        <f t="shared" si="117"/>
        <v>F</v>
      </c>
      <c r="U1860" t="str">
        <f t="shared" si="118"/>
        <v>Tennessee</v>
      </c>
      <c r="V1860" t="str">
        <f t="shared" si="119"/>
        <v>23312</v>
      </c>
    </row>
    <row r="1861" spans="1:22" x14ac:dyDescent="0.35">
      <c r="A1861">
        <v>190726</v>
      </c>
      <c r="B1861" t="s">
        <v>69</v>
      </c>
      <c r="C1861" t="s">
        <v>17</v>
      </c>
      <c r="D1861">
        <v>875</v>
      </c>
      <c r="E1861">
        <v>391</v>
      </c>
      <c r="F1861">
        <v>425</v>
      </c>
      <c r="G1861">
        <v>0</v>
      </c>
      <c r="H1861">
        <v>14468</v>
      </c>
      <c r="I1861">
        <v>3</v>
      </c>
      <c r="J1861">
        <v>71</v>
      </c>
      <c r="K1861">
        <v>415</v>
      </c>
      <c r="L1861">
        <v>381</v>
      </c>
      <c r="M1861">
        <v>11.42857143</v>
      </c>
      <c r="N1861">
        <f>IFERROR(VLOOKUP(A1861,vlookup_table!$A:$G,2,FALSE),"")</f>
        <v>2</v>
      </c>
      <c r="O1861">
        <f>IFERROR(VLOOKUP(A1861,vlookup_table!$A:$G,4,FALSE),"")</f>
        <v>508</v>
      </c>
      <c r="P1861">
        <f>IFERROR(VLOOKUP(A1861,vlookup_table!$A:$G,5,FALSE),"")</f>
        <v>0</v>
      </c>
      <c r="Q1861">
        <f>IFERROR(VLOOKUP(A1861,vlookup_table!$A:$G,7,FALSE),"")</f>
        <v>10</v>
      </c>
      <c r="R1861">
        <f t="shared" si="116"/>
        <v>92</v>
      </c>
      <c r="S1861" t="str" cm="1">
        <f t="array" ref="S1861">IF(P1861="","",_xlfn.SWITCH(LEFT(P1861,1),"C","Ciudad","T","Pueblo","R","Rural","S","Suburbano","U","Urbano",""))</f>
        <v/>
      </c>
      <c r="T1861" t="str">
        <f t="shared" si="117"/>
        <v>F</v>
      </c>
      <c r="U1861" t="str">
        <f t="shared" si="118"/>
        <v>MD</v>
      </c>
      <c r="V1861" t="str">
        <f t="shared" si="119"/>
        <v>14468</v>
      </c>
    </row>
    <row r="1862" spans="1:22" x14ac:dyDescent="0.35">
      <c r="A1862">
        <v>127511</v>
      </c>
      <c r="B1862" t="s">
        <v>21</v>
      </c>
      <c r="C1862" t="s">
        <v>17</v>
      </c>
      <c r="D1862">
        <v>945</v>
      </c>
      <c r="E1862">
        <v>398</v>
      </c>
      <c r="F1862">
        <v>563</v>
      </c>
      <c r="G1862">
        <v>0</v>
      </c>
      <c r="H1862">
        <v>19790</v>
      </c>
      <c r="I1862">
        <v>6</v>
      </c>
      <c r="J1862">
        <v>53</v>
      </c>
      <c r="K1862">
        <v>578</v>
      </c>
      <c r="L1862">
        <v>446</v>
      </c>
      <c r="M1862">
        <v>17.18181818</v>
      </c>
      <c r="N1862">
        <f>IFERROR(VLOOKUP(A1862,vlookup_table!$A:$G,2,FALSE),"")</f>
        <v>2</v>
      </c>
      <c r="O1862">
        <f>IFERROR(VLOOKUP(A1862,vlookup_table!$A:$G,4,FALSE),"")</f>
        <v>4104</v>
      </c>
      <c r="P1862" t="str">
        <f>IFERROR(VLOOKUP(A1862,vlookup_table!$A:$G,5,FALSE),"")</f>
        <v>S1</v>
      </c>
      <c r="Q1862">
        <f>IFERROR(VLOOKUP(A1862,vlookup_table!$A:$G,7,FALSE),"")</f>
        <v>23</v>
      </c>
      <c r="R1862">
        <f t="shared" si="116"/>
        <v>56</v>
      </c>
      <c r="S1862" t="str" cm="1">
        <f t="array" ref="S1862">IF(P1862="","",_xlfn.SWITCH(LEFT(P1862,1),"C","Ciudad","T","Pueblo","R","Rural","S","Suburbano","U","Urbano",""))</f>
        <v>Suburbano</v>
      </c>
      <c r="T1862" t="str">
        <f t="shared" si="117"/>
        <v>F</v>
      </c>
      <c r="U1862" t="str">
        <f t="shared" si="118"/>
        <v>TX</v>
      </c>
      <c r="V1862" t="str">
        <f t="shared" si="119"/>
        <v>19790</v>
      </c>
    </row>
    <row r="1863" spans="1:22" x14ac:dyDescent="0.35">
      <c r="A1863">
        <v>56337</v>
      </c>
      <c r="B1863" t="s">
        <v>57</v>
      </c>
      <c r="C1863" t="s">
        <v>17</v>
      </c>
      <c r="D1863">
        <v>714</v>
      </c>
      <c r="E1863">
        <v>187</v>
      </c>
      <c r="F1863">
        <v>376</v>
      </c>
      <c r="G1863">
        <v>0</v>
      </c>
      <c r="H1863">
        <v>13679</v>
      </c>
      <c r="I1863">
        <v>0</v>
      </c>
      <c r="J1863">
        <v>83</v>
      </c>
      <c r="K1863">
        <v>290</v>
      </c>
      <c r="L1863">
        <v>282</v>
      </c>
      <c r="M1863">
        <v>12.07142857</v>
      </c>
      <c r="N1863">
        <f>IFERROR(VLOOKUP(A1863,vlookup_table!$A:$G,2,FALSE),"")</f>
        <v>0</v>
      </c>
      <c r="O1863">
        <f>IFERROR(VLOOKUP(A1863,vlookup_table!$A:$G,4,FALSE),"")</f>
        <v>3710</v>
      </c>
      <c r="P1863" t="str">
        <f>IFERROR(VLOOKUP(A1863,vlookup_table!$A:$G,5,FALSE),"")</f>
        <v>T2</v>
      </c>
      <c r="Q1863">
        <f>IFERROR(VLOOKUP(A1863,vlookup_table!$A:$G,7,FALSE),"")</f>
        <v>15</v>
      </c>
      <c r="R1863">
        <f t="shared" si="116"/>
        <v>60</v>
      </c>
      <c r="S1863" t="str" cm="1">
        <f t="array" ref="S1863">IF(P1863="","",_xlfn.SWITCH(LEFT(P1863,1),"C","Ciudad","T","Pueblo","R","Rural","S","Suburbano","U","Urbano",""))</f>
        <v>Pueblo</v>
      </c>
      <c r="T1863" t="str">
        <f t="shared" si="117"/>
        <v>F</v>
      </c>
      <c r="U1863" t="str">
        <f t="shared" si="118"/>
        <v>KY</v>
      </c>
      <c r="V1863" t="str">
        <f t="shared" si="119"/>
        <v>13679</v>
      </c>
    </row>
    <row r="1864" spans="1:22" x14ac:dyDescent="0.35">
      <c r="A1864">
        <v>113692</v>
      </c>
      <c r="B1864" t="s">
        <v>31</v>
      </c>
      <c r="C1864" t="s">
        <v>14</v>
      </c>
      <c r="D1864">
        <v>763</v>
      </c>
      <c r="E1864">
        <v>316</v>
      </c>
      <c r="F1864">
        <v>398</v>
      </c>
      <c r="G1864">
        <v>1</v>
      </c>
      <c r="H1864">
        <v>12903</v>
      </c>
      <c r="I1864">
        <v>4</v>
      </c>
      <c r="J1864">
        <v>29</v>
      </c>
      <c r="K1864">
        <v>334</v>
      </c>
      <c r="L1864">
        <v>378</v>
      </c>
      <c r="M1864">
        <v>5.5</v>
      </c>
      <c r="N1864">
        <f>IFERROR(VLOOKUP(A1864,vlookup_table!$A:$G,2,FALSE),"")</f>
        <v>1</v>
      </c>
      <c r="O1864">
        <f>IFERROR(VLOOKUP(A1864,vlookup_table!$A:$G,4,FALSE),"")</f>
        <v>5101</v>
      </c>
      <c r="P1864" t="str">
        <f>IFERROR(VLOOKUP(A1864,vlookup_table!$A:$G,5,FALSE),"")</f>
        <v>T1</v>
      </c>
      <c r="Q1864">
        <f>IFERROR(VLOOKUP(A1864,vlookup_table!$A:$G,7,FALSE),"")</f>
        <v>8</v>
      </c>
      <c r="R1864">
        <f t="shared" si="116"/>
        <v>46</v>
      </c>
      <c r="S1864" t="str" cm="1">
        <f t="array" ref="S1864">IF(P1864="","",_xlfn.SWITCH(LEFT(P1864,1),"C","Ciudad","T","Pueblo","R","Rural","S","Suburbano","U","Urbano",""))</f>
        <v>Pueblo</v>
      </c>
      <c r="T1864" t="str">
        <f t="shared" si="117"/>
        <v>M</v>
      </c>
      <c r="U1864" t="str">
        <f t="shared" si="118"/>
        <v>OK</v>
      </c>
      <c r="V1864" t="str">
        <f t="shared" si="119"/>
        <v>12903</v>
      </c>
    </row>
    <row r="1865" spans="1:22" x14ac:dyDescent="0.35">
      <c r="A1865">
        <v>79850</v>
      </c>
      <c r="B1865" t="s">
        <v>35</v>
      </c>
      <c r="C1865" t="s">
        <v>51</v>
      </c>
      <c r="D1865">
        <v>515</v>
      </c>
      <c r="E1865">
        <v>258</v>
      </c>
      <c r="F1865">
        <v>327</v>
      </c>
      <c r="G1865">
        <v>3</v>
      </c>
      <c r="H1865">
        <v>11337</v>
      </c>
      <c r="I1865">
        <v>1</v>
      </c>
      <c r="J1865">
        <v>81</v>
      </c>
      <c r="K1865">
        <v>276</v>
      </c>
      <c r="L1865">
        <v>302</v>
      </c>
      <c r="M1865">
        <v>5.8571428570000004</v>
      </c>
      <c r="N1865">
        <f>IFERROR(VLOOKUP(A1865,vlookup_table!$A:$G,2,FALSE),"")</f>
        <v>2</v>
      </c>
      <c r="O1865">
        <f>IFERROR(VLOOKUP(A1865,vlookup_table!$A:$G,4,FALSE),"")</f>
        <v>1401</v>
      </c>
      <c r="P1865" t="str">
        <f>IFERROR(VLOOKUP(A1865,vlookup_table!$A:$G,5,FALSE),"")</f>
        <v>R2</v>
      </c>
      <c r="Q1865">
        <f>IFERROR(VLOOKUP(A1865,vlookup_table!$A:$G,7,FALSE),"")</f>
        <v>10</v>
      </c>
      <c r="R1865">
        <f t="shared" si="116"/>
        <v>83</v>
      </c>
      <c r="S1865" t="str" cm="1">
        <f t="array" ref="S1865">IF(P1865="","",_xlfn.SWITCH(LEFT(P1865,1),"C","Ciudad","T","Pueblo","R","Rural","S","Suburbano","U","Urbano",""))</f>
        <v>Rural</v>
      </c>
      <c r="T1865" t="str">
        <f t="shared" si="117"/>
        <v>M</v>
      </c>
      <c r="U1865" t="str">
        <f t="shared" si="118"/>
        <v>WI</v>
      </c>
      <c r="V1865" t="str">
        <f t="shared" si="119"/>
        <v>11337</v>
      </c>
    </row>
    <row r="1866" spans="1:22" x14ac:dyDescent="0.35">
      <c r="A1866">
        <v>28796</v>
      </c>
      <c r="B1866" t="s">
        <v>39</v>
      </c>
      <c r="C1866" t="s">
        <v>14</v>
      </c>
      <c r="D1866">
        <v>448</v>
      </c>
      <c r="E1866">
        <v>192</v>
      </c>
      <c r="F1866">
        <v>299</v>
      </c>
      <c r="G1866">
        <v>1</v>
      </c>
      <c r="H1866">
        <v>9533</v>
      </c>
      <c r="I1866">
        <v>1</v>
      </c>
      <c r="J1866">
        <v>88</v>
      </c>
      <c r="K1866">
        <v>241</v>
      </c>
      <c r="L1866">
        <v>254</v>
      </c>
      <c r="M1866">
        <v>8.2941176470000002</v>
      </c>
      <c r="N1866">
        <f>IFERROR(VLOOKUP(A1866,vlookup_table!$A:$G,2,FALSE),"")</f>
        <v>2</v>
      </c>
      <c r="O1866">
        <f>IFERROR(VLOOKUP(A1866,vlookup_table!$A:$G,4,FALSE),"")</f>
        <v>0</v>
      </c>
      <c r="P1866" t="str">
        <f>IFERROR(VLOOKUP(A1866,vlookup_table!$A:$G,5,FALSE),"")</f>
        <v>R2</v>
      </c>
      <c r="Q1866">
        <f>IFERROR(VLOOKUP(A1866,vlookup_table!$A:$G,7,FALSE),"")</f>
        <v>10</v>
      </c>
      <c r="R1866">
        <f t="shared" si="116"/>
        <v>97</v>
      </c>
      <c r="S1866" t="str" cm="1">
        <f t="array" ref="S1866">IF(P1866="","",_xlfn.SWITCH(LEFT(P1866,1),"C","Ciudad","T","Pueblo","R","Rural","S","Suburbano","U","Urbano",""))</f>
        <v>Rural</v>
      </c>
      <c r="T1866" t="str">
        <f t="shared" si="117"/>
        <v>M</v>
      </c>
      <c r="U1866" t="str">
        <f t="shared" si="118"/>
        <v>GA</v>
      </c>
      <c r="V1866" t="str">
        <f t="shared" si="119"/>
        <v>9533</v>
      </c>
    </row>
    <row r="1867" spans="1:22" x14ac:dyDescent="0.35">
      <c r="A1867">
        <v>131032</v>
      </c>
      <c r="B1867" t="s">
        <v>48</v>
      </c>
      <c r="C1867" t="s">
        <v>17</v>
      </c>
      <c r="D1867">
        <v>524</v>
      </c>
      <c r="E1867">
        <v>264</v>
      </c>
      <c r="F1867">
        <v>325</v>
      </c>
      <c r="G1867">
        <v>0</v>
      </c>
      <c r="H1867">
        <v>11359</v>
      </c>
      <c r="I1867">
        <v>0</v>
      </c>
      <c r="J1867">
        <v>36</v>
      </c>
      <c r="K1867">
        <v>269</v>
      </c>
      <c r="L1867">
        <v>329</v>
      </c>
      <c r="M1867">
        <v>11.8</v>
      </c>
      <c r="N1867">
        <f>IFERROR(VLOOKUP(A1867,vlookup_table!$A:$G,2,FALSE),"")</f>
        <v>0</v>
      </c>
      <c r="O1867">
        <f>IFERROR(VLOOKUP(A1867,vlookup_table!$A:$G,4,FALSE),"")</f>
        <v>5801</v>
      </c>
      <c r="P1867" t="str">
        <f>IFERROR(VLOOKUP(A1867,vlookup_table!$A:$G,5,FALSE),"")</f>
        <v>T2</v>
      </c>
      <c r="Q1867">
        <f>IFERROR(VLOOKUP(A1867,vlookup_table!$A:$G,7,FALSE),"")</f>
        <v>25</v>
      </c>
      <c r="R1867">
        <f t="shared" si="116"/>
        <v>39</v>
      </c>
      <c r="S1867" t="str" cm="1">
        <f t="array" ref="S1867">IF(P1867="","",_xlfn.SWITCH(LEFT(P1867,1),"C","Ciudad","T","Pueblo","R","Rural","S","Suburbano","U","Urbano",""))</f>
        <v>Pueblo</v>
      </c>
      <c r="T1867" t="str">
        <f t="shared" si="117"/>
        <v>F</v>
      </c>
      <c r="U1867" t="str">
        <f t="shared" si="118"/>
        <v>CO</v>
      </c>
      <c r="V1867" t="str">
        <f t="shared" si="119"/>
        <v>11359</v>
      </c>
    </row>
    <row r="1868" spans="1:22" x14ac:dyDescent="0.35">
      <c r="A1868">
        <v>86318</v>
      </c>
      <c r="B1868" t="s">
        <v>52</v>
      </c>
      <c r="C1868" t="s">
        <v>17</v>
      </c>
      <c r="D1868">
        <v>397</v>
      </c>
      <c r="E1868">
        <v>166</v>
      </c>
      <c r="F1868">
        <v>274</v>
      </c>
      <c r="G1868">
        <v>3</v>
      </c>
      <c r="H1868">
        <v>10630</v>
      </c>
      <c r="I1868">
        <v>1</v>
      </c>
      <c r="J1868">
        <v>61</v>
      </c>
      <c r="K1868">
        <v>211</v>
      </c>
      <c r="L1868">
        <v>227</v>
      </c>
      <c r="M1868">
        <v>8.96875</v>
      </c>
      <c r="N1868">
        <f>IFERROR(VLOOKUP(A1868,vlookup_table!$A:$G,2,FALSE),"")</f>
        <v>2</v>
      </c>
      <c r="O1868">
        <f>IFERROR(VLOOKUP(A1868,vlookup_table!$A:$G,4,FALSE),"")</f>
        <v>0</v>
      </c>
      <c r="P1868" t="str">
        <f>IFERROR(VLOOKUP(A1868,vlookup_table!$A:$G,5,FALSE),"")</f>
        <v>R2</v>
      </c>
      <c r="Q1868">
        <f>IFERROR(VLOOKUP(A1868,vlookup_table!$A:$G,7,FALSE),"")</f>
        <v>5</v>
      </c>
      <c r="R1868">
        <f t="shared" si="116"/>
        <v>97</v>
      </c>
      <c r="S1868" t="str" cm="1">
        <f t="array" ref="S1868">IF(P1868="","",_xlfn.SWITCH(LEFT(P1868,1),"C","Ciudad","T","Pueblo","R","Rural","S","Suburbano","U","Urbano",""))</f>
        <v>Rural</v>
      </c>
      <c r="T1868" t="str">
        <f t="shared" si="117"/>
        <v>F</v>
      </c>
      <c r="U1868" t="str">
        <f t="shared" si="118"/>
        <v>SD</v>
      </c>
      <c r="V1868" t="str">
        <f t="shared" si="119"/>
        <v>10630</v>
      </c>
    </row>
    <row r="1869" spans="1:22" x14ac:dyDescent="0.35">
      <c r="A1869">
        <v>63725</v>
      </c>
      <c r="B1869" t="s">
        <v>33</v>
      </c>
      <c r="C1869" t="s">
        <v>14</v>
      </c>
      <c r="D1869">
        <v>637</v>
      </c>
      <c r="E1869">
        <v>286</v>
      </c>
      <c r="F1869">
        <v>371</v>
      </c>
      <c r="G1869">
        <v>1</v>
      </c>
      <c r="H1869">
        <v>13061</v>
      </c>
      <c r="I1869">
        <v>1</v>
      </c>
      <c r="J1869">
        <v>76</v>
      </c>
      <c r="K1869">
        <v>316</v>
      </c>
      <c r="L1869">
        <v>335</v>
      </c>
      <c r="M1869">
        <v>25</v>
      </c>
      <c r="N1869">
        <f>IFERROR(VLOOKUP(A1869,vlookup_table!$A:$G,2,FALSE),"")</f>
        <v>1002</v>
      </c>
      <c r="O1869">
        <f>IFERROR(VLOOKUP(A1869,vlookup_table!$A:$G,4,FALSE),"")</f>
        <v>2301</v>
      </c>
      <c r="P1869" t="str">
        <f>IFERROR(VLOOKUP(A1869,vlookup_table!$A:$G,5,FALSE),"")</f>
        <v>R2</v>
      </c>
      <c r="Q1869">
        <f>IFERROR(VLOOKUP(A1869,vlookup_table!$A:$G,7,FALSE),"")</f>
        <v>25</v>
      </c>
      <c r="R1869">
        <f t="shared" si="116"/>
        <v>74</v>
      </c>
      <c r="S1869" t="str" cm="1">
        <f t="array" ref="S1869">IF(P1869="","",_xlfn.SWITCH(LEFT(P1869,1),"C","Ciudad","T","Pueblo","R","Rural","S","Suburbano","U","Urbano",""))</f>
        <v>Rural</v>
      </c>
      <c r="T1869" t="str">
        <f t="shared" si="117"/>
        <v>M</v>
      </c>
      <c r="U1869" t="str">
        <f t="shared" si="118"/>
        <v>IN</v>
      </c>
      <c r="V1869" t="str">
        <f t="shared" si="119"/>
        <v>13061</v>
      </c>
    </row>
    <row r="1870" spans="1:22" x14ac:dyDescent="0.35">
      <c r="A1870">
        <v>63572</v>
      </c>
      <c r="B1870" t="s">
        <v>33</v>
      </c>
      <c r="C1870" t="s">
        <v>17</v>
      </c>
      <c r="D1870">
        <v>778</v>
      </c>
      <c r="E1870">
        <v>377</v>
      </c>
      <c r="F1870">
        <v>527</v>
      </c>
      <c r="G1870">
        <v>5</v>
      </c>
      <c r="H1870">
        <v>17251</v>
      </c>
      <c r="I1870">
        <v>0</v>
      </c>
      <c r="J1870">
        <v>71</v>
      </c>
      <c r="K1870">
        <v>422</v>
      </c>
      <c r="L1870">
        <v>447</v>
      </c>
      <c r="M1870">
        <v>5.8218181820000003</v>
      </c>
      <c r="N1870">
        <f>IFERROR(VLOOKUP(A1870,vlookup_table!$A:$G,2,FALSE),"")</f>
        <v>0</v>
      </c>
      <c r="O1870">
        <f>IFERROR(VLOOKUP(A1870,vlookup_table!$A:$G,4,FALSE),"")</f>
        <v>4102</v>
      </c>
      <c r="P1870" t="str">
        <f>IFERROR(VLOOKUP(A1870,vlookup_table!$A:$G,5,FALSE),"")</f>
        <v>R1</v>
      </c>
      <c r="Q1870">
        <f>IFERROR(VLOOKUP(A1870,vlookup_table!$A:$G,7,FALSE),"")</f>
        <v>12</v>
      </c>
      <c r="R1870">
        <f t="shared" si="116"/>
        <v>56</v>
      </c>
      <c r="S1870" t="str" cm="1">
        <f t="array" ref="S1870">IF(P1870="","",_xlfn.SWITCH(LEFT(P1870,1),"C","Ciudad","T","Pueblo","R","Rural","S","Suburbano","U","Urbano",""))</f>
        <v>Rural</v>
      </c>
      <c r="T1870" t="str">
        <f t="shared" si="117"/>
        <v>F</v>
      </c>
      <c r="U1870" t="str">
        <f t="shared" si="118"/>
        <v>IN</v>
      </c>
      <c r="V1870" t="str">
        <f t="shared" si="119"/>
        <v>17251</v>
      </c>
    </row>
    <row r="1871" spans="1:22" x14ac:dyDescent="0.35">
      <c r="A1871">
        <v>139663</v>
      </c>
      <c r="B1871" t="s">
        <v>54</v>
      </c>
      <c r="C1871" t="s">
        <v>17</v>
      </c>
      <c r="D1871">
        <v>1008</v>
      </c>
      <c r="E1871">
        <v>360</v>
      </c>
      <c r="F1871">
        <v>426</v>
      </c>
      <c r="G1871">
        <v>3</v>
      </c>
      <c r="H1871">
        <v>14990</v>
      </c>
      <c r="I1871">
        <v>4</v>
      </c>
      <c r="J1871">
        <v>40</v>
      </c>
      <c r="K1871">
        <v>397</v>
      </c>
      <c r="L1871">
        <v>388</v>
      </c>
      <c r="M1871">
        <v>8.9166666669999994</v>
      </c>
      <c r="N1871">
        <f>IFERROR(VLOOKUP(A1871,vlookup_table!$A:$G,2,FALSE),"")</f>
        <v>28</v>
      </c>
      <c r="O1871">
        <f>IFERROR(VLOOKUP(A1871,vlookup_table!$A:$G,4,FALSE),"")</f>
        <v>0</v>
      </c>
      <c r="P1871" t="str">
        <f>IFERROR(VLOOKUP(A1871,vlookup_table!$A:$G,5,FALSE),"")</f>
        <v>S1</v>
      </c>
      <c r="Q1871">
        <f>IFERROR(VLOOKUP(A1871,vlookup_table!$A:$G,7,FALSE),"")</f>
        <v>5</v>
      </c>
      <c r="R1871">
        <f t="shared" si="116"/>
        <v>97</v>
      </c>
      <c r="S1871" t="str" cm="1">
        <f t="array" ref="S1871">IF(P1871="","",_xlfn.SWITCH(LEFT(P1871,1),"C","Ciudad","T","Pueblo","R","Rural","S","Suburbano","U","Urbano",""))</f>
        <v>Suburbano</v>
      </c>
      <c r="T1871" t="str">
        <f t="shared" si="117"/>
        <v>F</v>
      </c>
      <c r="U1871" t="str">
        <f t="shared" si="118"/>
        <v>NM</v>
      </c>
      <c r="V1871" t="str">
        <f t="shared" si="119"/>
        <v>14990</v>
      </c>
    </row>
    <row r="1872" spans="1:22" x14ac:dyDescent="0.35">
      <c r="A1872">
        <v>104848</v>
      </c>
      <c r="B1872" t="s">
        <v>28</v>
      </c>
      <c r="C1872" t="s">
        <v>17</v>
      </c>
      <c r="D1872">
        <v>993</v>
      </c>
      <c r="E1872">
        <v>285</v>
      </c>
      <c r="F1872">
        <v>399</v>
      </c>
      <c r="G1872">
        <v>0</v>
      </c>
      <c r="H1872">
        <v>20996</v>
      </c>
      <c r="I1872">
        <v>5</v>
      </c>
      <c r="J1872">
        <v>18</v>
      </c>
      <c r="K1872">
        <v>366</v>
      </c>
      <c r="L1872">
        <v>329</v>
      </c>
      <c r="M1872">
        <v>5.2352941179999997</v>
      </c>
      <c r="N1872">
        <f>IFERROR(VLOOKUP(A1872,vlookup_table!$A:$G,2,FALSE),"")</f>
        <v>0</v>
      </c>
      <c r="O1872">
        <f>IFERROR(VLOOKUP(A1872,vlookup_table!$A:$G,4,FALSE),"")</f>
        <v>1501</v>
      </c>
      <c r="P1872" t="str">
        <f>IFERROR(VLOOKUP(A1872,vlookup_table!$A:$G,5,FALSE),"")</f>
        <v>S1</v>
      </c>
      <c r="Q1872">
        <f>IFERROR(VLOOKUP(A1872,vlookup_table!$A:$G,7,FALSE),"")</f>
        <v>7</v>
      </c>
      <c r="R1872">
        <f t="shared" si="116"/>
        <v>82</v>
      </c>
      <c r="S1872" t="str" cm="1">
        <f t="array" ref="S1872">IF(P1872="","",_xlfn.SWITCH(LEFT(P1872,1),"C","Ciudad","T","Pueblo","R","Rural","S","Suburbano","U","Urbano",""))</f>
        <v>Suburbano</v>
      </c>
      <c r="T1872" t="str">
        <f t="shared" si="117"/>
        <v>F</v>
      </c>
      <c r="U1872" t="str">
        <f t="shared" si="118"/>
        <v>KS</v>
      </c>
      <c r="V1872" t="str">
        <f t="shared" si="119"/>
        <v>20996</v>
      </c>
    </row>
    <row r="1873" spans="1:22" x14ac:dyDescent="0.35">
      <c r="A1873">
        <v>150776</v>
      </c>
      <c r="B1873" t="s">
        <v>22</v>
      </c>
      <c r="C1873" t="s">
        <v>17</v>
      </c>
      <c r="D1873">
        <v>1149</v>
      </c>
      <c r="E1873">
        <v>222</v>
      </c>
      <c r="F1873">
        <v>273</v>
      </c>
      <c r="G1873">
        <v>0</v>
      </c>
      <c r="H1873">
        <v>9856</v>
      </c>
      <c r="I1873">
        <v>22</v>
      </c>
      <c r="J1873">
        <v>56</v>
      </c>
      <c r="K1873">
        <v>263</v>
      </c>
      <c r="L1873">
        <v>250</v>
      </c>
      <c r="M1873">
        <v>6.6190476189999998</v>
      </c>
      <c r="N1873">
        <f>IFERROR(VLOOKUP(A1873,vlookup_table!$A:$G,2,FALSE),"")</f>
        <v>28028</v>
      </c>
      <c r="O1873">
        <f>IFERROR(VLOOKUP(A1873,vlookup_table!$A:$G,4,FALSE),"")</f>
        <v>4112</v>
      </c>
      <c r="P1873" t="str">
        <f>IFERROR(VLOOKUP(A1873,vlookup_table!$A:$G,5,FALSE),"")</f>
        <v>U3</v>
      </c>
      <c r="Q1873">
        <f>IFERROR(VLOOKUP(A1873,vlookup_table!$A:$G,7,FALSE),"")</f>
        <v>8</v>
      </c>
      <c r="R1873">
        <f t="shared" si="116"/>
        <v>56</v>
      </c>
      <c r="S1873" t="str" cm="1">
        <f t="array" ref="S1873">IF(P1873="","",_xlfn.SWITCH(LEFT(P1873,1),"C","Ciudad","T","Pueblo","R","Rural","S","Suburbano","U","Urbano",""))</f>
        <v>Urbano</v>
      </c>
      <c r="T1873" t="str">
        <f t="shared" si="117"/>
        <v>F</v>
      </c>
      <c r="U1873" t="str">
        <f t="shared" si="118"/>
        <v>CA</v>
      </c>
      <c r="V1873" t="str">
        <f t="shared" si="119"/>
        <v>9856</v>
      </c>
    </row>
    <row r="1874" spans="1:22" x14ac:dyDescent="0.35">
      <c r="A1874">
        <v>43104</v>
      </c>
      <c r="B1874" t="s">
        <v>22</v>
      </c>
      <c r="C1874" t="s">
        <v>17</v>
      </c>
      <c r="D1874">
        <v>5000</v>
      </c>
      <c r="E1874">
        <v>498</v>
      </c>
      <c r="F1874">
        <v>782</v>
      </c>
      <c r="G1874">
        <v>92</v>
      </c>
      <c r="H1874">
        <v>35814</v>
      </c>
      <c r="I1874">
        <v>18</v>
      </c>
      <c r="J1874">
        <v>31</v>
      </c>
      <c r="K1874">
        <v>700</v>
      </c>
      <c r="L1874">
        <v>632</v>
      </c>
      <c r="M1874">
        <v>5.8409090910000003</v>
      </c>
      <c r="N1874">
        <f>IFERROR(VLOOKUP(A1874,vlookup_table!$A:$G,2,FALSE),"")</f>
        <v>1</v>
      </c>
      <c r="O1874">
        <f>IFERROR(VLOOKUP(A1874,vlookup_table!$A:$G,4,FALSE),"")</f>
        <v>5708</v>
      </c>
      <c r="P1874" t="str">
        <f>IFERROR(VLOOKUP(A1874,vlookup_table!$A:$G,5,FALSE),"")</f>
        <v>C1</v>
      </c>
      <c r="Q1874">
        <f>IFERROR(VLOOKUP(A1874,vlookup_table!$A:$G,7,FALSE),"")</f>
        <v>9</v>
      </c>
      <c r="R1874">
        <f t="shared" si="116"/>
        <v>40</v>
      </c>
      <c r="S1874" t="str" cm="1">
        <f t="array" ref="S1874">IF(P1874="","",_xlfn.SWITCH(LEFT(P1874,1),"C","Ciudad","T","Pueblo","R","Rural","S","Suburbano","U","Urbano",""))</f>
        <v>Ciudad</v>
      </c>
      <c r="T1874" t="str">
        <f t="shared" si="117"/>
        <v>F</v>
      </c>
      <c r="U1874" t="str">
        <f t="shared" si="118"/>
        <v>CA</v>
      </c>
      <c r="V1874" t="str">
        <f t="shared" si="119"/>
        <v>35814</v>
      </c>
    </row>
    <row r="1875" spans="1:22" x14ac:dyDescent="0.35">
      <c r="A1875">
        <v>162254</v>
      </c>
      <c r="B1875" t="s">
        <v>22</v>
      </c>
      <c r="C1875" t="s">
        <v>17</v>
      </c>
      <c r="D1875">
        <v>5564</v>
      </c>
      <c r="E1875">
        <v>839</v>
      </c>
      <c r="F1875">
        <v>892</v>
      </c>
      <c r="G1875">
        <v>99</v>
      </c>
      <c r="H1875">
        <v>32899</v>
      </c>
      <c r="I1875">
        <v>9</v>
      </c>
      <c r="J1875">
        <v>54</v>
      </c>
      <c r="K1875">
        <v>860</v>
      </c>
      <c r="L1875">
        <v>860</v>
      </c>
      <c r="M1875">
        <v>19.166666670000001</v>
      </c>
      <c r="N1875">
        <f>IFERROR(VLOOKUP(A1875,vlookup_table!$A:$G,2,FALSE),"")</f>
        <v>0</v>
      </c>
      <c r="O1875">
        <f>IFERROR(VLOOKUP(A1875,vlookup_table!$A:$G,4,FALSE),"")</f>
        <v>5801</v>
      </c>
      <c r="P1875" t="str">
        <f>IFERROR(VLOOKUP(A1875,vlookup_table!$A:$G,5,FALSE),"")</f>
        <v>S1</v>
      </c>
      <c r="Q1875">
        <f>IFERROR(VLOOKUP(A1875,vlookup_table!$A:$G,7,FALSE),"")</f>
        <v>35</v>
      </c>
      <c r="R1875">
        <f t="shared" si="116"/>
        <v>39</v>
      </c>
      <c r="S1875" t="str" cm="1">
        <f t="array" ref="S1875">IF(P1875="","",_xlfn.SWITCH(LEFT(P1875,1),"C","Ciudad","T","Pueblo","R","Rural","S","Suburbano","U","Urbano",""))</f>
        <v>Suburbano</v>
      </c>
      <c r="T1875" t="str">
        <f t="shared" si="117"/>
        <v>F</v>
      </c>
      <c r="U1875" t="str">
        <f t="shared" si="118"/>
        <v>CA</v>
      </c>
      <c r="V1875" t="str">
        <f t="shared" si="119"/>
        <v>32899</v>
      </c>
    </row>
    <row r="1876" spans="1:22" x14ac:dyDescent="0.35">
      <c r="A1876">
        <v>52902</v>
      </c>
      <c r="B1876" t="s">
        <v>68</v>
      </c>
      <c r="C1876" t="s">
        <v>17</v>
      </c>
      <c r="D1876">
        <v>929</v>
      </c>
      <c r="E1876">
        <v>505</v>
      </c>
      <c r="F1876">
        <v>606</v>
      </c>
      <c r="G1876">
        <v>4</v>
      </c>
      <c r="H1876">
        <v>22435</v>
      </c>
      <c r="I1876">
        <v>4</v>
      </c>
      <c r="J1876">
        <v>53</v>
      </c>
      <c r="K1876">
        <v>546</v>
      </c>
      <c r="L1876">
        <v>561</v>
      </c>
      <c r="M1876">
        <v>15</v>
      </c>
      <c r="N1876">
        <f>IFERROR(VLOOKUP(A1876,vlookup_table!$A:$G,2,FALSE),"")</f>
        <v>28</v>
      </c>
      <c r="O1876">
        <f>IFERROR(VLOOKUP(A1876,vlookup_table!$A:$G,4,FALSE),"")</f>
        <v>0</v>
      </c>
      <c r="P1876" t="str">
        <f>IFERROR(VLOOKUP(A1876,vlookup_table!$A:$G,5,FALSE),"")</f>
        <v>C1</v>
      </c>
      <c r="Q1876">
        <f>IFERROR(VLOOKUP(A1876,vlookup_table!$A:$G,7,FALSE),"")</f>
        <v>17</v>
      </c>
      <c r="R1876">
        <f t="shared" si="116"/>
        <v>97</v>
      </c>
      <c r="S1876" t="str" cm="1">
        <f t="array" ref="S1876">IF(P1876="","",_xlfn.SWITCH(LEFT(P1876,1),"C","Ciudad","T","Pueblo","R","Rural","S","Suburbano","U","Urbano",""))</f>
        <v>Ciudad</v>
      </c>
      <c r="T1876" t="str">
        <f t="shared" si="117"/>
        <v>F</v>
      </c>
      <c r="U1876" t="str">
        <f t="shared" si="118"/>
        <v>Tennessee</v>
      </c>
      <c r="V1876" t="str">
        <f t="shared" si="119"/>
        <v>22435</v>
      </c>
    </row>
    <row r="1877" spans="1:22" x14ac:dyDescent="0.35">
      <c r="A1877">
        <v>79213</v>
      </c>
      <c r="B1877" t="s">
        <v>35</v>
      </c>
      <c r="C1877" t="s">
        <v>51</v>
      </c>
      <c r="D1877">
        <v>575</v>
      </c>
      <c r="E1877">
        <v>318</v>
      </c>
      <c r="F1877">
        <v>414</v>
      </c>
      <c r="G1877">
        <v>0</v>
      </c>
      <c r="H1877">
        <v>12909</v>
      </c>
      <c r="I1877">
        <v>0</v>
      </c>
      <c r="J1877">
        <v>89</v>
      </c>
      <c r="K1877">
        <v>341</v>
      </c>
      <c r="L1877">
        <v>379</v>
      </c>
      <c r="M1877">
        <v>8.4736842110000001</v>
      </c>
      <c r="N1877">
        <f>IFERROR(VLOOKUP(A1877,vlookup_table!$A:$G,2,FALSE),"")</f>
        <v>2</v>
      </c>
      <c r="O1877">
        <f>IFERROR(VLOOKUP(A1877,vlookup_table!$A:$G,4,FALSE),"")</f>
        <v>2903</v>
      </c>
      <c r="P1877" t="str">
        <f>IFERROR(VLOOKUP(A1877,vlookup_table!$A:$G,5,FALSE),"")</f>
        <v>R2</v>
      </c>
      <c r="Q1877">
        <f>IFERROR(VLOOKUP(A1877,vlookup_table!$A:$G,7,FALSE),"")</f>
        <v>12</v>
      </c>
      <c r="R1877">
        <f t="shared" si="116"/>
        <v>68</v>
      </c>
      <c r="S1877" t="str" cm="1">
        <f t="array" ref="S1877">IF(P1877="","",_xlfn.SWITCH(LEFT(P1877,1),"C","Ciudad","T","Pueblo","R","Rural","S","Suburbano","U","Urbano",""))</f>
        <v>Rural</v>
      </c>
      <c r="T1877" t="str">
        <f t="shared" si="117"/>
        <v>M</v>
      </c>
      <c r="U1877" t="str">
        <f t="shared" si="118"/>
        <v>WI</v>
      </c>
      <c r="V1877" t="str">
        <f t="shared" si="119"/>
        <v>12909</v>
      </c>
    </row>
    <row r="1878" spans="1:22" x14ac:dyDescent="0.35">
      <c r="A1878">
        <v>178432</v>
      </c>
      <c r="B1878" t="s">
        <v>40</v>
      </c>
      <c r="C1878" t="s">
        <v>17</v>
      </c>
      <c r="D1878">
        <v>1627</v>
      </c>
      <c r="E1878">
        <v>456</v>
      </c>
      <c r="F1878">
        <v>586</v>
      </c>
      <c r="G1878">
        <v>30</v>
      </c>
      <c r="H1878">
        <v>20311</v>
      </c>
      <c r="I1878">
        <v>6</v>
      </c>
      <c r="J1878">
        <v>53</v>
      </c>
      <c r="K1878">
        <v>508</v>
      </c>
      <c r="L1878">
        <v>537</v>
      </c>
      <c r="M1878">
        <v>9.2666666670000009</v>
      </c>
      <c r="N1878">
        <f>IFERROR(VLOOKUP(A1878,vlookup_table!$A:$G,2,FALSE),"")</f>
        <v>2</v>
      </c>
      <c r="O1878">
        <f>IFERROR(VLOOKUP(A1878,vlookup_table!$A:$G,4,FALSE),"")</f>
        <v>2806</v>
      </c>
      <c r="P1878" t="str">
        <f>IFERROR(VLOOKUP(A1878,vlookup_table!$A:$G,5,FALSE),"")</f>
        <v>S1</v>
      </c>
      <c r="Q1878">
        <f>IFERROR(VLOOKUP(A1878,vlookup_table!$A:$G,7,FALSE),"")</f>
        <v>14</v>
      </c>
      <c r="R1878">
        <f t="shared" si="116"/>
        <v>69</v>
      </c>
      <c r="S1878" t="str" cm="1">
        <f t="array" ref="S1878">IF(P1878="","",_xlfn.SWITCH(LEFT(P1878,1),"C","Ciudad","T","Pueblo","R","Rural","S","Suburbano","U","Urbano",""))</f>
        <v>Suburbano</v>
      </c>
      <c r="T1878" t="str">
        <f t="shared" si="117"/>
        <v>F</v>
      </c>
      <c r="U1878" t="str">
        <f t="shared" si="118"/>
        <v>WA</v>
      </c>
      <c r="V1878" t="str">
        <f t="shared" si="119"/>
        <v>20311</v>
      </c>
    </row>
    <row r="1879" spans="1:22" x14ac:dyDescent="0.35">
      <c r="A1879">
        <v>11267</v>
      </c>
      <c r="B1879" t="s">
        <v>29</v>
      </c>
      <c r="C1879" t="s">
        <v>17</v>
      </c>
      <c r="D1879">
        <v>428</v>
      </c>
      <c r="E1879">
        <v>208</v>
      </c>
      <c r="F1879">
        <v>293</v>
      </c>
      <c r="G1879">
        <v>0</v>
      </c>
      <c r="H1879">
        <v>10491</v>
      </c>
      <c r="I1879">
        <v>1</v>
      </c>
      <c r="J1879">
        <v>85</v>
      </c>
      <c r="K1879">
        <v>243</v>
      </c>
      <c r="L1879">
        <v>268</v>
      </c>
      <c r="M1879">
        <v>6.461538462</v>
      </c>
      <c r="N1879">
        <f>IFERROR(VLOOKUP(A1879,vlookup_table!$A:$G,2,FALSE),"")</f>
        <v>2</v>
      </c>
      <c r="O1879">
        <f>IFERROR(VLOOKUP(A1879,vlookup_table!$A:$G,4,FALSE),"")</f>
        <v>1002</v>
      </c>
      <c r="P1879" t="str">
        <f>IFERROR(VLOOKUP(A1879,vlookup_table!$A:$G,5,FALSE),"")</f>
        <v>R2</v>
      </c>
      <c r="Q1879">
        <f>IFERROR(VLOOKUP(A1879,vlookup_table!$A:$G,7,FALSE),"")</f>
        <v>6</v>
      </c>
      <c r="R1879">
        <f t="shared" si="116"/>
        <v>87</v>
      </c>
      <c r="S1879" t="str" cm="1">
        <f t="array" ref="S1879">IF(P1879="","",_xlfn.SWITCH(LEFT(P1879,1),"C","Ciudad","T","Pueblo","R","Rural","S","Suburbano","U","Urbano",""))</f>
        <v>Rural</v>
      </c>
      <c r="T1879" t="str">
        <f t="shared" si="117"/>
        <v>F</v>
      </c>
      <c r="U1879" t="str">
        <f t="shared" si="118"/>
        <v>MI</v>
      </c>
      <c r="V1879" t="str">
        <f t="shared" si="119"/>
        <v>10491</v>
      </c>
    </row>
    <row r="1880" spans="1:22" x14ac:dyDescent="0.35">
      <c r="A1880">
        <v>129468</v>
      </c>
      <c r="B1880" t="s">
        <v>48</v>
      </c>
      <c r="C1880" t="s">
        <v>17</v>
      </c>
      <c r="D1880">
        <v>717</v>
      </c>
      <c r="E1880">
        <v>333</v>
      </c>
      <c r="F1880">
        <v>360</v>
      </c>
      <c r="G1880">
        <v>0</v>
      </c>
      <c r="H1880">
        <v>11669</v>
      </c>
      <c r="I1880">
        <v>3</v>
      </c>
      <c r="J1880">
        <v>58</v>
      </c>
      <c r="K1880">
        <v>341</v>
      </c>
      <c r="L1880">
        <v>344</v>
      </c>
      <c r="M1880">
        <v>25</v>
      </c>
      <c r="N1880">
        <f>IFERROR(VLOOKUP(A1880,vlookup_table!$A:$G,2,FALSE),"")</f>
        <v>0</v>
      </c>
      <c r="O1880">
        <f>IFERROR(VLOOKUP(A1880,vlookup_table!$A:$G,4,FALSE),"")</f>
        <v>5301</v>
      </c>
      <c r="P1880" t="str">
        <f>IFERROR(VLOOKUP(A1880,vlookup_table!$A:$G,5,FALSE),"")</f>
        <v>S2</v>
      </c>
      <c r="Q1880">
        <f>IFERROR(VLOOKUP(A1880,vlookup_table!$A:$G,7,FALSE),"")</f>
        <v>20</v>
      </c>
      <c r="R1880">
        <f t="shared" si="116"/>
        <v>44</v>
      </c>
      <c r="S1880" t="str" cm="1">
        <f t="array" ref="S1880">IF(P1880="","",_xlfn.SWITCH(LEFT(P1880,1),"C","Ciudad","T","Pueblo","R","Rural","S","Suburbano","U","Urbano",""))</f>
        <v>Suburbano</v>
      </c>
      <c r="T1880" t="str">
        <f t="shared" si="117"/>
        <v>F</v>
      </c>
      <c r="U1880" t="str">
        <f t="shared" si="118"/>
        <v>CO</v>
      </c>
      <c r="V1880" t="str">
        <f t="shared" si="119"/>
        <v>11669</v>
      </c>
    </row>
    <row r="1881" spans="1:22" x14ac:dyDescent="0.35">
      <c r="A1881">
        <v>54134</v>
      </c>
      <c r="B1881" t="s">
        <v>68</v>
      </c>
      <c r="C1881" t="s">
        <v>14</v>
      </c>
      <c r="D1881">
        <v>452</v>
      </c>
      <c r="E1881">
        <v>193</v>
      </c>
      <c r="F1881">
        <v>270</v>
      </c>
      <c r="G1881">
        <v>0</v>
      </c>
      <c r="H1881">
        <v>9283</v>
      </c>
      <c r="I1881">
        <v>0</v>
      </c>
      <c r="J1881">
        <v>79</v>
      </c>
      <c r="K1881">
        <v>256</v>
      </c>
      <c r="L1881">
        <v>230</v>
      </c>
      <c r="M1881">
        <v>5.64</v>
      </c>
      <c r="N1881">
        <f>IFERROR(VLOOKUP(A1881,vlookup_table!$A:$G,2,FALSE),"")</f>
        <v>1</v>
      </c>
      <c r="O1881">
        <f>IFERROR(VLOOKUP(A1881,vlookup_table!$A:$G,4,FALSE),"")</f>
        <v>1601</v>
      </c>
      <c r="P1881" t="str">
        <f>IFERROR(VLOOKUP(A1881,vlookup_table!$A:$G,5,FALSE),"")</f>
        <v>T3</v>
      </c>
      <c r="Q1881">
        <f>IFERROR(VLOOKUP(A1881,vlookup_table!$A:$G,7,FALSE),"")</f>
        <v>10</v>
      </c>
      <c r="R1881">
        <f t="shared" si="116"/>
        <v>81</v>
      </c>
      <c r="S1881" t="str" cm="1">
        <f t="array" ref="S1881">IF(P1881="","",_xlfn.SWITCH(LEFT(P1881,1),"C","Ciudad","T","Pueblo","R","Rural","S","Suburbano","U","Urbano",""))</f>
        <v>Pueblo</v>
      </c>
      <c r="T1881" t="str">
        <f t="shared" si="117"/>
        <v>M</v>
      </c>
      <c r="U1881" t="str">
        <f t="shared" si="118"/>
        <v>Tennessee</v>
      </c>
      <c r="V1881" t="str">
        <f t="shared" si="119"/>
        <v>9283</v>
      </c>
    </row>
    <row r="1882" spans="1:22" x14ac:dyDescent="0.35">
      <c r="A1882">
        <v>162492</v>
      </c>
      <c r="B1882" t="s">
        <v>22</v>
      </c>
      <c r="C1882" t="s">
        <v>17</v>
      </c>
      <c r="D1882">
        <v>2625</v>
      </c>
      <c r="E1882">
        <v>513</v>
      </c>
      <c r="F1882">
        <v>523</v>
      </c>
      <c r="G1882">
        <v>93</v>
      </c>
      <c r="H1882">
        <v>15740</v>
      </c>
      <c r="I1882">
        <v>10</v>
      </c>
      <c r="J1882">
        <v>65</v>
      </c>
      <c r="K1882">
        <v>533</v>
      </c>
      <c r="L1882">
        <v>517</v>
      </c>
      <c r="M1882">
        <v>12.82608696</v>
      </c>
      <c r="N1882">
        <f>IFERROR(VLOOKUP(A1882,vlookup_table!$A:$G,2,FALSE),"")</f>
        <v>0</v>
      </c>
      <c r="O1882">
        <f>IFERROR(VLOOKUP(A1882,vlookup_table!$A:$G,4,FALSE),"")</f>
        <v>3710</v>
      </c>
      <c r="P1882" t="str">
        <f>IFERROR(VLOOKUP(A1882,vlookup_table!$A:$G,5,FALSE),"")</f>
        <v>S1</v>
      </c>
      <c r="Q1882">
        <f>IFERROR(VLOOKUP(A1882,vlookup_table!$A:$G,7,FALSE),"")</f>
        <v>10</v>
      </c>
      <c r="R1882">
        <f t="shared" si="116"/>
        <v>60</v>
      </c>
      <c r="S1882" t="str" cm="1">
        <f t="array" ref="S1882">IF(P1882="","",_xlfn.SWITCH(LEFT(P1882,1),"C","Ciudad","T","Pueblo","R","Rural","S","Suburbano","U","Urbano",""))</f>
        <v>Suburbano</v>
      </c>
      <c r="T1882" t="str">
        <f t="shared" si="117"/>
        <v>F</v>
      </c>
      <c r="U1882" t="str">
        <f t="shared" si="118"/>
        <v>CA</v>
      </c>
      <c r="V1882" t="str">
        <f t="shared" si="119"/>
        <v>15740</v>
      </c>
    </row>
    <row r="1883" spans="1:22" x14ac:dyDescent="0.35">
      <c r="A1883">
        <v>13342</v>
      </c>
      <c r="B1883" t="s">
        <v>22</v>
      </c>
      <c r="C1883" t="s">
        <v>17</v>
      </c>
      <c r="D1883">
        <v>2113</v>
      </c>
      <c r="E1883">
        <v>422</v>
      </c>
      <c r="F1883">
        <v>532</v>
      </c>
      <c r="G1883">
        <v>58</v>
      </c>
      <c r="H1883">
        <v>19377</v>
      </c>
      <c r="I1883">
        <v>7</v>
      </c>
      <c r="J1883">
        <v>63</v>
      </c>
      <c r="K1883">
        <v>450</v>
      </c>
      <c r="L1883">
        <v>502</v>
      </c>
      <c r="M1883">
        <v>9</v>
      </c>
      <c r="N1883">
        <f>IFERROR(VLOOKUP(A1883,vlookup_table!$A:$G,2,FALSE),"")</f>
        <v>0</v>
      </c>
      <c r="O1883">
        <f>IFERROR(VLOOKUP(A1883,vlookup_table!$A:$G,4,FALSE),"")</f>
        <v>4601</v>
      </c>
      <c r="P1883" t="str">
        <f>IFERROR(VLOOKUP(A1883,vlookup_table!$A:$G,5,FALSE),"")</f>
        <v>U1</v>
      </c>
      <c r="Q1883">
        <f>IFERROR(VLOOKUP(A1883,vlookup_table!$A:$G,7,FALSE),"")</f>
        <v>5</v>
      </c>
      <c r="R1883">
        <f t="shared" si="116"/>
        <v>51</v>
      </c>
      <c r="S1883" t="str" cm="1">
        <f t="array" ref="S1883">IF(P1883="","",_xlfn.SWITCH(LEFT(P1883,1),"C","Ciudad","T","Pueblo","R","Rural","S","Suburbano","U","Urbano",""))</f>
        <v>Urbano</v>
      </c>
      <c r="T1883" t="str">
        <f t="shared" si="117"/>
        <v>F</v>
      </c>
      <c r="U1883" t="str">
        <f t="shared" si="118"/>
        <v>CA</v>
      </c>
      <c r="V1883" t="str">
        <f t="shared" si="119"/>
        <v>19377</v>
      </c>
    </row>
    <row r="1884" spans="1:22" x14ac:dyDescent="0.35">
      <c r="A1884">
        <v>169323</v>
      </c>
      <c r="B1884" t="s">
        <v>22</v>
      </c>
      <c r="C1884" t="s">
        <v>17</v>
      </c>
      <c r="D1884">
        <v>1104</v>
      </c>
      <c r="E1884">
        <v>266</v>
      </c>
      <c r="F1884">
        <v>319</v>
      </c>
      <c r="G1884">
        <v>1</v>
      </c>
      <c r="H1884">
        <v>9833</v>
      </c>
      <c r="I1884">
        <v>18</v>
      </c>
      <c r="J1884">
        <v>57</v>
      </c>
      <c r="K1884">
        <v>275</v>
      </c>
      <c r="L1884">
        <v>323</v>
      </c>
      <c r="M1884">
        <v>2.6379310340000002</v>
      </c>
      <c r="N1884">
        <f>IFERROR(VLOOKUP(A1884,vlookup_table!$A:$G,2,FALSE),"")</f>
        <v>0</v>
      </c>
      <c r="O1884">
        <f>IFERROR(VLOOKUP(A1884,vlookup_table!$A:$G,4,FALSE),"")</f>
        <v>2608</v>
      </c>
      <c r="P1884" t="str">
        <f>IFERROR(VLOOKUP(A1884,vlookup_table!$A:$G,5,FALSE),"")</f>
        <v>S2</v>
      </c>
      <c r="Q1884">
        <f>IFERROR(VLOOKUP(A1884,vlookup_table!$A:$G,7,FALSE),"")</f>
        <v>3</v>
      </c>
      <c r="R1884">
        <f t="shared" si="116"/>
        <v>71</v>
      </c>
      <c r="S1884" t="str" cm="1">
        <f t="array" ref="S1884">IF(P1884="","",_xlfn.SWITCH(LEFT(P1884,1),"C","Ciudad","T","Pueblo","R","Rural","S","Suburbano","U","Urbano",""))</f>
        <v>Suburbano</v>
      </c>
      <c r="T1884" t="str">
        <f t="shared" si="117"/>
        <v>F</v>
      </c>
      <c r="U1884" t="str">
        <f t="shared" si="118"/>
        <v>CA</v>
      </c>
      <c r="V1884" t="str">
        <f t="shared" si="119"/>
        <v>9833</v>
      </c>
    </row>
    <row r="1885" spans="1:22" x14ac:dyDescent="0.35">
      <c r="A1885">
        <v>125444</v>
      </c>
      <c r="B1885" t="s">
        <v>21</v>
      </c>
      <c r="C1885" t="s">
        <v>14</v>
      </c>
      <c r="D1885">
        <v>362</v>
      </c>
      <c r="E1885">
        <v>208</v>
      </c>
      <c r="F1885">
        <v>255</v>
      </c>
      <c r="G1885">
        <v>0</v>
      </c>
      <c r="H1885">
        <v>7220</v>
      </c>
      <c r="I1885">
        <v>9</v>
      </c>
      <c r="J1885">
        <v>85</v>
      </c>
      <c r="K1885">
        <v>217</v>
      </c>
      <c r="L1885">
        <v>238</v>
      </c>
      <c r="M1885">
        <v>7.1428571429999996</v>
      </c>
      <c r="N1885">
        <f>IFERROR(VLOOKUP(A1885,vlookup_table!$A:$G,2,FALSE),"")</f>
        <v>1</v>
      </c>
      <c r="O1885">
        <f>IFERROR(VLOOKUP(A1885,vlookup_table!$A:$G,4,FALSE),"")</f>
        <v>4811</v>
      </c>
      <c r="P1885" t="str">
        <f>IFERROR(VLOOKUP(A1885,vlookup_table!$A:$G,5,FALSE),"")</f>
        <v>U4</v>
      </c>
      <c r="Q1885">
        <f>IFERROR(VLOOKUP(A1885,vlookup_table!$A:$G,7,FALSE),"")</f>
        <v>10</v>
      </c>
      <c r="R1885">
        <f t="shared" si="116"/>
        <v>49</v>
      </c>
      <c r="S1885" t="str" cm="1">
        <f t="array" ref="S1885">IF(P1885="","",_xlfn.SWITCH(LEFT(P1885,1),"C","Ciudad","T","Pueblo","R","Rural","S","Suburbano","U","Urbano",""))</f>
        <v>Urbano</v>
      </c>
      <c r="T1885" t="str">
        <f t="shared" si="117"/>
        <v>M</v>
      </c>
      <c r="U1885" t="str">
        <f t="shared" si="118"/>
        <v>TX</v>
      </c>
      <c r="V1885" t="str">
        <f t="shared" si="119"/>
        <v>7220</v>
      </c>
    </row>
    <row r="1886" spans="1:22" x14ac:dyDescent="0.35">
      <c r="A1886">
        <v>70076</v>
      </c>
      <c r="B1886" t="s">
        <v>29</v>
      </c>
      <c r="C1886" t="s">
        <v>14</v>
      </c>
      <c r="D1886">
        <v>403</v>
      </c>
      <c r="E1886">
        <v>327</v>
      </c>
      <c r="F1886">
        <v>364</v>
      </c>
      <c r="G1886">
        <v>0</v>
      </c>
      <c r="H1886">
        <v>15337</v>
      </c>
      <c r="I1886">
        <v>3</v>
      </c>
      <c r="J1886">
        <v>80</v>
      </c>
      <c r="K1886">
        <v>375</v>
      </c>
      <c r="L1886">
        <v>304</v>
      </c>
      <c r="M1886">
        <v>7.32</v>
      </c>
      <c r="N1886">
        <f>IFERROR(VLOOKUP(A1886,vlookup_table!$A:$G,2,FALSE),"")</f>
        <v>1</v>
      </c>
      <c r="O1886">
        <f>IFERROR(VLOOKUP(A1886,vlookup_table!$A:$G,4,FALSE),"")</f>
        <v>3407</v>
      </c>
      <c r="P1886" t="str">
        <f>IFERROR(VLOOKUP(A1886,vlookup_table!$A:$G,5,FALSE),"")</f>
        <v>S3</v>
      </c>
      <c r="Q1886">
        <f>IFERROR(VLOOKUP(A1886,vlookup_table!$A:$G,7,FALSE),"")</f>
        <v>10</v>
      </c>
      <c r="R1886">
        <f t="shared" si="116"/>
        <v>63</v>
      </c>
      <c r="S1886" t="str" cm="1">
        <f t="array" ref="S1886">IF(P1886="","",_xlfn.SWITCH(LEFT(P1886,1),"C","Ciudad","T","Pueblo","R","Rural","S","Suburbano","U","Urbano",""))</f>
        <v>Suburbano</v>
      </c>
      <c r="T1886" t="str">
        <f t="shared" si="117"/>
        <v>M</v>
      </c>
      <c r="U1886" t="str">
        <f t="shared" si="118"/>
        <v>MI</v>
      </c>
      <c r="V1886" t="str">
        <f t="shared" si="119"/>
        <v>15337</v>
      </c>
    </row>
    <row r="1887" spans="1:22" x14ac:dyDescent="0.35">
      <c r="A1887">
        <v>4048</v>
      </c>
      <c r="B1887" t="s">
        <v>16</v>
      </c>
      <c r="C1887" t="s">
        <v>17</v>
      </c>
      <c r="D1887">
        <v>1014</v>
      </c>
      <c r="E1887">
        <v>262</v>
      </c>
      <c r="F1887">
        <v>350</v>
      </c>
      <c r="G1887">
        <v>15</v>
      </c>
      <c r="H1887">
        <v>10522</v>
      </c>
      <c r="I1887">
        <v>45</v>
      </c>
      <c r="J1887">
        <v>40</v>
      </c>
      <c r="K1887">
        <v>273</v>
      </c>
      <c r="L1887">
        <v>306</v>
      </c>
      <c r="M1887">
        <v>11.1875</v>
      </c>
      <c r="N1887">
        <f>IFERROR(VLOOKUP(A1887,vlookup_table!$A:$G,2,FALSE),"")</f>
        <v>0</v>
      </c>
      <c r="O1887">
        <f>IFERROR(VLOOKUP(A1887,vlookup_table!$A:$G,4,FALSE),"")</f>
        <v>3401</v>
      </c>
      <c r="P1887" t="str">
        <f>IFERROR(VLOOKUP(A1887,vlookup_table!$A:$G,5,FALSE),"")</f>
        <v>U2</v>
      </c>
      <c r="Q1887">
        <f>IFERROR(VLOOKUP(A1887,vlookup_table!$A:$G,7,FALSE),"")</f>
        <v>17</v>
      </c>
      <c r="R1887">
        <f t="shared" si="116"/>
        <v>63</v>
      </c>
      <c r="S1887" t="str" cm="1">
        <f t="array" ref="S1887">IF(P1887="","",_xlfn.SWITCH(LEFT(P1887,1),"C","Ciudad","T","Pueblo","R","Rural","S","Suburbano","U","Urbano",""))</f>
        <v>Urbano</v>
      </c>
      <c r="T1887" t="str">
        <f t="shared" si="117"/>
        <v>F</v>
      </c>
      <c r="U1887" t="str">
        <f t="shared" si="118"/>
        <v>IL</v>
      </c>
      <c r="V1887" t="str">
        <f t="shared" si="119"/>
        <v>10522</v>
      </c>
    </row>
    <row r="1888" spans="1:22" x14ac:dyDescent="0.35">
      <c r="A1888">
        <v>68669</v>
      </c>
      <c r="B1888" t="s">
        <v>29</v>
      </c>
      <c r="C1888" t="s">
        <v>17</v>
      </c>
      <c r="D1888">
        <v>732</v>
      </c>
      <c r="E1888">
        <v>377</v>
      </c>
      <c r="F1888">
        <v>453</v>
      </c>
      <c r="G1888">
        <v>0</v>
      </c>
      <c r="H1888">
        <v>14455</v>
      </c>
      <c r="I1888">
        <v>6</v>
      </c>
      <c r="J1888">
        <v>70</v>
      </c>
      <c r="K1888">
        <v>478</v>
      </c>
      <c r="L1888">
        <v>396</v>
      </c>
      <c r="M1888">
        <v>9.5</v>
      </c>
      <c r="N1888">
        <f>IFERROR(VLOOKUP(A1888,vlookup_table!$A:$G,2,FALSE),"")</f>
        <v>0</v>
      </c>
      <c r="O1888">
        <f>IFERROR(VLOOKUP(A1888,vlookup_table!$A:$G,4,FALSE),"")</f>
        <v>1801</v>
      </c>
      <c r="P1888" t="str">
        <f>IFERROR(VLOOKUP(A1888,vlookup_table!$A:$G,5,FALSE),"")</f>
        <v>S2</v>
      </c>
      <c r="Q1888">
        <f>IFERROR(VLOOKUP(A1888,vlookup_table!$A:$G,7,FALSE),"")</f>
        <v>15</v>
      </c>
      <c r="R1888">
        <f t="shared" si="116"/>
        <v>79</v>
      </c>
      <c r="S1888" t="str" cm="1">
        <f t="array" ref="S1888">IF(P1888="","",_xlfn.SWITCH(LEFT(P1888,1),"C","Ciudad","T","Pueblo","R","Rural","S","Suburbano","U","Urbano",""))</f>
        <v>Suburbano</v>
      </c>
      <c r="T1888" t="str">
        <f t="shared" si="117"/>
        <v>F</v>
      </c>
      <c r="U1888" t="str">
        <f t="shared" si="118"/>
        <v>MI</v>
      </c>
      <c r="V1888" t="str">
        <f t="shared" si="119"/>
        <v>14455</v>
      </c>
    </row>
    <row r="1889" spans="1:22" x14ac:dyDescent="0.35">
      <c r="A1889">
        <v>155943</v>
      </c>
      <c r="B1889" t="s">
        <v>22</v>
      </c>
      <c r="C1889" t="s">
        <v>14</v>
      </c>
      <c r="D1889">
        <v>1309</v>
      </c>
      <c r="E1889">
        <v>409</v>
      </c>
      <c r="F1889">
        <v>432</v>
      </c>
      <c r="G1889">
        <v>1</v>
      </c>
      <c r="H1889">
        <v>12004</v>
      </c>
      <c r="I1889">
        <v>7</v>
      </c>
      <c r="J1889">
        <v>58</v>
      </c>
      <c r="K1889">
        <v>419</v>
      </c>
      <c r="L1889">
        <v>424</v>
      </c>
      <c r="M1889">
        <v>12</v>
      </c>
      <c r="N1889">
        <f>IFERROR(VLOOKUP(A1889,vlookup_table!$A:$G,2,FALSE),"")</f>
        <v>1</v>
      </c>
      <c r="O1889">
        <f>IFERROR(VLOOKUP(A1889,vlookup_table!$A:$G,4,FALSE),"")</f>
        <v>2201</v>
      </c>
      <c r="P1889" t="str">
        <f>IFERROR(VLOOKUP(A1889,vlookup_table!$A:$G,5,FALSE),"")</f>
        <v>C2</v>
      </c>
      <c r="Q1889">
        <f>IFERROR(VLOOKUP(A1889,vlookup_table!$A:$G,7,FALSE),"")</f>
        <v>12</v>
      </c>
      <c r="R1889">
        <f t="shared" si="116"/>
        <v>75</v>
      </c>
      <c r="S1889" t="str" cm="1">
        <f t="array" ref="S1889">IF(P1889="","",_xlfn.SWITCH(LEFT(P1889,1),"C","Ciudad","T","Pueblo","R","Rural","S","Suburbano","U","Urbano",""))</f>
        <v>Ciudad</v>
      </c>
      <c r="T1889" t="str">
        <f t="shared" si="117"/>
        <v>M</v>
      </c>
      <c r="U1889" t="str">
        <f t="shared" si="118"/>
        <v>CA</v>
      </c>
      <c r="V1889" t="str">
        <f t="shared" si="119"/>
        <v>12004</v>
      </c>
    </row>
    <row r="1890" spans="1:22" x14ac:dyDescent="0.35">
      <c r="A1890">
        <v>40968</v>
      </c>
      <c r="B1890" t="s">
        <v>13</v>
      </c>
      <c r="C1890" t="s">
        <v>17</v>
      </c>
      <c r="D1890">
        <v>961</v>
      </c>
      <c r="E1890">
        <v>297</v>
      </c>
      <c r="F1890">
        <v>386</v>
      </c>
      <c r="G1890">
        <v>2</v>
      </c>
      <c r="H1890">
        <v>12625</v>
      </c>
      <c r="I1890">
        <v>5</v>
      </c>
      <c r="J1890">
        <v>47</v>
      </c>
      <c r="K1890">
        <v>341</v>
      </c>
      <c r="L1890">
        <v>366</v>
      </c>
      <c r="M1890">
        <v>13.66666667</v>
      </c>
      <c r="N1890">
        <f>IFERROR(VLOOKUP(A1890,vlookup_table!$A:$G,2,FALSE),"")</f>
        <v>0</v>
      </c>
      <c r="O1890">
        <f>IFERROR(VLOOKUP(A1890,vlookup_table!$A:$G,4,FALSE),"")</f>
        <v>0</v>
      </c>
      <c r="P1890" t="str">
        <f>IFERROR(VLOOKUP(A1890,vlookup_table!$A:$G,5,FALSE),"")</f>
        <v>T2</v>
      </c>
      <c r="Q1890">
        <f>IFERROR(VLOOKUP(A1890,vlookup_table!$A:$G,7,FALSE),"")</f>
        <v>17</v>
      </c>
      <c r="R1890">
        <f t="shared" si="116"/>
        <v>97</v>
      </c>
      <c r="S1890" t="str" cm="1">
        <f t="array" ref="S1890">IF(P1890="","",_xlfn.SWITCH(LEFT(P1890,1),"C","Ciudad","T","Pueblo","R","Rural","S","Suburbano","U","Urbano",""))</f>
        <v>Pueblo</v>
      </c>
      <c r="T1890" t="str">
        <f t="shared" si="117"/>
        <v>F</v>
      </c>
      <c r="U1890" t="str">
        <f t="shared" si="118"/>
        <v>FL</v>
      </c>
      <c r="V1890" t="str">
        <f t="shared" si="119"/>
        <v>12625</v>
      </c>
    </row>
    <row r="1891" spans="1:22" x14ac:dyDescent="0.35">
      <c r="A1891">
        <v>101109</v>
      </c>
      <c r="B1891" t="s">
        <v>36</v>
      </c>
      <c r="C1891" t="s">
        <v>17</v>
      </c>
      <c r="D1891">
        <v>883</v>
      </c>
      <c r="E1891">
        <v>468</v>
      </c>
      <c r="F1891">
        <v>517</v>
      </c>
      <c r="G1891">
        <v>0</v>
      </c>
      <c r="H1891">
        <v>15167</v>
      </c>
      <c r="I1891">
        <v>1</v>
      </c>
      <c r="J1891">
        <v>69</v>
      </c>
      <c r="K1891">
        <v>503</v>
      </c>
      <c r="L1891">
        <v>493</v>
      </c>
      <c r="M1891">
        <v>13.8</v>
      </c>
      <c r="N1891">
        <f>IFERROR(VLOOKUP(A1891,vlookup_table!$A:$G,2,FALSE),"")</f>
        <v>0</v>
      </c>
      <c r="O1891">
        <f>IFERROR(VLOOKUP(A1891,vlookup_table!$A:$G,4,FALSE),"")</f>
        <v>2801</v>
      </c>
      <c r="P1891" t="str">
        <f>IFERROR(VLOOKUP(A1891,vlookup_table!$A:$G,5,FALSE),"")</f>
        <v>C1</v>
      </c>
      <c r="Q1891">
        <f>IFERROR(VLOOKUP(A1891,vlookup_table!$A:$G,7,FALSE),"")</f>
        <v>10</v>
      </c>
      <c r="R1891">
        <f t="shared" si="116"/>
        <v>69</v>
      </c>
      <c r="S1891" t="str" cm="1">
        <f t="array" ref="S1891">IF(P1891="","",_xlfn.SWITCH(LEFT(P1891,1),"C","Ciudad","T","Pueblo","R","Rural","S","Suburbano","U","Urbano",""))</f>
        <v>Ciudad</v>
      </c>
      <c r="T1891" t="str">
        <f t="shared" si="117"/>
        <v>F</v>
      </c>
      <c r="U1891" t="str">
        <f t="shared" si="118"/>
        <v>MO</v>
      </c>
      <c r="V1891" t="str">
        <f t="shared" si="119"/>
        <v>15167</v>
      </c>
    </row>
    <row r="1892" spans="1:22" x14ac:dyDescent="0.35">
      <c r="A1892">
        <v>14279</v>
      </c>
      <c r="B1892" t="s">
        <v>48</v>
      </c>
      <c r="C1892" t="s">
        <v>14</v>
      </c>
      <c r="D1892">
        <v>1285</v>
      </c>
      <c r="E1892">
        <v>474</v>
      </c>
      <c r="F1892">
        <v>584</v>
      </c>
      <c r="G1892">
        <v>12</v>
      </c>
      <c r="H1892">
        <v>21521</v>
      </c>
      <c r="I1892">
        <v>4</v>
      </c>
      <c r="J1892">
        <v>39</v>
      </c>
      <c r="K1892">
        <v>510</v>
      </c>
      <c r="L1892">
        <v>535</v>
      </c>
      <c r="M1892">
        <v>5.1875</v>
      </c>
      <c r="N1892">
        <f>IFERROR(VLOOKUP(A1892,vlookup_table!$A:$G,2,FALSE),"")</f>
        <v>2</v>
      </c>
      <c r="O1892">
        <f>IFERROR(VLOOKUP(A1892,vlookup_table!$A:$G,4,FALSE),"")</f>
        <v>5701</v>
      </c>
      <c r="P1892" t="str">
        <f>IFERROR(VLOOKUP(A1892,vlookup_table!$A:$G,5,FALSE),"")</f>
        <v>T1</v>
      </c>
      <c r="Q1892">
        <f>IFERROR(VLOOKUP(A1892,vlookup_table!$A:$G,7,FALSE),"")</f>
        <v>11</v>
      </c>
      <c r="R1892">
        <f t="shared" si="116"/>
        <v>40</v>
      </c>
      <c r="S1892" t="str" cm="1">
        <f t="array" ref="S1892">IF(P1892="","",_xlfn.SWITCH(LEFT(P1892,1),"C","Ciudad","T","Pueblo","R","Rural","S","Suburbano","U","Urbano",""))</f>
        <v>Pueblo</v>
      </c>
      <c r="T1892" t="str">
        <f t="shared" si="117"/>
        <v>M</v>
      </c>
      <c r="U1892" t="str">
        <f t="shared" si="118"/>
        <v>CO</v>
      </c>
      <c r="V1892" t="str">
        <f t="shared" si="119"/>
        <v>21521</v>
      </c>
    </row>
    <row r="1893" spans="1:22" x14ac:dyDescent="0.35">
      <c r="A1893">
        <v>83887</v>
      </c>
      <c r="B1893" t="s">
        <v>56</v>
      </c>
      <c r="C1893" t="s">
        <v>17</v>
      </c>
      <c r="D1893">
        <v>889</v>
      </c>
      <c r="E1893">
        <v>272</v>
      </c>
      <c r="F1893">
        <v>450</v>
      </c>
      <c r="G1893">
        <v>0</v>
      </c>
      <c r="H1893">
        <v>14767</v>
      </c>
      <c r="I1893">
        <v>3</v>
      </c>
      <c r="J1893">
        <v>69</v>
      </c>
      <c r="K1893">
        <v>398</v>
      </c>
      <c r="L1893">
        <v>341</v>
      </c>
      <c r="M1893">
        <v>16</v>
      </c>
      <c r="N1893">
        <f>IFERROR(VLOOKUP(A1893,vlookup_table!$A:$G,2,FALSE),"")</f>
        <v>2</v>
      </c>
      <c r="O1893">
        <f>IFERROR(VLOOKUP(A1893,vlookup_table!$A:$G,4,FALSE),"")</f>
        <v>6801</v>
      </c>
      <c r="P1893" t="str">
        <f>IFERROR(VLOOKUP(A1893,vlookup_table!$A:$G,5,FALSE),"")</f>
        <v>S2</v>
      </c>
      <c r="Q1893">
        <f>IFERROR(VLOOKUP(A1893,vlookup_table!$A:$G,7,FALSE),"")</f>
        <v>17</v>
      </c>
      <c r="R1893">
        <f t="shared" si="116"/>
        <v>29</v>
      </c>
      <c r="S1893" t="str" cm="1">
        <f t="array" ref="S1893">IF(P1893="","",_xlfn.SWITCH(LEFT(P1893,1),"C","Ciudad","T","Pueblo","R","Rural","S","Suburbano","U","Urbano",""))</f>
        <v>Suburbano</v>
      </c>
      <c r="T1893" t="str">
        <f t="shared" si="117"/>
        <v>F</v>
      </c>
      <c r="U1893" t="str">
        <f t="shared" si="118"/>
        <v>MN</v>
      </c>
      <c r="V1893" t="str">
        <f t="shared" si="119"/>
        <v>14767</v>
      </c>
    </row>
    <row r="1894" spans="1:22" x14ac:dyDescent="0.35">
      <c r="A1894">
        <v>17089</v>
      </c>
      <c r="B1894" t="s">
        <v>18</v>
      </c>
      <c r="C1894" t="s">
        <v>20</v>
      </c>
      <c r="D1894">
        <v>609</v>
      </c>
      <c r="E1894">
        <v>257</v>
      </c>
      <c r="F1894">
        <v>323</v>
      </c>
      <c r="G1894">
        <v>0</v>
      </c>
      <c r="H1894">
        <v>10569</v>
      </c>
      <c r="I1894">
        <v>0</v>
      </c>
      <c r="J1894">
        <v>95</v>
      </c>
      <c r="K1894">
        <v>338</v>
      </c>
      <c r="L1894">
        <v>299</v>
      </c>
      <c r="M1894">
        <v>6</v>
      </c>
      <c r="N1894">
        <f>IFERROR(VLOOKUP(A1894,vlookup_table!$A:$G,2,FALSE),"")</f>
        <v>0</v>
      </c>
      <c r="O1894">
        <f>IFERROR(VLOOKUP(A1894,vlookup_table!$A:$G,4,FALSE),"")</f>
        <v>0</v>
      </c>
      <c r="P1894" t="str">
        <f>IFERROR(VLOOKUP(A1894,vlookup_table!$A:$G,5,FALSE),"")</f>
        <v>R2</v>
      </c>
      <c r="Q1894">
        <f>IFERROR(VLOOKUP(A1894,vlookup_table!$A:$G,7,FALSE),"")</f>
        <v>5</v>
      </c>
      <c r="R1894">
        <f t="shared" si="116"/>
        <v>97</v>
      </c>
      <c r="S1894" t="str" cm="1">
        <f t="array" ref="S1894">IF(P1894="","",_xlfn.SWITCH(LEFT(P1894,1),"C","Ciudad","T","Pueblo","R","Rural","S","Suburbano","U","Urbano",""))</f>
        <v>Rural</v>
      </c>
      <c r="T1894" t="str">
        <f t="shared" si="117"/>
        <v>F</v>
      </c>
      <c r="U1894" t="str">
        <f t="shared" si="118"/>
        <v>NC</v>
      </c>
      <c r="V1894" t="str">
        <f t="shared" si="119"/>
        <v>10569</v>
      </c>
    </row>
    <row r="1895" spans="1:22" x14ac:dyDescent="0.35">
      <c r="A1895">
        <v>92183</v>
      </c>
      <c r="B1895" t="s">
        <v>16</v>
      </c>
      <c r="C1895" t="s">
        <v>17</v>
      </c>
      <c r="D1895">
        <v>1240</v>
      </c>
      <c r="E1895">
        <v>395</v>
      </c>
      <c r="F1895">
        <v>550</v>
      </c>
      <c r="G1895">
        <v>6</v>
      </c>
      <c r="H1895">
        <v>19153</v>
      </c>
      <c r="I1895">
        <v>4</v>
      </c>
      <c r="J1895">
        <v>70</v>
      </c>
      <c r="K1895">
        <v>496</v>
      </c>
      <c r="L1895">
        <v>436</v>
      </c>
      <c r="M1895">
        <v>5.375</v>
      </c>
      <c r="N1895">
        <f>IFERROR(VLOOKUP(A1895,vlookup_table!$A:$G,2,FALSE),"")</f>
        <v>28</v>
      </c>
      <c r="O1895">
        <f>IFERROR(VLOOKUP(A1895,vlookup_table!$A:$G,4,FALSE),"")</f>
        <v>1101</v>
      </c>
      <c r="P1895" t="str">
        <f>IFERROR(VLOOKUP(A1895,vlookup_table!$A:$G,5,FALSE),"")</f>
        <v>C1</v>
      </c>
      <c r="Q1895">
        <f>IFERROR(VLOOKUP(A1895,vlookup_table!$A:$G,7,FALSE),"")</f>
        <v>5</v>
      </c>
      <c r="R1895">
        <f t="shared" si="116"/>
        <v>86</v>
      </c>
      <c r="S1895" t="str" cm="1">
        <f t="array" ref="S1895">IF(P1895="","",_xlfn.SWITCH(LEFT(P1895,1),"C","Ciudad","T","Pueblo","R","Rural","S","Suburbano","U","Urbano",""))</f>
        <v>Ciudad</v>
      </c>
      <c r="T1895" t="str">
        <f t="shared" si="117"/>
        <v>F</v>
      </c>
      <c r="U1895" t="str">
        <f t="shared" si="118"/>
        <v>IL</v>
      </c>
      <c r="V1895" t="str">
        <f t="shared" si="119"/>
        <v>19153</v>
      </c>
    </row>
    <row r="1896" spans="1:22" x14ac:dyDescent="0.35">
      <c r="A1896">
        <v>65374</v>
      </c>
      <c r="B1896" t="s">
        <v>29</v>
      </c>
      <c r="C1896" t="s">
        <v>14</v>
      </c>
      <c r="D1896">
        <v>426</v>
      </c>
      <c r="E1896">
        <v>267</v>
      </c>
      <c r="F1896">
        <v>343</v>
      </c>
      <c r="G1896">
        <v>0</v>
      </c>
      <c r="H1896">
        <v>13836</v>
      </c>
      <c r="I1896">
        <v>9</v>
      </c>
      <c r="J1896">
        <v>71</v>
      </c>
      <c r="K1896">
        <v>315</v>
      </c>
      <c r="L1896">
        <v>314</v>
      </c>
      <c r="M1896">
        <v>16.75</v>
      </c>
      <c r="N1896">
        <f>IFERROR(VLOOKUP(A1896,vlookup_table!$A:$G,2,FALSE),"")</f>
        <v>1</v>
      </c>
      <c r="O1896">
        <f>IFERROR(VLOOKUP(A1896,vlookup_table!$A:$G,4,FALSE),"")</f>
        <v>2608</v>
      </c>
      <c r="P1896" t="str">
        <f>IFERROR(VLOOKUP(A1896,vlookup_table!$A:$G,5,FALSE),"")</f>
        <v>U4</v>
      </c>
      <c r="Q1896">
        <f>IFERROR(VLOOKUP(A1896,vlookup_table!$A:$G,7,FALSE),"")</f>
        <v>20</v>
      </c>
      <c r="R1896">
        <f t="shared" si="116"/>
        <v>71</v>
      </c>
      <c r="S1896" t="str" cm="1">
        <f t="array" ref="S1896">IF(P1896="","",_xlfn.SWITCH(LEFT(P1896,1),"C","Ciudad","T","Pueblo","R","Rural","S","Suburbano","U","Urbano",""))</f>
        <v>Urbano</v>
      </c>
      <c r="T1896" t="str">
        <f t="shared" si="117"/>
        <v>M</v>
      </c>
      <c r="U1896" t="str">
        <f t="shared" si="118"/>
        <v>MI</v>
      </c>
      <c r="V1896" t="str">
        <f t="shared" si="119"/>
        <v>13836</v>
      </c>
    </row>
    <row r="1897" spans="1:22" x14ac:dyDescent="0.35">
      <c r="A1897">
        <v>27082</v>
      </c>
      <c r="B1897" t="s">
        <v>21</v>
      </c>
      <c r="C1897" t="s">
        <v>14</v>
      </c>
      <c r="D1897">
        <v>792</v>
      </c>
      <c r="E1897">
        <v>260</v>
      </c>
      <c r="F1897">
        <v>396</v>
      </c>
      <c r="G1897">
        <v>8</v>
      </c>
      <c r="H1897">
        <v>14354</v>
      </c>
      <c r="I1897">
        <v>3</v>
      </c>
      <c r="J1897">
        <v>66</v>
      </c>
      <c r="K1897">
        <v>320</v>
      </c>
      <c r="L1897">
        <v>337</v>
      </c>
      <c r="M1897">
        <v>11.33333333</v>
      </c>
      <c r="N1897">
        <f>IFERROR(VLOOKUP(A1897,vlookup_table!$A:$G,2,FALSE),"")</f>
        <v>1</v>
      </c>
      <c r="O1897">
        <f>IFERROR(VLOOKUP(A1897,vlookup_table!$A:$G,4,FALSE),"")</f>
        <v>4612</v>
      </c>
      <c r="P1897" t="str">
        <f>IFERROR(VLOOKUP(A1897,vlookup_table!$A:$G,5,FALSE),"")</f>
        <v>S2</v>
      </c>
      <c r="Q1897">
        <f>IFERROR(VLOOKUP(A1897,vlookup_table!$A:$G,7,FALSE),"")</f>
        <v>10</v>
      </c>
      <c r="R1897">
        <f t="shared" si="116"/>
        <v>51</v>
      </c>
      <c r="S1897" t="str" cm="1">
        <f t="array" ref="S1897">IF(P1897="","",_xlfn.SWITCH(LEFT(P1897,1),"C","Ciudad","T","Pueblo","R","Rural","S","Suburbano","U","Urbano",""))</f>
        <v>Suburbano</v>
      </c>
      <c r="T1897" t="str">
        <f t="shared" si="117"/>
        <v>M</v>
      </c>
      <c r="U1897" t="str">
        <f t="shared" si="118"/>
        <v>TX</v>
      </c>
      <c r="V1897" t="str">
        <f t="shared" si="119"/>
        <v>14354</v>
      </c>
    </row>
    <row r="1898" spans="1:22" x14ac:dyDescent="0.35">
      <c r="A1898">
        <v>108115</v>
      </c>
      <c r="B1898" t="s">
        <v>49</v>
      </c>
      <c r="C1898" t="s">
        <v>14</v>
      </c>
      <c r="D1898">
        <v>801</v>
      </c>
      <c r="E1898">
        <v>487</v>
      </c>
      <c r="F1898">
        <v>550</v>
      </c>
      <c r="G1898">
        <v>0</v>
      </c>
      <c r="H1898">
        <v>15880</v>
      </c>
      <c r="I1898">
        <v>7</v>
      </c>
      <c r="J1898">
        <v>73</v>
      </c>
      <c r="K1898">
        <v>523</v>
      </c>
      <c r="L1898">
        <v>509</v>
      </c>
      <c r="M1898">
        <v>13.272727270000001</v>
      </c>
      <c r="N1898">
        <f>IFERROR(VLOOKUP(A1898,vlookup_table!$A:$G,2,FALSE),"")</f>
        <v>1</v>
      </c>
      <c r="O1898">
        <f>IFERROR(VLOOKUP(A1898,vlookup_table!$A:$G,4,FALSE),"")</f>
        <v>3511</v>
      </c>
      <c r="P1898" t="str">
        <f>IFERROR(VLOOKUP(A1898,vlookup_table!$A:$G,5,FALSE),"")</f>
        <v>S1</v>
      </c>
      <c r="Q1898">
        <f>IFERROR(VLOOKUP(A1898,vlookup_table!$A:$G,7,FALSE),"")</f>
        <v>100</v>
      </c>
      <c r="R1898">
        <f t="shared" si="116"/>
        <v>62</v>
      </c>
      <c r="S1898" t="str" cm="1">
        <f t="array" ref="S1898">IF(P1898="","",_xlfn.SWITCH(LEFT(P1898,1),"C","Ciudad","T","Pueblo","R","Rural","S","Suburbano","U","Urbano",""))</f>
        <v>Suburbano</v>
      </c>
      <c r="T1898" t="str">
        <f t="shared" si="117"/>
        <v>M</v>
      </c>
      <c r="U1898" t="str">
        <f t="shared" si="118"/>
        <v>LA</v>
      </c>
      <c r="V1898" t="str">
        <f t="shared" si="119"/>
        <v>15880</v>
      </c>
    </row>
    <row r="1899" spans="1:22" x14ac:dyDescent="0.35">
      <c r="A1899">
        <v>86278</v>
      </c>
      <c r="B1899" t="s">
        <v>52</v>
      </c>
      <c r="C1899" t="s">
        <v>14</v>
      </c>
      <c r="D1899">
        <v>554</v>
      </c>
      <c r="E1899">
        <v>294</v>
      </c>
      <c r="F1899">
        <v>344</v>
      </c>
      <c r="G1899">
        <v>0</v>
      </c>
      <c r="H1899">
        <v>10936</v>
      </c>
      <c r="I1899">
        <v>2</v>
      </c>
      <c r="J1899">
        <v>58</v>
      </c>
      <c r="K1899">
        <v>319</v>
      </c>
      <c r="L1899">
        <v>287</v>
      </c>
      <c r="M1899">
        <v>7.5294117649999999</v>
      </c>
      <c r="N1899">
        <f>IFERROR(VLOOKUP(A1899,vlookup_table!$A:$G,2,FALSE),"")</f>
        <v>1</v>
      </c>
      <c r="O1899">
        <f>IFERROR(VLOOKUP(A1899,vlookup_table!$A:$G,4,FALSE),"")</f>
        <v>3201</v>
      </c>
      <c r="P1899" t="str">
        <f>IFERROR(VLOOKUP(A1899,vlookup_table!$A:$G,5,FALSE),"")</f>
        <v>C2</v>
      </c>
      <c r="Q1899">
        <f>IFERROR(VLOOKUP(A1899,vlookup_table!$A:$G,7,FALSE),"")</f>
        <v>9</v>
      </c>
      <c r="R1899">
        <f t="shared" si="116"/>
        <v>65</v>
      </c>
      <c r="S1899" t="str" cm="1">
        <f t="array" ref="S1899">IF(P1899="","",_xlfn.SWITCH(LEFT(P1899,1),"C","Ciudad","T","Pueblo","R","Rural","S","Suburbano","U","Urbano",""))</f>
        <v>Ciudad</v>
      </c>
      <c r="T1899" t="str">
        <f t="shared" si="117"/>
        <v>M</v>
      </c>
      <c r="U1899" t="str">
        <f t="shared" si="118"/>
        <v>SD</v>
      </c>
      <c r="V1899" t="str">
        <f t="shared" si="119"/>
        <v>10936</v>
      </c>
    </row>
    <row r="1900" spans="1:22" x14ac:dyDescent="0.35">
      <c r="A1900">
        <v>87904</v>
      </c>
      <c r="B1900" t="s">
        <v>16</v>
      </c>
      <c r="C1900" t="s">
        <v>14</v>
      </c>
      <c r="D1900">
        <v>1141</v>
      </c>
      <c r="E1900">
        <v>453</v>
      </c>
      <c r="F1900">
        <v>536</v>
      </c>
      <c r="G1900">
        <v>1</v>
      </c>
      <c r="H1900">
        <v>17140</v>
      </c>
      <c r="I1900">
        <v>4</v>
      </c>
      <c r="J1900">
        <v>74</v>
      </c>
      <c r="K1900">
        <v>498</v>
      </c>
      <c r="L1900">
        <v>481</v>
      </c>
      <c r="M1900">
        <v>8.615384615</v>
      </c>
      <c r="N1900">
        <f>IFERROR(VLOOKUP(A1900,vlookup_table!$A:$G,2,FALSE),"")</f>
        <v>1</v>
      </c>
      <c r="O1900">
        <f>IFERROR(VLOOKUP(A1900,vlookup_table!$A:$G,4,FALSE),"")</f>
        <v>3209</v>
      </c>
      <c r="P1900" t="str">
        <f>IFERROR(VLOOKUP(A1900,vlookup_table!$A:$G,5,FALSE),"")</f>
        <v>U2</v>
      </c>
      <c r="Q1900">
        <f>IFERROR(VLOOKUP(A1900,vlookup_table!$A:$G,7,FALSE),"")</f>
        <v>21</v>
      </c>
      <c r="R1900">
        <f t="shared" si="116"/>
        <v>65</v>
      </c>
      <c r="S1900" t="str" cm="1">
        <f t="array" ref="S1900">IF(P1900="","",_xlfn.SWITCH(LEFT(P1900,1),"C","Ciudad","T","Pueblo","R","Rural","S","Suburbano","U","Urbano",""))</f>
        <v>Urbano</v>
      </c>
      <c r="T1900" t="str">
        <f t="shared" si="117"/>
        <v>M</v>
      </c>
      <c r="U1900" t="str">
        <f t="shared" si="118"/>
        <v>IL</v>
      </c>
      <c r="V1900" t="str">
        <f t="shared" si="119"/>
        <v>17140</v>
      </c>
    </row>
    <row r="1901" spans="1:22" x14ac:dyDescent="0.35">
      <c r="A1901">
        <v>5798</v>
      </c>
      <c r="B1901" t="s">
        <v>21</v>
      </c>
      <c r="C1901" t="s">
        <v>30</v>
      </c>
      <c r="D1901">
        <v>872</v>
      </c>
      <c r="E1901">
        <v>534</v>
      </c>
      <c r="F1901">
        <v>607</v>
      </c>
      <c r="G1901">
        <v>1</v>
      </c>
      <c r="H1901">
        <v>19255</v>
      </c>
      <c r="I1901">
        <v>1</v>
      </c>
      <c r="J1901">
        <v>63</v>
      </c>
      <c r="K1901">
        <v>548</v>
      </c>
      <c r="L1901">
        <v>594</v>
      </c>
      <c r="M1901">
        <v>79.166666669999998</v>
      </c>
      <c r="N1901">
        <f>IFERROR(VLOOKUP(A1901,vlookup_table!$A:$G,2,FALSE),"")</f>
        <v>0</v>
      </c>
      <c r="O1901">
        <f>IFERROR(VLOOKUP(A1901,vlookup_table!$A:$G,4,FALSE),"")</f>
        <v>6501</v>
      </c>
      <c r="P1901" t="str">
        <f>IFERROR(VLOOKUP(A1901,vlookup_table!$A:$G,5,FALSE),"")</f>
        <v>S1</v>
      </c>
      <c r="Q1901">
        <f>IFERROR(VLOOKUP(A1901,vlookup_table!$A:$G,7,FALSE),"")</f>
        <v>50</v>
      </c>
      <c r="R1901">
        <f t="shared" si="116"/>
        <v>32</v>
      </c>
      <c r="S1901" t="str" cm="1">
        <f t="array" ref="S1901">IF(P1901="","",_xlfn.SWITCH(LEFT(P1901,1),"C","Ciudad","T","Pueblo","R","Rural","S","Suburbano","U","Urbano",""))</f>
        <v>Suburbano</v>
      </c>
      <c r="T1901" t="str">
        <f t="shared" si="117"/>
        <v>U</v>
      </c>
      <c r="U1901" t="str">
        <f t="shared" si="118"/>
        <v>TX</v>
      </c>
      <c r="V1901" t="str">
        <f t="shared" si="119"/>
        <v>19255</v>
      </c>
    </row>
    <row r="1902" spans="1:22" x14ac:dyDescent="0.35">
      <c r="A1902">
        <v>115289</v>
      </c>
      <c r="B1902" t="s">
        <v>31</v>
      </c>
      <c r="C1902" t="s">
        <v>17</v>
      </c>
      <c r="D1902">
        <v>848</v>
      </c>
      <c r="E1902">
        <v>372</v>
      </c>
      <c r="F1902">
        <v>426</v>
      </c>
      <c r="G1902">
        <v>3</v>
      </c>
      <c r="H1902">
        <v>13972</v>
      </c>
      <c r="I1902">
        <v>1</v>
      </c>
      <c r="J1902">
        <v>72</v>
      </c>
      <c r="K1902">
        <v>386</v>
      </c>
      <c r="L1902">
        <v>404</v>
      </c>
      <c r="M1902">
        <v>10</v>
      </c>
      <c r="N1902">
        <f>IFERROR(VLOOKUP(A1902,vlookup_table!$A:$G,2,FALSE),"")</f>
        <v>0</v>
      </c>
      <c r="O1902">
        <f>IFERROR(VLOOKUP(A1902,vlookup_table!$A:$G,4,FALSE),"")</f>
        <v>3801</v>
      </c>
      <c r="P1902" t="str">
        <f>IFERROR(VLOOKUP(A1902,vlookup_table!$A:$G,5,FALSE),"")</f>
        <v>T3</v>
      </c>
      <c r="Q1902">
        <f>IFERROR(VLOOKUP(A1902,vlookup_table!$A:$G,7,FALSE),"")</f>
        <v>25</v>
      </c>
      <c r="R1902">
        <f t="shared" si="116"/>
        <v>59</v>
      </c>
      <c r="S1902" t="str" cm="1">
        <f t="array" ref="S1902">IF(P1902="","",_xlfn.SWITCH(LEFT(P1902,1),"C","Ciudad","T","Pueblo","R","Rural","S","Suburbano","U","Urbano",""))</f>
        <v>Pueblo</v>
      </c>
      <c r="T1902" t="str">
        <f t="shared" si="117"/>
        <v>F</v>
      </c>
      <c r="U1902" t="str">
        <f t="shared" si="118"/>
        <v>OK</v>
      </c>
      <c r="V1902" t="str">
        <f t="shared" si="119"/>
        <v>13972</v>
      </c>
    </row>
    <row r="1903" spans="1:22" x14ac:dyDescent="0.35">
      <c r="A1903">
        <v>186185</v>
      </c>
      <c r="B1903" t="s">
        <v>48</v>
      </c>
      <c r="C1903" t="s">
        <v>14</v>
      </c>
      <c r="D1903">
        <v>985</v>
      </c>
      <c r="E1903">
        <v>478</v>
      </c>
      <c r="F1903">
        <v>591</v>
      </c>
      <c r="G1903">
        <v>3</v>
      </c>
      <c r="H1903">
        <v>20164</v>
      </c>
      <c r="I1903">
        <v>3</v>
      </c>
      <c r="J1903">
        <v>50</v>
      </c>
      <c r="K1903">
        <v>495</v>
      </c>
      <c r="L1903">
        <v>508</v>
      </c>
      <c r="M1903">
        <v>12.125</v>
      </c>
      <c r="N1903">
        <f>IFERROR(VLOOKUP(A1903,vlookup_table!$A:$G,2,FALSE),"")</f>
        <v>1</v>
      </c>
      <c r="O1903">
        <f>IFERROR(VLOOKUP(A1903,vlookup_table!$A:$G,4,FALSE),"")</f>
        <v>2010</v>
      </c>
      <c r="P1903" t="str">
        <f>IFERROR(VLOOKUP(A1903,vlookup_table!$A:$G,5,FALSE),"")</f>
        <v>S1</v>
      </c>
      <c r="Q1903">
        <f>IFERROR(VLOOKUP(A1903,vlookup_table!$A:$G,7,FALSE),"")</f>
        <v>15</v>
      </c>
      <c r="R1903">
        <f t="shared" si="116"/>
        <v>77</v>
      </c>
      <c r="S1903" t="str" cm="1">
        <f t="array" ref="S1903">IF(P1903="","",_xlfn.SWITCH(LEFT(P1903,1),"C","Ciudad","T","Pueblo","R","Rural","S","Suburbano","U","Urbano",""))</f>
        <v>Suburbano</v>
      </c>
      <c r="T1903" t="str">
        <f t="shared" si="117"/>
        <v>M</v>
      </c>
      <c r="U1903" t="str">
        <f t="shared" si="118"/>
        <v>CO</v>
      </c>
      <c r="V1903" t="str">
        <f t="shared" si="119"/>
        <v>20164</v>
      </c>
    </row>
    <row r="1904" spans="1:22" x14ac:dyDescent="0.35">
      <c r="A1904">
        <v>74589</v>
      </c>
      <c r="B1904" t="s">
        <v>29</v>
      </c>
      <c r="C1904" t="s">
        <v>17</v>
      </c>
      <c r="D1904">
        <v>795</v>
      </c>
      <c r="E1904">
        <v>442</v>
      </c>
      <c r="F1904">
        <v>627</v>
      </c>
      <c r="G1904">
        <v>7</v>
      </c>
      <c r="H1904">
        <v>22204</v>
      </c>
      <c r="I1904">
        <v>8</v>
      </c>
      <c r="J1904">
        <v>71</v>
      </c>
      <c r="K1904">
        <v>475</v>
      </c>
      <c r="L1904">
        <v>557</v>
      </c>
      <c r="M1904">
        <v>9</v>
      </c>
      <c r="N1904">
        <f>IFERROR(VLOOKUP(A1904,vlookup_table!$A:$G,2,FALSE),"")</f>
        <v>0</v>
      </c>
      <c r="O1904">
        <f>IFERROR(VLOOKUP(A1904,vlookup_table!$A:$G,4,FALSE),"")</f>
        <v>5401</v>
      </c>
      <c r="P1904" t="str">
        <f>IFERROR(VLOOKUP(A1904,vlookup_table!$A:$G,5,FALSE),"")</f>
        <v>T1</v>
      </c>
      <c r="Q1904">
        <f>IFERROR(VLOOKUP(A1904,vlookup_table!$A:$G,7,FALSE),"")</f>
        <v>12</v>
      </c>
      <c r="R1904">
        <f t="shared" si="116"/>
        <v>43</v>
      </c>
      <c r="S1904" t="str" cm="1">
        <f t="array" ref="S1904">IF(P1904="","",_xlfn.SWITCH(LEFT(P1904,1),"C","Ciudad","T","Pueblo","R","Rural","S","Suburbano","U","Urbano",""))</f>
        <v>Pueblo</v>
      </c>
      <c r="T1904" t="str">
        <f t="shared" si="117"/>
        <v>F</v>
      </c>
      <c r="U1904" t="str">
        <f t="shared" si="118"/>
        <v>MI</v>
      </c>
      <c r="V1904" t="str">
        <f t="shared" si="119"/>
        <v>22204</v>
      </c>
    </row>
    <row r="1905" spans="1:22" x14ac:dyDescent="0.35">
      <c r="A1905">
        <v>65558</v>
      </c>
      <c r="B1905" t="s">
        <v>29</v>
      </c>
      <c r="C1905" t="s">
        <v>17</v>
      </c>
      <c r="D1905">
        <v>556</v>
      </c>
      <c r="E1905">
        <v>317</v>
      </c>
      <c r="F1905">
        <v>346</v>
      </c>
      <c r="G1905">
        <v>0</v>
      </c>
      <c r="H1905">
        <v>11613</v>
      </c>
      <c r="I1905">
        <v>2</v>
      </c>
      <c r="J1905">
        <v>82</v>
      </c>
      <c r="K1905">
        <v>324</v>
      </c>
      <c r="L1905">
        <v>313</v>
      </c>
      <c r="M1905">
        <v>5.263157895</v>
      </c>
      <c r="N1905">
        <f>IFERROR(VLOOKUP(A1905,vlookup_table!$A:$G,2,FALSE),"")</f>
        <v>0</v>
      </c>
      <c r="O1905">
        <f>IFERROR(VLOOKUP(A1905,vlookup_table!$A:$G,4,FALSE),"")</f>
        <v>5612</v>
      </c>
      <c r="P1905" t="str">
        <f>IFERROR(VLOOKUP(A1905,vlookup_table!$A:$G,5,FALSE),"")</f>
        <v>U3</v>
      </c>
      <c r="Q1905">
        <f>IFERROR(VLOOKUP(A1905,vlookup_table!$A:$G,7,FALSE),"")</f>
        <v>10</v>
      </c>
      <c r="R1905">
        <f t="shared" si="116"/>
        <v>41</v>
      </c>
      <c r="S1905" t="str" cm="1">
        <f t="array" ref="S1905">IF(P1905="","",_xlfn.SWITCH(LEFT(P1905,1),"C","Ciudad","T","Pueblo","R","Rural","S","Suburbano","U","Urbano",""))</f>
        <v>Urbano</v>
      </c>
      <c r="T1905" t="str">
        <f t="shared" si="117"/>
        <v>F</v>
      </c>
      <c r="U1905" t="str">
        <f t="shared" si="118"/>
        <v>MI</v>
      </c>
      <c r="V1905" t="str">
        <f t="shared" si="119"/>
        <v>11613</v>
      </c>
    </row>
    <row r="1906" spans="1:22" x14ac:dyDescent="0.35">
      <c r="A1906">
        <v>22696</v>
      </c>
      <c r="B1906" t="s">
        <v>46</v>
      </c>
      <c r="C1906" t="s">
        <v>17</v>
      </c>
      <c r="D1906">
        <v>630</v>
      </c>
      <c r="E1906">
        <v>279</v>
      </c>
      <c r="F1906">
        <v>371</v>
      </c>
      <c r="G1906">
        <v>2</v>
      </c>
      <c r="H1906">
        <v>12137</v>
      </c>
      <c r="I1906">
        <v>1</v>
      </c>
      <c r="J1906">
        <v>85</v>
      </c>
      <c r="K1906">
        <v>323</v>
      </c>
      <c r="L1906">
        <v>329</v>
      </c>
      <c r="M1906">
        <v>11.5</v>
      </c>
      <c r="N1906">
        <f>IFERROR(VLOOKUP(A1906,vlookup_table!$A:$G,2,FALSE),"")</f>
        <v>0</v>
      </c>
      <c r="O1906">
        <f>IFERROR(VLOOKUP(A1906,vlookup_table!$A:$G,4,FALSE),"")</f>
        <v>6201</v>
      </c>
      <c r="P1906" t="str">
        <f>IFERROR(VLOOKUP(A1906,vlookup_table!$A:$G,5,FALSE),"")</f>
        <v>R2</v>
      </c>
      <c r="Q1906">
        <f>IFERROR(VLOOKUP(A1906,vlookup_table!$A:$G,7,FALSE),"")</f>
        <v>20</v>
      </c>
      <c r="R1906">
        <f t="shared" si="116"/>
        <v>35</v>
      </c>
      <c r="S1906" t="str" cm="1">
        <f t="array" ref="S1906">IF(P1906="","",_xlfn.SWITCH(LEFT(P1906,1),"C","Ciudad","T","Pueblo","R","Rural","S","Suburbano","U","Urbano",""))</f>
        <v>Rural</v>
      </c>
      <c r="T1906" t="str">
        <f t="shared" si="117"/>
        <v>F</v>
      </c>
      <c r="U1906" t="str">
        <f t="shared" si="118"/>
        <v>SC</v>
      </c>
      <c r="V1906" t="str">
        <f t="shared" si="119"/>
        <v>12137</v>
      </c>
    </row>
    <row r="1907" spans="1:22" x14ac:dyDescent="0.35">
      <c r="A1907">
        <v>387</v>
      </c>
      <c r="B1907" t="s">
        <v>33</v>
      </c>
      <c r="C1907" t="s">
        <v>17</v>
      </c>
      <c r="D1907">
        <v>789</v>
      </c>
      <c r="E1907">
        <v>413</v>
      </c>
      <c r="F1907">
        <v>447</v>
      </c>
      <c r="G1907">
        <v>0</v>
      </c>
      <c r="H1907">
        <v>14123</v>
      </c>
      <c r="I1907">
        <v>5</v>
      </c>
      <c r="J1907">
        <v>72</v>
      </c>
      <c r="K1907">
        <v>430</v>
      </c>
      <c r="L1907">
        <v>425</v>
      </c>
      <c r="M1907">
        <v>5.8333333329999997</v>
      </c>
      <c r="N1907">
        <f>IFERROR(VLOOKUP(A1907,vlookup_table!$A:$G,2,FALSE),"")</f>
        <v>2</v>
      </c>
      <c r="O1907">
        <f>IFERROR(VLOOKUP(A1907,vlookup_table!$A:$G,4,FALSE),"")</f>
        <v>0</v>
      </c>
      <c r="P1907" t="str">
        <f>IFERROR(VLOOKUP(A1907,vlookup_table!$A:$G,5,FALSE),"")</f>
        <v>T2</v>
      </c>
      <c r="Q1907">
        <f>IFERROR(VLOOKUP(A1907,vlookup_table!$A:$G,7,FALSE),"")</f>
        <v>5</v>
      </c>
      <c r="R1907">
        <f t="shared" si="116"/>
        <v>97</v>
      </c>
      <c r="S1907" t="str" cm="1">
        <f t="array" ref="S1907">IF(P1907="","",_xlfn.SWITCH(LEFT(P1907,1),"C","Ciudad","T","Pueblo","R","Rural","S","Suburbano","U","Urbano",""))</f>
        <v>Pueblo</v>
      </c>
      <c r="T1907" t="str">
        <f t="shared" si="117"/>
        <v>F</v>
      </c>
      <c r="U1907" t="str">
        <f t="shared" si="118"/>
        <v>IN</v>
      </c>
      <c r="V1907" t="str">
        <f t="shared" si="119"/>
        <v>14123</v>
      </c>
    </row>
    <row r="1908" spans="1:22" x14ac:dyDescent="0.35">
      <c r="A1908">
        <v>98033</v>
      </c>
      <c r="B1908" t="s">
        <v>16</v>
      </c>
      <c r="C1908" t="s">
        <v>17</v>
      </c>
      <c r="D1908">
        <v>152</v>
      </c>
      <c r="E1908">
        <v>152</v>
      </c>
      <c r="F1908">
        <v>267</v>
      </c>
      <c r="G1908">
        <v>0</v>
      </c>
      <c r="H1908">
        <v>9395</v>
      </c>
      <c r="I1908">
        <v>0</v>
      </c>
      <c r="J1908">
        <v>80</v>
      </c>
      <c r="K1908">
        <v>200</v>
      </c>
      <c r="L1908">
        <v>204</v>
      </c>
      <c r="M1908">
        <v>14.66666667</v>
      </c>
      <c r="N1908">
        <f>IFERROR(VLOOKUP(A1908,vlookup_table!$A:$G,2,FALSE),"")</f>
        <v>2</v>
      </c>
      <c r="O1908">
        <f>IFERROR(VLOOKUP(A1908,vlookup_table!$A:$G,4,FALSE),"")</f>
        <v>1912</v>
      </c>
      <c r="P1908" t="str">
        <f>IFERROR(VLOOKUP(A1908,vlookup_table!$A:$G,5,FALSE),"")</f>
        <v>R3</v>
      </c>
      <c r="Q1908">
        <f>IFERROR(VLOOKUP(A1908,vlookup_table!$A:$G,7,FALSE),"")</f>
        <v>20</v>
      </c>
      <c r="R1908">
        <f t="shared" si="116"/>
        <v>78</v>
      </c>
      <c r="S1908" t="str" cm="1">
        <f t="array" ref="S1908">IF(P1908="","",_xlfn.SWITCH(LEFT(P1908,1),"C","Ciudad","T","Pueblo","R","Rural","S","Suburbano","U","Urbano",""))</f>
        <v>Rural</v>
      </c>
      <c r="T1908" t="str">
        <f t="shared" si="117"/>
        <v>F</v>
      </c>
      <c r="U1908" t="str">
        <f t="shared" si="118"/>
        <v>IL</v>
      </c>
      <c r="V1908" t="str">
        <f t="shared" si="119"/>
        <v>9395</v>
      </c>
    </row>
    <row r="1909" spans="1:22" x14ac:dyDescent="0.35">
      <c r="A1909">
        <v>110308</v>
      </c>
      <c r="B1909" t="s">
        <v>49</v>
      </c>
      <c r="C1909" t="s">
        <v>17</v>
      </c>
      <c r="D1909">
        <v>1384</v>
      </c>
      <c r="E1909">
        <v>554</v>
      </c>
      <c r="F1909">
        <v>749</v>
      </c>
      <c r="G1909">
        <v>19</v>
      </c>
      <c r="H1909">
        <v>27245</v>
      </c>
      <c r="I1909">
        <v>2</v>
      </c>
      <c r="J1909">
        <v>53</v>
      </c>
      <c r="K1909">
        <v>643</v>
      </c>
      <c r="L1909">
        <v>667</v>
      </c>
      <c r="M1909">
        <v>8</v>
      </c>
      <c r="N1909">
        <f>IFERROR(VLOOKUP(A1909,vlookup_table!$A:$G,2,FALSE),"")</f>
        <v>0</v>
      </c>
      <c r="O1909">
        <f>IFERROR(VLOOKUP(A1909,vlookup_table!$A:$G,4,FALSE),"")</f>
        <v>3701</v>
      </c>
      <c r="P1909" t="str">
        <f>IFERROR(VLOOKUP(A1909,vlookup_table!$A:$G,5,FALSE),"")</f>
        <v>C1</v>
      </c>
      <c r="Q1909">
        <f>IFERROR(VLOOKUP(A1909,vlookup_table!$A:$G,7,FALSE),"")</f>
        <v>15</v>
      </c>
      <c r="R1909">
        <f t="shared" si="116"/>
        <v>60</v>
      </c>
      <c r="S1909" t="str" cm="1">
        <f t="array" ref="S1909">IF(P1909="","",_xlfn.SWITCH(LEFT(P1909,1),"C","Ciudad","T","Pueblo","R","Rural","S","Suburbano","U","Urbano",""))</f>
        <v>Ciudad</v>
      </c>
      <c r="T1909" t="str">
        <f t="shared" si="117"/>
        <v>F</v>
      </c>
      <c r="U1909" t="str">
        <f t="shared" si="118"/>
        <v>LA</v>
      </c>
      <c r="V1909" t="str">
        <f t="shared" si="119"/>
        <v>27245</v>
      </c>
    </row>
    <row r="1910" spans="1:22" x14ac:dyDescent="0.35">
      <c r="A1910">
        <v>3496</v>
      </c>
      <c r="B1910" t="s">
        <v>21</v>
      </c>
      <c r="C1910" t="s">
        <v>14</v>
      </c>
      <c r="D1910">
        <v>688</v>
      </c>
      <c r="E1910">
        <v>562</v>
      </c>
      <c r="F1910">
        <v>596</v>
      </c>
      <c r="G1910">
        <v>0</v>
      </c>
      <c r="H1910">
        <v>18272</v>
      </c>
      <c r="I1910">
        <v>11</v>
      </c>
      <c r="J1910">
        <v>46</v>
      </c>
      <c r="K1910">
        <v>564</v>
      </c>
      <c r="L1910">
        <v>582</v>
      </c>
      <c r="M1910">
        <v>12</v>
      </c>
      <c r="N1910">
        <f>IFERROR(VLOOKUP(A1910,vlookup_table!$A:$G,2,FALSE),"")</f>
        <v>1</v>
      </c>
      <c r="O1910">
        <f>IFERROR(VLOOKUP(A1910,vlookup_table!$A:$G,4,FALSE),"")</f>
        <v>6703</v>
      </c>
      <c r="P1910" t="str">
        <f>IFERROR(VLOOKUP(A1910,vlookup_table!$A:$G,5,FALSE),"")</f>
        <v>C1</v>
      </c>
      <c r="Q1910">
        <f>IFERROR(VLOOKUP(A1910,vlookup_table!$A:$G,7,FALSE),"")</f>
        <v>10</v>
      </c>
      <c r="R1910">
        <f t="shared" si="116"/>
        <v>30</v>
      </c>
      <c r="S1910" t="str" cm="1">
        <f t="array" ref="S1910">IF(P1910="","",_xlfn.SWITCH(LEFT(P1910,1),"C","Ciudad","T","Pueblo","R","Rural","S","Suburbano","U","Urbano",""))</f>
        <v>Ciudad</v>
      </c>
      <c r="T1910" t="str">
        <f t="shared" si="117"/>
        <v>M</v>
      </c>
      <c r="U1910" t="str">
        <f t="shared" si="118"/>
        <v>TX</v>
      </c>
      <c r="V1910" t="str">
        <f t="shared" si="119"/>
        <v>18272</v>
      </c>
    </row>
    <row r="1911" spans="1:22" x14ac:dyDescent="0.35">
      <c r="A1911">
        <v>138262</v>
      </c>
      <c r="B1911" t="s">
        <v>64</v>
      </c>
      <c r="C1911" t="s">
        <v>60</v>
      </c>
      <c r="D1911">
        <v>569</v>
      </c>
      <c r="E1911">
        <v>156</v>
      </c>
      <c r="F1911">
        <v>202</v>
      </c>
      <c r="G1911">
        <v>0</v>
      </c>
      <c r="H1911">
        <v>7914</v>
      </c>
      <c r="I1911">
        <v>9</v>
      </c>
      <c r="J1911">
        <v>38</v>
      </c>
      <c r="K1911">
        <v>158</v>
      </c>
      <c r="L1911">
        <v>187</v>
      </c>
      <c r="M1911">
        <v>5.1666666670000003</v>
      </c>
      <c r="N1911">
        <f>IFERROR(VLOOKUP(A1911,vlookup_table!$A:$G,2,FALSE),"")</f>
        <v>28</v>
      </c>
      <c r="O1911">
        <f>IFERROR(VLOOKUP(A1911,vlookup_table!$A:$G,4,FALSE),"")</f>
        <v>6201</v>
      </c>
      <c r="P1911" t="str">
        <f>IFERROR(VLOOKUP(A1911,vlookup_table!$A:$G,5,FALSE),"")</f>
        <v>C2</v>
      </c>
      <c r="Q1911">
        <f>IFERROR(VLOOKUP(A1911,vlookup_table!$A:$G,7,FALSE),"")</f>
        <v>5</v>
      </c>
      <c r="R1911">
        <f t="shared" si="116"/>
        <v>35</v>
      </c>
      <c r="S1911" t="str" cm="1">
        <f t="array" ref="S1911">IF(P1911="","",_xlfn.SWITCH(LEFT(P1911,1),"C","Ciudad","T","Pueblo","R","Rural","S","Suburbano","U","Urbano",""))</f>
        <v>Ciudad</v>
      </c>
      <c r="T1911" t="str">
        <f t="shared" si="117"/>
        <v>F</v>
      </c>
      <c r="U1911" t="str">
        <f t="shared" si="118"/>
        <v>Arizona</v>
      </c>
      <c r="V1911" t="str">
        <f t="shared" si="119"/>
        <v>7914</v>
      </c>
    </row>
    <row r="1912" spans="1:22" x14ac:dyDescent="0.35">
      <c r="A1912">
        <v>80437</v>
      </c>
      <c r="B1912" t="s">
        <v>35</v>
      </c>
      <c r="C1912" t="s">
        <v>51</v>
      </c>
      <c r="D1912">
        <v>491</v>
      </c>
      <c r="E1912">
        <v>227</v>
      </c>
      <c r="F1912">
        <v>358</v>
      </c>
      <c r="G1912">
        <v>0</v>
      </c>
      <c r="H1912">
        <v>14229</v>
      </c>
      <c r="I1912">
        <v>2</v>
      </c>
      <c r="J1912">
        <v>81</v>
      </c>
      <c r="K1912">
        <v>323</v>
      </c>
      <c r="L1912">
        <v>276</v>
      </c>
      <c r="M1912">
        <v>11.84615385</v>
      </c>
      <c r="N1912">
        <f>IFERROR(VLOOKUP(A1912,vlookup_table!$A:$G,2,FALSE),"")</f>
        <v>1</v>
      </c>
      <c r="O1912">
        <f>IFERROR(VLOOKUP(A1912,vlookup_table!$A:$G,4,FALSE),"")</f>
        <v>6702</v>
      </c>
      <c r="P1912" t="str">
        <f>IFERROR(VLOOKUP(A1912,vlookup_table!$A:$G,5,FALSE),"")</f>
        <v>C2</v>
      </c>
      <c r="Q1912">
        <f>IFERROR(VLOOKUP(A1912,vlookup_table!$A:$G,7,FALSE),"")</f>
        <v>10</v>
      </c>
      <c r="R1912">
        <f t="shared" si="116"/>
        <v>30</v>
      </c>
      <c r="S1912" t="str" cm="1">
        <f t="array" ref="S1912">IF(P1912="","",_xlfn.SWITCH(LEFT(P1912,1),"C","Ciudad","T","Pueblo","R","Rural","S","Suburbano","U","Urbano",""))</f>
        <v>Ciudad</v>
      </c>
      <c r="T1912" t="str">
        <f t="shared" si="117"/>
        <v>M</v>
      </c>
      <c r="U1912" t="str">
        <f t="shared" si="118"/>
        <v>WI</v>
      </c>
      <c r="V1912" t="str">
        <f t="shared" si="119"/>
        <v>14229</v>
      </c>
    </row>
    <row r="1913" spans="1:22" x14ac:dyDescent="0.35">
      <c r="A1913">
        <v>186580</v>
      </c>
      <c r="B1913" t="s">
        <v>21</v>
      </c>
      <c r="C1913" t="s">
        <v>17</v>
      </c>
      <c r="D1913">
        <v>651</v>
      </c>
      <c r="E1913">
        <v>197</v>
      </c>
      <c r="F1913">
        <v>284</v>
      </c>
      <c r="G1913">
        <v>2</v>
      </c>
      <c r="H1913">
        <v>9858</v>
      </c>
      <c r="I1913">
        <v>1</v>
      </c>
      <c r="J1913">
        <v>70</v>
      </c>
      <c r="K1913">
        <v>250</v>
      </c>
      <c r="L1913">
        <v>252</v>
      </c>
      <c r="M1913">
        <v>8.2777777780000008</v>
      </c>
      <c r="N1913">
        <f>IFERROR(VLOOKUP(A1913,vlookup_table!$A:$G,2,FALSE),"")</f>
        <v>0</v>
      </c>
      <c r="O1913">
        <f>IFERROR(VLOOKUP(A1913,vlookup_table!$A:$G,4,FALSE),"")</f>
        <v>3007</v>
      </c>
      <c r="P1913" t="str">
        <f>IFERROR(VLOOKUP(A1913,vlookup_table!$A:$G,5,FALSE),"")</f>
        <v>T2</v>
      </c>
      <c r="Q1913">
        <f>IFERROR(VLOOKUP(A1913,vlookup_table!$A:$G,7,FALSE),"")</f>
        <v>5</v>
      </c>
      <c r="R1913">
        <f t="shared" si="116"/>
        <v>67</v>
      </c>
      <c r="S1913" t="str" cm="1">
        <f t="array" ref="S1913">IF(P1913="","",_xlfn.SWITCH(LEFT(P1913,1),"C","Ciudad","T","Pueblo","R","Rural","S","Suburbano","U","Urbano",""))</f>
        <v>Pueblo</v>
      </c>
      <c r="T1913" t="str">
        <f t="shared" si="117"/>
        <v>F</v>
      </c>
      <c r="U1913" t="str">
        <f t="shared" si="118"/>
        <v>TX</v>
      </c>
      <c r="V1913" t="str">
        <f t="shared" si="119"/>
        <v>9858</v>
      </c>
    </row>
    <row r="1914" spans="1:22" x14ac:dyDescent="0.35">
      <c r="A1914">
        <v>8863</v>
      </c>
      <c r="B1914" t="s">
        <v>13</v>
      </c>
      <c r="C1914" t="s">
        <v>14</v>
      </c>
      <c r="D1914">
        <v>1307</v>
      </c>
      <c r="E1914">
        <v>310</v>
      </c>
      <c r="F1914">
        <v>450</v>
      </c>
      <c r="G1914">
        <v>17</v>
      </c>
      <c r="H1914">
        <v>23204</v>
      </c>
      <c r="I1914">
        <v>13</v>
      </c>
      <c r="J1914">
        <v>19</v>
      </c>
      <c r="K1914">
        <v>381</v>
      </c>
      <c r="L1914">
        <v>383</v>
      </c>
      <c r="M1914">
        <v>18</v>
      </c>
      <c r="N1914">
        <f>IFERROR(VLOOKUP(A1914,vlookup_table!$A:$G,2,FALSE),"")</f>
        <v>1</v>
      </c>
      <c r="O1914">
        <f>IFERROR(VLOOKUP(A1914,vlookup_table!$A:$G,4,FALSE),"")</f>
        <v>5503</v>
      </c>
      <c r="P1914" t="str">
        <f>IFERROR(VLOOKUP(A1914,vlookup_table!$A:$G,5,FALSE),"")</f>
        <v>U2</v>
      </c>
      <c r="Q1914">
        <f>IFERROR(VLOOKUP(A1914,vlookup_table!$A:$G,7,FALSE),"")</f>
        <v>40</v>
      </c>
      <c r="R1914">
        <f t="shared" si="116"/>
        <v>42</v>
      </c>
      <c r="S1914" t="str" cm="1">
        <f t="array" ref="S1914">IF(P1914="","",_xlfn.SWITCH(LEFT(P1914,1),"C","Ciudad","T","Pueblo","R","Rural","S","Suburbano","U","Urbano",""))</f>
        <v>Urbano</v>
      </c>
      <c r="T1914" t="str">
        <f t="shared" si="117"/>
        <v>M</v>
      </c>
      <c r="U1914" t="str">
        <f t="shared" si="118"/>
        <v>FL</v>
      </c>
      <c r="V1914" t="str">
        <f t="shared" si="119"/>
        <v>23204</v>
      </c>
    </row>
    <row r="1915" spans="1:22" x14ac:dyDescent="0.35">
      <c r="A1915">
        <v>120734</v>
      </c>
      <c r="B1915" t="s">
        <v>21</v>
      </c>
      <c r="C1915" t="s">
        <v>17</v>
      </c>
      <c r="D1915">
        <v>241</v>
      </c>
      <c r="E1915">
        <v>164</v>
      </c>
      <c r="F1915">
        <v>290</v>
      </c>
      <c r="G1915">
        <v>0</v>
      </c>
      <c r="H1915">
        <v>9397</v>
      </c>
      <c r="I1915">
        <v>3</v>
      </c>
      <c r="J1915">
        <v>85</v>
      </c>
      <c r="K1915">
        <v>241</v>
      </c>
      <c r="L1915">
        <v>231</v>
      </c>
      <c r="M1915">
        <v>8.4666666670000001</v>
      </c>
      <c r="N1915">
        <f>IFERROR(VLOOKUP(A1915,vlookup_table!$A:$G,2,FALSE),"")</f>
        <v>0</v>
      </c>
      <c r="O1915">
        <f>IFERROR(VLOOKUP(A1915,vlookup_table!$A:$G,4,FALSE),"")</f>
        <v>0</v>
      </c>
      <c r="P1915" t="str">
        <f>IFERROR(VLOOKUP(A1915,vlookup_table!$A:$G,5,FALSE),"")</f>
        <v>R3</v>
      </c>
      <c r="Q1915">
        <f>IFERROR(VLOOKUP(A1915,vlookup_table!$A:$G,7,FALSE),"")</f>
        <v>5</v>
      </c>
      <c r="R1915">
        <f t="shared" si="116"/>
        <v>97</v>
      </c>
      <c r="S1915" t="str" cm="1">
        <f t="array" ref="S1915">IF(P1915="","",_xlfn.SWITCH(LEFT(P1915,1),"C","Ciudad","T","Pueblo","R","Rural","S","Suburbano","U","Urbano",""))</f>
        <v>Rural</v>
      </c>
      <c r="T1915" t="str">
        <f t="shared" si="117"/>
        <v>F</v>
      </c>
      <c r="U1915" t="str">
        <f t="shared" si="118"/>
        <v>TX</v>
      </c>
      <c r="V1915" t="str">
        <f t="shared" si="119"/>
        <v>9397</v>
      </c>
    </row>
    <row r="1916" spans="1:22" x14ac:dyDescent="0.35">
      <c r="A1916">
        <v>149414</v>
      </c>
      <c r="B1916" t="s">
        <v>22</v>
      </c>
      <c r="C1916" t="s">
        <v>17</v>
      </c>
      <c r="D1916">
        <v>4240</v>
      </c>
      <c r="E1916">
        <v>714</v>
      </c>
      <c r="F1916">
        <v>919</v>
      </c>
      <c r="G1916">
        <v>95</v>
      </c>
      <c r="H1916">
        <v>49256</v>
      </c>
      <c r="I1916">
        <v>26</v>
      </c>
      <c r="J1916">
        <v>38</v>
      </c>
      <c r="K1916">
        <v>814</v>
      </c>
      <c r="L1916">
        <v>830</v>
      </c>
      <c r="M1916">
        <v>8.4666666670000001</v>
      </c>
      <c r="N1916">
        <f>IFERROR(VLOOKUP(A1916,vlookup_table!$A:$G,2,FALSE),"")</f>
        <v>0</v>
      </c>
      <c r="O1916">
        <f>IFERROR(VLOOKUP(A1916,vlookup_table!$A:$G,4,FALSE),"")</f>
        <v>4606</v>
      </c>
      <c r="P1916" t="str">
        <f>IFERROR(VLOOKUP(A1916,vlookup_table!$A:$G,5,FALSE),"")</f>
        <v>U2</v>
      </c>
      <c r="Q1916">
        <f>IFERROR(VLOOKUP(A1916,vlookup_table!$A:$G,7,FALSE),"")</f>
        <v>9</v>
      </c>
      <c r="R1916">
        <f t="shared" si="116"/>
        <v>51</v>
      </c>
      <c r="S1916" t="str" cm="1">
        <f t="array" ref="S1916">IF(P1916="","",_xlfn.SWITCH(LEFT(P1916,1),"C","Ciudad","T","Pueblo","R","Rural","S","Suburbano","U","Urbano",""))</f>
        <v>Urbano</v>
      </c>
      <c r="T1916" t="str">
        <f t="shared" si="117"/>
        <v>F</v>
      </c>
      <c r="U1916" t="str">
        <f t="shared" si="118"/>
        <v>CA</v>
      </c>
      <c r="V1916" t="str">
        <f t="shared" si="119"/>
        <v>49256</v>
      </c>
    </row>
    <row r="1917" spans="1:22" x14ac:dyDescent="0.35">
      <c r="A1917">
        <v>79900</v>
      </c>
      <c r="B1917" t="s">
        <v>35</v>
      </c>
      <c r="C1917" t="s">
        <v>17</v>
      </c>
      <c r="D1917">
        <v>617</v>
      </c>
      <c r="E1917">
        <v>221</v>
      </c>
      <c r="F1917">
        <v>289</v>
      </c>
      <c r="G1917">
        <v>0</v>
      </c>
      <c r="H1917">
        <v>9366</v>
      </c>
      <c r="I1917">
        <v>2</v>
      </c>
      <c r="J1917">
        <v>75</v>
      </c>
      <c r="K1917">
        <v>247</v>
      </c>
      <c r="L1917">
        <v>249</v>
      </c>
      <c r="M1917">
        <v>24.222222219999999</v>
      </c>
      <c r="N1917">
        <f>IFERROR(VLOOKUP(A1917,vlookup_table!$A:$G,2,FALSE),"")</f>
        <v>0</v>
      </c>
      <c r="O1917">
        <f>IFERROR(VLOOKUP(A1917,vlookup_table!$A:$G,4,FALSE),"")</f>
        <v>2905</v>
      </c>
      <c r="P1917" t="str">
        <f>IFERROR(VLOOKUP(A1917,vlookup_table!$A:$G,5,FALSE),"")</f>
        <v>R2</v>
      </c>
      <c r="Q1917">
        <f>IFERROR(VLOOKUP(A1917,vlookup_table!$A:$G,7,FALSE),"")</f>
        <v>50</v>
      </c>
      <c r="R1917">
        <f t="shared" si="116"/>
        <v>68</v>
      </c>
      <c r="S1917" t="str" cm="1">
        <f t="array" ref="S1917">IF(P1917="","",_xlfn.SWITCH(LEFT(P1917,1),"C","Ciudad","T","Pueblo","R","Rural","S","Suburbano","U","Urbano",""))</f>
        <v>Rural</v>
      </c>
      <c r="T1917" t="str">
        <f t="shared" si="117"/>
        <v>F</v>
      </c>
      <c r="U1917" t="str">
        <f t="shared" si="118"/>
        <v>WI</v>
      </c>
      <c r="V1917" t="str">
        <f t="shared" si="119"/>
        <v>9366</v>
      </c>
    </row>
    <row r="1918" spans="1:22" x14ac:dyDescent="0.35">
      <c r="A1918">
        <v>154158</v>
      </c>
      <c r="B1918" t="s">
        <v>22</v>
      </c>
      <c r="C1918" t="s">
        <v>17</v>
      </c>
      <c r="D1918">
        <v>838</v>
      </c>
      <c r="E1918">
        <v>163</v>
      </c>
      <c r="F1918">
        <v>241</v>
      </c>
      <c r="G1918">
        <v>5</v>
      </c>
      <c r="H1918">
        <v>6653</v>
      </c>
      <c r="I1918">
        <v>50</v>
      </c>
      <c r="J1918">
        <v>42</v>
      </c>
      <c r="K1918">
        <v>176</v>
      </c>
      <c r="L1918">
        <v>235</v>
      </c>
      <c r="M1918">
        <v>6.6666666670000003</v>
      </c>
      <c r="N1918">
        <f>IFERROR(VLOOKUP(A1918,vlookup_table!$A:$G,2,FALSE),"")</f>
        <v>0</v>
      </c>
      <c r="O1918">
        <f>IFERROR(VLOOKUP(A1918,vlookup_table!$A:$G,4,FALSE),"")</f>
        <v>3601</v>
      </c>
      <c r="P1918" t="str">
        <f>IFERROR(VLOOKUP(A1918,vlookup_table!$A:$G,5,FALSE),"")</f>
        <v>R2</v>
      </c>
      <c r="Q1918">
        <f>IFERROR(VLOOKUP(A1918,vlookup_table!$A:$G,7,FALSE),"")</f>
        <v>7</v>
      </c>
      <c r="R1918">
        <f t="shared" si="116"/>
        <v>61</v>
      </c>
      <c r="S1918" t="str" cm="1">
        <f t="array" ref="S1918">IF(P1918="","",_xlfn.SWITCH(LEFT(P1918,1),"C","Ciudad","T","Pueblo","R","Rural","S","Suburbano","U","Urbano",""))</f>
        <v>Rural</v>
      </c>
      <c r="T1918" t="str">
        <f t="shared" si="117"/>
        <v>F</v>
      </c>
      <c r="U1918" t="str">
        <f t="shared" si="118"/>
        <v>CA</v>
      </c>
      <c r="V1918" t="str">
        <f t="shared" si="119"/>
        <v>6653</v>
      </c>
    </row>
    <row r="1919" spans="1:22" x14ac:dyDescent="0.35">
      <c r="A1919">
        <v>23146</v>
      </c>
      <c r="B1919" t="s">
        <v>46</v>
      </c>
      <c r="C1919" t="s">
        <v>14</v>
      </c>
      <c r="D1919">
        <v>688</v>
      </c>
      <c r="E1919">
        <v>402</v>
      </c>
      <c r="F1919">
        <v>475</v>
      </c>
      <c r="G1919">
        <v>0</v>
      </c>
      <c r="H1919">
        <v>16158</v>
      </c>
      <c r="I1919">
        <v>1</v>
      </c>
      <c r="J1919">
        <v>64</v>
      </c>
      <c r="K1919">
        <v>432</v>
      </c>
      <c r="L1919">
        <v>442</v>
      </c>
      <c r="M1919">
        <v>9.4</v>
      </c>
      <c r="N1919">
        <f>IFERROR(VLOOKUP(A1919,vlookup_table!$A:$G,2,FALSE),"")</f>
        <v>1</v>
      </c>
      <c r="O1919">
        <f>IFERROR(VLOOKUP(A1919,vlookup_table!$A:$G,4,FALSE),"")</f>
        <v>2801</v>
      </c>
      <c r="P1919" t="str">
        <f>IFERROR(VLOOKUP(A1919,vlookup_table!$A:$G,5,FALSE),"")</f>
        <v>C1</v>
      </c>
      <c r="Q1919">
        <f>IFERROR(VLOOKUP(A1919,vlookup_table!$A:$G,7,FALSE),"")</f>
        <v>5</v>
      </c>
      <c r="R1919">
        <f t="shared" si="116"/>
        <v>69</v>
      </c>
      <c r="S1919" t="str" cm="1">
        <f t="array" ref="S1919">IF(P1919="","",_xlfn.SWITCH(LEFT(P1919,1),"C","Ciudad","T","Pueblo","R","Rural","S","Suburbano","U","Urbano",""))</f>
        <v>Ciudad</v>
      </c>
      <c r="T1919" t="str">
        <f t="shared" si="117"/>
        <v>M</v>
      </c>
      <c r="U1919" t="str">
        <f t="shared" si="118"/>
        <v>SC</v>
      </c>
      <c r="V1919" t="str">
        <f t="shared" si="119"/>
        <v>16158</v>
      </c>
    </row>
    <row r="1920" spans="1:22" x14ac:dyDescent="0.35">
      <c r="A1920">
        <v>1617</v>
      </c>
      <c r="B1920" t="s">
        <v>22</v>
      </c>
      <c r="C1920" t="s">
        <v>17</v>
      </c>
      <c r="D1920">
        <v>5970</v>
      </c>
      <c r="E1920">
        <v>1386</v>
      </c>
      <c r="F1920">
        <v>1273</v>
      </c>
      <c r="G1920">
        <v>98</v>
      </c>
      <c r="H1920">
        <v>62822</v>
      </c>
      <c r="I1920">
        <v>24</v>
      </c>
      <c r="J1920">
        <v>34</v>
      </c>
      <c r="K1920">
        <v>1496</v>
      </c>
      <c r="L1920">
        <v>1208</v>
      </c>
      <c r="M1920">
        <v>10.18181818</v>
      </c>
      <c r="N1920">
        <f>IFERROR(VLOOKUP(A1920,vlookup_table!$A:$G,2,FALSE),"")</f>
        <v>0</v>
      </c>
      <c r="O1920">
        <f>IFERROR(VLOOKUP(A1920,vlookup_table!$A:$G,4,FALSE),"")</f>
        <v>2201</v>
      </c>
      <c r="P1920" t="str">
        <f>IFERROR(VLOOKUP(A1920,vlookup_table!$A:$G,5,FALSE),"")</f>
        <v>S1</v>
      </c>
      <c r="Q1920">
        <f>IFERROR(VLOOKUP(A1920,vlookup_table!$A:$G,7,FALSE),"")</f>
        <v>15</v>
      </c>
      <c r="R1920">
        <f t="shared" si="116"/>
        <v>75</v>
      </c>
      <c r="S1920" t="str" cm="1">
        <f t="array" ref="S1920">IF(P1920="","",_xlfn.SWITCH(LEFT(P1920,1),"C","Ciudad","T","Pueblo","R","Rural","S","Suburbano","U","Urbano",""))</f>
        <v>Suburbano</v>
      </c>
      <c r="T1920" t="str">
        <f t="shared" si="117"/>
        <v>F</v>
      </c>
      <c r="U1920" t="str">
        <f t="shared" si="118"/>
        <v>CA</v>
      </c>
      <c r="V1920" t="str">
        <f t="shared" si="119"/>
        <v>62822</v>
      </c>
    </row>
    <row r="1921" spans="1:22" x14ac:dyDescent="0.35">
      <c r="A1921">
        <v>68022</v>
      </c>
      <c r="B1921" t="s">
        <v>29</v>
      </c>
      <c r="C1921" t="s">
        <v>17</v>
      </c>
      <c r="D1921">
        <v>435</v>
      </c>
      <c r="E1921">
        <v>304</v>
      </c>
      <c r="F1921">
        <v>365</v>
      </c>
      <c r="G1921">
        <v>0</v>
      </c>
      <c r="H1921">
        <v>12197</v>
      </c>
      <c r="I1921">
        <v>0</v>
      </c>
      <c r="J1921">
        <v>62</v>
      </c>
      <c r="K1921">
        <v>322</v>
      </c>
      <c r="L1921">
        <v>325</v>
      </c>
      <c r="M1921">
        <v>10</v>
      </c>
      <c r="N1921">
        <f>IFERROR(VLOOKUP(A1921,vlookup_table!$A:$G,2,FALSE),"")</f>
        <v>0</v>
      </c>
      <c r="O1921">
        <f>IFERROR(VLOOKUP(A1921,vlookup_table!$A:$G,4,FALSE),"")</f>
        <v>3104</v>
      </c>
      <c r="P1921" t="str">
        <f>IFERROR(VLOOKUP(A1921,vlookup_table!$A:$G,5,FALSE),"")</f>
        <v>U2</v>
      </c>
      <c r="Q1921">
        <f>IFERROR(VLOOKUP(A1921,vlookup_table!$A:$G,7,FALSE),"")</f>
        <v>15</v>
      </c>
      <c r="R1921">
        <f t="shared" si="116"/>
        <v>66</v>
      </c>
      <c r="S1921" t="str" cm="1">
        <f t="array" ref="S1921">IF(P1921="","",_xlfn.SWITCH(LEFT(P1921,1),"C","Ciudad","T","Pueblo","R","Rural","S","Suburbano","U","Urbano",""))</f>
        <v>Urbano</v>
      </c>
      <c r="T1921" t="str">
        <f t="shared" si="117"/>
        <v>F</v>
      </c>
      <c r="U1921" t="str">
        <f t="shared" si="118"/>
        <v>MI</v>
      </c>
      <c r="V1921" t="str">
        <f t="shared" si="119"/>
        <v>12197</v>
      </c>
    </row>
    <row r="1922" spans="1:22" x14ac:dyDescent="0.35">
      <c r="A1922">
        <v>44705</v>
      </c>
      <c r="B1922" t="s">
        <v>13</v>
      </c>
      <c r="C1922" t="s">
        <v>17</v>
      </c>
      <c r="D1922">
        <v>677</v>
      </c>
      <c r="E1922">
        <v>242</v>
      </c>
      <c r="F1922">
        <v>302</v>
      </c>
      <c r="G1922">
        <v>2</v>
      </c>
      <c r="H1922">
        <v>13521</v>
      </c>
      <c r="I1922">
        <v>7</v>
      </c>
      <c r="J1922">
        <v>8</v>
      </c>
      <c r="K1922">
        <v>261</v>
      </c>
      <c r="L1922">
        <v>282</v>
      </c>
      <c r="M1922">
        <v>9.8000000000000007</v>
      </c>
      <c r="N1922">
        <f>IFERROR(VLOOKUP(A1922,vlookup_table!$A:$G,2,FALSE),"")</f>
        <v>28</v>
      </c>
      <c r="O1922">
        <f>IFERROR(VLOOKUP(A1922,vlookup_table!$A:$G,4,FALSE),"")</f>
        <v>2601</v>
      </c>
      <c r="P1922" t="str">
        <f>IFERROR(VLOOKUP(A1922,vlookup_table!$A:$G,5,FALSE),"")</f>
        <v>C2</v>
      </c>
      <c r="Q1922">
        <f>IFERROR(VLOOKUP(A1922,vlookup_table!$A:$G,7,FALSE),"")</f>
        <v>15</v>
      </c>
      <c r="R1922">
        <f t="shared" ref="R1922:R1985" si="120">IF(O1922="","",97-INT(O1922/100))</f>
        <v>71</v>
      </c>
      <c r="S1922" t="str" cm="1">
        <f t="array" ref="S1922">IF(P1922="","",_xlfn.SWITCH(LEFT(P1922,1),"C","Ciudad","T","Pueblo","R","Rural","S","Suburbano","U","Urbano",""))</f>
        <v>Ciudad</v>
      </c>
      <c r="T1922" t="str">
        <f t="shared" ref="T1922:T1985" si="121">IF(C1922="","",IF(OR(UPPER(C1922)="M",UPPER(C1922)="MALE"),"M",IF(OR(UPPER(C1922)="F",UPPER(C1922)="FEMALE",UPPER(C1922)="FEAMALE"),"F",C1922)))</f>
        <v>F</v>
      </c>
      <c r="U1922" t="str">
        <f t="shared" ref="U1922:U1985" si="122">IF(OR(UPPER(B1922)="CALIFORNIA",UPPER(B1922)="CALI"),"CA",B1922)</f>
        <v>FL</v>
      </c>
      <c r="V1922" t="str">
        <f t="shared" ref="V1922:V1985" si="123">SUBSTITUTE(H1922,"@","")</f>
        <v>13521</v>
      </c>
    </row>
    <row r="1923" spans="1:22" x14ac:dyDescent="0.35">
      <c r="A1923">
        <v>49943</v>
      </c>
      <c r="B1923" t="s">
        <v>13</v>
      </c>
      <c r="C1923" t="s">
        <v>14</v>
      </c>
      <c r="D1923">
        <v>980</v>
      </c>
      <c r="E1923">
        <v>335</v>
      </c>
      <c r="F1923">
        <v>435</v>
      </c>
      <c r="G1923">
        <v>12</v>
      </c>
      <c r="H1923">
        <v>14977</v>
      </c>
      <c r="I1923">
        <v>8</v>
      </c>
      <c r="J1923">
        <v>13</v>
      </c>
      <c r="K1923">
        <v>387</v>
      </c>
      <c r="L1923">
        <v>381</v>
      </c>
      <c r="M1923">
        <v>11</v>
      </c>
      <c r="N1923">
        <f>IFERROR(VLOOKUP(A1923,vlookup_table!$A:$G,2,FALSE),"")</f>
        <v>1</v>
      </c>
      <c r="O1923">
        <f>IFERROR(VLOOKUP(A1923,vlookup_table!$A:$G,4,FALSE),"")</f>
        <v>4001</v>
      </c>
      <c r="P1923" t="str">
        <f>IFERROR(VLOOKUP(A1923,vlookup_table!$A:$G,5,FALSE),"")</f>
        <v>R2</v>
      </c>
      <c r="Q1923">
        <f>IFERROR(VLOOKUP(A1923,vlookup_table!$A:$G,7,FALSE),"")</f>
        <v>10</v>
      </c>
      <c r="R1923">
        <f t="shared" si="120"/>
        <v>57</v>
      </c>
      <c r="S1923" t="str" cm="1">
        <f t="array" ref="S1923">IF(P1923="","",_xlfn.SWITCH(LEFT(P1923,1),"C","Ciudad","T","Pueblo","R","Rural","S","Suburbano","U","Urbano",""))</f>
        <v>Rural</v>
      </c>
      <c r="T1923" t="str">
        <f t="shared" si="121"/>
        <v>M</v>
      </c>
      <c r="U1923" t="str">
        <f t="shared" si="122"/>
        <v>FL</v>
      </c>
      <c r="V1923" t="str">
        <f t="shared" si="123"/>
        <v>14977</v>
      </c>
    </row>
    <row r="1924" spans="1:22" x14ac:dyDescent="0.35">
      <c r="A1924">
        <v>24152</v>
      </c>
      <c r="B1924" t="s">
        <v>46</v>
      </c>
      <c r="C1924" t="s">
        <v>14</v>
      </c>
      <c r="D1924">
        <v>788</v>
      </c>
      <c r="E1924">
        <v>225</v>
      </c>
      <c r="F1924">
        <v>343</v>
      </c>
      <c r="G1924">
        <v>4</v>
      </c>
      <c r="H1924">
        <v>12754</v>
      </c>
      <c r="I1924">
        <v>2</v>
      </c>
      <c r="J1924">
        <v>47</v>
      </c>
      <c r="K1924">
        <v>275</v>
      </c>
      <c r="L1924">
        <v>299</v>
      </c>
      <c r="M1924">
        <v>6.7894736839999998</v>
      </c>
      <c r="N1924">
        <f>IFERROR(VLOOKUP(A1924,vlookup_table!$A:$G,2,FALSE),"")</f>
        <v>1</v>
      </c>
      <c r="O1924">
        <f>IFERROR(VLOOKUP(A1924,vlookup_table!$A:$G,4,FALSE),"")</f>
        <v>2406</v>
      </c>
      <c r="P1924" t="str">
        <f>IFERROR(VLOOKUP(A1924,vlookup_table!$A:$G,5,FALSE),"")</f>
        <v>T2</v>
      </c>
      <c r="Q1924">
        <f>IFERROR(VLOOKUP(A1924,vlookup_table!$A:$G,7,FALSE),"")</f>
        <v>8</v>
      </c>
      <c r="R1924">
        <f t="shared" si="120"/>
        <v>73</v>
      </c>
      <c r="S1924" t="str" cm="1">
        <f t="array" ref="S1924">IF(P1924="","",_xlfn.SWITCH(LEFT(P1924,1),"C","Ciudad","T","Pueblo","R","Rural","S","Suburbano","U","Urbano",""))</f>
        <v>Pueblo</v>
      </c>
      <c r="T1924" t="str">
        <f t="shared" si="121"/>
        <v>M</v>
      </c>
      <c r="U1924" t="str">
        <f t="shared" si="122"/>
        <v>SC</v>
      </c>
      <c r="V1924" t="str">
        <f t="shared" si="123"/>
        <v>12754</v>
      </c>
    </row>
    <row r="1925" spans="1:22" x14ac:dyDescent="0.35">
      <c r="A1925">
        <v>136645</v>
      </c>
      <c r="B1925" t="s">
        <v>64</v>
      </c>
      <c r="C1925" t="s">
        <v>44</v>
      </c>
      <c r="D1925">
        <v>950</v>
      </c>
      <c r="E1925">
        <v>199</v>
      </c>
      <c r="F1925">
        <v>433</v>
      </c>
      <c r="G1925">
        <v>17</v>
      </c>
      <c r="H1925">
        <v>21071</v>
      </c>
      <c r="I1925">
        <v>33</v>
      </c>
      <c r="J1925">
        <v>11</v>
      </c>
      <c r="K1925">
        <v>371</v>
      </c>
      <c r="L1925">
        <v>361</v>
      </c>
      <c r="M1925">
        <v>9</v>
      </c>
      <c r="N1925">
        <f>IFERROR(VLOOKUP(A1925,vlookup_table!$A:$G,2,FALSE),"")</f>
        <v>1002</v>
      </c>
      <c r="O1925">
        <f>IFERROR(VLOOKUP(A1925,vlookup_table!$A:$G,4,FALSE),"")</f>
        <v>3801</v>
      </c>
      <c r="P1925" t="str">
        <f>IFERROR(VLOOKUP(A1925,vlookup_table!$A:$G,5,FALSE),"")</f>
        <v>S3</v>
      </c>
      <c r="Q1925">
        <f>IFERROR(VLOOKUP(A1925,vlookup_table!$A:$G,7,FALSE),"")</f>
        <v>10</v>
      </c>
      <c r="R1925">
        <f t="shared" si="120"/>
        <v>59</v>
      </c>
      <c r="S1925" t="str" cm="1">
        <f t="array" ref="S1925">IF(P1925="","",_xlfn.SWITCH(LEFT(P1925,1),"C","Ciudad","T","Pueblo","R","Rural","S","Suburbano","U","Urbano",""))</f>
        <v>Suburbano</v>
      </c>
      <c r="T1925" t="str">
        <f t="shared" si="121"/>
        <v>J</v>
      </c>
      <c r="U1925" t="str">
        <f t="shared" si="122"/>
        <v>Arizona</v>
      </c>
      <c r="V1925" t="str">
        <f t="shared" si="123"/>
        <v>21071</v>
      </c>
    </row>
    <row r="1926" spans="1:22" x14ac:dyDescent="0.35">
      <c r="A1926">
        <v>58597</v>
      </c>
      <c r="B1926" t="s">
        <v>57</v>
      </c>
      <c r="C1926" t="s">
        <v>14</v>
      </c>
      <c r="D1926">
        <v>295</v>
      </c>
      <c r="E1926">
        <v>155</v>
      </c>
      <c r="F1926">
        <v>223</v>
      </c>
      <c r="G1926">
        <v>0</v>
      </c>
      <c r="H1926">
        <v>8290</v>
      </c>
      <c r="I1926">
        <v>1</v>
      </c>
      <c r="J1926">
        <v>81</v>
      </c>
      <c r="K1926">
        <v>161</v>
      </c>
      <c r="L1926">
        <v>199</v>
      </c>
      <c r="M1926">
        <v>25.11111111</v>
      </c>
      <c r="N1926">
        <f>IFERROR(VLOOKUP(A1926,vlookup_table!$A:$G,2,FALSE),"")</f>
        <v>1</v>
      </c>
      <c r="O1926">
        <f>IFERROR(VLOOKUP(A1926,vlookup_table!$A:$G,4,FALSE),"")</f>
        <v>1707</v>
      </c>
      <c r="P1926" t="str">
        <f>IFERROR(VLOOKUP(A1926,vlookup_table!$A:$G,5,FALSE),"")</f>
        <v>T3</v>
      </c>
      <c r="Q1926">
        <f>IFERROR(VLOOKUP(A1926,vlookup_table!$A:$G,7,FALSE),"")</f>
        <v>50</v>
      </c>
      <c r="R1926">
        <f t="shared" si="120"/>
        <v>80</v>
      </c>
      <c r="S1926" t="str" cm="1">
        <f t="array" ref="S1926">IF(P1926="","",_xlfn.SWITCH(LEFT(P1926,1),"C","Ciudad","T","Pueblo","R","Rural","S","Suburbano","U","Urbano",""))</f>
        <v>Pueblo</v>
      </c>
      <c r="T1926" t="str">
        <f t="shared" si="121"/>
        <v>M</v>
      </c>
      <c r="U1926" t="str">
        <f t="shared" si="122"/>
        <v>KY</v>
      </c>
      <c r="V1926" t="str">
        <f t="shared" si="123"/>
        <v>8290</v>
      </c>
    </row>
    <row r="1927" spans="1:22" x14ac:dyDescent="0.35">
      <c r="A1927">
        <v>165628</v>
      </c>
      <c r="B1927" t="s">
        <v>22</v>
      </c>
      <c r="C1927" t="s">
        <v>14</v>
      </c>
      <c r="D1927">
        <v>1831</v>
      </c>
      <c r="E1927">
        <v>280</v>
      </c>
      <c r="F1927">
        <v>380</v>
      </c>
      <c r="G1927">
        <v>31</v>
      </c>
      <c r="H1927">
        <v>13119</v>
      </c>
      <c r="I1927">
        <v>22</v>
      </c>
      <c r="J1927">
        <v>41</v>
      </c>
      <c r="K1927">
        <v>324</v>
      </c>
      <c r="L1927">
        <v>313</v>
      </c>
      <c r="M1927">
        <v>5.1666666670000003</v>
      </c>
      <c r="N1927">
        <f>IFERROR(VLOOKUP(A1927,vlookup_table!$A:$G,2,FALSE),"")</f>
        <v>1</v>
      </c>
      <c r="O1927">
        <f>IFERROR(VLOOKUP(A1927,vlookup_table!$A:$G,4,FALSE),"")</f>
        <v>2601</v>
      </c>
      <c r="P1927" t="str">
        <f>IFERROR(VLOOKUP(A1927,vlookup_table!$A:$G,5,FALSE),"")</f>
        <v>U2</v>
      </c>
      <c r="Q1927">
        <f>IFERROR(VLOOKUP(A1927,vlookup_table!$A:$G,7,FALSE),"")</f>
        <v>5</v>
      </c>
      <c r="R1927">
        <f t="shared" si="120"/>
        <v>71</v>
      </c>
      <c r="S1927" t="str" cm="1">
        <f t="array" ref="S1927">IF(P1927="","",_xlfn.SWITCH(LEFT(P1927,1),"C","Ciudad","T","Pueblo","R","Rural","S","Suburbano","U","Urbano",""))</f>
        <v>Urbano</v>
      </c>
      <c r="T1927" t="str">
        <f t="shared" si="121"/>
        <v>M</v>
      </c>
      <c r="U1927" t="str">
        <f t="shared" si="122"/>
        <v>CA</v>
      </c>
      <c r="V1927" t="str">
        <f t="shared" si="123"/>
        <v>13119</v>
      </c>
    </row>
    <row r="1928" spans="1:22" x14ac:dyDescent="0.35">
      <c r="A1928">
        <v>45201</v>
      </c>
      <c r="B1928" t="s">
        <v>13</v>
      </c>
      <c r="C1928" t="s">
        <v>14</v>
      </c>
      <c r="D1928">
        <v>817</v>
      </c>
      <c r="E1928">
        <v>282</v>
      </c>
      <c r="F1928">
        <v>473</v>
      </c>
      <c r="G1928">
        <v>13</v>
      </c>
      <c r="H1928">
        <v>36395</v>
      </c>
      <c r="I1928">
        <v>6</v>
      </c>
      <c r="J1928">
        <v>9</v>
      </c>
      <c r="K1928">
        <v>288</v>
      </c>
      <c r="L1928">
        <v>413</v>
      </c>
      <c r="M1928">
        <v>7.6666666670000003</v>
      </c>
      <c r="N1928">
        <f>IFERROR(VLOOKUP(A1928,vlookup_table!$A:$G,2,FALSE),"")</f>
        <v>1</v>
      </c>
      <c r="O1928">
        <f>IFERROR(VLOOKUP(A1928,vlookup_table!$A:$G,4,FALSE),"")</f>
        <v>0</v>
      </c>
      <c r="P1928" t="str">
        <f>IFERROR(VLOOKUP(A1928,vlookup_table!$A:$G,5,FALSE),"")</f>
        <v>U2</v>
      </c>
      <c r="Q1928">
        <f>IFERROR(VLOOKUP(A1928,vlookup_table!$A:$G,7,FALSE),"")</f>
        <v>11</v>
      </c>
      <c r="R1928">
        <f t="shared" si="120"/>
        <v>97</v>
      </c>
      <c r="S1928" t="str" cm="1">
        <f t="array" ref="S1928">IF(P1928="","",_xlfn.SWITCH(LEFT(P1928,1),"C","Ciudad","T","Pueblo","R","Rural","S","Suburbano","U","Urbano",""))</f>
        <v>Urbano</v>
      </c>
      <c r="T1928" t="str">
        <f t="shared" si="121"/>
        <v>M</v>
      </c>
      <c r="U1928" t="str">
        <f t="shared" si="122"/>
        <v>FL</v>
      </c>
      <c r="V1928" t="str">
        <f t="shared" si="123"/>
        <v>36395</v>
      </c>
    </row>
    <row r="1929" spans="1:22" x14ac:dyDescent="0.35">
      <c r="A1929">
        <v>34735</v>
      </c>
      <c r="B1929" t="s">
        <v>13</v>
      </c>
      <c r="C1929" t="s">
        <v>17</v>
      </c>
      <c r="D1929">
        <v>838</v>
      </c>
      <c r="E1929">
        <v>354</v>
      </c>
      <c r="F1929">
        <v>437</v>
      </c>
      <c r="G1929">
        <v>1</v>
      </c>
      <c r="H1929">
        <v>17115</v>
      </c>
      <c r="I1929">
        <v>8</v>
      </c>
      <c r="J1929">
        <v>22</v>
      </c>
      <c r="K1929">
        <v>374</v>
      </c>
      <c r="L1929">
        <v>402</v>
      </c>
      <c r="M1929">
        <v>15</v>
      </c>
      <c r="N1929">
        <f>IFERROR(VLOOKUP(A1929,vlookup_table!$A:$G,2,FALSE),"")</f>
        <v>0</v>
      </c>
      <c r="O1929">
        <f>IFERROR(VLOOKUP(A1929,vlookup_table!$A:$G,4,FALSE),"")</f>
        <v>3601</v>
      </c>
      <c r="P1929" t="str">
        <f>IFERROR(VLOOKUP(A1929,vlookup_table!$A:$G,5,FALSE),"")</f>
        <v>S3</v>
      </c>
      <c r="Q1929">
        <f>IFERROR(VLOOKUP(A1929,vlookup_table!$A:$G,7,FALSE),"")</f>
        <v>20</v>
      </c>
      <c r="R1929">
        <f t="shared" si="120"/>
        <v>61</v>
      </c>
      <c r="S1929" t="str" cm="1">
        <f t="array" ref="S1929">IF(P1929="","",_xlfn.SWITCH(LEFT(P1929,1),"C","Ciudad","T","Pueblo","R","Rural","S","Suburbano","U","Urbano",""))</f>
        <v>Suburbano</v>
      </c>
      <c r="T1929" t="str">
        <f t="shared" si="121"/>
        <v>F</v>
      </c>
      <c r="U1929" t="str">
        <f t="shared" si="122"/>
        <v>FL</v>
      </c>
      <c r="V1929" t="str">
        <f t="shared" si="123"/>
        <v>17115</v>
      </c>
    </row>
    <row r="1930" spans="1:22" x14ac:dyDescent="0.35">
      <c r="A1930">
        <v>6845</v>
      </c>
      <c r="B1930" t="s">
        <v>41</v>
      </c>
      <c r="C1930" t="s">
        <v>17</v>
      </c>
      <c r="D1930">
        <v>551</v>
      </c>
      <c r="E1930">
        <v>232</v>
      </c>
      <c r="F1930">
        <v>310</v>
      </c>
      <c r="G1930">
        <v>0</v>
      </c>
      <c r="H1930">
        <v>11759</v>
      </c>
      <c r="I1930">
        <v>1</v>
      </c>
      <c r="J1930">
        <v>56</v>
      </c>
      <c r="K1930">
        <v>297</v>
      </c>
      <c r="L1930">
        <v>252</v>
      </c>
      <c r="M1930">
        <v>16.866666670000001</v>
      </c>
      <c r="N1930">
        <f>IFERROR(VLOOKUP(A1930,vlookup_table!$A:$G,2,FALSE),"")</f>
        <v>0</v>
      </c>
      <c r="O1930">
        <f>IFERROR(VLOOKUP(A1930,vlookup_table!$A:$G,4,FALSE),"")</f>
        <v>2004</v>
      </c>
      <c r="P1930" t="str">
        <f>IFERROR(VLOOKUP(A1930,vlookup_table!$A:$G,5,FALSE),"")</f>
        <v>T2</v>
      </c>
      <c r="Q1930">
        <f>IFERROR(VLOOKUP(A1930,vlookup_table!$A:$G,7,FALSE),"")</f>
        <v>20</v>
      </c>
      <c r="R1930">
        <f t="shared" si="120"/>
        <v>77</v>
      </c>
      <c r="S1930" t="str" cm="1">
        <f t="array" ref="S1930">IF(P1930="","",_xlfn.SWITCH(LEFT(P1930,1),"C","Ciudad","T","Pueblo","R","Rural","S","Suburbano","U","Urbano",""))</f>
        <v>Pueblo</v>
      </c>
      <c r="T1930" t="str">
        <f t="shared" si="121"/>
        <v>F</v>
      </c>
      <c r="U1930" t="str">
        <f t="shared" si="122"/>
        <v>ID</v>
      </c>
      <c r="V1930" t="str">
        <f t="shared" si="123"/>
        <v>11759</v>
      </c>
    </row>
    <row r="1931" spans="1:22" x14ac:dyDescent="0.35">
      <c r="A1931">
        <v>181799</v>
      </c>
      <c r="B1931" t="s">
        <v>40</v>
      </c>
      <c r="C1931" t="s">
        <v>51</v>
      </c>
      <c r="D1931">
        <v>2049</v>
      </c>
      <c r="E1931">
        <v>442</v>
      </c>
      <c r="F1931">
        <v>626</v>
      </c>
      <c r="G1931">
        <v>51</v>
      </c>
      <c r="H1931">
        <v>24413</v>
      </c>
      <c r="I1931">
        <v>5</v>
      </c>
      <c r="J1931">
        <v>43</v>
      </c>
      <c r="K1931">
        <v>448</v>
      </c>
      <c r="L1931">
        <v>573</v>
      </c>
      <c r="M1931">
        <v>25.4</v>
      </c>
      <c r="N1931">
        <f>IFERROR(VLOOKUP(A1931,vlookup_table!$A:$G,2,FALSE),"")</f>
        <v>0</v>
      </c>
      <c r="O1931">
        <f>IFERROR(VLOOKUP(A1931,vlookup_table!$A:$G,4,FALSE),"")</f>
        <v>0</v>
      </c>
      <c r="P1931" t="str">
        <f>IFERROR(VLOOKUP(A1931,vlookup_table!$A:$G,5,FALSE),"")</f>
        <v>C1</v>
      </c>
      <c r="Q1931">
        <f>IFERROR(VLOOKUP(A1931,vlookup_table!$A:$G,7,FALSE),"")</f>
        <v>35</v>
      </c>
      <c r="R1931">
        <f t="shared" si="120"/>
        <v>97</v>
      </c>
      <c r="S1931" t="str" cm="1">
        <f t="array" ref="S1931">IF(P1931="","",_xlfn.SWITCH(LEFT(P1931,1),"C","Ciudad","T","Pueblo","R","Rural","S","Suburbano","U","Urbano",""))</f>
        <v>Ciudad</v>
      </c>
      <c r="T1931" t="str">
        <f t="shared" si="121"/>
        <v>M</v>
      </c>
      <c r="U1931" t="str">
        <f t="shared" si="122"/>
        <v>WA</v>
      </c>
      <c r="V1931" t="str">
        <f t="shared" si="123"/>
        <v>24413</v>
      </c>
    </row>
    <row r="1932" spans="1:22" x14ac:dyDescent="0.35">
      <c r="A1932">
        <v>88153</v>
      </c>
      <c r="B1932" t="s">
        <v>16</v>
      </c>
      <c r="C1932" t="s">
        <v>17</v>
      </c>
      <c r="D1932">
        <v>1380</v>
      </c>
      <c r="E1932">
        <v>385</v>
      </c>
      <c r="F1932">
        <v>485</v>
      </c>
      <c r="G1932">
        <v>11</v>
      </c>
      <c r="H1932">
        <v>16768</v>
      </c>
      <c r="I1932">
        <v>17</v>
      </c>
      <c r="J1932">
        <v>73</v>
      </c>
      <c r="K1932">
        <v>449</v>
      </c>
      <c r="L1932">
        <v>417</v>
      </c>
      <c r="M1932">
        <v>8.0625</v>
      </c>
      <c r="N1932">
        <f>IFERROR(VLOOKUP(A1932,vlookup_table!$A:$G,2,FALSE),"")</f>
        <v>2</v>
      </c>
      <c r="O1932">
        <f>IFERROR(VLOOKUP(A1932,vlookup_table!$A:$G,4,FALSE),"")</f>
        <v>4801</v>
      </c>
      <c r="P1932" t="str">
        <f>IFERROR(VLOOKUP(A1932,vlookup_table!$A:$G,5,FALSE),"")</f>
        <v>S2</v>
      </c>
      <c r="Q1932">
        <f>IFERROR(VLOOKUP(A1932,vlookup_table!$A:$G,7,FALSE),"")</f>
        <v>13</v>
      </c>
      <c r="R1932">
        <f t="shared" si="120"/>
        <v>49</v>
      </c>
      <c r="S1932" t="str" cm="1">
        <f t="array" ref="S1932">IF(P1932="","",_xlfn.SWITCH(LEFT(P1932,1),"C","Ciudad","T","Pueblo","R","Rural","S","Suburbano","U","Urbano",""))</f>
        <v>Suburbano</v>
      </c>
      <c r="T1932" t="str">
        <f t="shared" si="121"/>
        <v>F</v>
      </c>
      <c r="U1932" t="str">
        <f t="shared" si="122"/>
        <v>IL</v>
      </c>
      <c r="V1932" t="str">
        <f t="shared" si="123"/>
        <v>16768</v>
      </c>
    </row>
    <row r="1933" spans="1:22" x14ac:dyDescent="0.35">
      <c r="A1933">
        <v>92514</v>
      </c>
      <c r="B1933" t="s">
        <v>16</v>
      </c>
      <c r="C1933" t="s">
        <v>17</v>
      </c>
      <c r="D1933">
        <v>1499</v>
      </c>
      <c r="E1933">
        <v>408</v>
      </c>
      <c r="F1933">
        <v>479</v>
      </c>
      <c r="G1933">
        <v>32</v>
      </c>
      <c r="H1933">
        <v>15991</v>
      </c>
      <c r="I1933">
        <v>2</v>
      </c>
      <c r="J1933">
        <v>71</v>
      </c>
      <c r="K1933">
        <v>419</v>
      </c>
      <c r="L1933">
        <v>444</v>
      </c>
      <c r="M1933">
        <v>9.1999999999999993</v>
      </c>
      <c r="N1933">
        <f>IFERROR(VLOOKUP(A1933,vlookup_table!$A:$G,2,FALSE),"")</f>
        <v>0</v>
      </c>
      <c r="O1933">
        <f>IFERROR(VLOOKUP(A1933,vlookup_table!$A:$G,4,FALSE),"")</f>
        <v>6901</v>
      </c>
      <c r="P1933" t="str">
        <f>IFERROR(VLOOKUP(A1933,vlookup_table!$A:$G,5,FALSE),"")</f>
        <v>S1</v>
      </c>
      <c r="Q1933">
        <f>IFERROR(VLOOKUP(A1933,vlookup_table!$A:$G,7,FALSE),"")</f>
        <v>15</v>
      </c>
      <c r="R1933">
        <f t="shared" si="120"/>
        <v>28</v>
      </c>
      <c r="S1933" t="str" cm="1">
        <f t="array" ref="S1933">IF(P1933="","",_xlfn.SWITCH(LEFT(P1933,1),"C","Ciudad","T","Pueblo","R","Rural","S","Suburbano","U","Urbano",""))</f>
        <v>Suburbano</v>
      </c>
      <c r="T1933" t="str">
        <f t="shared" si="121"/>
        <v>F</v>
      </c>
      <c r="U1933" t="str">
        <f t="shared" si="122"/>
        <v>IL</v>
      </c>
      <c r="V1933" t="str">
        <f t="shared" si="123"/>
        <v>15991</v>
      </c>
    </row>
    <row r="1934" spans="1:22" x14ac:dyDescent="0.35">
      <c r="A1934">
        <v>183954</v>
      </c>
      <c r="B1934" t="s">
        <v>40</v>
      </c>
      <c r="C1934" t="s">
        <v>51</v>
      </c>
      <c r="D1934">
        <v>507</v>
      </c>
      <c r="E1934">
        <v>243</v>
      </c>
      <c r="F1934">
        <v>326</v>
      </c>
      <c r="G1934">
        <v>0</v>
      </c>
      <c r="H1934">
        <v>10337</v>
      </c>
      <c r="I1934">
        <v>1</v>
      </c>
      <c r="J1934">
        <v>59</v>
      </c>
      <c r="K1934">
        <v>335</v>
      </c>
      <c r="L1934">
        <v>265</v>
      </c>
      <c r="M1934">
        <v>11.66666667</v>
      </c>
      <c r="N1934">
        <f>IFERROR(VLOOKUP(A1934,vlookup_table!$A:$G,2,FALSE),"")</f>
        <v>0</v>
      </c>
      <c r="O1934">
        <f>IFERROR(VLOOKUP(A1934,vlookup_table!$A:$G,4,FALSE),"")</f>
        <v>2201</v>
      </c>
      <c r="P1934" t="str">
        <f>IFERROR(VLOOKUP(A1934,vlookup_table!$A:$G,5,FALSE),"")</f>
        <v>C3</v>
      </c>
      <c r="Q1934">
        <f>IFERROR(VLOOKUP(A1934,vlookup_table!$A:$G,7,FALSE),"")</f>
        <v>10</v>
      </c>
      <c r="R1934">
        <f t="shared" si="120"/>
        <v>75</v>
      </c>
      <c r="S1934" t="str" cm="1">
        <f t="array" ref="S1934">IF(P1934="","",_xlfn.SWITCH(LEFT(P1934,1),"C","Ciudad","T","Pueblo","R","Rural","S","Suburbano","U","Urbano",""))</f>
        <v>Ciudad</v>
      </c>
      <c r="T1934" t="str">
        <f t="shared" si="121"/>
        <v>M</v>
      </c>
      <c r="U1934" t="str">
        <f t="shared" si="122"/>
        <v>WA</v>
      </c>
      <c r="V1934" t="str">
        <f t="shared" si="123"/>
        <v>10337</v>
      </c>
    </row>
    <row r="1935" spans="1:22" x14ac:dyDescent="0.35">
      <c r="A1935">
        <v>141134</v>
      </c>
      <c r="B1935" t="s">
        <v>24</v>
      </c>
      <c r="C1935" t="s">
        <v>14</v>
      </c>
      <c r="D1935">
        <v>603</v>
      </c>
      <c r="E1935">
        <v>199</v>
      </c>
      <c r="F1935">
        <v>280</v>
      </c>
      <c r="G1935">
        <v>1</v>
      </c>
      <c r="H1935">
        <v>12768</v>
      </c>
      <c r="I1935">
        <v>9</v>
      </c>
      <c r="J1935">
        <v>9</v>
      </c>
      <c r="K1935">
        <v>261</v>
      </c>
      <c r="L1935">
        <v>233</v>
      </c>
      <c r="M1935">
        <v>6.3333333329999997</v>
      </c>
      <c r="N1935">
        <f>IFERROR(VLOOKUP(A1935,vlookup_table!$A:$G,2,FALSE),"")</f>
        <v>1</v>
      </c>
      <c r="O1935">
        <f>IFERROR(VLOOKUP(A1935,vlookup_table!$A:$G,4,FALSE),"")</f>
        <v>2601</v>
      </c>
      <c r="P1935" t="str">
        <f>IFERROR(VLOOKUP(A1935,vlookup_table!$A:$G,5,FALSE),"")</f>
        <v>U4</v>
      </c>
      <c r="Q1935">
        <f>IFERROR(VLOOKUP(A1935,vlookup_table!$A:$G,7,FALSE),"")</f>
        <v>9</v>
      </c>
      <c r="R1935">
        <f t="shared" si="120"/>
        <v>71</v>
      </c>
      <c r="S1935" t="str" cm="1">
        <f t="array" ref="S1935">IF(P1935="","",_xlfn.SWITCH(LEFT(P1935,1),"C","Ciudad","T","Pueblo","R","Rural","S","Suburbano","U","Urbano",""))</f>
        <v>Urbano</v>
      </c>
      <c r="T1935" t="str">
        <f t="shared" si="121"/>
        <v>M</v>
      </c>
      <c r="U1935" t="str">
        <f t="shared" si="122"/>
        <v>NV</v>
      </c>
      <c r="V1935" t="str">
        <f t="shared" si="123"/>
        <v>12768</v>
      </c>
    </row>
    <row r="1936" spans="1:22" x14ac:dyDescent="0.35">
      <c r="A1936">
        <v>66532</v>
      </c>
      <c r="B1936" t="s">
        <v>29</v>
      </c>
      <c r="C1936" t="s">
        <v>14</v>
      </c>
      <c r="D1936">
        <v>407</v>
      </c>
      <c r="E1936">
        <v>318</v>
      </c>
      <c r="F1936">
        <v>399</v>
      </c>
      <c r="G1936">
        <v>0</v>
      </c>
      <c r="H1936">
        <v>12183</v>
      </c>
      <c r="I1936">
        <v>3</v>
      </c>
      <c r="J1936">
        <v>75</v>
      </c>
      <c r="K1936">
        <v>324</v>
      </c>
      <c r="L1936">
        <v>383</v>
      </c>
      <c r="M1936">
        <v>5</v>
      </c>
      <c r="N1936">
        <f>IFERROR(VLOOKUP(A1936,vlookup_table!$A:$G,2,FALSE),"")</f>
        <v>1</v>
      </c>
      <c r="O1936">
        <f>IFERROR(VLOOKUP(A1936,vlookup_table!$A:$G,4,FALSE),"")</f>
        <v>6801</v>
      </c>
      <c r="P1936" t="str">
        <f>IFERROR(VLOOKUP(A1936,vlookup_table!$A:$G,5,FALSE),"")</f>
        <v>U4</v>
      </c>
      <c r="Q1936">
        <f>IFERROR(VLOOKUP(A1936,vlookup_table!$A:$G,7,FALSE),"")</f>
        <v>2</v>
      </c>
      <c r="R1936">
        <f t="shared" si="120"/>
        <v>29</v>
      </c>
      <c r="S1936" t="str" cm="1">
        <f t="array" ref="S1936">IF(P1936="","",_xlfn.SWITCH(LEFT(P1936,1),"C","Ciudad","T","Pueblo","R","Rural","S","Suburbano","U","Urbano",""))</f>
        <v>Urbano</v>
      </c>
      <c r="T1936" t="str">
        <f t="shared" si="121"/>
        <v>M</v>
      </c>
      <c r="U1936" t="str">
        <f t="shared" si="122"/>
        <v>MI</v>
      </c>
      <c r="V1936" t="str">
        <f t="shared" si="123"/>
        <v>12183</v>
      </c>
    </row>
    <row r="1937" spans="1:22" x14ac:dyDescent="0.35">
      <c r="A1937">
        <v>7924</v>
      </c>
      <c r="B1937" t="s">
        <v>21</v>
      </c>
      <c r="C1937" t="s">
        <v>17</v>
      </c>
      <c r="D1937">
        <v>471</v>
      </c>
      <c r="E1937">
        <v>230</v>
      </c>
      <c r="F1937">
        <v>302</v>
      </c>
      <c r="G1937">
        <v>1</v>
      </c>
      <c r="H1937">
        <v>10209</v>
      </c>
      <c r="I1937">
        <v>2</v>
      </c>
      <c r="J1937">
        <v>80</v>
      </c>
      <c r="K1937">
        <v>268</v>
      </c>
      <c r="L1937">
        <v>273</v>
      </c>
      <c r="M1937">
        <v>9</v>
      </c>
      <c r="N1937">
        <f>IFERROR(VLOOKUP(A1937,vlookup_table!$A:$G,2,FALSE),"")</f>
        <v>0</v>
      </c>
      <c r="O1937">
        <f>IFERROR(VLOOKUP(A1937,vlookup_table!$A:$G,4,FALSE),"")</f>
        <v>1912</v>
      </c>
      <c r="P1937">
        <f>IFERROR(VLOOKUP(A1937,vlookup_table!$A:$G,5,FALSE),"")</f>
        <v>0</v>
      </c>
      <c r="Q1937">
        <f>IFERROR(VLOOKUP(A1937,vlookup_table!$A:$G,7,FALSE),"")</f>
        <v>12</v>
      </c>
      <c r="R1937">
        <f t="shared" si="120"/>
        <v>78</v>
      </c>
      <c r="S1937" t="str" cm="1">
        <f t="array" ref="S1937">IF(P1937="","",_xlfn.SWITCH(LEFT(P1937,1),"C","Ciudad","T","Pueblo","R","Rural","S","Suburbano","U","Urbano",""))</f>
        <v/>
      </c>
      <c r="T1937" t="str">
        <f t="shared" si="121"/>
        <v>F</v>
      </c>
      <c r="U1937" t="str">
        <f t="shared" si="122"/>
        <v>TX</v>
      </c>
      <c r="V1937" t="str">
        <f t="shared" si="123"/>
        <v>10209</v>
      </c>
    </row>
    <row r="1938" spans="1:22" x14ac:dyDescent="0.35">
      <c r="A1938">
        <v>27890</v>
      </c>
      <c r="B1938" t="s">
        <v>39</v>
      </c>
      <c r="C1938" t="s">
        <v>17</v>
      </c>
      <c r="D1938">
        <v>929</v>
      </c>
      <c r="E1938">
        <v>403</v>
      </c>
      <c r="F1938">
        <v>467</v>
      </c>
      <c r="G1938">
        <v>8</v>
      </c>
      <c r="H1938">
        <v>15864</v>
      </c>
      <c r="I1938">
        <v>2</v>
      </c>
      <c r="J1938">
        <v>61</v>
      </c>
      <c r="K1938">
        <v>420</v>
      </c>
      <c r="L1938">
        <v>418</v>
      </c>
      <c r="M1938">
        <v>7.8333333329999997</v>
      </c>
      <c r="N1938">
        <f>IFERROR(VLOOKUP(A1938,vlookup_table!$A:$G,2,FALSE),"")</f>
        <v>0</v>
      </c>
      <c r="O1938">
        <f>IFERROR(VLOOKUP(A1938,vlookup_table!$A:$G,4,FALSE),"")</f>
        <v>4801</v>
      </c>
      <c r="P1938" t="str">
        <f>IFERROR(VLOOKUP(A1938,vlookup_table!$A:$G,5,FALSE),"")</f>
        <v>T1</v>
      </c>
      <c r="Q1938">
        <f>IFERROR(VLOOKUP(A1938,vlookup_table!$A:$G,7,FALSE),"")</f>
        <v>10</v>
      </c>
      <c r="R1938">
        <f t="shared" si="120"/>
        <v>49</v>
      </c>
      <c r="S1938" t="str" cm="1">
        <f t="array" ref="S1938">IF(P1938="","",_xlfn.SWITCH(LEFT(P1938,1),"C","Ciudad","T","Pueblo","R","Rural","S","Suburbano","U","Urbano",""))</f>
        <v>Pueblo</v>
      </c>
      <c r="T1938" t="str">
        <f t="shared" si="121"/>
        <v>F</v>
      </c>
      <c r="U1938" t="str">
        <f t="shared" si="122"/>
        <v>GA</v>
      </c>
      <c r="V1938" t="str">
        <f t="shared" si="123"/>
        <v>15864</v>
      </c>
    </row>
    <row r="1939" spans="1:22" x14ac:dyDescent="0.35">
      <c r="A1939">
        <v>58649</v>
      </c>
      <c r="B1939" t="s">
        <v>57</v>
      </c>
      <c r="C1939" t="s">
        <v>17</v>
      </c>
      <c r="D1939">
        <v>521</v>
      </c>
      <c r="E1939">
        <v>258</v>
      </c>
      <c r="F1939">
        <v>371</v>
      </c>
      <c r="G1939">
        <v>0</v>
      </c>
      <c r="H1939">
        <v>13218</v>
      </c>
      <c r="I1939">
        <v>0</v>
      </c>
      <c r="J1939">
        <v>87</v>
      </c>
      <c r="K1939">
        <v>330</v>
      </c>
      <c r="L1939">
        <v>315</v>
      </c>
      <c r="M1939">
        <v>8.75</v>
      </c>
      <c r="N1939">
        <f>IFERROR(VLOOKUP(A1939,vlookup_table!$A:$G,2,FALSE),"")</f>
        <v>0</v>
      </c>
      <c r="O1939">
        <f>IFERROR(VLOOKUP(A1939,vlookup_table!$A:$G,4,FALSE),"")</f>
        <v>2201</v>
      </c>
      <c r="P1939" t="str">
        <f>IFERROR(VLOOKUP(A1939,vlookup_table!$A:$G,5,FALSE),"")</f>
        <v>C2</v>
      </c>
      <c r="Q1939">
        <f>IFERROR(VLOOKUP(A1939,vlookup_table!$A:$G,7,FALSE),"")</f>
        <v>10</v>
      </c>
      <c r="R1939">
        <f t="shared" si="120"/>
        <v>75</v>
      </c>
      <c r="S1939" t="str" cm="1">
        <f t="array" ref="S1939">IF(P1939="","",_xlfn.SWITCH(LEFT(P1939,1),"C","Ciudad","T","Pueblo","R","Rural","S","Suburbano","U","Urbano",""))</f>
        <v>Ciudad</v>
      </c>
      <c r="T1939" t="str">
        <f t="shared" si="121"/>
        <v>F</v>
      </c>
      <c r="U1939" t="str">
        <f t="shared" si="122"/>
        <v>KY</v>
      </c>
      <c r="V1939" t="str">
        <f t="shared" si="123"/>
        <v>13218</v>
      </c>
    </row>
    <row r="1940" spans="1:22" x14ac:dyDescent="0.35">
      <c r="A1940">
        <v>47371</v>
      </c>
      <c r="B1940" t="s">
        <v>43</v>
      </c>
      <c r="C1940" t="s">
        <v>17</v>
      </c>
      <c r="D1940">
        <v>288</v>
      </c>
      <c r="E1940">
        <v>129</v>
      </c>
      <c r="F1940">
        <v>167</v>
      </c>
      <c r="G1940">
        <v>0</v>
      </c>
      <c r="H1940">
        <v>7079</v>
      </c>
      <c r="I1940">
        <v>0</v>
      </c>
      <c r="J1940">
        <v>96</v>
      </c>
      <c r="K1940">
        <v>164</v>
      </c>
      <c r="L1940">
        <v>131</v>
      </c>
      <c r="M1940">
        <v>5.2857142860000002</v>
      </c>
      <c r="N1940">
        <f>IFERROR(VLOOKUP(A1940,vlookup_table!$A:$G,2,FALSE),"")</f>
        <v>0</v>
      </c>
      <c r="O1940">
        <f>IFERROR(VLOOKUP(A1940,vlookup_table!$A:$G,4,FALSE),"")</f>
        <v>2107</v>
      </c>
      <c r="P1940" t="str">
        <f>IFERROR(VLOOKUP(A1940,vlookup_table!$A:$G,5,FALSE),"")</f>
        <v>C3</v>
      </c>
      <c r="Q1940">
        <f>IFERROR(VLOOKUP(A1940,vlookup_table!$A:$G,7,FALSE),"")</f>
        <v>5</v>
      </c>
      <c r="R1940">
        <f t="shared" si="120"/>
        <v>76</v>
      </c>
      <c r="S1940" t="str" cm="1">
        <f t="array" ref="S1940">IF(P1940="","",_xlfn.SWITCH(LEFT(P1940,1),"C","Ciudad","T","Pueblo","R","Rural","S","Suburbano","U","Urbano",""))</f>
        <v>Ciudad</v>
      </c>
      <c r="T1940" t="str">
        <f t="shared" si="121"/>
        <v>F</v>
      </c>
      <c r="U1940" t="str">
        <f t="shared" si="122"/>
        <v>AL</v>
      </c>
      <c r="V1940" t="str">
        <f t="shared" si="123"/>
        <v>7079</v>
      </c>
    </row>
    <row r="1941" spans="1:22" x14ac:dyDescent="0.35">
      <c r="A1941">
        <v>26887</v>
      </c>
      <c r="B1941" t="s">
        <v>39</v>
      </c>
      <c r="C1941" t="s">
        <v>17</v>
      </c>
      <c r="D1941">
        <v>914</v>
      </c>
      <c r="E1941">
        <v>522</v>
      </c>
      <c r="F1941">
        <v>560</v>
      </c>
      <c r="G1941">
        <v>1</v>
      </c>
      <c r="H1941">
        <v>17163</v>
      </c>
      <c r="I1941">
        <v>3</v>
      </c>
      <c r="J1941">
        <v>30</v>
      </c>
      <c r="K1941">
        <v>542</v>
      </c>
      <c r="L1941">
        <v>540</v>
      </c>
      <c r="M1941">
        <v>25</v>
      </c>
      <c r="N1941">
        <f>IFERROR(VLOOKUP(A1941,vlookup_table!$A:$G,2,FALSE),"")</f>
        <v>28</v>
      </c>
      <c r="O1941">
        <f>IFERROR(VLOOKUP(A1941,vlookup_table!$A:$G,4,FALSE),"")</f>
        <v>4801</v>
      </c>
      <c r="P1941" t="str">
        <f>IFERROR(VLOOKUP(A1941,vlookup_table!$A:$G,5,FALSE),"")</f>
        <v>S1</v>
      </c>
      <c r="Q1941">
        <f>IFERROR(VLOOKUP(A1941,vlookup_table!$A:$G,7,FALSE),"")</f>
        <v>30</v>
      </c>
      <c r="R1941">
        <f t="shared" si="120"/>
        <v>49</v>
      </c>
      <c r="S1941" t="str" cm="1">
        <f t="array" ref="S1941">IF(P1941="","",_xlfn.SWITCH(LEFT(P1941,1),"C","Ciudad","T","Pueblo","R","Rural","S","Suburbano","U","Urbano",""))</f>
        <v>Suburbano</v>
      </c>
      <c r="T1941" t="str">
        <f t="shared" si="121"/>
        <v>F</v>
      </c>
      <c r="U1941" t="str">
        <f t="shared" si="122"/>
        <v>GA</v>
      </c>
      <c r="V1941" t="str">
        <f t="shared" si="123"/>
        <v>17163</v>
      </c>
    </row>
    <row r="1942" spans="1:22" x14ac:dyDescent="0.35">
      <c r="A1942">
        <v>80577</v>
      </c>
      <c r="B1942" t="s">
        <v>35</v>
      </c>
      <c r="C1942" t="s">
        <v>17</v>
      </c>
      <c r="D1942">
        <v>466</v>
      </c>
      <c r="E1942">
        <v>270</v>
      </c>
      <c r="F1942">
        <v>354</v>
      </c>
      <c r="G1942">
        <v>0</v>
      </c>
      <c r="H1942">
        <v>11581</v>
      </c>
      <c r="I1942">
        <v>2</v>
      </c>
      <c r="J1942">
        <v>78</v>
      </c>
      <c r="K1942">
        <v>309</v>
      </c>
      <c r="L1942">
        <v>318</v>
      </c>
      <c r="M1942">
        <v>11.66666667</v>
      </c>
      <c r="N1942">
        <f>IFERROR(VLOOKUP(A1942,vlookup_table!$A:$G,2,FALSE),"")</f>
        <v>0</v>
      </c>
      <c r="O1942">
        <f>IFERROR(VLOOKUP(A1942,vlookup_table!$A:$G,4,FALSE),"")</f>
        <v>6001</v>
      </c>
      <c r="P1942">
        <f>IFERROR(VLOOKUP(A1942,vlookup_table!$A:$G,5,FALSE),"")</f>
        <v>0</v>
      </c>
      <c r="Q1942">
        <f>IFERROR(VLOOKUP(A1942,vlookup_table!$A:$G,7,FALSE),"")</f>
        <v>10</v>
      </c>
      <c r="R1942">
        <f t="shared" si="120"/>
        <v>37</v>
      </c>
      <c r="S1942" t="str" cm="1">
        <f t="array" ref="S1942">IF(P1942="","",_xlfn.SWITCH(LEFT(P1942,1),"C","Ciudad","T","Pueblo","R","Rural","S","Suburbano","U","Urbano",""))</f>
        <v/>
      </c>
      <c r="T1942" t="str">
        <f t="shared" si="121"/>
        <v>F</v>
      </c>
      <c r="U1942" t="str">
        <f t="shared" si="122"/>
        <v>WI</v>
      </c>
      <c r="V1942" t="str">
        <f t="shared" si="123"/>
        <v>11581</v>
      </c>
    </row>
    <row r="1943" spans="1:22" x14ac:dyDescent="0.35">
      <c r="A1943">
        <v>61933</v>
      </c>
      <c r="B1943" t="s">
        <v>33</v>
      </c>
      <c r="C1943" t="s">
        <v>14</v>
      </c>
      <c r="D1943">
        <v>534</v>
      </c>
      <c r="E1943">
        <v>292</v>
      </c>
      <c r="F1943">
        <v>388</v>
      </c>
      <c r="G1943">
        <v>2</v>
      </c>
      <c r="H1943">
        <v>13534</v>
      </c>
      <c r="I1943">
        <v>5</v>
      </c>
      <c r="J1943">
        <v>70</v>
      </c>
      <c r="K1943">
        <v>306</v>
      </c>
      <c r="L1943">
        <v>363</v>
      </c>
      <c r="M1943">
        <v>20</v>
      </c>
      <c r="N1943">
        <f>IFERROR(VLOOKUP(A1943,vlookup_table!$A:$G,2,FALSE),"")</f>
        <v>0</v>
      </c>
      <c r="O1943">
        <f>IFERROR(VLOOKUP(A1943,vlookup_table!$A:$G,4,FALSE),"")</f>
        <v>0</v>
      </c>
      <c r="P1943" t="str">
        <f>IFERROR(VLOOKUP(A1943,vlookup_table!$A:$G,5,FALSE),"")</f>
        <v>C2</v>
      </c>
      <c r="Q1943">
        <f>IFERROR(VLOOKUP(A1943,vlookup_table!$A:$G,7,FALSE),"")</f>
        <v>20</v>
      </c>
      <c r="R1943">
        <f t="shared" si="120"/>
        <v>97</v>
      </c>
      <c r="S1943" t="str" cm="1">
        <f t="array" ref="S1943">IF(P1943="","",_xlfn.SWITCH(LEFT(P1943,1),"C","Ciudad","T","Pueblo","R","Rural","S","Suburbano","U","Urbano",""))</f>
        <v>Ciudad</v>
      </c>
      <c r="T1943" t="str">
        <f t="shared" si="121"/>
        <v>M</v>
      </c>
      <c r="U1943" t="str">
        <f t="shared" si="122"/>
        <v>IN</v>
      </c>
      <c r="V1943" t="str">
        <f t="shared" si="123"/>
        <v>13534</v>
      </c>
    </row>
    <row r="1944" spans="1:22" x14ac:dyDescent="0.35">
      <c r="A1944">
        <v>174358</v>
      </c>
      <c r="B1944" t="s">
        <v>50</v>
      </c>
      <c r="C1944" t="s">
        <v>14</v>
      </c>
      <c r="D1944">
        <v>1550</v>
      </c>
      <c r="E1944">
        <v>456</v>
      </c>
      <c r="F1944">
        <v>709</v>
      </c>
      <c r="G1944">
        <v>24</v>
      </c>
      <c r="H1944">
        <v>22772</v>
      </c>
      <c r="I1944">
        <v>8</v>
      </c>
      <c r="J1944">
        <v>39</v>
      </c>
      <c r="K1944">
        <v>613</v>
      </c>
      <c r="L1944">
        <v>549</v>
      </c>
      <c r="M1944">
        <v>17.5</v>
      </c>
      <c r="N1944">
        <f>IFERROR(VLOOKUP(A1944,vlookup_table!$A:$G,2,FALSE),"")</f>
        <v>1</v>
      </c>
      <c r="O1944">
        <f>IFERROR(VLOOKUP(A1944,vlookup_table!$A:$G,4,FALSE),"")</f>
        <v>4201</v>
      </c>
      <c r="P1944" t="str">
        <f>IFERROR(VLOOKUP(A1944,vlookup_table!$A:$G,5,FALSE),"")</f>
        <v>S2</v>
      </c>
      <c r="Q1944">
        <f>IFERROR(VLOOKUP(A1944,vlookup_table!$A:$G,7,FALSE),"")</f>
        <v>10</v>
      </c>
      <c r="R1944">
        <f t="shared" si="120"/>
        <v>55</v>
      </c>
      <c r="S1944" t="str" cm="1">
        <f t="array" ref="S1944">IF(P1944="","",_xlfn.SWITCH(LEFT(P1944,1),"C","Ciudad","T","Pueblo","R","Rural","S","Suburbano","U","Urbano",""))</f>
        <v>Suburbano</v>
      </c>
      <c r="T1944" t="str">
        <f t="shared" si="121"/>
        <v>M</v>
      </c>
      <c r="U1944" t="str">
        <f t="shared" si="122"/>
        <v>OR</v>
      </c>
      <c r="V1944" t="str">
        <f t="shared" si="123"/>
        <v>22772</v>
      </c>
    </row>
    <row r="1945" spans="1:22" x14ac:dyDescent="0.35">
      <c r="A1945">
        <v>133555</v>
      </c>
      <c r="B1945" t="s">
        <v>41</v>
      </c>
      <c r="C1945" t="s">
        <v>17</v>
      </c>
      <c r="D1945">
        <v>575</v>
      </c>
      <c r="E1945">
        <v>231</v>
      </c>
      <c r="F1945">
        <v>269</v>
      </c>
      <c r="G1945">
        <v>0</v>
      </c>
      <c r="H1945">
        <v>9659</v>
      </c>
      <c r="I1945">
        <v>5</v>
      </c>
      <c r="J1945">
        <v>58</v>
      </c>
      <c r="K1945">
        <v>245</v>
      </c>
      <c r="L1945">
        <v>248</v>
      </c>
      <c r="M1945">
        <v>15</v>
      </c>
      <c r="N1945">
        <f>IFERROR(VLOOKUP(A1945,vlookup_table!$A:$G,2,FALSE),"")</f>
        <v>0</v>
      </c>
      <c r="O1945">
        <f>IFERROR(VLOOKUP(A1945,vlookup_table!$A:$G,4,FALSE),"")</f>
        <v>4701</v>
      </c>
      <c r="P1945" t="str">
        <f>IFERROR(VLOOKUP(A1945,vlookup_table!$A:$G,5,FALSE),"")</f>
        <v>T2</v>
      </c>
      <c r="Q1945">
        <f>IFERROR(VLOOKUP(A1945,vlookup_table!$A:$G,7,FALSE),"")</f>
        <v>21</v>
      </c>
      <c r="R1945">
        <f t="shared" si="120"/>
        <v>50</v>
      </c>
      <c r="S1945" t="str" cm="1">
        <f t="array" ref="S1945">IF(P1945="","",_xlfn.SWITCH(LEFT(P1945,1),"C","Ciudad","T","Pueblo","R","Rural","S","Suburbano","U","Urbano",""))</f>
        <v>Pueblo</v>
      </c>
      <c r="T1945" t="str">
        <f t="shared" si="121"/>
        <v>F</v>
      </c>
      <c r="U1945" t="str">
        <f t="shared" si="122"/>
        <v>ID</v>
      </c>
      <c r="V1945" t="str">
        <f t="shared" si="123"/>
        <v>9659</v>
      </c>
    </row>
    <row r="1946" spans="1:22" x14ac:dyDescent="0.35">
      <c r="A1946">
        <v>82457</v>
      </c>
      <c r="B1946" t="s">
        <v>56</v>
      </c>
      <c r="C1946" t="s">
        <v>17</v>
      </c>
      <c r="D1946">
        <v>687</v>
      </c>
      <c r="E1946">
        <v>230</v>
      </c>
      <c r="F1946">
        <v>267</v>
      </c>
      <c r="G1946">
        <v>0</v>
      </c>
      <c r="H1946">
        <v>11087</v>
      </c>
      <c r="I1946">
        <v>6</v>
      </c>
      <c r="J1946">
        <v>73</v>
      </c>
      <c r="K1946">
        <v>219</v>
      </c>
      <c r="L1946">
        <v>261</v>
      </c>
      <c r="M1946">
        <v>4.5921052629999997</v>
      </c>
      <c r="N1946">
        <f>IFERROR(VLOOKUP(A1946,vlookup_table!$A:$G,2,FALSE),"")</f>
        <v>0</v>
      </c>
      <c r="O1946">
        <f>IFERROR(VLOOKUP(A1946,vlookup_table!$A:$G,4,FALSE),"")</f>
        <v>5301</v>
      </c>
      <c r="P1946" t="str">
        <f>IFERROR(VLOOKUP(A1946,vlookup_table!$A:$G,5,FALSE),"")</f>
        <v>U3</v>
      </c>
      <c r="Q1946">
        <f>IFERROR(VLOOKUP(A1946,vlookup_table!$A:$G,7,FALSE),"")</f>
        <v>5</v>
      </c>
      <c r="R1946">
        <f t="shared" si="120"/>
        <v>44</v>
      </c>
      <c r="S1946" t="str" cm="1">
        <f t="array" ref="S1946">IF(P1946="","",_xlfn.SWITCH(LEFT(P1946,1),"C","Ciudad","T","Pueblo","R","Rural","S","Suburbano","U","Urbano",""))</f>
        <v>Urbano</v>
      </c>
      <c r="T1946" t="str">
        <f t="shared" si="121"/>
        <v>F</v>
      </c>
      <c r="U1946" t="str">
        <f t="shared" si="122"/>
        <v>MN</v>
      </c>
      <c r="V1946" t="str">
        <f t="shared" si="123"/>
        <v>11087</v>
      </c>
    </row>
    <row r="1947" spans="1:22" x14ac:dyDescent="0.35">
      <c r="A1947">
        <v>23065</v>
      </c>
      <c r="B1947" t="s">
        <v>46</v>
      </c>
      <c r="C1947" t="s">
        <v>17</v>
      </c>
      <c r="D1947">
        <v>810</v>
      </c>
      <c r="E1947">
        <v>408</v>
      </c>
      <c r="F1947">
        <v>469</v>
      </c>
      <c r="G1947">
        <v>1</v>
      </c>
      <c r="H1947">
        <v>15766</v>
      </c>
      <c r="I1947">
        <v>3</v>
      </c>
      <c r="J1947">
        <v>53</v>
      </c>
      <c r="K1947">
        <v>421</v>
      </c>
      <c r="L1947">
        <v>455</v>
      </c>
      <c r="M1947">
        <v>12.83333333</v>
      </c>
      <c r="N1947">
        <f>IFERROR(VLOOKUP(A1947,vlookup_table!$A:$G,2,FALSE),"")</f>
        <v>0</v>
      </c>
      <c r="O1947">
        <f>IFERROR(VLOOKUP(A1947,vlookup_table!$A:$G,4,FALSE),"")</f>
        <v>4809</v>
      </c>
      <c r="P1947" t="str">
        <f>IFERROR(VLOOKUP(A1947,vlookup_table!$A:$G,5,FALSE),"")</f>
        <v>S1</v>
      </c>
      <c r="Q1947">
        <f>IFERROR(VLOOKUP(A1947,vlookup_table!$A:$G,7,FALSE),"")</f>
        <v>20</v>
      </c>
      <c r="R1947">
        <f t="shared" si="120"/>
        <v>49</v>
      </c>
      <c r="S1947" t="str" cm="1">
        <f t="array" ref="S1947">IF(P1947="","",_xlfn.SWITCH(LEFT(P1947,1),"C","Ciudad","T","Pueblo","R","Rural","S","Suburbano","U","Urbano",""))</f>
        <v>Suburbano</v>
      </c>
      <c r="T1947" t="str">
        <f t="shared" si="121"/>
        <v>F</v>
      </c>
      <c r="U1947" t="str">
        <f t="shared" si="122"/>
        <v>SC</v>
      </c>
      <c r="V1947" t="str">
        <f t="shared" si="123"/>
        <v>15766</v>
      </c>
    </row>
    <row r="1948" spans="1:22" x14ac:dyDescent="0.35">
      <c r="A1948">
        <v>88856</v>
      </c>
      <c r="B1948" t="s">
        <v>16</v>
      </c>
      <c r="C1948" t="s">
        <v>17</v>
      </c>
      <c r="D1948">
        <v>2347</v>
      </c>
      <c r="E1948">
        <v>615</v>
      </c>
      <c r="F1948">
        <v>870</v>
      </c>
      <c r="G1948">
        <v>68</v>
      </c>
      <c r="H1948">
        <v>61923</v>
      </c>
      <c r="I1948">
        <v>13</v>
      </c>
      <c r="J1948">
        <v>63</v>
      </c>
      <c r="K1948">
        <v>736</v>
      </c>
      <c r="L1948">
        <v>786</v>
      </c>
      <c r="M1948">
        <v>3.0555555559999998</v>
      </c>
      <c r="N1948">
        <f>IFERROR(VLOOKUP(A1948,vlookup_table!$A:$G,2,FALSE),"")</f>
        <v>2</v>
      </c>
      <c r="O1948">
        <f>IFERROR(VLOOKUP(A1948,vlookup_table!$A:$G,4,FALSE),"")</f>
        <v>3501</v>
      </c>
      <c r="P1948" t="str">
        <f>IFERROR(VLOOKUP(A1948,vlookup_table!$A:$G,5,FALSE),"")</f>
        <v>S1</v>
      </c>
      <c r="Q1948">
        <f>IFERROR(VLOOKUP(A1948,vlookup_table!$A:$G,7,FALSE),"")</f>
        <v>4</v>
      </c>
      <c r="R1948">
        <f t="shared" si="120"/>
        <v>62</v>
      </c>
      <c r="S1948" t="str" cm="1">
        <f t="array" ref="S1948">IF(P1948="","",_xlfn.SWITCH(LEFT(P1948,1),"C","Ciudad","T","Pueblo","R","Rural","S","Suburbano","U","Urbano",""))</f>
        <v>Suburbano</v>
      </c>
      <c r="T1948" t="str">
        <f t="shared" si="121"/>
        <v>F</v>
      </c>
      <c r="U1948" t="str">
        <f t="shared" si="122"/>
        <v>IL</v>
      </c>
      <c r="V1948" t="str">
        <f t="shared" si="123"/>
        <v>61923</v>
      </c>
    </row>
    <row r="1949" spans="1:22" x14ac:dyDescent="0.35">
      <c r="A1949">
        <v>168393</v>
      </c>
      <c r="B1949" t="s">
        <v>22</v>
      </c>
      <c r="C1949" t="s">
        <v>14</v>
      </c>
      <c r="D1949">
        <v>2298</v>
      </c>
      <c r="E1949">
        <v>290</v>
      </c>
      <c r="F1949">
        <v>322</v>
      </c>
      <c r="G1949">
        <v>72</v>
      </c>
      <c r="H1949">
        <v>13270</v>
      </c>
      <c r="I1949">
        <v>21</v>
      </c>
      <c r="J1949">
        <v>51</v>
      </c>
      <c r="K1949">
        <v>302</v>
      </c>
      <c r="L1949">
        <v>308</v>
      </c>
      <c r="M1949">
        <v>25</v>
      </c>
      <c r="N1949">
        <f>IFERROR(VLOOKUP(A1949,vlookup_table!$A:$G,2,FALSE),"")</f>
        <v>4</v>
      </c>
      <c r="O1949">
        <f>IFERROR(VLOOKUP(A1949,vlookup_table!$A:$G,4,FALSE),"")</f>
        <v>4001</v>
      </c>
      <c r="P1949" t="str">
        <f>IFERROR(VLOOKUP(A1949,vlookup_table!$A:$G,5,FALSE),"")</f>
        <v>U2</v>
      </c>
      <c r="Q1949">
        <f>IFERROR(VLOOKUP(A1949,vlookup_table!$A:$G,7,FALSE),"")</f>
        <v>25</v>
      </c>
      <c r="R1949">
        <f t="shared" si="120"/>
        <v>57</v>
      </c>
      <c r="S1949" t="str" cm="1">
        <f t="array" ref="S1949">IF(P1949="","",_xlfn.SWITCH(LEFT(P1949,1),"C","Ciudad","T","Pueblo","R","Rural","S","Suburbano","U","Urbano",""))</f>
        <v>Urbano</v>
      </c>
      <c r="T1949" t="str">
        <f t="shared" si="121"/>
        <v>M</v>
      </c>
      <c r="U1949" t="str">
        <f t="shared" si="122"/>
        <v>CA</v>
      </c>
      <c r="V1949" t="str">
        <f t="shared" si="123"/>
        <v>13270</v>
      </c>
    </row>
    <row r="1950" spans="1:22" x14ac:dyDescent="0.35">
      <c r="A1950">
        <v>143936</v>
      </c>
      <c r="B1950" t="s">
        <v>22</v>
      </c>
      <c r="C1950" t="s">
        <v>14</v>
      </c>
      <c r="D1950">
        <v>4956</v>
      </c>
      <c r="E1950">
        <v>805</v>
      </c>
      <c r="F1950">
        <v>1058</v>
      </c>
      <c r="G1950">
        <v>95</v>
      </c>
      <c r="H1950">
        <v>64234</v>
      </c>
      <c r="I1950">
        <v>15</v>
      </c>
      <c r="J1950">
        <v>31</v>
      </c>
      <c r="K1950">
        <v>1081</v>
      </c>
      <c r="L1950">
        <v>861</v>
      </c>
      <c r="M1950">
        <v>32.5</v>
      </c>
      <c r="N1950">
        <f>IFERROR(VLOOKUP(A1950,vlookup_table!$A:$G,2,FALSE),"")</f>
        <v>1</v>
      </c>
      <c r="O1950">
        <f>IFERROR(VLOOKUP(A1950,vlookup_table!$A:$G,4,FALSE),"")</f>
        <v>5101</v>
      </c>
      <c r="P1950" t="str">
        <f>IFERROR(VLOOKUP(A1950,vlookup_table!$A:$G,5,FALSE),"")</f>
        <v>U1</v>
      </c>
      <c r="Q1950">
        <f>IFERROR(VLOOKUP(A1950,vlookup_table!$A:$G,7,FALSE),"")</f>
        <v>55</v>
      </c>
      <c r="R1950">
        <f t="shared" si="120"/>
        <v>46</v>
      </c>
      <c r="S1950" t="str" cm="1">
        <f t="array" ref="S1950">IF(P1950="","",_xlfn.SWITCH(LEFT(P1950,1),"C","Ciudad","T","Pueblo","R","Rural","S","Suburbano","U","Urbano",""))</f>
        <v>Urbano</v>
      </c>
      <c r="T1950" t="str">
        <f t="shared" si="121"/>
        <v>M</v>
      </c>
      <c r="U1950" t="str">
        <f t="shared" si="122"/>
        <v>CA</v>
      </c>
      <c r="V1950" t="str">
        <f t="shared" si="123"/>
        <v>64234</v>
      </c>
    </row>
    <row r="1951" spans="1:22" x14ac:dyDescent="0.35">
      <c r="A1951">
        <v>86436</v>
      </c>
      <c r="B1951" t="s">
        <v>45</v>
      </c>
      <c r="C1951" t="s">
        <v>14</v>
      </c>
      <c r="D1951">
        <v>857</v>
      </c>
      <c r="E1951">
        <v>245</v>
      </c>
      <c r="F1951">
        <v>320</v>
      </c>
      <c r="G1951">
        <v>0</v>
      </c>
      <c r="H1951">
        <v>12951</v>
      </c>
      <c r="I1951">
        <v>0</v>
      </c>
      <c r="J1951">
        <v>62</v>
      </c>
      <c r="K1951">
        <v>282</v>
      </c>
      <c r="L1951">
        <v>275</v>
      </c>
      <c r="M1951">
        <v>5.628571429</v>
      </c>
      <c r="N1951">
        <f>IFERROR(VLOOKUP(A1951,vlookup_table!$A:$G,2,FALSE),"")</f>
        <v>1</v>
      </c>
      <c r="O1951">
        <f>IFERROR(VLOOKUP(A1951,vlookup_table!$A:$G,4,FALSE),"")</f>
        <v>3011</v>
      </c>
      <c r="P1951" t="str">
        <f>IFERROR(VLOOKUP(A1951,vlookup_table!$A:$G,5,FALSE),"")</f>
        <v>S2</v>
      </c>
      <c r="Q1951">
        <f>IFERROR(VLOOKUP(A1951,vlookup_table!$A:$G,7,FALSE),"")</f>
        <v>5</v>
      </c>
      <c r="R1951">
        <f t="shared" si="120"/>
        <v>67</v>
      </c>
      <c r="S1951" t="str" cm="1">
        <f t="array" ref="S1951">IF(P1951="","",_xlfn.SWITCH(LEFT(P1951,1),"C","Ciudad","T","Pueblo","R","Rural","S","Suburbano","U","Urbano",""))</f>
        <v>Suburbano</v>
      </c>
      <c r="T1951" t="str">
        <f t="shared" si="121"/>
        <v>M</v>
      </c>
      <c r="U1951" t="str">
        <f t="shared" si="122"/>
        <v>ND</v>
      </c>
      <c r="V1951" t="str">
        <f t="shared" si="123"/>
        <v>12951</v>
      </c>
    </row>
    <row r="1952" spans="1:22" x14ac:dyDescent="0.35">
      <c r="A1952">
        <v>138311</v>
      </c>
      <c r="B1952" t="s">
        <v>55</v>
      </c>
      <c r="C1952" t="s">
        <v>60</v>
      </c>
      <c r="D1952">
        <v>1708</v>
      </c>
      <c r="E1952">
        <v>437</v>
      </c>
      <c r="F1952">
        <v>684</v>
      </c>
      <c r="G1952">
        <v>36</v>
      </c>
      <c r="H1952">
        <v>29098</v>
      </c>
      <c r="I1952">
        <v>7</v>
      </c>
      <c r="J1952">
        <v>19</v>
      </c>
      <c r="K1952">
        <v>586</v>
      </c>
      <c r="L1952">
        <v>551</v>
      </c>
      <c r="M1952">
        <v>9.769230769</v>
      </c>
      <c r="N1952">
        <f>IFERROR(VLOOKUP(A1952,vlookup_table!$A:$G,2,FALSE),"")</f>
        <v>2</v>
      </c>
      <c r="O1952">
        <f>IFERROR(VLOOKUP(A1952,vlookup_table!$A:$G,4,FALSE),"")</f>
        <v>1403</v>
      </c>
      <c r="P1952" t="str">
        <f>IFERROR(VLOOKUP(A1952,vlookup_table!$A:$G,5,FALSE),"")</f>
        <v>S1</v>
      </c>
      <c r="Q1952">
        <f>IFERROR(VLOOKUP(A1952,vlookup_table!$A:$G,7,FALSE),"")</f>
        <v>20</v>
      </c>
      <c r="R1952">
        <f t="shared" si="120"/>
        <v>83</v>
      </c>
      <c r="S1952" t="str" cm="1">
        <f t="array" ref="S1952">IF(P1952="","",_xlfn.SWITCH(LEFT(P1952,1),"C","Ciudad","T","Pueblo","R","Rural","S","Suburbano","U","Urbano",""))</f>
        <v>Suburbano</v>
      </c>
      <c r="T1952" t="str">
        <f t="shared" si="121"/>
        <v>F</v>
      </c>
      <c r="U1952" t="str">
        <f t="shared" si="122"/>
        <v>AZ</v>
      </c>
      <c r="V1952" t="str">
        <f t="shared" si="123"/>
        <v>29098</v>
      </c>
    </row>
    <row r="1953" spans="1:22" x14ac:dyDescent="0.35">
      <c r="A1953">
        <v>123469</v>
      </c>
      <c r="B1953" t="s">
        <v>21</v>
      </c>
      <c r="C1953" t="s">
        <v>14</v>
      </c>
      <c r="D1953">
        <v>561</v>
      </c>
      <c r="E1953">
        <v>493</v>
      </c>
      <c r="F1953">
        <v>540</v>
      </c>
      <c r="G1953">
        <v>1</v>
      </c>
      <c r="H1953">
        <v>16623</v>
      </c>
      <c r="I1953">
        <v>5</v>
      </c>
      <c r="J1953">
        <v>68</v>
      </c>
      <c r="K1953">
        <v>529</v>
      </c>
      <c r="L1953">
        <v>506</v>
      </c>
      <c r="M1953">
        <v>5.2</v>
      </c>
      <c r="N1953">
        <f>IFERROR(VLOOKUP(A1953,vlookup_table!$A:$G,2,FALSE),"")</f>
        <v>0</v>
      </c>
      <c r="O1953">
        <f>IFERROR(VLOOKUP(A1953,vlookup_table!$A:$G,4,FALSE),"")</f>
        <v>0</v>
      </c>
      <c r="P1953" t="str">
        <f>IFERROR(VLOOKUP(A1953,vlookup_table!$A:$G,5,FALSE),"")</f>
        <v>T2</v>
      </c>
      <c r="Q1953">
        <f>IFERROR(VLOOKUP(A1953,vlookup_table!$A:$G,7,FALSE),"")</f>
        <v>5</v>
      </c>
      <c r="R1953">
        <f t="shared" si="120"/>
        <v>97</v>
      </c>
      <c r="S1953" t="str" cm="1">
        <f t="array" ref="S1953">IF(P1953="","",_xlfn.SWITCH(LEFT(P1953,1),"C","Ciudad","T","Pueblo","R","Rural","S","Suburbano","U","Urbano",""))</f>
        <v>Pueblo</v>
      </c>
      <c r="T1953" t="str">
        <f t="shared" si="121"/>
        <v>M</v>
      </c>
      <c r="U1953" t="str">
        <f t="shared" si="122"/>
        <v>TX</v>
      </c>
      <c r="V1953" t="str">
        <f t="shared" si="123"/>
        <v>16623</v>
      </c>
    </row>
    <row r="1954" spans="1:22" x14ac:dyDescent="0.35">
      <c r="A1954">
        <v>135341</v>
      </c>
      <c r="B1954" t="s">
        <v>55</v>
      </c>
      <c r="C1954" t="s">
        <v>60</v>
      </c>
      <c r="D1954">
        <v>700</v>
      </c>
      <c r="E1954">
        <v>205</v>
      </c>
      <c r="F1954">
        <v>295</v>
      </c>
      <c r="G1954">
        <v>0</v>
      </c>
      <c r="H1954">
        <v>12713</v>
      </c>
      <c r="I1954">
        <v>9</v>
      </c>
      <c r="J1954">
        <v>12</v>
      </c>
      <c r="K1954">
        <v>221</v>
      </c>
      <c r="L1954">
        <v>276</v>
      </c>
      <c r="M1954">
        <v>12.85714286</v>
      </c>
      <c r="N1954">
        <f>IFERROR(VLOOKUP(A1954,vlookup_table!$A:$G,2,FALSE),"")</f>
        <v>0</v>
      </c>
      <c r="O1954">
        <f>IFERROR(VLOOKUP(A1954,vlookup_table!$A:$G,4,FALSE),"")</f>
        <v>0</v>
      </c>
      <c r="P1954" t="str">
        <f>IFERROR(VLOOKUP(A1954,vlookup_table!$A:$G,5,FALSE),"")</f>
        <v>C2</v>
      </c>
      <c r="Q1954">
        <f>IFERROR(VLOOKUP(A1954,vlookup_table!$A:$G,7,FALSE),"")</f>
        <v>12</v>
      </c>
      <c r="R1954">
        <f t="shared" si="120"/>
        <v>97</v>
      </c>
      <c r="S1954" t="str" cm="1">
        <f t="array" ref="S1954">IF(P1954="","",_xlfn.SWITCH(LEFT(P1954,1),"C","Ciudad","T","Pueblo","R","Rural","S","Suburbano","U","Urbano",""))</f>
        <v>Ciudad</v>
      </c>
      <c r="T1954" t="str">
        <f t="shared" si="121"/>
        <v>F</v>
      </c>
      <c r="U1954" t="str">
        <f t="shared" si="122"/>
        <v>AZ</v>
      </c>
      <c r="V1954" t="str">
        <f t="shared" si="123"/>
        <v>12713</v>
      </c>
    </row>
    <row r="1955" spans="1:22" x14ac:dyDescent="0.35">
      <c r="A1955">
        <v>33284</v>
      </c>
      <c r="B1955" t="s">
        <v>13</v>
      </c>
      <c r="C1955" t="s">
        <v>14</v>
      </c>
      <c r="D1955">
        <v>696</v>
      </c>
      <c r="E1955">
        <v>303</v>
      </c>
      <c r="F1955">
        <v>369</v>
      </c>
      <c r="G1955">
        <v>1</v>
      </c>
      <c r="H1955">
        <v>11637</v>
      </c>
      <c r="I1955">
        <v>1</v>
      </c>
      <c r="J1955">
        <v>65</v>
      </c>
      <c r="K1955">
        <v>339</v>
      </c>
      <c r="L1955">
        <v>323</v>
      </c>
      <c r="M1955">
        <v>22.5</v>
      </c>
      <c r="N1955">
        <f>IFERROR(VLOOKUP(A1955,vlookup_table!$A:$G,2,FALSE),"")</f>
        <v>1</v>
      </c>
      <c r="O1955">
        <f>IFERROR(VLOOKUP(A1955,vlookup_table!$A:$G,4,FALSE),"")</f>
        <v>3001</v>
      </c>
      <c r="P1955" t="str">
        <f>IFERROR(VLOOKUP(A1955,vlookup_table!$A:$G,5,FALSE),"")</f>
        <v>C1</v>
      </c>
      <c r="Q1955">
        <f>IFERROR(VLOOKUP(A1955,vlookup_table!$A:$G,7,FALSE),"")</f>
        <v>20</v>
      </c>
      <c r="R1955">
        <f t="shared" si="120"/>
        <v>67</v>
      </c>
      <c r="S1955" t="str" cm="1">
        <f t="array" ref="S1955">IF(P1955="","",_xlfn.SWITCH(LEFT(P1955,1),"C","Ciudad","T","Pueblo","R","Rural","S","Suburbano","U","Urbano",""))</f>
        <v>Ciudad</v>
      </c>
      <c r="T1955" t="str">
        <f t="shared" si="121"/>
        <v>M</v>
      </c>
      <c r="U1955" t="str">
        <f t="shared" si="122"/>
        <v>FL</v>
      </c>
      <c r="V1955" t="str">
        <f t="shared" si="123"/>
        <v>11637</v>
      </c>
    </row>
    <row r="1956" spans="1:22" x14ac:dyDescent="0.35">
      <c r="A1956">
        <v>180837</v>
      </c>
      <c r="B1956" t="s">
        <v>40</v>
      </c>
      <c r="C1956" t="s">
        <v>51</v>
      </c>
      <c r="D1956">
        <v>1039</v>
      </c>
      <c r="E1956">
        <v>279</v>
      </c>
      <c r="F1956">
        <v>435</v>
      </c>
      <c r="G1956">
        <v>4</v>
      </c>
      <c r="H1956">
        <v>15485</v>
      </c>
      <c r="I1956">
        <v>2</v>
      </c>
      <c r="J1956">
        <v>58</v>
      </c>
      <c r="K1956">
        <v>376</v>
      </c>
      <c r="L1956">
        <v>338</v>
      </c>
      <c r="M1956">
        <v>25</v>
      </c>
      <c r="N1956">
        <f>IFERROR(VLOOKUP(A1956,vlookup_table!$A:$G,2,FALSE),"")</f>
        <v>1</v>
      </c>
      <c r="O1956">
        <f>IFERROR(VLOOKUP(A1956,vlookup_table!$A:$G,4,FALSE),"")</f>
        <v>3101</v>
      </c>
      <c r="P1956" t="str">
        <f>IFERROR(VLOOKUP(A1956,vlookup_table!$A:$G,5,FALSE),"")</f>
        <v>C2</v>
      </c>
      <c r="Q1956">
        <f>IFERROR(VLOOKUP(A1956,vlookup_table!$A:$G,7,FALSE),"")</f>
        <v>50</v>
      </c>
      <c r="R1956">
        <f t="shared" si="120"/>
        <v>66</v>
      </c>
      <c r="S1956" t="str" cm="1">
        <f t="array" ref="S1956">IF(P1956="","",_xlfn.SWITCH(LEFT(P1956,1),"C","Ciudad","T","Pueblo","R","Rural","S","Suburbano","U","Urbano",""))</f>
        <v>Ciudad</v>
      </c>
      <c r="T1956" t="str">
        <f t="shared" si="121"/>
        <v>M</v>
      </c>
      <c r="U1956" t="str">
        <f t="shared" si="122"/>
        <v>WA</v>
      </c>
      <c r="V1956" t="str">
        <f t="shared" si="123"/>
        <v>15485</v>
      </c>
    </row>
    <row r="1957" spans="1:22" x14ac:dyDescent="0.35">
      <c r="A1957">
        <v>37747</v>
      </c>
      <c r="B1957" t="s">
        <v>13</v>
      </c>
      <c r="C1957" t="s">
        <v>14</v>
      </c>
      <c r="D1957">
        <v>1909</v>
      </c>
      <c r="E1957">
        <v>473</v>
      </c>
      <c r="F1957">
        <v>779</v>
      </c>
      <c r="G1957">
        <v>45</v>
      </c>
      <c r="H1957">
        <v>25255</v>
      </c>
      <c r="I1957">
        <v>32</v>
      </c>
      <c r="J1957">
        <v>34</v>
      </c>
      <c r="K1957">
        <v>688</v>
      </c>
      <c r="L1957">
        <v>648</v>
      </c>
      <c r="M1957">
        <v>13.375</v>
      </c>
      <c r="N1957">
        <f>IFERROR(VLOOKUP(A1957,vlookup_table!$A:$G,2,FALSE),"")</f>
        <v>1</v>
      </c>
      <c r="O1957">
        <f>IFERROR(VLOOKUP(A1957,vlookup_table!$A:$G,4,FALSE),"")</f>
        <v>6006</v>
      </c>
      <c r="P1957" t="str">
        <f>IFERROR(VLOOKUP(A1957,vlookup_table!$A:$G,5,FALSE),"")</f>
        <v>U1</v>
      </c>
      <c r="Q1957">
        <f>IFERROR(VLOOKUP(A1957,vlookup_table!$A:$G,7,FALSE),"")</f>
        <v>18</v>
      </c>
      <c r="R1957">
        <f t="shared" si="120"/>
        <v>37</v>
      </c>
      <c r="S1957" t="str" cm="1">
        <f t="array" ref="S1957">IF(P1957="","",_xlfn.SWITCH(LEFT(P1957,1),"C","Ciudad","T","Pueblo","R","Rural","S","Suburbano","U","Urbano",""))</f>
        <v>Urbano</v>
      </c>
      <c r="T1957" t="str">
        <f t="shared" si="121"/>
        <v>M</v>
      </c>
      <c r="U1957" t="str">
        <f t="shared" si="122"/>
        <v>FL</v>
      </c>
      <c r="V1957" t="str">
        <f t="shared" si="123"/>
        <v>25255</v>
      </c>
    </row>
    <row r="1958" spans="1:22" x14ac:dyDescent="0.35">
      <c r="A1958">
        <v>108983</v>
      </c>
      <c r="B1958" t="s">
        <v>49</v>
      </c>
      <c r="C1958" t="s">
        <v>14</v>
      </c>
      <c r="D1958">
        <v>535</v>
      </c>
      <c r="E1958">
        <v>165</v>
      </c>
      <c r="F1958">
        <v>199</v>
      </c>
      <c r="G1958">
        <v>0</v>
      </c>
      <c r="H1958">
        <v>7220</v>
      </c>
      <c r="I1958">
        <v>0</v>
      </c>
      <c r="J1958">
        <v>92</v>
      </c>
      <c r="K1958">
        <v>154</v>
      </c>
      <c r="L1958">
        <v>200</v>
      </c>
      <c r="M1958">
        <v>12</v>
      </c>
      <c r="N1958">
        <f>IFERROR(VLOOKUP(A1958,vlookup_table!$A:$G,2,FALSE),"")</f>
        <v>0</v>
      </c>
      <c r="O1958">
        <f>IFERROR(VLOOKUP(A1958,vlookup_table!$A:$G,4,FALSE),"")</f>
        <v>2412</v>
      </c>
      <c r="P1958" t="str">
        <f>IFERROR(VLOOKUP(A1958,vlookup_table!$A:$G,5,FALSE),"")</f>
        <v>C2</v>
      </c>
      <c r="Q1958">
        <f>IFERROR(VLOOKUP(A1958,vlookup_table!$A:$G,7,FALSE),"")</f>
        <v>17</v>
      </c>
      <c r="R1958">
        <f t="shared" si="120"/>
        <v>73</v>
      </c>
      <c r="S1958" t="str" cm="1">
        <f t="array" ref="S1958">IF(P1958="","",_xlfn.SWITCH(LEFT(P1958,1),"C","Ciudad","T","Pueblo","R","Rural","S","Suburbano","U","Urbano",""))</f>
        <v>Ciudad</v>
      </c>
      <c r="T1958" t="str">
        <f t="shared" si="121"/>
        <v>M</v>
      </c>
      <c r="U1958" t="str">
        <f t="shared" si="122"/>
        <v>LA</v>
      </c>
      <c r="V1958" t="str">
        <f t="shared" si="123"/>
        <v>7220</v>
      </c>
    </row>
    <row r="1959" spans="1:22" x14ac:dyDescent="0.35">
      <c r="A1959">
        <v>34591</v>
      </c>
      <c r="B1959" t="s">
        <v>13</v>
      </c>
      <c r="C1959" t="s">
        <v>14</v>
      </c>
      <c r="D1959">
        <v>835</v>
      </c>
      <c r="E1959">
        <v>413</v>
      </c>
      <c r="F1959">
        <v>410</v>
      </c>
      <c r="G1959">
        <v>0</v>
      </c>
      <c r="H1959">
        <v>14004</v>
      </c>
      <c r="I1959">
        <v>7</v>
      </c>
      <c r="J1959">
        <v>20</v>
      </c>
      <c r="K1959">
        <v>414</v>
      </c>
      <c r="L1959">
        <v>429</v>
      </c>
      <c r="M1959">
        <v>19.666666670000001</v>
      </c>
      <c r="N1959">
        <f>IFERROR(VLOOKUP(A1959,vlookup_table!$A:$G,2,FALSE),"")</f>
        <v>1</v>
      </c>
      <c r="O1959">
        <f>IFERROR(VLOOKUP(A1959,vlookup_table!$A:$G,4,FALSE),"")</f>
        <v>3401</v>
      </c>
      <c r="P1959" t="str">
        <f>IFERROR(VLOOKUP(A1959,vlookup_table!$A:$G,5,FALSE),"")</f>
        <v>S2</v>
      </c>
      <c r="Q1959">
        <f>IFERROR(VLOOKUP(A1959,vlookup_table!$A:$G,7,FALSE),"")</f>
        <v>23</v>
      </c>
      <c r="R1959">
        <f t="shared" si="120"/>
        <v>63</v>
      </c>
      <c r="S1959" t="str" cm="1">
        <f t="array" ref="S1959">IF(P1959="","",_xlfn.SWITCH(LEFT(P1959,1),"C","Ciudad","T","Pueblo","R","Rural","S","Suburbano","U","Urbano",""))</f>
        <v>Suburbano</v>
      </c>
      <c r="T1959" t="str">
        <f t="shared" si="121"/>
        <v>M</v>
      </c>
      <c r="U1959" t="str">
        <f t="shared" si="122"/>
        <v>FL</v>
      </c>
      <c r="V1959" t="str">
        <f t="shared" si="123"/>
        <v>14004</v>
      </c>
    </row>
    <row r="1960" spans="1:22" x14ac:dyDescent="0.35">
      <c r="A1960">
        <v>100691</v>
      </c>
      <c r="B1960" t="s">
        <v>36</v>
      </c>
      <c r="C1960" t="s">
        <v>14</v>
      </c>
      <c r="D1960">
        <v>553</v>
      </c>
      <c r="E1960">
        <v>196</v>
      </c>
      <c r="F1960">
        <v>236</v>
      </c>
      <c r="G1960">
        <v>0</v>
      </c>
      <c r="H1960">
        <v>9705</v>
      </c>
      <c r="I1960">
        <v>1</v>
      </c>
      <c r="J1960">
        <v>76</v>
      </c>
      <c r="K1960">
        <v>193</v>
      </c>
      <c r="L1960">
        <v>236</v>
      </c>
      <c r="M1960">
        <v>4</v>
      </c>
      <c r="N1960">
        <f>IFERROR(VLOOKUP(A1960,vlookup_table!$A:$G,2,FALSE),"")</f>
        <v>0</v>
      </c>
      <c r="O1960">
        <f>IFERROR(VLOOKUP(A1960,vlookup_table!$A:$G,4,FALSE),"")</f>
        <v>1305</v>
      </c>
      <c r="P1960" t="str">
        <f>IFERROR(VLOOKUP(A1960,vlookup_table!$A:$G,5,FALSE),"")</f>
        <v>C3</v>
      </c>
      <c r="Q1960">
        <f>IFERROR(VLOOKUP(A1960,vlookup_table!$A:$G,7,FALSE),"")</f>
        <v>5</v>
      </c>
      <c r="R1960">
        <f t="shared" si="120"/>
        <v>84</v>
      </c>
      <c r="S1960" t="str" cm="1">
        <f t="array" ref="S1960">IF(P1960="","",_xlfn.SWITCH(LEFT(P1960,1),"C","Ciudad","T","Pueblo","R","Rural","S","Suburbano","U","Urbano",""))</f>
        <v>Ciudad</v>
      </c>
      <c r="T1960" t="str">
        <f t="shared" si="121"/>
        <v>M</v>
      </c>
      <c r="U1960" t="str">
        <f t="shared" si="122"/>
        <v>MO</v>
      </c>
      <c r="V1960" t="str">
        <f t="shared" si="123"/>
        <v>9705</v>
      </c>
    </row>
    <row r="1961" spans="1:22" x14ac:dyDescent="0.35">
      <c r="A1961">
        <v>95347</v>
      </c>
      <c r="B1961" t="s">
        <v>16</v>
      </c>
      <c r="C1961" t="s">
        <v>14</v>
      </c>
      <c r="D1961">
        <v>652</v>
      </c>
      <c r="E1961">
        <v>247</v>
      </c>
      <c r="F1961">
        <v>381</v>
      </c>
      <c r="G1961">
        <v>0</v>
      </c>
      <c r="H1961">
        <v>13469</v>
      </c>
      <c r="I1961">
        <v>1</v>
      </c>
      <c r="J1961">
        <v>72</v>
      </c>
      <c r="K1961">
        <v>354</v>
      </c>
      <c r="L1961">
        <v>306</v>
      </c>
      <c r="M1961">
        <v>8.2222222219999992</v>
      </c>
      <c r="N1961">
        <f>IFERROR(VLOOKUP(A1961,vlookup_table!$A:$G,2,FALSE),"")</f>
        <v>1</v>
      </c>
      <c r="O1961">
        <f>IFERROR(VLOOKUP(A1961,vlookup_table!$A:$G,4,FALSE),"")</f>
        <v>3705</v>
      </c>
      <c r="P1961" t="str">
        <f>IFERROR(VLOOKUP(A1961,vlookup_table!$A:$G,5,FALSE),"")</f>
        <v>T2</v>
      </c>
      <c r="Q1961">
        <f>IFERROR(VLOOKUP(A1961,vlookup_table!$A:$G,7,FALSE),"")</f>
        <v>7</v>
      </c>
      <c r="R1961">
        <f t="shared" si="120"/>
        <v>60</v>
      </c>
      <c r="S1961" t="str" cm="1">
        <f t="array" ref="S1961">IF(P1961="","",_xlfn.SWITCH(LEFT(P1961,1),"C","Ciudad","T","Pueblo","R","Rural","S","Suburbano","U","Urbano",""))</f>
        <v>Pueblo</v>
      </c>
      <c r="T1961" t="str">
        <f t="shared" si="121"/>
        <v>M</v>
      </c>
      <c r="U1961" t="str">
        <f t="shared" si="122"/>
        <v>IL</v>
      </c>
      <c r="V1961" t="str">
        <f t="shared" si="123"/>
        <v>13469</v>
      </c>
    </row>
    <row r="1962" spans="1:22" x14ac:dyDescent="0.35">
      <c r="A1962">
        <v>14717</v>
      </c>
      <c r="B1962" t="s">
        <v>48</v>
      </c>
      <c r="C1962" t="s">
        <v>17</v>
      </c>
      <c r="D1962">
        <v>1125</v>
      </c>
      <c r="E1962">
        <v>205</v>
      </c>
      <c r="F1962">
        <v>131</v>
      </c>
      <c r="G1962">
        <v>0</v>
      </c>
      <c r="H1962">
        <v>21600</v>
      </c>
      <c r="I1962">
        <v>3</v>
      </c>
      <c r="J1962">
        <v>26</v>
      </c>
      <c r="K1962">
        <v>138</v>
      </c>
      <c r="L1962">
        <v>281</v>
      </c>
      <c r="M1962">
        <v>6.4583333329999997</v>
      </c>
      <c r="N1962">
        <f>IFERROR(VLOOKUP(A1962,vlookup_table!$A:$G,2,FALSE),"")</f>
        <v>28</v>
      </c>
      <c r="O1962">
        <f>IFERROR(VLOOKUP(A1962,vlookup_table!$A:$G,4,FALSE),"")</f>
        <v>2610</v>
      </c>
      <c r="P1962" t="str">
        <f>IFERROR(VLOOKUP(A1962,vlookup_table!$A:$G,5,FALSE),"")</f>
        <v>U2</v>
      </c>
      <c r="Q1962">
        <f>IFERROR(VLOOKUP(A1962,vlookup_table!$A:$G,7,FALSE),"")</f>
        <v>15</v>
      </c>
      <c r="R1962">
        <f t="shared" si="120"/>
        <v>71</v>
      </c>
      <c r="S1962" t="str" cm="1">
        <f t="array" ref="S1962">IF(P1962="","",_xlfn.SWITCH(LEFT(P1962,1),"C","Ciudad","T","Pueblo","R","Rural","S","Suburbano","U","Urbano",""))</f>
        <v>Urbano</v>
      </c>
      <c r="T1962" t="str">
        <f t="shared" si="121"/>
        <v>F</v>
      </c>
      <c r="U1962" t="str">
        <f t="shared" si="122"/>
        <v>CO</v>
      </c>
      <c r="V1962" t="str">
        <f t="shared" si="123"/>
        <v>21600</v>
      </c>
    </row>
    <row r="1963" spans="1:22" x14ac:dyDescent="0.35">
      <c r="A1963">
        <v>63612</v>
      </c>
      <c r="B1963" t="s">
        <v>33</v>
      </c>
      <c r="C1963" t="s">
        <v>17</v>
      </c>
      <c r="D1963">
        <v>416</v>
      </c>
      <c r="E1963">
        <v>209</v>
      </c>
      <c r="F1963">
        <v>243</v>
      </c>
      <c r="G1963">
        <v>0</v>
      </c>
      <c r="H1963">
        <v>10117</v>
      </c>
      <c r="I1963">
        <v>0</v>
      </c>
      <c r="J1963">
        <v>76</v>
      </c>
      <c r="K1963">
        <v>221</v>
      </c>
      <c r="L1963">
        <v>229</v>
      </c>
      <c r="M1963">
        <v>13.5</v>
      </c>
      <c r="N1963">
        <f>IFERROR(VLOOKUP(A1963,vlookup_table!$A:$G,2,FALSE),"")</f>
        <v>0</v>
      </c>
      <c r="O1963">
        <f>IFERROR(VLOOKUP(A1963,vlookup_table!$A:$G,4,FALSE),"")</f>
        <v>6801</v>
      </c>
      <c r="P1963" t="str">
        <f>IFERROR(VLOOKUP(A1963,vlookup_table!$A:$G,5,FALSE),"")</f>
        <v>C2</v>
      </c>
      <c r="Q1963">
        <f>IFERROR(VLOOKUP(A1963,vlookup_table!$A:$G,7,FALSE),"")</f>
        <v>18</v>
      </c>
      <c r="R1963">
        <f t="shared" si="120"/>
        <v>29</v>
      </c>
      <c r="S1963" t="str" cm="1">
        <f t="array" ref="S1963">IF(P1963="","",_xlfn.SWITCH(LEFT(P1963,1),"C","Ciudad","T","Pueblo","R","Rural","S","Suburbano","U","Urbano",""))</f>
        <v>Ciudad</v>
      </c>
      <c r="T1963" t="str">
        <f t="shared" si="121"/>
        <v>F</v>
      </c>
      <c r="U1963" t="str">
        <f t="shared" si="122"/>
        <v>IN</v>
      </c>
      <c r="V1963" t="str">
        <f t="shared" si="123"/>
        <v>10117</v>
      </c>
    </row>
    <row r="1964" spans="1:22" x14ac:dyDescent="0.35">
      <c r="A1964">
        <v>21097</v>
      </c>
      <c r="B1964" t="s">
        <v>18</v>
      </c>
      <c r="C1964" t="s">
        <v>14</v>
      </c>
      <c r="D1964">
        <v>623</v>
      </c>
      <c r="E1964">
        <v>273</v>
      </c>
      <c r="F1964">
        <v>319</v>
      </c>
      <c r="G1964">
        <v>0</v>
      </c>
      <c r="H1964">
        <v>10923</v>
      </c>
      <c r="I1964">
        <v>2</v>
      </c>
      <c r="J1964">
        <v>53</v>
      </c>
      <c r="K1964">
        <v>300</v>
      </c>
      <c r="L1964">
        <v>293</v>
      </c>
      <c r="M1964">
        <v>15</v>
      </c>
      <c r="N1964">
        <f>IFERROR(VLOOKUP(A1964,vlookup_table!$A:$G,2,FALSE),"")</f>
        <v>1</v>
      </c>
      <c r="O1964">
        <f>IFERROR(VLOOKUP(A1964,vlookup_table!$A:$G,4,FALSE),"")</f>
        <v>0</v>
      </c>
      <c r="P1964" t="str">
        <f>IFERROR(VLOOKUP(A1964,vlookup_table!$A:$G,5,FALSE),"")</f>
        <v>T2</v>
      </c>
      <c r="Q1964">
        <f>IFERROR(VLOOKUP(A1964,vlookup_table!$A:$G,7,FALSE),"")</f>
        <v>25</v>
      </c>
      <c r="R1964">
        <f t="shared" si="120"/>
        <v>97</v>
      </c>
      <c r="S1964" t="str" cm="1">
        <f t="array" ref="S1964">IF(P1964="","",_xlfn.SWITCH(LEFT(P1964,1),"C","Ciudad","T","Pueblo","R","Rural","S","Suburbano","U","Urbano",""))</f>
        <v>Pueblo</v>
      </c>
      <c r="T1964" t="str">
        <f t="shared" si="121"/>
        <v>M</v>
      </c>
      <c r="U1964" t="str">
        <f t="shared" si="122"/>
        <v>NC</v>
      </c>
      <c r="V1964" t="str">
        <f t="shared" si="123"/>
        <v>10923</v>
      </c>
    </row>
    <row r="1965" spans="1:22" x14ac:dyDescent="0.35">
      <c r="A1965">
        <v>178598</v>
      </c>
      <c r="B1965" t="s">
        <v>40</v>
      </c>
      <c r="C1965" t="s">
        <v>17</v>
      </c>
      <c r="D1965">
        <v>1516</v>
      </c>
      <c r="E1965">
        <v>519</v>
      </c>
      <c r="F1965">
        <v>548</v>
      </c>
      <c r="G1965">
        <v>16</v>
      </c>
      <c r="H1965">
        <v>20117</v>
      </c>
      <c r="I1965">
        <v>17</v>
      </c>
      <c r="J1965">
        <v>44</v>
      </c>
      <c r="K1965">
        <v>555</v>
      </c>
      <c r="L1965">
        <v>527</v>
      </c>
      <c r="M1965">
        <v>4.1666666670000003</v>
      </c>
      <c r="N1965">
        <f>IFERROR(VLOOKUP(A1965,vlookup_table!$A:$G,2,FALSE),"")</f>
        <v>0</v>
      </c>
      <c r="O1965">
        <f>IFERROR(VLOOKUP(A1965,vlookup_table!$A:$G,4,FALSE),"")</f>
        <v>4701</v>
      </c>
      <c r="P1965" t="str">
        <f>IFERROR(VLOOKUP(A1965,vlookup_table!$A:$G,5,FALSE),"")</f>
        <v>S1</v>
      </c>
      <c r="Q1965">
        <f>IFERROR(VLOOKUP(A1965,vlookup_table!$A:$G,7,FALSE),"")</f>
        <v>4</v>
      </c>
      <c r="R1965">
        <f t="shared" si="120"/>
        <v>50</v>
      </c>
      <c r="S1965" t="str" cm="1">
        <f t="array" ref="S1965">IF(P1965="","",_xlfn.SWITCH(LEFT(P1965,1),"C","Ciudad","T","Pueblo","R","Rural","S","Suburbano","U","Urbano",""))</f>
        <v>Suburbano</v>
      </c>
      <c r="T1965" t="str">
        <f t="shared" si="121"/>
        <v>F</v>
      </c>
      <c r="U1965" t="str">
        <f t="shared" si="122"/>
        <v>WA</v>
      </c>
      <c r="V1965" t="str">
        <f t="shared" si="123"/>
        <v>20117</v>
      </c>
    </row>
    <row r="1966" spans="1:22" x14ac:dyDescent="0.35">
      <c r="A1966">
        <v>81630</v>
      </c>
      <c r="B1966" t="s">
        <v>35</v>
      </c>
      <c r="C1966" t="s">
        <v>17</v>
      </c>
      <c r="D1966">
        <v>182</v>
      </c>
      <c r="E1966">
        <v>78</v>
      </c>
      <c r="F1966">
        <v>209</v>
      </c>
      <c r="G1966">
        <v>0</v>
      </c>
      <c r="H1966">
        <v>8279</v>
      </c>
      <c r="I1966">
        <v>2</v>
      </c>
      <c r="J1966">
        <v>59</v>
      </c>
      <c r="K1966">
        <v>181</v>
      </c>
      <c r="L1966">
        <v>126</v>
      </c>
      <c r="M1966">
        <v>4.3529411769999999</v>
      </c>
      <c r="N1966">
        <f>IFERROR(VLOOKUP(A1966,vlookup_table!$A:$G,2,FALSE),"")</f>
        <v>0</v>
      </c>
      <c r="O1966">
        <f>IFERROR(VLOOKUP(A1966,vlookup_table!$A:$G,4,FALSE),"")</f>
        <v>0</v>
      </c>
      <c r="P1966" t="str">
        <f>IFERROR(VLOOKUP(A1966,vlookup_table!$A:$G,5,FALSE),"")</f>
        <v>C3</v>
      </c>
      <c r="Q1966">
        <f>IFERROR(VLOOKUP(A1966,vlookup_table!$A:$G,7,FALSE),"")</f>
        <v>12</v>
      </c>
      <c r="R1966">
        <f t="shared" si="120"/>
        <v>97</v>
      </c>
      <c r="S1966" t="str" cm="1">
        <f t="array" ref="S1966">IF(P1966="","",_xlfn.SWITCH(LEFT(P1966,1),"C","Ciudad","T","Pueblo","R","Rural","S","Suburbano","U","Urbano",""))</f>
        <v>Ciudad</v>
      </c>
      <c r="T1966" t="str">
        <f t="shared" si="121"/>
        <v>F</v>
      </c>
      <c r="U1966" t="str">
        <f t="shared" si="122"/>
        <v>WI</v>
      </c>
      <c r="V1966" t="str">
        <f t="shared" si="123"/>
        <v>8279</v>
      </c>
    </row>
    <row r="1967" spans="1:22" x14ac:dyDescent="0.35">
      <c r="A1967">
        <v>57087</v>
      </c>
      <c r="B1967" t="s">
        <v>57</v>
      </c>
      <c r="C1967" t="s">
        <v>14</v>
      </c>
      <c r="D1967">
        <v>821</v>
      </c>
      <c r="E1967">
        <v>259</v>
      </c>
      <c r="F1967">
        <v>334</v>
      </c>
      <c r="G1967">
        <v>1</v>
      </c>
      <c r="H1967">
        <v>10613</v>
      </c>
      <c r="I1967">
        <v>1</v>
      </c>
      <c r="J1967">
        <v>80</v>
      </c>
      <c r="K1967">
        <v>298</v>
      </c>
      <c r="L1967">
        <v>304</v>
      </c>
      <c r="M1967">
        <v>11.66666667</v>
      </c>
      <c r="N1967">
        <f>IFERROR(VLOOKUP(A1967,vlookup_table!$A:$G,2,FALSE),"")</f>
        <v>1</v>
      </c>
      <c r="O1967">
        <f>IFERROR(VLOOKUP(A1967,vlookup_table!$A:$G,4,FALSE),"")</f>
        <v>4601</v>
      </c>
      <c r="P1967" t="str">
        <f>IFERROR(VLOOKUP(A1967,vlookup_table!$A:$G,5,FALSE),"")</f>
        <v>R2</v>
      </c>
      <c r="Q1967">
        <f>IFERROR(VLOOKUP(A1967,vlookup_table!$A:$G,7,FALSE),"")</f>
        <v>15</v>
      </c>
      <c r="R1967">
        <f t="shared" si="120"/>
        <v>51</v>
      </c>
      <c r="S1967" t="str" cm="1">
        <f t="array" ref="S1967">IF(P1967="","",_xlfn.SWITCH(LEFT(P1967,1),"C","Ciudad","T","Pueblo","R","Rural","S","Suburbano","U","Urbano",""))</f>
        <v>Rural</v>
      </c>
      <c r="T1967" t="str">
        <f t="shared" si="121"/>
        <v>M</v>
      </c>
      <c r="U1967" t="str">
        <f t="shared" si="122"/>
        <v>KY</v>
      </c>
      <c r="V1967" t="str">
        <f t="shared" si="123"/>
        <v>10613</v>
      </c>
    </row>
    <row r="1968" spans="1:22" x14ac:dyDescent="0.35">
      <c r="A1968">
        <v>81985</v>
      </c>
      <c r="B1968" t="s">
        <v>35</v>
      </c>
      <c r="C1968" t="s">
        <v>51</v>
      </c>
      <c r="D1968">
        <v>486</v>
      </c>
      <c r="E1968">
        <v>274</v>
      </c>
      <c r="F1968">
        <v>336</v>
      </c>
      <c r="G1968">
        <v>0</v>
      </c>
      <c r="H1968">
        <v>11085</v>
      </c>
      <c r="I1968">
        <v>0</v>
      </c>
      <c r="J1968">
        <v>83</v>
      </c>
      <c r="K1968">
        <v>327</v>
      </c>
      <c r="L1968">
        <v>289</v>
      </c>
      <c r="M1968">
        <v>7.5454545450000001</v>
      </c>
      <c r="N1968">
        <f>IFERROR(VLOOKUP(A1968,vlookup_table!$A:$G,2,FALSE),"")</f>
        <v>0</v>
      </c>
      <c r="O1968">
        <f>IFERROR(VLOOKUP(A1968,vlookup_table!$A:$G,4,FALSE),"")</f>
        <v>6611</v>
      </c>
      <c r="P1968" t="str">
        <f>IFERROR(VLOOKUP(A1968,vlookup_table!$A:$G,5,FALSE),"")</f>
        <v>R2</v>
      </c>
      <c r="Q1968">
        <f>IFERROR(VLOOKUP(A1968,vlookup_table!$A:$G,7,FALSE),"")</f>
        <v>14</v>
      </c>
      <c r="R1968">
        <f t="shared" si="120"/>
        <v>31</v>
      </c>
      <c r="S1968" t="str" cm="1">
        <f t="array" ref="S1968">IF(P1968="","",_xlfn.SWITCH(LEFT(P1968,1),"C","Ciudad","T","Pueblo","R","Rural","S","Suburbano","U","Urbano",""))</f>
        <v>Rural</v>
      </c>
      <c r="T1968" t="str">
        <f t="shared" si="121"/>
        <v>M</v>
      </c>
      <c r="U1968" t="str">
        <f t="shared" si="122"/>
        <v>WI</v>
      </c>
      <c r="V1968" t="str">
        <f t="shared" si="123"/>
        <v>11085</v>
      </c>
    </row>
    <row r="1969" spans="1:22" x14ac:dyDescent="0.35">
      <c r="A1969">
        <v>148795</v>
      </c>
      <c r="B1969" t="s">
        <v>22</v>
      </c>
      <c r="C1969" t="s">
        <v>14</v>
      </c>
      <c r="D1969">
        <v>2259</v>
      </c>
      <c r="E1969">
        <v>557</v>
      </c>
      <c r="F1969">
        <v>603</v>
      </c>
      <c r="G1969">
        <v>71</v>
      </c>
      <c r="H1969">
        <v>18914</v>
      </c>
      <c r="I1969">
        <v>18</v>
      </c>
      <c r="J1969">
        <v>48</v>
      </c>
      <c r="K1969">
        <v>567</v>
      </c>
      <c r="L1969">
        <v>600</v>
      </c>
      <c r="M1969">
        <v>6.4</v>
      </c>
      <c r="N1969">
        <f>IFERROR(VLOOKUP(A1969,vlookup_table!$A:$G,2,FALSE),"")</f>
        <v>0</v>
      </c>
      <c r="O1969">
        <f>IFERROR(VLOOKUP(A1969,vlookup_table!$A:$G,4,FALSE),"")</f>
        <v>5401</v>
      </c>
      <c r="P1969" t="str">
        <f>IFERROR(VLOOKUP(A1969,vlookup_table!$A:$G,5,FALSE),"")</f>
        <v>S1</v>
      </c>
      <c r="Q1969">
        <f>IFERROR(VLOOKUP(A1969,vlookup_table!$A:$G,7,FALSE),"")</f>
        <v>10</v>
      </c>
      <c r="R1969">
        <f t="shared" si="120"/>
        <v>43</v>
      </c>
      <c r="S1969" t="str" cm="1">
        <f t="array" ref="S1969">IF(P1969="","",_xlfn.SWITCH(LEFT(P1969,1),"C","Ciudad","T","Pueblo","R","Rural","S","Suburbano","U","Urbano",""))</f>
        <v>Suburbano</v>
      </c>
      <c r="T1969" t="str">
        <f t="shared" si="121"/>
        <v>M</v>
      </c>
      <c r="U1969" t="str">
        <f t="shared" si="122"/>
        <v>CA</v>
      </c>
      <c r="V1969" t="str">
        <f t="shared" si="123"/>
        <v>18914</v>
      </c>
    </row>
    <row r="1970" spans="1:22" x14ac:dyDescent="0.35">
      <c r="A1970">
        <v>78778</v>
      </c>
      <c r="B1970" t="s">
        <v>35</v>
      </c>
      <c r="C1970" t="s">
        <v>51</v>
      </c>
      <c r="D1970">
        <v>659</v>
      </c>
      <c r="E1970">
        <v>315</v>
      </c>
      <c r="F1970">
        <v>399</v>
      </c>
      <c r="G1970">
        <v>0</v>
      </c>
      <c r="H1970">
        <v>14721</v>
      </c>
      <c r="I1970">
        <v>9</v>
      </c>
      <c r="J1970">
        <v>83</v>
      </c>
      <c r="K1970">
        <v>365</v>
      </c>
      <c r="L1970">
        <v>356</v>
      </c>
      <c r="M1970">
        <v>13.16666667</v>
      </c>
      <c r="N1970">
        <f>IFERROR(VLOOKUP(A1970,vlookup_table!$A:$G,2,FALSE),"")</f>
        <v>1</v>
      </c>
      <c r="O1970">
        <f>IFERROR(VLOOKUP(A1970,vlookup_table!$A:$G,4,FALSE),"")</f>
        <v>2706</v>
      </c>
      <c r="P1970" t="str">
        <f>IFERROR(VLOOKUP(A1970,vlookup_table!$A:$G,5,FALSE),"")</f>
        <v>S2</v>
      </c>
      <c r="Q1970">
        <f>IFERROR(VLOOKUP(A1970,vlookup_table!$A:$G,7,FALSE),"")</f>
        <v>21</v>
      </c>
      <c r="R1970">
        <f t="shared" si="120"/>
        <v>70</v>
      </c>
      <c r="S1970" t="str" cm="1">
        <f t="array" ref="S1970">IF(P1970="","",_xlfn.SWITCH(LEFT(P1970,1),"C","Ciudad","T","Pueblo","R","Rural","S","Suburbano","U","Urbano",""))</f>
        <v>Suburbano</v>
      </c>
      <c r="T1970" t="str">
        <f t="shared" si="121"/>
        <v>M</v>
      </c>
      <c r="U1970" t="str">
        <f t="shared" si="122"/>
        <v>WI</v>
      </c>
      <c r="V1970" t="str">
        <f t="shared" si="123"/>
        <v>14721</v>
      </c>
    </row>
    <row r="1971" spans="1:22" x14ac:dyDescent="0.35">
      <c r="A1971">
        <v>121256</v>
      </c>
      <c r="B1971" t="s">
        <v>21</v>
      </c>
      <c r="C1971" t="s">
        <v>14</v>
      </c>
      <c r="D1971">
        <v>423</v>
      </c>
      <c r="E1971">
        <v>294</v>
      </c>
      <c r="F1971">
        <v>360</v>
      </c>
      <c r="G1971">
        <v>0</v>
      </c>
      <c r="H1971">
        <v>10114</v>
      </c>
      <c r="I1971">
        <v>6</v>
      </c>
      <c r="J1971">
        <v>73</v>
      </c>
      <c r="K1971">
        <v>323</v>
      </c>
      <c r="L1971">
        <v>322</v>
      </c>
      <c r="M1971">
        <v>9.6956521739999992</v>
      </c>
      <c r="N1971">
        <f>IFERROR(VLOOKUP(A1971,vlookup_table!$A:$G,2,FALSE),"")</f>
        <v>1</v>
      </c>
      <c r="O1971">
        <f>IFERROR(VLOOKUP(A1971,vlookup_table!$A:$G,4,FALSE),"")</f>
        <v>0</v>
      </c>
      <c r="P1971" t="str">
        <f>IFERROR(VLOOKUP(A1971,vlookup_table!$A:$G,5,FALSE),"")</f>
        <v>S3</v>
      </c>
      <c r="Q1971">
        <f>IFERROR(VLOOKUP(A1971,vlookup_table!$A:$G,7,FALSE),"")</f>
        <v>15</v>
      </c>
      <c r="R1971">
        <f t="shared" si="120"/>
        <v>97</v>
      </c>
      <c r="S1971" t="str" cm="1">
        <f t="array" ref="S1971">IF(P1971="","",_xlfn.SWITCH(LEFT(P1971,1),"C","Ciudad","T","Pueblo","R","Rural","S","Suburbano","U","Urbano",""))</f>
        <v>Suburbano</v>
      </c>
      <c r="T1971" t="str">
        <f t="shared" si="121"/>
        <v>M</v>
      </c>
      <c r="U1971" t="str">
        <f t="shared" si="122"/>
        <v>TX</v>
      </c>
      <c r="V1971" t="str">
        <f t="shared" si="123"/>
        <v>10114</v>
      </c>
    </row>
    <row r="1972" spans="1:22" x14ac:dyDescent="0.35">
      <c r="A1972">
        <v>177041</v>
      </c>
      <c r="B1972" t="s">
        <v>50</v>
      </c>
      <c r="C1972" t="s">
        <v>17</v>
      </c>
      <c r="D1972">
        <v>661</v>
      </c>
      <c r="E1972">
        <v>259</v>
      </c>
      <c r="F1972">
        <v>327</v>
      </c>
      <c r="G1972">
        <v>3</v>
      </c>
      <c r="H1972">
        <v>11461</v>
      </c>
      <c r="I1972">
        <v>1</v>
      </c>
      <c r="J1972">
        <v>47</v>
      </c>
      <c r="K1972">
        <v>286</v>
      </c>
      <c r="L1972">
        <v>292</v>
      </c>
      <c r="M1972">
        <v>12.5</v>
      </c>
      <c r="N1972">
        <f>IFERROR(VLOOKUP(A1972,vlookup_table!$A:$G,2,FALSE),"")</f>
        <v>2</v>
      </c>
      <c r="O1972">
        <f>IFERROR(VLOOKUP(A1972,vlookup_table!$A:$G,4,FALSE),"")</f>
        <v>0</v>
      </c>
      <c r="P1972" t="str">
        <f>IFERROR(VLOOKUP(A1972,vlookup_table!$A:$G,5,FALSE),"")</f>
        <v>R2</v>
      </c>
      <c r="Q1972">
        <f>IFERROR(VLOOKUP(A1972,vlookup_table!$A:$G,7,FALSE),"")</f>
        <v>15</v>
      </c>
      <c r="R1972">
        <f t="shared" si="120"/>
        <v>97</v>
      </c>
      <c r="S1972" t="str" cm="1">
        <f t="array" ref="S1972">IF(P1972="","",_xlfn.SWITCH(LEFT(P1972,1),"C","Ciudad","T","Pueblo","R","Rural","S","Suburbano","U","Urbano",""))</f>
        <v>Rural</v>
      </c>
      <c r="T1972" t="str">
        <f t="shared" si="121"/>
        <v>F</v>
      </c>
      <c r="U1972" t="str">
        <f t="shared" si="122"/>
        <v>OR</v>
      </c>
      <c r="V1972" t="str">
        <f t="shared" si="123"/>
        <v>11461</v>
      </c>
    </row>
    <row r="1973" spans="1:22" x14ac:dyDescent="0.35">
      <c r="A1973">
        <v>141209</v>
      </c>
      <c r="B1973" t="s">
        <v>48</v>
      </c>
      <c r="C1973" t="s">
        <v>14</v>
      </c>
      <c r="D1973">
        <v>660</v>
      </c>
      <c r="E1973">
        <v>203</v>
      </c>
      <c r="F1973">
        <v>262</v>
      </c>
      <c r="G1973">
        <v>0</v>
      </c>
      <c r="H1973">
        <v>12060</v>
      </c>
      <c r="I1973">
        <v>10</v>
      </c>
      <c r="J1973">
        <v>43</v>
      </c>
      <c r="K1973">
        <v>238</v>
      </c>
      <c r="L1973">
        <v>223</v>
      </c>
      <c r="M1973">
        <v>15.33333333</v>
      </c>
      <c r="N1973">
        <f>IFERROR(VLOOKUP(A1973,vlookup_table!$A:$G,2,FALSE),"")</f>
        <v>0</v>
      </c>
      <c r="O1973">
        <f>IFERROR(VLOOKUP(A1973,vlookup_table!$A:$G,4,FALSE),"")</f>
        <v>0</v>
      </c>
      <c r="P1973" t="str">
        <f>IFERROR(VLOOKUP(A1973,vlookup_table!$A:$G,5,FALSE),"")</f>
        <v>S2</v>
      </c>
      <c r="Q1973">
        <f>IFERROR(VLOOKUP(A1973,vlookup_table!$A:$G,7,FALSE),"")</f>
        <v>10</v>
      </c>
      <c r="R1973">
        <f t="shared" si="120"/>
        <v>97</v>
      </c>
      <c r="S1973" t="str" cm="1">
        <f t="array" ref="S1973">IF(P1973="","",_xlfn.SWITCH(LEFT(P1973,1),"C","Ciudad","T","Pueblo","R","Rural","S","Suburbano","U","Urbano",""))</f>
        <v>Suburbano</v>
      </c>
      <c r="T1973" t="str">
        <f t="shared" si="121"/>
        <v>M</v>
      </c>
      <c r="U1973" t="str">
        <f t="shared" si="122"/>
        <v>CO</v>
      </c>
      <c r="V1973" t="str">
        <f t="shared" si="123"/>
        <v>12060</v>
      </c>
    </row>
    <row r="1974" spans="1:22" x14ac:dyDescent="0.35">
      <c r="A1974">
        <v>75346</v>
      </c>
      <c r="B1974" t="s">
        <v>47</v>
      </c>
      <c r="C1974" t="s">
        <v>14</v>
      </c>
      <c r="D1974">
        <v>349</v>
      </c>
      <c r="E1974">
        <v>228</v>
      </c>
      <c r="F1974">
        <v>311</v>
      </c>
      <c r="G1974">
        <v>0</v>
      </c>
      <c r="H1974">
        <v>10584</v>
      </c>
      <c r="I1974">
        <v>4</v>
      </c>
      <c r="J1974">
        <v>76</v>
      </c>
      <c r="K1974">
        <v>308</v>
      </c>
      <c r="L1974">
        <v>259</v>
      </c>
      <c r="M1974">
        <v>8.1111111109999996</v>
      </c>
      <c r="N1974">
        <f>IFERROR(VLOOKUP(A1974,vlookup_table!$A:$G,2,FALSE),"")</f>
        <v>0</v>
      </c>
      <c r="O1974">
        <f>IFERROR(VLOOKUP(A1974,vlookup_table!$A:$G,4,FALSE),"")</f>
        <v>2801</v>
      </c>
      <c r="P1974" t="str">
        <f>IFERROR(VLOOKUP(A1974,vlookup_table!$A:$G,5,FALSE),"")</f>
        <v>R2</v>
      </c>
      <c r="Q1974">
        <f>IFERROR(VLOOKUP(A1974,vlookup_table!$A:$G,7,FALSE),"")</f>
        <v>15</v>
      </c>
      <c r="R1974">
        <f t="shared" si="120"/>
        <v>69</v>
      </c>
      <c r="S1974" t="str" cm="1">
        <f t="array" ref="S1974">IF(P1974="","",_xlfn.SWITCH(LEFT(P1974,1),"C","Ciudad","T","Pueblo","R","Rural","S","Suburbano","U","Urbano",""))</f>
        <v>Rural</v>
      </c>
      <c r="T1974" t="str">
        <f t="shared" si="121"/>
        <v>M</v>
      </c>
      <c r="U1974" t="str">
        <f t="shared" si="122"/>
        <v>IA</v>
      </c>
      <c r="V1974" t="str">
        <f t="shared" si="123"/>
        <v>10584</v>
      </c>
    </row>
    <row r="1975" spans="1:22" x14ac:dyDescent="0.35">
      <c r="A1975">
        <v>187318</v>
      </c>
      <c r="B1975" t="s">
        <v>18</v>
      </c>
      <c r="C1975" t="s">
        <v>20</v>
      </c>
      <c r="D1975">
        <v>550</v>
      </c>
      <c r="E1975">
        <v>249</v>
      </c>
      <c r="F1975">
        <v>360</v>
      </c>
      <c r="G1975">
        <v>1</v>
      </c>
      <c r="H1975">
        <v>12591</v>
      </c>
      <c r="I1975">
        <v>2</v>
      </c>
      <c r="J1975">
        <v>79</v>
      </c>
      <c r="K1975">
        <v>356</v>
      </c>
      <c r="L1975">
        <v>293</v>
      </c>
      <c r="M1975">
        <v>12.5</v>
      </c>
      <c r="N1975">
        <f>IFERROR(VLOOKUP(A1975,vlookup_table!$A:$G,2,FALSE),"")</f>
        <v>0</v>
      </c>
      <c r="O1975">
        <f>IFERROR(VLOOKUP(A1975,vlookup_table!$A:$G,4,FALSE),"")</f>
        <v>0</v>
      </c>
      <c r="P1975" t="str">
        <f>IFERROR(VLOOKUP(A1975,vlookup_table!$A:$G,5,FALSE),"")</f>
        <v>T2</v>
      </c>
      <c r="Q1975">
        <f>IFERROR(VLOOKUP(A1975,vlookup_table!$A:$G,7,FALSE),"")</f>
        <v>18</v>
      </c>
      <c r="R1975">
        <f t="shared" si="120"/>
        <v>97</v>
      </c>
      <c r="S1975" t="str" cm="1">
        <f t="array" ref="S1975">IF(P1975="","",_xlfn.SWITCH(LEFT(P1975,1),"C","Ciudad","T","Pueblo","R","Rural","S","Suburbano","U","Urbano",""))</f>
        <v>Pueblo</v>
      </c>
      <c r="T1975" t="str">
        <f t="shared" si="121"/>
        <v>F</v>
      </c>
      <c r="U1975" t="str">
        <f t="shared" si="122"/>
        <v>NC</v>
      </c>
      <c r="V1975" t="str">
        <f t="shared" si="123"/>
        <v>12591</v>
      </c>
    </row>
    <row r="1976" spans="1:22" x14ac:dyDescent="0.35">
      <c r="A1976">
        <v>22119</v>
      </c>
      <c r="B1976" t="s">
        <v>18</v>
      </c>
      <c r="C1976" t="s">
        <v>14</v>
      </c>
      <c r="D1976">
        <v>508</v>
      </c>
      <c r="E1976">
        <v>193</v>
      </c>
      <c r="F1976">
        <v>280</v>
      </c>
      <c r="G1976">
        <v>5</v>
      </c>
      <c r="H1976">
        <v>9443</v>
      </c>
      <c r="I1976">
        <v>0</v>
      </c>
      <c r="J1976">
        <v>74</v>
      </c>
      <c r="K1976">
        <v>224</v>
      </c>
      <c r="L1976">
        <v>245</v>
      </c>
      <c r="M1976">
        <v>9.4285714289999998</v>
      </c>
      <c r="N1976">
        <f>IFERROR(VLOOKUP(A1976,vlookup_table!$A:$G,2,FALSE),"")</f>
        <v>1</v>
      </c>
      <c r="O1976">
        <f>IFERROR(VLOOKUP(A1976,vlookup_table!$A:$G,4,FALSE),"")</f>
        <v>1902</v>
      </c>
      <c r="P1976" t="str">
        <f>IFERROR(VLOOKUP(A1976,vlookup_table!$A:$G,5,FALSE),"")</f>
        <v>R2</v>
      </c>
      <c r="Q1976">
        <f>IFERROR(VLOOKUP(A1976,vlookup_table!$A:$G,7,FALSE),"")</f>
        <v>10</v>
      </c>
      <c r="R1976">
        <f t="shared" si="120"/>
        <v>78</v>
      </c>
      <c r="S1976" t="str" cm="1">
        <f t="array" ref="S1976">IF(P1976="","",_xlfn.SWITCH(LEFT(P1976,1),"C","Ciudad","T","Pueblo","R","Rural","S","Suburbano","U","Urbano",""))</f>
        <v>Rural</v>
      </c>
      <c r="T1976" t="str">
        <f t="shared" si="121"/>
        <v>M</v>
      </c>
      <c r="U1976" t="str">
        <f t="shared" si="122"/>
        <v>NC</v>
      </c>
      <c r="V1976" t="str">
        <f t="shared" si="123"/>
        <v>9443</v>
      </c>
    </row>
    <row r="1977" spans="1:22" x14ac:dyDescent="0.35">
      <c r="A1977">
        <v>22149</v>
      </c>
      <c r="B1977" t="s">
        <v>18</v>
      </c>
      <c r="C1977" t="s">
        <v>14</v>
      </c>
      <c r="D1977">
        <v>639</v>
      </c>
      <c r="E1977">
        <v>228</v>
      </c>
      <c r="F1977">
        <v>333</v>
      </c>
      <c r="G1977">
        <v>2</v>
      </c>
      <c r="H1977">
        <v>12224</v>
      </c>
      <c r="I1977">
        <v>1</v>
      </c>
      <c r="J1977">
        <v>77</v>
      </c>
      <c r="K1977">
        <v>269</v>
      </c>
      <c r="L1977">
        <v>289</v>
      </c>
      <c r="M1977">
        <v>9.25</v>
      </c>
      <c r="N1977">
        <f>IFERROR(VLOOKUP(A1977,vlookup_table!$A:$G,2,FALSE),"")</f>
        <v>1</v>
      </c>
      <c r="O1977">
        <f>IFERROR(VLOOKUP(A1977,vlookup_table!$A:$G,4,FALSE),"")</f>
        <v>0</v>
      </c>
      <c r="P1977" t="str">
        <f>IFERROR(VLOOKUP(A1977,vlookup_table!$A:$G,5,FALSE),"")</f>
        <v>R2</v>
      </c>
      <c r="Q1977">
        <f>IFERROR(VLOOKUP(A1977,vlookup_table!$A:$G,7,FALSE),"")</f>
        <v>20</v>
      </c>
      <c r="R1977">
        <f t="shared" si="120"/>
        <v>97</v>
      </c>
      <c r="S1977" t="str" cm="1">
        <f t="array" ref="S1977">IF(P1977="","",_xlfn.SWITCH(LEFT(P1977,1),"C","Ciudad","T","Pueblo","R","Rural","S","Suburbano","U","Urbano",""))</f>
        <v>Rural</v>
      </c>
      <c r="T1977" t="str">
        <f t="shared" si="121"/>
        <v>M</v>
      </c>
      <c r="U1977" t="str">
        <f t="shared" si="122"/>
        <v>NC</v>
      </c>
      <c r="V1977" t="str">
        <f t="shared" si="123"/>
        <v>12224</v>
      </c>
    </row>
    <row r="1978" spans="1:22" x14ac:dyDescent="0.35">
      <c r="A1978">
        <v>32622</v>
      </c>
      <c r="B1978" t="s">
        <v>13</v>
      </c>
      <c r="C1978" t="s">
        <v>14</v>
      </c>
      <c r="D1978">
        <v>533</v>
      </c>
      <c r="E1978">
        <v>201</v>
      </c>
      <c r="F1978">
        <v>286</v>
      </c>
      <c r="G1978">
        <v>4</v>
      </c>
      <c r="H1978">
        <v>10597</v>
      </c>
      <c r="I1978">
        <v>3</v>
      </c>
      <c r="J1978">
        <v>25</v>
      </c>
      <c r="K1978">
        <v>230</v>
      </c>
      <c r="L1978">
        <v>256</v>
      </c>
      <c r="M1978">
        <v>23.833333329999999</v>
      </c>
      <c r="N1978">
        <f>IFERROR(VLOOKUP(A1978,vlookup_table!$A:$G,2,FALSE),"")</f>
        <v>1</v>
      </c>
      <c r="O1978">
        <f>IFERROR(VLOOKUP(A1978,vlookup_table!$A:$G,4,FALSE),"")</f>
        <v>805</v>
      </c>
      <c r="P1978" t="str">
        <f>IFERROR(VLOOKUP(A1978,vlookup_table!$A:$G,5,FALSE),"")</f>
        <v>R2</v>
      </c>
      <c r="Q1978">
        <f>IFERROR(VLOOKUP(A1978,vlookup_table!$A:$G,7,FALSE),"")</f>
        <v>47</v>
      </c>
      <c r="R1978">
        <f t="shared" si="120"/>
        <v>89</v>
      </c>
      <c r="S1978" t="str" cm="1">
        <f t="array" ref="S1978">IF(P1978="","",_xlfn.SWITCH(LEFT(P1978,1),"C","Ciudad","T","Pueblo","R","Rural","S","Suburbano","U","Urbano",""))</f>
        <v>Rural</v>
      </c>
      <c r="T1978" t="str">
        <f t="shared" si="121"/>
        <v>M</v>
      </c>
      <c r="U1978" t="str">
        <f t="shared" si="122"/>
        <v>FL</v>
      </c>
      <c r="V1978" t="str">
        <f t="shared" si="123"/>
        <v>10597</v>
      </c>
    </row>
    <row r="1979" spans="1:22" x14ac:dyDescent="0.35">
      <c r="A1979">
        <v>76758</v>
      </c>
      <c r="B1979" t="s">
        <v>47</v>
      </c>
      <c r="C1979" t="s">
        <v>17</v>
      </c>
      <c r="D1979">
        <v>275</v>
      </c>
      <c r="E1979">
        <v>282</v>
      </c>
      <c r="F1979">
        <v>331</v>
      </c>
      <c r="G1979">
        <v>0</v>
      </c>
      <c r="H1979">
        <v>11044</v>
      </c>
      <c r="I1979">
        <v>0</v>
      </c>
      <c r="J1979">
        <v>89</v>
      </c>
      <c r="K1979">
        <v>319</v>
      </c>
      <c r="L1979">
        <v>288</v>
      </c>
      <c r="M1979">
        <v>5.9166666670000003</v>
      </c>
      <c r="N1979">
        <f>IFERROR(VLOOKUP(A1979,vlookup_table!$A:$G,2,FALSE),"")</f>
        <v>0</v>
      </c>
      <c r="O1979">
        <f>IFERROR(VLOOKUP(A1979,vlookup_table!$A:$G,4,FALSE),"")</f>
        <v>2801</v>
      </c>
      <c r="P1979" t="str">
        <f>IFERROR(VLOOKUP(A1979,vlookup_table!$A:$G,5,FALSE),"")</f>
        <v>R2</v>
      </c>
      <c r="Q1979">
        <f>IFERROR(VLOOKUP(A1979,vlookup_table!$A:$G,7,FALSE),"")</f>
        <v>10</v>
      </c>
      <c r="R1979">
        <f t="shared" si="120"/>
        <v>69</v>
      </c>
      <c r="S1979" t="str" cm="1">
        <f t="array" ref="S1979">IF(P1979="","",_xlfn.SWITCH(LEFT(P1979,1),"C","Ciudad","T","Pueblo","R","Rural","S","Suburbano","U","Urbano",""))</f>
        <v>Rural</v>
      </c>
      <c r="T1979" t="str">
        <f t="shared" si="121"/>
        <v>F</v>
      </c>
      <c r="U1979" t="str">
        <f t="shared" si="122"/>
        <v>IA</v>
      </c>
      <c r="V1979" t="str">
        <f t="shared" si="123"/>
        <v>11044</v>
      </c>
    </row>
    <row r="1980" spans="1:22" x14ac:dyDescent="0.35">
      <c r="A1980">
        <v>161838</v>
      </c>
      <c r="B1980" t="s">
        <v>22</v>
      </c>
      <c r="C1980" t="s">
        <v>17</v>
      </c>
      <c r="D1980">
        <v>1953</v>
      </c>
      <c r="E1980">
        <v>304</v>
      </c>
      <c r="F1980">
        <v>380</v>
      </c>
      <c r="G1980">
        <v>47</v>
      </c>
      <c r="H1980">
        <v>13811</v>
      </c>
      <c r="I1980">
        <v>25</v>
      </c>
      <c r="J1980">
        <v>43</v>
      </c>
      <c r="K1980">
        <v>353</v>
      </c>
      <c r="L1980">
        <v>337</v>
      </c>
      <c r="M1980">
        <v>13.5</v>
      </c>
      <c r="N1980">
        <f>IFERROR(VLOOKUP(A1980,vlookup_table!$A:$G,2,FALSE),"")</f>
        <v>0</v>
      </c>
      <c r="O1980">
        <f>IFERROR(VLOOKUP(A1980,vlookup_table!$A:$G,4,FALSE),"")</f>
        <v>4212</v>
      </c>
      <c r="P1980" t="str">
        <f>IFERROR(VLOOKUP(A1980,vlookup_table!$A:$G,5,FALSE),"")</f>
        <v>C2</v>
      </c>
      <c r="Q1980">
        <f>IFERROR(VLOOKUP(A1980,vlookup_table!$A:$G,7,FALSE),"")</f>
        <v>14</v>
      </c>
      <c r="R1980">
        <f t="shared" si="120"/>
        <v>55</v>
      </c>
      <c r="S1980" t="str" cm="1">
        <f t="array" ref="S1980">IF(P1980="","",_xlfn.SWITCH(LEFT(P1980,1),"C","Ciudad","T","Pueblo","R","Rural","S","Suburbano","U","Urbano",""))</f>
        <v>Ciudad</v>
      </c>
      <c r="T1980" t="str">
        <f t="shared" si="121"/>
        <v>F</v>
      </c>
      <c r="U1980" t="str">
        <f t="shared" si="122"/>
        <v>CA</v>
      </c>
      <c r="V1980" t="str">
        <f t="shared" si="123"/>
        <v>13811</v>
      </c>
    </row>
    <row r="1981" spans="1:22" x14ac:dyDescent="0.35">
      <c r="A1981">
        <v>70863</v>
      </c>
      <c r="B1981" t="s">
        <v>29</v>
      </c>
      <c r="C1981" t="s">
        <v>14</v>
      </c>
      <c r="D1981">
        <v>494</v>
      </c>
      <c r="E1981">
        <v>269</v>
      </c>
      <c r="F1981">
        <v>373</v>
      </c>
      <c r="G1981">
        <v>0</v>
      </c>
      <c r="H1981">
        <v>12815</v>
      </c>
      <c r="I1981">
        <v>1</v>
      </c>
      <c r="J1981">
        <v>93</v>
      </c>
      <c r="K1981">
        <v>331</v>
      </c>
      <c r="L1981">
        <v>316</v>
      </c>
      <c r="M1981">
        <v>6.5714285710000002</v>
      </c>
      <c r="N1981">
        <f>IFERROR(VLOOKUP(A1981,vlookup_table!$A:$G,2,FALSE),"")</f>
        <v>1</v>
      </c>
      <c r="O1981">
        <f>IFERROR(VLOOKUP(A1981,vlookup_table!$A:$G,4,FALSE),"")</f>
        <v>1803</v>
      </c>
      <c r="P1981" t="str">
        <f>IFERROR(VLOOKUP(A1981,vlookup_table!$A:$G,5,FALSE),"")</f>
        <v>R2</v>
      </c>
      <c r="Q1981">
        <f>IFERROR(VLOOKUP(A1981,vlookup_table!$A:$G,7,FALSE),"")</f>
        <v>20</v>
      </c>
      <c r="R1981">
        <f t="shared" si="120"/>
        <v>79</v>
      </c>
      <c r="S1981" t="str" cm="1">
        <f t="array" ref="S1981">IF(P1981="","",_xlfn.SWITCH(LEFT(P1981,1),"C","Ciudad","T","Pueblo","R","Rural","S","Suburbano","U","Urbano",""))</f>
        <v>Rural</v>
      </c>
      <c r="T1981" t="str">
        <f t="shared" si="121"/>
        <v>M</v>
      </c>
      <c r="U1981" t="str">
        <f t="shared" si="122"/>
        <v>MI</v>
      </c>
      <c r="V1981" t="str">
        <f t="shared" si="123"/>
        <v>12815</v>
      </c>
    </row>
    <row r="1982" spans="1:22" x14ac:dyDescent="0.35">
      <c r="A1982">
        <v>143996</v>
      </c>
      <c r="B1982" t="s">
        <v>22</v>
      </c>
      <c r="C1982" t="s">
        <v>17</v>
      </c>
      <c r="D1982">
        <v>5951</v>
      </c>
      <c r="E1982">
        <v>1184</v>
      </c>
      <c r="F1982">
        <v>1093</v>
      </c>
      <c r="G1982">
        <v>99</v>
      </c>
      <c r="H1982">
        <v>80928</v>
      </c>
      <c r="I1982">
        <v>25</v>
      </c>
      <c r="J1982">
        <v>36</v>
      </c>
      <c r="K1982">
        <v>1330</v>
      </c>
      <c r="L1982">
        <v>1060</v>
      </c>
      <c r="M1982">
        <v>7.0833333329999997</v>
      </c>
      <c r="N1982">
        <f>IFERROR(VLOOKUP(A1982,vlookup_table!$A:$G,2,FALSE),"")</f>
        <v>28</v>
      </c>
      <c r="O1982">
        <f>IFERROR(VLOOKUP(A1982,vlookup_table!$A:$G,4,FALSE),"")</f>
        <v>4912</v>
      </c>
      <c r="P1982" t="str">
        <f>IFERROR(VLOOKUP(A1982,vlookup_table!$A:$G,5,FALSE),"")</f>
        <v>S1</v>
      </c>
      <c r="Q1982">
        <f>IFERROR(VLOOKUP(A1982,vlookup_table!$A:$G,7,FALSE),"")</f>
        <v>10</v>
      </c>
      <c r="R1982">
        <f t="shared" si="120"/>
        <v>48</v>
      </c>
      <c r="S1982" t="str" cm="1">
        <f t="array" ref="S1982">IF(P1982="","",_xlfn.SWITCH(LEFT(P1982,1),"C","Ciudad","T","Pueblo","R","Rural","S","Suburbano","U","Urbano",""))</f>
        <v>Suburbano</v>
      </c>
      <c r="T1982" t="str">
        <f t="shared" si="121"/>
        <v>F</v>
      </c>
      <c r="U1982" t="str">
        <f t="shared" si="122"/>
        <v>CA</v>
      </c>
      <c r="V1982" t="str">
        <f t="shared" si="123"/>
        <v>80928</v>
      </c>
    </row>
    <row r="1983" spans="1:22" x14ac:dyDescent="0.35">
      <c r="A1983">
        <v>4314</v>
      </c>
      <c r="B1983" t="s">
        <v>16</v>
      </c>
      <c r="C1983" t="s">
        <v>17</v>
      </c>
      <c r="D1983">
        <v>678</v>
      </c>
      <c r="E1983">
        <v>267</v>
      </c>
      <c r="F1983">
        <v>370</v>
      </c>
      <c r="G1983">
        <v>1</v>
      </c>
      <c r="H1983">
        <v>11401</v>
      </c>
      <c r="I1983">
        <v>0</v>
      </c>
      <c r="J1983">
        <v>63</v>
      </c>
      <c r="K1983">
        <v>288</v>
      </c>
      <c r="L1983">
        <v>352</v>
      </c>
      <c r="M1983">
        <v>5.448275862</v>
      </c>
      <c r="N1983">
        <f>IFERROR(VLOOKUP(A1983,vlookup_table!$A:$G,2,FALSE),"")</f>
        <v>0</v>
      </c>
      <c r="O1983">
        <f>IFERROR(VLOOKUP(A1983,vlookup_table!$A:$G,4,FALSE),"")</f>
        <v>2210</v>
      </c>
      <c r="P1983" t="str">
        <f>IFERROR(VLOOKUP(A1983,vlookup_table!$A:$G,5,FALSE),"")</f>
        <v>U2</v>
      </c>
      <c r="Q1983">
        <f>IFERROR(VLOOKUP(A1983,vlookup_table!$A:$G,7,FALSE),"")</f>
        <v>6</v>
      </c>
      <c r="R1983">
        <f t="shared" si="120"/>
        <v>75</v>
      </c>
      <c r="S1983" t="str" cm="1">
        <f t="array" ref="S1983">IF(P1983="","",_xlfn.SWITCH(LEFT(P1983,1),"C","Ciudad","T","Pueblo","R","Rural","S","Suburbano","U","Urbano",""))</f>
        <v>Urbano</v>
      </c>
      <c r="T1983" t="str">
        <f t="shared" si="121"/>
        <v>F</v>
      </c>
      <c r="U1983" t="str">
        <f t="shared" si="122"/>
        <v>IL</v>
      </c>
      <c r="V1983" t="str">
        <f t="shared" si="123"/>
        <v>11401</v>
      </c>
    </row>
    <row r="1984" spans="1:22" x14ac:dyDescent="0.35">
      <c r="A1984">
        <v>5835</v>
      </c>
      <c r="B1984" t="s">
        <v>56</v>
      </c>
      <c r="C1984" t="s">
        <v>17</v>
      </c>
      <c r="D1984">
        <v>404</v>
      </c>
      <c r="E1984">
        <v>256</v>
      </c>
      <c r="F1984">
        <v>347</v>
      </c>
      <c r="G1984">
        <v>0</v>
      </c>
      <c r="H1984">
        <v>11126</v>
      </c>
      <c r="I1984">
        <v>1</v>
      </c>
      <c r="J1984">
        <v>88</v>
      </c>
      <c r="K1984">
        <v>295</v>
      </c>
      <c r="L1984">
        <v>304</v>
      </c>
      <c r="M1984">
        <v>10.54761905</v>
      </c>
      <c r="N1984">
        <f>IFERROR(VLOOKUP(A1984,vlookup_table!$A:$G,2,FALSE),"")</f>
        <v>28</v>
      </c>
      <c r="O1984">
        <f>IFERROR(VLOOKUP(A1984,vlookup_table!$A:$G,4,FALSE),"")</f>
        <v>0</v>
      </c>
      <c r="P1984" t="str">
        <f>IFERROR(VLOOKUP(A1984,vlookup_table!$A:$G,5,FALSE),"")</f>
        <v>R2</v>
      </c>
      <c r="Q1984">
        <f>IFERROR(VLOOKUP(A1984,vlookup_table!$A:$G,7,FALSE),"")</f>
        <v>30</v>
      </c>
      <c r="R1984">
        <f t="shared" si="120"/>
        <v>97</v>
      </c>
      <c r="S1984" t="str" cm="1">
        <f t="array" ref="S1984">IF(P1984="","",_xlfn.SWITCH(LEFT(P1984,1),"C","Ciudad","T","Pueblo","R","Rural","S","Suburbano","U","Urbano",""))</f>
        <v>Rural</v>
      </c>
      <c r="T1984" t="str">
        <f t="shared" si="121"/>
        <v>F</v>
      </c>
      <c r="U1984" t="str">
        <f t="shared" si="122"/>
        <v>MN</v>
      </c>
      <c r="V1984" t="str">
        <f t="shared" si="123"/>
        <v>11126</v>
      </c>
    </row>
    <row r="1985" spans="1:22" x14ac:dyDescent="0.35">
      <c r="A1985">
        <v>3891</v>
      </c>
      <c r="B1985" t="s">
        <v>21</v>
      </c>
      <c r="C1985" t="s">
        <v>17</v>
      </c>
      <c r="D1985">
        <v>283</v>
      </c>
      <c r="E1985">
        <v>212</v>
      </c>
      <c r="F1985">
        <v>333</v>
      </c>
      <c r="G1985">
        <v>0</v>
      </c>
      <c r="H1985">
        <v>9043</v>
      </c>
      <c r="I1985">
        <v>0</v>
      </c>
      <c r="J1985">
        <v>60</v>
      </c>
      <c r="K1985">
        <v>291</v>
      </c>
      <c r="L1985">
        <v>288</v>
      </c>
      <c r="M1985">
        <v>19.166666670000001</v>
      </c>
      <c r="N1985">
        <f>IFERROR(VLOOKUP(A1985,vlookup_table!$A:$G,2,FALSE),"")</f>
        <v>2</v>
      </c>
      <c r="O1985">
        <f>IFERROR(VLOOKUP(A1985,vlookup_table!$A:$G,4,FALSE),"")</f>
        <v>1501</v>
      </c>
      <c r="P1985" t="str">
        <f>IFERROR(VLOOKUP(A1985,vlookup_table!$A:$G,5,FALSE),"")</f>
        <v>T2</v>
      </c>
      <c r="Q1985">
        <f>IFERROR(VLOOKUP(A1985,vlookup_table!$A:$G,7,FALSE),"")</f>
        <v>25</v>
      </c>
      <c r="R1985">
        <f t="shared" si="120"/>
        <v>82</v>
      </c>
      <c r="S1985" t="str" cm="1">
        <f t="array" ref="S1985">IF(P1985="","",_xlfn.SWITCH(LEFT(P1985,1),"C","Ciudad","T","Pueblo","R","Rural","S","Suburbano","U","Urbano",""))</f>
        <v>Pueblo</v>
      </c>
      <c r="T1985" t="str">
        <f t="shared" si="121"/>
        <v>F</v>
      </c>
      <c r="U1985" t="str">
        <f t="shared" si="122"/>
        <v>TX</v>
      </c>
      <c r="V1985" t="str">
        <f t="shared" si="123"/>
        <v>9043</v>
      </c>
    </row>
    <row r="1986" spans="1:22" x14ac:dyDescent="0.35">
      <c r="A1986">
        <v>87775</v>
      </c>
      <c r="B1986" t="s">
        <v>16</v>
      </c>
      <c r="C1986" t="s">
        <v>17</v>
      </c>
      <c r="D1986">
        <v>1554</v>
      </c>
      <c r="E1986">
        <v>615</v>
      </c>
      <c r="F1986">
        <v>737</v>
      </c>
      <c r="G1986">
        <v>25</v>
      </c>
      <c r="H1986">
        <v>22600</v>
      </c>
      <c r="I1986">
        <v>6</v>
      </c>
      <c r="J1986">
        <v>77</v>
      </c>
      <c r="K1986">
        <v>663</v>
      </c>
      <c r="L1986">
        <v>689</v>
      </c>
      <c r="M1986">
        <v>14.5</v>
      </c>
      <c r="N1986">
        <f>IFERROR(VLOOKUP(A1986,vlookup_table!$A:$G,2,FALSE),"")</f>
        <v>0</v>
      </c>
      <c r="O1986">
        <f>IFERROR(VLOOKUP(A1986,vlookup_table!$A:$G,4,FALSE),"")</f>
        <v>4908</v>
      </c>
      <c r="P1986" t="str">
        <f>IFERROR(VLOOKUP(A1986,vlookup_table!$A:$G,5,FALSE),"")</f>
        <v>U1</v>
      </c>
      <c r="Q1986">
        <f>IFERROR(VLOOKUP(A1986,vlookup_table!$A:$G,7,FALSE),"")</f>
        <v>20</v>
      </c>
      <c r="R1986">
        <f t="shared" ref="R1986:R2049" si="124">IF(O1986="","",97-INT(O1986/100))</f>
        <v>48</v>
      </c>
      <c r="S1986" t="str" cm="1">
        <f t="array" ref="S1986">IF(P1986="","",_xlfn.SWITCH(LEFT(P1986,1),"C","Ciudad","T","Pueblo","R","Rural","S","Suburbano","U","Urbano",""))</f>
        <v>Urbano</v>
      </c>
      <c r="T1986" t="str">
        <f t="shared" ref="T1986:T2049" si="125">IF(C1986="","",IF(OR(UPPER(C1986)="M",UPPER(C1986)="MALE"),"M",IF(OR(UPPER(C1986)="F",UPPER(C1986)="FEMALE",UPPER(C1986)="FEAMALE"),"F",C1986)))</f>
        <v>F</v>
      </c>
      <c r="U1986" t="str">
        <f t="shared" ref="U1986:U2049" si="126">IF(OR(UPPER(B1986)="CALIFORNIA",UPPER(B1986)="CALI"),"CA",B1986)</f>
        <v>IL</v>
      </c>
      <c r="V1986" t="str">
        <f t="shared" ref="V1986:V2049" si="127">SUBSTITUTE(H1986,"@","")</f>
        <v>22600</v>
      </c>
    </row>
    <row r="1987" spans="1:22" x14ac:dyDescent="0.35">
      <c r="A1987">
        <v>9727</v>
      </c>
      <c r="B1987" t="s">
        <v>22</v>
      </c>
      <c r="C1987" t="s">
        <v>17</v>
      </c>
      <c r="D1987">
        <v>5908</v>
      </c>
      <c r="E1987">
        <v>1122</v>
      </c>
      <c r="F1987">
        <v>1088</v>
      </c>
      <c r="G1987">
        <v>98</v>
      </c>
      <c r="H1987">
        <v>81205</v>
      </c>
      <c r="I1987">
        <v>8</v>
      </c>
      <c r="J1987">
        <v>48</v>
      </c>
      <c r="K1987">
        <v>1267</v>
      </c>
      <c r="L1987">
        <v>991</v>
      </c>
      <c r="M1987">
        <v>81.25</v>
      </c>
      <c r="N1987">
        <f>IFERROR(VLOOKUP(A1987,vlookup_table!$A:$G,2,FALSE),"")</f>
        <v>0</v>
      </c>
      <c r="O1987">
        <f>IFERROR(VLOOKUP(A1987,vlookup_table!$A:$G,4,FALSE),"")</f>
        <v>4201</v>
      </c>
      <c r="P1987" t="str">
        <f>IFERROR(VLOOKUP(A1987,vlookup_table!$A:$G,5,FALSE),"")</f>
        <v>U1</v>
      </c>
      <c r="Q1987">
        <f>IFERROR(VLOOKUP(A1987,vlookup_table!$A:$G,7,FALSE),"")</f>
        <v>25</v>
      </c>
      <c r="R1987">
        <f t="shared" si="124"/>
        <v>55</v>
      </c>
      <c r="S1987" t="str" cm="1">
        <f t="array" ref="S1987">IF(P1987="","",_xlfn.SWITCH(LEFT(P1987,1),"C","Ciudad","T","Pueblo","R","Rural","S","Suburbano","U","Urbano",""))</f>
        <v>Urbano</v>
      </c>
      <c r="T1987" t="str">
        <f t="shared" si="125"/>
        <v>F</v>
      </c>
      <c r="U1987" t="str">
        <f t="shared" si="126"/>
        <v>CA</v>
      </c>
      <c r="V1987" t="str">
        <f t="shared" si="127"/>
        <v>81205</v>
      </c>
    </row>
    <row r="1988" spans="1:22" x14ac:dyDescent="0.35">
      <c r="A1988">
        <v>188841</v>
      </c>
      <c r="B1988" t="s">
        <v>54</v>
      </c>
      <c r="C1988" t="s">
        <v>17</v>
      </c>
      <c r="D1988">
        <v>848</v>
      </c>
      <c r="E1988">
        <v>219</v>
      </c>
      <c r="F1988">
        <v>390</v>
      </c>
      <c r="G1988">
        <v>1</v>
      </c>
      <c r="H1988">
        <v>14894</v>
      </c>
      <c r="I1988">
        <v>6</v>
      </c>
      <c r="J1988">
        <v>30</v>
      </c>
      <c r="K1988">
        <v>288</v>
      </c>
      <c r="L1988">
        <v>299</v>
      </c>
      <c r="M1988">
        <v>16</v>
      </c>
      <c r="N1988">
        <f>IFERROR(VLOOKUP(A1988,vlookup_table!$A:$G,2,FALSE),"")</f>
        <v>28</v>
      </c>
      <c r="O1988">
        <f>IFERROR(VLOOKUP(A1988,vlookup_table!$A:$G,4,FALSE),"")</f>
        <v>0</v>
      </c>
      <c r="P1988" t="str">
        <f>IFERROR(VLOOKUP(A1988,vlookup_table!$A:$G,5,FALSE),"")</f>
        <v>C1</v>
      </c>
      <c r="Q1988">
        <f>IFERROR(VLOOKUP(A1988,vlookup_table!$A:$G,7,FALSE),"")</f>
        <v>10</v>
      </c>
      <c r="R1988">
        <f t="shared" si="124"/>
        <v>97</v>
      </c>
      <c r="S1988" t="str" cm="1">
        <f t="array" ref="S1988">IF(P1988="","",_xlfn.SWITCH(LEFT(P1988,1),"C","Ciudad","T","Pueblo","R","Rural","S","Suburbano","U","Urbano",""))</f>
        <v>Ciudad</v>
      </c>
      <c r="T1988" t="str">
        <f t="shared" si="125"/>
        <v>F</v>
      </c>
      <c r="U1988" t="str">
        <f t="shared" si="126"/>
        <v>NM</v>
      </c>
      <c r="V1988" t="str">
        <f t="shared" si="127"/>
        <v>14894</v>
      </c>
    </row>
    <row r="1989" spans="1:22" x14ac:dyDescent="0.35">
      <c r="A1989">
        <v>15046</v>
      </c>
      <c r="B1989" t="s">
        <v>18</v>
      </c>
      <c r="C1989" t="s">
        <v>20</v>
      </c>
      <c r="D1989">
        <v>595</v>
      </c>
      <c r="E1989">
        <v>289</v>
      </c>
      <c r="F1989">
        <v>381</v>
      </c>
      <c r="G1989">
        <v>0</v>
      </c>
      <c r="H1989">
        <v>13060</v>
      </c>
      <c r="I1989">
        <v>0</v>
      </c>
      <c r="J1989">
        <v>85</v>
      </c>
      <c r="K1989">
        <v>346</v>
      </c>
      <c r="L1989">
        <v>330</v>
      </c>
      <c r="M1989">
        <v>2.636363636</v>
      </c>
      <c r="N1989">
        <f>IFERROR(VLOOKUP(A1989,vlookup_table!$A:$G,2,FALSE),"")</f>
        <v>0</v>
      </c>
      <c r="O1989">
        <f>IFERROR(VLOOKUP(A1989,vlookup_table!$A:$G,4,FALSE),"")</f>
        <v>3801</v>
      </c>
      <c r="P1989" t="str">
        <f>IFERROR(VLOOKUP(A1989,vlookup_table!$A:$G,5,FALSE),"")</f>
        <v>R2</v>
      </c>
      <c r="Q1989">
        <f>IFERROR(VLOOKUP(A1989,vlookup_table!$A:$G,7,FALSE),"")</f>
        <v>10</v>
      </c>
      <c r="R1989">
        <f t="shared" si="124"/>
        <v>59</v>
      </c>
      <c r="S1989" t="str" cm="1">
        <f t="array" ref="S1989">IF(P1989="","",_xlfn.SWITCH(LEFT(P1989,1),"C","Ciudad","T","Pueblo","R","Rural","S","Suburbano","U","Urbano",""))</f>
        <v>Rural</v>
      </c>
      <c r="T1989" t="str">
        <f t="shared" si="125"/>
        <v>F</v>
      </c>
      <c r="U1989" t="str">
        <f t="shared" si="126"/>
        <v>NC</v>
      </c>
      <c r="V1989" t="str">
        <f t="shared" si="127"/>
        <v>13060</v>
      </c>
    </row>
    <row r="1990" spans="1:22" x14ac:dyDescent="0.35">
      <c r="A1990">
        <v>43781</v>
      </c>
      <c r="B1990" t="s">
        <v>13</v>
      </c>
      <c r="C1990" t="s">
        <v>14</v>
      </c>
      <c r="D1990">
        <v>1069</v>
      </c>
      <c r="E1990">
        <v>198</v>
      </c>
      <c r="F1990">
        <v>367</v>
      </c>
      <c r="G1990">
        <v>7</v>
      </c>
      <c r="H1990">
        <v>16759</v>
      </c>
      <c r="I1990">
        <v>5</v>
      </c>
      <c r="J1990">
        <v>15</v>
      </c>
      <c r="K1990">
        <v>257</v>
      </c>
      <c r="L1990">
        <v>308</v>
      </c>
      <c r="M1990">
        <v>6.125</v>
      </c>
      <c r="N1990">
        <f>IFERROR(VLOOKUP(A1990,vlookup_table!$A:$G,2,FALSE),"")</f>
        <v>1</v>
      </c>
      <c r="O1990">
        <f>IFERROR(VLOOKUP(A1990,vlookup_table!$A:$G,4,FALSE),"")</f>
        <v>3001</v>
      </c>
      <c r="P1990" t="str">
        <f>IFERROR(VLOOKUP(A1990,vlookup_table!$A:$G,5,FALSE),"")</f>
        <v>C2</v>
      </c>
      <c r="Q1990">
        <f>IFERROR(VLOOKUP(A1990,vlookup_table!$A:$G,7,FALSE),"")</f>
        <v>10</v>
      </c>
      <c r="R1990">
        <f t="shared" si="124"/>
        <v>67</v>
      </c>
      <c r="S1990" t="str" cm="1">
        <f t="array" ref="S1990">IF(P1990="","",_xlfn.SWITCH(LEFT(P1990,1),"C","Ciudad","T","Pueblo","R","Rural","S","Suburbano","U","Urbano",""))</f>
        <v>Ciudad</v>
      </c>
      <c r="T1990" t="str">
        <f t="shared" si="125"/>
        <v>M</v>
      </c>
      <c r="U1990" t="str">
        <f t="shared" si="126"/>
        <v>FL</v>
      </c>
      <c r="V1990" t="str">
        <f t="shared" si="127"/>
        <v>16759</v>
      </c>
    </row>
    <row r="1991" spans="1:22" x14ac:dyDescent="0.35">
      <c r="A1991">
        <v>182319</v>
      </c>
      <c r="B1991" t="s">
        <v>40</v>
      </c>
      <c r="C1991" t="s">
        <v>51</v>
      </c>
      <c r="D1991">
        <v>874</v>
      </c>
      <c r="E1991">
        <v>355</v>
      </c>
      <c r="F1991">
        <v>418</v>
      </c>
      <c r="G1991">
        <v>2</v>
      </c>
      <c r="H1991">
        <v>13393</v>
      </c>
      <c r="I1991">
        <v>1</v>
      </c>
      <c r="J1991">
        <v>58</v>
      </c>
      <c r="K1991">
        <v>370</v>
      </c>
      <c r="L1991">
        <v>389</v>
      </c>
      <c r="M1991">
        <v>4.04</v>
      </c>
      <c r="N1991">
        <f>IFERROR(VLOOKUP(A1991,vlookup_table!$A:$G,2,FALSE),"")</f>
        <v>2</v>
      </c>
      <c r="O1991">
        <f>IFERROR(VLOOKUP(A1991,vlookup_table!$A:$G,4,FALSE),"")</f>
        <v>1406</v>
      </c>
      <c r="P1991" t="str">
        <f>IFERROR(VLOOKUP(A1991,vlookup_table!$A:$G,5,FALSE),"")</f>
        <v>C2</v>
      </c>
      <c r="Q1991">
        <f>IFERROR(VLOOKUP(A1991,vlookup_table!$A:$G,7,FALSE),"")</f>
        <v>10</v>
      </c>
      <c r="R1991">
        <f t="shared" si="124"/>
        <v>83</v>
      </c>
      <c r="S1991" t="str" cm="1">
        <f t="array" ref="S1991">IF(P1991="","",_xlfn.SWITCH(LEFT(P1991,1),"C","Ciudad","T","Pueblo","R","Rural","S","Suburbano","U","Urbano",""))</f>
        <v>Ciudad</v>
      </c>
      <c r="T1991" t="str">
        <f t="shared" si="125"/>
        <v>M</v>
      </c>
      <c r="U1991" t="str">
        <f t="shared" si="126"/>
        <v>WA</v>
      </c>
      <c r="V1991" t="str">
        <f t="shared" si="127"/>
        <v>13393</v>
      </c>
    </row>
    <row r="1992" spans="1:22" x14ac:dyDescent="0.35">
      <c r="A1992">
        <v>130369</v>
      </c>
      <c r="B1992" t="s">
        <v>48</v>
      </c>
      <c r="C1992" t="s">
        <v>17</v>
      </c>
      <c r="D1992">
        <v>1017</v>
      </c>
      <c r="E1992">
        <v>496</v>
      </c>
      <c r="F1992">
        <v>554</v>
      </c>
      <c r="G1992">
        <v>0</v>
      </c>
      <c r="H1992">
        <v>21385</v>
      </c>
      <c r="I1992">
        <v>1</v>
      </c>
      <c r="J1992">
        <v>47</v>
      </c>
      <c r="K1992">
        <v>510</v>
      </c>
      <c r="L1992">
        <v>537</v>
      </c>
      <c r="M1992">
        <v>18.176470590000001</v>
      </c>
      <c r="N1992">
        <f>IFERROR(VLOOKUP(A1992,vlookup_table!$A:$G,2,FALSE),"")</f>
        <v>28</v>
      </c>
      <c r="O1992">
        <f>IFERROR(VLOOKUP(A1992,vlookup_table!$A:$G,4,FALSE),"")</f>
        <v>4106</v>
      </c>
      <c r="P1992" t="str">
        <f>IFERROR(VLOOKUP(A1992,vlookup_table!$A:$G,5,FALSE),"")</f>
        <v>S1</v>
      </c>
      <c r="Q1992">
        <f>IFERROR(VLOOKUP(A1992,vlookup_table!$A:$G,7,FALSE),"")</f>
        <v>50</v>
      </c>
      <c r="R1992">
        <f t="shared" si="124"/>
        <v>56</v>
      </c>
      <c r="S1992" t="str" cm="1">
        <f t="array" ref="S1992">IF(P1992="","",_xlfn.SWITCH(LEFT(P1992,1),"C","Ciudad","T","Pueblo","R","Rural","S","Suburbano","U","Urbano",""))</f>
        <v>Suburbano</v>
      </c>
      <c r="T1992" t="str">
        <f t="shared" si="125"/>
        <v>F</v>
      </c>
      <c r="U1992" t="str">
        <f t="shared" si="126"/>
        <v>CO</v>
      </c>
      <c r="V1992" t="str">
        <f t="shared" si="127"/>
        <v>21385</v>
      </c>
    </row>
    <row r="1993" spans="1:22" x14ac:dyDescent="0.35">
      <c r="A1993">
        <v>147758</v>
      </c>
      <c r="B1993" t="s">
        <v>22</v>
      </c>
      <c r="C1993" t="s">
        <v>17</v>
      </c>
      <c r="D1993">
        <v>5643</v>
      </c>
      <c r="E1993">
        <v>772</v>
      </c>
      <c r="F1993">
        <v>971</v>
      </c>
      <c r="G1993">
        <v>98</v>
      </c>
      <c r="H1993">
        <v>55164</v>
      </c>
      <c r="I1993">
        <v>7</v>
      </c>
      <c r="J1993">
        <v>36</v>
      </c>
      <c r="K1993">
        <v>939</v>
      </c>
      <c r="L1993">
        <v>828</v>
      </c>
      <c r="M1993">
        <v>13.33333333</v>
      </c>
      <c r="N1993">
        <f>IFERROR(VLOOKUP(A1993,vlookup_table!$A:$G,2,FALSE),"")</f>
        <v>0</v>
      </c>
      <c r="O1993">
        <f>IFERROR(VLOOKUP(A1993,vlookup_table!$A:$G,4,FALSE),"")</f>
        <v>0</v>
      </c>
      <c r="P1993" t="str">
        <f>IFERROR(VLOOKUP(A1993,vlookup_table!$A:$G,5,FALSE),"")</f>
        <v>U1</v>
      </c>
      <c r="Q1993">
        <f>IFERROR(VLOOKUP(A1993,vlookup_table!$A:$G,7,FALSE),"")</f>
        <v>25</v>
      </c>
      <c r="R1993">
        <f t="shared" si="124"/>
        <v>97</v>
      </c>
      <c r="S1993" t="str" cm="1">
        <f t="array" ref="S1993">IF(P1993="","",_xlfn.SWITCH(LEFT(P1993,1),"C","Ciudad","T","Pueblo","R","Rural","S","Suburbano","U","Urbano",""))</f>
        <v>Urbano</v>
      </c>
      <c r="T1993" t="str">
        <f t="shared" si="125"/>
        <v>F</v>
      </c>
      <c r="U1993" t="str">
        <f t="shared" si="126"/>
        <v>CA</v>
      </c>
      <c r="V1993" t="str">
        <f t="shared" si="127"/>
        <v>55164</v>
      </c>
    </row>
    <row r="1994" spans="1:22" x14ac:dyDescent="0.35">
      <c r="A1994">
        <v>18761</v>
      </c>
      <c r="B1994" t="s">
        <v>18</v>
      </c>
      <c r="C1994" t="s">
        <v>20</v>
      </c>
      <c r="D1994">
        <v>714</v>
      </c>
      <c r="E1994">
        <v>425</v>
      </c>
      <c r="F1994">
        <v>432</v>
      </c>
      <c r="G1994">
        <v>0</v>
      </c>
      <c r="H1994">
        <v>13695</v>
      </c>
      <c r="I1994">
        <v>4</v>
      </c>
      <c r="J1994">
        <v>60</v>
      </c>
      <c r="K1994">
        <v>434</v>
      </c>
      <c r="L1994">
        <v>419</v>
      </c>
      <c r="M1994">
        <v>9.0833333330000006</v>
      </c>
      <c r="N1994">
        <f>IFERROR(VLOOKUP(A1994,vlookup_table!$A:$G,2,FALSE),"")</f>
        <v>0</v>
      </c>
      <c r="O1994">
        <f>IFERROR(VLOOKUP(A1994,vlookup_table!$A:$G,4,FALSE),"")</f>
        <v>4801</v>
      </c>
      <c r="P1994" t="str">
        <f>IFERROR(VLOOKUP(A1994,vlookup_table!$A:$G,5,FALSE),"")</f>
        <v>T2</v>
      </c>
      <c r="Q1994">
        <f>IFERROR(VLOOKUP(A1994,vlookup_table!$A:$G,7,FALSE),"")</f>
        <v>15</v>
      </c>
      <c r="R1994">
        <f t="shared" si="124"/>
        <v>49</v>
      </c>
      <c r="S1994" t="str" cm="1">
        <f t="array" ref="S1994">IF(P1994="","",_xlfn.SWITCH(LEFT(P1994,1),"C","Ciudad","T","Pueblo","R","Rural","S","Suburbano","U","Urbano",""))</f>
        <v>Pueblo</v>
      </c>
      <c r="T1994" t="str">
        <f t="shared" si="125"/>
        <v>F</v>
      </c>
      <c r="U1994" t="str">
        <f t="shared" si="126"/>
        <v>NC</v>
      </c>
      <c r="V1994" t="str">
        <f t="shared" si="127"/>
        <v>13695</v>
      </c>
    </row>
    <row r="1995" spans="1:22" x14ac:dyDescent="0.35">
      <c r="A1995">
        <v>104234</v>
      </c>
      <c r="B1995" t="s">
        <v>36</v>
      </c>
      <c r="C1995" t="s">
        <v>14</v>
      </c>
      <c r="D1995">
        <v>915</v>
      </c>
      <c r="E1995">
        <v>506</v>
      </c>
      <c r="F1995">
        <v>561</v>
      </c>
      <c r="G1995">
        <v>1</v>
      </c>
      <c r="H1995">
        <v>18191</v>
      </c>
      <c r="I1995">
        <v>0</v>
      </c>
      <c r="J1995">
        <v>60</v>
      </c>
      <c r="K1995">
        <v>513</v>
      </c>
      <c r="L1995">
        <v>559</v>
      </c>
      <c r="M1995">
        <v>9.1428571430000005</v>
      </c>
      <c r="N1995">
        <f>IFERROR(VLOOKUP(A1995,vlookup_table!$A:$G,2,FALSE),"")</f>
        <v>0</v>
      </c>
      <c r="O1995">
        <f>IFERROR(VLOOKUP(A1995,vlookup_table!$A:$G,4,FALSE),"")</f>
        <v>5507</v>
      </c>
      <c r="P1995" t="str">
        <f>IFERROR(VLOOKUP(A1995,vlookup_table!$A:$G,5,FALSE),"")</f>
        <v>S1</v>
      </c>
      <c r="Q1995">
        <f>IFERROR(VLOOKUP(A1995,vlookup_table!$A:$G,7,FALSE),"")</f>
        <v>18</v>
      </c>
      <c r="R1995">
        <f t="shared" si="124"/>
        <v>42</v>
      </c>
      <c r="S1995" t="str" cm="1">
        <f t="array" ref="S1995">IF(P1995="","",_xlfn.SWITCH(LEFT(P1995,1),"C","Ciudad","T","Pueblo","R","Rural","S","Suburbano","U","Urbano",""))</f>
        <v>Suburbano</v>
      </c>
      <c r="T1995" t="str">
        <f t="shared" si="125"/>
        <v>M</v>
      </c>
      <c r="U1995" t="str">
        <f t="shared" si="126"/>
        <v>MO</v>
      </c>
      <c r="V1995" t="str">
        <f t="shared" si="127"/>
        <v>18191</v>
      </c>
    </row>
    <row r="1996" spans="1:22" x14ac:dyDescent="0.35">
      <c r="A1996">
        <v>30185</v>
      </c>
      <c r="B1996" t="s">
        <v>39</v>
      </c>
      <c r="C1996" t="s">
        <v>17</v>
      </c>
      <c r="D1996">
        <v>748</v>
      </c>
      <c r="E1996">
        <v>352</v>
      </c>
      <c r="F1996">
        <v>423</v>
      </c>
      <c r="G1996">
        <v>1</v>
      </c>
      <c r="H1996">
        <v>13998</v>
      </c>
      <c r="I1996">
        <v>1</v>
      </c>
      <c r="J1996">
        <v>62</v>
      </c>
      <c r="K1996">
        <v>372</v>
      </c>
      <c r="L1996">
        <v>369</v>
      </c>
      <c r="M1996">
        <v>10</v>
      </c>
      <c r="N1996">
        <f>IFERROR(VLOOKUP(A1996,vlookup_table!$A:$G,2,FALSE),"")</f>
        <v>0</v>
      </c>
      <c r="O1996">
        <f>IFERROR(VLOOKUP(A1996,vlookup_table!$A:$G,4,FALSE),"")</f>
        <v>6401</v>
      </c>
      <c r="P1996" t="str">
        <f>IFERROR(VLOOKUP(A1996,vlookup_table!$A:$G,5,FALSE),"")</f>
        <v>T2</v>
      </c>
      <c r="Q1996">
        <f>IFERROR(VLOOKUP(A1996,vlookup_table!$A:$G,7,FALSE),"")</f>
        <v>30</v>
      </c>
      <c r="R1996">
        <f t="shared" si="124"/>
        <v>33</v>
      </c>
      <c r="S1996" t="str" cm="1">
        <f t="array" ref="S1996">IF(P1996="","",_xlfn.SWITCH(LEFT(P1996,1),"C","Ciudad","T","Pueblo","R","Rural","S","Suburbano","U","Urbano",""))</f>
        <v>Pueblo</v>
      </c>
      <c r="T1996" t="str">
        <f t="shared" si="125"/>
        <v>F</v>
      </c>
      <c r="U1996" t="str">
        <f t="shared" si="126"/>
        <v>GA</v>
      </c>
      <c r="V1996" t="str">
        <f t="shared" si="127"/>
        <v>13998</v>
      </c>
    </row>
    <row r="1997" spans="1:22" x14ac:dyDescent="0.35">
      <c r="A1997">
        <v>30907</v>
      </c>
      <c r="B1997" t="s">
        <v>39</v>
      </c>
      <c r="C1997" t="s">
        <v>14</v>
      </c>
      <c r="D1997">
        <v>803</v>
      </c>
      <c r="E1997">
        <v>450</v>
      </c>
      <c r="F1997">
        <v>597</v>
      </c>
      <c r="G1997">
        <v>2</v>
      </c>
      <c r="H1997">
        <v>21132</v>
      </c>
      <c r="I1997">
        <v>8</v>
      </c>
      <c r="J1997">
        <v>41</v>
      </c>
      <c r="K1997">
        <v>495</v>
      </c>
      <c r="L1997">
        <v>547</v>
      </c>
      <c r="M1997">
        <v>15</v>
      </c>
      <c r="N1997">
        <f>IFERROR(VLOOKUP(A1997,vlookup_table!$A:$G,2,FALSE),"")</f>
        <v>1</v>
      </c>
      <c r="O1997">
        <f>IFERROR(VLOOKUP(A1997,vlookup_table!$A:$G,4,FALSE),"")</f>
        <v>0</v>
      </c>
      <c r="P1997" t="str">
        <f>IFERROR(VLOOKUP(A1997,vlookup_table!$A:$G,5,FALSE),"")</f>
        <v>T2</v>
      </c>
      <c r="Q1997">
        <f>IFERROR(VLOOKUP(A1997,vlookup_table!$A:$G,7,FALSE),"")</f>
        <v>15</v>
      </c>
      <c r="R1997">
        <f t="shared" si="124"/>
        <v>97</v>
      </c>
      <c r="S1997" t="str" cm="1">
        <f t="array" ref="S1997">IF(P1997="","",_xlfn.SWITCH(LEFT(P1997,1),"C","Ciudad","T","Pueblo","R","Rural","S","Suburbano","U","Urbano",""))</f>
        <v>Pueblo</v>
      </c>
      <c r="T1997" t="str">
        <f t="shared" si="125"/>
        <v>M</v>
      </c>
      <c r="U1997" t="str">
        <f t="shared" si="126"/>
        <v>GA</v>
      </c>
      <c r="V1997" t="str">
        <f t="shared" si="127"/>
        <v>21132</v>
      </c>
    </row>
    <row r="1998" spans="1:22" x14ac:dyDescent="0.35">
      <c r="A1998">
        <v>105371</v>
      </c>
      <c r="B1998" t="s">
        <v>28</v>
      </c>
      <c r="D1998">
        <v>208</v>
      </c>
      <c r="E1998">
        <v>201</v>
      </c>
      <c r="F1998">
        <v>296</v>
      </c>
      <c r="G1998">
        <v>0</v>
      </c>
      <c r="H1998">
        <v>11136</v>
      </c>
      <c r="I1998">
        <v>0</v>
      </c>
      <c r="J1998">
        <v>79</v>
      </c>
      <c r="K1998">
        <v>242</v>
      </c>
      <c r="L1998">
        <v>255</v>
      </c>
      <c r="M1998">
        <v>17.176470590000001</v>
      </c>
      <c r="N1998">
        <f>IFERROR(VLOOKUP(A1998,vlookup_table!$A:$G,2,FALSE),"")</f>
        <v>0</v>
      </c>
      <c r="O1998">
        <f>IFERROR(VLOOKUP(A1998,vlookup_table!$A:$G,4,FALSE),"")</f>
        <v>3204</v>
      </c>
      <c r="P1998" t="str">
        <f>IFERROR(VLOOKUP(A1998,vlookup_table!$A:$G,5,FALSE),"")</f>
        <v>R3</v>
      </c>
      <c r="Q1998">
        <f>IFERROR(VLOOKUP(A1998,vlookup_table!$A:$G,7,FALSE),"")</f>
        <v>20</v>
      </c>
      <c r="R1998">
        <f t="shared" si="124"/>
        <v>65</v>
      </c>
      <c r="S1998" t="str" cm="1">
        <f t="array" ref="S1998">IF(P1998="","",_xlfn.SWITCH(LEFT(P1998,1),"C","Ciudad","T","Pueblo","R","Rural","S","Suburbano","U","Urbano",""))</f>
        <v>Rural</v>
      </c>
      <c r="T1998" t="str">
        <f t="shared" si="125"/>
        <v/>
      </c>
      <c r="U1998" t="str">
        <f t="shared" si="126"/>
        <v>KS</v>
      </c>
      <c r="V1998" t="str">
        <f t="shared" si="127"/>
        <v>11136</v>
      </c>
    </row>
    <row r="1999" spans="1:22" x14ac:dyDescent="0.35">
      <c r="A1999">
        <v>57058</v>
      </c>
      <c r="B1999" t="s">
        <v>57</v>
      </c>
      <c r="C1999" t="s">
        <v>14</v>
      </c>
      <c r="D1999">
        <v>432</v>
      </c>
      <c r="E1999">
        <v>174</v>
      </c>
      <c r="F1999">
        <v>279</v>
      </c>
      <c r="G1999">
        <v>1</v>
      </c>
      <c r="H1999">
        <v>8763</v>
      </c>
      <c r="I1999">
        <v>0</v>
      </c>
      <c r="J1999">
        <v>73</v>
      </c>
      <c r="K1999">
        <v>230</v>
      </c>
      <c r="L1999">
        <v>223</v>
      </c>
      <c r="M1999">
        <v>11.1</v>
      </c>
      <c r="N1999">
        <f>IFERROR(VLOOKUP(A1999,vlookup_table!$A:$G,2,FALSE),"")</f>
        <v>0</v>
      </c>
      <c r="O1999">
        <f>IFERROR(VLOOKUP(A1999,vlookup_table!$A:$G,4,FALSE),"")</f>
        <v>2001</v>
      </c>
      <c r="P1999" t="str">
        <f>IFERROR(VLOOKUP(A1999,vlookup_table!$A:$G,5,FALSE),"")</f>
        <v>R2</v>
      </c>
      <c r="Q1999">
        <f>IFERROR(VLOOKUP(A1999,vlookup_table!$A:$G,7,FALSE),"")</f>
        <v>25</v>
      </c>
      <c r="R1999">
        <f t="shared" si="124"/>
        <v>77</v>
      </c>
      <c r="S1999" t="str" cm="1">
        <f t="array" ref="S1999">IF(P1999="","",_xlfn.SWITCH(LEFT(P1999,1),"C","Ciudad","T","Pueblo","R","Rural","S","Suburbano","U","Urbano",""))</f>
        <v>Rural</v>
      </c>
      <c r="T1999" t="str">
        <f t="shared" si="125"/>
        <v>M</v>
      </c>
      <c r="U1999" t="str">
        <f t="shared" si="126"/>
        <v>KY</v>
      </c>
      <c r="V1999" t="str">
        <f t="shared" si="127"/>
        <v>8763</v>
      </c>
    </row>
    <row r="2000" spans="1:22" x14ac:dyDescent="0.35">
      <c r="A2000">
        <v>160851</v>
      </c>
      <c r="B2000" t="s">
        <v>22</v>
      </c>
      <c r="C2000" t="s">
        <v>14</v>
      </c>
      <c r="D2000">
        <v>1485</v>
      </c>
      <c r="E2000">
        <v>399</v>
      </c>
      <c r="F2000">
        <v>469</v>
      </c>
      <c r="G2000">
        <v>4</v>
      </c>
      <c r="H2000">
        <v>15254</v>
      </c>
      <c r="I2000">
        <v>9</v>
      </c>
      <c r="J2000">
        <v>60</v>
      </c>
      <c r="K2000">
        <v>478</v>
      </c>
      <c r="L2000">
        <v>432</v>
      </c>
      <c r="M2000">
        <v>12.875</v>
      </c>
      <c r="N2000">
        <f>IFERROR(VLOOKUP(A2000,vlookup_table!$A:$G,2,FALSE),"")</f>
        <v>0</v>
      </c>
      <c r="O2000">
        <f>IFERROR(VLOOKUP(A2000,vlookup_table!$A:$G,4,FALSE),"")</f>
        <v>4004</v>
      </c>
      <c r="P2000" t="str">
        <f>IFERROR(VLOOKUP(A2000,vlookup_table!$A:$G,5,FALSE),"")</f>
        <v>C2</v>
      </c>
      <c r="Q2000">
        <f>IFERROR(VLOOKUP(A2000,vlookup_table!$A:$G,7,FALSE),"")</f>
        <v>16</v>
      </c>
      <c r="R2000">
        <f t="shared" si="124"/>
        <v>57</v>
      </c>
      <c r="S2000" t="str" cm="1">
        <f t="array" ref="S2000">IF(P2000="","",_xlfn.SWITCH(LEFT(P2000,1),"C","Ciudad","T","Pueblo","R","Rural","S","Suburbano","U","Urbano",""))</f>
        <v>Ciudad</v>
      </c>
      <c r="T2000" t="str">
        <f t="shared" si="125"/>
        <v>M</v>
      </c>
      <c r="U2000" t="str">
        <f t="shared" si="126"/>
        <v>CA</v>
      </c>
      <c r="V2000" t="str">
        <f t="shared" si="127"/>
        <v>15254</v>
      </c>
    </row>
    <row r="2001" spans="1:22" x14ac:dyDescent="0.35">
      <c r="A2001">
        <v>163546</v>
      </c>
      <c r="B2001" t="s">
        <v>22</v>
      </c>
      <c r="C2001" t="s">
        <v>14</v>
      </c>
      <c r="D2001">
        <v>4169</v>
      </c>
      <c r="E2001">
        <v>540</v>
      </c>
      <c r="F2001">
        <v>667</v>
      </c>
      <c r="G2001">
        <v>95</v>
      </c>
      <c r="H2001">
        <v>24535</v>
      </c>
      <c r="I2001">
        <v>29</v>
      </c>
      <c r="J2001">
        <v>41</v>
      </c>
      <c r="K2001">
        <v>670</v>
      </c>
      <c r="L2001">
        <v>570</v>
      </c>
      <c r="M2001">
        <v>11.85714286</v>
      </c>
      <c r="N2001">
        <f>IFERROR(VLOOKUP(A2001,vlookup_table!$A:$G,2,FALSE),"")</f>
        <v>1</v>
      </c>
      <c r="O2001">
        <f>IFERROR(VLOOKUP(A2001,vlookup_table!$A:$G,4,FALSE),"")</f>
        <v>4301</v>
      </c>
      <c r="P2001" t="str">
        <f>IFERROR(VLOOKUP(A2001,vlookup_table!$A:$G,5,FALSE),"")</f>
        <v>U1</v>
      </c>
      <c r="Q2001">
        <f>IFERROR(VLOOKUP(A2001,vlookup_table!$A:$G,7,FALSE),"")</f>
        <v>15</v>
      </c>
      <c r="R2001">
        <f t="shared" si="124"/>
        <v>54</v>
      </c>
      <c r="S2001" t="str" cm="1">
        <f t="array" ref="S2001">IF(P2001="","",_xlfn.SWITCH(LEFT(P2001,1),"C","Ciudad","T","Pueblo","R","Rural","S","Suburbano","U","Urbano",""))</f>
        <v>Urbano</v>
      </c>
      <c r="T2001" t="str">
        <f t="shared" si="125"/>
        <v>M</v>
      </c>
      <c r="U2001" t="str">
        <f t="shared" si="126"/>
        <v>CA</v>
      </c>
      <c r="V2001" t="str">
        <f t="shared" si="127"/>
        <v>24535</v>
      </c>
    </row>
    <row r="2002" spans="1:22" x14ac:dyDescent="0.35">
      <c r="A2002">
        <v>176053</v>
      </c>
      <c r="B2002" t="s">
        <v>50</v>
      </c>
      <c r="C2002" t="s">
        <v>14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9</v>
      </c>
      <c r="N2002">
        <f>IFERROR(VLOOKUP(A2002,vlookup_table!$A:$G,2,FALSE),"")</f>
        <v>1</v>
      </c>
      <c r="O2002">
        <f>IFERROR(VLOOKUP(A2002,vlookup_table!$A:$G,4,FALSE),"")</f>
        <v>4210</v>
      </c>
      <c r="P2002" t="str">
        <f>IFERROR(VLOOKUP(A2002,vlookup_table!$A:$G,5,FALSE),"")</f>
        <v>U3</v>
      </c>
      <c r="Q2002">
        <f>IFERROR(VLOOKUP(A2002,vlookup_table!$A:$G,7,FALSE),"")</f>
        <v>12</v>
      </c>
      <c r="R2002">
        <f t="shared" si="124"/>
        <v>55</v>
      </c>
      <c r="S2002" t="str" cm="1">
        <f t="array" ref="S2002">IF(P2002="","",_xlfn.SWITCH(LEFT(P2002,1),"C","Ciudad","T","Pueblo","R","Rural","S","Suburbano","U","Urbano",""))</f>
        <v>Urbano</v>
      </c>
      <c r="T2002" t="str">
        <f t="shared" si="125"/>
        <v>M</v>
      </c>
      <c r="U2002" t="str">
        <f t="shared" si="126"/>
        <v>OR</v>
      </c>
      <c r="V2002" t="str">
        <f t="shared" si="127"/>
        <v>0</v>
      </c>
    </row>
    <row r="2003" spans="1:22" x14ac:dyDescent="0.35">
      <c r="A2003">
        <v>149534</v>
      </c>
      <c r="B2003" t="s">
        <v>22</v>
      </c>
      <c r="C2003" t="s">
        <v>17</v>
      </c>
      <c r="D2003">
        <v>5000</v>
      </c>
      <c r="E2003">
        <v>850</v>
      </c>
      <c r="F2003">
        <v>931</v>
      </c>
      <c r="G2003">
        <v>98</v>
      </c>
      <c r="H2003">
        <v>39028</v>
      </c>
      <c r="I2003">
        <v>16</v>
      </c>
      <c r="J2003">
        <v>42</v>
      </c>
      <c r="K2003">
        <v>931</v>
      </c>
      <c r="L2003">
        <v>862</v>
      </c>
      <c r="M2003">
        <v>25</v>
      </c>
      <c r="N2003">
        <f>IFERROR(VLOOKUP(A2003,vlookup_table!$A:$G,2,FALSE),"")</f>
        <v>28</v>
      </c>
      <c r="O2003">
        <f>IFERROR(VLOOKUP(A2003,vlookup_table!$A:$G,4,FALSE),"")</f>
        <v>0</v>
      </c>
      <c r="P2003" t="str">
        <f>IFERROR(VLOOKUP(A2003,vlookup_table!$A:$G,5,FALSE),"")</f>
        <v>S1</v>
      </c>
      <c r="Q2003">
        <f>IFERROR(VLOOKUP(A2003,vlookup_table!$A:$G,7,FALSE),"")</f>
        <v>30</v>
      </c>
      <c r="R2003">
        <f t="shared" si="124"/>
        <v>97</v>
      </c>
      <c r="S2003" t="str" cm="1">
        <f t="array" ref="S2003">IF(P2003="","",_xlfn.SWITCH(LEFT(P2003,1),"C","Ciudad","T","Pueblo","R","Rural","S","Suburbano","U","Urbano",""))</f>
        <v>Suburbano</v>
      </c>
      <c r="T2003" t="str">
        <f t="shared" si="125"/>
        <v>F</v>
      </c>
      <c r="U2003" t="str">
        <f t="shared" si="126"/>
        <v>CA</v>
      </c>
      <c r="V2003" t="str">
        <f t="shared" si="127"/>
        <v>39028</v>
      </c>
    </row>
    <row r="2004" spans="1:22" x14ac:dyDescent="0.35">
      <c r="A2004">
        <v>156152</v>
      </c>
      <c r="B2004" t="s">
        <v>22</v>
      </c>
      <c r="C2004" t="s">
        <v>17</v>
      </c>
      <c r="D2004">
        <v>1115</v>
      </c>
      <c r="E2004">
        <v>313</v>
      </c>
      <c r="F2004">
        <v>391</v>
      </c>
      <c r="G2004">
        <v>4</v>
      </c>
      <c r="H2004">
        <v>16625</v>
      </c>
      <c r="I2004">
        <v>9</v>
      </c>
      <c r="J2004">
        <v>37</v>
      </c>
      <c r="K2004">
        <v>340</v>
      </c>
      <c r="L2004">
        <v>354</v>
      </c>
      <c r="M2004">
        <v>11.4375</v>
      </c>
      <c r="N2004">
        <f>IFERROR(VLOOKUP(A2004,vlookup_table!$A:$G,2,FALSE),"")</f>
        <v>2</v>
      </c>
      <c r="O2004">
        <f>IFERROR(VLOOKUP(A2004,vlookup_table!$A:$G,4,FALSE),"")</f>
        <v>2501</v>
      </c>
      <c r="P2004" t="str">
        <f>IFERROR(VLOOKUP(A2004,vlookup_table!$A:$G,5,FALSE),"")</f>
        <v>T2</v>
      </c>
      <c r="Q2004">
        <f>IFERROR(VLOOKUP(A2004,vlookup_table!$A:$G,7,FALSE),"")</f>
        <v>16</v>
      </c>
      <c r="R2004">
        <f t="shared" si="124"/>
        <v>72</v>
      </c>
      <c r="S2004" t="str" cm="1">
        <f t="array" ref="S2004">IF(P2004="","",_xlfn.SWITCH(LEFT(P2004,1),"C","Ciudad","T","Pueblo","R","Rural","S","Suburbano","U","Urbano",""))</f>
        <v>Pueblo</v>
      </c>
      <c r="T2004" t="str">
        <f t="shared" si="125"/>
        <v>F</v>
      </c>
      <c r="U2004" t="str">
        <f t="shared" si="126"/>
        <v>CA</v>
      </c>
      <c r="V2004" t="str">
        <f t="shared" si="127"/>
        <v>16625</v>
      </c>
    </row>
    <row r="2005" spans="1:22" x14ac:dyDescent="0.35">
      <c r="A2005">
        <v>67177</v>
      </c>
      <c r="B2005" t="s">
        <v>29</v>
      </c>
      <c r="C2005" t="s">
        <v>17</v>
      </c>
      <c r="D2005">
        <v>709</v>
      </c>
      <c r="E2005">
        <v>504</v>
      </c>
      <c r="F2005">
        <v>539</v>
      </c>
      <c r="G2005">
        <v>0</v>
      </c>
      <c r="H2005">
        <v>17801</v>
      </c>
      <c r="I2005">
        <v>2</v>
      </c>
      <c r="J2005">
        <v>79</v>
      </c>
      <c r="K2005">
        <v>515</v>
      </c>
      <c r="L2005">
        <v>522</v>
      </c>
      <c r="M2005">
        <v>9.9375</v>
      </c>
      <c r="N2005">
        <f>IFERROR(VLOOKUP(A2005,vlookup_table!$A:$G,2,FALSE),"")</f>
        <v>0</v>
      </c>
      <c r="O2005">
        <f>IFERROR(VLOOKUP(A2005,vlookup_table!$A:$G,4,FALSE),"")</f>
        <v>2609</v>
      </c>
      <c r="P2005" t="str">
        <f>IFERROR(VLOOKUP(A2005,vlookup_table!$A:$G,5,FALSE),"")</f>
        <v>S2</v>
      </c>
      <c r="Q2005">
        <f>IFERROR(VLOOKUP(A2005,vlookup_table!$A:$G,7,FALSE),"")</f>
        <v>12</v>
      </c>
      <c r="R2005">
        <f t="shared" si="124"/>
        <v>71</v>
      </c>
      <c r="S2005" t="str" cm="1">
        <f t="array" ref="S2005">IF(P2005="","",_xlfn.SWITCH(LEFT(P2005,1),"C","Ciudad","T","Pueblo","R","Rural","S","Suburbano","U","Urbano",""))</f>
        <v>Suburbano</v>
      </c>
      <c r="T2005" t="str">
        <f t="shared" si="125"/>
        <v>F</v>
      </c>
      <c r="U2005" t="str">
        <f t="shared" si="126"/>
        <v>MI</v>
      </c>
      <c r="V2005" t="str">
        <f t="shared" si="127"/>
        <v>17801</v>
      </c>
    </row>
    <row r="2006" spans="1:22" x14ac:dyDescent="0.35">
      <c r="A2006">
        <v>34475</v>
      </c>
      <c r="B2006" t="s">
        <v>13</v>
      </c>
      <c r="C2006" t="s">
        <v>14</v>
      </c>
      <c r="D2006">
        <v>696</v>
      </c>
      <c r="E2006">
        <v>277</v>
      </c>
      <c r="F2006">
        <v>355</v>
      </c>
      <c r="G2006">
        <v>2</v>
      </c>
      <c r="H2006">
        <v>12415</v>
      </c>
      <c r="I2006">
        <v>3</v>
      </c>
      <c r="J2006">
        <v>51</v>
      </c>
      <c r="K2006">
        <v>314</v>
      </c>
      <c r="L2006">
        <v>325</v>
      </c>
      <c r="M2006">
        <v>20.399999999999999</v>
      </c>
      <c r="N2006">
        <f>IFERROR(VLOOKUP(A2006,vlookup_table!$A:$G,2,FALSE),"")</f>
        <v>2</v>
      </c>
      <c r="O2006">
        <f>IFERROR(VLOOKUP(A2006,vlookup_table!$A:$G,4,FALSE),"")</f>
        <v>3009</v>
      </c>
      <c r="P2006" t="str">
        <f>IFERROR(VLOOKUP(A2006,vlookup_table!$A:$G,5,FALSE),"")</f>
        <v>R2</v>
      </c>
      <c r="Q2006">
        <f>IFERROR(VLOOKUP(A2006,vlookup_table!$A:$G,7,FALSE),"")</f>
        <v>20</v>
      </c>
      <c r="R2006">
        <f t="shared" si="124"/>
        <v>67</v>
      </c>
      <c r="S2006" t="str" cm="1">
        <f t="array" ref="S2006">IF(P2006="","",_xlfn.SWITCH(LEFT(P2006,1),"C","Ciudad","T","Pueblo","R","Rural","S","Suburbano","U","Urbano",""))</f>
        <v>Rural</v>
      </c>
      <c r="T2006" t="str">
        <f t="shared" si="125"/>
        <v>M</v>
      </c>
      <c r="U2006" t="str">
        <f t="shared" si="126"/>
        <v>FL</v>
      </c>
      <c r="V2006" t="str">
        <f t="shared" si="127"/>
        <v>12415</v>
      </c>
    </row>
    <row r="2007" spans="1:22" x14ac:dyDescent="0.35">
      <c r="A2007">
        <v>114803</v>
      </c>
      <c r="B2007" t="s">
        <v>31</v>
      </c>
      <c r="C2007" t="s">
        <v>17</v>
      </c>
      <c r="D2007">
        <v>911</v>
      </c>
      <c r="E2007">
        <v>384</v>
      </c>
      <c r="F2007">
        <v>613</v>
      </c>
      <c r="G2007">
        <v>16</v>
      </c>
      <c r="H2007">
        <v>31001</v>
      </c>
      <c r="I2007">
        <v>2</v>
      </c>
      <c r="J2007">
        <v>58</v>
      </c>
      <c r="K2007">
        <v>496</v>
      </c>
      <c r="L2007">
        <v>497</v>
      </c>
      <c r="M2007">
        <v>6.3333333329999997</v>
      </c>
      <c r="N2007">
        <f>IFERROR(VLOOKUP(A2007,vlookup_table!$A:$G,2,FALSE),"")</f>
        <v>28</v>
      </c>
      <c r="O2007">
        <f>IFERROR(VLOOKUP(A2007,vlookup_table!$A:$G,4,FALSE),"")</f>
        <v>0</v>
      </c>
      <c r="P2007" t="str">
        <f>IFERROR(VLOOKUP(A2007,vlookup_table!$A:$G,5,FALSE),"")</f>
        <v>C1</v>
      </c>
      <c r="Q2007">
        <f>IFERROR(VLOOKUP(A2007,vlookup_table!$A:$G,7,FALSE),"")</f>
        <v>20</v>
      </c>
      <c r="R2007">
        <f t="shared" si="124"/>
        <v>97</v>
      </c>
      <c r="S2007" t="str" cm="1">
        <f t="array" ref="S2007">IF(P2007="","",_xlfn.SWITCH(LEFT(P2007,1),"C","Ciudad","T","Pueblo","R","Rural","S","Suburbano","U","Urbano",""))</f>
        <v>Ciudad</v>
      </c>
      <c r="T2007" t="str">
        <f t="shared" si="125"/>
        <v>F</v>
      </c>
      <c r="U2007" t="str">
        <f t="shared" si="126"/>
        <v>OK</v>
      </c>
      <c r="V2007" t="str">
        <f t="shared" si="127"/>
        <v>31001</v>
      </c>
    </row>
    <row r="2008" spans="1:22" x14ac:dyDescent="0.35">
      <c r="A2008">
        <v>15332</v>
      </c>
      <c r="B2008" t="s">
        <v>18</v>
      </c>
      <c r="C2008" t="s">
        <v>14</v>
      </c>
      <c r="D2008">
        <v>723</v>
      </c>
      <c r="E2008">
        <v>371</v>
      </c>
      <c r="F2008">
        <v>456</v>
      </c>
      <c r="G2008">
        <v>0</v>
      </c>
      <c r="H2008">
        <v>18915</v>
      </c>
      <c r="I2008">
        <v>6</v>
      </c>
      <c r="J2008">
        <v>47</v>
      </c>
      <c r="K2008">
        <v>414</v>
      </c>
      <c r="L2008">
        <v>398</v>
      </c>
      <c r="M2008">
        <v>6.538461539</v>
      </c>
      <c r="N2008">
        <f>IFERROR(VLOOKUP(A2008,vlookup_table!$A:$G,2,FALSE),"")</f>
        <v>1</v>
      </c>
      <c r="O2008">
        <f>IFERROR(VLOOKUP(A2008,vlookup_table!$A:$G,4,FALSE),"")</f>
        <v>1701</v>
      </c>
      <c r="P2008" t="str">
        <f>IFERROR(VLOOKUP(A2008,vlookup_table!$A:$G,5,FALSE),"")</f>
        <v>C1</v>
      </c>
      <c r="Q2008">
        <f>IFERROR(VLOOKUP(A2008,vlookup_table!$A:$G,7,FALSE),"")</f>
        <v>10</v>
      </c>
      <c r="R2008">
        <f t="shared" si="124"/>
        <v>80</v>
      </c>
      <c r="S2008" t="str" cm="1">
        <f t="array" ref="S2008">IF(P2008="","",_xlfn.SWITCH(LEFT(P2008,1),"C","Ciudad","T","Pueblo","R","Rural","S","Suburbano","U","Urbano",""))</f>
        <v>Ciudad</v>
      </c>
      <c r="T2008" t="str">
        <f t="shared" si="125"/>
        <v>M</v>
      </c>
      <c r="U2008" t="str">
        <f t="shared" si="126"/>
        <v>NC</v>
      </c>
      <c r="V2008" t="str">
        <f t="shared" si="127"/>
        <v>18915</v>
      </c>
    </row>
    <row r="2009" spans="1:22" x14ac:dyDescent="0.35">
      <c r="A2009">
        <v>74235</v>
      </c>
      <c r="B2009" t="s">
        <v>29</v>
      </c>
      <c r="C2009" t="s">
        <v>14</v>
      </c>
      <c r="D2009">
        <v>473</v>
      </c>
      <c r="E2009">
        <v>327</v>
      </c>
      <c r="F2009">
        <v>363</v>
      </c>
      <c r="G2009">
        <v>1</v>
      </c>
      <c r="H2009">
        <v>12580</v>
      </c>
      <c r="I2009">
        <v>0</v>
      </c>
      <c r="J2009">
        <v>94</v>
      </c>
      <c r="K2009">
        <v>338</v>
      </c>
      <c r="L2009">
        <v>348</v>
      </c>
      <c r="M2009">
        <v>13.5</v>
      </c>
      <c r="N2009">
        <f>IFERROR(VLOOKUP(A2009,vlookup_table!$A:$G,2,FALSE),"")</f>
        <v>4</v>
      </c>
      <c r="O2009">
        <f>IFERROR(VLOOKUP(A2009,vlookup_table!$A:$G,4,FALSE),"")</f>
        <v>4912</v>
      </c>
      <c r="P2009" t="str">
        <f>IFERROR(VLOOKUP(A2009,vlookup_table!$A:$G,5,FALSE),"")</f>
        <v>T2</v>
      </c>
      <c r="Q2009">
        <f>IFERROR(VLOOKUP(A2009,vlookup_table!$A:$G,7,FALSE),"")</f>
        <v>26</v>
      </c>
      <c r="R2009">
        <f t="shared" si="124"/>
        <v>48</v>
      </c>
      <c r="S2009" t="str" cm="1">
        <f t="array" ref="S2009">IF(P2009="","",_xlfn.SWITCH(LEFT(P2009,1),"C","Ciudad","T","Pueblo","R","Rural","S","Suburbano","U","Urbano",""))</f>
        <v>Pueblo</v>
      </c>
      <c r="T2009" t="str">
        <f t="shared" si="125"/>
        <v>M</v>
      </c>
      <c r="U2009" t="str">
        <f t="shared" si="126"/>
        <v>MI</v>
      </c>
      <c r="V2009" t="str">
        <f t="shared" si="127"/>
        <v>12580</v>
      </c>
    </row>
    <row r="2010" spans="1:22" x14ac:dyDescent="0.35">
      <c r="A2010">
        <v>167039</v>
      </c>
      <c r="B2010" t="s">
        <v>22</v>
      </c>
      <c r="D2010">
        <v>3201</v>
      </c>
      <c r="E2010">
        <v>497</v>
      </c>
      <c r="F2010">
        <v>591</v>
      </c>
      <c r="G2010">
        <v>92</v>
      </c>
      <c r="H2010">
        <v>19656</v>
      </c>
      <c r="I2010">
        <v>9</v>
      </c>
      <c r="J2010">
        <v>72</v>
      </c>
      <c r="K2010">
        <v>552</v>
      </c>
      <c r="L2010">
        <v>539</v>
      </c>
      <c r="M2010">
        <v>5</v>
      </c>
      <c r="N2010">
        <f>IFERROR(VLOOKUP(A2010,vlookup_table!$A:$G,2,FALSE),"")</f>
        <v>0</v>
      </c>
      <c r="O2010">
        <f>IFERROR(VLOOKUP(A2010,vlookup_table!$A:$G,4,FALSE),"")</f>
        <v>0</v>
      </c>
      <c r="P2010" t="str">
        <f>IFERROR(VLOOKUP(A2010,vlookup_table!$A:$G,5,FALSE),"")</f>
        <v>S1</v>
      </c>
      <c r="Q2010">
        <f>IFERROR(VLOOKUP(A2010,vlookup_table!$A:$G,7,FALSE),"")</f>
        <v>5</v>
      </c>
      <c r="R2010">
        <f t="shared" si="124"/>
        <v>97</v>
      </c>
      <c r="S2010" t="str" cm="1">
        <f t="array" ref="S2010">IF(P2010="","",_xlfn.SWITCH(LEFT(P2010,1),"C","Ciudad","T","Pueblo","R","Rural","S","Suburbano","U","Urbano",""))</f>
        <v>Suburbano</v>
      </c>
      <c r="T2010" t="str">
        <f t="shared" si="125"/>
        <v/>
      </c>
      <c r="U2010" t="str">
        <f t="shared" si="126"/>
        <v>CA</v>
      </c>
      <c r="V2010" t="str">
        <f t="shared" si="127"/>
        <v>19656</v>
      </c>
    </row>
    <row r="2011" spans="1:22" x14ac:dyDescent="0.35">
      <c r="A2011">
        <v>165509</v>
      </c>
      <c r="B2011" t="s">
        <v>22</v>
      </c>
      <c r="C2011" t="s">
        <v>14</v>
      </c>
      <c r="D2011">
        <v>2213</v>
      </c>
      <c r="E2011">
        <v>447</v>
      </c>
      <c r="F2011">
        <v>491</v>
      </c>
      <c r="G2011">
        <v>77</v>
      </c>
      <c r="H2011">
        <v>16702</v>
      </c>
      <c r="I2011">
        <v>7</v>
      </c>
      <c r="J2011">
        <v>62</v>
      </c>
      <c r="K2011">
        <v>447</v>
      </c>
      <c r="L2011">
        <v>491</v>
      </c>
      <c r="M2011">
        <v>4.95</v>
      </c>
      <c r="N2011">
        <f>IFERROR(VLOOKUP(A2011,vlookup_table!$A:$G,2,FALSE),"")</f>
        <v>0</v>
      </c>
      <c r="O2011">
        <f>IFERROR(VLOOKUP(A2011,vlookup_table!$A:$G,4,FALSE),"")</f>
        <v>0</v>
      </c>
      <c r="P2011" t="str">
        <f>IFERROR(VLOOKUP(A2011,vlookup_table!$A:$G,5,FALSE),"")</f>
        <v>C1</v>
      </c>
      <c r="Q2011">
        <f>IFERROR(VLOOKUP(A2011,vlookup_table!$A:$G,7,FALSE),"")</f>
        <v>10</v>
      </c>
      <c r="R2011">
        <f t="shared" si="124"/>
        <v>97</v>
      </c>
      <c r="S2011" t="str" cm="1">
        <f t="array" ref="S2011">IF(P2011="","",_xlfn.SWITCH(LEFT(P2011,1),"C","Ciudad","T","Pueblo","R","Rural","S","Suburbano","U","Urbano",""))</f>
        <v>Ciudad</v>
      </c>
      <c r="T2011" t="str">
        <f t="shared" si="125"/>
        <v>M</v>
      </c>
      <c r="U2011" t="str">
        <f t="shared" si="126"/>
        <v>CA</v>
      </c>
      <c r="V2011" t="str">
        <f t="shared" si="127"/>
        <v>16702</v>
      </c>
    </row>
    <row r="2012" spans="1:22" x14ac:dyDescent="0.35">
      <c r="A2012">
        <v>151653</v>
      </c>
      <c r="B2012" t="s">
        <v>22</v>
      </c>
      <c r="D2012">
        <v>1455</v>
      </c>
      <c r="E2012">
        <v>376</v>
      </c>
      <c r="F2012">
        <v>426</v>
      </c>
      <c r="G2012">
        <v>7</v>
      </c>
      <c r="H2012">
        <v>14860</v>
      </c>
      <c r="I2012">
        <v>19</v>
      </c>
      <c r="J2012">
        <v>39</v>
      </c>
      <c r="K2012">
        <v>417</v>
      </c>
      <c r="L2012">
        <v>393</v>
      </c>
      <c r="M2012">
        <v>6.35</v>
      </c>
      <c r="N2012">
        <f>IFERROR(VLOOKUP(A2012,vlookup_table!$A:$G,2,FALSE),"")</f>
        <v>0</v>
      </c>
      <c r="O2012">
        <f>IFERROR(VLOOKUP(A2012,vlookup_table!$A:$G,4,FALSE),"")</f>
        <v>2401</v>
      </c>
      <c r="P2012" t="str">
        <f>IFERROR(VLOOKUP(A2012,vlookup_table!$A:$G,5,FALSE),"")</f>
        <v>U3</v>
      </c>
      <c r="Q2012">
        <f>IFERROR(VLOOKUP(A2012,vlookup_table!$A:$G,7,FALSE),"")</f>
        <v>10</v>
      </c>
      <c r="R2012">
        <f t="shared" si="124"/>
        <v>73</v>
      </c>
      <c r="S2012" t="str" cm="1">
        <f t="array" ref="S2012">IF(P2012="","",_xlfn.SWITCH(LEFT(P2012,1),"C","Ciudad","T","Pueblo","R","Rural","S","Suburbano","U","Urbano",""))</f>
        <v>Urbano</v>
      </c>
      <c r="T2012" t="str">
        <f t="shared" si="125"/>
        <v/>
      </c>
      <c r="U2012" t="str">
        <f t="shared" si="126"/>
        <v>CA</v>
      </c>
      <c r="V2012" t="str">
        <f t="shared" si="127"/>
        <v>14860</v>
      </c>
    </row>
    <row r="2013" spans="1:22" x14ac:dyDescent="0.35">
      <c r="A2013">
        <v>100132</v>
      </c>
      <c r="B2013" t="s">
        <v>36</v>
      </c>
      <c r="C2013" t="s">
        <v>17</v>
      </c>
      <c r="D2013">
        <v>393</v>
      </c>
      <c r="E2013">
        <v>216</v>
      </c>
      <c r="F2013">
        <v>301</v>
      </c>
      <c r="G2013">
        <v>0</v>
      </c>
      <c r="H2013">
        <v>10107</v>
      </c>
      <c r="I2013">
        <v>0</v>
      </c>
      <c r="J2013">
        <v>71</v>
      </c>
      <c r="K2013">
        <v>258</v>
      </c>
      <c r="L2013">
        <v>258</v>
      </c>
      <c r="M2013">
        <v>10</v>
      </c>
      <c r="N2013">
        <f>IFERROR(VLOOKUP(A2013,vlookup_table!$A:$G,2,FALSE),"")</f>
        <v>0</v>
      </c>
      <c r="O2013">
        <f>IFERROR(VLOOKUP(A2013,vlookup_table!$A:$G,4,FALSE),"")</f>
        <v>2401</v>
      </c>
      <c r="P2013" t="str">
        <f>IFERROR(VLOOKUP(A2013,vlookup_table!$A:$G,5,FALSE),"")</f>
        <v>S2</v>
      </c>
      <c r="Q2013">
        <f>IFERROR(VLOOKUP(A2013,vlookup_table!$A:$G,7,FALSE),"")</f>
        <v>15</v>
      </c>
      <c r="R2013">
        <f t="shared" si="124"/>
        <v>73</v>
      </c>
      <c r="S2013" t="str" cm="1">
        <f t="array" ref="S2013">IF(P2013="","",_xlfn.SWITCH(LEFT(P2013,1),"C","Ciudad","T","Pueblo","R","Rural","S","Suburbano","U","Urbano",""))</f>
        <v>Suburbano</v>
      </c>
      <c r="T2013" t="str">
        <f t="shared" si="125"/>
        <v>F</v>
      </c>
      <c r="U2013" t="str">
        <f t="shared" si="126"/>
        <v>MO</v>
      </c>
      <c r="V2013" t="str">
        <f t="shared" si="127"/>
        <v>10107</v>
      </c>
    </row>
    <row r="2014" spans="1:22" x14ac:dyDescent="0.35">
      <c r="A2014">
        <v>161726</v>
      </c>
      <c r="B2014" t="s">
        <v>22</v>
      </c>
      <c r="C2014" t="s">
        <v>17</v>
      </c>
      <c r="D2014">
        <v>2453</v>
      </c>
      <c r="E2014">
        <v>438</v>
      </c>
      <c r="F2014">
        <v>475</v>
      </c>
      <c r="G2014">
        <v>86</v>
      </c>
      <c r="H2014">
        <v>15707</v>
      </c>
      <c r="I2014">
        <v>16</v>
      </c>
      <c r="J2014">
        <v>45</v>
      </c>
      <c r="K2014">
        <v>451</v>
      </c>
      <c r="L2014">
        <v>436</v>
      </c>
      <c r="M2014">
        <v>5.8125</v>
      </c>
      <c r="N2014">
        <f>IFERROR(VLOOKUP(A2014,vlookup_table!$A:$G,2,FALSE),"")</f>
        <v>0</v>
      </c>
      <c r="O2014">
        <f>IFERROR(VLOOKUP(A2014,vlookup_table!$A:$G,4,FALSE),"")</f>
        <v>4601</v>
      </c>
      <c r="P2014" t="str">
        <f>IFERROR(VLOOKUP(A2014,vlookup_table!$A:$G,5,FALSE),"")</f>
        <v>T1</v>
      </c>
      <c r="Q2014">
        <f>IFERROR(VLOOKUP(A2014,vlookup_table!$A:$G,7,FALSE),"")</f>
        <v>7</v>
      </c>
      <c r="R2014">
        <f t="shared" si="124"/>
        <v>51</v>
      </c>
      <c r="S2014" t="str" cm="1">
        <f t="array" ref="S2014">IF(P2014="","",_xlfn.SWITCH(LEFT(P2014,1),"C","Ciudad","T","Pueblo","R","Rural","S","Suburbano","U","Urbano",""))</f>
        <v>Pueblo</v>
      </c>
      <c r="T2014" t="str">
        <f t="shared" si="125"/>
        <v>F</v>
      </c>
      <c r="U2014" t="str">
        <f t="shared" si="126"/>
        <v>CA</v>
      </c>
      <c r="V2014" t="str">
        <f t="shared" si="127"/>
        <v>15707</v>
      </c>
    </row>
    <row r="2015" spans="1:22" x14ac:dyDescent="0.35">
      <c r="A2015">
        <v>125986</v>
      </c>
      <c r="B2015" t="s">
        <v>21</v>
      </c>
      <c r="C2015" t="s">
        <v>14</v>
      </c>
      <c r="D2015">
        <v>533</v>
      </c>
      <c r="E2015">
        <v>246</v>
      </c>
      <c r="F2015">
        <v>308</v>
      </c>
      <c r="G2015">
        <v>1</v>
      </c>
      <c r="H2015">
        <v>10096</v>
      </c>
      <c r="I2015">
        <v>3</v>
      </c>
      <c r="J2015">
        <v>75</v>
      </c>
      <c r="K2015">
        <v>276</v>
      </c>
      <c r="L2015">
        <v>287</v>
      </c>
      <c r="M2015">
        <v>13.375</v>
      </c>
      <c r="N2015">
        <f>IFERROR(VLOOKUP(A2015,vlookup_table!$A:$G,2,FALSE),"")</f>
        <v>0</v>
      </c>
      <c r="O2015">
        <f>IFERROR(VLOOKUP(A2015,vlookup_table!$A:$G,4,FALSE),"")</f>
        <v>4610</v>
      </c>
      <c r="P2015" t="str">
        <f>IFERROR(VLOOKUP(A2015,vlookup_table!$A:$G,5,FALSE),"")</f>
        <v>T2</v>
      </c>
      <c r="Q2015">
        <f>IFERROR(VLOOKUP(A2015,vlookup_table!$A:$G,7,FALSE),"")</f>
        <v>17</v>
      </c>
      <c r="R2015">
        <f t="shared" si="124"/>
        <v>51</v>
      </c>
      <c r="S2015" t="str" cm="1">
        <f t="array" ref="S2015">IF(P2015="","",_xlfn.SWITCH(LEFT(P2015,1),"C","Ciudad","T","Pueblo","R","Rural","S","Suburbano","U","Urbano",""))</f>
        <v>Pueblo</v>
      </c>
      <c r="T2015" t="str">
        <f t="shared" si="125"/>
        <v>M</v>
      </c>
      <c r="U2015" t="str">
        <f t="shared" si="126"/>
        <v>TX</v>
      </c>
      <c r="V2015" t="str">
        <f t="shared" si="127"/>
        <v>10096</v>
      </c>
    </row>
    <row r="2016" spans="1:22" x14ac:dyDescent="0.35">
      <c r="A2016">
        <v>185394</v>
      </c>
      <c r="B2016" t="s">
        <v>29</v>
      </c>
      <c r="C2016" t="s">
        <v>17</v>
      </c>
      <c r="D2016">
        <v>647</v>
      </c>
      <c r="E2016">
        <v>285</v>
      </c>
      <c r="F2016">
        <v>338</v>
      </c>
      <c r="G2016">
        <v>0</v>
      </c>
      <c r="H2016">
        <v>12910</v>
      </c>
      <c r="I2016">
        <v>7</v>
      </c>
      <c r="J2016">
        <v>80</v>
      </c>
      <c r="K2016">
        <v>317</v>
      </c>
      <c r="L2016">
        <v>300</v>
      </c>
      <c r="M2016">
        <v>8.9166666669999994</v>
      </c>
      <c r="N2016">
        <f>IFERROR(VLOOKUP(A2016,vlookup_table!$A:$G,2,FALSE),"")</f>
        <v>2</v>
      </c>
      <c r="O2016">
        <f>IFERROR(VLOOKUP(A2016,vlookup_table!$A:$G,4,FALSE),"")</f>
        <v>2702</v>
      </c>
      <c r="P2016" t="str">
        <f>IFERROR(VLOOKUP(A2016,vlookup_table!$A:$G,5,FALSE),"")</f>
        <v>S2</v>
      </c>
      <c r="Q2016">
        <f>IFERROR(VLOOKUP(A2016,vlookup_table!$A:$G,7,FALSE),"")</f>
        <v>5</v>
      </c>
      <c r="R2016">
        <f t="shared" si="124"/>
        <v>70</v>
      </c>
      <c r="S2016" t="str" cm="1">
        <f t="array" ref="S2016">IF(P2016="","",_xlfn.SWITCH(LEFT(P2016,1),"C","Ciudad","T","Pueblo","R","Rural","S","Suburbano","U","Urbano",""))</f>
        <v>Suburbano</v>
      </c>
      <c r="T2016" t="str">
        <f t="shared" si="125"/>
        <v>F</v>
      </c>
      <c r="U2016" t="str">
        <f t="shared" si="126"/>
        <v>MI</v>
      </c>
      <c r="V2016" t="str">
        <f t="shared" si="127"/>
        <v>12910</v>
      </c>
    </row>
    <row r="2017" spans="1:22" x14ac:dyDescent="0.35">
      <c r="A2017">
        <v>43799</v>
      </c>
      <c r="B2017" t="s">
        <v>13</v>
      </c>
      <c r="C2017" t="s">
        <v>17</v>
      </c>
      <c r="D2017">
        <v>1044</v>
      </c>
      <c r="E2017">
        <v>366</v>
      </c>
      <c r="F2017">
        <v>499</v>
      </c>
      <c r="G2017">
        <v>15</v>
      </c>
      <c r="H2017">
        <v>22427</v>
      </c>
      <c r="I2017">
        <v>8</v>
      </c>
      <c r="J2017">
        <v>35</v>
      </c>
      <c r="K2017">
        <v>318</v>
      </c>
      <c r="L2017">
        <v>458</v>
      </c>
      <c r="M2017">
        <v>13.16666667</v>
      </c>
      <c r="N2017">
        <f>IFERROR(VLOOKUP(A2017,vlookup_table!$A:$G,2,FALSE),"")</f>
        <v>2</v>
      </c>
      <c r="O2017">
        <f>IFERROR(VLOOKUP(A2017,vlookup_table!$A:$G,4,FALSE),"")</f>
        <v>5801</v>
      </c>
      <c r="P2017" t="str">
        <f>IFERROR(VLOOKUP(A2017,vlookup_table!$A:$G,5,FALSE),"")</f>
        <v>T2</v>
      </c>
      <c r="Q2017">
        <f>IFERROR(VLOOKUP(A2017,vlookup_table!$A:$G,7,FALSE),"")</f>
        <v>20</v>
      </c>
      <c r="R2017">
        <f t="shared" si="124"/>
        <v>39</v>
      </c>
      <c r="S2017" t="str" cm="1">
        <f t="array" ref="S2017">IF(P2017="","",_xlfn.SWITCH(LEFT(P2017,1),"C","Ciudad","T","Pueblo","R","Rural","S","Suburbano","U","Urbano",""))</f>
        <v>Pueblo</v>
      </c>
      <c r="T2017" t="str">
        <f t="shared" si="125"/>
        <v>F</v>
      </c>
      <c r="U2017" t="str">
        <f t="shared" si="126"/>
        <v>FL</v>
      </c>
      <c r="V2017" t="str">
        <f t="shared" si="127"/>
        <v>22427</v>
      </c>
    </row>
    <row r="2018" spans="1:22" x14ac:dyDescent="0.35">
      <c r="A2018">
        <v>161838</v>
      </c>
      <c r="B2018" t="s">
        <v>22</v>
      </c>
      <c r="C2018" t="s">
        <v>17</v>
      </c>
      <c r="D2018">
        <v>1953</v>
      </c>
      <c r="E2018">
        <v>304</v>
      </c>
      <c r="F2018">
        <v>380</v>
      </c>
      <c r="G2018">
        <v>47</v>
      </c>
      <c r="H2018">
        <v>13811</v>
      </c>
      <c r="I2018">
        <v>25</v>
      </c>
      <c r="J2018">
        <v>43</v>
      </c>
      <c r="K2018">
        <v>353</v>
      </c>
      <c r="L2018">
        <v>337</v>
      </c>
      <c r="M2018">
        <v>13.5</v>
      </c>
      <c r="N2018">
        <f>IFERROR(VLOOKUP(A2018,vlookup_table!$A:$G,2,FALSE),"")</f>
        <v>0</v>
      </c>
      <c r="O2018">
        <f>IFERROR(VLOOKUP(A2018,vlookup_table!$A:$G,4,FALSE),"")</f>
        <v>4212</v>
      </c>
      <c r="P2018" t="str">
        <f>IFERROR(VLOOKUP(A2018,vlookup_table!$A:$G,5,FALSE),"")</f>
        <v>C2</v>
      </c>
      <c r="Q2018">
        <f>IFERROR(VLOOKUP(A2018,vlookup_table!$A:$G,7,FALSE),"")</f>
        <v>14</v>
      </c>
      <c r="R2018">
        <f t="shared" si="124"/>
        <v>55</v>
      </c>
      <c r="S2018" t="str" cm="1">
        <f t="array" ref="S2018">IF(P2018="","",_xlfn.SWITCH(LEFT(P2018,1),"C","Ciudad","T","Pueblo","R","Rural","S","Suburbano","U","Urbano",""))</f>
        <v>Ciudad</v>
      </c>
      <c r="T2018" t="str">
        <f t="shared" si="125"/>
        <v>F</v>
      </c>
      <c r="U2018" t="str">
        <f t="shared" si="126"/>
        <v>CA</v>
      </c>
      <c r="V2018" t="str">
        <f t="shared" si="127"/>
        <v>13811</v>
      </c>
    </row>
    <row r="2019" spans="1:22" x14ac:dyDescent="0.35">
      <c r="A2019">
        <v>161838</v>
      </c>
      <c r="B2019" t="s">
        <v>22</v>
      </c>
      <c r="C2019" t="s">
        <v>17</v>
      </c>
      <c r="D2019">
        <v>1953</v>
      </c>
      <c r="E2019">
        <v>304</v>
      </c>
      <c r="F2019">
        <v>380</v>
      </c>
      <c r="G2019">
        <v>47</v>
      </c>
      <c r="H2019">
        <v>13811</v>
      </c>
      <c r="I2019">
        <v>25</v>
      </c>
      <c r="J2019">
        <v>43</v>
      </c>
      <c r="K2019">
        <v>353</v>
      </c>
      <c r="L2019">
        <v>337</v>
      </c>
      <c r="M2019">
        <v>13.5</v>
      </c>
      <c r="N2019">
        <f>IFERROR(VLOOKUP(A2019,vlookup_table!$A:$G,2,FALSE),"")</f>
        <v>0</v>
      </c>
      <c r="O2019">
        <f>IFERROR(VLOOKUP(A2019,vlookup_table!$A:$G,4,FALSE),"")</f>
        <v>4212</v>
      </c>
      <c r="P2019" t="str">
        <f>IFERROR(VLOOKUP(A2019,vlookup_table!$A:$G,5,FALSE),"")</f>
        <v>C2</v>
      </c>
      <c r="Q2019">
        <f>IFERROR(VLOOKUP(A2019,vlookup_table!$A:$G,7,FALSE),"")</f>
        <v>14</v>
      </c>
      <c r="R2019">
        <f t="shared" si="124"/>
        <v>55</v>
      </c>
      <c r="S2019" t="str" cm="1">
        <f t="array" ref="S2019">IF(P2019="","",_xlfn.SWITCH(LEFT(P2019,1),"C","Ciudad","T","Pueblo","R","Rural","S","Suburbano","U","Urbano",""))</f>
        <v>Ciudad</v>
      </c>
      <c r="T2019" t="str">
        <f t="shared" si="125"/>
        <v>F</v>
      </c>
      <c r="U2019" t="str">
        <f t="shared" si="126"/>
        <v>CA</v>
      </c>
      <c r="V2019" t="str">
        <f t="shared" si="127"/>
        <v>13811</v>
      </c>
    </row>
    <row r="2020" spans="1:22" x14ac:dyDescent="0.35">
      <c r="A2020">
        <v>161838</v>
      </c>
      <c r="B2020" t="s">
        <v>22</v>
      </c>
      <c r="C2020" t="s">
        <v>17</v>
      </c>
      <c r="D2020">
        <v>1953</v>
      </c>
      <c r="E2020">
        <v>304</v>
      </c>
      <c r="F2020">
        <v>380</v>
      </c>
      <c r="G2020">
        <v>47</v>
      </c>
      <c r="H2020">
        <v>13811</v>
      </c>
      <c r="I2020">
        <v>25</v>
      </c>
      <c r="J2020">
        <v>43</v>
      </c>
      <c r="K2020">
        <v>353</v>
      </c>
      <c r="L2020">
        <v>337</v>
      </c>
      <c r="M2020">
        <v>13.5</v>
      </c>
      <c r="N2020">
        <f>IFERROR(VLOOKUP(A2020,vlookup_table!$A:$G,2,FALSE),"")</f>
        <v>0</v>
      </c>
      <c r="O2020">
        <f>IFERROR(VLOOKUP(A2020,vlookup_table!$A:$G,4,FALSE),"")</f>
        <v>4212</v>
      </c>
      <c r="P2020" t="str">
        <f>IFERROR(VLOOKUP(A2020,vlookup_table!$A:$G,5,FALSE),"")</f>
        <v>C2</v>
      </c>
      <c r="Q2020">
        <f>IFERROR(VLOOKUP(A2020,vlookup_table!$A:$G,7,FALSE),"")</f>
        <v>14</v>
      </c>
      <c r="R2020">
        <f t="shared" si="124"/>
        <v>55</v>
      </c>
      <c r="S2020" t="str" cm="1">
        <f t="array" ref="S2020">IF(P2020="","",_xlfn.SWITCH(LEFT(P2020,1),"C","Ciudad","T","Pueblo","R","Rural","S","Suburbano","U","Urbano",""))</f>
        <v>Ciudad</v>
      </c>
      <c r="T2020" t="str">
        <f t="shared" si="125"/>
        <v>F</v>
      </c>
      <c r="U2020" t="str">
        <f t="shared" si="126"/>
        <v>CA</v>
      </c>
      <c r="V2020" t="str">
        <f t="shared" si="127"/>
        <v>13811</v>
      </c>
    </row>
    <row r="2021" spans="1:22" x14ac:dyDescent="0.35">
      <c r="A2021">
        <v>138311</v>
      </c>
      <c r="B2021" t="s">
        <v>55</v>
      </c>
      <c r="C2021" t="s">
        <v>60</v>
      </c>
      <c r="D2021">
        <v>1708</v>
      </c>
      <c r="E2021">
        <v>437</v>
      </c>
      <c r="F2021">
        <v>684</v>
      </c>
      <c r="G2021">
        <v>36</v>
      </c>
      <c r="H2021">
        <v>29098</v>
      </c>
      <c r="I2021">
        <v>7</v>
      </c>
      <c r="J2021">
        <v>19</v>
      </c>
      <c r="K2021">
        <v>586</v>
      </c>
      <c r="L2021">
        <v>551</v>
      </c>
      <c r="M2021">
        <v>9.769230769</v>
      </c>
      <c r="N2021">
        <f>IFERROR(VLOOKUP(A2021,vlookup_table!$A:$G,2,FALSE),"")</f>
        <v>2</v>
      </c>
      <c r="O2021">
        <f>IFERROR(VLOOKUP(A2021,vlookup_table!$A:$G,4,FALSE),"")</f>
        <v>1403</v>
      </c>
      <c r="P2021" t="str">
        <f>IFERROR(VLOOKUP(A2021,vlookup_table!$A:$G,5,FALSE),"")</f>
        <v>S1</v>
      </c>
      <c r="Q2021">
        <f>IFERROR(VLOOKUP(A2021,vlookup_table!$A:$G,7,FALSE),"")</f>
        <v>20</v>
      </c>
      <c r="R2021">
        <f t="shared" si="124"/>
        <v>83</v>
      </c>
      <c r="S2021" t="str" cm="1">
        <f t="array" ref="S2021">IF(P2021="","",_xlfn.SWITCH(LEFT(P2021,1),"C","Ciudad","T","Pueblo","R","Rural","S","Suburbano","U","Urbano",""))</f>
        <v>Suburbano</v>
      </c>
      <c r="T2021" t="str">
        <f t="shared" si="125"/>
        <v>F</v>
      </c>
      <c r="U2021" t="str">
        <f t="shared" si="126"/>
        <v>AZ</v>
      </c>
      <c r="V2021" t="str">
        <f t="shared" si="127"/>
        <v>29098</v>
      </c>
    </row>
    <row r="2022" spans="1:22" x14ac:dyDescent="0.35">
      <c r="A2022">
        <v>123469</v>
      </c>
      <c r="B2022" t="s">
        <v>21</v>
      </c>
      <c r="C2022" t="s">
        <v>14</v>
      </c>
      <c r="D2022">
        <v>561</v>
      </c>
      <c r="E2022">
        <v>493</v>
      </c>
      <c r="F2022">
        <v>540</v>
      </c>
      <c r="G2022">
        <v>1</v>
      </c>
      <c r="H2022">
        <v>16623</v>
      </c>
      <c r="I2022">
        <v>5</v>
      </c>
      <c r="J2022">
        <v>68</v>
      </c>
      <c r="K2022">
        <v>529</v>
      </c>
      <c r="L2022">
        <v>506</v>
      </c>
      <c r="M2022">
        <v>5.2</v>
      </c>
      <c r="N2022">
        <f>IFERROR(VLOOKUP(A2022,vlookup_table!$A:$G,2,FALSE),"")</f>
        <v>0</v>
      </c>
      <c r="O2022">
        <f>IFERROR(VLOOKUP(A2022,vlookup_table!$A:$G,4,FALSE),"")</f>
        <v>0</v>
      </c>
      <c r="P2022" t="str">
        <f>IFERROR(VLOOKUP(A2022,vlookup_table!$A:$G,5,FALSE),"")</f>
        <v>T2</v>
      </c>
      <c r="Q2022">
        <f>IFERROR(VLOOKUP(A2022,vlookup_table!$A:$G,7,FALSE),"")</f>
        <v>5</v>
      </c>
      <c r="R2022">
        <f t="shared" si="124"/>
        <v>97</v>
      </c>
      <c r="S2022" t="str" cm="1">
        <f t="array" ref="S2022">IF(P2022="","",_xlfn.SWITCH(LEFT(P2022,1),"C","Ciudad","T","Pueblo","R","Rural","S","Suburbano","U","Urbano",""))</f>
        <v>Pueblo</v>
      </c>
      <c r="T2022" t="str">
        <f t="shared" si="125"/>
        <v>M</v>
      </c>
      <c r="U2022" t="str">
        <f t="shared" si="126"/>
        <v>TX</v>
      </c>
      <c r="V2022" t="str">
        <f t="shared" si="127"/>
        <v>16623</v>
      </c>
    </row>
    <row r="2023" spans="1:22" x14ac:dyDescent="0.35">
      <c r="A2023">
        <v>135341</v>
      </c>
      <c r="B2023" t="s">
        <v>55</v>
      </c>
      <c r="C2023" t="s">
        <v>60</v>
      </c>
      <c r="D2023">
        <v>700</v>
      </c>
      <c r="E2023">
        <v>205</v>
      </c>
      <c r="F2023">
        <v>295</v>
      </c>
      <c r="G2023">
        <v>0</v>
      </c>
      <c r="H2023">
        <v>12713</v>
      </c>
      <c r="I2023">
        <v>9</v>
      </c>
      <c r="J2023">
        <v>12</v>
      </c>
      <c r="K2023">
        <v>221</v>
      </c>
      <c r="L2023">
        <v>276</v>
      </c>
      <c r="M2023">
        <v>12.85714286</v>
      </c>
      <c r="N2023">
        <f>IFERROR(VLOOKUP(A2023,vlookup_table!$A:$G,2,FALSE),"")</f>
        <v>0</v>
      </c>
      <c r="O2023">
        <f>IFERROR(VLOOKUP(A2023,vlookup_table!$A:$G,4,FALSE),"")</f>
        <v>0</v>
      </c>
      <c r="P2023" t="str">
        <f>IFERROR(VLOOKUP(A2023,vlookup_table!$A:$G,5,FALSE),"")</f>
        <v>C2</v>
      </c>
      <c r="Q2023">
        <f>IFERROR(VLOOKUP(A2023,vlookup_table!$A:$G,7,FALSE),"")</f>
        <v>12</v>
      </c>
      <c r="R2023">
        <f t="shared" si="124"/>
        <v>97</v>
      </c>
      <c r="S2023" t="str" cm="1">
        <f t="array" ref="S2023">IF(P2023="","",_xlfn.SWITCH(LEFT(P2023,1),"C","Ciudad","T","Pueblo","R","Rural","S","Suburbano","U","Urbano",""))</f>
        <v>Ciudad</v>
      </c>
      <c r="T2023" t="str">
        <f t="shared" si="125"/>
        <v>F</v>
      </c>
      <c r="U2023" t="str">
        <f t="shared" si="126"/>
        <v>AZ</v>
      </c>
      <c r="V2023" t="str">
        <f t="shared" si="127"/>
        <v>12713</v>
      </c>
    </row>
    <row r="2024" spans="1:22" x14ac:dyDescent="0.35">
      <c r="A2024">
        <v>119966</v>
      </c>
      <c r="B2024" t="s">
        <v>21</v>
      </c>
      <c r="C2024" t="s">
        <v>17</v>
      </c>
      <c r="D2024">
        <v>321</v>
      </c>
      <c r="E2024">
        <v>225</v>
      </c>
      <c r="F2024">
        <v>281</v>
      </c>
      <c r="G2024">
        <v>0</v>
      </c>
      <c r="H2024">
        <v>9372</v>
      </c>
      <c r="I2024">
        <v>3</v>
      </c>
      <c r="J2024">
        <v>68</v>
      </c>
      <c r="K2024">
        <v>264</v>
      </c>
      <c r="L2024">
        <v>243</v>
      </c>
      <c r="M2024">
        <v>8.0588235289999997</v>
      </c>
      <c r="N2024">
        <f>IFERROR(VLOOKUP(A2024,vlookup_table!$A:$G,2,FALSE),"")</f>
        <v>0</v>
      </c>
      <c r="O2024">
        <f>IFERROR(VLOOKUP(A2024,vlookup_table!$A:$G,4,FALSE),"")</f>
        <v>3212</v>
      </c>
      <c r="P2024" t="str">
        <f>IFERROR(VLOOKUP(A2024,vlookup_table!$A:$G,5,FALSE),"")</f>
        <v>T3</v>
      </c>
      <c r="Q2024">
        <f>IFERROR(VLOOKUP(A2024,vlookup_table!$A:$G,7,FALSE),"")</f>
        <v>11</v>
      </c>
      <c r="R2024">
        <f t="shared" si="124"/>
        <v>65</v>
      </c>
      <c r="S2024" t="str" cm="1">
        <f t="array" ref="S2024">IF(P2024="","",_xlfn.SWITCH(LEFT(P2024,1),"C","Ciudad","T","Pueblo","R","Rural","S","Suburbano","U","Urbano",""))</f>
        <v>Pueblo</v>
      </c>
      <c r="T2024" t="str">
        <f t="shared" si="125"/>
        <v>F</v>
      </c>
      <c r="U2024" t="str">
        <f t="shared" si="126"/>
        <v>TX</v>
      </c>
      <c r="V2024" t="str">
        <f t="shared" si="127"/>
        <v>9372</v>
      </c>
    </row>
    <row r="2025" spans="1:22" x14ac:dyDescent="0.35">
      <c r="A2025">
        <v>152470</v>
      </c>
      <c r="B2025" t="s">
        <v>22</v>
      </c>
      <c r="C2025" t="s">
        <v>17</v>
      </c>
      <c r="D2025">
        <v>5725</v>
      </c>
      <c r="E2025">
        <v>610</v>
      </c>
      <c r="F2025">
        <v>807</v>
      </c>
      <c r="G2025">
        <v>97</v>
      </c>
      <c r="H2025">
        <v>53158</v>
      </c>
      <c r="I2025">
        <v>13</v>
      </c>
      <c r="J2025">
        <v>22</v>
      </c>
      <c r="K2025">
        <v>763</v>
      </c>
      <c r="L2025">
        <v>698</v>
      </c>
      <c r="M2025">
        <v>23.727272729999999</v>
      </c>
      <c r="N2025">
        <f>IFERROR(VLOOKUP(A2025,vlookup_table!$A:$G,2,FALSE),"")</f>
        <v>0</v>
      </c>
      <c r="O2025">
        <f>IFERROR(VLOOKUP(A2025,vlookup_table!$A:$G,4,FALSE),"")</f>
        <v>0</v>
      </c>
      <c r="P2025" t="str">
        <f>IFERROR(VLOOKUP(A2025,vlookup_table!$A:$G,5,FALSE),"")</f>
        <v>S1</v>
      </c>
      <c r="Q2025">
        <f>IFERROR(VLOOKUP(A2025,vlookup_table!$A:$G,7,FALSE),"")</f>
        <v>45</v>
      </c>
      <c r="R2025">
        <f t="shared" si="124"/>
        <v>97</v>
      </c>
      <c r="S2025" t="str" cm="1">
        <f t="array" ref="S2025">IF(P2025="","",_xlfn.SWITCH(LEFT(P2025,1),"C","Ciudad","T","Pueblo","R","Rural","S","Suburbano","U","Urbano",""))</f>
        <v>Suburbano</v>
      </c>
      <c r="T2025" t="str">
        <f t="shared" si="125"/>
        <v>F</v>
      </c>
      <c r="U2025" t="str">
        <f t="shared" si="126"/>
        <v>CA</v>
      </c>
      <c r="V2025" t="str">
        <f t="shared" si="127"/>
        <v>53158</v>
      </c>
    </row>
    <row r="2026" spans="1:22" x14ac:dyDescent="0.35">
      <c r="A2026">
        <v>48527</v>
      </c>
      <c r="B2026" t="s">
        <v>43</v>
      </c>
      <c r="C2026" t="s">
        <v>27</v>
      </c>
      <c r="D2026">
        <v>931</v>
      </c>
      <c r="E2026">
        <v>407</v>
      </c>
      <c r="F2026">
        <v>496</v>
      </c>
      <c r="G2026">
        <v>0</v>
      </c>
      <c r="H2026">
        <v>17743</v>
      </c>
      <c r="I2026">
        <v>0</v>
      </c>
      <c r="J2026">
        <v>65</v>
      </c>
      <c r="K2026">
        <v>502</v>
      </c>
      <c r="L2026">
        <v>439</v>
      </c>
      <c r="M2026">
        <v>4.4166666670000003</v>
      </c>
      <c r="N2026">
        <f>IFERROR(VLOOKUP(A2026,vlookup_table!$A:$G,2,FALSE),"")</f>
        <v>2</v>
      </c>
      <c r="O2026">
        <f>IFERROR(VLOOKUP(A2026,vlookup_table!$A:$G,4,FALSE),"")</f>
        <v>0</v>
      </c>
      <c r="P2026" t="str">
        <f>IFERROR(VLOOKUP(A2026,vlookup_table!$A:$G,5,FALSE),"")</f>
        <v>R3</v>
      </c>
      <c r="Q2026">
        <f>IFERROR(VLOOKUP(A2026,vlookup_table!$A:$G,7,FALSE),"")</f>
        <v>3</v>
      </c>
      <c r="R2026">
        <f t="shared" si="124"/>
        <v>97</v>
      </c>
      <c r="S2026" t="str" cm="1">
        <f t="array" ref="S2026">IF(P2026="","",_xlfn.SWITCH(LEFT(P2026,1),"C","Ciudad","T","Pueblo","R","Rural","S","Suburbano","U","Urbano",""))</f>
        <v>Rural</v>
      </c>
      <c r="T2026" t="str">
        <f t="shared" si="125"/>
        <v>M</v>
      </c>
      <c r="U2026" t="str">
        <f t="shared" si="126"/>
        <v>AL</v>
      </c>
      <c r="V2026" t="str">
        <f t="shared" si="127"/>
        <v>17743</v>
      </c>
    </row>
    <row r="2027" spans="1:22" x14ac:dyDescent="0.35">
      <c r="A2027">
        <v>171528</v>
      </c>
      <c r="B2027" t="s">
        <v>22</v>
      </c>
      <c r="C2027" t="s">
        <v>17</v>
      </c>
      <c r="D2027">
        <v>1895</v>
      </c>
      <c r="E2027">
        <v>317</v>
      </c>
      <c r="F2027">
        <v>471</v>
      </c>
      <c r="G2027">
        <v>46</v>
      </c>
      <c r="H2027">
        <v>17431</v>
      </c>
      <c r="I2027">
        <v>10</v>
      </c>
      <c r="J2027">
        <v>62</v>
      </c>
      <c r="K2027">
        <v>389</v>
      </c>
      <c r="L2027">
        <v>405</v>
      </c>
      <c r="M2027">
        <v>6.7058823529999998</v>
      </c>
      <c r="N2027">
        <f>IFERROR(VLOOKUP(A2027,vlookup_table!$A:$G,2,FALSE),"")</f>
        <v>0</v>
      </c>
      <c r="O2027">
        <f>IFERROR(VLOOKUP(A2027,vlookup_table!$A:$G,4,FALSE),"")</f>
        <v>5501</v>
      </c>
      <c r="P2027" t="str">
        <f>IFERROR(VLOOKUP(A2027,vlookup_table!$A:$G,5,FALSE),"")</f>
        <v>R2</v>
      </c>
      <c r="Q2027">
        <f>IFERROR(VLOOKUP(A2027,vlookup_table!$A:$G,7,FALSE),"")</f>
        <v>5</v>
      </c>
      <c r="R2027">
        <f t="shared" si="124"/>
        <v>42</v>
      </c>
      <c r="S2027" t="str" cm="1">
        <f t="array" ref="S2027">IF(P2027="","",_xlfn.SWITCH(LEFT(P2027,1),"C","Ciudad","T","Pueblo","R","Rural","S","Suburbano","U","Urbano",""))</f>
        <v>Rural</v>
      </c>
      <c r="T2027" t="str">
        <f t="shared" si="125"/>
        <v>F</v>
      </c>
      <c r="U2027" t="str">
        <f t="shared" si="126"/>
        <v>CA</v>
      </c>
      <c r="V2027" t="str">
        <f t="shared" si="127"/>
        <v>17431</v>
      </c>
    </row>
    <row r="2028" spans="1:22" x14ac:dyDescent="0.35">
      <c r="A2028">
        <v>50122</v>
      </c>
      <c r="B2028" t="s">
        <v>68</v>
      </c>
      <c r="C2028" t="s">
        <v>17</v>
      </c>
      <c r="D2028">
        <v>715</v>
      </c>
      <c r="E2028">
        <v>318</v>
      </c>
      <c r="F2028">
        <v>370</v>
      </c>
      <c r="G2028">
        <v>2</v>
      </c>
      <c r="H2028">
        <v>12416</v>
      </c>
      <c r="I2028">
        <v>0</v>
      </c>
      <c r="J2028">
        <v>75</v>
      </c>
      <c r="K2028">
        <v>340</v>
      </c>
      <c r="L2028">
        <v>352</v>
      </c>
      <c r="M2028">
        <v>9.25</v>
      </c>
      <c r="N2028">
        <f>IFERROR(VLOOKUP(A2028,vlookup_table!$A:$G,2,FALSE),"")</f>
        <v>2</v>
      </c>
      <c r="O2028">
        <f>IFERROR(VLOOKUP(A2028,vlookup_table!$A:$G,4,FALSE),"")</f>
        <v>0</v>
      </c>
      <c r="P2028" t="str">
        <f>IFERROR(VLOOKUP(A2028,vlookup_table!$A:$G,5,FALSE),"")</f>
        <v>T1</v>
      </c>
      <c r="Q2028">
        <f>IFERROR(VLOOKUP(A2028,vlookup_table!$A:$G,7,FALSE),"")</f>
        <v>10</v>
      </c>
      <c r="R2028">
        <f t="shared" si="124"/>
        <v>97</v>
      </c>
      <c r="S2028" t="str" cm="1">
        <f t="array" ref="S2028">IF(P2028="","",_xlfn.SWITCH(LEFT(P2028,1),"C","Ciudad","T","Pueblo","R","Rural","S","Suburbano","U","Urbano",""))</f>
        <v>Pueblo</v>
      </c>
      <c r="T2028" t="str">
        <f t="shared" si="125"/>
        <v>F</v>
      </c>
      <c r="U2028" t="str">
        <f t="shared" si="126"/>
        <v>Tennessee</v>
      </c>
      <c r="V2028" t="str">
        <f t="shared" si="127"/>
        <v>12416</v>
      </c>
    </row>
    <row r="2029" spans="1:22" x14ac:dyDescent="0.35">
      <c r="A2029">
        <v>92293</v>
      </c>
      <c r="B2029" t="s">
        <v>16</v>
      </c>
      <c r="C2029" t="s">
        <v>17</v>
      </c>
      <c r="D2029">
        <v>3359</v>
      </c>
      <c r="E2029">
        <v>878</v>
      </c>
      <c r="F2029">
        <v>973</v>
      </c>
      <c r="G2029">
        <v>87</v>
      </c>
      <c r="H2029">
        <v>35266</v>
      </c>
      <c r="I2029">
        <v>16</v>
      </c>
      <c r="J2029">
        <v>74</v>
      </c>
      <c r="K2029">
        <v>897</v>
      </c>
      <c r="L2029">
        <v>934</v>
      </c>
      <c r="M2029">
        <v>5.8</v>
      </c>
      <c r="N2029">
        <f>IFERROR(VLOOKUP(A2029,vlookup_table!$A:$G,2,FALSE),"")</f>
        <v>0</v>
      </c>
      <c r="O2029">
        <f>IFERROR(VLOOKUP(A2029,vlookup_table!$A:$G,4,FALSE),"")</f>
        <v>2201</v>
      </c>
      <c r="P2029" t="str">
        <f>IFERROR(VLOOKUP(A2029,vlookup_table!$A:$G,5,FALSE),"")</f>
        <v>S1</v>
      </c>
      <c r="Q2029">
        <f>IFERROR(VLOOKUP(A2029,vlookup_table!$A:$G,7,FALSE),"")</f>
        <v>5</v>
      </c>
      <c r="R2029">
        <f t="shared" si="124"/>
        <v>75</v>
      </c>
      <c r="S2029" t="str" cm="1">
        <f t="array" ref="S2029">IF(P2029="","",_xlfn.SWITCH(LEFT(P2029,1),"C","Ciudad","T","Pueblo","R","Rural","S","Suburbano","U","Urbano",""))</f>
        <v>Suburbano</v>
      </c>
      <c r="T2029" t="str">
        <f t="shared" si="125"/>
        <v>F</v>
      </c>
      <c r="U2029" t="str">
        <f t="shared" si="126"/>
        <v>IL</v>
      </c>
      <c r="V2029" t="str">
        <f t="shared" si="127"/>
        <v>35266</v>
      </c>
    </row>
    <row r="2030" spans="1:22" x14ac:dyDescent="0.35">
      <c r="A2030">
        <v>47191</v>
      </c>
      <c r="B2030" t="s">
        <v>43</v>
      </c>
      <c r="C2030" t="s">
        <v>17</v>
      </c>
      <c r="D2030">
        <v>950</v>
      </c>
      <c r="E2030">
        <v>264</v>
      </c>
      <c r="F2030">
        <v>378</v>
      </c>
      <c r="G2030">
        <v>3</v>
      </c>
      <c r="H2030">
        <v>20090</v>
      </c>
      <c r="I2030">
        <v>6</v>
      </c>
      <c r="J2030">
        <v>55</v>
      </c>
      <c r="K2030">
        <v>295</v>
      </c>
      <c r="L2030">
        <v>330</v>
      </c>
      <c r="M2030">
        <v>4.1428571429999996</v>
      </c>
      <c r="N2030">
        <f>IFERROR(VLOOKUP(A2030,vlookup_table!$A:$G,2,FALSE),"")</f>
        <v>2</v>
      </c>
      <c r="O2030">
        <f>IFERROR(VLOOKUP(A2030,vlookup_table!$A:$G,4,FALSE),"")</f>
        <v>2601</v>
      </c>
      <c r="P2030" t="str">
        <f>IFERROR(VLOOKUP(A2030,vlookup_table!$A:$G,5,FALSE),"")</f>
        <v>C1</v>
      </c>
      <c r="Q2030">
        <f>IFERROR(VLOOKUP(A2030,vlookup_table!$A:$G,7,FALSE),"")</f>
        <v>5</v>
      </c>
      <c r="R2030">
        <f t="shared" si="124"/>
        <v>71</v>
      </c>
      <c r="S2030" t="str" cm="1">
        <f t="array" ref="S2030">IF(P2030="","",_xlfn.SWITCH(LEFT(P2030,1),"C","Ciudad","T","Pueblo","R","Rural","S","Suburbano","U","Urbano",""))</f>
        <v>Ciudad</v>
      </c>
      <c r="T2030" t="str">
        <f t="shared" si="125"/>
        <v>F</v>
      </c>
      <c r="U2030" t="str">
        <f t="shared" si="126"/>
        <v>AL</v>
      </c>
      <c r="V2030" t="str">
        <f t="shared" si="127"/>
        <v>20090</v>
      </c>
    </row>
    <row r="2031" spans="1:22" x14ac:dyDescent="0.35">
      <c r="A2031">
        <v>89288</v>
      </c>
      <c r="B2031" t="s">
        <v>16</v>
      </c>
      <c r="C2031" t="s">
        <v>17</v>
      </c>
      <c r="D2031">
        <v>1243</v>
      </c>
      <c r="E2031">
        <v>414</v>
      </c>
      <c r="F2031">
        <v>507</v>
      </c>
      <c r="G2031">
        <v>9</v>
      </c>
      <c r="H2031">
        <v>15884</v>
      </c>
      <c r="I2031">
        <v>18</v>
      </c>
      <c r="J2031">
        <v>70</v>
      </c>
      <c r="K2031">
        <v>467</v>
      </c>
      <c r="L2031">
        <v>464</v>
      </c>
      <c r="M2031">
        <v>10.4</v>
      </c>
      <c r="N2031">
        <f>IFERROR(VLOOKUP(A2031,vlookup_table!$A:$G,2,FALSE),"")</f>
        <v>0</v>
      </c>
      <c r="O2031">
        <f>IFERROR(VLOOKUP(A2031,vlookup_table!$A:$G,4,FALSE),"")</f>
        <v>5308</v>
      </c>
      <c r="P2031" t="str">
        <f>IFERROR(VLOOKUP(A2031,vlookup_table!$A:$G,5,FALSE),"")</f>
        <v>S2</v>
      </c>
      <c r="Q2031">
        <f>IFERROR(VLOOKUP(A2031,vlookup_table!$A:$G,7,FALSE),"")</f>
        <v>15</v>
      </c>
      <c r="R2031">
        <f t="shared" si="124"/>
        <v>44</v>
      </c>
      <c r="S2031" t="str" cm="1">
        <f t="array" ref="S2031">IF(P2031="","",_xlfn.SWITCH(LEFT(P2031,1),"C","Ciudad","T","Pueblo","R","Rural","S","Suburbano","U","Urbano",""))</f>
        <v>Suburbano</v>
      </c>
      <c r="T2031" t="str">
        <f t="shared" si="125"/>
        <v>F</v>
      </c>
      <c r="U2031" t="str">
        <f t="shared" si="126"/>
        <v>IL</v>
      </c>
      <c r="V2031" t="str">
        <f t="shared" si="127"/>
        <v>15884</v>
      </c>
    </row>
    <row r="2032" spans="1:22" x14ac:dyDescent="0.35">
      <c r="A2032">
        <v>101676</v>
      </c>
      <c r="B2032" t="s">
        <v>36</v>
      </c>
      <c r="C2032" t="s">
        <v>14</v>
      </c>
      <c r="D2032">
        <v>1162</v>
      </c>
      <c r="E2032">
        <v>529</v>
      </c>
      <c r="F2032">
        <v>612</v>
      </c>
      <c r="G2032">
        <v>7</v>
      </c>
      <c r="H2032">
        <v>18860</v>
      </c>
      <c r="I2032">
        <v>4</v>
      </c>
      <c r="J2032">
        <v>60</v>
      </c>
      <c r="K2032">
        <v>560</v>
      </c>
      <c r="L2032">
        <v>571</v>
      </c>
      <c r="M2032">
        <v>10.125</v>
      </c>
      <c r="N2032">
        <f>IFERROR(VLOOKUP(A2032,vlookup_table!$A:$G,2,FALSE),"")</f>
        <v>1</v>
      </c>
      <c r="O2032">
        <f>IFERROR(VLOOKUP(A2032,vlookup_table!$A:$G,4,FALSE),"")</f>
        <v>3405</v>
      </c>
      <c r="P2032" t="str">
        <f>IFERROR(VLOOKUP(A2032,vlookup_table!$A:$G,5,FALSE),"")</f>
        <v>C1</v>
      </c>
      <c r="Q2032">
        <f>IFERROR(VLOOKUP(A2032,vlookup_table!$A:$G,7,FALSE),"")</f>
        <v>15</v>
      </c>
      <c r="R2032">
        <f t="shared" si="124"/>
        <v>63</v>
      </c>
      <c r="S2032" t="str" cm="1">
        <f t="array" ref="S2032">IF(P2032="","",_xlfn.SWITCH(LEFT(P2032,1),"C","Ciudad","T","Pueblo","R","Rural","S","Suburbano","U","Urbano",""))</f>
        <v>Ciudad</v>
      </c>
      <c r="T2032" t="str">
        <f t="shared" si="125"/>
        <v>M</v>
      </c>
      <c r="U2032" t="str">
        <f t="shared" si="126"/>
        <v>MO</v>
      </c>
      <c r="V2032" t="str">
        <f t="shared" si="127"/>
        <v>18860</v>
      </c>
    </row>
    <row r="2033" spans="1:22" x14ac:dyDescent="0.35">
      <c r="A2033">
        <v>30051</v>
      </c>
      <c r="B2033" t="s">
        <v>39</v>
      </c>
      <c r="C2033" t="s">
        <v>17</v>
      </c>
      <c r="D2033">
        <v>359</v>
      </c>
      <c r="E2033">
        <v>205</v>
      </c>
      <c r="F2033">
        <v>292</v>
      </c>
      <c r="G2033">
        <v>0</v>
      </c>
      <c r="H2033">
        <v>9279</v>
      </c>
      <c r="I2033">
        <v>0</v>
      </c>
      <c r="J2033">
        <v>90</v>
      </c>
      <c r="K2033">
        <v>260</v>
      </c>
      <c r="L2033">
        <v>250</v>
      </c>
      <c r="M2033">
        <v>9</v>
      </c>
      <c r="N2033">
        <f>IFERROR(VLOOKUP(A2033,vlookup_table!$A:$G,2,FALSE),"")</f>
        <v>0</v>
      </c>
      <c r="O2033">
        <f>IFERROR(VLOOKUP(A2033,vlookup_table!$A:$G,4,FALSE),"")</f>
        <v>4501</v>
      </c>
      <c r="P2033">
        <f>IFERROR(VLOOKUP(A2033,vlookup_table!$A:$G,5,FALSE),"")</f>
        <v>0</v>
      </c>
      <c r="Q2033">
        <f>IFERROR(VLOOKUP(A2033,vlookup_table!$A:$G,7,FALSE),"")</f>
        <v>10</v>
      </c>
      <c r="R2033">
        <f t="shared" si="124"/>
        <v>52</v>
      </c>
      <c r="S2033" t="str" cm="1">
        <f t="array" ref="S2033">IF(P2033="","",_xlfn.SWITCH(LEFT(P2033,1),"C","Ciudad","T","Pueblo","R","Rural","S","Suburbano","U","Urbano",""))</f>
        <v/>
      </c>
      <c r="T2033" t="str">
        <f t="shared" si="125"/>
        <v>F</v>
      </c>
      <c r="U2033" t="str">
        <f t="shared" si="126"/>
        <v>GA</v>
      </c>
      <c r="V2033" t="str">
        <f t="shared" si="127"/>
        <v>9279</v>
      </c>
    </row>
    <row r="2034" spans="1:22" x14ac:dyDescent="0.35">
      <c r="A2034">
        <v>141500</v>
      </c>
      <c r="B2034" t="s">
        <v>24</v>
      </c>
      <c r="C2034" t="s">
        <v>14</v>
      </c>
      <c r="D2034">
        <v>720</v>
      </c>
      <c r="E2034">
        <v>328</v>
      </c>
      <c r="F2034">
        <v>381</v>
      </c>
      <c r="G2034">
        <v>0</v>
      </c>
      <c r="H2034">
        <v>12646</v>
      </c>
      <c r="I2034">
        <v>9</v>
      </c>
      <c r="J2034">
        <v>19</v>
      </c>
      <c r="K2034">
        <v>357</v>
      </c>
      <c r="L2034">
        <v>358</v>
      </c>
      <c r="M2034">
        <v>11.6</v>
      </c>
      <c r="N2034">
        <f>IFERROR(VLOOKUP(A2034,vlookup_table!$A:$G,2,FALSE),"")</f>
        <v>0</v>
      </c>
      <c r="O2034">
        <f>IFERROR(VLOOKUP(A2034,vlookup_table!$A:$G,4,FALSE),"")</f>
        <v>7001</v>
      </c>
      <c r="P2034" t="str">
        <f>IFERROR(VLOOKUP(A2034,vlookup_table!$A:$G,5,FALSE),"")</f>
        <v>S2</v>
      </c>
      <c r="Q2034">
        <f>IFERROR(VLOOKUP(A2034,vlookup_table!$A:$G,7,FALSE),"")</f>
        <v>18</v>
      </c>
      <c r="R2034">
        <f t="shared" si="124"/>
        <v>27</v>
      </c>
      <c r="S2034" t="str" cm="1">
        <f t="array" ref="S2034">IF(P2034="","",_xlfn.SWITCH(LEFT(P2034,1),"C","Ciudad","T","Pueblo","R","Rural","S","Suburbano","U","Urbano",""))</f>
        <v>Suburbano</v>
      </c>
      <c r="T2034" t="str">
        <f t="shared" si="125"/>
        <v>M</v>
      </c>
      <c r="U2034" t="str">
        <f t="shared" si="126"/>
        <v>NV</v>
      </c>
      <c r="V2034" t="str">
        <f t="shared" si="127"/>
        <v>12646</v>
      </c>
    </row>
    <row r="2035" spans="1:22" x14ac:dyDescent="0.35">
      <c r="A2035">
        <v>21599</v>
      </c>
      <c r="B2035" t="s">
        <v>46</v>
      </c>
      <c r="C2035" t="s">
        <v>14</v>
      </c>
      <c r="D2035">
        <v>1168</v>
      </c>
      <c r="E2035">
        <v>365</v>
      </c>
      <c r="F2035">
        <v>460</v>
      </c>
      <c r="G2035">
        <v>15</v>
      </c>
      <c r="H2035">
        <v>18128</v>
      </c>
      <c r="I2035">
        <v>1</v>
      </c>
      <c r="J2035">
        <v>68</v>
      </c>
      <c r="K2035">
        <v>430</v>
      </c>
      <c r="L2035">
        <v>403</v>
      </c>
      <c r="M2035">
        <v>5</v>
      </c>
      <c r="N2035">
        <f>IFERROR(VLOOKUP(A2035,vlookup_table!$A:$G,2,FALSE),"")</f>
        <v>1</v>
      </c>
      <c r="O2035">
        <f>IFERROR(VLOOKUP(A2035,vlookup_table!$A:$G,4,FALSE),"")</f>
        <v>0</v>
      </c>
      <c r="P2035" t="str">
        <f>IFERROR(VLOOKUP(A2035,vlookup_table!$A:$G,5,FALSE),"")</f>
        <v>T2</v>
      </c>
      <c r="Q2035">
        <f>IFERROR(VLOOKUP(A2035,vlookup_table!$A:$G,7,FALSE),"")</f>
        <v>7</v>
      </c>
      <c r="R2035">
        <f t="shared" si="124"/>
        <v>97</v>
      </c>
      <c r="S2035" t="str" cm="1">
        <f t="array" ref="S2035">IF(P2035="","",_xlfn.SWITCH(LEFT(P2035,1),"C","Ciudad","T","Pueblo","R","Rural","S","Suburbano","U","Urbano",""))</f>
        <v>Pueblo</v>
      </c>
      <c r="T2035" t="str">
        <f t="shared" si="125"/>
        <v>M</v>
      </c>
      <c r="U2035" t="str">
        <f t="shared" si="126"/>
        <v>SC</v>
      </c>
      <c r="V2035" t="str">
        <f t="shared" si="127"/>
        <v>18128</v>
      </c>
    </row>
    <row r="2036" spans="1:22" x14ac:dyDescent="0.35">
      <c r="A2036">
        <v>110789</v>
      </c>
      <c r="B2036" t="s">
        <v>49</v>
      </c>
      <c r="C2036" t="s">
        <v>17</v>
      </c>
      <c r="D2036">
        <v>324</v>
      </c>
      <c r="E2036">
        <v>129</v>
      </c>
      <c r="F2036">
        <v>277</v>
      </c>
      <c r="G2036">
        <v>1</v>
      </c>
      <c r="H2036">
        <v>9585</v>
      </c>
      <c r="I2036">
        <v>0</v>
      </c>
      <c r="J2036">
        <v>91</v>
      </c>
      <c r="K2036">
        <v>204</v>
      </c>
      <c r="L2036">
        <v>226</v>
      </c>
      <c r="M2036">
        <v>8.1999999999999993</v>
      </c>
      <c r="N2036">
        <f>IFERROR(VLOOKUP(A2036,vlookup_table!$A:$G,2,FALSE),"")</f>
        <v>2</v>
      </c>
      <c r="O2036">
        <f>IFERROR(VLOOKUP(A2036,vlookup_table!$A:$G,4,FALSE),"")</f>
        <v>2912</v>
      </c>
      <c r="P2036" t="str">
        <f>IFERROR(VLOOKUP(A2036,vlookup_table!$A:$G,5,FALSE),"")</f>
        <v>R2</v>
      </c>
      <c r="Q2036">
        <f>IFERROR(VLOOKUP(A2036,vlookup_table!$A:$G,7,FALSE),"")</f>
        <v>15</v>
      </c>
      <c r="R2036">
        <f t="shared" si="124"/>
        <v>68</v>
      </c>
      <c r="S2036" t="str" cm="1">
        <f t="array" ref="S2036">IF(P2036="","",_xlfn.SWITCH(LEFT(P2036,1),"C","Ciudad","T","Pueblo","R","Rural","S","Suburbano","U","Urbano",""))</f>
        <v>Rural</v>
      </c>
      <c r="T2036" t="str">
        <f t="shared" si="125"/>
        <v>F</v>
      </c>
      <c r="U2036" t="str">
        <f t="shared" si="126"/>
        <v>LA</v>
      </c>
      <c r="V2036" t="str">
        <f t="shared" si="127"/>
        <v>9585</v>
      </c>
    </row>
    <row r="2037" spans="1:22" x14ac:dyDescent="0.35">
      <c r="A2037">
        <v>139512</v>
      </c>
      <c r="B2037" t="s">
        <v>54</v>
      </c>
      <c r="C2037" t="s">
        <v>14</v>
      </c>
      <c r="D2037">
        <v>828</v>
      </c>
      <c r="E2037">
        <v>318</v>
      </c>
      <c r="F2037">
        <v>416</v>
      </c>
      <c r="G2037">
        <v>2</v>
      </c>
      <c r="H2037">
        <v>14887</v>
      </c>
      <c r="I2037">
        <v>4</v>
      </c>
      <c r="J2037">
        <v>39</v>
      </c>
      <c r="K2037">
        <v>368</v>
      </c>
      <c r="L2037">
        <v>366</v>
      </c>
      <c r="M2037">
        <v>20</v>
      </c>
      <c r="N2037">
        <f>IFERROR(VLOOKUP(A2037,vlookup_table!$A:$G,2,FALSE),"")</f>
        <v>1</v>
      </c>
      <c r="O2037">
        <f>IFERROR(VLOOKUP(A2037,vlookup_table!$A:$G,4,FALSE),"")</f>
        <v>0</v>
      </c>
      <c r="P2037" t="str">
        <f>IFERROR(VLOOKUP(A2037,vlookup_table!$A:$G,5,FALSE),"")</f>
        <v>S1</v>
      </c>
      <c r="Q2037">
        <f>IFERROR(VLOOKUP(A2037,vlookup_table!$A:$G,7,FALSE),"")</f>
        <v>20</v>
      </c>
      <c r="R2037">
        <f t="shared" si="124"/>
        <v>97</v>
      </c>
      <c r="S2037" t="str" cm="1">
        <f t="array" ref="S2037">IF(P2037="","",_xlfn.SWITCH(LEFT(P2037,1),"C","Ciudad","T","Pueblo","R","Rural","S","Suburbano","U","Urbano",""))</f>
        <v>Suburbano</v>
      </c>
      <c r="T2037" t="str">
        <f t="shared" si="125"/>
        <v>M</v>
      </c>
      <c r="U2037" t="str">
        <f t="shared" si="126"/>
        <v>NM</v>
      </c>
      <c r="V2037" t="str">
        <f t="shared" si="127"/>
        <v>14887</v>
      </c>
    </row>
    <row r="2038" spans="1:22" x14ac:dyDescent="0.35">
      <c r="A2038">
        <v>142662</v>
      </c>
      <c r="B2038" t="s">
        <v>22</v>
      </c>
      <c r="C2038" t="s">
        <v>17</v>
      </c>
      <c r="D2038">
        <v>1188</v>
      </c>
      <c r="E2038">
        <v>166</v>
      </c>
      <c r="F2038">
        <v>243</v>
      </c>
      <c r="G2038">
        <v>5</v>
      </c>
      <c r="H2038">
        <v>10014</v>
      </c>
      <c r="I2038">
        <v>10</v>
      </c>
      <c r="J2038">
        <v>34</v>
      </c>
      <c r="K2038">
        <v>218</v>
      </c>
      <c r="L2038">
        <v>194</v>
      </c>
      <c r="M2038">
        <v>8.3333333330000006</v>
      </c>
      <c r="N2038">
        <f>IFERROR(VLOOKUP(A2038,vlookup_table!$A:$G,2,FALSE),"")</f>
        <v>28</v>
      </c>
      <c r="O2038">
        <f>IFERROR(VLOOKUP(A2038,vlookup_table!$A:$G,4,FALSE),"")</f>
        <v>2401</v>
      </c>
      <c r="P2038" t="str">
        <f>IFERROR(VLOOKUP(A2038,vlookup_table!$A:$G,5,FALSE),"")</f>
        <v>U3</v>
      </c>
      <c r="Q2038">
        <f>IFERROR(VLOOKUP(A2038,vlookup_table!$A:$G,7,FALSE),"")</f>
        <v>10</v>
      </c>
      <c r="R2038">
        <f t="shared" si="124"/>
        <v>73</v>
      </c>
      <c r="S2038" t="str" cm="1">
        <f t="array" ref="S2038">IF(P2038="","",_xlfn.SWITCH(LEFT(P2038,1),"C","Ciudad","T","Pueblo","R","Rural","S","Suburbano","U","Urbano",""))</f>
        <v>Urbano</v>
      </c>
      <c r="T2038" t="str">
        <f t="shared" si="125"/>
        <v>F</v>
      </c>
      <c r="U2038" t="str">
        <f t="shared" si="126"/>
        <v>CA</v>
      </c>
      <c r="V2038" t="str">
        <f t="shared" si="127"/>
        <v>10014</v>
      </c>
    </row>
    <row r="2039" spans="1:22" x14ac:dyDescent="0.35">
      <c r="A2039">
        <v>82920</v>
      </c>
      <c r="B2039" t="s">
        <v>56</v>
      </c>
      <c r="C2039" t="s">
        <v>17</v>
      </c>
      <c r="D2039">
        <v>915</v>
      </c>
      <c r="E2039">
        <v>469</v>
      </c>
      <c r="F2039">
        <v>566</v>
      </c>
      <c r="G2039">
        <v>0</v>
      </c>
      <c r="H2039">
        <v>17112</v>
      </c>
      <c r="I2039">
        <v>4</v>
      </c>
      <c r="J2039">
        <v>60</v>
      </c>
      <c r="K2039">
        <v>514</v>
      </c>
      <c r="L2039">
        <v>514</v>
      </c>
      <c r="M2039">
        <v>5.52631579</v>
      </c>
      <c r="N2039">
        <f>IFERROR(VLOOKUP(A2039,vlookup_table!$A:$G,2,FALSE),"")</f>
        <v>3</v>
      </c>
      <c r="O2039">
        <f>IFERROR(VLOOKUP(A2039,vlookup_table!$A:$G,4,FALSE),"")</f>
        <v>5601</v>
      </c>
      <c r="P2039" t="str">
        <f>IFERROR(VLOOKUP(A2039,vlookup_table!$A:$G,5,FALSE),"")</f>
        <v>S1</v>
      </c>
      <c r="Q2039">
        <f>IFERROR(VLOOKUP(A2039,vlookup_table!$A:$G,7,FALSE),"")</f>
        <v>5</v>
      </c>
      <c r="R2039">
        <f t="shared" si="124"/>
        <v>41</v>
      </c>
      <c r="S2039" t="str" cm="1">
        <f t="array" ref="S2039">IF(P2039="","",_xlfn.SWITCH(LEFT(P2039,1),"C","Ciudad","T","Pueblo","R","Rural","S","Suburbano","U","Urbano",""))</f>
        <v>Suburbano</v>
      </c>
      <c r="T2039" t="str">
        <f t="shared" si="125"/>
        <v>F</v>
      </c>
      <c r="U2039" t="str">
        <f t="shared" si="126"/>
        <v>MN</v>
      </c>
      <c r="V2039" t="str">
        <f t="shared" si="127"/>
        <v>17112</v>
      </c>
    </row>
    <row r="2040" spans="1:22" x14ac:dyDescent="0.35">
      <c r="A2040">
        <v>168186</v>
      </c>
      <c r="B2040" t="s">
        <v>22</v>
      </c>
      <c r="D2040">
        <v>2412</v>
      </c>
      <c r="E2040">
        <v>549</v>
      </c>
      <c r="F2040">
        <v>549</v>
      </c>
      <c r="G2040">
        <v>91</v>
      </c>
      <c r="H2040">
        <v>16642</v>
      </c>
      <c r="I2040">
        <v>17</v>
      </c>
      <c r="J2040">
        <v>55</v>
      </c>
      <c r="K2040">
        <v>534</v>
      </c>
      <c r="L2040">
        <v>564</v>
      </c>
      <c r="M2040">
        <v>20</v>
      </c>
      <c r="N2040">
        <f>IFERROR(VLOOKUP(A2040,vlookup_table!$A:$G,2,FALSE),"")</f>
        <v>0</v>
      </c>
      <c r="O2040">
        <f>IFERROR(VLOOKUP(A2040,vlookup_table!$A:$G,4,FALSE),"")</f>
        <v>0</v>
      </c>
      <c r="P2040" t="str">
        <f>IFERROR(VLOOKUP(A2040,vlookup_table!$A:$G,5,FALSE),"")</f>
        <v>U1</v>
      </c>
      <c r="Q2040">
        <f>IFERROR(VLOOKUP(A2040,vlookup_table!$A:$G,7,FALSE),"")</f>
        <v>10</v>
      </c>
      <c r="R2040">
        <f t="shared" si="124"/>
        <v>97</v>
      </c>
      <c r="S2040" t="str" cm="1">
        <f t="array" ref="S2040">IF(P2040="","",_xlfn.SWITCH(LEFT(P2040,1),"C","Ciudad","T","Pueblo","R","Rural","S","Suburbano","U","Urbano",""))</f>
        <v>Urbano</v>
      </c>
      <c r="T2040" t="str">
        <f t="shared" si="125"/>
        <v/>
      </c>
      <c r="U2040" t="str">
        <f t="shared" si="126"/>
        <v>CA</v>
      </c>
      <c r="V2040" t="str">
        <f t="shared" si="127"/>
        <v>16642</v>
      </c>
    </row>
    <row r="2041" spans="1:22" x14ac:dyDescent="0.35">
      <c r="A2041">
        <v>94503</v>
      </c>
      <c r="B2041" t="s">
        <v>16</v>
      </c>
      <c r="C2041" t="s">
        <v>17</v>
      </c>
      <c r="D2041">
        <v>550</v>
      </c>
      <c r="E2041">
        <v>157</v>
      </c>
      <c r="F2041">
        <v>217</v>
      </c>
      <c r="G2041">
        <v>3</v>
      </c>
      <c r="H2041">
        <v>6493</v>
      </c>
      <c r="I2041">
        <v>16</v>
      </c>
      <c r="J2041">
        <v>56</v>
      </c>
      <c r="K2041">
        <v>173</v>
      </c>
      <c r="L2041">
        <v>215</v>
      </c>
      <c r="M2041">
        <v>12.5</v>
      </c>
      <c r="N2041">
        <f>IFERROR(VLOOKUP(A2041,vlookup_table!$A:$G,2,FALSE),"")</f>
        <v>0</v>
      </c>
      <c r="O2041">
        <f>IFERROR(VLOOKUP(A2041,vlookup_table!$A:$G,4,FALSE),"")</f>
        <v>6201</v>
      </c>
      <c r="P2041" t="str">
        <f>IFERROR(VLOOKUP(A2041,vlookup_table!$A:$G,5,FALSE),"")</f>
        <v>U4</v>
      </c>
      <c r="Q2041">
        <f>IFERROR(VLOOKUP(A2041,vlookup_table!$A:$G,7,FALSE),"")</f>
        <v>10</v>
      </c>
      <c r="R2041">
        <f t="shared" si="124"/>
        <v>35</v>
      </c>
      <c r="S2041" t="str" cm="1">
        <f t="array" ref="S2041">IF(P2041="","",_xlfn.SWITCH(LEFT(P2041,1),"C","Ciudad","T","Pueblo","R","Rural","S","Suburbano","U","Urbano",""))</f>
        <v>Urbano</v>
      </c>
      <c r="T2041" t="str">
        <f t="shared" si="125"/>
        <v>F</v>
      </c>
      <c r="U2041" t="str">
        <f t="shared" si="126"/>
        <v>IL</v>
      </c>
      <c r="V2041" t="str">
        <f t="shared" si="127"/>
        <v>6493</v>
      </c>
    </row>
    <row r="2042" spans="1:22" x14ac:dyDescent="0.35">
      <c r="A2042">
        <v>167406</v>
      </c>
      <c r="B2042" t="s">
        <v>22</v>
      </c>
      <c r="C2042" t="s">
        <v>17</v>
      </c>
      <c r="D2042">
        <v>4135</v>
      </c>
      <c r="E2042">
        <v>602</v>
      </c>
      <c r="F2042">
        <v>694</v>
      </c>
      <c r="G2042">
        <v>97</v>
      </c>
      <c r="H2042">
        <v>33830</v>
      </c>
      <c r="I2042">
        <v>7</v>
      </c>
      <c r="J2042">
        <v>60</v>
      </c>
      <c r="K2042">
        <v>608</v>
      </c>
      <c r="L2042">
        <v>665</v>
      </c>
      <c r="M2042">
        <v>7</v>
      </c>
      <c r="N2042">
        <f>IFERROR(VLOOKUP(A2042,vlookup_table!$A:$G,2,FALSE),"")</f>
        <v>0</v>
      </c>
      <c r="O2042">
        <f>IFERROR(VLOOKUP(A2042,vlookup_table!$A:$G,4,FALSE),"")</f>
        <v>2601</v>
      </c>
      <c r="P2042" t="str">
        <f>IFERROR(VLOOKUP(A2042,vlookup_table!$A:$G,5,FALSE),"")</f>
        <v>U1</v>
      </c>
      <c r="Q2042">
        <f>IFERROR(VLOOKUP(A2042,vlookup_table!$A:$G,7,FALSE),"")</f>
        <v>7</v>
      </c>
      <c r="R2042">
        <f t="shared" si="124"/>
        <v>71</v>
      </c>
      <c r="S2042" t="str" cm="1">
        <f t="array" ref="S2042">IF(P2042="","",_xlfn.SWITCH(LEFT(P2042,1),"C","Ciudad","T","Pueblo","R","Rural","S","Suburbano","U","Urbano",""))</f>
        <v>Urbano</v>
      </c>
      <c r="T2042" t="str">
        <f t="shared" si="125"/>
        <v>F</v>
      </c>
      <c r="U2042" t="str">
        <f t="shared" si="126"/>
        <v>CA</v>
      </c>
      <c r="V2042" t="str">
        <f t="shared" si="127"/>
        <v>33830</v>
      </c>
    </row>
    <row r="2043" spans="1:22" x14ac:dyDescent="0.35">
      <c r="A2043">
        <v>170722</v>
      </c>
      <c r="B2043" t="s">
        <v>22</v>
      </c>
      <c r="C2043" t="s">
        <v>17</v>
      </c>
      <c r="D2043">
        <v>2043</v>
      </c>
      <c r="E2043">
        <v>296</v>
      </c>
      <c r="F2043">
        <v>598</v>
      </c>
      <c r="G2043">
        <v>52</v>
      </c>
      <c r="H2043">
        <v>15530</v>
      </c>
      <c r="I2043">
        <v>10</v>
      </c>
      <c r="J2043">
        <v>56</v>
      </c>
      <c r="K2043">
        <v>569</v>
      </c>
      <c r="L2043">
        <v>399</v>
      </c>
      <c r="M2043">
        <v>13.8</v>
      </c>
      <c r="N2043">
        <f>IFERROR(VLOOKUP(A2043,vlookup_table!$A:$G,2,FALSE),"")</f>
        <v>0</v>
      </c>
      <c r="O2043">
        <f>IFERROR(VLOOKUP(A2043,vlookup_table!$A:$G,4,FALSE),"")</f>
        <v>4001</v>
      </c>
      <c r="P2043" t="str">
        <f>IFERROR(VLOOKUP(A2043,vlookup_table!$A:$G,5,FALSE),"")</f>
        <v>C1</v>
      </c>
      <c r="Q2043">
        <f>IFERROR(VLOOKUP(A2043,vlookup_table!$A:$G,7,FALSE),"")</f>
        <v>20</v>
      </c>
      <c r="R2043">
        <f t="shared" si="124"/>
        <v>57</v>
      </c>
      <c r="S2043" t="str" cm="1">
        <f t="array" ref="S2043">IF(P2043="","",_xlfn.SWITCH(LEFT(P2043,1),"C","Ciudad","T","Pueblo","R","Rural","S","Suburbano","U","Urbano",""))</f>
        <v>Ciudad</v>
      </c>
      <c r="T2043" t="str">
        <f t="shared" si="125"/>
        <v>F</v>
      </c>
      <c r="U2043" t="str">
        <f t="shared" si="126"/>
        <v>CA</v>
      </c>
      <c r="V2043" t="str">
        <f t="shared" si="127"/>
        <v>15530</v>
      </c>
    </row>
    <row r="2044" spans="1:22" x14ac:dyDescent="0.35">
      <c r="A2044">
        <v>101989</v>
      </c>
      <c r="B2044" t="s">
        <v>36</v>
      </c>
      <c r="C2044" t="s">
        <v>17</v>
      </c>
      <c r="D2044">
        <v>523</v>
      </c>
      <c r="E2044">
        <v>314</v>
      </c>
      <c r="F2044">
        <v>350</v>
      </c>
      <c r="G2044">
        <v>0</v>
      </c>
      <c r="H2044">
        <v>11799</v>
      </c>
      <c r="I2044">
        <v>1</v>
      </c>
      <c r="J2044">
        <v>77</v>
      </c>
      <c r="K2044">
        <v>330</v>
      </c>
      <c r="L2044">
        <v>327</v>
      </c>
      <c r="M2044">
        <v>3.0625</v>
      </c>
      <c r="N2044">
        <f>IFERROR(VLOOKUP(A2044,vlookup_table!$A:$G,2,FALSE),"")</f>
        <v>0</v>
      </c>
      <c r="O2044">
        <f>IFERROR(VLOOKUP(A2044,vlookup_table!$A:$G,4,FALSE),"")</f>
        <v>2306</v>
      </c>
      <c r="P2044" t="str">
        <f>IFERROR(VLOOKUP(A2044,vlookup_table!$A:$G,5,FALSE),"")</f>
        <v>R2</v>
      </c>
      <c r="Q2044">
        <f>IFERROR(VLOOKUP(A2044,vlookup_table!$A:$G,7,FALSE),"")</f>
        <v>5</v>
      </c>
      <c r="R2044">
        <f t="shared" si="124"/>
        <v>74</v>
      </c>
      <c r="S2044" t="str" cm="1">
        <f t="array" ref="S2044">IF(P2044="","",_xlfn.SWITCH(LEFT(P2044,1),"C","Ciudad","T","Pueblo","R","Rural","S","Suburbano","U","Urbano",""))</f>
        <v>Rural</v>
      </c>
      <c r="T2044" t="str">
        <f t="shared" si="125"/>
        <v>F</v>
      </c>
      <c r="U2044" t="str">
        <f t="shared" si="126"/>
        <v>MO</v>
      </c>
      <c r="V2044" t="str">
        <f t="shared" si="127"/>
        <v>11799</v>
      </c>
    </row>
    <row r="2045" spans="1:22" x14ac:dyDescent="0.35">
      <c r="A2045">
        <v>66577</v>
      </c>
      <c r="B2045" t="s">
        <v>29</v>
      </c>
      <c r="C2045" t="s">
        <v>17</v>
      </c>
      <c r="D2045">
        <v>2417</v>
      </c>
      <c r="E2045">
        <v>575</v>
      </c>
      <c r="F2045">
        <v>905</v>
      </c>
      <c r="G2045">
        <v>69</v>
      </c>
      <c r="H2045">
        <v>34152</v>
      </c>
      <c r="I2045">
        <v>17</v>
      </c>
      <c r="J2045">
        <v>43</v>
      </c>
      <c r="K2045">
        <v>835</v>
      </c>
      <c r="L2045">
        <v>693</v>
      </c>
      <c r="M2045">
        <v>10.5</v>
      </c>
      <c r="N2045">
        <f>IFERROR(VLOOKUP(A2045,vlookup_table!$A:$G,2,FALSE),"")</f>
        <v>2</v>
      </c>
      <c r="O2045">
        <f>IFERROR(VLOOKUP(A2045,vlookup_table!$A:$G,4,FALSE),"")</f>
        <v>2001</v>
      </c>
      <c r="P2045" t="str">
        <f>IFERROR(VLOOKUP(A2045,vlookup_table!$A:$G,5,FALSE),"")</f>
        <v>S2</v>
      </c>
      <c r="Q2045">
        <f>IFERROR(VLOOKUP(A2045,vlookup_table!$A:$G,7,FALSE),"")</f>
        <v>10</v>
      </c>
      <c r="R2045">
        <f t="shared" si="124"/>
        <v>77</v>
      </c>
      <c r="S2045" t="str" cm="1">
        <f t="array" ref="S2045">IF(P2045="","",_xlfn.SWITCH(LEFT(P2045,1),"C","Ciudad","T","Pueblo","R","Rural","S","Suburbano","U","Urbano",""))</f>
        <v>Suburbano</v>
      </c>
      <c r="T2045" t="str">
        <f t="shared" si="125"/>
        <v>F</v>
      </c>
      <c r="U2045" t="str">
        <f t="shared" si="126"/>
        <v>MI</v>
      </c>
      <c r="V2045" t="str">
        <f t="shared" si="127"/>
        <v>34152</v>
      </c>
    </row>
    <row r="2046" spans="1:22" x14ac:dyDescent="0.35">
      <c r="A2046">
        <v>33003</v>
      </c>
      <c r="B2046" t="s">
        <v>13</v>
      </c>
      <c r="C2046" t="s">
        <v>17</v>
      </c>
      <c r="D2046">
        <v>831</v>
      </c>
      <c r="E2046">
        <v>242</v>
      </c>
      <c r="F2046">
        <v>333</v>
      </c>
      <c r="G2046">
        <v>1</v>
      </c>
      <c r="H2046">
        <v>19039</v>
      </c>
      <c r="I2046">
        <v>5</v>
      </c>
      <c r="J2046">
        <v>17</v>
      </c>
      <c r="K2046">
        <v>286</v>
      </c>
      <c r="L2046">
        <v>281</v>
      </c>
      <c r="M2046">
        <v>7.375</v>
      </c>
      <c r="N2046">
        <f>IFERROR(VLOOKUP(A2046,vlookup_table!$A:$G,2,FALSE),"")</f>
        <v>0</v>
      </c>
      <c r="O2046">
        <f>IFERROR(VLOOKUP(A2046,vlookup_table!$A:$G,4,FALSE),"")</f>
        <v>5201</v>
      </c>
      <c r="P2046" t="str">
        <f>IFERROR(VLOOKUP(A2046,vlookup_table!$A:$G,5,FALSE),"")</f>
        <v>C1</v>
      </c>
      <c r="Q2046">
        <f>IFERROR(VLOOKUP(A2046,vlookup_table!$A:$G,7,FALSE),"")</f>
        <v>8</v>
      </c>
      <c r="R2046">
        <f t="shared" si="124"/>
        <v>45</v>
      </c>
      <c r="S2046" t="str" cm="1">
        <f t="array" ref="S2046">IF(P2046="","",_xlfn.SWITCH(LEFT(P2046,1),"C","Ciudad","T","Pueblo","R","Rural","S","Suburbano","U","Urbano",""))</f>
        <v>Ciudad</v>
      </c>
      <c r="T2046" t="str">
        <f t="shared" si="125"/>
        <v>F</v>
      </c>
      <c r="U2046" t="str">
        <f t="shared" si="126"/>
        <v>FL</v>
      </c>
      <c r="V2046" t="str">
        <f t="shared" si="127"/>
        <v>19039</v>
      </c>
    </row>
    <row r="2047" spans="1:22" x14ac:dyDescent="0.35">
      <c r="A2047">
        <v>70216</v>
      </c>
      <c r="B2047" t="s">
        <v>29</v>
      </c>
      <c r="C2047" t="s">
        <v>14</v>
      </c>
      <c r="D2047">
        <v>364</v>
      </c>
      <c r="E2047">
        <v>312</v>
      </c>
      <c r="F2047">
        <v>315</v>
      </c>
      <c r="G2047">
        <v>1</v>
      </c>
      <c r="H2047">
        <v>9474</v>
      </c>
      <c r="I2047">
        <v>3</v>
      </c>
      <c r="J2047">
        <v>76</v>
      </c>
      <c r="K2047">
        <v>335</v>
      </c>
      <c r="L2047">
        <v>293</v>
      </c>
      <c r="M2047">
        <v>9.25</v>
      </c>
      <c r="N2047">
        <f>IFERROR(VLOOKUP(A2047,vlookup_table!$A:$G,2,FALSE),"")</f>
        <v>1</v>
      </c>
      <c r="O2047">
        <f>IFERROR(VLOOKUP(A2047,vlookup_table!$A:$G,4,FALSE),"")</f>
        <v>0</v>
      </c>
      <c r="P2047" t="str">
        <f>IFERROR(VLOOKUP(A2047,vlookup_table!$A:$G,5,FALSE),"")</f>
        <v>S3</v>
      </c>
      <c r="Q2047">
        <f>IFERROR(VLOOKUP(A2047,vlookup_table!$A:$G,7,FALSE),"")</f>
        <v>20</v>
      </c>
      <c r="R2047">
        <f t="shared" si="124"/>
        <v>97</v>
      </c>
      <c r="S2047" t="str" cm="1">
        <f t="array" ref="S2047">IF(P2047="","",_xlfn.SWITCH(LEFT(P2047,1),"C","Ciudad","T","Pueblo","R","Rural","S","Suburbano","U","Urbano",""))</f>
        <v>Suburbano</v>
      </c>
      <c r="T2047" t="str">
        <f t="shared" si="125"/>
        <v>M</v>
      </c>
      <c r="U2047" t="str">
        <f t="shared" si="126"/>
        <v>MI</v>
      </c>
      <c r="V2047" t="str">
        <f t="shared" si="127"/>
        <v>9474</v>
      </c>
    </row>
    <row r="2048" spans="1:22" x14ac:dyDescent="0.35">
      <c r="A2048">
        <v>43086</v>
      </c>
      <c r="B2048" t="s">
        <v>13</v>
      </c>
      <c r="C2048" t="s">
        <v>17</v>
      </c>
      <c r="D2048">
        <v>795</v>
      </c>
      <c r="E2048">
        <v>352</v>
      </c>
      <c r="F2048">
        <v>444</v>
      </c>
      <c r="G2048">
        <v>0</v>
      </c>
      <c r="H2048">
        <v>18613</v>
      </c>
      <c r="I2048">
        <v>6</v>
      </c>
      <c r="J2048">
        <v>12</v>
      </c>
      <c r="K2048">
        <v>406</v>
      </c>
      <c r="L2048">
        <v>397</v>
      </c>
      <c r="M2048">
        <v>7.3333333329999997</v>
      </c>
      <c r="N2048">
        <f>IFERROR(VLOOKUP(A2048,vlookup_table!$A:$G,2,FALSE),"")</f>
        <v>28</v>
      </c>
      <c r="O2048">
        <f>IFERROR(VLOOKUP(A2048,vlookup_table!$A:$G,4,FALSE),"")</f>
        <v>2501</v>
      </c>
      <c r="P2048" t="str">
        <f>IFERROR(VLOOKUP(A2048,vlookup_table!$A:$G,5,FALSE),"")</f>
        <v>C2</v>
      </c>
      <c r="Q2048">
        <f>IFERROR(VLOOKUP(A2048,vlookup_table!$A:$G,7,FALSE),"")</f>
        <v>20</v>
      </c>
      <c r="R2048">
        <f t="shared" si="124"/>
        <v>72</v>
      </c>
      <c r="S2048" t="str" cm="1">
        <f t="array" ref="S2048">IF(P2048="","",_xlfn.SWITCH(LEFT(P2048,1),"C","Ciudad","T","Pueblo","R","Rural","S","Suburbano","U","Urbano",""))</f>
        <v>Ciudad</v>
      </c>
      <c r="T2048" t="str">
        <f t="shared" si="125"/>
        <v>F</v>
      </c>
      <c r="U2048" t="str">
        <f t="shared" si="126"/>
        <v>FL</v>
      </c>
      <c r="V2048" t="str">
        <f t="shared" si="127"/>
        <v>18613</v>
      </c>
    </row>
    <row r="2049" spans="1:22" x14ac:dyDescent="0.35">
      <c r="A2049">
        <v>122110</v>
      </c>
      <c r="B2049" t="s">
        <v>21</v>
      </c>
      <c r="C2049" t="s">
        <v>30</v>
      </c>
      <c r="D2049">
        <v>408</v>
      </c>
      <c r="E2049">
        <v>254</v>
      </c>
      <c r="F2049">
        <v>324</v>
      </c>
      <c r="G2049">
        <v>0</v>
      </c>
      <c r="H2049">
        <v>8051</v>
      </c>
      <c r="I2049">
        <v>15</v>
      </c>
      <c r="J2049">
        <v>71</v>
      </c>
      <c r="K2049">
        <v>292</v>
      </c>
      <c r="L2049">
        <v>303</v>
      </c>
      <c r="M2049">
        <v>4.9375</v>
      </c>
      <c r="N2049">
        <f>IFERROR(VLOOKUP(A2049,vlookup_table!$A:$G,2,FALSE),"")</f>
        <v>0</v>
      </c>
      <c r="O2049">
        <f>IFERROR(VLOOKUP(A2049,vlookup_table!$A:$G,4,FALSE),"")</f>
        <v>6401</v>
      </c>
      <c r="P2049" t="str">
        <f>IFERROR(VLOOKUP(A2049,vlookup_table!$A:$G,5,FALSE),"")</f>
        <v>S3</v>
      </c>
      <c r="Q2049">
        <f>IFERROR(VLOOKUP(A2049,vlookup_table!$A:$G,7,FALSE),"")</f>
        <v>10</v>
      </c>
      <c r="R2049">
        <f t="shared" si="124"/>
        <v>33</v>
      </c>
      <c r="S2049" t="str" cm="1">
        <f t="array" ref="S2049">IF(P2049="","",_xlfn.SWITCH(LEFT(P2049,1),"C","Ciudad","T","Pueblo","R","Rural","S","Suburbano","U","Urbano",""))</f>
        <v>Suburbano</v>
      </c>
      <c r="T2049" t="str">
        <f t="shared" si="125"/>
        <v>U</v>
      </c>
      <c r="U2049" t="str">
        <f t="shared" si="126"/>
        <v>TX</v>
      </c>
      <c r="V2049" t="str">
        <f t="shared" si="127"/>
        <v>8051</v>
      </c>
    </row>
    <row r="2050" spans="1:22" x14ac:dyDescent="0.35">
      <c r="A2050">
        <v>150684</v>
      </c>
      <c r="B2050" t="s">
        <v>22</v>
      </c>
      <c r="C2050" t="s">
        <v>14</v>
      </c>
      <c r="D2050">
        <v>2476</v>
      </c>
      <c r="E2050">
        <v>366</v>
      </c>
      <c r="F2050">
        <v>537</v>
      </c>
      <c r="G2050">
        <v>71</v>
      </c>
      <c r="H2050">
        <v>15702</v>
      </c>
      <c r="I2050">
        <v>50</v>
      </c>
      <c r="J2050">
        <v>38</v>
      </c>
      <c r="K2050">
        <v>453</v>
      </c>
      <c r="L2050">
        <v>470</v>
      </c>
      <c r="M2050">
        <v>17.666666670000001</v>
      </c>
      <c r="N2050">
        <f>IFERROR(VLOOKUP(A2050,vlookup_table!$A:$G,2,FALSE),"")</f>
        <v>1</v>
      </c>
      <c r="O2050">
        <f>IFERROR(VLOOKUP(A2050,vlookup_table!$A:$G,4,FALSE),"")</f>
        <v>0</v>
      </c>
      <c r="P2050">
        <f>IFERROR(VLOOKUP(A2050,vlookup_table!$A:$G,5,FALSE),"")</f>
        <v>0</v>
      </c>
      <c r="Q2050">
        <f>IFERROR(VLOOKUP(A2050,vlookup_table!$A:$G,7,FALSE),"")</f>
        <v>34</v>
      </c>
      <c r="R2050">
        <f t="shared" ref="R2050:R2113" si="128">IF(O2050="","",97-INT(O2050/100))</f>
        <v>97</v>
      </c>
      <c r="S2050" t="str" cm="1">
        <f t="array" ref="S2050">IF(P2050="","",_xlfn.SWITCH(LEFT(P2050,1),"C","Ciudad","T","Pueblo","R","Rural","S","Suburbano","U","Urbano",""))</f>
        <v/>
      </c>
      <c r="T2050" t="str">
        <f t="shared" ref="T2050:T2113" si="129">IF(C2050="","",IF(OR(UPPER(C2050)="M",UPPER(C2050)="MALE"),"M",IF(OR(UPPER(C2050)="F",UPPER(C2050)="FEMALE",UPPER(C2050)="FEAMALE"),"F",C2050)))</f>
        <v>M</v>
      </c>
      <c r="U2050" t="str">
        <f t="shared" ref="U2050:U2113" si="130">IF(OR(UPPER(B2050)="CALIFORNIA",UPPER(B2050)="CALI"),"CA",B2050)</f>
        <v>CA</v>
      </c>
      <c r="V2050" t="str">
        <f t="shared" ref="V2050:V2113" si="131">SUBSTITUTE(H2050,"@","")</f>
        <v>15702</v>
      </c>
    </row>
    <row r="2051" spans="1:22" x14ac:dyDescent="0.35">
      <c r="A2051">
        <v>162341</v>
      </c>
      <c r="B2051" t="s">
        <v>22</v>
      </c>
      <c r="C2051" t="s">
        <v>17</v>
      </c>
      <c r="D2051">
        <v>3693</v>
      </c>
      <c r="E2051">
        <v>358</v>
      </c>
      <c r="F2051">
        <v>442</v>
      </c>
      <c r="G2051">
        <v>97</v>
      </c>
      <c r="H2051">
        <v>16753</v>
      </c>
      <c r="I2051">
        <v>23</v>
      </c>
      <c r="J2051">
        <v>56</v>
      </c>
      <c r="K2051">
        <v>393</v>
      </c>
      <c r="L2051">
        <v>393</v>
      </c>
      <c r="M2051">
        <v>11.28571429</v>
      </c>
      <c r="N2051">
        <f>IFERROR(VLOOKUP(A2051,vlookup_table!$A:$G,2,FALSE),"")</f>
        <v>0</v>
      </c>
      <c r="O2051">
        <f>IFERROR(VLOOKUP(A2051,vlookup_table!$A:$G,4,FALSE),"")</f>
        <v>0</v>
      </c>
      <c r="P2051" t="str">
        <f>IFERROR(VLOOKUP(A2051,vlookup_table!$A:$G,5,FALSE),"")</f>
        <v>S1</v>
      </c>
      <c r="Q2051">
        <f>IFERROR(VLOOKUP(A2051,vlookup_table!$A:$G,7,FALSE),"")</f>
        <v>14</v>
      </c>
      <c r="R2051">
        <f t="shared" si="128"/>
        <v>97</v>
      </c>
      <c r="S2051" t="str" cm="1">
        <f t="array" ref="S2051">IF(P2051="","",_xlfn.SWITCH(LEFT(P2051,1),"C","Ciudad","T","Pueblo","R","Rural","S","Suburbano","U","Urbano",""))</f>
        <v>Suburbano</v>
      </c>
      <c r="T2051" t="str">
        <f t="shared" si="129"/>
        <v>F</v>
      </c>
      <c r="U2051" t="str">
        <f t="shared" si="130"/>
        <v>CA</v>
      </c>
      <c r="V2051" t="str">
        <f t="shared" si="131"/>
        <v>16753</v>
      </c>
    </row>
    <row r="2052" spans="1:22" x14ac:dyDescent="0.35">
      <c r="A2052">
        <v>56407</v>
      </c>
      <c r="B2052" t="s">
        <v>57</v>
      </c>
      <c r="C2052" t="s">
        <v>17</v>
      </c>
      <c r="D2052">
        <v>382</v>
      </c>
      <c r="E2052">
        <v>173</v>
      </c>
      <c r="F2052">
        <v>259</v>
      </c>
      <c r="G2052">
        <v>0</v>
      </c>
      <c r="H2052">
        <v>9037</v>
      </c>
      <c r="I2052">
        <v>0</v>
      </c>
      <c r="J2052">
        <v>92</v>
      </c>
      <c r="K2052">
        <v>211</v>
      </c>
      <c r="L2052">
        <v>233</v>
      </c>
      <c r="M2052">
        <v>10.64705882</v>
      </c>
      <c r="N2052">
        <f>IFERROR(VLOOKUP(A2052,vlookup_table!$A:$G,2,FALSE),"")</f>
        <v>0</v>
      </c>
      <c r="O2052">
        <f>IFERROR(VLOOKUP(A2052,vlookup_table!$A:$G,4,FALSE),"")</f>
        <v>2707</v>
      </c>
      <c r="P2052" t="str">
        <f>IFERROR(VLOOKUP(A2052,vlookup_table!$A:$G,5,FALSE),"")</f>
        <v>R3</v>
      </c>
      <c r="Q2052">
        <f>IFERROR(VLOOKUP(A2052,vlookup_table!$A:$G,7,FALSE),"")</f>
        <v>20</v>
      </c>
      <c r="R2052">
        <f t="shared" si="128"/>
        <v>70</v>
      </c>
      <c r="S2052" t="str" cm="1">
        <f t="array" ref="S2052">IF(P2052="","",_xlfn.SWITCH(LEFT(P2052,1),"C","Ciudad","T","Pueblo","R","Rural","S","Suburbano","U","Urbano",""))</f>
        <v>Rural</v>
      </c>
      <c r="T2052" t="str">
        <f t="shared" si="129"/>
        <v>F</v>
      </c>
      <c r="U2052" t="str">
        <f t="shared" si="130"/>
        <v>KY</v>
      </c>
      <c r="V2052" t="str">
        <f t="shared" si="131"/>
        <v>9037</v>
      </c>
    </row>
    <row r="2053" spans="1:22" x14ac:dyDescent="0.35">
      <c r="A2053">
        <v>188988</v>
      </c>
      <c r="B2053" t="s">
        <v>33</v>
      </c>
      <c r="D2053">
        <v>667</v>
      </c>
      <c r="E2053">
        <v>243</v>
      </c>
      <c r="F2053">
        <v>351</v>
      </c>
      <c r="G2053">
        <v>1</v>
      </c>
      <c r="H2053">
        <v>12239</v>
      </c>
      <c r="I2053">
        <v>2</v>
      </c>
      <c r="J2053">
        <v>70</v>
      </c>
      <c r="K2053">
        <v>311</v>
      </c>
      <c r="L2053">
        <v>298</v>
      </c>
      <c r="M2053">
        <v>6.2857142860000002</v>
      </c>
      <c r="N2053">
        <f>IFERROR(VLOOKUP(A2053,vlookup_table!$A:$G,2,FALSE),"")</f>
        <v>28</v>
      </c>
      <c r="O2053">
        <f>IFERROR(VLOOKUP(A2053,vlookup_table!$A:$G,4,FALSE),"")</f>
        <v>0</v>
      </c>
      <c r="P2053">
        <f>IFERROR(VLOOKUP(A2053,vlookup_table!$A:$G,5,FALSE),"")</f>
        <v>0</v>
      </c>
      <c r="Q2053">
        <f>IFERROR(VLOOKUP(A2053,vlookup_table!$A:$G,7,FALSE),"")</f>
        <v>7</v>
      </c>
      <c r="R2053">
        <f t="shared" si="128"/>
        <v>97</v>
      </c>
      <c r="S2053" t="str" cm="1">
        <f t="array" ref="S2053">IF(P2053="","",_xlfn.SWITCH(LEFT(P2053,1),"C","Ciudad","T","Pueblo","R","Rural","S","Suburbano","U","Urbano",""))</f>
        <v/>
      </c>
      <c r="T2053" t="str">
        <f t="shared" si="129"/>
        <v/>
      </c>
      <c r="U2053" t="str">
        <f t="shared" si="130"/>
        <v>IN</v>
      </c>
      <c r="V2053" t="str">
        <f t="shared" si="131"/>
        <v>12239</v>
      </c>
    </row>
    <row r="2054" spans="1:22" x14ac:dyDescent="0.35">
      <c r="A2054">
        <v>35581</v>
      </c>
      <c r="B2054" t="s">
        <v>13</v>
      </c>
      <c r="C2054" t="s">
        <v>14</v>
      </c>
      <c r="D2054">
        <v>906</v>
      </c>
      <c r="E2054">
        <v>296</v>
      </c>
      <c r="F2054">
        <v>473</v>
      </c>
      <c r="G2054">
        <v>3</v>
      </c>
      <c r="H2054">
        <v>16729</v>
      </c>
      <c r="I2054">
        <v>4</v>
      </c>
      <c r="J2054">
        <v>37</v>
      </c>
      <c r="K2054">
        <v>377</v>
      </c>
      <c r="L2054">
        <v>360</v>
      </c>
      <c r="M2054">
        <v>10.42857143</v>
      </c>
      <c r="N2054">
        <f>IFERROR(VLOOKUP(A2054,vlookup_table!$A:$G,2,FALSE),"")</f>
        <v>1</v>
      </c>
      <c r="O2054">
        <f>IFERROR(VLOOKUP(A2054,vlookup_table!$A:$G,4,FALSE),"")</f>
        <v>2812</v>
      </c>
      <c r="P2054" t="str">
        <f>IFERROR(VLOOKUP(A2054,vlookup_table!$A:$G,5,FALSE),"")</f>
        <v>S1</v>
      </c>
      <c r="Q2054">
        <f>IFERROR(VLOOKUP(A2054,vlookup_table!$A:$G,7,FALSE),"")</f>
        <v>15</v>
      </c>
      <c r="R2054">
        <f t="shared" si="128"/>
        <v>69</v>
      </c>
      <c r="S2054" t="str" cm="1">
        <f t="array" ref="S2054">IF(P2054="","",_xlfn.SWITCH(LEFT(P2054,1),"C","Ciudad","T","Pueblo","R","Rural","S","Suburbano","U","Urbano",""))</f>
        <v>Suburbano</v>
      </c>
      <c r="T2054" t="str">
        <f t="shared" si="129"/>
        <v>M</v>
      </c>
      <c r="U2054" t="str">
        <f t="shared" si="130"/>
        <v>FL</v>
      </c>
      <c r="V2054" t="str">
        <f t="shared" si="131"/>
        <v>16729</v>
      </c>
    </row>
    <row r="2055" spans="1:22" x14ac:dyDescent="0.35">
      <c r="A2055">
        <v>46358</v>
      </c>
      <c r="B2055" t="s">
        <v>13</v>
      </c>
      <c r="C2055" t="s">
        <v>14</v>
      </c>
      <c r="D2055">
        <v>715</v>
      </c>
      <c r="E2055">
        <v>362</v>
      </c>
      <c r="F2055">
        <v>408</v>
      </c>
      <c r="G2055">
        <v>0</v>
      </c>
      <c r="H2055">
        <v>12806</v>
      </c>
      <c r="I2055">
        <v>6</v>
      </c>
      <c r="J2055">
        <v>28</v>
      </c>
      <c r="K2055">
        <v>371</v>
      </c>
      <c r="L2055">
        <v>388</v>
      </c>
      <c r="M2055">
        <v>7.4666666670000001</v>
      </c>
      <c r="N2055">
        <f>IFERROR(VLOOKUP(A2055,vlookup_table!$A:$G,2,FALSE),"")</f>
        <v>1</v>
      </c>
      <c r="O2055">
        <f>IFERROR(VLOOKUP(A2055,vlookup_table!$A:$G,4,FALSE),"")</f>
        <v>1801</v>
      </c>
      <c r="P2055" t="str">
        <f>IFERROR(VLOOKUP(A2055,vlookup_table!$A:$G,5,FALSE),"")</f>
        <v>T2</v>
      </c>
      <c r="Q2055">
        <f>IFERROR(VLOOKUP(A2055,vlookup_table!$A:$G,7,FALSE),"")</f>
        <v>9</v>
      </c>
      <c r="R2055">
        <f t="shared" si="128"/>
        <v>79</v>
      </c>
      <c r="S2055" t="str" cm="1">
        <f t="array" ref="S2055">IF(P2055="","",_xlfn.SWITCH(LEFT(P2055,1),"C","Ciudad","T","Pueblo","R","Rural","S","Suburbano","U","Urbano",""))</f>
        <v>Pueblo</v>
      </c>
      <c r="T2055" t="str">
        <f t="shared" si="129"/>
        <v>M</v>
      </c>
      <c r="U2055" t="str">
        <f t="shared" si="130"/>
        <v>FL</v>
      </c>
      <c r="V2055" t="str">
        <f t="shared" si="131"/>
        <v>12806</v>
      </c>
    </row>
    <row r="2056" spans="1:22" x14ac:dyDescent="0.35">
      <c r="A2056">
        <v>109533</v>
      </c>
      <c r="B2056" t="s">
        <v>49</v>
      </c>
      <c r="C2056" t="s">
        <v>14</v>
      </c>
      <c r="D2056">
        <v>576</v>
      </c>
      <c r="E2056">
        <v>290</v>
      </c>
      <c r="F2056">
        <v>375</v>
      </c>
      <c r="G2056">
        <v>2</v>
      </c>
      <c r="H2056">
        <v>9596</v>
      </c>
      <c r="I2056">
        <v>1</v>
      </c>
      <c r="J2056">
        <v>66</v>
      </c>
      <c r="K2056">
        <v>318</v>
      </c>
      <c r="L2056">
        <v>339</v>
      </c>
      <c r="M2056">
        <v>7.5</v>
      </c>
      <c r="N2056">
        <f>IFERROR(VLOOKUP(A2056,vlookup_table!$A:$G,2,FALSE),"")</f>
        <v>0</v>
      </c>
      <c r="O2056">
        <f>IFERROR(VLOOKUP(A2056,vlookup_table!$A:$G,4,FALSE),"")</f>
        <v>3201</v>
      </c>
      <c r="P2056" t="str">
        <f>IFERROR(VLOOKUP(A2056,vlookup_table!$A:$G,5,FALSE),"")</f>
        <v>T2</v>
      </c>
      <c r="Q2056">
        <f>IFERROR(VLOOKUP(A2056,vlookup_table!$A:$G,7,FALSE),"")</f>
        <v>25</v>
      </c>
      <c r="R2056">
        <f t="shared" si="128"/>
        <v>65</v>
      </c>
      <c r="S2056" t="str" cm="1">
        <f t="array" ref="S2056">IF(P2056="","",_xlfn.SWITCH(LEFT(P2056,1),"C","Ciudad","T","Pueblo","R","Rural","S","Suburbano","U","Urbano",""))</f>
        <v>Pueblo</v>
      </c>
      <c r="T2056" t="str">
        <f t="shared" si="129"/>
        <v>M</v>
      </c>
      <c r="U2056" t="str">
        <f t="shared" si="130"/>
        <v>LA</v>
      </c>
      <c r="V2056" t="str">
        <f t="shared" si="131"/>
        <v>9596</v>
      </c>
    </row>
    <row r="2057" spans="1:22" x14ac:dyDescent="0.35">
      <c r="A2057">
        <v>81322</v>
      </c>
      <c r="B2057" t="s">
        <v>35</v>
      </c>
      <c r="C2057" t="s">
        <v>51</v>
      </c>
      <c r="D2057">
        <v>335</v>
      </c>
      <c r="E2057">
        <v>209</v>
      </c>
      <c r="F2057">
        <v>311</v>
      </c>
      <c r="G2057">
        <v>0</v>
      </c>
      <c r="H2057">
        <v>9461</v>
      </c>
      <c r="I2057">
        <v>1</v>
      </c>
      <c r="J2057">
        <v>88</v>
      </c>
      <c r="K2057">
        <v>252</v>
      </c>
      <c r="L2057">
        <v>268</v>
      </c>
      <c r="M2057">
        <v>10.05555556</v>
      </c>
      <c r="N2057">
        <f>IFERROR(VLOOKUP(A2057,vlookup_table!$A:$G,2,FALSE),"")</f>
        <v>1</v>
      </c>
      <c r="O2057">
        <f>IFERROR(VLOOKUP(A2057,vlookup_table!$A:$G,4,FALSE),"")</f>
        <v>0</v>
      </c>
      <c r="P2057" t="str">
        <f>IFERROR(VLOOKUP(A2057,vlookup_table!$A:$G,5,FALSE),"")</f>
        <v>R3</v>
      </c>
      <c r="Q2057">
        <f>IFERROR(VLOOKUP(A2057,vlookup_table!$A:$G,7,FALSE),"")</f>
        <v>15</v>
      </c>
      <c r="R2057">
        <f t="shared" si="128"/>
        <v>97</v>
      </c>
      <c r="S2057" t="str" cm="1">
        <f t="array" ref="S2057">IF(P2057="","",_xlfn.SWITCH(LEFT(P2057,1),"C","Ciudad","T","Pueblo","R","Rural","S","Suburbano","U","Urbano",""))</f>
        <v>Rural</v>
      </c>
      <c r="T2057" t="str">
        <f t="shared" si="129"/>
        <v>M</v>
      </c>
      <c r="U2057" t="str">
        <f t="shared" si="130"/>
        <v>WI</v>
      </c>
      <c r="V2057" t="str">
        <f t="shared" si="131"/>
        <v>9461</v>
      </c>
    </row>
    <row r="2058" spans="1:22" x14ac:dyDescent="0.35">
      <c r="A2058">
        <v>179275</v>
      </c>
      <c r="B2058" t="s">
        <v>40</v>
      </c>
      <c r="C2058" t="s">
        <v>17</v>
      </c>
      <c r="D2058">
        <v>1424</v>
      </c>
      <c r="E2058">
        <v>419</v>
      </c>
      <c r="F2058">
        <v>506</v>
      </c>
      <c r="G2058">
        <v>21</v>
      </c>
      <c r="H2058">
        <v>16767</v>
      </c>
      <c r="I2058">
        <v>4</v>
      </c>
      <c r="J2058">
        <v>56</v>
      </c>
      <c r="K2058">
        <v>446</v>
      </c>
      <c r="L2058">
        <v>477</v>
      </c>
      <c r="M2058">
        <v>9.1999999999999993</v>
      </c>
      <c r="N2058">
        <f>IFERROR(VLOOKUP(A2058,vlookup_table!$A:$G,2,FALSE),"")</f>
        <v>0</v>
      </c>
      <c r="O2058">
        <f>IFERROR(VLOOKUP(A2058,vlookup_table!$A:$G,4,FALSE),"")</f>
        <v>4501</v>
      </c>
      <c r="P2058" t="str">
        <f>IFERROR(VLOOKUP(A2058,vlookup_table!$A:$G,5,FALSE),"")</f>
        <v>T2</v>
      </c>
      <c r="Q2058">
        <f>IFERROR(VLOOKUP(A2058,vlookup_table!$A:$G,7,FALSE),"")</f>
        <v>25</v>
      </c>
      <c r="R2058">
        <f t="shared" si="128"/>
        <v>52</v>
      </c>
      <c r="S2058" t="str" cm="1">
        <f t="array" ref="S2058">IF(P2058="","",_xlfn.SWITCH(LEFT(P2058,1),"C","Ciudad","T","Pueblo","R","Rural","S","Suburbano","U","Urbano",""))</f>
        <v>Pueblo</v>
      </c>
      <c r="T2058" t="str">
        <f t="shared" si="129"/>
        <v>F</v>
      </c>
      <c r="U2058" t="str">
        <f t="shared" si="130"/>
        <v>WA</v>
      </c>
      <c r="V2058" t="str">
        <f t="shared" si="131"/>
        <v>16767</v>
      </c>
    </row>
    <row r="2059" spans="1:22" x14ac:dyDescent="0.35">
      <c r="A2059">
        <v>48691</v>
      </c>
      <c r="B2059" t="s">
        <v>43</v>
      </c>
      <c r="C2059" t="s">
        <v>17</v>
      </c>
      <c r="D2059">
        <v>733</v>
      </c>
      <c r="E2059">
        <v>316</v>
      </c>
      <c r="F2059">
        <v>412</v>
      </c>
      <c r="G2059">
        <v>0</v>
      </c>
      <c r="H2059">
        <v>19790</v>
      </c>
      <c r="I2059">
        <v>1</v>
      </c>
      <c r="J2059">
        <v>75</v>
      </c>
      <c r="K2059">
        <v>378</v>
      </c>
      <c r="L2059">
        <v>374</v>
      </c>
      <c r="M2059">
        <v>10</v>
      </c>
      <c r="N2059">
        <f>IFERROR(VLOOKUP(A2059,vlookup_table!$A:$G,2,FALSE),"")</f>
        <v>0</v>
      </c>
      <c r="O2059">
        <f>IFERROR(VLOOKUP(A2059,vlookup_table!$A:$G,4,FALSE),"")</f>
        <v>2702</v>
      </c>
      <c r="P2059" t="str">
        <f>IFERROR(VLOOKUP(A2059,vlookup_table!$A:$G,5,FALSE),"")</f>
        <v>C2</v>
      </c>
      <c r="Q2059">
        <f>IFERROR(VLOOKUP(A2059,vlookup_table!$A:$G,7,FALSE),"")</f>
        <v>20</v>
      </c>
      <c r="R2059">
        <f t="shared" si="128"/>
        <v>70</v>
      </c>
      <c r="S2059" t="str" cm="1">
        <f t="array" ref="S2059">IF(P2059="","",_xlfn.SWITCH(LEFT(P2059,1),"C","Ciudad","T","Pueblo","R","Rural","S","Suburbano","U","Urbano",""))</f>
        <v>Ciudad</v>
      </c>
      <c r="T2059" t="str">
        <f t="shared" si="129"/>
        <v>F</v>
      </c>
      <c r="U2059" t="str">
        <f t="shared" si="130"/>
        <v>AL</v>
      </c>
      <c r="V2059" t="str">
        <f t="shared" si="131"/>
        <v>19790</v>
      </c>
    </row>
    <row r="2060" spans="1:22" x14ac:dyDescent="0.35">
      <c r="A2060">
        <v>24420</v>
      </c>
      <c r="B2060" t="s">
        <v>46</v>
      </c>
      <c r="C2060" t="s">
        <v>17</v>
      </c>
      <c r="D2060">
        <v>1333</v>
      </c>
      <c r="E2060">
        <v>162</v>
      </c>
      <c r="F2060">
        <v>476</v>
      </c>
      <c r="G2060">
        <v>11</v>
      </c>
      <c r="H2060">
        <v>4738</v>
      </c>
      <c r="I2060">
        <v>2</v>
      </c>
      <c r="J2060">
        <v>29</v>
      </c>
      <c r="K2060">
        <v>451</v>
      </c>
      <c r="L2060">
        <v>234</v>
      </c>
      <c r="M2060">
        <v>8.625</v>
      </c>
      <c r="N2060">
        <f>IFERROR(VLOOKUP(A2060,vlookup_table!$A:$G,2,FALSE),"")</f>
        <v>4</v>
      </c>
      <c r="O2060">
        <f>IFERROR(VLOOKUP(A2060,vlookup_table!$A:$G,4,FALSE),"")</f>
        <v>4001</v>
      </c>
      <c r="P2060" t="str">
        <f>IFERROR(VLOOKUP(A2060,vlookup_table!$A:$G,5,FALSE),"")</f>
        <v>C1</v>
      </c>
      <c r="Q2060">
        <f>IFERROR(VLOOKUP(A2060,vlookup_table!$A:$G,7,FALSE),"")</f>
        <v>12</v>
      </c>
      <c r="R2060">
        <f t="shared" si="128"/>
        <v>57</v>
      </c>
      <c r="S2060" t="str" cm="1">
        <f t="array" ref="S2060">IF(P2060="","",_xlfn.SWITCH(LEFT(P2060,1),"C","Ciudad","T","Pueblo","R","Rural","S","Suburbano","U","Urbano",""))</f>
        <v>Ciudad</v>
      </c>
      <c r="T2060" t="str">
        <f t="shared" si="129"/>
        <v>F</v>
      </c>
      <c r="U2060" t="str">
        <f t="shared" si="130"/>
        <v>SC</v>
      </c>
      <c r="V2060" t="str">
        <f t="shared" si="131"/>
        <v>4738</v>
      </c>
    </row>
    <row r="2061" spans="1:22" x14ac:dyDescent="0.35">
      <c r="A2061">
        <v>165368</v>
      </c>
      <c r="B2061" t="s">
        <v>22</v>
      </c>
      <c r="C2061" t="s">
        <v>14</v>
      </c>
      <c r="D2061">
        <v>3899</v>
      </c>
      <c r="E2061">
        <v>733</v>
      </c>
      <c r="F2061">
        <v>811</v>
      </c>
      <c r="G2061">
        <v>97</v>
      </c>
      <c r="H2061">
        <v>28586</v>
      </c>
      <c r="I2061">
        <v>14</v>
      </c>
      <c r="J2061">
        <v>49</v>
      </c>
      <c r="K2061">
        <v>786</v>
      </c>
      <c r="L2061">
        <v>749</v>
      </c>
      <c r="M2061">
        <v>33.333333330000002</v>
      </c>
      <c r="N2061">
        <f>IFERROR(VLOOKUP(A2061,vlookup_table!$A:$G,2,FALSE),"")</f>
        <v>1</v>
      </c>
      <c r="O2061">
        <f>IFERROR(VLOOKUP(A2061,vlookup_table!$A:$G,4,FALSE),"")</f>
        <v>3201</v>
      </c>
      <c r="P2061" t="str">
        <f>IFERROR(VLOOKUP(A2061,vlookup_table!$A:$G,5,FALSE),"")</f>
        <v>S1</v>
      </c>
      <c r="Q2061">
        <f>IFERROR(VLOOKUP(A2061,vlookup_table!$A:$G,7,FALSE),"")</f>
        <v>20</v>
      </c>
      <c r="R2061">
        <f t="shared" si="128"/>
        <v>65</v>
      </c>
      <c r="S2061" t="str" cm="1">
        <f t="array" ref="S2061">IF(P2061="","",_xlfn.SWITCH(LEFT(P2061,1),"C","Ciudad","T","Pueblo","R","Rural","S","Suburbano","U","Urbano",""))</f>
        <v>Suburbano</v>
      </c>
      <c r="T2061" t="str">
        <f t="shared" si="129"/>
        <v>M</v>
      </c>
      <c r="U2061" t="str">
        <f t="shared" si="130"/>
        <v>CA</v>
      </c>
      <c r="V2061" t="str">
        <f t="shared" si="131"/>
        <v>28586</v>
      </c>
    </row>
    <row r="2062" spans="1:22" x14ac:dyDescent="0.35">
      <c r="A2062">
        <v>41545</v>
      </c>
      <c r="B2062" t="s">
        <v>13</v>
      </c>
      <c r="C2062" t="s">
        <v>14</v>
      </c>
      <c r="D2062">
        <v>658</v>
      </c>
      <c r="E2062">
        <v>373</v>
      </c>
      <c r="F2062">
        <v>436</v>
      </c>
      <c r="G2062">
        <v>0</v>
      </c>
      <c r="H2062">
        <v>14942</v>
      </c>
      <c r="I2062">
        <v>11</v>
      </c>
      <c r="J2062">
        <v>23</v>
      </c>
      <c r="K2062">
        <v>392</v>
      </c>
      <c r="L2062">
        <v>417</v>
      </c>
      <c r="M2062">
        <v>5.7894736839999998</v>
      </c>
      <c r="N2062">
        <f>IFERROR(VLOOKUP(A2062,vlookup_table!$A:$G,2,FALSE),"")</f>
        <v>1</v>
      </c>
      <c r="O2062">
        <f>IFERROR(VLOOKUP(A2062,vlookup_table!$A:$G,4,FALSE),"")</f>
        <v>0</v>
      </c>
      <c r="P2062" t="str">
        <f>IFERROR(VLOOKUP(A2062,vlookup_table!$A:$G,5,FALSE),"")</f>
        <v>S2</v>
      </c>
      <c r="Q2062">
        <f>IFERROR(VLOOKUP(A2062,vlookup_table!$A:$G,7,FALSE),"")</f>
        <v>5</v>
      </c>
      <c r="R2062">
        <f t="shared" si="128"/>
        <v>97</v>
      </c>
      <c r="S2062" t="str" cm="1">
        <f t="array" ref="S2062">IF(P2062="","",_xlfn.SWITCH(LEFT(P2062,1),"C","Ciudad","T","Pueblo","R","Rural","S","Suburbano","U","Urbano",""))</f>
        <v>Suburbano</v>
      </c>
      <c r="T2062" t="str">
        <f t="shared" si="129"/>
        <v>M</v>
      </c>
      <c r="U2062" t="str">
        <f t="shared" si="130"/>
        <v>FL</v>
      </c>
      <c r="V2062" t="str">
        <f t="shared" si="131"/>
        <v>14942</v>
      </c>
    </row>
    <row r="2063" spans="1:22" x14ac:dyDescent="0.35">
      <c r="A2063">
        <v>106235</v>
      </c>
      <c r="B2063" t="s">
        <v>28</v>
      </c>
      <c r="C2063" t="s">
        <v>14</v>
      </c>
      <c r="D2063">
        <v>498</v>
      </c>
      <c r="E2063">
        <v>273</v>
      </c>
      <c r="F2063">
        <v>346</v>
      </c>
      <c r="G2063">
        <v>0</v>
      </c>
      <c r="H2063">
        <v>12893</v>
      </c>
      <c r="I2063">
        <v>0</v>
      </c>
      <c r="J2063">
        <v>69</v>
      </c>
      <c r="K2063">
        <v>302</v>
      </c>
      <c r="L2063">
        <v>304</v>
      </c>
      <c r="M2063">
        <v>5</v>
      </c>
      <c r="N2063">
        <f>IFERROR(VLOOKUP(A2063,vlookup_table!$A:$G,2,FALSE),"")</f>
        <v>1</v>
      </c>
      <c r="O2063">
        <f>IFERROR(VLOOKUP(A2063,vlookup_table!$A:$G,4,FALSE),"")</f>
        <v>1801</v>
      </c>
      <c r="P2063" t="str">
        <f>IFERROR(VLOOKUP(A2063,vlookup_table!$A:$G,5,FALSE),"")</f>
        <v>T2</v>
      </c>
      <c r="Q2063">
        <f>IFERROR(VLOOKUP(A2063,vlookup_table!$A:$G,7,FALSE),"")</f>
        <v>5</v>
      </c>
      <c r="R2063">
        <f t="shared" si="128"/>
        <v>79</v>
      </c>
      <c r="S2063" t="str" cm="1">
        <f t="array" ref="S2063">IF(P2063="","",_xlfn.SWITCH(LEFT(P2063,1),"C","Ciudad","T","Pueblo","R","Rural","S","Suburbano","U","Urbano",""))</f>
        <v>Pueblo</v>
      </c>
      <c r="T2063" t="str">
        <f t="shared" si="129"/>
        <v>M</v>
      </c>
      <c r="U2063" t="str">
        <f t="shared" si="130"/>
        <v>KS</v>
      </c>
      <c r="V2063" t="str">
        <f t="shared" si="131"/>
        <v>12893</v>
      </c>
    </row>
    <row r="2064" spans="1:22" x14ac:dyDescent="0.35">
      <c r="A2064">
        <v>133640</v>
      </c>
      <c r="B2064" t="s">
        <v>41</v>
      </c>
      <c r="C2064" t="s">
        <v>14</v>
      </c>
      <c r="D2064">
        <v>793</v>
      </c>
      <c r="E2064">
        <v>359</v>
      </c>
      <c r="F2064">
        <v>505</v>
      </c>
      <c r="G2064">
        <v>16</v>
      </c>
      <c r="H2064">
        <v>19844</v>
      </c>
      <c r="I2064">
        <v>0</v>
      </c>
      <c r="J2064">
        <v>45</v>
      </c>
      <c r="K2064">
        <v>372</v>
      </c>
      <c r="L2064">
        <v>464</v>
      </c>
      <c r="M2064">
        <v>7.5</v>
      </c>
      <c r="N2064">
        <f>IFERROR(VLOOKUP(A2064,vlookup_table!$A:$G,2,FALSE),"")</f>
        <v>1</v>
      </c>
      <c r="O2064">
        <f>IFERROR(VLOOKUP(A2064,vlookup_table!$A:$G,4,FALSE),"")</f>
        <v>3210</v>
      </c>
      <c r="P2064" t="str">
        <f>IFERROR(VLOOKUP(A2064,vlookup_table!$A:$G,5,FALSE),"")</f>
        <v>C2</v>
      </c>
      <c r="Q2064">
        <f>IFERROR(VLOOKUP(A2064,vlookup_table!$A:$G,7,FALSE),"")</f>
        <v>10</v>
      </c>
      <c r="R2064">
        <f t="shared" si="128"/>
        <v>65</v>
      </c>
      <c r="S2064" t="str" cm="1">
        <f t="array" ref="S2064">IF(P2064="","",_xlfn.SWITCH(LEFT(P2064,1),"C","Ciudad","T","Pueblo","R","Rural","S","Suburbano","U","Urbano",""))</f>
        <v>Ciudad</v>
      </c>
      <c r="T2064" t="str">
        <f t="shared" si="129"/>
        <v>M</v>
      </c>
      <c r="U2064" t="str">
        <f t="shared" si="130"/>
        <v>ID</v>
      </c>
      <c r="V2064" t="str">
        <f t="shared" si="131"/>
        <v>19844</v>
      </c>
    </row>
    <row r="2065" spans="1:22" x14ac:dyDescent="0.35">
      <c r="A2065">
        <v>176443</v>
      </c>
      <c r="B2065" t="s">
        <v>50</v>
      </c>
      <c r="C2065" t="s">
        <v>17</v>
      </c>
      <c r="D2065">
        <v>641</v>
      </c>
      <c r="E2065">
        <v>291</v>
      </c>
      <c r="F2065">
        <v>391</v>
      </c>
      <c r="G2065">
        <v>1</v>
      </c>
      <c r="H2065">
        <v>12815</v>
      </c>
      <c r="I2065">
        <v>4</v>
      </c>
      <c r="J2065">
        <v>45</v>
      </c>
      <c r="K2065">
        <v>300</v>
      </c>
      <c r="L2065">
        <v>356</v>
      </c>
      <c r="M2065">
        <v>14</v>
      </c>
      <c r="N2065">
        <f>IFERROR(VLOOKUP(A2065,vlookup_table!$A:$G,2,FALSE),"")</f>
        <v>0</v>
      </c>
      <c r="O2065">
        <f>IFERROR(VLOOKUP(A2065,vlookup_table!$A:$G,4,FALSE),"")</f>
        <v>2103</v>
      </c>
      <c r="P2065" t="str">
        <f>IFERROR(VLOOKUP(A2065,vlookup_table!$A:$G,5,FALSE),"")</f>
        <v>R2</v>
      </c>
      <c r="Q2065">
        <f>IFERROR(VLOOKUP(A2065,vlookup_table!$A:$G,7,FALSE),"")</f>
        <v>10</v>
      </c>
      <c r="R2065">
        <f t="shared" si="128"/>
        <v>76</v>
      </c>
      <c r="S2065" t="str" cm="1">
        <f t="array" ref="S2065">IF(P2065="","",_xlfn.SWITCH(LEFT(P2065,1),"C","Ciudad","T","Pueblo","R","Rural","S","Suburbano","U","Urbano",""))</f>
        <v>Rural</v>
      </c>
      <c r="T2065" t="str">
        <f t="shared" si="129"/>
        <v>F</v>
      </c>
      <c r="U2065" t="str">
        <f t="shared" si="130"/>
        <v>OR</v>
      </c>
      <c r="V2065" t="str">
        <f t="shared" si="131"/>
        <v>12815</v>
      </c>
    </row>
    <row r="2066" spans="1:22" x14ac:dyDescent="0.35">
      <c r="A2066">
        <v>190976</v>
      </c>
      <c r="B2066" t="s">
        <v>55</v>
      </c>
      <c r="D2066">
        <v>558</v>
      </c>
      <c r="E2066">
        <v>298</v>
      </c>
      <c r="F2066">
        <v>345</v>
      </c>
      <c r="G2066">
        <v>0</v>
      </c>
      <c r="H2066">
        <v>10331</v>
      </c>
      <c r="I2066">
        <v>4</v>
      </c>
      <c r="J2066">
        <v>33</v>
      </c>
      <c r="K2066">
        <v>301</v>
      </c>
      <c r="L2066">
        <v>327</v>
      </c>
      <c r="M2066">
        <v>14.777777779999999</v>
      </c>
      <c r="N2066">
        <f>IFERROR(VLOOKUP(A2066,vlookup_table!$A:$G,2,FALSE),"")</f>
        <v>0</v>
      </c>
      <c r="O2066">
        <f>IFERROR(VLOOKUP(A2066,vlookup_table!$A:$G,4,FALSE),"")</f>
        <v>0</v>
      </c>
      <c r="P2066" t="str">
        <f>IFERROR(VLOOKUP(A2066,vlookup_table!$A:$G,5,FALSE),"")</f>
        <v>C2</v>
      </c>
      <c r="Q2066">
        <f>IFERROR(VLOOKUP(A2066,vlookup_table!$A:$G,7,FALSE),"")</f>
        <v>20</v>
      </c>
      <c r="R2066">
        <f t="shared" si="128"/>
        <v>97</v>
      </c>
      <c r="S2066" t="str" cm="1">
        <f t="array" ref="S2066">IF(P2066="","",_xlfn.SWITCH(LEFT(P2066,1),"C","Ciudad","T","Pueblo","R","Rural","S","Suburbano","U","Urbano",""))</f>
        <v>Ciudad</v>
      </c>
      <c r="T2066" t="str">
        <f t="shared" si="129"/>
        <v/>
      </c>
      <c r="U2066" t="str">
        <f t="shared" si="130"/>
        <v>AZ</v>
      </c>
      <c r="V2066" t="str">
        <f t="shared" si="131"/>
        <v>10331</v>
      </c>
    </row>
    <row r="2067" spans="1:22" x14ac:dyDescent="0.35">
      <c r="A2067">
        <v>145911</v>
      </c>
      <c r="B2067" t="s">
        <v>22</v>
      </c>
      <c r="C2067" t="s">
        <v>17</v>
      </c>
      <c r="D2067">
        <v>3314</v>
      </c>
      <c r="E2067">
        <v>781</v>
      </c>
      <c r="F2067">
        <v>828</v>
      </c>
      <c r="G2067">
        <v>99</v>
      </c>
      <c r="H2067">
        <v>25608</v>
      </c>
      <c r="I2067">
        <v>33</v>
      </c>
      <c r="J2067">
        <v>47</v>
      </c>
      <c r="K2067">
        <v>755</v>
      </c>
      <c r="L2067">
        <v>820</v>
      </c>
      <c r="M2067">
        <v>11.66666667</v>
      </c>
      <c r="N2067">
        <f>IFERROR(VLOOKUP(A2067,vlookup_table!$A:$G,2,FALSE),"")</f>
        <v>0</v>
      </c>
      <c r="O2067">
        <f>IFERROR(VLOOKUP(A2067,vlookup_table!$A:$G,4,FALSE),"")</f>
        <v>0</v>
      </c>
      <c r="P2067" t="str">
        <f>IFERROR(VLOOKUP(A2067,vlookup_table!$A:$G,5,FALSE),"")</f>
        <v>S1</v>
      </c>
      <c r="Q2067">
        <f>IFERROR(VLOOKUP(A2067,vlookup_table!$A:$G,7,FALSE),"")</f>
        <v>10</v>
      </c>
      <c r="R2067">
        <f t="shared" si="128"/>
        <v>97</v>
      </c>
      <c r="S2067" t="str" cm="1">
        <f t="array" ref="S2067">IF(P2067="","",_xlfn.SWITCH(LEFT(P2067,1),"C","Ciudad","T","Pueblo","R","Rural","S","Suburbano","U","Urbano",""))</f>
        <v>Suburbano</v>
      </c>
      <c r="T2067" t="str">
        <f t="shared" si="129"/>
        <v>F</v>
      </c>
      <c r="U2067" t="str">
        <f t="shared" si="130"/>
        <v>CA</v>
      </c>
      <c r="V2067" t="str">
        <f t="shared" si="131"/>
        <v>25608</v>
      </c>
    </row>
    <row r="2068" spans="1:22" x14ac:dyDescent="0.35">
      <c r="A2068">
        <v>32984</v>
      </c>
      <c r="B2068" t="s">
        <v>26</v>
      </c>
      <c r="C2068" t="s">
        <v>27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9.5</v>
      </c>
      <c r="N2068">
        <f>IFERROR(VLOOKUP(A2068,vlookup_table!$A:$G,2,FALSE),"")</f>
        <v>1</v>
      </c>
      <c r="O2068">
        <f>IFERROR(VLOOKUP(A2068,vlookup_table!$A:$G,4,FALSE),"")</f>
        <v>0</v>
      </c>
      <c r="P2068" t="str">
        <f>IFERROR(VLOOKUP(A2068,vlookup_table!$A:$G,5,FALSE),"")</f>
        <v>S1</v>
      </c>
      <c r="Q2068">
        <f>IFERROR(VLOOKUP(A2068,vlookup_table!$A:$G,7,FALSE),"")</f>
        <v>8</v>
      </c>
      <c r="R2068">
        <f t="shared" si="128"/>
        <v>97</v>
      </c>
      <c r="S2068" t="str" cm="1">
        <f t="array" ref="S2068">IF(P2068="","",_xlfn.SWITCH(LEFT(P2068,1),"C","Ciudad","T","Pueblo","R","Rural","S","Suburbano","U","Urbano",""))</f>
        <v>Suburbano</v>
      </c>
      <c r="T2068" t="str">
        <f t="shared" si="129"/>
        <v>M</v>
      </c>
      <c r="U2068" t="str">
        <f t="shared" si="130"/>
        <v>AP</v>
      </c>
      <c r="V2068" t="str">
        <f t="shared" si="131"/>
        <v>0</v>
      </c>
    </row>
    <row r="2069" spans="1:22" x14ac:dyDescent="0.35">
      <c r="A2069">
        <v>67541</v>
      </c>
      <c r="B2069" t="s">
        <v>29</v>
      </c>
      <c r="C2069" t="s">
        <v>17</v>
      </c>
      <c r="D2069">
        <v>558</v>
      </c>
      <c r="E2069">
        <v>344</v>
      </c>
      <c r="F2069">
        <v>414</v>
      </c>
      <c r="G2069">
        <v>0</v>
      </c>
      <c r="H2069">
        <v>14032</v>
      </c>
      <c r="I2069">
        <v>0</v>
      </c>
      <c r="J2069">
        <v>69</v>
      </c>
      <c r="K2069">
        <v>366</v>
      </c>
      <c r="L2069">
        <v>398</v>
      </c>
      <c r="M2069">
        <v>6.3636363640000004</v>
      </c>
      <c r="N2069">
        <f>IFERROR(VLOOKUP(A2069,vlookup_table!$A:$G,2,FALSE),"")</f>
        <v>28</v>
      </c>
      <c r="O2069">
        <f>IFERROR(VLOOKUP(A2069,vlookup_table!$A:$G,4,FALSE),"")</f>
        <v>5601</v>
      </c>
      <c r="P2069" t="str">
        <f>IFERROR(VLOOKUP(A2069,vlookup_table!$A:$G,5,FALSE),"")</f>
        <v>C2</v>
      </c>
      <c r="Q2069">
        <f>IFERROR(VLOOKUP(A2069,vlookup_table!$A:$G,7,FALSE),"")</f>
        <v>7</v>
      </c>
      <c r="R2069">
        <f t="shared" si="128"/>
        <v>41</v>
      </c>
      <c r="S2069" t="str" cm="1">
        <f t="array" ref="S2069">IF(P2069="","",_xlfn.SWITCH(LEFT(P2069,1),"C","Ciudad","T","Pueblo","R","Rural","S","Suburbano","U","Urbano",""))</f>
        <v>Ciudad</v>
      </c>
      <c r="T2069" t="str">
        <f t="shared" si="129"/>
        <v>F</v>
      </c>
      <c r="U2069" t="str">
        <f t="shared" si="130"/>
        <v>MI</v>
      </c>
      <c r="V2069" t="str">
        <f t="shared" si="131"/>
        <v>14032</v>
      </c>
    </row>
    <row r="2070" spans="1:22" x14ac:dyDescent="0.35">
      <c r="A2070">
        <v>86803</v>
      </c>
      <c r="B2070" t="s">
        <v>34</v>
      </c>
      <c r="C2070" t="s">
        <v>20</v>
      </c>
      <c r="D2070">
        <v>419</v>
      </c>
      <c r="E2070">
        <v>184</v>
      </c>
      <c r="F2070">
        <v>279</v>
      </c>
      <c r="G2070">
        <v>1</v>
      </c>
      <c r="H2070">
        <v>9682</v>
      </c>
      <c r="I2070">
        <v>1</v>
      </c>
      <c r="J2070">
        <v>63</v>
      </c>
      <c r="K2070">
        <v>214</v>
      </c>
      <c r="L2070">
        <v>253</v>
      </c>
      <c r="M2070">
        <v>7.3333333329999997</v>
      </c>
      <c r="N2070">
        <f>IFERROR(VLOOKUP(A2070,vlookup_table!$A:$G,2,FALSE),"")</f>
        <v>2</v>
      </c>
      <c r="O2070">
        <f>IFERROR(VLOOKUP(A2070,vlookup_table!$A:$G,4,FALSE),"")</f>
        <v>0</v>
      </c>
      <c r="P2070" t="str">
        <f>IFERROR(VLOOKUP(A2070,vlookup_table!$A:$G,5,FALSE),"")</f>
        <v>R2</v>
      </c>
      <c r="Q2070">
        <f>IFERROR(VLOOKUP(A2070,vlookup_table!$A:$G,7,FALSE),"")</f>
        <v>10</v>
      </c>
      <c r="R2070">
        <f t="shared" si="128"/>
        <v>97</v>
      </c>
      <c r="S2070" t="str" cm="1">
        <f t="array" ref="S2070">IF(P2070="","",_xlfn.SWITCH(LEFT(P2070,1),"C","Ciudad","T","Pueblo","R","Rural","S","Suburbano","U","Urbano",""))</f>
        <v>Rural</v>
      </c>
      <c r="T2070" t="str">
        <f t="shared" si="129"/>
        <v>F</v>
      </c>
      <c r="U2070" t="str">
        <f t="shared" si="130"/>
        <v>MT</v>
      </c>
      <c r="V2070" t="str">
        <f t="shared" si="131"/>
        <v>9682</v>
      </c>
    </row>
    <row r="2071" spans="1:22" x14ac:dyDescent="0.35">
      <c r="A2071">
        <v>100324</v>
      </c>
      <c r="B2071" t="s">
        <v>36</v>
      </c>
      <c r="C2071" t="s">
        <v>17</v>
      </c>
      <c r="D2071">
        <v>1783</v>
      </c>
      <c r="E2071">
        <v>577</v>
      </c>
      <c r="F2071">
        <v>653</v>
      </c>
      <c r="G2071">
        <v>36</v>
      </c>
      <c r="H2071">
        <v>26826</v>
      </c>
      <c r="I2071">
        <v>0</v>
      </c>
      <c r="J2071">
        <v>62</v>
      </c>
      <c r="K2071">
        <v>603</v>
      </c>
      <c r="L2071">
        <v>609</v>
      </c>
      <c r="M2071">
        <v>20</v>
      </c>
      <c r="N2071">
        <f>IFERROR(VLOOKUP(A2071,vlookup_table!$A:$G,2,FALSE),"")</f>
        <v>0</v>
      </c>
      <c r="O2071">
        <f>IFERROR(VLOOKUP(A2071,vlookup_table!$A:$G,4,FALSE),"")</f>
        <v>4901</v>
      </c>
      <c r="P2071" t="str">
        <f>IFERROR(VLOOKUP(A2071,vlookup_table!$A:$G,5,FALSE),"")</f>
        <v>S1</v>
      </c>
      <c r="Q2071">
        <f>IFERROR(VLOOKUP(A2071,vlookup_table!$A:$G,7,FALSE),"")</f>
        <v>20</v>
      </c>
      <c r="R2071">
        <f t="shared" si="128"/>
        <v>48</v>
      </c>
      <c r="S2071" t="str" cm="1">
        <f t="array" ref="S2071">IF(P2071="","",_xlfn.SWITCH(LEFT(P2071,1),"C","Ciudad","T","Pueblo","R","Rural","S","Suburbano","U","Urbano",""))</f>
        <v>Suburbano</v>
      </c>
      <c r="T2071" t="str">
        <f t="shared" si="129"/>
        <v>F</v>
      </c>
      <c r="U2071" t="str">
        <f t="shared" si="130"/>
        <v>MO</v>
      </c>
      <c r="V2071" t="str">
        <f t="shared" si="131"/>
        <v>26826</v>
      </c>
    </row>
    <row r="2072" spans="1:22" x14ac:dyDescent="0.35">
      <c r="A2072">
        <v>132444</v>
      </c>
      <c r="B2072" t="s">
        <v>48</v>
      </c>
      <c r="C2072" t="s">
        <v>17</v>
      </c>
      <c r="D2072">
        <v>543</v>
      </c>
      <c r="E2072">
        <v>428</v>
      </c>
      <c r="F2072">
        <v>434</v>
      </c>
      <c r="G2072">
        <v>0</v>
      </c>
      <c r="H2072">
        <v>12010</v>
      </c>
      <c r="I2072">
        <v>1</v>
      </c>
      <c r="J2072">
        <v>55</v>
      </c>
      <c r="K2072">
        <v>431</v>
      </c>
      <c r="L2072">
        <v>421</v>
      </c>
      <c r="M2072">
        <v>15</v>
      </c>
      <c r="N2072">
        <f>IFERROR(VLOOKUP(A2072,vlookup_table!$A:$G,2,FALSE),"")</f>
        <v>0</v>
      </c>
      <c r="O2072">
        <f>IFERROR(VLOOKUP(A2072,vlookup_table!$A:$G,4,FALSE),"")</f>
        <v>4804</v>
      </c>
      <c r="P2072" t="str">
        <f>IFERROR(VLOOKUP(A2072,vlookup_table!$A:$G,5,FALSE),"")</f>
        <v>T2</v>
      </c>
      <c r="Q2072">
        <f>IFERROR(VLOOKUP(A2072,vlookup_table!$A:$G,7,FALSE),"")</f>
        <v>20</v>
      </c>
      <c r="R2072">
        <f t="shared" si="128"/>
        <v>49</v>
      </c>
      <c r="S2072" t="str" cm="1">
        <f t="array" ref="S2072">IF(P2072="","",_xlfn.SWITCH(LEFT(P2072,1),"C","Ciudad","T","Pueblo","R","Rural","S","Suburbano","U","Urbano",""))</f>
        <v>Pueblo</v>
      </c>
      <c r="T2072" t="str">
        <f t="shared" si="129"/>
        <v>F</v>
      </c>
      <c r="U2072" t="str">
        <f t="shared" si="130"/>
        <v>CO</v>
      </c>
      <c r="V2072" t="str">
        <f t="shared" si="131"/>
        <v>12010</v>
      </c>
    </row>
    <row r="2073" spans="1:22" x14ac:dyDescent="0.35">
      <c r="A2073">
        <v>107235</v>
      </c>
      <c r="B2073" t="s">
        <v>59</v>
      </c>
      <c r="C2073" t="s">
        <v>14</v>
      </c>
      <c r="D2073">
        <v>1344</v>
      </c>
      <c r="E2073">
        <v>639</v>
      </c>
      <c r="F2073">
        <v>758</v>
      </c>
      <c r="G2073">
        <v>12</v>
      </c>
      <c r="H2073">
        <v>27610</v>
      </c>
      <c r="I2073">
        <v>4</v>
      </c>
      <c r="J2073">
        <v>53</v>
      </c>
      <c r="K2073">
        <v>733</v>
      </c>
      <c r="L2073">
        <v>676</v>
      </c>
      <c r="M2073">
        <v>7.2142857139999998</v>
      </c>
      <c r="N2073">
        <f>IFERROR(VLOOKUP(A2073,vlookup_table!$A:$G,2,FALSE),"")</f>
        <v>1</v>
      </c>
      <c r="O2073">
        <f>IFERROR(VLOOKUP(A2073,vlookup_table!$A:$G,4,FALSE),"")</f>
        <v>3001</v>
      </c>
      <c r="P2073" t="str">
        <f>IFERROR(VLOOKUP(A2073,vlookup_table!$A:$G,5,FALSE),"")</f>
        <v>S1</v>
      </c>
      <c r="Q2073">
        <f>IFERROR(VLOOKUP(A2073,vlookup_table!$A:$G,7,FALSE),"")</f>
        <v>11</v>
      </c>
      <c r="R2073">
        <f t="shared" si="128"/>
        <v>67</v>
      </c>
      <c r="S2073" t="str" cm="1">
        <f t="array" ref="S2073">IF(P2073="","",_xlfn.SWITCH(LEFT(P2073,1),"C","Ciudad","T","Pueblo","R","Rural","S","Suburbano","U","Urbano",""))</f>
        <v>Suburbano</v>
      </c>
      <c r="T2073" t="str">
        <f t="shared" si="129"/>
        <v>M</v>
      </c>
      <c r="U2073" t="str">
        <f t="shared" si="130"/>
        <v>NE</v>
      </c>
      <c r="V2073" t="str">
        <f t="shared" si="131"/>
        <v>27610</v>
      </c>
    </row>
    <row r="2074" spans="1:22" x14ac:dyDescent="0.35">
      <c r="A2074">
        <v>67304</v>
      </c>
      <c r="B2074" t="s">
        <v>29</v>
      </c>
      <c r="C2074" t="s">
        <v>17</v>
      </c>
      <c r="D2074">
        <v>1335</v>
      </c>
      <c r="E2074">
        <v>597</v>
      </c>
      <c r="F2074">
        <v>724</v>
      </c>
      <c r="G2074">
        <v>24</v>
      </c>
      <c r="H2074">
        <v>28770</v>
      </c>
      <c r="I2074">
        <v>4</v>
      </c>
      <c r="J2074">
        <v>67</v>
      </c>
      <c r="K2074">
        <v>682</v>
      </c>
      <c r="L2074">
        <v>644</v>
      </c>
      <c r="M2074">
        <v>22.25</v>
      </c>
      <c r="N2074">
        <f>IFERROR(VLOOKUP(A2074,vlookup_table!$A:$G,2,FALSE),"")</f>
        <v>0</v>
      </c>
      <c r="O2074">
        <f>IFERROR(VLOOKUP(A2074,vlookup_table!$A:$G,4,FALSE),"")</f>
        <v>4802</v>
      </c>
      <c r="P2074" t="str">
        <f>IFERROR(VLOOKUP(A2074,vlookup_table!$A:$G,5,FALSE),"")</f>
        <v>T1</v>
      </c>
      <c r="Q2074">
        <f>IFERROR(VLOOKUP(A2074,vlookup_table!$A:$G,7,FALSE),"")</f>
        <v>20</v>
      </c>
      <c r="R2074">
        <f t="shared" si="128"/>
        <v>49</v>
      </c>
      <c r="S2074" t="str" cm="1">
        <f t="array" ref="S2074">IF(P2074="","",_xlfn.SWITCH(LEFT(P2074,1),"C","Ciudad","T","Pueblo","R","Rural","S","Suburbano","U","Urbano",""))</f>
        <v>Pueblo</v>
      </c>
      <c r="T2074" t="str">
        <f t="shared" si="129"/>
        <v>F</v>
      </c>
      <c r="U2074" t="str">
        <f t="shared" si="130"/>
        <v>MI</v>
      </c>
      <c r="V2074" t="str">
        <f t="shared" si="131"/>
        <v>28770</v>
      </c>
    </row>
    <row r="2075" spans="1:22" x14ac:dyDescent="0.35">
      <c r="A2075">
        <v>82040</v>
      </c>
      <c r="B2075" t="s">
        <v>35</v>
      </c>
      <c r="C2075" t="s">
        <v>51</v>
      </c>
      <c r="D2075">
        <v>493</v>
      </c>
      <c r="E2075">
        <v>213</v>
      </c>
      <c r="F2075">
        <v>294</v>
      </c>
      <c r="G2075">
        <v>1</v>
      </c>
      <c r="H2075">
        <v>10815</v>
      </c>
      <c r="I2075">
        <v>2</v>
      </c>
      <c r="J2075">
        <v>81</v>
      </c>
      <c r="K2075">
        <v>248</v>
      </c>
      <c r="L2075">
        <v>258</v>
      </c>
      <c r="M2075">
        <v>2.6744186050000001</v>
      </c>
      <c r="N2075">
        <f>IFERROR(VLOOKUP(A2075,vlookup_table!$A:$G,2,FALSE),"")</f>
        <v>1</v>
      </c>
      <c r="O2075">
        <f>IFERROR(VLOOKUP(A2075,vlookup_table!$A:$G,4,FALSE),"")</f>
        <v>2403</v>
      </c>
      <c r="P2075" t="str">
        <f>IFERROR(VLOOKUP(A2075,vlookup_table!$A:$G,5,FALSE),"")</f>
        <v>R2</v>
      </c>
      <c r="Q2075">
        <f>IFERROR(VLOOKUP(A2075,vlookup_table!$A:$G,7,FALSE),"")</f>
        <v>3</v>
      </c>
      <c r="R2075">
        <f t="shared" si="128"/>
        <v>73</v>
      </c>
      <c r="S2075" t="str" cm="1">
        <f t="array" ref="S2075">IF(P2075="","",_xlfn.SWITCH(LEFT(P2075,1),"C","Ciudad","T","Pueblo","R","Rural","S","Suburbano","U","Urbano",""))</f>
        <v>Rural</v>
      </c>
      <c r="T2075" t="str">
        <f t="shared" si="129"/>
        <v>M</v>
      </c>
      <c r="U2075" t="str">
        <f t="shared" si="130"/>
        <v>WI</v>
      </c>
      <c r="V2075" t="str">
        <f t="shared" si="131"/>
        <v>10815</v>
      </c>
    </row>
    <row r="2076" spans="1:22" x14ac:dyDescent="0.35">
      <c r="A2076">
        <v>43674</v>
      </c>
      <c r="B2076" t="s">
        <v>13</v>
      </c>
      <c r="C2076" t="s">
        <v>17</v>
      </c>
      <c r="D2076">
        <v>888</v>
      </c>
      <c r="E2076">
        <v>328</v>
      </c>
      <c r="F2076">
        <v>410</v>
      </c>
      <c r="G2076">
        <v>0</v>
      </c>
      <c r="H2076">
        <v>17342</v>
      </c>
      <c r="I2076">
        <v>5</v>
      </c>
      <c r="J2076">
        <v>13</v>
      </c>
      <c r="K2076">
        <v>368</v>
      </c>
      <c r="L2076">
        <v>371</v>
      </c>
      <c r="M2076">
        <v>5.7142857139999998</v>
      </c>
      <c r="N2076">
        <f>IFERROR(VLOOKUP(A2076,vlookup_table!$A:$G,2,FALSE),"")</f>
        <v>28</v>
      </c>
      <c r="O2076">
        <f>IFERROR(VLOOKUP(A2076,vlookup_table!$A:$G,4,FALSE),"")</f>
        <v>0</v>
      </c>
      <c r="P2076" t="str">
        <f>IFERROR(VLOOKUP(A2076,vlookup_table!$A:$G,5,FALSE),"")</f>
        <v>C2</v>
      </c>
      <c r="Q2076">
        <f>IFERROR(VLOOKUP(A2076,vlookup_table!$A:$G,7,FALSE),"")</f>
        <v>10</v>
      </c>
      <c r="R2076">
        <f t="shared" si="128"/>
        <v>97</v>
      </c>
      <c r="S2076" t="str" cm="1">
        <f t="array" ref="S2076">IF(P2076="","",_xlfn.SWITCH(LEFT(P2076,1),"C","Ciudad","T","Pueblo","R","Rural","S","Suburbano","U","Urbano",""))</f>
        <v>Ciudad</v>
      </c>
      <c r="T2076" t="str">
        <f t="shared" si="129"/>
        <v>F</v>
      </c>
      <c r="U2076" t="str">
        <f t="shared" si="130"/>
        <v>FL</v>
      </c>
      <c r="V2076" t="str">
        <f t="shared" si="131"/>
        <v>17342</v>
      </c>
    </row>
    <row r="2077" spans="1:22" x14ac:dyDescent="0.35">
      <c r="A2077">
        <v>159171</v>
      </c>
      <c r="B2077" t="s">
        <v>22</v>
      </c>
      <c r="C2077" t="s">
        <v>17</v>
      </c>
      <c r="D2077">
        <v>1968</v>
      </c>
      <c r="E2077">
        <v>416</v>
      </c>
      <c r="F2077">
        <v>496</v>
      </c>
      <c r="G2077">
        <v>45</v>
      </c>
      <c r="H2077">
        <v>16541</v>
      </c>
      <c r="I2077">
        <v>9</v>
      </c>
      <c r="J2077">
        <v>50</v>
      </c>
      <c r="K2077">
        <v>485</v>
      </c>
      <c r="L2077">
        <v>449</v>
      </c>
      <c r="M2077">
        <v>9.4</v>
      </c>
      <c r="N2077">
        <f>IFERROR(VLOOKUP(A2077,vlookup_table!$A:$G,2,FALSE),"")</f>
        <v>0</v>
      </c>
      <c r="O2077">
        <f>IFERROR(VLOOKUP(A2077,vlookup_table!$A:$G,4,FALSE),"")</f>
        <v>3308</v>
      </c>
      <c r="P2077" t="str">
        <f>IFERROR(VLOOKUP(A2077,vlookup_table!$A:$G,5,FALSE),"")</f>
        <v>C2</v>
      </c>
      <c r="Q2077">
        <f>IFERROR(VLOOKUP(A2077,vlookup_table!$A:$G,7,FALSE),"")</f>
        <v>15</v>
      </c>
      <c r="R2077">
        <f t="shared" si="128"/>
        <v>64</v>
      </c>
      <c r="S2077" t="str" cm="1">
        <f t="array" ref="S2077">IF(P2077="","",_xlfn.SWITCH(LEFT(P2077,1),"C","Ciudad","T","Pueblo","R","Rural","S","Suburbano","U","Urbano",""))</f>
        <v>Ciudad</v>
      </c>
      <c r="T2077" t="str">
        <f t="shared" si="129"/>
        <v>F</v>
      </c>
      <c r="U2077" t="str">
        <f t="shared" si="130"/>
        <v>CA</v>
      </c>
      <c r="V2077" t="str">
        <f t="shared" si="131"/>
        <v>16541</v>
      </c>
    </row>
    <row r="2078" spans="1:22" x14ac:dyDescent="0.35">
      <c r="A2078">
        <v>64400</v>
      </c>
      <c r="B2078" t="s">
        <v>33</v>
      </c>
      <c r="C2078" t="s">
        <v>14</v>
      </c>
      <c r="D2078">
        <v>1033</v>
      </c>
      <c r="E2078">
        <v>329</v>
      </c>
      <c r="F2078">
        <v>473</v>
      </c>
      <c r="G2078">
        <v>4</v>
      </c>
      <c r="H2078">
        <v>16482</v>
      </c>
      <c r="I2078">
        <v>14</v>
      </c>
      <c r="J2078">
        <v>47</v>
      </c>
      <c r="K2078">
        <v>460</v>
      </c>
      <c r="L2078">
        <v>376</v>
      </c>
      <c r="M2078">
        <v>15</v>
      </c>
      <c r="N2078">
        <f>IFERROR(VLOOKUP(A2078,vlookup_table!$A:$G,2,FALSE),"")</f>
        <v>1</v>
      </c>
      <c r="O2078">
        <f>IFERROR(VLOOKUP(A2078,vlookup_table!$A:$G,4,FALSE),"")</f>
        <v>5701</v>
      </c>
      <c r="P2078" t="str">
        <f>IFERROR(VLOOKUP(A2078,vlookup_table!$A:$G,5,FALSE),"")</f>
        <v>C1</v>
      </c>
      <c r="Q2078">
        <f>IFERROR(VLOOKUP(A2078,vlookup_table!$A:$G,7,FALSE),"")</f>
        <v>21</v>
      </c>
      <c r="R2078">
        <f t="shared" si="128"/>
        <v>40</v>
      </c>
      <c r="S2078" t="str" cm="1">
        <f t="array" ref="S2078">IF(P2078="","",_xlfn.SWITCH(LEFT(P2078,1),"C","Ciudad","T","Pueblo","R","Rural","S","Suburbano","U","Urbano",""))</f>
        <v>Ciudad</v>
      </c>
      <c r="T2078" t="str">
        <f t="shared" si="129"/>
        <v>M</v>
      </c>
      <c r="U2078" t="str">
        <f t="shared" si="130"/>
        <v>IN</v>
      </c>
      <c r="V2078" t="str">
        <f t="shared" si="131"/>
        <v>16482</v>
      </c>
    </row>
    <row r="2079" spans="1:22" x14ac:dyDescent="0.35">
      <c r="A2079">
        <v>11284</v>
      </c>
      <c r="B2079" t="s">
        <v>13</v>
      </c>
      <c r="C2079" t="s">
        <v>14</v>
      </c>
      <c r="D2079">
        <v>934</v>
      </c>
      <c r="E2079">
        <v>324</v>
      </c>
      <c r="F2079">
        <v>478</v>
      </c>
      <c r="G2079">
        <v>9</v>
      </c>
      <c r="H2079">
        <v>17408</v>
      </c>
      <c r="I2079">
        <v>4</v>
      </c>
      <c r="J2079">
        <v>11</v>
      </c>
      <c r="K2079">
        <v>391</v>
      </c>
      <c r="L2079">
        <v>404</v>
      </c>
      <c r="M2079">
        <v>6.3666666669999996</v>
      </c>
      <c r="N2079">
        <f>IFERROR(VLOOKUP(A2079,vlookup_table!$A:$G,2,FALSE),"")</f>
        <v>0</v>
      </c>
      <c r="O2079">
        <f>IFERROR(VLOOKUP(A2079,vlookup_table!$A:$G,4,FALSE),"")</f>
        <v>3201</v>
      </c>
      <c r="P2079" t="str">
        <f>IFERROR(VLOOKUP(A2079,vlookup_table!$A:$G,5,FALSE),"")</f>
        <v>C2</v>
      </c>
      <c r="Q2079">
        <f>IFERROR(VLOOKUP(A2079,vlookup_table!$A:$G,7,FALSE),"")</f>
        <v>4</v>
      </c>
      <c r="R2079">
        <f t="shared" si="128"/>
        <v>65</v>
      </c>
      <c r="S2079" t="str" cm="1">
        <f t="array" ref="S2079">IF(P2079="","",_xlfn.SWITCH(LEFT(P2079,1),"C","Ciudad","T","Pueblo","R","Rural","S","Suburbano","U","Urbano",""))</f>
        <v>Ciudad</v>
      </c>
      <c r="T2079" t="str">
        <f t="shared" si="129"/>
        <v>M</v>
      </c>
      <c r="U2079" t="str">
        <f t="shared" si="130"/>
        <v>FL</v>
      </c>
      <c r="V2079" t="str">
        <f t="shared" si="131"/>
        <v>17408</v>
      </c>
    </row>
    <row r="2080" spans="1:22" x14ac:dyDescent="0.35">
      <c r="A2080">
        <v>74419</v>
      </c>
      <c r="B2080" t="s">
        <v>29</v>
      </c>
      <c r="C2080" t="s">
        <v>17</v>
      </c>
      <c r="D2080">
        <v>578</v>
      </c>
      <c r="E2080">
        <v>242</v>
      </c>
      <c r="F2080">
        <v>328</v>
      </c>
      <c r="G2080">
        <v>1</v>
      </c>
      <c r="H2080">
        <v>12451</v>
      </c>
      <c r="I2080">
        <v>2</v>
      </c>
      <c r="J2080">
        <v>83</v>
      </c>
      <c r="K2080">
        <v>306</v>
      </c>
      <c r="L2080">
        <v>279</v>
      </c>
      <c r="M2080">
        <v>9.8571428569999995</v>
      </c>
      <c r="N2080">
        <f>IFERROR(VLOOKUP(A2080,vlookup_table!$A:$G,2,FALSE),"")</f>
        <v>0</v>
      </c>
      <c r="O2080">
        <f>IFERROR(VLOOKUP(A2080,vlookup_table!$A:$G,4,FALSE),"")</f>
        <v>0</v>
      </c>
      <c r="P2080" t="str">
        <f>IFERROR(VLOOKUP(A2080,vlookup_table!$A:$G,5,FALSE),"")</f>
        <v>T2</v>
      </c>
      <c r="Q2080">
        <f>IFERROR(VLOOKUP(A2080,vlookup_table!$A:$G,7,FALSE),"")</f>
        <v>10</v>
      </c>
      <c r="R2080">
        <f t="shared" si="128"/>
        <v>97</v>
      </c>
      <c r="S2080" t="str" cm="1">
        <f t="array" ref="S2080">IF(P2080="","",_xlfn.SWITCH(LEFT(P2080,1),"C","Ciudad","T","Pueblo","R","Rural","S","Suburbano","U","Urbano",""))</f>
        <v>Pueblo</v>
      </c>
      <c r="T2080" t="str">
        <f t="shared" si="129"/>
        <v>F</v>
      </c>
      <c r="U2080" t="str">
        <f t="shared" si="130"/>
        <v>MI</v>
      </c>
      <c r="V2080" t="str">
        <f t="shared" si="131"/>
        <v>12451</v>
      </c>
    </row>
    <row r="2081" spans="1:22" x14ac:dyDescent="0.35">
      <c r="A2081">
        <v>55840</v>
      </c>
      <c r="B2081" t="s">
        <v>62</v>
      </c>
      <c r="C2081" t="s">
        <v>14</v>
      </c>
      <c r="D2081">
        <v>406</v>
      </c>
      <c r="E2081">
        <v>240</v>
      </c>
      <c r="F2081">
        <v>265</v>
      </c>
      <c r="G2081">
        <v>0</v>
      </c>
      <c r="H2081">
        <v>6733</v>
      </c>
      <c r="I2081">
        <v>1</v>
      </c>
      <c r="J2081">
        <v>61</v>
      </c>
      <c r="K2081">
        <v>243</v>
      </c>
      <c r="L2081">
        <v>255</v>
      </c>
      <c r="M2081">
        <v>17.5</v>
      </c>
      <c r="N2081">
        <f>IFERROR(VLOOKUP(A2081,vlookup_table!$A:$G,2,FALSE),"")</f>
        <v>0</v>
      </c>
      <c r="O2081">
        <f>IFERROR(VLOOKUP(A2081,vlookup_table!$A:$G,4,FALSE),"")</f>
        <v>4701</v>
      </c>
      <c r="P2081" t="str">
        <f>IFERROR(VLOOKUP(A2081,vlookup_table!$A:$G,5,FALSE),"")</f>
        <v>T2</v>
      </c>
      <c r="Q2081">
        <f>IFERROR(VLOOKUP(A2081,vlookup_table!$A:$G,7,FALSE),"")</f>
        <v>16</v>
      </c>
      <c r="R2081">
        <f t="shared" si="128"/>
        <v>50</v>
      </c>
      <c r="S2081" t="str" cm="1">
        <f t="array" ref="S2081">IF(P2081="","",_xlfn.SWITCH(LEFT(P2081,1),"C","Ciudad","T","Pueblo","R","Rural","S","Suburbano","U","Urbano",""))</f>
        <v>Pueblo</v>
      </c>
      <c r="T2081" t="str">
        <f t="shared" si="129"/>
        <v>M</v>
      </c>
      <c r="U2081" t="str">
        <f t="shared" si="130"/>
        <v>MS</v>
      </c>
      <c r="V2081" t="str">
        <f t="shared" si="131"/>
        <v>6733</v>
      </c>
    </row>
    <row r="2082" spans="1:22" x14ac:dyDescent="0.35">
      <c r="A2082">
        <v>22176</v>
      </c>
      <c r="B2082" t="s">
        <v>18</v>
      </c>
      <c r="C2082" t="s">
        <v>14</v>
      </c>
      <c r="D2082">
        <v>474</v>
      </c>
      <c r="E2082">
        <v>163</v>
      </c>
      <c r="F2082">
        <v>253</v>
      </c>
      <c r="G2082">
        <v>1</v>
      </c>
      <c r="H2082">
        <v>10597</v>
      </c>
      <c r="I2082">
        <v>1</v>
      </c>
      <c r="J2082">
        <v>73</v>
      </c>
      <c r="K2082">
        <v>205</v>
      </c>
      <c r="L2082">
        <v>218</v>
      </c>
      <c r="M2082">
        <v>9.1333333329999995</v>
      </c>
      <c r="N2082">
        <f>IFERROR(VLOOKUP(A2082,vlookup_table!$A:$G,2,FALSE),"")</f>
        <v>1</v>
      </c>
      <c r="O2082">
        <f>IFERROR(VLOOKUP(A2082,vlookup_table!$A:$G,4,FALSE),"")</f>
        <v>0</v>
      </c>
      <c r="P2082" t="str">
        <f>IFERROR(VLOOKUP(A2082,vlookup_table!$A:$G,5,FALSE),"")</f>
        <v>R3</v>
      </c>
      <c r="Q2082">
        <f>IFERROR(VLOOKUP(A2082,vlookup_table!$A:$G,7,FALSE),"")</f>
        <v>12</v>
      </c>
      <c r="R2082">
        <f t="shared" si="128"/>
        <v>97</v>
      </c>
      <c r="S2082" t="str" cm="1">
        <f t="array" ref="S2082">IF(P2082="","",_xlfn.SWITCH(LEFT(P2082,1),"C","Ciudad","T","Pueblo","R","Rural","S","Suburbano","U","Urbano",""))</f>
        <v>Rural</v>
      </c>
      <c r="T2082" t="str">
        <f t="shared" si="129"/>
        <v>M</v>
      </c>
      <c r="U2082" t="str">
        <f t="shared" si="130"/>
        <v>NC</v>
      </c>
      <c r="V2082" t="str">
        <f t="shared" si="131"/>
        <v>10597</v>
      </c>
    </row>
    <row r="2083" spans="1:22" x14ac:dyDescent="0.35">
      <c r="A2083">
        <v>25678</v>
      </c>
      <c r="B2083" t="s">
        <v>13</v>
      </c>
      <c r="C2083" t="s">
        <v>14</v>
      </c>
      <c r="D2083">
        <v>721</v>
      </c>
      <c r="E2083">
        <v>302</v>
      </c>
      <c r="F2083">
        <v>365</v>
      </c>
      <c r="G2083">
        <v>2</v>
      </c>
      <c r="H2083">
        <v>12474</v>
      </c>
      <c r="I2083">
        <v>3</v>
      </c>
      <c r="J2083">
        <v>51</v>
      </c>
      <c r="K2083">
        <v>339</v>
      </c>
      <c r="L2083">
        <v>335</v>
      </c>
      <c r="M2083">
        <v>8.875</v>
      </c>
      <c r="N2083">
        <f>IFERROR(VLOOKUP(A2083,vlookup_table!$A:$G,2,FALSE),"")</f>
        <v>1</v>
      </c>
      <c r="O2083">
        <f>IFERROR(VLOOKUP(A2083,vlookup_table!$A:$G,4,FALSE),"")</f>
        <v>0</v>
      </c>
      <c r="P2083" t="str">
        <f>IFERROR(VLOOKUP(A2083,vlookup_table!$A:$G,5,FALSE),"")</f>
        <v>C1</v>
      </c>
      <c r="Q2083">
        <f>IFERROR(VLOOKUP(A2083,vlookup_table!$A:$G,7,FALSE),"")</f>
        <v>20</v>
      </c>
      <c r="R2083">
        <f t="shared" si="128"/>
        <v>97</v>
      </c>
      <c r="S2083" t="str" cm="1">
        <f t="array" ref="S2083">IF(P2083="","",_xlfn.SWITCH(LEFT(P2083,1),"C","Ciudad","T","Pueblo","R","Rural","S","Suburbano","U","Urbano",""))</f>
        <v>Ciudad</v>
      </c>
      <c r="T2083" t="str">
        <f t="shared" si="129"/>
        <v>M</v>
      </c>
      <c r="U2083" t="str">
        <f t="shared" si="130"/>
        <v>FL</v>
      </c>
      <c r="V2083" t="str">
        <f t="shared" si="131"/>
        <v>12474</v>
      </c>
    </row>
    <row r="2084" spans="1:22" x14ac:dyDescent="0.35">
      <c r="A2084">
        <v>107569</v>
      </c>
      <c r="B2084" t="s">
        <v>59</v>
      </c>
      <c r="C2084" t="s">
        <v>14</v>
      </c>
      <c r="D2084">
        <v>443</v>
      </c>
      <c r="E2084">
        <v>231</v>
      </c>
      <c r="F2084">
        <v>323</v>
      </c>
      <c r="G2084">
        <v>0</v>
      </c>
      <c r="H2084">
        <v>11042</v>
      </c>
      <c r="I2084">
        <v>1</v>
      </c>
      <c r="J2084">
        <v>79</v>
      </c>
      <c r="K2084">
        <v>288</v>
      </c>
      <c r="L2084">
        <v>281</v>
      </c>
      <c r="M2084">
        <v>36.111111110000003</v>
      </c>
      <c r="N2084">
        <f>IFERROR(VLOOKUP(A2084,vlookup_table!$A:$G,2,FALSE),"")</f>
        <v>1</v>
      </c>
      <c r="O2084">
        <f>IFERROR(VLOOKUP(A2084,vlookup_table!$A:$G,4,FALSE),"")</f>
        <v>4601</v>
      </c>
      <c r="P2084" t="str">
        <f>IFERROR(VLOOKUP(A2084,vlookup_table!$A:$G,5,FALSE),"")</f>
        <v>R2</v>
      </c>
      <c r="Q2084">
        <f>IFERROR(VLOOKUP(A2084,vlookup_table!$A:$G,7,FALSE),"")</f>
        <v>50</v>
      </c>
      <c r="R2084">
        <f t="shared" si="128"/>
        <v>51</v>
      </c>
      <c r="S2084" t="str" cm="1">
        <f t="array" ref="S2084">IF(P2084="","",_xlfn.SWITCH(LEFT(P2084,1),"C","Ciudad","T","Pueblo","R","Rural","S","Suburbano","U","Urbano",""))</f>
        <v>Rural</v>
      </c>
      <c r="T2084" t="str">
        <f t="shared" si="129"/>
        <v>M</v>
      </c>
      <c r="U2084" t="str">
        <f t="shared" si="130"/>
        <v>NE</v>
      </c>
      <c r="V2084" t="str">
        <f t="shared" si="131"/>
        <v>11042</v>
      </c>
    </row>
    <row r="2085" spans="1:22" x14ac:dyDescent="0.35">
      <c r="A2085">
        <v>70301</v>
      </c>
      <c r="B2085" t="s">
        <v>29</v>
      </c>
      <c r="C2085" t="s">
        <v>17</v>
      </c>
      <c r="D2085">
        <v>841</v>
      </c>
      <c r="E2085">
        <v>334</v>
      </c>
      <c r="F2085">
        <v>462</v>
      </c>
      <c r="G2085">
        <v>0</v>
      </c>
      <c r="H2085">
        <v>17676</v>
      </c>
      <c r="I2085">
        <v>2</v>
      </c>
      <c r="J2085">
        <v>79</v>
      </c>
      <c r="K2085">
        <v>409</v>
      </c>
      <c r="L2085">
        <v>378</v>
      </c>
      <c r="M2085">
        <v>10</v>
      </c>
      <c r="N2085">
        <f>IFERROR(VLOOKUP(A2085,vlookup_table!$A:$G,2,FALSE),"")</f>
        <v>2</v>
      </c>
      <c r="O2085">
        <f>IFERROR(VLOOKUP(A2085,vlookup_table!$A:$G,4,FALSE),"")</f>
        <v>3101</v>
      </c>
      <c r="P2085" t="str">
        <f>IFERROR(VLOOKUP(A2085,vlookup_table!$A:$G,5,FALSE),"")</f>
        <v>S1</v>
      </c>
      <c r="Q2085">
        <f>IFERROR(VLOOKUP(A2085,vlookup_table!$A:$G,7,FALSE),"")</f>
        <v>5</v>
      </c>
      <c r="R2085">
        <f t="shared" si="128"/>
        <v>66</v>
      </c>
      <c r="S2085" t="str" cm="1">
        <f t="array" ref="S2085">IF(P2085="","",_xlfn.SWITCH(LEFT(P2085,1),"C","Ciudad","T","Pueblo","R","Rural","S","Suburbano","U","Urbano",""))</f>
        <v>Suburbano</v>
      </c>
      <c r="T2085" t="str">
        <f t="shared" si="129"/>
        <v>F</v>
      </c>
      <c r="U2085" t="str">
        <f t="shared" si="130"/>
        <v>MI</v>
      </c>
      <c r="V2085" t="str">
        <f t="shared" si="131"/>
        <v>17676</v>
      </c>
    </row>
    <row r="2086" spans="1:22" x14ac:dyDescent="0.35">
      <c r="A2086">
        <v>39020</v>
      </c>
      <c r="B2086" t="s">
        <v>13</v>
      </c>
      <c r="C2086" t="s">
        <v>14</v>
      </c>
      <c r="D2086">
        <v>724</v>
      </c>
      <c r="E2086">
        <v>327</v>
      </c>
      <c r="F2086">
        <v>371</v>
      </c>
      <c r="G2086">
        <v>0</v>
      </c>
      <c r="H2086">
        <v>15784</v>
      </c>
      <c r="I2086">
        <v>19</v>
      </c>
      <c r="J2086">
        <v>25</v>
      </c>
      <c r="K2086">
        <v>384</v>
      </c>
      <c r="L2086">
        <v>319</v>
      </c>
      <c r="M2086">
        <v>12.5</v>
      </c>
      <c r="N2086">
        <f>IFERROR(VLOOKUP(A2086,vlookup_table!$A:$G,2,FALSE),"")</f>
        <v>1002</v>
      </c>
      <c r="O2086">
        <f>IFERROR(VLOOKUP(A2086,vlookup_table!$A:$G,4,FALSE),"")</f>
        <v>4801</v>
      </c>
      <c r="P2086" t="str">
        <f>IFERROR(VLOOKUP(A2086,vlookup_table!$A:$G,5,FALSE),"")</f>
        <v>S1</v>
      </c>
      <c r="Q2086">
        <f>IFERROR(VLOOKUP(A2086,vlookup_table!$A:$G,7,FALSE),"")</f>
        <v>21</v>
      </c>
      <c r="R2086">
        <f t="shared" si="128"/>
        <v>49</v>
      </c>
      <c r="S2086" t="str" cm="1">
        <f t="array" ref="S2086">IF(P2086="","",_xlfn.SWITCH(LEFT(P2086,1),"C","Ciudad","T","Pueblo","R","Rural","S","Suburbano","U","Urbano",""))</f>
        <v>Suburbano</v>
      </c>
      <c r="T2086" t="str">
        <f t="shared" si="129"/>
        <v>M</v>
      </c>
      <c r="U2086" t="str">
        <f t="shared" si="130"/>
        <v>FL</v>
      </c>
      <c r="V2086" t="str">
        <f t="shared" si="131"/>
        <v>15784</v>
      </c>
    </row>
    <row r="2087" spans="1:22" x14ac:dyDescent="0.35">
      <c r="A2087">
        <v>125906</v>
      </c>
      <c r="B2087" t="s">
        <v>21</v>
      </c>
      <c r="C2087" t="s">
        <v>17</v>
      </c>
      <c r="D2087">
        <v>924</v>
      </c>
      <c r="E2087">
        <v>414</v>
      </c>
      <c r="F2087">
        <v>438</v>
      </c>
      <c r="G2087">
        <v>1</v>
      </c>
      <c r="H2087">
        <v>14092</v>
      </c>
      <c r="I2087">
        <v>3</v>
      </c>
      <c r="J2087">
        <v>55</v>
      </c>
      <c r="K2087">
        <v>443</v>
      </c>
      <c r="L2087">
        <v>427</v>
      </c>
      <c r="M2087">
        <v>4.6666666670000003</v>
      </c>
      <c r="N2087">
        <f>IFERROR(VLOOKUP(A2087,vlookup_table!$A:$G,2,FALSE),"")</f>
        <v>1</v>
      </c>
      <c r="O2087">
        <f>IFERROR(VLOOKUP(A2087,vlookup_table!$A:$G,4,FALSE),"")</f>
        <v>2901</v>
      </c>
      <c r="P2087" t="str">
        <f>IFERROR(VLOOKUP(A2087,vlookup_table!$A:$G,5,FALSE),"")</f>
        <v>T1</v>
      </c>
      <c r="Q2087">
        <f>IFERROR(VLOOKUP(A2087,vlookup_table!$A:$G,7,FALSE),"")</f>
        <v>6</v>
      </c>
      <c r="R2087">
        <f t="shared" si="128"/>
        <v>68</v>
      </c>
      <c r="S2087" t="str" cm="1">
        <f t="array" ref="S2087">IF(P2087="","",_xlfn.SWITCH(LEFT(P2087,1),"C","Ciudad","T","Pueblo","R","Rural","S","Suburbano","U","Urbano",""))</f>
        <v>Pueblo</v>
      </c>
      <c r="T2087" t="str">
        <f t="shared" si="129"/>
        <v>F</v>
      </c>
      <c r="U2087" t="str">
        <f t="shared" si="130"/>
        <v>TX</v>
      </c>
      <c r="V2087" t="str">
        <f t="shared" si="131"/>
        <v>14092</v>
      </c>
    </row>
    <row r="2088" spans="1:22" x14ac:dyDescent="0.35">
      <c r="A2088">
        <v>23934</v>
      </c>
      <c r="B2088" t="s">
        <v>46</v>
      </c>
      <c r="C2088" t="s">
        <v>17</v>
      </c>
      <c r="D2088">
        <v>1056</v>
      </c>
      <c r="E2088">
        <v>405</v>
      </c>
      <c r="F2088">
        <v>485</v>
      </c>
      <c r="G2088">
        <v>5</v>
      </c>
      <c r="H2088">
        <v>15432</v>
      </c>
      <c r="I2088">
        <v>6</v>
      </c>
      <c r="J2088">
        <v>78</v>
      </c>
      <c r="K2088">
        <v>498</v>
      </c>
      <c r="L2088">
        <v>444</v>
      </c>
      <c r="M2088">
        <v>3.5892857139999998</v>
      </c>
      <c r="N2088">
        <f>IFERROR(VLOOKUP(A2088,vlookup_table!$A:$G,2,FALSE),"")</f>
        <v>2</v>
      </c>
      <c r="O2088">
        <f>IFERROR(VLOOKUP(A2088,vlookup_table!$A:$G,4,FALSE),"")</f>
        <v>5201</v>
      </c>
      <c r="P2088" t="str">
        <f>IFERROR(VLOOKUP(A2088,vlookup_table!$A:$G,5,FALSE),"")</f>
        <v>T2</v>
      </c>
      <c r="Q2088">
        <f>IFERROR(VLOOKUP(A2088,vlookup_table!$A:$G,7,FALSE),"")</f>
        <v>25</v>
      </c>
      <c r="R2088">
        <f t="shared" si="128"/>
        <v>45</v>
      </c>
      <c r="S2088" t="str" cm="1">
        <f t="array" ref="S2088">IF(P2088="","",_xlfn.SWITCH(LEFT(P2088,1),"C","Ciudad","T","Pueblo","R","Rural","S","Suburbano","U","Urbano",""))</f>
        <v>Pueblo</v>
      </c>
      <c r="T2088" t="str">
        <f t="shared" si="129"/>
        <v>F</v>
      </c>
      <c r="U2088" t="str">
        <f t="shared" si="130"/>
        <v>SC</v>
      </c>
      <c r="V2088" t="str">
        <f t="shared" si="131"/>
        <v>15432</v>
      </c>
    </row>
    <row r="2089" spans="1:22" x14ac:dyDescent="0.35">
      <c r="A2089">
        <v>112751</v>
      </c>
      <c r="B2089" t="s">
        <v>31</v>
      </c>
      <c r="C2089" t="s">
        <v>17</v>
      </c>
      <c r="D2089">
        <v>1017</v>
      </c>
      <c r="E2089">
        <v>672</v>
      </c>
      <c r="F2089">
        <v>673</v>
      </c>
      <c r="G2089">
        <v>2</v>
      </c>
      <c r="H2089">
        <v>18233</v>
      </c>
      <c r="I2089">
        <v>0</v>
      </c>
      <c r="J2089">
        <v>55</v>
      </c>
      <c r="K2089">
        <v>700</v>
      </c>
      <c r="L2089">
        <v>647</v>
      </c>
      <c r="M2089">
        <v>13.8</v>
      </c>
      <c r="N2089">
        <f>IFERROR(VLOOKUP(A2089,vlookup_table!$A:$G,2,FALSE),"")</f>
        <v>0</v>
      </c>
      <c r="O2089">
        <f>IFERROR(VLOOKUP(A2089,vlookup_table!$A:$G,4,FALSE),"")</f>
        <v>4201</v>
      </c>
      <c r="P2089" t="str">
        <f>IFERROR(VLOOKUP(A2089,vlookup_table!$A:$G,5,FALSE),"")</f>
        <v>T1</v>
      </c>
      <c r="Q2089">
        <f>IFERROR(VLOOKUP(A2089,vlookup_table!$A:$G,7,FALSE),"")</f>
        <v>50</v>
      </c>
      <c r="R2089">
        <f t="shared" si="128"/>
        <v>55</v>
      </c>
      <c r="S2089" t="str" cm="1">
        <f t="array" ref="S2089">IF(P2089="","",_xlfn.SWITCH(LEFT(P2089,1),"C","Ciudad","T","Pueblo","R","Rural","S","Suburbano","U","Urbano",""))</f>
        <v>Pueblo</v>
      </c>
      <c r="T2089" t="str">
        <f t="shared" si="129"/>
        <v>F</v>
      </c>
      <c r="U2089" t="str">
        <f t="shared" si="130"/>
        <v>OK</v>
      </c>
      <c r="V2089" t="str">
        <f t="shared" si="131"/>
        <v>18233</v>
      </c>
    </row>
    <row r="2090" spans="1:22" x14ac:dyDescent="0.35">
      <c r="A2090">
        <v>3651</v>
      </c>
      <c r="B2090" t="s">
        <v>29</v>
      </c>
      <c r="C2090" t="s">
        <v>17</v>
      </c>
      <c r="D2090">
        <v>668</v>
      </c>
      <c r="E2090">
        <v>300</v>
      </c>
      <c r="F2090">
        <v>385</v>
      </c>
      <c r="G2090">
        <v>8</v>
      </c>
      <c r="H2090">
        <v>14567</v>
      </c>
      <c r="I2090">
        <v>3</v>
      </c>
      <c r="J2090">
        <v>24</v>
      </c>
      <c r="K2090">
        <v>322</v>
      </c>
      <c r="L2090">
        <v>344</v>
      </c>
      <c r="M2090">
        <v>25.833333329999999</v>
      </c>
      <c r="N2090">
        <f>IFERROR(VLOOKUP(A2090,vlookup_table!$A:$G,2,FALSE),"")</f>
        <v>2</v>
      </c>
      <c r="O2090">
        <f>IFERROR(VLOOKUP(A2090,vlookup_table!$A:$G,4,FALSE),"")</f>
        <v>3001</v>
      </c>
      <c r="P2090">
        <f>IFERROR(VLOOKUP(A2090,vlookup_table!$A:$G,5,FALSE),"")</f>
        <v>0</v>
      </c>
      <c r="Q2090">
        <f>IFERROR(VLOOKUP(A2090,vlookup_table!$A:$G,7,FALSE),"")</f>
        <v>25</v>
      </c>
      <c r="R2090">
        <f t="shared" si="128"/>
        <v>67</v>
      </c>
      <c r="S2090" t="str" cm="1">
        <f t="array" ref="S2090">IF(P2090="","",_xlfn.SWITCH(LEFT(P2090,1),"C","Ciudad","T","Pueblo","R","Rural","S","Suburbano","U","Urbano",""))</f>
        <v/>
      </c>
      <c r="T2090" t="str">
        <f t="shared" si="129"/>
        <v>F</v>
      </c>
      <c r="U2090" t="str">
        <f t="shared" si="130"/>
        <v>MI</v>
      </c>
      <c r="V2090" t="str">
        <f t="shared" si="131"/>
        <v>14567</v>
      </c>
    </row>
    <row r="2091" spans="1:22" x14ac:dyDescent="0.35">
      <c r="A2091">
        <v>1068</v>
      </c>
      <c r="B2091" t="s">
        <v>22</v>
      </c>
      <c r="C2091" t="s">
        <v>17</v>
      </c>
      <c r="D2091">
        <v>3528</v>
      </c>
      <c r="E2091">
        <v>814</v>
      </c>
      <c r="F2091">
        <v>867</v>
      </c>
      <c r="G2091">
        <v>98</v>
      </c>
      <c r="H2091">
        <v>25564</v>
      </c>
      <c r="I2091">
        <v>18</v>
      </c>
      <c r="J2091">
        <v>43</v>
      </c>
      <c r="K2091">
        <v>808</v>
      </c>
      <c r="L2091">
        <v>867</v>
      </c>
      <c r="M2091">
        <v>6.1627906980000002</v>
      </c>
      <c r="N2091">
        <f>IFERROR(VLOOKUP(A2091,vlookup_table!$A:$G,2,FALSE),"")</f>
        <v>2</v>
      </c>
      <c r="O2091">
        <f>IFERROR(VLOOKUP(A2091,vlookup_table!$A:$G,4,FALSE),"")</f>
        <v>3103</v>
      </c>
      <c r="P2091" t="str">
        <f>IFERROR(VLOOKUP(A2091,vlookup_table!$A:$G,5,FALSE),"")</f>
        <v>S1</v>
      </c>
      <c r="Q2091">
        <f>IFERROR(VLOOKUP(A2091,vlookup_table!$A:$G,7,FALSE),"")</f>
        <v>5</v>
      </c>
      <c r="R2091">
        <f t="shared" si="128"/>
        <v>66</v>
      </c>
      <c r="S2091" t="str" cm="1">
        <f t="array" ref="S2091">IF(P2091="","",_xlfn.SWITCH(LEFT(P2091,1),"C","Ciudad","T","Pueblo","R","Rural","S","Suburbano","U","Urbano",""))</f>
        <v>Suburbano</v>
      </c>
      <c r="T2091" t="str">
        <f t="shared" si="129"/>
        <v>F</v>
      </c>
      <c r="U2091" t="str">
        <f t="shared" si="130"/>
        <v>CA</v>
      </c>
      <c r="V2091" t="str">
        <f t="shared" si="131"/>
        <v>25564</v>
      </c>
    </row>
    <row r="2092" spans="1:22" x14ac:dyDescent="0.35">
      <c r="A2092">
        <v>120128</v>
      </c>
      <c r="B2092" t="s">
        <v>21</v>
      </c>
      <c r="C2092" t="s">
        <v>17</v>
      </c>
      <c r="D2092">
        <v>417</v>
      </c>
      <c r="E2092">
        <v>277</v>
      </c>
      <c r="F2092">
        <v>326</v>
      </c>
      <c r="G2092">
        <v>0</v>
      </c>
      <c r="H2092">
        <v>10308</v>
      </c>
      <c r="I2092">
        <v>0</v>
      </c>
      <c r="J2092">
        <v>89</v>
      </c>
      <c r="K2092">
        <v>300</v>
      </c>
      <c r="L2092">
        <v>258</v>
      </c>
      <c r="M2092">
        <v>14</v>
      </c>
      <c r="N2092">
        <f>IFERROR(VLOOKUP(A2092,vlookup_table!$A:$G,2,FALSE),"")</f>
        <v>0</v>
      </c>
      <c r="O2092">
        <f>IFERROR(VLOOKUP(A2092,vlookup_table!$A:$G,4,FALSE),"")</f>
        <v>3501</v>
      </c>
      <c r="P2092" t="str">
        <f>IFERROR(VLOOKUP(A2092,vlookup_table!$A:$G,5,FALSE),"")</f>
        <v>R2</v>
      </c>
      <c r="Q2092">
        <f>IFERROR(VLOOKUP(A2092,vlookup_table!$A:$G,7,FALSE),"")</f>
        <v>15</v>
      </c>
      <c r="R2092">
        <f t="shared" si="128"/>
        <v>62</v>
      </c>
      <c r="S2092" t="str" cm="1">
        <f t="array" ref="S2092">IF(P2092="","",_xlfn.SWITCH(LEFT(P2092,1),"C","Ciudad","T","Pueblo","R","Rural","S","Suburbano","U","Urbano",""))</f>
        <v>Rural</v>
      </c>
      <c r="T2092" t="str">
        <f t="shared" si="129"/>
        <v>F</v>
      </c>
      <c r="U2092" t="str">
        <f t="shared" si="130"/>
        <v>TX</v>
      </c>
      <c r="V2092" t="str">
        <f t="shared" si="131"/>
        <v>10308</v>
      </c>
    </row>
    <row r="2093" spans="1:22" x14ac:dyDescent="0.35">
      <c r="A2093">
        <v>152092</v>
      </c>
      <c r="B2093" t="s">
        <v>22</v>
      </c>
      <c r="C2093" t="s">
        <v>17</v>
      </c>
      <c r="D2093">
        <v>1232</v>
      </c>
      <c r="E2093">
        <v>203</v>
      </c>
      <c r="F2093">
        <v>267</v>
      </c>
      <c r="G2093">
        <v>1</v>
      </c>
      <c r="H2093">
        <v>10129</v>
      </c>
      <c r="I2093">
        <v>14</v>
      </c>
      <c r="J2093">
        <v>37</v>
      </c>
      <c r="K2093">
        <v>229</v>
      </c>
      <c r="L2093">
        <v>241</v>
      </c>
      <c r="M2093">
        <v>3.7142857139999998</v>
      </c>
      <c r="N2093">
        <f>IFERROR(VLOOKUP(A2093,vlookup_table!$A:$G,2,FALSE),"")</f>
        <v>28</v>
      </c>
      <c r="O2093">
        <f>IFERROR(VLOOKUP(A2093,vlookup_table!$A:$G,4,FALSE),"")</f>
        <v>3201</v>
      </c>
      <c r="P2093" t="str">
        <f>IFERROR(VLOOKUP(A2093,vlookup_table!$A:$G,5,FALSE),"")</f>
        <v>C3</v>
      </c>
      <c r="Q2093">
        <f>IFERROR(VLOOKUP(A2093,vlookup_table!$A:$G,7,FALSE),"")</f>
        <v>5</v>
      </c>
      <c r="R2093">
        <f t="shared" si="128"/>
        <v>65</v>
      </c>
      <c r="S2093" t="str" cm="1">
        <f t="array" ref="S2093">IF(P2093="","",_xlfn.SWITCH(LEFT(P2093,1),"C","Ciudad","T","Pueblo","R","Rural","S","Suburbano","U","Urbano",""))</f>
        <v>Ciudad</v>
      </c>
      <c r="T2093" t="str">
        <f t="shared" si="129"/>
        <v>F</v>
      </c>
      <c r="U2093" t="str">
        <f t="shared" si="130"/>
        <v>CA</v>
      </c>
      <c r="V2093" t="str">
        <f t="shared" si="131"/>
        <v>10129</v>
      </c>
    </row>
    <row r="2094" spans="1:22" x14ac:dyDescent="0.35">
      <c r="A2094">
        <v>85913</v>
      </c>
      <c r="B2094" t="s">
        <v>52</v>
      </c>
      <c r="C2094" t="s">
        <v>14</v>
      </c>
      <c r="D2094">
        <v>396</v>
      </c>
      <c r="E2094">
        <v>248</v>
      </c>
      <c r="F2094">
        <v>304</v>
      </c>
      <c r="G2094">
        <v>1</v>
      </c>
      <c r="H2094">
        <v>10419</v>
      </c>
      <c r="I2094">
        <v>1</v>
      </c>
      <c r="J2094">
        <v>18</v>
      </c>
      <c r="K2094">
        <v>274</v>
      </c>
      <c r="L2094">
        <v>284</v>
      </c>
      <c r="M2094">
        <v>9.7272727270000008</v>
      </c>
      <c r="N2094">
        <f>IFERROR(VLOOKUP(A2094,vlookup_table!$A:$G,2,FALSE),"")</f>
        <v>1</v>
      </c>
      <c r="O2094">
        <f>IFERROR(VLOOKUP(A2094,vlookup_table!$A:$G,4,FALSE),"")</f>
        <v>3001</v>
      </c>
      <c r="P2094" t="str">
        <f>IFERROR(VLOOKUP(A2094,vlookup_table!$A:$G,5,FALSE),"")</f>
        <v>R2</v>
      </c>
      <c r="Q2094">
        <f>IFERROR(VLOOKUP(A2094,vlookup_table!$A:$G,7,FALSE),"")</f>
        <v>14</v>
      </c>
      <c r="R2094">
        <f t="shared" si="128"/>
        <v>67</v>
      </c>
      <c r="S2094" t="str" cm="1">
        <f t="array" ref="S2094">IF(P2094="","",_xlfn.SWITCH(LEFT(P2094,1),"C","Ciudad","T","Pueblo","R","Rural","S","Suburbano","U","Urbano",""))</f>
        <v>Rural</v>
      </c>
      <c r="T2094" t="str">
        <f t="shared" si="129"/>
        <v>M</v>
      </c>
      <c r="U2094" t="str">
        <f t="shared" si="130"/>
        <v>SD</v>
      </c>
      <c r="V2094" t="str">
        <f t="shared" si="131"/>
        <v>10419</v>
      </c>
    </row>
    <row r="2095" spans="1:22" x14ac:dyDescent="0.35">
      <c r="A2095">
        <v>43226</v>
      </c>
      <c r="B2095" t="s">
        <v>13</v>
      </c>
      <c r="C2095" t="s">
        <v>14</v>
      </c>
      <c r="D2095">
        <v>764</v>
      </c>
      <c r="E2095">
        <v>269</v>
      </c>
      <c r="F2095">
        <v>353</v>
      </c>
      <c r="G2095">
        <v>1</v>
      </c>
      <c r="H2095">
        <v>13439</v>
      </c>
      <c r="I2095">
        <v>10</v>
      </c>
      <c r="J2095">
        <v>9</v>
      </c>
      <c r="K2095">
        <v>307</v>
      </c>
      <c r="L2095">
        <v>317</v>
      </c>
      <c r="M2095">
        <v>15</v>
      </c>
      <c r="N2095">
        <f>IFERROR(VLOOKUP(A2095,vlookup_table!$A:$G,2,FALSE),"")</f>
        <v>1</v>
      </c>
      <c r="O2095">
        <f>IFERROR(VLOOKUP(A2095,vlookup_table!$A:$G,4,FALSE),"")</f>
        <v>2201</v>
      </c>
      <c r="P2095" t="str">
        <f>IFERROR(VLOOKUP(A2095,vlookup_table!$A:$G,5,FALSE),"")</f>
        <v>C2</v>
      </c>
      <c r="Q2095">
        <f>IFERROR(VLOOKUP(A2095,vlookup_table!$A:$G,7,FALSE),"")</f>
        <v>20</v>
      </c>
      <c r="R2095">
        <f t="shared" si="128"/>
        <v>75</v>
      </c>
      <c r="S2095" t="str" cm="1">
        <f t="array" ref="S2095">IF(P2095="","",_xlfn.SWITCH(LEFT(P2095,1),"C","Ciudad","T","Pueblo","R","Rural","S","Suburbano","U","Urbano",""))</f>
        <v>Ciudad</v>
      </c>
      <c r="T2095" t="str">
        <f t="shared" si="129"/>
        <v>M</v>
      </c>
      <c r="U2095" t="str">
        <f t="shared" si="130"/>
        <v>FL</v>
      </c>
      <c r="V2095" t="str">
        <f t="shared" si="131"/>
        <v>13439</v>
      </c>
    </row>
    <row r="2096" spans="1:22" x14ac:dyDescent="0.35">
      <c r="A2096">
        <v>60738</v>
      </c>
      <c r="B2096" t="s">
        <v>33</v>
      </c>
      <c r="C2096" t="s">
        <v>17</v>
      </c>
      <c r="D2096">
        <v>877</v>
      </c>
      <c r="E2096">
        <v>419</v>
      </c>
      <c r="F2096">
        <v>496</v>
      </c>
      <c r="G2096">
        <v>0</v>
      </c>
      <c r="H2096">
        <v>16981</v>
      </c>
      <c r="I2096">
        <v>14</v>
      </c>
      <c r="J2096">
        <v>53</v>
      </c>
      <c r="K2096">
        <v>473</v>
      </c>
      <c r="L2096">
        <v>450</v>
      </c>
      <c r="M2096">
        <v>5.25</v>
      </c>
      <c r="N2096">
        <f>IFERROR(VLOOKUP(A2096,vlookup_table!$A:$G,2,FALSE),"")</f>
        <v>2</v>
      </c>
      <c r="O2096">
        <f>IFERROR(VLOOKUP(A2096,vlookup_table!$A:$G,4,FALSE),"")</f>
        <v>4901</v>
      </c>
      <c r="P2096" t="str">
        <f>IFERROR(VLOOKUP(A2096,vlookup_table!$A:$G,5,FALSE),"")</f>
        <v>S1</v>
      </c>
      <c r="Q2096">
        <f>IFERROR(VLOOKUP(A2096,vlookup_table!$A:$G,7,FALSE),"")</f>
        <v>5</v>
      </c>
      <c r="R2096">
        <f t="shared" si="128"/>
        <v>48</v>
      </c>
      <c r="S2096" t="str" cm="1">
        <f t="array" ref="S2096">IF(P2096="","",_xlfn.SWITCH(LEFT(P2096,1),"C","Ciudad","T","Pueblo","R","Rural","S","Suburbano","U","Urbano",""))</f>
        <v>Suburbano</v>
      </c>
      <c r="T2096" t="str">
        <f t="shared" si="129"/>
        <v>F</v>
      </c>
      <c r="U2096" t="str">
        <f t="shared" si="130"/>
        <v>IN</v>
      </c>
      <c r="V2096" t="str">
        <f t="shared" si="131"/>
        <v>16981</v>
      </c>
    </row>
    <row r="2097" spans="1:22" x14ac:dyDescent="0.35">
      <c r="A2097">
        <v>60571</v>
      </c>
      <c r="B2097" t="s">
        <v>33</v>
      </c>
      <c r="C2097" t="s">
        <v>14</v>
      </c>
      <c r="D2097">
        <v>696</v>
      </c>
      <c r="E2097">
        <v>354</v>
      </c>
      <c r="F2097">
        <v>472</v>
      </c>
      <c r="G2097">
        <v>3</v>
      </c>
      <c r="H2097">
        <v>15493</v>
      </c>
      <c r="I2097">
        <v>0</v>
      </c>
      <c r="J2097">
        <v>73</v>
      </c>
      <c r="K2097">
        <v>402</v>
      </c>
      <c r="L2097">
        <v>407</v>
      </c>
      <c r="M2097">
        <v>10.5</v>
      </c>
      <c r="N2097">
        <f>IFERROR(VLOOKUP(A2097,vlookup_table!$A:$G,2,FALSE),"")</f>
        <v>1</v>
      </c>
      <c r="O2097">
        <f>IFERROR(VLOOKUP(A2097,vlookup_table!$A:$G,4,FALSE),"")</f>
        <v>0</v>
      </c>
      <c r="P2097" t="str">
        <f>IFERROR(VLOOKUP(A2097,vlookup_table!$A:$G,5,FALSE),"")</f>
        <v>T2</v>
      </c>
      <c r="Q2097">
        <f>IFERROR(VLOOKUP(A2097,vlookup_table!$A:$G,7,FALSE),"")</f>
        <v>15</v>
      </c>
      <c r="R2097">
        <f t="shared" si="128"/>
        <v>97</v>
      </c>
      <c r="S2097" t="str" cm="1">
        <f t="array" ref="S2097">IF(P2097="","",_xlfn.SWITCH(LEFT(P2097,1),"C","Ciudad","T","Pueblo","R","Rural","S","Suburbano","U","Urbano",""))</f>
        <v>Pueblo</v>
      </c>
      <c r="T2097" t="str">
        <f t="shared" si="129"/>
        <v>M</v>
      </c>
      <c r="U2097" t="str">
        <f t="shared" si="130"/>
        <v>IN</v>
      </c>
      <c r="V2097" t="str">
        <f t="shared" si="131"/>
        <v>15493</v>
      </c>
    </row>
    <row r="2098" spans="1:22" x14ac:dyDescent="0.35">
      <c r="A2098">
        <v>131913</v>
      </c>
      <c r="B2098" t="s">
        <v>48</v>
      </c>
      <c r="C2098" t="s">
        <v>17</v>
      </c>
      <c r="D2098">
        <v>1109</v>
      </c>
      <c r="E2098">
        <v>513</v>
      </c>
      <c r="F2098">
        <v>636</v>
      </c>
      <c r="G2098">
        <v>4</v>
      </c>
      <c r="H2098">
        <v>20235</v>
      </c>
      <c r="I2098">
        <v>0</v>
      </c>
      <c r="J2098">
        <v>64</v>
      </c>
      <c r="K2098">
        <v>587</v>
      </c>
      <c r="L2098">
        <v>606</v>
      </c>
      <c r="M2098">
        <v>13.25</v>
      </c>
      <c r="N2098">
        <f>IFERROR(VLOOKUP(A2098,vlookup_table!$A:$G,2,FALSE),"")</f>
        <v>0</v>
      </c>
      <c r="O2098">
        <f>IFERROR(VLOOKUP(A2098,vlookup_table!$A:$G,4,FALSE),"")</f>
        <v>1607</v>
      </c>
      <c r="P2098" t="str">
        <f>IFERROR(VLOOKUP(A2098,vlookup_table!$A:$G,5,FALSE),"")</f>
        <v>S1</v>
      </c>
      <c r="Q2098">
        <f>IFERROR(VLOOKUP(A2098,vlookup_table!$A:$G,7,FALSE),"")</f>
        <v>19</v>
      </c>
      <c r="R2098">
        <f t="shared" si="128"/>
        <v>81</v>
      </c>
      <c r="S2098" t="str" cm="1">
        <f t="array" ref="S2098">IF(P2098="","",_xlfn.SWITCH(LEFT(P2098,1),"C","Ciudad","T","Pueblo","R","Rural","S","Suburbano","U","Urbano",""))</f>
        <v>Suburbano</v>
      </c>
      <c r="T2098" t="str">
        <f t="shared" si="129"/>
        <v>F</v>
      </c>
      <c r="U2098" t="str">
        <f t="shared" si="130"/>
        <v>CO</v>
      </c>
      <c r="V2098" t="str">
        <f t="shared" si="131"/>
        <v>20235</v>
      </c>
    </row>
    <row r="2099" spans="1:22" x14ac:dyDescent="0.35">
      <c r="A2099">
        <v>172140</v>
      </c>
      <c r="B2099" t="s">
        <v>22</v>
      </c>
      <c r="C2099" t="s">
        <v>17</v>
      </c>
      <c r="D2099">
        <v>2099</v>
      </c>
      <c r="E2099">
        <v>588</v>
      </c>
      <c r="F2099">
        <v>643</v>
      </c>
      <c r="G2099">
        <v>53</v>
      </c>
      <c r="H2099">
        <v>19738</v>
      </c>
      <c r="I2099">
        <v>3</v>
      </c>
      <c r="J2099">
        <v>66</v>
      </c>
      <c r="K2099">
        <v>609</v>
      </c>
      <c r="L2099">
        <v>610</v>
      </c>
      <c r="M2099">
        <v>10.7</v>
      </c>
      <c r="N2099">
        <f>IFERROR(VLOOKUP(A2099,vlookup_table!$A:$G,2,FALSE),"")</f>
        <v>0</v>
      </c>
      <c r="O2099">
        <f>IFERROR(VLOOKUP(A2099,vlookup_table!$A:$G,4,FALSE),"")</f>
        <v>5201</v>
      </c>
      <c r="P2099" t="str">
        <f>IFERROR(VLOOKUP(A2099,vlookup_table!$A:$G,5,FALSE),"")</f>
        <v>T1</v>
      </c>
      <c r="Q2099">
        <f>IFERROR(VLOOKUP(A2099,vlookup_table!$A:$G,7,FALSE),"")</f>
        <v>10</v>
      </c>
      <c r="R2099">
        <f t="shared" si="128"/>
        <v>45</v>
      </c>
      <c r="S2099" t="str" cm="1">
        <f t="array" ref="S2099">IF(P2099="","",_xlfn.SWITCH(LEFT(P2099,1),"C","Ciudad","T","Pueblo","R","Rural","S","Suburbano","U","Urbano",""))</f>
        <v>Pueblo</v>
      </c>
      <c r="T2099" t="str">
        <f t="shared" si="129"/>
        <v>F</v>
      </c>
      <c r="U2099" t="str">
        <f t="shared" si="130"/>
        <v>CA</v>
      </c>
      <c r="V2099" t="str">
        <f t="shared" si="131"/>
        <v>19738</v>
      </c>
    </row>
    <row r="2100" spans="1:22" x14ac:dyDescent="0.35">
      <c r="A2100">
        <v>147753</v>
      </c>
      <c r="B2100" t="s">
        <v>22</v>
      </c>
      <c r="C2100" t="s">
        <v>17</v>
      </c>
      <c r="D2100">
        <v>4778</v>
      </c>
      <c r="E2100">
        <v>792</v>
      </c>
      <c r="F2100">
        <v>987</v>
      </c>
      <c r="G2100">
        <v>95</v>
      </c>
      <c r="H2100">
        <v>35530</v>
      </c>
      <c r="I2100">
        <v>9</v>
      </c>
      <c r="J2100">
        <v>58</v>
      </c>
      <c r="K2100">
        <v>981</v>
      </c>
      <c r="L2100">
        <v>849</v>
      </c>
      <c r="M2100">
        <v>19.25</v>
      </c>
      <c r="N2100">
        <f>IFERROR(VLOOKUP(A2100,vlookup_table!$A:$G,2,FALSE),"")</f>
        <v>0</v>
      </c>
      <c r="O2100">
        <f>IFERROR(VLOOKUP(A2100,vlookup_table!$A:$G,4,FALSE),"")</f>
        <v>2701</v>
      </c>
      <c r="P2100" t="str">
        <f>IFERROR(VLOOKUP(A2100,vlookup_table!$A:$G,5,FALSE),"")</f>
        <v>S1</v>
      </c>
      <c r="Q2100">
        <f>IFERROR(VLOOKUP(A2100,vlookup_table!$A:$G,7,FALSE),"")</f>
        <v>25</v>
      </c>
      <c r="R2100">
        <f t="shared" si="128"/>
        <v>70</v>
      </c>
      <c r="S2100" t="str" cm="1">
        <f t="array" ref="S2100">IF(P2100="","",_xlfn.SWITCH(LEFT(P2100,1),"C","Ciudad","T","Pueblo","R","Rural","S","Suburbano","U","Urbano",""))</f>
        <v>Suburbano</v>
      </c>
      <c r="T2100" t="str">
        <f t="shared" si="129"/>
        <v>F</v>
      </c>
      <c r="U2100" t="str">
        <f t="shared" si="130"/>
        <v>CA</v>
      </c>
      <c r="V2100" t="str">
        <f t="shared" si="131"/>
        <v>35530</v>
      </c>
    </row>
    <row r="2101" spans="1:22" x14ac:dyDescent="0.35">
      <c r="A2101">
        <v>161856</v>
      </c>
      <c r="B2101" t="s">
        <v>22</v>
      </c>
      <c r="C2101" t="s">
        <v>14</v>
      </c>
      <c r="D2101">
        <v>2264</v>
      </c>
      <c r="E2101">
        <v>430</v>
      </c>
      <c r="F2101">
        <v>392</v>
      </c>
      <c r="G2101">
        <v>68</v>
      </c>
      <c r="H2101">
        <v>16795</v>
      </c>
      <c r="I2101">
        <v>13</v>
      </c>
      <c r="J2101">
        <v>42</v>
      </c>
      <c r="K2101">
        <v>441</v>
      </c>
      <c r="L2101">
        <v>404</v>
      </c>
      <c r="M2101">
        <v>11</v>
      </c>
      <c r="N2101">
        <f>IFERROR(VLOOKUP(A2101,vlookup_table!$A:$G,2,FALSE),"")</f>
        <v>1</v>
      </c>
      <c r="O2101">
        <f>IFERROR(VLOOKUP(A2101,vlookup_table!$A:$G,4,FALSE),"")</f>
        <v>1901</v>
      </c>
      <c r="P2101" t="str">
        <f>IFERROR(VLOOKUP(A2101,vlookup_table!$A:$G,5,FALSE),"")</f>
        <v>C1</v>
      </c>
      <c r="Q2101">
        <f>IFERROR(VLOOKUP(A2101,vlookup_table!$A:$G,7,FALSE),"")</f>
        <v>15</v>
      </c>
      <c r="R2101">
        <f t="shared" si="128"/>
        <v>78</v>
      </c>
      <c r="S2101" t="str" cm="1">
        <f t="array" ref="S2101">IF(P2101="","",_xlfn.SWITCH(LEFT(P2101,1),"C","Ciudad","T","Pueblo","R","Rural","S","Suburbano","U","Urbano",""))</f>
        <v>Ciudad</v>
      </c>
      <c r="T2101" t="str">
        <f t="shared" si="129"/>
        <v>M</v>
      </c>
      <c r="U2101" t="str">
        <f t="shared" si="130"/>
        <v>CA</v>
      </c>
      <c r="V2101" t="str">
        <f t="shared" si="131"/>
        <v>16795</v>
      </c>
    </row>
    <row r="2102" spans="1:22" x14ac:dyDescent="0.35">
      <c r="A2102">
        <v>140611</v>
      </c>
      <c r="B2102" t="s">
        <v>54</v>
      </c>
      <c r="C2102" t="s">
        <v>17</v>
      </c>
      <c r="D2102">
        <v>740</v>
      </c>
      <c r="E2102">
        <v>240</v>
      </c>
      <c r="F2102">
        <v>324</v>
      </c>
      <c r="G2102">
        <v>2</v>
      </c>
      <c r="H2102">
        <v>10701</v>
      </c>
      <c r="I2102">
        <v>9</v>
      </c>
      <c r="J2102">
        <v>26</v>
      </c>
      <c r="K2102">
        <v>288</v>
      </c>
      <c r="L2102">
        <v>294</v>
      </c>
      <c r="M2102">
        <v>4.375</v>
      </c>
      <c r="N2102">
        <f>IFERROR(VLOOKUP(A2102,vlookup_table!$A:$G,2,FALSE),"")</f>
        <v>2</v>
      </c>
      <c r="O2102">
        <f>IFERROR(VLOOKUP(A2102,vlookup_table!$A:$G,4,FALSE),"")</f>
        <v>5101</v>
      </c>
      <c r="P2102" t="str">
        <f>IFERROR(VLOOKUP(A2102,vlookup_table!$A:$G,5,FALSE),"")</f>
        <v>T2</v>
      </c>
      <c r="Q2102">
        <f>IFERROR(VLOOKUP(A2102,vlookup_table!$A:$G,7,FALSE),"")</f>
        <v>4</v>
      </c>
      <c r="R2102">
        <f t="shared" si="128"/>
        <v>46</v>
      </c>
      <c r="S2102" t="str" cm="1">
        <f t="array" ref="S2102">IF(P2102="","",_xlfn.SWITCH(LEFT(P2102,1),"C","Ciudad","T","Pueblo","R","Rural","S","Suburbano","U","Urbano",""))</f>
        <v>Pueblo</v>
      </c>
      <c r="T2102" t="str">
        <f t="shared" si="129"/>
        <v>F</v>
      </c>
      <c r="U2102" t="str">
        <f t="shared" si="130"/>
        <v>NM</v>
      </c>
      <c r="V2102" t="str">
        <f t="shared" si="131"/>
        <v>10701</v>
      </c>
    </row>
    <row r="2103" spans="1:22" x14ac:dyDescent="0.35">
      <c r="A2103">
        <v>30068</v>
      </c>
      <c r="B2103" t="s">
        <v>39</v>
      </c>
      <c r="C2103" t="s">
        <v>17</v>
      </c>
      <c r="D2103">
        <v>573</v>
      </c>
      <c r="E2103">
        <v>250</v>
      </c>
      <c r="F2103">
        <v>316</v>
      </c>
      <c r="G2103">
        <v>0</v>
      </c>
      <c r="H2103">
        <v>9846</v>
      </c>
      <c r="I2103">
        <v>1</v>
      </c>
      <c r="J2103">
        <v>84</v>
      </c>
      <c r="K2103">
        <v>295</v>
      </c>
      <c r="L2103">
        <v>285</v>
      </c>
      <c r="M2103">
        <v>7.153846154</v>
      </c>
      <c r="N2103">
        <f>IFERROR(VLOOKUP(A2103,vlookup_table!$A:$G,2,FALSE),"")</f>
        <v>0</v>
      </c>
      <c r="O2103">
        <f>IFERROR(VLOOKUP(A2103,vlookup_table!$A:$G,4,FALSE),"")</f>
        <v>5001</v>
      </c>
      <c r="P2103" t="str">
        <f>IFERROR(VLOOKUP(A2103,vlookup_table!$A:$G,5,FALSE),"")</f>
        <v>R2</v>
      </c>
      <c r="Q2103">
        <f>IFERROR(VLOOKUP(A2103,vlookup_table!$A:$G,7,FALSE),"")</f>
        <v>12</v>
      </c>
      <c r="R2103">
        <f t="shared" si="128"/>
        <v>47</v>
      </c>
      <c r="S2103" t="str" cm="1">
        <f t="array" ref="S2103">IF(P2103="","",_xlfn.SWITCH(LEFT(P2103,1),"C","Ciudad","T","Pueblo","R","Rural","S","Suburbano","U","Urbano",""))</f>
        <v>Rural</v>
      </c>
      <c r="T2103" t="str">
        <f t="shared" si="129"/>
        <v>F</v>
      </c>
      <c r="U2103" t="str">
        <f t="shared" si="130"/>
        <v>GA</v>
      </c>
      <c r="V2103" t="str">
        <f t="shared" si="131"/>
        <v>9846</v>
      </c>
    </row>
    <row r="2104" spans="1:22" x14ac:dyDescent="0.35">
      <c r="A2104">
        <v>96175</v>
      </c>
      <c r="B2104" t="s">
        <v>16</v>
      </c>
      <c r="C2104" t="s">
        <v>14</v>
      </c>
      <c r="D2104">
        <v>258</v>
      </c>
      <c r="E2104">
        <v>60</v>
      </c>
      <c r="F2104">
        <v>209</v>
      </c>
      <c r="G2104">
        <v>0</v>
      </c>
      <c r="H2104">
        <v>4884</v>
      </c>
      <c r="I2104">
        <v>7</v>
      </c>
      <c r="J2104">
        <v>63</v>
      </c>
      <c r="K2104">
        <v>120</v>
      </c>
      <c r="L2104">
        <v>89</v>
      </c>
      <c r="M2104">
        <v>5.5555555559999998</v>
      </c>
      <c r="N2104">
        <f>IFERROR(VLOOKUP(A2104,vlookup_table!$A:$G,2,FALSE),"")</f>
        <v>1</v>
      </c>
      <c r="O2104">
        <f>IFERROR(VLOOKUP(A2104,vlookup_table!$A:$G,4,FALSE),"")</f>
        <v>1501</v>
      </c>
      <c r="P2104" t="str">
        <f>IFERROR(VLOOKUP(A2104,vlookup_table!$A:$G,5,FALSE),"")</f>
        <v>T3</v>
      </c>
      <c r="Q2104">
        <f>IFERROR(VLOOKUP(A2104,vlookup_table!$A:$G,7,FALSE),"")</f>
        <v>5</v>
      </c>
      <c r="R2104">
        <f t="shared" si="128"/>
        <v>82</v>
      </c>
      <c r="S2104" t="str" cm="1">
        <f t="array" ref="S2104">IF(P2104="","",_xlfn.SWITCH(LEFT(P2104,1),"C","Ciudad","T","Pueblo","R","Rural","S","Suburbano","U","Urbano",""))</f>
        <v>Pueblo</v>
      </c>
      <c r="T2104" t="str">
        <f t="shared" si="129"/>
        <v>M</v>
      </c>
      <c r="U2104" t="str">
        <f t="shared" si="130"/>
        <v>IL</v>
      </c>
      <c r="V2104" t="str">
        <f t="shared" si="131"/>
        <v>4884</v>
      </c>
    </row>
    <row r="2105" spans="1:22" x14ac:dyDescent="0.35">
      <c r="A2105">
        <v>727</v>
      </c>
      <c r="B2105" t="s">
        <v>47</v>
      </c>
      <c r="C2105" t="s">
        <v>17</v>
      </c>
      <c r="D2105">
        <v>240</v>
      </c>
      <c r="E2105">
        <v>232</v>
      </c>
      <c r="F2105">
        <v>315</v>
      </c>
      <c r="G2105">
        <v>0</v>
      </c>
      <c r="H2105">
        <v>10744</v>
      </c>
      <c r="I2105">
        <v>1</v>
      </c>
      <c r="J2105">
        <v>85</v>
      </c>
      <c r="K2105">
        <v>280</v>
      </c>
      <c r="L2105">
        <v>271</v>
      </c>
      <c r="M2105">
        <v>2.2608695650000001</v>
      </c>
      <c r="N2105">
        <f>IFERROR(VLOOKUP(A2105,vlookup_table!$A:$G,2,FALSE),"")</f>
        <v>0</v>
      </c>
      <c r="O2105">
        <f>IFERROR(VLOOKUP(A2105,vlookup_table!$A:$G,4,FALSE),"")</f>
        <v>2401</v>
      </c>
      <c r="P2105" t="str">
        <f>IFERROR(VLOOKUP(A2105,vlookup_table!$A:$G,5,FALSE),"")</f>
        <v>R3</v>
      </c>
      <c r="Q2105">
        <f>IFERROR(VLOOKUP(A2105,vlookup_table!$A:$G,7,FALSE),"")</f>
        <v>2</v>
      </c>
      <c r="R2105">
        <f t="shared" si="128"/>
        <v>73</v>
      </c>
      <c r="S2105" t="str" cm="1">
        <f t="array" ref="S2105">IF(P2105="","",_xlfn.SWITCH(LEFT(P2105,1),"C","Ciudad","T","Pueblo","R","Rural","S","Suburbano","U","Urbano",""))</f>
        <v>Rural</v>
      </c>
      <c r="T2105" t="str">
        <f t="shared" si="129"/>
        <v>F</v>
      </c>
      <c r="U2105" t="str">
        <f t="shared" si="130"/>
        <v>IA</v>
      </c>
      <c r="V2105" t="str">
        <f t="shared" si="131"/>
        <v>10744</v>
      </c>
    </row>
    <row r="2106" spans="1:22" x14ac:dyDescent="0.35">
      <c r="A2106">
        <v>188893</v>
      </c>
      <c r="B2106" t="s">
        <v>18</v>
      </c>
      <c r="C2106" t="s">
        <v>14</v>
      </c>
      <c r="D2106">
        <v>701</v>
      </c>
      <c r="E2106">
        <v>297</v>
      </c>
      <c r="F2106">
        <v>468</v>
      </c>
      <c r="G2106">
        <v>1</v>
      </c>
      <c r="H2106">
        <v>15258</v>
      </c>
      <c r="I2106">
        <v>3</v>
      </c>
      <c r="J2106">
        <v>74</v>
      </c>
      <c r="K2106">
        <v>335</v>
      </c>
      <c r="L2106">
        <v>405</v>
      </c>
      <c r="M2106">
        <v>15.5</v>
      </c>
      <c r="N2106">
        <f>IFERROR(VLOOKUP(A2106,vlookup_table!$A:$G,2,FALSE),"")</f>
        <v>4</v>
      </c>
      <c r="O2106">
        <f>IFERROR(VLOOKUP(A2106,vlookup_table!$A:$G,4,FALSE),"")</f>
        <v>0</v>
      </c>
      <c r="P2106" t="str">
        <f>IFERROR(VLOOKUP(A2106,vlookup_table!$A:$G,5,FALSE),"")</f>
        <v>T2</v>
      </c>
      <c r="Q2106">
        <f>IFERROR(VLOOKUP(A2106,vlookup_table!$A:$G,7,FALSE),"")</f>
        <v>25</v>
      </c>
      <c r="R2106">
        <f t="shared" si="128"/>
        <v>97</v>
      </c>
      <c r="S2106" t="str" cm="1">
        <f t="array" ref="S2106">IF(P2106="","",_xlfn.SWITCH(LEFT(P2106,1),"C","Ciudad","T","Pueblo","R","Rural","S","Suburbano","U","Urbano",""))</f>
        <v>Pueblo</v>
      </c>
      <c r="T2106" t="str">
        <f t="shared" si="129"/>
        <v>M</v>
      </c>
      <c r="U2106" t="str">
        <f t="shared" si="130"/>
        <v>NC</v>
      </c>
      <c r="V2106" t="str">
        <f t="shared" si="131"/>
        <v>15258</v>
      </c>
    </row>
    <row r="2107" spans="1:22" x14ac:dyDescent="0.35">
      <c r="A2107">
        <v>110425</v>
      </c>
      <c r="B2107" t="s">
        <v>49</v>
      </c>
      <c r="C2107" t="s">
        <v>17</v>
      </c>
      <c r="D2107">
        <v>305</v>
      </c>
      <c r="E2107">
        <v>95</v>
      </c>
      <c r="F2107">
        <v>182</v>
      </c>
      <c r="G2107">
        <v>1</v>
      </c>
      <c r="H2107">
        <v>6104</v>
      </c>
      <c r="I2107">
        <v>0</v>
      </c>
      <c r="J2107">
        <v>83</v>
      </c>
      <c r="K2107">
        <v>103</v>
      </c>
      <c r="L2107">
        <v>162</v>
      </c>
      <c r="M2107">
        <v>13.33333333</v>
      </c>
      <c r="N2107">
        <f>IFERROR(VLOOKUP(A2107,vlookup_table!$A:$G,2,FALSE),"")</f>
        <v>0</v>
      </c>
      <c r="O2107">
        <f>IFERROR(VLOOKUP(A2107,vlookup_table!$A:$G,4,FALSE),"")</f>
        <v>5201</v>
      </c>
      <c r="P2107" t="str">
        <f>IFERROR(VLOOKUP(A2107,vlookup_table!$A:$G,5,FALSE),"")</f>
        <v>R3</v>
      </c>
      <c r="Q2107">
        <f>IFERROR(VLOOKUP(A2107,vlookup_table!$A:$G,7,FALSE),"")</f>
        <v>20</v>
      </c>
      <c r="R2107">
        <f t="shared" si="128"/>
        <v>45</v>
      </c>
      <c r="S2107" t="str" cm="1">
        <f t="array" ref="S2107">IF(P2107="","",_xlfn.SWITCH(LEFT(P2107,1),"C","Ciudad","T","Pueblo","R","Rural","S","Suburbano","U","Urbano",""))</f>
        <v>Rural</v>
      </c>
      <c r="T2107" t="str">
        <f t="shared" si="129"/>
        <v>F</v>
      </c>
      <c r="U2107" t="str">
        <f t="shared" si="130"/>
        <v>LA</v>
      </c>
      <c r="V2107" t="str">
        <f t="shared" si="131"/>
        <v>6104</v>
      </c>
    </row>
    <row r="2108" spans="1:22" x14ac:dyDescent="0.35">
      <c r="A2108">
        <v>54897</v>
      </c>
      <c r="B2108" t="s">
        <v>39</v>
      </c>
      <c r="D2108">
        <v>1271</v>
      </c>
      <c r="E2108">
        <v>733</v>
      </c>
      <c r="F2108">
        <v>752</v>
      </c>
      <c r="G2108">
        <v>4</v>
      </c>
      <c r="H2108">
        <v>23282</v>
      </c>
      <c r="I2108">
        <v>5</v>
      </c>
      <c r="J2108">
        <v>39</v>
      </c>
      <c r="K2108">
        <v>752</v>
      </c>
      <c r="L2108">
        <v>743</v>
      </c>
      <c r="M2108">
        <v>15.09090909</v>
      </c>
      <c r="N2108">
        <f>IFERROR(VLOOKUP(A2108,vlookup_table!$A:$G,2,FALSE),"")</f>
        <v>1</v>
      </c>
      <c r="O2108">
        <f>IFERROR(VLOOKUP(A2108,vlookup_table!$A:$G,4,FALSE),"")</f>
        <v>5509</v>
      </c>
      <c r="P2108" t="str">
        <f>IFERROR(VLOOKUP(A2108,vlookup_table!$A:$G,5,FALSE),"")</f>
        <v>S1</v>
      </c>
      <c r="Q2108">
        <f>IFERROR(VLOOKUP(A2108,vlookup_table!$A:$G,7,FALSE),"")</f>
        <v>20</v>
      </c>
      <c r="R2108">
        <f t="shared" si="128"/>
        <v>42</v>
      </c>
      <c r="S2108" t="str" cm="1">
        <f t="array" ref="S2108">IF(P2108="","",_xlfn.SWITCH(LEFT(P2108,1),"C","Ciudad","T","Pueblo","R","Rural","S","Suburbano","U","Urbano",""))</f>
        <v>Suburbano</v>
      </c>
      <c r="T2108" t="str">
        <f t="shared" si="129"/>
        <v/>
      </c>
      <c r="U2108" t="str">
        <f t="shared" si="130"/>
        <v>GA</v>
      </c>
      <c r="V2108" t="str">
        <f t="shared" si="131"/>
        <v>23282</v>
      </c>
    </row>
    <row r="2109" spans="1:22" x14ac:dyDescent="0.35">
      <c r="A2109">
        <v>173772</v>
      </c>
      <c r="B2109" t="s">
        <v>37</v>
      </c>
      <c r="C2109" t="s">
        <v>17</v>
      </c>
      <c r="D2109">
        <v>1233</v>
      </c>
      <c r="E2109">
        <v>310</v>
      </c>
      <c r="F2109">
        <v>399</v>
      </c>
      <c r="G2109">
        <v>20</v>
      </c>
      <c r="H2109">
        <v>11450</v>
      </c>
      <c r="I2109">
        <v>11</v>
      </c>
      <c r="J2109">
        <v>71</v>
      </c>
      <c r="K2109">
        <v>347</v>
      </c>
      <c r="L2109">
        <v>365</v>
      </c>
      <c r="M2109">
        <v>7.923076923</v>
      </c>
      <c r="N2109">
        <f>IFERROR(VLOOKUP(A2109,vlookup_table!$A:$G,2,FALSE),"")</f>
        <v>0</v>
      </c>
      <c r="O2109">
        <f>IFERROR(VLOOKUP(A2109,vlookup_table!$A:$G,4,FALSE),"")</f>
        <v>0</v>
      </c>
      <c r="P2109" t="str">
        <f>IFERROR(VLOOKUP(A2109,vlookup_table!$A:$G,5,FALSE),"")</f>
        <v>R2</v>
      </c>
      <c r="Q2109">
        <f>IFERROR(VLOOKUP(A2109,vlookup_table!$A:$G,7,FALSE),"")</f>
        <v>10</v>
      </c>
      <c r="R2109">
        <f t="shared" si="128"/>
        <v>97</v>
      </c>
      <c r="S2109" t="str" cm="1">
        <f t="array" ref="S2109">IF(P2109="","",_xlfn.SWITCH(LEFT(P2109,1),"C","Ciudad","T","Pueblo","R","Rural","S","Suburbano","U","Urbano",""))</f>
        <v>Rural</v>
      </c>
      <c r="T2109" t="str">
        <f t="shared" si="129"/>
        <v>F</v>
      </c>
      <c r="U2109" t="str">
        <f t="shared" si="130"/>
        <v>HI</v>
      </c>
      <c r="V2109" t="str">
        <f t="shared" si="131"/>
        <v>11450</v>
      </c>
    </row>
    <row r="2110" spans="1:22" x14ac:dyDescent="0.35">
      <c r="A2110">
        <v>25560</v>
      </c>
      <c r="B2110" t="s">
        <v>39</v>
      </c>
      <c r="C2110" t="s">
        <v>17</v>
      </c>
      <c r="D2110">
        <v>802</v>
      </c>
      <c r="E2110">
        <v>479</v>
      </c>
      <c r="F2110">
        <v>555</v>
      </c>
      <c r="G2110">
        <v>1</v>
      </c>
      <c r="H2110">
        <v>16469</v>
      </c>
      <c r="I2110">
        <v>2</v>
      </c>
      <c r="J2110">
        <v>65</v>
      </c>
      <c r="K2110">
        <v>488</v>
      </c>
      <c r="L2110">
        <v>531</v>
      </c>
      <c r="M2110">
        <v>11.05882353</v>
      </c>
      <c r="N2110">
        <f>IFERROR(VLOOKUP(A2110,vlookup_table!$A:$G,2,FALSE),"")</f>
        <v>2</v>
      </c>
      <c r="O2110">
        <f>IFERROR(VLOOKUP(A2110,vlookup_table!$A:$G,4,FALSE),"")</f>
        <v>4101</v>
      </c>
      <c r="P2110" t="str">
        <f>IFERROR(VLOOKUP(A2110,vlookup_table!$A:$G,5,FALSE),"")</f>
        <v>C2</v>
      </c>
      <c r="Q2110">
        <f>IFERROR(VLOOKUP(A2110,vlookup_table!$A:$G,7,FALSE),"")</f>
        <v>14</v>
      </c>
      <c r="R2110">
        <f t="shared" si="128"/>
        <v>56</v>
      </c>
      <c r="S2110" t="str" cm="1">
        <f t="array" ref="S2110">IF(P2110="","",_xlfn.SWITCH(LEFT(P2110,1),"C","Ciudad","T","Pueblo","R","Rural","S","Suburbano","U","Urbano",""))</f>
        <v>Ciudad</v>
      </c>
      <c r="T2110" t="str">
        <f t="shared" si="129"/>
        <v>F</v>
      </c>
      <c r="U2110" t="str">
        <f t="shared" si="130"/>
        <v>GA</v>
      </c>
      <c r="V2110" t="str">
        <f t="shared" si="131"/>
        <v>16469</v>
      </c>
    </row>
    <row r="2111" spans="1:22" x14ac:dyDescent="0.35">
      <c r="A2111">
        <v>185886</v>
      </c>
      <c r="B2111" t="s">
        <v>35</v>
      </c>
      <c r="C2111" t="s">
        <v>51</v>
      </c>
      <c r="D2111">
        <v>929</v>
      </c>
      <c r="E2111">
        <v>315</v>
      </c>
      <c r="F2111">
        <v>438</v>
      </c>
      <c r="G2111">
        <v>3</v>
      </c>
      <c r="H2111">
        <v>17069</v>
      </c>
      <c r="I2111">
        <v>4</v>
      </c>
      <c r="J2111">
        <v>80</v>
      </c>
      <c r="K2111">
        <v>403</v>
      </c>
      <c r="L2111">
        <v>341</v>
      </c>
      <c r="M2111">
        <v>5.1428571429999996</v>
      </c>
      <c r="N2111">
        <f>IFERROR(VLOOKUP(A2111,vlookup_table!$A:$G,2,FALSE),"")</f>
        <v>1</v>
      </c>
      <c r="O2111">
        <f>IFERROR(VLOOKUP(A2111,vlookup_table!$A:$G,4,FALSE),"")</f>
        <v>0</v>
      </c>
      <c r="P2111" t="str">
        <f>IFERROR(VLOOKUP(A2111,vlookup_table!$A:$G,5,FALSE),"")</f>
        <v>S2</v>
      </c>
      <c r="Q2111">
        <f>IFERROR(VLOOKUP(A2111,vlookup_table!$A:$G,7,FALSE),"")</f>
        <v>5</v>
      </c>
      <c r="R2111">
        <f t="shared" si="128"/>
        <v>97</v>
      </c>
      <c r="S2111" t="str" cm="1">
        <f t="array" ref="S2111">IF(P2111="","",_xlfn.SWITCH(LEFT(P2111,1),"C","Ciudad","T","Pueblo","R","Rural","S","Suburbano","U","Urbano",""))</f>
        <v>Suburbano</v>
      </c>
      <c r="T2111" t="str">
        <f t="shared" si="129"/>
        <v>M</v>
      </c>
      <c r="U2111" t="str">
        <f t="shared" si="130"/>
        <v>WI</v>
      </c>
      <c r="V2111" t="str">
        <f t="shared" si="131"/>
        <v>17069</v>
      </c>
    </row>
    <row r="2112" spans="1:22" x14ac:dyDescent="0.35">
      <c r="A2112">
        <v>175847</v>
      </c>
      <c r="B2112" t="s">
        <v>50</v>
      </c>
      <c r="C2112" t="s">
        <v>17</v>
      </c>
      <c r="D2112">
        <v>2070</v>
      </c>
      <c r="E2112">
        <v>540</v>
      </c>
      <c r="F2112">
        <v>876</v>
      </c>
      <c r="G2112">
        <v>53</v>
      </c>
      <c r="H2112">
        <v>33467</v>
      </c>
      <c r="I2112">
        <v>4</v>
      </c>
      <c r="J2112">
        <v>41</v>
      </c>
      <c r="K2112">
        <v>781</v>
      </c>
      <c r="L2112">
        <v>678</v>
      </c>
      <c r="M2112">
        <v>5.5</v>
      </c>
      <c r="N2112">
        <f>IFERROR(VLOOKUP(A2112,vlookup_table!$A:$G,2,FALSE),"")</f>
        <v>0</v>
      </c>
      <c r="O2112">
        <f>IFERROR(VLOOKUP(A2112,vlookup_table!$A:$G,4,FALSE),"")</f>
        <v>3001</v>
      </c>
      <c r="P2112" t="str">
        <f>IFERROR(VLOOKUP(A2112,vlookup_table!$A:$G,5,FALSE),"")</f>
        <v>S1</v>
      </c>
      <c r="Q2112">
        <f>IFERROR(VLOOKUP(A2112,vlookup_table!$A:$G,7,FALSE),"")</f>
        <v>10</v>
      </c>
      <c r="R2112">
        <f t="shared" si="128"/>
        <v>67</v>
      </c>
      <c r="S2112" t="str" cm="1">
        <f t="array" ref="S2112">IF(P2112="","",_xlfn.SWITCH(LEFT(P2112,1),"C","Ciudad","T","Pueblo","R","Rural","S","Suburbano","U","Urbano",""))</f>
        <v>Suburbano</v>
      </c>
      <c r="T2112" t="str">
        <f t="shared" si="129"/>
        <v>F</v>
      </c>
      <c r="U2112" t="str">
        <f t="shared" si="130"/>
        <v>OR</v>
      </c>
      <c r="V2112" t="str">
        <f t="shared" si="131"/>
        <v>33467</v>
      </c>
    </row>
    <row r="2113" spans="1:22" x14ac:dyDescent="0.35">
      <c r="A2113">
        <v>29610</v>
      </c>
      <c r="B2113" t="s">
        <v>39</v>
      </c>
      <c r="C2113" t="s">
        <v>14</v>
      </c>
      <c r="D2113">
        <v>387</v>
      </c>
      <c r="E2113">
        <v>191</v>
      </c>
      <c r="F2113">
        <v>325</v>
      </c>
      <c r="G2113">
        <v>1</v>
      </c>
      <c r="H2113">
        <v>11604</v>
      </c>
      <c r="I2113">
        <v>0</v>
      </c>
      <c r="J2113">
        <v>74</v>
      </c>
      <c r="K2113">
        <v>221</v>
      </c>
      <c r="L2113">
        <v>285</v>
      </c>
      <c r="M2113">
        <v>4.923076923</v>
      </c>
      <c r="N2113">
        <f>IFERROR(VLOOKUP(A2113,vlookup_table!$A:$G,2,FALSE),"")</f>
        <v>1002</v>
      </c>
      <c r="O2113">
        <f>IFERROR(VLOOKUP(A2113,vlookup_table!$A:$G,4,FALSE),"")</f>
        <v>0</v>
      </c>
      <c r="P2113" t="str">
        <f>IFERROR(VLOOKUP(A2113,vlookup_table!$A:$G,5,FALSE),"")</f>
        <v>T2</v>
      </c>
      <c r="Q2113">
        <f>IFERROR(VLOOKUP(A2113,vlookup_table!$A:$G,7,FALSE),"")</f>
        <v>5</v>
      </c>
      <c r="R2113">
        <f t="shared" si="128"/>
        <v>97</v>
      </c>
      <c r="S2113" t="str" cm="1">
        <f t="array" ref="S2113">IF(P2113="","",_xlfn.SWITCH(LEFT(P2113,1),"C","Ciudad","T","Pueblo","R","Rural","S","Suburbano","U","Urbano",""))</f>
        <v>Pueblo</v>
      </c>
      <c r="T2113" t="str">
        <f t="shared" si="129"/>
        <v>M</v>
      </c>
      <c r="U2113" t="str">
        <f t="shared" si="130"/>
        <v>GA</v>
      </c>
      <c r="V2113" t="str">
        <f t="shared" si="131"/>
        <v>11604</v>
      </c>
    </row>
    <row r="2114" spans="1:22" x14ac:dyDescent="0.35">
      <c r="A2114">
        <v>86926</v>
      </c>
      <c r="B2114" t="s">
        <v>34</v>
      </c>
      <c r="C2114" t="s">
        <v>20</v>
      </c>
      <c r="D2114">
        <v>585</v>
      </c>
      <c r="E2114">
        <v>197</v>
      </c>
      <c r="F2114">
        <v>288</v>
      </c>
      <c r="G2114">
        <v>0</v>
      </c>
      <c r="H2114">
        <v>11955</v>
      </c>
      <c r="I2114">
        <v>1</v>
      </c>
      <c r="J2114">
        <v>58</v>
      </c>
      <c r="K2114">
        <v>244</v>
      </c>
      <c r="L2114">
        <v>228</v>
      </c>
      <c r="M2114">
        <v>8.8000000000000007</v>
      </c>
      <c r="N2114">
        <f>IFERROR(VLOOKUP(A2114,vlookup_table!$A:$G,2,FALSE),"")</f>
        <v>0</v>
      </c>
      <c r="O2114">
        <f>IFERROR(VLOOKUP(A2114,vlookup_table!$A:$G,4,FALSE),"")</f>
        <v>3001</v>
      </c>
      <c r="P2114" t="str">
        <f>IFERROR(VLOOKUP(A2114,vlookup_table!$A:$G,5,FALSE),"")</f>
        <v>R2</v>
      </c>
      <c r="Q2114">
        <f>IFERROR(VLOOKUP(A2114,vlookup_table!$A:$G,7,FALSE),"")</f>
        <v>15</v>
      </c>
      <c r="R2114">
        <f t="shared" ref="R2114:R2177" si="132">IF(O2114="","",97-INT(O2114/100))</f>
        <v>67</v>
      </c>
      <c r="S2114" t="str" cm="1">
        <f t="array" ref="S2114">IF(P2114="","",_xlfn.SWITCH(LEFT(P2114,1),"C","Ciudad","T","Pueblo","R","Rural","S","Suburbano","U","Urbano",""))</f>
        <v>Rural</v>
      </c>
      <c r="T2114" t="str">
        <f t="shared" ref="T2114:T2177" si="133">IF(C2114="","",IF(OR(UPPER(C2114)="M",UPPER(C2114)="MALE"),"M",IF(OR(UPPER(C2114)="F",UPPER(C2114)="FEMALE",UPPER(C2114)="FEAMALE"),"F",C2114)))</f>
        <v>F</v>
      </c>
      <c r="U2114" t="str">
        <f t="shared" ref="U2114:U2177" si="134">IF(OR(UPPER(B2114)="CALIFORNIA",UPPER(B2114)="CALI"),"CA",B2114)</f>
        <v>MT</v>
      </c>
      <c r="V2114" t="str">
        <f t="shared" ref="V2114:V2177" si="135">SUBSTITUTE(H2114,"@","")</f>
        <v>11955</v>
      </c>
    </row>
    <row r="2115" spans="1:22" x14ac:dyDescent="0.35">
      <c r="A2115">
        <v>179235</v>
      </c>
      <c r="B2115" t="s">
        <v>40</v>
      </c>
      <c r="C2115" t="s">
        <v>51</v>
      </c>
      <c r="D2115">
        <v>1133</v>
      </c>
      <c r="E2115">
        <v>596</v>
      </c>
      <c r="F2115">
        <v>610</v>
      </c>
      <c r="G2115">
        <v>1</v>
      </c>
      <c r="H2115">
        <v>19287</v>
      </c>
      <c r="I2115">
        <v>2</v>
      </c>
      <c r="J2115">
        <v>59</v>
      </c>
      <c r="K2115">
        <v>596</v>
      </c>
      <c r="L2115">
        <v>591</v>
      </c>
      <c r="M2115">
        <v>9</v>
      </c>
      <c r="N2115">
        <f>IFERROR(VLOOKUP(A2115,vlookup_table!$A:$G,2,FALSE),"")</f>
        <v>1</v>
      </c>
      <c r="O2115">
        <f>IFERROR(VLOOKUP(A2115,vlookup_table!$A:$G,4,FALSE),"")</f>
        <v>6401</v>
      </c>
      <c r="P2115" t="str">
        <f>IFERROR(VLOOKUP(A2115,vlookup_table!$A:$G,5,FALSE),"")</f>
        <v>S1</v>
      </c>
      <c r="Q2115">
        <f>IFERROR(VLOOKUP(A2115,vlookup_table!$A:$G,7,FALSE),"")</f>
        <v>12</v>
      </c>
      <c r="R2115">
        <f t="shared" si="132"/>
        <v>33</v>
      </c>
      <c r="S2115" t="str" cm="1">
        <f t="array" ref="S2115">IF(P2115="","",_xlfn.SWITCH(LEFT(P2115,1),"C","Ciudad","T","Pueblo","R","Rural","S","Suburbano","U","Urbano",""))</f>
        <v>Suburbano</v>
      </c>
      <c r="T2115" t="str">
        <f t="shared" si="133"/>
        <v>M</v>
      </c>
      <c r="U2115" t="str">
        <f t="shared" si="134"/>
        <v>WA</v>
      </c>
      <c r="V2115" t="str">
        <f t="shared" si="135"/>
        <v>19287</v>
      </c>
    </row>
    <row r="2116" spans="1:22" x14ac:dyDescent="0.35">
      <c r="A2116">
        <v>8276</v>
      </c>
      <c r="B2116" t="s">
        <v>22</v>
      </c>
      <c r="C2116" t="s">
        <v>14</v>
      </c>
      <c r="D2116">
        <v>5914</v>
      </c>
      <c r="E2116">
        <v>1490</v>
      </c>
      <c r="F2116">
        <v>1282</v>
      </c>
      <c r="G2116">
        <v>98</v>
      </c>
      <c r="H2116">
        <v>58689</v>
      </c>
      <c r="I2116">
        <v>17</v>
      </c>
      <c r="J2116">
        <v>38</v>
      </c>
      <c r="K2116">
        <v>1500</v>
      </c>
      <c r="L2116">
        <v>1275</v>
      </c>
      <c r="M2116">
        <v>12.63157895</v>
      </c>
      <c r="N2116">
        <f>IFERROR(VLOOKUP(A2116,vlookup_table!$A:$G,2,FALSE),"")</f>
        <v>1</v>
      </c>
      <c r="O2116">
        <f>IFERROR(VLOOKUP(A2116,vlookup_table!$A:$G,4,FALSE),"")</f>
        <v>4409</v>
      </c>
      <c r="P2116" t="str">
        <f>IFERROR(VLOOKUP(A2116,vlookup_table!$A:$G,5,FALSE),"")</f>
        <v>S1</v>
      </c>
      <c r="Q2116">
        <f>IFERROR(VLOOKUP(A2116,vlookup_table!$A:$G,7,FALSE),"")</f>
        <v>15</v>
      </c>
      <c r="R2116">
        <f t="shared" si="132"/>
        <v>53</v>
      </c>
      <c r="S2116" t="str" cm="1">
        <f t="array" ref="S2116">IF(P2116="","",_xlfn.SWITCH(LEFT(P2116,1),"C","Ciudad","T","Pueblo","R","Rural","S","Suburbano","U","Urbano",""))</f>
        <v>Suburbano</v>
      </c>
      <c r="T2116" t="str">
        <f t="shared" si="133"/>
        <v>M</v>
      </c>
      <c r="U2116" t="str">
        <f t="shared" si="134"/>
        <v>CA</v>
      </c>
      <c r="V2116" t="str">
        <f t="shared" si="135"/>
        <v>58689</v>
      </c>
    </row>
    <row r="2117" spans="1:22" x14ac:dyDescent="0.35">
      <c r="A2117">
        <v>27108</v>
      </c>
      <c r="B2117" t="s">
        <v>39</v>
      </c>
      <c r="C2117" t="s">
        <v>17</v>
      </c>
      <c r="D2117">
        <v>656</v>
      </c>
      <c r="E2117">
        <v>304</v>
      </c>
      <c r="F2117">
        <v>312</v>
      </c>
      <c r="G2117">
        <v>3</v>
      </c>
      <c r="H2117">
        <v>14123</v>
      </c>
      <c r="I2117">
        <v>0</v>
      </c>
      <c r="J2117">
        <v>58</v>
      </c>
      <c r="K2117">
        <v>309</v>
      </c>
      <c r="L2117">
        <v>308</v>
      </c>
      <c r="M2117">
        <v>7.35</v>
      </c>
      <c r="N2117">
        <f>IFERROR(VLOOKUP(A2117,vlookup_table!$A:$G,2,FALSE),"")</f>
        <v>2</v>
      </c>
      <c r="O2117">
        <f>IFERROR(VLOOKUP(A2117,vlookup_table!$A:$G,4,FALSE),"")</f>
        <v>2101</v>
      </c>
      <c r="P2117" t="str">
        <f>IFERROR(VLOOKUP(A2117,vlookup_table!$A:$G,5,FALSE),"")</f>
        <v>S2</v>
      </c>
      <c r="Q2117">
        <f>IFERROR(VLOOKUP(A2117,vlookup_table!$A:$G,7,FALSE),"")</f>
        <v>15</v>
      </c>
      <c r="R2117">
        <f t="shared" si="132"/>
        <v>76</v>
      </c>
      <c r="S2117" t="str" cm="1">
        <f t="array" ref="S2117">IF(P2117="","",_xlfn.SWITCH(LEFT(P2117,1),"C","Ciudad","T","Pueblo","R","Rural","S","Suburbano","U","Urbano",""))</f>
        <v>Suburbano</v>
      </c>
      <c r="T2117" t="str">
        <f t="shared" si="133"/>
        <v>F</v>
      </c>
      <c r="U2117" t="str">
        <f t="shared" si="134"/>
        <v>GA</v>
      </c>
      <c r="V2117" t="str">
        <f t="shared" si="135"/>
        <v>14123</v>
      </c>
    </row>
    <row r="2118" spans="1:22" x14ac:dyDescent="0.35">
      <c r="A2118">
        <v>56860</v>
      </c>
      <c r="B2118" t="s">
        <v>57</v>
      </c>
      <c r="C2118" t="s">
        <v>17</v>
      </c>
      <c r="D2118">
        <v>439</v>
      </c>
      <c r="E2118">
        <v>328</v>
      </c>
      <c r="F2118">
        <v>356</v>
      </c>
      <c r="G2118">
        <v>0</v>
      </c>
      <c r="H2118">
        <v>9955</v>
      </c>
      <c r="I2118">
        <v>0</v>
      </c>
      <c r="J2118">
        <v>84</v>
      </c>
      <c r="K2118">
        <v>335</v>
      </c>
      <c r="L2118">
        <v>350</v>
      </c>
      <c r="M2118">
        <v>11.25</v>
      </c>
      <c r="N2118">
        <f>IFERROR(VLOOKUP(A2118,vlookup_table!$A:$G,2,FALSE),"")</f>
        <v>0</v>
      </c>
      <c r="O2118">
        <f>IFERROR(VLOOKUP(A2118,vlookup_table!$A:$G,4,FALSE),"")</f>
        <v>6601</v>
      </c>
      <c r="P2118" t="str">
        <f>IFERROR(VLOOKUP(A2118,vlookup_table!$A:$G,5,FALSE),"")</f>
        <v>T2</v>
      </c>
      <c r="Q2118">
        <f>IFERROR(VLOOKUP(A2118,vlookup_table!$A:$G,7,FALSE),"")</f>
        <v>24</v>
      </c>
      <c r="R2118">
        <f t="shared" si="132"/>
        <v>31</v>
      </c>
      <c r="S2118" t="str" cm="1">
        <f t="array" ref="S2118">IF(P2118="","",_xlfn.SWITCH(LEFT(P2118,1),"C","Ciudad","T","Pueblo","R","Rural","S","Suburbano","U","Urbano",""))</f>
        <v>Pueblo</v>
      </c>
      <c r="T2118" t="str">
        <f t="shared" si="133"/>
        <v>F</v>
      </c>
      <c r="U2118" t="str">
        <f t="shared" si="134"/>
        <v>KY</v>
      </c>
      <c r="V2118" t="str">
        <f t="shared" si="135"/>
        <v>9955</v>
      </c>
    </row>
    <row r="2119" spans="1:22" x14ac:dyDescent="0.35">
      <c r="A2119">
        <v>157817</v>
      </c>
      <c r="B2119" t="s">
        <v>22</v>
      </c>
      <c r="C2119" t="s">
        <v>17</v>
      </c>
      <c r="D2119">
        <v>2356</v>
      </c>
      <c r="E2119">
        <v>520</v>
      </c>
      <c r="F2119">
        <v>762</v>
      </c>
      <c r="G2119">
        <v>77</v>
      </c>
      <c r="H2119">
        <v>31180</v>
      </c>
      <c r="I2119">
        <v>7</v>
      </c>
      <c r="J2119">
        <v>43</v>
      </c>
      <c r="K2119">
        <v>683</v>
      </c>
      <c r="L2119">
        <v>651</v>
      </c>
      <c r="M2119">
        <v>11.28</v>
      </c>
      <c r="N2119">
        <f>IFERROR(VLOOKUP(A2119,vlookup_table!$A:$G,2,FALSE),"")</f>
        <v>3</v>
      </c>
      <c r="O2119">
        <f>IFERROR(VLOOKUP(A2119,vlookup_table!$A:$G,4,FALSE),"")</f>
        <v>4101</v>
      </c>
      <c r="P2119" t="str">
        <f>IFERROR(VLOOKUP(A2119,vlookup_table!$A:$G,5,FALSE),"")</f>
        <v>S1</v>
      </c>
      <c r="Q2119">
        <f>IFERROR(VLOOKUP(A2119,vlookup_table!$A:$G,7,FALSE),"")</f>
        <v>11</v>
      </c>
      <c r="R2119">
        <f t="shared" si="132"/>
        <v>56</v>
      </c>
      <c r="S2119" t="str" cm="1">
        <f t="array" ref="S2119">IF(P2119="","",_xlfn.SWITCH(LEFT(P2119,1),"C","Ciudad","T","Pueblo","R","Rural","S","Suburbano","U","Urbano",""))</f>
        <v>Suburbano</v>
      </c>
      <c r="T2119" t="str">
        <f t="shared" si="133"/>
        <v>F</v>
      </c>
      <c r="U2119" t="str">
        <f t="shared" si="134"/>
        <v>CA</v>
      </c>
      <c r="V2119" t="str">
        <f t="shared" si="135"/>
        <v>31180</v>
      </c>
    </row>
    <row r="2120" spans="1:22" x14ac:dyDescent="0.35">
      <c r="A2120">
        <v>135296</v>
      </c>
      <c r="B2120" t="s">
        <v>55</v>
      </c>
      <c r="C2120" t="s">
        <v>60</v>
      </c>
      <c r="D2120">
        <v>967</v>
      </c>
      <c r="E2120">
        <v>254</v>
      </c>
      <c r="F2120">
        <v>408</v>
      </c>
      <c r="G2120">
        <v>13</v>
      </c>
      <c r="H2120">
        <v>19177</v>
      </c>
      <c r="I2120">
        <v>7</v>
      </c>
      <c r="J2120">
        <v>9</v>
      </c>
      <c r="K2120">
        <v>359</v>
      </c>
      <c r="L2120">
        <v>287</v>
      </c>
      <c r="M2120">
        <v>6.3333333329999997</v>
      </c>
      <c r="N2120">
        <f>IFERROR(VLOOKUP(A2120,vlookup_table!$A:$G,2,FALSE),"")</f>
        <v>0</v>
      </c>
      <c r="O2120">
        <f>IFERROR(VLOOKUP(A2120,vlookup_table!$A:$G,4,FALSE),"")</f>
        <v>1501</v>
      </c>
      <c r="P2120" t="str">
        <f>IFERROR(VLOOKUP(A2120,vlookup_table!$A:$G,5,FALSE),"")</f>
        <v>C2</v>
      </c>
      <c r="Q2120">
        <f>IFERROR(VLOOKUP(A2120,vlookup_table!$A:$G,7,FALSE),"")</f>
        <v>11</v>
      </c>
      <c r="R2120">
        <f t="shared" si="132"/>
        <v>82</v>
      </c>
      <c r="S2120" t="str" cm="1">
        <f t="array" ref="S2120">IF(P2120="","",_xlfn.SWITCH(LEFT(P2120,1),"C","Ciudad","T","Pueblo","R","Rural","S","Suburbano","U","Urbano",""))</f>
        <v>Ciudad</v>
      </c>
      <c r="T2120" t="str">
        <f t="shared" si="133"/>
        <v>F</v>
      </c>
      <c r="U2120" t="str">
        <f t="shared" si="134"/>
        <v>AZ</v>
      </c>
      <c r="V2120" t="str">
        <f t="shared" si="135"/>
        <v>19177</v>
      </c>
    </row>
    <row r="2121" spans="1:22" x14ac:dyDescent="0.35">
      <c r="A2121">
        <v>80995</v>
      </c>
      <c r="B2121" t="s">
        <v>35</v>
      </c>
      <c r="C2121" t="s">
        <v>51</v>
      </c>
      <c r="D2121">
        <v>342</v>
      </c>
      <c r="E2121">
        <v>174</v>
      </c>
      <c r="F2121">
        <v>262</v>
      </c>
      <c r="G2121">
        <v>0</v>
      </c>
      <c r="H2121">
        <v>8356</v>
      </c>
      <c r="I2121">
        <v>1</v>
      </c>
      <c r="J2121">
        <v>81</v>
      </c>
      <c r="K2121">
        <v>228</v>
      </c>
      <c r="L2121">
        <v>217</v>
      </c>
      <c r="M2121">
        <v>5.8571428570000004</v>
      </c>
      <c r="N2121">
        <f>IFERROR(VLOOKUP(A2121,vlookup_table!$A:$G,2,FALSE),"")</f>
        <v>1</v>
      </c>
      <c r="O2121">
        <f>IFERROR(VLOOKUP(A2121,vlookup_table!$A:$G,4,FALSE),"")</f>
        <v>2509</v>
      </c>
      <c r="P2121" t="str">
        <f>IFERROR(VLOOKUP(A2121,vlookup_table!$A:$G,5,FALSE),"")</f>
        <v>R3</v>
      </c>
      <c r="Q2121">
        <f>IFERROR(VLOOKUP(A2121,vlookup_table!$A:$G,7,FALSE),"")</f>
        <v>5</v>
      </c>
      <c r="R2121">
        <f t="shared" si="132"/>
        <v>72</v>
      </c>
      <c r="S2121" t="str" cm="1">
        <f t="array" ref="S2121">IF(P2121="","",_xlfn.SWITCH(LEFT(P2121,1),"C","Ciudad","T","Pueblo","R","Rural","S","Suburbano","U","Urbano",""))</f>
        <v>Rural</v>
      </c>
      <c r="T2121" t="str">
        <f t="shared" si="133"/>
        <v>M</v>
      </c>
      <c r="U2121" t="str">
        <f t="shared" si="134"/>
        <v>WI</v>
      </c>
      <c r="V2121" t="str">
        <f t="shared" si="135"/>
        <v>8356</v>
      </c>
    </row>
    <row r="2122" spans="1:22" x14ac:dyDescent="0.35">
      <c r="A2122">
        <v>95943</v>
      </c>
      <c r="B2122" t="s">
        <v>16</v>
      </c>
      <c r="C2122" t="s">
        <v>14</v>
      </c>
      <c r="D2122">
        <v>435</v>
      </c>
      <c r="E2122">
        <v>353</v>
      </c>
      <c r="F2122">
        <v>373</v>
      </c>
      <c r="G2122">
        <v>1</v>
      </c>
      <c r="H2122">
        <v>13341</v>
      </c>
      <c r="I2122">
        <v>1</v>
      </c>
      <c r="J2122">
        <v>65</v>
      </c>
      <c r="K2122">
        <v>399</v>
      </c>
      <c r="L2122">
        <v>345</v>
      </c>
      <c r="M2122">
        <v>10</v>
      </c>
      <c r="N2122">
        <f>IFERROR(VLOOKUP(A2122,vlookup_table!$A:$G,2,FALSE),"")</f>
        <v>1</v>
      </c>
      <c r="O2122">
        <f>IFERROR(VLOOKUP(A2122,vlookup_table!$A:$G,4,FALSE),"")</f>
        <v>2901</v>
      </c>
      <c r="P2122" t="str">
        <f>IFERROR(VLOOKUP(A2122,vlookup_table!$A:$G,5,FALSE),"")</f>
        <v>C2</v>
      </c>
      <c r="Q2122">
        <f>IFERROR(VLOOKUP(A2122,vlookup_table!$A:$G,7,FALSE),"")</f>
        <v>13</v>
      </c>
      <c r="R2122">
        <f t="shared" si="132"/>
        <v>68</v>
      </c>
      <c r="S2122" t="str" cm="1">
        <f t="array" ref="S2122">IF(P2122="","",_xlfn.SWITCH(LEFT(P2122,1),"C","Ciudad","T","Pueblo","R","Rural","S","Suburbano","U","Urbano",""))</f>
        <v>Ciudad</v>
      </c>
      <c r="T2122" t="str">
        <f t="shared" si="133"/>
        <v>M</v>
      </c>
      <c r="U2122" t="str">
        <f t="shared" si="134"/>
        <v>IL</v>
      </c>
      <c r="V2122" t="str">
        <f t="shared" si="135"/>
        <v>13341</v>
      </c>
    </row>
    <row r="2123" spans="1:22" x14ac:dyDescent="0.35">
      <c r="A2123">
        <v>188141</v>
      </c>
      <c r="B2123" t="s">
        <v>13</v>
      </c>
      <c r="D2123">
        <v>578</v>
      </c>
      <c r="E2123">
        <v>248</v>
      </c>
      <c r="F2123">
        <v>338</v>
      </c>
      <c r="G2123">
        <v>6</v>
      </c>
      <c r="H2123">
        <v>12336</v>
      </c>
      <c r="I2123">
        <v>3</v>
      </c>
      <c r="J2123">
        <v>51</v>
      </c>
      <c r="K2123">
        <v>280</v>
      </c>
      <c r="L2123">
        <v>309</v>
      </c>
      <c r="M2123">
        <v>14.42857143</v>
      </c>
      <c r="N2123">
        <f>IFERROR(VLOOKUP(A2123,vlookup_table!$A:$G,2,FALSE),"")</f>
        <v>1</v>
      </c>
      <c r="O2123">
        <f>IFERROR(VLOOKUP(A2123,vlookup_table!$A:$G,4,FALSE),"")</f>
        <v>0</v>
      </c>
      <c r="P2123" t="str">
        <f>IFERROR(VLOOKUP(A2123,vlookup_table!$A:$G,5,FALSE),"")</f>
        <v>S1</v>
      </c>
      <c r="Q2123">
        <f>IFERROR(VLOOKUP(A2123,vlookup_table!$A:$G,7,FALSE),"")</f>
        <v>25</v>
      </c>
      <c r="R2123">
        <f t="shared" si="132"/>
        <v>97</v>
      </c>
      <c r="S2123" t="str" cm="1">
        <f t="array" ref="S2123">IF(P2123="","",_xlfn.SWITCH(LEFT(P2123,1),"C","Ciudad","T","Pueblo","R","Rural","S","Suburbano","U","Urbano",""))</f>
        <v>Suburbano</v>
      </c>
      <c r="T2123" t="str">
        <f t="shared" si="133"/>
        <v/>
      </c>
      <c r="U2123" t="str">
        <f t="shared" si="134"/>
        <v>FL</v>
      </c>
      <c r="V2123" t="str">
        <f t="shared" si="135"/>
        <v>12336</v>
      </c>
    </row>
    <row r="2124" spans="1:22" x14ac:dyDescent="0.35">
      <c r="A2124">
        <v>13523</v>
      </c>
      <c r="B2124" t="s">
        <v>24</v>
      </c>
      <c r="C2124" t="s">
        <v>17</v>
      </c>
      <c r="D2124">
        <v>463</v>
      </c>
      <c r="E2124">
        <v>177</v>
      </c>
      <c r="F2124">
        <v>233</v>
      </c>
      <c r="G2124">
        <v>0</v>
      </c>
      <c r="H2124">
        <v>8068</v>
      </c>
      <c r="I2124">
        <v>0</v>
      </c>
      <c r="J2124">
        <v>51</v>
      </c>
      <c r="K2124">
        <v>189</v>
      </c>
      <c r="L2124">
        <v>221</v>
      </c>
      <c r="M2124">
        <v>14</v>
      </c>
      <c r="N2124">
        <f>IFERROR(VLOOKUP(A2124,vlookup_table!$A:$G,2,FALSE),"")</f>
        <v>0</v>
      </c>
      <c r="O2124">
        <f>IFERROR(VLOOKUP(A2124,vlookup_table!$A:$G,4,FALSE),"")</f>
        <v>4103</v>
      </c>
      <c r="P2124" t="str">
        <f>IFERROR(VLOOKUP(A2124,vlookup_table!$A:$G,5,FALSE),"")</f>
        <v>R2</v>
      </c>
      <c r="Q2124">
        <f>IFERROR(VLOOKUP(A2124,vlookup_table!$A:$G,7,FALSE),"")</f>
        <v>40</v>
      </c>
      <c r="R2124">
        <f t="shared" si="132"/>
        <v>56</v>
      </c>
      <c r="S2124" t="str" cm="1">
        <f t="array" ref="S2124">IF(P2124="","",_xlfn.SWITCH(LEFT(P2124,1),"C","Ciudad","T","Pueblo","R","Rural","S","Suburbano","U","Urbano",""))</f>
        <v>Rural</v>
      </c>
      <c r="T2124" t="str">
        <f t="shared" si="133"/>
        <v>F</v>
      </c>
      <c r="U2124" t="str">
        <f t="shared" si="134"/>
        <v>NV</v>
      </c>
      <c r="V2124" t="str">
        <f t="shared" si="135"/>
        <v>8068</v>
      </c>
    </row>
    <row r="2125" spans="1:22" x14ac:dyDescent="0.35">
      <c r="A2125">
        <v>7518</v>
      </c>
      <c r="B2125" t="s">
        <v>35</v>
      </c>
      <c r="C2125" t="s">
        <v>51</v>
      </c>
      <c r="D2125">
        <v>607</v>
      </c>
      <c r="E2125">
        <v>298</v>
      </c>
      <c r="F2125">
        <v>361</v>
      </c>
      <c r="G2125">
        <v>1</v>
      </c>
      <c r="H2125">
        <v>12279</v>
      </c>
      <c r="I2125">
        <v>1</v>
      </c>
      <c r="J2125">
        <v>82</v>
      </c>
      <c r="K2125">
        <v>330</v>
      </c>
      <c r="L2125">
        <v>324</v>
      </c>
      <c r="M2125">
        <v>4.8421052629999997</v>
      </c>
      <c r="N2125">
        <f>IFERROR(VLOOKUP(A2125,vlookup_table!$A:$G,2,FALSE),"")</f>
        <v>1</v>
      </c>
      <c r="O2125">
        <f>IFERROR(VLOOKUP(A2125,vlookup_table!$A:$G,4,FALSE),"")</f>
        <v>0</v>
      </c>
      <c r="P2125">
        <f>IFERROR(VLOOKUP(A2125,vlookup_table!$A:$G,5,FALSE),"")</f>
        <v>0</v>
      </c>
      <c r="Q2125">
        <f>IFERROR(VLOOKUP(A2125,vlookup_table!$A:$G,7,FALSE),"")</f>
        <v>5</v>
      </c>
      <c r="R2125">
        <f t="shared" si="132"/>
        <v>97</v>
      </c>
      <c r="S2125" t="str" cm="1">
        <f t="array" ref="S2125">IF(P2125="","",_xlfn.SWITCH(LEFT(P2125,1),"C","Ciudad","T","Pueblo","R","Rural","S","Suburbano","U","Urbano",""))</f>
        <v/>
      </c>
      <c r="T2125" t="str">
        <f t="shared" si="133"/>
        <v>M</v>
      </c>
      <c r="U2125" t="str">
        <f t="shared" si="134"/>
        <v>WI</v>
      </c>
      <c r="V2125" t="str">
        <f t="shared" si="135"/>
        <v>12279</v>
      </c>
    </row>
    <row r="2126" spans="1:22" x14ac:dyDescent="0.35">
      <c r="A2126">
        <v>7637</v>
      </c>
      <c r="B2126" t="s">
        <v>68</v>
      </c>
      <c r="C2126" t="s">
        <v>17</v>
      </c>
      <c r="D2126">
        <v>353</v>
      </c>
      <c r="E2126">
        <v>179</v>
      </c>
      <c r="F2126">
        <v>258</v>
      </c>
      <c r="G2126">
        <v>0</v>
      </c>
      <c r="H2126">
        <v>9059</v>
      </c>
      <c r="I2126">
        <v>0</v>
      </c>
      <c r="J2126">
        <v>51</v>
      </c>
      <c r="K2126">
        <v>220</v>
      </c>
      <c r="L2126">
        <v>221</v>
      </c>
      <c r="M2126">
        <v>9</v>
      </c>
      <c r="N2126">
        <f>IFERROR(VLOOKUP(A2126,vlookup_table!$A:$G,2,FALSE),"")</f>
        <v>0</v>
      </c>
      <c r="O2126">
        <f>IFERROR(VLOOKUP(A2126,vlookup_table!$A:$G,4,FALSE),"")</f>
        <v>1801</v>
      </c>
      <c r="P2126" t="str">
        <f>IFERROR(VLOOKUP(A2126,vlookup_table!$A:$G,5,FALSE),"")</f>
        <v>R3</v>
      </c>
      <c r="Q2126">
        <f>IFERROR(VLOOKUP(A2126,vlookup_table!$A:$G,7,FALSE),"")</f>
        <v>10</v>
      </c>
      <c r="R2126">
        <f t="shared" si="132"/>
        <v>79</v>
      </c>
      <c r="S2126" t="str" cm="1">
        <f t="array" ref="S2126">IF(P2126="","",_xlfn.SWITCH(LEFT(P2126,1),"C","Ciudad","T","Pueblo","R","Rural","S","Suburbano","U","Urbano",""))</f>
        <v>Rural</v>
      </c>
      <c r="T2126" t="str">
        <f t="shared" si="133"/>
        <v>F</v>
      </c>
      <c r="U2126" t="str">
        <f t="shared" si="134"/>
        <v>Tennessee</v>
      </c>
      <c r="V2126" t="str">
        <f t="shared" si="135"/>
        <v>9059</v>
      </c>
    </row>
    <row r="2127" spans="1:22" x14ac:dyDescent="0.35">
      <c r="A2127">
        <v>40655</v>
      </c>
      <c r="B2127" t="s">
        <v>13</v>
      </c>
      <c r="C2127" t="s">
        <v>14</v>
      </c>
      <c r="D2127">
        <v>810</v>
      </c>
      <c r="E2127">
        <v>295</v>
      </c>
      <c r="F2127">
        <v>430</v>
      </c>
      <c r="G2127">
        <v>0</v>
      </c>
      <c r="H2127">
        <v>19398</v>
      </c>
      <c r="I2127">
        <v>2</v>
      </c>
      <c r="J2127">
        <v>24</v>
      </c>
      <c r="K2127">
        <v>373</v>
      </c>
      <c r="L2127">
        <v>374</v>
      </c>
      <c r="M2127">
        <v>11</v>
      </c>
      <c r="N2127">
        <f>IFERROR(VLOOKUP(A2127,vlookup_table!$A:$G,2,FALSE),"")</f>
        <v>0</v>
      </c>
      <c r="O2127">
        <f>IFERROR(VLOOKUP(A2127,vlookup_table!$A:$G,4,FALSE),"")</f>
        <v>3601</v>
      </c>
      <c r="P2127" t="str">
        <f>IFERROR(VLOOKUP(A2127,vlookup_table!$A:$G,5,FALSE),"")</f>
        <v>C2</v>
      </c>
      <c r="Q2127">
        <f>IFERROR(VLOOKUP(A2127,vlookup_table!$A:$G,7,FALSE),"")</f>
        <v>20</v>
      </c>
      <c r="R2127">
        <f t="shared" si="132"/>
        <v>61</v>
      </c>
      <c r="S2127" t="str" cm="1">
        <f t="array" ref="S2127">IF(P2127="","",_xlfn.SWITCH(LEFT(P2127,1),"C","Ciudad","T","Pueblo","R","Rural","S","Suburbano","U","Urbano",""))</f>
        <v>Ciudad</v>
      </c>
      <c r="T2127" t="str">
        <f t="shared" si="133"/>
        <v>M</v>
      </c>
      <c r="U2127" t="str">
        <f t="shared" si="134"/>
        <v>FL</v>
      </c>
      <c r="V2127" t="str">
        <f t="shared" si="135"/>
        <v>19398</v>
      </c>
    </row>
    <row r="2128" spans="1:22" x14ac:dyDescent="0.35">
      <c r="A2128">
        <v>87505</v>
      </c>
      <c r="B2128" t="s">
        <v>34</v>
      </c>
      <c r="C2128" t="s">
        <v>20</v>
      </c>
      <c r="D2128">
        <v>375</v>
      </c>
      <c r="E2128">
        <v>200</v>
      </c>
      <c r="F2128">
        <v>222</v>
      </c>
      <c r="G2128">
        <v>0</v>
      </c>
      <c r="H2128">
        <v>7976</v>
      </c>
      <c r="I2128">
        <v>0</v>
      </c>
      <c r="J2128">
        <v>62</v>
      </c>
      <c r="K2128">
        <v>181</v>
      </c>
      <c r="L2128">
        <v>225</v>
      </c>
      <c r="M2128">
        <v>8.3888888890000004</v>
      </c>
      <c r="N2128">
        <f>IFERROR(VLOOKUP(A2128,vlookup_table!$A:$G,2,FALSE),"")</f>
        <v>0</v>
      </c>
      <c r="O2128">
        <f>IFERROR(VLOOKUP(A2128,vlookup_table!$A:$G,4,FALSE),"")</f>
        <v>2101</v>
      </c>
      <c r="P2128" t="str">
        <f>IFERROR(VLOOKUP(A2128,vlookup_table!$A:$G,5,FALSE),"")</f>
        <v>C3</v>
      </c>
      <c r="Q2128">
        <f>IFERROR(VLOOKUP(A2128,vlookup_table!$A:$G,7,FALSE),"")</f>
        <v>8</v>
      </c>
      <c r="R2128">
        <f t="shared" si="132"/>
        <v>76</v>
      </c>
      <c r="S2128" t="str" cm="1">
        <f t="array" ref="S2128">IF(P2128="","",_xlfn.SWITCH(LEFT(P2128,1),"C","Ciudad","T","Pueblo","R","Rural","S","Suburbano","U","Urbano",""))</f>
        <v>Ciudad</v>
      </c>
      <c r="T2128" t="str">
        <f t="shared" si="133"/>
        <v>F</v>
      </c>
      <c r="U2128" t="str">
        <f t="shared" si="134"/>
        <v>MT</v>
      </c>
      <c r="V2128" t="str">
        <f t="shared" si="135"/>
        <v>7976</v>
      </c>
    </row>
    <row r="2129" spans="1:22" x14ac:dyDescent="0.35">
      <c r="A2129">
        <v>176380</v>
      </c>
      <c r="B2129" t="s">
        <v>50</v>
      </c>
      <c r="C2129" t="s">
        <v>14</v>
      </c>
      <c r="D2129">
        <v>865</v>
      </c>
      <c r="E2129">
        <v>459</v>
      </c>
      <c r="F2129">
        <v>615</v>
      </c>
      <c r="G2129">
        <v>4</v>
      </c>
      <c r="H2129">
        <v>21364</v>
      </c>
      <c r="I2129">
        <v>6</v>
      </c>
      <c r="J2129">
        <v>36</v>
      </c>
      <c r="K2129">
        <v>536</v>
      </c>
      <c r="L2129">
        <v>530</v>
      </c>
      <c r="M2129">
        <v>10</v>
      </c>
      <c r="N2129">
        <f>IFERROR(VLOOKUP(A2129,vlookup_table!$A:$G,2,FALSE),"")</f>
        <v>0</v>
      </c>
      <c r="O2129">
        <f>IFERROR(VLOOKUP(A2129,vlookup_table!$A:$G,4,FALSE),"")</f>
        <v>4901</v>
      </c>
      <c r="P2129" t="str">
        <f>IFERROR(VLOOKUP(A2129,vlookup_table!$A:$G,5,FALSE),"")</f>
        <v>C1</v>
      </c>
      <c r="Q2129">
        <f>IFERROR(VLOOKUP(A2129,vlookup_table!$A:$G,7,FALSE),"")</f>
        <v>15</v>
      </c>
      <c r="R2129">
        <f t="shared" si="132"/>
        <v>48</v>
      </c>
      <c r="S2129" t="str" cm="1">
        <f t="array" ref="S2129">IF(P2129="","",_xlfn.SWITCH(LEFT(P2129,1),"C","Ciudad","T","Pueblo","R","Rural","S","Suburbano","U","Urbano",""))</f>
        <v>Ciudad</v>
      </c>
      <c r="T2129" t="str">
        <f t="shared" si="133"/>
        <v>M</v>
      </c>
      <c r="U2129" t="str">
        <f t="shared" si="134"/>
        <v>OR</v>
      </c>
      <c r="V2129" t="str">
        <f t="shared" si="135"/>
        <v>21364</v>
      </c>
    </row>
    <row r="2130" spans="1:22" x14ac:dyDescent="0.35">
      <c r="A2130">
        <v>45367</v>
      </c>
      <c r="B2130" t="s">
        <v>13</v>
      </c>
      <c r="C2130" t="s">
        <v>14</v>
      </c>
      <c r="D2130">
        <v>1172</v>
      </c>
      <c r="E2130">
        <v>455</v>
      </c>
      <c r="F2130">
        <v>525</v>
      </c>
      <c r="G2130">
        <v>6</v>
      </c>
      <c r="H2130">
        <v>18415</v>
      </c>
      <c r="I2130">
        <v>3</v>
      </c>
      <c r="J2130">
        <v>28</v>
      </c>
      <c r="K2130">
        <v>502</v>
      </c>
      <c r="L2130">
        <v>487</v>
      </c>
      <c r="M2130">
        <v>25</v>
      </c>
      <c r="N2130">
        <f>IFERROR(VLOOKUP(A2130,vlookup_table!$A:$G,2,FALSE),"")</f>
        <v>1002</v>
      </c>
      <c r="O2130">
        <f>IFERROR(VLOOKUP(A2130,vlookup_table!$A:$G,4,FALSE),"")</f>
        <v>6501</v>
      </c>
      <c r="P2130" t="str">
        <f>IFERROR(VLOOKUP(A2130,vlookup_table!$A:$G,5,FALSE),"")</f>
        <v>U1</v>
      </c>
      <c r="Q2130">
        <f>IFERROR(VLOOKUP(A2130,vlookup_table!$A:$G,7,FALSE),"")</f>
        <v>30</v>
      </c>
      <c r="R2130">
        <f t="shared" si="132"/>
        <v>32</v>
      </c>
      <c r="S2130" t="str" cm="1">
        <f t="array" ref="S2130">IF(P2130="","",_xlfn.SWITCH(LEFT(P2130,1),"C","Ciudad","T","Pueblo","R","Rural","S","Suburbano","U","Urbano",""))</f>
        <v>Urbano</v>
      </c>
      <c r="T2130" t="str">
        <f t="shared" si="133"/>
        <v>M</v>
      </c>
      <c r="U2130" t="str">
        <f t="shared" si="134"/>
        <v>FL</v>
      </c>
      <c r="V2130" t="str">
        <f t="shared" si="135"/>
        <v>18415</v>
      </c>
    </row>
    <row r="2131" spans="1:22" x14ac:dyDescent="0.35">
      <c r="A2131">
        <v>112496</v>
      </c>
      <c r="B2131" t="s">
        <v>32</v>
      </c>
      <c r="C2131" t="s">
        <v>60</v>
      </c>
      <c r="D2131">
        <v>1906</v>
      </c>
      <c r="E2131">
        <v>512</v>
      </c>
      <c r="F2131">
        <v>896</v>
      </c>
      <c r="G2131">
        <v>44</v>
      </c>
      <c r="H2131">
        <v>41437</v>
      </c>
      <c r="I2131">
        <v>0</v>
      </c>
      <c r="J2131">
        <v>21</v>
      </c>
      <c r="K2131">
        <v>540</v>
      </c>
      <c r="L2131">
        <v>759</v>
      </c>
      <c r="M2131">
        <v>8.125</v>
      </c>
      <c r="N2131">
        <f>IFERROR(VLOOKUP(A2131,vlookup_table!$A:$G,2,FALSE),"")</f>
        <v>0</v>
      </c>
      <c r="O2131">
        <f>IFERROR(VLOOKUP(A2131,vlookup_table!$A:$G,4,FALSE),"")</f>
        <v>0</v>
      </c>
      <c r="P2131" t="str">
        <f>IFERROR(VLOOKUP(A2131,vlookup_table!$A:$G,5,FALSE),"")</f>
        <v>C1</v>
      </c>
      <c r="Q2131">
        <f>IFERROR(VLOOKUP(A2131,vlookup_table!$A:$G,7,FALSE),"")</f>
        <v>10</v>
      </c>
      <c r="R2131">
        <f t="shared" si="132"/>
        <v>97</v>
      </c>
      <c r="S2131" t="str" cm="1">
        <f t="array" ref="S2131">IF(P2131="","",_xlfn.SWITCH(LEFT(P2131,1),"C","Ciudad","T","Pueblo","R","Rural","S","Suburbano","U","Urbano",""))</f>
        <v>Ciudad</v>
      </c>
      <c r="T2131" t="str">
        <f t="shared" si="133"/>
        <v>F</v>
      </c>
      <c r="U2131" t="str">
        <f t="shared" si="134"/>
        <v>AR</v>
      </c>
      <c r="V2131" t="str">
        <f t="shared" si="135"/>
        <v>41437</v>
      </c>
    </row>
    <row r="2132" spans="1:22" x14ac:dyDescent="0.35">
      <c r="A2132">
        <v>119576</v>
      </c>
      <c r="B2132" t="s">
        <v>21</v>
      </c>
      <c r="C2132" t="s">
        <v>14</v>
      </c>
      <c r="D2132">
        <v>916</v>
      </c>
      <c r="E2132">
        <v>505</v>
      </c>
      <c r="F2132">
        <v>571</v>
      </c>
      <c r="G2132">
        <v>0</v>
      </c>
      <c r="H2132">
        <v>18849</v>
      </c>
      <c r="I2132">
        <v>3</v>
      </c>
      <c r="J2132">
        <v>68</v>
      </c>
      <c r="K2132">
        <v>571</v>
      </c>
      <c r="L2132">
        <v>496</v>
      </c>
      <c r="M2132">
        <v>9.1999999999999993</v>
      </c>
      <c r="N2132">
        <f>IFERROR(VLOOKUP(A2132,vlookup_table!$A:$G,2,FALSE),"")</f>
        <v>1</v>
      </c>
      <c r="O2132">
        <f>IFERROR(VLOOKUP(A2132,vlookup_table!$A:$G,4,FALSE),"")</f>
        <v>5901</v>
      </c>
      <c r="P2132" t="str">
        <f>IFERROR(VLOOKUP(A2132,vlookup_table!$A:$G,5,FALSE),"")</f>
        <v>S1</v>
      </c>
      <c r="Q2132">
        <f>IFERROR(VLOOKUP(A2132,vlookup_table!$A:$G,7,FALSE),"")</f>
        <v>9</v>
      </c>
      <c r="R2132">
        <f t="shared" si="132"/>
        <v>38</v>
      </c>
      <c r="S2132" t="str" cm="1">
        <f t="array" ref="S2132">IF(P2132="","",_xlfn.SWITCH(LEFT(P2132,1),"C","Ciudad","T","Pueblo","R","Rural","S","Suburbano","U","Urbano",""))</f>
        <v>Suburbano</v>
      </c>
      <c r="T2132" t="str">
        <f t="shared" si="133"/>
        <v>M</v>
      </c>
      <c r="U2132" t="str">
        <f t="shared" si="134"/>
        <v>TX</v>
      </c>
      <c r="V2132" t="str">
        <f t="shared" si="135"/>
        <v>18849</v>
      </c>
    </row>
    <row r="2133" spans="1:22" x14ac:dyDescent="0.35">
      <c r="A2133">
        <v>9923</v>
      </c>
      <c r="B2133" t="s">
        <v>21</v>
      </c>
      <c r="C2133" t="s">
        <v>17</v>
      </c>
      <c r="D2133">
        <v>1234</v>
      </c>
      <c r="E2133">
        <v>363</v>
      </c>
      <c r="F2133">
        <v>561</v>
      </c>
      <c r="G2133">
        <v>19</v>
      </c>
      <c r="H2133">
        <v>21054</v>
      </c>
      <c r="I2133">
        <v>3</v>
      </c>
      <c r="J2133">
        <v>58</v>
      </c>
      <c r="K2133">
        <v>456</v>
      </c>
      <c r="L2133">
        <v>441</v>
      </c>
      <c r="M2133">
        <v>11.235294120000001</v>
      </c>
      <c r="N2133">
        <f>IFERROR(VLOOKUP(A2133,vlookup_table!$A:$G,2,FALSE),"")</f>
        <v>28</v>
      </c>
      <c r="O2133">
        <f>IFERROR(VLOOKUP(A2133,vlookup_table!$A:$G,4,FALSE),"")</f>
        <v>4501</v>
      </c>
      <c r="P2133">
        <f>IFERROR(VLOOKUP(A2133,vlookup_table!$A:$G,5,FALSE),"")</f>
        <v>0</v>
      </c>
      <c r="Q2133">
        <f>IFERROR(VLOOKUP(A2133,vlookup_table!$A:$G,7,FALSE),"")</f>
        <v>14</v>
      </c>
      <c r="R2133">
        <f t="shared" si="132"/>
        <v>52</v>
      </c>
      <c r="S2133" t="str" cm="1">
        <f t="array" ref="S2133">IF(P2133="","",_xlfn.SWITCH(LEFT(P2133,1),"C","Ciudad","T","Pueblo","R","Rural","S","Suburbano","U","Urbano",""))</f>
        <v/>
      </c>
      <c r="T2133" t="str">
        <f t="shared" si="133"/>
        <v>F</v>
      </c>
      <c r="U2133" t="str">
        <f t="shared" si="134"/>
        <v>TX</v>
      </c>
      <c r="V2133" t="str">
        <f t="shared" si="135"/>
        <v>21054</v>
      </c>
    </row>
    <row r="2134" spans="1:22" x14ac:dyDescent="0.35">
      <c r="A2134">
        <v>69963</v>
      </c>
      <c r="B2134" t="s">
        <v>29</v>
      </c>
      <c r="C2134" t="s">
        <v>17</v>
      </c>
      <c r="D2134">
        <v>567</v>
      </c>
      <c r="E2134">
        <v>359</v>
      </c>
      <c r="F2134">
        <v>405</v>
      </c>
      <c r="G2134">
        <v>0</v>
      </c>
      <c r="H2134">
        <v>14794</v>
      </c>
      <c r="I2134">
        <v>0</v>
      </c>
      <c r="J2134">
        <v>80</v>
      </c>
      <c r="K2134">
        <v>395</v>
      </c>
      <c r="L2134">
        <v>370</v>
      </c>
      <c r="M2134">
        <v>23.125</v>
      </c>
      <c r="N2134">
        <f>IFERROR(VLOOKUP(A2134,vlookup_table!$A:$G,2,FALSE),"")</f>
        <v>0</v>
      </c>
      <c r="O2134">
        <f>IFERROR(VLOOKUP(A2134,vlookup_table!$A:$G,4,FALSE),"")</f>
        <v>3908</v>
      </c>
      <c r="P2134" t="str">
        <f>IFERROR(VLOOKUP(A2134,vlookup_table!$A:$G,5,FALSE),"")</f>
        <v>S3</v>
      </c>
      <c r="Q2134">
        <f>IFERROR(VLOOKUP(A2134,vlookup_table!$A:$G,7,FALSE),"")</f>
        <v>25</v>
      </c>
      <c r="R2134">
        <f t="shared" si="132"/>
        <v>58</v>
      </c>
      <c r="S2134" t="str" cm="1">
        <f t="array" ref="S2134">IF(P2134="","",_xlfn.SWITCH(LEFT(P2134,1),"C","Ciudad","T","Pueblo","R","Rural","S","Suburbano","U","Urbano",""))</f>
        <v>Suburbano</v>
      </c>
      <c r="T2134" t="str">
        <f t="shared" si="133"/>
        <v>F</v>
      </c>
      <c r="U2134" t="str">
        <f t="shared" si="134"/>
        <v>MI</v>
      </c>
      <c r="V2134" t="str">
        <f t="shared" si="135"/>
        <v>14794</v>
      </c>
    </row>
    <row r="2135" spans="1:22" x14ac:dyDescent="0.35">
      <c r="A2135">
        <v>32538</v>
      </c>
      <c r="B2135" t="s">
        <v>13</v>
      </c>
      <c r="C2135" t="s">
        <v>17</v>
      </c>
      <c r="D2135">
        <v>752</v>
      </c>
      <c r="E2135">
        <v>346</v>
      </c>
      <c r="F2135">
        <v>413</v>
      </c>
      <c r="G2135">
        <v>0</v>
      </c>
      <c r="H2135">
        <v>14353</v>
      </c>
      <c r="I2135">
        <v>9</v>
      </c>
      <c r="J2135">
        <v>24</v>
      </c>
      <c r="K2135">
        <v>367</v>
      </c>
      <c r="L2135">
        <v>374</v>
      </c>
      <c r="M2135">
        <v>5.307692308</v>
      </c>
      <c r="N2135">
        <f>IFERROR(VLOOKUP(A2135,vlookup_table!$A:$G,2,FALSE),"")</f>
        <v>0</v>
      </c>
      <c r="O2135">
        <f>IFERROR(VLOOKUP(A2135,vlookup_table!$A:$G,4,FALSE),"")</f>
        <v>1509</v>
      </c>
      <c r="P2135" t="str">
        <f>IFERROR(VLOOKUP(A2135,vlookup_table!$A:$G,5,FALSE),"")</f>
        <v>S2</v>
      </c>
      <c r="Q2135">
        <f>IFERROR(VLOOKUP(A2135,vlookup_table!$A:$G,7,FALSE),"")</f>
        <v>6</v>
      </c>
      <c r="R2135">
        <f t="shared" si="132"/>
        <v>82</v>
      </c>
      <c r="S2135" t="str" cm="1">
        <f t="array" ref="S2135">IF(P2135="","",_xlfn.SWITCH(LEFT(P2135,1),"C","Ciudad","T","Pueblo","R","Rural","S","Suburbano","U","Urbano",""))</f>
        <v>Suburbano</v>
      </c>
      <c r="T2135" t="str">
        <f t="shared" si="133"/>
        <v>F</v>
      </c>
      <c r="U2135" t="str">
        <f t="shared" si="134"/>
        <v>FL</v>
      </c>
      <c r="V2135" t="str">
        <f t="shared" si="135"/>
        <v>14353</v>
      </c>
    </row>
    <row r="2136" spans="1:22" x14ac:dyDescent="0.35">
      <c r="A2136">
        <v>175139</v>
      </c>
      <c r="B2136" t="s">
        <v>50</v>
      </c>
      <c r="C2136" t="s">
        <v>14</v>
      </c>
      <c r="D2136">
        <v>685</v>
      </c>
      <c r="E2136">
        <v>237</v>
      </c>
      <c r="F2136">
        <v>338</v>
      </c>
      <c r="G2136">
        <v>0</v>
      </c>
      <c r="H2136">
        <v>11659</v>
      </c>
      <c r="I2136">
        <v>6</v>
      </c>
      <c r="J2136">
        <v>54</v>
      </c>
      <c r="K2136">
        <v>305</v>
      </c>
      <c r="L2136">
        <v>306</v>
      </c>
      <c r="M2136">
        <v>10</v>
      </c>
      <c r="N2136">
        <f>IFERROR(VLOOKUP(A2136,vlookup_table!$A:$G,2,FALSE),"")</f>
        <v>1</v>
      </c>
      <c r="O2136">
        <f>IFERROR(VLOOKUP(A2136,vlookup_table!$A:$G,4,FALSE),"")</f>
        <v>2812</v>
      </c>
      <c r="P2136" t="str">
        <f>IFERROR(VLOOKUP(A2136,vlookup_table!$A:$G,5,FALSE),"")</f>
        <v>T2</v>
      </c>
      <c r="Q2136">
        <f>IFERROR(VLOOKUP(A2136,vlookup_table!$A:$G,7,FALSE),"")</f>
        <v>15</v>
      </c>
      <c r="R2136">
        <f t="shared" si="132"/>
        <v>69</v>
      </c>
      <c r="S2136" t="str" cm="1">
        <f t="array" ref="S2136">IF(P2136="","",_xlfn.SWITCH(LEFT(P2136,1),"C","Ciudad","T","Pueblo","R","Rural","S","Suburbano","U","Urbano",""))</f>
        <v>Pueblo</v>
      </c>
      <c r="T2136" t="str">
        <f t="shared" si="133"/>
        <v>M</v>
      </c>
      <c r="U2136" t="str">
        <f t="shared" si="134"/>
        <v>OR</v>
      </c>
      <c r="V2136" t="str">
        <f t="shared" si="135"/>
        <v>11659</v>
      </c>
    </row>
    <row r="2137" spans="1:22" x14ac:dyDescent="0.35">
      <c r="A2137">
        <v>138552</v>
      </c>
      <c r="B2137" t="s">
        <v>55</v>
      </c>
      <c r="C2137" t="s">
        <v>14</v>
      </c>
      <c r="D2137">
        <v>611</v>
      </c>
      <c r="E2137">
        <v>289</v>
      </c>
      <c r="F2137">
        <v>354</v>
      </c>
      <c r="G2137">
        <v>0</v>
      </c>
      <c r="H2137">
        <v>9529</v>
      </c>
      <c r="I2137">
        <v>7</v>
      </c>
      <c r="J2137">
        <v>56</v>
      </c>
      <c r="K2137">
        <v>302</v>
      </c>
      <c r="L2137">
        <v>332</v>
      </c>
      <c r="M2137">
        <v>10.30769231</v>
      </c>
      <c r="N2137">
        <f>IFERROR(VLOOKUP(A2137,vlookup_table!$A:$G,2,FALSE),"")</f>
        <v>1</v>
      </c>
      <c r="O2137">
        <f>IFERROR(VLOOKUP(A2137,vlookup_table!$A:$G,4,FALSE),"")</f>
        <v>2103</v>
      </c>
      <c r="P2137" t="str">
        <f>IFERROR(VLOOKUP(A2137,vlookup_table!$A:$G,5,FALSE),"")</f>
        <v>S2</v>
      </c>
      <c r="Q2137">
        <f>IFERROR(VLOOKUP(A2137,vlookup_table!$A:$G,7,FALSE),"")</f>
        <v>10</v>
      </c>
      <c r="R2137">
        <f t="shared" si="132"/>
        <v>76</v>
      </c>
      <c r="S2137" t="str" cm="1">
        <f t="array" ref="S2137">IF(P2137="","",_xlfn.SWITCH(LEFT(P2137,1),"C","Ciudad","T","Pueblo","R","Rural","S","Suburbano","U","Urbano",""))</f>
        <v>Suburbano</v>
      </c>
      <c r="T2137" t="str">
        <f t="shared" si="133"/>
        <v>M</v>
      </c>
      <c r="U2137" t="str">
        <f t="shared" si="134"/>
        <v>AZ</v>
      </c>
      <c r="V2137" t="str">
        <f t="shared" si="135"/>
        <v>9529</v>
      </c>
    </row>
    <row r="2138" spans="1:22" x14ac:dyDescent="0.35">
      <c r="A2138">
        <v>160103</v>
      </c>
      <c r="B2138" t="s">
        <v>22</v>
      </c>
      <c r="C2138" t="s">
        <v>17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5.25</v>
      </c>
      <c r="N2138">
        <f>IFERROR(VLOOKUP(A2138,vlookup_table!$A:$G,2,FALSE),"")</f>
        <v>0</v>
      </c>
      <c r="O2138">
        <f>IFERROR(VLOOKUP(A2138,vlookup_table!$A:$G,4,FALSE),"")</f>
        <v>3601</v>
      </c>
      <c r="P2138" t="str">
        <f>IFERROR(VLOOKUP(A2138,vlookup_table!$A:$G,5,FALSE),"")</f>
        <v>S2</v>
      </c>
      <c r="Q2138">
        <f>IFERROR(VLOOKUP(A2138,vlookup_table!$A:$G,7,FALSE),"")</f>
        <v>5</v>
      </c>
      <c r="R2138">
        <f t="shared" si="132"/>
        <v>61</v>
      </c>
      <c r="S2138" t="str" cm="1">
        <f t="array" ref="S2138">IF(P2138="","",_xlfn.SWITCH(LEFT(P2138,1),"C","Ciudad","T","Pueblo","R","Rural","S","Suburbano","U","Urbano",""))</f>
        <v>Suburbano</v>
      </c>
      <c r="T2138" t="str">
        <f t="shared" si="133"/>
        <v>F</v>
      </c>
      <c r="U2138" t="str">
        <f t="shared" si="134"/>
        <v>CA</v>
      </c>
      <c r="V2138" t="str">
        <f t="shared" si="135"/>
        <v>0</v>
      </c>
    </row>
    <row r="2139" spans="1:22" x14ac:dyDescent="0.35">
      <c r="A2139">
        <v>152151</v>
      </c>
      <c r="B2139" t="s">
        <v>22</v>
      </c>
      <c r="C2139" t="s">
        <v>14</v>
      </c>
      <c r="D2139">
        <v>1447</v>
      </c>
      <c r="E2139">
        <v>296</v>
      </c>
      <c r="F2139">
        <v>434</v>
      </c>
      <c r="G2139">
        <v>9</v>
      </c>
      <c r="H2139">
        <v>17489</v>
      </c>
      <c r="I2139">
        <v>9</v>
      </c>
      <c r="J2139">
        <v>44</v>
      </c>
      <c r="K2139">
        <v>402</v>
      </c>
      <c r="L2139">
        <v>355</v>
      </c>
      <c r="M2139">
        <v>23.85714286</v>
      </c>
      <c r="N2139">
        <f>IFERROR(VLOOKUP(A2139,vlookup_table!$A:$G,2,FALSE),"")</f>
        <v>0</v>
      </c>
      <c r="O2139">
        <f>IFERROR(VLOOKUP(A2139,vlookup_table!$A:$G,4,FALSE),"")</f>
        <v>0</v>
      </c>
      <c r="P2139" t="str">
        <f>IFERROR(VLOOKUP(A2139,vlookup_table!$A:$G,5,FALSE),"")</f>
        <v>S3</v>
      </c>
      <c r="Q2139">
        <f>IFERROR(VLOOKUP(A2139,vlookup_table!$A:$G,7,FALSE),"")</f>
        <v>42</v>
      </c>
      <c r="R2139">
        <f t="shared" si="132"/>
        <v>97</v>
      </c>
      <c r="S2139" t="str" cm="1">
        <f t="array" ref="S2139">IF(P2139="","",_xlfn.SWITCH(LEFT(P2139,1),"C","Ciudad","T","Pueblo","R","Rural","S","Suburbano","U","Urbano",""))</f>
        <v>Suburbano</v>
      </c>
      <c r="T2139" t="str">
        <f t="shared" si="133"/>
        <v>M</v>
      </c>
      <c r="U2139" t="str">
        <f t="shared" si="134"/>
        <v>CA</v>
      </c>
      <c r="V2139" t="str">
        <f t="shared" si="135"/>
        <v>17489</v>
      </c>
    </row>
    <row r="2140" spans="1:22" x14ac:dyDescent="0.35">
      <c r="A2140">
        <v>174271</v>
      </c>
      <c r="B2140" t="s">
        <v>37</v>
      </c>
      <c r="C2140" t="s">
        <v>14</v>
      </c>
      <c r="D2140">
        <v>2786</v>
      </c>
      <c r="E2140">
        <v>301</v>
      </c>
      <c r="F2140">
        <v>393</v>
      </c>
      <c r="G2140">
        <v>68</v>
      </c>
      <c r="H2140">
        <v>16808</v>
      </c>
      <c r="I2140">
        <v>19</v>
      </c>
      <c r="J2140">
        <v>67</v>
      </c>
      <c r="K2140">
        <v>366</v>
      </c>
      <c r="L2140">
        <v>340</v>
      </c>
      <c r="M2140">
        <v>15.83333333</v>
      </c>
      <c r="N2140">
        <f>IFERROR(VLOOKUP(A2140,vlookup_table!$A:$G,2,FALSE),"")</f>
        <v>1</v>
      </c>
      <c r="O2140">
        <f>IFERROR(VLOOKUP(A2140,vlookup_table!$A:$G,4,FALSE),"")</f>
        <v>0</v>
      </c>
      <c r="P2140" t="str">
        <f>IFERROR(VLOOKUP(A2140,vlookup_table!$A:$G,5,FALSE),"")</f>
        <v>U1</v>
      </c>
      <c r="Q2140">
        <f>IFERROR(VLOOKUP(A2140,vlookup_table!$A:$G,7,FALSE),"")</f>
        <v>18</v>
      </c>
      <c r="R2140">
        <f t="shared" si="132"/>
        <v>97</v>
      </c>
      <c r="S2140" t="str" cm="1">
        <f t="array" ref="S2140">IF(P2140="","",_xlfn.SWITCH(LEFT(P2140,1),"C","Ciudad","T","Pueblo","R","Rural","S","Suburbano","U","Urbano",""))</f>
        <v>Urbano</v>
      </c>
      <c r="T2140" t="str">
        <f t="shared" si="133"/>
        <v>M</v>
      </c>
      <c r="U2140" t="str">
        <f t="shared" si="134"/>
        <v>HI</v>
      </c>
      <c r="V2140" t="str">
        <f t="shared" si="135"/>
        <v>16808</v>
      </c>
    </row>
    <row r="2141" spans="1:22" x14ac:dyDescent="0.35">
      <c r="A2141">
        <v>41434</v>
      </c>
      <c r="B2141" t="s">
        <v>13</v>
      </c>
      <c r="C2141" t="s">
        <v>14</v>
      </c>
      <c r="D2141">
        <v>782</v>
      </c>
      <c r="E2141">
        <v>435</v>
      </c>
      <c r="F2141">
        <v>451</v>
      </c>
      <c r="G2141">
        <v>0</v>
      </c>
      <c r="H2141">
        <v>14253</v>
      </c>
      <c r="I2141">
        <v>2</v>
      </c>
      <c r="J2141">
        <v>33</v>
      </c>
      <c r="K2141">
        <v>437</v>
      </c>
      <c r="L2141">
        <v>443</v>
      </c>
      <c r="M2141">
        <v>6.5882352940000004</v>
      </c>
      <c r="N2141">
        <f>IFERROR(VLOOKUP(A2141,vlookup_table!$A:$G,2,FALSE),"")</f>
        <v>1002</v>
      </c>
      <c r="O2141">
        <f>IFERROR(VLOOKUP(A2141,vlookup_table!$A:$G,4,FALSE),"")</f>
        <v>4710</v>
      </c>
      <c r="P2141" t="str">
        <f>IFERROR(VLOOKUP(A2141,vlookup_table!$A:$G,5,FALSE),"")</f>
        <v>U4</v>
      </c>
      <c r="Q2141">
        <f>IFERROR(VLOOKUP(A2141,vlookup_table!$A:$G,7,FALSE),"")</f>
        <v>5</v>
      </c>
      <c r="R2141">
        <f t="shared" si="132"/>
        <v>50</v>
      </c>
      <c r="S2141" t="str" cm="1">
        <f t="array" ref="S2141">IF(P2141="","",_xlfn.SWITCH(LEFT(P2141,1),"C","Ciudad","T","Pueblo","R","Rural","S","Suburbano","U","Urbano",""))</f>
        <v>Urbano</v>
      </c>
      <c r="T2141" t="str">
        <f t="shared" si="133"/>
        <v>M</v>
      </c>
      <c r="U2141" t="str">
        <f t="shared" si="134"/>
        <v>FL</v>
      </c>
      <c r="V2141" t="str">
        <f t="shared" si="135"/>
        <v>14253</v>
      </c>
    </row>
    <row r="2142" spans="1:22" x14ac:dyDescent="0.35">
      <c r="A2142">
        <v>3312</v>
      </c>
      <c r="B2142" t="s">
        <v>35</v>
      </c>
      <c r="C2142" t="s">
        <v>51</v>
      </c>
      <c r="D2142">
        <v>930</v>
      </c>
      <c r="E2142">
        <v>397</v>
      </c>
      <c r="F2142">
        <v>552</v>
      </c>
      <c r="G2142">
        <v>2</v>
      </c>
      <c r="H2142">
        <v>17794</v>
      </c>
      <c r="I2142">
        <v>1</v>
      </c>
      <c r="J2142">
        <v>76</v>
      </c>
      <c r="K2142">
        <v>511</v>
      </c>
      <c r="L2142">
        <v>441</v>
      </c>
      <c r="M2142">
        <v>11.44444444</v>
      </c>
      <c r="N2142">
        <f>IFERROR(VLOOKUP(A2142,vlookup_table!$A:$G,2,FALSE),"")</f>
        <v>1</v>
      </c>
      <c r="O2142">
        <f>IFERROR(VLOOKUP(A2142,vlookup_table!$A:$G,4,FALSE),"")</f>
        <v>5001</v>
      </c>
      <c r="P2142" t="str">
        <f>IFERROR(VLOOKUP(A2142,vlookup_table!$A:$G,5,FALSE),"")</f>
        <v>T1</v>
      </c>
      <c r="Q2142">
        <f>IFERROR(VLOOKUP(A2142,vlookup_table!$A:$G,7,FALSE),"")</f>
        <v>15</v>
      </c>
      <c r="R2142">
        <f t="shared" si="132"/>
        <v>47</v>
      </c>
      <c r="S2142" t="str" cm="1">
        <f t="array" ref="S2142">IF(P2142="","",_xlfn.SWITCH(LEFT(P2142,1),"C","Ciudad","T","Pueblo","R","Rural","S","Suburbano","U","Urbano",""))</f>
        <v>Pueblo</v>
      </c>
      <c r="T2142" t="str">
        <f t="shared" si="133"/>
        <v>M</v>
      </c>
      <c r="U2142" t="str">
        <f t="shared" si="134"/>
        <v>WI</v>
      </c>
      <c r="V2142" t="str">
        <f t="shared" si="135"/>
        <v>17794</v>
      </c>
    </row>
    <row r="2143" spans="1:22" x14ac:dyDescent="0.35">
      <c r="A2143">
        <v>120805</v>
      </c>
      <c r="B2143" t="s">
        <v>21</v>
      </c>
      <c r="C2143" t="s">
        <v>17</v>
      </c>
      <c r="D2143">
        <v>693</v>
      </c>
      <c r="E2143">
        <v>332</v>
      </c>
      <c r="F2143">
        <v>390</v>
      </c>
      <c r="G2143">
        <v>5</v>
      </c>
      <c r="H2143">
        <v>15009</v>
      </c>
      <c r="I2143">
        <v>3</v>
      </c>
      <c r="J2143">
        <v>75</v>
      </c>
      <c r="K2143">
        <v>339</v>
      </c>
      <c r="L2143">
        <v>367</v>
      </c>
      <c r="M2143">
        <v>6.4285714289999998</v>
      </c>
      <c r="N2143">
        <f>IFERROR(VLOOKUP(A2143,vlookup_table!$A:$G,2,FALSE),"")</f>
        <v>0</v>
      </c>
      <c r="O2143">
        <f>IFERROR(VLOOKUP(A2143,vlookup_table!$A:$G,4,FALSE),"")</f>
        <v>3501</v>
      </c>
      <c r="P2143" t="str">
        <f>IFERROR(VLOOKUP(A2143,vlookup_table!$A:$G,5,FALSE),"")</f>
        <v>C2</v>
      </c>
      <c r="Q2143">
        <f>IFERROR(VLOOKUP(A2143,vlookup_table!$A:$G,7,FALSE),"")</f>
        <v>5</v>
      </c>
      <c r="R2143">
        <f t="shared" si="132"/>
        <v>62</v>
      </c>
      <c r="S2143" t="str" cm="1">
        <f t="array" ref="S2143">IF(P2143="","",_xlfn.SWITCH(LEFT(P2143,1),"C","Ciudad","T","Pueblo","R","Rural","S","Suburbano","U","Urbano",""))</f>
        <v>Ciudad</v>
      </c>
      <c r="T2143" t="str">
        <f t="shared" si="133"/>
        <v>F</v>
      </c>
      <c r="U2143" t="str">
        <f t="shared" si="134"/>
        <v>TX</v>
      </c>
      <c r="V2143" t="str">
        <f t="shared" si="135"/>
        <v>15009</v>
      </c>
    </row>
    <row r="2144" spans="1:22" x14ac:dyDescent="0.35">
      <c r="A2144">
        <v>2889</v>
      </c>
      <c r="B2144" t="s">
        <v>31</v>
      </c>
      <c r="C2144" t="s">
        <v>17</v>
      </c>
      <c r="D2144">
        <v>208</v>
      </c>
      <c r="E2144">
        <v>210</v>
      </c>
      <c r="F2144">
        <v>305</v>
      </c>
      <c r="G2144">
        <v>0</v>
      </c>
      <c r="H2144">
        <v>11711</v>
      </c>
      <c r="I2144">
        <v>0</v>
      </c>
      <c r="J2144">
        <v>60</v>
      </c>
      <c r="K2144">
        <v>261</v>
      </c>
      <c r="L2144">
        <v>261</v>
      </c>
      <c r="M2144">
        <v>3.1818181820000002</v>
      </c>
      <c r="N2144">
        <f>IFERROR(VLOOKUP(A2144,vlookup_table!$A:$G,2,FALSE),"")</f>
        <v>2</v>
      </c>
      <c r="O2144">
        <f>IFERROR(VLOOKUP(A2144,vlookup_table!$A:$G,4,FALSE),"")</f>
        <v>1601</v>
      </c>
      <c r="P2144" t="str">
        <f>IFERROR(VLOOKUP(A2144,vlookup_table!$A:$G,5,FALSE),"")</f>
        <v>R2</v>
      </c>
      <c r="Q2144">
        <f>IFERROR(VLOOKUP(A2144,vlookup_table!$A:$G,7,FALSE),"")</f>
        <v>3</v>
      </c>
      <c r="R2144">
        <f t="shared" si="132"/>
        <v>81</v>
      </c>
      <c r="S2144" t="str" cm="1">
        <f t="array" ref="S2144">IF(P2144="","",_xlfn.SWITCH(LEFT(P2144,1),"C","Ciudad","T","Pueblo","R","Rural","S","Suburbano","U","Urbano",""))</f>
        <v>Rural</v>
      </c>
      <c r="T2144" t="str">
        <f t="shared" si="133"/>
        <v>F</v>
      </c>
      <c r="U2144" t="str">
        <f t="shared" si="134"/>
        <v>OK</v>
      </c>
      <c r="V2144" t="str">
        <f t="shared" si="135"/>
        <v>11711</v>
      </c>
    </row>
    <row r="2145" spans="1:22" x14ac:dyDescent="0.35">
      <c r="A2145">
        <v>162271</v>
      </c>
      <c r="B2145" t="s">
        <v>22</v>
      </c>
      <c r="C2145" t="s">
        <v>14</v>
      </c>
      <c r="D2145">
        <v>4474</v>
      </c>
      <c r="E2145">
        <v>467</v>
      </c>
      <c r="F2145">
        <v>687</v>
      </c>
      <c r="G2145">
        <v>87</v>
      </c>
      <c r="H2145">
        <v>27544</v>
      </c>
      <c r="I2145">
        <v>18</v>
      </c>
      <c r="J2145">
        <v>41</v>
      </c>
      <c r="K2145">
        <v>608</v>
      </c>
      <c r="L2145">
        <v>583</v>
      </c>
      <c r="M2145">
        <v>10</v>
      </c>
      <c r="N2145">
        <f>IFERROR(VLOOKUP(A2145,vlookup_table!$A:$G,2,FALSE),"")</f>
        <v>0</v>
      </c>
      <c r="O2145">
        <f>IFERROR(VLOOKUP(A2145,vlookup_table!$A:$G,4,FALSE),"")</f>
        <v>0</v>
      </c>
      <c r="P2145" t="str">
        <f>IFERROR(VLOOKUP(A2145,vlookup_table!$A:$G,5,FALSE),"")</f>
        <v>S1</v>
      </c>
      <c r="Q2145">
        <f>IFERROR(VLOOKUP(A2145,vlookup_table!$A:$G,7,FALSE),"")</f>
        <v>15</v>
      </c>
      <c r="R2145">
        <f t="shared" si="132"/>
        <v>97</v>
      </c>
      <c r="S2145" t="str" cm="1">
        <f t="array" ref="S2145">IF(P2145="","",_xlfn.SWITCH(LEFT(P2145,1),"C","Ciudad","T","Pueblo","R","Rural","S","Suburbano","U","Urbano",""))</f>
        <v>Suburbano</v>
      </c>
      <c r="T2145" t="str">
        <f t="shared" si="133"/>
        <v>M</v>
      </c>
      <c r="U2145" t="str">
        <f t="shared" si="134"/>
        <v>CA</v>
      </c>
      <c r="V2145" t="str">
        <f t="shared" si="135"/>
        <v>27544</v>
      </c>
    </row>
    <row r="2146" spans="1:22" x14ac:dyDescent="0.35">
      <c r="A2146">
        <v>74955</v>
      </c>
      <c r="B2146" t="s">
        <v>47</v>
      </c>
      <c r="C2146" t="s">
        <v>17</v>
      </c>
      <c r="D2146">
        <v>334</v>
      </c>
      <c r="E2146">
        <v>165</v>
      </c>
      <c r="F2146">
        <v>268</v>
      </c>
      <c r="G2146">
        <v>0</v>
      </c>
      <c r="H2146">
        <v>10461</v>
      </c>
      <c r="I2146">
        <v>0</v>
      </c>
      <c r="J2146">
        <v>84</v>
      </c>
      <c r="K2146">
        <v>193</v>
      </c>
      <c r="L2146">
        <v>219</v>
      </c>
      <c r="M2146">
        <v>12.612903230000001</v>
      </c>
      <c r="N2146">
        <f>IFERROR(VLOOKUP(A2146,vlookup_table!$A:$G,2,FALSE),"")</f>
        <v>0</v>
      </c>
      <c r="O2146">
        <f>IFERROR(VLOOKUP(A2146,vlookup_table!$A:$G,4,FALSE),"")</f>
        <v>2411</v>
      </c>
      <c r="P2146" t="str">
        <f>IFERROR(VLOOKUP(A2146,vlookup_table!$A:$G,5,FALSE),"")</f>
        <v>T3</v>
      </c>
      <c r="Q2146">
        <f>IFERROR(VLOOKUP(A2146,vlookup_table!$A:$G,7,FALSE),"")</f>
        <v>10</v>
      </c>
      <c r="R2146">
        <f t="shared" si="132"/>
        <v>73</v>
      </c>
      <c r="S2146" t="str" cm="1">
        <f t="array" ref="S2146">IF(P2146="","",_xlfn.SWITCH(LEFT(P2146,1),"C","Ciudad","T","Pueblo","R","Rural","S","Suburbano","U","Urbano",""))</f>
        <v>Pueblo</v>
      </c>
      <c r="T2146" t="str">
        <f t="shared" si="133"/>
        <v>F</v>
      </c>
      <c r="U2146" t="str">
        <f t="shared" si="134"/>
        <v>IA</v>
      </c>
      <c r="V2146" t="str">
        <f t="shared" si="135"/>
        <v>10461</v>
      </c>
    </row>
    <row r="2147" spans="1:22" x14ac:dyDescent="0.35">
      <c r="A2147">
        <v>151846</v>
      </c>
      <c r="B2147" t="s">
        <v>22</v>
      </c>
      <c r="C2147" t="s">
        <v>14</v>
      </c>
      <c r="D2147">
        <v>1234</v>
      </c>
      <c r="E2147">
        <v>284</v>
      </c>
      <c r="F2147">
        <v>284</v>
      </c>
      <c r="G2147">
        <v>2</v>
      </c>
      <c r="H2147">
        <v>8270</v>
      </c>
      <c r="I2147">
        <v>27</v>
      </c>
      <c r="J2147">
        <v>38</v>
      </c>
      <c r="K2147">
        <v>276</v>
      </c>
      <c r="L2147">
        <v>308</v>
      </c>
      <c r="M2147">
        <v>5.75</v>
      </c>
      <c r="N2147">
        <f>IFERROR(VLOOKUP(A2147,vlookup_table!$A:$G,2,FALSE),"")</f>
        <v>0</v>
      </c>
      <c r="O2147">
        <f>IFERROR(VLOOKUP(A2147,vlookup_table!$A:$G,4,FALSE),"")</f>
        <v>0</v>
      </c>
      <c r="P2147" t="str">
        <f>IFERROR(VLOOKUP(A2147,vlookup_table!$A:$G,5,FALSE),"")</f>
        <v>S1</v>
      </c>
      <c r="Q2147">
        <f>IFERROR(VLOOKUP(A2147,vlookup_table!$A:$G,7,FALSE),"")</f>
        <v>10</v>
      </c>
      <c r="R2147">
        <f t="shared" si="132"/>
        <v>97</v>
      </c>
      <c r="S2147" t="str" cm="1">
        <f t="array" ref="S2147">IF(P2147="","",_xlfn.SWITCH(LEFT(P2147,1),"C","Ciudad","T","Pueblo","R","Rural","S","Suburbano","U","Urbano",""))</f>
        <v>Suburbano</v>
      </c>
      <c r="T2147" t="str">
        <f t="shared" si="133"/>
        <v>M</v>
      </c>
      <c r="U2147" t="str">
        <f t="shared" si="134"/>
        <v>CA</v>
      </c>
      <c r="V2147" t="str">
        <f t="shared" si="135"/>
        <v>8270</v>
      </c>
    </row>
    <row r="2148" spans="1:22" x14ac:dyDescent="0.35">
      <c r="A2148">
        <v>148546</v>
      </c>
      <c r="B2148" t="s">
        <v>22</v>
      </c>
      <c r="C2148" t="s">
        <v>14</v>
      </c>
      <c r="D2148">
        <v>4286</v>
      </c>
      <c r="E2148">
        <v>811</v>
      </c>
      <c r="F2148">
        <v>947</v>
      </c>
      <c r="G2148">
        <v>95</v>
      </c>
      <c r="H2148">
        <v>33614</v>
      </c>
      <c r="I2148">
        <v>24</v>
      </c>
      <c r="J2148">
        <v>41</v>
      </c>
      <c r="K2148">
        <v>910</v>
      </c>
      <c r="L2148">
        <v>883</v>
      </c>
      <c r="M2148">
        <v>5.1333333330000004</v>
      </c>
      <c r="N2148">
        <f>IFERROR(VLOOKUP(A2148,vlookup_table!$A:$G,2,FALSE),"")</f>
        <v>1</v>
      </c>
      <c r="O2148">
        <f>IFERROR(VLOOKUP(A2148,vlookup_table!$A:$G,4,FALSE),"")</f>
        <v>1201</v>
      </c>
      <c r="P2148" t="str">
        <f>IFERROR(VLOOKUP(A2148,vlookup_table!$A:$G,5,FALSE),"")</f>
        <v>S1</v>
      </c>
      <c r="Q2148">
        <f>IFERROR(VLOOKUP(A2148,vlookup_table!$A:$G,7,FALSE),"")</f>
        <v>6</v>
      </c>
      <c r="R2148">
        <f t="shared" si="132"/>
        <v>85</v>
      </c>
      <c r="S2148" t="str" cm="1">
        <f t="array" ref="S2148">IF(P2148="","",_xlfn.SWITCH(LEFT(P2148,1),"C","Ciudad","T","Pueblo","R","Rural","S","Suburbano","U","Urbano",""))</f>
        <v>Suburbano</v>
      </c>
      <c r="T2148" t="str">
        <f t="shared" si="133"/>
        <v>M</v>
      </c>
      <c r="U2148" t="str">
        <f t="shared" si="134"/>
        <v>CA</v>
      </c>
      <c r="V2148" t="str">
        <f t="shared" si="135"/>
        <v>33614</v>
      </c>
    </row>
    <row r="2149" spans="1:22" x14ac:dyDescent="0.35">
      <c r="A2149">
        <v>12837</v>
      </c>
      <c r="B2149" t="s">
        <v>16</v>
      </c>
      <c r="C2149" t="s">
        <v>17</v>
      </c>
      <c r="D2149">
        <v>1072</v>
      </c>
      <c r="E2149">
        <v>547</v>
      </c>
      <c r="F2149">
        <v>636</v>
      </c>
      <c r="G2149">
        <v>0</v>
      </c>
      <c r="H2149">
        <v>17662</v>
      </c>
      <c r="I2149">
        <v>10</v>
      </c>
      <c r="J2149">
        <v>83</v>
      </c>
      <c r="K2149">
        <v>597</v>
      </c>
      <c r="L2149">
        <v>555</v>
      </c>
      <c r="M2149">
        <v>18.600000000000001</v>
      </c>
      <c r="N2149">
        <f>IFERROR(VLOOKUP(A2149,vlookup_table!$A:$G,2,FALSE),"")</f>
        <v>28</v>
      </c>
      <c r="O2149">
        <f>IFERROR(VLOOKUP(A2149,vlookup_table!$A:$G,4,FALSE),"")</f>
        <v>5401</v>
      </c>
      <c r="P2149" t="str">
        <f>IFERROR(VLOOKUP(A2149,vlookup_table!$A:$G,5,FALSE),"")</f>
        <v>S2</v>
      </c>
      <c r="Q2149">
        <f>IFERROR(VLOOKUP(A2149,vlookup_table!$A:$G,7,FALSE),"")</f>
        <v>10</v>
      </c>
      <c r="R2149">
        <f t="shared" si="132"/>
        <v>43</v>
      </c>
      <c r="S2149" t="str" cm="1">
        <f t="array" ref="S2149">IF(P2149="","",_xlfn.SWITCH(LEFT(P2149,1),"C","Ciudad","T","Pueblo","R","Rural","S","Suburbano","U","Urbano",""))</f>
        <v>Suburbano</v>
      </c>
      <c r="T2149" t="str">
        <f t="shared" si="133"/>
        <v>F</v>
      </c>
      <c r="U2149" t="str">
        <f t="shared" si="134"/>
        <v>IL</v>
      </c>
      <c r="V2149" t="str">
        <f t="shared" si="135"/>
        <v>17662</v>
      </c>
    </row>
    <row r="2150" spans="1:22" x14ac:dyDescent="0.35">
      <c r="A2150">
        <v>119868</v>
      </c>
      <c r="B2150" t="s">
        <v>21</v>
      </c>
      <c r="C2150" t="s">
        <v>17</v>
      </c>
      <c r="D2150">
        <v>696</v>
      </c>
      <c r="E2150">
        <v>409</v>
      </c>
      <c r="F2150">
        <v>470</v>
      </c>
      <c r="G2150">
        <v>1</v>
      </c>
      <c r="H2150">
        <v>18427</v>
      </c>
      <c r="I2150">
        <v>1</v>
      </c>
      <c r="J2150">
        <v>77</v>
      </c>
      <c r="K2150">
        <v>439</v>
      </c>
      <c r="L2150">
        <v>439</v>
      </c>
      <c r="M2150">
        <v>10.42857143</v>
      </c>
      <c r="N2150">
        <f>IFERROR(VLOOKUP(A2150,vlookup_table!$A:$G,2,FALSE),"")</f>
        <v>0</v>
      </c>
      <c r="O2150">
        <f>IFERROR(VLOOKUP(A2150,vlookup_table!$A:$G,4,FALSE),"")</f>
        <v>1302</v>
      </c>
      <c r="P2150" t="str">
        <f>IFERROR(VLOOKUP(A2150,vlookup_table!$A:$G,5,FALSE),"")</f>
        <v>T1</v>
      </c>
      <c r="Q2150">
        <f>IFERROR(VLOOKUP(A2150,vlookup_table!$A:$G,7,FALSE),"")</f>
        <v>10</v>
      </c>
      <c r="R2150">
        <f t="shared" si="132"/>
        <v>84</v>
      </c>
      <c r="S2150" t="str" cm="1">
        <f t="array" ref="S2150">IF(P2150="","",_xlfn.SWITCH(LEFT(P2150,1),"C","Ciudad","T","Pueblo","R","Rural","S","Suburbano","U","Urbano",""))</f>
        <v>Pueblo</v>
      </c>
      <c r="T2150" t="str">
        <f t="shared" si="133"/>
        <v>F</v>
      </c>
      <c r="U2150" t="str">
        <f t="shared" si="134"/>
        <v>TX</v>
      </c>
      <c r="V2150" t="str">
        <f t="shared" si="135"/>
        <v>18427</v>
      </c>
    </row>
    <row r="2151" spans="1:22" x14ac:dyDescent="0.35">
      <c r="A2151">
        <v>185517</v>
      </c>
      <c r="B2151" t="s">
        <v>22</v>
      </c>
      <c r="C2151" t="s">
        <v>14</v>
      </c>
      <c r="D2151">
        <v>1734</v>
      </c>
      <c r="E2151">
        <v>607</v>
      </c>
      <c r="F2151">
        <v>674</v>
      </c>
      <c r="G2151">
        <v>31</v>
      </c>
      <c r="H2151">
        <v>22234</v>
      </c>
      <c r="I2151">
        <v>5</v>
      </c>
      <c r="J2151">
        <v>50</v>
      </c>
      <c r="K2151">
        <v>635</v>
      </c>
      <c r="L2151">
        <v>638</v>
      </c>
      <c r="M2151">
        <v>8.5714285710000002</v>
      </c>
      <c r="N2151">
        <f>IFERROR(VLOOKUP(A2151,vlookup_table!$A:$G,2,FALSE),"")</f>
        <v>1</v>
      </c>
      <c r="O2151">
        <f>IFERROR(VLOOKUP(A2151,vlookup_table!$A:$G,4,FALSE),"")</f>
        <v>3301</v>
      </c>
      <c r="P2151" t="str">
        <f>IFERROR(VLOOKUP(A2151,vlookup_table!$A:$G,5,FALSE),"")</f>
        <v>S1</v>
      </c>
      <c r="Q2151">
        <f>IFERROR(VLOOKUP(A2151,vlookup_table!$A:$G,7,FALSE),"")</f>
        <v>10</v>
      </c>
      <c r="R2151">
        <f t="shared" si="132"/>
        <v>64</v>
      </c>
      <c r="S2151" t="str" cm="1">
        <f t="array" ref="S2151">IF(P2151="","",_xlfn.SWITCH(LEFT(P2151,1),"C","Ciudad","T","Pueblo","R","Rural","S","Suburbano","U","Urbano",""))</f>
        <v>Suburbano</v>
      </c>
      <c r="T2151" t="str">
        <f t="shared" si="133"/>
        <v>M</v>
      </c>
      <c r="U2151" t="str">
        <f t="shared" si="134"/>
        <v>CA</v>
      </c>
      <c r="V2151" t="str">
        <f t="shared" si="135"/>
        <v>22234</v>
      </c>
    </row>
    <row r="2152" spans="1:22" x14ac:dyDescent="0.35">
      <c r="A2152">
        <v>441</v>
      </c>
      <c r="B2152" t="s">
        <v>16</v>
      </c>
      <c r="C2152" t="s">
        <v>17</v>
      </c>
      <c r="D2152">
        <v>550</v>
      </c>
      <c r="E2152">
        <v>91</v>
      </c>
      <c r="F2152">
        <v>254</v>
      </c>
      <c r="G2152">
        <v>6</v>
      </c>
      <c r="H2152">
        <v>10050</v>
      </c>
      <c r="I2152">
        <v>0</v>
      </c>
      <c r="J2152">
        <v>49</v>
      </c>
      <c r="K2152">
        <v>163</v>
      </c>
      <c r="L2152">
        <v>166</v>
      </c>
      <c r="M2152">
        <v>5.5</v>
      </c>
      <c r="N2152">
        <f>IFERROR(VLOOKUP(A2152,vlookup_table!$A:$G,2,FALSE),"")</f>
        <v>2</v>
      </c>
      <c r="O2152">
        <f>IFERROR(VLOOKUP(A2152,vlookup_table!$A:$G,4,FALSE),"")</f>
        <v>4101</v>
      </c>
      <c r="P2152" t="str">
        <f>IFERROR(VLOOKUP(A2152,vlookup_table!$A:$G,5,FALSE),"")</f>
        <v>U4</v>
      </c>
      <c r="Q2152">
        <f>IFERROR(VLOOKUP(A2152,vlookup_table!$A:$G,7,FALSE),"")</f>
        <v>10</v>
      </c>
      <c r="R2152">
        <f t="shared" si="132"/>
        <v>56</v>
      </c>
      <c r="S2152" t="str" cm="1">
        <f t="array" ref="S2152">IF(P2152="","",_xlfn.SWITCH(LEFT(P2152,1),"C","Ciudad","T","Pueblo","R","Rural","S","Suburbano","U","Urbano",""))</f>
        <v>Urbano</v>
      </c>
      <c r="T2152" t="str">
        <f t="shared" si="133"/>
        <v>F</v>
      </c>
      <c r="U2152" t="str">
        <f t="shared" si="134"/>
        <v>IL</v>
      </c>
      <c r="V2152" t="str">
        <f t="shared" si="135"/>
        <v>10050</v>
      </c>
    </row>
    <row r="2153" spans="1:22" x14ac:dyDescent="0.35">
      <c r="A2153">
        <v>132347</v>
      </c>
      <c r="B2153" t="s">
        <v>22</v>
      </c>
      <c r="C2153" t="s">
        <v>14</v>
      </c>
      <c r="D2153">
        <v>3874</v>
      </c>
      <c r="E2153">
        <v>776</v>
      </c>
      <c r="F2153">
        <v>852</v>
      </c>
      <c r="G2153">
        <v>94</v>
      </c>
      <c r="H2153">
        <v>29217</v>
      </c>
      <c r="I2153">
        <v>6</v>
      </c>
      <c r="J2153">
        <v>42</v>
      </c>
      <c r="K2153">
        <v>759</v>
      </c>
      <c r="L2153">
        <v>865</v>
      </c>
      <c r="M2153">
        <v>14</v>
      </c>
      <c r="N2153">
        <f>IFERROR(VLOOKUP(A2153,vlookup_table!$A:$G,2,FALSE),"")</f>
        <v>1</v>
      </c>
      <c r="O2153">
        <f>IFERROR(VLOOKUP(A2153,vlookup_table!$A:$G,4,FALSE),"")</f>
        <v>0</v>
      </c>
      <c r="P2153" t="str">
        <f>IFERROR(VLOOKUP(A2153,vlookup_table!$A:$G,5,FALSE),"")</f>
        <v>C1</v>
      </c>
      <c r="Q2153">
        <f>IFERROR(VLOOKUP(A2153,vlookup_table!$A:$G,7,FALSE),"")</f>
        <v>20</v>
      </c>
      <c r="R2153">
        <f t="shared" si="132"/>
        <v>97</v>
      </c>
      <c r="S2153" t="str" cm="1">
        <f t="array" ref="S2153">IF(P2153="","",_xlfn.SWITCH(LEFT(P2153,1),"C","Ciudad","T","Pueblo","R","Rural","S","Suburbano","U","Urbano",""))</f>
        <v>Ciudad</v>
      </c>
      <c r="T2153" t="str">
        <f t="shared" si="133"/>
        <v>M</v>
      </c>
      <c r="U2153" t="str">
        <f t="shared" si="134"/>
        <v>CA</v>
      </c>
      <c r="V2153" t="str">
        <f t="shared" si="135"/>
        <v>29217</v>
      </c>
    </row>
    <row r="2154" spans="1:22" x14ac:dyDescent="0.35">
      <c r="A2154">
        <v>127444</v>
      </c>
      <c r="B2154" t="s">
        <v>48</v>
      </c>
      <c r="C2154" t="s">
        <v>14</v>
      </c>
      <c r="D2154">
        <v>759</v>
      </c>
      <c r="E2154">
        <v>270</v>
      </c>
      <c r="F2154">
        <v>352</v>
      </c>
      <c r="G2154">
        <v>3</v>
      </c>
      <c r="H2154">
        <v>13278</v>
      </c>
      <c r="I2154">
        <v>5</v>
      </c>
      <c r="J2154">
        <v>32</v>
      </c>
      <c r="K2154">
        <v>307</v>
      </c>
      <c r="L2154">
        <v>316</v>
      </c>
      <c r="M2154">
        <v>18.5</v>
      </c>
      <c r="N2154">
        <f>IFERROR(VLOOKUP(A2154,vlookup_table!$A:$G,2,FALSE),"")</f>
        <v>1</v>
      </c>
      <c r="O2154">
        <f>IFERROR(VLOOKUP(A2154,vlookup_table!$A:$G,4,FALSE),"")</f>
        <v>5609</v>
      </c>
      <c r="P2154" t="str">
        <f>IFERROR(VLOOKUP(A2154,vlookup_table!$A:$G,5,FALSE),"")</f>
        <v>C1</v>
      </c>
      <c r="Q2154">
        <f>IFERROR(VLOOKUP(A2154,vlookup_table!$A:$G,7,FALSE),"")</f>
        <v>21</v>
      </c>
      <c r="R2154">
        <f t="shared" si="132"/>
        <v>41</v>
      </c>
      <c r="S2154" t="str" cm="1">
        <f t="array" ref="S2154">IF(P2154="","",_xlfn.SWITCH(LEFT(P2154,1),"C","Ciudad","T","Pueblo","R","Rural","S","Suburbano","U","Urbano",""))</f>
        <v>Ciudad</v>
      </c>
      <c r="T2154" t="str">
        <f t="shared" si="133"/>
        <v>M</v>
      </c>
      <c r="U2154" t="str">
        <f t="shared" si="134"/>
        <v>CO</v>
      </c>
      <c r="V2154" t="str">
        <f t="shared" si="135"/>
        <v>13278</v>
      </c>
    </row>
    <row r="2155" spans="1:22" x14ac:dyDescent="0.35">
      <c r="A2155">
        <v>149767</v>
      </c>
      <c r="B2155" t="s">
        <v>22</v>
      </c>
      <c r="C2155" t="s">
        <v>14</v>
      </c>
      <c r="D2155">
        <v>2105</v>
      </c>
      <c r="E2155">
        <v>535</v>
      </c>
      <c r="F2155">
        <v>578</v>
      </c>
      <c r="G2155">
        <v>59</v>
      </c>
      <c r="H2155">
        <v>17785</v>
      </c>
      <c r="I2155">
        <v>43</v>
      </c>
      <c r="J2155">
        <v>28</v>
      </c>
      <c r="K2155">
        <v>555</v>
      </c>
      <c r="L2155">
        <v>557</v>
      </c>
      <c r="M2155">
        <v>10.44444444</v>
      </c>
      <c r="N2155">
        <f>IFERROR(VLOOKUP(A2155,vlookup_table!$A:$G,2,FALSE),"")</f>
        <v>1</v>
      </c>
      <c r="O2155">
        <f>IFERROR(VLOOKUP(A2155,vlookup_table!$A:$G,4,FALSE),"")</f>
        <v>2903</v>
      </c>
      <c r="P2155" t="str">
        <f>IFERROR(VLOOKUP(A2155,vlookup_table!$A:$G,5,FALSE),"")</f>
        <v>U2</v>
      </c>
      <c r="Q2155">
        <f>IFERROR(VLOOKUP(A2155,vlookup_table!$A:$G,7,FALSE),"")</f>
        <v>15</v>
      </c>
      <c r="R2155">
        <f t="shared" si="132"/>
        <v>68</v>
      </c>
      <c r="S2155" t="str" cm="1">
        <f t="array" ref="S2155">IF(P2155="","",_xlfn.SWITCH(LEFT(P2155,1),"C","Ciudad","T","Pueblo","R","Rural","S","Suburbano","U","Urbano",""))</f>
        <v>Urbano</v>
      </c>
      <c r="T2155" t="str">
        <f t="shared" si="133"/>
        <v>M</v>
      </c>
      <c r="U2155" t="str">
        <f t="shared" si="134"/>
        <v>CA</v>
      </c>
      <c r="V2155" t="str">
        <f t="shared" si="135"/>
        <v>17785</v>
      </c>
    </row>
    <row r="2156" spans="1:22" x14ac:dyDescent="0.35">
      <c r="A2156">
        <v>172315</v>
      </c>
      <c r="B2156" t="s">
        <v>22</v>
      </c>
      <c r="C2156" t="s">
        <v>17</v>
      </c>
      <c r="D2156">
        <v>1368</v>
      </c>
      <c r="E2156">
        <v>379</v>
      </c>
      <c r="F2156">
        <v>528</v>
      </c>
      <c r="G2156">
        <v>20</v>
      </c>
      <c r="H2156">
        <v>23121</v>
      </c>
      <c r="I2156">
        <v>7</v>
      </c>
      <c r="J2156">
        <v>56</v>
      </c>
      <c r="K2156">
        <v>416</v>
      </c>
      <c r="L2156">
        <v>487</v>
      </c>
      <c r="M2156">
        <v>6.8529411769999999</v>
      </c>
      <c r="N2156">
        <f>IFERROR(VLOOKUP(A2156,vlookup_table!$A:$G,2,FALSE),"")</f>
        <v>2</v>
      </c>
      <c r="O2156">
        <f>IFERROR(VLOOKUP(A2156,vlookup_table!$A:$G,4,FALSE),"")</f>
        <v>1506</v>
      </c>
      <c r="P2156" t="str">
        <f>IFERROR(VLOOKUP(A2156,vlookup_table!$A:$G,5,FALSE),"")</f>
        <v>U1</v>
      </c>
      <c r="Q2156">
        <f>IFERROR(VLOOKUP(A2156,vlookup_table!$A:$G,7,FALSE),"")</f>
        <v>8</v>
      </c>
      <c r="R2156">
        <f t="shared" si="132"/>
        <v>82</v>
      </c>
      <c r="S2156" t="str" cm="1">
        <f t="array" ref="S2156">IF(P2156="","",_xlfn.SWITCH(LEFT(P2156,1),"C","Ciudad","T","Pueblo","R","Rural","S","Suburbano","U","Urbano",""))</f>
        <v>Urbano</v>
      </c>
      <c r="T2156" t="str">
        <f t="shared" si="133"/>
        <v>F</v>
      </c>
      <c r="U2156" t="str">
        <f t="shared" si="134"/>
        <v>CA</v>
      </c>
      <c r="V2156" t="str">
        <f t="shared" si="135"/>
        <v>23121</v>
      </c>
    </row>
    <row r="2157" spans="1:22" x14ac:dyDescent="0.35">
      <c r="A2157">
        <v>43001</v>
      </c>
      <c r="B2157" t="s">
        <v>13</v>
      </c>
      <c r="C2157" t="s">
        <v>17</v>
      </c>
      <c r="D2157">
        <v>1167</v>
      </c>
      <c r="E2157">
        <v>267</v>
      </c>
      <c r="F2157">
        <v>349</v>
      </c>
      <c r="G2157">
        <v>20</v>
      </c>
      <c r="H2157">
        <v>14192</v>
      </c>
      <c r="I2157">
        <v>11</v>
      </c>
      <c r="J2157">
        <v>20</v>
      </c>
      <c r="K2157">
        <v>274</v>
      </c>
      <c r="L2157">
        <v>323</v>
      </c>
      <c r="M2157">
        <v>15</v>
      </c>
      <c r="N2157">
        <f>IFERROR(VLOOKUP(A2157,vlookup_table!$A:$G,2,FALSE),"")</f>
        <v>0</v>
      </c>
      <c r="O2157">
        <f>IFERROR(VLOOKUP(A2157,vlookup_table!$A:$G,4,FALSE),"")</f>
        <v>0</v>
      </c>
      <c r="P2157" t="str">
        <f>IFERROR(VLOOKUP(A2157,vlookup_table!$A:$G,5,FALSE),"")</f>
        <v>C2</v>
      </c>
      <c r="Q2157">
        <f>IFERROR(VLOOKUP(A2157,vlookup_table!$A:$G,7,FALSE),"")</f>
        <v>15</v>
      </c>
      <c r="R2157">
        <f t="shared" si="132"/>
        <v>97</v>
      </c>
      <c r="S2157" t="str" cm="1">
        <f t="array" ref="S2157">IF(P2157="","",_xlfn.SWITCH(LEFT(P2157,1),"C","Ciudad","T","Pueblo","R","Rural","S","Suburbano","U","Urbano",""))</f>
        <v>Ciudad</v>
      </c>
      <c r="T2157" t="str">
        <f t="shared" si="133"/>
        <v>F</v>
      </c>
      <c r="U2157" t="str">
        <f t="shared" si="134"/>
        <v>FL</v>
      </c>
      <c r="V2157" t="str">
        <f t="shared" si="135"/>
        <v>14192</v>
      </c>
    </row>
    <row r="2158" spans="1:22" x14ac:dyDescent="0.35">
      <c r="A2158">
        <v>15416</v>
      </c>
      <c r="B2158" t="s">
        <v>18</v>
      </c>
      <c r="C2158" t="s">
        <v>14</v>
      </c>
      <c r="D2158">
        <v>859</v>
      </c>
      <c r="E2158">
        <v>428</v>
      </c>
      <c r="F2158">
        <v>482</v>
      </c>
      <c r="G2158">
        <v>0</v>
      </c>
      <c r="H2158">
        <v>15841</v>
      </c>
      <c r="I2158">
        <v>1</v>
      </c>
      <c r="J2158">
        <v>71</v>
      </c>
      <c r="K2158">
        <v>454</v>
      </c>
      <c r="L2158">
        <v>442</v>
      </c>
      <c r="M2158">
        <v>20</v>
      </c>
      <c r="N2158">
        <f>IFERROR(VLOOKUP(A2158,vlookup_table!$A:$G,2,FALSE),"")</f>
        <v>1</v>
      </c>
      <c r="O2158">
        <f>IFERROR(VLOOKUP(A2158,vlookup_table!$A:$G,4,FALSE),"")</f>
        <v>5001</v>
      </c>
      <c r="P2158" t="str">
        <f>IFERROR(VLOOKUP(A2158,vlookup_table!$A:$G,5,FALSE),"")</f>
        <v>C2</v>
      </c>
      <c r="Q2158">
        <f>IFERROR(VLOOKUP(A2158,vlookup_table!$A:$G,7,FALSE),"")</f>
        <v>30</v>
      </c>
      <c r="R2158">
        <f t="shared" si="132"/>
        <v>47</v>
      </c>
      <c r="S2158" t="str" cm="1">
        <f t="array" ref="S2158">IF(P2158="","",_xlfn.SWITCH(LEFT(P2158,1),"C","Ciudad","T","Pueblo","R","Rural","S","Suburbano","U","Urbano",""))</f>
        <v>Ciudad</v>
      </c>
      <c r="T2158" t="str">
        <f t="shared" si="133"/>
        <v>M</v>
      </c>
      <c r="U2158" t="str">
        <f t="shared" si="134"/>
        <v>NC</v>
      </c>
      <c r="V2158" t="str">
        <f t="shared" si="135"/>
        <v>15841</v>
      </c>
    </row>
    <row r="2159" spans="1:22" x14ac:dyDescent="0.35">
      <c r="A2159">
        <v>141396</v>
      </c>
      <c r="B2159" t="s">
        <v>24</v>
      </c>
      <c r="C2159" t="s">
        <v>14</v>
      </c>
      <c r="D2159">
        <v>1291</v>
      </c>
      <c r="E2159">
        <v>349</v>
      </c>
      <c r="F2159">
        <v>447</v>
      </c>
      <c r="G2159">
        <v>20</v>
      </c>
      <c r="H2159">
        <v>14894</v>
      </c>
      <c r="I2159">
        <v>4</v>
      </c>
      <c r="J2159">
        <v>23</v>
      </c>
      <c r="K2159">
        <v>373</v>
      </c>
      <c r="L2159">
        <v>402</v>
      </c>
      <c r="M2159">
        <v>10.5</v>
      </c>
      <c r="N2159">
        <f>IFERROR(VLOOKUP(A2159,vlookup_table!$A:$G,2,FALSE),"")</f>
        <v>1</v>
      </c>
      <c r="O2159">
        <f>IFERROR(VLOOKUP(A2159,vlookup_table!$A:$G,4,FALSE),"")</f>
        <v>0</v>
      </c>
      <c r="P2159" t="str">
        <f>IFERROR(VLOOKUP(A2159,vlookup_table!$A:$G,5,FALSE),"")</f>
        <v>S1</v>
      </c>
      <c r="Q2159">
        <f>IFERROR(VLOOKUP(A2159,vlookup_table!$A:$G,7,FALSE),"")</f>
        <v>10</v>
      </c>
      <c r="R2159">
        <f t="shared" si="132"/>
        <v>97</v>
      </c>
      <c r="S2159" t="str" cm="1">
        <f t="array" ref="S2159">IF(P2159="","",_xlfn.SWITCH(LEFT(P2159,1),"C","Ciudad","T","Pueblo","R","Rural","S","Suburbano","U","Urbano",""))</f>
        <v>Suburbano</v>
      </c>
      <c r="T2159" t="str">
        <f t="shared" si="133"/>
        <v>M</v>
      </c>
      <c r="U2159" t="str">
        <f t="shared" si="134"/>
        <v>NV</v>
      </c>
      <c r="V2159" t="str">
        <f t="shared" si="135"/>
        <v>14894</v>
      </c>
    </row>
    <row r="2160" spans="1:22" x14ac:dyDescent="0.35">
      <c r="A2160">
        <v>137743</v>
      </c>
      <c r="B2160" t="s">
        <v>55</v>
      </c>
      <c r="C2160" t="s">
        <v>60</v>
      </c>
      <c r="D2160">
        <v>962</v>
      </c>
      <c r="E2160">
        <v>349</v>
      </c>
      <c r="F2160">
        <v>487</v>
      </c>
      <c r="G2160">
        <v>1</v>
      </c>
      <c r="H2160">
        <v>20739</v>
      </c>
      <c r="I2160">
        <v>13</v>
      </c>
      <c r="J2160">
        <v>4</v>
      </c>
      <c r="K2160">
        <v>379</v>
      </c>
      <c r="L2160">
        <v>419</v>
      </c>
      <c r="M2160">
        <v>5.733333333</v>
      </c>
      <c r="N2160">
        <f>IFERROR(VLOOKUP(A2160,vlookup_table!$A:$G,2,FALSE),"")</f>
        <v>2</v>
      </c>
      <c r="O2160">
        <f>IFERROR(VLOOKUP(A2160,vlookup_table!$A:$G,4,FALSE),"")</f>
        <v>2309</v>
      </c>
      <c r="P2160" t="str">
        <f>IFERROR(VLOOKUP(A2160,vlookup_table!$A:$G,5,FALSE),"")</f>
        <v>C1</v>
      </c>
      <c r="Q2160">
        <f>IFERROR(VLOOKUP(A2160,vlookup_table!$A:$G,7,FALSE),"")</f>
        <v>8</v>
      </c>
      <c r="R2160">
        <f t="shared" si="132"/>
        <v>74</v>
      </c>
      <c r="S2160" t="str" cm="1">
        <f t="array" ref="S2160">IF(P2160="","",_xlfn.SWITCH(LEFT(P2160,1),"C","Ciudad","T","Pueblo","R","Rural","S","Suburbano","U","Urbano",""))</f>
        <v>Ciudad</v>
      </c>
      <c r="T2160" t="str">
        <f t="shared" si="133"/>
        <v>F</v>
      </c>
      <c r="U2160" t="str">
        <f t="shared" si="134"/>
        <v>AZ</v>
      </c>
      <c r="V2160" t="str">
        <f t="shared" si="135"/>
        <v>20739</v>
      </c>
    </row>
    <row r="2161" spans="1:22" x14ac:dyDescent="0.35">
      <c r="A2161">
        <v>118487</v>
      </c>
      <c r="B2161" t="s">
        <v>21</v>
      </c>
      <c r="C2161" t="s">
        <v>17</v>
      </c>
      <c r="D2161">
        <v>420</v>
      </c>
      <c r="E2161">
        <v>171</v>
      </c>
      <c r="F2161">
        <v>293</v>
      </c>
      <c r="G2161">
        <v>1</v>
      </c>
      <c r="H2161">
        <v>10643</v>
      </c>
      <c r="I2161">
        <v>1</v>
      </c>
      <c r="J2161">
        <v>78</v>
      </c>
      <c r="K2161">
        <v>234</v>
      </c>
      <c r="L2161">
        <v>247</v>
      </c>
      <c r="M2161">
        <v>15</v>
      </c>
      <c r="N2161">
        <f>IFERROR(VLOOKUP(A2161,vlookup_table!$A:$G,2,FALSE),"")</f>
        <v>0</v>
      </c>
      <c r="O2161">
        <f>IFERROR(VLOOKUP(A2161,vlookup_table!$A:$G,4,FALSE),"")</f>
        <v>6801</v>
      </c>
      <c r="P2161" t="str">
        <f>IFERROR(VLOOKUP(A2161,vlookup_table!$A:$G,5,FALSE),"")</f>
        <v>R2</v>
      </c>
      <c r="Q2161">
        <f>IFERROR(VLOOKUP(A2161,vlookup_table!$A:$G,7,FALSE),"")</f>
        <v>20</v>
      </c>
      <c r="R2161">
        <f t="shared" si="132"/>
        <v>29</v>
      </c>
      <c r="S2161" t="str" cm="1">
        <f t="array" ref="S2161">IF(P2161="","",_xlfn.SWITCH(LEFT(P2161,1),"C","Ciudad","T","Pueblo","R","Rural","S","Suburbano","U","Urbano",""))</f>
        <v>Rural</v>
      </c>
      <c r="T2161" t="str">
        <f t="shared" si="133"/>
        <v>F</v>
      </c>
      <c r="U2161" t="str">
        <f t="shared" si="134"/>
        <v>TX</v>
      </c>
      <c r="V2161" t="str">
        <f t="shared" si="135"/>
        <v>10643</v>
      </c>
    </row>
    <row r="2162" spans="1:22" x14ac:dyDescent="0.35">
      <c r="A2162">
        <v>33393</v>
      </c>
      <c r="B2162" t="s">
        <v>13</v>
      </c>
      <c r="C2162" t="s">
        <v>17</v>
      </c>
      <c r="D2162">
        <v>1571</v>
      </c>
      <c r="E2162">
        <v>473</v>
      </c>
      <c r="F2162">
        <v>526</v>
      </c>
      <c r="G2162">
        <v>28</v>
      </c>
      <c r="H2162">
        <v>21109</v>
      </c>
      <c r="I2162">
        <v>17</v>
      </c>
      <c r="J2162">
        <v>15</v>
      </c>
      <c r="K2162">
        <v>496</v>
      </c>
      <c r="L2162">
        <v>518</v>
      </c>
      <c r="M2162">
        <v>22.5</v>
      </c>
      <c r="N2162">
        <f>IFERROR(VLOOKUP(A2162,vlookup_table!$A:$G,2,FALSE),"")</f>
        <v>28</v>
      </c>
      <c r="O2162">
        <f>IFERROR(VLOOKUP(A2162,vlookup_table!$A:$G,4,FALSE),"")</f>
        <v>5101</v>
      </c>
      <c r="P2162" t="str">
        <f>IFERROR(VLOOKUP(A2162,vlookup_table!$A:$G,5,FALSE),"")</f>
        <v>T1</v>
      </c>
      <c r="Q2162">
        <f>IFERROR(VLOOKUP(A2162,vlookup_table!$A:$G,7,FALSE),"")</f>
        <v>10</v>
      </c>
      <c r="R2162">
        <f t="shared" si="132"/>
        <v>46</v>
      </c>
      <c r="S2162" t="str" cm="1">
        <f t="array" ref="S2162">IF(P2162="","",_xlfn.SWITCH(LEFT(P2162,1),"C","Ciudad","T","Pueblo","R","Rural","S","Suburbano","U","Urbano",""))</f>
        <v>Pueblo</v>
      </c>
      <c r="T2162" t="str">
        <f t="shared" si="133"/>
        <v>F</v>
      </c>
      <c r="U2162" t="str">
        <f t="shared" si="134"/>
        <v>FL</v>
      </c>
      <c r="V2162" t="str">
        <f t="shared" si="135"/>
        <v>21109</v>
      </c>
    </row>
    <row r="2163" spans="1:22" x14ac:dyDescent="0.35">
      <c r="A2163">
        <v>79622</v>
      </c>
      <c r="B2163" t="s">
        <v>35</v>
      </c>
      <c r="C2163" t="s">
        <v>17</v>
      </c>
      <c r="D2163">
        <v>842</v>
      </c>
      <c r="E2163">
        <v>463</v>
      </c>
      <c r="F2163">
        <v>493</v>
      </c>
      <c r="G2163">
        <v>0</v>
      </c>
      <c r="H2163">
        <v>15371</v>
      </c>
      <c r="I2163">
        <v>3</v>
      </c>
      <c r="J2163">
        <v>70</v>
      </c>
      <c r="K2163">
        <v>469</v>
      </c>
      <c r="L2163">
        <v>492</v>
      </c>
      <c r="M2163">
        <v>9.9130434780000005</v>
      </c>
      <c r="N2163">
        <f>IFERROR(VLOOKUP(A2163,vlookup_table!$A:$G,2,FALSE),"")</f>
        <v>202</v>
      </c>
      <c r="O2163">
        <f>IFERROR(VLOOKUP(A2163,vlookup_table!$A:$G,4,FALSE),"")</f>
        <v>1610</v>
      </c>
      <c r="P2163" t="str">
        <f>IFERROR(VLOOKUP(A2163,vlookup_table!$A:$G,5,FALSE),"")</f>
        <v>T2</v>
      </c>
      <c r="Q2163">
        <f>IFERROR(VLOOKUP(A2163,vlookup_table!$A:$G,7,FALSE),"")</f>
        <v>5</v>
      </c>
      <c r="R2163">
        <f t="shared" si="132"/>
        <v>81</v>
      </c>
      <c r="S2163" t="str" cm="1">
        <f t="array" ref="S2163">IF(P2163="","",_xlfn.SWITCH(LEFT(P2163,1),"C","Ciudad","T","Pueblo","R","Rural","S","Suburbano","U","Urbano",""))</f>
        <v>Pueblo</v>
      </c>
      <c r="T2163" t="str">
        <f t="shared" si="133"/>
        <v>F</v>
      </c>
      <c r="U2163" t="str">
        <f t="shared" si="134"/>
        <v>WI</v>
      </c>
      <c r="V2163" t="str">
        <f t="shared" si="135"/>
        <v>15371</v>
      </c>
    </row>
    <row r="2164" spans="1:22" x14ac:dyDescent="0.35">
      <c r="A2164">
        <v>99209</v>
      </c>
      <c r="B2164" t="s">
        <v>16</v>
      </c>
      <c r="C2164" t="s">
        <v>17</v>
      </c>
      <c r="D2164">
        <v>517</v>
      </c>
      <c r="E2164">
        <v>303</v>
      </c>
      <c r="F2164">
        <v>416</v>
      </c>
      <c r="G2164">
        <v>1</v>
      </c>
      <c r="H2164">
        <v>15032</v>
      </c>
      <c r="I2164">
        <v>0</v>
      </c>
      <c r="J2164">
        <v>74</v>
      </c>
      <c r="K2164">
        <v>344</v>
      </c>
      <c r="L2164">
        <v>348</v>
      </c>
      <c r="M2164">
        <v>2.5789473680000001</v>
      </c>
      <c r="N2164">
        <f>IFERROR(VLOOKUP(A2164,vlookup_table!$A:$G,2,FALSE),"")</f>
        <v>2</v>
      </c>
      <c r="O2164">
        <f>IFERROR(VLOOKUP(A2164,vlookup_table!$A:$G,4,FALSE),"")</f>
        <v>701</v>
      </c>
      <c r="P2164" t="str">
        <f>IFERROR(VLOOKUP(A2164,vlookup_table!$A:$G,5,FALSE),"")</f>
        <v>C2</v>
      </c>
      <c r="Q2164">
        <f>IFERROR(VLOOKUP(A2164,vlookup_table!$A:$G,7,FALSE),"")</f>
        <v>3</v>
      </c>
      <c r="R2164">
        <f t="shared" si="132"/>
        <v>90</v>
      </c>
      <c r="S2164" t="str" cm="1">
        <f t="array" ref="S2164">IF(P2164="","",_xlfn.SWITCH(LEFT(P2164,1),"C","Ciudad","T","Pueblo","R","Rural","S","Suburbano","U","Urbano",""))</f>
        <v>Ciudad</v>
      </c>
      <c r="T2164" t="str">
        <f t="shared" si="133"/>
        <v>F</v>
      </c>
      <c r="U2164" t="str">
        <f t="shared" si="134"/>
        <v>IL</v>
      </c>
      <c r="V2164" t="str">
        <f t="shared" si="135"/>
        <v>15032</v>
      </c>
    </row>
    <row r="2165" spans="1:22" x14ac:dyDescent="0.35">
      <c r="A2165">
        <v>23056</v>
      </c>
      <c r="B2165" t="s">
        <v>46</v>
      </c>
      <c r="C2165" t="s">
        <v>17</v>
      </c>
      <c r="D2165">
        <v>1299</v>
      </c>
      <c r="E2165">
        <v>577</v>
      </c>
      <c r="F2165">
        <v>596</v>
      </c>
      <c r="G2165">
        <v>2</v>
      </c>
      <c r="H2165">
        <v>19461</v>
      </c>
      <c r="I2165">
        <v>0</v>
      </c>
      <c r="J2165">
        <v>43</v>
      </c>
      <c r="K2165">
        <v>589</v>
      </c>
      <c r="L2165">
        <v>590</v>
      </c>
      <c r="M2165">
        <v>4</v>
      </c>
      <c r="N2165">
        <f>IFERROR(VLOOKUP(A2165,vlookup_table!$A:$G,2,FALSE),"")</f>
        <v>0</v>
      </c>
      <c r="O2165">
        <f>IFERROR(VLOOKUP(A2165,vlookup_table!$A:$G,4,FALSE),"")</f>
        <v>4601</v>
      </c>
      <c r="P2165" t="str">
        <f>IFERROR(VLOOKUP(A2165,vlookup_table!$A:$G,5,FALSE),"")</f>
        <v>S1</v>
      </c>
      <c r="Q2165" t="str">
        <f>IFERROR(VLOOKUP(A2165,vlookup_table!$A:$G,7,FALSE),"")</f>
        <v>12.5</v>
      </c>
      <c r="R2165">
        <f t="shared" si="132"/>
        <v>51</v>
      </c>
      <c r="S2165" t="str" cm="1">
        <f t="array" ref="S2165">IF(P2165="","",_xlfn.SWITCH(LEFT(P2165,1),"C","Ciudad","T","Pueblo","R","Rural","S","Suburbano","U","Urbano",""))</f>
        <v>Suburbano</v>
      </c>
      <c r="T2165" t="str">
        <f t="shared" si="133"/>
        <v>F</v>
      </c>
      <c r="U2165" t="str">
        <f t="shared" si="134"/>
        <v>SC</v>
      </c>
      <c r="V2165" t="str">
        <f t="shared" si="135"/>
        <v>19461</v>
      </c>
    </row>
    <row r="2166" spans="1:22" x14ac:dyDescent="0.35">
      <c r="A2166">
        <v>105068</v>
      </c>
      <c r="B2166" t="s">
        <v>28</v>
      </c>
      <c r="C2166" t="s">
        <v>30</v>
      </c>
      <c r="D2166">
        <v>731</v>
      </c>
      <c r="E2166">
        <v>354</v>
      </c>
      <c r="F2166">
        <v>423</v>
      </c>
      <c r="G2166">
        <v>2</v>
      </c>
      <c r="H2166">
        <v>14555</v>
      </c>
      <c r="I2166">
        <v>0</v>
      </c>
      <c r="J2166">
        <v>76</v>
      </c>
      <c r="K2166">
        <v>370</v>
      </c>
      <c r="L2166">
        <v>398</v>
      </c>
      <c r="M2166">
        <v>5.3043478259999999</v>
      </c>
      <c r="N2166">
        <f>IFERROR(VLOOKUP(A2166,vlookup_table!$A:$G,2,FALSE),"")</f>
        <v>0</v>
      </c>
      <c r="O2166">
        <f>IFERROR(VLOOKUP(A2166,vlookup_table!$A:$G,4,FALSE),"")</f>
        <v>0</v>
      </c>
      <c r="P2166" t="str">
        <f>IFERROR(VLOOKUP(A2166,vlookup_table!$A:$G,5,FALSE),"")</f>
        <v>R2</v>
      </c>
      <c r="Q2166">
        <f>IFERROR(VLOOKUP(A2166,vlookup_table!$A:$G,7,FALSE),"")</f>
        <v>7</v>
      </c>
      <c r="R2166">
        <f t="shared" si="132"/>
        <v>97</v>
      </c>
      <c r="S2166" t="str" cm="1">
        <f t="array" ref="S2166">IF(P2166="","",_xlfn.SWITCH(LEFT(P2166,1),"C","Ciudad","T","Pueblo","R","Rural","S","Suburbano","U","Urbano",""))</f>
        <v>Rural</v>
      </c>
      <c r="T2166" t="str">
        <f t="shared" si="133"/>
        <v>U</v>
      </c>
      <c r="U2166" t="str">
        <f t="shared" si="134"/>
        <v>KS</v>
      </c>
      <c r="V2166" t="str">
        <f t="shared" si="135"/>
        <v>14555</v>
      </c>
    </row>
    <row r="2167" spans="1:22" x14ac:dyDescent="0.35">
      <c r="A2167">
        <v>170479</v>
      </c>
      <c r="B2167" t="s">
        <v>22</v>
      </c>
      <c r="C2167" t="s">
        <v>17</v>
      </c>
      <c r="D2167">
        <v>670</v>
      </c>
      <c r="E2167">
        <v>182</v>
      </c>
      <c r="F2167">
        <v>252</v>
      </c>
      <c r="G2167">
        <v>1</v>
      </c>
      <c r="H2167">
        <v>8448</v>
      </c>
      <c r="I2167">
        <v>1</v>
      </c>
      <c r="J2167">
        <v>74</v>
      </c>
      <c r="K2167">
        <v>194</v>
      </c>
      <c r="L2167">
        <v>239</v>
      </c>
      <c r="M2167">
        <v>8.8571428569999995</v>
      </c>
      <c r="N2167">
        <f>IFERROR(VLOOKUP(A2167,vlookup_table!$A:$G,2,FALSE),"")</f>
        <v>0</v>
      </c>
      <c r="O2167">
        <f>IFERROR(VLOOKUP(A2167,vlookup_table!$A:$G,4,FALSE),"")</f>
        <v>4201</v>
      </c>
      <c r="P2167" t="str">
        <f>IFERROR(VLOOKUP(A2167,vlookup_table!$A:$G,5,FALSE),"")</f>
        <v>R2</v>
      </c>
      <c r="Q2167">
        <f>IFERROR(VLOOKUP(A2167,vlookup_table!$A:$G,7,FALSE),"")</f>
        <v>10</v>
      </c>
      <c r="R2167">
        <f t="shared" si="132"/>
        <v>55</v>
      </c>
      <c r="S2167" t="str" cm="1">
        <f t="array" ref="S2167">IF(P2167="","",_xlfn.SWITCH(LEFT(P2167,1),"C","Ciudad","T","Pueblo","R","Rural","S","Suburbano","U","Urbano",""))</f>
        <v>Rural</v>
      </c>
      <c r="T2167" t="str">
        <f t="shared" si="133"/>
        <v>F</v>
      </c>
      <c r="U2167" t="str">
        <f t="shared" si="134"/>
        <v>CA</v>
      </c>
      <c r="V2167" t="str">
        <f t="shared" si="135"/>
        <v>8448</v>
      </c>
    </row>
    <row r="2168" spans="1:22" x14ac:dyDescent="0.35">
      <c r="A2168">
        <v>135174</v>
      </c>
      <c r="B2168" t="s">
        <v>55</v>
      </c>
      <c r="C2168" t="s">
        <v>60</v>
      </c>
      <c r="D2168">
        <v>593</v>
      </c>
      <c r="E2168">
        <v>230</v>
      </c>
      <c r="F2168">
        <v>317</v>
      </c>
      <c r="G2168">
        <v>0</v>
      </c>
      <c r="H2168">
        <v>11405</v>
      </c>
      <c r="I2168">
        <v>3</v>
      </c>
      <c r="J2168">
        <v>42</v>
      </c>
      <c r="K2168">
        <v>319</v>
      </c>
      <c r="L2168">
        <v>272</v>
      </c>
      <c r="M2168">
        <v>12.75</v>
      </c>
      <c r="N2168">
        <f>IFERROR(VLOOKUP(A2168,vlookup_table!$A:$G,2,FALSE),"")</f>
        <v>28</v>
      </c>
      <c r="O2168">
        <f>IFERROR(VLOOKUP(A2168,vlookup_table!$A:$G,4,FALSE),"")</f>
        <v>3002</v>
      </c>
      <c r="P2168" t="str">
        <f>IFERROR(VLOOKUP(A2168,vlookup_table!$A:$G,5,FALSE),"")</f>
        <v>U3</v>
      </c>
      <c r="Q2168">
        <f>IFERROR(VLOOKUP(A2168,vlookup_table!$A:$G,7,FALSE),"")</f>
        <v>25</v>
      </c>
      <c r="R2168">
        <f t="shared" si="132"/>
        <v>67</v>
      </c>
      <c r="S2168" t="str" cm="1">
        <f t="array" ref="S2168">IF(P2168="","",_xlfn.SWITCH(LEFT(P2168,1),"C","Ciudad","T","Pueblo","R","Rural","S","Suburbano","U","Urbano",""))</f>
        <v>Urbano</v>
      </c>
      <c r="T2168" t="str">
        <f t="shared" si="133"/>
        <v>F</v>
      </c>
      <c r="U2168" t="str">
        <f t="shared" si="134"/>
        <v>AZ</v>
      </c>
      <c r="V2168" t="str">
        <f t="shared" si="135"/>
        <v>11405</v>
      </c>
    </row>
    <row r="2169" spans="1:22" x14ac:dyDescent="0.35">
      <c r="A2169">
        <v>116669</v>
      </c>
      <c r="B2169" t="s">
        <v>21</v>
      </c>
      <c r="C2169" t="s">
        <v>14</v>
      </c>
      <c r="D2169">
        <v>444</v>
      </c>
      <c r="E2169">
        <v>203</v>
      </c>
      <c r="F2169">
        <v>286</v>
      </c>
      <c r="G2169">
        <v>0</v>
      </c>
      <c r="H2169">
        <v>9449</v>
      </c>
      <c r="I2169">
        <v>1</v>
      </c>
      <c r="J2169">
        <v>80</v>
      </c>
      <c r="K2169">
        <v>241</v>
      </c>
      <c r="L2169">
        <v>249</v>
      </c>
      <c r="M2169">
        <v>5.8</v>
      </c>
      <c r="N2169">
        <f>IFERROR(VLOOKUP(A2169,vlookup_table!$A:$G,2,FALSE),"")</f>
        <v>1</v>
      </c>
      <c r="O2169">
        <f>IFERROR(VLOOKUP(A2169,vlookup_table!$A:$G,4,FALSE),"")</f>
        <v>3201</v>
      </c>
      <c r="P2169" t="str">
        <f>IFERROR(VLOOKUP(A2169,vlookup_table!$A:$G,5,FALSE),"")</f>
        <v>S2</v>
      </c>
      <c r="Q2169">
        <f>IFERROR(VLOOKUP(A2169,vlookup_table!$A:$G,7,FALSE),"")</f>
        <v>10</v>
      </c>
      <c r="R2169">
        <f t="shared" si="132"/>
        <v>65</v>
      </c>
      <c r="S2169" t="str" cm="1">
        <f t="array" ref="S2169">IF(P2169="","",_xlfn.SWITCH(LEFT(P2169,1),"C","Ciudad","T","Pueblo","R","Rural","S","Suburbano","U","Urbano",""))</f>
        <v>Suburbano</v>
      </c>
      <c r="T2169" t="str">
        <f t="shared" si="133"/>
        <v>M</v>
      </c>
      <c r="U2169" t="str">
        <f t="shared" si="134"/>
        <v>TX</v>
      </c>
      <c r="V2169" t="str">
        <f t="shared" si="135"/>
        <v>9449</v>
      </c>
    </row>
    <row r="2170" spans="1:22" x14ac:dyDescent="0.35">
      <c r="A2170">
        <v>126415</v>
      </c>
      <c r="B2170" t="s">
        <v>21</v>
      </c>
      <c r="C2170" t="s">
        <v>14</v>
      </c>
      <c r="D2170">
        <v>509</v>
      </c>
      <c r="E2170">
        <v>237</v>
      </c>
      <c r="F2170">
        <v>291</v>
      </c>
      <c r="G2170">
        <v>2</v>
      </c>
      <c r="H2170">
        <v>9830</v>
      </c>
      <c r="I2170">
        <v>26</v>
      </c>
      <c r="J2170">
        <v>49</v>
      </c>
      <c r="K2170">
        <v>262</v>
      </c>
      <c r="L2170">
        <v>263</v>
      </c>
      <c r="M2170">
        <v>5.3333333329999997</v>
      </c>
      <c r="N2170">
        <f>IFERROR(VLOOKUP(A2170,vlookup_table!$A:$G,2,FALSE),"")</f>
        <v>1</v>
      </c>
      <c r="O2170">
        <f>IFERROR(VLOOKUP(A2170,vlookup_table!$A:$G,4,FALSE),"")</f>
        <v>3501</v>
      </c>
      <c r="P2170" t="str">
        <f>IFERROR(VLOOKUP(A2170,vlookup_table!$A:$G,5,FALSE),"")</f>
        <v>S2</v>
      </c>
      <c r="Q2170">
        <f>IFERROR(VLOOKUP(A2170,vlookup_table!$A:$G,7,FALSE),"")</f>
        <v>5</v>
      </c>
      <c r="R2170">
        <f t="shared" si="132"/>
        <v>62</v>
      </c>
      <c r="S2170" t="str" cm="1">
        <f t="array" ref="S2170">IF(P2170="","",_xlfn.SWITCH(LEFT(P2170,1),"C","Ciudad","T","Pueblo","R","Rural","S","Suburbano","U","Urbano",""))</f>
        <v>Suburbano</v>
      </c>
      <c r="T2170" t="str">
        <f t="shared" si="133"/>
        <v>M</v>
      </c>
      <c r="U2170" t="str">
        <f t="shared" si="134"/>
        <v>TX</v>
      </c>
      <c r="V2170" t="str">
        <f t="shared" si="135"/>
        <v>9830</v>
      </c>
    </row>
    <row r="2171" spans="1:22" x14ac:dyDescent="0.35">
      <c r="A2171">
        <v>97736</v>
      </c>
      <c r="B2171" t="s">
        <v>16</v>
      </c>
      <c r="C2171" t="s">
        <v>14</v>
      </c>
      <c r="D2171">
        <v>570</v>
      </c>
      <c r="E2171">
        <v>273</v>
      </c>
      <c r="F2171">
        <v>406</v>
      </c>
      <c r="G2171">
        <v>0</v>
      </c>
      <c r="H2171">
        <v>15035</v>
      </c>
      <c r="I2171">
        <v>6</v>
      </c>
      <c r="J2171">
        <v>68</v>
      </c>
      <c r="K2171">
        <v>322</v>
      </c>
      <c r="L2171">
        <v>341</v>
      </c>
      <c r="M2171">
        <v>8</v>
      </c>
      <c r="N2171">
        <f>IFERROR(VLOOKUP(A2171,vlookup_table!$A:$G,2,FALSE),"")</f>
        <v>1</v>
      </c>
      <c r="O2171">
        <f>IFERROR(VLOOKUP(A2171,vlookup_table!$A:$G,4,FALSE),"")</f>
        <v>5303</v>
      </c>
      <c r="P2171" t="str">
        <f>IFERROR(VLOOKUP(A2171,vlookup_table!$A:$G,5,FALSE),"")</f>
        <v>C2</v>
      </c>
      <c r="Q2171">
        <f>IFERROR(VLOOKUP(A2171,vlookup_table!$A:$G,7,FALSE),"")</f>
        <v>15</v>
      </c>
      <c r="R2171">
        <f t="shared" si="132"/>
        <v>44</v>
      </c>
      <c r="S2171" t="str" cm="1">
        <f t="array" ref="S2171">IF(P2171="","",_xlfn.SWITCH(LEFT(P2171,1),"C","Ciudad","T","Pueblo","R","Rural","S","Suburbano","U","Urbano",""))</f>
        <v>Ciudad</v>
      </c>
      <c r="T2171" t="str">
        <f t="shared" si="133"/>
        <v>M</v>
      </c>
      <c r="U2171" t="str">
        <f t="shared" si="134"/>
        <v>IL</v>
      </c>
      <c r="V2171" t="str">
        <f t="shared" si="135"/>
        <v>15035</v>
      </c>
    </row>
    <row r="2172" spans="1:22" x14ac:dyDescent="0.35">
      <c r="A2172">
        <v>132437</v>
      </c>
      <c r="B2172" t="s">
        <v>48</v>
      </c>
      <c r="C2172" t="s">
        <v>17</v>
      </c>
      <c r="D2172">
        <v>516</v>
      </c>
      <c r="E2172">
        <v>231</v>
      </c>
      <c r="F2172">
        <v>295</v>
      </c>
      <c r="G2172">
        <v>2</v>
      </c>
      <c r="H2172">
        <v>10607</v>
      </c>
      <c r="I2172">
        <v>1</v>
      </c>
      <c r="J2172">
        <v>56</v>
      </c>
      <c r="K2172">
        <v>252</v>
      </c>
      <c r="L2172">
        <v>275</v>
      </c>
      <c r="M2172">
        <v>9.8571428569999995</v>
      </c>
      <c r="N2172">
        <f>IFERROR(VLOOKUP(A2172,vlookup_table!$A:$G,2,FALSE),"")</f>
        <v>2</v>
      </c>
      <c r="O2172">
        <f>IFERROR(VLOOKUP(A2172,vlookup_table!$A:$G,4,FALSE),"")</f>
        <v>3501</v>
      </c>
      <c r="P2172" t="str">
        <f>IFERROR(VLOOKUP(A2172,vlookup_table!$A:$G,5,FALSE),"")</f>
        <v>R2</v>
      </c>
      <c r="Q2172">
        <f>IFERROR(VLOOKUP(A2172,vlookup_table!$A:$G,7,FALSE),"")</f>
        <v>13</v>
      </c>
      <c r="R2172">
        <f t="shared" si="132"/>
        <v>62</v>
      </c>
      <c r="S2172" t="str" cm="1">
        <f t="array" ref="S2172">IF(P2172="","",_xlfn.SWITCH(LEFT(P2172,1),"C","Ciudad","T","Pueblo","R","Rural","S","Suburbano","U","Urbano",""))</f>
        <v>Rural</v>
      </c>
      <c r="T2172" t="str">
        <f t="shared" si="133"/>
        <v>F</v>
      </c>
      <c r="U2172" t="str">
        <f t="shared" si="134"/>
        <v>CO</v>
      </c>
      <c r="V2172" t="str">
        <f t="shared" si="135"/>
        <v>10607</v>
      </c>
    </row>
    <row r="2173" spans="1:22" x14ac:dyDescent="0.35">
      <c r="A2173">
        <v>169198</v>
      </c>
      <c r="B2173" t="s">
        <v>22</v>
      </c>
      <c r="C2173" t="s">
        <v>17</v>
      </c>
      <c r="D2173">
        <v>960</v>
      </c>
      <c r="E2173">
        <v>288</v>
      </c>
      <c r="F2173">
        <v>314</v>
      </c>
      <c r="G2173">
        <v>2</v>
      </c>
      <c r="H2173">
        <v>13094</v>
      </c>
      <c r="I2173">
        <v>6</v>
      </c>
      <c r="J2173">
        <v>60</v>
      </c>
      <c r="K2173">
        <v>272</v>
      </c>
      <c r="L2173">
        <v>329</v>
      </c>
      <c r="M2173">
        <v>23.75</v>
      </c>
      <c r="N2173">
        <f>IFERROR(VLOOKUP(A2173,vlookup_table!$A:$G,2,FALSE),"")</f>
        <v>0</v>
      </c>
      <c r="O2173">
        <f>IFERROR(VLOOKUP(A2173,vlookup_table!$A:$G,4,FALSE),"")</f>
        <v>4201</v>
      </c>
      <c r="P2173" t="str">
        <f>IFERROR(VLOOKUP(A2173,vlookup_table!$A:$G,5,FALSE),"")</f>
        <v>C2</v>
      </c>
      <c r="Q2173">
        <f>IFERROR(VLOOKUP(A2173,vlookup_table!$A:$G,7,FALSE),"")</f>
        <v>25</v>
      </c>
      <c r="R2173">
        <f t="shared" si="132"/>
        <v>55</v>
      </c>
      <c r="S2173" t="str" cm="1">
        <f t="array" ref="S2173">IF(P2173="","",_xlfn.SWITCH(LEFT(P2173,1),"C","Ciudad","T","Pueblo","R","Rural","S","Suburbano","U","Urbano",""))</f>
        <v>Ciudad</v>
      </c>
      <c r="T2173" t="str">
        <f t="shared" si="133"/>
        <v>F</v>
      </c>
      <c r="U2173" t="str">
        <f t="shared" si="134"/>
        <v>CA</v>
      </c>
      <c r="V2173" t="str">
        <f t="shared" si="135"/>
        <v>13094</v>
      </c>
    </row>
    <row r="2174" spans="1:22" x14ac:dyDescent="0.35">
      <c r="A2174">
        <v>126949</v>
      </c>
      <c r="B2174" t="s">
        <v>21</v>
      </c>
      <c r="C2174" t="s">
        <v>17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10.5</v>
      </c>
      <c r="N2174">
        <f>IFERROR(VLOOKUP(A2174,vlookup_table!$A:$G,2,FALSE),"")</f>
        <v>0</v>
      </c>
      <c r="O2174">
        <f>IFERROR(VLOOKUP(A2174,vlookup_table!$A:$G,4,FALSE),"")</f>
        <v>4001</v>
      </c>
      <c r="P2174" t="str">
        <f>IFERROR(VLOOKUP(A2174,vlookup_table!$A:$G,5,FALSE),"")</f>
        <v>C3</v>
      </c>
      <c r="Q2174">
        <f>IFERROR(VLOOKUP(A2174,vlookup_table!$A:$G,7,FALSE),"")</f>
        <v>10</v>
      </c>
      <c r="R2174">
        <f t="shared" si="132"/>
        <v>57</v>
      </c>
      <c r="S2174" t="str" cm="1">
        <f t="array" ref="S2174">IF(P2174="","",_xlfn.SWITCH(LEFT(P2174,1),"C","Ciudad","T","Pueblo","R","Rural","S","Suburbano","U","Urbano",""))</f>
        <v>Ciudad</v>
      </c>
      <c r="T2174" t="str">
        <f t="shared" si="133"/>
        <v>F</v>
      </c>
      <c r="U2174" t="str">
        <f t="shared" si="134"/>
        <v>TX</v>
      </c>
      <c r="V2174" t="str">
        <f t="shared" si="135"/>
        <v>0</v>
      </c>
    </row>
    <row r="2175" spans="1:22" x14ac:dyDescent="0.35">
      <c r="A2175">
        <v>24040</v>
      </c>
      <c r="B2175" t="s">
        <v>46</v>
      </c>
      <c r="C2175" t="s">
        <v>14</v>
      </c>
      <c r="D2175">
        <v>781</v>
      </c>
      <c r="E2175">
        <v>357</v>
      </c>
      <c r="F2175">
        <v>408</v>
      </c>
      <c r="G2175">
        <v>1</v>
      </c>
      <c r="H2175">
        <v>13977</v>
      </c>
      <c r="I2175">
        <v>1</v>
      </c>
      <c r="J2175">
        <v>54</v>
      </c>
      <c r="K2175">
        <v>375</v>
      </c>
      <c r="L2175">
        <v>373</v>
      </c>
      <c r="M2175">
        <v>8.769230769</v>
      </c>
      <c r="N2175">
        <f>IFERROR(VLOOKUP(A2175,vlookup_table!$A:$G,2,FALSE),"")</f>
        <v>2</v>
      </c>
      <c r="O2175">
        <f>IFERROR(VLOOKUP(A2175,vlookup_table!$A:$G,4,FALSE),"")</f>
        <v>3504</v>
      </c>
      <c r="P2175" t="str">
        <f>IFERROR(VLOOKUP(A2175,vlookup_table!$A:$G,5,FALSE),"")</f>
        <v>T1</v>
      </c>
      <c r="Q2175">
        <f>IFERROR(VLOOKUP(A2175,vlookup_table!$A:$G,7,FALSE),"")</f>
        <v>20</v>
      </c>
      <c r="R2175">
        <f t="shared" si="132"/>
        <v>62</v>
      </c>
      <c r="S2175" t="str" cm="1">
        <f t="array" ref="S2175">IF(P2175="","",_xlfn.SWITCH(LEFT(P2175,1),"C","Ciudad","T","Pueblo","R","Rural","S","Suburbano","U","Urbano",""))</f>
        <v>Pueblo</v>
      </c>
      <c r="T2175" t="str">
        <f t="shared" si="133"/>
        <v>M</v>
      </c>
      <c r="U2175" t="str">
        <f t="shared" si="134"/>
        <v>SC</v>
      </c>
      <c r="V2175" t="str">
        <f t="shared" si="135"/>
        <v>13977</v>
      </c>
    </row>
    <row r="2176" spans="1:22" x14ac:dyDescent="0.35">
      <c r="A2176">
        <v>51692</v>
      </c>
      <c r="B2176" t="s">
        <v>68</v>
      </c>
      <c r="C2176" t="s">
        <v>17</v>
      </c>
      <c r="D2176">
        <v>829</v>
      </c>
      <c r="E2176">
        <v>345</v>
      </c>
      <c r="F2176">
        <v>432</v>
      </c>
      <c r="G2176">
        <v>1</v>
      </c>
      <c r="H2176">
        <v>16592</v>
      </c>
      <c r="I2176">
        <v>0</v>
      </c>
      <c r="J2176">
        <v>57</v>
      </c>
      <c r="K2176">
        <v>394</v>
      </c>
      <c r="L2176">
        <v>404</v>
      </c>
      <c r="M2176">
        <v>10.6</v>
      </c>
      <c r="N2176">
        <f>IFERROR(VLOOKUP(A2176,vlookup_table!$A:$G,2,FALSE),"")</f>
        <v>0</v>
      </c>
      <c r="O2176">
        <f>IFERROR(VLOOKUP(A2176,vlookup_table!$A:$G,4,FALSE),"")</f>
        <v>2607</v>
      </c>
      <c r="P2176" t="str">
        <f>IFERROR(VLOOKUP(A2176,vlookup_table!$A:$G,5,FALSE),"")</f>
        <v>T1</v>
      </c>
      <c r="Q2176">
        <f>IFERROR(VLOOKUP(A2176,vlookup_table!$A:$G,7,FALSE),"")</f>
        <v>15</v>
      </c>
      <c r="R2176">
        <f t="shared" si="132"/>
        <v>71</v>
      </c>
      <c r="S2176" t="str" cm="1">
        <f t="array" ref="S2176">IF(P2176="","",_xlfn.SWITCH(LEFT(P2176,1),"C","Ciudad","T","Pueblo","R","Rural","S","Suburbano","U","Urbano",""))</f>
        <v>Pueblo</v>
      </c>
      <c r="T2176" t="str">
        <f t="shared" si="133"/>
        <v>F</v>
      </c>
      <c r="U2176" t="str">
        <f t="shared" si="134"/>
        <v>Tennessee</v>
      </c>
      <c r="V2176" t="str">
        <f t="shared" si="135"/>
        <v>16592</v>
      </c>
    </row>
    <row r="2177" spans="1:22" x14ac:dyDescent="0.35">
      <c r="A2177">
        <v>38539</v>
      </c>
      <c r="B2177" t="s">
        <v>13</v>
      </c>
      <c r="C2177" t="s">
        <v>17</v>
      </c>
      <c r="D2177">
        <v>1458</v>
      </c>
      <c r="E2177">
        <v>275</v>
      </c>
      <c r="F2177">
        <v>597</v>
      </c>
      <c r="G2177">
        <v>24</v>
      </c>
      <c r="H2177">
        <v>34713</v>
      </c>
      <c r="I2177">
        <v>22</v>
      </c>
      <c r="J2177">
        <v>3</v>
      </c>
      <c r="K2177">
        <v>446</v>
      </c>
      <c r="L2177">
        <v>427</v>
      </c>
      <c r="M2177">
        <v>5.5</v>
      </c>
      <c r="N2177">
        <f>IFERROR(VLOOKUP(A2177,vlookup_table!$A:$G,2,FALSE),"")</f>
        <v>0</v>
      </c>
      <c r="O2177">
        <f>IFERROR(VLOOKUP(A2177,vlookup_table!$A:$G,4,FALSE),"")</f>
        <v>3205</v>
      </c>
      <c r="P2177" t="str">
        <f>IFERROR(VLOOKUP(A2177,vlookup_table!$A:$G,5,FALSE),"")</f>
        <v>C1</v>
      </c>
      <c r="Q2177">
        <f>IFERROR(VLOOKUP(A2177,vlookup_table!$A:$G,7,FALSE),"")</f>
        <v>13</v>
      </c>
      <c r="R2177">
        <f t="shared" si="132"/>
        <v>65</v>
      </c>
      <c r="S2177" t="str" cm="1">
        <f t="array" ref="S2177">IF(P2177="","",_xlfn.SWITCH(LEFT(P2177,1),"C","Ciudad","T","Pueblo","R","Rural","S","Suburbano","U","Urbano",""))</f>
        <v>Ciudad</v>
      </c>
      <c r="T2177" t="str">
        <f t="shared" si="133"/>
        <v>F</v>
      </c>
      <c r="U2177" t="str">
        <f t="shared" si="134"/>
        <v>FL</v>
      </c>
      <c r="V2177" t="str">
        <f t="shared" si="135"/>
        <v>34713</v>
      </c>
    </row>
    <row r="2178" spans="1:22" x14ac:dyDescent="0.35">
      <c r="A2178">
        <v>181462</v>
      </c>
      <c r="B2178" t="s">
        <v>40</v>
      </c>
      <c r="C2178" t="s">
        <v>17</v>
      </c>
      <c r="D2178">
        <v>978</v>
      </c>
      <c r="E2178">
        <v>312</v>
      </c>
      <c r="F2178">
        <v>384</v>
      </c>
      <c r="G2178">
        <v>5</v>
      </c>
      <c r="H2178">
        <v>12859</v>
      </c>
      <c r="I2178">
        <v>3</v>
      </c>
      <c r="J2178">
        <v>58</v>
      </c>
      <c r="K2178">
        <v>329</v>
      </c>
      <c r="L2178">
        <v>369</v>
      </c>
      <c r="M2178">
        <v>15.33333333</v>
      </c>
      <c r="N2178">
        <f>IFERROR(VLOOKUP(A2178,vlookup_table!$A:$G,2,FALSE),"")</f>
        <v>2</v>
      </c>
      <c r="O2178">
        <f>IFERROR(VLOOKUP(A2178,vlookup_table!$A:$G,4,FALSE),"")</f>
        <v>2001</v>
      </c>
      <c r="P2178" t="str">
        <f>IFERROR(VLOOKUP(A2178,vlookup_table!$A:$G,5,FALSE),"")</f>
        <v>R1</v>
      </c>
      <c r="Q2178">
        <f>IFERROR(VLOOKUP(A2178,vlookup_table!$A:$G,7,FALSE),"")</f>
        <v>23</v>
      </c>
      <c r="R2178">
        <f t="shared" ref="R2178:R2241" si="136">IF(O2178="","",97-INT(O2178/100))</f>
        <v>77</v>
      </c>
      <c r="S2178" t="str" cm="1">
        <f t="array" ref="S2178">IF(P2178="","",_xlfn.SWITCH(LEFT(P2178,1),"C","Ciudad","T","Pueblo","R","Rural","S","Suburbano","U","Urbano",""))</f>
        <v>Rural</v>
      </c>
      <c r="T2178" t="str">
        <f t="shared" ref="T2178:T2241" si="137">IF(C2178="","",IF(OR(UPPER(C2178)="M",UPPER(C2178)="MALE"),"M",IF(OR(UPPER(C2178)="F",UPPER(C2178)="FEMALE",UPPER(C2178)="FEAMALE"),"F",C2178)))</f>
        <v>F</v>
      </c>
      <c r="U2178" t="str">
        <f t="shared" ref="U2178:U2241" si="138">IF(OR(UPPER(B2178)="CALIFORNIA",UPPER(B2178)="CALI"),"CA",B2178)</f>
        <v>WA</v>
      </c>
      <c r="V2178" t="str">
        <f t="shared" ref="V2178:V2241" si="139">SUBSTITUTE(H2178,"@","")</f>
        <v>12859</v>
      </c>
    </row>
    <row r="2179" spans="1:22" x14ac:dyDescent="0.35">
      <c r="A2179">
        <v>153771</v>
      </c>
      <c r="B2179" t="s">
        <v>22</v>
      </c>
      <c r="C2179" t="s">
        <v>17</v>
      </c>
      <c r="D2179">
        <v>2111</v>
      </c>
      <c r="E2179">
        <v>463</v>
      </c>
      <c r="F2179">
        <v>580</v>
      </c>
      <c r="G2179">
        <v>56</v>
      </c>
      <c r="H2179">
        <v>22198</v>
      </c>
      <c r="I2179">
        <v>6</v>
      </c>
      <c r="J2179">
        <v>32</v>
      </c>
      <c r="K2179">
        <v>551</v>
      </c>
      <c r="L2179">
        <v>529</v>
      </c>
      <c r="M2179">
        <v>20</v>
      </c>
      <c r="N2179">
        <f>IFERROR(VLOOKUP(A2179,vlookup_table!$A:$G,2,FALSE),"")</f>
        <v>0</v>
      </c>
      <c r="O2179">
        <f>IFERROR(VLOOKUP(A2179,vlookup_table!$A:$G,4,FALSE),"")</f>
        <v>3201</v>
      </c>
      <c r="P2179" t="str">
        <f>IFERROR(VLOOKUP(A2179,vlookup_table!$A:$G,5,FALSE),"")</f>
        <v>C1</v>
      </c>
      <c r="Q2179">
        <f>IFERROR(VLOOKUP(A2179,vlookup_table!$A:$G,7,FALSE),"")</f>
        <v>25</v>
      </c>
      <c r="R2179">
        <f t="shared" si="136"/>
        <v>65</v>
      </c>
      <c r="S2179" t="str" cm="1">
        <f t="array" ref="S2179">IF(P2179="","",_xlfn.SWITCH(LEFT(P2179,1),"C","Ciudad","T","Pueblo","R","Rural","S","Suburbano","U","Urbano",""))</f>
        <v>Ciudad</v>
      </c>
      <c r="T2179" t="str">
        <f t="shared" si="137"/>
        <v>F</v>
      </c>
      <c r="U2179" t="str">
        <f t="shared" si="138"/>
        <v>CA</v>
      </c>
      <c r="V2179" t="str">
        <f t="shared" si="139"/>
        <v>22198</v>
      </c>
    </row>
    <row r="2180" spans="1:22" x14ac:dyDescent="0.35">
      <c r="A2180">
        <v>25558</v>
      </c>
      <c r="B2180" t="s">
        <v>39</v>
      </c>
      <c r="C2180" t="s">
        <v>14</v>
      </c>
      <c r="D2180">
        <v>899</v>
      </c>
      <c r="E2180">
        <v>489</v>
      </c>
      <c r="F2180">
        <v>513</v>
      </c>
      <c r="G2180">
        <v>1</v>
      </c>
      <c r="H2180">
        <v>16749</v>
      </c>
      <c r="I2180">
        <v>4</v>
      </c>
      <c r="J2180">
        <v>60</v>
      </c>
      <c r="K2180">
        <v>503</v>
      </c>
      <c r="L2180">
        <v>503</v>
      </c>
      <c r="M2180">
        <v>10.5</v>
      </c>
      <c r="N2180">
        <f>IFERROR(VLOOKUP(A2180,vlookup_table!$A:$G,2,FALSE),"")</f>
        <v>1</v>
      </c>
      <c r="O2180">
        <f>IFERROR(VLOOKUP(A2180,vlookup_table!$A:$G,4,FALSE),"")</f>
        <v>4901</v>
      </c>
      <c r="P2180" t="str">
        <f>IFERROR(VLOOKUP(A2180,vlookup_table!$A:$G,5,FALSE),"")</f>
        <v>C2</v>
      </c>
      <c r="Q2180">
        <f>IFERROR(VLOOKUP(A2180,vlookup_table!$A:$G,7,FALSE),"")</f>
        <v>15</v>
      </c>
      <c r="R2180">
        <f t="shared" si="136"/>
        <v>48</v>
      </c>
      <c r="S2180" t="str" cm="1">
        <f t="array" ref="S2180">IF(P2180="","",_xlfn.SWITCH(LEFT(P2180,1),"C","Ciudad","T","Pueblo","R","Rural","S","Suburbano","U","Urbano",""))</f>
        <v>Ciudad</v>
      </c>
      <c r="T2180" t="str">
        <f t="shared" si="137"/>
        <v>M</v>
      </c>
      <c r="U2180" t="str">
        <f t="shared" si="138"/>
        <v>GA</v>
      </c>
      <c r="V2180" t="str">
        <f t="shared" si="139"/>
        <v>16749</v>
      </c>
    </row>
    <row r="2181" spans="1:22" x14ac:dyDescent="0.35">
      <c r="A2181">
        <v>182916</v>
      </c>
      <c r="B2181" t="s">
        <v>40</v>
      </c>
      <c r="C2181" t="s">
        <v>17</v>
      </c>
      <c r="D2181">
        <v>666</v>
      </c>
      <c r="E2181">
        <v>358</v>
      </c>
      <c r="F2181">
        <v>486</v>
      </c>
      <c r="G2181">
        <v>1</v>
      </c>
      <c r="H2181">
        <v>17162</v>
      </c>
      <c r="I2181">
        <v>4</v>
      </c>
      <c r="J2181">
        <v>43</v>
      </c>
      <c r="K2181">
        <v>432</v>
      </c>
      <c r="L2181">
        <v>394</v>
      </c>
      <c r="M2181">
        <v>20</v>
      </c>
      <c r="N2181">
        <f>IFERROR(VLOOKUP(A2181,vlookup_table!$A:$G,2,FALSE),"")</f>
        <v>28</v>
      </c>
      <c r="O2181">
        <f>IFERROR(VLOOKUP(A2181,vlookup_table!$A:$G,4,FALSE),"")</f>
        <v>3401</v>
      </c>
      <c r="P2181" t="str">
        <f>IFERROR(VLOOKUP(A2181,vlookup_table!$A:$G,5,FALSE),"")</f>
        <v>C2</v>
      </c>
      <c r="Q2181">
        <f>IFERROR(VLOOKUP(A2181,vlookup_table!$A:$G,7,FALSE),"")</f>
        <v>25</v>
      </c>
      <c r="R2181">
        <f t="shared" si="136"/>
        <v>63</v>
      </c>
      <c r="S2181" t="str" cm="1">
        <f t="array" ref="S2181">IF(P2181="","",_xlfn.SWITCH(LEFT(P2181,1),"C","Ciudad","T","Pueblo","R","Rural","S","Suburbano","U","Urbano",""))</f>
        <v>Ciudad</v>
      </c>
      <c r="T2181" t="str">
        <f t="shared" si="137"/>
        <v>F</v>
      </c>
      <c r="U2181" t="str">
        <f t="shared" si="138"/>
        <v>WA</v>
      </c>
      <c r="V2181" t="str">
        <f t="shared" si="139"/>
        <v>17162</v>
      </c>
    </row>
    <row r="2182" spans="1:22" x14ac:dyDescent="0.35">
      <c r="A2182">
        <v>162213</v>
      </c>
      <c r="B2182" t="s">
        <v>22</v>
      </c>
      <c r="C2182" t="s">
        <v>14</v>
      </c>
      <c r="D2182">
        <v>5000</v>
      </c>
      <c r="E2182">
        <v>665</v>
      </c>
      <c r="F2182">
        <v>827</v>
      </c>
      <c r="G2182">
        <v>98</v>
      </c>
      <c r="H2182">
        <v>37898</v>
      </c>
      <c r="I2182">
        <v>9</v>
      </c>
      <c r="J2182">
        <v>44</v>
      </c>
      <c r="K2182">
        <v>780</v>
      </c>
      <c r="L2182">
        <v>737</v>
      </c>
      <c r="M2182">
        <v>10.30769231</v>
      </c>
      <c r="N2182">
        <f>IFERROR(VLOOKUP(A2182,vlookup_table!$A:$G,2,FALSE),"")</f>
        <v>1</v>
      </c>
      <c r="O2182">
        <f>IFERROR(VLOOKUP(A2182,vlookup_table!$A:$G,4,FALSE),"")</f>
        <v>2201</v>
      </c>
      <c r="P2182" t="str">
        <f>IFERROR(VLOOKUP(A2182,vlookup_table!$A:$G,5,FALSE),"")</f>
        <v>S1</v>
      </c>
      <c r="Q2182">
        <f>IFERROR(VLOOKUP(A2182,vlookup_table!$A:$G,7,FALSE),"")</f>
        <v>7</v>
      </c>
      <c r="R2182">
        <f t="shared" si="136"/>
        <v>75</v>
      </c>
      <c r="S2182" t="str" cm="1">
        <f t="array" ref="S2182">IF(P2182="","",_xlfn.SWITCH(LEFT(P2182,1),"C","Ciudad","T","Pueblo","R","Rural","S","Suburbano","U","Urbano",""))</f>
        <v>Suburbano</v>
      </c>
      <c r="T2182" t="str">
        <f t="shared" si="137"/>
        <v>M</v>
      </c>
      <c r="U2182" t="str">
        <f t="shared" si="138"/>
        <v>CA</v>
      </c>
      <c r="V2182" t="str">
        <f t="shared" si="139"/>
        <v>37898</v>
      </c>
    </row>
    <row r="2183" spans="1:22" x14ac:dyDescent="0.35">
      <c r="A2183">
        <v>177039</v>
      </c>
      <c r="B2183" t="s">
        <v>50</v>
      </c>
      <c r="C2183" t="s">
        <v>17</v>
      </c>
      <c r="D2183">
        <v>620</v>
      </c>
      <c r="E2183">
        <v>232</v>
      </c>
      <c r="F2183">
        <v>331</v>
      </c>
      <c r="G2183">
        <v>0</v>
      </c>
      <c r="H2183">
        <v>11354</v>
      </c>
      <c r="I2183">
        <v>3</v>
      </c>
      <c r="J2183">
        <v>44</v>
      </c>
      <c r="K2183">
        <v>288</v>
      </c>
      <c r="L2183">
        <v>284</v>
      </c>
      <c r="M2183">
        <v>9.7291666669999994</v>
      </c>
      <c r="N2183">
        <f>IFERROR(VLOOKUP(A2183,vlookup_table!$A:$G,2,FALSE),"")</f>
        <v>0</v>
      </c>
      <c r="O2183">
        <f>IFERROR(VLOOKUP(A2183,vlookup_table!$A:$G,4,FALSE),"")</f>
        <v>2206</v>
      </c>
      <c r="P2183" t="str">
        <f>IFERROR(VLOOKUP(A2183,vlookup_table!$A:$G,5,FALSE),"")</f>
        <v>R2</v>
      </c>
      <c r="Q2183">
        <f>IFERROR(VLOOKUP(A2183,vlookup_table!$A:$G,7,FALSE),"")</f>
        <v>21</v>
      </c>
      <c r="R2183">
        <f t="shared" si="136"/>
        <v>75</v>
      </c>
      <c r="S2183" t="str" cm="1">
        <f t="array" ref="S2183">IF(P2183="","",_xlfn.SWITCH(LEFT(P2183,1),"C","Ciudad","T","Pueblo","R","Rural","S","Suburbano","U","Urbano",""))</f>
        <v>Rural</v>
      </c>
      <c r="T2183" t="str">
        <f t="shared" si="137"/>
        <v>F</v>
      </c>
      <c r="U2183" t="str">
        <f t="shared" si="138"/>
        <v>OR</v>
      </c>
      <c r="V2183" t="str">
        <f t="shared" si="139"/>
        <v>11354</v>
      </c>
    </row>
    <row r="2184" spans="1:22" x14ac:dyDescent="0.35">
      <c r="A2184">
        <v>107264</v>
      </c>
      <c r="B2184" t="s">
        <v>59</v>
      </c>
      <c r="C2184" t="s">
        <v>14</v>
      </c>
      <c r="D2184">
        <v>612</v>
      </c>
      <c r="E2184">
        <v>359</v>
      </c>
      <c r="F2184">
        <v>400</v>
      </c>
      <c r="G2184">
        <v>0</v>
      </c>
      <c r="H2184">
        <v>14320</v>
      </c>
      <c r="I2184">
        <v>3</v>
      </c>
      <c r="J2184">
        <v>64</v>
      </c>
      <c r="K2184">
        <v>404</v>
      </c>
      <c r="L2184">
        <v>380</v>
      </c>
      <c r="M2184">
        <v>13</v>
      </c>
      <c r="N2184">
        <f>IFERROR(VLOOKUP(A2184,vlookup_table!$A:$G,2,FALSE),"")</f>
        <v>2</v>
      </c>
      <c r="O2184">
        <f>IFERROR(VLOOKUP(A2184,vlookup_table!$A:$G,4,FALSE),"")</f>
        <v>5201</v>
      </c>
      <c r="P2184" t="str">
        <f>IFERROR(VLOOKUP(A2184,vlookup_table!$A:$G,5,FALSE),"")</f>
        <v>C1</v>
      </c>
      <c r="Q2184">
        <f>IFERROR(VLOOKUP(A2184,vlookup_table!$A:$G,7,FALSE),"")</f>
        <v>20</v>
      </c>
      <c r="R2184">
        <f t="shared" si="136"/>
        <v>45</v>
      </c>
      <c r="S2184" t="str" cm="1">
        <f t="array" ref="S2184">IF(P2184="","",_xlfn.SWITCH(LEFT(P2184,1),"C","Ciudad","T","Pueblo","R","Rural","S","Suburbano","U","Urbano",""))</f>
        <v>Ciudad</v>
      </c>
      <c r="T2184" t="str">
        <f t="shared" si="137"/>
        <v>M</v>
      </c>
      <c r="U2184" t="str">
        <f t="shared" si="138"/>
        <v>NE</v>
      </c>
      <c r="V2184" t="str">
        <f t="shared" si="139"/>
        <v>14320</v>
      </c>
    </row>
    <row r="2185" spans="1:22" x14ac:dyDescent="0.35">
      <c r="A2185">
        <v>60708</v>
      </c>
      <c r="B2185" t="s">
        <v>33</v>
      </c>
      <c r="C2185" t="s">
        <v>30</v>
      </c>
      <c r="D2185">
        <v>482</v>
      </c>
      <c r="E2185">
        <v>344</v>
      </c>
      <c r="F2185">
        <v>447</v>
      </c>
      <c r="G2185">
        <v>0</v>
      </c>
      <c r="H2185">
        <v>13525</v>
      </c>
      <c r="I2185">
        <v>0</v>
      </c>
      <c r="J2185">
        <v>55</v>
      </c>
      <c r="K2185">
        <v>429</v>
      </c>
      <c r="L2185">
        <v>401</v>
      </c>
      <c r="M2185">
        <v>3.1176470589999998</v>
      </c>
      <c r="N2185">
        <f>IFERROR(VLOOKUP(A2185,vlookup_table!$A:$G,2,FALSE),"")</f>
        <v>2</v>
      </c>
      <c r="O2185">
        <f>IFERROR(VLOOKUP(A2185,vlookup_table!$A:$G,4,FALSE),"")</f>
        <v>0</v>
      </c>
      <c r="P2185" t="str">
        <f>IFERROR(VLOOKUP(A2185,vlookup_table!$A:$G,5,FALSE),"")</f>
        <v>T2</v>
      </c>
      <c r="Q2185">
        <f>IFERROR(VLOOKUP(A2185,vlookup_table!$A:$G,7,FALSE),"")</f>
        <v>5</v>
      </c>
      <c r="R2185">
        <f t="shared" si="136"/>
        <v>97</v>
      </c>
      <c r="S2185" t="str" cm="1">
        <f t="array" ref="S2185">IF(P2185="","",_xlfn.SWITCH(LEFT(P2185,1),"C","Ciudad","T","Pueblo","R","Rural","S","Suburbano","U","Urbano",""))</f>
        <v>Pueblo</v>
      </c>
      <c r="T2185" t="str">
        <f t="shared" si="137"/>
        <v>U</v>
      </c>
      <c r="U2185" t="str">
        <f t="shared" si="138"/>
        <v>IN</v>
      </c>
      <c r="V2185" t="str">
        <f t="shared" si="139"/>
        <v>13525</v>
      </c>
    </row>
    <row r="2186" spans="1:22" x14ac:dyDescent="0.35">
      <c r="A2186">
        <v>12234</v>
      </c>
      <c r="B2186" t="s">
        <v>22</v>
      </c>
      <c r="C2186" t="s">
        <v>17</v>
      </c>
      <c r="D2186">
        <v>2247</v>
      </c>
      <c r="E2186">
        <v>357</v>
      </c>
      <c r="F2186">
        <v>500</v>
      </c>
      <c r="G2186">
        <v>60</v>
      </c>
      <c r="H2186">
        <v>18748</v>
      </c>
      <c r="I2186">
        <v>10</v>
      </c>
      <c r="J2186">
        <v>56</v>
      </c>
      <c r="K2186">
        <v>425</v>
      </c>
      <c r="L2186">
        <v>430</v>
      </c>
      <c r="M2186">
        <v>9.5172413789999997</v>
      </c>
      <c r="N2186">
        <f>IFERROR(VLOOKUP(A2186,vlookup_table!$A:$G,2,FALSE),"")</f>
        <v>0</v>
      </c>
      <c r="O2186">
        <f>IFERROR(VLOOKUP(A2186,vlookup_table!$A:$G,4,FALSE),"")</f>
        <v>2201</v>
      </c>
      <c r="P2186" t="str">
        <f>IFERROR(VLOOKUP(A2186,vlookup_table!$A:$G,5,FALSE),"")</f>
        <v>C2</v>
      </c>
      <c r="Q2186">
        <f>IFERROR(VLOOKUP(A2186,vlookup_table!$A:$G,7,FALSE),"")</f>
        <v>10</v>
      </c>
      <c r="R2186">
        <f t="shared" si="136"/>
        <v>75</v>
      </c>
      <c r="S2186" t="str" cm="1">
        <f t="array" ref="S2186">IF(P2186="","",_xlfn.SWITCH(LEFT(P2186,1),"C","Ciudad","T","Pueblo","R","Rural","S","Suburbano","U","Urbano",""))</f>
        <v>Ciudad</v>
      </c>
      <c r="T2186" t="str">
        <f t="shared" si="137"/>
        <v>F</v>
      </c>
      <c r="U2186" t="str">
        <f t="shared" si="138"/>
        <v>CA</v>
      </c>
      <c r="V2186" t="str">
        <f t="shared" si="139"/>
        <v>18748</v>
      </c>
    </row>
    <row r="2187" spans="1:22" x14ac:dyDescent="0.35">
      <c r="A2187">
        <v>59240</v>
      </c>
      <c r="B2187" t="s">
        <v>33</v>
      </c>
      <c r="C2187" t="s">
        <v>17</v>
      </c>
      <c r="D2187">
        <v>1395</v>
      </c>
      <c r="E2187">
        <v>575</v>
      </c>
      <c r="F2187">
        <v>704</v>
      </c>
      <c r="G2187">
        <v>28</v>
      </c>
      <c r="H2187">
        <v>24518</v>
      </c>
      <c r="I2187">
        <v>7</v>
      </c>
      <c r="J2187">
        <v>61</v>
      </c>
      <c r="K2187">
        <v>580</v>
      </c>
      <c r="L2187">
        <v>687</v>
      </c>
      <c r="M2187">
        <v>9</v>
      </c>
      <c r="N2187">
        <f>IFERROR(VLOOKUP(A2187,vlookup_table!$A:$G,2,FALSE),"")</f>
        <v>0</v>
      </c>
      <c r="O2187">
        <f>IFERROR(VLOOKUP(A2187,vlookup_table!$A:$G,4,FALSE),"")</f>
        <v>0</v>
      </c>
      <c r="P2187" t="str">
        <f>IFERROR(VLOOKUP(A2187,vlookup_table!$A:$G,5,FALSE),"")</f>
        <v>S1</v>
      </c>
      <c r="Q2187">
        <f>IFERROR(VLOOKUP(A2187,vlookup_table!$A:$G,7,FALSE),"")</f>
        <v>10</v>
      </c>
      <c r="R2187">
        <f t="shared" si="136"/>
        <v>97</v>
      </c>
      <c r="S2187" t="str" cm="1">
        <f t="array" ref="S2187">IF(P2187="","",_xlfn.SWITCH(LEFT(P2187,1),"C","Ciudad","T","Pueblo","R","Rural","S","Suburbano","U","Urbano",""))</f>
        <v>Suburbano</v>
      </c>
      <c r="T2187" t="str">
        <f t="shared" si="137"/>
        <v>F</v>
      </c>
      <c r="U2187" t="str">
        <f t="shared" si="138"/>
        <v>IN</v>
      </c>
      <c r="V2187" t="str">
        <f t="shared" si="139"/>
        <v>24518</v>
      </c>
    </row>
    <row r="2188" spans="1:22" x14ac:dyDescent="0.35">
      <c r="A2188">
        <v>127028</v>
      </c>
      <c r="B2188" t="s">
        <v>21</v>
      </c>
      <c r="C2188" t="s">
        <v>17</v>
      </c>
      <c r="D2188">
        <v>586</v>
      </c>
      <c r="E2188">
        <v>242</v>
      </c>
      <c r="F2188">
        <v>348</v>
      </c>
      <c r="G2188">
        <v>0</v>
      </c>
      <c r="H2188">
        <v>13539</v>
      </c>
      <c r="I2188">
        <v>2</v>
      </c>
      <c r="J2188">
        <v>65</v>
      </c>
      <c r="K2188">
        <v>295</v>
      </c>
      <c r="L2188">
        <v>288</v>
      </c>
      <c r="M2188">
        <v>9.1428571430000005</v>
      </c>
      <c r="N2188">
        <f>IFERROR(VLOOKUP(A2188,vlookup_table!$A:$G,2,FALSE),"")</f>
        <v>0</v>
      </c>
      <c r="O2188">
        <f>IFERROR(VLOOKUP(A2188,vlookup_table!$A:$G,4,FALSE),"")</f>
        <v>0</v>
      </c>
      <c r="P2188" t="str">
        <f>IFERROR(VLOOKUP(A2188,vlookup_table!$A:$G,5,FALSE),"")</f>
        <v>S2</v>
      </c>
      <c r="Q2188">
        <f>IFERROR(VLOOKUP(A2188,vlookup_table!$A:$G,7,FALSE),"")</f>
        <v>18</v>
      </c>
      <c r="R2188">
        <f t="shared" si="136"/>
        <v>97</v>
      </c>
      <c r="S2188" t="str" cm="1">
        <f t="array" ref="S2188">IF(P2188="","",_xlfn.SWITCH(LEFT(P2188,1),"C","Ciudad","T","Pueblo","R","Rural","S","Suburbano","U","Urbano",""))</f>
        <v>Suburbano</v>
      </c>
      <c r="T2188" t="str">
        <f t="shared" si="137"/>
        <v>F</v>
      </c>
      <c r="U2188" t="str">
        <f t="shared" si="138"/>
        <v>TX</v>
      </c>
      <c r="V2188" t="str">
        <f t="shared" si="139"/>
        <v>13539</v>
      </c>
    </row>
    <row r="2189" spans="1:22" x14ac:dyDescent="0.35">
      <c r="A2189">
        <v>72321</v>
      </c>
      <c r="B2189" t="s">
        <v>29</v>
      </c>
      <c r="C2189" t="s">
        <v>14</v>
      </c>
      <c r="D2189">
        <v>628</v>
      </c>
      <c r="E2189">
        <v>310</v>
      </c>
      <c r="F2189">
        <v>369</v>
      </c>
      <c r="G2189">
        <v>2</v>
      </c>
      <c r="H2189">
        <v>12788</v>
      </c>
      <c r="I2189">
        <v>3</v>
      </c>
      <c r="J2189">
        <v>71</v>
      </c>
      <c r="K2189">
        <v>344</v>
      </c>
      <c r="L2189">
        <v>337</v>
      </c>
      <c r="M2189">
        <v>8.3333333330000006</v>
      </c>
      <c r="N2189">
        <f>IFERROR(VLOOKUP(A2189,vlookup_table!$A:$G,2,FALSE),"")</f>
        <v>1</v>
      </c>
      <c r="O2189">
        <f>IFERROR(VLOOKUP(A2189,vlookup_table!$A:$G,4,FALSE),"")</f>
        <v>0</v>
      </c>
      <c r="P2189" t="str">
        <f>IFERROR(VLOOKUP(A2189,vlookup_table!$A:$G,5,FALSE),"")</f>
        <v>R2</v>
      </c>
      <c r="Q2189">
        <f>IFERROR(VLOOKUP(A2189,vlookup_table!$A:$G,7,FALSE),"")</f>
        <v>10</v>
      </c>
      <c r="R2189">
        <f t="shared" si="136"/>
        <v>97</v>
      </c>
      <c r="S2189" t="str" cm="1">
        <f t="array" ref="S2189">IF(P2189="","",_xlfn.SWITCH(LEFT(P2189,1),"C","Ciudad","T","Pueblo","R","Rural","S","Suburbano","U","Urbano",""))</f>
        <v>Rural</v>
      </c>
      <c r="T2189" t="str">
        <f t="shared" si="137"/>
        <v>M</v>
      </c>
      <c r="U2189" t="str">
        <f t="shared" si="138"/>
        <v>MI</v>
      </c>
      <c r="V2189" t="str">
        <f t="shared" si="139"/>
        <v>12788</v>
      </c>
    </row>
    <row r="2190" spans="1:22" x14ac:dyDescent="0.35">
      <c r="A2190">
        <v>161309</v>
      </c>
      <c r="B2190" t="s">
        <v>22</v>
      </c>
      <c r="C2190" t="s">
        <v>14</v>
      </c>
      <c r="D2190">
        <v>1601</v>
      </c>
      <c r="E2190">
        <v>329</v>
      </c>
      <c r="F2190">
        <v>492</v>
      </c>
      <c r="G2190">
        <v>21</v>
      </c>
      <c r="H2190">
        <v>14811</v>
      </c>
      <c r="I2190">
        <v>13</v>
      </c>
      <c r="J2190">
        <v>62</v>
      </c>
      <c r="K2190">
        <v>351</v>
      </c>
      <c r="L2190">
        <v>453</v>
      </c>
      <c r="M2190">
        <v>11.85714286</v>
      </c>
      <c r="N2190">
        <f>IFERROR(VLOOKUP(A2190,vlookup_table!$A:$G,2,FALSE),"")</f>
        <v>1</v>
      </c>
      <c r="O2190">
        <f>IFERROR(VLOOKUP(A2190,vlookup_table!$A:$G,4,FALSE),"")</f>
        <v>5509</v>
      </c>
      <c r="P2190" t="str">
        <f>IFERROR(VLOOKUP(A2190,vlookup_table!$A:$G,5,FALSE),"")</f>
        <v>R1</v>
      </c>
      <c r="Q2190">
        <f>IFERROR(VLOOKUP(A2190,vlookup_table!$A:$G,7,FALSE),"")</f>
        <v>18</v>
      </c>
      <c r="R2190">
        <f t="shared" si="136"/>
        <v>42</v>
      </c>
      <c r="S2190" t="str" cm="1">
        <f t="array" ref="S2190">IF(P2190="","",_xlfn.SWITCH(LEFT(P2190,1),"C","Ciudad","T","Pueblo","R","Rural","S","Suburbano","U","Urbano",""))</f>
        <v>Rural</v>
      </c>
      <c r="T2190" t="str">
        <f t="shared" si="137"/>
        <v>M</v>
      </c>
      <c r="U2190" t="str">
        <f t="shared" si="138"/>
        <v>CA</v>
      </c>
      <c r="V2190" t="str">
        <f t="shared" si="139"/>
        <v>14811</v>
      </c>
    </row>
    <row r="2191" spans="1:22" x14ac:dyDescent="0.35">
      <c r="A2191">
        <v>58991</v>
      </c>
      <c r="B2191" t="s">
        <v>57</v>
      </c>
      <c r="C2191" t="s">
        <v>14</v>
      </c>
      <c r="D2191">
        <v>277</v>
      </c>
      <c r="E2191">
        <v>112</v>
      </c>
      <c r="F2191">
        <v>168</v>
      </c>
      <c r="G2191">
        <v>0</v>
      </c>
      <c r="H2191">
        <v>5611</v>
      </c>
      <c r="I2191">
        <v>0</v>
      </c>
      <c r="J2191">
        <v>74</v>
      </c>
      <c r="K2191">
        <v>123</v>
      </c>
      <c r="L2191">
        <v>154</v>
      </c>
      <c r="M2191">
        <v>20</v>
      </c>
      <c r="N2191">
        <f>IFERROR(VLOOKUP(A2191,vlookup_table!$A:$G,2,FALSE),"")</f>
        <v>1</v>
      </c>
      <c r="O2191">
        <f>IFERROR(VLOOKUP(A2191,vlookup_table!$A:$G,4,FALSE),"")</f>
        <v>3302</v>
      </c>
      <c r="P2191" t="str">
        <f>IFERROR(VLOOKUP(A2191,vlookup_table!$A:$G,5,FALSE),"")</f>
        <v>R3</v>
      </c>
      <c r="Q2191">
        <f>IFERROR(VLOOKUP(A2191,vlookup_table!$A:$G,7,FALSE),"")</f>
        <v>10</v>
      </c>
      <c r="R2191">
        <f t="shared" si="136"/>
        <v>64</v>
      </c>
      <c r="S2191" t="str" cm="1">
        <f t="array" ref="S2191">IF(P2191="","",_xlfn.SWITCH(LEFT(P2191,1),"C","Ciudad","T","Pueblo","R","Rural","S","Suburbano","U","Urbano",""))</f>
        <v>Rural</v>
      </c>
      <c r="T2191" t="str">
        <f t="shared" si="137"/>
        <v>M</v>
      </c>
      <c r="U2191" t="str">
        <f t="shared" si="138"/>
        <v>KY</v>
      </c>
      <c r="V2191" t="str">
        <f t="shared" si="139"/>
        <v>5611</v>
      </c>
    </row>
    <row r="2192" spans="1:22" x14ac:dyDescent="0.35">
      <c r="A2192">
        <v>136772</v>
      </c>
      <c r="B2192" t="s">
        <v>55</v>
      </c>
      <c r="D2192">
        <v>801</v>
      </c>
      <c r="E2192">
        <v>349</v>
      </c>
      <c r="F2192">
        <v>476</v>
      </c>
      <c r="G2192">
        <v>0</v>
      </c>
      <c r="H2192">
        <v>15610</v>
      </c>
      <c r="I2192">
        <v>2</v>
      </c>
      <c r="J2192">
        <v>34</v>
      </c>
      <c r="K2192">
        <v>416</v>
      </c>
      <c r="L2192">
        <v>410</v>
      </c>
      <c r="M2192">
        <v>12.222222220000001</v>
      </c>
      <c r="N2192">
        <f>IFERROR(VLOOKUP(A2192,vlookup_table!$A:$G,2,FALSE),"")</f>
        <v>980</v>
      </c>
      <c r="O2192">
        <f>IFERROR(VLOOKUP(A2192,vlookup_table!$A:$G,4,FALSE),"")</f>
        <v>5206</v>
      </c>
      <c r="P2192" t="str">
        <f>IFERROR(VLOOKUP(A2192,vlookup_table!$A:$G,5,FALSE),"")</f>
        <v>S2</v>
      </c>
      <c r="Q2192">
        <f>IFERROR(VLOOKUP(A2192,vlookup_table!$A:$G,7,FALSE),"")</f>
        <v>19</v>
      </c>
      <c r="R2192">
        <f t="shared" si="136"/>
        <v>45</v>
      </c>
      <c r="S2192" t="str" cm="1">
        <f t="array" ref="S2192">IF(P2192="","",_xlfn.SWITCH(LEFT(P2192,1),"C","Ciudad","T","Pueblo","R","Rural","S","Suburbano","U","Urbano",""))</f>
        <v>Suburbano</v>
      </c>
      <c r="T2192" t="str">
        <f t="shared" si="137"/>
        <v/>
      </c>
      <c r="U2192" t="str">
        <f t="shared" si="138"/>
        <v>AZ</v>
      </c>
      <c r="V2192" t="str">
        <f t="shared" si="139"/>
        <v>15610</v>
      </c>
    </row>
    <row r="2193" spans="1:22" x14ac:dyDescent="0.35">
      <c r="A2193">
        <v>190560</v>
      </c>
      <c r="B2193" t="s">
        <v>28</v>
      </c>
      <c r="C2193" t="s">
        <v>14</v>
      </c>
      <c r="D2193">
        <v>220</v>
      </c>
      <c r="E2193">
        <v>181</v>
      </c>
      <c r="F2193">
        <v>272</v>
      </c>
      <c r="G2193">
        <v>0</v>
      </c>
      <c r="H2193">
        <v>9296</v>
      </c>
      <c r="I2193">
        <v>2</v>
      </c>
      <c r="J2193">
        <v>71</v>
      </c>
      <c r="K2193">
        <v>238</v>
      </c>
      <c r="L2193">
        <v>220</v>
      </c>
      <c r="M2193">
        <v>3.7272727269999999</v>
      </c>
      <c r="N2193">
        <f>IFERROR(VLOOKUP(A2193,vlookup_table!$A:$G,2,FALSE),"")</f>
        <v>0</v>
      </c>
      <c r="O2193">
        <f>IFERROR(VLOOKUP(A2193,vlookup_table!$A:$G,4,FALSE),"")</f>
        <v>2601</v>
      </c>
      <c r="P2193">
        <f>IFERROR(VLOOKUP(A2193,vlookup_table!$A:$G,5,FALSE),"")</f>
        <v>0</v>
      </c>
      <c r="Q2193">
        <f>IFERROR(VLOOKUP(A2193,vlookup_table!$A:$G,7,FALSE),"")</f>
        <v>5</v>
      </c>
      <c r="R2193">
        <f t="shared" si="136"/>
        <v>71</v>
      </c>
      <c r="S2193" t="str" cm="1">
        <f t="array" ref="S2193">IF(P2193="","",_xlfn.SWITCH(LEFT(P2193,1),"C","Ciudad","T","Pueblo","R","Rural","S","Suburbano","U","Urbano",""))</f>
        <v/>
      </c>
      <c r="T2193" t="str">
        <f t="shared" si="137"/>
        <v>M</v>
      </c>
      <c r="U2193" t="str">
        <f t="shared" si="138"/>
        <v>KS</v>
      </c>
      <c r="V2193" t="str">
        <f t="shared" si="139"/>
        <v>9296</v>
      </c>
    </row>
    <row r="2194" spans="1:22" x14ac:dyDescent="0.35">
      <c r="A2194">
        <v>158022</v>
      </c>
      <c r="B2194" t="s">
        <v>22</v>
      </c>
      <c r="C2194" t="s">
        <v>17</v>
      </c>
      <c r="D2194">
        <v>2380</v>
      </c>
      <c r="E2194">
        <v>420</v>
      </c>
      <c r="F2194">
        <v>586</v>
      </c>
      <c r="G2194">
        <v>77</v>
      </c>
      <c r="H2194">
        <v>32129</v>
      </c>
      <c r="I2194">
        <v>6</v>
      </c>
      <c r="J2194">
        <v>21</v>
      </c>
      <c r="K2194">
        <v>490</v>
      </c>
      <c r="L2194">
        <v>567</v>
      </c>
      <c r="M2194">
        <v>8.4782608699999997</v>
      </c>
      <c r="N2194">
        <f>IFERROR(VLOOKUP(A2194,vlookup_table!$A:$G,2,FALSE),"")</f>
        <v>0</v>
      </c>
      <c r="O2194">
        <f>IFERROR(VLOOKUP(A2194,vlookup_table!$A:$G,4,FALSE),"")</f>
        <v>1801</v>
      </c>
      <c r="P2194" t="str">
        <f>IFERROR(VLOOKUP(A2194,vlookup_table!$A:$G,5,FALSE),"")</f>
        <v>C1</v>
      </c>
      <c r="Q2194">
        <f>IFERROR(VLOOKUP(A2194,vlookup_table!$A:$G,7,FALSE),"")</f>
        <v>15</v>
      </c>
      <c r="R2194">
        <f t="shared" si="136"/>
        <v>79</v>
      </c>
      <c r="S2194" t="str" cm="1">
        <f t="array" ref="S2194">IF(P2194="","",_xlfn.SWITCH(LEFT(P2194,1),"C","Ciudad","T","Pueblo","R","Rural","S","Suburbano","U","Urbano",""))</f>
        <v>Ciudad</v>
      </c>
      <c r="T2194" t="str">
        <f t="shared" si="137"/>
        <v>F</v>
      </c>
      <c r="U2194" t="str">
        <f t="shared" si="138"/>
        <v>CA</v>
      </c>
      <c r="V2194" t="str">
        <f t="shared" si="139"/>
        <v>32129</v>
      </c>
    </row>
    <row r="2195" spans="1:22" x14ac:dyDescent="0.35">
      <c r="A2195">
        <v>177260</v>
      </c>
      <c r="B2195" t="s">
        <v>50</v>
      </c>
      <c r="C2195" t="s">
        <v>14</v>
      </c>
      <c r="D2195">
        <v>492</v>
      </c>
      <c r="E2195">
        <v>198</v>
      </c>
      <c r="F2195">
        <v>284</v>
      </c>
      <c r="G2195">
        <v>1</v>
      </c>
      <c r="H2195">
        <v>9629</v>
      </c>
      <c r="I2195">
        <v>2</v>
      </c>
      <c r="J2195">
        <v>39</v>
      </c>
      <c r="K2195">
        <v>229</v>
      </c>
      <c r="L2195">
        <v>247</v>
      </c>
      <c r="M2195">
        <v>5.9166666670000003</v>
      </c>
      <c r="N2195">
        <f>IFERROR(VLOOKUP(A2195,vlookup_table!$A:$G,2,FALSE),"")</f>
        <v>1</v>
      </c>
      <c r="O2195">
        <f>IFERROR(VLOOKUP(A2195,vlookup_table!$A:$G,4,FALSE),"")</f>
        <v>4606</v>
      </c>
      <c r="P2195" t="str">
        <f>IFERROR(VLOOKUP(A2195,vlookup_table!$A:$G,5,FALSE),"")</f>
        <v>R2</v>
      </c>
      <c r="Q2195">
        <f>IFERROR(VLOOKUP(A2195,vlookup_table!$A:$G,7,FALSE),"")</f>
        <v>2</v>
      </c>
      <c r="R2195">
        <f t="shared" si="136"/>
        <v>51</v>
      </c>
      <c r="S2195" t="str" cm="1">
        <f t="array" ref="S2195">IF(P2195="","",_xlfn.SWITCH(LEFT(P2195,1),"C","Ciudad","T","Pueblo","R","Rural","S","Suburbano","U","Urbano",""))</f>
        <v>Rural</v>
      </c>
      <c r="T2195" t="str">
        <f t="shared" si="137"/>
        <v>M</v>
      </c>
      <c r="U2195" t="str">
        <f t="shared" si="138"/>
        <v>OR</v>
      </c>
      <c r="V2195" t="str">
        <f t="shared" si="139"/>
        <v>9629</v>
      </c>
    </row>
    <row r="2196" spans="1:22" x14ac:dyDescent="0.35">
      <c r="A2196">
        <v>179257</v>
      </c>
      <c r="B2196" t="s">
        <v>40</v>
      </c>
      <c r="C2196" t="s">
        <v>51</v>
      </c>
      <c r="D2196">
        <v>1449</v>
      </c>
      <c r="E2196">
        <v>605</v>
      </c>
      <c r="F2196">
        <v>657</v>
      </c>
      <c r="G2196">
        <v>3</v>
      </c>
      <c r="H2196">
        <v>17504</v>
      </c>
      <c r="I2196">
        <v>10</v>
      </c>
      <c r="J2196">
        <v>46</v>
      </c>
      <c r="K2196">
        <v>618</v>
      </c>
      <c r="L2196">
        <v>635</v>
      </c>
      <c r="M2196">
        <v>6.6666666670000003</v>
      </c>
      <c r="N2196">
        <f>IFERROR(VLOOKUP(A2196,vlookup_table!$A:$G,2,FALSE),"")</f>
        <v>1</v>
      </c>
      <c r="O2196">
        <f>IFERROR(VLOOKUP(A2196,vlookup_table!$A:$G,4,FALSE),"")</f>
        <v>6201</v>
      </c>
      <c r="P2196" t="str">
        <f>IFERROR(VLOOKUP(A2196,vlookup_table!$A:$G,5,FALSE),"")</f>
        <v>S1</v>
      </c>
      <c r="Q2196">
        <f>IFERROR(VLOOKUP(A2196,vlookup_table!$A:$G,7,FALSE),"")</f>
        <v>10</v>
      </c>
      <c r="R2196">
        <f t="shared" si="136"/>
        <v>35</v>
      </c>
      <c r="S2196" t="str" cm="1">
        <f t="array" ref="S2196">IF(P2196="","",_xlfn.SWITCH(LEFT(P2196,1),"C","Ciudad","T","Pueblo","R","Rural","S","Suburbano","U","Urbano",""))</f>
        <v>Suburbano</v>
      </c>
      <c r="T2196" t="str">
        <f t="shared" si="137"/>
        <v>M</v>
      </c>
      <c r="U2196" t="str">
        <f t="shared" si="138"/>
        <v>WA</v>
      </c>
      <c r="V2196" t="str">
        <f t="shared" si="139"/>
        <v>17504</v>
      </c>
    </row>
    <row r="2197" spans="1:22" x14ac:dyDescent="0.35">
      <c r="A2197">
        <v>13434</v>
      </c>
      <c r="B2197" t="s">
        <v>18</v>
      </c>
      <c r="C2197" t="s">
        <v>14</v>
      </c>
      <c r="D2197">
        <v>1044</v>
      </c>
      <c r="E2197">
        <v>269</v>
      </c>
      <c r="F2197">
        <v>329</v>
      </c>
      <c r="G2197">
        <v>15</v>
      </c>
      <c r="H2197">
        <v>12648</v>
      </c>
      <c r="I2197">
        <v>5</v>
      </c>
      <c r="J2197">
        <v>40</v>
      </c>
      <c r="K2197">
        <v>299</v>
      </c>
      <c r="L2197">
        <v>278</v>
      </c>
      <c r="M2197">
        <v>10.10526316</v>
      </c>
      <c r="N2197">
        <f>IFERROR(VLOOKUP(A2197,vlookup_table!$A:$G,2,FALSE),"")</f>
        <v>2</v>
      </c>
      <c r="O2197">
        <f>IFERROR(VLOOKUP(A2197,vlookup_table!$A:$G,4,FALSE),"")</f>
        <v>2202</v>
      </c>
      <c r="P2197" t="str">
        <f>IFERROR(VLOOKUP(A2197,vlookup_table!$A:$G,5,FALSE),"")</f>
        <v>R2</v>
      </c>
      <c r="Q2197">
        <f>IFERROR(VLOOKUP(A2197,vlookup_table!$A:$G,7,FALSE),"")</f>
        <v>15</v>
      </c>
      <c r="R2197">
        <f t="shared" si="136"/>
        <v>75</v>
      </c>
      <c r="S2197" t="str" cm="1">
        <f t="array" ref="S2197">IF(P2197="","",_xlfn.SWITCH(LEFT(P2197,1),"C","Ciudad","T","Pueblo","R","Rural","S","Suburbano","U","Urbano",""))</f>
        <v>Rural</v>
      </c>
      <c r="T2197" t="str">
        <f t="shared" si="137"/>
        <v>M</v>
      </c>
      <c r="U2197" t="str">
        <f t="shared" si="138"/>
        <v>NC</v>
      </c>
      <c r="V2197" t="str">
        <f t="shared" si="139"/>
        <v>12648</v>
      </c>
    </row>
    <row r="2198" spans="1:22" x14ac:dyDescent="0.35">
      <c r="A2198">
        <v>45351</v>
      </c>
      <c r="B2198" t="s">
        <v>13</v>
      </c>
      <c r="C2198" t="s">
        <v>17</v>
      </c>
      <c r="D2198">
        <v>969</v>
      </c>
      <c r="E2198">
        <v>356</v>
      </c>
      <c r="F2198">
        <v>460</v>
      </c>
      <c r="G2198">
        <v>8</v>
      </c>
      <c r="H2198">
        <v>18690</v>
      </c>
      <c r="I2198">
        <v>6</v>
      </c>
      <c r="J2198">
        <v>14</v>
      </c>
      <c r="K2198">
        <v>390</v>
      </c>
      <c r="L2198">
        <v>401</v>
      </c>
      <c r="M2198">
        <v>26</v>
      </c>
      <c r="N2198">
        <f>IFERROR(VLOOKUP(A2198,vlookup_table!$A:$G,2,FALSE),"")</f>
        <v>2</v>
      </c>
      <c r="O2198">
        <f>IFERROR(VLOOKUP(A2198,vlookup_table!$A:$G,4,FALSE),"")</f>
        <v>2906</v>
      </c>
      <c r="P2198" t="str">
        <f>IFERROR(VLOOKUP(A2198,vlookup_table!$A:$G,5,FALSE),"")</f>
        <v>C2</v>
      </c>
      <c r="Q2198">
        <f>IFERROR(VLOOKUP(A2198,vlookup_table!$A:$G,7,FALSE),"")</f>
        <v>25</v>
      </c>
      <c r="R2198">
        <f t="shared" si="136"/>
        <v>68</v>
      </c>
      <c r="S2198" t="str" cm="1">
        <f t="array" ref="S2198">IF(P2198="","",_xlfn.SWITCH(LEFT(P2198,1),"C","Ciudad","T","Pueblo","R","Rural","S","Suburbano","U","Urbano",""))</f>
        <v>Ciudad</v>
      </c>
      <c r="T2198" t="str">
        <f t="shared" si="137"/>
        <v>F</v>
      </c>
      <c r="U2198" t="str">
        <f t="shared" si="138"/>
        <v>FL</v>
      </c>
      <c r="V2198" t="str">
        <f t="shared" si="139"/>
        <v>18690</v>
      </c>
    </row>
    <row r="2199" spans="1:22" x14ac:dyDescent="0.35">
      <c r="A2199">
        <v>102534</v>
      </c>
      <c r="B2199" t="s">
        <v>55</v>
      </c>
      <c r="C2199" t="s">
        <v>14</v>
      </c>
      <c r="D2199">
        <v>1390</v>
      </c>
      <c r="E2199">
        <v>386</v>
      </c>
      <c r="F2199">
        <v>482</v>
      </c>
      <c r="G2199">
        <v>18</v>
      </c>
      <c r="H2199">
        <v>25272</v>
      </c>
      <c r="I2199">
        <v>6</v>
      </c>
      <c r="J2199">
        <v>0</v>
      </c>
      <c r="K2199">
        <v>412</v>
      </c>
      <c r="L2199">
        <v>457</v>
      </c>
      <c r="M2199">
        <v>12.55555556</v>
      </c>
      <c r="N2199">
        <f>IFERROR(VLOOKUP(A2199,vlookup_table!$A:$G,2,FALSE),"")</f>
        <v>2</v>
      </c>
      <c r="O2199">
        <f>IFERROR(VLOOKUP(A2199,vlookup_table!$A:$G,4,FALSE),"")</f>
        <v>2209</v>
      </c>
      <c r="P2199" t="str">
        <f>IFERROR(VLOOKUP(A2199,vlookup_table!$A:$G,5,FALSE),"")</f>
        <v>T1</v>
      </c>
      <c r="Q2199">
        <f>IFERROR(VLOOKUP(A2199,vlookup_table!$A:$G,7,FALSE),"")</f>
        <v>10</v>
      </c>
      <c r="R2199">
        <f t="shared" si="136"/>
        <v>75</v>
      </c>
      <c r="S2199" t="str" cm="1">
        <f t="array" ref="S2199">IF(P2199="","",_xlfn.SWITCH(LEFT(P2199,1),"C","Ciudad","T","Pueblo","R","Rural","S","Suburbano","U","Urbano",""))</f>
        <v>Pueblo</v>
      </c>
      <c r="T2199" t="str">
        <f t="shared" si="137"/>
        <v>M</v>
      </c>
      <c r="U2199" t="str">
        <f t="shared" si="138"/>
        <v>AZ</v>
      </c>
      <c r="V2199" t="str">
        <f t="shared" si="139"/>
        <v>25272</v>
      </c>
    </row>
    <row r="2200" spans="1:22" x14ac:dyDescent="0.35">
      <c r="A2200">
        <v>134159</v>
      </c>
      <c r="B2200" t="s">
        <v>38</v>
      </c>
      <c r="C2200" t="s">
        <v>17</v>
      </c>
      <c r="D2200">
        <v>693</v>
      </c>
      <c r="E2200">
        <v>343</v>
      </c>
      <c r="F2200">
        <v>383</v>
      </c>
      <c r="G2200">
        <v>0</v>
      </c>
      <c r="H2200">
        <v>9139</v>
      </c>
      <c r="I2200">
        <v>2</v>
      </c>
      <c r="J2200">
        <v>81</v>
      </c>
      <c r="K2200">
        <v>357</v>
      </c>
      <c r="L2200">
        <v>367</v>
      </c>
      <c r="M2200">
        <v>20</v>
      </c>
      <c r="N2200">
        <f>IFERROR(VLOOKUP(A2200,vlookup_table!$A:$G,2,FALSE),"")</f>
        <v>0</v>
      </c>
      <c r="O2200">
        <f>IFERROR(VLOOKUP(A2200,vlookup_table!$A:$G,4,FALSE),"")</f>
        <v>0</v>
      </c>
      <c r="P2200" t="str">
        <f>IFERROR(VLOOKUP(A2200,vlookup_table!$A:$G,5,FALSE),"")</f>
        <v>T2</v>
      </c>
      <c r="Q2200">
        <f>IFERROR(VLOOKUP(A2200,vlookup_table!$A:$G,7,FALSE),"")</f>
        <v>15</v>
      </c>
      <c r="R2200">
        <f t="shared" si="136"/>
        <v>97</v>
      </c>
      <c r="S2200" t="str" cm="1">
        <f t="array" ref="S2200">IF(P2200="","",_xlfn.SWITCH(LEFT(P2200,1),"C","Ciudad","T","Pueblo","R","Rural","S","Suburbano","U","Urbano",""))</f>
        <v>Pueblo</v>
      </c>
      <c r="T2200" t="str">
        <f t="shared" si="137"/>
        <v>F</v>
      </c>
      <c r="U2200" t="str">
        <f t="shared" si="138"/>
        <v>UT</v>
      </c>
      <c r="V2200" t="str">
        <f t="shared" si="139"/>
        <v>9139</v>
      </c>
    </row>
    <row r="2201" spans="1:22" x14ac:dyDescent="0.35">
      <c r="A2201">
        <v>59746</v>
      </c>
      <c r="B2201" t="s">
        <v>33</v>
      </c>
      <c r="C2201" t="s">
        <v>17</v>
      </c>
      <c r="D2201">
        <v>537</v>
      </c>
      <c r="E2201">
        <v>341</v>
      </c>
      <c r="F2201">
        <v>428</v>
      </c>
      <c r="G2201">
        <v>1</v>
      </c>
      <c r="H2201">
        <v>13705</v>
      </c>
      <c r="I2201">
        <v>1</v>
      </c>
      <c r="J2201">
        <v>82</v>
      </c>
      <c r="K2201">
        <v>393</v>
      </c>
      <c r="L2201">
        <v>388</v>
      </c>
      <c r="M2201">
        <v>4.8484848490000001</v>
      </c>
      <c r="N2201">
        <f>IFERROR(VLOOKUP(A2201,vlookup_table!$A:$G,2,FALSE),"")</f>
        <v>2</v>
      </c>
      <c r="O2201">
        <f>IFERROR(VLOOKUP(A2201,vlookup_table!$A:$G,4,FALSE),"")</f>
        <v>0</v>
      </c>
      <c r="P2201" t="str">
        <f>IFERROR(VLOOKUP(A2201,vlookup_table!$A:$G,5,FALSE),"")</f>
        <v>T2</v>
      </c>
      <c r="Q2201">
        <f>IFERROR(VLOOKUP(A2201,vlookup_table!$A:$G,7,FALSE),"")</f>
        <v>4</v>
      </c>
      <c r="R2201">
        <f t="shared" si="136"/>
        <v>97</v>
      </c>
      <c r="S2201" t="str" cm="1">
        <f t="array" ref="S2201">IF(P2201="","",_xlfn.SWITCH(LEFT(P2201,1),"C","Ciudad","T","Pueblo","R","Rural","S","Suburbano","U","Urbano",""))</f>
        <v>Pueblo</v>
      </c>
      <c r="T2201" t="str">
        <f t="shared" si="137"/>
        <v>F</v>
      </c>
      <c r="U2201" t="str">
        <f t="shared" si="138"/>
        <v>IN</v>
      </c>
      <c r="V2201" t="str">
        <f t="shared" si="139"/>
        <v>13705</v>
      </c>
    </row>
    <row r="2202" spans="1:22" x14ac:dyDescent="0.35">
      <c r="A2202">
        <v>102953</v>
      </c>
      <c r="B2202" t="s">
        <v>36</v>
      </c>
      <c r="C2202" t="s">
        <v>17</v>
      </c>
      <c r="D2202">
        <v>652</v>
      </c>
      <c r="E2202">
        <v>236</v>
      </c>
      <c r="F2202">
        <v>372</v>
      </c>
      <c r="G2202">
        <v>5</v>
      </c>
      <c r="H2202">
        <v>13699</v>
      </c>
      <c r="I2202">
        <v>2</v>
      </c>
      <c r="J2202">
        <v>57</v>
      </c>
      <c r="K2202">
        <v>309</v>
      </c>
      <c r="L2202">
        <v>303</v>
      </c>
      <c r="M2202">
        <v>15</v>
      </c>
      <c r="N2202">
        <f>IFERROR(VLOOKUP(A2202,vlookup_table!$A:$G,2,FALSE),"")</f>
        <v>0</v>
      </c>
      <c r="O2202">
        <f>IFERROR(VLOOKUP(A2202,vlookup_table!$A:$G,4,FALSE),"")</f>
        <v>5601</v>
      </c>
      <c r="P2202" t="str">
        <f>IFERROR(VLOOKUP(A2202,vlookup_table!$A:$G,5,FALSE),"")</f>
        <v>T2</v>
      </c>
      <c r="Q2202">
        <f>IFERROR(VLOOKUP(A2202,vlookup_table!$A:$G,7,FALSE),"")</f>
        <v>21</v>
      </c>
      <c r="R2202">
        <f t="shared" si="136"/>
        <v>41</v>
      </c>
      <c r="S2202" t="str" cm="1">
        <f t="array" ref="S2202">IF(P2202="","",_xlfn.SWITCH(LEFT(P2202,1),"C","Ciudad","T","Pueblo","R","Rural","S","Suburbano","U","Urbano",""))</f>
        <v>Pueblo</v>
      </c>
      <c r="T2202" t="str">
        <f t="shared" si="137"/>
        <v>F</v>
      </c>
      <c r="U2202" t="str">
        <f t="shared" si="138"/>
        <v>MO</v>
      </c>
      <c r="V2202" t="str">
        <f t="shared" si="139"/>
        <v>13699</v>
      </c>
    </row>
    <row r="2203" spans="1:22" x14ac:dyDescent="0.35">
      <c r="A2203">
        <v>149598</v>
      </c>
      <c r="B2203" t="s">
        <v>22</v>
      </c>
      <c r="C2203" t="s">
        <v>17</v>
      </c>
      <c r="D2203">
        <v>2679</v>
      </c>
      <c r="E2203">
        <v>564</v>
      </c>
      <c r="F2203">
        <v>592</v>
      </c>
      <c r="G2203">
        <v>83</v>
      </c>
      <c r="H2203">
        <v>25475</v>
      </c>
      <c r="I2203">
        <v>16</v>
      </c>
      <c r="J2203">
        <v>44</v>
      </c>
      <c r="K2203">
        <v>600</v>
      </c>
      <c r="L2203">
        <v>595</v>
      </c>
      <c r="M2203">
        <v>8.9499999999999993</v>
      </c>
      <c r="N2203">
        <f>IFERROR(VLOOKUP(A2203,vlookup_table!$A:$G,2,FALSE),"")</f>
        <v>2</v>
      </c>
      <c r="O2203">
        <f>IFERROR(VLOOKUP(A2203,vlookup_table!$A:$G,4,FALSE),"")</f>
        <v>710</v>
      </c>
      <c r="P2203" t="str">
        <f>IFERROR(VLOOKUP(A2203,vlookup_table!$A:$G,5,FALSE),"")</f>
        <v>U1</v>
      </c>
      <c r="Q2203">
        <f>IFERROR(VLOOKUP(A2203,vlookup_table!$A:$G,7,FALSE),"")</f>
        <v>10</v>
      </c>
      <c r="R2203">
        <f t="shared" si="136"/>
        <v>90</v>
      </c>
      <c r="S2203" t="str" cm="1">
        <f t="array" ref="S2203">IF(P2203="","",_xlfn.SWITCH(LEFT(P2203,1),"C","Ciudad","T","Pueblo","R","Rural","S","Suburbano","U","Urbano",""))</f>
        <v>Urbano</v>
      </c>
      <c r="T2203" t="str">
        <f t="shared" si="137"/>
        <v>F</v>
      </c>
      <c r="U2203" t="str">
        <f t="shared" si="138"/>
        <v>CA</v>
      </c>
      <c r="V2203" t="str">
        <f t="shared" si="139"/>
        <v>25475</v>
      </c>
    </row>
    <row r="2204" spans="1:22" x14ac:dyDescent="0.35">
      <c r="A2204">
        <v>45968</v>
      </c>
      <c r="B2204" t="s">
        <v>13</v>
      </c>
      <c r="C2204" t="s">
        <v>17</v>
      </c>
      <c r="D2204">
        <v>1155</v>
      </c>
      <c r="E2204">
        <v>328</v>
      </c>
      <c r="F2204">
        <v>458</v>
      </c>
      <c r="G2204">
        <v>12</v>
      </c>
      <c r="H2204">
        <v>15451</v>
      </c>
      <c r="I2204">
        <v>2</v>
      </c>
      <c r="J2204">
        <v>35</v>
      </c>
      <c r="K2204">
        <v>399</v>
      </c>
      <c r="L2204">
        <v>399</v>
      </c>
      <c r="M2204">
        <v>12.5</v>
      </c>
      <c r="N2204">
        <f>IFERROR(VLOOKUP(A2204,vlookup_table!$A:$G,2,FALSE),"")</f>
        <v>0</v>
      </c>
      <c r="O2204">
        <f>IFERROR(VLOOKUP(A2204,vlookup_table!$A:$G,4,FALSE),"")</f>
        <v>6101</v>
      </c>
      <c r="P2204" t="str">
        <f>IFERROR(VLOOKUP(A2204,vlookup_table!$A:$G,5,FALSE),"")</f>
        <v>R2</v>
      </c>
      <c r="Q2204">
        <f>IFERROR(VLOOKUP(A2204,vlookup_table!$A:$G,7,FALSE),"")</f>
        <v>18</v>
      </c>
      <c r="R2204">
        <f t="shared" si="136"/>
        <v>36</v>
      </c>
      <c r="S2204" t="str" cm="1">
        <f t="array" ref="S2204">IF(P2204="","",_xlfn.SWITCH(LEFT(P2204,1),"C","Ciudad","T","Pueblo","R","Rural","S","Suburbano","U","Urbano",""))</f>
        <v>Rural</v>
      </c>
      <c r="T2204" t="str">
        <f t="shared" si="137"/>
        <v>F</v>
      </c>
      <c r="U2204" t="str">
        <f t="shared" si="138"/>
        <v>FL</v>
      </c>
      <c r="V2204" t="str">
        <f t="shared" si="139"/>
        <v>15451</v>
      </c>
    </row>
    <row r="2205" spans="1:22" x14ac:dyDescent="0.35">
      <c r="A2205">
        <v>94486</v>
      </c>
      <c r="B2205" t="s">
        <v>16</v>
      </c>
      <c r="C2205" t="s">
        <v>14</v>
      </c>
      <c r="D2205">
        <v>1358</v>
      </c>
      <c r="E2205">
        <v>447</v>
      </c>
      <c r="F2205">
        <v>501</v>
      </c>
      <c r="G2205">
        <v>3</v>
      </c>
      <c r="H2205">
        <v>18607</v>
      </c>
      <c r="I2205">
        <v>25</v>
      </c>
      <c r="J2205">
        <v>61</v>
      </c>
      <c r="K2205">
        <v>481</v>
      </c>
      <c r="L2205">
        <v>470</v>
      </c>
      <c r="M2205">
        <v>7.5454545450000001</v>
      </c>
      <c r="N2205">
        <f>IFERROR(VLOOKUP(A2205,vlookup_table!$A:$G,2,FALSE),"")</f>
        <v>1</v>
      </c>
      <c r="O2205">
        <f>IFERROR(VLOOKUP(A2205,vlookup_table!$A:$G,4,FALSE),"")</f>
        <v>1501</v>
      </c>
      <c r="P2205" t="str">
        <f>IFERROR(VLOOKUP(A2205,vlookup_table!$A:$G,5,FALSE),"")</f>
        <v>U1</v>
      </c>
      <c r="Q2205">
        <f>IFERROR(VLOOKUP(A2205,vlookup_table!$A:$G,7,FALSE),"")</f>
        <v>6</v>
      </c>
      <c r="R2205">
        <f t="shared" si="136"/>
        <v>82</v>
      </c>
      <c r="S2205" t="str" cm="1">
        <f t="array" ref="S2205">IF(P2205="","",_xlfn.SWITCH(LEFT(P2205,1),"C","Ciudad","T","Pueblo","R","Rural","S","Suburbano","U","Urbano",""))</f>
        <v>Urbano</v>
      </c>
      <c r="T2205" t="str">
        <f t="shared" si="137"/>
        <v>M</v>
      </c>
      <c r="U2205" t="str">
        <f t="shared" si="138"/>
        <v>IL</v>
      </c>
      <c r="V2205" t="str">
        <f t="shared" si="139"/>
        <v>18607</v>
      </c>
    </row>
    <row r="2206" spans="1:22" x14ac:dyDescent="0.35">
      <c r="A2206">
        <v>165641</v>
      </c>
      <c r="B2206" t="s">
        <v>22</v>
      </c>
      <c r="C2206" t="s">
        <v>17</v>
      </c>
      <c r="D2206">
        <v>2192</v>
      </c>
      <c r="E2206">
        <v>364</v>
      </c>
      <c r="F2206">
        <v>487</v>
      </c>
      <c r="G2206">
        <v>68</v>
      </c>
      <c r="H2206">
        <v>17677</v>
      </c>
      <c r="I2206">
        <v>14</v>
      </c>
      <c r="J2206">
        <v>62</v>
      </c>
      <c r="K2206">
        <v>425</v>
      </c>
      <c r="L2206">
        <v>407</v>
      </c>
      <c r="M2206">
        <v>3.7777777779999999</v>
      </c>
      <c r="N2206">
        <f>IFERROR(VLOOKUP(A2206,vlookup_table!$A:$G,2,FALSE),"")</f>
        <v>2</v>
      </c>
      <c r="O2206">
        <f>IFERROR(VLOOKUP(A2206,vlookup_table!$A:$G,4,FALSE),"")</f>
        <v>2501</v>
      </c>
      <c r="P2206" t="str">
        <f>IFERROR(VLOOKUP(A2206,vlookup_table!$A:$G,5,FALSE),"")</f>
        <v>U1</v>
      </c>
      <c r="Q2206">
        <f>IFERROR(VLOOKUP(A2206,vlookup_table!$A:$G,7,FALSE),"")</f>
        <v>4</v>
      </c>
      <c r="R2206">
        <f t="shared" si="136"/>
        <v>72</v>
      </c>
      <c r="S2206" t="str" cm="1">
        <f t="array" ref="S2206">IF(P2206="","",_xlfn.SWITCH(LEFT(P2206,1),"C","Ciudad","T","Pueblo","R","Rural","S","Suburbano","U","Urbano",""))</f>
        <v>Urbano</v>
      </c>
      <c r="T2206" t="str">
        <f t="shared" si="137"/>
        <v>F</v>
      </c>
      <c r="U2206" t="str">
        <f t="shared" si="138"/>
        <v>CA</v>
      </c>
      <c r="V2206" t="str">
        <f t="shared" si="139"/>
        <v>17677</v>
      </c>
    </row>
    <row r="2207" spans="1:22" x14ac:dyDescent="0.35">
      <c r="A2207">
        <v>19779</v>
      </c>
      <c r="B2207" t="s">
        <v>18</v>
      </c>
      <c r="C2207" t="s">
        <v>14</v>
      </c>
      <c r="D2207">
        <v>1285</v>
      </c>
      <c r="E2207">
        <v>608</v>
      </c>
      <c r="F2207">
        <v>676</v>
      </c>
      <c r="G2207">
        <v>11</v>
      </c>
      <c r="H2207">
        <v>23458</v>
      </c>
      <c r="I2207">
        <v>3</v>
      </c>
      <c r="J2207">
        <v>41</v>
      </c>
      <c r="K2207">
        <v>636</v>
      </c>
      <c r="L2207">
        <v>640</v>
      </c>
      <c r="M2207">
        <v>17.625</v>
      </c>
      <c r="N2207">
        <f>IFERROR(VLOOKUP(A2207,vlookup_table!$A:$G,2,FALSE),"")</f>
        <v>1</v>
      </c>
      <c r="O2207">
        <f>IFERROR(VLOOKUP(A2207,vlookup_table!$A:$G,4,FALSE),"")</f>
        <v>4301</v>
      </c>
      <c r="P2207" t="str">
        <f>IFERROR(VLOOKUP(A2207,vlookup_table!$A:$G,5,FALSE),"")</f>
        <v>S1</v>
      </c>
      <c r="Q2207">
        <f>IFERROR(VLOOKUP(A2207,vlookup_table!$A:$G,7,FALSE),"")</f>
        <v>15</v>
      </c>
      <c r="R2207">
        <f t="shared" si="136"/>
        <v>54</v>
      </c>
      <c r="S2207" t="str" cm="1">
        <f t="array" ref="S2207">IF(P2207="","",_xlfn.SWITCH(LEFT(P2207,1),"C","Ciudad","T","Pueblo","R","Rural","S","Suburbano","U","Urbano",""))</f>
        <v>Suburbano</v>
      </c>
      <c r="T2207" t="str">
        <f t="shared" si="137"/>
        <v>M</v>
      </c>
      <c r="U2207" t="str">
        <f t="shared" si="138"/>
        <v>NC</v>
      </c>
      <c r="V2207" t="str">
        <f t="shared" si="139"/>
        <v>23458</v>
      </c>
    </row>
    <row r="2208" spans="1:22" x14ac:dyDescent="0.35">
      <c r="A2208">
        <v>1249</v>
      </c>
      <c r="B2208" t="s">
        <v>16</v>
      </c>
      <c r="C2208" t="s">
        <v>14</v>
      </c>
      <c r="D2208">
        <v>1435</v>
      </c>
      <c r="E2208">
        <v>423</v>
      </c>
      <c r="F2208">
        <v>517</v>
      </c>
      <c r="G2208">
        <v>6</v>
      </c>
      <c r="H2208">
        <v>18160</v>
      </c>
      <c r="I2208">
        <v>10</v>
      </c>
      <c r="J2208">
        <v>78</v>
      </c>
      <c r="K2208">
        <v>473</v>
      </c>
      <c r="L2208">
        <v>485</v>
      </c>
      <c r="M2208">
        <v>9.384615385</v>
      </c>
      <c r="N2208">
        <f>IFERROR(VLOOKUP(A2208,vlookup_table!$A:$G,2,FALSE),"")</f>
        <v>1</v>
      </c>
      <c r="O2208">
        <f>IFERROR(VLOOKUP(A2208,vlookup_table!$A:$G,4,FALSE),"")</f>
        <v>0</v>
      </c>
      <c r="P2208" t="str">
        <f>IFERROR(VLOOKUP(A2208,vlookup_table!$A:$G,5,FALSE),"")</f>
        <v>S2</v>
      </c>
      <c r="Q2208">
        <f>IFERROR(VLOOKUP(A2208,vlookup_table!$A:$G,7,FALSE),"")</f>
        <v>32</v>
      </c>
      <c r="R2208">
        <f t="shared" si="136"/>
        <v>97</v>
      </c>
      <c r="S2208" t="str" cm="1">
        <f t="array" ref="S2208">IF(P2208="","",_xlfn.SWITCH(LEFT(P2208,1),"C","Ciudad","T","Pueblo","R","Rural","S","Suburbano","U","Urbano",""))</f>
        <v>Suburbano</v>
      </c>
      <c r="T2208" t="str">
        <f t="shared" si="137"/>
        <v>M</v>
      </c>
      <c r="U2208" t="str">
        <f t="shared" si="138"/>
        <v>IL</v>
      </c>
      <c r="V2208" t="str">
        <f t="shared" si="139"/>
        <v>18160</v>
      </c>
    </row>
    <row r="2209" spans="1:22" x14ac:dyDescent="0.35">
      <c r="A2209">
        <v>57119</v>
      </c>
      <c r="B2209" t="s">
        <v>57</v>
      </c>
      <c r="C2209" t="s">
        <v>14</v>
      </c>
      <c r="D2209">
        <v>556</v>
      </c>
      <c r="E2209">
        <v>247</v>
      </c>
      <c r="F2209">
        <v>322</v>
      </c>
      <c r="G2209">
        <v>0</v>
      </c>
      <c r="H2209">
        <v>10031</v>
      </c>
      <c r="I2209">
        <v>1</v>
      </c>
      <c r="J2209">
        <v>82</v>
      </c>
      <c r="K2209">
        <v>288</v>
      </c>
      <c r="L2209">
        <v>274</v>
      </c>
      <c r="M2209">
        <v>10.545454550000001</v>
      </c>
      <c r="N2209">
        <f>IFERROR(VLOOKUP(A2209,vlookup_table!$A:$G,2,FALSE),"")</f>
        <v>2</v>
      </c>
      <c r="O2209">
        <f>IFERROR(VLOOKUP(A2209,vlookup_table!$A:$G,4,FALSE),"")</f>
        <v>2111</v>
      </c>
      <c r="P2209" t="str">
        <f>IFERROR(VLOOKUP(A2209,vlookup_table!$A:$G,5,FALSE),"")</f>
        <v>T2</v>
      </c>
      <c r="Q2209">
        <f>IFERROR(VLOOKUP(A2209,vlookup_table!$A:$G,7,FALSE),"")</f>
        <v>20</v>
      </c>
      <c r="R2209">
        <f t="shared" si="136"/>
        <v>76</v>
      </c>
      <c r="S2209" t="str" cm="1">
        <f t="array" ref="S2209">IF(P2209="","",_xlfn.SWITCH(LEFT(P2209,1),"C","Ciudad","T","Pueblo","R","Rural","S","Suburbano","U","Urbano",""))</f>
        <v>Pueblo</v>
      </c>
      <c r="T2209" t="str">
        <f t="shared" si="137"/>
        <v>M</v>
      </c>
      <c r="U2209" t="str">
        <f t="shared" si="138"/>
        <v>KY</v>
      </c>
      <c r="V2209" t="str">
        <f t="shared" si="139"/>
        <v>10031</v>
      </c>
    </row>
    <row r="2210" spans="1:22" x14ac:dyDescent="0.35">
      <c r="A2210">
        <v>158615</v>
      </c>
      <c r="B2210" t="s">
        <v>22</v>
      </c>
      <c r="C2210" t="s">
        <v>17</v>
      </c>
      <c r="D2210">
        <v>2875</v>
      </c>
      <c r="E2210">
        <v>290</v>
      </c>
      <c r="F2210">
        <v>442</v>
      </c>
      <c r="G2210">
        <v>75</v>
      </c>
      <c r="H2210">
        <v>24936</v>
      </c>
      <c r="I2210">
        <v>14</v>
      </c>
      <c r="J2210">
        <v>34</v>
      </c>
      <c r="K2210">
        <v>374</v>
      </c>
      <c r="L2210">
        <v>347</v>
      </c>
      <c r="M2210">
        <v>10</v>
      </c>
      <c r="N2210">
        <f>IFERROR(VLOOKUP(A2210,vlookup_table!$A:$G,2,FALSE),"")</f>
        <v>0</v>
      </c>
      <c r="O2210">
        <f>IFERROR(VLOOKUP(A2210,vlookup_table!$A:$G,4,FALSE),"")</f>
        <v>2601</v>
      </c>
      <c r="P2210" t="str">
        <f>IFERROR(VLOOKUP(A2210,vlookup_table!$A:$G,5,FALSE),"")</f>
        <v>S1</v>
      </c>
      <c r="Q2210">
        <f>IFERROR(VLOOKUP(A2210,vlookup_table!$A:$G,7,FALSE),"")</f>
        <v>15</v>
      </c>
      <c r="R2210">
        <f t="shared" si="136"/>
        <v>71</v>
      </c>
      <c r="S2210" t="str" cm="1">
        <f t="array" ref="S2210">IF(P2210="","",_xlfn.SWITCH(LEFT(P2210,1),"C","Ciudad","T","Pueblo","R","Rural","S","Suburbano","U","Urbano",""))</f>
        <v>Suburbano</v>
      </c>
      <c r="T2210" t="str">
        <f t="shared" si="137"/>
        <v>F</v>
      </c>
      <c r="U2210" t="str">
        <f t="shared" si="138"/>
        <v>CA</v>
      </c>
      <c r="V2210" t="str">
        <f t="shared" si="139"/>
        <v>24936</v>
      </c>
    </row>
    <row r="2211" spans="1:22" x14ac:dyDescent="0.35">
      <c r="A2211">
        <v>153353</v>
      </c>
      <c r="B2211" t="s">
        <v>22</v>
      </c>
      <c r="C2211" t="s">
        <v>17</v>
      </c>
      <c r="D2211">
        <v>885</v>
      </c>
      <c r="E2211">
        <v>207</v>
      </c>
      <c r="F2211">
        <v>220</v>
      </c>
      <c r="G2211">
        <v>1</v>
      </c>
      <c r="H2211">
        <v>6142</v>
      </c>
      <c r="I2211">
        <v>35</v>
      </c>
      <c r="J2211">
        <v>47</v>
      </c>
      <c r="K2211">
        <v>171</v>
      </c>
      <c r="L2211">
        <v>263</v>
      </c>
      <c r="M2211">
        <v>18.2</v>
      </c>
      <c r="N2211">
        <f>IFERROR(VLOOKUP(A2211,vlookup_table!$A:$G,2,FALSE),"")</f>
        <v>2</v>
      </c>
      <c r="O2211">
        <f>IFERROR(VLOOKUP(A2211,vlookup_table!$A:$G,4,FALSE),"")</f>
        <v>2710</v>
      </c>
      <c r="P2211" t="str">
        <f>IFERROR(VLOOKUP(A2211,vlookup_table!$A:$G,5,FALSE),"")</f>
        <v>U4</v>
      </c>
      <c r="Q2211">
        <f>IFERROR(VLOOKUP(A2211,vlookup_table!$A:$G,7,FALSE),"")</f>
        <v>27</v>
      </c>
      <c r="R2211">
        <f t="shared" si="136"/>
        <v>70</v>
      </c>
      <c r="S2211" t="str" cm="1">
        <f t="array" ref="S2211">IF(P2211="","",_xlfn.SWITCH(LEFT(P2211,1),"C","Ciudad","T","Pueblo","R","Rural","S","Suburbano","U","Urbano",""))</f>
        <v>Urbano</v>
      </c>
      <c r="T2211" t="str">
        <f t="shared" si="137"/>
        <v>F</v>
      </c>
      <c r="U2211" t="str">
        <f t="shared" si="138"/>
        <v>CA</v>
      </c>
      <c r="V2211" t="str">
        <f t="shared" si="139"/>
        <v>6142</v>
      </c>
    </row>
    <row r="2212" spans="1:22" x14ac:dyDescent="0.35">
      <c r="A2212">
        <v>42686</v>
      </c>
      <c r="B2212" t="s">
        <v>13</v>
      </c>
      <c r="C2212" t="s">
        <v>17</v>
      </c>
      <c r="D2212">
        <v>824</v>
      </c>
      <c r="E2212">
        <v>263</v>
      </c>
      <c r="F2212">
        <v>352</v>
      </c>
      <c r="G2212">
        <v>3</v>
      </c>
      <c r="H2212">
        <v>13532</v>
      </c>
      <c r="I2212">
        <v>8</v>
      </c>
      <c r="J2212">
        <v>13</v>
      </c>
      <c r="K2212">
        <v>289</v>
      </c>
      <c r="L2212">
        <v>313</v>
      </c>
      <c r="M2212">
        <v>20</v>
      </c>
      <c r="N2212">
        <f>IFERROR(VLOOKUP(A2212,vlookup_table!$A:$G,2,FALSE),"")</f>
        <v>0</v>
      </c>
      <c r="O2212">
        <f>IFERROR(VLOOKUP(A2212,vlookup_table!$A:$G,4,FALSE),"")</f>
        <v>0</v>
      </c>
      <c r="P2212" t="str">
        <f>IFERROR(VLOOKUP(A2212,vlookup_table!$A:$G,5,FALSE),"")</f>
        <v>C2</v>
      </c>
      <c r="Q2212">
        <f>IFERROR(VLOOKUP(A2212,vlookup_table!$A:$G,7,FALSE),"")</f>
        <v>20</v>
      </c>
      <c r="R2212">
        <f t="shared" si="136"/>
        <v>97</v>
      </c>
      <c r="S2212" t="str" cm="1">
        <f t="array" ref="S2212">IF(P2212="","",_xlfn.SWITCH(LEFT(P2212,1),"C","Ciudad","T","Pueblo","R","Rural","S","Suburbano","U","Urbano",""))</f>
        <v>Ciudad</v>
      </c>
      <c r="T2212" t="str">
        <f t="shared" si="137"/>
        <v>F</v>
      </c>
      <c r="U2212" t="str">
        <f t="shared" si="138"/>
        <v>FL</v>
      </c>
      <c r="V2212" t="str">
        <f t="shared" si="139"/>
        <v>13532</v>
      </c>
    </row>
    <row r="2213" spans="1:22" x14ac:dyDescent="0.35">
      <c r="A2213">
        <v>71744</v>
      </c>
      <c r="B2213" t="s">
        <v>29</v>
      </c>
      <c r="C2213" t="s">
        <v>14</v>
      </c>
      <c r="D2213">
        <v>727</v>
      </c>
      <c r="E2213">
        <v>148</v>
      </c>
      <c r="F2213">
        <v>463</v>
      </c>
      <c r="G2213">
        <v>2</v>
      </c>
      <c r="H2213">
        <v>18187</v>
      </c>
      <c r="I2213">
        <v>5</v>
      </c>
      <c r="J2213">
        <v>63</v>
      </c>
      <c r="K2213">
        <v>383</v>
      </c>
      <c r="L2213">
        <v>260</v>
      </c>
      <c r="M2213">
        <v>17</v>
      </c>
      <c r="N2213">
        <f>IFERROR(VLOOKUP(A2213,vlookup_table!$A:$G,2,FALSE),"")</f>
        <v>1</v>
      </c>
      <c r="O2213">
        <f>IFERROR(VLOOKUP(A2213,vlookup_table!$A:$G,4,FALSE),"")</f>
        <v>1104</v>
      </c>
      <c r="P2213" t="str">
        <f>IFERROR(VLOOKUP(A2213,vlookup_table!$A:$G,5,FALSE),"")</f>
        <v>C2</v>
      </c>
      <c r="Q2213">
        <f>IFERROR(VLOOKUP(A2213,vlookup_table!$A:$G,7,FALSE),"")</f>
        <v>36</v>
      </c>
      <c r="R2213">
        <f t="shared" si="136"/>
        <v>86</v>
      </c>
      <c r="S2213" t="str" cm="1">
        <f t="array" ref="S2213">IF(P2213="","",_xlfn.SWITCH(LEFT(P2213,1),"C","Ciudad","T","Pueblo","R","Rural","S","Suburbano","U","Urbano",""))</f>
        <v>Ciudad</v>
      </c>
      <c r="T2213" t="str">
        <f t="shared" si="137"/>
        <v>M</v>
      </c>
      <c r="U2213" t="str">
        <f t="shared" si="138"/>
        <v>MI</v>
      </c>
      <c r="V2213" t="str">
        <f t="shared" si="139"/>
        <v>18187</v>
      </c>
    </row>
    <row r="2214" spans="1:22" x14ac:dyDescent="0.35">
      <c r="A2214">
        <v>116608</v>
      </c>
      <c r="B2214" t="s">
        <v>21</v>
      </c>
      <c r="C2214" t="s">
        <v>17</v>
      </c>
      <c r="D2214">
        <v>570</v>
      </c>
      <c r="E2214">
        <v>226</v>
      </c>
      <c r="F2214">
        <v>301</v>
      </c>
      <c r="G2214">
        <v>2</v>
      </c>
      <c r="H2214">
        <v>10637</v>
      </c>
      <c r="I2214">
        <v>1</v>
      </c>
      <c r="J2214">
        <v>76</v>
      </c>
      <c r="K2214">
        <v>249</v>
      </c>
      <c r="L2214">
        <v>276</v>
      </c>
      <c r="M2214">
        <v>10.0625</v>
      </c>
      <c r="N2214">
        <f>IFERROR(VLOOKUP(A2214,vlookup_table!$A:$G,2,FALSE),"")</f>
        <v>2</v>
      </c>
      <c r="O2214">
        <f>IFERROR(VLOOKUP(A2214,vlookup_table!$A:$G,4,FALSE),"")</f>
        <v>2201</v>
      </c>
      <c r="P2214" t="str">
        <f>IFERROR(VLOOKUP(A2214,vlookup_table!$A:$G,5,FALSE),"")</f>
        <v>R2</v>
      </c>
      <c r="Q2214">
        <f>IFERROR(VLOOKUP(A2214,vlookup_table!$A:$G,7,FALSE),"")</f>
        <v>25</v>
      </c>
      <c r="R2214">
        <f t="shared" si="136"/>
        <v>75</v>
      </c>
      <c r="S2214" t="str" cm="1">
        <f t="array" ref="S2214">IF(P2214="","",_xlfn.SWITCH(LEFT(P2214,1),"C","Ciudad","T","Pueblo","R","Rural","S","Suburbano","U","Urbano",""))</f>
        <v>Rural</v>
      </c>
      <c r="T2214" t="str">
        <f t="shared" si="137"/>
        <v>F</v>
      </c>
      <c r="U2214" t="str">
        <f t="shared" si="138"/>
        <v>TX</v>
      </c>
      <c r="V2214" t="str">
        <f t="shared" si="139"/>
        <v>10637</v>
      </c>
    </row>
    <row r="2215" spans="1:22" x14ac:dyDescent="0.35">
      <c r="A2215">
        <v>176138</v>
      </c>
      <c r="B2215" t="s">
        <v>50</v>
      </c>
      <c r="C2215" t="s">
        <v>14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8.3125</v>
      </c>
      <c r="N2215">
        <f>IFERROR(VLOOKUP(A2215,vlookup_table!$A:$G,2,FALSE),"")</f>
        <v>2</v>
      </c>
      <c r="O2215">
        <f>IFERROR(VLOOKUP(A2215,vlookup_table!$A:$G,4,FALSE),"")</f>
        <v>0</v>
      </c>
      <c r="P2215" t="str">
        <f>IFERROR(VLOOKUP(A2215,vlookup_table!$A:$G,5,FALSE),"")</f>
        <v>C2</v>
      </c>
      <c r="Q2215">
        <f>IFERROR(VLOOKUP(A2215,vlookup_table!$A:$G,7,FALSE),"")</f>
        <v>10</v>
      </c>
      <c r="R2215">
        <f t="shared" si="136"/>
        <v>97</v>
      </c>
      <c r="S2215" t="str" cm="1">
        <f t="array" ref="S2215">IF(P2215="","",_xlfn.SWITCH(LEFT(P2215,1),"C","Ciudad","T","Pueblo","R","Rural","S","Suburbano","U","Urbano",""))</f>
        <v>Ciudad</v>
      </c>
      <c r="T2215" t="str">
        <f t="shared" si="137"/>
        <v>M</v>
      </c>
      <c r="U2215" t="str">
        <f t="shared" si="138"/>
        <v>OR</v>
      </c>
      <c r="V2215" t="str">
        <f t="shared" si="139"/>
        <v>0</v>
      </c>
    </row>
    <row r="2216" spans="1:22" x14ac:dyDescent="0.35">
      <c r="A2216">
        <v>190789</v>
      </c>
      <c r="B2216" t="s">
        <v>29</v>
      </c>
      <c r="C2216" t="s">
        <v>14</v>
      </c>
      <c r="D2216">
        <v>1770</v>
      </c>
      <c r="E2216">
        <v>712</v>
      </c>
      <c r="F2216">
        <v>730</v>
      </c>
      <c r="G2216">
        <v>15</v>
      </c>
      <c r="H2216">
        <v>24238</v>
      </c>
      <c r="I2216">
        <v>10</v>
      </c>
      <c r="J2216">
        <v>79</v>
      </c>
      <c r="K2216">
        <v>720</v>
      </c>
      <c r="L2216">
        <v>713</v>
      </c>
      <c r="M2216">
        <v>12</v>
      </c>
      <c r="N2216">
        <f>IFERROR(VLOOKUP(A2216,vlookup_table!$A:$G,2,FALSE),"")</f>
        <v>0</v>
      </c>
      <c r="O2216">
        <f>IFERROR(VLOOKUP(A2216,vlookup_table!$A:$G,4,FALSE),"")</f>
        <v>1707</v>
      </c>
      <c r="P2216" t="str">
        <f>IFERROR(VLOOKUP(A2216,vlookup_table!$A:$G,5,FALSE),"")</f>
        <v>S1</v>
      </c>
      <c r="Q2216">
        <f>IFERROR(VLOOKUP(A2216,vlookup_table!$A:$G,7,FALSE),"")</f>
        <v>18</v>
      </c>
      <c r="R2216">
        <f t="shared" si="136"/>
        <v>80</v>
      </c>
      <c r="S2216" t="str" cm="1">
        <f t="array" ref="S2216">IF(P2216="","",_xlfn.SWITCH(LEFT(P2216,1),"C","Ciudad","T","Pueblo","R","Rural","S","Suburbano","U","Urbano",""))</f>
        <v>Suburbano</v>
      </c>
      <c r="T2216" t="str">
        <f t="shared" si="137"/>
        <v>M</v>
      </c>
      <c r="U2216" t="str">
        <f t="shared" si="138"/>
        <v>MI</v>
      </c>
      <c r="V2216" t="str">
        <f t="shared" si="139"/>
        <v>24238</v>
      </c>
    </row>
    <row r="2217" spans="1:22" x14ac:dyDescent="0.35">
      <c r="A2217">
        <v>109450</v>
      </c>
      <c r="B2217" t="s">
        <v>49</v>
      </c>
      <c r="C2217" t="s">
        <v>17</v>
      </c>
      <c r="D2217">
        <v>590</v>
      </c>
      <c r="E2217">
        <v>252</v>
      </c>
      <c r="F2217">
        <v>329</v>
      </c>
      <c r="G2217">
        <v>0</v>
      </c>
      <c r="H2217">
        <v>11072</v>
      </c>
      <c r="I2217">
        <v>0</v>
      </c>
      <c r="J2217">
        <v>77</v>
      </c>
      <c r="K2217">
        <v>282</v>
      </c>
      <c r="L2217">
        <v>309</v>
      </c>
      <c r="M2217">
        <v>7.5454545450000001</v>
      </c>
      <c r="N2217">
        <f>IFERROR(VLOOKUP(A2217,vlookup_table!$A:$G,2,FALSE),"")</f>
        <v>2</v>
      </c>
      <c r="O2217">
        <f>IFERROR(VLOOKUP(A2217,vlookup_table!$A:$G,4,FALSE),"")</f>
        <v>2501</v>
      </c>
      <c r="P2217" t="str">
        <f>IFERROR(VLOOKUP(A2217,vlookup_table!$A:$G,5,FALSE),"")</f>
        <v>T2</v>
      </c>
      <c r="Q2217">
        <f>IFERROR(VLOOKUP(A2217,vlookup_table!$A:$G,7,FALSE),"")</f>
        <v>11</v>
      </c>
      <c r="R2217">
        <f t="shared" si="136"/>
        <v>72</v>
      </c>
      <c r="S2217" t="str" cm="1">
        <f t="array" ref="S2217">IF(P2217="","",_xlfn.SWITCH(LEFT(P2217,1),"C","Ciudad","T","Pueblo","R","Rural","S","Suburbano","U","Urbano",""))</f>
        <v>Pueblo</v>
      </c>
      <c r="T2217" t="str">
        <f t="shared" si="137"/>
        <v>F</v>
      </c>
      <c r="U2217" t="str">
        <f t="shared" si="138"/>
        <v>LA</v>
      </c>
      <c r="V2217" t="str">
        <f t="shared" si="139"/>
        <v>11072</v>
      </c>
    </row>
    <row r="2218" spans="1:22" x14ac:dyDescent="0.35">
      <c r="A2218">
        <v>102741</v>
      </c>
      <c r="B2218" t="s">
        <v>36</v>
      </c>
      <c r="C2218" t="s">
        <v>17</v>
      </c>
      <c r="D2218">
        <v>238</v>
      </c>
      <c r="E2218">
        <v>176</v>
      </c>
      <c r="F2218">
        <v>287</v>
      </c>
      <c r="G2218">
        <v>0</v>
      </c>
      <c r="H2218">
        <v>10253</v>
      </c>
      <c r="I2218">
        <v>0</v>
      </c>
      <c r="J2218">
        <v>82</v>
      </c>
      <c r="K2218">
        <v>225</v>
      </c>
      <c r="L2218">
        <v>233</v>
      </c>
      <c r="M2218">
        <v>14.42857143</v>
      </c>
      <c r="N2218">
        <f>IFERROR(VLOOKUP(A2218,vlookup_table!$A:$G,2,FALSE),"")</f>
        <v>0</v>
      </c>
      <c r="O2218">
        <f>IFERROR(VLOOKUP(A2218,vlookup_table!$A:$G,4,FALSE),"")</f>
        <v>2201</v>
      </c>
      <c r="P2218" t="str">
        <f>IFERROR(VLOOKUP(A2218,vlookup_table!$A:$G,5,FALSE),"")</f>
        <v>R2</v>
      </c>
      <c r="Q2218">
        <f>IFERROR(VLOOKUP(A2218,vlookup_table!$A:$G,7,FALSE),"")</f>
        <v>20</v>
      </c>
      <c r="R2218">
        <f t="shared" si="136"/>
        <v>75</v>
      </c>
      <c r="S2218" t="str" cm="1">
        <f t="array" ref="S2218">IF(P2218="","",_xlfn.SWITCH(LEFT(P2218,1),"C","Ciudad","T","Pueblo","R","Rural","S","Suburbano","U","Urbano",""))</f>
        <v>Rural</v>
      </c>
      <c r="T2218" t="str">
        <f t="shared" si="137"/>
        <v>F</v>
      </c>
      <c r="U2218" t="str">
        <f t="shared" si="138"/>
        <v>MO</v>
      </c>
      <c r="V2218" t="str">
        <f t="shared" si="139"/>
        <v>10253</v>
      </c>
    </row>
    <row r="2219" spans="1:22" x14ac:dyDescent="0.35">
      <c r="A2219">
        <v>59598</v>
      </c>
      <c r="B2219" t="s">
        <v>33</v>
      </c>
      <c r="C2219" t="s">
        <v>14</v>
      </c>
      <c r="D2219">
        <v>521</v>
      </c>
      <c r="E2219">
        <v>252</v>
      </c>
      <c r="F2219">
        <v>343</v>
      </c>
      <c r="G2219">
        <v>0</v>
      </c>
      <c r="H2219">
        <v>10057</v>
      </c>
      <c r="I2219">
        <v>2</v>
      </c>
      <c r="J2219">
        <v>71</v>
      </c>
      <c r="K2219">
        <v>297</v>
      </c>
      <c r="L2219">
        <v>293</v>
      </c>
      <c r="M2219">
        <v>18.18181818</v>
      </c>
      <c r="N2219">
        <f>IFERROR(VLOOKUP(A2219,vlookup_table!$A:$G,2,FALSE),"")</f>
        <v>2</v>
      </c>
      <c r="O2219">
        <f>IFERROR(VLOOKUP(A2219,vlookup_table!$A:$G,4,FALSE),"")</f>
        <v>0</v>
      </c>
      <c r="P2219" t="str">
        <f>IFERROR(VLOOKUP(A2219,vlookup_table!$A:$G,5,FALSE),"")</f>
        <v>T2</v>
      </c>
      <c r="Q2219">
        <f>IFERROR(VLOOKUP(A2219,vlookup_table!$A:$G,7,FALSE),"")</f>
        <v>15</v>
      </c>
      <c r="R2219">
        <f t="shared" si="136"/>
        <v>97</v>
      </c>
      <c r="S2219" t="str" cm="1">
        <f t="array" ref="S2219">IF(P2219="","",_xlfn.SWITCH(LEFT(P2219,1),"C","Ciudad","T","Pueblo","R","Rural","S","Suburbano","U","Urbano",""))</f>
        <v>Pueblo</v>
      </c>
      <c r="T2219" t="str">
        <f t="shared" si="137"/>
        <v>M</v>
      </c>
      <c r="U2219" t="str">
        <f t="shared" si="138"/>
        <v>IN</v>
      </c>
      <c r="V2219" t="str">
        <f t="shared" si="139"/>
        <v>10057</v>
      </c>
    </row>
    <row r="2220" spans="1:22" x14ac:dyDescent="0.35">
      <c r="A2220">
        <v>157481</v>
      </c>
      <c r="B2220" t="s">
        <v>22</v>
      </c>
      <c r="D2220">
        <v>2439</v>
      </c>
      <c r="E2220">
        <v>521</v>
      </c>
      <c r="F2220">
        <v>619</v>
      </c>
      <c r="G2220">
        <v>68</v>
      </c>
      <c r="H2220">
        <v>21808</v>
      </c>
      <c r="I2220">
        <v>17</v>
      </c>
      <c r="J2220">
        <v>48</v>
      </c>
      <c r="K2220">
        <v>572</v>
      </c>
      <c r="L2220">
        <v>574</v>
      </c>
      <c r="M2220">
        <v>17</v>
      </c>
      <c r="N2220">
        <f>IFERROR(VLOOKUP(A2220,vlookup_table!$A:$G,2,FALSE),"")</f>
        <v>0</v>
      </c>
      <c r="O2220">
        <f>IFERROR(VLOOKUP(A2220,vlookup_table!$A:$G,4,FALSE),"")</f>
        <v>5201</v>
      </c>
      <c r="P2220" t="str">
        <f>IFERROR(VLOOKUP(A2220,vlookup_table!$A:$G,5,FALSE),"")</f>
        <v>S1</v>
      </c>
      <c r="Q2220">
        <f>IFERROR(VLOOKUP(A2220,vlookup_table!$A:$G,7,FALSE),"")</f>
        <v>19</v>
      </c>
      <c r="R2220">
        <f t="shared" si="136"/>
        <v>45</v>
      </c>
      <c r="S2220" t="str" cm="1">
        <f t="array" ref="S2220">IF(P2220="","",_xlfn.SWITCH(LEFT(P2220,1),"C","Ciudad","T","Pueblo","R","Rural","S","Suburbano","U","Urbano",""))</f>
        <v>Suburbano</v>
      </c>
      <c r="T2220" t="str">
        <f t="shared" si="137"/>
        <v/>
      </c>
      <c r="U2220" t="str">
        <f t="shared" si="138"/>
        <v>CA</v>
      </c>
      <c r="V2220" t="str">
        <f t="shared" si="139"/>
        <v>21808</v>
      </c>
    </row>
    <row r="2221" spans="1:22" x14ac:dyDescent="0.35">
      <c r="A2221">
        <v>21922</v>
      </c>
      <c r="B2221" t="s">
        <v>18</v>
      </c>
      <c r="C2221" t="s">
        <v>20</v>
      </c>
      <c r="D2221">
        <v>844</v>
      </c>
      <c r="E2221">
        <v>263</v>
      </c>
      <c r="F2221">
        <v>352</v>
      </c>
      <c r="G2221">
        <v>21</v>
      </c>
      <c r="H2221">
        <v>12936</v>
      </c>
      <c r="I2221">
        <v>0</v>
      </c>
      <c r="J2221">
        <v>55</v>
      </c>
      <c r="K2221">
        <v>286</v>
      </c>
      <c r="L2221">
        <v>323</v>
      </c>
      <c r="M2221">
        <v>15.53571429</v>
      </c>
      <c r="N2221">
        <f>IFERROR(VLOOKUP(A2221,vlookup_table!$A:$G,2,FALSE),"")</f>
        <v>0</v>
      </c>
      <c r="O2221">
        <f>IFERROR(VLOOKUP(A2221,vlookup_table!$A:$G,4,FALSE),"")</f>
        <v>3001</v>
      </c>
      <c r="P2221" t="str">
        <f>IFERROR(VLOOKUP(A2221,vlookup_table!$A:$G,5,FALSE),"")</f>
        <v>R3</v>
      </c>
      <c r="Q2221">
        <f>IFERROR(VLOOKUP(A2221,vlookup_table!$A:$G,7,FALSE),"")</f>
        <v>20</v>
      </c>
      <c r="R2221">
        <f t="shared" si="136"/>
        <v>67</v>
      </c>
      <c r="S2221" t="str" cm="1">
        <f t="array" ref="S2221">IF(P2221="","",_xlfn.SWITCH(LEFT(P2221,1),"C","Ciudad","T","Pueblo","R","Rural","S","Suburbano","U","Urbano",""))</f>
        <v>Rural</v>
      </c>
      <c r="T2221" t="str">
        <f t="shared" si="137"/>
        <v>F</v>
      </c>
      <c r="U2221" t="str">
        <f t="shared" si="138"/>
        <v>NC</v>
      </c>
      <c r="V2221" t="str">
        <f t="shared" si="139"/>
        <v>12936</v>
      </c>
    </row>
    <row r="2222" spans="1:22" x14ac:dyDescent="0.35">
      <c r="A2222">
        <v>35908</v>
      </c>
      <c r="B2222" t="s">
        <v>13</v>
      </c>
      <c r="C2222" t="s">
        <v>17</v>
      </c>
      <c r="D2222">
        <v>693</v>
      </c>
      <c r="E2222">
        <v>373</v>
      </c>
      <c r="F2222">
        <v>463</v>
      </c>
      <c r="G2222">
        <v>7</v>
      </c>
      <c r="H2222">
        <v>16854</v>
      </c>
      <c r="I2222">
        <v>1</v>
      </c>
      <c r="J2222">
        <v>24</v>
      </c>
      <c r="K2222">
        <v>457</v>
      </c>
      <c r="L2222">
        <v>413</v>
      </c>
      <c r="M2222">
        <v>15</v>
      </c>
      <c r="N2222">
        <f>IFERROR(VLOOKUP(A2222,vlookup_table!$A:$G,2,FALSE),"")</f>
        <v>0</v>
      </c>
      <c r="O2222">
        <f>IFERROR(VLOOKUP(A2222,vlookup_table!$A:$G,4,FALSE),"")</f>
        <v>5001</v>
      </c>
      <c r="P2222" t="str">
        <f>IFERROR(VLOOKUP(A2222,vlookup_table!$A:$G,5,FALSE),"")</f>
        <v>S2</v>
      </c>
      <c r="Q2222">
        <f>IFERROR(VLOOKUP(A2222,vlookup_table!$A:$G,7,FALSE),"")</f>
        <v>20</v>
      </c>
      <c r="R2222">
        <f t="shared" si="136"/>
        <v>47</v>
      </c>
      <c r="S2222" t="str" cm="1">
        <f t="array" ref="S2222">IF(P2222="","",_xlfn.SWITCH(LEFT(P2222,1),"C","Ciudad","T","Pueblo","R","Rural","S","Suburbano","U","Urbano",""))</f>
        <v>Suburbano</v>
      </c>
      <c r="T2222" t="str">
        <f t="shared" si="137"/>
        <v>F</v>
      </c>
      <c r="U2222" t="str">
        <f t="shared" si="138"/>
        <v>FL</v>
      </c>
      <c r="V2222" t="str">
        <f t="shared" si="139"/>
        <v>16854</v>
      </c>
    </row>
    <row r="2223" spans="1:22" x14ac:dyDescent="0.35">
      <c r="A2223">
        <v>105331</v>
      </c>
      <c r="B2223" t="s">
        <v>28</v>
      </c>
      <c r="C2223" t="s">
        <v>14</v>
      </c>
      <c r="D2223">
        <v>237</v>
      </c>
      <c r="E2223">
        <v>194</v>
      </c>
      <c r="F2223">
        <v>261</v>
      </c>
      <c r="G2223">
        <v>0</v>
      </c>
      <c r="H2223">
        <v>9190</v>
      </c>
      <c r="I2223">
        <v>0</v>
      </c>
      <c r="J2223">
        <v>80</v>
      </c>
      <c r="K2223">
        <v>222</v>
      </c>
      <c r="L2223">
        <v>218</v>
      </c>
      <c r="M2223">
        <v>12.5</v>
      </c>
      <c r="N2223">
        <f>IFERROR(VLOOKUP(A2223,vlookup_table!$A:$G,2,FALSE),"")</f>
        <v>1</v>
      </c>
      <c r="O2223">
        <f>IFERROR(VLOOKUP(A2223,vlookup_table!$A:$G,4,FALSE),"")</f>
        <v>4801</v>
      </c>
      <c r="P2223" t="str">
        <f>IFERROR(VLOOKUP(A2223,vlookup_table!$A:$G,5,FALSE),"")</f>
        <v>R2</v>
      </c>
      <c r="Q2223">
        <f>IFERROR(VLOOKUP(A2223,vlookup_table!$A:$G,7,FALSE),"")</f>
        <v>20</v>
      </c>
      <c r="R2223">
        <f t="shared" si="136"/>
        <v>49</v>
      </c>
      <c r="S2223" t="str" cm="1">
        <f t="array" ref="S2223">IF(P2223="","",_xlfn.SWITCH(LEFT(P2223,1),"C","Ciudad","T","Pueblo","R","Rural","S","Suburbano","U","Urbano",""))</f>
        <v>Rural</v>
      </c>
      <c r="T2223" t="str">
        <f t="shared" si="137"/>
        <v>M</v>
      </c>
      <c r="U2223" t="str">
        <f t="shared" si="138"/>
        <v>KS</v>
      </c>
      <c r="V2223" t="str">
        <f t="shared" si="139"/>
        <v>9190</v>
      </c>
    </row>
    <row r="2224" spans="1:22" x14ac:dyDescent="0.35">
      <c r="A2224">
        <v>157728</v>
      </c>
      <c r="B2224" t="s">
        <v>22</v>
      </c>
      <c r="C2224" t="s">
        <v>14</v>
      </c>
      <c r="D2224">
        <v>2102</v>
      </c>
      <c r="E2224">
        <v>342</v>
      </c>
      <c r="F2224">
        <v>463</v>
      </c>
      <c r="G2224">
        <v>57</v>
      </c>
      <c r="H2224">
        <v>16054</v>
      </c>
      <c r="I2224">
        <v>14</v>
      </c>
      <c r="J2224">
        <v>57</v>
      </c>
      <c r="K2224">
        <v>412</v>
      </c>
      <c r="L2224">
        <v>416</v>
      </c>
      <c r="M2224">
        <v>15</v>
      </c>
      <c r="N2224">
        <f>IFERROR(VLOOKUP(A2224,vlookup_table!$A:$G,2,FALSE),"")</f>
        <v>1</v>
      </c>
      <c r="O2224">
        <f>IFERROR(VLOOKUP(A2224,vlookup_table!$A:$G,4,FALSE),"")</f>
        <v>0</v>
      </c>
      <c r="P2224" t="str">
        <f>IFERROR(VLOOKUP(A2224,vlookup_table!$A:$G,5,FALSE),"")</f>
        <v>S2</v>
      </c>
      <c r="Q2224">
        <f>IFERROR(VLOOKUP(A2224,vlookup_table!$A:$G,7,FALSE),"")</f>
        <v>20</v>
      </c>
      <c r="R2224">
        <f t="shared" si="136"/>
        <v>97</v>
      </c>
      <c r="S2224" t="str" cm="1">
        <f t="array" ref="S2224">IF(P2224="","",_xlfn.SWITCH(LEFT(P2224,1),"C","Ciudad","T","Pueblo","R","Rural","S","Suburbano","U","Urbano",""))</f>
        <v>Suburbano</v>
      </c>
      <c r="T2224" t="str">
        <f t="shared" si="137"/>
        <v>M</v>
      </c>
      <c r="U2224" t="str">
        <f t="shared" si="138"/>
        <v>CA</v>
      </c>
      <c r="V2224" t="str">
        <f t="shared" si="139"/>
        <v>16054</v>
      </c>
    </row>
    <row r="2225" spans="1:22" x14ac:dyDescent="0.35">
      <c r="A2225">
        <v>81073</v>
      </c>
      <c r="B2225" t="s">
        <v>35</v>
      </c>
      <c r="C2225" t="s">
        <v>17</v>
      </c>
      <c r="D2225">
        <v>571</v>
      </c>
      <c r="E2225">
        <v>243</v>
      </c>
      <c r="F2225">
        <v>349</v>
      </c>
      <c r="G2225">
        <v>0</v>
      </c>
      <c r="H2225">
        <v>13144</v>
      </c>
      <c r="I2225">
        <v>3</v>
      </c>
      <c r="J2225">
        <v>74</v>
      </c>
      <c r="K2225">
        <v>307</v>
      </c>
      <c r="L2225">
        <v>295</v>
      </c>
      <c r="M2225">
        <v>9.1666666669999994</v>
      </c>
      <c r="N2225">
        <f>IFERROR(VLOOKUP(A2225,vlookup_table!$A:$G,2,FALSE),"")</f>
        <v>2</v>
      </c>
      <c r="O2225">
        <f>IFERROR(VLOOKUP(A2225,vlookup_table!$A:$G,4,FALSE),"")</f>
        <v>4701</v>
      </c>
      <c r="P2225" t="str">
        <f>IFERROR(VLOOKUP(A2225,vlookup_table!$A:$G,5,FALSE),"")</f>
        <v>C2</v>
      </c>
      <c r="Q2225">
        <f>IFERROR(VLOOKUP(A2225,vlookup_table!$A:$G,7,FALSE),"")</f>
        <v>10</v>
      </c>
      <c r="R2225">
        <f t="shared" si="136"/>
        <v>50</v>
      </c>
      <c r="S2225" t="str" cm="1">
        <f t="array" ref="S2225">IF(P2225="","",_xlfn.SWITCH(LEFT(P2225,1),"C","Ciudad","T","Pueblo","R","Rural","S","Suburbano","U","Urbano",""))</f>
        <v>Ciudad</v>
      </c>
      <c r="T2225" t="str">
        <f t="shared" si="137"/>
        <v>F</v>
      </c>
      <c r="U2225" t="str">
        <f t="shared" si="138"/>
        <v>WI</v>
      </c>
      <c r="V2225" t="str">
        <f t="shared" si="139"/>
        <v>13144</v>
      </c>
    </row>
    <row r="2226" spans="1:22" x14ac:dyDescent="0.35">
      <c r="A2226">
        <v>38471</v>
      </c>
      <c r="B2226" t="s">
        <v>13</v>
      </c>
      <c r="C2226" t="s">
        <v>17</v>
      </c>
      <c r="D2226">
        <v>1033</v>
      </c>
      <c r="E2226">
        <v>471</v>
      </c>
      <c r="F2226">
        <v>598</v>
      </c>
      <c r="G2226">
        <v>25</v>
      </c>
      <c r="H2226">
        <v>22327</v>
      </c>
      <c r="I2226">
        <v>6</v>
      </c>
      <c r="J2226">
        <v>36</v>
      </c>
      <c r="K2226">
        <v>545</v>
      </c>
      <c r="L2226">
        <v>544</v>
      </c>
      <c r="M2226">
        <v>13.777777779999999</v>
      </c>
      <c r="N2226">
        <f>IFERROR(VLOOKUP(A2226,vlookup_table!$A:$G,2,FALSE),"")</f>
        <v>2</v>
      </c>
      <c r="O2226">
        <f>IFERROR(VLOOKUP(A2226,vlookup_table!$A:$G,4,FALSE),"")</f>
        <v>5001</v>
      </c>
      <c r="P2226">
        <f>IFERROR(VLOOKUP(A2226,vlookup_table!$A:$G,5,FALSE),"")</f>
        <v>0</v>
      </c>
      <c r="Q2226">
        <f>IFERROR(VLOOKUP(A2226,vlookup_table!$A:$G,7,FALSE),"")</f>
        <v>25</v>
      </c>
      <c r="R2226">
        <f t="shared" si="136"/>
        <v>47</v>
      </c>
      <c r="S2226" t="str" cm="1">
        <f t="array" ref="S2226">IF(P2226="","",_xlfn.SWITCH(LEFT(P2226,1),"C","Ciudad","T","Pueblo","R","Rural","S","Suburbano","U","Urbano",""))</f>
        <v/>
      </c>
      <c r="T2226" t="str">
        <f t="shared" si="137"/>
        <v>F</v>
      </c>
      <c r="U2226" t="str">
        <f t="shared" si="138"/>
        <v>FL</v>
      </c>
      <c r="V2226" t="str">
        <f t="shared" si="139"/>
        <v>22327</v>
      </c>
    </row>
    <row r="2227" spans="1:22" x14ac:dyDescent="0.35">
      <c r="A2227">
        <v>163675</v>
      </c>
      <c r="B2227" t="s">
        <v>22</v>
      </c>
      <c r="D2227">
        <v>1693</v>
      </c>
      <c r="E2227">
        <v>423</v>
      </c>
      <c r="F2227">
        <v>492</v>
      </c>
      <c r="G2227">
        <v>23</v>
      </c>
      <c r="H2227">
        <v>17493</v>
      </c>
      <c r="I2227">
        <v>6</v>
      </c>
      <c r="J2227">
        <v>58</v>
      </c>
      <c r="K2227">
        <v>467</v>
      </c>
      <c r="L2227">
        <v>457</v>
      </c>
      <c r="M2227">
        <v>10.875</v>
      </c>
      <c r="N2227">
        <f>IFERROR(VLOOKUP(A2227,vlookup_table!$A:$G,2,FALSE),"")</f>
        <v>0</v>
      </c>
      <c r="O2227">
        <f>IFERROR(VLOOKUP(A2227,vlookup_table!$A:$G,4,FALSE),"")</f>
        <v>3501</v>
      </c>
      <c r="P2227" t="str">
        <f>IFERROR(VLOOKUP(A2227,vlookup_table!$A:$G,5,FALSE),"")</f>
        <v>U2</v>
      </c>
      <c r="Q2227">
        <f>IFERROR(VLOOKUP(A2227,vlookup_table!$A:$G,7,FALSE),"")</f>
        <v>10</v>
      </c>
      <c r="R2227">
        <f t="shared" si="136"/>
        <v>62</v>
      </c>
      <c r="S2227" t="str" cm="1">
        <f t="array" ref="S2227">IF(P2227="","",_xlfn.SWITCH(LEFT(P2227,1),"C","Ciudad","T","Pueblo","R","Rural","S","Suburbano","U","Urbano",""))</f>
        <v>Urbano</v>
      </c>
      <c r="T2227" t="str">
        <f t="shared" si="137"/>
        <v/>
      </c>
      <c r="U2227" t="str">
        <f t="shared" si="138"/>
        <v>CA</v>
      </c>
      <c r="V2227" t="str">
        <f t="shared" si="139"/>
        <v>17493</v>
      </c>
    </row>
    <row r="2228" spans="1:22" x14ac:dyDescent="0.35">
      <c r="A2228">
        <v>11195</v>
      </c>
      <c r="B2228" t="s">
        <v>34</v>
      </c>
      <c r="C2228" t="s">
        <v>14</v>
      </c>
      <c r="D2228">
        <v>589</v>
      </c>
      <c r="E2228">
        <v>289</v>
      </c>
      <c r="F2228">
        <v>334</v>
      </c>
      <c r="G2228">
        <v>0</v>
      </c>
      <c r="H2228">
        <v>12204</v>
      </c>
      <c r="I2228">
        <v>0</v>
      </c>
      <c r="J2228">
        <v>54</v>
      </c>
      <c r="K2228">
        <v>318</v>
      </c>
      <c r="L2228">
        <v>294</v>
      </c>
      <c r="M2228">
        <v>11.8</v>
      </c>
      <c r="N2228">
        <f>IFERROR(VLOOKUP(A2228,vlookup_table!$A:$G,2,FALSE),"")</f>
        <v>2</v>
      </c>
      <c r="O2228">
        <f>IFERROR(VLOOKUP(A2228,vlookup_table!$A:$G,4,FALSE),"")</f>
        <v>1801</v>
      </c>
      <c r="P2228" t="str">
        <f>IFERROR(VLOOKUP(A2228,vlookup_table!$A:$G,5,FALSE),"")</f>
        <v>C2</v>
      </c>
      <c r="Q2228">
        <f>IFERROR(VLOOKUP(A2228,vlookup_table!$A:$G,7,FALSE),"")</f>
        <v>10</v>
      </c>
      <c r="R2228">
        <f t="shared" si="136"/>
        <v>79</v>
      </c>
      <c r="S2228" t="str" cm="1">
        <f t="array" ref="S2228">IF(P2228="","",_xlfn.SWITCH(LEFT(P2228,1),"C","Ciudad","T","Pueblo","R","Rural","S","Suburbano","U","Urbano",""))</f>
        <v>Ciudad</v>
      </c>
      <c r="T2228" t="str">
        <f t="shared" si="137"/>
        <v>M</v>
      </c>
      <c r="U2228" t="str">
        <f t="shared" si="138"/>
        <v>MT</v>
      </c>
      <c r="V2228" t="str">
        <f t="shared" si="139"/>
        <v>12204</v>
      </c>
    </row>
    <row r="2229" spans="1:22" x14ac:dyDescent="0.35">
      <c r="A2229">
        <v>5144</v>
      </c>
      <c r="B2229" t="s">
        <v>21</v>
      </c>
      <c r="C2229" t="s">
        <v>14</v>
      </c>
      <c r="D2229">
        <v>1938</v>
      </c>
      <c r="E2229">
        <v>171</v>
      </c>
      <c r="F2229">
        <v>205</v>
      </c>
      <c r="G2229">
        <v>50</v>
      </c>
      <c r="H2229">
        <v>7708</v>
      </c>
      <c r="I2229">
        <v>33</v>
      </c>
      <c r="J2229">
        <v>40</v>
      </c>
      <c r="K2229">
        <v>174</v>
      </c>
      <c r="L2229">
        <v>197</v>
      </c>
      <c r="M2229">
        <v>10.06060606</v>
      </c>
      <c r="N2229">
        <f>IFERROR(VLOOKUP(A2229,vlookup_table!$A:$G,2,FALSE),"")</f>
        <v>1</v>
      </c>
      <c r="O2229">
        <f>IFERROR(VLOOKUP(A2229,vlookup_table!$A:$G,4,FALSE),"")</f>
        <v>0</v>
      </c>
      <c r="P2229" t="str">
        <f>IFERROR(VLOOKUP(A2229,vlookup_table!$A:$G,5,FALSE),"")</f>
        <v>C2</v>
      </c>
      <c r="Q2229">
        <f>IFERROR(VLOOKUP(A2229,vlookup_table!$A:$G,7,FALSE),"")</f>
        <v>15</v>
      </c>
      <c r="R2229">
        <f t="shared" si="136"/>
        <v>97</v>
      </c>
      <c r="S2229" t="str" cm="1">
        <f t="array" ref="S2229">IF(P2229="","",_xlfn.SWITCH(LEFT(P2229,1),"C","Ciudad","T","Pueblo","R","Rural","S","Suburbano","U","Urbano",""))</f>
        <v>Ciudad</v>
      </c>
      <c r="T2229" t="str">
        <f t="shared" si="137"/>
        <v>M</v>
      </c>
      <c r="U2229" t="str">
        <f t="shared" si="138"/>
        <v>TX</v>
      </c>
      <c r="V2229" t="str">
        <f t="shared" si="139"/>
        <v>7708</v>
      </c>
    </row>
    <row r="2230" spans="1:22" x14ac:dyDescent="0.35">
      <c r="A2230">
        <v>37221</v>
      </c>
      <c r="B2230" t="s">
        <v>13</v>
      </c>
      <c r="C2230" t="s">
        <v>14</v>
      </c>
      <c r="D2230">
        <v>775</v>
      </c>
      <c r="E2230">
        <v>236</v>
      </c>
      <c r="F2230">
        <v>363</v>
      </c>
      <c r="G2230">
        <v>0</v>
      </c>
      <c r="H2230">
        <v>15628</v>
      </c>
      <c r="I2230">
        <v>14</v>
      </c>
      <c r="J2230">
        <v>8</v>
      </c>
      <c r="K2230">
        <v>296</v>
      </c>
      <c r="L2230">
        <v>308</v>
      </c>
      <c r="M2230">
        <v>3.9565217389999998</v>
      </c>
      <c r="N2230">
        <f>IFERROR(VLOOKUP(A2230,vlookup_table!$A:$G,2,FALSE),"")</f>
        <v>0</v>
      </c>
      <c r="O2230">
        <f>IFERROR(VLOOKUP(A2230,vlookup_table!$A:$G,4,FALSE),"")</f>
        <v>1107</v>
      </c>
      <c r="P2230" t="str">
        <f>IFERROR(VLOOKUP(A2230,vlookup_table!$A:$G,5,FALSE),"")</f>
        <v>U3</v>
      </c>
      <c r="Q2230">
        <f>IFERROR(VLOOKUP(A2230,vlookup_table!$A:$G,7,FALSE),"")</f>
        <v>6</v>
      </c>
      <c r="R2230">
        <f t="shared" si="136"/>
        <v>86</v>
      </c>
      <c r="S2230" t="str" cm="1">
        <f t="array" ref="S2230">IF(P2230="","",_xlfn.SWITCH(LEFT(P2230,1),"C","Ciudad","T","Pueblo","R","Rural","S","Suburbano","U","Urbano",""))</f>
        <v>Urbano</v>
      </c>
      <c r="T2230" t="str">
        <f t="shared" si="137"/>
        <v>M</v>
      </c>
      <c r="U2230" t="str">
        <f t="shared" si="138"/>
        <v>FL</v>
      </c>
      <c r="V2230" t="str">
        <f t="shared" si="139"/>
        <v>15628</v>
      </c>
    </row>
    <row r="2231" spans="1:22" x14ac:dyDescent="0.35">
      <c r="A2231">
        <v>187959</v>
      </c>
      <c r="B2231" t="s">
        <v>18</v>
      </c>
      <c r="D2231">
        <v>1024</v>
      </c>
      <c r="E2231">
        <v>360</v>
      </c>
      <c r="F2231">
        <v>429</v>
      </c>
      <c r="G2231">
        <v>11</v>
      </c>
      <c r="H2231">
        <v>15002</v>
      </c>
      <c r="I2231">
        <v>1</v>
      </c>
      <c r="J2231">
        <v>33</v>
      </c>
      <c r="K2231">
        <v>364</v>
      </c>
      <c r="L2231">
        <v>396</v>
      </c>
      <c r="M2231">
        <v>7.5</v>
      </c>
      <c r="N2231">
        <f>IFERROR(VLOOKUP(A2231,vlookup_table!$A:$G,2,FALSE),"")</f>
        <v>0</v>
      </c>
      <c r="O2231">
        <f>IFERROR(VLOOKUP(A2231,vlookup_table!$A:$G,4,FALSE),"")</f>
        <v>0</v>
      </c>
      <c r="P2231" t="str">
        <f>IFERROR(VLOOKUP(A2231,vlookup_table!$A:$G,5,FALSE),"")</f>
        <v>T2</v>
      </c>
      <c r="Q2231">
        <f>IFERROR(VLOOKUP(A2231,vlookup_table!$A:$G,7,FALSE),"")</f>
        <v>10</v>
      </c>
      <c r="R2231">
        <f t="shared" si="136"/>
        <v>97</v>
      </c>
      <c r="S2231" t="str" cm="1">
        <f t="array" ref="S2231">IF(P2231="","",_xlfn.SWITCH(LEFT(P2231,1),"C","Ciudad","T","Pueblo","R","Rural","S","Suburbano","U","Urbano",""))</f>
        <v>Pueblo</v>
      </c>
      <c r="T2231" t="str">
        <f t="shared" si="137"/>
        <v/>
      </c>
      <c r="U2231" t="str">
        <f t="shared" si="138"/>
        <v>NC</v>
      </c>
      <c r="V2231" t="str">
        <f t="shared" si="139"/>
        <v>15002</v>
      </c>
    </row>
    <row r="2232" spans="1:22" x14ac:dyDescent="0.35">
      <c r="A2232">
        <v>95536</v>
      </c>
      <c r="B2232" t="s">
        <v>16</v>
      </c>
      <c r="C2232" t="s">
        <v>17</v>
      </c>
      <c r="D2232">
        <v>886</v>
      </c>
      <c r="E2232">
        <v>482</v>
      </c>
      <c r="F2232">
        <v>433</v>
      </c>
      <c r="G2232">
        <v>3</v>
      </c>
      <c r="H2232">
        <v>13887</v>
      </c>
      <c r="I2232">
        <v>0</v>
      </c>
      <c r="J2232">
        <v>68</v>
      </c>
      <c r="K2232">
        <v>465</v>
      </c>
      <c r="L2232">
        <v>447</v>
      </c>
      <c r="M2232">
        <v>16.666666670000001</v>
      </c>
      <c r="N2232">
        <f>IFERROR(VLOOKUP(A2232,vlookup_table!$A:$G,2,FALSE),"")</f>
        <v>28</v>
      </c>
      <c r="O2232">
        <f>IFERROR(VLOOKUP(A2232,vlookup_table!$A:$G,4,FALSE),"")</f>
        <v>4601</v>
      </c>
      <c r="P2232" t="str">
        <f>IFERROR(VLOOKUP(A2232,vlookup_table!$A:$G,5,FALSE),"")</f>
        <v>T2</v>
      </c>
      <c r="Q2232">
        <f>IFERROR(VLOOKUP(A2232,vlookup_table!$A:$G,7,FALSE),"")</f>
        <v>20</v>
      </c>
      <c r="R2232">
        <f t="shared" si="136"/>
        <v>51</v>
      </c>
      <c r="S2232" t="str" cm="1">
        <f t="array" ref="S2232">IF(P2232="","",_xlfn.SWITCH(LEFT(P2232,1),"C","Ciudad","T","Pueblo","R","Rural","S","Suburbano","U","Urbano",""))</f>
        <v>Pueblo</v>
      </c>
      <c r="T2232" t="str">
        <f t="shared" si="137"/>
        <v>F</v>
      </c>
      <c r="U2232" t="str">
        <f t="shared" si="138"/>
        <v>IL</v>
      </c>
      <c r="V2232" t="str">
        <f t="shared" si="139"/>
        <v>13887</v>
      </c>
    </row>
    <row r="2233" spans="1:22" x14ac:dyDescent="0.35">
      <c r="A2233">
        <v>103330</v>
      </c>
      <c r="B2233" t="s">
        <v>36</v>
      </c>
      <c r="C2233" t="s">
        <v>17</v>
      </c>
      <c r="D2233">
        <v>915</v>
      </c>
      <c r="E2233">
        <v>377</v>
      </c>
      <c r="F2233">
        <v>492</v>
      </c>
      <c r="G2233">
        <v>7</v>
      </c>
      <c r="H2233">
        <v>16206</v>
      </c>
      <c r="I2233">
        <v>3</v>
      </c>
      <c r="J2233">
        <v>62</v>
      </c>
      <c r="K2233">
        <v>432</v>
      </c>
      <c r="L2233">
        <v>445</v>
      </c>
      <c r="M2233">
        <v>10.33333333</v>
      </c>
      <c r="N2233">
        <f>IFERROR(VLOOKUP(A2233,vlookup_table!$A:$G,2,FALSE),"")</f>
        <v>0</v>
      </c>
      <c r="O2233">
        <f>IFERROR(VLOOKUP(A2233,vlookup_table!$A:$G,4,FALSE),"")</f>
        <v>4508</v>
      </c>
      <c r="P2233" t="str">
        <f>IFERROR(VLOOKUP(A2233,vlookup_table!$A:$G,5,FALSE),"")</f>
        <v>T1</v>
      </c>
      <c r="Q2233">
        <f>IFERROR(VLOOKUP(A2233,vlookup_table!$A:$G,7,FALSE),"")</f>
        <v>50</v>
      </c>
      <c r="R2233">
        <f t="shared" si="136"/>
        <v>52</v>
      </c>
      <c r="S2233" t="str" cm="1">
        <f t="array" ref="S2233">IF(P2233="","",_xlfn.SWITCH(LEFT(P2233,1),"C","Ciudad","T","Pueblo","R","Rural","S","Suburbano","U","Urbano",""))</f>
        <v>Pueblo</v>
      </c>
      <c r="T2233" t="str">
        <f t="shared" si="137"/>
        <v>F</v>
      </c>
      <c r="U2233" t="str">
        <f t="shared" si="138"/>
        <v>MO</v>
      </c>
      <c r="V2233" t="str">
        <f t="shared" si="139"/>
        <v>16206</v>
      </c>
    </row>
    <row r="2234" spans="1:22" x14ac:dyDescent="0.35">
      <c r="A2234">
        <v>174360</v>
      </c>
      <c r="B2234" t="s">
        <v>50</v>
      </c>
      <c r="C2234" t="s">
        <v>17</v>
      </c>
      <c r="D2234">
        <v>1163</v>
      </c>
      <c r="E2234">
        <v>617</v>
      </c>
      <c r="F2234">
        <v>655</v>
      </c>
      <c r="G2234">
        <v>2</v>
      </c>
      <c r="H2234">
        <v>24280</v>
      </c>
      <c r="I2234">
        <v>12</v>
      </c>
      <c r="J2234">
        <v>30</v>
      </c>
      <c r="K2234">
        <v>631</v>
      </c>
      <c r="L2234">
        <v>633</v>
      </c>
      <c r="M2234">
        <v>8.9166666669999994</v>
      </c>
      <c r="N2234">
        <f>IFERROR(VLOOKUP(A2234,vlookup_table!$A:$G,2,FALSE),"")</f>
        <v>0</v>
      </c>
      <c r="O2234">
        <f>IFERROR(VLOOKUP(A2234,vlookup_table!$A:$G,4,FALSE),"")</f>
        <v>5408</v>
      </c>
      <c r="P2234" t="str">
        <f>IFERROR(VLOOKUP(A2234,vlookup_table!$A:$G,5,FALSE),"")</f>
        <v>S1</v>
      </c>
      <c r="Q2234">
        <f>IFERROR(VLOOKUP(A2234,vlookup_table!$A:$G,7,FALSE),"")</f>
        <v>11</v>
      </c>
      <c r="R2234">
        <f t="shared" si="136"/>
        <v>43</v>
      </c>
      <c r="S2234" t="str" cm="1">
        <f t="array" ref="S2234">IF(P2234="","",_xlfn.SWITCH(LEFT(P2234,1),"C","Ciudad","T","Pueblo","R","Rural","S","Suburbano","U","Urbano",""))</f>
        <v>Suburbano</v>
      </c>
      <c r="T2234" t="str">
        <f t="shared" si="137"/>
        <v>F</v>
      </c>
      <c r="U2234" t="str">
        <f t="shared" si="138"/>
        <v>OR</v>
      </c>
      <c r="V2234" t="str">
        <f t="shared" si="139"/>
        <v>24280</v>
      </c>
    </row>
    <row r="2235" spans="1:22" x14ac:dyDescent="0.35">
      <c r="A2235">
        <v>173805</v>
      </c>
      <c r="B2235" t="s">
        <v>37</v>
      </c>
      <c r="C2235" t="s">
        <v>17</v>
      </c>
      <c r="D2235">
        <v>2506</v>
      </c>
      <c r="E2235">
        <v>449</v>
      </c>
      <c r="F2235">
        <v>517</v>
      </c>
      <c r="G2235">
        <v>70</v>
      </c>
      <c r="H2235">
        <v>16302</v>
      </c>
      <c r="I2235">
        <v>8</v>
      </c>
      <c r="J2235">
        <v>55</v>
      </c>
      <c r="K2235">
        <v>455</v>
      </c>
      <c r="L2235">
        <v>501</v>
      </c>
      <c r="M2235">
        <v>8.875</v>
      </c>
      <c r="N2235">
        <f>IFERROR(VLOOKUP(A2235,vlookup_table!$A:$G,2,FALSE),"")</f>
        <v>28</v>
      </c>
      <c r="O2235">
        <f>IFERROR(VLOOKUP(A2235,vlookup_table!$A:$G,4,FALSE),"")</f>
        <v>1501</v>
      </c>
      <c r="P2235" t="str">
        <f>IFERROR(VLOOKUP(A2235,vlookup_table!$A:$G,5,FALSE),"")</f>
        <v>T1</v>
      </c>
      <c r="Q2235">
        <f>IFERROR(VLOOKUP(A2235,vlookup_table!$A:$G,7,FALSE),"")</f>
        <v>50</v>
      </c>
      <c r="R2235">
        <f t="shared" si="136"/>
        <v>82</v>
      </c>
      <c r="S2235" t="str" cm="1">
        <f t="array" ref="S2235">IF(P2235="","",_xlfn.SWITCH(LEFT(P2235,1),"C","Ciudad","T","Pueblo","R","Rural","S","Suburbano","U","Urbano",""))</f>
        <v>Pueblo</v>
      </c>
      <c r="T2235" t="str">
        <f t="shared" si="137"/>
        <v>F</v>
      </c>
      <c r="U2235" t="str">
        <f t="shared" si="138"/>
        <v>HI</v>
      </c>
      <c r="V2235" t="str">
        <f t="shared" si="139"/>
        <v>16302</v>
      </c>
    </row>
    <row r="2236" spans="1:22" x14ac:dyDescent="0.35">
      <c r="A2236">
        <v>30745</v>
      </c>
      <c r="B2236" t="s">
        <v>39</v>
      </c>
      <c r="C2236" t="s">
        <v>17</v>
      </c>
      <c r="D2236">
        <v>717</v>
      </c>
      <c r="E2236">
        <v>339</v>
      </c>
      <c r="F2236">
        <v>424</v>
      </c>
      <c r="G2236">
        <v>3</v>
      </c>
      <c r="H2236">
        <v>14609</v>
      </c>
      <c r="I2236">
        <v>3</v>
      </c>
      <c r="J2236">
        <v>53</v>
      </c>
      <c r="K2236">
        <v>388</v>
      </c>
      <c r="L2236">
        <v>381</v>
      </c>
      <c r="M2236">
        <v>12.5</v>
      </c>
      <c r="N2236">
        <f>IFERROR(VLOOKUP(A2236,vlookup_table!$A:$G,2,FALSE),"")</f>
        <v>0</v>
      </c>
      <c r="O2236">
        <f>IFERROR(VLOOKUP(A2236,vlookup_table!$A:$G,4,FALSE),"")</f>
        <v>0</v>
      </c>
      <c r="P2236" t="str">
        <f>IFERROR(VLOOKUP(A2236,vlookup_table!$A:$G,5,FALSE),"")</f>
        <v>T3</v>
      </c>
      <c r="Q2236">
        <f>IFERROR(VLOOKUP(A2236,vlookup_table!$A:$G,7,FALSE),"")</f>
        <v>25</v>
      </c>
      <c r="R2236">
        <f t="shared" si="136"/>
        <v>97</v>
      </c>
      <c r="S2236" t="str" cm="1">
        <f t="array" ref="S2236">IF(P2236="","",_xlfn.SWITCH(LEFT(P2236,1),"C","Ciudad","T","Pueblo","R","Rural","S","Suburbano","U","Urbano",""))</f>
        <v>Pueblo</v>
      </c>
      <c r="T2236" t="str">
        <f t="shared" si="137"/>
        <v>F</v>
      </c>
      <c r="U2236" t="str">
        <f t="shared" si="138"/>
        <v>GA</v>
      </c>
      <c r="V2236" t="str">
        <f t="shared" si="139"/>
        <v>14609</v>
      </c>
    </row>
    <row r="2237" spans="1:22" x14ac:dyDescent="0.35">
      <c r="A2237">
        <v>20645</v>
      </c>
      <c r="B2237" t="s">
        <v>18</v>
      </c>
      <c r="C2237" t="s">
        <v>20</v>
      </c>
      <c r="D2237">
        <v>405</v>
      </c>
      <c r="E2237">
        <v>187</v>
      </c>
      <c r="F2237">
        <v>214</v>
      </c>
      <c r="G2237">
        <v>0</v>
      </c>
      <c r="H2237">
        <v>7303</v>
      </c>
      <c r="I2237">
        <v>1</v>
      </c>
      <c r="J2237">
        <v>91</v>
      </c>
      <c r="K2237">
        <v>182</v>
      </c>
      <c r="L2237">
        <v>216</v>
      </c>
      <c r="M2237">
        <v>11.33333333</v>
      </c>
      <c r="N2237">
        <f>IFERROR(VLOOKUP(A2237,vlookup_table!$A:$G,2,FALSE),"")</f>
        <v>0</v>
      </c>
      <c r="O2237">
        <f>IFERROR(VLOOKUP(A2237,vlookup_table!$A:$G,4,FALSE),"")</f>
        <v>0</v>
      </c>
      <c r="P2237" t="str">
        <f>IFERROR(VLOOKUP(A2237,vlookup_table!$A:$G,5,FALSE),"")</f>
        <v>R3</v>
      </c>
      <c r="Q2237">
        <f>IFERROR(VLOOKUP(A2237,vlookup_table!$A:$G,7,FALSE),"")</f>
        <v>10</v>
      </c>
      <c r="R2237">
        <f t="shared" si="136"/>
        <v>97</v>
      </c>
      <c r="S2237" t="str" cm="1">
        <f t="array" ref="S2237">IF(P2237="","",_xlfn.SWITCH(LEFT(P2237,1),"C","Ciudad","T","Pueblo","R","Rural","S","Suburbano","U","Urbano",""))</f>
        <v>Rural</v>
      </c>
      <c r="T2237" t="str">
        <f t="shared" si="137"/>
        <v>F</v>
      </c>
      <c r="U2237" t="str">
        <f t="shared" si="138"/>
        <v>NC</v>
      </c>
      <c r="V2237" t="str">
        <f t="shared" si="139"/>
        <v>7303</v>
      </c>
    </row>
    <row r="2238" spans="1:22" x14ac:dyDescent="0.35">
      <c r="A2238">
        <v>27928</v>
      </c>
      <c r="B2238" t="s">
        <v>39</v>
      </c>
      <c r="C2238" t="s">
        <v>14</v>
      </c>
      <c r="D2238">
        <v>1025</v>
      </c>
      <c r="E2238">
        <v>425</v>
      </c>
      <c r="F2238">
        <v>519</v>
      </c>
      <c r="G2238">
        <v>4</v>
      </c>
      <c r="H2238">
        <v>17688</v>
      </c>
      <c r="I2238">
        <v>1</v>
      </c>
      <c r="J2238">
        <v>58</v>
      </c>
      <c r="K2238">
        <v>493</v>
      </c>
      <c r="L2238">
        <v>470</v>
      </c>
      <c r="M2238">
        <v>13</v>
      </c>
      <c r="N2238">
        <f>IFERROR(VLOOKUP(A2238,vlookup_table!$A:$G,2,FALSE),"")</f>
        <v>1</v>
      </c>
      <c r="O2238">
        <f>IFERROR(VLOOKUP(A2238,vlookup_table!$A:$G,4,FALSE),"")</f>
        <v>1804</v>
      </c>
      <c r="P2238" t="str">
        <f>IFERROR(VLOOKUP(A2238,vlookup_table!$A:$G,5,FALSE),"")</f>
        <v>T1</v>
      </c>
      <c r="Q2238">
        <f>IFERROR(VLOOKUP(A2238,vlookup_table!$A:$G,7,FALSE),"")</f>
        <v>12</v>
      </c>
      <c r="R2238">
        <f t="shared" si="136"/>
        <v>79</v>
      </c>
      <c r="S2238" t="str" cm="1">
        <f t="array" ref="S2238">IF(P2238="","",_xlfn.SWITCH(LEFT(P2238,1),"C","Ciudad","T","Pueblo","R","Rural","S","Suburbano","U","Urbano",""))</f>
        <v>Pueblo</v>
      </c>
      <c r="T2238" t="str">
        <f t="shared" si="137"/>
        <v>M</v>
      </c>
      <c r="U2238" t="str">
        <f t="shared" si="138"/>
        <v>GA</v>
      </c>
      <c r="V2238" t="str">
        <f t="shared" si="139"/>
        <v>17688</v>
      </c>
    </row>
    <row r="2239" spans="1:22" x14ac:dyDescent="0.35">
      <c r="A2239">
        <v>80866</v>
      </c>
      <c r="B2239" t="s">
        <v>35</v>
      </c>
      <c r="C2239" t="s">
        <v>17</v>
      </c>
      <c r="D2239">
        <v>438</v>
      </c>
      <c r="E2239">
        <v>342</v>
      </c>
      <c r="F2239">
        <v>373</v>
      </c>
      <c r="G2239">
        <v>0</v>
      </c>
      <c r="H2239">
        <v>11227</v>
      </c>
      <c r="I2239">
        <v>0</v>
      </c>
      <c r="J2239">
        <v>81</v>
      </c>
      <c r="K2239">
        <v>360</v>
      </c>
      <c r="L2239">
        <v>339</v>
      </c>
      <c r="M2239">
        <v>4.5454545460000002</v>
      </c>
      <c r="N2239">
        <f>IFERROR(VLOOKUP(A2239,vlookup_table!$A:$G,2,FALSE),"")</f>
        <v>0</v>
      </c>
      <c r="O2239">
        <f>IFERROR(VLOOKUP(A2239,vlookup_table!$A:$G,4,FALSE),"")</f>
        <v>2701</v>
      </c>
      <c r="P2239" t="str">
        <f>IFERROR(VLOOKUP(A2239,vlookup_table!$A:$G,5,FALSE),"")</f>
        <v>R2</v>
      </c>
      <c r="Q2239">
        <f>IFERROR(VLOOKUP(A2239,vlookup_table!$A:$G,7,FALSE),"")</f>
        <v>4</v>
      </c>
      <c r="R2239">
        <f t="shared" si="136"/>
        <v>70</v>
      </c>
      <c r="S2239" t="str" cm="1">
        <f t="array" ref="S2239">IF(P2239="","",_xlfn.SWITCH(LEFT(P2239,1),"C","Ciudad","T","Pueblo","R","Rural","S","Suburbano","U","Urbano",""))</f>
        <v>Rural</v>
      </c>
      <c r="T2239" t="str">
        <f t="shared" si="137"/>
        <v>F</v>
      </c>
      <c r="U2239" t="str">
        <f t="shared" si="138"/>
        <v>WI</v>
      </c>
      <c r="V2239" t="str">
        <f t="shared" si="139"/>
        <v>11227</v>
      </c>
    </row>
    <row r="2240" spans="1:22" x14ac:dyDescent="0.35">
      <c r="A2240">
        <v>55408</v>
      </c>
      <c r="B2240" t="s">
        <v>62</v>
      </c>
      <c r="C2240" t="s">
        <v>14</v>
      </c>
      <c r="D2240">
        <v>1449</v>
      </c>
      <c r="E2240">
        <v>735</v>
      </c>
      <c r="F2240">
        <v>791</v>
      </c>
      <c r="G2240">
        <v>28</v>
      </c>
      <c r="H2240">
        <v>29612</v>
      </c>
      <c r="I2240">
        <v>0</v>
      </c>
      <c r="J2240">
        <v>74</v>
      </c>
      <c r="K2240">
        <v>783</v>
      </c>
      <c r="L2240">
        <v>720</v>
      </c>
      <c r="M2240">
        <v>5.25</v>
      </c>
      <c r="N2240">
        <f>IFERROR(VLOOKUP(A2240,vlookup_table!$A:$G,2,FALSE),"")</f>
        <v>28</v>
      </c>
      <c r="O2240">
        <f>IFERROR(VLOOKUP(A2240,vlookup_table!$A:$G,4,FALSE),"")</f>
        <v>4612</v>
      </c>
      <c r="P2240" t="str">
        <f>IFERROR(VLOOKUP(A2240,vlookup_table!$A:$G,5,FALSE),"")</f>
        <v>T1</v>
      </c>
      <c r="Q2240">
        <f>IFERROR(VLOOKUP(A2240,vlookup_table!$A:$G,7,FALSE),"")</f>
        <v>4</v>
      </c>
      <c r="R2240">
        <f t="shared" si="136"/>
        <v>51</v>
      </c>
      <c r="S2240" t="str" cm="1">
        <f t="array" ref="S2240">IF(P2240="","",_xlfn.SWITCH(LEFT(P2240,1),"C","Ciudad","T","Pueblo","R","Rural","S","Suburbano","U","Urbano",""))</f>
        <v>Pueblo</v>
      </c>
      <c r="T2240" t="str">
        <f t="shared" si="137"/>
        <v>M</v>
      </c>
      <c r="U2240" t="str">
        <f t="shared" si="138"/>
        <v>MS</v>
      </c>
      <c r="V2240" t="str">
        <f t="shared" si="139"/>
        <v>29612</v>
      </c>
    </row>
    <row r="2241" spans="1:22" x14ac:dyDescent="0.35">
      <c r="A2241">
        <v>54674</v>
      </c>
      <c r="B2241" t="s">
        <v>62</v>
      </c>
      <c r="C2241" t="s">
        <v>14</v>
      </c>
      <c r="D2241">
        <v>440</v>
      </c>
      <c r="E2241">
        <v>270</v>
      </c>
      <c r="F2241">
        <v>364</v>
      </c>
      <c r="G2241">
        <v>0</v>
      </c>
      <c r="H2241">
        <v>11109</v>
      </c>
      <c r="I2241">
        <v>0</v>
      </c>
      <c r="J2241">
        <v>75</v>
      </c>
      <c r="K2241">
        <v>288</v>
      </c>
      <c r="L2241">
        <v>315</v>
      </c>
      <c r="M2241">
        <v>4.7058823529999998</v>
      </c>
      <c r="N2241">
        <f>IFERROR(VLOOKUP(A2241,vlookup_table!$A:$G,2,FALSE),"")</f>
        <v>1</v>
      </c>
      <c r="O2241">
        <f>IFERROR(VLOOKUP(A2241,vlookup_table!$A:$G,4,FALSE),"")</f>
        <v>2201</v>
      </c>
      <c r="P2241" t="str">
        <f>IFERROR(VLOOKUP(A2241,vlookup_table!$A:$G,5,FALSE),"")</f>
        <v>T2</v>
      </c>
      <c r="Q2241">
        <f>IFERROR(VLOOKUP(A2241,vlookup_table!$A:$G,7,FALSE),"")</f>
        <v>5</v>
      </c>
      <c r="R2241">
        <f t="shared" si="136"/>
        <v>75</v>
      </c>
      <c r="S2241" t="str" cm="1">
        <f t="array" ref="S2241">IF(P2241="","",_xlfn.SWITCH(LEFT(P2241,1),"C","Ciudad","T","Pueblo","R","Rural","S","Suburbano","U","Urbano",""))</f>
        <v>Pueblo</v>
      </c>
      <c r="T2241" t="str">
        <f t="shared" si="137"/>
        <v>M</v>
      </c>
      <c r="U2241" t="str">
        <f t="shared" si="138"/>
        <v>MS</v>
      </c>
      <c r="V2241" t="str">
        <f t="shared" si="139"/>
        <v>11109</v>
      </c>
    </row>
    <row r="2242" spans="1:22" x14ac:dyDescent="0.35">
      <c r="A2242">
        <v>185287</v>
      </c>
      <c r="B2242" t="s">
        <v>22</v>
      </c>
      <c r="C2242" t="s">
        <v>17</v>
      </c>
      <c r="D2242">
        <v>1812</v>
      </c>
      <c r="E2242">
        <v>415</v>
      </c>
      <c r="F2242">
        <v>464</v>
      </c>
      <c r="G2242">
        <v>19</v>
      </c>
      <c r="H2242">
        <v>16451</v>
      </c>
      <c r="I2242">
        <v>7</v>
      </c>
      <c r="J2242">
        <v>52</v>
      </c>
      <c r="K2242">
        <v>452</v>
      </c>
      <c r="L2242">
        <v>435</v>
      </c>
      <c r="M2242">
        <v>4.615384615</v>
      </c>
      <c r="N2242">
        <f>IFERROR(VLOOKUP(A2242,vlookup_table!$A:$G,2,FALSE),"")</f>
        <v>2</v>
      </c>
      <c r="O2242">
        <f>IFERROR(VLOOKUP(A2242,vlookup_table!$A:$G,4,FALSE),"")</f>
        <v>6301</v>
      </c>
      <c r="P2242" t="str">
        <f>IFERROR(VLOOKUP(A2242,vlookup_table!$A:$G,5,FALSE),"")</f>
        <v>S2</v>
      </c>
      <c r="Q2242">
        <f>IFERROR(VLOOKUP(A2242,vlookup_table!$A:$G,7,FALSE),"")</f>
        <v>5</v>
      </c>
      <c r="R2242">
        <f t="shared" ref="R2242:R2305" si="140">IF(O2242="","",97-INT(O2242/100))</f>
        <v>34</v>
      </c>
      <c r="S2242" t="str" cm="1">
        <f t="array" ref="S2242">IF(P2242="","",_xlfn.SWITCH(LEFT(P2242,1),"C","Ciudad","T","Pueblo","R","Rural","S","Suburbano","U","Urbano",""))</f>
        <v>Suburbano</v>
      </c>
      <c r="T2242" t="str">
        <f t="shared" ref="T2242:T2305" si="141">IF(C2242="","",IF(OR(UPPER(C2242)="M",UPPER(C2242)="MALE"),"M",IF(OR(UPPER(C2242)="F",UPPER(C2242)="FEMALE",UPPER(C2242)="FEAMALE"),"F",C2242)))</f>
        <v>F</v>
      </c>
      <c r="U2242" t="str">
        <f t="shared" ref="U2242:U2305" si="142">IF(OR(UPPER(B2242)="CALIFORNIA",UPPER(B2242)="CALI"),"CA",B2242)</f>
        <v>CA</v>
      </c>
      <c r="V2242" t="str">
        <f t="shared" ref="V2242:V2305" si="143">SUBSTITUTE(H2242,"@","")</f>
        <v>16451</v>
      </c>
    </row>
    <row r="2243" spans="1:22" x14ac:dyDescent="0.35">
      <c r="A2243">
        <v>178009</v>
      </c>
      <c r="B2243" t="s">
        <v>50</v>
      </c>
      <c r="C2243" t="s">
        <v>14</v>
      </c>
      <c r="D2243">
        <v>779</v>
      </c>
      <c r="E2243">
        <v>215</v>
      </c>
      <c r="F2243">
        <v>262</v>
      </c>
      <c r="G2243">
        <v>1</v>
      </c>
      <c r="H2243">
        <v>9279</v>
      </c>
      <c r="I2243">
        <v>4</v>
      </c>
      <c r="J2243">
        <v>25</v>
      </c>
      <c r="K2243">
        <v>223</v>
      </c>
      <c r="L2243">
        <v>249</v>
      </c>
      <c r="M2243">
        <v>4.0370370370000002</v>
      </c>
      <c r="N2243">
        <f>IFERROR(VLOOKUP(A2243,vlookup_table!$A:$G,2,FALSE),"")</f>
        <v>1</v>
      </c>
      <c r="O2243">
        <f>IFERROR(VLOOKUP(A2243,vlookup_table!$A:$G,4,FALSE),"")</f>
        <v>1803</v>
      </c>
      <c r="P2243" t="str">
        <f>IFERROR(VLOOKUP(A2243,vlookup_table!$A:$G,5,FALSE),"")</f>
        <v>R2</v>
      </c>
      <c r="Q2243">
        <f>IFERROR(VLOOKUP(A2243,vlookup_table!$A:$G,7,FALSE),"")</f>
        <v>5</v>
      </c>
      <c r="R2243">
        <f t="shared" si="140"/>
        <v>79</v>
      </c>
      <c r="S2243" t="str" cm="1">
        <f t="array" ref="S2243">IF(P2243="","",_xlfn.SWITCH(LEFT(P2243,1),"C","Ciudad","T","Pueblo","R","Rural","S","Suburbano","U","Urbano",""))</f>
        <v>Rural</v>
      </c>
      <c r="T2243" t="str">
        <f t="shared" si="141"/>
        <v>M</v>
      </c>
      <c r="U2243" t="str">
        <f t="shared" si="142"/>
        <v>OR</v>
      </c>
      <c r="V2243" t="str">
        <f t="shared" si="143"/>
        <v>9279</v>
      </c>
    </row>
    <row r="2244" spans="1:22" x14ac:dyDescent="0.35">
      <c r="A2244">
        <v>143069</v>
      </c>
      <c r="B2244" t="s">
        <v>22</v>
      </c>
      <c r="C2244" t="s">
        <v>14</v>
      </c>
      <c r="D2244">
        <v>3431</v>
      </c>
      <c r="E2244">
        <v>549</v>
      </c>
      <c r="F2244">
        <v>664</v>
      </c>
      <c r="G2244">
        <v>86</v>
      </c>
      <c r="H2244">
        <v>20683</v>
      </c>
      <c r="I2244">
        <v>20</v>
      </c>
      <c r="J2244">
        <v>51</v>
      </c>
      <c r="K2244">
        <v>626</v>
      </c>
      <c r="L2244">
        <v>610</v>
      </c>
      <c r="M2244">
        <v>15.2</v>
      </c>
      <c r="N2244">
        <f>IFERROR(VLOOKUP(A2244,vlookup_table!$A:$G,2,FALSE),"")</f>
        <v>1</v>
      </c>
      <c r="O2244">
        <f>IFERROR(VLOOKUP(A2244,vlookup_table!$A:$G,4,FALSE),"")</f>
        <v>2601</v>
      </c>
      <c r="P2244" t="str">
        <f>IFERROR(VLOOKUP(A2244,vlookup_table!$A:$G,5,FALSE),"")</f>
        <v>U3</v>
      </c>
      <c r="Q2244">
        <f>IFERROR(VLOOKUP(A2244,vlookup_table!$A:$G,7,FALSE),"")</f>
        <v>20</v>
      </c>
      <c r="R2244">
        <f t="shared" si="140"/>
        <v>71</v>
      </c>
      <c r="S2244" t="str" cm="1">
        <f t="array" ref="S2244">IF(P2244="","",_xlfn.SWITCH(LEFT(P2244,1),"C","Ciudad","T","Pueblo","R","Rural","S","Suburbano","U","Urbano",""))</f>
        <v>Urbano</v>
      </c>
      <c r="T2244" t="str">
        <f t="shared" si="141"/>
        <v>M</v>
      </c>
      <c r="U2244" t="str">
        <f t="shared" si="142"/>
        <v>CA</v>
      </c>
      <c r="V2244" t="str">
        <f t="shared" si="143"/>
        <v>20683</v>
      </c>
    </row>
    <row r="2245" spans="1:22" x14ac:dyDescent="0.35">
      <c r="A2245">
        <v>28874</v>
      </c>
      <c r="B2245" t="s">
        <v>39</v>
      </c>
      <c r="C2245" t="s">
        <v>14</v>
      </c>
      <c r="D2245">
        <v>928</v>
      </c>
      <c r="E2245">
        <v>243</v>
      </c>
      <c r="F2245">
        <v>472</v>
      </c>
      <c r="G2245">
        <v>18</v>
      </c>
      <c r="H2245">
        <v>17216</v>
      </c>
      <c r="I2245">
        <v>11</v>
      </c>
      <c r="J2245">
        <v>68</v>
      </c>
      <c r="K2245">
        <v>310</v>
      </c>
      <c r="L2245">
        <v>396</v>
      </c>
      <c r="M2245">
        <v>17.5</v>
      </c>
      <c r="N2245">
        <f>IFERROR(VLOOKUP(A2245,vlookup_table!$A:$G,2,FALSE),"")</f>
        <v>2</v>
      </c>
      <c r="O2245">
        <f>IFERROR(VLOOKUP(A2245,vlookup_table!$A:$G,4,FALSE),"")</f>
        <v>3601</v>
      </c>
      <c r="P2245" t="str">
        <f>IFERROR(VLOOKUP(A2245,vlookup_table!$A:$G,5,FALSE),"")</f>
        <v>T2</v>
      </c>
      <c r="Q2245">
        <f>IFERROR(VLOOKUP(A2245,vlookup_table!$A:$G,7,FALSE),"")</f>
        <v>21</v>
      </c>
      <c r="R2245">
        <f t="shared" si="140"/>
        <v>61</v>
      </c>
      <c r="S2245" t="str" cm="1">
        <f t="array" ref="S2245">IF(P2245="","",_xlfn.SWITCH(LEFT(P2245,1),"C","Ciudad","T","Pueblo","R","Rural","S","Suburbano","U","Urbano",""))</f>
        <v>Pueblo</v>
      </c>
      <c r="T2245" t="str">
        <f t="shared" si="141"/>
        <v>M</v>
      </c>
      <c r="U2245" t="str">
        <f t="shared" si="142"/>
        <v>GA</v>
      </c>
      <c r="V2245" t="str">
        <f t="shared" si="143"/>
        <v>17216</v>
      </c>
    </row>
    <row r="2246" spans="1:22" x14ac:dyDescent="0.35">
      <c r="A2246">
        <v>144110</v>
      </c>
      <c r="B2246" t="s">
        <v>22</v>
      </c>
      <c r="C2246" t="s">
        <v>17</v>
      </c>
      <c r="D2246">
        <v>5882</v>
      </c>
      <c r="E2246">
        <v>533</v>
      </c>
      <c r="F2246">
        <v>657</v>
      </c>
      <c r="G2246">
        <v>98</v>
      </c>
      <c r="H2246">
        <v>31652</v>
      </c>
      <c r="I2246">
        <v>40</v>
      </c>
      <c r="J2246">
        <v>23</v>
      </c>
      <c r="K2246">
        <v>596</v>
      </c>
      <c r="L2246">
        <v>623</v>
      </c>
      <c r="M2246">
        <v>9.7777777780000008</v>
      </c>
      <c r="N2246">
        <f>IFERROR(VLOOKUP(A2246,vlookup_table!$A:$G,2,FALSE),"")</f>
        <v>0</v>
      </c>
      <c r="O2246">
        <f>IFERROR(VLOOKUP(A2246,vlookup_table!$A:$G,4,FALSE),"")</f>
        <v>3509</v>
      </c>
      <c r="P2246" t="str">
        <f>IFERROR(VLOOKUP(A2246,vlookup_table!$A:$G,5,FALSE),"")</f>
        <v>U1</v>
      </c>
      <c r="Q2246">
        <f>IFERROR(VLOOKUP(A2246,vlookup_table!$A:$G,7,FALSE),"")</f>
        <v>15</v>
      </c>
      <c r="R2246">
        <f t="shared" si="140"/>
        <v>62</v>
      </c>
      <c r="S2246" t="str" cm="1">
        <f t="array" ref="S2246">IF(P2246="","",_xlfn.SWITCH(LEFT(P2246,1),"C","Ciudad","T","Pueblo","R","Rural","S","Suburbano","U","Urbano",""))</f>
        <v>Urbano</v>
      </c>
      <c r="T2246" t="str">
        <f t="shared" si="141"/>
        <v>F</v>
      </c>
      <c r="U2246" t="str">
        <f t="shared" si="142"/>
        <v>CA</v>
      </c>
      <c r="V2246" t="str">
        <f t="shared" si="143"/>
        <v>31652</v>
      </c>
    </row>
    <row r="2247" spans="1:22" x14ac:dyDescent="0.35">
      <c r="A2247">
        <v>77116</v>
      </c>
      <c r="B2247" t="s">
        <v>35</v>
      </c>
      <c r="C2247" t="s">
        <v>17</v>
      </c>
      <c r="D2247">
        <v>660</v>
      </c>
      <c r="E2247">
        <v>308</v>
      </c>
      <c r="F2247">
        <v>370</v>
      </c>
      <c r="G2247">
        <v>1</v>
      </c>
      <c r="H2247">
        <v>11996</v>
      </c>
      <c r="I2247">
        <v>2</v>
      </c>
      <c r="J2247">
        <v>90</v>
      </c>
      <c r="K2247">
        <v>326</v>
      </c>
      <c r="L2247">
        <v>351</v>
      </c>
      <c r="M2247">
        <v>9.1111111109999996</v>
      </c>
      <c r="N2247">
        <f>IFERROR(VLOOKUP(A2247,vlookup_table!$A:$G,2,FALSE),"")</f>
        <v>0</v>
      </c>
      <c r="O2247">
        <f>IFERROR(VLOOKUP(A2247,vlookup_table!$A:$G,4,FALSE),"")</f>
        <v>6101</v>
      </c>
      <c r="P2247" t="str">
        <f>IFERROR(VLOOKUP(A2247,vlookup_table!$A:$G,5,FALSE),"")</f>
        <v>R2</v>
      </c>
      <c r="Q2247">
        <f>IFERROR(VLOOKUP(A2247,vlookup_table!$A:$G,7,FALSE),"")</f>
        <v>10</v>
      </c>
      <c r="R2247">
        <f t="shared" si="140"/>
        <v>36</v>
      </c>
      <c r="S2247" t="str" cm="1">
        <f t="array" ref="S2247">IF(P2247="","",_xlfn.SWITCH(LEFT(P2247,1),"C","Ciudad","T","Pueblo","R","Rural","S","Suburbano","U","Urbano",""))</f>
        <v>Rural</v>
      </c>
      <c r="T2247" t="str">
        <f t="shared" si="141"/>
        <v>F</v>
      </c>
      <c r="U2247" t="str">
        <f t="shared" si="142"/>
        <v>WI</v>
      </c>
      <c r="V2247" t="str">
        <f t="shared" si="143"/>
        <v>11996</v>
      </c>
    </row>
    <row r="2248" spans="1:22" x14ac:dyDescent="0.35">
      <c r="A2248">
        <v>3553</v>
      </c>
      <c r="B2248" t="s">
        <v>40</v>
      </c>
      <c r="C2248" t="s">
        <v>51</v>
      </c>
      <c r="D2248">
        <v>732</v>
      </c>
      <c r="E2248">
        <v>411</v>
      </c>
      <c r="F2248">
        <v>445</v>
      </c>
      <c r="G2248">
        <v>0</v>
      </c>
      <c r="H2248">
        <v>13863</v>
      </c>
      <c r="I2248">
        <v>3</v>
      </c>
      <c r="J2248">
        <v>33</v>
      </c>
      <c r="K2248">
        <v>425</v>
      </c>
      <c r="L2248">
        <v>434</v>
      </c>
      <c r="M2248">
        <v>16.285714290000001</v>
      </c>
      <c r="N2248">
        <f>IFERROR(VLOOKUP(A2248,vlookup_table!$A:$G,2,FALSE),"")</f>
        <v>1</v>
      </c>
      <c r="O2248">
        <f>IFERROR(VLOOKUP(A2248,vlookup_table!$A:$G,4,FALSE),"")</f>
        <v>1601</v>
      </c>
      <c r="P2248" t="str">
        <f>IFERROR(VLOOKUP(A2248,vlookup_table!$A:$G,5,FALSE),"")</f>
        <v>S2</v>
      </c>
      <c r="Q2248">
        <f>IFERROR(VLOOKUP(A2248,vlookup_table!$A:$G,7,FALSE),"")</f>
        <v>20</v>
      </c>
      <c r="R2248">
        <f t="shared" si="140"/>
        <v>81</v>
      </c>
      <c r="S2248" t="str" cm="1">
        <f t="array" ref="S2248">IF(P2248="","",_xlfn.SWITCH(LEFT(P2248,1),"C","Ciudad","T","Pueblo","R","Rural","S","Suburbano","U","Urbano",""))</f>
        <v>Suburbano</v>
      </c>
      <c r="T2248" t="str">
        <f t="shared" si="141"/>
        <v>M</v>
      </c>
      <c r="U2248" t="str">
        <f t="shared" si="142"/>
        <v>WA</v>
      </c>
      <c r="V2248" t="str">
        <f t="shared" si="143"/>
        <v>13863</v>
      </c>
    </row>
    <row r="2249" spans="1:22" x14ac:dyDescent="0.35">
      <c r="A2249">
        <v>60265</v>
      </c>
      <c r="B2249" t="s">
        <v>33</v>
      </c>
      <c r="C2249" t="s">
        <v>17</v>
      </c>
      <c r="D2249">
        <v>225</v>
      </c>
      <c r="E2249">
        <v>191</v>
      </c>
      <c r="F2249">
        <v>226</v>
      </c>
      <c r="G2249">
        <v>0</v>
      </c>
      <c r="H2249">
        <v>7426</v>
      </c>
      <c r="I2249">
        <v>0</v>
      </c>
      <c r="J2249">
        <v>79</v>
      </c>
      <c r="K2249">
        <v>198</v>
      </c>
      <c r="L2249">
        <v>185</v>
      </c>
      <c r="M2249">
        <v>3.15</v>
      </c>
      <c r="N2249">
        <f>IFERROR(VLOOKUP(A2249,vlookup_table!$A:$G,2,FALSE),"")</f>
        <v>0</v>
      </c>
      <c r="O2249">
        <f>IFERROR(VLOOKUP(A2249,vlookup_table!$A:$G,4,FALSE),"")</f>
        <v>3803</v>
      </c>
      <c r="P2249" t="str">
        <f>IFERROR(VLOOKUP(A2249,vlookup_table!$A:$G,5,FALSE),"")</f>
        <v>C3</v>
      </c>
      <c r="Q2249">
        <f>IFERROR(VLOOKUP(A2249,vlookup_table!$A:$G,7,FALSE),"")</f>
        <v>5</v>
      </c>
      <c r="R2249">
        <f t="shared" si="140"/>
        <v>59</v>
      </c>
      <c r="S2249" t="str" cm="1">
        <f t="array" ref="S2249">IF(P2249="","",_xlfn.SWITCH(LEFT(P2249,1),"C","Ciudad","T","Pueblo","R","Rural","S","Suburbano","U","Urbano",""))</f>
        <v>Ciudad</v>
      </c>
      <c r="T2249" t="str">
        <f t="shared" si="141"/>
        <v>F</v>
      </c>
      <c r="U2249" t="str">
        <f t="shared" si="142"/>
        <v>IN</v>
      </c>
      <c r="V2249" t="str">
        <f t="shared" si="143"/>
        <v>7426</v>
      </c>
    </row>
    <row r="2250" spans="1:22" x14ac:dyDescent="0.35">
      <c r="A2250">
        <v>74552</v>
      </c>
      <c r="B2250" t="s">
        <v>29</v>
      </c>
      <c r="C2250" t="s">
        <v>17</v>
      </c>
      <c r="D2250">
        <v>376</v>
      </c>
      <c r="E2250">
        <v>253</v>
      </c>
      <c r="F2250">
        <v>321</v>
      </c>
      <c r="G2250">
        <v>0</v>
      </c>
      <c r="H2250">
        <v>10637</v>
      </c>
      <c r="I2250">
        <v>1</v>
      </c>
      <c r="J2250">
        <v>89</v>
      </c>
      <c r="K2250">
        <v>304</v>
      </c>
      <c r="L2250">
        <v>281</v>
      </c>
      <c r="M2250">
        <v>4.5555555559999998</v>
      </c>
      <c r="N2250">
        <f>IFERROR(VLOOKUP(A2250,vlookup_table!$A:$G,2,FALSE),"")</f>
        <v>0</v>
      </c>
      <c r="O2250">
        <f>IFERROR(VLOOKUP(A2250,vlookup_table!$A:$G,4,FALSE),"")</f>
        <v>0</v>
      </c>
      <c r="P2250" t="str">
        <f>IFERROR(VLOOKUP(A2250,vlookup_table!$A:$G,5,FALSE),"")</f>
        <v>T2</v>
      </c>
      <c r="Q2250">
        <f>IFERROR(VLOOKUP(A2250,vlookup_table!$A:$G,7,FALSE),"")</f>
        <v>3</v>
      </c>
      <c r="R2250">
        <f t="shared" si="140"/>
        <v>97</v>
      </c>
      <c r="S2250" t="str" cm="1">
        <f t="array" ref="S2250">IF(P2250="","",_xlfn.SWITCH(LEFT(P2250,1),"C","Ciudad","T","Pueblo","R","Rural","S","Suburbano","U","Urbano",""))</f>
        <v>Pueblo</v>
      </c>
      <c r="T2250" t="str">
        <f t="shared" si="141"/>
        <v>F</v>
      </c>
      <c r="U2250" t="str">
        <f t="shared" si="142"/>
        <v>MI</v>
      </c>
      <c r="V2250" t="str">
        <f t="shared" si="143"/>
        <v>10637</v>
      </c>
    </row>
    <row r="2251" spans="1:22" x14ac:dyDescent="0.35">
      <c r="A2251">
        <v>29215</v>
      </c>
      <c r="B2251" t="s">
        <v>39</v>
      </c>
      <c r="C2251" t="s">
        <v>17</v>
      </c>
      <c r="D2251">
        <v>920</v>
      </c>
      <c r="E2251">
        <v>323</v>
      </c>
      <c r="F2251">
        <v>449</v>
      </c>
      <c r="G2251">
        <v>9</v>
      </c>
      <c r="H2251">
        <v>15305</v>
      </c>
      <c r="I2251">
        <v>1</v>
      </c>
      <c r="J2251">
        <v>65</v>
      </c>
      <c r="K2251">
        <v>375</v>
      </c>
      <c r="L2251">
        <v>404</v>
      </c>
      <c r="M2251">
        <v>17.375</v>
      </c>
      <c r="N2251">
        <f>IFERROR(VLOOKUP(A2251,vlookup_table!$A:$G,2,FALSE),"")</f>
        <v>0</v>
      </c>
      <c r="O2251">
        <f>IFERROR(VLOOKUP(A2251,vlookup_table!$A:$G,4,FALSE),"")</f>
        <v>2009</v>
      </c>
      <c r="P2251" t="str">
        <f>IFERROR(VLOOKUP(A2251,vlookup_table!$A:$G,5,FALSE),"")</f>
        <v>C1</v>
      </c>
      <c r="Q2251">
        <f>IFERROR(VLOOKUP(A2251,vlookup_table!$A:$G,7,FALSE),"")</f>
        <v>38</v>
      </c>
      <c r="R2251">
        <f t="shared" si="140"/>
        <v>77</v>
      </c>
      <c r="S2251" t="str" cm="1">
        <f t="array" ref="S2251">IF(P2251="","",_xlfn.SWITCH(LEFT(P2251,1),"C","Ciudad","T","Pueblo","R","Rural","S","Suburbano","U","Urbano",""))</f>
        <v>Ciudad</v>
      </c>
      <c r="T2251" t="str">
        <f t="shared" si="141"/>
        <v>F</v>
      </c>
      <c r="U2251" t="str">
        <f t="shared" si="142"/>
        <v>GA</v>
      </c>
      <c r="V2251" t="str">
        <f t="shared" si="143"/>
        <v>15305</v>
      </c>
    </row>
    <row r="2252" spans="1:22" x14ac:dyDescent="0.35">
      <c r="A2252">
        <v>3504</v>
      </c>
      <c r="B2252" t="s">
        <v>50</v>
      </c>
      <c r="C2252" t="s">
        <v>17</v>
      </c>
      <c r="D2252">
        <v>700</v>
      </c>
      <c r="E2252">
        <v>360</v>
      </c>
      <c r="F2252">
        <v>424</v>
      </c>
      <c r="G2252">
        <v>0</v>
      </c>
      <c r="H2252">
        <v>13620</v>
      </c>
      <c r="I2252">
        <v>4</v>
      </c>
      <c r="J2252">
        <v>54</v>
      </c>
      <c r="K2252">
        <v>390</v>
      </c>
      <c r="L2252">
        <v>394</v>
      </c>
      <c r="M2252">
        <v>15.777777779999999</v>
      </c>
      <c r="N2252">
        <f>IFERROR(VLOOKUP(A2252,vlookup_table!$A:$G,2,FALSE),"")</f>
        <v>0</v>
      </c>
      <c r="O2252">
        <f>IFERROR(VLOOKUP(A2252,vlookup_table!$A:$G,4,FALSE),"")</f>
        <v>1901</v>
      </c>
      <c r="P2252" t="str">
        <f>IFERROR(VLOOKUP(A2252,vlookup_table!$A:$G,5,FALSE),"")</f>
        <v>S2</v>
      </c>
      <c r="Q2252">
        <f>IFERROR(VLOOKUP(A2252,vlookup_table!$A:$G,7,FALSE),"")</f>
        <v>17</v>
      </c>
      <c r="R2252">
        <f t="shared" si="140"/>
        <v>78</v>
      </c>
      <c r="S2252" t="str" cm="1">
        <f t="array" ref="S2252">IF(P2252="","",_xlfn.SWITCH(LEFT(P2252,1),"C","Ciudad","T","Pueblo","R","Rural","S","Suburbano","U","Urbano",""))</f>
        <v>Suburbano</v>
      </c>
      <c r="T2252" t="str">
        <f t="shared" si="141"/>
        <v>F</v>
      </c>
      <c r="U2252" t="str">
        <f t="shared" si="142"/>
        <v>OR</v>
      </c>
      <c r="V2252" t="str">
        <f t="shared" si="143"/>
        <v>13620</v>
      </c>
    </row>
    <row r="2253" spans="1:22" x14ac:dyDescent="0.35">
      <c r="A2253">
        <v>65114</v>
      </c>
      <c r="B2253" t="s">
        <v>29</v>
      </c>
      <c r="C2253" t="s">
        <v>14</v>
      </c>
      <c r="D2253">
        <v>764</v>
      </c>
      <c r="E2253">
        <v>221</v>
      </c>
      <c r="F2253">
        <v>458</v>
      </c>
      <c r="G2253">
        <v>1</v>
      </c>
      <c r="H2253">
        <v>16824</v>
      </c>
      <c r="I2253">
        <v>3</v>
      </c>
      <c r="J2253">
        <v>74</v>
      </c>
      <c r="K2253">
        <v>385</v>
      </c>
      <c r="L2253">
        <v>305</v>
      </c>
      <c r="M2253">
        <v>3.9666666670000001</v>
      </c>
      <c r="N2253">
        <f>IFERROR(VLOOKUP(A2253,vlookup_table!$A:$G,2,FALSE),"")</f>
        <v>2</v>
      </c>
      <c r="O2253">
        <f>IFERROR(VLOOKUP(A2253,vlookup_table!$A:$G,4,FALSE),"")</f>
        <v>0</v>
      </c>
      <c r="P2253" t="str">
        <f>IFERROR(VLOOKUP(A2253,vlookup_table!$A:$G,5,FALSE),"")</f>
        <v>T2</v>
      </c>
      <c r="Q2253">
        <f>IFERROR(VLOOKUP(A2253,vlookup_table!$A:$G,7,FALSE),"")</f>
        <v>3</v>
      </c>
      <c r="R2253">
        <f t="shared" si="140"/>
        <v>97</v>
      </c>
      <c r="S2253" t="str" cm="1">
        <f t="array" ref="S2253">IF(P2253="","",_xlfn.SWITCH(LEFT(P2253,1),"C","Ciudad","T","Pueblo","R","Rural","S","Suburbano","U","Urbano",""))</f>
        <v>Pueblo</v>
      </c>
      <c r="T2253" t="str">
        <f t="shared" si="141"/>
        <v>M</v>
      </c>
      <c r="U2253" t="str">
        <f t="shared" si="142"/>
        <v>MI</v>
      </c>
      <c r="V2253" t="str">
        <f t="shared" si="143"/>
        <v>16824</v>
      </c>
    </row>
    <row r="2254" spans="1:22" x14ac:dyDescent="0.35">
      <c r="A2254">
        <v>105823</v>
      </c>
      <c r="B2254" t="s">
        <v>28</v>
      </c>
      <c r="C2254" t="s">
        <v>14</v>
      </c>
      <c r="D2254">
        <v>738</v>
      </c>
      <c r="E2254">
        <v>458</v>
      </c>
      <c r="F2254">
        <v>503</v>
      </c>
      <c r="G2254">
        <v>0</v>
      </c>
      <c r="H2254">
        <v>17494</v>
      </c>
      <c r="I2254">
        <v>1</v>
      </c>
      <c r="J2254">
        <v>60</v>
      </c>
      <c r="K2254">
        <v>509</v>
      </c>
      <c r="L2254">
        <v>479</v>
      </c>
      <c r="M2254">
        <v>6.5</v>
      </c>
      <c r="N2254">
        <f>IFERROR(VLOOKUP(A2254,vlookup_table!$A:$G,2,FALSE),"")</f>
        <v>1</v>
      </c>
      <c r="O2254">
        <f>IFERROR(VLOOKUP(A2254,vlookup_table!$A:$G,4,FALSE),"")</f>
        <v>4601</v>
      </c>
      <c r="P2254" t="str">
        <f>IFERROR(VLOOKUP(A2254,vlookup_table!$A:$G,5,FALSE),"")</f>
        <v>S1</v>
      </c>
      <c r="Q2254" t="str">
        <f>IFERROR(VLOOKUP(A2254,vlookup_table!$A:$G,7,FALSE),"")</f>
        <v>2.5</v>
      </c>
      <c r="R2254">
        <f t="shared" si="140"/>
        <v>51</v>
      </c>
      <c r="S2254" t="str" cm="1">
        <f t="array" ref="S2254">IF(P2254="","",_xlfn.SWITCH(LEFT(P2254,1),"C","Ciudad","T","Pueblo","R","Rural","S","Suburbano","U","Urbano",""))</f>
        <v>Suburbano</v>
      </c>
      <c r="T2254" t="str">
        <f t="shared" si="141"/>
        <v>M</v>
      </c>
      <c r="U2254" t="str">
        <f t="shared" si="142"/>
        <v>KS</v>
      </c>
      <c r="V2254" t="str">
        <f t="shared" si="143"/>
        <v>17494</v>
      </c>
    </row>
    <row r="2255" spans="1:22" x14ac:dyDescent="0.35">
      <c r="A2255">
        <v>26410</v>
      </c>
      <c r="B2255" t="s">
        <v>39</v>
      </c>
      <c r="C2255" t="s">
        <v>17</v>
      </c>
      <c r="D2255">
        <v>821</v>
      </c>
      <c r="E2255">
        <v>361</v>
      </c>
      <c r="F2255">
        <v>442</v>
      </c>
      <c r="G2255">
        <v>0</v>
      </c>
      <c r="H2255">
        <v>16822</v>
      </c>
      <c r="I2255">
        <v>9</v>
      </c>
      <c r="J2255">
        <v>36</v>
      </c>
      <c r="K2255">
        <v>413</v>
      </c>
      <c r="L2255">
        <v>407</v>
      </c>
      <c r="M2255">
        <v>20.333333329999999</v>
      </c>
      <c r="N2255">
        <f>IFERROR(VLOOKUP(A2255,vlookup_table!$A:$G,2,FALSE),"")</f>
        <v>28</v>
      </c>
      <c r="O2255">
        <f>IFERROR(VLOOKUP(A2255,vlookup_table!$A:$G,4,FALSE),"")</f>
        <v>2201</v>
      </c>
      <c r="P2255" t="str">
        <f>IFERROR(VLOOKUP(A2255,vlookup_table!$A:$G,5,FALSE),"")</f>
        <v>S1</v>
      </c>
      <c r="Q2255">
        <f>IFERROR(VLOOKUP(A2255,vlookup_table!$A:$G,7,FALSE),"")</f>
        <v>28</v>
      </c>
      <c r="R2255">
        <f t="shared" si="140"/>
        <v>75</v>
      </c>
      <c r="S2255" t="str" cm="1">
        <f t="array" ref="S2255">IF(P2255="","",_xlfn.SWITCH(LEFT(P2255,1),"C","Ciudad","T","Pueblo","R","Rural","S","Suburbano","U","Urbano",""))</f>
        <v>Suburbano</v>
      </c>
      <c r="T2255" t="str">
        <f t="shared" si="141"/>
        <v>F</v>
      </c>
      <c r="U2255" t="str">
        <f t="shared" si="142"/>
        <v>GA</v>
      </c>
      <c r="V2255" t="str">
        <f t="shared" si="143"/>
        <v>16822</v>
      </c>
    </row>
    <row r="2256" spans="1:22" x14ac:dyDescent="0.35">
      <c r="A2256">
        <v>24080</v>
      </c>
      <c r="B2256" t="s">
        <v>46</v>
      </c>
      <c r="C2256" t="s">
        <v>14</v>
      </c>
      <c r="D2256">
        <v>475</v>
      </c>
      <c r="E2256">
        <v>285</v>
      </c>
      <c r="F2256">
        <v>301</v>
      </c>
      <c r="G2256">
        <v>1</v>
      </c>
      <c r="H2256">
        <v>9446</v>
      </c>
      <c r="I2256">
        <v>0</v>
      </c>
      <c r="J2256">
        <v>86</v>
      </c>
      <c r="K2256">
        <v>302</v>
      </c>
      <c r="L2256">
        <v>275</v>
      </c>
      <c r="M2256">
        <v>25</v>
      </c>
      <c r="N2256">
        <f>IFERROR(VLOOKUP(A2256,vlookup_table!$A:$G,2,FALSE),"")</f>
        <v>0</v>
      </c>
      <c r="O2256">
        <f>IFERROR(VLOOKUP(A2256,vlookup_table!$A:$G,4,FALSE),"")</f>
        <v>4501</v>
      </c>
      <c r="P2256" t="str">
        <f>IFERROR(VLOOKUP(A2256,vlookup_table!$A:$G,5,FALSE),"")</f>
        <v>R2</v>
      </c>
      <c r="Q2256">
        <f>IFERROR(VLOOKUP(A2256,vlookup_table!$A:$G,7,FALSE),"")</f>
        <v>25</v>
      </c>
      <c r="R2256">
        <f t="shared" si="140"/>
        <v>52</v>
      </c>
      <c r="S2256" t="str" cm="1">
        <f t="array" ref="S2256">IF(P2256="","",_xlfn.SWITCH(LEFT(P2256,1),"C","Ciudad","T","Pueblo","R","Rural","S","Suburbano","U","Urbano",""))</f>
        <v>Rural</v>
      </c>
      <c r="T2256" t="str">
        <f t="shared" si="141"/>
        <v>M</v>
      </c>
      <c r="U2256" t="str">
        <f t="shared" si="142"/>
        <v>SC</v>
      </c>
      <c r="V2256" t="str">
        <f t="shared" si="143"/>
        <v>9446</v>
      </c>
    </row>
    <row r="2257" spans="1:22" x14ac:dyDescent="0.35">
      <c r="A2257">
        <v>159696</v>
      </c>
      <c r="B2257" t="s">
        <v>22</v>
      </c>
      <c r="C2257" t="s">
        <v>17</v>
      </c>
      <c r="D2257">
        <v>1392</v>
      </c>
      <c r="E2257">
        <v>343</v>
      </c>
      <c r="F2257">
        <v>516</v>
      </c>
      <c r="G2257">
        <v>16</v>
      </c>
      <c r="H2257">
        <v>19194</v>
      </c>
      <c r="I2257">
        <v>14</v>
      </c>
      <c r="J2257">
        <v>72</v>
      </c>
      <c r="K2257">
        <v>381</v>
      </c>
      <c r="L2257">
        <v>484</v>
      </c>
      <c r="M2257">
        <v>15</v>
      </c>
      <c r="N2257">
        <f>IFERROR(VLOOKUP(A2257,vlookup_table!$A:$G,2,FALSE),"")</f>
        <v>28</v>
      </c>
      <c r="O2257">
        <f>IFERROR(VLOOKUP(A2257,vlookup_table!$A:$G,4,FALSE),"")</f>
        <v>5401</v>
      </c>
      <c r="P2257" t="str">
        <f>IFERROR(VLOOKUP(A2257,vlookup_table!$A:$G,5,FALSE),"")</f>
        <v>R2</v>
      </c>
      <c r="Q2257">
        <f>IFERROR(VLOOKUP(A2257,vlookup_table!$A:$G,7,FALSE),"")</f>
        <v>15</v>
      </c>
      <c r="R2257">
        <f t="shared" si="140"/>
        <v>43</v>
      </c>
      <c r="S2257" t="str" cm="1">
        <f t="array" ref="S2257">IF(P2257="","",_xlfn.SWITCH(LEFT(P2257,1),"C","Ciudad","T","Pueblo","R","Rural","S","Suburbano","U","Urbano",""))</f>
        <v>Rural</v>
      </c>
      <c r="T2257" t="str">
        <f t="shared" si="141"/>
        <v>F</v>
      </c>
      <c r="U2257" t="str">
        <f t="shared" si="142"/>
        <v>CA</v>
      </c>
      <c r="V2257" t="str">
        <f t="shared" si="143"/>
        <v>19194</v>
      </c>
    </row>
    <row r="2258" spans="1:22" x14ac:dyDescent="0.35">
      <c r="A2258">
        <v>24644</v>
      </c>
      <c r="B2258" t="s">
        <v>38</v>
      </c>
      <c r="C2258" t="s">
        <v>17</v>
      </c>
      <c r="D2258">
        <v>866</v>
      </c>
      <c r="E2258">
        <v>399</v>
      </c>
      <c r="F2258">
        <v>475</v>
      </c>
      <c r="G2258">
        <v>2</v>
      </c>
      <c r="H2258">
        <v>10550</v>
      </c>
      <c r="I2258">
        <v>0</v>
      </c>
      <c r="J2258">
        <v>77</v>
      </c>
      <c r="K2258">
        <v>426</v>
      </c>
      <c r="L2258">
        <v>446</v>
      </c>
      <c r="M2258">
        <v>8.1666666669999994</v>
      </c>
      <c r="N2258">
        <f>IFERROR(VLOOKUP(A2258,vlookup_table!$A:$G,2,FALSE),"")</f>
        <v>28</v>
      </c>
      <c r="O2258">
        <f>IFERROR(VLOOKUP(A2258,vlookup_table!$A:$G,4,FALSE),"")</f>
        <v>5201</v>
      </c>
      <c r="P2258" t="str">
        <f>IFERROR(VLOOKUP(A2258,vlookup_table!$A:$G,5,FALSE),"")</f>
        <v>T2</v>
      </c>
      <c r="Q2258">
        <f>IFERROR(VLOOKUP(A2258,vlookup_table!$A:$G,7,FALSE),"")</f>
        <v>25</v>
      </c>
      <c r="R2258">
        <f t="shared" si="140"/>
        <v>45</v>
      </c>
      <c r="S2258" t="str" cm="1">
        <f t="array" ref="S2258">IF(P2258="","",_xlfn.SWITCH(LEFT(P2258,1),"C","Ciudad","T","Pueblo","R","Rural","S","Suburbano","U","Urbano",""))</f>
        <v>Pueblo</v>
      </c>
      <c r="T2258" t="str">
        <f t="shared" si="141"/>
        <v>F</v>
      </c>
      <c r="U2258" t="str">
        <f t="shared" si="142"/>
        <v>UT</v>
      </c>
      <c r="V2258" t="str">
        <f t="shared" si="143"/>
        <v>10550</v>
      </c>
    </row>
    <row r="2259" spans="1:22" x14ac:dyDescent="0.35">
      <c r="A2259">
        <v>6457</v>
      </c>
      <c r="B2259" t="s">
        <v>22</v>
      </c>
      <c r="C2259" t="s">
        <v>17</v>
      </c>
      <c r="D2259">
        <v>956</v>
      </c>
      <c r="E2259">
        <v>205</v>
      </c>
      <c r="F2259">
        <v>325</v>
      </c>
      <c r="G2259">
        <v>6</v>
      </c>
      <c r="H2259">
        <v>13234</v>
      </c>
      <c r="I2259">
        <v>8</v>
      </c>
      <c r="J2259">
        <v>34</v>
      </c>
      <c r="K2259">
        <v>272</v>
      </c>
      <c r="L2259">
        <v>272</v>
      </c>
      <c r="M2259">
        <v>6.085714286</v>
      </c>
      <c r="N2259">
        <f>IFERROR(VLOOKUP(A2259,vlookup_table!$A:$G,2,FALSE),"")</f>
        <v>2</v>
      </c>
      <c r="O2259">
        <f>IFERROR(VLOOKUP(A2259,vlookup_table!$A:$G,4,FALSE),"")</f>
        <v>0</v>
      </c>
      <c r="P2259" t="str">
        <f>IFERROR(VLOOKUP(A2259,vlookup_table!$A:$G,5,FALSE),"")</f>
        <v>T2</v>
      </c>
      <c r="Q2259">
        <f>IFERROR(VLOOKUP(A2259,vlookup_table!$A:$G,7,FALSE),"")</f>
        <v>15</v>
      </c>
      <c r="R2259">
        <f t="shared" si="140"/>
        <v>97</v>
      </c>
      <c r="S2259" t="str" cm="1">
        <f t="array" ref="S2259">IF(P2259="","",_xlfn.SWITCH(LEFT(P2259,1),"C","Ciudad","T","Pueblo","R","Rural","S","Suburbano","U","Urbano",""))</f>
        <v>Pueblo</v>
      </c>
      <c r="T2259" t="str">
        <f t="shared" si="141"/>
        <v>F</v>
      </c>
      <c r="U2259" t="str">
        <f t="shared" si="142"/>
        <v>CA</v>
      </c>
      <c r="V2259" t="str">
        <f t="shared" si="143"/>
        <v>13234</v>
      </c>
    </row>
    <row r="2260" spans="1:22" x14ac:dyDescent="0.35">
      <c r="A2260">
        <v>168317</v>
      </c>
      <c r="B2260" t="s">
        <v>22</v>
      </c>
      <c r="C2260" t="s">
        <v>30</v>
      </c>
      <c r="D2260">
        <v>2341</v>
      </c>
      <c r="E2260">
        <v>311</v>
      </c>
      <c r="F2260">
        <v>502</v>
      </c>
      <c r="G2260">
        <v>70</v>
      </c>
      <c r="H2260">
        <v>13577</v>
      </c>
      <c r="I2260">
        <v>12</v>
      </c>
      <c r="J2260">
        <v>50</v>
      </c>
      <c r="K2260">
        <v>469</v>
      </c>
      <c r="L2260">
        <v>427</v>
      </c>
      <c r="M2260">
        <v>8</v>
      </c>
      <c r="N2260">
        <f>IFERROR(VLOOKUP(A2260,vlookup_table!$A:$G,2,FALSE),"")</f>
        <v>0</v>
      </c>
      <c r="O2260">
        <f>IFERROR(VLOOKUP(A2260,vlookup_table!$A:$G,4,FALSE),"")</f>
        <v>0</v>
      </c>
      <c r="P2260" t="str">
        <f>IFERROR(VLOOKUP(A2260,vlookup_table!$A:$G,5,FALSE),"")</f>
        <v>U1</v>
      </c>
      <c r="Q2260">
        <f>IFERROR(VLOOKUP(A2260,vlookup_table!$A:$G,7,FALSE),"")</f>
        <v>13</v>
      </c>
      <c r="R2260">
        <f t="shared" si="140"/>
        <v>97</v>
      </c>
      <c r="S2260" t="str" cm="1">
        <f t="array" ref="S2260">IF(P2260="","",_xlfn.SWITCH(LEFT(P2260,1),"C","Ciudad","T","Pueblo","R","Rural","S","Suburbano","U","Urbano",""))</f>
        <v>Urbano</v>
      </c>
      <c r="T2260" t="str">
        <f t="shared" si="141"/>
        <v>U</v>
      </c>
      <c r="U2260" t="str">
        <f t="shared" si="142"/>
        <v>CA</v>
      </c>
      <c r="V2260" t="str">
        <f t="shared" si="143"/>
        <v>13577</v>
      </c>
    </row>
    <row r="2261" spans="1:22" x14ac:dyDescent="0.35">
      <c r="A2261">
        <v>159553</v>
      </c>
      <c r="B2261" t="s">
        <v>40</v>
      </c>
      <c r="C2261" t="s">
        <v>51</v>
      </c>
      <c r="D2261">
        <v>1009</v>
      </c>
      <c r="E2261">
        <v>557</v>
      </c>
      <c r="F2261">
        <v>619</v>
      </c>
      <c r="G2261">
        <v>4</v>
      </c>
      <c r="H2261">
        <v>17660</v>
      </c>
      <c r="I2261">
        <v>1</v>
      </c>
      <c r="J2261">
        <v>44</v>
      </c>
      <c r="K2261">
        <v>562</v>
      </c>
      <c r="L2261">
        <v>615</v>
      </c>
      <c r="M2261">
        <v>5.3333333329999997</v>
      </c>
      <c r="N2261">
        <f>IFERROR(VLOOKUP(A2261,vlookup_table!$A:$G,2,FALSE),"")</f>
        <v>1</v>
      </c>
      <c r="O2261">
        <f>IFERROR(VLOOKUP(A2261,vlookup_table!$A:$G,4,FALSE),"")</f>
        <v>3601</v>
      </c>
      <c r="P2261" t="str">
        <f>IFERROR(VLOOKUP(A2261,vlookup_table!$A:$G,5,FALSE),"")</f>
        <v>R2</v>
      </c>
      <c r="Q2261">
        <f>IFERROR(VLOOKUP(A2261,vlookup_table!$A:$G,7,FALSE),"")</f>
        <v>7</v>
      </c>
      <c r="R2261">
        <f t="shared" si="140"/>
        <v>61</v>
      </c>
      <c r="S2261" t="str" cm="1">
        <f t="array" ref="S2261">IF(P2261="","",_xlfn.SWITCH(LEFT(P2261,1),"C","Ciudad","T","Pueblo","R","Rural","S","Suburbano","U","Urbano",""))</f>
        <v>Rural</v>
      </c>
      <c r="T2261" t="str">
        <f t="shared" si="141"/>
        <v>M</v>
      </c>
      <c r="U2261" t="str">
        <f t="shared" si="142"/>
        <v>WA</v>
      </c>
      <c r="V2261" t="str">
        <f t="shared" si="143"/>
        <v>17660</v>
      </c>
    </row>
    <row r="2262" spans="1:22" x14ac:dyDescent="0.35">
      <c r="A2262">
        <v>56049</v>
      </c>
      <c r="B2262" t="s">
        <v>62</v>
      </c>
      <c r="C2262" t="s">
        <v>20</v>
      </c>
      <c r="D2262">
        <v>398</v>
      </c>
      <c r="E2262">
        <v>243</v>
      </c>
      <c r="F2262">
        <v>309</v>
      </c>
      <c r="G2262">
        <v>0</v>
      </c>
      <c r="H2262">
        <v>9897</v>
      </c>
      <c r="I2262">
        <v>1</v>
      </c>
      <c r="J2262">
        <v>81</v>
      </c>
      <c r="K2262">
        <v>277</v>
      </c>
      <c r="L2262">
        <v>270</v>
      </c>
      <c r="M2262">
        <v>9.5</v>
      </c>
      <c r="N2262">
        <f>IFERROR(VLOOKUP(A2262,vlookup_table!$A:$G,2,FALSE),"")</f>
        <v>0</v>
      </c>
      <c r="O2262">
        <f>IFERROR(VLOOKUP(A2262,vlookup_table!$A:$G,4,FALSE),"")</f>
        <v>2709</v>
      </c>
      <c r="P2262" t="str">
        <f>IFERROR(VLOOKUP(A2262,vlookup_table!$A:$G,5,FALSE),"")</f>
        <v>R2</v>
      </c>
      <c r="Q2262">
        <f>IFERROR(VLOOKUP(A2262,vlookup_table!$A:$G,7,FALSE),"")</f>
        <v>14</v>
      </c>
      <c r="R2262">
        <f t="shared" si="140"/>
        <v>70</v>
      </c>
      <c r="S2262" t="str" cm="1">
        <f t="array" ref="S2262">IF(P2262="","",_xlfn.SWITCH(LEFT(P2262,1),"C","Ciudad","T","Pueblo","R","Rural","S","Suburbano","U","Urbano",""))</f>
        <v>Rural</v>
      </c>
      <c r="T2262" t="str">
        <f t="shared" si="141"/>
        <v>F</v>
      </c>
      <c r="U2262" t="str">
        <f t="shared" si="142"/>
        <v>MS</v>
      </c>
      <c r="V2262" t="str">
        <f t="shared" si="143"/>
        <v>9897</v>
      </c>
    </row>
    <row r="2263" spans="1:22" x14ac:dyDescent="0.35">
      <c r="A2263">
        <v>63865</v>
      </c>
      <c r="B2263" t="s">
        <v>33</v>
      </c>
      <c r="C2263" t="s">
        <v>14</v>
      </c>
      <c r="D2263">
        <v>448</v>
      </c>
      <c r="E2263">
        <v>239</v>
      </c>
      <c r="F2263">
        <v>320</v>
      </c>
      <c r="G2263">
        <v>0</v>
      </c>
      <c r="H2263">
        <v>11284</v>
      </c>
      <c r="I2263">
        <v>0</v>
      </c>
      <c r="J2263">
        <v>80</v>
      </c>
      <c r="K2263">
        <v>291</v>
      </c>
      <c r="L2263">
        <v>274</v>
      </c>
      <c r="M2263">
        <v>5.5789473679999997</v>
      </c>
      <c r="N2263">
        <f>IFERROR(VLOOKUP(A2263,vlookup_table!$A:$G,2,FALSE),"")</f>
        <v>1</v>
      </c>
      <c r="O2263">
        <f>IFERROR(VLOOKUP(A2263,vlookup_table!$A:$G,4,FALSE),"")</f>
        <v>3506</v>
      </c>
      <c r="P2263" t="str">
        <f>IFERROR(VLOOKUP(A2263,vlookup_table!$A:$G,5,FALSE),"")</f>
        <v>T2</v>
      </c>
      <c r="Q2263">
        <f>IFERROR(VLOOKUP(A2263,vlookup_table!$A:$G,7,FALSE),"")</f>
        <v>12</v>
      </c>
      <c r="R2263">
        <f t="shared" si="140"/>
        <v>62</v>
      </c>
      <c r="S2263" t="str" cm="1">
        <f t="array" ref="S2263">IF(P2263="","",_xlfn.SWITCH(LEFT(P2263,1),"C","Ciudad","T","Pueblo","R","Rural","S","Suburbano","U","Urbano",""))</f>
        <v>Pueblo</v>
      </c>
      <c r="T2263" t="str">
        <f t="shared" si="141"/>
        <v>M</v>
      </c>
      <c r="U2263" t="str">
        <f t="shared" si="142"/>
        <v>IN</v>
      </c>
      <c r="V2263" t="str">
        <f t="shared" si="143"/>
        <v>11284</v>
      </c>
    </row>
    <row r="2264" spans="1:22" x14ac:dyDescent="0.35">
      <c r="A2264">
        <v>62084</v>
      </c>
      <c r="B2264" t="s">
        <v>33</v>
      </c>
      <c r="C2264" t="s">
        <v>14</v>
      </c>
      <c r="D2264">
        <v>522</v>
      </c>
      <c r="E2264">
        <v>280</v>
      </c>
      <c r="F2264">
        <v>334</v>
      </c>
      <c r="G2264">
        <v>1</v>
      </c>
      <c r="H2264">
        <v>10311</v>
      </c>
      <c r="I2264">
        <v>1</v>
      </c>
      <c r="J2264">
        <v>64</v>
      </c>
      <c r="K2264">
        <v>293</v>
      </c>
      <c r="L2264">
        <v>323</v>
      </c>
      <c r="M2264">
        <v>13.41666667</v>
      </c>
      <c r="N2264">
        <f>IFERROR(VLOOKUP(A2264,vlookup_table!$A:$G,2,FALSE),"")</f>
        <v>1</v>
      </c>
      <c r="O2264">
        <f>IFERROR(VLOOKUP(A2264,vlookup_table!$A:$G,4,FALSE),"")</f>
        <v>0</v>
      </c>
      <c r="P2264" t="str">
        <f>IFERROR(VLOOKUP(A2264,vlookup_table!$A:$G,5,FALSE),"")</f>
        <v>R2</v>
      </c>
      <c r="Q2264">
        <f>IFERROR(VLOOKUP(A2264,vlookup_table!$A:$G,7,FALSE),"")</f>
        <v>20</v>
      </c>
      <c r="R2264">
        <f t="shared" si="140"/>
        <v>97</v>
      </c>
      <c r="S2264" t="str" cm="1">
        <f t="array" ref="S2264">IF(P2264="","",_xlfn.SWITCH(LEFT(P2264,1),"C","Ciudad","T","Pueblo","R","Rural","S","Suburbano","U","Urbano",""))</f>
        <v>Rural</v>
      </c>
      <c r="T2264" t="str">
        <f t="shared" si="141"/>
        <v>M</v>
      </c>
      <c r="U2264" t="str">
        <f t="shared" si="142"/>
        <v>IN</v>
      </c>
      <c r="V2264" t="str">
        <f t="shared" si="143"/>
        <v>10311</v>
      </c>
    </row>
    <row r="2265" spans="1:22" x14ac:dyDescent="0.35">
      <c r="A2265">
        <v>165719</v>
      </c>
      <c r="B2265" t="s">
        <v>22</v>
      </c>
      <c r="C2265" t="s">
        <v>17</v>
      </c>
      <c r="D2265">
        <v>3567</v>
      </c>
      <c r="E2265">
        <v>639</v>
      </c>
      <c r="F2265">
        <v>832</v>
      </c>
      <c r="G2265">
        <v>88</v>
      </c>
      <c r="H2265">
        <v>35491</v>
      </c>
      <c r="I2265">
        <v>6</v>
      </c>
      <c r="J2265">
        <v>46</v>
      </c>
      <c r="K2265">
        <v>739</v>
      </c>
      <c r="L2265">
        <v>710</v>
      </c>
      <c r="M2265">
        <v>3.411764706</v>
      </c>
      <c r="N2265">
        <f>IFERROR(VLOOKUP(A2265,vlookup_table!$A:$G,2,FALSE),"")</f>
        <v>0</v>
      </c>
      <c r="O2265">
        <f>IFERROR(VLOOKUP(A2265,vlookup_table!$A:$G,4,FALSE),"")</f>
        <v>4901</v>
      </c>
      <c r="P2265" t="str">
        <f>IFERROR(VLOOKUP(A2265,vlookup_table!$A:$G,5,FALSE),"")</f>
        <v>C1</v>
      </c>
      <c r="Q2265">
        <f>IFERROR(VLOOKUP(A2265,vlookup_table!$A:$G,7,FALSE),"")</f>
        <v>4</v>
      </c>
      <c r="R2265">
        <f t="shared" si="140"/>
        <v>48</v>
      </c>
      <c r="S2265" t="str" cm="1">
        <f t="array" ref="S2265">IF(P2265="","",_xlfn.SWITCH(LEFT(P2265,1),"C","Ciudad","T","Pueblo","R","Rural","S","Suburbano","U","Urbano",""))</f>
        <v>Ciudad</v>
      </c>
      <c r="T2265" t="str">
        <f t="shared" si="141"/>
        <v>F</v>
      </c>
      <c r="U2265" t="str">
        <f t="shared" si="142"/>
        <v>CA</v>
      </c>
      <c r="V2265" t="str">
        <f t="shared" si="143"/>
        <v>35491</v>
      </c>
    </row>
    <row r="2266" spans="1:22" x14ac:dyDescent="0.35">
      <c r="A2266">
        <v>171950</v>
      </c>
      <c r="B2266" t="s">
        <v>22</v>
      </c>
      <c r="C2266" t="s">
        <v>17</v>
      </c>
      <c r="D2266">
        <v>1444</v>
      </c>
      <c r="E2266">
        <v>439</v>
      </c>
      <c r="F2266">
        <v>485</v>
      </c>
      <c r="G2266">
        <v>10</v>
      </c>
      <c r="H2266">
        <v>16815</v>
      </c>
      <c r="I2266">
        <v>8</v>
      </c>
      <c r="J2266">
        <v>60</v>
      </c>
      <c r="K2266">
        <v>441</v>
      </c>
      <c r="L2266">
        <v>475</v>
      </c>
      <c r="M2266">
        <v>6.8</v>
      </c>
      <c r="N2266">
        <f>IFERROR(VLOOKUP(A2266,vlookup_table!$A:$G,2,FALSE),"")</f>
        <v>0</v>
      </c>
      <c r="O2266">
        <f>IFERROR(VLOOKUP(A2266,vlookup_table!$A:$G,4,FALSE),"")</f>
        <v>3001</v>
      </c>
      <c r="P2266" t="str">
        <f>IFERROR(VLOOKUP(A2266,vlookup_table!$A:$G,5,FALSE),"")</f>
        <v>S2</v>
      </c>
      <c r="Q2266">
        <f>IFERROR(VLOOKUP(A2266,vlookup_table!$A:$G,7,FALSE),"")</f>
        <v>10</v>
      </c>
      <c r="R2266">
        <f t="shared" si="140"/>
        <v>67</v>
      </c>
      <c r="S2266" t="str" cm="1">
        <f t="array" ref="S2266">IF(P2266="","",_xlfn.SWITCH(LEFT(P2266,1),"C","Ciudad","T","Pueblo","R","Rural","S","Suburbano","U","Urbano",""))</f>
        <v>Suburbano</v>
      </c>
      <c r="T2266" t="str">
        <f t="shared" si="141"/>
        <v>F</v>
      </c>
      <c r="U2266" t="str">
        <f t="shared" si="142"/>
        <v>CA</v>
      </c>
      <c r="V2266" t="str">
        <f t="shared" si="143"/>
        <v>16815</v>
      </c>
    </row>
    <row r="2267" spans="1:22" x14ac:dyDescent="0.35">
      <c r="A2267">
        <v>118367</v>
      </c>
      <c r="B2267" t="s">
        <v>21</v>
      </c>
      <c r="D2267">
        <v>462</v>
      </c>
      <c r="E2267">
        <v>214</v>
      </c>
      <c r="F2267">
        <v>311</v>
      </c>
      <c r="G2267">
        <v>0</v>
      </c>
      <c r="H2267">
        <v>10650</v>
      </c>
      <c r="I2267">
        <v>2</v>
      </c>
      <c r="J2267">
        <v>76</v>
      </c>
      <c r="K2267">
        <v>266</v>
      </c>
      <c r="L2267">
        <v>274</v>
      </c>
      <c r="M2267">
        <v>10</v>
      </c>
      <c r="N2267">
        <f>IFERROR(VLOOKUP(A2267,vlookup_table!$A:$G,2,FALSE),"")</f>
        <v>1</v>
      </c>
      <c r="O2267">
        <f>IFERROR(VLOOKUP(A2267,vlookup_table!$A:$G,4,FALSE),"")</f>
        <v>3701</v>
      </c>
      <c r="P2267" t="str">
        <f>IFERROR(VLOOKUP(A2267,vlookup_table!$A:$G,5,FALSE),"")</f>
        <v>R2</v>
      </c>
      <c r="Q2267">
        <f>IFERROR(VLOOKUP(A2267,vlookup_table!$A:$G,7,FALSE),"")</f>
        <v>19</v>
      </c>
      <c r="R2267">
        <f t="shared" si="140"/>
        <v>60</v>
      </c>
      <c r="S2267" t="str" cm="1">
        <f t="array" ref="S2267">IF(P2267="","",_xlfn.SWITCH(LEFT(P2267,1),"C","Ciudad","T","Pueblo","R","Rural","S","Suburbano","U","Urbano",""))</f>
        <v>Rural</v>
      </c>
      <c r="T2267" t="str">
        <f t="shared" si="141"/>
        <v/>
      </c>
      <c r="U2267" t="str">
        <f t="shared" si="142"/>
        <v>TX</v>
      </c>
      <c r="V2267" t="str">
        <f t="shared" si="143"/>
        <v>10650</v>
      </c>
    </row>
    <row r="2268" spans="1:22" x14ac:dyDescent="0.35">
      <c r="A2268">
        <v>41187</v>
      </c>
      <c r="B2268" t="s">
        <v>13</v>
      </c>
      <c r="C2268" t="s">
        <v>14</v>
      </c>
      <c r="D2268">
        <v>514</v>
      </c>
      <c r="E2268">
        <v>222</v>
      </c>
      <c r="F2268">
        <v>298</v>
      </c>
      <c r="G2268">
        <v>1</v>
      </c>
      <c r="H2268">
        <v>11184</v>
      </c>
      <c r="I2268">
        <v>9</v>
      </c>
      <c r="J2268">
        <v>53</v>
      </c>
      <c r="K2268">
        <v>258</v>
      </c>
      <c r="L2268">
        <v>268</v>
      </c>
      <c r="M2268">
        <v>15</v>
      </c>
      <c r="N2268">
        <f>IFERROR(VLOOKUP(A2268,vlookup_table!$A:$G,2,FALSE),"")</f>
        <v>0</v>
      </c>
      <c r="O2268">
        <f>IFERROR(VLOOKUP(A2268,vlookup_table!$A:$G,4,FALSE),"")</f>
        <v>0</v>
      </c>
      <c r="P2268" t="str">
        <f>IFERROR(VLOOKUP(A2268,vlookup_table!$A:$G,5,FALSE),"")</f>
        <v>U4</v>
      </c>
      <c r="Q2268">
        <f>IFERROR(VLOOKUP(A2268,vlookup_table!$A:$G,7,FALSE),"")</f>
        <v>15</v>
      </c>
      <c r="R2268">
        <f t="shared" si="140"/>
        <v>97</v>
      </c>
      <c r="S2268" t="str" cm="1">
        <f t="array" ref="S2268">IF(P2268="","",_xlfn.SWITCH(LEFT(P2268,1),"C","Ciudad","T","Pueblo","R","Rural","S","Suburbano","U","Urbano",""))</f>
        <v>Urbano</v>
      </c>
      <c r="T2268" t="str">
        <f t="shared" si="141"/>
        <v>M</v>
      </c>
      <c r="U2268" t="str">
        <f t="shared" si="142"/>
        <v>FL</v>
      </c>
      <c r="V2268" t="str">
        <f t="shared" si="143"/>
        <v>11184</v>
      </c>
    </row>
    <row r="2269" spans="1:22" x14ac:dyDescent="0.35">
      <c r="A2269">
        <v>132304</v>
      </c>
      <c r="B2269" t="s">
        <v>48</v>
      </c>
      <c r="C2269" t="s">
        <v>17</v>
      </c>
      <c r="D2269">
        <v>774</v>
      </c>
      <c r="E2269">
        <v>360</v>
      </c>
      <c r="F2269">
        <v>396</v>
      </c>
      <c r="G2269">
        <v>1</v>
      </c>
      <c r="H2269">
        <v>16493</v>
      </c>
      <c r="I2269">
        <v>0</v>
      </c>
      <c r="J2269">
        <v>36</v>
      </c>
      <c r="K2269">
        <v>367</v>
      </c>
      <c r="L2269">
        <v>392</v>
      </c>
      <c r="M2269">
        <v>5.8888888890000004</v>
      </c>
      <c r="N2269">
        <f>IFERROR(VLOOKUP(A2269,vlookup_table!$A:$G,2,FALSE),"")</f>
        <v>0</v>
      </c>
      <c r="O2269">
        <f>IFERROR(VLOOKUP(A2269,vlookup_table!$A:$G,4,FALSE),"")</f>
        <v>2001</v>
      </c>
      <c r="P2269" t="str">
        <f>IFERROR(VLOOKUP(A2269,vlookup_table!$A:$G,5,FALSE),"")</f>
        <v>T1</v>
      </c>
      <c r="Q2269">
        <f>IFERROR(VLOOKUP(A2269,vlookup_table!$A:$G,7,FALSE),"")</f>
        <v>10</v>
      </c>
      <c r="R2269">
        <f t="shared" si="140"/>
        <v>77</v>
      </c>
      <c r="S2269" t="str" cm="1">
        <f t="array" ref="S2269">IF(P2269="","",_xlfn.SWITCH(LEFT(P2269,1),"C","Ciudad","T","Pueblo","R","Rural","S","Suburbano","U","Urbano",""))</f>
        <v>Pueblo</v>
      </c>
      <c r="T2269" t="str">
        <f t="shared" si="141"/>
        <v>F</v>
      </c>
      <c r="U2269" t="str">
        <f t="shared" si="142"/>
        <v>CO</v>
      </c>
      <c r="V2269" t="str">
        <f t="shared" si="143"/>
        <v>16493</v>
      </c>
    </row>
    <row r="2270" spans="1:22" x14ac:dyDescent="0.35">
      <c r="A2270">
        <v>138944</v>
      </c>
      <c r="B2270" t="s">
        <v>55</v>
      </c>
      <c r="C2270" t="s">
        <v>60</v>
      </c>
      <c r="D2270">
        <v>1436</v>
      </c>
      <c r="E2270">
        <v>298</v>
      </c>
      <c r="F2270">
        <v>466</v>
      </c>
      <c r="G2270">
        <v>25</v>
      </c>
      <c r="H2270">
        <v>20792</v>
      </c>
      <c r="I2270">
        <v>9</v>
      </c>
      <c r="J2270">
        <v>12</v>
      </c>
      <c r="K2270">
        <v>378</v>
      </c>
      <c r="L2270">
        <v>395</v>
      </c>
      <c r="M2270">
        <v>7.5714285710000002</v>
      </c>
      <c r="N2270">
        <f>IFERROR(VLOOKUP(A2270,vlookup_table!$A:$G,2,FALSE),"")</f>
        <v>0</v>
      </c>
      <c r="O2270">
        <f>IFERROR(VLOOKUP(A2270,vlookup_table!$A:$G,4,FALSE),"")</f>
        <v>3201</v>
      </c>
      <c r="P2270" t="str">
        <f>IFERROR(VLOOKUP(A2270,vlookup_table!$A:$G,5,FALSE),"")</f>
        <v>C1</v>
      </c>
      <c r="Q2270">
        <f>IFERROR(VLOOKUP(A2270,vlookup_table!$A:$G,7,FALSE),"")</f>
        <v>11</v>
      </c>
      <c r="R2270">
        <f t="shared" si="140"/>
        <v>65</v>
      </c>
      <c r="S2270" t="str" cm="1">
        <f t="array" ref="S2270">IF(P2270="","",_xlfn.SWITCH(LEFT(P2270,1),"C","Ciudad","T","Pueblo","R","Rural","S","Suburbano","U","Urbano",""))</f>
        <v>Ciudad</v>
      </c>
      <c r="T2270" t="str">
        <f t="shared" si="141"/>
        <v>F</v>
      </c>
      <c r="U2270" t="str">
        <f t="shared" si="142"/>
        <v>AZ</v>
      </c>
      <c r="V2270" t="str">
        <f t="shared" si="143"/>
        <v>20792</v>
      </c>
    </row>
    <row r="2271" spans="1:22" x14ac:dyDescent="0.35">
      <c r="A2271">
        <v>161204</v>
      </c>
      <c r="B2271" t="s">
        <v>22</v>
      </c>
      <c r="C2271" t="s">
        <v>14</v>
      </c>
      <c r="D2271">
        <v>633</v>
      </c>
      <c r="E2271">
        <v>269</v>
      </c>
      <c r="F2271">
        <v>299</v>
      </c>
      <c r="G2271">
        <v>1</v>
      </c>
      <c r="H2271">
        <v>9551</v>
      </c>
      <c r="I2271">
        <v>12</v>
      </c>
      <c r="J2271">
        <v>64</v>
      </c>
      <c r="K2271">
        <v>273</v>
      </c>
      <c r="L2271">
        <v>291</v>
      </c>
      <c r="M2271">
        <v>25</v>
      </c>
      <c r="N2271">
        <f>IFERROR(VLOOKUP(A2271,vlookup_table!$A:$G,2,FALSE),"")</f>
        <v>1</v>
      </c>
      <c r="O2271">
        <f>IFERROR(VLOOKUP(A2271,vlookup_table!$A:$G,4,FALSE),"")</f>
        <v>0</v>
      </c>
      <c r="P2271" t="str">
        <f>IFERROR(VLOOKUP(A2271,vlookup_table!$A:$G,5,FALSE),"")</f>
        <v>R2</v>
      </c>
      <c r="Q2271">
        <f>IFERROR(VLOOKUP(A2271,vlookup_table!$A:$G,7,FALSE),"")</f>
        <v>20</v>
      </c>
      <c r="R2271">
        <f t="shared" si="140"/>
        <v>97</v>
      </c>
      <c r="S2271" t="str" cm="1">
        <f t="array" ref="S2271">IF(P2271="","",_xlfn.SWITCH(LEFT(P2271,1),"C","Ciudad","T","Pueblo","R","Rural","S","Suburbano","U","Urbano",""))</f>
        <v>Rural</v>
      </c>
      <c r="T2271" t="str">
        <f t="shared" si="141"/>
        <v>M</v>
      </c>
      <c r="U2271" t="str">
        <f t="shared" si="142"/>
        <v>CA</v>
      </c>
      <c r="V2271" t="str">
        <f t="shared" si="143"/>
        <v>9551</v>
      </c>
    </row>
    <row r="2272" spans="1:22" x14ac:dyDescent="0.35">
      <c r="A2272">
        <v>186579</v>
      </c>
      <c r="B2272" t="s">
        <v>22</v>
      </c>
      <c r="C2272" t="s">
        <v>17</v>
      </c>
      <c r="D2272">
        <v>1869</v>
      </c>
      <c r="E2272">
        <v>559</v>
      </c>
      <c r="F2272">
        <v>600</v>
      </c>
      <c r="G2272">
        <v>38</v>
      </c>
      <c r="H2272">
        <v>20539</v>
      </c>
      <c r="I2272">
        <v>5</v>
      </c>
      <c r="J2272">
        <v>61</v>
      </c>
      <c r="K2272">
        <v>560</v>
      </c>
      <c r="L2272">
        <v>577</v>
      </c>
      <c r="M2272">
        <v>6.1578947370000003</v>
      </c>
      <c r="N2272">
        <f>IFERROR(VLOOKUP(A2272,vlookup_table!$A:$G,2,FALSE),"")</f>
        <v>0</v>
      </c>
      <c r="O2272">
        <f>IFERROR(VLOOKUP(A2272,vlookup_table!$A:$G,4,FALSE),"")</f>
        <v>0</v>
      </c>
      <c r="P2272" t="str">
        <f>IFERROR(VLOOKUP(A2272,vlookup_table!$A:$G,5,FALSE),"")</f>
        <v>T2</v>
      </c>
      <c r="Q2272">
        <f>IFERROR(VLOOKUP(A2272,vlookup_table!$A:$G,7,FALSE),"")</f>
        <v>5</v>
      </c>
      <c r="R2272">
        <f t="shared" si="140"/>
        <v>97</v>
      </c>
      <c r="S2272" t="str" cm="1">
        <f t="array" ref="S2272">IF(P2272="","",_xlfn.SWITCH(LEFT(P2272,1),"C","Ciudad","T","Pueblo","R","Rural","S","Suburbano","U","Urbano",""))</f>
        <v>Pueblo</v>
      </c>
      <c r="T2272" t="str">
        <f t="shared" si="141"/>
        <v>F</v>
      </c>
      <c r="U2272" t="str">
        <f t="shared" si="142"/>
        <v>CA</v>
      </c>
      <c r="V2272" t="str">
        <f t="shared" si="143"/>
        <v>20539</v>
      </c>
    </row>
    <row r="2273" spans="1:22" x14ac:dyDescent="0.35">
      <c r="A2273">
        <v>11978</v>
      </c>
      <c r="B2273" t="s">
        <v>48</v>
      </c>
      <c r="C2273" t="s">
        <v>14</v>
      </c>
      <c r="D2273">
        <v>1213</v>
      </c>
      <c r="E2273">
        <v>363</v>
      </c>
      <c r="F2273">
        <v>493</v>
      </c>
      <c r="G2273">
        <v>19</v>
      </c>
      <c r="H2273">
        <v>18860</v>
      </c>
      <c r="I2273">
        <v>3</v>
      </c>
      <c r="J2273">
        <v>33</v>
      </c>
      <c r="K2273">
        <v>416</v>
      </c>
      <c r="L2273">
        <v>436</v>
      </c>
      <c r="M2273">
        <v>12.46076923</v>
      </c>
      <c r="N2273">
        <f>IFERROR(VLOOKUP(A2273,vlookup_table!$A:$G,2,FALSE),"")</f>
        <v>1</v>
      </c>
      <c r="O2273">
        <f>IFERROR(VLOOKUP(A2273,vlookup_table!$A:$G,4,FALSE),"")</f>
        <v>4401</v>
      </c>
      <c r="P2273" t="str">
        <f>IFERROR(VLOOKUP(A2273,vlookup_table!$A:$G,5,FALSE),"")</f>
        <v>R1</v>
      </c>
      <c r="Q2273">
        <f>IFERROR(VLOOKUP(A2273,vlookup_table!$A:$G,7,FALSE),"")</f>
        <v>15</v>
      </c>
      <c r="R2273">
        <f t="shared" si="140"/>
        <v>53</v>
      </c>
      <c r="S2273" t="str" cm="1">
        <f t="array" ref="S2273">IF(P2273="","",_xlfn.SWITCH(LEFT(P2273,1),"C","Ciudad","T","Pueblo","R","Rural","S","Suburbano","U","Urbano",""))</f>
        <v>Rural</v>
      </c>
      <c r="T2273" t="str">
        <f t="shared" si="141"/>
        <v>M</v>
      </c>
      <c r="U2273" t="str">
        <f t="shared" si="142"/>
        <v>CO</v>
      </c>
      <c r="V2273" t="str">
        <f t="shared" si="143"/>
        <v>18860</v>
      </c>
    </row>
    <row r="2274" spans="1:22" x14ac:dyDescent="0.35">
      <c r="A2274">
        <v>117711</v>
      </c>
      <c r="B2274" t="s">
        <v>21</v>
      </c>
      <c r="C2274" t="s">
        <v>17</v>
      </c>
      <c r="D2274">
        <v>271</v>
      </c>
      <c r="E2274">
        <v>114</v>
      </c>
      <c r="F2274">
        <v>258</v>
      </c>
      <c r="G2274">
        <v>0</v>
      </c>
      <c r="H2274">
        <v>7545</v>
      </c>
      <c r="I2274">
        <v>0</v>
      </c>
      <c r="J2274">
        <v>76</v>
      </c>
      <c r="K2274">
        <v>180</v>
      </c>
      <c r="L2274">
        <v>168</v>
      </c>
      <c r="M2274">
        <v>13.6</v>
      </c>
      <c r="N2274">
        <f>IFERROR(VLOOKUP(A2274,vlookup_table!$A:$G,2,FALSE),"")</f>
        <v>0</v>
      </c>
      <c r="O2274">
        <f>IFERROR(VLOOKUP(A2274,vlookup_table!$A:$G,4,FALSE),"")</f>
        <v>3004</v>
      </c>
      <c r="P2274" t="str">
        <f>IFERROR(VLOOKUP(A2274,vlookup_table!$A:$G,5,FALSE),"")</f>
        <v>C2</v>
      </c>
      <c r="Q2274">
        <f>IFERROR(VLOOKUP(A2274,vlookup_table!$A:$G,7,FALSE),"")</f>
        <v>16</v>
      </c>
      <c r="R2274">
        <f t="shared" si="140"/>
        <v>67</v>
      </c>
      <c r="S2274" t="str" cm="1">
        <f t="array" ref="S2274">IF(P2274="","",_xlfn.SWITCH(LEFT(P2274,1),"C","Ciudad","T","Pueblo","R","Rural","S","Suburbano","U","Urbano",""))</f>
        <v>Ciudad</v>
      </c>
      <c r="T2274" t="str">
        <f t="shared" si="141"/>
        <v>F</v>
      </c>
      <c r="U2274" t="str">
        <f t="shared" si="142"/>
        <v>TX</v>
      </c>
      <c r="V2274" t="str">
        <f t="shared" si="143"/>
        <v>7545</v>
      </c>
    </row>
    <row r="2275" spans="1:22" x14ac:dyDescent="0.35">
      <c r="A2275">
        <v>38924</v>
      </c>
      <c r="B2275" t="s">
        <v>13</v>
      </c>
      <c r="C2275" t="s">
        <v>14</v>
      </c>
      <c r="D2275">
        <v>740</v>
      </c>
      <c r="E2275">
        <v>314</v>
      </c>
      <c r="F2275">
        <v>348</v>
      </c>
      <c r="G2275">
        <v>0</v>
      </c>
      <c r="H2275">
        <v>11579</v>
      </c>
      <c r="I2275">
        <v>18</v>
      </c>
      <c r="J2275">
        <v>23</v>
      </c>
      <c r="K2275">
        <v>318</v>
      </c>
      <c r="L2275">
        <v>348</v>
      </c>
      <c r="M2275">
        <v>15</v>
      </c>
      <c r="N2275">
        <f>IFERROR(VLOOKUP(A2275,vlookup_table!$A:$G,2,FALSE),"")</f>
        <v>1</v>
      </c>
      <c r="O2275">
        <f>IFERROR(VLOOKUP(A2275,vlookup_table!$A:$G,4,FALSE),"")</f>
        <v>3201</v>
      </c>
      <c r="P2275" t="str">
        <f>IFERROR(VLOOKUP(A2275,vlookup_table!$A:$G,5,FALSE),"")</f>
        <v>U3</v>
      </c>
      <c r="Q2275">
        <f>IFERROR(VLOOKUP(A2275,vlookup_table!$A:$G,7,FALSE),"")</f>
        <v>20</v>
      </c>
      <c r="R2275">
        <f t="shared" si="140"/>
        <v>65</v>
      </c>
      <c r="S2275" t="str" cm="1">
        <f t="array" ref="S2275">IF(P2275="","",_xlfn.SWITCH(LEFT(P2275,1),"C","Ciudad","T","Pueblo","R","Rural","S","Suburbano","U","Urbano",""))</f>
        <v>Urbano</v>
      </c>
      <c r="T2275" t="str">
        <f t="shared" si="141"/>
        <v>M</v>
      </c>
      <c r="U2275" t="str">
        <f t="shared" si="142"/>
        <v>FL</v>
      </c>
      <c r="V2275" t="str">
        <f t="shared" si="143"/>
        <v>11579</v>
      </c>
    </row>
    <row r="2276" spans="1:22" x14ac:dyDescent="0.35">
      <c r="A2276">
        <v>47448</v>
      </c>
      <c r="B2276" t="s">
        <v>43</v>
      </c>
      <c r="C2276" t="s">
        <v>27</v>
      </c>
      <c r="D2276">
        <v>714</v>
      </c>
      <c r="E2276">
        <v>324</v>
      </c>
      <c r="F2276">
        <v>463</v>
      </c>
      <c r="G2276">
        <v>0</v>
      </c>
      <c r="H2276">
        <v>16087</v>
      </c>
      <c r="I2276">
        <v>3</v>
      </c>
      <c r="J2276">
        <v>81</v>
      </c>
      <c r="K2276">
        <v>463</v>
      </c>
      <c r="L2276">
        <v>383</v>
      </c>
      <c r="M2276">
        <v>4.5714285710000002</v>
      </c>
      <c r="N2276">
        <f>IFERROR(VLOOKUP(A2276,vlookup_table!$A:$G,2,FALSE),"")</f>
        <v>1</v>
      </c>
      <c r="O2276">
        <f>IFERROR(VLOOKUP(A2276,vlookup_table!$A:$G,4,FALSE),"")</f>
        <v>0</v>
      </c>
      <c r="P2276" t="str">
        <f>IFERROR(VLOOKUP(A2276,vlookup_table!$A:$G,5,FALSE),"")</f>
        <v>S2</v>
      </c>
      <c r="Q2276">
        <f>IFERROR(VLOOKUP(A2276,vlookup_table!$A:$G,7,FALSE),"")</f>
        <v>5</v>
      </c>
      <c r="R2276">
        <f t="shared" si="140"/>
        <v>97</v>
      </c>
      <c r="S2276" t="str" cm="1">
        <f t="array" ref="S2276">IF(P2276="","",_xlfn.SWITCH(LEFT(P2276,1),"C","Ciudad","T","Pueblo","R","Rural","S","Suburbano","U","Urbano",""))</f>
        <v>Suburbano</v>
      </c>
      <c r="T2276" t="str">
        <f t="shared" si="141"/>
        <v>M</v>
      </c>
      <c r="U2276" t="str">
        <f t="shared" si="142"/>
        <v>AL</v>
      </c>
      <c r="V2276" t="str">
        <f t="shared" si="143"/>
        <v>16087</v>
      </c>
    </row>
    <row r="2277" spans="1:22" x14ac:dyDescent="0.35">
      <c r="A2277">
        <v>182479</v>
      </c>
      <c r="B2277" t="s">
        <v>40</v>
      </c>
      <c r="C2277" t="s">
        <v>17</v>
      </c>
      <c r="D2277">
        <v>457</v>
      </c>
      <c r="E2277">
        <v>259</v>
      </c>
      <c r="F2277">
        <v>370</v>
      </c>
      <c r="G2277">
        <v>0</v>
      </c>
      <c r="H2277">
        <v>12804</v>
      </c>
      <c r="I2277">
        <v>4</v>
      </c>
      <c r="J2277">
        <v>63</v>
      </c>
      <c r="K2277">
        <v>323</v>
      </c>
      <c r="L2277">
        <v>308</v>
      </c>
      <c r="M2277">
        <v>6.8</v>
      </c>
      <c r="N2277">
        <f>IFERROR(VLOOKUP(A2277,vlookup_table!$A:$G,2,FALSE),"")</f>
        <v>28</v>
      </c>
      <c r="O2277">
        <f>IFERROR(VLOOKUP(A2277,vlookup_table!$A:$G,4,FALSE),"")</f>
        <v>0</v>
      </c>
      <c r="P2277" t="str">
        <f>IFERROR(VLOOKUP(A2277,vlookup_table!$A:$G,5,FALSE),"")</f>
        <v>T2</v>
      </c>
      <c r="Q2277">
        <f>IFERROR(VLOOKUP(A2277,vlookup_table!$A:$G,7,FALSE),"")</f>
        <v>15</v>
      </c>
      <c r="R2277">
        <f t="shared" si="140"/>
        <v>97</v>
      </c>
      <c r="S2277" t="str" cm="1">
        <f t="array" ref="S2277">IF(P2277="","",_xlfn.SWITCH(LEFT(P2277,1),"C","Ciudad","T","Pueblo","R","Rural","S","Suburbano","U","Urbano",""))</f>
        <v>Pueblo</v>
      </c>
      <c r="T2277" t="str">
        <f t="shared" si="141"/>
        <v>F</v>
      </c>
      <c r="U2277" t="str">
        <f t="shared" si="142"/>
        <v>WA</v>
      </c>
      <c r="V2277" t="str">
        <f t="shared" si="143"/>
        <v>12804</v>
      </c>
    </row>
    <row r="2278" spans="1:22" x14ac:dyDescent="0.35">
      <c r="A2278">
        <v>96075</v>
      </c>
      <c r="B2278" t="s">
        <v>16</v>
      </c>
      <c r="C2278" t="s">
        <v>14</v>
      </c>
      <c r="D2278">
        <v>568</v>
      </c>
      <c r="E2278">
        <v>220</v>
      </c>
      <c r="F2278">
        <v>353</v>
      </c>
      <c r="G2278">
        <v>0</v>
      </c>
      <c r="H2278">
        <v>12599</v>
      </c>
      <c r="I2278">
        <v>0</v>
      </c>
      <c r="J2278">
        <v>84</v>
      </c>
      <c r="K2278">
        <v>279</v>
      </c>
      <c r="L2278">
        <v>282</v>
      </c>
      <c r="M2278">
        <v>4.7</v>
      </c>
      <c r="N2278">
        <f>IFERROR(VLOOKUP(A2278,vlookup_table!$A:$G,2,FALSE),"")</f>
        <v>1</v>
      </c>
      <c r="O2278">
        <f>IFERROR(VLOOKUP(A2278,vlookup_table!$A:$G,4,FALSE),"")</f>
        <v>2402</v>
      </c>
      <c r="P2278" t="str">
        <f>IFERROR(VLOOKUP(A2278,vlookup_table!$A:$G,5,FALSE),"")</f>
        <v>T2</v>
      </c>
      <c r="Q2278">
        <f>IFERROR(VLOOKUP(A2278,vlookup_table!$A:$G,7,FALSE),"")</f>
        <v>5</v>
      </c>
      <c r="R2278">
        <f t="shared" si="140"/>
        <v>73</v>
      </c>
      <c r="S2278" t="str" cm="1">
        <f t="array" ref="S2278">IF(P2278="","",_xlfn.SWITCH(LEFT(P2278,1),"C","Ciudad","T","Pueblo","R","Rural","S","Suburbano","U","Urbano",""))</f>
        <v>Pueblo</v>
      </c>
      <c r="T2278" t="str">
        <f t="shared" si="141"/>
        <v>M</v>
      </c>
      <c r="U2278" t="str">
        <f t="shared" si="142"/>
        <v>IL</v>
      </c>
      <c r="V2278" t="str">
        <f t="shared" si="143"/>
        <v>12599</v>
      </c>
    </row>
    <row r="2279" spans="1:22" x14ac:dyDescent="0.35">
      <c r="A2279">
        <v>138997</v>
      </c>
      <c r="B2279" t="s">
        <v>55</v>
      </c>
      <c r="C2279" t="s">
        <v>14</v>
      </c>
      <c r="D2279">
        <v>480</v>
      </c>
      <c r="E2279">
        <v>173</v>
      </c>
      <c r="F2279">
        <v>235</v>
      </c>
      <c r="G2279">
        <v>1</v>
      </c>
      <c r="H2279">
        <v>9091</v>
      </c>
      <c r="I2279">
        <v>2</v>
      </c>
      <c r="J2279">
        <v>21</v>
      </c>
      <c r="K2279">
        <v>214</v>
      </c>
      <c r="L2279">
        <v>214</v>
      </c>
      <c r="M2279">
        <v>9.7142857140000007</v>
      </c>
      <c r="N2279">
        <f>IFERROR(VLOOKUP(A2279,vlookup_table!$A:$G,2,FALSE),"")</f>
        <v>1</v>
      </c>
      <c r="O2279">
        <f>IFERROR(VLOOKUP(A2279,vlookup_table!$A:$G,4,FALSE),"")</f>
        <v>2506</v>
      </c>
      <c r="P2279" t="str">
        <f>IFERROR(VLOOKUP(A2279,vlookup_table!$A:$G,5,FALSE),"")</f>
        <v>T3</v>
      </c>
      <c r="Q2279">
        <f>IFERROR(VLOOKUP(A2279,vlookup_table!$A:$G,7,FALSE),"")</f>
        <v>12</v>
      </c>
      <c r="R2279">
        <f t="shared" si="140"/>
        <v>72</v>
      </c>
      <c r="S2279" t="str" cm="1">
        <f t="array" ref="S2279">IF(P2279="","",_xlfn.SWITCH(LEFT(P2279,1),"C","Ciudad","T","Pueblo","R","Rural","S","Suburbano","U","Urbano",""))</f>
        <v>Pueblo</v>
      </c>
      <c r="T2279" t="str">
        <f t="shared" si="141"/>
        <v>M</v>
      </c>
      <c r="U2279" t="str">
        <f t="shared" si="142"/>
        <v>AZ</v>
      </c>
      <c r="V2279" t="str">
        <f t="shared" si="143"/>
        <v>9091</v>
      </c>
    </row>
    <row r="2280" spans="1:22" x14ac:dyDescent="0.35">
      <c r="A2280">
        <v>108989</v>
      </c>
      <c r="B2280" t="s">
        <v>49</v>
      </c>
      <c r="C2280" t="s">
        <v>17</v>
      </c>
      <c r="D2280">
        <v>1381</v>
      </c>
      <c r="E2280">
        <v>631</v>
      </c>
      <c r="F2280">
        <v>776</v>
      </c>
      <c r="G2280">
        <v>19</v>
      </c>
      <c r="H2280">
        <v>29012</v>
      </c>
      <c r="I2280">
        <v>1</v>
      </c>
      <c r="J2280">
        <v>64</v>
      </c>
      <c r="K2280">
        <v>672</v>
      </c>
      <c r="L2280">
        <v>718</v>
      </c>
      <c r="M2280">
        <v>15</v>
      </c>
      <c r="N2280">
        <f>IFERROR(VLOOKUP(A2280,vlookup_table!$A:$G,2,FALSE),"")</f>
        <v>0</v>
      </c>
      <c r="O2280">
        <f>IFERROR(VLOOKUP(A2280,vlookup_table!$A:$G,4,FALSE),"")</f>
        <v>5701</v>
      </c>
      <c r="P2280" t="str">
        <f>IFERROR(VLOOKUP(A2280,vlookup_table!$A:$G,5,FALSE),"")</f>
        <v>C1</v>
      </c>
      <c r="Q2280">
        <f>IFERROR(VLOOKUP(A2280,vlookup_table!$A:$G,7,FALSE),"")</f>
        <v>15</v>
      </c>
      <c r="R2280">
        <f t="shared" si="140"/>
        <v>40</v>
      </c>
      <c r="S2280" t="str" cm="1">
        <f t="array" ref="S2280">IF(P2280="","",_xlfn.SWITCH(LEFT(P2280,1),"C","Ciudad","T","Pueblo","R","Rural","S","Suburbano","U","Urbano",""))</f>
        <v>Ciudad</v>
      </c>
      <c r="T2280" t="str">
        <f t="shared" si="141"/>
        <v>F</v>
      </c>
      <c r="U2280" t="str">
        <f t="shared" si="142"/>
        <v>LA</v>
      </c>
      <c r="V2280" t="str">
        <f t="shared" si="143"/>
        <v>29012</v>
      </c>
    </row>
    <row r="2281" spans="1:22" x14ac:dyDescent="0.35">
      <c r="A2281">
        <v>87016</v>
      </c>
      <c r="B2281" t="s">
        <v>34</v>
      </c>
      <c r="C2281" t="s">
        <v>20</v>
      </c>
      <c r="D2281">
        <v>425</v>
      </c>
      <c r="E2281">
        <v>169</v>
      </c>
      <c r="F2281">
        <v>163</v>
      </c>
      <c r="G2281">
        <v>0</v>
      </c>
      <c r="H2281">
        <v>17618</v>
      </c>
      <c r="I2281">
        <v>0</v>
      </c>
      <c r="J2281">
        <v>70</v>
      </c>
      <c r="K2281">
        <v>163</v>
      </c>
      <c r="L2281">
        <v>277</v>
      </c>
      <c r="M2281">
        <v>22.833333329999999</v>
      </c>
      <c r="N2281">
        <f>IFERROR(VLOOKUP(A2281,vlookup_table!$A:$G,2,FALSE),"")</f>
        <v>2</v>
      </c>
      <c r="O2281">
        <f>IFERROR(VLOOKUP(A2281,vlookup_table!$A:$G,4,FALSE),"")</f>
        <v>0</v>
      </c>
      <c r="P2281" t="str">
        <f>IFERROR(VLOOKUP(A2281,vlookup_table!$A:$G,5,FALSE),"")</f>
        <v>R2</v>
      </c>
      <c r="Q2281">
        <f>IFERROR(VLOOKUP(A2281,vlookup_table!$A:$G,7,FALSE),"")</f>
        <v>23</v>
      </c>
      <c r="R2281">
        <f t="shared" si="140"/>
        <v>97</v>
      </c>
      <c r="S2281" t="str" cm="1">
        <f t="array" ref="S2281">IF(P2281="","",_xlfn.SWITCH(LEFT(P2281,1),"C","Ciudad","T","Pueblo","R","Rural","S","Suburbano","U","Urbano",""))</f>
        <v>Rural</v>
      </c>
      <c r="T2281" t="str">
        <f t="shared" si="141"/>
        <v>F</v>
      </c>
      <c r="U2281" t="str">
        <f t="shared" si="142"/>
        <v>MT</v>
      </c>
      <c r="V2281" t="str">
        <f t="shared" si="143"/>
        <v>17618</v>
      </c>
    </row>
    <row r="2282" spans="1:22" x14ac:dyDescent="0.35">
      <c r="A2282">
        <v>12666</v>
      </c>
      <c r="B2282" t="s">
        <v>55</v>
      </c>
      <c r="C2282" t="s">
        <v>14</v>
      </c>
      <c r="D2282">
        <v>863</v>
      </c>
      <c r="E2282">
        <v>274</v>
      </c>
      <c r="F2282">
        <v>446</v>
      </c>
      <c r="G2282">
        <v>0</v>
      </c>
      <c r="H2282">
        <v>22486</v>
      </c>
      <c r="I2282">
        <v>4</v>
      </c>
      <c r="J2282">
        <v>0</v>
      </c>
      <c r="K2282">
        <v>325</v>
      </c>
      <c r="L2282">
        <v>368</v>
      </c>
      <c r="M2282">
        <v>68.8</v>
      </c>
      <c r="N2282">
        <f>IFERROR(VLOOKUP(A2282,vlookup_table!$A:$G,2,FALSE),"")</f>
        <v>0</v>
      </c>
      <c r="O2282">
        <f>IFERROR(VLOOKUP(A2282,vlookup_table!$A:$G,4,FALSE),"")</f>
        <v>3201</v>
      </c>
      <c r="P2282" t="str">
        <f>IFERROR(VLOOKUP(A2282,vlookup_table!$A:$G,5,FALSE),"")</f>
        <v>T1</v>
      </c>
      <c r="Q2282">
        <f>IFERROR(VLOOKUP(A2282,vlookup_table!$A:$G,7,FALSE),"")</f>
        <v>75</v>
      </c>
      <c r="R2282">
        <f t="shared" si="140"/>
        <v>65</v>
      </c>
      <c r="S2282" t="str" cm="1">
        <f t="array" ref="S2282">IF(P2282="","",_xlfn.SWITCH(LEFT(P2282,1),"C","Ciudad","T","Pueblo","R","Rural","S","Suburbano","U","Urbano",""))</f>
        <v>Pueblo</v>
      </c>
      <c r="T2282" t="str">
        <f t="shared" si="141"/>
        <v>M</v>
      </c>
      <c r="U2282" t="str">
        <f t="shared" si="142"/>
        <v>AZ</v>
      </c>
      <c r="V2282" t="str">
        <f t="shared" si="143"/>
        <v>22486</v>
      </c>
    </row>
    <row r="2283" spans="1:22" x14ac:dyDescent="0.35">
      <c r="A2283">
        <v>34302</v>
      </c>
      <c r="B2283" t="s">
        <v>13</v>
      </c>
      <c r="C2283" t="s">
        <v>17</v>
      </c>
      <c r="D2283">
        <v>837</v>
      </c>
      <c r="E2283">
        <v>321</v>
      </c>
      <c r="F2283">
        <v>431</v>
      </c>
      <c r="G2283">
        <v>8</v>
      </c>
      <c r="H2283">
        <v>13796</v>
      </c>
      <c r="I2283">
        <v>3</v>
      </c>
      <c r="J2283">
        <v>49</v>
      </c>
      <c r="K2283">
        <v>341</v>
      </c>
      <c r="L2283">
        <v>397</v>
      </c>
      <c r="M2283">
        <v>11.47619048</v>
      </c>
      <c r="N2283">
        <f>IFERROR(VLOOKUP(A2283,vlookup_table!$A:$G,2,FALSE),"")</f>
        <v>0</v>
      </c>
      <c r="O2283">
        <f>IFERROR(VLOOKUP(A2283,vlookup_table!$A:$G,4,FALSE),"")</f>
        <v>2403</v>
      </c>
      <c r="P2283" t="str">
        <f>IFERROR(VLOOKUP(A2283,vlookup_table!$A:$G,5,FALSE),"")</f>
        <v>T2</v>
      </c>
      <c r="Q2283">
        <f>IFERROR(VLOOKUP(A2283,vlookup_table!$A:$G,7,FALSE),"")</f>
        <v>14</v>
      </c>
      <c r="R2283">
        <f t="shared" si="140"/>
        <v>73</v>
      </c>
      <c r="S2283" t="str" cm="1">
        <f t="array" ref="S2283">IF(P2283="","",_xlfn.SWITCH(LEFT(P2283,1),"C","Ciudad","T","Pueblo","R","Rural","S","Suburbano","U","Urbano",""))</f>
        <v>Pueblo</v>
      </c>
      <c r="T2283" t="str">
        <f t="shared" si="141"/>
        <v>F</v>
      </c>
      <c r="U2283" t="str">
        <f t="shared" si="142"/>
        <v>FL</v>
      </c>
      <c r="V2283" t="str">
        <f t="shared" si="143"/>
        <v>13796</v>
      </c>
    </row>
    <row r="2284" spans="1:22" x14ac:dyDescent="0.35">
      <c r="A2284">
        <v>3018</v>
      </c>
      <c r="B2284" t="s">
        <v>22</v>
      </c>
      <c r="C2284" t="s">
        <v>17</v>
      </c>
      <c r="D2284">
        <v>1429</v>
      </c>
      <c r="E2284">
        <v>260</v>
      </c>
      <c r="F2284">
        <v>329</v>
      </c>
      <c r="G2284">
        <v>12</v>
      </c>
      <c r="H2284">
        <v>9400</v>
      </c>
      <c r="I2284">
        <v>35</v>
      </c>
      <c r="J2284">
        <v>44</v>
      </c>
      <c r="K2284">
        <v>253</v>
      </c>
      <c r="L2284">
        <v>315</v>
      </c>
      <c r="M2284">
        <v>12</v>
      </c>
      <c r="N2284">
        <f>IFERROR(VLOOKUP(A2284,vlookup_table!$A:$G,2,FALSE),"")</f>
        <v>76</v>
      </c>
      <c r="O2284">
        <f>IFERROR(VLOOKUP(A2284,vlookup_table!$A:$G,4,FALSE),"")</f>
        <v>0</v>
      </c>
      <c r="P2284">
        <f>IFERROR(VLOOKUP(A2284,vlookup_table!$A:$G,5,FALSE),"")</f>
        <v>0</v>
      </c>
      <c r="Q2284">
        <f>IFERROR(VLOOKUP(A2284,vlookup_table!$A:$G,7,FALSE),"")</f>
        <v>25</v>
      </c>
      <c r="R2284">
        <f t="shared" si="140"/>
        <v>97</v>
      </c>
      <c r="S2284" t="str" cm="1">
        <f t="array" ref="S2284">IF(P2284="","",_xlfn.SWITCH(LEFT(P2284,1),"C","Ciudad","T","Pueblo","R","Rural","S","Suburbano","U","Urbano",""))</f>
        <v/>
      </c>
      <c r="T2284" t="str">
        <f t="shared" si="141"/>
        <v>F</v>
      </c>
      <c r="U2284" t="str">
        <f t="shared" si="142"/>
        <v>CA</v>
      </c>
      <c r="V2284" t="str">
        <f t="shared" si="143"/>
        <v>9400</v>
      </c>
    </row>
    <row r="2285" spans="1:22" x14ac:dyDescent="0.35">
      <c r="A2285">
        <v>145231</v>
      </c>
      <c r="B2285" t="s">
        <v>22</v>
      </c>
      <c r="D2285">
        <v>0</v>
      </c>
      <c r="E2285">
        <v>303</v>
      </c>
      <c r="F2285">
        <v>725</v>
      </c>
      <c r="G2285">
        <v>0</v>
      </c>
      <c r="H2285">
        <v>33139</v>
      </c>
      <c r="I2285">
        <v>22</v>
      </c>
      <c r="J2285">
        <v>16</v>
      </c>
      <c r="K2285">
        <v>664</v>
      </c>
      <c r="L2285">
        <v>388</v>
      </c>
      <c r="M2285">
        <v>5.4666666670000001</v>
      </c>
      <c r="N2285">
        <f>IFERROR(VLOOKUP(A2285,vlookup_table!$A:$G,2,FALSE),"")</f>
        <v>0</v>
      </c>
      <c r="O2285">
        <f>IFERROR(VLOOKUP(A2285,vlookup_table!$A:$G,4,FALSE),"")</f>
        <v>0</v>
      </c>
      <c r="P2285" t="str">
        <f>IFERROR(VLOOKUP(A2285,vlookup_table!$A:$G,5,FALSE),"")</f>
        <v>U2</v>
      </c>
      <c r="Q2285">
        <f>IFERROR(VLOOKUP(A2285,vlookup_table!$A:$G,7,FALSE),"")</f>
        <v>6</v>
      </c>
      <c r="R2285">
        <f t="shared" si="140"/>
        <v>97</v>
      </c>
      <c r="S2285" t="str" cm="1">
        <f t="array" ref="S2285">IF(P2285="","",_xlfn.SWITCH(LEFT(P2285,1),"C","Ciudad","T","Pueblo","R","Rural","S","Suburbano","U","Urbano",""))</f>
        <v>Urbano</v>
      </c>
      <c r="T2285" t="str">
        <f t="shared" si="141"/>
        <v/>
      </c>
      <c r="U2285" t="str">
        <f t="shared" si="142"/>
        <v>CA</v>
      </c>
      <c r="V2285" t="str">
        <f t="shared" si="143"/>
        <v>33139</v>
      </c>
    </row>
    <row r="2286" spans="1:22" x14ac:dyDescent="0.35">
      <c r="A2286">
        <v>152418</v>
      </c>
      <c r="B2286" t="s">
        <v>22</v>
      </c>
      <c r="C2286" t="s">
        <v>14</v>
      </c>
      <c r="D2286">
        <v>1637</v>
      </c>
      <c r="E2286">
        <v>345</v>
      </c>
      <c r="F2286">
        <v>454</v>
      </c>
      <c r="G2286">
        <v>33</v>
      </c>
      <c r="H2286">
        <v>15788</v>
      </c>
      <c r="I2286">
        <v>8</v>
      </c>
      <c r="J2286">
        <v>46</v>
      </c>
      <c r="K2286">
        <v>405</v>
      </c>
      <c r="L2286">
        <v>403</v>
      </c>
      <c r="M2286">
        <v>11.625</v>
      </c>
      <c r="N2286">
        <f>IFERROR(VLOOKUP(A2286,vlookup_table!$A:$G,2,FALSE),"")</f>
        <v>1</v>
      </c>
      <c r="O2286">
        <f>IFERROR(VLOOKUP(A2286,vlookup_table!$A:$G,4,FALSE),"")</f>
        <v>3101</v>
      </c>
      <c r="P2286" t="str">
        <f>IFERROR(VLOOKUP(A2286,vlookup_table!$A:$G,5,FALSE),"")</f>
        <v>R2</v>
      </c>
      <c r="Q2286">
        <f>IFERROR(VLOOKUP(A2286,vlookup_table!$A:$G,7,FALSE),"")</f>
        <v>12</v>
      </c>
      <c r="R2286">
        <f t="shared" si="140"/>
        <v>66</v>
      </c>
      <c r="S2286" t="str" cm="1">
        <f t="array" ref="S2286">IF(P2286="","",_xlfn.SWITCH(LEFT(P2286,1),"C","Ciudad","T","Pueblo","R","Rural","S","Suburbano","U","Urbano",""))</f>
        <v>Rural</v>
      </c>
      <c r="T2286" t="str">
        <f t="shared" si="141"/>
        <v>M</v>
      </c>
      <c r="U2286" t="str">
        <f t="shared" si="142"/>
        <v>CA</v>
      </c>
      <c r="V2286" t="str">
        <f t="shared" si="143"/>
        <v>15788</v>
      </c>
    </row>
    <row r="2287" spans="1:22" x14ac:dyDescent="0.35">
      <c r="A2287">
        <v>65061</v>
      </c>
      <c r="B2287" t="s">
        <v>29</v>
      </c>
      <c r="C2287" t="s">
        <v>14</v>
      </c>
      <c r="D2287">
        <v>1559</v>
      </c>
      <c r="E2287">
        <v>557</v>
      </c>
      <c r="F2287">
        <v>666</v>
      </c>
      <c r="G2287">
        <v>27</v>
      </c>
      <c r="H2287">
        <v>25181</v>
      </c>
      <c r="I2287">
        <v>7</v>
      </c>
      <c r="J2287">
        <v>80</v>
      </c>
      <c r="K2287">
        <v>621</v>
      </c>
      <c r="L2287">
        <v>604</v>
      </c>
      <c r="M2287">
        <v>20</v>
      </c>
      <c r="N2287">
        <f>IFERROR(VLOOKUP(A2287,vlookup_table!$A:$G,2,FALSE),"")</f>
        <v>0</v>
      </c>
      <c r="O2287">
        <f>IFERROR(VLOOKUP(A2287,vlookup_table!$A:$G,4,FALSE),"")</f>
        <v>5211</v>
      </c>
      <c r="P2287" t="str">
        <f>IFERROR(VLOOKUP(A2287,vlookup_table!$A:$G,5,FALSE),"")</f>
        <v>S1</v>
      </c>
      <c r="Q2287">
        <f>IFERROR(VLOOKUP(A2287,vlookup_table!$A:$G,7,FALSE),"")</f>
        <v>25</v>
      </c>
      <c r="R2287">
        <f t="shared" si="140"/>
        <v>45</v>
      </c>
      <c r="S2287" t="str" cm="1">
        <f t="array" ref="S2287">IF(P2287="","",_xlfn.SWITCH(LEFT(P2287,1),"C","Ciudad","T","Pueblo","R","Rural","S","Suburbano","U","Urbano",""))</f>
        <v>Suburbano</v>
      </c>
      <c r="T2287" t="str">
        <f t="shared" si="141"/>
        <v>M</v>
      </c>
      <c r="U2287" t="str">
        <f t="shared" si="142"/>
        <v>MI</v>
      </c>
      <c r="V2287" t="str">
        <f t="shared" si="143"/>
        <v>25181</v>
      </c>
    </row>
    <row r="2288" spans="1:22" x14ac:dyDescent="0.35">
      <c r="A2288">
        <v>72220</v>
      </c>
      <c r="B2288" t="s">
        <v>29</v>
      </c>
      <c r="C2288" t="s">
        <v>17</v>
      </c>
      <c r="D2288">
        <v>835</v>
      </c>
      <c r="E2288">
        <v>473</v>
      </c>
      <c r="F2288">
        <v>507</v>
      </c>
      <c r="G2288">
        <v>2</v>
      </c>
      <c r="H2288">
        <v>16227</v>
      </c>
      <c r="I2288">
        <v>5</v>
      </c>
      <c r="J2288">
        <v>67</v>
      </c>
      <c r="K2288">
        <v>497</v>
      </c>
      <c r="L2288">
        <v>477</v>
      </c>
      <c r="M2288">
        <v>9.375</v>
      </c>
      <c r="N2288">
        <f>IFERROR(VLOOKUP(A2288,vlookup_table!$A:$G,2,FALSE),"")</f>
        <v>2</v>
      </c>
      <c r="O2288">
        <f>IFERROR(VLOOKUP(A2288,vlookup_table!$A:$G,4,FALSE),"")</f>
        <v>2307</v>
      </c>
      <c r="P2288" t="str">
        <f>IFERROR(VLOOKUP(A2288,vlookup_table!$A:$G,5,FALSE),"")</f>
        <v>C1</v>
      </c>
      <c r="Q2288">
        <f>IFERROR(VLOOKUP(A2288,vlookup_table!$A:$G,7,FALSE),"")</f>
        <v>15</v>
      </c>
      <c r="R2288">
        <f t="shared" si="140"/>
        <v>74</v>
      </c>
      <c r="S2288" t="str" cm="1">
        <f t="array" ref="S2288">IF(P2288="","",_xlfn.SWITCH(LEFT(P2288,1),"C","Ciudad","T","Pueblo","R","Rural","S","Suburbano","U","Urbano",""))</f>
        <v>Ciudad</v>
      </c>
      <c r="T2288" t="str">
        <f t="shared" si="141"/>
        <v>F</v>
      </c>
      <c r="U2288" t="str">
        <f t="shared" si="142"/>
        <v>MI</v>
      </c>
      <c r="V2288" t="str">
        <f t="shared" si="143"/>
        <v>16227</v>
      </c>
    </row>
    <row r="2289" spans="1:22" x14ac:dyDescent="0.35">
      <c r="A2289">
        <v>112288</v>
      </c>
      <c r="B2289" t="s">
        <v>22</v>
      </c>
      <c r="C2289" t="s">
        <v>17</v>
      </c>
      <c r="D2289">
        <v>1259</v>
      </c>
      <c r="E2289">
        <v>389</v>
      </c>
      <c r="F2289">
        <v>458</v>
      </c>
      <c r="G2289">
        <v>13</v>
      </c>
      <c r="H2289">
        <v>15213</v>
      </c>
      <c r="I2289">
        <v>10</v>
      </c>
      <c r="J2289">
        <v>54</v>
      </c>
      <c r="K2289">
        <v>396</v>
      </c>
      <c r="L2289">
        <v>434</v>
      </c>
      <c r="M2289">
        <v>13.16666667</v>
      </c>
      <c r="N2289">
        <f>IFERROR(VLOOKUP(A2289,vlookup_table!$A:$G,2,FALSE),"")</f>
        <v>0</v>
      </c>
      <c r="O2289">
        <f>IFERROR(VLOOKUP(A2289,vlookup_table!$A:$G,4,FALSE),"")</f>
        <v>3001</v>
      </c>
      <c r="P2289" t="str">
        <f>IFERROR(VLOOKUP(A2289,vlookup_table!$A:$G,5,FALSE),"")</f>
        <v>R3</v>
      </c>
      <c r="Q2289">
        <f>IFERROR(VLOOKUP(A2289,vlookup_table!$A:$G,7,FALSE),"")</f>
        <v>12</v>
      </c>
      <c r="R2289">
        <f t="shared" si="140"/>
        <v>67</v>
      </c>
      <c r="S2289" t="str" cm="1">
        <f t="array" ref="S2289">IF(P2289="","",_xlfn.SWITCH(LEFT(P2289,1),"C","Ciudad","T","Pueblo","R","Rural","S","Suburbano","U","Urbano",""))</f>
        <v>Rural</v>
      </c>
      <c r="T2289" t="str">
        <f t="shared" si="141"/>
        <v>F</v>
      </c>
      <c r="U2289" t="str">
        <f t="shared" si="142"/>
        <v>CA</v>
      </c>
      <c r="V2289" t="str">
        <f t="shared" si="143"/>
        <v>15213</v>
      </c>
    </row>
    <row r="2290" spans="1:22" x14ac:dyDescent="0.35">
      <c r="A2290">
        <v>109539</v>
      </c>
      <c r="B2290" t="s">
        <v>49</v>
      </c>
      <c r="C2290" t="s">
        <v>17</v>
      </c>
      <c r="D2290">
        <v>599</v>
      </c>
      <c r="E2290">
        <v>271</v>
      </c>
      <c r="F2290">
        <v>352</v>
      </c>
      <c r="G2290">
        <v>0</v>
      </c>
      <c r="H2290">
        <v>11920</v>
      </c>
      <c r="I2290">
        <v>0</v>
      </c>
      <c r="J2290">
        <v>83</v>
      </c>
      <c r="K2290">
        <v>335</v>
      </c>
      <c r="L2290">
        <v>302</v>
      </c>
      <c r="M2290">
        <v>13.733333330000001</v>
      </c>
      <c r="N2290">
        <f>IFERROR(VLOOKUP(A2290,vlookup_table!$A:$G,2,FALSE),"")</f>
        <v>2</v>
      </c>
      <c r="O2290">
        <f>IFERROR(VLOOKUP(A2290,vlookup_table!$A:$G,4,FALSE),"")</f>
        <v>5212</v>
      </c>
      <c r="P2290" t="str">
        <f>IFERROR(VLOOKUP(A2290,vlookup_table!$A:$G,5,FALSE),"")</f>
        <v>T2</v>
      </c>
      <c r="Q2290">
        <f>IFERROR(VLOOKUP(A2290,vlookup_table!$A:$G,7,FALSE),"")</f>
        <v>20</v>
      </c>
      <c r="R2290">
        <f t="shared" si="140"/>
        <v>45</v>
      </c>
      <c r="S2290" t="str" cm="1">
        <f t="array" ref="S2290">IF(P2290="","",_xlfn.SWITCH(LEFT(P2290,1),"C","Ciudad","T","Pueblo","R","Rural","S","Suburbano","U","Urbano",""))</f>
        <v>Pueblo</v>
      </c>
      <c r="T2290" t="str">
        <f t="shared" si="141"/>
        <v>F</v>
      </c>
      <c r="U2290" t="str">
        <f t="shared" si="142"/>
        <v>LA</v>
      </c>
      <c r="V2290" t="str">
        <f t="shared" si="143"/>
        <v>11920</v>
      </c>
    </row>
    <row r="2291" spans="1:22" x14ac:dyDescent="0.35">
      <c r="A2291">
        <v>7836</v>
      </c>
      <c r="B2291" t="s">
        <v>22</v>
      </c>
      <c r="C2291" t="s">
        <v>14</v>
      </c>
      <c r="D2291">
        <v>2123</v>
      </c>
      <c r="E2291">
        <v>458</v>
      </c>
      <c r="F2291">
        <v>539</v>
      </c>
      <c r="G2291">
        <v>56</v>
      </c>
      <c r="H2291">
        <v>16611</v>
      </c>
      <c r="I2291">
        <v>11</v>
      </c>
      <c r="J2291">
        <v>49</v>
      </c>
      <c r="K2291">
        <v>480</v>
      </c>
      <c r="L2291">
        <v>517</v>
      </c>
      <c r="M2291">
        <v>24.11538462</v>
      </c>
      <c r="N2291">
        <f>IFERROR(VLOOKUP(A2291,vlookup_table!$A:$G,2,FALSE),"")</f>
        <v>1002</v>
      </c>
      <c r="O2291">
        <f>IFERROR(VLOOKUP(A2291,vlookup_table!$A:$G,4,FALSE),"")</f>
        <v>2201</v>
      </c>
      <c r="P2291" t="str">
        <f>IFERROR(VLOOKUP(A2291,vlookup_table!$A:$G,5,FALSE),"")</f>
        <v>T1</v>
      </c>
      <c r="Q2291">
        <f>IFERROR(VLOOKUP(A2291,vlookup_table!$A:$G,7,FALSE),"")</f>
        <v>25</v>
      </c>
      <c r="R2291">
        <f t="shared" si="140"/>
        <v>75</v>
      </c>
      <c r="S2291" t="str" cm="1">
        <f t="array" ref="S2291">IF(P2291="","",_xlfn.SWITCH(LEFT(P2291,1),"C","Ciudad","T","Pueblo","R","Rural","S","Suburbano","U","Urbano",""))</f>
        <v>Pueblo</v>
      </c>
      <c r="T2291" t="str">
        <f t="shared" si="141"/>
        <v>M</v>
      </c>
      <c r="U2291" t="str">
        <f t="shared" si="142"/>
        <v>CA</v>
      </c>
      <c r="V2291" t="str">
        <f t="shared" si="143"/>
        <v>16611</v>
      </c>
    </row>
    <row r="2292" spans="1:22" x14ac:dyDescent="0.35">
      <c r="A2292">
        <v>41448</v>
      </c>
      <c r="B2292" t="s">
        <v>13</v>
      </c>
      <c r="C2292" t="s">
        <v>17</v>
      </c>
      <c r="D2292">
        <v>1503</v>
      </c>
      <c r="E2292">
        <v>396</v>
      </c>
      <c r="F2292">
        <v>659</v>
      </c>
      <c r="G2292">
        <v>29</v>
      </c>
      <c r="H2292">
        <v>25969</v>
      </c>
      <c r="I2292">
        <v>8</v>
      </c>
      <c r="J2292">
        <v>33</v>
      </c>
      <c r="K2292">
        <v>572</v>
      </c>
      <c r="L2292">
        <v>519</v>
      </c>
      <c r="M2292">
        <v>9.8571428569999995</v>
      </c>
      <c r="N2292">
        <f>IFERROR(VLOOKUP(A2292,vlookup_table!$A:$G,2,FALSE),"")</f>
        <v>0</v>
      </c>
      <c r="O2292">
        <f>IFERROR(VLOOKUP(A2292,vlookup_table!$A:$G,4,FALSE),"")</f>
        <v>4206</v>
      </c>
      <c r="P2292" t="str">
        <f>IFERROR(VLOOKUP(A2292,vlookup_table!$A:$G,5,FALSE),"")</f>
        <v>U1</v>
      </c>
      <c r="Q2292">
        <f>IFERROR(VLOOKUP(A2292,vlookup_table!$A:$G,7,FALSE),"")</f>
        <v>15</v>
      </c>
      <c r="R2292">
        <f t="shared" si="140"/>
        <v>55</v>
      </c>
      <c r="S2292" t="str" cm="1">
        <f t="array" ref="S2292">IF(P2292="","",_xlfn.SWITCH(LEFT(P2292,1),"C","Ciudad","T","Pueblo","R","Rural","S","Suburbano","U","Urbano",""))</f>
        <v>Urbano</v>
      </c>
      <c r="T2292" t="str">
        <f t="shared" si="141"/>
        <v>F</v>
      </c>
      <c r="U2292" t="str">
        <f t="shared" si="142"/>
        <v>FL</v>
      </c>
      <c r="V2292" t="str">
        <f t="shared" si="143"/>
        <v>25969</v>
      </c>
    </row>
    <row r="2293" spans="1:22" x14ac:dyDescent="0.35">
      <c r="A2293">
        <v>110822</v>
      </c>
      <c r="B2293" t="s">
        <v>32</v>
      </c>
      <c r="C2293" t="s">
        <v>60</v>
      </c>
      <c r="D2293">
        <v>576</v>
      </c>
      <c r="E2293">
        <v>284</v>
      </c>
      <c r="F2293">
        <v>351</v>
      </c>
      <c r="G2293">
        <v>0</v>
      </c>
      <c r="H2293">
        <v>10860</v>
      </c>
      <c r="I2293">
        <v>1</v>
      </c>
      <c r="J2293">
        <v>78</v>
      </c>
      <c r="K2293">
        <v>311</v>
      </c>
      <c r="L2293">
        <v>326</v>
      </c>
      <c r="M2293">
        <v>12.4</v>
      </c>
      <c r="N2293">
        <f>IFERROR(VLOOKUP(A2293,vlookup_table!$A:$G,2,FALSE),"")</f>
        <v>2</v>
      </c>
      <c r="O2293">
        <f>IFERROR(VLOOKUP(A2293,vlookup_table!$A:$G,4,FALSE),"")</f>
        <v>0</v>
      </c>
      <c r="P2293" t="str">
        <f>IFERROR(VLOOKUP(A2293,vlookup_table!$A:$G,5,FALSE),"")</f>
        <v>C1</v>
      </c>
      <c r="Q2293">
        <f>IFERROR(VLOOKUP(A2293,vlookup_table!$A:$G,7,FALSE),"")</f>
        <v>20</v>
      </c>
      <c r="R2293">
        <f t="shared" si="140"/>
        <v>97</v>
      </c>
      <c r="S2293" t="str" cm="1">
        <f t="array" ref="S2293">IF(P2293="","",_xlfn.SWITCH(LEFT(P2293,1),"C","Ciudad","T","Pueblo","R","Rural","S","Suburbano","U","Urbano",""))</f>
        <v>Ciudad</v>
      </c>
      <c r="T2293" t="str">
        <f t="shared" si="141"/>
        <v>F</v>
      </c>
      <c r="U2293" t="str">
        <f t="shared" si="142"/>
        <v>AR</v>
      </c>
      <c r="V2293" t="str">
        <f t="shared" si="143"/>
        <v>10860</v>
      </c>
    </row>
    <row r="2294" spans="1:22" x14ac:dyDescent="0.35">
      <c r="A2294">
        <v>66163</v>
      </c>
      <c r="B2294" t="s">
        <v>29</v>
      </c>
      <c r="C2294" t="s">
        <v>17</v>
      </c>
      <c r="D2294">
        <v>922</v>
      </c>
      <c r="E2294">
        <v>448</v>
      </c>
      <c r="F2294">
        <v>526</v>
      </c>
      <c r="G2294">
        <v>1</v>
      </c>
      <c r="H2294">
        <v>20513</v>
      </c>
      <c r="I2294">
        <v>2</v>
      </c>
      <c r="J2294">
        <v>77</v>
      </c>
      <c r="K2294">
        <v>481</v>
      </c>
      <c r="L2294">
        <v>504</v>
      </c>
      <c r="M2294">
        <v>10.5</v>
      </c>
      <c r="N2294">
        <f>IFERROR(VLOOKUP(A2294,vlookup_table!$A:$G,2,FALSE),"")</f>
        <v>2</v>
      </c>
      <c r="O2294">
        <f>IFERROR(VLOOKUP(A2294,vlookup_table!$A:$G,4,FALSE),"")</f>
        <v>0</v>
      </c>
      <c r="P2294" t="str">
        <f>IFERROR(VLOOKUP(A2294,vlookup_table!$A:$G,5,FALSE),"")</f>
        <v>S1</v>
      </c>
      <c r="Q2294">
        <f>IFERROR(VLOOKUP(A2294,vlookup_table!$A:$G,7,FALSE),"")</f>
        <v>10</v>
      </c>
      <c r="R2294">
        <f t="shared" si="140"/>
        <v>97</v>
      </c>
      <c r="S2294" t="str" cm="1">
        <f t="array" ref="S2294">IF(P2294="","",_xlfn.SWITCH(LEFT(P2294,1),"C","Ciudad","T","Pueblo","R","Rural","S","Suburbano","U","Urbano",""))</f>
        <v>Suburbano</v>
      </c>
      <c r="T2294" t="str">
        <f t="shared" si="141"/>
        <v>F</v>
      </c>
      <c r="U2294" t="str">
        <f t="shared" si="142"/>
        <v>MI</v>
      </c>
      <c r="V2294" t="str">
        <f t="shared" si="143"/>
        <v>20513</v>
      </c>
    </row>
    <row r="2295" spans="1:22" x14ac:dyDescent="0.35">
      <c r="A2295">
        <v>6183</v>
      </c>
      <c r="B2295" t="s">
        <v>40</v>
      </c>
      <c r="C2295" t="s">
        <v>51</v>
      </c>
      <c r="D2295">
        <v>1598</v>
      </c>
      <c r="E2295">
        <v>510</v>
      </c>
      <c r="F2295">
        <v>568</v>
      </c>
      <c r="G2295">
        <v>9</v>
      </c>
      <c r="H2295">
        <v>17443</v>
      </c>
      <c r="I2295">
        <v>6</v>
      </c>
      <c r="J2295">
        <v>42</v>
      </c>
      <c r="K2295">
        <v>514</v>
      </c>
      <c r="L2295">
        <v>557</v>
      </c>
      <c r="M2295">
        <v>25.8</v>
      </c>
      <c r="N2295">
        <f>IFERROR(VLOOKUP(A2295,vlookup_table!$A:$G,2,FALSE),"")</f>
        <v>1</v>
      </c>
      <c r="O2295">
        <f>IFERROR(VLOOKUP(A2295,vlookup_table!$A:$G,4,FALSE),"")</f>
        <v>2409</v>
      </c>
      <c r="P2295">
        <f>IFERROR(VLOOKUP(A2295,vlookup_table!$A:$G,5,FALSE),"")</f>
        <v>0</v>
      </c>
      <c r="Q2295">
        <f>IFERROR(VLOOKUP(A2295,vlookup_table!$A:$G,7,FALSE),"")</f>
        <v>100</v>
      </c>
      <c r="R2295">
        <f t="shared" si="140"/>
        <v>73</v>
      </c>
      <c r="S2295" t="str" cm="1">
        <f t="array" ref="S2295">IF(P2295="","",_xlfn.SWITCH(LEFT(P2295,1),"C","Ciudad","T","Pueblo","R","Rural","S","Suburbano","U","Urbano",""))</f>
        <v/>
      </c>
      <c r="T2295" t="str">
        <f t="shared" si="141"/>
        <v>M</v>
      </c>
      <c r="U2295" t="str">
        <f t="shared" si="142"/>
        <v>WA</v>
      </c>
      <c r="V2295" t="str">
        <f t="shared" si="143"/>
        <v>17443</v>
      </c>
    </row>
    <row r="2296" spans="1:22" x14ac:dyDescent="0.35">
      <c r="A2296">
        <v>124787</v>
      </c>
      <c r="B2296" t="s">
        <v>21</v>
      </c>
      <c r="C2296" t="s">
        <v>17</v>
      </c>
      <c r="D2296">
        <v>626</v>
      </c>
      <c r="E2296">
        <v>235</v>
      </c>
      <c r="F2296">
        <v>272</v>
      </c>
      <c r="G2296">
        <v>2</v>
      </c>
      <c r="H2296">
        <v>7918</v>
      </c>
      <c r="I2296">
        <v>22</v>
      </c>
      <c r="J2296">
        <v>68</v>
      </c>
      <c r="K2296">
        <v>246</v>
      </c>
      <c r="L2296">
        <v>258</v>
      </c>
      <c r="M2296">
        <v>15</v>
      </c>
      <c r="N2296">
        <f>IFERROR(VLOOKUP(A2296,vlookup_table!$A:$G,2,FALSE),"")</f>
        <v>0</v>
      </c>
      <c r="O2296">
        <f>IFERROR(VLOOKUP(A2296,vlookup_table!$A:$G,4,FALSE),"")</f>
        <v>0</v>
      </c>
      <c r="P2296" t="str">
        <f>IFERROR(VLOOKUP(A2296,vlookup_table!$A:$G,5,FALSE),"")</f>
        <v>S2</v>
      </c>
      <c r="Q2296">
        <f>IFERROR(VLOOKUP(A2296,vlookup_table!$A:$G,7,FALSE),"")</f>
        <v>20</v>
      </c>
      <c r="R2296">
        <f t="shared" si="140"/>
        <v>97</v>
      </c>
      <c r="S2296" t="str" cm="1">
        <f t="array" ref="S2296">IF(P2296="","",_xlfn.SWITCH(LEFT(P2296,1),"C","Ciudad","T","Pueblo","R","Rural","S","Suburbano","U","Urbano",""))</f>
        <v>Suburbano</v>
      </c>
      <c r="T2296" t="str">
        <f t="shared" si="141"/>
        <v>F</v>
      </c>
      <c r="U2296" t="str">
        <f t="shared" si="142"/>
        <v>TX</v>
      </c>
      <c r="V2296" t="str">
        <f t="shared" si="143"/>
        <v>7918</v>
      </c>
    </row>
    <row r="2297" spans="1:22" x14ac:dyDescent="0.35">
      <c r="A2297">
        <v>109644</v>
      </c>
      <c r="B2297" t="s">
        <v>13</v>
      </c>
      <c r="C2297" t="s">
        <v>44</v>
      </c>
      <c r="D2297">
        <v>546</v>
      </c>
      <c r="E2297">
        <v>250</v>
      </c>
      <c r="F2297">
        <v>270</v>
      </c>
      <c r="G2297">
        <v>0</v>
      </c>
      <c r="H2297">
        <v>10078</v>
      </c>
      <c r="I2297">
        <v>8</v>
      </c>
      <c r="J2297">
        <v>27</v>
      </c>
      <c r="K2297">
        <v>258</v>
      </c>
      <c r="L2297">
        <v>262</v>
      </c>
      <c r="M2297">
        <v>12.07692308</v>
      </c>
      <c r="N2297">
        <f>IFERROR(VLOOKUP(A2297,vlookup_table!$A:$G,2,FALSE),"")</f>
        <v>1002</v>
      </c>
      <c r="O2297">
        <f>IFERROR(VLOOKUP(A2297,vlookup_table!$A:$G,4,FALSE),"")</f>
        <v>2509</v>
      </c>
      <c r="P2297" t="str">
        <f>IFERROR(VLOOKUP(A2297,vlookup_table!$A:$G,5,FALSE),"")</f>
        <v>T2</v>
      </c>
      <c r="Q2297">
        <f>IFERROR(VLOOKUP(A2297,vlookup_table!$A:$G,7,FALSE),"")</f>
        <v>5</v>
      </c>
      <c r="R2297">
        <f t="shared" si="140"/>
        <v>72</v>
      </c>
      <c r="S2297" t="str" cm="1">
        <f t="array" ref="S2297">IF(P2297="","",_xlfn.SWITCH(LEFT(P2297,1),"C","Ciudad","T","Pueblo","R","Rural","S","Suburbano","U","Urbano",""))</f>
        <v>Pueblo</v>
      </c>
      <c r="T2297" t="str">
        <f t="shared" si="141"/>
        <v>J</v>
      </c>
      <c r="U2297" t="str">
        <f t="shared" si="142"/>
        <v>FL</v>
      </c>
      <c r="V2297" t="str">
        <f t="shared" si="143"/>
        <v>10078</v>
      </c>
    </row>
    <row r="2298" spans="1:22" x14ac:dyDescent="0.35">
      <c r="A2298">
        <v>105650</v>
      </c>
      <c r="B2298" t="s">
        <v>28</v>
      </c>
      <c r="C2298" t="s">
        <v>17</v>
      </c>
      <c r="D2298">
        <v>491</v>
      </c>
      <c r="E2298">
        <v>325</v>
      </c>
      <c r="F2298">
        <v>356</v>
      </c>
      <c r="G2298">
        <v>0</v>
      </c>
      <c r="H2298">
        <v>13143</v>
      </c>
      <c r="I2298">
        <v>0</v>
      </c>
      <c r="J2298">
        <v>74</v>
      </c>
      <c r="K2298">
        <v>342</v>
      </c>
      <c r="L2298">
        <v>334</v>
      </c>
      <c r="M2298">
        <v>4.3333333329999997</v>
      </c>
      <c r="N2298">
        <f>IFERROR(VLOOKUP(A2298,vlookup_table!$A:$G,2,FALSE),"")</f>
        <v>0</v>
      </c>
      <c r="O2298">
        <f>IFERROR(VLOOKUP(A2298,vlookup_table!$A:$G,4,FALSE),"")</f>
        <v>1901</v>
      </c>
      <c r="P2298" t="str">
        <f>IFERROR(VLOOKUP(A2298,vlookup_table!$A:$G,5,FALSE),"")</f>
        <v>T2</v>
      </c>
      <c r="Q2298">
        <f>IFERROR(VLOOKUP(A2298,vlookup_table!$A:$G,7,FALSE),"")</f>
        <v>10</v>
      </c>
      <c r="R2298">
        <f t="shared" si="140"/>
        <v>78</v>
      </c>
      <c r="S2298" t="str" cm="1">
        <f t="array" ref="S2298">IF(P2298="","",_xlfn.SWITCH(LEFT(P2298,1),"C","Ciudad","T","Pueblo","R","Rural","S","Suburbano","U","Urbano",""))</f>
        <v>Pueblo</v>
      </c>
      <c r="T2298" t="str">
        <f t="shared" si="141"/>
        <v>F</v>
      </c>
      <c r="U2298" t="str">
        <f t="shared" si="142"/>
        <v>KS</v>
      </c>
      <c r="V2298" t="str">
        <f t="shared" si="143"/>
        <v>13143</v>
      </c>
    </row>
    <row r="2299" spans="1:22" x14ac:dyDescent="0.35">
      <c r="A2299">
        <v>45982</v>
      </c>
      <c r="B2299" t="s">
        <v>13</v>
      </c>
      <c r="C2299" t="s">
        <v>17</v>
      </c>
      <c r="D2299">
        <v>607</v>
      </c>
      <c r="E2299">
        <v>285</v>
      </c>
      <c r="F2299">
        <v>362</v>
      </c>
      <c r="G2299">
        <v>1</v>
      </c>
      <c r="H2299">
        <v>12378</v>
      </c>
      <c r="I2299">
        <v>2</v>
      </c>
      <c r="J2299">
        <v>29</v>
      </c>
      <c r="K2299">
        <v>344</v>
      </c>
      <c r="L2299">
        <v>331</v>
      </c>
      <c r="M2299">
        <v>8</v>
      </c>
      <c r="N2299">
        <f>IFERROR(VLOOKUP(A2299,vlookup_table!$A:$G,2,FALSE),"")</f>
        <v>0</v>
      </c>
      <c r="O2299">
        <f>IFERROR(VLOOKUP(A2299,vlookup_table!$A:$G,4,FALSE),"")</f>
        <v>0</v>
      </c>
      <c r="P2299" t="str">
        <f>IFERROR(VLOOKUP(A2299,vlookup_table!$A:$G,5,FALSE),"")</f>
        <v>T2</v>
      </c>
      <c r="Q2299">
        <f>IFERROR(VLOOKUP(A2299,vlookup_table!$A:$G,7,FALSE),"")</f>
        <v>15</v>
      </c>
      <c r="R2299">
        <f t="shared" si="140"/>
        <v>97</v>
      </c>
      <c r="S2299" t="str" cm="1">
        <f t="array" ref="S2299">IF(P2299="","",_xlfn.SWITCH(LEFT(P2299,1),"C","Ciudad","T","Pueblo","R","Rural","S","Suburbano","U","Urbano",""))</f>
        <v>Pueblo</v>
      </c>
      <c r="T2299" t="str">
        <f t="shared" si="141"/>
        <v>F</v>
      </c>
      <c r="U2299" t="str">
        <f t="shared" si="142"/>
        <v>FL</v>
      </c>
      <c r="V2299" t="str">
        <f t="shared" si="143"/>
        <v>12378</v>
      </c>
    </row>
    <row r="2300" spans="1:22" x14ac:dyDescent="0.35">
      <c r="A2300">
        <v>14437</v>
      </c>
      <c r="B2300" t="s">
        <v>48</v>
      </c>
      <c r="C2300" t="s">
        <v>14</v>
      </c>
      <c r="D2300">
        <v>844</v>
      </c>
      <c r="E2300">
        <v>350</v>
      </c>
      <c r="F2300">
        <v>393</v>
      </c>
      <c r="G2300">
        <v>0</v>
      </c>
      <c r="H2300">
        <v>13175</v>
      </c>
      <c r="I2300">
        <v>1</v>
      </c>
      <c r="J2300">
        <v>49</v>
      </c>
      <c r="K2300">
        <v>356</v>
      </c>
      <c r="L2300">
        <v>386</v>
      </c>
      <c r="M2300">
        <v>8.3448275859999992</v>
      </c>
      <c r="N2300">
        <f>IFERROR(VLOOKUP(A2300,vlookup_table!$A:$G,2,FALSE),"")</f>
        <v>1</v>
      </c>
      <c r="O2300">
        <f>IFERROR(VLOOKUP(A2300,vlookup_table!$A:$G,4,FALSE),"")</f>
        <v>2705</v>
      </c>
      <c r="P2300" t="str">
        <f>IFERROR(VLOOKUP(A2300,vlookup_table!$A:$G,5,FALSE),"")</f>
        <v>S2</v>
      </c>
      <c r="Q2300">
        <f>IFERROR(VLOOKUP(A2300,vlookup_table!$A:$G,7,FALSE),"")</f>
        <v>20</v>
      </c>
      <c r="R2300">
        <f t="shared" si="140"/>
        <v>70</v>
      </c>
      <c r="S2300" t="str" cm="1">
        <f t="array" ref="S2300">IF(P2300="","",_xlfn.SWITCH(LEFT(P2300,1),"C","Ciudad","T","Pueblo","R","Rural","S","Suburbano","U","Urbano",""))</f>
        <v>Suburbano</v>
      </c>
      <c r="T2300" t="str">
        <f t="shared" si="141"/>
        <v>M</v>
      </c>
      <c r="U2300" t="str">
        <f t="shared" si="142"/>
        <v>CO</v>
      </c>
      <c r="V2300" t="str">
        <f t="shared" si="143"/>
        <v>13175</v>
      </c>
    </row>
    <row r="2301" spans="1:22" x14ac:dyDescent="0.35">
      <c r="A2301">
        <v>10399</v>
      </c>
      <c r="B2301" t="s">
        <v>59</v>
      </c>
      <c r="C2301" t="s">
        <v>17</v>
      </c>
      <c r="D2301">
        <v>275</v>
      </c>
      <c r="E2301">
        <v>192</v>
      </c>
      <c r="F2301">
        <v>338</v>
      </c>
      <c r="G2301">
        <v>0</v>
      </c>
      <c r="H2301">
        <v>11164</v>
      </c>
      <c r="I2301">
        <v>0</v>
      </c>
      <c r="J2301">
        <v>89</v>
      </c>
      <c r="K2301">
        <v>252</v>
      </c>
      <c r="L2301">
        <v>286</v>
      </c>
      <c r="M2301">
        <v>10</v>
      </c>
      <c r="N2301">
        <f>IFERROR(VLOOKUP(A2301,vlookup_table!$A:$G,2,FALSE),"")</f>
        <v>2</v>
      </c>
      <c r="O2301">
        <f>IFERROR(VLOOKUP(A2301,vlookup_table!$A:$G,4,FALSE),"")</f>
        <v>0</v>
      </c>
      <c r="P2301" t="str">
        <f>IFERROR(VLOOKUP(A2301,vlookup_table!$A:$G,5,FALSE),"")</f>
        <v>R2</v>
      </c>
      <c r="Q2301">
        <f>IFERROR(VLOOKUP(A2301,vlookup_table!$A:$G,7,FALSE),"")</f>
        <v>10</v>
      </c>
      <c r="R2301">
        <f t="shared" si="140"/>
        <v>97</v>
      </c>
      <c r="S2301" t="str" cm="1">
        <f t="array" ref="S2301">IF(P2301="","",_xlfn.SWITCH(LEFT(P2301,1),"C","Ciudad","T","Pueblo","R","Rural","S","Suburbano","U","Urbano",""))</f>
        <v>Rural</v>
      </c>
      <c r="T2301" t="str">
        <f t="shared" si="141"/>
        <v>F</v>
      </c>
      <c r="U2301" t="str">
        <f t="shared" si="142"/>
        <v>NE</v>
      </c>
      <c r="V2301" t="str">
        <f t="shared" si="143"/>
        <v>11164</v>
      </c>
    </row>
    <row r="2302" spans="1:22" x14ac:dyDescent="0.35">
      <c r="A2302">
        <v>151828</v>
      </c>
      <c r="B2302" t="s">
        <v>22</v>
      </c>
      <c r="C2302" t="s">
        <v>14</v>
      </c>
      <c r="D2302">
        <v>956</v>
      </c>
      <c r="E2302">
        <v>190</v>
      </c>
      <c r="F2302">
        <v>303</v>
      </c>
      <c r="G2302">
        <v>4</v>
      </c>
      <c r="H2302">
        <v>8899</v>
      </c>
      <c r="I2302">
        <v>27</v>
      </c>
      <c r="J2302">
        <v>44</v>
      </c>
      <c r="K2302">
        <v>278</v>
      </c>
      <c r="L2302">
        <v>257</v>
      </c>
      <c r="M2302">
        <v>9.6666666669999994</v>
      </c>
      <c r="N2302">
        <f>IFERROR(VLOOKUP(A2302,vlookup_table!$A:$G,2,FALSE),"")</f>
        <v>1</v>
      </c>
      <c r="O2302">
        <f>IFERROR(VLOOKUP(A2302,vlookup_table!$A:$G,4,FALSE),"")</f>
        <v>2701</v>
      </c>
      <c r="P2302" t="str">
        <f>IFERROR(VLOOKUP(A2302,vlookup_table!$A:$G,5,FALSE),"")</f>
        <v>U4</v>
      </c>
      <c r="Q2302">
        <f>IFERROR(VLOOKUP(A2302,vlookup_table!$A:$G,7,FALSE),"")</f>
        <v>10</v>
      </c>
      <c r="R2302">
        <f t="shared" si="140"/>
        <v>70</v>
      </c>
      <c r="S2302" t="str" cm="1">
        <f t="array" ref="S2302">IF(P2302="","",_xlfn.SWITCH(LEFT(P2302,1),"C","Ciudad","T","Pueblo","R","Rural","S","Suburbano","U","Urbano",""))</f>
        <v>Urbano</v>
      </c>
      <c r="T2302" t="str">
        <f t="shared" si="141"/>
        <v>M</v>
      </c>
      <c r="U2302" t="str">
        <f t="shared" si="142"/>
        <v>CA</v>
      </c>
      <c r="V2302" t="str">
        <f t="shared" si="143"/>
        <v>8899</v>
      </c>
    </row>
    <row r="2303" spans="1:22" x14ac:dyDescent="0.35">
      <c r="A2303">
        <v>162606</v>
      </c>
      <c r="B2303" t="s">
        <v>22</v>
      </c>
      <c r="C2303" t="s">
        <v>17</v>
      </c>
      <c r="D2303">
        <v>2653</v>
      </c>
      <c r="E2303">
        <v>418</v>
      </c>
      <c r="F2303">
        <v>444</v>
      </c>
      <c r="G2303">
        <v>86</v>
      </c>
      <c r="H2303">
        <v>13440</v>
      </c>
      <c r="I2303">
        <v>31</v>
      </c>
      <c r="J2303">
        <v>50</v>
      </c>
      <c r="K2303">
        <v>417</v>
      </c>
      <c r="L2303">
        <v>448</v>
      </c>
      <c r="M2303">
        <v>12.5</v>
      </c>
      <c r="N2303">
        <f>IFERROR(VLOOKUP(A2303,vlookup_table!$A:$G,2,FALSE),"")</f>
        <v>0</v>
      </c>
      <c r="O2303">
        <f>IFERROR(VLOOKUP(A2303,vlookup_table!$A:$G,4,FALSE),"")</f>
        <v>4301</v>
      </c>
      <c r="P2303" t="str">
        <f>IFERROR(VLOOKUP(A2303,vlookup_table!$A:$G,5,FALSE),"")</f>
        <v>S2</v>
      </c>
      <c r="Q2303">
        <f>IFERROR(VLOOKUP(A2303,vlookup_table!$A:$G,7,FALSE),"")</f>
        <v>9</v>
      </c>
      <c r="R2303">
        <f t="shared" si="140"/>
        <v>54</v>
      </c>
      <c r="S2303" t="str" cm="1">
        <f t="array" ref="S2303">IF(P2303="","",_xlfn.SWITCH(LEFT(P2303,1),"C","Ciudad","T","Pueblo","R","Rural","S","Suburbano","U","Urbano",""))</f>
        <v>Suburbano</v>
      </c>
      <c r="T2303" t="str">
        <f t="shared" si="141"/>
        <v>F</v>
      </c>
      <c r="U2303" t="str">
        <f t="shared" si="142"/>
        <v>CA</v>
      </c>
      <c r="V2303" t="str">
        <f t="shared" si="143"/>
        <v>13440</v>
      </c>
    </row>
    <row r="2304" spans="1:22" x14ac:dyDescent="0.35">
      <c r="A2304">
        <v>141809</v>
      </c>
      <c r="B2304" t="s">
        <v>22</v>
      </c>
      <c r="C2304" t="s">
        <v>17</v>
      </c>
      <c r="D2304">
        <v>788</v>
      </c>
      <c r="E2304">
        <v>71</v>
      </c>
      <c r="F2304">
        <v>155</v>
      </c>
      <c r="G2304">
        <v>0</v>
      </c>
      <c r="H2304">
        <v>6409</v>
      </c>
      <c r="I2304">
        <v>28</v>
      </c>
      <c r="J2304">
        <v>33</v>
      </c>
      <c r="K2304">
        <v>119</v>
      </c>
      <c r="L2304">
        <v>116</v>
      </c>
      <c r="M2304">
        <v>8.1999999999999993</v>
      </c>
      <c r="N2304">
        <f>IFERROR(VLOOKUP(A2304,vlookup_table!$A:$G,2,FALSE),"")</f>
        <v>2</v>
      </c>
      <c r="O2304">
        <f>IFERROR(VLOOKUP(A2304,vlookup_table!$A:$G,4,FALSE),"")</f>
        <v>0</v>
      </c>
      <c r="P2304" t="str">
        <f>IFERROR(VLOOKUP(A2304,vlookup_table!$A:$G,5,FALSE),"")</f>
        <v>T3</v>
      </c>
      <c r="Q2304">
        <f>IFERROR(VLOOKUP(A2304,vlookup_table!$A:$G,7,FALSE),"")</f>
        <v>8</v>
      </c>
      <c r="R2304">
        <f t="shared" si="140"/>
        <v>97</v>
      </c>
      <c r="S2304" t="str" cm="1">
        <f t="array" ref="S2304">IF(P2304="","",_xlfn.SWITCH(LEFT(P2304,1),"C","Ciudad","T","Pueblo","R","Rural","S","Suburbano","U","Urbano",""))</f>
        <v>Pueblo</v>
      </c>
      <c r="T2304" t="str">
        <f t="shared" si="141"/>
        <v>F</v>
      </c>
      <c r="U2304" t="str">
        <f t="shared" si="142"/>
        <v>CA</v>
      </c>
      <c r="V2304" t="str">
        <f t="shared" si="143"/>
        <v>6409</v>
      </c>
    </row>
    <row r="2305" spans="1:22" x14ac:dyDescent="0.35">
      <c r="A2305">
        <v>178884</v>
      </c>
      <c r="B2305" t="s">
        <v>40</v>
      </c>
      <c r="C2305" t="s">
        <v>51</v>
      </c>
      <c r="D2305">
        <v>1244</v>
      </c>
      <c r="E2305">
        <v>418</v>
      </c>
      <c r="F2305">
        <v>459</v>
      </c>
      <c r="G2305">
        <v>2</v>
      </c>
      <c r="H2305">
        <v>14816</v>
      </c>
      <c r="I2305">
        <v>10</v>
      </c>
      <c r="J2305">
        <v>46</v>
      </c>
      <c r="K2305">
        <v>423</v>
      </c>
      <c r="L2305">
        <v>450</v>
      </c>
      <c r="M2305">
        <v>15</v>
      </c>
      <c r="N2305">
        <f>IFERROR(VLOOKUP(A2305,vlookup_table!$A:$G,2,FALSE),"")</f>
        <v>2</v>
      </c>
      <c r="O2305">
        <f>IFERROR(VLOOKUP(A2305,vlookup_table!$A:$G,4,FALSE),"")</f>
        <v>5201</v>
      </c>
      <c r="P2305" t="str">
        <f>IFERROR(VLOOKUP(A2305,vlookup_table!$A:$G,5,FALSE),"")</f>
        <v>S2</v>
      </c>
      <c r="Q2305">
        <f>IFERROR(VLOOKUP(A2305,vlookup_table!$A:$G,7,FALSE),"")</f>
        <v>15</v>
      </c>
      <c r="R2305">
        <f t="shared" si="140"/>
        <v>45</v>
      </c>
      <c r="S2305" t="str" cm="1">
        <f t="array" ref="S2305">IF(P2305="","",_xlfn.SWITCH(LEFT(P2305,1),"C","Ciudad","T","Pueblo","R","Rural","S","Suburbano","U","Urbano",""))</f>
        <v>Suburbano</v>
      </c>
      <c r="T2305" t="str">
        <f t="shared" si="141"/>
        <v>M</v>
      </c>
      <c r="U2305" t="str">
        <f t="shared" si="142"/>
        <v>WA</v>
      </c>
      <c r="V2305" t="str">
        <f t="shared" si="143"/>
        <v>14816</v>
      </c>
    </row>
    <row r="2306" spans="1:22" x14ac:dyDescent="0.35">
      <c r="A2306">
        <v>178098</v>
      </c>
      <c r="B2306" t="s">
        <v>50</v>
      </c>
      <c r="C2306" t="s">
        <v>17</v>
      </c>
      <c r="D2306">
        <v>407</v>
      </c>
      <c r="E2306">
        <v>186</v>
      </c>
      <c r="F2306">
        <v>271</v>
      </c>
      <c r="G2306">
        <v>0</v>
      </c>
      <c r="H2306">
        <v>9728</v>
      </c>
      <c r="I2306">
        <v>1</v>
      </c>
      <c r="J2306">
        <v>53</v>
      </c>
      <c r="K2306">
        <v>220</v>
      </c>
      <c r="L2306">
        <v>232</v>
      </c>
      <c r="M2306">
        <v>4.4117647059999996</v>
      </c>
      <c r="N2306">
        <f>IFERROR(VLOOKUP(A2306,vlookup_table!$A:$G,2,FALSE),"")</f>
        <v>2</v>
      </c>
      <c r="O2306">
        <f>IFERROR(VLOOKUP(A2306,vlookup_table!$A:$G,4,FALSE),"")</f>
        <v>3103</v>
      </c>
      <c r="P2306" t="str">
        <f>IFERROR(VLOOKUP(A2306,vlookup_table!$A:$G,5,FALSE),"")</f>
        <v>R2</v>
      </c>
      <c r="Q2306">
        <f>IFERROR(VLOOKUP(A2306,vlookup_table!$A:$G,7,FALSE),"")</f>
        <v>6</v>
      </c>
      <c r="R2306">
        <f t="shared" ref="R2306:R2369" si="144">IF(O2306="","",97-INT(O2306/100))</f>
        <v>66</v>
      </c>
      <c r="S2306" t="str" cm="1">
        <f t="array" ref="S2306">IF(P2306="","",_xlfn.SWITCH(LEFT(P2306,1),"C","Ciudad","T","Pueblo","R","Rural","S","Suburbano","U","Urbano",""))</f>
        <v>Rural</v>
      </c>
      <c r="T2306" t="str">
        <f t="shared" ref="T2306:T2369" si="145">IF(C2306="","",IF(OR(UPPER(C2306)="M",UPPER(C2306)="MALE"),"M",IF(OR(UPPER(C2306)="F",UPPER(C2306)="FEMALE",UPPER(C2306)="FEAMALE"),"F",C2306)))</f>
        <v>F</v>
      </c>
      <c r="U2306" t="str">
        <f t="shared" ref="U2306:U2369" si="146">IF(OR(UPPER(B2306)="CALIFORNIA",UPPER(B2306)="CALI"),"CA",B2306)</f>
        <v>OR</v>
      </c>
      <c r="V2306" t="str">
        <f t="shared" ref="V2306:V2369" si="147">SUBSTITUTE(H2306,"@","")</f>
        <v>9728</v>
      </c>
    </row>
    <row r="2307" spans="1:22" x14ac:dyDescent="0.35">
      <c r="A2307">
        <v>116082</v>
      </c>
      <c r="B2307" t="s">
        <v>21</v>
      </c>
      <c r="C2307" t="s">
        <v>14</v>
      </c>
      <c r="D2307">
        <v>569</v>
      </c>
      <c r="E2307">
        <v>328</v>
      </c>
      <c r="F2307">
        <v>359</v>
      </c>
      <c r="G2307">
        <v>0</v>
      </c>
      <c r="H2307">
        <v>11879</v>
      </c>
      <c r="I2307">
        <v>6</v>
      </c>
      <c r="J2307">
        <v>63</v>
      </c>
      <c r="K2307">
        <v>336</v>
      </c>
      <c r="L2307">
        <v>342</v>
      </c>
      <c r="M2307">
        <v>7.3333333329999997</v>
      </c>
      <c r="N2307">
        <f>IFERROR(VLOOKUP(A2307,vlookup_table!$A:$G,2,FALSE),"")</f>
        <v>1</v>
      </c>
      <c r="O2307">
        <f>IFERROR(VLOOKUP(A2307,vlookup_table!$A:$G,4,FALSE),"")</f>
        <v>3301</v>
      </c>
      <c r="P2307" t="str">
        <f>IFERROR(VLOOKUP(A2307,vlookup_table!$A:$G,5,FALSE),"")</f>
        <v>C2</v>
      </c>
      <c r="Q2307">
        <f>IFERROR(VLOOKUP(A2307,vlookup_table!$A:$G,7,FALSE),"")</f>
        <v>10</v>
      </c>
      <c r="R2307">
        <f t="shared" si="144"/>
        <v>64</v>
      </c>
      <c r="S2307" t="str" cm="1">
        <f t="array" ref="S2307">IF(P2307="","",_xlfn.SWITCH(LEFT(P2307,1),"C","Ciudad","T","Pueblo","R","Rural","S","Suburbano","U","Urbano",""))</f>
        <v>Ciudad</v>
      </c>
      <c r="T2307" t="str">
        <f t="shared" si="145"/>
        <v>M</v>
      </c>
      <c r="U2307" t="str">
        <f t="shared" si="146"/>
        <v>TX</v>
      </c>
      <c r="V2307" t="str">
        <f t="shared" si="147"/>
        <v>11879</v>
      </c>
    </row>
    <row r="2308" spans="1:22" x14ac:dyDescent="0.35">
      <c r="A2308">
        <v>190769</v>
      </c>
      <c r="B2308" t="s">
        <v>32</v>
      </c>
      <c r="C2308" t="s">
        <v>14</v>
      </c>
      <c r="D2308">
        <v>855</v>
      </c>
      <c r="E2308">
        <v>257</v>
      </c>
      <c r="F2308">
        <v>374</v>
      </c>
      <c r="G2308">
        <v>6</v>
      </c>
      <c r="H2308">
        <v>14500</v>
      </c>
      <c r="I2308">
        <v>1</v>
      </c>
      <c r="J2308">
        <v>56</v>
      </c>
      <c r="K2308">
        <v>267</v>
      </c>
      <c r="L2308">
        <v>345</v>
      </c>
      <c r="M2308">
        <v>10</v>
      </c>
      <c r="N2308">
        <f>IFERROR(VLOOKUP(A2308,vlookup_table!$A:$G,2,FALSE),"")</f>
        <v>0</v>
      </c>
      <c r="O2308">
        <f>IFERROR(VLOOKUP(A2308,vlookup_table!$A:$G,4,FALSE),"")</f>
        <v>0</v>
      </c>
      <c r="P2308" t="str">
        <f>IFERROR(VLOOKUP(A2308,vlookup_table!$A:$G,5,FALSE),"")</f>
        <v>S2</v>
      </c>
      <c r="Q2308">
        <f>IFERROR(VLOOKUP(A2308,vlookup_table!$A:$G,7,FALSE),"")</f>
        <v>10</v>
      </c>
      <c r="R2308">
        <f t="shared" si="144"/>
        <v>97</v>
      </c>
      <c r="S2308" t="str" cm="1">
        <f t="array" ref="S2308">IF(P2308="","",_xlfn.SWITCH(LEFT(P2308,1),"C","Ciudad","T","Pueblo","R","Rural","S","Suburbano","U","Urbano",""))</f>
        <v>Suburbano</v>
      </c>
      <c r="T2308" t="str">
        <f t="shared" si="145"/>
        <v>M</v>
      </c>
      <c r="U2308" t="str">
        <f t="shared" si="146"/>
        <v>AR</v>
      </c>
      <c r="V2308" t="str">
        <f t="shared" si="147"/>
        <v>14500</v>
      </c>
    </row>
    <row r="2309" spans="1:22" x14ac:dyDescent="0.35">
      <c r="A2309">
        <v>177087</v>
      </c>
      <c r="B2309" t="s">
        <v>50</v>
      </c>
      <c r="C2309" t="s">
        <v>14</v>
      </c>
      <c r="D2309">
        <v>619</v>
      </c>
      <c r="E2309">
        <v>372</v>
      </c>
      <c r="F2309">
        <v>423</v>
      </c>
      <c r="G2309">
        <v>0</v>
      </c>
      <c r="H2309">
        <v>13208</v>
      </c>
      <c r="I2309">
        <v>0</v>
      </c>
      <c r="J2309">
        <v>42</v>
      </c>
      <c r="K2309">
        <v>394</v>
      </c>
      <c r="L2309">
        <v>409</v>
      </c>
      <c r="M2309">
        <v>11.4</v>
      </c>
      <c r="N2309">
        <f>IFERROR(VLOOKUP(A2309,vlookup_table!$A:$G,2,FALSE),"")</f>
        <v>0</v>
      </c>
      <c r="O2309">
        <f>IFERROR(VLOOKUP(A2309,vlookup_table!$A:$G,4,FALSE),"")</f>
        <v>6401</v>
      </c>
      <c r="P2309" t="str">
        <f>IFERROR(VLOOKUP(A2309,vlookup_table!$A:$G,5,FALSE),"")</f>
        <v>C2</v>
      </c>
      <c r="Q2309">
        <f>IFERROR(VLOOKUP(A2309,vlookup_table!$A:$G,7,FALSE),"")</f>
        <v>12</v>
      </c>
      <c r="R2309">
        <f t="shared" si="144"/>
        <v>33</v>
      </c>
      <c r="S2309" t="str" cm="1">
        <f t="array" ref="S2309">IF(P2309="","",_xlfn.SWITCH(LEFT(P2309,1),"C","Ciudad","T","Pueblo","R","Rural","S","Suburbano","U","Urbano",""))</f>
        <v>Ciudad</v>
      </c>
      <c r="T2309" t="str">
        <f t="shared" si="145"/>
        <v>M</v>
      </c>
      <c r="U2309" t="str">
        <f t="shared" si="146"/>
        <v>OR</v>
      </c>
      <c r="V2309" t="str">
        <f t="shared" si="147"/>
        <v>13208</v>
      </c>
    </row>
    <row r="2310" spans="1:22" x14ac:dyDescent="0.35">
      <c r="A2310">
        <v>101654</v>
      </c>
      <c r="B2310" t="s">
        <v>36</v>
      </c>
      <c r="C2310" t="s">
        <v>17</v>
      </c>
      <c r="D2310">
        <v>634</v>
      </c>
      <c r="E2310">
        <v>322</v>
      </c>
      <c r="F2310">
        <v>406</v>
      </c>
      <c r="G2310">
        <v>0</v>
      </c>
      <c r="H2310">
        <v>14128</v>
      </c>
      <c r="I2310">
        <v>1</v>
      </c>
      <c r="J2310">
        <v>64</v>
      </c>
      <c r="K2310">
        <v>378</v>
      </c>
      <c r="L2310">
        <v>355</v>
      </c>
      <c r="M2310">
        <v>15.33333333</v>
      </c>
      <c r="N2310">
        <f>IFERROR(VLOOKUP(A2310,vlookup_table!$A:$G,2,FALSE),"")</f>
        <v>0</v>
      </c>
      <c r="O2310">
        <f>IFERROR(VLOOKUP(A2310,vlookup_table!$A:$G,4,FALSE),"")</f>
        <v>4201</v>
      </c>
      <c r="P2310" t="str">
        <f>IFERROR(VLOOKUP(A2310,vlookup_table!$A:$G,5,FALSE),"")</f>
        <v>C2</v>
      </c>
      <c r="Q2310">
        <f>IFERROR(VLOOKUP(A2310,vlookup_table!$A:$G,7,FALSE),"")</f>
        <v>18</v>
      </c>
      <c r="R2310">
        <f t="shared" si="144"/>
        <v>55</v>
      </c>
      <c r="S2310" t="str" cm="1">
        <f t="array" ref="S2310">IF(P2310="","",_xlfn.SWITCH(LEFT(P2310,1),"C","Ciudad","T","Pueblo","R","Rural","S","Suburbano","U","Urbano",""))</f>
        <v>Ciudad</v>
      </c>
      <c r="T2310" t="str">
        <f t="shared" si="145"/>
        <v>F</v>
      </c>
      <c r="U2310" t="str">
        <f t="shared" si="146"/>
        <v>MO</v>
      </c>
      <c r="V2310" t="str">
        <f t="shared" si="147"/>
        <v>14128</v>
      </c>
    </row>
    <row r="2311" spans="1:22" x14ac:dyDescent="0.35">
      <c r="A2311">
        <v>62760</v>
      </c>
      <c r="B2311" t="s">
        <v>33</v>
      </c>
      <c r="C2311" t="s">
        <v>14</v>
      </c>
      <c r="D2311">
        <v>397</v>
      </c>
      <c r="E2311">
        <v>297</v>
      </c>
      <c r="F2311">
        <v>362</v>
      </c>
      <c r="G2311">
        <v>0</v>
      </c>
      <c r="H2311">
        <v>11981</v>
      </c>
      <c r="I2311">
        <v>1</v>
      </c>
      <c r="J2311">
        <v>79</v>
      </c>
      <c r="K2311">
        <v>340</v>
      </c>
      <c r="L2311">
        <v>317</v>
      </c>
      <c r="M2311">
        <v>3.7</v>
      </c>
      <c r="N2311">
        <f>IFERROR(VLOOKUP(A2311,vlookup_table!$A:$G,2,FALSE),"")</f>
        <v>0</v>
      </c>
      <c r="O2311">
        <f>IFERROR(VLOOKUP(A2311,vlookup_table!$A:$G,4,FALSE),"")</f>
        <v>0</v>
      </c>
      <c r="P2311" t="str">
        <f>IFERROR(VLOOKUP(A2311,vlookup_table!$A:$G,5,FALSE),"")</f>
        <v>R2</v>
      </c>
      <c r="Q2311">
        <f>IFERROR(VLOOKUP(A2311,vlookup_table!$A:$G,7,FALSE),"")</f>
        <v>5</v>
      </c>
      <c r="R2311">
        <f t="shared" si="144"/>
        <v>97</v>
      </c>
      <c r="S2311" t="str" cm="1">
        <f t="array" ref="S2311">IF(P2311="","",_xlfn.SWITCH(LEFT(P2311,1),"C","Ciudad","T","Pueblo","R","Rural","S","Suburbano","U","Urbano",""))</f>
        <v>Rural</v>
      </c>
      <c r="T2311" t="str">
        <f t="shared" si="145"/>
        <v>M</v>
      </c>
      <c r="U2311" t="str">
        <f t="shared" si="146"/>
        <v>IN</v>
      </c>
      <c r="V2311" t="str">
        <f t="shared" si="147"/>
        <v>11981</v>
      </c>
    </row>
    <row r="2312" spans="1:22" x14ac:dyDescent="0.35">
      <c r="A2312">
        <v>135406</v>
      </c>
      <c r="B2312" t="s">
        <v>55</v>
      </c>
      <c r="C2312" t="s">
        <v>14</v>
      </c>
      <c r="D2312">
        <v>742</v>
      </c>
      <c r="E2312">
        <v>395</v>
      </c>
      <c r="F2312">
        <v>441</v>
      </c>
      <c r="G2312">
        <v>0</v>
      </c>
      <c r="H2312">
        <v>13179</v>
      </c>
      <c r="I2312">
        <v>2</v>
      </c>
      <c r="J2312">
        <v>36</v>
      </c>
      <c r="K2312">
        <v>399</v>
      </c>
      <c r="L2312">
        <v>421</v>
      </c>
      <c r="M2312">
        <v>11</v>
      </c>
      <c r="N2312">
        <f>IFERROR(VLOOKUP(A2312,vlookup_table!$A:$G,2,FALSE),"")</f>
        <v>1</v>
      </c>
      <c r="O2312">
        <f>IFERROR(VLOOKUP(A2312,vlookup_table!$A:$G,4,FALSE),"")</f>
        <v>4106</v>
      </c>
      <c r="P2312" t="str">
        <f>IFERROR(VLOOKUP(A2312,vlookup_table!$A:$G,5,FALSE),"")</f>
        <v>S2</v>
      </c>
      <c r="Q2312">
        <f>IFERROR(VLOOKUP(A2312,vlookup_table!$A:$G,7,FALSE),"")</f>
        <v>25</v>
      </c>
      <c r="R2312">
        <f t="shared" si="144"/>
        <v>56</v>
      </c>
      <c r="S2312" t="str" cm="1">
        <f t="array" ref="S2312">IF(P2312="","",_xlfn.SWITCH(LEFT(P2312,1),"C","Ciudad","T","Pueblo","R","Rural","S","Suburbano","U","Urbano",""))</f>
        <v>Suburbano</v>
      </c>
      <c r="T2312" t="str">
        <f t="shared" si="145"/>
        <v>M</v>
      </c>
      <c r="U2312" t="str">
        <f t="shared" si="146"/>
        <v>AZ</v>
      </c>
      <c r="V2312" t="str">
        <f t="shared" si="147"/>
        <v>13179</v>
      </c>
    </row>
    <row r="2313" spans="1:22" x14ac:dyDescent="0.35">
      <c r="A2313">
        <v>142409</v>
      </c>
      <c r="B2313" t="s">
        <v>24</v>
      </c>
      <c r="C2313" t="s">
        <v>14</v>
      </c>
      <c r="D2313">
        <v>607</v>
      </c>
      <c r="E2313">
        <v>356</v>
      </c>
      <c r="F2313">
        <v>431</v>
      </c>
      <c r="G2313">
        <v>1</v>
      </c>
      <c r="H2313">
        <v>13714</v>
      </c>
      <c r="I2313">
        <v>7</v>
      </c>
      <c r="J2313">
        <v>26</v>
      </c>
      <c r="K2313">
        <v>397</v>
      </c>
      <c r="L2313">
        <v>393</v>
      </c>
      <c r="M2313">
        <v>7.6666666670000003</v>
      </c>
      <c r="N2313">
        <f>IFERROR(VLOOKUP(A2313,vlookup_table!$A:$G,2,FALSE),"")</f>
        <v>1</v>
      </c>
      <c r="O2313">
        <f>IFERROR(VLOOKUP(A2313,vlookup_table!$A:$G,4,FALSE),"")</f>
        <v>2201</v>
      </c>
      <c r="P2313" t="str">
        <f>IFERROR(VLOOKUP(A2313,vlookup_table!$A:$G,5,FALSE),"")</f>
        <v>R2</v>
      </c>
      <c r="Q2313">
        <f>IFERROR(VLOOKUP(A2313,vlookup_table!$A:$G,7,FALSE),"")</f>
        <v>10</v>
      </c>
      <c r="R2313">
        <f t="shared" si="144"/>
        <v>75</v>
      </c>
      <c r="S2313" t="str" cm="1">
        <f t="array" ref="S2313">IF(P2313="","",_xlfn.SWITCH(LEFT(P2313,1),"C","Ciudad","T","Pueblo","R","Rural","S","Suburbano","U","Urbano",""))</f>
        <v>Rural</v>
      </c>
      <c r="T2313" t="str">
        <f t="shared" si="145"/>
        <v>M</v>
      </c>
      <c r="U2313" t="str">
        <f t="shared" si="146"/>
        <v>NV</v>
      </c>
      <c r="V2313" t="str">
        <f t="shared" si="147"/>
        <v>13714</v>
      </c>
    </row>
    <row r="2314" spans="1:22" x14ac:dyDescent="0.35">
      <c r="A2314">
        <v>79627</v>
      </c>
      <c r="B2314" t="s">
        <v>35</v>
      </c>
      <c r="C2314" t="s">
        <v>51</v>
      </c>
      <c r="D2314">
        <v>2083</v>
      </c>
      <c r="E2314">
        <v>264</v>
      </c>
      <c r="F2314">
        <v>493</v>
      </c>
      <c r="G2314">
        <v>52</v>
      </c>
      <c r="H2314">
        <v>19012</v>
      </c>
      <c r="I2314">
        <v>6</v>
      </c>
      <c r="J2314">
        <v>61</v>
      </c>
      <c r="K2314">
        <v>338</v>
      </c>
      <c r="L2314">
        <v>393</v>
      </c>
      <c r="M2314">
        <v>9.375</v>
      </c>
      <c r="N2314">
        <f>IFERROR(VLOOKUP(A2314,vlookup_table!$A:$G,2,FALSE),"")</f>
        <v>1</v>
      </c>
      <c r="O2314">
        <f>IFERROR(VLOOKUP(A2314,vlookup_table!$A:$G,4,FALSE),"")</f>
        <v>2408</v>
      </c>
      <c r="P2314" t="str">
        <f>IFERROR(VLOOKUP(A2314,vlookup_table!$A:$G,5,FALSE),"")</f>
        <v>S1</v>
      </c>
      <c r="Q2314">
        <f>IFERROR(VLOOKUP(A2314,vlookup_table!$A:$G,7,FALSE),"")</f>
        <v>10</v>
      </c>
      <c r="R2314">
        <f t="shared" si="144"/>
        <v>73</v>
      </c>
      <c r="S2314" t="str" cm="1">
        <f t="array" ref="S2314">IF(P2314="","",_xlfn.SWITCH(LEFT(P2314,1),"C","Ciudad","T","Pueblo","R","Rural","S","Suburbano","U","Urbano",""))</f>
        <v>Suburbano</v>
      </c>
      <c r="T2314" t="str">
        <f t="shared" si="145"/>
        <v>M</v>
      </c>
      <c r="U2314" t="str">
        <f t="shared" si="146"/>
        <v>WI</v>
      </c>
      <c r="V2314" t="str">
        <f t="shared" si="147"/>
        <v>19012</v>
      </c>
    </row>
    <row r="2315" spans="1:22" x14ac:dyDescent="0.35">
      <c r="A2315">
        <v>27310</v>
      </c>
      <c r="B2315" t="s">
        <v>39</v>
      </c>
      <c r="C2315" t="s">
        <v>14</v>
      </c>
      <c r="D2315">
        <v>866</v>
      </c>
      <c r="E2315">
        <v>457</v>
      </c>
      <c r="F2315">
        <v>506</v>
      </c>
      <c r="G2315">
        <v>0</v>
      </c>
      <c r="H2315">
        <v>15079</v>
      </c>
      <c r="I2315">
        <v>1</v>
      </c>
      <c r="J2315">
        <v>63</v>
      </c>
      <c r="K2315">
        <v>458</v>
      </c>
      <c r="L2315">
        <v>501</v>
      </c>
      <c r="M2315">
        <v>10</v>
      </c>
      <c r="N2315">
        <f>IFERROR(VLOOKUP(A2315,vlookup_table!$A:$G,2,FALSE),"")</f>
        <v>1</v>
      </c>
      <c r="O2315">
        <f>IFERROR(VLOOKUP(A2315,vlookup_table!$A:$G,4,FALSE),"")</f>
        <v>2101</v>
      </c>
      <c r="P2315" t="str">
        <f>IFERROR(VLOOKUP(A2315,vlookup_table!$A:$G,5,FALSE),"")</f>
        <v>T2</v>
      </c>
      <c r="Q2315">
        <f>IFERROR(VLOOKUP(A2315,vlookup_table!$A:$G,7,FALSE),"")</f>
        <v>15</v>
      </c>
      <c r="R2315">
        <f t="shared" si="144"/>
        <v>76</v>
      </c>
      <c r="S2315" t="str" cm="1">
        <f t="array" ref="S2315">IF(P2315="","",_xlfn.SWITCH(LEFT(P2315,1),"C","Ciudad","T","Pueblo","R","Rural","S","Suburbano","U","Urbano",""))</f>
        <v>Pueblo</v>
      </c>
      <c r="T2315" t="str">
        <f t="shared" si="145"/>
        <v>M</v>
      </c>
      <c r="U2315" t="str">
        <f t="shared" si="146"/>
        <v>GA</v>
      </c>
      <c r="V2315" t="str">
        <f t="shared" si="147"/>
        <v>15079</v>
      </c>
    </row>
    <row r="2316" spans="1:22" x14ac:dyDescent="0.35">
      <c r="A2316">
        <v>122131</v>
      </c>
      <c r="B2316" t="s">
        <v>21</v>
      </c>
      <c r="C2316" t="s">
        <v>17</v>
      </c>
      <c r="D2316">
        <v>831</v>
      </c>
      <c r="E2316">
        <v>597</v>
      </c>
      <c r="F2316">
        <v>629</v>
      </c>
      <c r="G2316">
        <v>0</v>
      </c>
      <c r="H2316">
        <v>18705</v>
      </c>
      <c r="I2316">
        <v>12</v>
      </c>
      <c r="J2316">
        <v>59</v>
      </c>
      <c r="K2316">
        <v>601</v>
      </c>
      <c r="L2316">
        <v>625</v>
      </c>
      <c r="M2316">
        <v>19.25</v>
      </c>
      <c r="N2316">
        <f>IFERROR(VLOOKUP(A2316,vlookup_table!$A:$G,2,FALSE),"")</f>
        <v>0</v>
      </c>
      <c r="O2316">
        <f>IFERROR(VLOOKUP(A2316,vlookup_table!$A:$G,4,FALSE),"")</f>
        <v>4601</v>
      </c>
      <c r="P2316" t="str">
        <f>IFERROR(VLOOKUP(A2316,vlookup_table!$A:$G,5,FALSE),"")</f>
        <v>S1</v>
      </c>
      <c r="Q2316">
        <f>IFERROR(VLOOKUP(A2316,vlookup_table!$A:$G,7,FALSE),"")</f>
        <v>15</v>
      </c>
      <c r="R2316">
        <f t="shared" si="144"/>
        <v>51</v>
      </c>
      <c r="S2316" t="str" cm="1">
        <f t="array" ref="S2316">IF(P2316="","",_xlfn.SWITCH(LEFT(P2316,1),"C","Ciudad","T","Pueblo","R","Rural","S","Suburbano","U","Urbano",""))</f>
        <v>Suburbano</v>
      </c>
      <c r="T2316" t="str">
        <f t="shared" si="145"/>
        <v>F</v>
      </c>
      <c r="U2316" t="str">
        <f t="shared" si="146"/>
        <v>TX</v>
      </c>
      <c r="V2316" t="str">
        <f t="shared" si="147"/>
        <v>18705</v>
      </c>
    </row>
    <row r="2317" spans="1:22" x14ac:dyDescent="0.35">
      <c r="A2317">
        <v>131169</v>
      </c>
      <c r="B2317" t="s">
        <v>48</v>
      </c>
      <c r="C2317" t="s">
        <v>17</v>
      </c>
      <c r="D2317">
        <v>1782</v>
      </c>
      <c r="E2317">
        <v>537</v>
      </c>
      <c r="F2317">
        <v>749</v>
      </c>
      <c r="G2317">
        <v>35</v>
      </c>
      <c r="H2317">
        <v>28303</v>
      </c>
      <c r="I2317">
        <v>5</v>
      </c>
      <c r="J2317">
        <v>36</v>
      </c>
      <c r="K2317">
        <v>704</v>
      </c>
      <c r="L2317">
        <v>650</v>
      </c>
      <c r="M2317">
        <v>18.125</v>
      </c>
      <c r="N2317">
        <f>IFERROR(VLOOKUP(A2317,vlookup_table!$A:$G,2,FALSE),"")</f>
        <v>2</v>
      </c>
      <c r="O2317">
        <f>IFERROR(VLOOKUP(A2317,vlookup_table!$A:$G,4,FALSE),"")</f>
        <v>2612</v>
      </c>
      <c r="P2317" t="str">
        <f>IFERROR(VLOOKUP(A2317,vlookup_table!$A:$G,5,FALSE),"")</f>
        <v>C2</v>
      </c>
      <c r="Q2317">
        <f>IFERROR(VLOOKUP(A2317,vlookup_table!$A:$G,7,FALSE),"")</f>
        <v>25</v>
      </c>
      <c r="R2317">
        <f t="shared" si="144"/>
        <v>71</v>
      </c>
      <c r="S2317" t="str" cm="1">
        <f t="array" ref="S2317">IF(P2317="","",_xlfn.SWITCH(LEFT(P2317,1),"C","Ciudad","T","Pueblo","R","Rural","S","Suburbano","U","Urbano",""))</f>
        <v>Ciudad</v>
      </c>
      <c r="T2317" t="str">
        <f t="shared" si="145"/>
        <v>F</v>
      </c>
      <c r="U2317" t="str">
        <f t="shared" si="146"/>
        <v>CO</v>
      </c>
      <c r="V2317" t="str">
        <f t="shared" si="147"/>
        <v>28303</v>
      </c>
    </row>
    <row r="2318" spans="1:22" x14ac:dyDescent="0.35">
      <c r="A2318">
        <v>78009</v>
      </c>
      <c r="B2318" t="s">
        <v>35</v>
      </c>
      <c r="C2318" t="s">
        <v>17</v>
      </c>
      <c r="D2318">
        <v>804</v>
      </c>
      <c r="E2318">
        <v>426</v>
      </c>
      <c r="F2318">
        <v>470</v>
      </c>
      <c r="G2318">
        <v>0</v>
      </c>
      <c r="H2318">
        <v>14328</v>
      </c>
      <c r="I2318">
        <v>2</v>
      </c>
      <c r="J2318">
        <v>89</v>
      </c>
      <c r="K2318">
        <v>445</v>
      </c>
      <c r="L2318">
        <v>454</v>
      </c>
      <c r="M2318">
        <v>20</v>
      </c>
      <c r="N2318">
        <f>IFERROR(VLOOKUP(A2318,vlookup_table!$A:$G,2,FALSE),"")</f>
        <v>0</v>
      </c>
      <c r="O2318">
        <f>IFERROR(VLOOKUP(A2318,vlookup_table!$A:$G,4,FALSE),"")</f>
        <v>0</v>
      </c>
      <c r="P2318" t="str">
        <f>IFERROR(VLOOKUP(A2318,vlookup_table!$A:$G,5,FALSE),"")</f>
        <v>T2</v>
      </c>
      <c r="Q2318">
        <f>IFERROR(VLOOKUP(A2318,vlookup_table!$A:$G,7,FALSE),"")</f>
        <v>20</v>
      </c>
      <c r="R2318">
        <f t="shared" si="144"/>
        <v>97</v>
      </c>
      <c r="S2318" t="str" cm="1">
        <f t="array" ref="S2318">IF(P2318="","",_xlfn.SWITCH(LEFT(P2318,1),"C","Ciudad","T","Pueblo","R","Rural","S","Suburbano","U","Urbano",""))</f>
        <v>Pueblo</v>
      </c>
      <c r="T2318" t="str">
        <f t="shared" si="145"/>
        <v>F</v>
      </c>
      <c r="U2318" t="str">
        <f t="shared" si="146"/>
        <v>WI</v>
      </c>
      <c r="V2318" t="str">
        <f t="shared" si="147"/>
        <v>14328</v>
      </c>
    </row>
    <row r="2319" spans="1:22" x14ac:dyDescent="0.35">
      <c r="A2319">
        <v>86445</v>
      </c>
      <c r="B2319" t="s">
        <v>45</v>
      </c>
      <c r="C2319" t="s">
        <v>17</v>
      </c>
      <c r="D2319">
        <v>751</v>
      </c>
      <c r="E2319">
        <v>304</v>
      </c>
      <c r="F2319">
        <v>381</v>
      </c>
      <c r="G2319">
        <v>0</v>
      </c>
      <c r="H2319">
        <v>13051</v>
      </c>
      <c r="I2319">
        <v>1</v>
      </c>
      <c r="J2319">
        <v>64</v>
      </c>
      <c r="K2319">
        <v>340</v>
      </c>
      <c r="L2319">
        <v>338</v>
      </c>
      <c r="M2319">
        <v>8.625</v>
      </c>
      <c r="N2319">
        <f>IFERROR(VLOOKUP(A2319,vlookup_table!$A:$G,2,FALSE),"")</f>
        <v>0</v>
      </c>
      <c r="O2319">
        <f>IFERROR(VLOOKUP(A2319,vlookup_table!$A:$G,4,FALSE),"")</f>
        <v>4506</v>
      </c>
      <c r="P2319" t="str">
        <f>IFERROR(VLOOKUP(A2319,vlookup_table!$A:$G,5,FALSE),"")</f>
        <v>C1</v>
      </c>
      <c r="Q2319">
        <f>IFERROR(VLOOKUP(A2319,vlookup_table!$A:$G,7,FALSE),"")</f>
        <v>15</v>
      </c>
      <c r="R2319">
        <f t="shared" si="144"/>
        <v>52</v>
      </c>
      <c r="S2319" t="str" cm="1">
        <f t="array" ref="S2319">IF(P2319="","",_xlfn.SWITCH(LEFT(P2319,1),"C","Ciudad","T","Pueblo","R","Rural","S","Suburbano","U","Urbano",""))</f>
        <v>Ciudad</v>
      </c>
      <c r="T2319" t="str">
        <f t="shared" si="145"/>
        <v>F</v>
      </c>
      <c r="U2319" t="str">
        <f t="shared" si="146"/>
        <v>ND</v>
      </c>
      <c r="V2319" t="str">
        <f t="shared" si="147"/>
        <v>13051</v>
      </c>
    </row>
    <row r="2320" spans="1:22" x14ac:dyDescent="0.35">
      <c r="A2320">
        <v>162343</v>
      </c>
      <c r="B2320" t="s">
        <v>22</v>
      </c>
      <c r="C2320" t="s">
        <v>14</v>
      </c>
      <c r="D2320">
        <v>5283</v>
      </c>
      <c r="E2320">
        <v>613</v>
      </c>
      <c r="F2320">
        <v>742</v>
      </c>
      <c r="G2320">
        <v>99</v>
      </c>
      <c r="H2320">
        <v>29050</v>
      </c>
      <c r="I2320">
        <v>30</v>
      </c>
      <c r="J2320">
        <v>50</v>
      </c>
      <c r="K2320">
        <v>696</v>
      </c>
      <c r="L2320">
        <v>674</v>
      </c>
      <c r="M2320">
        <v>10.636363640000001</v>
      </c>
      <c r="N2320">
        <f>IFERROR(VLOOKUP(A2320,vlookup_table!$A:$G,2,FALSE),"")</f>
        <v>0</v>
      </c>
      <c r="O2320">
        <f>IFERROR(VLOOKUP(A2320,vlookup_table!$A:$G,4,FALSE),"")</f>
        <v>4701</v>
      </c>
      <c r="P2320" t="str">
        <f>IFERROR(VLOOKUP(A2320,vlookup_table!$A:$G,5,FALSE),"")</f>
        <v>S1</v>
      </c>
      <c r="Q2320">
        <f>IFERROR(VLOOKUP(A2320,vlookup_table!$A:$G,7,FALSE),"")</f>
        <v>20</v>
      </c>
      <c r="R2320">
        <f t="shared" si="144"/>
        <v>50</v>
      </c>
      <c r="S2320" t="str" cm="1">
        <f t="array" ref="S2320">IF(P2320="","",_xlfn.SWITCH(LEFT(P2320,1),"C","Ciudad","T","Pueblo","R","Rural","S","Suburbano","U","Urbano",""))</f>
        <v>Suburbano</v>
      </c>
      <c r="T2320" t="str">
        <f t="shared" si="145"/>
        <v>M</v>
      </c>
      <c r="U2320" t="str">
        <f t="shared" si="146"/>
        <v>CA</v>
      </c>
      <c r="V2320" t="str">
        <f t="shared" si="147"/>
        <v>29050</v>
      </c>
    </row>
    <row r="2321" spans="1:22" x14ac:dyDescent="0.35">
      <c r="A2321">
        <v>35316</v>
      </c>
      <c r="B2321" t="s">
        <v>13</v>
      </c>
      <c r="C2321" t="s">
        <v>17</v>
      </c>
      <c r="D2321">
        <v>845</v>
      </c>
      <c r="E2321">
        <v>289</v>
      </c>
      <c r="F2321">
        <v>436</v>
      </c>
      <c r="G2321">
        <v>1</v>
      </c>
      <c r="H2321">
        <v>16460</v>
      </c>
      <c r="I2321">
        <v>11</v>
      </c>
      <c r="J2321">
        <v>20</v>
      </c>
      <c r="K2321">
        <v>372</v>
      </c>
      <c r="L2321">
        <v>358</v>
      </c>
      <c r="M2321">
        <v>9.9375</v>
      </c>
      <c r="N2321">
        <f>IFERROR(VLOOKUP(A2321,vlookup_table!$A:$G,2,FALSE),"")</f>
        <v>28</v>
      </c>
      <c r="O2321">
        <f>IFERROR(VLOOKUP(A2321,vlookup_table!$A:$G,4,FALSE),"")</f>
        <v>2403</v>
      </c>
      <c r="P2321" t="str">
        <f>IFERROR(VLOOKUP(A2321,vlookup_table!$A:$G,5,FALSE),"")</f>
        <v>C2</v>
      </c>
      <c r="Q2321">
        <f>IFERROR(VLOOKUP(A2321,vlookup_table!$A:$G,7,FALSE),"")</f>
        <v>14</v>
      </c>
      <c r="R2321">
        <f t="shared" si="144"/>
        <v>73</v>
      </c>
      <c r="S2321" t="str" cm="1">
        <f t="array" ref="S2321">IF(P2321="","",_xlfn.SWITCH(LEFT(P2321,1),"C","Ciudad","T","Pueblo","R","Rural","S","Suburbano","U","Urbano",""))</f>
        <v>Ciudad</v>
      </c>
      <c r="T2321" t="str">
        <f t="shared" si="145"/>
        <v>F</v>
      </c>
      <c r="U2321" t="str">
        <f t="shared" si="146"/>
        <v>FL</v>
      </c>
      <c r="V2321" t="str">
        <f t="shared" si="147"/>
        <v>16460</v>
      </c>
    </row>
    <row r="2322" spans="1:22" x14ac:dyDescent="0.35">
      <c r="A2322">
        <v>148946</v>
      </c>
      <c r="B2322" t="s">
        <v>22</v>
      </c>
      <c r="C2322" t="s">
        <v>17</v>
      </c>
      <c r="D2322">
        <v>1756</v>
      </c>
      <c r="E2322">
        <v>349</v>
      </c>
      <c r="F2322">
        <v>388</v>
      </c>
      <c r="G2322">
        <v>18</v>
      </c>
      <c r="H2322">
        <v>10285</v>
      </c>
      <c r="I2322">
        <v>48</v>
      </c>
      <c r="J2322">
        <v>38</v>
      </c>
      <c r="K2322">
        <v>355</v>
      </c>
      <c r="L2322">
        <v>384</v>
      </c>
      <c r="M2322">
        <v>13</v>
      </c>
      <c r="N2322">
        <f>IFERROR(VLOOKUP(A2322,vlookup_table!$A:$G,2,FALSE),"")</f>
        <v>0</v>
      </c>
      <c r="O2322">
        <f>IFERROR(VLOOKUP(A2322,vlookup_table!$A:$G,4,FALSE),"")</f>
        <v>0</v>
      </c>
      <c r="P2322" t="str">
        <f>IFERROR(VLOOKUP(A2322,vlookup_table!$A:$G,5,FALSE),"")</f>
        <v>U3</v>
      </c>
      <c r="Q2322">
        <f>IFERROR(VLOOKUP(A2322,vlookup_table!$A:$G,7,FALSE),"")</f>
        <v>10</v>
      </c>
      <c r="R2322">
        <f t="shared" si="144"/>
        <v>97</v>
      </c>
      <c r="S2322" t="str" cm="1">
        <f t="array" ref="S2322">IF(P2322="","",_xlfn.SWITCH(LEFT(P2322,1),"C","Ciudad","T","Pueblo","R","Rural","S","Suburbano","U","Urbano",""))</f>
        <v>Urbano</v>
      </c>
      <c r="T2322" t="str">
        <f t="shared" si="145"/>
        <v>F</v>
      </c>
      <c r="U2322" t="str">
        <f t="shared" si="146"/>
        <v>CA</v>
      </c>
      <c r="V2322" t="str">
        <f t="shared" si="147"/>
        <v>10285</v>
      </c>
    </row>
    <row r="2323" spans="1:22" x14ac:dyDescent="0.35">
      <c r="A2323">
        <v>5524</v>
      </c>
      <c r="B2323" t="s">
        <v>55</v>
      </c>
      <c r="C2323" t="s">
        <v>60</v>
      </c>
      <c r="D2323">
        <v>1084</v>
      </c>
      <c r="E2323">
        <v>365</v>
      </c>
      <c r="F2323">
        <v>462</v>
      </c>
      <c r="G2323">
        <v>2</v>
      </c>
      <c r="H2323">
        <v>17575</v>
      </c>
      <c r="I2323">
        <v>7</v>
      </c>
      <c r="J2323">
        <v>18</v>
      </c>
      <c r="K2323">
        <v>411</v>
      </c>
      <c r="L2323">
        <v>434</v>
      </c>
      <c r="M2323">
        <v>13.88888889</v>
      </c>
      <c r="N2323">
        <f>IFERROR(VLOOKUP(A2323,vlookup_table!$A:$G,2,FALSE),"")</f>
        <v>2</v>
      </c>
      <c r="O2323">
        <f>IFERROR(VLOOKUP(A2323,vlookup_table!$A:$G,4,FALSE),"")</f>
        <v>2301</v>
      </c>
      <c r="P2323" t="str">
        <f>IFERROR(VLOOKUP(A2323,vlookup_table!$A:$G,5,FALSE),"")</f>
        <v>T1</v>
      </c>
      <c r="Q2323">
        <f>IFERROR(VLOOKUP(A2323,vlookup_table!$A:$G,7,FALSE),"")</f>
        <v>15</v>
      </c>
      <c r="R2323">
        <f t="shared" si="144"/>
        <v>74</v>
      </c>
      <c r="S2323" t="str" cm="1">
        <f t="array" ref="S2323">IF(P2323="","",_xlfn.SWITCH(LEFT(P2323,1),"C","Ciudad","T","Pueblo","R","Rural","S","Suburbano","U","Urbano",""))</f>
        <v>Pueblo</v>
      </c>
      <c r="T2323" t="str">
        <f t="shared" si="145"/>
        <v>F</v>
      </c>
      <c r="U2323" t="str">
        <f t="shared" si="146"/>
        <v>AZ</v>
      </c>
      <c r="V2323" t="str">
        <f t="shared" si="147"/>
        <v>17575</v>
      </c>
    </row>
    <row r="2324" spans="1:22" x14ac:dyDescent="0.35">
      <c r="A2324">
        <v>57593</v>
      </c>
      <c r="B2324" t="s">
        <v>57</v>
      </c>
      <c r="C2324" t="s">
        <v>14</v>
      </c>
      <c r="D2324">
        <v>310</v>
      </c>
      <c r="E2324">
        <v>128</v>
      </c>
      <c r="F2324">
        <v>233</v>
      </c>
      <c r="G2324">
        <v>0</v>
      </c>
      <c r="H2324">
        <v>7656</v>
      </c>
      <c r="I2324">
        <v>0</v>
      </c>
      <c r="J2324">
        <v>84</v>
      </c>
      <c r="K2324">
        <v>171</v>
      </c>
      <c r="L2324">
        <v>199</v>
      </c>
      <c r="M2324">
        <v>5.736842105</v>
      </c>
      <c r="N2324">
        <f>IFERROR(VLOOKUP(A2324,vlookup_table!$A:$G,2,FALSE),"")</f>
        <v>1</v>
      </c>
      <c r="O2324">
        <f>IFERROR(VLOOKUP(A2324,vlookup_table!$A:$G,4,FALSE),"")</f>
        <v>0</v>
      </c>
      <c r="P2324" t="str">
        <f>IFERROR(VLOOKUP(A2324,vlookup_table!$A:$G,5,FALSE),"")</f>
        <v>R3</v>
      </c>
      <c r="Q2324">
        <f>IFERROR(VLOOKUP(A2324,vlookup_table!$A:$G,7,FALSE),"")</f>
        <v>5</v>
      </c>
      <c r="R2324">
        <f t="shared" si="144"/>
        <v>97</v>
      </c>
      <c r="S2324" t="str" cm="1">
        <f t="array" ref="S2324">IF(P2324="","",_xlfn.SWITCH(LEFT(P2324,1),"C","Ciudad","T","Pueblo","R","Rural","S","Suburbano","U","Urbano",""))</f>
        <v>Rural</v>
      </c>
      <c r="T2324" t="str">
        <f t="shared" si="145"/>
        <v>M</v>
      </c>
      <c r="U2324" t="str">
        <f t="shared" si="146"/>
        <v>KY</v>
      </c>
      <c r="V2324" t="str">
        <f t="shared" si="147"/>
        <v>7656</v>
      </c>
    </row>
    <row r="2325" spans="1:22" x14ac:dyDescent="0.35">
      <c r="A2325">
        <v>144339</v>
      </c>
      <c r="B2325" t="s">
        <v>22</v>
      </c>
      <c r="C2325" t="s">
        <v>30</v>
      </c>
      <c r="D2325">
        <v>2941</v>
      </c>
      <c r="E2325">
        <v>677</v>
      </c>
      <c r="F2325">
        <v>819</v>
      </c>
      <c r="G2325">
        <v>83</v>
      </c>
      <c r="H2325">
        <v>28577</v>
      </c>
      <c r="I2325">
        <v>20</v>
      </c>
      <c r="J2325">
        <v>53</v>
      </c>
      <c r="K2325">
        <v>804</v>
      </c>
      <c r="L2325">
        <v>712</v>
      </c>
      <c r="M2325">
        <v>11.66666667</v>
      </c>
      <c r="N2325">
        <f>IFERROR(VLOOKUP(A2325,vlookup_table!$A:$G,2,FALSE),"")</f>
        <v>980</v>
      </c>
      <c r="O2325">
        <f>IFERROR(VLOOKUP(A2325,vlookup_table!$A:$G,4,FALSE),"")</f>
        <v>6601</v>
      </c>
      <c r="P2325" t="str">
        <f>IFERROR(VLOOKUP(A2325,vlookup_table!$A:$G,5,FALSE),"")</f>
        <v>U1</v>
      </c>
      <c r="Q2325">
        <f>IFERROR(VLOOKUP(A2325,vlookup_table!$A:$G,7,FALSE),"")</f>
        <v>10</v>
      </c>
      <c r="R2325">
        <f t="shared" si="144"/>
        <v>31</v>
      </c>
      <c r="S2325" t="str" cm="1">
        <f t="array" ref="S2325">IF(P2325="","",_xlfn.SWITCH(LEFT(P2325,1),"C","Ciudad","T","Pueblo","R","Rural","S","Suburbano","U","Urbano",""))</f>
        <v>Urbano</v>
      </c>
      <c r="T2325" t="str">
        <f t="shared" si="145"/>
        <v>U</v>
      </c>
      <c r="U2325" t="str">
        <f t="shared" si="146"/>
        <v>CA</v>
      </c>
      <c r="V2325" t="str">
        <f t="shared" si="147"/>
        <v>28577</v>
      </c>
    </row>
    <row r="2326" spans="1:22" x14ac:dyDescent="0.35">
      <c r="A2326">
        <v>158355</v>
      </c>
      <c r="B2326" t="s">
        <v>22</v>
      </c>
      <c r="C2326" t="s">
        <v>14</v>
      </c>
      <c r="D2326">
        <v>1857</v>
      </c>
      <c r="E2326">
        <v>484</v>
      </c>
      <c r="F2326">
        <v>531</v>
      </c>
      <c r="G2326">
        <v>17</v>
      </c>
      <c r="H2326">
        <v>13912</v>
      </c>
      <c r="I2326">
        <v>26</v>
      </c>
      <c r="J2326">
        <v>52</v>
      </c>
      <c r="K2326">
        <v>497</v>
      </c>
      <c r="L2326">
        <v>526</v>
      </c>
      <c r="M2326">
        <v>20</v>
      </c>
      <c r="N2326">
        <f>IFERROR(VLOOKUP(A2326,vlookup_table!$A:$G,2,FALSE),"")</f>
        <v>1</v>
      </c>
      <c r="O2326">
        <f>IFERROR(VLOOKUP(A2326,vlookup_table!$A:$G,4,FALSE),"")</f>
        <v>4801</v>
      </c>
      <c r="P2326" t="str">
        <f>IFERROR(VLOOKUP(A2326,vlookup_table!$A:$G,5,FALSE),"")</f>
        <v>U1</v>
      </c>
      <c r="Q2326">
        <f>IFERROR(VLOOKUP(A2326,vlookup_table!$A:$G,7,FALSE),"")</f>
        <v>15</v>
      </c>
      <c r="R2326">
        <f t="shared" si="144"/>
        <v>49</v>
      </c>
      <c r="S2326" t="str" cm="1">
        <f t="array" ref="S2326">IF(P2326="","",_xlfn.SWITCH(LEFT(P2326,1),"C","Ciudad","T","Pueblo","R","Rural","S","Suburbano","U","Urbano",""))</f>
        <v>Urbano</v>
      </c>
      <c r="T2326" t="str">
        <f t="shared" si="145"/>
        <v>M</v>
      </c>
      <c r="U2326" t="str">
        <f t="shared" si="146"/>
        <v>CA</v>
      </c>
      <c r="V2326" t="str">
        <f t="shared" si="147"/>
        <v>13912</v>
      </c>
    </row>
    <row r="2327" spans="1:22" x14ac:dyDescent="0.35">
      <c r="A2327">
        <v>24311</v>
      </c>
      <c r="B2327" t="s">
        <v>18</v>
      </c>
      <c r="C2327" t="s">
        <v>20</v>
      </c>
      <c r="D2327">
        <v>877</v>
      </c>
      <c r="E2327">
        <v>293</v>
      </c>
      <c r="F2327">
        <v>405</v>
      </c>
      <c r="G2327">
        <v>7</v>
      </c>
      <c r="H2327">
        <v>13707</v>
      </c>
      <c r="I2327">
        <v>1</v>
      </c>
      <c r="J2327">
        <v>63</v>
      </c>
      <c r="K2327">
        <v>336</v>
      </c>
      <c r="L2327">
        <v>362</v>
      </c>
      <c r="M2327">
        <v>10.222222220000001</v>
      </c>
      <c r="N2327">
        <f>IFERROR(VLOOKUP(A2327,vlookup_table!$A:$G,2,FALSE),"")</f>
        <v>28</v>
      </c>
      <c r="O2327">
        <f>IFERROR(VLOOKUP(A2327,vlookup_table!$A:$G,4,FALSE),"")</f>
        <v>0</v>
      </c>
      <c r="P2327" t="str">
        <f>IFERROR(VLOOKUP(A2327,vlookup_table!$A:$G,5,FALSE),"")</f>
        <v>R1</v>
      </c>
      <c r="Q2327">
        <f>IFERROR(VLOOKUP(A2327,vlookup_table!$A:$G,7,FALSE),"")</f>
        <v>3</v>
      </c>
      <c r="R2327">
        <f t="shared" si="144"/>
        <v>97</v>
      </c>
      <c r="S2327" t="str" cm="1">
        <f t="array" ref="S2327">IF(P2327="","",_xlfn.SWITCH(LEFT(P2327,1),"C","Ciudad","T","Pueblo","R","Rural","S","Suburbano","U","Urbano",""))</f>
        <v>Rural</v>
      </c>
      <c r="T2327" t="str">
        <f t="shared" si="145"/>
        <v>F</v>
      </c>
      <c r="U2327" t="str">
        <f t="shared" si="146"/>
        <v>NC</v>
      </c>
      <c r="V2327" t="str">
        <f t="shared" si="147"/>
        <v>13707</v>
      </c>
    </row>
    <row r="2328" spans="1:22" x14ac:dyDescent="0.35">
      <c r="A2328">
        <v>44009</v>
      </c>
      <c r="B2328" t="s">
        <v>13</v>
      </c>
      <c r="C2328" t="s">
        <v>17</v>
      </c>
      <c r="D2328">
        <v>1086</v>
      </c>
      <c r="E2328">
        <v>384</v>
      </c>
      <c r="F2328">
        <v>502</v>
      </c>
      <c r="G2328">
        <v>12</v>
      </c>
      <c r="H2328">
        <v>17091</v>
      </c>
      <c r="I2328">
        <v>4</v>
      </c>
      <c r="J2328">
        <v>24</v>
      </c>
      <c r="K2328">
        <v>433</v>
      </c>
      <c r="L2328">
        <v>457</v>
      </c>
      <c r="M2328">
        <v>9.375</v>
      </c>
      <c r="N2328">
        <f>IFERROR(VLOOKUP(A2328,vlookup_table!$A:$G,2,FALSE),"")</f>
        <v>0</v>
      </c>
      <c r="O2328">
        <f>IFERROR(VLOOKUP(A2328,vlookup_table!$A:$G,4,FALSE),"")</f>
        <v>1103</v>
      </c>
      <c r="P2328" t="str">
        <f>IFERROR(VLOOKUP(A2328,vlookup_table!$A:$G,5,FALSE),"")</f>
        <v>S2</v>
      </c>
      <c r="Q2328">
        <f>IFERROR(VLOOKUP(A2328,vlookup_table!$A:$G,7,FALSE),"")</f>
        <v>20</v>
      </c>
      <c r="R2328">
        <f t="shared" si="144"/>
        <v>86</v>
      </c>
      <c r="S2328" t="str" cm="1">
        <f t="array" ref="S2328">IF(P2328="","",_xlfn.SWITCH(LEFT(P2328,1),"C","Ciudad","T","Pueblo","R","Rural","S","Suburbano","U","Urbano",""))</f>
        <v>Suburbano</v>
      </c>
      <c r="T2328" t="str">
        <f t="shared" si="145"/>
        <v>F</v>
      </c>
      <c r="U2328" t="str">
        <f t="shared" si="146"/>
        <v>FL</v>
      </c>
      <c r="V2328" t="str">
        <f t="shared" si="147"/>
        <v>17091</v>
      </c>
    </row>
    <row r="2329" spans="1:22" x14ac:dyDescent="0.35">
      <c r="A2329">
        <v>7059</v>
      </c>
      <c r="B2329" t="s">
        <v>46</v>
      </c>
      <c r="C2329" t="s">
        <v>17</v>
      </c>
      <c r="D2329">
        <v>1015</v>
      </c>
      <c r="E2329">
        <v>478</v>
      </c>
      <c r="F2329">
        <v>533</v>
      </c>
      <c r="G2329">
        <v>0</v>
      </c>
      <c r="H2329">
        <v>17763</v>
      </c>
      <c r="I2329">
        <v>14</v>
      </c>
      <c r="J2329">
        <v>40</v>
      </c>
      <c r="K2329">
        <v>500</v>
      </c>
      <c r="L2329">
        <v>516</v>
      </c>
      <c r="M2329">
        <v>9.5714285710000002</v>
      </c>
      <c r="N2329">
        <f>IFERROR(VLOOKUP(A2329,vlookup_table!$A:$G,2,FALSE),"")</f>
        <v>2</v>
      </c>
      <c r="O2329">
        <f>IFERROR(VLOOKUP(A2329,vlookup_table!$A:$G,4,FALSE),"")</f>
        <v>2007</v>
      </c>
      <c r="P2329" t="str">
        <f>IFERROR(VLOOKUP(A2329,vlookup_table!$A:$G,5,FALSE),"")</f>
        <v>S1</v>
      </c>
      <c r="Q2329">
        <f>IFERROR(VLOOKUP(A2329,vlookup_table!$A:$G,7,FALSE),"")</f>
        <v>10</v>
      </c>
      <c r="R2329">
        <f t="shared" si="144"/>
        <v>77</v>
      </c>
      <c r="S2329" t="str" cm="1">
        <f t="array" ref="S2329">IF(P2329="","",_xlfn.SWITCH(LEFT(P2329,1),"C","Ciudad","T","Pueblo","R","Rural","S","Suburbano","U","Urbano",""))</f>
        <v>Suburbano</v>
      </c>
      <c r="T2329" t="str">
        <f t="shared" si="145"/>
        <v>F</v>
      </c>
      <c r="U2329" t="str">
        <f t="shared" si="146"/>
        <v>SC</v>
      </c>
      <c r="V2329" t="str">
        <f t="shared" si="147"/>
        <v>17763</v>
      </c>
    </row>
    <row r="2330" spans="1:22" x14ac:dyDescent="0.35">
      <c r="A2330">
        <v>11399</v>
      </c>
      <c r="B2330" t="s">
        <v>22</v>
      </c>
      <c r="C2330" t="s">
        <v>17</v>
      </c>
      <c r="D2330">
        <v>809</v>
      </c>
      <c r="E2330">
        <v>159</v>
      </c>
      <c r="F2330">
        <v>227</v>
      </c>
      <c r="G2330">
        <v>0</v>
      </c>
      <c r="H2330">
        <v>7074</v>
      </c>
      <c r="I2330">
        <v>30</v>
      </c>
      <c r="J2330">
        <v>52</v>
      </c>
      <c r="K2330">
        <v>191</v>
      </c>
      <c r="L2330">
        <v>209</v>
      </c>
      <c r="M2330">
        <v>4.585714286</v>
      </c>
      <c r="N2330">
        <f>IFERROR(VLOOKUP(A2330,vlookup_table!$A:$G,2,FALSE),"")</f>
        <v>2</v>
      </c>
      <c r="O2330">
        <f>IFERROR(VLOOKUP(A2330,vlookup_table!$A:$G,4,FALSE),"")</f>
        <v>1102</v>
      </c>
      <c r="P2330" t="str">
        <f>IFERROR(VLOOKUP(A2330,vlookup_table!$A:$G,5,FALSE),"")</f>
        <v>C1</v>
      </c>
      <c r="Q2330">
        <f>IFERROR(VLOOKUP(A2330,vlookup_table!$A:$G,7,FALSE),"")</f>
        <v>8</v>
      </c>
      <c r="R2330">
        <f t="shared" si="144"/>
        <v>86</v>
      </c>
      <c r="S2330" t="str" cm="1">
        <f t="array" ref="S2330">IF(P2330="","",_xlfn.SWITCH(LEFT(P2330,1),"C","Ciudad","T","Pueblo","R","Rural","S","Suburbano","U","Urbano",""))</f>
        <v>Ciudad</v>
      </c>
      <c r="T2330" t="str">
        <f t="shared" si="145"/>
        <v>F</v>
      </c>
      <c r="U2330" t="str">
        <f t="shared" si="146"/>
        <v>CA</v>
      </c>
      <c r="V2330" t="str">
        <f t="shared" si="147"/>
        <v>7074</v>
      </c>
    </row>
    <row r="2331" spans="1:22" x14ac:dyDescent="0.35">
      <c r="A2331">
        <v>50262</v>
      </c>
      <c r="B2331" t="s">
        <v>68</v>
      </c>
      <c r="C2331" t="s">
        <v>14</v>
      </c>
      <c r="D2331">
        <v>648</v>
      </c>
      <c r="E2331">
        <v>320</v>
      </c>
      <c r="F2331">
        <v>362</v>
      </c>
      <c r="G2331">
        <v>0</v>
      </c>
      <c r="H2331">
        <v>12611</v>
      </c>
      <c r="I2331">
        <v>0</v>
      </c>
      <c r="J2331">
        <v>86</v>
      </c>
      <c r="K2331">
        <v>325</v>
      </c>
      <c r="L2331">
        <v>352</v>
      </c>
      <c r="M2331">
        <v>5.8666666669999996</v>
      </c>
      <c r="N2331">
        <f>IFERROR(VLOOKUP(A2331,vlookup_table!$A:$G,2,FALSE),"")</f>
        <v>1</v>
      </c>
      <c r="O2331">
        <f>IFERROR(VLOOKUP(A2331,vlookup_table!$A:$G,4,FALSE),"")</f>
        <v>4801</v>
      </c>
      <c r="P2331" t="str">
        <f>IFERROR(VLOOKUP(A2331,vlookup_table!$A:$G,5,FALSE),"")</f>
        <v>R2</v>
      </c>
      <c r="Q2331">
        <f>IFERROR(VLOOKUP(A2331,vlookup_table!$A:$G,7,FALSE),"")</f>
        <v>10</v>
      </c>
      <c r="R2331">
        <f t="shared" si="144"/>
        <v>49</v>
      </c>
      <c r="S2331" t="str" cm="1">
        <f t="array" ref="S2331">IF(P2331="","",_xlfn.SWITCH(LEFT(P2331,1),"C","Ciudad","T","Pueblo","R","Rural","S","Suburbano","U","Urbano",""))</f>
        <v>Rural</v>
      </c>
      <c r="T2331" t="str">
        <f t="shared" si="145"/>
        <v>M</v>
      </c>
      <c r="U2331" t="str">
        <f t="shared" si="146"/>
        <v>Tennessee</v>
      </c>
      <c r="V2331" t="str">
        <f t="shared" si="147"/>
        <v>12611</v>
      </c>
    </row>
    <row r="2332" spans="1:22" x14ac:dyDescent="0.35">
      <c r="A2332">
        <v>40338</v>
      </c>
      <c r="B2332" t="s">
        <v>13</v>
      </c>
      <c r="C2332" t="s">
        <v>17</v>
      </c>
      <c r="D2332">
        <v>902</v>
      </c>
      <c r="E2332">
        <v>410</v>
      </c>
      <c r="F2332">
        <v>461</v>
      </c>
      <c r="G2332">
        <v>4</v>
      </c>
      <c r="H2332">
        <v>15332</v>
      </c>
      <c r="I2332">
        <v>13</v>
      </c>
      <c r="J2332">
        <v>28</v>
      </c>
      <c r="K2332">
        <v>413</v>
      </c>
      <c r="L2332">
        <v>460</v>
      </c>
      <c r="M2332">
        <v>12.4</v>
      </c>
      <c r="N2332">
        <f>IFERROR(VLOOKUP(A2332,vlookup_table!$A:$G,2,FALSE),"")</f>
        <v>0</v>
      </c>
      <c r="O2332">
        <f>IFERROR(VLOOKUP(A2332,vlookup_table!$A:$G,4,FALSE),"")</f>
        <v>6901</v>
      </c>
      <c r="P2332" t="str">
        <f>IFERROR(VLOOKUP(A2332,vlookup_table!$A:$G,5,FALSE),"")</f>
        <v>S2</v>
      </c>
      <c r="Q2332">
        <f>IFERROR(VLOOKUP(A2332,vlookup_table!$A:$G,7,FALSE),"")</f>
        <v>21</v>
      </c>
      <c r="R2332">
        <f t="shared" si="144"/>
        <v>28</v>
      </c>
      <c r="S2332" t="str" cm="1">
        <f t="array" ref="S2332">IF(P2332="","",_xlfn.SWITCH(LEFT(P2332,1),"C","Ciudad","T","Pueblo","R","Rural","S","Suburbano","U","Urbano",""))</f>
        <v>Suburbano</v>
      </c>
      <c r="T2332" t="str">
        <f t="shared" si="145"/>
        <v>F</v>
      </c>
      <c r="U2332" t="str">
        <f t="shared" si="146"/>
        <v>FL</v>
      </c>
      <c r="V2332" t="str">
        <f t="shared" si="147"/>
        <v>15332</v>
      </c>
    </row>
    <row r="2333" spans="1:22" x14ac:dyDescent="0.35">
      <c r="A2333">
        <v>91101</v>
      </c>
      <c r="B2333" t="s">
        <v>16</v>
      </c>
      <c r="C2333" t="s">
        <v>14</v>
      </c>
      <c r="D2333">
        <v>889</v>
      </c>
      <c r="E2333">
        <v>510</v>
      </c>
      <c r="F2333">
        <v>513</v>
      </c>
      <c r="G2333">
        <v>0</v>
      </c>
      <c r="H2333">
        <v>16731</v>
      </c>
      <c r="I2333">
        <v>0</v>
      </c>
      <c r="J2333">
        <v>86</v>
      </c>
      <c r="K2333">
        <v>518</v>
      </c>
      <c r="L2333">
        <v>517</v>
      </c>
      <c r="M2333">
        <v>16.399999999999999</v>
      </c>
      <c r="N2333">
        <f>IFERROR(VLOOKUP(A2333,vlookup_table!$A:$G,2,FALSE),"")</f>
        <v>0</v>
      </c>
      <c r="O2333">
        <f>IFERROR(VLOOKUP(A2333,vlookup_table!$A:$G,4,FALSE),"")</f>
        <v>4507</v>
      </c>
      <c r="P2333" t="str">
        <f>IFERROR(VLOOKUP(A2333,vlookup_table!$A:$G,5,FALSE),"")</f>
        <v>S2</v>
      </c>
      <c r="Q2333">
        <f>IFERROR(VLOOKUP(A2333,vlookup_table!$A:$G,7,FALSE),"")</f>
        <v>25</v>
      </c>
      <c r="R2333">
        <f t="shared" si="144"/>
        <v>52</v>
      </c>
      <c r="S2333" t="str" cm="1">
        <f t="array" ref="S2333">IF(P2333="","",_xlfn.SWITCH(LEFT(P2333,1),"C","Ciudad","T","Pueblo","R","Rural","S","Suburbano","U","Urbano",""))</f>
        <v>Suburbano</v>
      </c>
      <c r="T2333" t="str">
        <f t="shared" si="145"/>
        <v>M</v>
      </c>
      <c r="U2333" t="str">
        <f t="shared" si="146"/>
        <v>IL</v>
      </c>
      <c r="V2333" t="str">
        <f t="shared" si="147"/>
        <v>16731</v>
      </c>
    </row>
    <row r="2334" spans="1:22" x14ac:dyDescent="0.35">
      <c r="A2334">
        <v>130969</v>
      </c>
      <c r="B2334" t="s">
        <v>48</v>
      </c>
      <c r="C2334" t="s">
        <v>17</v>
      </c>
      <c r="D2334">
        <v>1309</v>
      </c>
      <c r="E2334">
        <v>494</v>
      </c>
      <c r="F2334">
        <v>606</v>
      </c>
      <c r="G2334">
        <v>10</v>
      </c>
      <c r="H2334">
        <v>23951</v>
      </c>
      <c r="I2334">
        <v>3</v>
      </c>
      <c r="J2334">
        <v>38</v>
      </c>
      <c r="K2334">
        <v>528</v>
      </c>
      <c r="L2334">
        <v>572</v>
      </c>
      <c r="M2334">
        <v>7.1</v>
      </c>
      <c r="N2334">
        <f>IFERROR(VLOOKUP(A2334,vlookup_table!$A:$G,2,FALSE),"")</f>
        <v>2</v>
      </c>
      <c r="O2334">
        <f>IFERROR(VLOOKUP(A2334,vlookup_table!$A:$G,4,FALSE),"")</f>
        <v>301</v>
      </c>
      <c r="P2334" t="str">
        <f>IFERROR(VLOOKUP(A2334,vlookup_table!$A:$G,5,FALSE),"")</f>
        <v>C1</v>
      </c>
      <c r="Q2334">
        <f>IFERROR(VLOOKUP(A2334,vlookup_table!$A:$G,7,FALSE),"")</f>
        <v>20</v>
      </c>
      <c r="R2334">
        <f t="shared" si="144"/>
        <v>94</v>
      </c>
      <c r="S2334" t="str" cm="1">
        <f t="array" ref="S2334">IF(P2334="","",_xlfn.SWITCH(LEFT(P2334,1),"C","Ciudad","T","Pueblo","R","Rural","S","Suburbano","U","Urbano",""))</f>
        <v>Ciudad</v>
      </c>
      <c r="T2334" t="str">
        <f t="shared" si="145"/>
        <v>F</v>
      </c>
      <c r="U2334" t="str">
        <f t="shared" si="146"/>
        <v>CO</v>
      </c>
      <c r="V2334" t="str">
        <f t="shared" si="147"/>
        <v>23951</v>
      </c>
    </row>
    <row r="2335" spans="1:22" x14ac:dyDescent="0.35">
      <c r="A2335">
        <v>128122</v>
      </c>
      <c r="B2335" t="s">
        <v>21</v>
      </c>
      <c r="C2335" t="s">
        <v>14</v>
      </c>
      <c r="D2335">
        <v>438</v>
      </c>
      <c r="E2335">
        <v>215</v>
      </c>
      <c r="F2335">
        <v>267</v>
      </c>
      <c r="G2335">
        <v>3</v>
      </c>
      <c r="H2335">
        <v>8729</v>
      </c>
      <c r="I2335">
        <v>1</v>
      </c>
      <c r="J2335">
        <v>68</v>
      </c>
      <c r="K2335">
        <v>264</v>
      </c>
      <c r="L2335">
        <v>240</v>
      </c>
      <c r="M2335">
        <v>6.125</v>
      </c>
      <c r="N2335">
        <f>IFERROR(VLOOKUP(A2335,vlookup_table!$A:$G,2,FALSE),"")</f>
        <v>0</v>
      </c>
      <c r="O2335">
        <f>IFERROR(VLOOKUP(A2335,vlookup_table!$A:$G,4,FALSE),"")</f>
        <v>0</v>
      </c>
      <c r="P2335" t="str">
        <f>IFERROR(VLOOKUP(A2335,vlookup_table!$A:$G,5,FALSE),"")</f>
        <v>T2</v>
      </c>
      <c r="Q2335">
        <f>IFERROR(VLOOKUP(A2335,vlookup_table!$A:$G,7,FALSE),"")</f>
        <v>5</v>
      </c>
      <c r="R2335">
        <f t="shared" si="144"/>
        <v>97</v>
      </c>
      <c r="S2335" t="str" cm="1">
        <f t="array" ref="S2335">IF(P2335="","",_xlfn.SWITCH(LEFT(P2335,1),"C","Ciudad","T","Pueblo","R","Rural","S","Suburbano","U","Urbano",""))</f>
        <v>Pueblo</v>
      </c>
      <c r="T2335" t="str">
        <f t="shared" si="145"/>
        <v>M</v>
      </c>
      <c r="U2335" t="str">
        <f t="shared" si="146"/>
        <v>TX</v>
      </c>
      <c r="V2335" t="str">
        <f t="shared" si="147"/>
        <v>8729</v>
      </c>
    </row>
    <row r="2336" spans="1:22" x14ac:dyDescent="0.35">
      <c r="A2336">
        <v>167149</v>
      </c>
      <c r="B2336" t="s">
        <v>22</v>
      </c>
      <c r="C2336" t="s">
        <v>14</v>
      </c>
      <c r="D2336">
        <v>2961</v>
      </c>
      <c r="E2336">
        <v>664</v>
      </c>
      <c r="F2336">
        <v>708</v>
      </c>
      <c r="G2336">
        <v>95</v>
      </c>
      <c r="H2336">
        <v>23204</v>
      </c>
      <c r="I2336">
        <v>16</v>
      </c>
      <c r="J2336">
        <v>51</v>
      </c>
      <c r="K2336">
        <v>665</v>
      </c>
      <c r="L2336">
        <v>716</v>
      </c>
      <c r="M2336">
        <v>14.66666667</v>
      </c>
      <c r="N2336">
        <f>IFERROR(VLOOKUP(A2336,vlookup_table!$A:$G,2,FALSE),"")</f>
        <v>1</v>
      </c>
      <c r="O2336">
        <f>IFERROR(VLOOKUP(A2336,vlookup_table!$A:$G,4,FALSE),"")</f>
        <v>4501</v>
      </c>
      <c r="P2336" t="str">
        <f>IFERROR(VLOOKUP(A2336,vlookup_table!$A:$G,5,FALSE),"")</f>
        <v>U1</v>
      </c>
      <c r="Q2336">
        <f>IFERROR(VLOOKUP(A2336,vlookup_table!$A:$G,7,FALSE),"")</f>
        <v>20</v>
      </c>
      <c r="R2336">
        <f t="shared" si="144"/>
        <v>52</v>
      </c>
      <c r="S2336" t="str" cm="1">
        <f t="array" ref="S2336">IF(P2336="","",_xlfn.SWITCH(LEFT(P2336,1),"C","Ciudad","T","Pueblo","R","Rural","S","Suburbano","U","Urbano",""))</f>
        <v>Urbano</v>
      </c>
      <c r="T2336" t="str">
        <f t="shared" si="145"/>
        <v>M</v>
      </c>
      <c r="U2336" t="str">
        <f t="shared" si="146"/>
        <v>CA</v>
      </c>
      <c r="V2336" t="str">
        <f t="shared" si="147"/>
        <v>23204</v>
      </c>
    </row>
    <row r="2337" spans="1:22" x14ac:dyDescent="0.35">
      <c r="A2337">
        <v>67742</v>
      </c>
      <c r="B2337" t="s">
        <v>29</v>
      </c>
      <c r="C2337" t="s">
        <v>17</v>
      </c>
      <c r="D2337">
        <v>1101</v>
      </c>
      <c r="E2337">
        <v>515</v>
      </c>
      <c r="F2337">
        <v>624</v>
      </c>
      <c r="G2337">
        <v>18</v>
      </c>
      <c r="H2337">
        <v>19857</v>
      </c>
      <c r="I2337">
        <v>1</v>
      </c>
      <c r="J2337">
        <v>81</v>
      </c>
      <c r="K2337">
        <v>560</v>
      </c>
      <c r="L2337">
        <v>554</v>
      </c>
      <c r="M2337">
        <v>7.9</v>
      </c>
      <c r="N2337">
        <f>IFERROR(VLOOKUP(A2337,vlookup_table!$A:$G,2,FALSE),"")</f>
        <v>0</v>
      </c>
      <c r="O2337">
        <f>IFERROR(VLOOKUP(A2337,vlookup_table!$A:$G,4,FALSE),"")</f>
        <v>2309</v>
      </c>
      <c r="P2337" t="str">
        <f>IFERROR(VLOOKUP(A2337,vlookup_table!$A:$G,5,FALSE),"")</f>
        <v>T1</v>
      </c>
      <c r="Q2337">
        <f>IFERROR(VLOOKUP(A2337,vlookup_table!$A:$G,7,FALSE),"")</f>
        <v>5</v>
      </c>
      <c r="R2337">
        <f t="shared" si="144"/>
        <v>74</v>
      </c>
      <c r="S2337" t="str" cm="1">
        <f t="array" ref="S2337">IF(P2337="","",_xlfn.SWITCH(LEFT(P2337,1),"C","Ciudad","T","Pueblo","R","Rural","S","Suburbano","U","Urbano",""))</f>
        <v>Pueblo</v>
      </c>
      <c r="T2337" t="str">
        <f t="shared" si="145"/>
        <v>F</v>
      </c>
      <c r="U2337" t="str">
        <f t="shared" si="146"/>
        <v>MI</v>
      </c>
      <c r="V2337" t="str">
        <f t="shared" si="147"/>
        <v>19857</v>
      </c>
    </row>
    <row r="2338" spans="1:22" x14ac:dyDescent="0.35">
      <c r="A2338">
        <v>66303</v>
      </c>
      <c r="B2338" t="s">
        <v>29</v>
      </c>
      <c r="C2338" t="s">
        <v>17</v>
      </c>
      <c r="D2338">
        <v>704</v>
      </c>
      <c r="E2338">
        <v>471</v>
      </c>
      <c r="F2338">
        <v>511</v>
      </c>
      <c r="G2338">
        <v>0</v>
      </c>
      <c r="H2338">
        <v>16111</v>
      </c>
      <c r="I2338">
        <v>22</v>
      </c>
      <c r="J2338">
        <v>66</v>
      </c>
      <c r="K2338">
        <v>494</v>
      </c>
      <c r="L2338">
        <v>481</v>
      </c>
      <c r="M2338">
        <v>3.7272727269999999</v>
      </c>
      <c r="N2338">
        <f>IFERROR(VLOOKUP(A2338,vlookup_table!$A:$G,2,FALSE),"")</f>
        <v>0</v>
      </c>
      <c r="O2338">
        <f>IFERROR(VLOOKUP(A2338,vlookup_table!$A:$G,4,FALSE),"")</f>
        <v>1401</v>
      </c>
      <c r="P2338" t="str">
        <f>IFERROR(VLOOKUP(A2338,vlookup_table!$A:$G,5,FALSE),"")</f>
        <v>U2</v>
      </c>
      <c r="Q2338">
        <f>IFERROR(VLOOKUP(A2338,vlookup_table!$A:$G,7,FALSE),"")</f>
        <v>2</v>
      </c>
      <c r="R2338">
        <f t="shared" si="144"/>
        <v>83</v>
      </c>
      <c r="S2338" t="str" cm="1">
        <f t="array" ref="S2338">IF(P2338="","",_xlfn.SWITCH(LEFT(P2338,1),"C","Ciudad","T","Pueblo","R","Rural","S","Suburbano","U","Urbano",""))</f>
        <v>Urbano</v>
      </c>
      <c r="T2338" t="str">
        <f t="shared" si="145"/>
        <v>F</v>
      </c>
      <c r="U2338" t="str">
        <f t="shared" si="146"/>
        <v>MI</v>
      </c>
      <c r="V2338" t="str">
        <f t="shared" si="147"/>
        <v>16111</v>
      </c>
    </row>
    <row r="2339" spans="1:22" x14ac:dyDescent="0.35">
      <c r="A2339">
        <v>86205</v>
      </c>
      <c r="B2339" t="s">
        <v>52</v>
      </c>
      <c r="C2339" t="s">
        <v>17</v>
      </c>
      <c r="D2339">
        <v>527</v>
      </c>
      <c r="E2339">
        <v>275</v>
      </c>
      <c r="F2339">
        <v>340</v>
      </c>
      <c r="G2339">
        <v>0</v>
      </c>
      <c r="H2339">
        <v>10866</v>
      </c>
      <c r="I2339">
        <v>2</v>
      </c>
      <c r="J2339">
        <v>71</v>
      </c>
      <c r="K2339">
        <v>321</v>
      </c>
      <c r="L2339">
        <v>311</v>
      </c>
      <c r="M2339">
        <v>12.90909091</v>
      </c>
      <c r="N2339">
        <f>IFERROR(VLOOKUP(A2339,vlookup_table!$A:$G,2,FALSE),"")</f>
        <v>3</v>
      </c>
      <c r="O2339">
        <f>IFERROR(VLOOKUP(A2339,vlookup_table!$A:$G,4,FALSE),"")</f>
        <v>5007</v>
      </c>
      <c r="P2339" t="str">
        <f>IFERROR(VLOOKUP(A2339,vlookup_table!$A:$G,5,FALSE),"")</f>
        <v>T2</v>
      </c>
      <c r="Q2339">
        <f>IFERROR(VLOOKUP(A2339,vlookup_table!$A:$G,7,FALSE),"")</f>
        <v>25</v>
      </c>
      <c r="R2339">
        <f t="shared" si="144"/>
        <v>47</v>
      </c>
      <c r="S2339" t="str" cm="1">
        <f t="array" ref="S2339">IF(P2339="","",_xlfn.SWITCH(LEFT(P2339,1),"C","Ciudad","T","Pueblo","R","Rural","S","Suburbano","U","Urbano",""))</f>
        <v>Pueblo</v>
      </c>
      <c r="T2339" t="str">
        <f t="shared" si="145"/>
        <v>F</v>
      </c>
      <c r="U2339" t="str">
        <f t="shared" si="146"/>
        <v>SD</v>
      </c>
      <c r="V2339" t="str">
        <f t="shared" si="147"/>
        <v>10866</v>
      </c>
    </row>
    <row r="2340" spans="1:22" x14ac:dyDescent="0.35">
      <c r="A2340">
        <v>1899</v>
      </c>
      <c r="B2340" t="s">
        <v>22</v>
      </c>
      <c r="C2340" t="s">
        <v>14</v>
      </c>
      <c r="D2340">
        <v>1519</v>
      </c>
      <c r="E2340">
        <v>346</v>
      </c>
      <c r="F2340">
        <v>429</v>
      </c>
      <c r="G2340">
        <v>14</v>
      </c>
      <c r="H2340">
        <v>14162</v>
      </c>
      <c r="I2340">
        <v>9</v>
      </c>
      <c r="J2340">
        <v>65</v>
      </c>
      <c r="K2340">
        <v>381</v>
      </c>
      <c r="L2340">
        <v>406</v>
      </c>
      <c r="M2340">
        <v>10.222222220000001</v>
      </c>
      <c r="N2340">
        <f>IFERROR(VLOOKUP(A2340,vlookup_table!$A:$G,2,FALSE),"")</f>
        <v>1</v>
      </c>
      <c r="O2340">
        <f>IFERROR(VLOOKUP(A2340,vlookup_table!$A:$G,4,FALSE),"")</f>
        <v>4801</v>
      </c>
      <c r="P2340" t="str">
        <f>IFERROR(VLOOKUP(A2340,vlookup_table!$A:$G,5,FALSE),"")</f>
        <v>S2</v>
      </c>
      <c r="Q2340" t="str">
        <f>IFERROR(VLOOKUP(A2340,vlookup_table!$A:$G,7,FALSE),"")</f>
        <v>12.5</v>
      </c>
      <c r="R2340">
        <f t="shared" si="144"/>
        <v>49</v>
      </c>
      <c r="S2340" t="str" cm="1">
        <f t="array" ref="S2340">IF(P2340="","",_xlfn.SWITCH(LEFT(P2340,1),"C","Ciudad","T","Pueblo","R","Rural","S","Suburbano","U","Urbano",""))</f>
        <v>Suburbano</v>
      </c>
      <c r="T2340" t="str">
        <f t="shared" si="145"/>
        <v>M</v>
      </c>
      <c r="U2340" t="str">
        <f t="shared" si="146"/>
        <v>CA</v>
      </c>
      <c r="V2340" t="str">
        <f t="shared" si="147"/>
        <v>14162</v>
      </c>
    </row>
    <row r="2341" spans="1:22" x14ac:dyDescent="0.35">
      <c r="A2341">
        <v>184690</v>
      </c>
      <c r="B2341" t="s">
        <v>70</v>
      </c>
      <c r="C2341" t="s">
        <v>27</v>
      </c>
      <c r="D2341">
        <v>778</v>
      </c>
      <c r="E2341">
        <v>473</v>
      </c>
      <c r="F2341">
        <v>568</v>
      </c>
      <c r="G2341">
        <v>0</v>
      </c>
      <c r="H2341">
        <v>20008</v>
      </c>
      <c r="I2341">
        <v>15</v>
      </c>
      <c r="J2341">
        <v>27</v>
      </c>
      <c r="K2341">
        <v>446</v>
      </c>
      <c r="L2341">
        <v>546</v>
      </c>
      <c r="M2341">
        <v>15</v>
      </c>
      <c r="N2341">
        <f>IFERROR(VLOOKUP(A2341,vlookup_table!$A:$G,2,FALSE),"")</f>
        <v>0</v>
      </c>
      <c r="O2341">
        <f>IFERROR(VLOOKUP(A2341,vlookup_table!$A:$G,4,FALSE),"")</f>
        <v>0</v>
      </c>
      <c r="P2341" t="str">
        <f>IFERROR(VLOOKUP(A2341,vlookup_table!$A:$G,5,FALSE),"")</f>
        <v>C2</v>
      </c>
      <c r="Q2341">
        <f>IFERROR(VLOOKUP(A2341,vlookup_table!$A:$G,7,FALSE),"")</f>
        <v>20</v>
      </c>
      <c r="R2341">
        <f t="shared" si="144"/>
        <v>97</v>
      </c>
      <c r="S2341" t="str" cm="1">
        <f t="array" ref="S2341">IF(P2341="","",_xlfn.SWITCH(LEFT(P2341,1),"C","Ciudad","T","Pueblo","R","Rural","S","Suburbano","U","Urbano",""))</f>
        <v>Ciudad</v>
      </c>
      <c r="T2341" t="str">
        <f t="shared" si="145"/>
        <v>M</v>
      </c>
      <c r="U2341" t="str">
        <f t="shared" si="146"/>
        <v>AK</v>
      </c>
      <c r="V2341" t="str">
        <f t="shared" si="147"/>
        <v>20008</v>
      </c>
    </row>
    <row r="2342" spans="1:22" x14ac:dyDescent="0.35">
      <c r="A2342">
        <v>7265</v>
      </c>
      <c r="B2342" t="s">
        <v>22</v>
      </c>
      <c r="C2342" t="s">
        <v>17</v>
      </c>
      <c r="D2342">
        <v>1465</v>
      </c>
      <c r="E2342">
        <v>283</v>
      </c>
      <c r="F2342">
        <v>519</v>
      </c>
      <c r="G2342">
        <v>1</v>
      </c>
      <c r="H2342">
        <v>24555</v>
      </c>
      <c r="I2342">
        <v>16</v>
      </c>
      <c r="J2342">
        <v>25</v>
      </c>
      <c r="K2342">
        <v>341</v>
      </c>
      <c r="L2342">
        <v>369</v>
      </c>
      <c r="M2342">
        <v>10.70588235</v>
      </c>
      <c r="N2342">
        <f>IFERROR(VLOOKUP(A2342,vlookup_table!$A:$G,2,FALSE),"")</f>
        <v>0</v>
      </c>
      <c r="O2342">
        <f>IFERROR(VLOOKUP(A2342,vlookup_table!$A:$G,4,FALSE),"")</f>
        <v>0</v>
      </c>
      <c r="P2342">
        <f>IFERROR(VLOOKUP(A2342,vlookup_table!$A:$G,5,FALSE),"")</f>
        <v>0</v>
      </c>
      <c r="Q2342">
        <f>IFERROR(VLOOKUP(A2342,vlookup_table!$A:$G,7,FALSE),"")</f>
        <v>10</v>
      </c>
      <c r="R2342">
        <f t="shared" si="144"/>
        <v>97</v>
      </c>
      <c r="S2342" t="str" cm="1">
        <f t="array" ref="S2342">IF(P2342="","",_xlfn.SWITCH(LEFT(P2342,1),"C","Ciudad","T","Pueblo","R","Rural","S","Suburbano","U","Urbano",""))</f>
        <v/>
      </c>
      <c r="T2342" t="str">
        <f t="shared" si="145"/>
        <v>F</v>
      </c>
      <c r="U2342" t="str">
        <f t="shared" si="146"/>
        <v>CA</v>
      </c>
      <c r="V2342" t="str">
        <f t="shared" si="147"/>
        <v>24555</v>
      </c>
    </row>
    <row r="2343" spans="1:22" x14ac:dyDescent="0.35">
      <c r="A2343">
        <v>159178</v>
      </c>
      <c r="B2343" t="s">
        <v>22</v>
      </c>
      <c r="C2343" t="s">
        <v>14</v>
      </c>
      <c r="D2343">
        <v>2765</v>
      </c>
      <c r="E2343">
        <v>695</v>
      </c>
      <c r="F2343">
        <v>753</v>
      </c>
      <c r="G2343">
        <v>93</v>
      </c>
      <c r="H2343">
        <v>22508</v>
      </c>
      <c r="I2343">
        <v>10</v>
      </c>
      <c r="J2343">
        <v>54</v>
      </c>
      <c r="K2343">
        <v>709</v>
      </c>
      <c r="L2343">
        <v>733</v>
      </c>
      <c r="M2343">
        <v>8.8333333330000006</v>
      </c>
      <c r="N2343">
        <f>IFERROR(VLOOKUP(A2343,vlookup_table!$A:$G,2,FALSE),"")</f>
        <v>1</v>
      </c>
      <c r="O2343">
        <f>IFERROR(VLOOKUP(A2343,vlookup_table!$A:$G,4,FALSE),"")</f>
        <v>0</v>
      </c>
      <c r="P2343" t="str">
        <f>IFERROR(VLOOKUP(A2343,vlookup_table!$A:$G,5,FALSE),"")</f>
        <v>C1</v>
      </c>
      <c r="Q2343">
        <f>IFERROR(VLOOKUP(A2343,vlookup_table!$A:$G,7,FALSE),"")</f>
        <v>10</v>
      </c>
      <c r="R2343">
        <f t="shared" si="144"/>
        <v>97</v>
      </c>
      <c r="S2343" t="str" cm="1">
        <f t="array" ref="S2343">IF(P2343="","",_xlfn.SWITCH(LEFT(P2343,1),"C","Ciudad","T","Pueblo","R","Rural","S","Suburbano","U","Urbano",""))</f>
        <v>Ciudad</v>
      </c>
      <c r="T2343" t="str">
        <f t="shared" si="145"/>
        <v>M</v>
      </c>
      <c r="U2343" t="str">
        <f t="shared" si="146"/>
        <v>CA</v>
      </c>
      <c r="V2343" t="str">
        <f t="shared" si="147"/>
        <v>22508</v>
      </c>
    </row>
    <row r="2344" spans="1:22" x14ac:dyDescent="0.35">
      <c r="A2344">
        <v>49812</v>
      </c>
      <c r="B2344" t="s">
        <v>43</v>
      </c>
      <c r="C2344" t="s">
        <v>17</v>
      </c>
      <c r="D2344">
        <v>384</v>
      </c>
      <c r="E2344">
        <v>139</v>
      </c>
      <c r="F2344">
        <v>271</v>
      </c>
      <c r="G2344">
        <v>0</v>
      </c>
      <c r="H2344">
        <v>8615</v>
      </c>
      <c r="I2344">
        <v>0</v>
      </c>
      <c r="J2344">
        <v>66</v>
      </c>
      <c r="K2344">
        <v>203</v>
      </c>
      <c r="L2344">
        <v>212</v>
      </c>
      <c r="M2344">
        <v>3.6590909090000001</v>
      </c>
      <c r="N2344">
        <f>IFERROR(VLOOKUP(A2344,vlookup_table!$A:$G,2,FALSE),"")</f>
        <v>2</v>
      </c>
      <c r="O2344">
        <f>IFERROR(VLOOKUP(A2344,vlookup_table!$A:$G,4,FALSE),"")</f>
        <v>3701</v>
      </c>
      <c r="P2344" t="str">
        <f>IFERROR(VLOOKUP(A2344,vlookup_table!$A:$G,5,FALSE),"")</f>
        <v>R3</v>
      </c>
      <c r="Q2344">
        <f>IFERROR(VLOOKUP(A2344,vlookup_table!$A:$G,7,FALSE),"")</f>
        <v>3</v>
      </c>
      <c r="R2344">
        <f t="shared" si="144"/>
        <v>60</v>
      </c>
      <c r="S2344" t="str" cm="1">
        <f t="array" ref="S2344">IF(P2344="","",_xlfn.SWITCH(LEFT(P2344,1),"C","Ciudad","T","Pueblo","R","Rural","S","Suburbano","U","Urbano",""))</f>
        <v>Rural</v>
      </c>
      <c r="T2344" t="str">
        <f t="shared" si="145"/>
        <v>F</v>
      </c>
      <c r="U2344" t="str">
        <f t="shared" si="146"/>
        <v>AL</v>
      </c>
      <c r="V2344" t="str">
        <f t="shared" si="147"/>
        <v>8615</v>
      </c>
    </row>
    <row r="2345" spans="1:22" x14ac:dyDescent="0.35">
      <c r="A2345">
        <v>33135</v>
      </c>
      <c r="B2345" t="s">
        <v>13</v>
      </c>
      <c r="C2345" t="s">
        <v>17</v>
      </c>
      <c r="D2345">
        <v>754</v>
      </c>
      <c r="E2345">
        <v>351</v>
      </c>
      <c r="F2345">
        <v>435</v>
      </c>
      <c r="G2345">
        <v>1</v>
      </c>
      <c r="H2345">
        <v>14518</v>
      </c>
      <c r="I2345">
        <v>2</v>
      </c>
      <c r="J2345">
        <v>47</v>
      </c>
      <c r="K2345">
        <v>377</v>
      </c>
      <c r="L2345">
        <v>402</v>
      </c>
      <c r="M2345">
        <v>9.8125</v>
      </c>
      <c r="N2345">
        <f>IFERROR(VLOOKUP(A2345,vlookup_table!$A:$G,2,FALSE),"")</f>
        <v>0</v>
      </c>
      <c r="O2345">
        <f>IFERROR(VLOOKUP(A2345,vlookup_table!$A:$G,4,FALSE),"")</f>
        <v>3410</v>
      </c>
      <c r="P2345" t="str">
        <f>IFERROR(VLOOKUP(A2345,vlookup_table!$A:$G,5,FALSE),"")</f>
        <v>S3</v>
      </c>
      <c r="Q2345">
        <f>IFERROR(VLOOKUP(A2345,vlookup_table!$A:$G,7,FALSE),"")</f>
        <v>10</v>
      </c>
      <c r="R2345">
        <f t="shared" si="144"/>
        <v>63</v>
      </c>
      <c r="S2345" t="str" cm="1">
        <f t="array" ref="S2345">IF(P2345="","",_xlfn.SWITCH(LEFT(P2345,1),"C","Ciudad","T","Pueblo","R","Rural","S","Suburbano","U","Urbano",""))</f>
        <v>Suburbano</v>
      </c>
      <c r="T2345" t="str">
        <f t="shared" si="145"/>
        <v>F</v>
      </c>
      <c r="U2345" t="str">
        <f t="shared" si="146"/>
        <v>FL</v>
      </c>
      <c r="V2345" t="str">
        <f t="shared" si="147"/>
        <v>14518</v>
      </c>
    </row>
    <row r="2346" spans="1:22" x14ac:dyDescent="0.35">
      <c r="A2346">
        <v>23459</v>
      </c>
      <c r="B2346" t="s">
        <v>46</v>
      </c>
      <c r="C2346" t="s">
        <v>17</v>
      </c>
      <c r="D2346">
        <v>689</v>
      </c>
      <c r="E2346">
        <v>313</v>
      </c>
      <c r="F2346">
        <v>350</v>
      </c>
      <c r="G2346">
        <v>0</v>
      </c>
      <c r="H2346">
        <v>12601</v>
      </c>
      <c r="I2346">
        <v>1</v>
      </c>
      <c r="J2346">
        <v>69</v>
      </c>
      <c r="K2346">
        <v>320</v>
      </c>
      <c r="L2346">
        <v>343</v>
      </c>
      <c r="M2346">
        <v>13.16666667</v>
      </c>
      <c r="N2346">
        <f>IFERROR(VLOOKUP(A2346,vlookup_table!$A:$G,2,FALSE),"")</f>
        <v>28</v>
      </c>
      <c r="O2346">
        <f>IFERROR(VLOOKUP(A2346,vlookup_table!$A:$G,4,FALSE),"")</f>
        <v>0</v>
      </c>
      <c r="P2346" t="str">
        <f>IFERROR(VLOOKUP(A2346,vlookup_table!$A:$G,5,FALSE),"")</f>
        <v>S2</v>
      </c>
      <c r="Q2346">
        <f>IFERROR(VLOOKUP(A2346,vlookup_table!$A:$G,7,FALSE),"")</f>
        <v>25</v>
      </c>
      <c r="R2346">
        <f t="shared" si="144"/>
        <v>97</v>
      </c>
      <c r="S2346" t="str" cm="1">
        <f t="array" ref="S2346">IF(P2346="","",_xlfn.SWITCH(LEFT(P2346,1),"C","Ciudad","T","Pueblo","R","Rural","S","Suburbano","U","Urbano",""))</f>
        <v>Suburbano</v>
      </c>
      <c r="T2346" t="str">
        <f t="shared" si="145"/>
        <v>F</v>
      </c>
      <c r="U2346" t="str">
        <f t="shared" si="146"/>
        <v>SC</v>
      </c>
      <c r="V2346" t="str">
        <f t="shared" si="147"/>
        <v>12601</v>
      </c>
    </row>
    <row r="2347" spans="1:22" x14ac:dyDescent="0.35">
      <c r="A2347">
        <v>186271</v>
      </c>
      <c r="B2347" t="s">
        <v>22</v>
      </c>
      <c r="C2347" t="s">
        <v>14</v>
      </c>
      <c r="D2347">
        <v>3529</v>
      </c>
      <c r="E2347">
        <v>564</v>
      </c>
      <c r="F2347">
        <v>719</v>
      </c>
      <c r="G2347">
        <v>93</v>
      </c>
      <c r="H2347">
        <v>26107</v>
      </c>
      <c r="I2347">
        <v>9</v>
      </c>
      <c r="J2347">
        <v>56</v>
      </c>
      <c r="K2347">
        <v>648</v>
      </c>
      <c r="L2347">
        <v>633</v>
      </c>
      <c r="M2347">
        <v>19.85714286</v>
      </c>
      <c r="N2347">
        <f>IFERROR(VLOOKUP(A2347,vlookup_table!$A:$G,2,FALSE),"")</f>
        <v>1</v>
      </c>
      <c r="O2347">
        <f>IFERROR(VLOOKUP(A2347,vlookup_table!$A:$G,4,FALSE),"")</f>
        <v>2001</v>
      </c>
      <c r="P2347" t="str">
        <f>IFERROR(VLOOKUP(A2347,vlookup_table!$A:$G,5,FALSE),"")</f>
        <v>U1</v>
      </c>
      <c r="Q2347">
        <f>IFERROR(VLOOKUP(A2347,vlookup_table!$A:$G,7,FALSE),"")</f>
        <v>40</v>
      </c>
      <c r="R2347">
        <f t="shared" si="144"/>
        <v>77</v>
      </c>
      <c r="S2347" t="str" cm="1">
        <f t="array" ref="S2347">IF(P2347="","",_xlfn.SWITCH(LEFT(P2347,1),"C","Ciudad","T","Pueblo","R","Rural","S","Suburbano","U","Urbano",""))</f>
        <v>Urbano</v>
      </c>
      <c r="T2347" t="str">
        <f t="shared" si="145"/>
        <v>M</v>
      </c>
      <c r="U2347" t="str">
        <f t="shared" si="146"/>
        <v>CA</v>
      </c>
      <c r="V2347" t="str">
        <f t="shared" si="147"/>
        <v>26107</v>
      </c>
    </row>
    <row r="2348" spans="1:22" x14ac:dyDescent="0.35">
      <c r="A2348">
        <v>55624</v>
      </c>
      <c r="B2348" t="s">
        <v>62</v>
      </c>
      <c r="C2348" t="s">
        <v>20</v>
      </c>
      <c r="D2348">
        <v>403</v>
      </c>
      <c r="E2348">
        <v>197</v>
      </c>
      <c r="F2348">
        <v>365</v>
      </c>
      <c r="G2348">
        <v>2</v>
      </c>
      <c r="H2348">
        <v>19178</v>
      </c>
      <c r="I2348">
        <v>0</v>
      </c>
      <c r="J2348">
        <v>79</v>
      </c>
      <c r="K2348">
        <v>230</v>
      </c>
      <c r="L2348">
        <v>293</v>
      </c>
      <c r="M2348">
        <v>9.7058823529999998</v>
      </c>
      <c r="N2348">
        <f>IFERROR(VLOOKUP(A2348,vlookup_table!$A:$G,2,FALSE),"")</f>
        <v>0</v>
      </c>
      <c r="O2348">
        <f>IFERROR(VLOOKUP(A2348,vlookup_table!$A:$G,4,FALSE),"")</f>
        <v>2311</v>
      </c>
      <c r="P2348" t="str">
        <f>IFERROR(VLOOKUP(A2348,vlookup_table!$A:$G,5,FALSE),"")</f>
        <v>T3</v>
      </c>
      <c r="Q2348">
        <f>IFERROR(VLOOKUP(A2348,vlookup_table!$A:$G,7,FALSE),"")</f>
        <v>10</v>
      </c>
      <c r="R2348">
        <f t="shared" si="144"/>
        <v>74</v>
      </c>
      <c r="S2348" t="str" cm="1">
        <f t="array" ref="S2348">IF(P2348="","",_xlfn.SWITCH(LEFT(P2348,1),"C","Ciudad","T","Pueblo","R","Rural","S","Suburbano","U","Urbano",""))</f>
        <v>Pueblo</v>
      </c>
      <c r="T2348" t="str">
        <f t="shared" si="145"/>
        <v>F</v>
      </c>
      <c r="U2348" t="str">
        <f t="shared" si="146"/>
        <v>MS</v>
      </c>
      <c r="V2348" t="str">
        <f t="shared" si="147"/>
        <v>19178</v>
      </c>
    </row>
    <row r="2349" spans="1:22" x14ac:dyDescent="0.35">
      <c r="A2349">
        <v>129912</v>
      </c>
      <c r="B2349" t="s">
        <v>48</v>
      </c>
      <c r="C2349" t="s">
        <v>14</v>
      </c>
      <c r="D2349">
        <v>0</v>
      </c>
      <c r="E2349">
        <v>382</v>
      </c>
      <c r="F2349">
        <v>427</v>
      </c>
      <c r="G2349">
        <v>0</v>
      </c>
      <c r="H2349">
        <v>29436</v>
      </c>
      <c r="I2349">
        <v>7</v>
      </c>
      <c r="J2349">
        <v>17</v>
      </c>
      <c r="K2349">
        <v>411</v>
      </c>
      <c r="L2349">
        <v>407</v>
      </c>
      <c r="M2349">
        <v>13.33333333</v>
      </c>
      <c r="N2349">
        <f>IFERROR(VLOOKUP(A2349,vlookup_table!$A:$G,2,FALSE),"")</f>
        <v>1</v>
      </c>
      <c r="O2349">
        <f>IFERROR(VLOOKUP(A2349,vlookup_table!$A:$G,4,FALSE),"")</f>
        <v>0</v>
      </c>
      <c r="P2349" t="str">
        <f>IFERROR(VLOOKUP(A2349,vlookup_table!$A:$G,5,FALSE),"")</f>
        <v>U1</v>
      </c>
      <c r="Q2349">
        <f>IFERROR(VLOOKUP(A2349,vlookup_table!$A:$G,7,FALSE),"")</f>
        <v>50</v>
      </c>
      <c r="R2349">
        <f t="shared" si="144"/>
        <v>97</v>
      </c>
      <c r="S2349" t="str" cm="1">
        <f t="array" ref="S2349">IF(P2349="","",_xlfn.SWITCH(LEFT(P2349,1),"C","Ciudad","T","Pueblo","R","Rural","S","Suburbano","U","Urbano",""))</f>
        <v>Urbano</v>
      </c>
      <c r="T2349" t="str">
        <f t="shared" si="145"/>
        <v>M</v>
      </c>
      <c r="U2349" t="str">
        <f t="shared" si="146"/>
        <v>CO</v>
      </c>
      <c r="V2349" t="str">
        <f t="shared" si="147"/>
        <v>29436</v>
      </c>
    </row>
    <row r="2350" spans="1:22" x14ac:dyDescent="0.35">
      <c r="A2350">
        <v>8657</v>
      </c>
      <c r="B2350" t="s">
        <v>40</v>
      </c>
      <c r="C2350" t="s">
        <v>17</v>
      </c>
      <c r="D2350">
        <v>1734</v>
      </c>
      <c r="E2350">
        <v>353</v>
      </c>
      <c r="F2350">
        <v>430</v>
      </c>
      <c r="G2350">
        <v>29</v>
      </c>
      <c r="H2350">
        <v>15831</v>
      </c>
      <c r="I2350">
        <v>3</v>
      </c>
      <c r="J2350">
        <v>44</v>
      </c>
      <c r="K2350">
        <v>405</v>
      </c>
      <c r="L2350">
        <v>396</v>
      </c>
      <c r="M2350">
        <v>16.428571430000002</v>
      </c>
      <c r="N2350">
        <f>IFERROR(VLOOKUP(A2350,vlookup_table!$A:$G,2,FALSE),"")</f>
        <v>0</v>
      </c>
      <c r="O2350">
        <f>IFERROR(VLOOKUP(A2350,vlookup_table!$A:$G,4,FALSE),"")</f>
        <v>2107</v>
      </c>
      <c r="P2350" t="str">
        <f>IFERROR(VLOOKUP(A2350,vlookup_table!$A:$G,5,FALSE),"")</f>
        <v>S2</v>
      </c>
      <c r="Q2350">
        <f>IFERROR(VLOOKUP(A2350,vlookup_table!$A:$G,7,FALSE),"")</f>
        <v>15</v>
      </c>
      <c r="R2350">
        <f t="shared" si="144"/>
        <v>76</v>
      </c>
      <c r="S2350" t="str" cm="1">
        <f t="array" ref="S2350">IF(P2350="","",_xlfn.SWITCH(LEFT(P2350,1),"C","Ciudad","T","Pueblo","R","Rural","S","Suburbano","U","Urbano",""))</f>
        <v>Suburbano</v>
      </c>
      <c r="T2350" t="str">
        <f t="shared" si="145"/>
        <v>F</v>
      </c>
      <c r="U2350" t="str">
        <f t="shared" si="146"/>
        <v>WA</v>
      </c>
      <c r="V2350" t="str">
        <f t="shared" si="147"/>
        <v>15831</v>
      </c>
    </row>
    <row r="2351" spans="1:22" x14ac:dyDescent="0.35">
      <c r="A2351">
        <v>129174</v>
      </c>
      <c r="B2351" t="s">
        <v>55</v>
      </c>
      <c r="C2351" t="s">
        <v>30</v>
      </c>
      <c r="D2351">
        <v>850</v>
      </c>
      <c r="E2351">
        <v>309</v>
      </c>
      <c r="F2351">
        <v>409</v>
      </c>
      <c r="G2351">
        <v>3</v>
      </c>
      <c r="H2351">
        <v>14718</v>
      </c>
      <c r="I2351">
        <v>4</v>
      </c>
      <c r="J2351">
        <v>22</v>
      </c>
      <c r="K2351">
        <v>371</v>
      </c>
      <c r="L2351">
        <v>356</v>
      </c>
      <c r="M2351">
        <v>9.1666666669999994</v>
      </c>
      <c r="N2351">
        <f>IFERROR(VLOOKUP(A2351,vlookup_table!$A:$G,2,FALSE),"")</f>
        <v>0</v>
      </c>
      <c r="O2351">
        <f>IFERROR(VLOOKUP(A2351,vlookup_table!$A:$G,4,FALSE),"")</f>
        <v>0</v>
      </c>
      <c r="P2351">
        <f>IFERROR(VLOOKUP(A2351,vlookup_table!$A:$G,5,FALSE),"")</f>
        <v>0</v>
      </c>
      <c r="Q2351">
        <f>IFERROR(VLOOKUP(A2351,vlookup_table!$A:$G,7,FALSE),"")</f>
        <v>10</v>
      </c>
      <c r="R2351">
        <f t="shared" si="144"/>
        <v>97</v>
      </c>
      <c r="S2351" t="str" cm="1">
        <f t="array" ref="S2351">IF(P2351="","",_xlfn.SWITCH(LEFT(P2351,1),"C","Ciudad","T","Pueblo","R","Rural","S","Suburbano","U","Urbano",""))</f>
        <v/>
      </c>
      <c r="T2351" t="str">
        <f t="shared" si="145"/>
        <v>U</v>
      </c>
      <c r="U2351" t="str">
        <f t="shared" si="146"/>
        <v>AZ</v>
      </c>
      <c r="V2351" t="str">
        <f t="shared" si="147"/>
        <v>14718</v>
      </c>
    </row>
    <row r="2352" spans="1:22" x14ac:dyDescent="0.35">
      <c r="A2352">
        <v>129453</v>
      </c>
      <c r="B2352" t="s">
        <v>48</v>
      </c>
      <c r="C2352" t="s">
        <v>17</v>
      </c>
      <c r="D2352">
        <v>1174</v>
      </c>
      <c r="E2352">
        <v>460</v>
      </c>
      <c r="F2352">
        <v>603</v>
      </c>
      <c r="G2352">
        <v>9</v>
      </c>
      <c r="H2352">
        <v>21646</v>
      </c>
      <c r="I2352">
        <v>3</v>
      </c>
      <c r="J2352">
        <v>40</v>
      </c>
      <c r="K2352">
        <v>550</v>
      </c>
      <c r="L2352">
        <v>525</v>
      </c>
      <c r="M2352">
        <v>5.4444444440000002</v>
      </c>
      <c r="N2352">
        <f>IFERROR(VLOOKUP(A2352,vlookup_table!$A:$G,2,FALSE),"")</f>
        <v>0</v>
      </c>
      <c r="O2352">
        <f>IFERROR(VLOOKUP(A2352,vlookup_table!$A:$G,4,FALSE),"")</f>
        <v>2801</v>
      </c>
      <c r="P2352" t="str">
        <f>IFERROR(VLOOKUP(A2352,vlookup_table!$A:$G,5,FALSE),"")</f>
        <v>T1</v>
      </c>
      <c r="Q2352">
        <f>IFERROR(VLOOKUP(A2352,vlookup_table!$A:$G,7,FALSE),"")</f>
        <v>5</v>
      </c>
      <c r="R2352">
        <f t="shared" si="144"/>
        <v>69</v>
      </c>
      <c r="S2352" t="str" cm="1">
        <f t="array" ref="S2352">IF(P2352="","",_xlfn.SWITCH(LEFT(P2352,1),"C","Ciudad","T","Pueblo","R","Rural","S","Suburbano","U","Urbano",""))</f>
        <v>Pueblo</v>
      </c>
      <c r="T2352" t="str">
        <f t="shared" si="145"/>
        <v>F</v>
      </c>
      <c r="U2352" t="str">
        <f t="shared" si="146"/>
        <v>CO</v>
      </c>
      <c r="V2352" t="str">
        <f t="shared" si="147"/>
        <v>21646</v>
      </c>
    </row>
    <row r="2353" spans="1:22" x14ac:dyDescent="0.35">
      <c r="A2353">
        <v>50027</v>
      </c>
      <c r="B2353" t="s">
        <v>68</v>
      </c>
      <c r="C2353" t="s">
        <v>17</v>
      </c>
      <c r="D2353">
        <v>776</v>
      </c>
      <c r="E2353">
        <v>312</v>
      </c>
      <c r="F2353">
        <v>397</v>
      </c>
      <c r="G2353">
        <v>1</v>
      </c>
      <c r="H2353">
        <v>12653</v>
      </c>
      <c r="I2353">
        <v>1</v>
      </c>
      <c r="J2353">
        <v>77</v>
      </c>
      <c r="K2353">
        <v>356</v>
      </c>
      <c r="L2353">
        <v>367</v>
      </c>
      <c r="M2353">
        <v>5.6363636359999996</v>
      </c>
      <c r="N2353">
        <f>IFERROR(VLOOKUP(A2353,vlookup_table!$A:$G,2,FALSE),"")</f>
        <v>0</v>
      </c>
      <c r="O2353">
        <f>IFERROR(VLOOKUP(A2353,vlookup_table!$A:$G,4,FALSE),"")</f>
        <v>0</v>
      </c>
      <c r="P2353" t="str">
        <f>IFERROR(VLOOKUP(A2353,vlookup_table!$A:$G,5,FALSE),"")</f>
        <v>R2</v>
      </c>
      <c r="Q2353">
        <f>IFERROR(VLOOKUP(A2353,vlookup_table!$A:$G,7,FALSE),"")</f>
        <v>40</v>
      </c>
      <c r="R2353">
        <f t="shared" si="144"/>
        <v>97</v>
      </c>
      <c r="S2353" t="str" cm="1">
        <f t="array" ref="S2353">IF(P2353="","",_xlfn.SWITCH(LEFT(P2353,1),"C","Ciudad","T","Pueblo","R","Rural","S","Suburbano","U","Urbano",""))</f>
        <v>Rural</v>
      </c>
      <c r="T2353" t="str">
        <f t="shared" si="145"/>
        <v>F</v>
      </c>
      <c r="U2353" t="str">
        <f t="shared" si="146"/>
        <v>Tennessee</v>
      </c>
      <c r="V2353" t="str">
        <f t="shared" si="147"/>
        <v>12653</v>
      </c>
    </row>
    <row r="2354" spans="1:22" x14ac:dyDescent="0.35">
      <c r="A2354">
        <v>85804</v>
      </c>
      <c r="B2354" t="s">
        <v>56</v>
      </c>
      <c r="C2354" t="s">
        <v>14</v>
      </c>
      <c r="D2354">
        <v>267</v>
      </c>
      <c r="E2354">
        <v>208</v>
      </c>
      <c r="F2354">
        <v>256</v>
      </c>
      <c r="G2354">
        <v>0</v>
      </c>
      <c r="H2354">
        <v>8548</v>
      </c>
      <c r="I2354">
        <v>2</v>
      </c>
      <c r="J2354">
        <v>75</v>
      </c>
      <c r="K2354">
        <v>238</v>
      </c>
      <c r="L2354">
        <v>233</v>
      </c>
      <c r="M2354">
        <v>17.100000000000001</v>
      </c>
      <c r="N2354">
        <f>IFERROR(VLOOKUP(A2354,vlookup_table!$A:$G,2,FALSE),"")</f>
        <v>1</v>
      </c>
      <c r="O2354">
        <f>IFERROR(VLOOKUP(A2354,vlookup_table!$A:$G,4,FALSE),"")</f>
        <v>2501</v>
      </c>
      <c r="P2354" t="str">
        <f>IFERROR(VLOOKUP(A2354,vlookup_table!$A:$G,5,FALSE),"")</f>
        <v>R3</v>
      </c>
      <c r="Q2354">
        <f>IFERROR(VLOOKUP(A2354,vlookup_table!$A:$G,7,FALSE),"")</f>
        <v>20</v>
      </c>
      <c r="R2354">
        <f t="shared" si="144"/>
        <v>72</v>
      </c>
      <c r="S2354" t="str" cm="1">
        <f t="array" ref="S2354">IF(P2354="","",_xlfn.SWITCH(LEFT(P2354,1),"C","Ciudad","T","Pueblo","R","Rural","S","Suburbano","U","Urbano",""))</f>
        <v>Rural</v>
      </c>
      <c r="T2354" t="str">
        <f t="shared" si="145"/>
        <v>M</v>
      </c>
      <c r="U2354" t="str">
        <f t="shared" si="146"/>
        <v>MN</v>
      </c>
      <c r="V2354" t="str">
        <f t="shared" si="147"/>
        <v>8548</v>
      </c>
    </row>
    <row r="2355" spans="1:22" x14ac:dyDescent="0.35">
      <c r="A2355">
        <v>9742</v>
      </c>
      <c r="B2355" t="s">
        <v>50</v>
      </c>
      <c r="C2355" t="s">
        <v>14</v>
      </c>
      <c r="D2355">
        <v>661</v>
      </c>
      <c r="E2355">
        <v>322</v>
      </c>
      <c r="F2355">
        <v>378</v>
      </c>
      <c r="G2355">
        <v>0</v>
      </c>
      <c r="H2355">
        <v>12749</v>
      </c>
      <c r="I2355">
        <v>7</v>
      </c>
      <c r="J2355">
        <v>56</v>
      </c>
      <c r="K2355">
        <v>346</v>
      </c>
      <c r="L2355">
        <v>356</v>
      </c>
      <c r="M2355">
        <v>9.2380952379999997</v>
      </c>
      <c r="N2355">
        <f>IFERROR(VLOOKUP(A2355,vlookup_table!$A:$G,2,FALSE),"")</f>
        <v>0</v>
      </c>
      <c r="O2355">
        <f>IFERROR(VLOOKUP(A2355,vlookup_table!$A:$G,4,FALSE),"")</f>
        <v>4701</v>
      </c>
      <c r="P2355" t="str">
        <f>IFERROR(VLOOKUP(A2355,vlookup_table!$A:$G,5,FALSE),"")</f>
        <v>S2</v>
      </c>
      <c r="Q2355">
        <f>IFERROR(VLOOKUP(A2355,vlookup_table!$A:$G,7,FALSE),"")</f>
        <v>14</v>
      </c>
      <c r="R2355">
        <f t="shared" si="144"/>
        <v>50</v>
      </c>
      <c r="S2355" t="str" cm="1">
        <f t="array" ref="S2355">IF(P2355="","",_xlfn.SWITCH(LEFT(P2355,1),"C","Ciudad","T","Pueblo","R","Rural","S","Suburbano","U","Urbano",""))</f>
        <v>Suburbano</v>
      </c>
      <c r="T2355" t="str">
        <f t="shared" si="145"/>
        <v>M</v>
      </c>
      <c r="U2355" t="str">
        <f t="shared" si="146"/>
        <v>OR</v>
      </c>
      <c r="V2355" t="str">
        <f t="shared" si="147"/>
        <v>12749</v>
      </c>
    </row>
    <row r="2356" spans="1:22" x14ac:dyDescent="0.35">
      <c r="A2356">
        <v>1986</v>
      </c>
      <c r="B2356" t="s">
        <v>22</v>
      </c>
      <c r="C2356" t="s">
        <v>17</v>
      </c>
      <c r="D2356">
        <v>1368</v>
      </c>
      <c r="E2356">
        <v>379</v>
      </c>
      <c r="F2356">
        <v>528</v>
      </c>
      <c r="G2356">
        <v>20</v>
      </c>
      <c r="H2356">
        <v>23121</v>
      </c>
      <c r="I2356">
        <v>7</v>
      </c>
      <c r="J2356">
        <v>56</v>
      </c>
      <c r="K2356">
        <v>416</v>
      </c>
      <c r="L2356">
        <v>487</v>
      </c>
      <c r="M2356">
        <v>5.551724138</v>
      </c>
      <c r="N2356">
        <f>IFERROR(VLOOKUP(A2356,vlookup_table!$A:$G,2,FALSE),"")</f>
        <v>2</v>
      </c>
      <c r="O2356">
        <f>IFERROR(VLOOKUP(A2356,vlookup_table!$A:$G,4,FALSE),"")</f>
        <v>2201</v>
      </c>
      <c r="P2356" t="str">
        <f>IFERROR(VLOOKUP(A2356,vlookup_table!$A:$G,5,FALSE),"")</f>
        <v>U1</v>
      </c>
      <c r="Q2356">
        <f>IFERROR(VLOOKUP(A2356,vlookup_table!$A:$G,7,FALSE),"")</f>
        <v>5</v>
      </c>
      <c r="R2356">
        <f t="shared" si="144"/>
        <v>75</v>
      </c>
      <c r="S2356" t="str" cm="1">
        <f t="array" ref="S2356">IF(P2356="","",_xlfn.SWITCH(LEFT(P2356,1),"C","Ciudad","T","Pueblo","R","Rural","S","Suburbano","U","Urbano",""))</f>
        <v>Urbano</v>
      </c>
      <c r="T2356" t="str">
        <f t="shared" si="145"/>
        <v>F</v>
      </c>
      <c r="U2356" t="str">
        <f t="shared" si="146"/>
        <v>CA</v>
      </c>
      <c r="V2356" t="str">
        <f t="shared" si="147"/>
        <v>23121</v>
      </c>
    </row>
    <row r="2357" spans="1:22" x14ac:dyDescent="0.35">
      <c r="A2357">
        <v>26924</v>
      </c>
      <c r="B2357" t="s">
        <v>39</v>
      </c>
      <c r="C2357" t="s">
        <v>14</v>
      </c>
      <c r="D2357">
        <v>1166</v>
      </c>
      <c r="E2357">
        <v>541</v>
      </c>
      <c r="F2357">
        <v>609</v>
      </c>
      <c r="G2357">
        <v>7</v>
      </c>
      <c r="H2357">
        <v>18462</v>
      </c>
      <c r="I2357">
        <v>1</v>
      </c>
      <c r="J2357">
        <v>49</v>
      </c>
      <c r="K2357">
        <v>577</v>
      </c>
      <c r="L2357">
        <v>589</v>
      </c>
      <c r="M2357">
        <v>23.75</v>
      </c>
      <c r="N2357">
        <f>IFERROR(VLOOKUP(A2357,vlookup_table!$A:$G,2,FALSE),"")</f>
        <v>1</v>
      </c>
      <c r="O2357">
        <f>IFERROR(VLOOKUP(A2357,vlookup_table!$A:$G,4,FALSE),"")</f>
        <v>2901</v>
      </c>
      <c r="P2357">
        <f>IFERROR(VLOOKUP(A2357,vlookup_table!$A:$G,5,FALSE),"")</f>
        <v>0</v>
      </c>
      <c r="Q2357">
        <f>IFERROR(VLOOKUP(A2357,vlookup_table!$A:$G,7,FALSE),"")</f>
        <v>60</v>
      </c>
      <c r="R2357">
        <f t="shared" si="144"/>
        <v>68</v>
      </c>
      <c r="S2357" t="str" cm="1">
        <f t="array" ref="S2357">IF(P2357="","",_xlfn.SWITCH(LEFT(P2357,1),"C","Ciudad","T","Pueblo","R","Rural","S","Suburbano","U","Urbano",""))</f>
        <v/>
      </c>
      <c r="T2357" t="str">
        <f t="shared" si="145"/>
        <v>M</v>
      </c>
      <c r="U2357" t="str">
        <f t="shared" si="146"/>
        <v>GA</v>
      </c>
      <c r="V2357" t="str">
        <f t="shared" si="147"/>
        <v>18462</v>
      </c>
    </row>
    <row r="2358" spans="1:22" x14ac:dyDescent="0.35">
      <c r="A2358">
        <v>145480</v>
      </c>
      <c r="B2358" t="s">
        <v>22</v>
      </c>
      <c r="C2358" t="s">
        <v>17</v>
      </c>
      <c r="D2358">
        <v>3326</v>
      </c>
      <c r="E2358">
        <v>528</v>
      </c>
      <c r="F2358">
        <v>603</v>
      </c>
      <c r="G2358">
        <v>97</v>
      </c>
      <c r="H2358">
        <v>20390</v>
      </c>
      <c r="I2358">
        <v>21</v>
      </c>
      <c r="J2358">
        <v>51</v>
      </c>
      <c r="K2358">
        <v>600</v>
      </c>
      <c r="L2358">
        <v>582</v>
      </c>
      <c r="M2358">
        <v>7.7857142860000002</v>
      </c>
      <c r="N2358">
        <f>IFERROR(VLOOKUP(A2358,vlookup_table!$A:$G,2,FALSE),"")</f>
        <v>2</v>
      </c>
      <c r="O2358">
        <f>IFERROR(VLOOKUP(A2358,vlookup_table!$A:$G,4,FALSE),"")</f>
        <v>4201</v>
      </c>
      <c r="P2358" t="str">
        <f>IFERROR(VLOOKUP(A2358,vlookup_table!$A:$G,5,FALSE),"")</f>
        <v>U1</v>
      </c>
      <c r="Q2358">
        <f>IFERROR(VLOOKUP(A2358,vlookup_table!$A:$G,7,FALSE),"")</f>
        <v>12</v>
      </c>
      <c r="R2358">
        <f t="shared" si="144"/>
        <v>55</v>
      </c>
      <c r="S2358" t="str" cm="1">
        <f t="array" ref="S2358">IF(P2358="","",_xlfn.SWITCH(LEFT(P2358,1),"C","Ciudad","T","Pueblo","R","Rural","S","Suburbano","U","Urbano",""))</f>
        <v>Urbano</v>
      </c>
      <c r="T2358" t="str">
        <f t="shared" si="145"/>
        <v>F</v>
      </c>
      <c r="U2358" t="str">
        <f t="shared" si="146"/>
        <v>CA</v>
      </c>
      <c r="V2358" t="str">
        <f t="shared" si="147"/>
        <v>20390</v>
      </c>
    </row>
    <row r="2359" spans="1:22" x14ac:dyDescent="0.35">
      <c r="A2359">
        <v>45824</v>
      </c>
      <c r="B2359" t="s">
        <v>13</v>
      </c>
      <c r="C2359" t="s">
        <v>14</v>
      </c>
      <c r="D2359">
        <v>1385</v>
      </c>
      <c r="E2359">
        <v>404</v>
      </c>
      <c r="F2359">
        <v>545</v>
      </c>
      <c r="G2359">
        <v>19</v>
      </c>
      <c r="H2359">
        <v>21473</v>
      </c>
      <c r="I2359">
        <v>7</v>
      </c>
      <c r="J2359">
        <v>11</v>
      </c>
      <c r="K2359">
        <v>464</v>
      </c>
      <c r="L2359">
        <v>495</v>
      </c>
      <c r="M2359">
        <v>15.8</v>
      </c>
      <c r="N2359">
        <f>IFERROR(VLOOKUP(A2359,vlookup_table!$A:$G,2,FALSE),"")</f>
        <v>1</v>
      </c>
      <c r="O2359">
        <f>IFERROR(VLOOKUP(A2359,vlookup_table!$A:$G,4,FALSE),"")</f>
        <v>5704</v>
      </c>
      <c r="P2359" t="str">
        <f>IFERROR(VLOOKUP(A2359,vlookup_table!$A:$G,5,FALSE),"")</f>
        <v>S1</v>
      </c>
      <c r="Q2359">
        <f>IFERROR(VLOOKUP(A2359,vlookup_table!$A:$G,7,FALSE),"")</f>
        <v>25</v>
      </c>
      <c r="R2359">
        <f t="shared" si="144"/>
        <v>40</v>
      </c>
      <c r="S2359" t="str" cm="1">
        <f t="array" ref="S2359">IF(P2359="","",_xlfn.SWITCH(LEFT(P2359,1),"C","Ciudad","T","Pueblo","R","Rural","S","Suburbano","U","Urbano",""))</f>
        <v>Suburbano</v>
      </c>
      <c r="T2359" t="str">
        <f t="shared" si="145"/>
        <v>M</v>
      </c>
      <c r="U2359" t="str">
        <f t="shared" si="146"/>
        <v>FL</v>
      </c>
      <c r="V2359" t="str">
        <f t="shared" si="147"/>
        <v>21473</v>
      </c>
    </row>
    <row r="2360" spans="1:22" x14ac:dyDescent="0.35">
      <c r="A2360">
        <v>187417</v>
      </c>
      <c r="B2360" t="s">
        <v>73</v>
      </c>
      <c r="C2360" t="s">
        <v>27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10.66666667</v>
      </c>
      <c r="N2360">
        <f>IFERROR(VLOOKUP(A2360,vlookup_table!$A:$G,2,FALSE),"")</f>
        <v>1</v>
      </c>
      <c r="O2360">
        <f>IFERROR(VLOOKUP(A2360,vlookup_table!$A:$G,4,FALSE),"")</f>
        <v>0</v>
      </c>
      <c r="P2360" t="str">
        <f>IFERROR(VLOOKUP(A2360,vlookup_table!$A:$G,5,FALSE),"")</f>
        <v>U4</v>
      </c>
      <c r="Q2360">
        <f>IFERROR(VLOOKUP(A2360,vlookup_table!$A:$G,7,FALSE),"")</f>
        <v>45</v>
      </c>
      <c r="R2360">
        <f t="shared" si="144"/>
        <v>97</v>
      </c>
      <c r="S2360" t="str" cm="1">
        <f t="array" ref="S2360">IF(P2360="","",_xlfn.SWITCH(LEFT(P2360,1),"C","Ciudad","T","Pueblo","R","Rural","S","Suburbano","U","Urbano",""))</f>
        <v>Urbano</v>
      </c>
      <c r="T2360" t="str">
        <f t="shared" si="145"/>
        <v>M</v>
      </c>
      <c r="U2360" t="str">
        <f t="shared" si="146"/>
        <v>AA</v>
      </c>
      <c r="V2360" t="str">
        <f t="shared" si="147"/>
        <v>0</v>
      </c>
    </row>
    <row r="2361" spans="1:22" x14ac:dyDescent="0.35">
      <c r="A2361">
        <v>173094</v>
      </c>
      <c r="B2361" t="s">
        <v>22</v>
      </c>
      <c r="C2361" t="s">
        <v>14</v>
      </c>
      <c r="D2361">
        <v>609</v>
      </c>
      <c r="E2361">
        <v>220</v>
      </c>
      <c r="F2361">
        <v>319</v>
      </c>
      <c r="G2361">
        <v>2</v>
      </c>
      <c r="H2361">
        <v>11902</v>
      </c>
      <c r="I2361">
        <v>4</v>
      </c>
      <c r="J2361">
        <v>57</v>
      </c>
      <c r="K2361">
        <v>238</v>
      </c>
      <c r="L2361">
        <v>297</v>
      </c>
      <c r="M2361">
        <v>9.1666666669999994</v>
      </c>
      <c r="N2361">
        <f>IFERROR(VLOOKUP(A2361,vlookup_table!$A:$G,2,FALSE),"")</f>
        <v>0</v>
      </c>
      <c r="O2361">
        <f>IFERROR(VLOOKUP(A2361,vlookup_table!$A:$G,4,FALSE),"")</f>
        <v>2401</v>
      </c>
      <c r="P2361" t="str">
        <f>IFERROR(VLOOKUP(A2361,vlookup_table!$A:$G,5,FALSE),"")</f>
        <v>R3</v>
      </c>
      <c r="Q2361">
        <f>IFERROR(VLOOKUP(A2361,vlookup_table!$A:$G,7,FALSE),"")</f>
        <v>15</v>
      </c>
      <c r="R2361">
        <f t="shared" si="144"/>
        <v>73</v>
      </c>
      <c r="S2361" t="str" cm="1">
        <f t="array" ref="S2361">IF(P2361="","",_xlfn.SWITCH(LEFT(P2361,1),"C","Ciudad","T","Pueblo","R","Rural","S","Suburbano","U","Urbano",""))</f>
        <v>Rural</v>
      </c>
      <c r="T2361" t="str">
        <f t="shared" si="145"/>
        <v>M</v>
      </c>
      <c r="U2361" t="str">
        <f t="shared" si="146"/>
        <v>CA</v>
      </c>
      <c r="V2361" t="str">
        <f t="shared" si="147"/>
        <v>11902</v>
      </c>
    </row>
    <row r="2362" spans="1:22" x14ac:dyDescent="0.35">
      <c r="A2362">
        <v>182573</v>
      </c>
      <c r="B2362" t="s">
        <v>40</v>
      </c>
      <c r="C2362" t="s">
        <v>51</v>
      </c>
      <c r="D2362">
        <v>634</v>
      </c>
      <c r="E2362">
        <v>266</v>
      </c>
      <c r="F2362">
        <v>372</v>
      </c>
      <c r="G2362">
        <v>1</v>
      </c>
      <c r="H2362">
        <v>12161</v>
      </c>
      <c r="I2362">
        <v>2</v>
      </c>
      <c r="J2362">
        <v>58</v>
      </c>
      <c r="K2362">
        <v>320</v>
      </c>
      <c r="L2362">
        <v>323</v>
      </c>
      <c r="M2362">
        <v>6.5833333329999997</v>
      </c>
      <c r="N2362">
        <f>IFERROR(VLOOKUP(A2362,vlookup_table!$A:$G,2,FALSE),"")</f>
        <v>0</v>
      </c>
      <c r="O2362">
        <f>IFERROR(VLOOKUP(A2362,vlookup_table!$A:$G,4,FALSE),"")</f>
        <v>3504</v>
      </c>
      <c r="P2362" t="str">
        <f>IFERROR(VLOOKUP(A2362,vlookup_table!$A:$G,5,FALSE),"")</f>
        <v>R2</v>
      </c>
      <c r="Q2362">
        <f>IFERROR(VLOOKUP(A2362,vlookup_table!$A:$G,7,FALSE),"")</f>
        <v>12</v>
      </c>
      <c r="R2362">
        <f t="shared" si="144"/>
        <v>62</v>
      </c>
      <c r="S2362" t="str" cm="1">
        <f t="array" ref="S2362">IF(P2362="","",_xlfn.SWITCH(LEFT(P2362,1),"C","Ciudad","T","Pueblo","R","Rural","S","Suburbano","U","Urbano",""))</f>
        <v>Rural</v>
      </c>
      <c r="T2362" t="str">
        <f t="shared" si="145"/>
        <v>M</v>
      </c>
      <c r="U2362" t="str">
        <f t="shared" si="146"/>
        <v>WA</v>
      </c>
      <c r="V2362" t="str">
        <f t="shared" si="147"/>
        <v>12161</v>
      </c>
    </row>
    <row r="2363" spans="1:22" x14ac:dyDescent="0.35">
      <c r="A2363">
        <v>185815</v>
      </c>
      <c r="B2363" t="s">
        <v>13</v>
      </c>
      <c r="C2363" t="s">
        <v>17</v>
      </c>
      <c r="D2363">
        <v>550</v>
      </c>
      <c r="E2363">
        <v>175</v>
      </c>
      <c r="F2363">
        <v>196</v>
      </c>
      <c r="G2363">
        <v>3</v>
      </c>
      <c r="H2363">
        <v>7958</v>
      </c>
      <c r="I2363">
        <v>29</v>
      </c>
      <c r="J2363">
        <v>20</v>
      </c>
      <c r="K2363">
        <v>188</v>
      </c>
      <c r="L2363">
        <v>191</v>
      </c>
      <c r="M2363">
        <v>5.25</v>
      </c>
      <c r="N2363">
        <f>IFERROR(VLOOKUP(A2363,vlookup_table!$A:$G,2,FALSE),"")</f>
        <v>0</v>
      </c>
      <c r="O2363">
        <f>IFERROR(VLOOKUP(A2363,vlookup_table!$A:$G,4,FALSE),"")</f>
        <v>2901</v>
      </c>
      <c r="P2363" t="str">
        <f>IFERROR(VLOOKUP(A2363,vlookup_table!$A:$G,5,FALSE),"")</f>
        <v>U3</v>
      </c>
      <c r="Q2363">
        <f>IFERROR(VLOOKUP(A2363,vlookup_table!$A:$G,7,FALSE),"")</f>
        <v>7</v>
      </c>
      <c r="R2363">
        <f t="shared" si="144"/>
        <v>68</v>
      </c>
      <c r="S2363" t="str" cm="1">
        <f t="array" ref="S2363">IF(P2363="","",_xlfn.SWITCH(LEFT(P2363,1),"C","Ciudad","T","Pueblo","R","Rural","S","Suburbano","U","Urbano",""))</f>
        <v>Urbano</v>
      </c>
      <c r="T2363" t="str">
        <f t="shared" si="145"/>
        <v>F</v>
      </c>
      <c r="U2363" t="str">
        <f t="shared" si="146"/>
        <v>FL</v>
      </c>
      <c r="V2363" t="str">
        <f t="shared" si="147"/>
        <v>7958</v>
      </c>
    </row>
    <row r="2364" spans="1:22" x14ac:dyDescent="0.35">
      <c r="A2364">
        <v>86580</v>
      </c>
      <c r="B2364" t="s">
        <v>45</v>
      </c>
      <c r="C2364" t="s">
        <v>17</v>
      </c>
      <c r="D2364">
        <v>263</v>
      </c>
      <c r="E2364">
        <v>198</v>
      </c>
      <c r="F2364">
        <v>295</v>
      </c>
      <c r="G2364">
        <v>0</v>
      </c>
      <c r="H2364">
        <v>10661</v>
      </c>
      <c r="I2364">
        <v>0</v>
      </c>
      <c r="J2364">
        <v>86</v>
      </c>
      <c r="K2364">
        <v>288</v>
      </c>
      <c r="L2364">
        <v>240</v>
      </c>
      <c r="M2364">
        <v>3.8157894739999998</v>
      </c>
      <c r="N2364">
        <f>IFERROR(VLOOKUP(A2364,vlookup_table!$A:$G,2,FALSE),"")</f>
        <v>2</v>
      </c>
      <c r="O2364">
        <f>IFERROR(VLOOKUP(A2364,vlookup_table!$A:$G,4,FALSE),"")</f>
        <v>601</v>
      </c>
      <c r="P2364" t="str">
        <f>IFERROR(VLOOKUP(A2364,vlookup_table!$A:$G,5,FALSE),"")</f>
        <v>R2</v>
      </c>
      <c r="Q2364">
        <f>IFERROR(VLOOKUP(A2364,vlookup_table!$A:$G,7,FALSE),"")</f>
        <v>5</v>
      </c>
      <c r="R2364">
        <f t="shared" si="144"/>
        <v>91</v>
      </c>
      <c r="S2364" t="str" cm="1">
        <f t="array" ref="S2364">IF(P2364="","",_xlfn.SWITCH(LEFT(P2364,1),"C","Ciudad","T","Pueblo","R","Rural","S","Suburbano","U","Urbano",""))</f>
        <v>Rural</v>
      </c>
      <c r="T2364" t="str">
        <f t="shared" si="145"/>
        <v>F</v>
      </c>
      <c r="U2364" t="str">
        <f t="shared" si="146"/>
        <v>ND</v>
      </c>
      <c r="V2364" t="str">
        <f t="shared" si="147"/>
        <v>10661</v>
      </c>
    </row>
    <row r="2365" spans="1:22" x14ac:dyDescent="0.35">
      <c r="A2365">
        <v>113680</v>
      </c>
      <c r="B2365" t="s">
        <v>21</v>
      </c>
      <c r="C2365" t="s">
        <v>14</v>
      </c>
      <c r="D2365">
        <v>331</v>
      </c>
      <c r="E2365">
        <v>219</v>
      </c>
      <c r="F2365">
        <v>301</v>
      </c>
      <c r="G2365">
        <v>0</v>
      </c>
      <c r="H2365">
        <v>9911</v>
      </c>
      <c r="I2365">
        <v>4</v>
      </c>
      <c r="J2365">
        <v>85</v>
      </c>
      <c r="K2365">
        <v>258</v>
      </c>
      <c r="L2365">
        <v>269</v>
      </c>
      <c r="M2365">
        <v>20</v>
      </c>
      <c r="N2365">
        <f>IFERROR(VLOOKUP(A2365,vlookup_table!$A:$G,2,FALSE),"")</f>
        <v>1002</v>
      </c>
      <c r="O2365">
        <f>IFERROR(VLOOKUP(A2365,vlookup_table!$A:$G,4,FALSE),"")</f>
        <v>5201</v>
      </c>
      <c r="P2365" t="str">
        <f>IFERROR(VLOOKUP(A2365,vlookup_table!$A:$G,5,FALSE),"")</f>
        <v>T3</v>
      </c>
      <c r="Q2365">
        <f>IFERROR(VLOOKUP(A2365,vlookup_table!$A:$G,7,FALSE),"")</f>
        <v>30</v>
      </c>
      <c r="R2365">
        <f t="shared" si="144"/>
        <v>45</v>
      </c>
      <c r="S2365" t="str" cm="1">
        <f t="array" ref="S2365">IF(P2365="","",_xlfn.SWITCH(LEFT(P2365,1),"C","Ciudad","T","Pueblo","R","Rural","S","Suburbano","U","Urbano",""))</f>
        <v>Pueblo</v>
      </c>
      <c r="T2365" t="str">
        <f t="shared" si="145"/>
        <v>M</v>
      </c>
      <c r="U2365" t="str">
        <f t="shared" si="146"/>
        <v>TX</v>
      </c>
      <c r="V2365" t="str">
        <f t="shared" si="147"/>
        <v>9911</v>
      </c>
    </row>
    <row r="2366" spans="1:22" x14ac:dyDescent="0.35">
      <c r="A2366">
        <v>179876</v>
      </c>
      <c r="B2366" t="s">
        <v>40</v>
      </c>
      <c r="C2366" t="s">
        <v>17</v>
      </c>
      <c r="D2366">
        <v>1373</v>
      </c>
      <c r="E2366">
        <v>379</v>
      </c>
      <c r="F2366">
        <v>529</v>
      </c>
      <c r="G2366">
        <v>12</v>
      </c>
      <c r="H2366">
        <v>19190</v>
      </c>
      <c r="I2366">
        <v>6</v>
      </c>
      <c r="J2366">
        <v>53</v>
      </c>
      <c r="K2366">
        <v>539</v>
      </c>
      <c r="L2366">
        <v>445</v>
      </c>
      <c r="M2366">
        <v>7.75</v>
      </c>
      <c r="N2366">
        <f>IFERROR(VLOOKUP(A2366,vlookup_table!$A:$G,2,FALSE),"")</f>
        <v>0</v>
      </c>
      <c r="O2366">
        <f>IFERROR(VLOOKUP(A2366,vlookup_table!$A:$G,4,FALSE),"")</f>
        <v>2801</v>
      </c>
      <c r="P2366" t="str">
        <f>IFERROR(VLOOKUP(A2366,vlookup_table!$A:$G,5,FALSE),"")</f>
        <v>C3</v>
      </c>
      <c r="Q2366">
        <f>IFERROR(VLOOKUP(A2366,vlookup_table!$A:$G,7,FALSE),"")</f>
        <v>10</v>
      </c>
      <c r="R2366">
        <f t="shared" si="144"/>
        <v>69</v>
      </c>
      <c r="S2366" t="str" cm="1">
        <f t="array" ref="S2366">IF(P2366="","",_xlfn.SWITCH(LEFT(P2366,1),"C","Ciudad","T","Pueblo","R","Rural","S","Suburbano","U","Urbano",""))</f>
        <v>Ciudad</v>
      </c>
      <c r="T2366" t="str">
        <f t="shared" si="145"/>
        <v>F</v>
      </c>
      <c r="U2366" t="str">
        <f t="shared" si="146"/>
        <v>WA</v>
      </c>
      <c r="V2366" t="str">
        <f t="shared" si="147"/>
        <v>19190</v>
      </c>
    </row>
    <row r="2367" spans="1:22" x14ac:dyDescent="0.35">
      <c r="A2367">
        <v>52171</v>
      </c>
      <c r="B2367" t="s">
        <v>68</v>
      </c>
      <c r="C2367" t="s">
        <v>14</v>
      </c>
      <c r="D2367">
        <v>416</v>
      </c>
      <c r="E2367">
        <v>185</v>
      </c>
      <c r="F2367">
        <v>261</v>
      </c>
      <c r="G2367">
        <v>0</v>
      </c>
      <c r="H2367">
        <v>8507</v>
      </c>
      <c r="I2367">
        <v>0</v>
      </c>
      <c r="J2367">
        <v>80</v>
      </c>
      <c r="K2367">
        <v>221</v>
      </c>
      <c r="L2367">
        <v>229</v>
      </c>
      <c r="M2367">
        <v>4.25</v>
      </c>
      <c r="N2367">
        <f>IFERROR(VLOOKUP(A2367,vlookup_table!$A:$G,2,FALSE),"")</f>
        <v>1002</v>
      </c>
      <c r="O2367">
        <f>IFERROR(VLOOKUP(A2367,vlookup_table!$A:$G,4,FALSE),"")</f>
        <v>0</v>
      </c>
      <c r="P2367" t="str">
        <f>IFERROR(VLOOKUP(A2367,vlookup_table!$A:$G,5,FALSE),"")</f>
        <v>T2</v>
      </c>
      <c r="Q2367">
        <f>IFERROR(VLOOKUP(A2367,vlookup_table!$A:$G,7,FALSE),"")</f>
        <v>5</v>
      </c>
      <c r="R2367">
        <f t="shared" si="144"/>
        <v>97</v>
      </c>
      <c r="S2367" t="str" cm="1">
        <f t="array" ref="S2367">IF(P2367="","",_xlfn.SWITCH(LEFT(P2367,1),"C","Ciudad","T","Pueblo","R","Rural","S","Suburbano","U","Urbano",""))</f>
        <v>Pueblo</v>
      </c>
      <c r="T2367" t="str">
        <f t="shared" si="145"/>
        <v>M</v>
      </c>
      <c r="U2367" t="str">
        <f t="shared" si="146"/>
        <v>Tennessee</v>
      </c>
      <c r="V2367" t="str">
        <f t="shared" si="147"/>
        <v>8507</v>
      </c>
    </row>
    <row r="2368" spans="1:22" x14ac:dyDescent="0.35">
      <c r="A2368">
        <v>2586</v>
      </c>
      <c r="B2368" t="s">
        <v>39</v>
      </c>
      <c r="C2368" t="s">
        <v>14</v>
      </c>
      <c r="D2368">
        <v>916</v>
      </c>
      <c r="E2368">
        <v>338</v>
      </c>
      <c r="F2368">
        <v>480</v>
      </c>
      <c r="G2368">
        <v>0</v>
      </c>
      <c r="H2368">
        <v>19463</v>
      </c>
      <c r="I2368">
        <v>15</v>
      </c>
      <c r="J2368">
        <v>31</v>
      </c>
      <c r="K2368">
        <v>419</v>
      </c>
      <c r="L2368">
        <v>383</v>
      </c>
      <c r="M2368">
        <v>20</v>
      </c>
      <c r="N2368">
        <f>IFERROR(VLOOKUP(A2368,vlookup_table!$A:$G,2,FALSE),"")</f>
        <v>0</v>
      </c>
      <c r="O2368">
        <f>IFERROR(VLOOKUP(A2368,vlookup_table!$A:$G,4,FALSE),"")</f>
        <v>4201</v>
      </c>
      <c r="P2368" t="str">
        <f>IFERROR(VLOOKUP(A2368,vlookup_table!$A:$G,5,FALSE),"")</f>
        <v>S1</v>
      </c>
      <c r="Q2368">
        <f>IFERROR(VLOOKUP(A2368,vlookup_table!$A:$G,7,FALSE),"")</f>
        <v>20</v>
      </c>
      <c r="R2368">
        <f t="shared" si="144"/>
        <v>55</v>
      </c>
      <c r="S2368" t="str" cm="1">
        <f t="array" ref="S2368">IF(P2368="","",_xlfn.SWITCH(LEFT(P2368,1),"C","Ciudad","T","Pueblo","R","Rural","S","Suburbano","U","Urbano",""))</f>
        <v>Suburbano</v>
      </c>
      <c r="T2368" t="str">
        <f t="shared" si="145"/>
        <v>M</v>
      </c>
      <c r="U2368" t="str">
        <f t="shared" si="146"/>
        <v>GA</v>
      </c>
      <c r="V2368" t="str">
        <f t="shared" si="147"/>
        <v>19463</v>
      </c>
    </row>
    <row r="2369" spans="1:22" x14ac:dyDescent="0.35">
      <c r="A2369">
        <v>22499</v>
      </c>
      <c r="B2369" t="s">
        <v>46</v>
      </c>
      <c r="C2369" t="s">
        <v>17</v>
      </c>
      <c r="D2369">
        <v>438</v>
      </c>
      <c r="E2369">
        <v>201</v>
      </c>
      <c r="F2369">
        <v>272</v>
      </c>
      <c r="G2369">
        <v>0</v>
      </c>
      <c r="H2369">
        <v>8303</v>
      </c>
      <c r="I2369">
        <v>0</v>
      </c>
      <c r="J2369">
        <v>84</v>
      </c>
      <c r="K2369">
        <v>257</v>
      </c>
      <c r="L2369">
        <v>242</v>
      </c>
      <c r="M2369">
        <v>15.61538462</v>
      </c>
      <c r="N2369">
        <f>IFERROR(VLOOKUP(A2369,vlookup_table!$A:$G,2,FALSE),"")</f>
        <v>0</v>
      </c>
      <c r="O2369">
        <f>IFERROR(VLOOKUP(A2369,vlookup_table!$A:$G,4,FALSE),"")</f>
        <v>3102</v>
      </c>
      <c r="P2369" t="str">
        <f>IFERROR(VLOOKUP(A2369,vlookup_table!$A:$G,5,FALSE),"")</f>
        <v>R3</v>
      </c>
      <c r="Q2369">
        <f>IFERROR(VLOOKUP(A2369,vlookup_table!$A:$G,7,FALSE),"")</f>
        <v>10</v>
      </c>
      <c r="R2369">
        <f t="shared" si="144"/>
        <v>66</v>
      </c>
      <c r="S2369" t="str" cm="1">
        <f t="array" ref="S2369">IF(P2369="","",_xlfn.SWITCH(LEFT(P2369,1),"C","Ciudad","T","Pueblo","R","Rural","S","Suburbano","U","Urbano",""))</f>
        <v>Rural</v>
      </c>
      <c r="T2369" t="str">
        <f t="shared" si="145"/>
        <v>F</v>
      </c>
      <c r="U2369" t="str">
        <f t="shared" si="146"/>
        <v>SC</v>
      </c>
      <c r="V2369" t="str">
        <f t="shared" si="147"/>
        <v>8303</v>
      </c>
    </row>
    <row r="2370" spans="1:22" x14ac:dyDescent="0.35">
      <c r="A2370">
        <v>186773</v>
      </c>
      <c r="B2370" t="s">
        <v>57</v>
      </c>
      <c r="C2370" t="s">
        <v>17</v>
      </c>
      <c r="D2370">
        <v>722</v>
      </c>
      <c r="E2370">
        <v>267</v>
      </c>
      <c r="F2370">
        <v>399</v>
      </c>
      <c r="G2370">
        <v>0</v>
      </c>
      <c r="H2370">
        <v>14988</v>
      </c>
      <c r="I2370">
        <v>2</v>
      </c>
      <c r="J2370">
        <v>71</v>
      </c>
      <c r="K2370">
        <v>317</v>
      </c>
      <c r="L2370">
        <v>324</v>
      </c>
      <c r="M2370">
        <v>4.8529411769999999</v>
      </c>
      <c r="N2370">
        <f>IFERROR(VLOOKUP(A2370,vlookup_table!$A:$G,2,FALSE),"")</f>
        <v>0</v>
      </c>
      <c r="O2370">
        <f>IFERROR(VLOOKUP(A2370,vlookup_table!$A:$G,4,FALSE),"")</f>
        <v>0</v>
      </c>
      <c r="P2370" t="str">
        <f>IFERROR(VLOOKUP(A2370,vlookup_table!$A:$G,5,FALSE),"")</f>
        <v>S2</v>
      </c>
      <c r="Q2370">
        <f>IFERROR(VLOOKUP(A2370,vlookup_table!$A:$G,7,FALSE),"")</f>
        <v>8</v>
      </c>
      <c r="R2370">
        <f t="shared" ref="R2370:R2433" si="148">IF(O2370="","",97-INT(O2370/100))</f>
        <v>97</v>
      </c>
      <c r="S2370" t="str" cm="1">
        <f t="array" ref="S2370">IF(P2370="","",_xlfn.SWITCH(LEFT(P2370,1),"C","Ciudad","T","Pueblo","R","Rural","S","Suburbano","U","Urbano",""))</f>
        <v>Suburbano</v>
      </c>
      <c r="T2370" t="str">
        <f t="shared" ref="T2370:T2433" si="149">IF(C2370="","",IF(OR(UPPER(C2370)="M",UPPER(C2370)="MALE"),"M",IF(OR(UPPER(C2370)="F",UPPER(C2370)="FEMALE",UPPER(C2370)="FEAMALE"),"F",C2370)))</f>
        <v>F</v>
      </c>
      <c r="U2370" t="str">
        <f t="shared" ref="U2370:U2433" si="150">IF(OR(UPPER(B2370)="CALIFORNIA",UPPER(B2370)="CALI"),"CA",B2370)</f>
        <v>KY</v>
      </c>
      <c r="V2370" t="str">
        <f t="shared" ref="V2370:V2433" si="151">SUBSTITUTE(H2370,"@","")</f>
        <v>14988</v>
      </c>
    </row>
    <row r="2371" spans="1:22" x14ac:dyDescent="0.35">
      <c r="A2371">
        <v>90680</v>
      </c>
      <c r="B2371" t="s">
        <v>16</v>
      </c>
      <c r="C2371" t="s">
        <v>17</v>
      </c>
      <c r="D2371">
        <v>2169</v>
      </c>
      <c r="E2371">
        <v>862</v>
      </c>
      <c r="F2371">
        <v>951</v>
      </c>
      <c r="G2371">
        <v>60</v>
      </c>
      <c r="H2371">
        <v>35357</v>
      </c>
      <c r="I2371">
        <v>2</v>
      </c>
      <c r="J2371">
        <v>69</v>
      </c>
      <c r="K2371">
        <v>911</v>
      </c>
      <c r="L2371">
        <v>899</v>
      </c>
      <c r="M2371">
        <v>12.61538462</v>
      </c>
      <c r="N2371">
        <f>IFERROR(VLOOKUP(A2371,vlookup_table!$A:$G,2,FALSE),"")</f>
        <v>0</v>
      </c>
      <c r="O2371">
        <f>IFERROR(VLOOKUP(A2371,vlookup_table!$A:$G,4,FALSE),"")</f>
        <v>4801</v>
      </c>
      <c r="P2371" t="str">
        <f>IFERROR(VLOOKUP(A2371,vlookup_table!$A:$G,5,FALSE),"")</f>
        <v>U1</v>
      </c>
      <c r="Q2371">
        <f>IFERROR(VLOOKUP(A2371,vlookup_table!$A:$G,7,FALSE),"")</f>
        <v>24</v>
      </c>
      <c r="R2371">
        <f t="shared" si="148"/>
        <v>49</v>
      </c>
      <c r="S2371" t="str" cm="1">
        <f t="array" ref="S2371">IF(P2371="","",_xlfn.SWITCH(LEFT(P2371,1),"C","Ciudad","T","Pueblo","R","Rural","S","Suburbano","U","Urbano",""))</f>
        <v>Urbano</v>
      </c>
      <c r="T2371" t="str">
        <f t="shared" si="149"/>
        <v>F</v>
      </c>
      <c r="U2371" t="str">
        <f t="shared" si="150"/>
        <v>IL</v>
      </c>
      <c r="V2371" t="str">
        <f t="shared" si="151"/>
        <v>35357</v>
      </c>
    </row>
    <row r="2372" spans="1:22" x14ac:dyDescent="0.35">
      <c r="A2372">
        <v>123669</v>
      </c>
      <c r="B2372" t="s">
        <v>21</v>
      </c>
      <c r="D2372">
        <v>923</v>
      </c>
      <c r="E2372">
        <v>554</v>
      </c>
      <c r="F2372">
        <v>711</v>
      </c>
      <c r="G2372">
        <v>6</v>
      </c>
      <c r="H2372">
        <v>25962</v>
      </c>
      <c r="I2372">
        <v>4</v>
      </c>
      <c r="J2372">
        <v>55</v>
      </c>
      <c r="K2372">
        <v>584</v>
      </c>
      <c r="L2372">
        <v>661</v>
      </c>
      <c r="M2372">
        <v>9.230769231</v>
      </c>
      <c r="N2372">
        <f>IFERROR(VLOOKUP(A2372,vlookup_table!$A:$G,2,FALSE),"")</f>
        <v>0</v>
      </c>
      <c r="O2372">
        <f>IFERROR(VLOOKUP(A2372,vlookup_table!$A:$G,4,FALSE),"")</f>
        <v>608</v>
      </c>
      <c r="P2372" t="str">
        <f>IFERROR(VLOOKUP(A2372,vlookup_table!$A:$G,5,FALSE),"")</f>
        <v>T1</v>
      </c>
      <c r="Q2372">
        <f>IFERROR(VLOOKUP(A2372,vlookup_table!$A:$G,7,FALSE),"")</f>
        <v>10</v>
      </c>
      <c r="R2372">
        <f t="shared" si="148"/>
        <v>91</v>
      </c>
      <c r="S2372" t="str" cm="1">
        <f t="array" ref="S2372">IF(P2372="","",_xlfn.SWITCH(LEFT(P2372,1),"C","Ciudad","T","Pueblo","R","Rural","S","Suburbano","U","Urbano",""))</f>
        <v>Pueblo</v>
      </c>
      <c r="T2372" t="str">
        <f t="shared" si="149"/>
        <v/>
      </c>
      <c r="U2372" t="str">
        <f t="shared" si="150"/>
        <v>TX</v>
      </c>
      <c r="V2372" t="str">
        <f t="shared" si="151"/>
        <v>25962</v>
      </c>
    </row>
    <row r="2373" spans="1:22" x14ac:dyDescent="0.35">
      <c r="A2373">
        <v>106850</v>
      </c>
      <c r="B2373" t="s">
        <v>59</v>
      </c>
      <c r="C2373" t="s">
        <v>17</v>
      </c>
      <c r="D2373">
        <v>901</v>
      </c>
      <c r="E2373">
        <v>409</v>
      </c>
      <c r="F2373">
        <v>504</v>
      </c>
      <c r="G2373">
        <v>0</v>
      </c>
      <c r="H2373">
        <v>14154</v>
      </c>
      <c r="I2373">
        <v>5</v>
      </c>
      <c r="J2373">
        <v>21</v>
      </c>
      <c r="K2373">
        <v>472</v>
      </c>
      <c r="L2373">
        <v>459</v>
      </c>
      <c r="M2373">
        <v>15</v>
      </c>
      <c r="N2373">
        <f>IFERROR(VLOOKUP(A2373,vlookup_table!$A:$G,2,FALSE),"")</f>
        <v>28</v>
      </c>
      <c r="O2373">
        <f>IFERROR(VLOOKUP(A2373,vlookup_table!$A:$G,4,FALSE),"")</f>
        <v>6301</v>
      </c>
      <c r="P2373" t="str">
        <f>IFERROR(VLOOKUP(A2373,vlookup_table!$A:$G,5,FALSE),"")</f>
        <v>T1</v>
      </c>
      <c r="Q2373">
        <f>IFERROR(VLOOKUP(A2373,vlookup_table!$A:$G,7,FALSE),"")</f>
        <v>23</v>
      </c>
      <c r="R2373">
        <f t="shared" si="148"/>
        <v>34</v>
      </c>
      <c r="S2373" t="str" cm="1">
        <f t="array" ref="S2373">IF(P2373="","",_xlfn.SWITCH(LEFT(P2373,1),"C","Ciudad","T","Pueblo","R","Rural","S","Suburbano","U","Urbano",""))</f>
        <v>Pueblo</v>
      </c>
      <c r="T2373" t="str">
        <f t="shared" si="149"/>
        <v>F</v>
      </c>
      <c r="U2373" t="str">
        <f t="shared" si="150"/>
        <v>NE</v>
      </c>
      <c r="V2373" t="str">
        <f t="shared" si="151"/>
        <v>14154</v>
      </c>
    </row>
    <row r="2374" spans="1:22" x14ac:dyDescent="0.35">
      <c r="A2374">
        <v>172068</v>
      </c>
      <c r="B2374" t="s">
        <v>22</v>
      </c>
      <c r="C2374" t="s">
        <v>14</v>
      </c>
      <c r="D2374">
        <v>1345</v>
      </c>
      <c r="E2374">
        <v>446</v>
      </c>
      <c r="F2374">
        <v>503</v>
      </c>
      <c r="G2374">
        <v>1</v>
      </c>
      <c r="H2374">
        <v>16265</v>
      </c>
      <c r="I2374">
        <v>17</v>
      </c>
      <c r="J2374">
        <v>49</v>
      </c>
      <c r="K2374">
        <v>488</v>
      </c>
      <c r="L2374">
        <v>477</v>
      </c>
      <c r="M2374">
        <v>11.94444444</v>
      </c>
      <c r="N2374">
        <f>IFERROR(VLOOKUP(A2374,vlookup_table!$A:$G,2,FALSE),"")</f>
        <v>1</v>
      </c>
      <c r="O2374">
        <f>IFERROR(VLOOKUP(A2374,vlookup_table!$A:$G,4,FALSE),"")</f>
        <v>4602</v>
      </c>
      <c r="P2374" t="str">
        <f>IFERROR(VLOOKUP(A2374,vlookup_table!$A:$G,5,FALSE),"")</f>
        <v>U1</v>
      </c>
      <c r="Q2374">
        <f>IFERROR(VLOOKUP(A2374,vlookup_table!$A:$G,7,FALSE),"")</f>
        <v>20</v>
      </c>
      <c r="R2374">
        <f t="shared" si="148"/>
        <v>51</v>
      </c>
      <c r="S2374" t="str" cm="1">
        <f t="array" ref="S2374">IF(P2374="","",_xlfn.SWITCH(LEFT(P2374,1),"C","Ciudad","T","Pueblo","R","Rural","S","Suburbano","U","Urbano",""))</f>
        <v>Urbano</v>
      </c>
      <c r="T2374" t="str">
        <f t="shared" si="149"/>
        <v>M</v>
      </c>
      <c r="U2374" t="str">
        <f t="shared" si="150"/>
        <v>CA</v>
      </c>
      <c r="V2374" t="str">
        <f t="shared" si="151"/>
        <v>16265</v>
      </c>
    </row>
    <row r="2375" spans="1:22" x14ac:dyDescent="0.35">
      <c r="A2375">
        <v>109451</v>
      </c>
      <c r="B2375" t="s">
        <v>49</v>
      </c>
      <c r="C2375" t="s">
        <v>17</v>
      </c>
      <c r="D2375">
        <v>608</v>
      </c>
      <c r="E2375">
        <v>383</v>
      </c>
      <c r="F2375">
        <v>402</v>
      </c>
      <c r="G2375">
        <v>0</v>
      </c>
      <c r="H2375">
        <v>10899</v>
      </c>
      <c r="I2375">
        <v>1</v>
      </c>
      <c r="J2375">
        <v>81</v>
      </c>
      <c r="K2375">
        <v>410</v>
      </c>
      <c r="L2375">
        <v>380</v>
      </c>
      <c r="M2375">
        <v>7.25</v>
      </c>
      <c r="N2375">
        <f>IFERROR(VLOOKUP(A2375,vlookup_table!$A:$G,2,FALSE),"")</f>
        <v>0</v>
      </c>
      <c r="O2375">
        <f>IFERROR(VLOOKUP(A2375,vlookup_table!$A:$G,4,FALSE),"")</f>
        <v>5801</v>
      </c>
      <c r="P2375" t="str">
        <f>IFERROR(VLOOKUP(A2375,vlookup_table!$A:$G,5,FALSE),"")</f>
        <v>R2</v>
      </c>
      <c r="Q2375">
        <f>IFERROR(VLOOKUP(A2375,vlookup_table!$A:$G,7,FALSE),"")</f>
        <v>25</v>
      </c>
      <c r="R2375">
        <f t="shared" si="148"/>
        <v>39</v>
      </c>
      <c r="S2375" t="str" cm="1">
        <f t="array" ref="S2375">IF(P2375="","",_xlfn.SWITCH(LEFT(P2375,1),"C","Ciudad","T","Pueblo","R","Rural","S","Suburbano","U","Urbano",""))</f>
        <v>Rural</v>
      </c>
      <c r="T2375" t="str">
        <f t="shared" si="149"/>
        <v>F</v>
      </c>
      <c r="U2375" t="str">
        <f t="shared" si="150"/>
        <v>LA</v>
      </c>
      <c r="V2375" t="str">
        <f t="shared" si="151"/>
        <v>10899</v>
      </c>
    </row>
    <row r="2376" spans="1:22" x14ac:dyDescent="0.35">
      <c r="A2376">
        <v>113891</v>
      </c>
      <c r="B2376" t="s">
        <v>31</v>
      </c>
      <c r="C2376" t="s">
        <v>14</v>
      </c>
      <c r="D2376">
        <v>290</v>
      </c>
      <c r="E2376">
        <v>173</v>
      </c>
      <c r="F2376">
        <v>303</v>
      </c>
      <c r="G2376">
        <v>0</v>
      </c>
      <c r="H2376">
        <v>10700</v>
      </c>
      <c r="I2376">
        <v>2</v>
      </c>
      <c r="J2376">
        <v>72</v>
      </c>
      <c r="K2376">
        <v>228</v>
      </c>
      <c r="L2376">
        <v>244</v>
      </c>
      <c r="M2376">
        <v>8.538461539</v>
      </c>
      <c r="N2376">
        <f>IFERROR(VLOOKUP(A2376,vlookup_table!$A:$G,2,FALSE),"")</f>
        <v>0</v>
      </c>
      <c r="O2376">
        <f>IFERROR(VLOOKUP(A2376,vlookup_table!$A:$G,4,FALSE),"")</f>
        <v>5601</v>
      </c>
      <c r="P2376" t="str">
        <f>IFERROR(VLOOKUP(A2376,vlookup_table!$A:$G,5,FALSE),"")</f>
        <v>R2</v>
      </c>
      <c r="Q2376">
        <f>IFERROR(VLOOKUP(A2376,vlookup_table!$A:$G,7,FALSE),"")</f>
        <v>11</v>
      </c>
      <c r="R2376">
        <f t="shared" si="148"/>
        <v>41</v>
      </c>
      <c r="S2376" t="str" cm="1">
        <f t="array" ref="S2376">IF(P2376="","",_xlfn.SWITCH(LEFT(P2376,1),"C","Ciudad","T","Pueblo","R","Rural","S","Suburbano","U","Urbano",""))</f>
        <v>Rural</v>
      </c>
      <c r="T2376" t="str">
        <f t="shared" si="149"/>
        <v>M</v>
      </c>
      <c r="U2376" t="str">
        <f t="shared" si="150"/>
        <v>OK</v>
      </c>
      <c r="V2376" t="str">
        <f t="shared" si="151"/>
        <v>10700</v>
      </c>
    </row>
    <row r="2377" spans="1:22" x14ac:dyDescent="0.35">
      <c r="A2377">
        <v>148991</v>
      </c>
      <c r="B2377" t="s">
        <v>22</v>
      </c>
      <c r="C2377" t="s">
        <v>17</v>
      </c>
      <c r="D2377">
        <v>3209</v>
      </c>
      <c r="E2377">
        <v>568</v>
      </c>
      <c r="F2377">
        <v>759</v>
      </c>
      <c r="G2377">
        <v>74</v>
      </c>
      <c r="H2377">
        <v>28817</v>
      </c>
      <c r="I2377">
        <v>10</v>
      </c>
      <c r="J2377">
        <v>47</v>
      </c>
      <c r="K2377">
        <v>728</v>
      </c>
      <c r="L2377">
        <v>648</v>
      </c>
      <c r="M2377">
        <v>19.399999999999999</v>
      </c>
      <c r="N2377">
        <f>IFERROR(VLOOKUP(A2377,vlookup_table!$A:$G,2,FALSE),"")</f>
        <v>28</v>
      </c>
      <c r="O2377">
        <f>IFERROR(VLOOKUP(A2377,vlookup_table!$A:$G,4,FALSE),"")</f>
        <v>4401</v>
      </c>
      <c r="P2377" t="str">
        <f>IFERROR(VLOOKUP(A2377,vlookup_table!$A:$G,5,FALSE),"")</f>
        <v>C1</v>
      </c>
      <c r="Q2377">
        <f>IFERROR(VLOOKUP(A2377,vlookup_table!$A:$G,7,FALSE),"")</f>
        <v>25</v>
      </c>
      <c r="R2377">
        <f t="shared" si="148"/>
        <v>53</v>
      </c>
      <c r="S2377" t="str" cm="1">
        <f t="array" ref="S2377">IF(P2377="","",_xlfn.SWITCH(LEFT(P2377,1),"C","Ciudad","T","Pueblo","R","Rural","S","Suburbano","U","Urbano",""))</f>
        <v>Ciudad</v>
      </c>
      <c r="T2377" t="str">
        <f t="shared" si="149"/>
        <v>F</v>
      </c>
      <c r="U2377" t="str">
        <f t="shared" si="150"/>
        <v>CA</v>
      </c>
      <c r="V2377" t="str">
        <f t="shared" si="151"/>
        <v>28817</v>
      </c>
    </row>
    <row r="2378" spans="1:22" x14ac:dyDescent="0.35">
      <c r="A2378">
        <v>63941</v>
      </c>
      <c r="B2378" t="s">
        <v>33</v>
      </c>
      <c r="C2378" t="s">
        <v>17</v>
      </c>
      <c r="D2378">
        <v>700</v>
      </c>
      <c r="E2378">
        <v>379</v>
      </c>
      <c r="F2378">
        <v>446</v>
      </c>
      <c r="G2378">
        <v>2</v>
      </c>
      <c r="H2378">
        <v>13332</v>
      </c>
      <c r="I2378">
        <v>0</v>
      </c>
      <c r="J2378">
        <v>75</v>
      </c>
      <c r="K2378">
        <v>385</v>
      </c>
      <c r="L2378">
        <v>432</v>
      </c>
      <c r="M2378">
        <v>8.1578947369999995</v>
      </c>
      <c r="N2378">
        <f>IFERROR(VLOOKUP(A2378,vlookup_table!$A:$G,2,FALSE),"")</f>
        <v>0</v>
      </c>
      <c r="O2378">
        <f>IFERROR(VLOOKUP(A2378,vlookup_table!$A:$G,4,FALSE),"")</f>
        <v>0</v>
      </c>
      <c r="P2378" t="str">
        <f>IFERROR(VLOOKUP(A2378,vlookup_table!$A:$G,5,FALSE),"")</f>
        <v>R2</v>
      </c>
      <c r="Q2378">
        <f>IFERROR(VLOOKUP(A2378,vlookup_table!$A:$G,7,FALSE),"")</f>
        <v>10</v>
      </c>
      <c r="R2378">
        <f t="shared" si="148"/>
        <v>97</v>
      </c>
      <c r="S2378" t="str" cm="1">
        <f t="array" ref="S2378">IF(P2378="","",_xlfn.SWITCH(LEFT(P2378,1),"C","Ciudad","T","Pueblo","R","Rural","S","Suburbano","U","Urbano",""))</f>
        <v>Rural</v>
      </c>
      <c r="T2378" t="str">
        <f t="shared" si="149"/>
        <v>F</v>
      </c>
      <c r="U2378" t="str">
        <f t="shared" si="150"/>
        <v>IN</v>
      </c>
      <c r="V2378" t="str">
        <f t="shared" si="151"/>
        <v>13332</v>
      </c>
    </row>
    <row r="2379" spans="1:22" x14ac:dyDescent="0.35">
      <c r="A2379">
        <v>48006</v>
      </c>
      <c r="B2379" t="s">
        <v>43</v>
      </c>
      <c r="C2379" t="s">
        <v>17</v>
      </c>
      <c r="D2379">
        <v>486</v>
      </c>
      <c r="E2379">
        <v>237</v>
      </c>
      <c r="F2379">
        <v>315</v>
      </c>
      <c r="G2379">
        <v>3</v>
      </c>
      <c r="H2379">
        <v>10807</v>
      </c>
      <c r="I2379">
        <v>1</v>
      </c>
      <c r="J2379">
        <v>80</v>
      </c>
      <c r="K2379">
        <v>283</v>
      </c>
      <c r="L2379">
        <v>281</v>
      </c>
      <c r="M2379">
        <v>6.6</v>
      </c>
      <c r="N2379">
        <f>IFERROR(VLOOKUP(A2379,vlookup_table!$A:$G,2,FALSE),"")</f>
        <v>28</v>
      </c>
      <c r="O2379">
        <f>IFERROR(VLOOKUP(A2379,vlookup_table!$A:$G,4,FALSE),"")</f>
        <v>0</v>
      </c>
      <c r="P2379" t="str">
        <f>IFERROR(VLOOKUP(A2379,vlookup_table!$A:$G,5,FALSE),"")</f>
        <v>R2</v>
      </c>
      <c r="Q2379">
        <f>IFERROR(VLOOKUP(A2379,vlookup_table!$A:$G,7,FALSE),"")</f>
        <v>5</v>
      </c>
      <c r="R2379">
        <f t="shared" si="148"/>
        <v>97</v>
      </c>
      <c r="S2379" t="str" cm="1">
        <f t="array" ref="S2379">IF(P2379="","",_xlfn.SWITCH(LEFT(P2379,1),"C","Ciudad","T","Pueblo","R","Rural","S","Suburbano","U","Urbano",""))</f>
        <v>Rural</v>
      </c>
      <c r="T2379" t="str">
        <f t="shared" si="149"/>
        <v>F</v>
      </c>
      <c r="U2379" t="str">
        <f t="shared" si="150"/>
        <v>AL</v>
      </c>
      <c r="V2379" t="str">
        <f t="shared" si="151"/>
        <v>10807</v>
      </c>
    </row>
    <row r="2380" spans="1:22" x14ac:dyDescent="0.35">
      <c r="A2380">
        <v>170998</v>
      </c>
      <c r="B2380" t="s">
        <v>22</v>
      </c>
      <c r="C2380" t="s">
        <v>17</v>
      </c>
      <c r="D2380">
        <v>621</v>
      </c>
      <c r="E2380">
        <v>250</v>
      </c>
      <c r="F2380">
        <v>307</v>
      </c>
      <c r="G2380">
        <v>0</v>
      </c>
      <c r="H2380">
        <v>10599</v>
      </c>
      <c r="I2380">
        <v>8</v>
      </c>
      <c r="J2380">
        <v>59</v>
      </c>
      <c r="K2380">
        <v>266</v>
      </c>
      <c r="L2380">
        <v>275</v>
      </c>
      <c r="M2380">
        <v>10.16666667</v>
      </c>
      <c r="N2380">
        <f>IFERROR(VLOOKUP(A2380,vlookup_table!$A:$G,2,FALSE),"")</f>
        <v>0</v>
      </c>
      <c r="O2380">
        <f>IFERROR(VLOOKUP(A2380,vlookup_table!$A:$G,4,FALSE),"")</f>
        <v>1401</v>
      </c>
      <c r="P2380" t="str">
        <f>IFERROR(VLOOKUP(A2380,vlookup_table!$A:$G,5,FALSE),"")</f>
        <v>R2</v>
      </c>
      <c r="Q2380">
        <f>IFERROR(VLOOKUP(A2380,vlookup_table!$A:$G,7,FALSE),"")</f>
        <v>10</v>
      </c>
      <c r="R2380">
        <f t="shared" si="148"/>
        <v>83</v>
      </c>
      <c r="S2380" t="str" cm="1">
        <f t="array" ref="S2380">IF(P2380="","",_xlfn.SWITCH(LEFT(P2380,1),"C","Ciudad","T","Pueblo","R","Rural","S","Suburbano","U","Urbano",""))</f>
        <v>Rural</v>
      </c>
      <c r="T2380" t="str">
        <f t="shared" si="149"/>
        <v>F</v>
      </c>
      <c r="U2380" t="str">
        <f t="shared" si="150"/>
        <v>CA</v>
      </c>
      <c r="V2380" t="str">
        <f t="shared" si="151"/>
        <v>10599</v>
      </c>
    </row>
    <row r="2381" spans="1:22" x14ac:dyDescent="0.35">
      <c r="A2381">
        <v>31959</v>
      </c>
      <c r="B2381" t="s">
        <v>13</v>
      </c>
      <c r="C2381" t="s">
        <v>14</v>
      </c>
      <c r="D2381">
        <v>1548</v>
      </c>
      <c r="E2381">
        <v>572</v>
      </c>
      <c r="F2381">
        <v>736</v>
      </c>
      <c r="G2381">
        <v>35</v>
      </c>
      <c r="H2381">
        <v>40741</v>
      </c>
      <c r="I2381">
        <v>5</v>
      </c>
      <c r="J2381">
        <v>20</v>
      </c>
      <c r="K2381">
        <v>632</v>
      </c>
      <c r="L2381">
        <v>646</v>
      </c>
      <c r="M2381">
        <v>25</v>
      </c>
      <c r="N2381">
        <f>IFERROR(VLOOKUP(A2381,vlookup_table!$A:$G,2,FALSE),"")</f>
        <v>0</v>
      </c>
      <c r="O2381">
        <f>IFERROR(VLOOKUP(A2381,vlookup_table!$A:$G,4,FALSE),"")</f>
        <v>3401</v>
      </c>
      <c r="P2381" t="str">
        <f>IFERROR(VLOOKUP(A2381,vlookup_table!$A:$G,5,FALSE),"")</f>
        <v>T1</v>
      </c>
      <c r="Q2381">
        <f>IFERROR(VLOOKUP(A2381,vlookup_table!$A:$G,7,FALSE),"")</f>
        <v>20</v>
      </c>
      <c r="R2381">
        <f t="shared" si="148"/>
        <v>63</v>
      </c>
      <c r="S2381" t="str" cm="1">
        <f t="array" ref="S2381">IF(P2381="","",_xlfn.SWITCH(LEFT(P2381,1),"C","Ciudad","T","Pueblo","R","Rural","S","Suburbano","U","Urbano",""))</f>
        <v>Pueblo</v>
      </c>
      <c r="T2381" t="str">
        <f t="shared" si="149"/>
        <v>M</v>
      </c>
      <c r="U2381" t="str">
        <f t="shared" si="150"/>
        <v>FL</v>
      </c>
      <c r="V2381" t="str">
        <f t="shared" si="151"/>
        <v>40741</v>
      </c>
    </row>
    <row r="2382" spans="1:22" x14ac:dyDescent="0.35">
      <c r="A2382">
        <v>13805</v>
      </c>
      <c r="B2382" t="s">
        <v>22</v>
      </c>
      <c r="C2382" t="s">
        <v>14</v>
      </c>
      <c r="D2382">
        <v>1315</v>
      </c>
      <c r="E2382">
        <v>304</v>
      </c>
      <c r="F2382">
        <v>409</v>
      </c>
      <c r="G2382">
        <v>17</v>
      </c>
      <c r="H2382">
        <v>15193</v>
      </c>
      <c r="I2382">
        <v>4</v>
      </c>
      <c r="J2382">
        <v>62</v>
      </c>
      <c r="K2382">
        <v>369</v>
      </c>
      <c r="L2382">
        <v>355</v>
      </c>
      <c r="M2382">
        <v>27.5</v>
      </c>
      <c r="N2382">
        <f>IFERROR(VLOOKUP(A2382,vlookup_table!$A:$G,2,FALSE),"")</f>
        <v>0</v>
      </c>
      <c r="O2382">
        <f>IFERROR(VLOOKUP(A2382,vlookup_table!$A:$G,4,FALSE),"")</f>
        <v>3201</v>
      </c>
      <c r="P2382" t="str">
        <f>IFERROR(VLOOKUP(A2382,vlookup_table!$A:$G,5,FALSE),"")</f>
        <v>R1</v>
      </c>
      <c r="Q2382" t="str">
        <f>IFERROR(VLOOKUP(A2382,vlookup_table!$A:$G,7,FALSE),"")</f>
        <v>10.7</v>
      </c>
      <c r="R2382">
        <f t="shared" si="148"/>
        <v>65</v>
      </c>
      <c r="S2382" t="str" cm="1">
        <f t="array" ref="S2382">IF(P2382="","",_xlfn.SWITCH(LEFT(P2382,1),"C","Ciudad","T","Pueblo","R","Rural","S","Suburbano","U","Urbano",""))</f>
        <v>Rural</v>
      </c>
      <c r="T2382" t="str">
        <f t="shared" si="149"/>
        <v>M</v>
      </c>
      <c r="U2382" t="str">
        <f t="shared" si="150"/>
        <v>CA</v>
      </c>
      <c r="V2382" t="str">
        <f t="shared" si="151"/>
        <v>15193</v>
      </c>
    </row>
    <row r="2383" spans="1:22" x14ac:dyDescent="0.35">
      <c r="A2383">
        <v>104170</v>
      </c>
      <c r="B2383" t="s">
        <v>36</v>
      </c>
      <c r="C2383" t="s">
        <v>14</v>
      </c>
      <c r="D2383">
        <v>889</v>
      </c>
      <c r="E2383">
        <v>408</v>
      </c>
      <c r="F2383">
        <v>528</v>
      </c>
      <c r="G2383">
        <v>0</v>
      </c>
      <c r="H2383">
        <v>16268</v>
      </c>
      <c r="I2383">
        <v>2</v>
      </c>
      <c r="J2383">
        <v>64</v>
      </c>
      <c r="K2383">
        <v>483</v>
      </c>
      <c r="L2383">
        <v>468</v>
      </c>
      <c r="M2383">
        <v>3.72</v>
      </c>
      <c r="N2383">
        <f>IFERROR(VLOOKUP(A2383,vlookup_table!$A:$G,2,FALSE),"")</f>
        <v>2</v>
      </c>
      <c r="O2383">
        <f>IFERROR(VLOOKUP(A2383,vlookup_table!$A:$G,4,FALSE),"")</f>
        <v>1603</v>
      </c>
      <c r="P2383" t="str">
        <f>IFERROR(VLOOKUP(A2383,vlookup_table!$A:$G,5,FALSE),"")</f>
        <v>C1</v>
      </c>
      <c r="Q2383">
        <f>IFERROR(VLOOKUP(A2383,vlookup_table!$A:$G,7,FALSE),"")</f>
        <v>5</v>
      </c>
      <c r="R2383">
        <f t="shared" si="148"/>
        <v>81</v>
      </c>
      <c r="S2383" t="str" cm="1">
        <f t="array" ref="S2383">IF(P2383="","",_xlfn.SWITCH(LEFT(P2383,1),"C","Ciudad","T","Pueblo","R","Rural","S","Suburbano","U","Urbano",""))</f>
        <v>Ciudad</v>
      </c>
      <c r="T2383" t="str">
        <f t="shared" si="149"/>
        <v>M</v>
      </c>
      <c r="U2383" t="str">
        <f t="shared" si="150"/>
        <v>MO</v>
      </c>
      <c r="V2383" t="str">
        <f t="shared" si="151"/>
        <v>16268</v>
      </c>
    </row>
    <row r="2384" spans="1:22" x14ac:dyDescent="0.35">
      <c r="A2384">
        <v>28339</v>
      </c>
      <c r="B2384" t="s">
        <v>39</v>
      </c>
      <c r="C2384" t="s">
        <v>17</v>
      </c>
      <c r="D2384">
        <v>2152</v>
      </c>
      <c r="E2384">
        <v>389</v>
      </c>
      <c r="F2384">
        <v>738</v>
      </c>
      <c r="G2384">
        <v>59</v>
      </c>
      <c r="H2384">
        <v>28753</v>
      </c>
      <c r="I2384">
        <v>4</v>
      </c>
      <c r="J2384">
        <v>42</v>
      </c>
      <c r="K2384">
        <v>634</v>
      </c>
      <c r="L2384">
        <v>501</v>
      </c>
      <c r="M2384">
        <v>11.1</v>
      </c>
      <c r="N2384">
        <f>IFERROR(VLOOKUP(A2384,vlookup_table!$A:$G,2,FALSE),"")</f>
        <v>0</v>
      </c>
      <c r="O2384">
        <f>IFERROR(VLOOKUP(A2384,vlookup_table!$A:$G,4,FALSE),"")</f>
        <v>0</v>
      </c>
      <c r="P2384" t="str">
        <f>IFERROR(VLOOKUP(A2384,vlookup_table!$A:$G,5,FALSE),"")</f>
        <v>C1</v>
      </c>
      <c r="Q2384">
        <f>IFERROR(VLOOKUP(A2384,vlookup_table!$A:$G,7,FALSE),"")</f>
        <v>11</v>
      </c>
      <c r="R2384">
        <f t="shared" si="148"/>
        <v>97</v>
      </c>
      <c r="S2384" t="str" cm="1">
        <f t="array" ref="S2384">IF(P2384="","",_xlfn.SWITCH(LEFT(P2384,1),"C","Ciudad","T","Pueblo","R","Rural","S","Suburbano","U","Urbano",""))</f>
        <v>Ciudad</v>
      </c>
      <c r="T2384" t="str">
        <f t="shared" si="149"/>
        <v>F</v>
      </c>
      <c r="U2384" t="str">
        <f t="shared" si="150"/>
        <v>GA</v>
      </c>
      <c r="V2384" t="str">
        <f t="shared" si="151"/>
        <v>28753</v>
      </c>
    </row>
    <row r="2385" spans="1:22" x14ac:dyDescent="0.35">
      <c r="A2385">
        <v>1920</v>
      </c>
      <c r="B2385" t="s">
        <v>24</v>
      </c>
      <c r="C2385" t="s">
        <v>14</v>
      </c>
      <c r="D2385">
        <v>1032</v>
      </c>
      <c r="E2385">
        <v>305</v>
      </c>
      <c r="F2385">
        <v>454</v>
      </c>
      <c r="G2385">
        <v>15</v>
      </c>
      <c r="H2385">
        <v>18324</v>
      </c>
      <c r="I2385">
        <v>12</v>
      </c>
      <c r="J2385">
        <v>16</v>
      </c>
      <c r="K2385">
        <v>361</v>
      </c>
      <c r="L2385">
        <v>390</v>
      </c>
      <c r="M2385">
        <v>6.9193548390000004</v>
      </c>
      <c r="N2385">
        <f>IFERROR(VLOOKUP(A2385,vlookup_table!$A:$G,2,FALSE),"")</f>
        <v>1002</v>
      </c>
      <c r="O2385">
        <f>IFERROR(VLOOKUP(A2385,vlookup_table!$A:$G,4,FALSE),"")</f>
        <v>1610</v>
      </c>
      <c r="P2385" t="str">
        <f>IFERROR(VLOOKUP(A2385,vlookup_table!$A:$G,5,FALSE),"")</f>
        <v>U3</v>
      </c>
      <c r="Q2385">
        <f>IFERROR(VLOOKUP(A2385,vlookup_table!$A:$G,7,FALSE),"")</f>
        <v>10</v>
      </c>
      <c r="R2385">
        <f t="shared" si="148"/>
        <v>81</v>
      </c>
      <c r="S2385" t="str" cm="1">
        <f t="array" ref="S2385">IF(P2385="","",_xlfn.SWITCH(LEFT(P2385,1),"C","Ciudad","T","Pueblo","R","Rural","S","Suburbano","U","Urbano",""))</f>
        <v>Urbano</v>
      </c>
      <c r="T2385" t="str">
        <f t="shared" si="149"/>
        <v>M</v>
      </c>
      <c r="U2385" t="str">
        <f t="shared" si="150"/>
        <v>NV</v>
      </c>
      <c r="V2385" t="str">
        <f t="shared" si="151"/>
        <v>18324</v>
      </c>
    </row>
    <row r="2386" spans="1:22" x14ac:dyDescent="0.35">
      <c r="A2386">
        <v>88920</v>
      </c>
      <c r="B2386" t="s">
        <v>16</v>
      </c>
      <c r="C2386" t="s">
        <v>17</v>
      </c>
      <c r="D2386">
        <v>1364</v>
      </c>
      <c r="E2386">
        <v>451</v>
      </c>
      <c r="F2386">
        <v>561</v>
      </c>
      <c r="G2386">
        <v>16</v>
      </c>
      <c r="H2386">
        <v>21988</v>
      </c>
      <c r="I2386">
        <v>9</v>
      </c>
      <c r="J2386">
        <v>62</v>
      </c>
      <c r="K2386">
        <v>468</v>
      </c>
      <c r="L2386">
        <v>518</v>
      </c>
      <c r="M2386">
        <v>25</v>
      </c>
      <c r="N2386">
        <f>IFERROR(VLOOKUP(A2386,vlookup_table!$A:$G,2,FALSE),"")</f>
        <v>0</v>
      </c>
      <c r="O2386">
        <f>IFERROR(VLOOKUP(A2386,vlookup_table!$A:$G,4,FALSE),"")</f>
        <v>5501</v>
      </c>
      <c r="P2386" t="str">
        <f>IFERROR(VLOOKUP(A2386,vlookup_table!$A:$G,5,FALSE),"")</f>
        <v>S1</v>
      </c>
      <c r="Q2386">
        <f>IFERROR(VLOOKUP(A2386,vlookup_table!$A:$G,7,FALSE),"")</f>
        <v>25</v>
      </c>
      <c r="R2386">
        <f t="shared" si="148"/>
        <v>42</v>
      </c>
      <c r="S2386" t="str" cm="1">
        <f t="array" ref="S2386">IF(P2386="","",_xlfn.SWITCH(LEFT(P2386,1),"C","Ciudad","T","Pueblo","R","Rural","S","Suburbano","U","Urbano",""))</f>
        <v>Suburbano</v>
      </c>
      <c r="T2386" t="str">
        <f t="shared" si="149"/>
        <v>F</v>
      </c>
      <c r="U2386" t="str">
        <f t="shared" si="150"/>
        <v>IL</v>
      </c>
      <c r="V2386" t="str">
        <f t="shared" si="151"/>
        <v>21988</v>
      </c>
    </row>
    <row r="2387" spans="1:22" x14ac:dyDescent="0.35">
      <c r="A2387">
        <v>45656</v>
      </c>
      <c r="B2387" t="s">
        <v>13</v>
      </c>
      <c r="C2387" t="s">
        <v>14</v>
      </c>
      <c r="D2387">
        <v>566</v>
      </c>
      <c r="E2387">
        <v>218</v>
      </c>
      <c r="F2387">
        <v>272</v>
      </c>
      <c r="G2387">
        <v>0</v>
      </c>
      <c r="H2387">
        <v>11438</v>
      </c>
      <c r="I2387">
        <v>9</v>
      </c>
      <c r="J2387">
        <v>8</v>
      </c>
      <c r="K2387">
        <v>242</v>
      </c>
      <c r="L2387">
        <v>249</v>
      </c>
      <c r="M2387">
        <v>27.5</v>
      </c>
      <c r="N2387">
        <f>IFERROR(VLOOKUP(A2387,vlookup_table!$A:$G,2,FALSE),"")</f>
        <v>1002</v>
      </c>
      <c r="O2387">
        <f>IFERROR(VLOOKUP(A2387,vlookup_table!$A:$G,4,FALSE),"")</f>
        <v>4301</v>
      </c>
      <c r="P2387" t="str">
        <f>IFERROR(VLOOKUP(A2387,vlookup_table!$A:$G,5,FALSE),"")</f>
        <v>C3</v>
      </c>
      <c r="Q2387">
        <f>IFERROR(VLOOKUP(A2387,vlookup_table!$A:$G,7,FALSE),"")</f>
        <v>27</v>
      </c>
      <c r="R2387">
        <f t="shared" si="148"/>
        <v>54</v>
      </c>
      <c r="S2387" t="str" cm="1">
        <f t="array" ref="S2387">IF(P2387="","",_xlfn.SWITCH(LEFT(P2387,1),"C","Ciudad","T","Pueblo","R","Rural","S","Suburbano","U","Urbano",""))</f>
        <v>Ciudad</v>
      </c>
      <c r="T2387" t="str">
        <f t="shared" si="149"/>
        <v>M</v>
      </c>
      <c r="U2387" t="str">
        <f t="shared" si="150"/>
        <v>FL</v>
      </c>
      <c r="V2387" t="str">
        <f t="shared" si="151"/>
        <v>11438</v>
      </c>
    </row>
    <row r="2388" spans="1:22" x14ac:dyDescent="0.35">
      <c r="A2388">
        <v>175471</v>
      </c>
      <c r="B2388" t="s">
        <v>50</v>
      </c>
      <c r="C2388" t="s">
        <v>17</v>
      </c>
      <c r="D2388">
        <v>813</v>
      </c>
      <c r="E2388">
        <v>239</v>
      </c>
      <c r="F2388">
        <v>411</v>
      </c>
      <c r="G2388">
        <v>5</v>
      </c>
      <c r="H2388">
        <v>16248</v>
      </c>
      <c r="I2388">
        <v>5</v>
      </c>
      <c r="J2388">
        <v>37</v>
      </c>
      <c r="K2388">
        <v>368</v>
      </c>
      <c r="L2388">
        <v>301</v>
      </c>
      <c r="M2388">
        <v>6.5714285710000002</v>
      </c>
      <c r="N2388">
        <f>IFERROR(VLOOKUP(A2388,vlookup_table!$A:$G,2,FALSE),"")</f>
        <v>28</v>
      </c>
      <c r="O2388">
        <f>IFERROR(VLOOKUP(A2388,vlookup_table!$A:$G,4,FALSE),"")</f>
        <v>0</v>
      </c>
      <c r="P2388" t="str">
        <f>IFERROR(VLOOKUP(A2388,vlookup_table!$A:$G,5,FALSE),"")</f>
        <v>U2</v>
      </c>
      <c r="Q2388">
        <f>IFERROR(VLOOKUP(A2388,vlookup_table!$A:$G,7,FALSE),"")</f>
        <v>5</v>
      </c>
      <c r="R2388">
        <f t="shared" si="148"/>
        <v>97</v>
      </c>
      <c r="S2388" t="str" cm="1">
        <f t="array" ref="S2388">IF(P2388="","",_xlfn.SWITCH(LEFT(P2388,1),"C","Ciudad","T","Pueblo","R","Rural","S","Suburbano","U","Urbano",""))</f>
        <v>Urbano</v>
      </c>
      <c r="T2388" t="str">
        <f t="shared" si="149"/>
        <v>F</v>
      </c>
      <c r="U2388" t="str">
        <f t="shared" si="150"/>
        <v>OR</v>
      </c>
      <c r="V2388" t="str">
        <f t="shared" si="151"/>
        <v>16248</v>
      </c>
    </row>
    <row r="2389" spans="1:22" x14ac:dyDescent="0.35">
      <c r="A2389">
        <v>108820</v>
      </c>
      <c r="B2389" t="s">
        <v>49</v>
      </c>
      <c r="C2389" t="s">
        <v>14</v>
      </c>
      <c r="D2389">
        <v>465</v>
      </c>
      <c r="E2389">
        <v>198</v>
      </c>
      <c r="F2389">
        <v>292</v>
      </c>
      <c r="G2389">
        <v>1</v>
      </c>
      <c r="H2389">
        <v>8982</v>
      </c>
      <c r="I2389">
        <v>0</v>
      </c>
      <c r="J2389">
        <v>84</v>
      </c>
      <c r="K2389">
        <v>239</v>
      </c>
      <c r="L2389">
        <v>260</v>
      </c>
      <c r="M2389">
        <v>4.8333333329999997</v>
      </c>
      <c r="N2389">
        <f>IFERROR(VLOOKUP(A2389,vlookup_table!$A:$G,2,FALSE),"")</f>
        <v>1</v>
      </c>
      <c r="O2389">
        <f>IFERROR(VLOOKUP(A2389,vlookup_table!$A:$G,4,FALSE),"")</f>
        <v>2301</v>
      </c>
      <c r="P2389" t="str">
        <f>IFERROR(VLOOKUP(A2389,vlookup_table!$A:$G,5,FALSE),"")</f>
        <v>R2</v>
      </c>
      <c r="Q2389">
        <f>IFERROR(VLOOKUP(A2389,vlookup_table!$A:$G,7,FALSE),"")</f>
        <v>5</v>
      </c>
      <c r="R2389">
        <f t="shared" si="148"/>
        <v>74</v>
      </c>
      <c r="S2389" t="str" cm="1">
        <f t="array" ref="S2389">IF(P2389="","",_xlfn.SWITCH(LEFT(P2389,1),"C","Ciudad","T","Pueblo","R","Rural","S","Suburbano","U","Urbano",""))</f>
        <v>Rural</v>
      </c>
      <c r="T2389" t="str">
        <f t="shared" si="149"/>
        <v>M</v>
      </c>
      <c r="U2389" t="str">
        <f t="shared" si="150"/>
        <v>LA</v>
      </c>
      <c r="V2389" t="str">
        <f t="shared" si="151"/>
        <v>8982</v>
      </c>
    </row>
    <row r="2390" spans="1:22" x14ac:dyDescent="0.35">
      <c r="A2390">
        <v>190619</v>
      </c>
      <c r="B2390" t="s">
        <v>29</v>
      </c>
      <c r="C2390" t="s">
        <v>17</v>
      </c>
      <c r="D2390">
        <v>943</v>
      </c>
      <c r="E2390">
        <v>406</v>
      </c>
      <c r="F2390">
        <v>515</v>
      </c>
      <c r="G2390">
        <v>2</v>
      </c>
      <c r="H2390">
        <v>16625</v>
      </c>
      <c r="I2390">
        <v>1</v>
      </c>
      <c r="J2390">
        <v>85</v>
      </c>
      <c r="K2390">
        <v>502</v>
      </c>
      <c r="L2390">
        <v>453</v>
      </c>
      <c r="M2390">
        <v>3.5185185190000001</v>
      </c>
      <c r="N2390">
        <f>IFERROR(VLOOKUP(A2390,vlookup_table!$A:$G,2,FALSE),"")</f>
        <v>2</v>
      </c>
      <c r="O2390">
        <f>IFERROR(VLOOKUP(A2390,vlookup_table!$A:$G,4,FALSE),"")</f>
        <v>1710</v>
      </c>
      <c r="P2390" t="str">
        <f>IFERROR(VLOOKUP(A2390,vlookup_table!$A:$G,5,FALSE),"")</f>
        <v>T2</v>
      </c>
      <c r="Q2390">
        <f>IFERROR(VLOOKUP(A2390,vlookup_table!$A:$G,7,FALSE),"")</f>
        <v>3</v>
      </c>
      <c r="R2390">
        <f t="shared" si="148"/>
        <v>80</v>
      </c>
      <c r="S2390" t="str" cm="1">
        <f t="array" ref="S2390">IF(P2390="","",_xlfn.SWITCH(LEFT(P2390,1),"C","Ciudad","T","Pueblo","R","Rural","S","Suburbano","U","Urbano",""))</f>
        <v>Pueblo</v>
      </c>
      <c r="T2390" t="str">
        <f t="shared" si="149"/>
        <v>F</v>
      </c>
      <c r="U2390" t="str">
        <f t="shared" si="150"/>
        <v>MI</v>
      </c>
      <c r="V2390" t="str">
        <f t="shared" si="151"/>
        <v>16625</v>
      </c>
    </row>
    <row r="2391" spans="1:22" x14ac:dyDescent="0.35">
      <c r="A2391">
        <v>13727</v>
      </c>
      <c r="B2391" t="s">
        <v>59</v>
      </c>
      <c r="C2391" t="s">
        <v>17</v>
      </c>
      <c r="D2391">
        <v>675</v>
      </c>
      <c r="E2391">
        <v>284</v>
      </c>
      <c r="F2391">
        <v>308</v>
      </c>
      <c r="G2391">
        <v>0</v>
      </c>
      <c r="H2391">
        <v>18892</v>
      </c>
      <c r="I2391">
        <v>5</v>
      </c>
      <c r="J2391">
        <v>39</v>
      </c>
      <c r="K2391">
        <v>288</v>
      </c>
      <c r="L2391">
        <v>317</v>
      </c>
      <c r="M2391">
        <v>20.46153846</v>
      </c>
      <c r="N2391">
        <f>IFERROR(VLOOKUP(A2391,vlookup_table!$A:$G,2,FALSE),"")</f>
        <v>0</v>
      </c>
      <c r="O2391">
        <f>IFERROR(VLOOKUP(A2391,vlookup_table!$A:$G,4,FALSE),"")</f>
        <v>5807</v>
      </c>
      <c r="P2391" t="str">
        <f>IFERROR(VLOOKUP(A2391,vlookup_table!$A:$G,5,FALSE),"")</f>
        <v>T1</v>
      </c>
      <c r="Q2391">
        <f>IFERROR(VLOOKUP(A2391,vlookup_table!$A:$G,7,FALSE),"")</f>
        <v>30</v>
      </c>
      <c r="R2391">
        <f t="shared" si="148"/>
        <v>39</v>
      </c>
      <c r="S2391" t="str" cm="1">
        <f t="array" ref="S2391">IF(P2391="","",_xlfn.SWITCH(LEFT(P2391,1),"C","Ciudad","T","Pueblo","R","Rural","S","Suburbano","U","Urbano",""))</f>
        <v>Pueblo</v>
      </c>
      <c r="T2391" t="str">
        <f t="shared" si="149"/>
        <v>F</v>
      </c>
      <c r="U2391" t="str">
        <f t="shared" si="150"/>
        <v>NE</v>
      </c>
      <c r="V2391" t="str">
        <f t="shared" si="151"/>
        <v>18892</v>
      </c>
    </row>
    <row r="2392" spans="1:22" x14ac:dyDescent="0.35">
      <c r="A2392">
        <v>114909</v>
      </c>
      <c r="B2392" t="s">
        <v>21</v>
      </c>
      <c r="C2392" t="s">
        <v>14</v>
      </c>
      <c r="D2392">
        <v>733</v>
      </c>
      <c r="E2392">
        <v>452</v>
      </c>
      <c r="F2392">
        <v>503</v>
      </c>
      <c r="G2392">
        <v>0</v>
      </c>
      <c r="H2392">
        <v>14468</v>
      </c>
      <c r="I2392">
        <v>17</v>
      </c>
      <c r="J2392">
        <v>50</v>
      </c>
      <c r="K2392">
        <v>453</v>
      </c>
      <c r="L2392">
        <v>496</v>
      </c>
      <c r="M2392">
        <v>9</v>
      </c>
      <c r="N2392">
        <f>IFERROR(VLOOKUP(A2392,vlookup_table!$A:$G,2,FALSE),"")</f>
        <v>93</v>
      </c>
      <c r="O2392">
        <f>IFERROR(VLOOKUP(A2392,vlookup_table!$A:$G,4,FALSE),"")</f>
        <v>0</v>
      </c>
      <c r="P2392" t="str">
        <f>IFERROR(VLOOKUP(A2392,vlookup_table!$A:$G,5,FALSE),"")</f>
        <v>T2</v>
      </c>
      <c r="Q2392">
        <f>IFERROR(VLOOKUP(A2392,vlookup_table!$A:$G,7,FALSE),"")</f>
        <v>10</v>
      </c>
      <c r="R2392">
        <f t="shared" si="148"/>
        <v>97</v>
      </c>
      <c r="S2392" t="str" cm="1">
        <f t="array" ref="S2392">IF(P2392="","",_xlfn.SWITCH(LEFT(P2392,1),"C","Ciudad","T","Pueblo","R","Rural","S","Suburbano","U","Urbano",""))</f>
        <v>Pueblo</v>
      </c>
      <c r="T2392" t="str">
        <f t="shared" si="149"/>
        <v>M</v>
      </c>
      <c r="U2392" t="str">
        <f t="shared" si="150"/>
        <v>TX</v>
      </c>
      <c r="V2392" t="str">
        <f t="shared" si="151"/>
        <v>14468</v>
      </c>
    </row>
    <row r="2393" spans="1:22" x14ac:dyDescent="0.35">
      <c r="A2393">
        <v>190410</v>
      </c>
      <c r="B2393" t="s">
        <v>18</v>
      </c>
      <c r="C2393" t="s">
        <v>20</v>
      </c>
      <c r="D2393">
        <v>1070</v>
      </c>
      <c r="E2393">
        <v>310</v>
      </c>
      <c r="F2393">
        <v>435</v>
      </c>
      <c r="G2393">
        <v>21</v>
      </c>
      <c r="H2393">
        <v>16741</v>
      </c>
      <c r="I2393">
        <v>3</v>
      </c>
      <c r="J2393">
        <v>53</v>
      </c>
      <c r="K2393">
        <v>354</v>
      </c>
      <c r="L2393">
        <v>384</v>
      </c>
      <c r="M2393">
        <v>8.6829268289999995</v>
      </c>
      <c r="N2393">
        <f>IFERROR(VLOOKUP(A2393,vlookup_table!$A:$G,2,FALSE),"")</f>
        <v>0</v>
      </c>
      <c r="O2393">
        <f>IFERROR(VLOOKUP(A2393,vlookup_table!$A:$G,4,FALSE),"")</f>
        <v>0</v>
      </c>
      <c r="P2393" t="str">
        <f>IFERROR(VLOOKUP(A2393,vlookup_table!$A:$G,5,FALSE),"")</f>
        <v>C2</v>
      </c>
      <c r="Q2393">
        <f>IFERROR(VLOOKUP(A2393,vlookup_table!$A:$G,7,FALSE),"")</f>
        <v>9</v>
      </c>
      <c r="R2393">
        <f t="shared" si="148"/>
        <v>97</v>
      </c>
      <c r="S2393" t="str" cm="1">
        <f t="array" ref="S2393">IF(P2393="","",_xlfn.SWITCH(LEFT(P2393,1),"C","Ciudad","T","Pueblo","R","Rural","S","Suburbano","U","Urbano",""))</f>
        <v>Ciudad</v>
      </c>
      <c r="T2393" t="str">
        <f t="shared" si="149"/>
        <v>F</v>
      </c>
      <c r="U2393" t="str">
        <f t="shared" si="150"/>
        <v>NC</v>
      </c>
      <c r="V2393" t="str">
        <f t="shared" si="151"/>
        <v>16741</v>
      </c>
    </row>
    <row r="2394" spans="1:22" x14ac:dyDescent="0.35">
      <c r="A2394">
        <v>166711</v>
      </c>
      <c r="B2394" t="s">
        <v>22</v>
      </c>
      <c r="C2394" t="s">
        <v>17</v>
      </c>
      <c r="D2394">
        <v>675</v>
      </c>
      <c r="E2394">
        <v>344</v>
      </c>
      <c r="F2394">
        <v>589</v>
      </c>
      <c r="G2394">
        <v>0</v>
      </c>
      <c r="H2394">
        <v>23719</v>
      </c>
      <c r="I2394">
        <v>11</v>
      </c>
      <c r="J2394">
        <v>43</v>
      </c>
      <c r="K2394">
        <v>520</v>
      </c>
      <c r="L2394">
        <v>438</v>
      </c>
      <c r="M2394">
        <v>22.666666670000001</v>
      </c>
      <c r="N2394">
        <f>IFERROR(VLOOKUP(A2394,vlookup_table!$A:$G,2,FALSE),"")</f>
        <v>0</v>
      </c>
      <c r="O2394">
        <f>IFERROR(VLOOKUP(A2394,vlookup_table!$A:$G,4,FALSE),"")</f>
        <v>3508</v>
      </c>
      <c r="P2394" t="str">
        <f>IFERROR(VLOOKUP(A2394,vlookup_table!$A:$G,5,FALSE),"")</f>
        <v>S2</v>
      </c>
      <c r="Q2394">
        <f>IFERROR(VLOOKUP(A2394,vlookup_table!$A:$G,7,FALSE),"")</f>
        <v>45</v>
      </c>
      <c r="R2394">
        <f t="shared" si="148"/>
        <v>62</v>
      </c>
      <c r="S2394" t="str" cm="1">
        <f t="array" ref="S2394">IF(P2394="","",_xlfn.SWITCH(LEFT(P2394,1),"C","Ciudad","T","Pueblo","R","Rural","S","Suburbano","U","Urbano",""))</f>
        <v>Suburbano</v>
      </c>
      <c r="T2394" t="str">
        <f t="shared" si="149"/>
        <v>F</v>
      </c>
      <c r="U2394" t="str">
        <f t="shared" si="150"/>
        <v>CA</v>
      </c>
      <c r="V2394" t="str">
        <f t="shared" si="151"/>
        <v>23719</v>
      </c>
    </row>
    <row r="2395" spans="1:22" x14ac:dyDescent="0.35">
      <c r="A2395">
        <v>78669</v>
      </c>
      <c r="B2395" t="s">
        <v>35</v>
      </c>
      <c r="C2395" t="s">
        <v>17</v>
      </c>
      <c r="D2395">
        <v>693</v>
      </c>
      <c r="E2395">
        <v>124</v>
      </c>
      <c r="F2395">
        <v>383</v>
      </c>
      <c r="G2395">
        <v>0</v>
      </c>
      <c r="H2395">
        <v>12596</v>
      </c>
      <c r="I2395">
        <v>6</v>
      </c>
      <c r="J2395">
        <v>82</v>
      </c>
      <c r="K2395">
        <v>389</v>
      </c>
      <c r="L2395">
        <v>223</v>
      </c>
      <c r="M2395">
        <v>4.5</v>
      </c>
      <c r="N2395">
        <f>IFERROR(VLOOKUP(A2395,vlookup_table!$A:$G,2,FALSE),"")</f>
        <v>28</v>
      </c>
      <c r="O2395">
        <f>IFERROR(VLOOKUP(A2395,vlookup_table!$A:$G,4,FALSE),"")</f>
        <v>1801</v>
      </c>
      <c r="P2395" t="str">
        <f>IFERROR(VLOOKUP(A2395,vlookup_table!$A:$G,5,FALSE),"")</f>
        <v>C3</v>
      </c>
      <c r="Q2395">
        <f>IFERROR(VLOOKUP(A2395,vlookup_table!$A:$G,7,FALSE),"")</f>
        <v>6</v>
      </c>
      <c r="R2395">
        <f t="shared" si="148"/>
        <v>79</v>
      </c>
      <c r="S2395" t="str" cm="1">
        <f t="array" ref="S2395">IF(P2395="","",_xlfn.SWITCH(LEFT(P2395,1),"C","Ciudad","T","Pueblo","R","Rural","S","Suburbano","U","Urbano",""))</f>
        <v>Ciudad</v>
      </c>
      <c r="T2395" t="str">
        <f t="shared" si="149"/>
        <v>F</v>
      </c>
      <c r="U2395" t="str">
        <f t="shared" si="150"/>
        <v>WI</v>
      </c>
      <c r="V2395" t="str">
        <f t="shared" si="151"/>
        <v>12596</v>
      </c>
    </row>
    <row r="2396" spans="1:22" x14ac:dyDescent="0.35">
      <c r="A2396">
        <v>35267</v>
      </c>
      <c r="B2396" t="s">
        <v>13</v>
      </c>
      <c r="C2396" t="s">
        <v>14</v>
      </c>
      <c r="D2396">
        <v>895</v>
      </c>
      <c r="E2396">
        <v>334</v>
      </c>
      <c r="F2396">
        <v>460</v>
      </c>
      <c r="G2396">
        <v>11</v>
      </c>
      <c r="H2396">
        <v>19627</v>
      </c>
      <c r="I2396">
        <v>2</v>
      </c>
      <c r="J2396">
        <v>28</v>
      </c>
      <c r="K2396">
        <v>366</v>
      </c>
      <c r="L2396">
        <v>399</v>
      </c>
      <c r="M2396">
        <v>11.84615385</v>
      </c>
      <c r="N2396">
        <f>IFERROR(VLOOKUP(A2396,vlookup_table!$A:$G,2,FALSE),"")</f>
        <v>1002</v>
      </c>
      <c r="O2396">
        <f>IFERROR(VLOOKUP(A2396,vlookup_table!$A:$G,4,FALSE),"")</f>
        <v>1703</v>
      </c>
      <c r="P2396" t="str">
        <f>IFERROR(VLOOKUP(A2396,vlookup_table!$A:$G,5,FALSE),"")</f>
        <v>C2</v>
      </c>
      <c r="Q2396">
        <f>IFERROR(VLOOKUP(A2396,vlookup_table!$A:$G,7,FALSE),"")</f>
        <v>17</v>
      </c>
      <c r="R2396">
        <f t="shared" si="148"/>
        <v>80</v>
      </c>
      <c r="S2396" t="str" cm="1">
        <f t="array" ref="S2396">IF(P2396="","",_xlfn.SWITCH(LEFT(P2396,1),"C","Ciudad","T","Pueblo","R","Rural","S","Suburbano","U","Urbano",""))</f>
        <v>Ciudad</v>
      </c>
      <c r="T2396" t="str">
        <f t="shared" si="149"/>
        <v>M</v>
      </c>
      <c r="U2396" t="str">
        <f t="shared" si="150"/>
        <v>FL</v>
      </c>
      <c r="V2396" t="str">
        <f t="shared" si="151"/>
        <v>19627</v>
      </c>
    </row>
    <row r="2397" spans="1:22" x14ac:dyDescent="0.35">
      <c r="A2397">
        <v>14547</v>
      </c>
      <c r="B2397" t="s">
        <v>22</v>
      </c>
      <c r="C2397" t="s">
        <v>17</v>
      </c>
      <c r="D2397">
        <v>1884</v>
      </c>
      <c r="E2397">
        <v>518</v>
      </c>
      <c r="F2397">
        <v>636</v>
      </c>
      <c r="G2397">
        <v>36</v>
      </c>
      <c r="H2397">
        <v>19818</v>
      </c>
      <c r="I2397">
        <v>4</v>
      </c>
      <c r="J2397">
        <v>65</v>
      </c>
      <c r="K2397">
        <v>580</v>
      </c>
      <c r="L2397">
        <v>542</v>
      </c>
      <c r="M2397">
        <v>16</v>
      </c>
      <c r="N2397">
        <f>IFERROR(VLOOKUP(A2397,vlookup_table!$A:$G,2,FALSE),"")</f>
        <v>0</v>
      </c>
      <c r="O2397">
        <f>IFERROR(VLOOKUP(A2397,vlookup_table!$A:$G,4,FALSE),"")</f>
        <v>5501</v>
      </c>
      <c r="P2397" t="str">
        <f>IFERROR(VLOOKUP(A2397,vlookup_table!$A:$G,5,FALSE),"")</f>
        <v>S1</v>
      </c>
      <c r="Q2397">
        <f>IFERROR(VLOOKUP(A2397,vlookup_table!$A:$G,7,FALSE),"")</f>
        <v>20</v>
      </c>
      <c r="R2397">
        <f t="shared" si="148"/>
        <v>42</v>
      </c>
      <c r="S2397" t="str" cm="1">
        <f t="array" ref="S2397">IF(P2397="","",_xlfn.SWITCH(LEFT(P2397,1),"C","Ciudad","T","Pueblo","R","Rural","S","Suburbano","U","Urbano",""))</f>
        <v>Suburbano</v>
      </c>
      <c r="T2397" t="str">
        <f t="shared" si="149"/>
        <v>F</v>
      </c>
      <c r="U2397" t="str">
        <f t="shared" si="150"/>
        <v>CA</v>
      </c>
      <c r="V2397" t="str">
        <f t="shared" si="151"/>
        <v>19818</v>
      </c>
    </row>
    <row r="2398" spans="1:22" x14ac:dyDescent="0.35">
      <c r="A2398">
        <v>136721</v>
      </c>
      <c r="B2398" t="s">
        <v>55</v>
      </c>
      <c r="C2398" t="s">
        <v>60</v>
      </c>
      <c r="D2398">
        <v>891</v>
      </c>
      <c r="E2398">
        <v>427</v>
      </c>
      <c r="F2398">
        <v>449</v>
      </c>
      <c r="G2398">
        <v>1</v>
      </c>
      <c r="H2398">
        <v>14471</v>
      </c>
      <c r="I2398">
        <v>5</v>
      </c>
      <c r="J2398">
        <v>29</v>
      </c>
      <c r="K2398">
        <v>429</v>
      </c>
      <c r="L2398">
        <v>440</v>
      </c>
      <c r="M2398">
        <v>22.5</v>
      </c>
      <c r="N2398">
        <f>IFERROR(VLOOKUP(A2398,vlookup_table!$A:$G,2,FALSE),"")</f>
        <v>0</v>
      </c>
      <c r="O2398">
        <f>IFERROR(VLOOKUP(A2398,vlookup_table!$A:$G,4,FALSE),"")</f>
        <v>3401</v>
      </c>
      <c r="P2398" t="str">
        <f>IFERROR(VLOOKUP(A2398,vlookup_table!$A:$G,5,FALSE),"")</f>
        <v>U1</v>
      </c>
      <c r="Q2398">
        <f>IFERROR(VLOOKUP(A2398,vlookup_table!$A:$G,7,FALSE),"")</f>
        <v>30</v>
      </c>
      <c r="R2398">
        <f t="shared" si="148"/>
        <v>63</v>
      </c>
      <c r="S2398" t="str" cm="1">
        <f t="array" ref="S2398">IF(P2398="","",_xlfn.SWITCH(LEFT(P2398,1),"C","Ciudad","T","Pueblo","R","Rural","S","Suburbano","U","Urbano",""))</f>
        <v>Urbano</v>
      </c>
      <c r="T2398" t="str">
        <f t="shared" si="149"/>
        <v>F</v>
      </c>
      <c r="U2398" t="str">
        <f t="shared" si="150"/>
        <v>AZ</v>
      </c>
      <c r="V2398" t="str">
        <f t="shared" si="151"/>
        <v>14471</v>
      </c>
    </row>
    <row r="2399" spans="1:22" x14ac:dyDescent="0.35">
      <c r="A2399">
        <v>162026</v>
      </c>
      <c r="B2399" t="s">
        <v>22</v>
      </c>
      <c r="C2399" t="s">
        <v>14</v>
      </c>
      <c r="D2399">
        <v>5965</v>
      </c>
      <c r="E2399">
        <v>1168</v>
      </c>
      <c r="F2399">
        <v>1089</v>
      </c>
      <c r="G2399">
        <v>99</v>
      </c>
      <c r="H2399">
        <v>68814</v>
      </c>
      <c r="I2399">
        <v>23</v>
      </c>
      <c r="J2399">
        <v>49</v>
      </c>
      <c r="K2399">
        <v>1261</v>
      </c>
      <c r="L2399">
        <v>1053</v>
      </c>
      <c r="M2399">
        <v>9.8571428569999995</v>
      </c>
      <c r="N2399">
        <f>IFERROR(VLOOKUP(A2399,vlookup_table!$A:$G,2,FALSE),"")</f>
        <v>1</v>
      </c>
      <c r="O2399">
        <f>IFERROR(VLOOKUP(A2399,vlookup_table!$A:$G,4,FALSE),"")</f>
        <v>3501</v>
      </c>
      <c r="P2399" t="str">
        <f>IFERROR(VLOOKUP(A2399,vlookup_table!$A:$G,5,FALSE),"")</f>
        <v>S1</v>
      </c>
      <c r="Q2399">
        <f>IFERROR(VLOOKUP(A2399,vlookup_table!$A:$G,7,FALSE),"")</f>
        <v>16</v>
      </c>
      <c r="R2399">
        <f t="shared" si="148"/>
        <v>62</v>
      </c>
      <c r="S2399" t="str" cm="1">
        <f t="array" ref="S2399">IF(P2399="","",_xlfn.SWITCH(LEFT(P2399,1),"C","Ciudad","T","Pueblo","R","Rural","S","Suburbano","U","Urbano",""))</f>
        <v>Suburbano</v>
      </c>
      <c r="T2399" t="str">
        <f t="shared" si="149"/>
        <v>M</v>
      </c>
      <c r="U2399" t="str">
        <f t="shared" si="150"/>
        <v>CA</v>
      </c>
      <c r="V2399" t="str">
        <f t="shared" si="151"/>
        <v>68814</v>
      </c>
    </row>
    <row r="2400" spans="1:22" x14ac:dyDescent="0.35">
      <c r="A2400">
        <v>172359</v>
      </c>
      <c r="B2400" t="s">
        <v>22</v>
      </c>
      <c r="D2400">
        <v>566</v>
      </c>
      <c r="E2400">
        <v>208</v>
      </c>
      <c r="F2400">
        <v>253</v>
      </c>
      <c r="G2400">
        <v>0</v>
      </c>
      <c r="H2400">
        <v>6854</v>
      </c>
      <c r="I2400">
        <v>25</v>
      </c>
      <c r="J2400">
        <v>53</v>
      </c>
      <c r="K2400">
        <v>223</v>
      </c>
      <c r="L2400">
        <v>241</v>
      </c>
      <c r="M2400">
        <v>8.0588235289999997</v>
      </c>
      <c r="N2400">
        <f>IFERROR(VLOOKUP(A2400,vlookup_table!$A:$G,2,FALSE),"")</f>
        <v>0</v>
      </c>
      <c r="O2400">
        <f>IFERROR(VLOOKUP(A2400,vlookup_table!$A:$G,4,FALSE),"")</f>
        <v>3503</v>
      </c>
      <c r="P2400" t="str">
        <f>IFERROR(VLOOKUP(A2400,vlookup_table!$A:$G,5,FALSE),"")</f>
        <v>C3</v>
      </c>
      <c r="Q2400">
        <f>IFERROR(VLOOKUP(A2400,vlookup_table!$A:$G,7,FALSE),"")</f>
        <v>20</v>
      </c>
      <c r="R2400">
        <f t="shared" si="148"/>
        <v>62</v>
      </c>
      <c r="S2400" t="str" cm="1">
        <f t="array" ref="S2400">IF(P2400="","",_xlfn.SWITCH(LEFT(P2400,1),"C","Ciudad","T","Pueblo","R","Rural","S","Suburbano","U","Urbano",""))</f>
        <v>Ciudad</v>
      </c>
      <c r="T2400" t="str">
        <f t="shared" si="149"/>
        <v/>
      </c>
      <c r="U2400" t="str">
        <f t="shared" si="150"/>
        <v>CA</v>
      </c>
      <c r="V2400" t="str">
        <f t="shared" si="151"/>
        <v>6854</v>
      </c>
    </row>
    <row r="2401" spans="1:22" x14ac:dyDescent="0.35">
      <c r="A2401">
        <v>90727</v>
      </c>
      <c r="B2401" t="s">
        <v>16</v>
      </c>
      <c r="C2401" t="s">
        <v>14</v>
      </c>
      <c r="D2401">
        <v>3671</v>
      </c>
      <c r="E2401">
        <v>1107</v>
      </c>
      <c r="F2401">
        <v>1108</v>
      </c>
      <c r="G2401">
        <v>93</v>
      </c>
      <c r="H2401">
        <v>37135</v>
      </c>
      <c r="I2401">
        <v>9</v>
      </c>
      <c r="J2401">
        <v>87</v>
      </c>
      <c r="K2401">
        <v>1158</v>
      </c>
      <c r="L2401">
        <v>1043</v>
      </c>
      <c r="M2401">
        <v>5.3571428570000004</v>
      </c>
      <c r="N2401">
        <f>IFERROR(VLOOKUP(A2401,vlookup_table!$A:$G,2,FALSE),"")</f>
        <v>2</v>
      </c>
      <c r="O2401">
        <f>IFERROR(VLOOKUP(A2401,vlookup_table!$A:$G,4,FALSE),"")</f>
        <v>4610</v>
      </c>
      <c r="P2401" t="str">
        <f>IFERROR(VLOOKUP(A2401,vlookup_table!$A:$G,5,FALSE),"")</f>
        <v>S1</v>
      </c>
      <c r="Q2401">
        <f>IFERROR(VLOOKUP(A2401,vlookup_table!$A:$G,7,FALSE),"")</f>
        <v>5</v>
      </c>
      <c r="R2401">
        <f t="shared" si="148"/>
        <v>51</v>
      </c>
      <c r="S2401" t="str" cm="1">
        <f t="array" ref="S2401">IF(P2401="","",_xlfn.SWITCH(LEFT(P2401,1),"C","Ciudad","T","Pueblo","R","Rural","S","Suburbano","U","Urbano",""))</f>
        <v>Suburbano</v>
      </c>
      <c r="T2401" t="str">
        <f t="shared" si="149"/>
        <v>M</v>
      </c>
      <c r="U2401" t="str">
        <f t="shared" si="150"/>
        <v>IL</v>
      </c>
      <c r="V2401" t="str">
        <f t="shared" si="151"/>
        <v>37135</v>
      </c>
    </row>
    <row r="2402" spans="1:22" x14ac:dyDescent="0.35">
      <c r="A2402">
        <v>46560</v>
      </c>
      <c r="B2402" t="s">
        <v>13</v>
      </c>
      <c r="C2402" t="s">
        <v>14</v>
      </c>
      <c r="D2402">
        <v>1930</v>
      </c>
      <c r="E2402">
        <v>462</v>
      </c>
      <c r="F2402">
        <v>648</v>
      </c>
      <c r="G2402">
        <v>49</v>
      </c>
      <c r="H2402">
        <v>31606</v>
      </c>
      <c r="I2402">
        <v>3</v>
      </c>
      <c r="J2402">
        <v>23</v>
      </c>
      <c r="K2402">
        <v>520</v>
      </c>
      <c r="L2402">
        <v>581</v>
      </c>
      <c r="M2402">
        <v>9.3636363639999995</v>
      </c>
      <c r="N2402">
        <f>IFERROR(VLOOKUP(A2402,vlookup_table!$A:$G,2,FALSE),"")</f>
        <v>1</v>
      </c>
      <c r="O2402">
        <f>IFERROR(VLOOKUP(A2402,vlookup_table!$A:$G,4,FALSE),"")</f>
        <v>5801</v>
      </c>
      <c r="P2402" t="str">
        <f>IFERROR(VLOOKUP(A2402,vlookup_table!$A:$G,5,FALSE),"")</f>
        <v>T1</v>
      </c>
      <c r="Q2402">
        <f>IFERROR(VLOOKUP(A2402,vlookup_table!$A:$G,7,FALSE),"")</f>
        <v>5</v>
      </c>
      <c r="R2402">
        <f t="shared" si="148"/>
        <v>39</v>
      </c>
      <c r="S2402" t="str" cm="1">
        <f t="array" ref="S2402">IF(P2402="","",_xlfn.SWITCH(LEFT(P2402,1),"C","Ciudad","T","Pueblo","R","Rural","S","Suburbano","U","Urbano",""))</f>
        <v>Pueblo</v>
      </c>
      <c r="T2402" t="str">
        <f t="shared" si="149"/>
        <v>M</v>
      </c>
      <c r="U2402" t="str">
        <f t="shared" si="150"/>
        <v>FL</v>
      </c>
      <c r="V2402" t="str">
        <f t="shared" si="151"/>
        <v>31606</v>
      </c>
    </row>
    <row r="2403" spans="1:22" x14ac:dyDescent="0.35">
      <c r="A2403">
        <v>2321</v>
      </c>
      <c r="B2403" t="s">
        <v>22</v>
      </c>
      <c r="C2403" t="s">
        <v>14</v>
      </c>
      <c r="D2403">
        <v>2170</v>
      </c>
      <c r="E2403">
        <v>412</v>
      </c>
      <c r="F2403">
        <v>500</v>
      </c>
      <c r="G2403">
        <v>60</v>
      </c>
      <c r="H2403">
        <v>16335</v>
      </c>
      <c r="I2403">
        <v>3</v>
      </c>
      <c r="J2403">
        <v>65</v>
      </c>
      <c r="K2403">
        <v>421</v>
      </c>
      <c r="L2403">
        <v>461</v>
      </c>
      <c r="M2403">
        <v>38.666666669999998</v>
      </c>
      <c r="N2403">
        <f>IFERROR(VLOOKUP(A2403,vlookup_table!$A:$G,2,FALSE),"")</f>
        <v>1</v>
      </c>
      <c r="O2403">
        <f>IFERROR(VLOOKUP(A2403,vlookup_table!$A:$G,4,FALSE),"")</f>
        <v>3101</v>
      </c>
      <c r="P2403" t="str">
        <f>IFERROR(VLOOKUP(A2403,vlookup_table!$A:$G,5,FALSE),"")</f>
        <v>S2</v>
      </c>
      <c r="Q2403">
        <f>IFERROR(VLOOKUP(A2403,vlookup_table!$A:$G,7,FALSE),"")</f>
        <v>25</v>
      </c>
      <c r="R2403">
        <f t="shared" si="148"/>
        <v>66</v>
      </c>
      <c r="S2403" t="str" cm="1">
        <f t="array" ref="S2403">IF(P2403="","",_xlfn.SWITCH(LEFT(P2403,1),"C","Ciudad","T","Pueblo","R","Rural","S","Suburbano","U","Urbano",""))</f>
        <v>Suburbano</v>
      </c>
      <c r="T2403" t="str">
        <f t="shared" si="149"/>
        <v>M</v>
      </c>
      <c r="U2403" t="str">
        <f t="shared" si="150"/>
        <v>CA</v>
      </c>
      <c r="V2403" t="str">
        <f t="shared" si="151"/>
        <v>16335</v>
      </c>
    </row>
    <row r="2404" spans="1:22" x14ac:dyDescent="0.35">
      <c r="A2404">
        <v>179262</v>
      </c>
      <c r="B2404" t="s">
        <v>40</v>
      </c>
      <c r="C2404" t="s">
        <v>30</v>
      </c>
      <c r="D2404">
        <v>1801</v>
      </c>
      <c r="E2404">
        <v>533</v>
      </c>
      <c r="F2404">
        <v>630</v>
      </c>
      <c r="G2404">
        <v>35</v>
      </c>
      <c r="H2404">
        <v>19928</v>
      </c>
      <c r="I2404">
        <v>6</v>
      </c>
      <c r="J2404">
        <v>50</v>
      </c>
      <c r="K2404">
        <v>601</v>
      </c>
      <c r="L2404">
        <v>570</v>
      </c>
      <c r="M2404">
        <v>6</v>
      </c>
      <c r="N2404">
        <f>IFERROR(VLOOKUP(A2404,vlookup_table!$A:$G,2,FALSE),"")</f>
        <v>0</v>
      </c>
      <c r="O2404">
        <f>IFERROR(VLOOKUP(A2404,vlookup_table!$A:$G,4,FALSE),"")</f>
        <v>4701</v>
      </c>
      <c r="P2404" t="str">
        <f>IFERROR(VLOOKUP(A2404,vlookup_table!$A:$G,5,FALSE),"")</f>
        <v>S1</v>
      </c>
      <c r="Q2404">
        <f>IFERROR(VLOOKUP(A2404,vlookup_table!$A:$G,7,FALSE),"")</f>
        <v>10</v>
      </c>
      <c r="R2404">
        <f t="shared" si="148"/>
        <v>50</v>
      </c>
      <c r="S2404" t="str" cm="1">
        <f t="array" ref="S2404">IF(P2404="","",_xlfn.SWITCH(LEFT(P2404,1),"C","Ciudad","T","Pueblo","R","Rural","S","Suburbano","U","Urbano",""))</f>
        <v>Suburbano</v>
      </c>
      <c r="T2404" t="str">
        <f t="shared" si="149"/>
        <v>U</v>
      </c>
      <c r="U2404" t="str">
        <f t="shared" si="150"/>
        <v>WA</v>
      </c>
      <c r="V2404" t="str">
        <f t="shared" si="151"/>
        <v>19928</v>
      </c>
    </row>
    <row r="2405" spans="1:22" x14ac:dyDescent="0.35">
      <c r="A2405">
        <v>28890</v>
      </c>
      <c r="B2405" t="s">
        <v>39</v>
      </c>
      <c r="C2405" t="s">
        <v>14</v>
      </c>
      <c r="D2405">
        <v>553</v>
      </c>
      <c r="E2405">
        <v>279</v>
      </c>
      <c r="F2405">
        <v>362</v>
      </c>
      <c r="G2405">
        <v>1</v>
      </c>
      <c r="H2405">
        <v>12145</v>
      </c>
      <c r="I2405">
        <v>1</v>
      </c>
      <c r="J2405">
        <v>87</v>
      </c>
      <c r="K2405">
        <v>307</v>
      </c>
      <c r="L2405">
        <v>324</v>
      </c>
      <c r="M2405">
        <v>8</v>
      </c>
      <c r="N2405">
        <f>IFERROR(VLOOKUP(A2405,vlookup_table!$A:$G,2,FALSE),"")</f>
        <v>0</v>
      </c>
      <c r="O2405">
        <f>IFERROR(VLOOKUP(A2405,vlookup_table!$A:$G,4,FALSE),"")</f>
        <v>4501</v>
      </c>
      <c r="P2405" t="str">
        <f>IFERROR(VLOOKUP(A2405,vlookup_table!$A:$G,5,FALSE),"")</f>
        <v>T2</v>
      </c>
      <c r="Q2405">
        <f>IFERROR(VLOOKUP(A2405,vlookup_table!$A:$G,7,FALSE),"")</f>
        <v>15</v>
      </c>
      <c r="R2405">
        <f t="shared" si="148"/>
        <v>52</v>
      </c>
      <c r="S2405" t="str" cm="1">
        <f t="array" ref="S2405">IF(P2405="","",_xlfn.SWITCH(LEFT(P2405,1),"C","Ciudad","T","Pueblo","R","Rural","S","Suburbano","U","Urbano",""))</f>
        <v>Pueblo</v>
      </c>
      <c r="T2405" t="str">
        <f t="shared" si="149"/>
        <v>M</v>
      </c>
      <c r="U2405" t="str">
        <f t="shared" si="150"/>
        <v>GA</v>
      </c>
      <c r="V2405" t="str">
        <f t="shared" si="151"/>
        <v>12145</v>
      </c>
    </row>
    <row r="2406" spans="1:22" x14ac:dyDescent="0.35">
      <c r="A2406">
        <v>143787</v>
      </c>
      <c r="B2406" t="s">
        <v>22</v>
      </c>
      <c r="C2406" t="s">
        <v>17</v>
      </c>
      <c r="D2406">
        <v>2423</v>
      </c>
      <c r="E2406">
        <v>527</v>
      </c>
      <c r="F2406">
        <v>610</v>
      </c>
      <c r="G2406">
        <v>83</v>
      </c>
      <c r="H2406">
        <v>19438</v>
      </c>
      <c r="I2406">
        <v>17</v>
      </c>
      <c r="J2406">
        <v>49</v>
      </c>
      <c r="K2406">
        <v>561</v>
      </c>
      <c r="L2406">
        <v>578</v>
      </c>
      <c r="M2406">
        <v>21.666666670000001</v>
      </c>
      <c r="N2406">
        <f>IFERROR(VLOOKUP(A2406,vlookup_table!$A:$G,2,FALSE),"")</f>
        <v>3</v>
      </c>
      <c r="O2406">
        <f>IFERROR(VLOOKUP(A2406,vlookup_table!$A:$G,4,FALSE),"")</f>
        <v>0</v>
      </c>
      <c r="P2406" t="str">
        <f>IFERROR(VLOOKUP(A2406,vlookup_table!$A:$G,5,FALSE),"")</f>
        <v>U1</v>
      </c>
      <c r="Q2406">
        <f>IFERROR(VLOOKUP(A2406,vlookup_table!$A:$G,7,FALSE),"")</f>
        <v>10</v>
      </c>
      <c r="R2406">
        <f t="shared" si="148"/>
        <v>97</v>
      </c>
      <c r="S2406" t="str" cm="1">
        <f t="array" ref="S2406">IF(P2406="","",_xlfn.SWITCH(LEFT(P2406,1),"C","Ciudad","T","Pueblo","R","Rural","S","Suburbano","U","Urbano",""))</f>
        <v>Urbano</v>
      </c>
      <c r="T2406" t="str">
        <f t="shared" si="149"/>
        <v>F</v>
      </c>
      <c r="U2406" t="str">
        <f t="shared" si="150"/>
        <v>CA</v>
      </c>
      <c r="V2406" t="str">
        <f t="shared" si="151"/>
        <v>19438</v>
      </c>
    </row>
    <row r="2407" spans="1:22" x14ac:dyDescent="0.35">
      <c r="A2407">
        <v>88735</v>
      </c>
      <c r="B2407" t="s">
        <v>16</v>
      </c>
      <c r="C2407" t="s">
        <v>17</v>
      </c>
      <c r="D2407">
        <v>617</v>
      </c>
      <c r="E2407">
        <v>129</v>
      </c>
      <c r="F2407">
        <v>308</v>
      </c>
      <c r="G2407">
        <v>1</v>
      </c>
      <c r="H2407">
        <v>9955</v>
      </c>
      <c r="I2407">
        <v>16</v>
      </c>
      <c r="J2407">
        <v>45</v>
      </c>
      <c r="K2407">
        <v>322</v>
      </c>
      <c r="L2407">
        <v>200</v>
      </c>
      <c r="M2407">
        <v>5.88</v>
      </c>
      <c r="N2407">
        <f>IFERROR(VLOOKUP(A2407,vlookup_table!$A:$G,2,FALSE),"")</f>
        <v>3</v>
      </c>
      <c r="O2407">
        <f>IFERROR(VLOOKUP(A2407,vlookup_table!$A:$G,4,FALSE),"")</f>
        <v>2702</v>
      </c>
      <c r="P2407" t="str">
        <f>IFERROR(VLOOKUP(A2407,vlookup_table!$A:$G,5,FALSE),"")</f>
        <v>S2</v>
      </c>
      <c r="Q2407">
        <f>IFERROR(VLOOKUP(A2407,vlookup_table!$A:$G,7,FALSE),"")</f>
        <v>10</v>
      </c>
      <c r="R2407">
        <f t="shared" si="148"/>
        <v>70</v>
      </c>
      <c r="S2407" t="str" cm="1">
        <f t="array" ref="S2407">IF(P2407="","",_xlfn.SWITCH(LEFT(P2407,1),"C","Ciudad","T","Pueblo","R","Rural","S","Suburbano","U","Urbano",""))</f>
        <v>Suburbano</v>
      </c>
      <c r="T2407" t="str">
        <f t="shared" si="149"/>
        <v>F</v>
      </c>
      <c r="U2407" t="str">
        <f t="shared" si="150"/>
        <v>IL</v>
      </c>
      <c r="V2407" t="str">
        <f t="shared" si="151"/>
        <v>9955</v>
      </c>
    </row>
    <row r="2408" spans="1:22" x14ac:dyDescent="0.35">
      <c r="A2408">
        <v>89367</v>
      </c>
      <c r="B2408" t="s">
        <v>16</v>
      </c>
      <c r="C2408" t="s">
        <v>14</v>
      </c>
      <c r="D2408">
        <v>1209</v>
      </c>
      <c r="E2408">
        <v>466</v>
      </c>
      <c r="F2408">
        <v>516</v>
      </c>
      <c r="G2408">
        <v>0</v>
      </c>
      <c r="H2408">
        <v>16254</v>
      </c>
      <c r="I2408">
        <v>6</v>
      </c>
      <c r="J2408">
        <v>70</v>
      </c>
      <c r="K2408">
        <v>467</v>
      </c>
      <c r="L2408">
        <v>517</v>
      </c>
      <c r="M2408">
        <v>3.21875</v>
      </c>
      <c r="N2408">
        <f>IFERROR(VLOOKUP(A2408,vlookup_table!$A:$G,2,FALSE),"")</f>
        <v>0</v>
      </c>
      <c r="O2408">
        <f>IFERROR(VLOOKUP(A2408,vlookup_table!$A:$G,4,FALSE),"")</f>
        <v>6707</v>
      </c>
      <c r="P2408" t="str">
        <f>IFERROR(VLOOKUP(A2408,vlookup_table!$A:$G,5,FALSE),"")</f>
        <v>S1</v>
      </c>
      <c r="Q2408">
        <f>IFERROR(VLOOKUP(A2408,vlookup_table!$A:$G,7,FALSE),"")</f>
        <v>3</v>
      </c>
      <c r="R2408">
        <f t="shared" si="148"/>
        <v>30</v>
      </c>
      <c r="S2408" t="str" cm="1">
        <f t="array" ref="S2408">IF(P2408="","",_xlfn.SWITCH(LEFT(P2408,1),"C","Ciudad","T","Pueblo","R","Rural","S","Suburbano","U","Urbano",""))</f>
        <v>Suburbano</v>
      </c>
      <c r="T2408" t="str">
        <f t="shared" si="149"/>
        <v>M</v>
      </c>
      <c r="U2408" t="str">
        <f t="shared" si="150"/>
        <v>IL</v>
      </c>
      <c r="V2408" t="str">
        <f t="shared" si="151"/>
        <v>16254</v>
      </c>
    </row>
    <row r="2409" spans="1:22" x14ac:dyDescent="0.35">
      <c r="A2409">
        <v>75703</v>
      </c>
      <c r="B2409" t="s">
        <v>47</v>
      </c>
      <c r="C2409" t="s">
        <v>17</v>
      </c>
      <c r="D2409">
        <v>150</v>
      </c>
      <c r="E2409">
        <v>218</v>
      </c>
      <c r="F2409">
        <v>290</v>
      </c>
      <c r="G2409">
        <v>1</v>
      </c>
      <c r="H2409">
        <v>9942</v>
      </c>
      <c r="I2409">
        <v>0</v>
      </c>
      <c r="J2409">
        <v>85</v>
      </c>
      <c r="K2409">
        <v>252</v>
      </c>
      <c r="L2409">
        <v>244</v>
      </c>
      <c r="M2409">
        <v>5.8333333329999997</v>
      </c>
      <c r="N2409">
        <f>IFERROR(VLOOKUP(A2409,vlookup_table!$A:$G,2,FALSE),"")</f>
        <v>2</v>
      </c>
      <c r="O2409">
        <f>IFERROR(VLOOKUP(A2409,vlookup_table!$A:$G,4,FALSE),"")</f>
        <v>4401</v>
      </c>
      <c r="P2409" t="str">
        <f>IFERROR(VLOOKUP(A2409,vlookup_table!$A:$G,5,FALSE),"")</f>
        <v>R3</v>
      </c>
      <c r="Q2409">
        <f>IFERROR(VLOOKUP(A2409,vlookup_table!$A:$G,7,FALSE),"")</f>
        <v>6</v>
      </c>
      <c r="R2409">
        <f t="shared" si="148"/>
        <v>53</v>
      </c>
      <c r="S2409" t="str" cm="1">
        <f t="array" ref="S2409">IF(P2409="","",_xlfn.SWITCH(LEFT(P2409,1),"C","Ciudad","T","Pueblo","R","Rural","S","Suburbano","U","Urbano",""))</f>
        <v>Rural</v>
      </c>
      <c r="T2409" t="str">
        <f t="shared" si="149"/>
        <v>F</v>
      </c>
      <c r="U2409" t="str">
        <f t="shared" si="150"/>
        <v>IA</v>
      </c>
      <c r="V2409" t="str">
        <f t="shared" si="151"/>
        <v>9942</v>
      </c>
    </row>
    <row r="2410" spans="1:22" x14ac:dyDescent="0.35">
      <c r="A2410">
        <v>19641</v>
      </c>
      <c r="B2410" t="s">
        <v>18</v>
      </c>
      <c r="C2410" t="s">
        <v>20</v>
      </c>
      <c r="D2410">
        <v>562</v>
      </c>
      <c r="E2410">
        <v>373</v>
      </c>
      <c r="F2410">
        <v>388</v>
      </c>
      <c r="G2410">
        <v>0</v>
      </c>
      <c r="H2410">
        <v>10064</v>
      </c>
      <c r="I2410">
        <v>0</v>
      </c>
      <c r="J2410">
        <v>80</v>
      </c>
      <c r="K2410">
        <v>375</v>
      </c>
      <c r="L2410">
        <v>378</v>
      </c>
      <c r="M2410">
        <v>17.5</v>
      </c>
      <c r="N2410">
        <f>IFERROR(VLOOKUP(A2410,vlookup_table!$A:$G,2,FALSE),"")</f>
        <v>0</v>
      </c>
      <c r="O2410">
        <f>IFERROR(VLOOKUP(A2410,vlookup_table!$A:$G,4,FALSE),"")</f>
        <v>4401</v>
      </c>
      <c r="P2410" t="str">
        <f>IFERROR(VLOOKUP(A2410,vlookup_table!$A:$G,5,FALSE),"")</f>
        <v>S2</v>
      </c>
      <c r="Q2410">
        <f>IFERROR(VLOOKUP(A2410,vlookup_table!$A:$G,7,FALSE),"")</f>
        <v>30</v>
      </c>
      <c r="R2410">
        <f t="shared" si="148"/>
        <v>53</v>
      </c>
      <c r="S2410" t="str" cm="1">
        <f t="array" ref="S2410">IF(P2410="","",_xlfn.SWITCH(LEFT(P2410,1),"C","Ciudad","T","Pueblo","R","Rural","S","Suburbano","U","Urbano",""))</f>
        <v>Suburbano</v>
      </c>
      <c r="T2410" t="str">
        <f t="shared" si="149"/>
        <v>F</v>
      </c>
      <c r="U2410" t="str">
        <f t="shared" si="150"/>
        <v>NC</v>
      </c>
      <c r="V2410" t="str">
        <f t="shared" si="151"/>
        <v>10064</v>
      </c>
    </row>
    <row r="2411" spans="1:22" x14ac:dyDescent="0.35">
      <c r="A2411">
        <v>191531</v>
      </c>
      <c r="B2411" t="s">
        <v>22</v>
      </c>
      <c r="D2411">
        <v>1073</v>
      </c>
      <c r="E2411">
        <v>359</v>
      </c>
      <c r="F2411">
        <v>453</v>
      </c>
      <c r="G2411">
        <v>17</v>
      </c>
      <c r="H2411">
        <v>16918</v>
      </c>
      <c r="I2411">
        <v>14</v>
      </c>
      <c r="J2411">
        <v>47</v>
      </c>
      <c r="K2411">
        <v>392</v>
      </c>
      <c r="L2411">
        <v>432</v>
      </c>
      <c r="M2411">
        <v>9</v>
      </c>
      <c r="N2411">
        <f>IFERROR(VLOOKUP(A2411,vlookup_table!$A:$G,2,FALSE),"")</f>
        <v>4</v>
      </c>
      <c r="O2411">
        <f>IFERROR(VLOOKUP(A2411,vlookup_table!$A:$G,4,FALSE),"")</f>
        <v>3701</v>
      </c>
      <c r="P2411">
        <f>IFERROR(VLOOKUP(A2411,vlookup_table!$A:$G,5,FALSE),"")</f>
        <v>0</v>
      </c>
      <c r="Q2411">
        <f>IFERROR(VLOOKUP(A2411,vlookup_table!$A:$G,7,FALSE),"")</f>
        <v>13</v>
      </c>
      <c r="R2411">
        <f t="shared" si="148"/>
        <v>60</v>
      </c>
      <c r="S2411" t="str" cm="1">
        <f t="array" ref="S2411">IF(P2411="","",_xlfn.SWITCH(LEFT(P2411,1),"C","Ciudad","T","Pueblo","R","Rural","S","Suburbano","U","Urbano",""))</f>
        <v/>
      </c>
      <c r="T2411" t="str">
        <f t="shared" si="149"/>
        <v/>
      </c>
      <c r="U2411" t="str">
        <f t="shared" si="150"/>
        <v>CA</v>
      </c>
      <c r="V2411" t="str">
        <f t="shared" si="151"/>
        <v>16918</v>
      </c>
    </row>
    <row r="2412" spans="1:22" x14ac:dyDescent="0.35">
      <c r="A2412">
        <v>1092</v>
      </c>
      <c r="B2412" t="s">
        <v>22</v>
      </c>
      <c r="C2412" t="s">
        <v>14</v>
      </c>
      <c r="D2412">
        <v>5817</v>
      </c>
      <c r="E2412">
        <v>931</v>
      </c>
      <c r="F2412">
        <v>1047</v>
      </c>
      <c r="G2412">
        <v>98</v>
      </c>
      <c r="H2412">
        <v>91576</v>
      </c>
      <c r="I2412">
        <v>16</v>
      </c>
      <c r="J2412">
        <v>22</v>
      </c>
      <c r="K2412">
        <v>1445</v>
      </c>
      <c r="L2412">
        <v>957</v>
      </c>
      <c r="M2412">
        <v>9.84375</v>
      </c>
      <c r="N2412">
        <f>IFERROR(VLOOKUP(A2412,vlookup_table!$A:$G,2,FALSE),"")</f>
        <v>0</v>
      </c>
      <c r="O2412">
        <f>IFERROR(VLOOKUP(A2412,vlookup_table!$A:$G,4,FALSE),"")</f>
        <v>2801</v>
      </c>
      <c r="P2412" t="str">
        <f>IFERROR(VLOOKUP(A2412,vlookup_table!$A:$G,5,FALSE),"")</f>
        <v>U1</v>
      </c>
      <c r="Q2412">
        <f>IFERROR(VLOOKUP(A2412,vlookup_table!$A:$G,7,FALSE),"")</f>
        <v>15</v>
      </c>
      <c r="R2412">
        <f t="shared" si="148"/>
        <v>69</v>
      </c>
      <c r="S2412" t="str" cm="1">
        <f t="array" ref="S2412">IF(P2412="","",_xlfn.SWITCH(LEFT(P2412,1),"C","Ciudad","T","Pueblo","R","Rural","S","Suburbano","U","Urbano",""))</f>
        <v>Urbano</v>
      </c>
      <c r="T2412" t="str">
        <f t="shared" si="149"/>
        <v>M</v>
      </c>
      <c r="U2412" t="str">
        <f t="shared" si="150"/>
        <v>CA</v>
      </c>
      <c r="V2412" t="str">
        <f t="shared" si="151"/>
        <v>91576</v>
      </c>
    </row>
    <row r="2413" spans="1:22" x14ac:dyDescent="0.35">
      <c r="A2413">
        <v>69034</v>
      </c>
      <c r="B2413" t="s">
        <v>29</v>
      </c>
      <c r="C2413" t="s">
        <v>14</v>
      </c>
      <c r="D2413">
        <v>895</v>
      </c>
      <c r="E2413">
        <v>465</v>
      </c>
      <c r="F2413">
        <v>551</v>
      </c>
      <c r="G2413">
        <v>0</v>
      </c>
      <c r="H2413">
        <v>16892</v>
      </c>
      <c r="I2413">
        <v>4</v>
      </c>
      <c r="J2413">
        <v>84</v>
      </c>
      <c r="K2413">
        <v>465</v>
      </c>
      <c r="L2413">
        <v>560</v>
      </c>
      <c r="M2413">
        <v>25</v>
      </c>
      <c r="N2413">
        <f>IFERROR(VLOOKUP(A2413,vlookup_table!$A:$G,2,FALSE),"")</f>
        <v>1</v>
      </c>
      <c r="O2413">
        <f>IFERROR(VLOOKUP(A2413,vlookup_table!$A:$G,4,FALSE),"")</f>
        <v>2001</v>
      </c>
      <c r="P2413" t="str">
        <f>IFERROR(VLOOKUP(A2413,vlookup_table!$A:$G,5,FALSE),"")</f>
        <v>C1</v>
      </c>
      <c r="Q2413">
        <f>IFERROR(VLOOKUP(A2413,vlookup_table!$A:$G,7,FALSE),"")</f>
        <v>25</v>
      </c>
      <c r="R2413">
        <f t="shared" si="148"/>
        <v>77</v>
      </c>
      <c r="S2413" t="str" cm="1">
        <f t="array" ref="S2413">IF(P2413="","",_xlfn.SWITCH(LEFT(P2413,1),"C","Ciudad","T","Pueblo","R","Rural","S","Suburbano","U","Urbano",""))</f>
        <v>Ciudad</v>
      </c>
      <c r="T2413" t="str">
        <f t="shared" si="149"/>
        <v>M</v>
      </c>
      <c r="U2413" t="str">
        <f t="shared" si="150"/>
        <v>MI</v>
      </c>
      <c r="V2413" t="str">
        <f t="shared" si="151"/>
        <v>16892</v>
      </c>
    </row>
    <row r="2414" spans="1:22" x14ac:dyDescent="0.35">
      <c r="A2414">
        <v>40919</v>
      </c>
      <c r="B2414" t="s">
        <v>13</v>
      </c>
      <c r="C2414" t="s">
        <v>44</v>
      </c>
      <c r="D2414">
        <v>772</v>
      </c>
      <c r="E2414">
        <v>312</v>
      </c>
      <c r="F2414">
        <v>376</v>
      </c>
      <c r="G2414">
        <v>3</v>
      </c>
      <c r="H2414">
        <v>12012</v>
      </c>
      <c r="I2414">
        <v>3</v>
      </c>
      <c r="J2414">
        <v>58</v>
      </c>
      <c r="K2414">
        <v>338</v>
      </c>
      <c r="L2414">
        <v>349</v>
      </c>
      <c r="M2414">
        <v>7.1666666670000003</v>
      </c>
      <c r="N2414">
        <f>IFERROR(VLOOKUP(A2414,vlookup_table!$A:$G,2,FALSE),"")</f>
        <v>0</v>
      </c>
      <c r="O2414">
        <f>IFERROR(VLOOKUP(A2414,vlookup_table!$A:$G,4,FALSE),"")</f>
        <v>1801</v>
      </c>
      <c r="P2414" t="str">
        <f>IFERROR(VLOOKUP(A2414,vlookup_table!$A:$G,5,FALSE),"")</f>
        <v>C2</v>
      </c>
      <c r="Q2414">
        <f>IFERROR(VLOOKUP(A2414,vlookup_table!$A:$G,7,FALSE),"")</f>
        <v>10</v>
      </c>
      <c r="R2414">
        <f t="shared" si="148"/>
        <v>79</v>
      </c>
      <c r="S2414" t="str" cm="1">
        <f t="array" ref="S2414">IF(P2414="","",_xlfn.SWITCH(LEFT(P2414,1),"C","Ciudad","T","Pueblo","R","Rural","S","Suburbano","U","Urbano",""))</f>
        <v>Ciudad</v>
      </c>
      <c r="T2414" t="str">
        <f t="shared" si="149"/>
        <v>J</v>
      </c>
      <c r="U2414" t="str">
        <f t="shared" si="150"/>
        <v>FL</v>
      </c>
      <c r="V2414" t="str">
        <f t="shared" si="151"/>
        <v>12012</v>
      </c>
    </row>
    <row r="2415" spans="1:22" x14ac:dyDescent="0.35">
      <c r="A2415">
        <v>64203</v>
      </c>
      <c r="B2415" t="s">
        <v>33</v>
      </c>
      <c r="C2415" t="s">
        <v>14</v>
      </c>
      <c r="D2415">
        <v>404</v>
      </c>
      <c r="E2415">
        <v>256</v>
      </c>
      <c r="F2415">
        <v>363</v>
      </c>
      <c r="G2415">
        <v>0</v>
      </c>
      <c r="H2415">
        <v>13067</v>
      </c>
      <c r="I2415">
        <v>2</v>
      </c>
      <c r="J2415">
        <v>75</v>
      </c>
      <c r="K2415">
        <v>351</v>
      </c>
      <c r="L2415">
        <v>289</v>
      </c>
      <c r="M2415">
        <v>6.1891891890000004</v>
      </c>
      <c r="N2415">
        <f>IFERROR(VLOOKUP(A2415,vlookup_table!$A:$G,2,FALSE),"")</f>
        <v>1</v>
      </c>
      <c r="O2415">
        <f>IFERROR(VLOOKUP(A2415,vlookup_table!$A:$G,4,FALSE),"")</f>
        <v>3610</v>
      </c>
      <c r="P2415" t="str">
        <f>IFERROR(VLOOKUP(A2415,vlookup_table!$A:$G,5,FALSE),"")</f>
        <v>C2</v>
      </c>
      <c r="Q2415">
        <f>IFERROR(VLOOKUP(A2415,vlookup_table!$A:$G,7,FALSE),"")</f>
        <v>6</v>
      </c>
      <c r="R2415">
        <f t="shared" si="148"/>
        <v>61</v>
      </c>
      <c r="S2415" t="str" cm="1">
        <f t="array" ref="S2415">IF(P2415="","",_xlfn.SWITCH(LEFT(P2415,1),"C","Ciudad","T","Pueblo","R","Rural","S","Suburbano","U","Urbano",""))</f>
        <v>Ciudad</v>
      </c>
      <c r="T2415" t="str">
        <f t="shared" si="149"/>
        <v>M</v>
      </c>
      <c r="U2415" t="str">
        <f t="shared" si="150"/>
        <v>IN</v>
      </c>
      <c r="V2415" t="str">
        <f t="shared" si="151"/>
        <v>13067</v>
      </c>
    </row>
    <row r="2416" spans="1:22" x14ac:dyDescent="0.35">
      <c r="A2416">
        <v>151995</v>
      </c>
      <c r="B2416" t="s">
        <v>22</v>
      </c>
      <c r="C2416" t="s">
        <v>17</v>
      </c>
      <c r="D2416">
        <v>1881</v>
      </c>
      <c r="E2416">
        <v>413</v>
      </c>
      <c r="F2416">
        <v>507</v>
      </c>
      <c r="G2416">
        <v>36</v>
      </c>
      <c r="H2416">
        <v>25215</v>
      </c>
      <c r="I2416">
        <v>9</v>
      </c>
      <c r="J2416">
        <v>29</v>
      </c>
      <c r="K2416">
        <v>499</v>
      </c>
      <c r="L2416">
        <v>475</v>
      </c>
      <c r="M2416">
        <v>22.8</v>
      </c>
      <c r="N2416">
        <f>IFERROR(VLOOKUP(A2416,vlookup_table!$A:$G,2,FALSE),"")</f>
        <v>2</v>
      </c>
      <c r="O2416">
        <f>IFERROR(VLOOKUP(A2416,vlookup_table!$A:$G,4,FALSE),"")</f>
        <v>2212</v>
      </c>
      <c r="P2416" t="str">
        <f>IFERROR(VLOOKUP(A2416,vlookup_table!$A:$G,5,FALSE),"")</f>
        <v>S1</v>
      </c>
      <c r="Q2416">
        <f>IFERROR(VLOOKUP(A2416,vlookup_table!$A:$G,7,FALSE),"")</f>
        <v>25</v>
      </c>
      <c r="R2416">
        <f t="shared" si="148"/>
        <v>75</v>
      </c>
      <c r="S2416" t="str" cm="1">
        <f t="array" ref="S2416">IF(P2416="","",_xlfn.SWITCH(LEFT(P2416,1),"C","Ciudad","T","Pueblo","R","Rural","S","Suburbano","U","Urbano",""))</f>
        <v>Suburbano</v>
      </c>
      <c r="T2416" t="str">
        <f t="shared" si="149"/>
        <v>F</v>
      </c>
      <c r="U2416" t="str">
        <f t="shared" si="150"/>
        <v>CA</v>
      </c>
      <c r="V2416" t="str">
        <f t="shared" si="151"/>
        <v>25215</v>
      </c>
    </row>
    <row r="2417" spans="1:22" x14ac:dyDescent="0.35">
      <c r="A2417">
        <v>188284</v>
      </c>
      <c r="B2417" t="s">
        <v>18</v>
      </c>
      <c r="C2417" t="s">
        <v>20</v>
      </c>
      <c r="D2417">
        <v>2989</v>
      </c>
      <c r="E2417">
        <v>289</v>
      </c>
      <c r="F2417">
        <v>470</v>
      </c>
      <c r="G2417">
        <v>66</v>
      </c>
      <c r="H2417">
        <v>21395</v>
      </c>
      <c r="I2417">
        <v>6</v>
      </c>
      <c r="J2417">
        <v>55</v>
      </c>
      <c r="K2417">
        <v>358</v>
      </c>
      <c r="L2417">
        <v>387</v>
      </c>
      <c r="M2417">
        <v>5.0999999999999996</v>
      </c>
      <c r="N2417">
        <f>IFERROR(VLOOKUP(A2417,vlookup_table!$A:$G,2,FALSE),"")</f>
        <v>0</v>
      </c>
      <c r="O2417">
        <f>IFERROR(VLOOKUP(A2417,vlookup_table!$A:$G,4,FALSE),"")</f>
        <v>3801</v>
      </c>
      <c r="P2417" t="str">
        <f>IFERROR(VLOOKUP(A2417,vlookup_table!$A:$G,5,FALSE),"")</f>
        <v>C1</v>
      </c>
      <c r="Q2417">
        <f>IFERROR(VLOOKUP(A2417,vlookup_table!$A:$G,7,FALSE),"")</f>
        <v>5</v>
      </c>
      <c r="R2417">
        <f t="shared" si="148"/>
        <v>59</v>
      </c>
      <c r="S2417" t="str" cm="1">
        <f t="array" ref="S2417">IF(P2417="","",_xlfn.SWITCH(LEFT(P2417,1),"C","Ciudad","T","Pueblo","R","Rural","S","Suburbano","U","Urbano",""))</f>
        <v>Ciudad</v>
      </c>
      <c r="T2417" t="str">
        <f t="shared" si="149"/>
        <v>F</v>
      </c>
      <c r="U2417" t="str">
        <f t="shared" si="150"/>
        <v>NC</v>
      </c>
      <c r="V2417" t="str">
        <f t="shared" si="151"/>
        <v>21395</v>
      </c>
    </row>
    <row r="2418" spans="1:22" x14ac:dyDescent="0.35">
      <c r="A2418">
        <v>58147</v>
      </c>
      <c r="B2418" t="s">
        <v>57</v>
      </c>
      <c r="C2418" t="s">
        <v>14</v>
      </c>
      <c r="D2418">
        <v>318</v>
      </c>
      <c r="E2418">
        <v>149</v>
      </c>
      <c r="F2418">
        <v>207</v>
      </c>
      <c r="G2418">
        <v>0</v>
      </c>
      <c r="H2418">
        <v>7827</v>
      </c>
      <c r="I2418">
        <v>0</v>
      </c>
      <c r="J2418">
        <v>90</v>
      </c>
      <c r="K2418">
        <v>163</v>
      </c>
      <c r="L2418">
        <v>192</v>
      </c>
      <c r="M2418">
        <v>4.4090909089999997</v>
      </c>
      <c r="N2418">
        <f>IFERROR(VLOOKUP(A2418,vlookup_table!$A:$G,2,FALSE),"")</f>
        <v>1</v>
      </c>
      <c r="O2418">
        <f>IFERROR(VLOOKUP(A2418,vlookup_table!$A:$G,4,FALSE),"")</f>
        <v>4106</v>
      </c>
      <c r="P2418" t="str">
        <f>IFERROR(VLOOKUP(A2418,vlookup_table!$A:$G,5,FALSE),"")</f>
        <v>R3</v>
      </c>
      <c r="Q2418">
        <f>IFERROR(VLOOKUP(A2418,vlookup_table!$A:$G,7,FALSE),"")</f>
        <v>5</v>
      </c>
      <c r="R2418">
        <f t="shared" si="148"/>
        <v>56</v>
      </c>
      <c r="S2418" t="str" cm="1">
        <f t="array" ref="S2418">IF(P2418="","",_xlfn.SWITCH(LEFT(P2418,1),"C","Ciudad","T","Pueblo","R","Rural","S","Suburbano","U","Urbano",""))</f>
        <v>Rural</v>
      </c>
      <c r="T2418" t="str">
        <f t="shared" si="149"/>
        <v>M</v>
      </c>
      <c r="U2418" t="str">
        <f t="shared" si="150"/>
        <v>KY</v>
      </c>
      <c r="V2418" t="str">
        <f t="shared" si="151"/>
        <v>7827</v>
      </c>
    </row>
    <row r="2419" spans="1:22" x14ac:dyDescent="0.35">
      <c r="A2419">
        <v>51269</v>
      </c>
      <c r="B2419" t="s">
        <v>68</v>
      </c>
      <c r="C2419" t="s">
        <v>17</v>
      </c>
      <c r="D2419">
        <v>476</v>
      </c>
      <c r="E2419">
        <v>204</v>
      </c>
      <c r="F2419">
        <v>289</v>
      </c>
      <c r="G2419">
        <v>0</v>
      </c>
      <c r="H2419">
        <v>9524</v>
      </c>
      <c r="I2419">
        <v>1</v>
      </c>
      <c r="J2419">
        <v>78</v>
      </c>
      <c r="K2419">
        <v>254</v>
      </c>
      <c r="L2419">
        <v>250</v>
      </c>
      <c r="M2419">
        <v>5.0869565220000004</v>
      </c>
      <c r="N2419">
        <f>IFERROR(VLOOKUP(A2419,vlookup_table!$A:$G,2,FALSE),"")</f>
        <v>0</v>
      </c>
      <c r="O2419">
        <f>IFERROR(VLOOKUP(A2419,vlookup_table!$A:$G,4,FALSE),"")</f>
        <v>4801</v>
      </c>
      <c r="P2419" t="str">
        <f>IFERROR(VLOOKUP(A2419,vlookup_table!$A:$G,5,FALSE),"")</f>
        <v>R3</v>
      </c>
      <c r="Q2419">
        <f>IFERROR(VLOOKUP(A2419,vlookup_table!$A:$G,7,FALSE),"")</f>
        <v>5</v>
      </c>
      <c r="R2419">
        <f t="shared" si="148"/>
        <v>49</v>
      </c>
      <c r="S2419" t="str" cm="1">
        <f t="array" ref="S2419">IF(P2419="","",_xlfn.SWITCH(LEFT(P2419,1),"C","Ciudad","T","Pueblo","R","Rural","S","Suburbano","U","Urbano",""))</f>
        <v>Rural</v>
      </c>
      <c r="T2419" t="str">
        <f t="shared" si="149"/>
        <v>F</v>
      </c>
      <c r="U2419" t="str">
        <f t="shared" si="150"/>
        <v>Tennessee</v>
      </c>
      <c r="V2419" t="str">
        <f t="shared" si="151"/>
        <v>9524</v>
      </c>
    </row>
    <row r="2420" spans="1:22" x14ac:dyDescent="0.35">
      <c r="A2420">
        <v>113261</v>
      </c>
      <c r="B2420" t="s">
        <v>31</v>
      </c>
      <c r="C2420" t="s">
        <v>14</v>
      </c>
      <c r="D2420">
        <v>466</v>
      </c>
      <c r="E2420">
        <v>222</v>
      </c>
      <c r="F2420">
        <v>306</v>
      </c>
      <c r="G2420">
        <v>0</v>
      </c>
      <c r="H2420">
        <v>13774</v>
      </c>
      <c r="I2420">
        <v>0</v>
      </c>
      <c r="J2420">
        <v>54</v>
      </c>
      <c r="K2420">
        <v>260</v>
      </c>
      <c r="L2420">
        <v>263</v>
      </c>
      <c r="M2420">
        <v>7.615384615</v>
      </c>
      <c r="N2420">
        <f>IFERROR(VLOOKUP(A2420,vlookup_table!$A:$G,2,FALSE),"")</f>
        <v>1002</v>
      </c>
      <c r="O2420">
        <f>IFERROR(VLOOKUP(A2420,vlookup_table!$A:$G,4,FALSE),"")</f>
        <v>0</v>
      </c>
      <c r="P2420" t="str">
        <f>IFERROR(VLOOKUP(A2420,vlookup_table!$A:$G,5,FALSE),"")</f>
        <v>C3</v>
      </c>
      <c r="Q2420">
        <f>IFERROR(VLOOKUP(A2420,vlookup_table!$A:$G,7,FALSE),"")</f>
        <v>7</v>
      </c>
      <c r="R2420">
        <f t="shared" si="148"/>
        <v>97</v>
      </c>
      <c r="S2420" t="str" cm="1">
        <f t="array" ref="S2420">IF(P2420="","",_xlfn.SWITCH(LEFT(P2420,1),"C","Ciudad","T","Pueblo","R","Rural","S","Suburbano","U","Urbano",""))</f>
        <v>Ciudad</v>
      </c>
      <c r="T2420" t="str">
        <f t="shared" si="149"/>
        <v>M</v>
      </c>
      <c r="U2420" t="str">
        <f t="shared" si="150"/>
        <v>OK</v>
      </c>
      <c r="V2420" t="str">
        <f t="shared" si="151"/>
        <v>13774</v>
      </c>
    </row>
    <row r="2421" spans="1:22" x14ac:dyDescent="0.35">
      <c r="A2421">
        <v>12785</v>
      </c>
      <c r="B2421" t="s">
        <v>16</v>
      </c>
      <c r="C2421" t="s">
        <v>17</v>
      </c>
      <c r="D2421">
        <v>852</v>
      </c>
      <c r="E2421">
        <v>364</v>
      </c>
      <c r="F2421">
        <v>459</v>
      </c>
      <c r="G2421">
        <v>0</v>
      </c>
      <c r="H2421">
        <v>15238</v>
      </c>
      <c r="I2421">
        <v>7</v>
      </c>
      <c r="J2421">
        <v>87</v>
      </c>
      <c r="K2421">
        <v>393</v>
      </c>
      <c r="L2421">
        <v>408</v>
      </c>
      <c r="M2421">
        <v>7.9333333330000002</v>
      </c>
      <c r="N2421">
        <f>IFERROR(VLOOKUP(A2421,vlookup_table!$A:$G,2,FALSE),"")</f>
        <v>28</v>
      </c>
      <c r="O2421">
        <f>IFERROR(VLOOKUP(A2421,vlookup_table!$A:$G,4,FALSE),"")</f>
        <v>1001</v>
      </c>
      <c r="P2421">
        <f>IFERROR(VLOOKUP(A2421,vlookup_table!$A:$G,5,FALSE),"")</f>
        <v>0</v>
      </c>
      <c r="Q2421">
        <f>IFERROR(VLOOKUP(A2421,vlookup_table!$A:$G,7,FALSE),"")</f>
        <v>10</v>
      </c>
      <c r="R2421">
        <f t="shared" si="148"/>
        <v>87</v>
      </c>
      <c r="S2421" t="str" cm="1">
        <f t="array" ref="S2421">IF(P2421="","",_xlfn.SWITCH(LEFT(P2421,1),"C","Ciudad","T","Pueblo","R","Rural","S","Suburbano","U","Urbano",""))</f>
        <v/>
      </c>
      <c r="T2421" t="str">
        <f t="shared" si="149"/>
        <v>F</v>
      </c>
      <c r="U2421" t="str">
        <f t="shared" si="150"/>
        <v>IL</v>
      </c>
      <c r="V2421" t="str">
        <f t="shared" si="151"/>
        <v>15238</v>
      </c>
    </row>
    <row r="2422" spans="1:22" x14ac:dyDescent="0.35">
      <c r="A2422">
        <v>364</v>
      </c>
      <c r="B2422" t="s">
        <v>22</v>
      </c>
      <c r="C2422" t="s">
        <v>17</v>
      </c>
      <c r="D2422">
        <v>3100</v>
      </c>
      <c r="E2422">
        <v>133</v>
      </c>
      <c r="F2422">
        <v>497</v>
      </c>
      <c r="G2422">
        <v>79</v>
      </c>
      <c r="H2422">
        <v>18262</v>
      </c>
      <c r="I2422">
        <v>35</v>
      </c>
      <c r="J2422">
        <v>25</v>
      </c>
      <c r="K2422">
        <v>488</v>
      </c>
      <c r="L2422">
        <v>306</v>
      </c>
      <c r="M2422">
        <v>13.52380952</v>
      </c>
      <c r="N2422">
        <f>IFERROR(VLOOKUP(A2422,vlookup_table!$A:$G,2,FALSE),"")</f>
        <v>28</v>
      </c>
      <c r="O2422">
        <f>IFERROR(VLOOKUP(A2422,vlookup_table!$A:$G,4,FALSE),"")</f>
        <v>3801</v>
      </c>
      <c r="P2422" t="str">
        <f>IFERROR(VLOOKUP(A2422,vlookup_table!$A:$G,5,FALSE),"")</f>
        <v>U1</v>
      </c>
      <c r="Q2422">
        <f>IFERROR(VLOOKUP(A2422,vlookup_table!$A:$G,7,FALSE),"")</f>
        <v>10</v>
      </c>
      <c r="R2422">
        <f t="shared" si="148"/>
        <v>59</v>
      </c>
      <c r="S2422" t="str" cm="1">
        <f t="array" ref="S2422">IF(P2422="","",_xlfn.SWITCH(LEFT(P2422,1),"C","Ciudad","T","Pueblo","R","Rural","S","Suburbano","U","Urbano",""))</f>
        <v>Urbano</v>
      </c>
      <c r="T2422" t="str">
        <f t="shared" si="149"/>
        <v>F</v>
      </c>
      <c r="U2422" t="str">
        <f t="shared" si="150"/>
        <v>CA</v>
      </c>
      <c r="V2422" t="str">
        <f t="shared" si="151"/>
        <v>18262</v>
      </c>
    </row>
    <row r="2423" spans="1:22" x14ac:dyDescent="0.35">
      <c r="A2423">
        <v>163857</v>
      </c>
      <c r="B2423" t="s">
        <v>22</v>
      </c>
      <c r="C2423" t="s">
        <v>14</v>
      </c>
      <c r="D2423">
        <v>3564</v>
      </c>
      <c r="E2423">
        <v>456</v>
      </c>
      <c r="F2423">
        <v>594</v>
      </c>
      <c r="G2423">
        <v>95</v>
      </c>
      <c r="H2423">
        <v>22726</v>
      </c>
      <c r="I2423">
        <v>22</v>
      </c>
      <c r="J2423">
        <v>47</v>
      </c>
      <c r="K2423">
        <v>534</v>
      </c>
      <c r="L2423">
        <v>518</v>
      </c>
      <c r="M2423">
        <v>20</v>
      </c>
      <c r="N2423">
        <f>IFERROR(VLOOKUP(A2423,vlookup_table!$A:$G,2,FALSE),"")</f>
        <v>1</v>
      </c>
      <c r="O2423">
        <f>IFERROR(VLOOKUP(A2423,vlookup_table!$A:$G,4,FALSE),"")</f>
        <v>0</v>
      </c>
      <c r="P2423" t="str">
        <f>IFERROR(VLOOKUP(A2423,vlookup_table!$A:$G,5,FALSE),"")</f>
        <v>U1</v>
      </c>
      <c r="Q2423">
        <f>IFERROR(VLOOKUP(A2423,vlookup_table!$A:$G,7,FALSE),"")</f>
        <v>25</v>
      </c>
      <c r="R2423">
        <f t="shared" si="148"/>
        <v>97</v>
      </c>
      <c r="S2423" t="str" cm="1">
        <f t="array" ref="S2423">IF(P2423="","",_xlfn.SWITCH(LEFT(P2423,1),"C","Ciudad","T","Pueblo","R","Rural","S","Suburbano","U","Urbano",""))</f>
        <v>Urbano</v>
      </c>
      <c r="T2423" t="str">
        <f t="shared" si="149"/>
        <v>M</v>
      </c>
      <c r="U2423" t="str">
        <f t="shared" si="150"/>
        <v>CA</v>
      </c>
      <c r="V2423" t="str">
        <f t="shared" si="151"/>
        <v>22726</v>
      </c>
    </row>
    <row r="2424" spans="1:22" x14ac:dyDescent="0.35">
      <c r="A2424">
        <v>12312</v>
      </c>
      <c r="B2424" t="s">
        <v>22</v>
      </c>
      <c r="C2424" t="s">
        <v>17</v>
      </c>
      <c r="D2424">
        <v>1398</v>
      </c>
      <c r="E2424">
        <v>150</v>
      </c>
      <c r="F2424">
        <v>272</v>
      </c>
      <c r="G2424">
        <v>7</v>
      </c>
      <c r="H2424">
        <v>8690</v>
      </c>
      <c r="I2424">
        <v>23</v>
      </c>
      <c r="J2424">
        <v>43</v>
      </c>
      <c r="K2424">
        <v>213</v>
      </c>
      <c r="L2424">
        <v>223</v>
      </c>
      <c r="M2424">
        <v>122.16666669999999</v>
      </c>
      <c r="N2424">
        <f>IFERROR(VLOOKUP(A2424,vlookup_table!$A:$G,2,FALSE),"")</f>
        <v>0</v>
      </c>
      <c r="O2424">
        <f>IFERROR(VLOOKUP(A2424,vlookup_table!$A:$G,4,FALSE),"")</f>
        <v>0</v>
      </c>
      <c r="P2424" t="str">
        <f>IFERROR(VLOOKUP(A2424,vlookup_table!$A:$G,5,FALSE),"")</f>
        <v>C3</v>
      </c>
      <c r="Q2424">
        <f>IFERROR(VLOOKUP(A2424,vlookup_table!$A:$G,7,FALSE),"")</f>
        <v>95</v>
      </c>
      <c r="R2424">
        <f t="shared" si="148"/>
        <v>97</v>
      </c>
      <c r="S2424" t="str" cm="1">
        <f t="array" ref="S2424">IF(P2424="","",_xlfn.SWITCH(LEFT(P2424,1),"C","Ciudad","T","Pueblo","R","Rural","S","Suburbano","U","Urbano",""))</f>
        <v>Ciudad</v>
      </c>
      <c r="T2424" t="str">
        <f t="shared" si="149"/>
        <v>F</v>
      </c>
      <c r="U2424" t="str">
        <f t="shared" si="150"/>
        <v>CA</v>
      </c>
      <c r="V2424" t="str">
        <f t="shared" si="151"/>
        <v>8690</v>
      </c>
    </row>
    <row r="2425" spans="1:22" x14ac:dyDescent="0.35">
      <c r="A2425">
        <v>95351</v>
      </c>
      <c r="B2425" t="s">
        <v>16</v>
      </c>
      <c r="C2425" t="s">
        <v>17</v>
      </c>
      <c r="D2425">
        <v>818</v>
      </c>
      <c r="E2425">
        <v>473</v>
      </c>
      <c r="F2425">
        <v>558</v>
      </c>
      <c r="G2425">
        <v>3</v>
      </c>
      <c r="H2425">
        <v>21695</v>
      </c>
      <c r="I2425">
        <v>7</v>
      </c>
      <c r="J2425">
        <v>76</v>
      </c>
      <c r="K2425">
        <v>520</v>
      </c>
      <c r="L2425">
        <v>514</v>
      </c>
      <c r="M2425">
        <v>8.0717857140000007</v>
      </c>
      <c r="N2425">
        <f>IFERROR(VLOOKUP(A2425,vlookup_table!$A:$G,2,FALSE),"")</f>
        <v>2</v>
      </c>
      <c r="O2425">
        <f>IFERROR(VLOOKUP(A2425,vlookup_table!$A:$G,4,FALSE),"")</f>
        <v>3804</v>
      </c>
      <c r="P2425" t="str">
        <f>IFERROR(VLOOKUP(A2425,vlookup_table!$A:$G,5,FALSE),"")</f>
        <v>T1</v>
      </c>
      <c r="Q2425">
        <f>IFERROR(VLOOKUP(A2425,vlookup_table!$A:$G,7,FALSE),"")</f>
        <v>12</v>
      </c>
      <c r="R2425">
        <f t="shared" si="148"/>
        <v>59</v>
      </c>
      <c r="S2425" t="str" cm="1">
        <f t="array" ref="S2425">IF(P2425="","",_xlfn.SWITCH(LEFT(P2425,1),"C","Ciudad","T","Pueblo","R","Rural","S","Suburbano","U","Urbano",""))</f>
        <v>Pueblo</v>
      </c>
      <c r="T2425" t="str">
        <f t="shared" si="149"/>
        <v>F</v>
      </c>
      <c r="U2425" t="str">
        <f t="shared" si="150"/>
        <v>IL</v>
      </c>
      <c r="V2425" t="str">
        <f t="shared" si="151"/>
        <v>21695</v>
      </c>
    </row>
    <row r="2426" spans="1:22" x14ac:dyDescent="0.35">
      <c r="A2426">
        <v>147464</v>
      </c>
      <c r="B2426" t="s">
        <v>22</v>
      </c>
      <c r="C2426" t="s">
        <v>14</v>
      </c>
      <c r="D2426">
        <v>2287</v>
      </c>
      <c r="E2426">
        <v>600</v>
      </c>
      <c r="F2426">
        <v>652</v>
      </c>
      <c r="G2426">
        <v>74</v>
      </c>
      <c r="H2426">
        <v>24286</v>
      </c>
      <c r="I2426">
        <v>28</v>
      </c>
      <c r="J2426">
        <v>34</v>
      </c>
      <c r="K2426">
        <v>615</v>
      </c>
      <c r="L2426">
        <v>630</v>
      </c>
      <c r="M2426">
        <v>20</v>
      </c>
      <c r="N2426">
        <f>IFERROR(VLOOKUP(A2426,vlookup_table!$A:$G,2,FALSE),"")</f>
        <v>0</v>
      </c>
      <c r="O2426">
        <f>IFERROR(VLOOKUP(A2426,vlookup_table!$A:$G,4,FALSE),"")</f>
        <v>3301</v>
      </c>
      <c r="P2426" t="str">
        <f>IFERROR(VLOOKUP(A2426,vlookup_table!$A:$G,5,FALSE),"")</f>
        <v>S1</v>
      </c>
      <c r="Q2426">
        <f>IFERROR(VLOOKUP(A2426,vlookup_table!$A:$G,7,FALSE),"")</f>
        <v>30</v>
      </c>
      <c r="R2426">
        <f t="shared" si="148"/>
        <v>64</v>
      </c>
      <c r="S2426" t="str" cm="1">
        <f t="array" ref="S2426">IF(P2426="","",_xlfn.SWITCH(LEFT(P2426,1),"C","Ciudad","T","Pueblo","R","Rural","S","Suburbano","U","Urbano",""))</f>
        <v>Suburbano</v>
      </c>
      <c r="T2426" t="str">
        <f t="shared" si="149"/>
        <v>M</v>
      </c>
      <c r="U2426" t="str">
        <f t="shared" si="150"/>
        <v>CA</v>
      </c>
      <c r="V2426" t="str">
        <f t="shared" si="151"/>
        <v>24286</v>
      </c>
    </row>
    <row r="2427" spans="1:22" x14ac:dyDescent="0.35">
      <c r="A2427">
        <v>155388</v>
      </c>
      <c r="B2427" t="s">
        <v>22</v>
      </c>
      <c r="C2427" t="s">
        <v>17</v>
      </c>
      <c r="D2427">
        <v>883</v>
      </c>
      <c r="E2427">
        <v>322</v>
      </c>
      <c r="F2427">
        <v>351</v>
      </c>
      <c r="G2427">
        <v>0</v>
      </c>
      <c r="H2427">
        <v>13596</v>
      </c>
      <c r="I2427">
        <v>3</v>
      </c>
      <c r="J2427">
        <v>58</v>
      </c>
      <c r="K2427">
        <v>351</v>
      </c>
      <c r="L2427">
        <v>344</v>
      </c>
      <c r="M2427">
        <v>12.5</v>
      </c>
      <c r="N2427">
        <f>IFERROR(VLOOKUP(A2427,vlookup_table!$A:$G,2,FALSE),"")</f>
        <v>0</v>
      </c>
      <c r="O2427">
        <f>IFERROR(VLOOKUP(A2427,vlookup_table!$A:$G,4,FALSE),"")</f>
        <v>3201</v>
      </c>
      <c r="P2427" t="str">
        <f>IFERROR(VLOOKUP(A2427,vlookup_table!$A:$G,5,FALSE),"")</f>
        <v>S2</v>
      </c>
      <c r="Q2427">
        <f>IFERROR(VLOOKUP(A2427,vlookup_table!$A:$G,7,FALSE),"")</f>
        <v>20</v>
      </c>
      <c r="R2427">
        <f t="shared" si="148"/>
        <v>65</v>
      </c>
      <c r="S2427" t="str" cm="1">
        <f t="array" ref="S2427">IF(P2427="","",_xlfn.SWITCH(LEFT(P2427,1),"C","Ciudad","T","Pueblo","R","Rural","S","Suburbano","U","Urbano",""))</f>
        <v>Suburbano</v>
      </c>
      <c r="T2427" t="str">
        <f t="shared" si="149"/>
        <v>F</v>
      </c>
      <c r="U2427" t="str">
        <f t="shared" si="150"/>
        <v>CA</v>
      </c>
      <c r="V2427" t="str">
        <f t="shared" si="151"/>
        <v>13596</v>
      </c>
    </row>
    <row r="2428" spans="1:22" x14ac:dyDescent="0.35">
      <c r="A2428">
        <v>90566</v>
      </c>
      <c r="B2428" t="s">
        <v>16</v>
      </c>
      <c r="C2428" t="s">
        <v>17</v>
      </c>
      <c r="D2428">
        <v>1181</v>
      </c>
      <c r="E2428">
        <v>417</v>
      </c>
      <c r="F2428">
        <v>449</v>
      </c>
      <c r="G2428">
        <v>0</v>
      </c>
      <c r="H2428">
        <v>13716</v>
      </c>
      <c r="I2428">
        <v>2</v>
      </c>
      <c r="J2428">
        <v>69</v>
      </c>
      <c r="K2428">
        <v>424</v>
      </c>
      <c r="L2428">
        <v>444</v>
      </c>
      <c r="M2428">
        <v>8.4285714289999998</v>
      </c>
      <c r="N2428">
        <f>IFERROR(VLOOKUP(A2428,vlookup_table!$A:$G,2,FALSE),"")</f>
        <v>0</v>
      </c>
      <c r="O2428">
        <f>IFERROR(VLOOKUP(A2428,vlookup_table!$A:$G,4,FALSE),"")</f>
        <v>5703</v>
      </c>
      <c r="P2428" t="str">
        <f>IFERROR(VLOOKUP(A2428,vlookup_table!$A:$G,5,FALSE),"")</f>
        <v>C2</v>
      </c>
      <c r="Q2428">
        <f>IFERROR(VLOOKUP(A2428,vlookup_table!$A:$G,7,FALSE),"")</f>
        <v>15</v>
      </c>
      <c r="R2428">
        <f t="shared" si="148"/>
        <v>40</v>
      </c>
      <c r="S2428" t="str" cm="1">
        <f t="array" ref="S2428">IF(P2428="","",_xlfn.SWITCH(LEFT(P2428,1),"C","Ciudad","T","Pueblo","R","Rural","S","Suburbano","U","Urbano",""))</f>
        <v>Ciudad</v>
      </c>
      <c r="T2428" t="str">
        <f t="shared" si="149"/>
        <v>F</v>
      </c>
      <c r="U2428" t="str">
        <f t="shared" si="150"/>
        <v>IL</v>
      </c>
      <c r="V2428" t="str">
        <f t="shared" si="151"/>
        <v>13716</v>
      </c>
    </row>
    <row r="2429" spans="1:22" x14ac:dyDescent="0.35">
      <c r="A2429">
        <v>186013</v>
      </c>
      <c r="B2429" t="s">
        <v>43</v>
      </c>
      <c r="C2429" t="s">
        <v>17</v>
      </c>
      <c r="D2429">
        <v>554</v>
      </c>
      <c r="E2429">
        <v>296</v>
      </c>
      <c r="F2429">
        <v>391</v>
      </c>
      <c r="G2429">
        <v>4</v>
      </c>
      <c r="H2429">
        <v>12774</v>
      </c>
      <c r="I2429">
        <v>1</v>
      </c>
      <c r="J2429">
        <v>63</v>
      </c>
      <c r="K2429">
        <v>316</v>
      </c>
      <c r="L2429">
        <v>351</v>
      </c>
      <c r="M2429">
        <v>9.5</v>
      </c>
      <c r="N2429">
        <f>IFERROR(VLOOKUP(A2429,vlookup_table!$A:$G,2,FALSE),"")</f>
        <v>0</v>
      </c>
      <c r="O2429">
        <f>IFERROR(VLOOKUP(A2429,vlookup_table!$A:$G,4,FALSE),"")</f>
        <v>2002</v>
      </c>
      <c r="P2429" t="str">
        <f>IFERROR(VLOOKUP(A2429,vlookup_table!$A:$G,5,FALSE),"")</f>
        <v>T2</v>
      </c>
      <c r="Q2429">
        <f>IFERROR(VLOOKUP(A2429,vlookup_table!$A:$G,7,FALSE),"")</f>
        <v>15</v>
      </c>
      <c r="R2429">
        <f t="shared" si="148"/>
        <v>77</v>
      </c>
      <c r="S2429" t="str" cm="1">
        <f t="array" ref="S2429">IF(P2429="","",_xlfn.SWITCH(LEFT(P2429,1),"C","Ciudad","T","Pueblo","R","Rural","S","Suburbano","U","Urbano",""))</f>
        <v>Pueblo</v>
      </c>
      <c r="T2429" t="str">
        <f t="shared" si="149"/>
        <v>F</v>
      </c>
      <c r="U2429" t="str">
        <f t="shared" si="150"/>
        <v>AL</v>
      </c>
      <c r="V2429" t="str">
        <f t="shared" si="151"/>
        <v>12774</v>
      </c>
    </row>
    <row r="2430" spans="1:22" x14ac:dyDescent="0.35">
      <c r="A2430">
        <v>112406</v>
      </c>
      <c r="B2430" t="s">
        <v>32</v>
      </c>
      <c r="C2430" t="s">
        <v>60</v>
      </c>
      <c r="D2430">
        <v>490</v>
      </c>
      <c r="E2430">
        <v>229</v>
      </c>
      <c r="F2430">
        <v>310</v>
      </c>
      <c r="G2430">
        <v>0</v>
      </c>
      <c r="H2430">
        <v>10200</v>
      </c>
      <c r="I2430">
        <v>1</v>
      </c>
      <c r="J2430">
        <v>63</v>
      </c>
      <c r="K2430">
        <v>271</v>
      </c>
      <c r="L2430">
        <v>275</v>
      </c>
      <c r="M2430">
        <v>22.5</v>
      </c>
      <c r="N2430">
        <f>IFERROR(VLOOKUP(A2430,vlookup_table!$A:$G,2,FALSE),"")</f>
        <v>0</v>
      </c>
      <c r="O2430">
        <f>IFERROR(VLOOKUP(A2430,vlookup_table!$A:$G,4,FALSE),"")</f>
        <v>0</v>
      </c>
      <c r="P2430" t="str">
        <f>IFERROR(VLOOKUP(A2430,vlookup_table!$A:$G,5,FALSE),"")</f>
        <v>R2</v>
      </c>
      <c r="Q2430">
        <f>IFERROR(VLOOKUP(A2430,vlookup_table!$A:$G,7,FALSE),"")</f>
        <v>25</v>
      </c>
      <c r="R2430">
        <f t="shared" si="148"/>
        <v>97</v>
      </c>
      <c r="S2430" t="str" cm="1">
        <f t="array" ref="S2430">IF(P2430="","",_xlfn.SWITCH(LEFT(P2430,1),"C","Ciudad","T","Pueblo","R","Rural","S","Suburbano","U","Urbano",""))</f>
        <v>Rural</v>
      </c>
      <c r="T2430" t="str">
        <f t="shared" si="149"/>
        <v>F</v>
      </c>
      <c r="U2430" t="str">
        <f t="shared" si="150"/>
        <v>AR</v>
      </c>
      <c r="V2430" t="str">
        <f t="shared" si="151"/>
        <v>10200</v>
      </c>
    </row>
    <row r="2431" spans="1:22" x14ac:dyDescent="0.35">
      <c r="A2431">
        <v>14191</v>
      </c>
      <c r="B2431" t="s">
        <v>21</v>
      </c>
      <c r="C2431" t="s">
        <v>14</v>
      </c>
      <c r="D2431">
        <v>520</v>
      </c>
      <c r="E2431">
        <v>157</v>
      </c>
      <c r="F2431">
        <v>266</v>
      </c>
      <c r="G2431">
        <v>0</v>
      </c>
      <c r="H2431">
        <v>9635</v>
      </c>
      <c r="I2431">
        <v>0</v>
      </c>
      <c r="J2431">
        <v>78</v>
      </c>
      <c r="K2431">
        <v>209</v>
      </c>
      <c r="L2431">
        <v>222</v>
      </c>
      <c r="M2431">
        <v>5.1956521740000001</v>
      </c>
      <c r="N2431">
        <f>IFERROR(VLOOKUP(A2431,vlookup_table!$A:$G,2,FALSE),"")</f>
        <v>1</v>
      </c>
      <c r="O2431">
        <f>IFERROR(VLOOKUP(A2431,vlookup_table!$A:$G,4,FALSE),"")</f>
        <v>0</v>
      </c>
      <c r="P2431" t="str">
        <f>IFERROR(VLOOKUP(A2431,vlookup_table!$A:$G,5,FALSE),"")</f>
        <v>R2</v>
      </c>
      <c r="Q2431">
        <f>IFERROR(VLOOKUP(A2431,vlookup_table!$A:$G,7,FALSE),"")</f>
        <v>5</v>
      </c>
      <c r="R2431">
        <f t="shared" si="148"/>
        <v>97</v>
      </c>
      <c r="S2431" t="str" cm="1">
        <f t="array" ref="S2431">IF(P2431="","",_xlfn.SWITCH(LEFT(P2431,1),"C","Ciudad","T","Pueblo","R","Rural","S","Suburbano","U","Urbano",""))</f>
        <v>Rural</v>
      </c>
      <c r="T2431" t="str">
        <f t="shared" si="149"/>
        <v>M</v>
      </c>
      <c r="U2431" t="str">
        <f t="shared" si="150"/>
        <v>TX</v>
      </c>
      <c r="V2431" t="str">
        <f t="shared" si="151"/>
        <v>9635</v>
      </c>
    </row>
    <row r="2432" spans="1:22" x14ac:dyDescent="0.35">
      <c r="A2432">
        <v>95132</v>
      </c>
      <c r="B2432" t="s">
        <v>16</v>
      </c>
      <c r="C2432" t="s">
        <v>17</v>
      </c>
      <c r="D2432">
        <v>512</v>
      </c>
      <c r="E2432">
        <v>269</v>
      </c>
      <c r="F2432">
        <v>357</v>
      </c>
      <c r="G2432">
        <v>1</v>
      </c>
      <c r="H2432">
        <v>12842</v>
      </c>
      <c r="I2432">
        <v>1</v>
      </c>
      <c r="J2432">
        <v>73</v>
      </c>
      <c r="K2432">
        <v>329</v>
      </c>
      <c r="L2432">
        <v>295</v>
      </c>
      <c r="M2432">
        <v>14</v>
      </c>
      <c r="N2432">
        <f>IFERROR(VLOOKUP(A2432,vlookup_table!$A:$G,2,FALSE),"")</f>
        <v>0</v>
      </c>
      <c r="O2432">
        <f>IFERROR(VLOOKUP(A2432,vlookup_table!$A:$G,4,FALSE),"")</f>
        <v>1601</v>
      </c>
      <c r="P2432" t="str">
        <f>IFERROR(VLOOKUP(A2432,vlookup_table!$A:$G,5,FALSE),"")</f>
        <v>R2</v>
      </c>
      <c r="Q2432">
        <f>IFERROR(VLOOKUP(A2432,vlookup_table!$A:$G,7,FALSE),"")</f>
        <v>25</v>
      </c>
      <c r="R2432">
        <f t="shared" si="148"/>
        <v>81</v>
      </c>
      <c r="S2432" t="str" cm="1">
        <f t="array" ref="S2432">IF(P2432="","",_xlfn.SWITCH(LEFT(P2432,1),"C","Ciudad","T","Pueblo","R","Rural","S","Suburbano","U","Urbano",""))</f>
        <v>Rural</v>
      </c>
      <c r="T2432" t="str">
        <f t="shared" si="149"/>
        <v>F</v>
      </c>
      <c r="U2432" t="str">
        <f t="shared" si="150"/>
        <v>IL</v>
      </c>
      <c r="V2432" t="str">
        <f t="shared" si="151"/>
        <v>12842</v>
      </c>
    </row>
    <row r="2433" spans="1:22" x14ac:dyDescent="0.35">
      <c r="A2433">
        <v>130926</v>
      </c>
      <c r="B2433" t="s">
        <v>48</v>
      </c>
      <c r="C2433" t="s">
        <v>17</v>
      </c>
      <c r="D2433">
        <v>1175</v>
      </c>
      <c r="E2433">
        <v>517</v>
      </c>
      <c r="F2433">
        <v>599</v>
      </c>
      <c r="G2433">
        <v>8</v>
      </c>
      <c r="H2433">
        <v>18850</v>
      </c>
      <c r="I2433">
        <v>2</v>
      </c>
      <c r="J2433">
        <v>38</v>
      </c>
      <c r="K2433">
        <v>568</v>
      </c>
      <c r="L2433">
        <v>565</v>
      </c>
      <c r="M2433">
        <v>5.2222222220000001</v>
      </c>
      <c r="N2433">
        <f>IFERROR(VLOOKUP(A2433,vlookup_table!$A:$G,2,FALSE),"")</f>
        <v>0</v>
      </c>
      <c r="O2433">
        <f>IFERROR(VLOOKUP(A2433,vlookup_table!$A:$G,4,FALSE),"")</f>
        <v>3001</v>
      </c>
      <c r="P2433" t="str">
        <f>IFERROR(VLOOKUP(A2433,vlookup_table!$A:$G,5,FALSE),"")</f>
        <v>T1</v>
      </c>
      <c r="Q2433">
        <f>IFERROR(VLOOKUP(A2433,vlookup_table!$A:$G,7,FALSE),"")</f>
        <v>5</v>
      </c>
      <c r="R2433">
        <f t="shared" si="148"/>
        <v>67</v>
      </c>
      <c r="S2433" t="str" cm="1">
        <f t="array" ref="S2433">IF(P2433="","",_xlfn.SWITCH(LEFT(P2433,1),"C","Ciudad","T","Pueblo","R","Rural","S","Suburbano","U","Urbano",""))</f>
        <v>Pueblo</v>
      </c>
      <c r="T2433" t="str">
        <f t="shared" si="149"/>
        <v>F</v>
      </c>
      <c r="U2433" t="str">
        <f t="shared" si="150"/>
        <v>CO</v>
      </c>
      <c r="V2433" t="str">
        <f t="shared" si="151"/>
        <v>18850</v>
      </c>
    </row>
    <row r="2434" spans="1:22" x14ac:dyDescent="0.35">
      <c r="A2434">
        <v>168535</v>
      </c>
      <c r="B2434" t="s">
        <v>22</v>
      </c>
      <c r="C2434" t="s">
        <v>14</v>
      </c>
      <c r="D2434">
        <v>2103</v>
      </c>
      <c r="E2434">
        <v>333</v>
      </c>
      <c r="F2434">
        <v>368</v>
      </c>
      <c r="G2434">
        <v>58</v>
      </c>
      <c r="H2434">
        <v>9513</v>
      </c>
      <c r="I2434">
        <v>52</v>
      </c>
      <c r="J2434">
        <v>37</v>
      </c>
      <c r="K2434">
        <v>306</v>
      </c>
      <c r="L2434">
        <v>385</v>
      </c>
      <c r="M2434">
        <v>25</v>
      </c>
      <c r="N2434">
        <f>IFERROR(VLOOKUP(A2434,vlookup_table!$A:$G,2,FALSE),"")</f>
        <v>0</v>
      </c>
      <c r="O2434">
        <f>IFERROR(VLOOKUP(A2434,vlookup_table!$A:$G,4,FALSE),"")</f>
        <v>5401</v>
      </c>
      <c r="P2434" t="str">
        <f>IFERROR(VLOOKUP(A2434,vlookup_table!$A:$G,5,FALSE),"")</f>
        <v>U2</v>
      </c>
      <c r="Q2434">
        <f>IFERROR(VLOOKUP(A2434,vlookup_table!$A:$G,7,FALSE),"")</f>
        <v>35</v>
      </c>
      <c r="R2434">
        <f t="shared" ref="R2434:R2497" si="152">IF(O2434="","",97-INT(O2434/100))</f>
        <v>43</v>
      </c>
      <c r="S2434" t="str" cm="1">
        <f t="array" ref="S2434">IF(P2434="","",_xlfn.SWITCH(LEFT(P2434,1),"C","Ciudad","T","Pueblo","R","Rural","S","Suburbano","U","Urbano",""))</f>
        <v>Urbano</v>
      </c>
      <c r="T2434" t="str">
        <f t="shared" ref="T2434:T2497" si="153">IF(C2434="","",IF(OR(UPPER(C2434)="M",UPPER(C2434)="MALE"),"M",IF(OR(UPPER(C2434)="F",UPPER(C2434)="FEMALE",UPPER(C2434)="FEAMALE"),"F",C2434)))</f>
        <v>M</v>
      </c>
      <c r="U2434" t="str">
        <f t="shared" ref="U2434:U2497" si="154">IF(OR(UPPER(B2434)="CALIFORNIA",UPPER(B2434)="CALI"),"CA",B2434)</f>
        <v>CA</v>
      </c>
      <c r="V2434" t="str">
        <f t="shared" ref="V2434:V2497" si="155">SUBSTITUTE(H2434,"@","")</f>
        <v>9513</v>
      </c>
    </row>
    <row r="2435" spans="1:22" x14ac:dyDescent="0.35">
      <c r="A2435">
        <v>92749</v>
      </c>
      <c r="B2435" t="s">
        <v>16</v>
      </c>
      <c r="C2435" t="s">
        <v>14</v>
      </c>
      <c r="D2435">
        <v>1578</v>
      </c>
      <c r="E2435">
        <v>531</v>
      </c>
      <c r="F2435">
        <v>617</v>
      </c>
      <c r="G2435">
        <v>11</v>
      </c>
      <c r="H2435">
        <v>17870</v>
      </c>
      <c r="I2435">
        <v>4</v>
      </c>
      <c r="J2435">
        <v>63</v>
      </c>
      <c r="K2435">
        <v>600</v>
      </c>
      <c r="L2435">
        <v>535</v>
      </c>
      <c r="M2435">
        <v>9.8333333330000006</v>
      </c>
      <c r="N2435">
        <f>IFERROR(VLOOKUP(A2435,vlookup_table!$A:$G,2,FALSE),"")</f>
        <v>1</v>
      </c>
      <c r="O2435">
        <f>IFERROR(VLOOKUP(A2435,vlookup_table!$A:$G,4,FALSE),"")</f>
        <v>4201</v>
      </c>
      <c r="P2435" t="str">
        <f>IFERROR(VLOOKUP(A2435,vlookup_table!$A:$G,5,FALSE),"")</f>
        <v>S1</v>
      </c>
      <c r="Q2435">
        <f>IFERROR(VLOOKUP(A2435,vlookup_table!$A:$G,7,FALSE),"")</f>
        <v>15</v>
      </c>
      <c r="R2435">
        <f t="shared" si="152"/>
        <v>55</v>
      </c>
      <c r="S2435" t="str" cm="1">
        <f t="array" ref="S2435">IF(P2435="","",_xlfn.SWITCH(LEFT(P2435,1),"C","Ciudad","T","Pueblo","R","Rural","S","Suburbano","U","Urbano",""))</f>
        <v>Suburbano</v>
      </c>
      <c r="T2435" t="str">
        <f t="shared" si="153"/>
        <v>M</v>
      </c>
      <c r="U2435" t="str">
        <f t="shared" si="154"/>
        <v>IL</v>
      </c>
      <c r="V2435" t="str">
        <f t="shared" si="155"/>
        <v>17870</v>
      </c>
    </row>
    <row r="2436" spans="1:22" x14ac:dyDescent="0.35">
      <c r="A2436">
        <v>19129</v>
      </c>
      <c r="B2436" t="s">
        <v>18</v>
      </c>
      <c r="C2436" t="s">
        <v>20</v>
      </c>
      <c r="D2436">
        <v>538</v>
      </c>
      <c r="E2436">
        <v>227</v>
      </c>
      <c r="F2436">
        <v>374</v>
      </c>
      <c r="G2436">
        <v>1</v>
      </c>
      <c r="H2436">
        <v>13593</v>
      </c>
      <c r="I2436">
        <v>0</v>
      </c>
      <c r="J2436">
        <v>78</v>
      </c>
      <c r="K2436">
        <v>288</v>
      </c>
      <c r="L2436">
        <v>299</v>
      </c>
      <c r="M2436">
        <v>11.33333333</v>
      </c>
      <c r="N2436">
        <f>IFERROR(VLOOKUP(A2436,vlookup_table!$A:$G,2,FALSE),"")</f>
        <v>0</v>
      </c>
      <c r="O2436">
        <f>IFERROR(VLOOKUP(A2436,vlookup_table!$A:$G,4,FALSE),"")</f>
        <v>4201</v>
      </c>
      <c r="P2436" t="str">
        <f>IFERROR(VLOOKUP(A2436,vlookup_table!$A:$G,5,FALSE),"")</f>
        <v>T2</v>
      </c>
      <c r="Q2436">
        <f>IFERROR(VLOOKUP(A2436,vlookup_table!$A:$G,7,FALSE),"")</f>
        <v>5</v>
      </c>
      <c r="R2436">
        <f t="shared" si="152"/>
        <v>55</v>
      </c>
      <c r="S2436" t="str" cm="1">
        <f t="array" ref="S2436">IF(P2436="","",_xlfn.SWITCH(LEFT(P2436,1),"C","Ciudad","T","Pueblo","R","Rural","S","Suburbano","U","Urbano",""))</f>
        <v>Pueblo</v>
      </c>
      <c r="T2436" t="str">
        <f t="shared" si="153"/>
        <v>F</v>
      </c>
      <c r="U2436" t="str">
        <f t="shared" si="154"/>
        <v>NC</v>
      </c>
      <c r="V2436" t="str">
        <f t="shared" si="155"/>
        <v>13593</v>
      </c>
    </row>
    <row r="2437" spans="1:22" x14ac:dyDescent="0.35">
      <c r="A2437">
        <v>114912</v>
      </c>
      <c r="B2437" t="s">
        <v>31</v>
      </c>
      <c r="C2437" t="s">
        <v>17</v>
      </c>
      <c r="D2437">
        <v>622</v>
      </c>
      <c r="E2437">
        <v>306</v>
      </c>
      <c r="F2437">
        <v>345</v>
      </c>
      <c r="G2437">
        <v>0</v>
      </c>
      <c r="H2437">
        <v>10625</v>
      </c>
      <c r="I2437">
        <v>0</v>
      </c>
      <c r="J2437">
        <v>64</v>
      </c>
      <c r="K2437">
        <v>338</v>
      </c>
      <c r="L2437">
        <v>316</v>
      </c>
      <c r="M2437">
        <v>16.65384615</v>
      </c>
      <c r="N2437">
        <f>IFERROR(VLOOKUP(A2437,vlookup_table!$A:$G,2,FALSE),"")</f>
        <v>2</v>
      </c>
      <c r="O2437">
        <f>IFERROR(VLOOKUP(A2437,vlookup_table!$A:$G,4,FALSE),"")</f>
        <v>0</v>
      </c>
      <c r="P2437" t="str">
        <f>IFERROR(VLOOKUP(A2437,vlookup_table!$A:$G,5,FALSE),"")</f>
        <v>T2</v>
      </c>
      <c r="Q2437">
        <f>IFERROR(VLOOKUP(A2437,vlookup_table!$A:$G,7,FALSE),"")</f>
        <v>25</v>
      </c>
      <c r="R2437">
        <f t="shared" si="152"/>
        <v>97</v>
      </c>
      <c r="S2437" t="str" cm="1">
        <f t="array" ref="S2437">IF(P2437="","",_xlfn.SWITCH(LEFT(P2437,1),"C","Ciudad","T","Pueblo","R","Rural","S","Suburbano","U","Urbano",""))</f>
        <v>Pueblo</v>
      </c>
      <c r="T2437" t="str">
        <f t="shared" si="153"/>
        <v>F</v>
      </c>
      <c r="U2437" t="str">
        <f t="shared" si="154"/>
        <v>OK</v>
      </c>
      <c r="V2437" t="str">
        <f t="shared" si="155"/>
        <v>10625</v>
      </c>
    </row>
    <row r="2438" spans="1:22" x14ac:dyDescent="0.35">
      <c r="A2438">
        <v>164651</v>
      </c>
      <c r="B2438" t="s">
        <v>22</v>
      </c>
      <c r="C2438" t="s">
        <v>17</v>
      </c>
      <c r="D2438">
        <v>2208</v>
      </c>
      <c r="E2438">
        <v>313</v>
      </c>
      <c r="F2438">
        <v>411</v>
      </c>
      <c r="G2438">
        <v>71</v>
      </c>
      <c r="H2438">
        <v>14497</v>
      </c>
      <c r="I2438">
        <v>25</v>
      </c>
      <c r="J2438">
        <v>46</v>
      </c>
      <c r="K2438">
        <v>334</v>
      </c>
      <c r="L2438">
        <v>393</v>
      </c>
      <c r="M2438">
        <v>11.5</v>
      </c>
      <c r="N2438">
        <f>IFERROR(VLOOKUP(A2438,vlookup_table!$A:$G,2,FALSE),"")</f>
        <v>0</v>
      </c>
      <c r="O2438">
        <f>IFERROR(VLOOKUP(A2438,vlookup_table!$A:$G,4,FALSE),"")</f>
        <v>3201</v>
      </c>
      <c r="P2438" t="str">
        <f>IFERROR(VLOOKUP(A2438,vlookup_table!$A:$G,5,FALSE),"")</f>
        <v>U2</v>
      </c>
      <c r="Q2438">
        <f>IFERROR(VLOOKUP(A2438,vlookup_table!$A:$G,7,FALSE),"")</f>
        <v>5</v>
      </c>
      <c r="R2438">
        <f t="shared" si="152"/>
        <v>65</v>
      </c>
      <c r="S2438" t="str" cm="1">
        <f t="array" ref="S2438">IF(P2438="","",_xlfn.SWITCH(LEFT(P2438,1),"C","Ciudad","T","Pueblo","R","Rural","S","Suburbano","U","Urbano",""))</f>
        <v>Urbano</v>
      </c>
      <c r="T2438" t="str">
        <f t="shared" si="153"/>
        <v>F</v>
      </c>
      <c r="U2438" t="str">
        <f t="shared" si="154"/>
        <v>CA</v>
      </c>
      <c r="V2438" t="str">
        <f t="shared" si="155"/>
        <v>14497</v>
      </c>
    </row>
    <row r="2439" spans="1:22" x14ac:dyDescent="0.35">
      <c r="A2439">
        <v>94113</v>
      </c>
      <c r="B2439" t="s">
        <v>16</v>
      </c>
      <c r="C2439" t="s">
        <v>17</v>
      </c>
      <c r="D2439">
        <v>698</v>
      </c>
      <c r="E2439">
        <v>164</v>
      </c>
      <c r="F2439">
        <v>293</v>
      </c>
      <c r="G2439">
        <v>26</v>
      </c>
      <c r="H2439">
        <v>10618</v>
      </c>
      <c r="I2439">
        <v>5</v>
      </c>
      <c r="J2439">
        <v>57</v>
      </c>
      <c r="K2439">
        <v>201</v>
      </c>
      <c r="L2439">
        <v>250</v>
      </c>
      <c r="M2439">
        <v>10.625</v>
      </c>
      <c r="N2439">
        <f>IFERROR(VLOOKUP(A2439,vlookup_table!$A:$G,2,FALSE),"")</f>
        <v>0</v>
      </c>
      <c r="O2439">
        <f>IFERROR(VLOOKUP(A2439,vlookup_table!$A:$G,4,FALSE),"")</f>
        <v>4711</v>
      </c>
      <c r="P2439" t="str">
        <f>IFERROR(VLOOKUP(A2439,vlookup_table!$A:$G,5,FALSE),"")</f>
        <v>U4</v>
      </c>
      <c r="Q2439">
        <f>IFERROR(VLOOKUP(A2439,vlookup_table!$A:$G,7,FALSE),"")</f>
        <v>10</v>
      </c>
      <c r="R2439">
        <f t="shared" si="152"/>
        <v>50</v>
      </c>
      <c r="S2439" t="str" cm="1">
        <f t="array" ref="S2439">IF(P2439="","",_xlfn.SWITCH(LEFT(P2439,1),"C","Ciudad","T","Pueblo","R","Rural","S","Suburbano","U","Urbano",""))</f>
        <v>Urbano</v>
      </c>
      <c r="T2439" t="str">
        <f t="shared" si="153"/>
        <v>F</v>
      </c>
      <c r="U2439" t="str">
        <f t="shared" si="154"/>
        <v>IL</v>
      </c>
      <c r="V2439" t="str">
        <f t="shared" si="155"/>
        <v>10618</v>
      </c>
    </row>
    <row r="2440" spans="1:22" x14ac:dyDescent="0.35">
      <c r="A2440">
        <v>116453</v>
      </c>
      <c r="B2440" t="s">
        <v>21</v>
      </c>
      <c r="C2440" t="s">
        <v>17</v>
      </c>
      <c r="D2440">
        <v>849</v>
      </c>
      <c r="E2440">
        <v>394</v>
      </c>
      <c r="F2440">
        <v>457</v>
      </c>
      <c r="G2440">
        <v>3</v>
      </c>
      <c r="H2440">
        <v>14757</v>
      </c>
      <c r="I2440">
        <v>2</v>
      </c>
      <c r="J2440">
        <v>70</v>
      </c>
      <c r="K2440">
        <v>422</v>
      </c>
      <c r="L2440">
        <v>430</v>
      </c>
      <c r="M2440">
        <v>15</v>
      </c>
      <c r="N2440">
        <f>IFERROR(VLOOKUP(A2440,vlookup_table!$A:$G,2,FALSE),"")</f>
        <v>0</v>
      </c>
      <c r="O2440">
        <f>IFERROR(VLOOKUP(A2440,vlookup_table!$A:$G,4,FALSE),"")</f>
        <v>7201</v>
      </c>
      <c r="P2440" t="str">
        <f>IFERROR(VLOOKUP(A2440,vlookup_table!$A:$G,5,FALSE),"")</f>
        <v>S1</v>
      </c>
      <c r="Q2440">
        <f>IFERROR(VLOOKUP(A2440,vlookup_table!$A:$G,7,FALSE),"")</f>
        <v>15</v>
      </c>
      <c r="R2440">
        <f t="shared" si="152"/>
        <v>25</v>
      </c>
      <c r="S2440" t="str" cm="1">
        <f t="array" ref="S2440">IF(P2440="","",_xlfn.SWITCH(LEFT(P2440,1),"C","Ciudad","T","Pueblo","R","Rural","S","Suburbano","U","Urbano",""))</f>
        <v>Suburbano</v>
      </c>
      <c r="T2440" t="str">
        <f t="shared" si="153"/>
        <v>F</v>
      </c>
      <c r="U2440" t="str">
        <f t="shared" si="154"/>
        <v>TX</v>
      </c>
      <c r="V2440" t="str">
        <f t="shared" si="155"/>
        <v>14757</v>
      </c>
    </row>
    <row r="2441" spans="1:22" x14ac:dyDescent="0.35">
      <c r="A2441">
        <v>72409</v>
      </c>
      <c r="B2441" t="s">
        <v>29</v>
      </c>
      <c r="C2441" t="s">
        <v>17</v>
      </c>
      <c r="D2441">
        <v>318</v>
      </c>
      <c r="E2441">
        <v>296</v>
      </c>
      <c r="F2441">
        <v>299</v>
      </c>
      <c r="G2441">
        <v>0</v>
      </c>
      <c r="H2441">
        <v>11236</v>
      </c>
      <c r="I2441">
        <v>2</v>
      </c>
      <c r="J2441">
        <v>50</v>
      </c>
      <c r="K2441">
        <v>292</v>
      </c>
      <c r="L2441">
        <v>296</v>
      </c>
      <c r="M2441">
        <v>8.8947368420000004</v>
      </c>
      <c r="N2441">
        <f>IFERROR(VLOOKUP(A2441,vlookup_table!$A:$G,2,FALSE),"")</f>
        <v>0</v>
      </c>
      <c r="O2441">
        <f>IFERROR(VLOOKUP(A2441,vlookup_table!$A:$G,4,FALSE),"")</f>
        <v>811</v>
      </c>
      <c r="P2441" t="str">
        <f>IFERROR(VLOOKUP(A2441,vlookup_table!$A:$G,5,FALSE),"")</f>
        <v>T3</v>
      </c>
      <c r="Q2441">
        <f>IFERROR(VLOOKUP(A2441,vlookup_table!$A:$G,7,FALSE),"")</f>
        <v>10</v>
      </c>
      <c r="R2441">
        <f t="shared" si="152"/>
        <v>89</v>
      </c>
      <c r="S2441" t="str" cm="1">
        <f t="array" ref="S2441">IF(P2441="","",_xlfn.SWITCH(LEFT(P2441,1),"C","Ciudad","T","Pueblo","R","Rural","S","Suburbano","U","Urbano",""))</f>
        <v>Pueblo</v>
      </c>
      <c r="T2441" t="str">
        <f t="shared" si="153"/>
        <v>F</v>
      </c>
      <c r="U2441" t="str">
        <f t="shared" si="154"/>
        <v>MI</v>
      </c>
      <c r="V2441" t="str">
        <f t="shared" si="155"/>
        <v>11236</v>
      </c>
    </row>
    <row r="2442" spans="1:22" x14ac:dyDescent="0.35">
      <c r="A2442">
        <v>190634</v>
      </c>
      <c r="B2442" t="s">
        <v>46</v>
      </c>
      <c r="D2442">
        <v>834</v>
      </c>
      <c r="E2442">
        <v>389</v>
      </c>
      <c r="F2442">
        <v>436</v>
      </c>
      <c r="G2442">
        <v>0</v>
      </c>
      <c r="H2442">
        <v>17338</v>
      </c>
      <c r="I2442">
        <v>6</v>
      </c>
      <c r="J2442">
        <v>42</v>
      </c>
      <c r="K2442">
        <v>398</v>
      </c>
      <c r="L2442">
        <v>423</v>
      </c>
      <c r="M2442">
        <v>8</v>
      </c>
      <c r="N2442">
        <f>IFERROR(VLOOKUP(A2442,vlookup_table!$A:$G,2,FALSE),"")</f>
        <v>0</v>
      </c>
      <c r="O2442">
        <f>IFERROR(VLOOKUP(A2442,vlookup_table!$A:$G,4,FALSE),"")</f>
        <v>1711</v>
      </c>
      <c r="P2442" t="str">
        <f>IFERROR(VLOOKUP(A2442,vlookup_table!$A:$G,5,FALSE),"")</f>
        <v>C1</v>
      </c>
      <c r="Q2442">
        <f>IFERROR(VLOOKUP(A2442,vlookup_table!$A:$G,7,FALSE),"")</f>
        <v>20</v>
      </c>
      <c r="R2442">
        <f t="shared" si="152"/>
        <v>80</v>
      </c>
      <c r="S2442" t="str" cm="1">
        <f t="array" ref="S2442">IF(P2442="","",_xlfn.SWITCH(LEFT(P2442,1),"C","Ciudad","T","Pueblo","R","Rural","S","Suburbano","U","Urbano",""))</f>
        <v>Ciudad</v>
      </c>
      <c r="T2442" t="str">
        <f t="shared" si="153"/>
        <v/>
      </c>
      <c r="U2442" t="str">
        <f t="shared" si="154"/>
        <v>SC</v>
      </c>
      <c r="V2442" t="str">
        <f t="shared" si="155"/>
        <v>17338</v>
      </c>
    </row>
    <row r="2443" spans="1:22" x14ac:dyDescent="0.35">
      <c r="A2443">
        <v>128975</v>
      </c>
      <c r="B2443" t="s">
        <v>73</v>
      </c>
      <c r="C2443" t="s">
        <v>27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8.2666666670000009</v>
      </c>
      <c r="N2443">
        <f>IFERROR(VLOOKUP(A2443,vlookup_table!$A:$G,2,FALSE),"")</f>
        <v>0</v>
      </c>
      <c r="O2443">
        <f>IFERROR(VLOOKUP(A2443,vlookup_table!$A:$G,4,FALSE),"")</f>
        <v>6007</v>
      </c>
      <c r="P2443" t="str">
        <f>IFERROR(VLOOKUP(A2443,vlookup_table!$A:$G,5,FALSE),"")</f>
        <v>S2</v>
      </c>
      <c r="Q2443">
        <f>IFERROR(VLOOKUP(A2443,vlookup_table!$A:$G,7,FALSE),"")</f>
        <v>15</v>
      </c>
      <c r="R2443">
        <f t="shared" si="152"/>
        <v>37</v>
      </c>
      <c r="S2443" t="str" cm="1">
        <f t="array" ref="S2443">IF(P2443="","",_xlfn.SWITCH(LEFT(P2443,1),"C","Ciudad","T","Pueblo","R","Rural","S","Suburbano","U","Urbano",""))</f>
        <v>Suburbano</v>
      </c>
      <c r="T2443" t="str">
        <f t="shared" si="153"/>
        <v>M</v>
      </c>
      <c r="U2443" t="str">
        <f t="shared" si="154"/>
        <v>AA</v>
      </c>
      <c r="V2443" t="str">
        <f t="shared" si="155"/>
        <v>0</v>
      </c>
    </row>
    <row r="2444" spans="1:22" x14ac:dyDescent="0.35">
      <c r="A2444">
        <v>137039</v>
      </c>
      <c r="B2444" t="s">
        <v>55</v>
      </c>
      <c r="C2444" t="s">
        <v>60</v>
      </c>
      <c r="D2444">
        <v>1568</v>
      </c>
      <c r="E2444">
        <v>493</v>
      </c>
      <c r="F2444">
        <v>633</v>
      </c>
      <c r="G2444">
        <v>23</v>
      </c>
      <c r="H2444">
        <v>22025</v>
      </c>
      <c r="I2444">
        <v>3</v>
      </c>
      <c r="J2444">
        <v>25</v>
      </c>
      <c r="K2444">
        <v>524</v>
      </c>
      <c r="L2444">
        <v>600</v>
      </c>
      <c r="M2444">
        <v>20</v>
      </c>
      <c r="N2444">
        <f>IFERROR(VLOOKUP(A2444,vlookup_table!$A:$G,2,FALSE),"")</f>
        <v>2</v>
      </c>
      <c r="O2444">
        <f>IFERROR(VLOOKUP(A2444,vlookup_table!$A:$G,4,FALSE),"")</f>
        <v>3601</v>
      </c>
      <c r="P2444" t="str">
        <f>IFERROR(VLOOKUP(A2444,vlookup_table!$A:$G,5,FALSE),"")</f>
        <v>T1</v>
      </c>
      <c r="Q2444">
        <f>IFERROR(VLOOKUP(A2444,vlookup_table!$A:$G,7,FALSE),"")</f>
        <v>10</v>
      </c>
      <c r="R2444">
        <f t="shared" si="152"/>
        <v>61</v>
      </c>
      <c r="S2444" t="str" cm="1">
        <f t="array" ref="S2444">IF(P2444="","",_xlfn.SWITCH(LEFT(P2444,1),"C","Ciudad","T","Pueblo","R","Rural","S","Suburbano","U","Urbano",""))</f>
        <v>Pueblo</v>
      </c>
      <c r="T2444" t="str">
        <f t="shared" si="153"/>
        <v>F</v>
      </c>
      <c r="U2444" t="str">
        <f t="shared" si="154"/>
        <v>AZ</v>
      </c>
      <c r="V2444" t="str">
        <f t="shared" si="155"/>
        <v>22025</v>
      </c>
    </row>
    <row r="2445" spans="1:22" x14ac:dyDescent="0.35">
      <c r="A2445">
        <v>177927</v>
      </c>
      <c r="B2445" t="s">
        <v>50</v>
      </c>
      <c r="C2445" t="s">
        <v>14</v>
      </c>
      <c r="D2445">
        <v>709</v>
      </c>
      <c r="E2445">
        <v>262</v>
      </c>
      <c r="F2445">
        <v>372</v>
      </c>
      <c r="G2445">
        <v>8</v>
      </c>
      <c r="H2445">
        <v>13486</v>
      </c>
      <c r="I2445">
        <v>3</v>
      </c>
      <c r="J2445">
        <v>44</v>
      </c>
      <c r="K2445">
        <v>304</v>
      </c>
      <c r="L2445">
        <v>339</v>
      </c>
      <c r="M2445">
        <v>11.25</v>
      </c>
      <c r="N2445">
        <f>IFERROR(VLOOKUP(A2445,vlookup_table!$A:$G,2,FALSE),"")</f>
        <v>0</v>
      </c>
      <c r="O2445">
        <f>IFERROR(VLOOKUP(A2445,vlookup_table!$A:$G,4,FALSE),"")</f>
        <v>2310</v>
      </c>
      <c r="P2445" t="str">
        <f>IFERROR(VLOOKUP(A2445,vlookup_table!$A:$G,5,FALSE),"")</f>
        <v>R2</v>
      </c>
      <c r="Q2445">
        <f>IFERROR(VLOOKUP(A2445,vlookup_table!$A:$G,7,FALSE),"")</f>
        <v>15</v>
      </c>
      <c r="R2445">
        <f t="shared" si="152"/>
        <v>74</v>
      </c>
      <c r="S2445" t="str" cm="1">
        <f t="array" ref="S2445">IF(P2445="","",_xlfn.SWITCH(LEFT(P2445,1),"C","Ciudad","T","Pueblo","R","Rural","S","Suburbano","U","Urbano",""))</f>
        <v>Rural</v>
      </c>
      <c r="T2445" t="str">
        <f t="shared" si="153"/>
        <v>M</v>
      </c>
      <c r="U2445" t="str">
        <f t="shared" si="154"/>
        <v>OR</v>
      </c>
      <c r="V2445" t="str">
        <f t="shared" si="155"/>
        <v>13486</v>
      </c>
    </row>
    <row r="2446" spans="1:22" x14ac:dyDescent="0.35">
      <c r="A2446">
        <v>122988</v>
      </c>
      <c r="B2446" t="s">
        <v>21</v>
      </c>
      <c r="C2446" t="s">
        <v>17</v>
      </c>
      <c r="D2446">
        <v>735</v>
      </c>
      <c r="E2446">
        <v>418</v>
      </c>
      <c r="F2446">
        <v>553</v>
      </c>
      <c r="G2446">
        <v>0</v>
      </c>
      <c r="H2446">
        <v>16097</v>
      </c>
      <c r="I2446">
        <v>12</v>
      </c>
      <c r="J2446">
        <v>42</v>
      </c>
      <c r="K2446">
        <v>571</v>
      </c>
      <c r="L2446">
        <v>461</v>
      </c>
      <c r="M2446">
        <v>15</v>
      </c>
      <c r="N2446">
        <f>IFERROR(VLOOKUP(A2446,vlookup_table!$A:$G,2,FALSE),"")</f>
        <v>0</v>
      </c>
      <c r="O2446">
        <f>IFERROR(VLOOKUP(A2446,vlookup_table!$A:$G,4,FALSE),"")</f>
        <v>5601</v>
      </c>
      <c r="P2446" t="str">
        <f>IFERROR(VLOOKUP(A2446,vlookup_table!$A:$G,5,FALSE),"")</f>
        <v>C1</v>
      </c>
      <c r="Q2446">
        <f>IFERROR(VLOOKUP(A2446,vlookup_table!$A:$G,7,FALSE),"")</f>
        <v>14</v>
      </c>
      <c r="R2446">
        <f t="shared" si="152"/>
        <v>41</v>
      </c>
      <c r="S2446" t="str" cm="1">
        <f t="array" ref="S2446">IF(P2446="","",_xlfn.SWITCH(LEFT(P2446,1),"C","Ciudad","T","Pueblo","R","Rural","S","Suburbano","U","Urbano",""))</f>
        <v>Ciudad</v>
      </c>
      <c r="T2446" t="str">
        <f t="shared" si="153"/>
        <v>F</v>
      </c>
      <c r="U2446" t="str">
        <f t="shared" si="154"/>
        <v>TX</v>
      </c>
      <c r="V2446" t="str">
        <f t="shared" si="155"/>
        <v>16097</v>
      </c>
    </row>
    <row r="2447" spans="1:22" x14ac:dyDescent="0.35">
      <c r="A2447">
        <v>142765</v>
      </c>
      <c r="B2447" t="s">
        <v>22</v>
      </c>
      <c r="C2447" t="s">
        <v>14</v>
      </c>
      <c r="D2447">
        <v>2578</v>
      </c>
      <c r="E2447">
        <v>338</v>
      </c>
      <c r="F2447">
        <v>430</v>
      </c>
      <c r="G2447">
        <v>71</v>
      </c>
      <c r="H2447">
        <v>11844</v>
      </c>
      <c r="I2447">
        <v>58</v>
      </c>
      <c r="J2447">
        <v>24</v>
      </c>
      <c r="K2447">
        <v>347</v>
      </c>
      <c r="L2447">
        <v>415</v>
      </c>
      <c r="M2447">
        <v>13.18181818</v>
      </c>
      <c r="N2447">
        <f>IFERROR(VLOOKUP(A2447,vlookup_table!$A:$G,2,FALSE),"")</f>
        <v>1</v>
      </c>
      <c r="O2447">
        <f>IFERROR(VLOOKUP(A2447,vlookup_table!$A:$G,4,FALSE),"")</f>
        <v>6601</v>
      </c>
      <c r="P2447" t="str">
        <f>IFERROR(VLOOKUP(A2447,vlookup_table!$A:$G,5,FALSE),"")</f>
        <v>U2</v>
      </c>
      <c r="Q2447">
        <f>IFERROR(VLOOKUP(A2447,vlookup_table!$A:$G,7,FALSE),"")</f>
        <v>20</v>
      </c>
      <c r="R2447">
        <f t="shared" si="152"/>
        <v>31</v>
      </c>
      <c r="S2447" t="str" cm="1">
        <f t="array" ref="S2447">IF(P2447="","",_xlfn.SWITCH(LEFT(P2447,1),"C","Ciudad","T","Pueblo","R","Rural","S","Suburbano","U","Urbano",""))</f>
        <v>Urbano</v>
      </c>
      <c r="T2447" t="str">
        <f t="shared" si="153"/>
        <v>M</v>
      </c>
      <c r="U2447" t="str">
        <f t="shared" si="154"/>
        <v>CA</v>
      </c>
      <c r="V2447" t="str">
        <f t="shared" si="155"/>
        <v>11844</v>
      </c>
    </row>
    <row r="2448" spans="1:22" x14ac:dyDescent="0.35">
      <c r="A2448">
        <v>48506</v>
      </c>
      <c r="B2448" t="s">
        <v>43</v>
      </c>
      <c r="C2448" t="s">
        <v>17</v>
      </c>
      <c r="D2448">
        <v>875</v>
      </c>
      <c r="E2448">
        <v>138</v>
      </c>
      <c r="F2448">
        <v>213</v>
      </c>
      <c r="G2448">
        <v>3</v>
      </c>
      <c r="H2448">
        <v>6125</v>
      </c>
      <c r="I2448">
        <v>0</v>
      </c>
      <c r="J2448">
        <v>89</v>
      </c>
      <c r="K2448">
        <v>213</v>
      </c>
      <c r="L2448">
        <v>188</v>
      </c>
      <c r="M2448">
        <v>11.45833333</v>
      </c>
      <c r="N2448">
        <f>IFERROR(VLOOKUP(A2448,vlookup_table!$A:$G,2,FALSE),"")</f>
        <v>2</v>
      </c>
      <c r="O2448">
        <f>IFERROR(VLOOKUP(A2448,vlookup_table!$A:$G,4,FALSE),"")</f>
        <v>0</v>
      </c>
      <c r="P2448" t="str">
        <f>IFERROR(VLOOKUP(A2448,vlookup_table!$A:$G,5,FALSE),"")</f>
        <v>R3</v>
      </c>
      <c r="Q2448">
        <f>IFERROR(VLOOKUP(A2448,vlookup_table!$A:$G,7,FALSE),"")</f>
        <v>18</v>
      </c>
      <c r="R2448">
        <f t="shared" si="152"/>
        <v>97</v>
      </c>
      <c r="S2448" t="str" cm="1">
        <f t="array" ref="S2448">IF(P2448="","",_xlfn.SWITCH(LEFT(P2448,1),"C","Ciudad","T","Pueblo","R","Rural","S","Suburbano","U","Urbano",""))</f>
        <v>Rural</v>
      </c>
      <c r="T2448" t="str">
        <f t="shared" si="153"/>
        <v>F</v>
      </c>
      <c r="U2448" t="str">
        <f t="shared" si="154"/>
        <v>AL</v>
      </c>
      <c r="V2448" t="str">
        <f t="shared" si="155"/>
        <v>6125</v>
      </c>
    </row>
    <row r="2449" spans="1:22" x14ac:dyDescent="0.35">
      <c r="A2449">
        <v>189666</v>
      </c>
      <c r="B2449" t="s">
        <v>50</v>
      </c>
      <c r="C2449" t="s">
        <v>17</v>
      </c>
      <c r="D2449">
        <v>1373</v>
      </c>
      <c r="E2449">
        <v>518</v>
      </c>
      <c r="F2449">
        <v>655</v>
      </c>
      <c r="G2449">
        <v>23</v>
      </c>
      <c r="H2449">
        <v>26092</v>
      </c>
      <c r="I2449">
        <v>3</v>
      </c>
      <c r="J2449">
        <v>37</v>
      </c>
      <c r="K2449">
        <v>534</v>
      </c>
      <c r="L2449">
        <v>612</v>
      </c>
      <c r="M2449">
        <v>15</v>
      </c>
      <c r="N2449">
        <f>IFERROR(VLOOKUP(A2449,vlookup_table!$A:$G,2,FALSE),"")</f>
        <v>2</v>
      </c>
      <c r="O2449">
        <f>IFERROR(VLOOKUP(A2449,vlookup_table!$A:$G,4,FALSE),"")</f>
        <v>0</v>
      </c>
      <c r="P2449" t="str">
        <f>IFERROR(VLOOKUP(A2449,vlookup_table!$A:$G,5,FALSE),"")</f>
        <v>S1</v>
      </c>
      <c r="Q2449">
        <f>IFERROR(VLOOKUP(A2449,vlookup_table!$A:$G,7,FALSE),"")</f>
        <v>15</v>
      </c>
      <c r="R2449">
        <f t="shared" si="152"/>
        <v>97</v>
      </c>
      <c r="S2449" t="str" cm="1">
        <f t="array" ref="S2449">IF(P2449="","",_xlfn.SWITCH(LEFT(P2449,1),"C","Ciudad","T","Pueblo","R","Rural","S","Suburbano","U","Urbano",""))</f>
        <v>Suburbano</v>
      </c>
      <c r="T2449" t="str">
        <f t="shared" si="153"/>
        <v>F</v>
      </c>
      <c r="U2449" t="str">
        <f t="shared" si="154"/>
        <v>OR</v>
      </c>
      <c r="V2449" t="str">
        <f t="shared" si="155"/>
        <v>26092</v>
      </c>
    </row>
    <row r="2450" spans="1:22" x14ac:dyDescent="0.35">
      <c r="A2450">
        <v>159826</v>
      </c>
      <c r="B2450" t="s">
        <v>22</v>
      </c>
      <c r="C2450" t="s">
        <v>17</v>
      </c>
      <c r="D2450">
        <v>1292</v>
      </c>
      <c r="E2450">
        <v>266</v>
      </c>
      <c r="F2450">
        <v>498</v>
      </c>
      <c r="G2450">
        <v>20</v>
      </c>
      <c r="H2450">
        <v>16678</v>
      </c>
      <c r="I2450">
        <v>17</v>
      </c>
      <c r="J2450">
        <v>66</v>
      </c>
      <c r="K2450">
        <v>355</v>
      </c>
      <c r="L2450">
        <v>436</v>
      </c>
      <c r="M2450">
        <v>10.76190476</v>
      </c>
      <c r="N2450">
        <f>IFERROR(VLOOKUP(A2450,vlookup_table!$A:$G,2,FALSE),"")</f>
        <v>2</v>
      </c>
      <c r="O2450">
        <f>IFERROR(VLOOKUP(A2450,vlookup_table!$A:$G,4,FALSE),"")</f>
        <v>2401</v>
      </c>
      <c r="P2450" t="str">
        <f>IFERROR(VLOOKUP(A2450,vlookup_table!$A:$G,5,FALSE),"")</f>
        <v>C2</v>
      </c>
      <c r="Q2450">
        <f>IFERROR(VLOOKUP(A2450,vlookup_table!$A:$G,7,FALSE),"")</f>
        <v>5</v>
      </c>
      <c r="R2450">
        <f t="shared" si="152"/>
        <v>73</v>
      </c>
      <c r="S2450" t="str" cm="1">
        <f t="array" ref="S2450">IF(P2450="","",_xlfn.SWITCH(LEFT(P2450,1),"C","Ciudad","T","Pueblo","R","Rural","S","Suburbano","U","Urbano",""))</f>
        <v>Ciudad</v>
      </c>
      <c r="T2450" t="str">
        <f t="shared" si="153"/>
        <v>F</v>
      </c>
      <c r="U2450" t="str">
        <f t="shared" si="154"/>
        <v>CA</v>
      </c>
      <c r="V2450" t="str">
        <f t="shared" si="155"/>
        <v>16678</v>
      </c>
    </row>
    <row r="2451" spans="1:22" x14ac:dyDescent="0.35">
      <c r="A2451">
        <v>181891</v>
      </c>
      <c r="B2451" t="s">
        <v>40</v>
      </c>
      <c r="C2451" t="s">
        <v>30</v>
      </c>
      <c r="D2451">
        <v>759</v>
      </c>
      <c r="E2451">
        <v>263</v>
      </c>
      <c r="F2451">
        <v>287</v>
      </c>
      <c r="G2451">
        <v>1</v>
      </c>
      <c r="H2451">
        <v>8915</v>
      </c>
      <c r="I2451">
        <v>3</v>
      </c>
      <c r="J2451">
        <v>44</v>
      </c>
      <c r="K2451">
        <v>270</v>
      </c>
      <c r="L2451">
        <v>281</v>
      </c>
      <c r="M2451">
        <v>14.7</v>
      </c>
      <c r="N2451">
        <f>IFERROR(VLOOKUP(A2451,vlookup_table!$A:$G,2,FALSE),"")</f>
        <v>0</v>
      </c>
      <c r="O2451">
        <f>IFERROR(VLOOKUP(A2451,vlookup_table!$A:$G,4,FALSE),"")</f>
        <v>3401</v>
      </c>
      <c r="P2451" t="str">
        <f>IFERROR(VLOOKUP(A2451,vlookup_table!$A:$G,5,FALSE),"")</f>
        <v>T2</v>
      </c>
      <c r="Q2451">
        <f>IFERROR(VLOOKUP(A2451,vlookup_table!$A:$G,7,FALSE),"")</f>
        <v>25</v>
      </c>
      <c r="R2451">
        <f t="shared" si="152"/>
        <v>63</v>
      </c>
      <c r="S2451" t="str" cm="1">
        <f t="array" ref="S2451">IF(P2451="","",_xlfn.SWITCH(LEFT(P2451,1),"C","Ciudad","T","Pueblo","R","Rural","S","Suburbano","U","Urbano",""))</f>
        <v>Pueblo</v>
      </c>
      <c r="T2451" t="str">
        <f t="shared" si="153"/>
        <v>U</v>
      </c>
      <c r="U2451" t="str">
        <f t="shared" si="154"/>
        <v>WA</v>
      </c>
      <c r="V2451" t="str">
        <f t="shared" si="155"/>
        <v>8915</v>
      </c>
    </row>
    <row r="2452" spans="1:22" x14ac:dyDescent="0.35">
      <c r="A2452">
        <v>128162</v>
      </c>
      <c r="B2452" t="s">
        <v>21</v>
      </c>
      <c r="C2452" t="s">
        <v>17</v>
      </c>
      <c r="D2452">
        <v>621</v>
      </c>
      <c r="E2452">
        <v>314</v>
      </c>
      <c r="F2452">
        <v>383</v>
      </c>
      <c r="G2452">
        <v>1</v>
      </c>
      <c r="H2452">
        <v>14581</v>
      </c>
      <c r="I2452">
        <v>2</v>
      </c>
      <c r="J2452">
        <v>73</v>
      </c>
      <c r="K2452">
        <v>315</v>
      </c>
      <c r="L2452">
        <v>378</v>
      </c>
      <c r="M2452">
        <v>7</v>
      </c>
      <c r="N2452">
        <f>IFERROR(VLOOKUP(A2452,vlookup_table!$A:$G,2,FALSE),"")</f>
        <v>3</v>
      </c>
      <c r="O2452">
        <f>IFERROR(VLOOKUP(A2452,vlookup_table!$A:$G,4,FALSE),"")</f>
        <v>2901</v>
      </c>
      <c r="P2452" t="str">
        <f>IFERROR(VLOOKUP(A2452,vlookup_table!$A:$G,5,FALSE),"")</f>
        <v>C1</v>
      </c>
      <c r="Q2452">
        <f>IFERROR(VLOOKUP(A2452,vlookup_table!$A:$G,7,FALSE),"")</f>
        <v>8</v>
      </c>
      <c r="R2452">
        <f t="shared" si="152"/>
        <v>68</v>
      </c>
      <c r="S2452" t="str" cm="1">
        <f t="array" ref="S2452">IF(P2452="","",_xlfn.SWITCH(LEFT(P2452,1),"C","Ciudad","T","Pueblo","R","Rural","S","Suburbano","U","Urbano",""))</f>
        <v>Ciudad</v>
      </c>
      <c r="T2452" t="str">
        <f t="shared" si="153"/>
        <v>F</v>
      </c>
      <c r="U2452" t="str">
        <f t="shared" si="154"/>
        <v>TX</v>
      </c>
      <c r="V2452" t="str">
        <f t="shared" si="155"/>
        <v>14581</v>
      </c>
    </row>
    <row r="2453" spans="1:22" x14ac:dyDescent="0.35">
      <c r="A2453">
        <v>107040</v>
      </c>
      <c r="B2453" t="s">
        <v>59</v>
      </c>
      <c r="C2453" t="s">
        <v>14</v>
      </c>
      <c r="D2453">
        <v>613</v>
      </c>
      <c r="E2453">
        <v>259</v>
      </c>
      <c r="F2453">
        <v>402</v>
      </c>
      <c r="G2453">
        <v>0</v>
      </c>
      <c r="H2453">
        <v>17455</v>
      </c>
      <c r="I2453">
        <v>4</v>
      </c>
      <c r="J2453">
        <v>51</v>
      </c>
      <c r="K2453">
        <v>348</v>
      </c>
      <c r="L2453">
        <v>299</v>
      </c>
      <c r="M2453">
        <v>7.076923077</v>
      </c>
      <c r="N2453">
        <f>IFERROR(VLOOKUP(A2453,vlookup_table!$A:$G,2,FALSE),"")</f>
        <v>0</v>
      </c>
      <c r="O2453">
        <f>IFERROR(VLOOKUP(A2453,vlookup_table!$A:$G,4,FALSE),"")</f>
        <v>2701</v>
      </c>
      <c r="P2453" t="str">
        <f>IFERROR(VLOOKUP(A2453,vlookup_table!$A:$G,5,FALSE),"")</f>
        <v>C2</v>
      </c>
      <c r="Q2453">
        <f>IFERROR(VLOOKUP(A2453,vlookup_table!$A:$G,7,FALSE),"")</f>
        <v>10</v>
      </c>
      <c r="R2453">
        <f t="shared" si="152"/>
        <v>70</v>
      </c>
      <c r="S2453" t="str" cm="1">
        <f t="array" ref="S2453">IF(P2453="","",_xlfn.SWITCH(LEFT(P2453,1),"C","Ciudad","T","Pueblo","R","Rural","S","Suburbano","U","Urbano",""))</f>
        <v>Ciudad</v>
      </c>
      <c r="T2453" t="str">
        <f t="shared" si="153"/>
        <v>M</v>
      </c>
      <c r="U2453" t="str">
        <f t="shared" si="154"/>
        <v>NE</v>
      </c>
      <c r="V2453" t="str">
        <f t="shared" si="155"/>
        <v>17455</v>
      </c>
    </row>
    <row r="2454" spans="1:22" x14ac:dyDescent="0.35">
      <c r="A2454">
        <v>97596</v>
      </c>
      <c r="B2454" t="s">
        <v>16</v>
      </c>
      <c r="C2454" t="s">
        <v>17</v>
      </c>
      <c r="D2454">
        <v>350</v>
      </c>
      <c r="E2454">
        <v>283</v>
      </c>
      <c r="F2454">
        <v>350</v>
      </c>
      <c r="G2454">
        <v>0</v>
      </c>
      <c r="H2454">
        <v>11446</v>
      </c>
      <c r="I2454">
        <v>0</v>
      </c>
      <c r="J2454">
        <v>83</v>
      </c>
      <c r="K2454">
        <v>333</v>
      </c>
      <c r="L2454">
        <v>286</v>
      </c>
      <c r="M2454">
        <v>10</v>
      </c>
      <c r="N2454">
        <f>IFERROR(VLOOKUP(A2454,vlookup_table!$A:$G,2,FALSE),"")</f>
        <v>0</v>
      </c>
      <c r="O2454">
        <f>IFERROR(VLOOKUP(A2454,vlookup_table!$A:$G,4,FALSE),"")</f>
        <v>5801</v>
      </c>
      <c r="P2454" t="str">
        <f>IFERROR(VLOOKUP(A2454,vlookup_table!$A:$G,5,FALSE),"")</f>
        <v>C3</v>
      </c>
      <c r="Q2454">
        <f>IFERROR(VLOOKUP(A2454,vlookup_table!$A:$G,7,FALSE),"")</f>
        <v>15</v>
      </c>
      <c r="R2454">
        <f t="shared" si="152"/>
        <v>39</v>
      </c>
      <c r="S2454" t="str" cm="1">
        <f t="array" ref="S2454">IF(P2454="","",_xlfn.SWITCH(LEFT(P2454,1),"C","Ciudad","T","Pueblo","R","Rural","S","Suburbano","U","Urbano",""))</f>
        <v>Ciudad</v>
      </c>
      <c r="T2454" t="str">
        <f t="shared" si="153"/>
        <v>F</v>
      </c>
      <c r="U2454" t="str">
        <f t="shared" si="154"/>
        <v>IL</v>
      </c>
      <c r="V2454" t="str">
        <f t="shared" si="155"/>
        <v>11446</v>
      </c>
    </row>
    <row r="2455" spans="1:22" x14ac:dyDescent="0.35">
      <c r="A2455">
        <v>12049</v>
      </c>
      <c r="B2455" t="s">
        <v>32</v>
      </c>
      <c r="C2455" t="s">
        <v>14</v>
      </c>
      <c r="D2455">
        <v>326</v>
      </c>
      <c r="E2455">
        <v>125</v>
      </c>
      <c r="F2455">
        <v>213</v>
      </c>
      <c r="G2455">
        <v>0</v>
      </c>
      <c r="H2455">
        <v>8845</v>
      </c>
      <c r="I2455">
        <v>1</v>
      </c>
      <c r="J2455">
        <v>32</v>
      </c>
      <c r="K2455">
        <v>189</v>
      </c>
      <c r="L2455">
        <v>189</v>
      </c>
      <c r="M2455">
        <v>6.3</v>
      </c>
      <c r="N2455">
        <f>IFERROR(VLOOKUP(A2455,vlookup_table!$A:$G,2,FALSE),"")</f>
        <v>0</v>
      </c>
      <c r="O2455">
        <f>IFERROR(VLOOKUP(A2455,vlookup_table!$A:$G,4,FALSE),"")</f>
        <v>2812</v>
      </c>
      <c r="P2455" t="str">
        <f>IFERROR(VLOOKUP(A2455,vlookup_table!$A:$G,5,FALSE),"")</f>
        <v>R3</v>
      </c>
      <c r="Q2455">
        <f>IFERROR(VLOOKUP(A2455,vlookup_table!$A:$G,7,FALSE),"")</f>
        <v>5</v>
      </c>
      <c r="R2455">
        <f t="shared" si="152"/>
        <v>69</v>
      </c>
      <c r="S2455" t="str" cm="1">
        <f t="array" ref="S2455">IF(P2455="","",_xlfn.SWITCH(LEFT(P2455,1),"C","Ciudad","T","Pueblo","R","Rural","S","Suburbano","U","Urbano",""))</f>
        <v>Rural</v>
      </c>
      <c r="T2455" t="str">
        <f t="shared" si="153"/>
        <v>M</v>
      </c>
      <c r="U2455" t="str">
        <f t="shared" si="154"/>
        <v>AR</v>
      </c>
      <c r="V2455" t="str">
        <f t="shared" si="155"/>
        <v>8845</v>
      </c>
    </row>
    <row r="2456" spans="1:22" x14ac:dyDescent="0.35">
      <c r="A2456">
        <v>160334</v>
      </c>
      <c r="B2456" t="s">
        <v>22</v>
      </c>
      <c r="C2456" t="s">
        <v>17</v>
      </c>
      <c r="D2456">
        <v>1724</v>
      </c>
      <c r="E2456">
        <v>455</v>
      </c>
      <c r="F2456">
        <v>539</v>
      </c>
      <c r="G2456">
        <v>31</v>
      </c>
      <c r="H2456">
        <v>20019</v>
      </c>
      <c r="I2456">
        <v>4</v>
      </c>
      <c r="J2456">
        <v>56</v>
      </c>
      <c r="K2456">
        <v>462</v>
      </c>
      <c r="L2456">
        <v>492</v>
      </c>
      <c r="M2456">
        <v>8.6470588240000001</v>
      </c>
      <c r="N2456">
        <f>IFERROR(VLOOKUP(A2456,vlookup_table!$A:$G,2,FALSE),"")</f>
        <v>2</v>
      </c>
      <c r="O2456">
        <f>IFERROR(VLOOKUP(A2456,vlookup_table!$A:$G,4,FALSE),"")</f>
        <v>2001</v>
      </c>
      <c r="P2456" t="str">
        <f>IFERROR(VLOOKUP(A2456,vlookup_table!$A:$G,5,FALSE),"")</f>
        <v>C1</v>
      </c>
      <c r="Q2456">
        <f>IFERROR(VLOOKUP(A2456,vlookup_table!$A:$G,7,FALSE),"")</f>
        <v>15</v>
      </c>
      <c r="R2456">
        <f t="shared" si="152"/>
        <v>77</v>
      </c>
      <c r="S2456" t="str" cm="1">
        <f t="array" ref="S2456">IF(P2456="","",_xlfn.SWITCH(LEFT(P2456,1),"C","Ciudad","T","Pueblo","R","Rural","S","Suburbano","U","Urbano",""))</f>
        <v>Ciudad</v>
      </c>
      <c r="T2456" t="str">
        <f t="shared" si="153"/>
        <v>F</v>
      </c>
      <c r="U2456" t="str">
        <f t="shared" si="154"/>
        <v>CA</v>
      </c>
      <c r="V2456" t="str">
        <f t="shared" si="155"/>
        <v>20019</v>
      </c>
    </row>
    <row r="2457" spans="1:22" x14ac:dyDescent="0.35">
      <c r="A2457">
        <v>132522</v>
      </c>
      <c r="B2457" t="s">
        <v>66</v>
      </c>
      <c r="C2457" t="s">
        <v>51</v>
      </c>
      <c r="D2457">
        <v>1188</v>
      </c>
      <c r="E2457">
        <v>102</v>
      </c>
      <c r="F2457">
        <v>269</v>
      </c>
      <c r="G2457">
        <v>33</v>
      </c>
      <c r="H2457">
        <v>12641</v>
      </c>
      <c r="I2457">
        <v>2</v>
      </c>
      <c r="J2457">
        <v>36</v>
      </c>
      <c r="K2457">
        <v>169</v>
      </c>
      <c r="L2457">
        <v>187</v>
      </c>
      <c r="M2457">
        <v>5.5</v>
      </c>
      <c r="N2457">
        <f>IFERROR(VLOOKUP(A2457,vlookup_table!$A:$G,2,FALSE),"")</f>
        <v>1</v>
      </c>
      <c r="O2457">
        <f>IFERROR(VLOOKUP(A2457,vlookup_table!$A:$G,4,FALSE),"")</f>
        <v>0</v>
      </c>
      <c r="P2457" t="str">
        <f>IFERROR(VLOOKUP(A2457,vlookup_table!$A:$G,5,FALSE),"")</f>
        <v>C2</v>
      </c>
      <c r="Q2457">
        <f>IFERROR(VLOOKUP(A2457,vlookup_table!$A:$G,7,FALSE),"")</f>
        <v>7</v>
      </c>
      <c r="R2457">
        <f t="shared" si="152"/>
        <v>97</v>
      </c>
      <c r="S2457" t="str" cm="1">
        <f t="array" ref="S2457">IF(P2457="","",_xlfn.SWITCH(LEFT(P2457,1),"C","Ciudad","T","Pueblo","R","Rural","S","Suburbano","U","Urbano",""))</f>
        <v>Ciudad</v>
      </c>
      <c r="T2457" t="str">
        <f t="shared" si="153"/>
        <v>M</v>
      </c>
      <c r="U2457" t="str">
        <f t="shared" si="154"/>
        <v>WY</v>
      </c>
      <c r="V2457" t="str">
        <f t="shared" si="155"/>
        <v>12641</v>
      </c>
    </row>
    <row r="2458" spans="1:22" x14ac:dyDescent="0.35">
      <c r="A2458">
        <v>190155</v>
      </c>
      <c r="B2458" t="s">
        <v>55</v>
      </c>
      <c r="C2458" t="s">
        <v>60</v>
      </c>
      <c r="D2458">
        <v>641</v>
      </c>
      <c r="E2458">
        <v>278</v>
      </c>
      <c r="F2458">
        <v>322</v>
      </c>
      <c r="G2458">
        <v>0</v>
      </c>
      <c r="H2458">
        <v>13653</v>
      </c>
      <c r="I2458">
        <v>2</v>
      </c>
      <c r="J2458">
        <v>28</v>
      </c>
      <c r="K2458">
        <v>289</v>
      </c>
      <c r="L2458">
        <v>304</v>
      </c>
      <c r="M2458">
        <v>10.6</v>
      </c>
      <c r="N2458">
        <f>IFERROR(VLOOKUP(A2458,vlookup_table!$A:$G,2,FALSE),"")</f>
        <v>0</v>
      </c>
      <c r="O2458">
        <f>IFERROR(VLOOKUP(A2458,vlookup_table!$A:$G,4,FALSE),"")</f>
        <v>0</v>
      </c>
      <c r="P2458" t="str">
        <f>IFERROR(VLOOKUP(A2458,vlookup_table!$A:$G,5,FALSE),"")</f>
        <v>U3</v>
      </c>
      <c r="Q2458">
        <f>IFERROR(VLOOKUP(A2458,vlookup_table!$A:$G,7,FALSE),"")</f>
        <v>15</v>
      </c>
      <c r="R2458">
        <f t="shared" si="152"/>
        <v>97</v>
      </c>
      <c r="S2458" t="str" cm="1">
        <f t="array" ref="S2458">IF(P2458="","",_xlfn.SWITCH(LEFT(P2458,1),"C","Ciudad","T","Pueblo","R","Rural","S","Suburbano","U","Urbano",""))</f>
        <v>Urbano</v>
      </c>
      <c r="T2458" t="str">
        <f t="shared" si="153"/>
        <v>F</v>
      </c>
      <c r="U2458" t="str">
        <f t="shared" si="154"/>
        <v>AZ</v>
      </c>
      <c r="V2458" t="str">
        <f t="shared" si="155"/>
        <v>13653</v>
      </c>
    </row>
    <row r="2459" spans="1:22" x14ac:dyDescent="0.35">
      <c r="A2459">
        <v>151484</v>
      </c>
      <c r="B2459" t="s">
        <v>22</v>
      </c>
      <c r="C2459" t="s">
        <v>14</v>
      </c>
      <c r="D2459">
        <v>2546</v>
      </c>
      <c r="E2459">
        <v>364</v>
      </c>
      <c r="F2459">
        <v>462</v>
      </c>
      <c r="G2459">
        <v>78</v>
      </c>
      <c r="H2459">
        <v>15100</v>
      </c>
      <c r="I2459">
        <v>43</v>
      </c>
      <c r="J2459">
        <v>37</v>
      </c>
      <c r="K2459">
        <v>389</v>
      </c>
      <c r="L2459">
        <v>444</v>
      </c>
      <c r="M2459">
        <v>7.7647058820000003</v>
      </c>
      <c r="N2459">
        <f>IFERROR(VLOOKUP(A2459,vlookup_table!$A:$G,2,FALSE),"")</f>
        <v>1</v>
      </c>
      <c r="O2459">
        <f>IFERROR(VLOOKUP(A2459,vlookup_table!$A:$G,4,FALSE),"")</f>
        <v>6201</v>
      </c>
      <c r="P2459" t="str">
        <f>IFERROR(VLOOKUP(A2459,vlookup_table!$A:$G,5,FALSE),"")</f>
        <v>U1</v>
      </c>
      <c r="Q2459">
        <f>IFERROR(VLOOKUP(A2459,vlookup_table!$A:$G,7,FALSE),"")</f>
        <v>14</v>
      </c>
      <c r="R2459">
        <f t="shared" si="152"/>
        <v>35</v>
      </c>
      <c r="S2459" t="str" cm="1">
        <f t="array" ref="S2459">IF(P2459="","",_xlfn.SWITCH(LEFT(P2459,1),"C","Ciudad","T","Pueblo","R","Rural","S","Suburbano","U","Urbano",""))</f>
        <v>Urbano</v>
      </c>
      <c r="T2459" t="str">
        <f t="shared" si="153"/>
        <v>M</v>
      </c>
      <c r="U2459" t="str">
        <f t="shared" si="154"/>
        <v>CA</v>
      </c>
      <c r="V2459" t="str">
        <f t="shared" si="155"/>
        <v>15100</v>
      </c>
    </row>
    <row r="2460" spans="1:22" x14ac:dyDescent="0.35">
      <c r="A2460">
        <v>6981</v>
      </c>
      <c r="B2460" t="s">
        <v>16</v>
      </c>
      <c r="C2460" t="s">
        <v>17</v>
      </c>
      <c r="D2460">
        <v>397</v>
      </c>
      <c r="E2460">
        <v>287</v>
      </c>
      <c r="F2460">
        <v>374</v>
      </c>
      <c r="G2460">
        <v>0</v>
      </c>
      <c r="H2460">
        <v>12683</v>
      </c>
      <c r="I2460">
        <v>0</v>
      </c>
      <c r="J2460">
        <v>85</v>
      </c>
      <c r="K2460">
        <v>333</v>
      </c>
      <c r="L2460">
        <v>329</v>
      </c>
      <c r="M2460">
        <v>5.1290322579999996</v>
      </c>
      <c r="N2460">
        <f>IFERROR(VLOOKUP(A2460,vlookup_table!$A:$G,2,FALSE),"")</f>
        <v>2</v>
      </c>
      <c r="O2460">
        <f>IFERROR(VLOOKUP(A2460,vlookup_table!$A:$G,4,FALSE),"")</f>
        <v>0</v>
      </c>
      <c r="P2460">
        <f>IFERROR(VLOOKUP(A2460,vlookup_table!$A:$G,5,FALSE),"")</f>
        <v>0</v>
      </c>
      <c r="Q2460">
        <f>IFERROR(VLOOKUP(A2460,vlookup_table!$A:$G,7,FALSE),"")</f>
        <v>10</v>
      </c>
      <c r="R2460">
        <f t="shared" si="152"/>
        <v>97</v>
      </c>
      <c r="S2460" t="str" cm="1">
        <f t="array" ref="S2460">IF(P2460="","",_xlfn.SWITCH(LEFT(P2460,1),"C","Ciudad","T","Pueblo","R","Rural","S","Suburbano","U","Urbano",""))</f>
        <v/>
      </c>
      <c r="T2460" t="str">
        <f t="shared" si="153"/>
        <v>F</v>
      </c>
      <c r="U2460" t="str">
        <f t="shared" si="154"/>
        <v>IL</v>
      </c>
      <c r="V2460" t="str">
        <f t="shared" si="155"/>
        <v>12683</v>
      </c>
    </row>
    <row r="2461" spans="1:22" x14ac:dyDescent="0.35">
      <c r="A2461">
        <v>154055</v>
      </c>
      <c r="B2461" t="s">
        <v>22</v>
      </c>
      <c r="C2461" t="s">
        <v>17</v>
      </c>
      <c r="D2461">
        <v>2953</v>
      </c>
      <c r="E2461">
        <v>247</v>
      </c>
      <c r="F2461">
        <v>384</v>
      </c>
      <c r="G2461">
        <v>87</v>
      </c>
      <c r="H2461">
        <v>16742</v>
      </c>
      <c r="I2461">
        <v>17</v>
      </c>
      <c r="J2461">
        <v>27</v>
      </c>
      <c r="K2461">
        <v>307</v>
      </c>
      <c r="L2461">
        <v>303</v>
      </c>
      <c r="M2461">
        <v>7.923076923</v>
      </c>
      <c r="N2461">
        <f>IFERROR(VLOOKUP(A2461,vlookup_table!$A:$G,2,FALSE),"")</f>
        <v>0</v>
      </c>
      <c r="O2461">
        <f>IFERROR(VLOOKUP(A2461,vlookup_table!$A:$G,4,FALSE),"")</f>
        <v>0</v>
      </c>
      <c r="P2461" t="str">
        <f>IFERROR(VLOOKUP(A2461,vlookup_table!$A:$G,5,FALSE),"")</f>
        <v>S1</v>
      </c>
      <c r="Q2461">
        <f>IFERROR(VLOOKUP(A2461,vlookup_table!$A:$G,7,FALSE),"")</f>
        <v>10</v>
      </c>
      <c r="R2461">
        <f t="shared" si="152"/>
        <v>97</v>
      </c>
      <c r="S2461" t="str" cm="1">
        <f t="array" ref="S2461">IF(P2461="","",_xlfn.SWITCH(LEFT(P2461,1),"C","Ciudad","T","Pueblo","R","Rural","S","Suburbano","U","Urbano",""))</f>
        <v>Suburbano</v>
      </c>
      <c r="T2461" t="str">
        <f t="shared" si="153"/>
        <v>F</v>
      </c>
      <c r="U2461" t="str">
        <f t="shared" si="154"/>
        <v>CA</v>
      </c>
      <c r="V2461" t="str">
        <f t="shared" si="155"/>
        <v>16742</v>
      </c>
    </row>
    <row r="2462" spans="1:22" x14ac:dyDescent="0.35">
      <c r="A2462">
        <v>122664</v>
      </c>
      <c r="B2462" t="s">
        <v>21</v>
      </c>
      <c r="C2462" t="s">
        <v>17</v>
      </c>
      <c r="D2462">
        <v>745</v>
      </c>
      <c r="E2462">
        <v>275</v>
      </c>
      <c r="F2462">
        <v>325</v>
      </c>
      <c r="G2462">
        <v>3</v>
      </c>
      <c r="H2462">
        <v>10957</v>
      </c>
      <c r="I2462">
        <v>5</v>
      </c>
      <c r="J2462">
        <v>68</v>
      </c>
      <c r="K2462">
        <v>301</v>
      </c>
      <c r="L2462">
        <v>295</v>
      </c>
      <c r="M2462">
        <v>20</v>
      </c>
      <c r="N2462">
        <f>IFERROR(VLOOKUP(A2462,vlookup_table!$A:$G,2,FALSE),"")</f>
        <v>0</v>
      </c>
      <c r="O2462">
        <f>IFERROR(VLOOKUP(A2462,vlookup_table!$A:$G,4,FALSE),"")</f>
        <v>4501</v>
      </c>
      <c r="P2462" t="str">
        <f>IFERROR(VLOOKUP(A2462,vlookup_table!$A:$G,5,FALSE),"")</f>
        <v>T2</v>
      </c>
      <c r="Q2462">
        <f>IFERROR(VLOOKUP(A2462,vlookup_table!$A:$G,7,FALSE),"")</f>
        <v>20</v>
      </c>
      <c r="R2462">
        <f t="shared" si="152"/>
        <v>52</v>
      </c>
      <c r="S2462" t="str" cm="1">
        <f t="array" ref="S2462">IF(P2462="","",_xlfn.SWITCH(LEFT(P2462,1),"C","Ciudad","T","Pueblo","R","Rural","S","Suburbano","U","Urbano",""))</f>
        <v>Pueblo</v>
      </c>
      <c r="T2462" t="str">
        <f t="shared" si="153"/>
        <v>F</v>
      </c>
      <c r="U2462" t="str">
        <f t="shared" si="154"/>
        <v>TX</v>
      </c>
      <c r="V2462" t="str">
        <f t="shared" si="155"/>
        <v>10957</v>
      </c>
    </row>
    <row r="2463" spans="1:22" x14ac:dyDescent="0.35">
      <c r="A2463">
        <v>157275</v>
      </c>
      <c r="B2463" t="s">
        <v>22</v>
      </c>
      <c r="C2463" t="s">
        <v>17</v>
      </c>
      <c r="D2463">
        <v>3454</v>
      </c>
      <c r="E2463">
        <v>470</v>
      </c>
      <c r="F2463">
        <v>665</v>
      </c>
      <c r="G2463">
        <v>94</v>
      </c>
      <c r="H2463">
        <v>34702</v>
      </c>
      <c r="I2463">
        <v>10</v>
      </c>
      <c r="J2463">
        <v>36</v>
      </c>
      <c r="K2463">
        <v>571</v>
      </c>
      <c r="L2463">
        <v>553</v>
      </c>
      <c r="M2463">
        <v>13.5625</v>
      </c>
      <c r="N2463">
        <f>IFERROR(VLOOKUP(A2463,vlookup_table!$A:$G,2,FALSE),"")</f>
        <v>0</v>
      </c>
      <c r="O2463">
        <f>IFERROR(VLOOKUP(A2463,vlookup_table!$A:$G,4,FALSE),"")</f>
        <v>2001</v>
      </c>
      <c r="P2463" t="str">
        <f>IFERROR(VLOOKUP(A2463,vlookup_table!$A:$G,5,FALSE),"")</f>
        <v>S1</v>
      </c>
      <c r="Q2463">
        <f>IFERROR(VLOOKUP(A2463,vlookup_table!$A:$G,7,FALSE),"")</f>
        <v>10</v>
      </c>
      <c r="R2463">
        <f t="shared" si="152"/>
        <v>77</v>
      </c>
      <c r="S2463" t="str" cm="1">
        <f t="array" ref="S2463">IF(P2463="","",_xlfn.SWITCH(LEFT(P2463,1),"C","Ciudad","T","Pueblo","R","Rural","S","Suburbano","U","Urbano",""))</f>
        <v>Suburbano</v>
      </c>
      <c r="T2463" t="str">
        <f t="shared" si="153"/>
        <v>F</v>
      </c>
      <c r="U2463" t="str">
        <f t="shared" si="154"/>
        <v>CA</v>
      </c>
      <c r="V2463" t="str">
        <f t="shared" si="155"/>
        <v>34702</v>
      </c>
    </row>
    <row r="2464" spans="1:22" x14ac:dyDescent="0.35">
      <c r="A2464">
        <v>149769</v>
      </c>
      <c r="B2464" t="s">
        <v>22</v>
      </c>
      <c r="C2464" t="s">
        <v>17</v>
      </c>
      <c r="D2464">
        <v>2172</v>
      </c>
      <c r="E2464">
        <v>352</v>
      </c>
      <c r="F2464">
        <v>369</v>
      </c>
      <c r="G2464">
        <v>63</v>
      </c>
      <c r="H2464">
        <v>11235</v>
      </c>
      <c r="I2464">
        <v>47</v>
      </c>
      <c r="J2464">
        <v>34</v>
      </c>
      <c r="K2464">
        <v>344</v>
      </c>
      <c r="L2464">
        <v>413</v>
      </c>
      <c r="M2464">
        <v>22.75</v>
      </c>
      <c r="N2464">
        <f>IFERROR(VLOOKUP(A2464,vlookup_table!$A:$G,2,FALSE),"")</f>
        <v>2</v>
      </c>
      <c r="O2464">
        <f>IFERROR(VLOOKUP(A2464,vlookup_table!$A:$G,4,FALSE),"")</f>
        <v>3001</v>
      </c>
      <c r="P2464" t="str">
        <f>IFERROR(VLOOKUP(A2464,vlookup_table!$A:$G,5,FALSE),"")</f>
        <v>U2</v>
      </c>
      <c r="Q2464">
        <f>IFERROR(VLOOKUP(A2464,vlookup_table!$A:$G,7,FALSE),"")</f>
        <v>46</v>
      </c>
      <c r="R2464">
        <f t="shared" si="152"/>
        <v>67</v>
      </c>
      <c r="S2464" t="str" cm="1">
        <f t="array" ref="S2464">IF(P2464="","",_xlfn.SWITCH(LEFT(P2464,1),"C","Ciudad","T","Pueblo","R","Rural","S","Suburbano","U","Urbano",""))</f>
        <v>Urbano</v>
      </c>
      <c r="T2464" t="str">
        <f t="shared" si="153"/>
        <v>F</v>
      </c>
      <c r="U2464" t="str">
        <f t="shared" si="154"/>
        <v>CA</v>
      </c>
      <c r="V2464" t="str">
        <f t="shared" si="155"/>
        <v>11235</v>
      </c>
    </row>
    <row r="2465" spans="1:22" x14ac:dyDescent="0.35">
      <c r="A2465">
        <v>90314</v>
      </c>
      <c r="B2465" t="s">
        <v>16</v>
      </c>
      <c r="C2465" t="s">
        <v>17</v>
      </c>
      <c r="D2465">
        <v>1081</v>
      </c>
      <c r="E2465">
        <v>474</v>
      </c>
      <c r="F2465">
        <v>495</v>
      </c>
      <c r="G2465">
        <v>1</v>
      </c>
      <c r="H2465">
        <v>15312</v>
      </c>
      <c r="I2465">
        <v>5</v>
      </c>
      <c r="J2465">
        <v>71</v>
      </c>
      <c r="K2465">
        <v>484</v>
      </c>
      <c r="L2465">
        <v>489</v>
      </c>
      <c r="M2465">
        <v>7.9411764710000003</v>
      </c>
      <c r="N2465">
        <f>IFERROR(VLOOKUP(A2465,vlookup_table!$A:$G,2,FALSE),"")</f>
        <v>2</v>
      </c>
      <c r="O2465">
        <f>IFERROR(VLOOKUP(A2465,vlookup_table!$A:$G,4,FALSE),"")</f>
        <v>3407</v>
      </c>
      <c r="P2465" t="str">
        <f>IFERROR(VLOOKUP(A2465,vlookup_table!$A:$G,5,FALSE),"")</f>
        <v>S1</v>
      </c>
      <c r="Q2465">
        <f>IFERROR(VLOOKUP(A2465,vlookup_table!$A:$G,7,FALSE),"")</f>
        <v>7</v>
      </c>
      <c r="R2465">
        <f t="shared" si="152"/>
        <v>63</v>
      </c>
      <c r="S2465" t="str" cm="1">
        <f t="array" ref="S2465">IF(P2465="","",_xlfn.SWITCH(LEFT(P2465,1),"C","Ciudad","T","Pueblo","R","Rural","S","Suburbano","U","Urbano",""))</f>
        <v>Suburbano</v>
      </c>
      <c r="T2465" t="str">
        <f t="shared" si="153"/>
        <v>F</v>
      </c>
      <c r="U2465" t="str">
        <f t="shared" si="154"/>
        <v>IL</v>
      </c>
      <c r="V2465" t="str">
        <f t="shared" si="155"/>
        <v>15312</v>
      </c>
    </row>
    <row r="2466" spans="1:22" x14ac:dyDescent="0.35">
      <c r="A2466">
        <v>175396</v>
      </c>
      <c r="B2466" t="s">
        <v>50</v>
      </c>
      <c r="C2466" t="s">
        <v>17</v>
      </c>
      <c r="D2466">
        <v>409</v>
      </c>
      <c r="E2466">
        <v>220</v>
      </c>
      <c r="F2466">
        <v>297</v>
      </c>
      <c r="G2466">
        <v>0</v>
      </c>
      <c r="H2466">
        <v>10461</v>
      </c>
      <c r="I2466">
        <v>5</v>
      </c>
      <c r="J2466">
        <v>58</v>
      </c>
      <c r="K2466">
        <v>275</v>
      </c>
      <c r="L2466">
        <v>275</v>
      </c>
      <c r="M2466">
        <v>13</v>
      </c>
      <c r="N2466">
        <f>IFERROR(VLOOKUP(A2466,vlookup_table!$A:$G,2,FALSE),"")</f>
        <v>0</v>
      </c>
      <c r="O2466">
        <f>IFERROR(VLOOKUP(A2466,vlookup_table!$A:$G,4,FALSE),"")</f>
        <v>5312</v>
      </c>
      <c r="P2466" t="str">
        <f>IFERROR(VLOOKUP(A2466,vlookup_table!$A:$G,5,FALSE),"")</f>
        <v>U4</v>
      </c>
      <c r="Q2466">
        <f>IFERROR(VLOOKUP(A2466,vlookup_table!$A:$G,7,FALSE),"")</f>
        <v>22</v>
      </c>
      <c r="R2466">
        <f t="shared" si="152"/>
        <v>44</v>
      </c>
      <c r="S2466" t="str" cm="1">
        <f t="array" ref="S2466">IF(P2466="","",_xlfn.SWITCH(LEFT(P2466,1),"C","Ciudad","T","Pueblo","R","Rural","S","Suburbano","U","Urbano",""))</f>
        <v>Urbano</v>
      </c>
      <c r="T2466" t="str">
        <f t="shared" si="153"/>
        <v>F</v>
      </c>
      <c r="U2466" t="str">
        <f t="shared" si="154"/>
        <v>OR</v>
      </c>
      <c r="V2466" t="str">
        <f t="shared" si="155"/>
        <v>10461</v>
      </c>
    </row>
    <row r="2467" spans="1:22" x14ac:dyDescent="0.35">
      <c r="A2467">
        <v>133949</v>
      </c>
      <c r="B2467" t="s">
        <v>38</v>
      </c>
      <c r="C2467" t="s">
        <v>14</v>
      </c>
      <c r="D2467">
        <v>723</v>
      </c>
      <c r="E2467">
        <v>317</v>
      </c>
      <c r="F2467">
        <v>386</v>
      </c>
      <c r="G2467">
        <v>3</v>
      </c>
      <c r="H2467">
        <v>8903</v>
      </c>
      <c r="I2467">
        <v>1</v>
      </c>
      <c r="J2467">
        <v>76</v>
      </c>
      <c r="K2467">
        <v>340</v>
      </c>
      <c r="L2467">
        <v>360</v>
      </c>
      <c r="M2467">
        <v>6.0943750000000003</v>
      </c>
      <c r="N2467">
        <f>IFERROR(VLOOKUP(A2467,vlookup_table!$A:$G,2,FALSE),"")</f>
        <v>1</v>
      </c>
      <c r="O2467">
        <f>IFERROR(VLOOKUP(A2467,vlookup_table!$A:$G,4,FALSE),"")</f>
        <v>0</v>
      </c>
      <c r="P2467" t="str">
        <f>IFERROR(VLOOKUP(A2467,vlookup_table!$A:$G,5,FALSE),"")</f>
        <v>T2</v>
      </c>
      <c r="Q2467">
        <f>IFERROR(VLOOKUP(A2467,vlookup_table!$A:$G,7,FALSE),"")</f>
        <v>6</v>
      </c>
      <c r="R2467">
        <f t="shared" si="152"/>
        <v>97</v>
      </c>
      <c r="S2467" t="str" cm="1">
        <f t="array" ref="S2467">IF(P2467="","",_xlfn.SWITCH(LEFT(P2467,1),"C","Ciudad","T","Pueblo","R","Rural","S","Suburbano","U","Urbano",""))</f>
        <v>Pueblo</v>
      </c>
      <c r="T2467" t="str">
        <f t="shared" si="153"/>
        <v>M</v>
      </c>
      <c r="U2467" t="str">
        <f t="shared" si="154"/>
        <v>UT</v>
      </c>
      <c r="V2467" t="str">
        <f t="shared" si="155"/>
        <v>8903</v>
      </c>
    </row>
    <row r="2468" spans="1:22" x14ac:dyDescent="0.35">
      <c r="A2468">
        <v>164461</v>
      </c>
      <c r="B2468" t="s">
        <v>22</v>
      </c>
      <c r="C2468" t="s">
        <v>14</v>
      </c>
      <c r="D2468">
        <v>2632</v>
      </c>
      <c r="E2468">
        <v>517</v>
      </c>
      <c r="F2468">
        <v>618</v>
      </c>
      <c r="G2468">
        <v>79</v>
      </c>
      <c r="H2468">
        <v>22438</v>
      </c>
      <c r="I2468">
        <v>22</v>
      </c>
      <c r="J2468">
        <v>39</v>
      </c>
      <c r="K2468">
        <v>572</v>
      </c>
      <c r="L2468">
        <v>571</v>
      </c>
      <c r="M2468">
        <v>6.6</v>
      </c>
      <c r="N2468">
        <f>IFERROR(VLOOKUP(A2468,vlookup_table!$A:$G,2,FALSE),"")</f>
        <v>0</v>
      </c>
      <c r="O2468">
        <f>IFERROR(VLOOKUP(A2468,vlookup_table!$A:$G,4,FALSE),"")</f>
        <v>5601</v>
      </c>
      <c r="P2468" t="str">
        <f>IFERROR(VLOOKUP(A2468,vlookup_table!$A:$G,5,FALSE),"")</f>
        <v>S1</v>
      </c>
      <c r="Q2468">
        <f>IFERROR(VLOOKUP(A2468,vlookup_table!$A:$G,7,FALSE),"")</f>
        <v>8</v>
      </c>
      <c r="R2468">
        <f t="shared" si="152"/>
        <v>41</v>
      </c>
      <c r="S2468" t="str" cm="1">
        <f t="array" ref="S2468">IF(P2468="","",_xlfn.SWITCH(LEFT(P2468,1),"C","Ciudad","T","Pueblo","R","Rural","S","Suburbano","U","Urbano",""))</f>
        <v>Suburbano</v>
      </c>
      <c r="T2468" t="str">
        <f t="shared" si="153"/>
        <v>M</v>
      </c>
      <c r="U2468" t="str">
        <f t="shared" si="154"/>
        <v>CA</v>
      </c>
      <c r="V2468" t="str">
        <f t="shared" si="155"/>
        <v>22438</v>
      </c>
    </row>
    <row r="2469" spans="1:22" x14ac:dyDescent="0.35">
      <c r="A2469">
        <v>119089</v>
      </c>
      <c r="B2469" t="s">
        <v>21</v>
      </c>
      <c r="C2469" t="s">
        <v>14</v>
      </c>
      <c r="D2469">
        <v>1038</v>
      </c>
      <c r="E2469">
        <v>482</v>
      </c>
      <c r="F2469">
        <v>626</v>
      </c>
      <c r="G2469">
        <v>0</v>
      </c>
      <c r="H2469">
        <v>24816</v>
      </c>
      <c r="I2469">
        <v>0</v>
      </c>
      <c r="J2469">
        <v>61</v>
      </c>
      <c r="K2469">
        <v>535</v>
      </c>
      <c r="L2469">
        <v>580</v>
      </c>
      <c r="M2469">
        <v>8.1</v>
      </c>
      <c r="N2469">
        <f>IFERROR(VLOOKUP(A2469,vlookup_table!$A:$G,2,FALSE),"")</f>
        <v>0</v>
      </c>
      <c r="O2469">
        <f>IFERROR(VLOOKUP(A2469,vlookup_table!$A:$G,4,FALSE),"")</f>
        <v>2301</v>
      </c>
      <c r="P2469" t="str">
        <f>IFERROR(VLOOKUP(A2469,vlookup_table!$A:$G,5,FALSE),"")</f>
        <v>R2</v>
      </c>
      <c r="Q2469">
        <f>IFERROR(VLOOKUP(A2469,vlookup_table!$A:$G,7,FALSE),"")</f>
        <v>11</v>
      </c>
      <c r="R2469">
        <f t="shared" si="152"/>
        <v>74</v>
      </c>
      <c r="S2469" t="str" cm="1">
        <f t="array" ref="S2469">IF(P2469="","",_xlfn.SWITCH(LEFT(P2469,1),"C","Ciudad","T","Pueblo","R","Rural","S","Suburbano","U","Urbano",""))</f>
        <v>Rural</v>
      </c>
      <c r="T2469" t="str">
        <f t="shared" si="153"/>
        <v>M</v>
      </c>
      <c r="U2469" t="str">
        <f t="shared" si="154"/>
        <v>TX</v>
      </c>
      <c r="V2469" t="str">
        <f t="shared" si="155"/>
        <v>24816</v>
      </c>
    </row>
    <row r="2470" spans="1:22" x14ac:dyDescent="0.35">
      <c r="A2470">
        <v>61421</v>
      </c>
      <c r="B2470" t="s">
        <v>33</v>
      </c>
      <c r="C2470" t="s">
        <v>17</v>
      </c>
      <c r="D2470">
        <v>666</v>
      </c>
      <c r="E2470">
        <v>341</v>
      </c>
      <c r="F2470">
        <v>417</v>
      </c>
      <c r="G2470">
        <v>0</v>
      </c>
      <c r="H2470">
        <v>13897</v>
      </c>
      <c r="I2470">
        <v>3</v>
      </c>
      <c r="J2470">
        <v>68</v>
      </c>
      <c r="K2470">
        <v>399</v>
      </c>
      <c r="L2470">
        <v>403</v>
      </c>
      <c r="M2470">
        <v>17.166666670000001</v>
      </c>
      <c r="N2470">
        <f>IFERROR(VLOOKUP(A2470,vlookup_table!$A:$G,2,FALSE),"")</f>
        <v>2</v>
      </c>
      <c r="O2470">
        <f>IFERROR(VLOOKUP(A2470,vlookup_table!$A:$G,4,FALSE),"")</f>
        <v>1807</v>
      </c>
      <c r="P2470" t="str">
        <f>IFERROR(VLOOKUP(A2470,vlookup_table!$A:$G,5,FALSE),"")</f>
        <v>C3</v>
      </c>
      <c r="Q2470">
        <f>IFERROR(VLOOKUP(A2470,vlookup_table!$A:$G,7,FALSE),"")</f>
        <v>20</v>
      </c>
      <c r="R2470">
        <f t="shared" si="152"/>
        <v>79</v>
      </c>
      <c r="S2470" t="str" cm="1">
        <f t="array" ref="S2470">IF(P2470="","",_xlfn.SWITCH(LEFT(P2470,1),"C","Ciudad","T","Pueblo","R","Rural","S","Suburbano","U","Urbano",""))</f>
        <v>Ciudad</v>
      </c>
      <c r="T2470" t="str">
        <f t="shared" si="153"/>
        <v>F</v>
      </c>
      <c r="U2470" t="str">
        <f t="shared" si="154"/>
        <v>IN</v>
      </c>
      <c r="V2470" t="str">
        <f t="shared" si="155"/>
        <v>13897</v>
      </c>
    </row>
    <row r="2471" spans="1:22" x14ac:dyDescent="0.35">
      <c r="A2471">
        <v>5546</v>
      </c>
      <c r="B2471" t="s">
        <v>13</v>
      </c>
      <c r="C2471" t="s">
        <v>17</v>
      </c>
      <c r="D2471">
        <v>717</v>
      </c>
      <c r="E2471">
        <v>278</v>
      </c>
      <c r="F2471">
        <v>360</v>
      </c>
      <c r="G2471">
        <v>1</v>
      </c>
      <c r="H2471">
        <v>13366</v>
      </c>
      <c r="I2471">
        <v>5</v>
      </c>
      <c r="J2471">
        <v>14</v>
      </c>
      <c r="K2471">
        <v>315</v>
      </c>
      <c r="L2471">
        <v>316</v>
      </c>
      <c r="M2471">
        <v>9.4444444440000002</v>
      </c>
      <c r="N2471">
        <f>IFERROR(VLOOKUP(A2471,vlookup_table!$A:$G,2,FALSE),"")</f>
        <v>2</v>
      </c>
      <c r="O2471">
        <f>IFERROR(VLOOKUP(A2471,vlookup_table!$A:$G,4,FALSE),"")</f>
        <v>1905</v>
      </c>
      <c r="P2471" t="str">
        <f>IFERROR(VLOOKUP(A2471,vlookup_table!$A:$G,5,FALSE),"")</f>
        <v>C2</v>
      </c>
      <c r="Q2471">
        <f>IFERROR(VLOOKUP(A2471,vlookup_table!$A:$G,7,FALSE),"")</f>
        <v>10</v>
      </c>
      <c r="R2471">
        <f t="shared" si="152"/>
        <v>78</v>
      </c>
      <c r="S2471" t="str" cm="1">
        <f t="array" ref="S2471">IF(P2471="","",_xlfn.SWITCH(LEFT(P2471,1),"C","Ciudad","T","Pueblo","R","Rural","S","Suburbano","U","Urbano",""))</f>
        <v>Ciudad</v>
      </c>
      <c r="T2471" t="str">
        <f t="shared" si="153"/>
        <v>F</v>
      </c>
      <c r="U2471" t="str">
        <f t="shared" si="154"/>
        <v>FL</v>
      </c>
      <c r="V2471" t="str">
        <f t="shared" si="155"/>
        <v>13366</v>
      </c>
    </row>
    <row r="2472" spans="1:22" x14ac:dyDescent="0.35">
      <c r="A2472">
        <v>183747</v>
      </c>
      <c r="B2472" t="s">
        <v>40</v>
      </c>
      <c r="C2472" t="s">
        <v>17</v>
      </c>
      <c r="D2472">
        <v>902</v>
      </c>
      <c r="E2472">
        <v>374</v>
      </c>
      <c r="F2472">
        <v>505</v>
      </c>
      <c r="G2472">
        <v>8</v>
      </c>
      <c r="H2472">
        <v>20810</v>
      </c>
      <c r="I2472">
        <v>2</v>
      </c>
      <c r="J2472">
        <v>45</v>
      </c>
      <c r="K2472">
        <v>367</v>
      </c>
      <c r="L2472">
        <v>505</v>
      </c>
      <c r="M2472">
        <v>18.75</v>
      </c>
      <c r="N2472">
        <f>IFERROR(VLOOKUP(A2472,vlookup_table!$A:$G,2,FALSE),"")</f>
        <v>0</v>
      </c>
      <c r="O2472">
        <f>IFERROR(VLOOKUP(A2472,vlookup_table!$A:$G,4,FALSE),"")</f>
        <v>4701</v>
      </c>
      <c r="P2472" t="str">
        <f>IFERROR(VLOOKUP(A2472,vlookup_table!$A:$G,5,FALSE),"")</f>
        <v>R1</v>
      </c>
      <c r="Q2472">
        <f>IFERROR(VLOOKUP(A2472,vlookup_table!$A:$G,7,FALSE),"")</f>
        <v>25</v>
      </c>
      <c r="R2472">
        <f t="shared" si="152"/>
        <v>50</v>
      </c>
      <c r="S2472" t="str" cm="1">
        <f t="array" ref="S2472">IF(P2472="","",_xlfn.SWITCH(LEFT(P2472,1),"C","Ciudad","T","Pueblo","R","Rural","S","Suburbano","U","Urbano",""))</f>
        <v>Rural</v>
      </c>
      <c r="T2472" t="str">
        <f t="shared" si="153"/>
        <v>F</v>
      </c>
      <c r="U2472" t="str">
        <f t="shared" si="154"/>
        <v>WA</v>
      </c>
      <c r="V2472" t="str">
        <f t="shared" si="155"/>
        <v>20810</v>
      </c>
    </row>
    <row r="2473" spans="1:22" x14ac:dyDescent="0.35">
      <c r="A2473">
        <v>20802</v>
      </c>
      <c r="B2473" t="s">
        <v>18</v>
      </c>
      <c r="C2473" t="s">
        <v>30</v>
      </c>
      <c r="D2473">
        <v>436</v>
      </c>
      <c r="E2473">
        <v>160</v>
      </c>
      <c r="F2473">
        <v>258</v>
      </c>
      <c r="G2473">
        <v>1</v>
      </c>
      <c r="H2473">
        <v>8631</v>
      </c>
      <c r="I2473">
        <v>1</v>
      </c>
      <c r="J2473">
        <v>89</v>
      </c>
      <c r="K2473">
        <v>206</v>
      </c>
      <c r="L2473">
        <v>214</v>
      </c>
      <c r="M2473">
        <v>15</v>
      </c>
      <c r="N2473">
        <f>IFERROR(VLOOKUP(A2473,vlookup_table!$A:$G,2,FALSE),"")</f>
        <v>0</v>
      </c>
      <c r="O2473">
        <f>IFERROR(VLOOKUP(A2473,vlookup_table!$A:$G,4,FALSE),"")</f>
        <v>2501</v>
      </c>
      <c r="P2473" t="str">
        <f>IFERROR(VLOOKUP(A2473,vlookup_table!$A:$G,5,FALSE),"")</f>
        <v>T2</v>
      </c>
      <c r="Q2473">
        <f>IFERROR(VLOOKUP(A2473,vlookup_table!$A:$G,7,FALSE),"")</f>
        <v>25</v>
      </c>
      <c r="R2473">
        <f t="shared" si="152"/>
        <v>72</v>
      </c>
      <c r="S2473" t="str" cm="1">
        <f t="array" ref="S2473">IF(P2473="","",_xlfn.SWITCH(LEFT(P2473,1),"C","Ciudad","T","Pueblo","R","Rural","S","Suburbano","U","Urbano",""))</f>
        <v>Pueblo</v>
      </c>
      <c r="T2473" t="str">
        <f t="shared" si="153"/>
        <v>U</v>
      </c>
      <c r="U2473" t="str">
        <f t="shared" si="154"/>
        <v>NC</v>
      </c>
      <c r="V2473" t="str">
        <f t="shared" si="155"/>
        <v>8631</v>
      </c>
    </row>
    <row r="2474" spans="1:22" x14ac:dyDescent="0.35">
      <c r="A2474">
        <v>107644</v>
      </c>
      <c r="B2474" t="s">
        <v>59</v>
      </c>
      <c r="C2474" t="s">
        <v>14</v>
      </c>
      <c r="D2474">
        <v>422</v>
      </c>
      <c r="E2474">
        <v>268</v>
      </c>
      <c r="F2474">
        <v>376</v>
      </c>
      <c r="G2474">
        <v>0</v>
      </c>
      <c r="H2474">
        <v>13261</v>
      </c>
      <c r="I2474">
        <v>0</v>
      </c>
      <c r="J2474">
        <v>81</v>
      </c>
      <c r="K2474">
        <v>326</v>
      </c>
      <c r="L2474">
        <v>320</v>
      </c>
      <c r="M2474">
        <v>6.1875</v>
      </c>
      <c r="N2474">
        <f>IFERROR(VLOOKUP(A2474,vlookup_table!$A:$G,2,FALSE),"")</f>
        <v>1</v>
      </c>
      <c r="O2474">
        <f>IFERROR(VLOOKUP(A2474,vlookup_table!$A:$G,4,FALSE),"")</f>
        <v>2109</v>
      </c>
      <c r="P2474" t="str">
        <f>IFERROR(VLOOKUP(A2474,vlookup_table!$A:$G,5,FALSE),"")</f>
        <v>R2</v>
      </c>
      <c r="Q2474">
        <f>IFERROR(VLOOKUP(A2474,vlookup_table!$A:$G,7,FALSE),"")</f>
        <v>7</v>
      </c>
      <c r="R2474">
        <f t="shared" si="152"/>
        <v>76</v>
      </c>
      <c r="S2474" t="str" cm="1">
        <f t="array" ref="S2474">IF(P2474="","",_xlfn.SWITCH(LEFT(P2474,1),"C","Ciudad","T","Pueblo","R","Rural","S","Suburbano","U","Urbano",""))</f>
        <v>Rural</v>
      </c>
      <c r="T2474" t="str">
        <f t="shared" si="153"/>
        <v>M</v>
      </c>
      <c r="U2474" t="str">
        <f t="shared" si="154"/>
        <v>NE</v>
      </c>
      <c r="V2474" t="str">
        <f t="shared" si="155"/>
        <v>13261</v>
      </c>
    </row>
    <row r="2475" spans="1:22" x14ac:dyDescent="0.35">
      <c r="A2475">
        <v>139563</v>
      </c>
      <c r="B2475" t="s">
        <v>54</v>
      </c>
      <c r="C2475" t="s">
        <v>14</v>
      </c>
      <c r="D2475">
        <v>1647</v>
      </c>
      <c r="E2475">
        <v>541</v>
      </c>
      <c r="F2475">
        <v>642</v>
      </c>
      <c r="G2475">
        <v>21</v>
      </c>
      <c r="H2475">
        <v>26255</v>
      </c>
      <c r="I2475">
        <v>9</v>
      </c>
      <c r="J2475">
        <v>22</v>
      </c>
      <c r="K2475">
        <v>599</v>
      </c>
      <c r="L2475">
        <v>611</v>
      </c>
      <c r="M2475">
        <v>7.3888888890000004</v>
      </c>
      <c r="N2475">
        <f>IFERROR(VLOOKUP(A2475,vlookup_table!$A:$G,2,FALSE),"")</f>
        <v>0</v>
      </c>
      <c r="O2475">
        <f>IFERROR(VLOOKUP(A2475,vlookup_table!$A:$G,4,FALSE),"")</f>
        <v>0</v>
      </c>
      <c r="P2475" t="str">
        <f>IFERROR(VLOOKUP(A2475,vlookup_table!$A:$G,5,FALSE),"")</f>
        <v>S1</v>
      </c>
      <c r="Q2475">
        <f>IFERROR(VLOOKUP(A2475,vlookup_table!$A:$G,7,FALSE),"")</f>
        <v>8</v>
      </c>
      <c r="R2475">
        <f t="shared" si="152"/>
        <v>97</v>
      </c>
      <c r="S2475" t="str" cm="1">
        <f t="array" ref="S2475">IF(P2475="","",_xlfn.SWITCH(LEFT(P2475,1),"C","Ciudad","T","Pueblo","R","Rural","S","Suburbano","U","Urbano",""))</f>
        <v>Suburbano</v>
      </c>
      <c r="T2475" t="str">
        <f t="shared" si="153"/>
        <v>M</v>
      </c>
      <c r="U2475" t="str">
        <f t="shared" si="154"/>
        <v>NM</v>
      </c>
      <c r="V2475" t="str">
        <f t="shared" si="155"/>
        <v>26255</v>
      </c>
    </row>
    <row r="2476" spans="1:22" x14ac:dyDescent="0.35">
      <c r="A2476">
        <v>191134</v>
      </c>
      <c r="B2476" t="s">
        <v>28</v>
      </c>
      <c r="C2476" t="s">
        <v>17</v>
      </c>
      <c r="D2476">
        <v>431</v>
      </c>
      <c r="E2476">
        <v>222</v>
      </c>
      <c r="F2476">
        <v>284</v>
      </c>
      <c r="G2476">
        <v>0</v>
      </c>
      <c r="H2476">
        <v>8886</v>
      </c>
      <c r="I2476">
        <v>13</v>
      </c>
      <c r="J2476">
        <v>61</v>
      </c>
      <c r="K2476">
        <v>261</v>
      </c>
      <c r="L2476">
        <v>264</v>
      </c>
      <c r="M2476">
        <v>5.8055555559999998</v>
      </c>
      <c r="N2476">
        <f>IFERROR(VLOOKUP(A2476,vlookup_table!$A:$G,2,FALSE),"")</f>
        <v>0</v>
      </c>
      <c r="O2476">
        <f>IFERROR(VLOOKUP(A2476,vlookup_table!$A:$G,4,FALSE),"")</f>
        <v>0</v>
      </c>
      <c r="P2476" t="str">
        <f>IFERROR(VLOOKUP(A2476,vlookup_table!$A:$G,5,FALSE),"")</f>
        <v>T3</v>
      </c>
      <c r="Q2476">
        <f>IFERROR(VLOOKUP(A2476,vlookup_table!$A:$G,7,FALSE),"")</f>
        <v>5</v>
      </c>
      <c r="R2476">
        <f t="shared" si="152"/>
        <v>97</v>
      </c>
      <c r="S2476" t="str" cm="1">
        <f t="array" ref="S2476">IF(P2476="","",_xlfn.SWITCH(LEFT(P2476,1),"C","Ciudad","T","Pueblo","R","Rural","S","Suburbano","U","Urbano",""))</f>
        <v>Pueblo</v>
      </c>
      <c r="T2476" t="str">
        <f t="shared" si="153"/>
        <v>F</v>
      </c>
      <c r="U2476" t="str">
        <f t="shared" si="154"/>
        <v>KS</v>
      </c>
      <c r="V2476" t="str">
        <f t="shared" si="155"/>
        <v>8886</v>
      </c>
    </row>
    <row r="2477" spans="1:22" x14ac:dyDescent="0.35">
      <c r="A2477">
        <v>183043</v>
      </c>
      <c r="B2477" t="s">
        <v>40</v>
      </c>
      <c r="C2477" t="s">
        <v>51</v>
      </c>
      <c r="D2477">
        <v>876</v>
      </c>
      <c r="E2477">
        <v>337</v>
      </c>
      <c r="F2477">
        <v>439</v>
      </c>
      <c r="G2477">
        <v>3</v>
      </c>
      <c r="H2477">
        <v>15017</v>
      </c>
      <c r="I2477">
        <v>4</v>
      </c>
      <c r="J2477">
        <v>37</v>
      </c>
      <c r="K2477">
        <v>353</v>
      </c>
      <c r="L2477">
        <v>403</v>
      </c>
      <c r="M2477">
        <v>20</v>
      </c>
      <c r="N2477">
        <f>IFERROR(VLOOKUP(A2477,vlookup_table!$A:$G,2,FALSE),"")</f>
        <v>0</v>
      </c>
      <c r="O2477">
        <f>IFERROR(VLOOKUP(A2477,vlookup_table!$A:$G,4,FALSE),"")</f>
        <v>3201</v>
      </c>
      <c r="P2477" t="str">
        <f>IFERROR(VLOOKUP(A2477,vlookup_table!$A:$G,5,FALSE),"")</f>
        <v>S2</v>
      </c>
      <c r="Q2477">
        <f>IFERROR(VLOOKUP(A2477,vlookup_table!$A:$G,7,FALSE),"")</f>
        <v>25</v>
      </c>
      <c r="R2477">
        <f t="shared" si="152"/>
        <v>65</v>
      </c>
      <c r="S2477" t="str" cm="1">
        <f t="array" ref="S2477">IF(P2477="","",_xlfn.SWITCH(LEFT(P2477,1),"C","Ciudad","T","Pueblo","R","Rural","S","Suburbano","U","Urbano",""))</f>
        <v>Suburbano</v>
      </c>
      <c r="T2477" t="str">
        <f t="shared" si="153"/>
        <v>M</v>
      </c>
      <c r="U2477" t="str">
        <f t="shared" si="154"/>
        <v>WA</v>
      </c>
      <c r="V2477" t="str">
        <f t="shared" si="155"/>
        <v>15017</v>
      </c>
    </row>
    <row r="2478" spans="1:22" x14ac:dyDescent="0.35">
      <c r="A2478">
        <v>165392</v>
      </c>
      <c r="B2478" t="s">
        <v>22</v>
      </c>
      <c r="C2478" t="s">
        <v>14</v>
      </c>
      <c r="D2478">
        <v>1911</v>
      </c>
      <c r="E2478">
        <v>462</v>
      </c>
      <c r="F2478">
        <v>517</v>
      </c>
      <c r="G2478">
        <v>41</v>
      </c>
      <c r="H2478">
        <v>16099</v>
      </c>
      <c r="I2478">
        <v>16</v>
      </c>
      <c r="J2478">
        <v>54</v>
      </c>
      <c r="K2478">
        <v>486</v>
      </c>
      <c r="L2478">
        <v>489</v>
      </c>
      <c r="M2478">
        <v>15</v>
      </c>
      <c r="N2478">
        <f>IFERROR(VLOOKUP(A2478,vlookup_table!$A:$G,2,FALSE),"")</f>
        <v>1</v>
      </c>
      <c r="O2478">
        <f>IFERROR(VLOOKUP(A2478,vlookup_table!$A:$G,4,FALSE),"")</f>
        <v>0</v>
      </c>
      <c r="P2478" t="str">
        <f>IFERROR(VLOOKUP(A2478,vlookup_table!$A:$G,5,FALSE),"")</f>
        <v>S2</v>
      </c>
      <c r="Q2478">
        <f>IFERROR(VLOOKUP(A2478,vlookup_table!$A:$G,7,FALSE),"")</f>
        <v>21</v>
      </c>
      <c r="R2478">
        <f t="shared" si="152"/>
        <v>97</v>
      </c>
      <c r="S2478" t="str" cm="1">
        <f t="array" ref="S2478">IF(P2478="","",_xlfn.SWITCH(LEFT(P2478,1),"C","Ciudad","T","Pueblo","R","Rural","S","Suburbano","U","Urbano",""))</f>
        <v>Suburbano</v>
      </c>
      <c r="T2478" t="str">
        <f t="shared" si="153"/>
        <v>M</v>
      </c>
      <c r="U2478" t="str">
        <f t="shared" si="154"/>
        <v>CA</v>
      </c>
      <c r="V2478" t="str">
        <f t="shared" si="155"/>
        <v>16099</v>
      </c>
    </row>
    <row r="2479" spans="1:22" x14ac:dyDescent="0.35">
      <c r="A2479">
        <v>50684</v>
      </c>
      <c r="B2479" t="s">
        <v>68</v>
      </c>
      <c r="C2479" t="s">
        <v>17</v>
      </c>
      <c r="D2479">
        <v>467</v>
      </c>
      <c r="E2479">
        <v>203</v>
      </c>
      <c r="F2479">
        <v>332</v>
      </c>
      <c r="G2479">
        <v>2</v>
      </c>
      <c r="H2479">
        <v>11278</v>
      </c>
      <c r="I2479">
        <v>0</v>
      </c>
      <c r="J2479">
        <v>69</v>
      </c>
      <c r="K2479">
        <v>239</v>
      </c>
      <c r="L2479">
        <v>282</v>
      </c>
      <c r="M2479">
        <v>4.4285714289999998</v>
      </c>
      <c r="N2479">
        <f>IFERROR(VLOOKUP(A2479,vlookup_table!$A:$G,2,FALSE),"")</f>
        <v>2</v>
      </c>
      <c r="O2479">
        <f>IFERROR(VLOOKUP(A2479,vlookup_table!$A:$G,4,FALSE),"")</f>
        <v>0</v>
      </c>
      <c r="P2479" t="str">
        <f>IFERROR(VLOOKUP(A2479,vlookup_table!$A:$G,5,FALSE),"")</f>
        <v>R2</v>
      </c>
      <c r="Q2479">
        <f>IFERROR(VLOOKUP(A2479,vlookup_table!$A:$G,7,FALSE),"")</f>
        <v>2</v>
      </c>
      <c r="R2479">
        <f t="shared" si="152"/>
        <v>97</v>
      </c>
      <c r="S2479" t="str" cm="1">
        <f t="array" ref="S2479">IF(P2479="","",_xlfn.SWITCH(LEFT(P2479,1),"C","Ciudad","T","Pueblo","R","Rural","S","Suburbano","U","Urbano",""))</f>
        <v>Rural</v>
      </c>
      <c r="T2479" t="str">
        <f t="shared" si="153"/>
        <v>F</v>
      </c>
      <c r="U2479" t="str">
        <f t="shared" si="154"/>
        <v>Tennessee</v>
      </c>
      <c r="V2479" t="str">
        <f t="shared" si="155"/>
        <v>11278</v>
      </c>
    </row>
    <row r="2480" spans="1:22" x14ac:dyDescent="0.35">
      <c r="A2480">
        <v>126819</v>
      </c>
      <c r="B2480" t="s">
        <v>21</v>
      </c>
      <c r="C2480" t="s">
        <v>14</v>
      </c>
      <c r="D2480">
        <v>867</v>
      </c>
      <c r="E2480">
        <v>312</v>
      </c>
      <c r="F2480">
        <v>420</v>
      </c>
      <c r="G2480">
        <v>10</v>
      </c>
      <c r="H2480">
        <v>15180</v>
      </c>
      <c r="I2480">
        <v>3</v>
      </c>
      <c r="J2480">
        <v>59</v>
      </c>
      <c r="K2480">
        <v>352</v>
      </c>
      <c r="L2480">
        <v>383</v>
      </c>
      <c r="M2480">
        <v>11.4</v>
      </c>
      <c r="N2480">
        <f>IFERROR(VLOOKUP(A2480,vlookup_table!$A:$G,2,FALSE),"")</f>
        <v>1</v>
      </c>
      <c r="O2480">
        <f>IFERROR(VLOOKUP(A2480,vlookup_table!$A:$G,4,FALSE),"")</f>
        <v>6201</v>
      </c>
      <c r="P2480" t="str">
        <f>IFERROR(VLOOKUP(A2480,vlookup_table!$A:$G,5,FALSE),"")</f>
        <v>R1</v>
      </c>
      <c r="Q2480">
        <f>IFERROR(VLOOKUP(A2480,vlookup_table!$A:$G,7,FALSE),"")</f>
        <v>15</v>
      </c>
      <c r="R2480">
        <f t="shared" si="152"/>
        <v>35</v>
      </c>
      <c r="S2480" t="str" cm="1">
        <f t="array" ref="S2480">IF(P2480="","",_xlfn.SWITCH(LEFT(P2480,1),"C","Ciudad","T","Pueblo","R","Rural","S","Suburbano","U","Urbano",""))</f>
        <v>Rural</v>
      </c>
      <c r="T2480" t="str">
        <f t="shared" si="153"/>
        <v>M</v>
      </c>
      <c r="U2480" t="str">
        <f t="shared" si="154"/>
        <v>TX</v>
      </c>
      <c r="V2480" t="str">
        <f t="shared" si="155"/>
        <v>15180</v>
      </c>
    </row>
    <row r="2481" spans="1:22" x14ac:dyDescent="0.35">
      <c r="A2481">
        <v>190412</v>
      </c>
      <c r="B2481" t="s">
        <v>48</v>
      </c>
      <c r="D2481">
        <v>1956</v>
      </c>
      <c r="E2481">
        <v>768</v>
      </c>
      <c r="F2481">
        <v>874</v>
      </c>
      <c r="G2481">
        <v>47</v>
      </c>
      <c r="H2481">
        <v>36868</v>
      </c>
      <c r="I2481">
        <v>3</v>
      </c>
      <c r="J2481">
        <v>34</v>
      </c>
      <c r="K2481">
        <v>803</v>
      </c>
      <c r="L2481">
        <v>842</v>
      </c>
      <c r="M2481">
        <v>18.0952381</v>
      </c>
      <c r="N2481">
        <f>IFERROR(VLOOKUP(A2481,vlookup_table!$A:$G,2,FALSE),"")</f>
        <v>2</v>
      </c>
      <c r="O2481">
        <f>IFERROR(VLOOKUP(A2481,vlookup_table!$A:$G,4,FALSE),"")</f>
        <v>610</v>
      </c>
      <c r="P2481" t="str">
        <f>IFERROR(VLOOKUP(A2481,vlookup_table!$A:$G,5,FALSE),"")</f>
        <v>S1</v>
      </c>
      <c r="Q2481">
        <f>IFERROR(VLOOKUP(A2481,vlookup_table!$A:$G,7,FALSE),"")</f>
        <v>20</v>
      </c>
      <c r="R2481">
        <f t="shared" si="152"/>
        <v>91</v>
      </c>
      <c r="S2481" t="str" cm="1">
        <f t="array" ref="S2481">IF(P2481="","",_xlfn.SWITCH(LEFT(P2481,1),"C","Ciudad","T","Pueblo","R","Rural","S","Suburbano","U","Urbano",""))</f>
        <v>Suburbano</v>
      </c>
      <c r="T2481" t="str">
        <f t="shared" si="153"/>
        <v/>
      </c>
      <c r="U2481" t="str">
        <f t="shared" si="154"/>
        <v>CO</v>
      </c>
      <c r="V2481" t="str">
        <f t="shared" si="155"/>
        <v>36868</v>
      </c>
    </row>
    <row r="2482" spans="1:22" x14ac:dyDescent="0.35">
      <c r="A2482">
        <v>92085</v>
      </c>
      <c r="B2482" t="s">
        <v>16</v>
      </c>
      <c r="C2482" t="s">
        <v>14</v>
      </c>
      <c r="D2482">
        <v>1102</v>
      </c>
      <c r="E2482">
        <v>271</v>
      </c>
      <c r="F2482">
        <v>588</v>
      </c>
      <c r="G2482">
        <v>6</v>
      </c>
      <c r="H2482">
        <v>22625</v>
      </c>
      <c r="I2482">
        <v>10</v>
      </c>
      <c r="J2482">
        <v>67</v>
      </c>
      <c r="K2482">
        <v>469</v>
      </c>
      <c r="L2482">
        <v>457</v>
      </c>
      <c r="M2482">
        <v>8.769230769</v>
      </c>
      <c r="N2482">
        <f>IFERROR(VLOOKUP(A2482,vlookup_table!$A:$G,2,FALSE),"")</f>
        <v>1</v>
      </c>
      <c r="O2482">
        <f>IFERROR(VLOOKUP(A2482,vlookup_table!$A:$G,4,FALSE),"")</f>
        <v>1909</v>
      </c>
      <c r="P2482" t="str">
        <f>IFERROR(VLOOKUP(A2482,vlookup_table!$A:$G,5,FALSE),"")</f>
        <v>C1</v>
      </c>
      <c r="Q2482">
        <f>IFERROR(VLOOKUP(A2482,vlookup_table!$A:$G,7,FALSE),"")</f>
        <v>15</v>
      </c>
      <c r="R2482">
        <f t="shared" si="152"/>
        <v>78</v>
      </c>
      <c r="S2482" t="str" cm="1">
        <f t="array" ref="S2482">IF(P2482="","",_xlfn.SWITCH(LEFT(P2482,1),"C","Ciudad","T","Pueblo","R","Rural","S","Suburbano","U","Urbano",""))</f>
        <v>Ciudad</v>
      </c>
      <c r="T2482" t="str">
        <f t="shared" si="153"/>
        <v>M</v>
      </c>
      <c r="U2482" t="str">
        <f t="shared" si="154"/>
        <v>IL</v>
      </c>
      <c r="V2482" t="str">
        <f t="shared" si="155"/>
        <v>22625</v>
      </c>
    </row>
    <row r="2483" spans="1:22" x14ac:dyDescent="0.35">
      <c r="A2483">
        <v>176825</v>
      </c>
      <c r="B2483" t="s">
        <v>50</v>
      </c>
      <c r="C2483" t="s">
        <v>14</v>
      </c>
      <c r="D2483">
        <v>908</v>
      </c>
      <c r="E2483">
        <v>389</v>
      </c>
      <c r="F2483">
        <v>509</v>
      </c>
      <c r="G2483">
        <v>11</v>
      </c>
      <c r="H2483">
        <v>18876</v>
      </c>
      <c r="I2483">
        <v>3</v>
      </c>
      <c r="J2483">
        <v>47</v>
      </c>
      <c r="K2483">
        <v>421</v>
      </c>
      <c r="L2483">
        <v>442</v>
      </c>
      <c r="M2483">
        <v>5.0222222219999999</v>
      </c>
      <c r="N2483">
        <f>IFERROR(VLOOKUP(A2483,vlookup_table!$A:$G,2,FALSE),"")</f>
        <v>1</v>
      </c>
      <c r="O2483">
        <f>IFERROR(VLOOKUP(A2483,vlookup_table!$A:$G,4,FALSE),"")</f>
        <v>1702</v>
      </c>
      <c r="P2483">
        <f>IFERROR(VLOOKUP(A2483,vlookup_table!$A:$G,5,FALSE),"")</f>
        <v>0</v>
      </c>
      <c r="Q2483">
        <f>IFERROR(VLOOKUP(A2483,vlookup_table!$A:$G,7,FALSE),"")</f>
        <v>12</v>
      </c>
      <c r="R2483">
        <f t="shared" si="152"/>
        <v>80</v>
      </c>
      <c r="S2483" t="str" cm="1">
        <f t="array" ref="S2483">IF(P2483="","",_xlfn.SWITCH(LEFT(P2483,1),"C","Ciudad","T","Pueblo","R","Rural","S","Suburbano","U","Urbano",""))</f>
        <v/>
      </c>
      <c r="T2483" t="str">
        <f t="shared" si="153"/>
        <v>M</v>
      </c>
      <c r="U2483" t="str">
        <f t="shared" si="154"/>
        <v>OR</v>
      </c>
      <c r="V2483" t="str">
        <f t="shared" si="155"/>
        <v>18876</v>
      </c>
    </row>
    <row r="2484" spans="1:22" x14ac:dyDescent="0.35">
      <c r="A2484">
        <v>168259</v>
      </c>
      <c r="B2484" t="s">
        <v>22</v>
      </c>
      <c r="C2484" t="s">
        <v>14</v>
      </c>
      <c r="D2484">
        <v>3365</v>
      </c>
      <c r="E2484">
        <v>725</v>
      </c>
      <c r="F2484">
        <v>771</v>
      </c>
      <c r="G2484">
        <v>97</v>
      </c>
      <c r="H2484">
        <v>25852</v>
      </c>
      <c r="I2484">
        <v>8</v>
      </c>
      <c r="J2484">
        <v>54</v>
      </c>
      <c r="K2484">
        <v>742</v>
      </c>
      <c r="L2484">
        <v>766</v>
      </c>
      <c r="M2484">
        <v>15.375</v>
      </c>
      <c r="N2484">
        <f>IFERROR(VLOOKUP(A2484,vlookup_table!$A:$G,2,FALSE),"")</f>
        <v>1</v>
      </c>
      <c r="O2484">
        <f>IFERROR(VLOOKUP(A2484,vlookup_table!$A:$G,4,FALSE),"")</f>
        <v>2106</v>
      </c>
      <c r="P2484" t="str">
        <f>IFERROR(VLOOKUP(A2484,vlookup_table!$A:$G,5,FALSE),"")</f>
        <v>U1</v>
      </c>
      <c r="Q2484">
        <f>IFERROR(VLOOKUP(A2484,vlookup_table!$A:$G,7,FALSE),"")</f>
        <v>10</v>
      </c>
      <c r="R2484">
        <f t="shared" si="152"/>
        <v>76</v>
      </c>
      <c r="S2484" t="str" cm="1">
        <f t="array" ref="S2484">IF(P2484="","",_xlfn.SWITCH(LEFT(P2484,1),"C","Ciudad","T","Pueblo","R","Rural","S","Suburbano","U","Urbano",""))</f>
        <v>Urbano</v>
      </c>
      <c r="T2484" t="str">
        <f t="shared" si="153"/>
        <v>M</v>
      </c>
      <c r="U2484" t="str">
        <f t="shared" si="154"/>
        <v>CA</v>
      </c>
      <c r="V2484" t="str">
        <f t="shared" si="155"/>
        <v>25852</v>
      </c>
    </row>
    <row r="2485" spans="1:22" x14ac:dyDescent="0.35">
      <c r="A2485">
        <v>188801</v>
      </c>
      <c r="B2485" t="s">
        <v>13</v>
      </c>
      <c r="C2485" t="s">
        <v>30</v>
      </c>
      <c r="D2485">
        <v>577</v>
      </c>
      <c r="E2485">
        <v>245</v>
      </c>
      <c r="F2485">
        <v>300</v>
      </c>
      <c r="G2485">
        <v>0</v>
      </c>
      <c r="H2485">
        <v>11975</v>
      </c>
      <c r="I2485">
        <v>10</v>
      </c>
      <c r="J2485">
        <v>10</v>
      </c>
      <c r="K2485">
        <v>257</v>
      </c>
      <c r="L2485">
        <v>279</v>
      </c>
      <c r="M2485">
        <v>8.6428571430000005</v>
      </c>
      <c r="N2485">
        <f>IFERROR(VLOOKUP(A2485,vlookup_table!$A:$G,2,FALSE),"")</f>
        <v>0</v>
      </c>
      <c r="O2485">
        <f>IFERROR(VLOOKUP(A2485,vlookup_table!$A:$G,4,FALSE),"")</f>
        <v>0</v>
      </c>
      <c r="P2485" t="str">
        <f>IFERROR(VLOOKUP(A2485,vlookup_table!$A:$G,5,FALSE),"")</f>
        <v>C2</v>
      </c>
      <c r="Q2485">
        <f>IFERROR(VLOOKUP(A2485,vlookup_table!$A:$G,7,FALSE),"")</f>
        <v>15</v>
      </c>
      <c r="R2485">
        <f t="shared" si="152"/>
        <v>97</v>
      </c>
      <c r="S2485" t="str" cm="1">
        <f t="array" ref="S2485">IF(P2485="","",_xlfn.SWITCH(LEFT(P2485,1),"C","Ciudad","T","Pueblo","R","Rural","S","Suburbano","U","Urbano",""))</f>
        <v>Ciudad</v>
      </c>
      <c r="T2485" t="str">
        <f t="shared" si="153"/>
        <v>U</v>
      </c>
      <c r="U2485" t="str">
        <f t="shared" si="154"/>
        <v>FL</v>
      </c>
      <c r="V2485" t="str">
        <f t="shared" si="155"/>
        <v>11975</v>
      </c>
    </row>
    <row r="2486" spans="1:22" x14ac:dyDescent="0.35">
      <c r="A2486">
        <v>80960</v>
      </c>
      <c r="B2486" t="s">
        <v>35</v>
      </c>
      <c r="C2486" t="s">
        <v>51</v>
      </c>
      <c r="D2486">
        <v>422</v>
      </c>
      <c r="E2486">
        <v>224</v>
      </c>
      <c r="F2486">
        <v>350</v>
      </c>
      <c r="G2486">
        <v>0</v>
      </c>
      <c r="H2486">
        <v>12611</v>
      </c>
      <c r="I2486">
        <v>0</v>
      </c>
      <c r="J2486">
        <v>77</v>
      </c>
      <c r="K2486">
        <v>274</v>
      </c>
      <c r="L2486">
        <v>282</v>
      </c>
      <c r="M2486">
        <v>4.7727272730000001</v>
      </c>
      <c r="N2486">
        <f>IFERROR(VLOOKUP(A2486,vlookup_table!$A:$G,2,FALSE),"")</f>
        <v>2</v>
      </c>
      <c r="O2486">
        <f>IFERROR(VLOOKUP(A2486,vlookup_table!$A:$G,4,FALSE),"")</f>
        <v>2204</v>
      </c>
      <c r="P2486" t="str">
        <f>IFERROR(VLOOKUP(A2486,vlookup_table!$A:$G,5,FALSE),"")</f>
        <v>T2</v>
      </c>
      <c r="Q2486">
        <f>IFERROR(VLOOKUP(A2486,vlookup_table!$A:$G,7,FALSE),"")</f>
        <v>5</v>
      </c>
      <c r="R2486">
        <f t="shared" si="152"/>
        <v>75</v>
      </c>
      <c r="S2486" t="str" cm="1">
        <f t="array" ref="S2486">IF(P2486="","",_xlfn.SWITCH(LEFT(P2486,1),"C","Ciudad","T","Pueblo","R","Rural","S","Suburbano","U","Urbano",""))</f>
        <v>Pueblo</v>
      </c>
      <c r="T2486" t="str">
        <f t="shared" si="153"/>
        <v>M</v>
      </c>
      <c r="U2486" t="str">
        <f t="shared" si="154"/>
        <v>WI</v>
      </c>
      <c r="V2486" t="str">
        <f t="shared" si="155"/>
        <v>12611</v>
      </c>
    </row>
    <row r="2487" spans="1:22" x14ac:dyDescent="0.35">
      <c r="A2487">
        <v>130407</v>
      </c>
      <c r="B2487" t="s">
        <v>13</v>
      </c>
      <c r="C2487" t="s">
        <v>17</v>
      </c>
      <c r="D2487">
        <v>533</v>
      </c>
      <c r="E2487">
        <v>176</v>
      </c>
      <c r="F2487">
        <v>242</v>
      </c>
      <c r="G2487">
        <v>1</v>
      </c>
      <c r="H2487">
        <v>12595</v>
      </c>
      <c r="I2487">
        <v>3</v>
      </c>
      <c r="J2487">
        <v>6</v>
      </c>
      <c r="K2487">
        <v>189</v>
      </c>
      <c r="L2487">
        <v>216</v>
      </c>
      <c r="M2487">
        <v>13</v>
      </c>
      <c r="N2487">
        <f>IFERROR(VLOOKUP(A2487,vlookup_table!$A:$G,2,FALSE),"")</f>
        <v>0</v>
      </c>
      <c r="O2487">
        <f>IFERROR(VLOOKUP(A2487,vlookup_table!$A:$G,4,FALSE),"")</f>
        <v>3101</v>
      </c>
      <c r="P2487" t="str">
        <f>IFERROR(VLOOKUP(A2487,vlookup_table!$A:$G,5,FALSE),"")</f>
        <v>S1</v>
      </c>
      <c r="Q2487">
        <f>IFERROR(VLOOKUP(A2487,vlookup_table!$A:$G,7,FALSE),"")</f>
        <v>22</v>
      </c>
      <c r="R2487">
        <f t="shared" si="152"/>
        <v>66</v>
      </c>
      <c r="S2487" t="str" cm="1">
        <f t="array" ref="S2487">IF(P2487="","",_xlfn.SWITCH(LEFT(P2487,1),"C","Ciudad","T","Pueblo","R","Rural","S","Suburbano","U","Urbano",""))</f>
        <v>Suburbano</v>
      </c>
      <c r="T2487" t="str">
        <f t="shared" si="153"/>
        <v>F</v>
      </c>
      <c r="U2487" t="str">
        <f t="shared" si="154"/>
        <v>FL</v>
      </c>
      <c r="V2487" t="str">
        <f t="shared" si="155"/>
        <v>12595</v>
      </c>
    </row>
    <row r="2488" spans="1:22" x14ac:dyDescent="0.35">
      <c r="A2488">
        <v>80335</v>
      </c>
      <c r="B2488" t="s">
        <v>35</v>
      </c>
      <c r="C2488" t="s">
        <v>51</v>
      </c>
      <c r="D2488">
        <v>417</v>
      </c>
      <c r="E2488">
        <v>261</v>
      </c>
      <c r="F2488">
        <v>319</v>
      </c>
      <c r="G2488">
        <v>0</v>
      </c>
      <c r="H2488">
        <v>12051</v>
      </c>
      <c r="I2488">
        <v>1</v>
      </c>
      <c r="J2488">
        <v>90</v>
      </c>
      <c r="K2488">
        <v>309</v>
      </c>
      <c r="L2488">
        <v>262</v>
      </c>
      <c r="M2488">
        <v>5.9375</v>
      </c>
      <c r="N2488">
        <f>IFERROR(VLOOKUP(A2488,vlookup_table!$A:$G,2,FALSE),"")</f>
        <v>1</v>
      </c>
      <c r="O2488">
        <f>IFERROR(VLOOKUP(A2488,vlookup_table!$A:$G,4,FALSE),"")</f>
        <v>1101</v>
      </c>
      <c r="P2488" t="str">
        <f>IFERROR(VLOOKUP(A2488,vlookup_table!$A:$G,5,FALSE),"")</f>
        <v>C3</v>
      </c>
      <c r="Q2488">
        <f>IFERROR(VLOOKUP(A2488,vlookup_table!$A:$G,7,FALSE),"")</f>
        <v>5</v>
      </c>
      <c r="R2488">
        <f t="shared" si="152"/>
        <v>86</v>
      </c>
      <c r="S2488" t="str" cm="1">
        <f t="array" ref="S2488">IF(P2488="","",_xlfn.SWITCH(LEFT(P2488,1),"C","Ciudad","T","Pueblo","R","Rural","S","Suburbano","U","Urbano",""))</f>
        <v>Ciudad</v>
      </c>
      <c r="T2488" t="str">
        <f t="shared" si="153"/>
        <v>M</v>
      </c>
      <c r="U2488" t="str">
        <f t="shared" si="154"/>
        <v>WI</v>
      </c>
      <c r="V2488" t="str">
        <f t="shared" si="155"/>
        <v>12051</v>
      </c>
    </row>
    <row r="2489" spans="1:22" x14ac:dyDescent="0.35">
      <c r="A2489">
        <v>183793</v>
      </c>
      <c r="B2489" t="s">
        <v>40</v>
      </c>
      <c r="C2489" t="s">
        <v>17</v>
      </c>
      <c r="D2489">
        <v>747</v>
      </c>
      <c r="E2489">
        <v>373</v>
      </c>
      <c r="F2489">
        <v>421</v>
      </c>
      <c r="G2489">
        <v>1</v>
      </c>
      <c r="H2489">
        <v>13628</v>
      </c>
      <c r="I2489">
        <v>2</v>
      </c>
      <c r="J2489">
        <v>53</v>
      </c>
      <c r="K2489">
        <v>380</v>
      </c>
      <c r="L2489">
        <v>409</v>
      </c>
      <c r="M2489">
        <v>10</v>
      </c>
      <c r="N2489">
        <f>IFERROR(VLOOKUP(A2489,vlookup_table!$A:$G,2,FALSE),"")</f>
        <v>0</v>
      </c>
      <c r="O2489">
        <f>IFERROR(VLOOKUP(A2489,vlookup_table!$A:$G,4,FALSE),"")</f>
        <v>0</v>
      </c>
      <c r="P2489" t="str">
        <f>IFERROR(VLOOKUP(A2489,vlookup_table!$A:$G,5,FALSE),"")</f>
        <v>C1</v>
      </c>
      <c r="Q2489">
        <f>IFERROR(VLOOKUP(A2489,vlookup_table!$A:$G,7,FALSE),"")</f>
        <v>12</v>
      </c>
      <c r="R2489">
        <f t="shared" si="152"/>
        <v>97</v>
      </c>
      <c r="S2489" t="str" cm="1">
        <f t="array" ref="S2489">IF(P2489="","",_xlfn.SWITCH(LEFT(P2489,1),"C","Ciudad","T","Pueblo","R","Rural","S","Suburbano","U","Urbano",""))</f>
        <v>Ciudad</v>
      </c>
      <c r="T2489" t="str">
        <f t="shared" si="153"/>
        <v>F</v>
      </c>
      <c r="U2489" t="str">
        <f t="shared" si="154"/>
        <v>WA</v>
      </c>
      <c r="V2489" t="str">
        <f t="shared" si="155"/>
        <v>13628</v>
      </c>
    </row>
    <row r="2490" spans="1:22" x14ac:dyDescent="0.35">
      <c r="A2490">
        <v>170229</v>
      </c>
      <c r="B2490" t="s">
        <v>22</v>
      </c>
      <c r="C2490" t="s">
        <v>17</v>
      </c>
      <c r="D2490">
        <v>1493</v>
      </c>
      <c r="E2490">
        <v>229</v>
      </c>
      <c r="F2490">
        <v>320</v>
      </c>
      <c r="G2490">
        <v>20</v>
      </c>
      <c r="H2490">
        <v>10841</v>
      </c>
      <c r="I2490">
        <v>8</v>
      </c>
      <c r="J2490">
        <v>62</v>
      </c>
      <c r="K2490">
        <v>298</v>
      </c>
      <c r="L2490">
        <v>276</v>
      </c>
      <c r="M2490">
        <v>9.3030303029999999</v>
      </c>
      <c r="N2490">
        <f>IFERROR(VLOOKUP(A2490,vlookup_table!$A:$G,2,FALSE),"")</f>
        <v>0</v>
      </c>
      <c r="O2490">
        <f>IFERROR(VLOOKUP(A2490,vlookup_table!$A:$G,4,FALSE),"")</f>
        <v>0</v>
      </c>
      <c r="P2490" t="str">
        <f>IFERROR(VLOOKUP(A2490,vlookup_table!$A:$G,5,FALSE),"")</f>
        <v>T2</v>
      </c>
      <c r="Q2490">
        <f>IFERROR(VLOOKUP(A2490,vlookup_table!$A:$G,7,FALSE),"")</f>
        <v>11</v>
      </c>
      <c r="R2490">
        <f t="shared" si="152"/>
        <v>97</v>
      </c>
      <c r="S2490" t="str" cm="1">
        <f t="array" ref="S2490">IF(P2490="","",_xlfn.SWITCH(LEFT(P2490,1),"C","Ciudad","T","Pueblo","R","Rural","S","Suburbano","U","Urbano",""))</f>
        <v>Pueblo</v>
      </c>
      <c r="T2490" t="str">
        <f t="shared" si="153"/>
        <v>F</v>
      </c>
      <c r="U2490" t="str">
        <f t="shared" si="154"/>
        <v>CA</v>
      </c>
      <c r="V2490" t="str">
        <f t="shared" si="155"/>
        <v>10841</v>
      </c>
    </row>
    <row r="2491" spans="1:22" x14ac:dyDescent="0.35">
      <c r="A2491">
        <v>86073</v>
      </c>
      <c r="B2491" t="s">
        <v>52</v>
      </c>
      <c r="C2491" t="s">
        <v>14</v>
      </c>
      <c r="D2491">
        <v>216</v>
      </c>
      <c r="E2491">
        <v>211</v>
      </c>
      <c r="F2491">
        <v>299</v>
      </c>
      <c r="G2491">
        <v>0</v>
      </c>
      <c r="H2491">
        <v>9250</v>
      </c>
      <c r="I2491">
        <v>0</v>
      </c>
      <c r="J2491">
        <v>80</v>
      </c>
      <c r="K2491">
        <v>272</v>
      </c>
      <c r="L2491">
        <v>258</v>
      </c>
      <c r="M2491">
        <v>5.9375</v>
      </c>
      <c r="N2491">
        <f>IFERROR(VLOOKUP(A2491,vlookup_table!$A:$G,2,FALSE),"")</f>
        <v>0</v>
      </c>
      <c r="O2491">
        <f>IFERROR(VLOOKUP(A2491,vlookup_table!$A:$G,4,FALSE),"")</f>
        <v>3801</v>
      </c>
      <c r="P2491" t="str">
        <f>IFERROR(VLOOKUP(A2491,vlookup_table!$A:$G,5,FALSE),"")</f>
        <v>R2</v>
      </c>
      <c r="Q2491">
        <f>IFERROR(VLOOKUP(A2491,vlookup_table!$A:$G,7,FALSE),"")</f>
        <v>10</v>
      </c>
      <c r="R2491">
        <f t="shared" si="152"/>
        <v>59</v>
      </c>
      <c r="S2491" t="str" cm="1">
        <f t="array" ref="S2491">IF(P2491="","",_xlfn.SWITCH(LEFT(P2491,1),"C","Ciudad","T","Pueblo","R","Rural","S","Suburbano","U","Urbano",""))</f>
        <v>Rural</v>
      </c>
      <c r="T2491" t="str">
        <f t="shared" si="153"/>
        <v>M</v>
      </c>
      <c r="U2491" t="str">
        <f t="shared" si="154"/>
        <v>SD</v>
      </c>
      <c r="V2491" t="str">
        <f t="shared" si="155"/>
        <v>9250</v>
      </c>
    </row>
    <row r="2492" spans="1:22" x14ac:dyDescent="0.35">
      <c r="A2492">
        <v>114942</v>
      </c>
      <c r="B2492" t="s">
        <v>31</v>
      </c>
      <c r="C2492" t="s">
        <v>17</v>
      </c>
      <c r="D2492">
        <v>325</v>
      </c>
      <c r="E2492">
        <v>305</v>
      </c>
      <c r="F2492">
        <v>303</v>
      </c>
      <c r="G2492">
        <v>0</v>
      </c>
      <c r="H2492">
        <v>10083</v>
      </c>
      <c r="I2492">
        <v>4</v>
      </c>
      <c r="J2492">
        <v>66</v>
      </c>
      <c r="K2492">
        <v>332</v>
      </c>
      <c r="L2492">
        <v>271</v>
      </c>
      <c r="M2492">
        <v>12.5</v>
      </c>
      <c r="N2492">
        <f>IFERROR(VLOOKUP(A2492,vlookup_table!$A:$G,2,FALSE),"")</f>
        <v>2</v>
      </c>
      <c r="O2492">
        <f>IFERROR(VLOOKUP(A2492,vlookup_table!$A:$G,4,FALSE),"")</f>
        <v>2201</v>
      </c>
      <c r="P2492" t="str">
        <f>IFERROR(VLOOKUP(A2492,vlookup_table!$A:$G,5,FALSE),"")</f>
        <v>T2</v>
      </c>
      <c r="Q2492">
        <f>IFERROR(VLOOKUP(A2492,vlookup_table!$A:$G,7,FALSE),"")</f>
        <v>20</v>
      </c>
      <c r="R2492">
        <f t="shared" si="152"/>
        <v>75</v>
      </c>
      <c r="S2492" t="str" cm="1">
        <f t="array" ref="S2492">IF(P2492="","",_xlfn.SWITCH(LEFT(P2492,1),"C","Ciudad","T","Pueblo","R","Rural","S","Suburbano","U","Urbano",""))</f>
        <v>Pueblo</v>
      </c>
      <c r="T2492" t="str">
        <f t="shared" si="153"/>
        <v>F</v>
      </c>
      <c r="U2492" t="str">
        <f t="shared" si="154"/>
        <v>OK</v>
      </c>
      <c r="V2492" t="str">
        <f t="shared" si="155"/>
        <v>10083</v>
      </c>
    </row>
    <row r="2493" spans="1:22" x14ac:dyDescent="0.35">
      <c r="A2493">
        <v>31239</v>
      </c>
      <c r="B2493" t="s">
        <v>39</v>
      </c>
      <c r="C2493" t="s">
        <v>17</v>
      </c>
      <c r="D2493">
        <v>475</v>
      </c>
      <c r="E2493">
        <v>248</v>
      </c>
      <c r="F2493">
        <v>329</v>
      </c>
      <c r="G2493">
        <v>3</v>
      </c>
      <c r="H2493">
        <v>10549</v>
      </c>
      <c r="I2493">
        <v>0</v>
      </c>
      <c r="J2493">
        <v>76</v>
      </c>
      <c r="K2493">
        <v>263</v>
      </c>
      <c r="L2493">
        <v>307</v>
      </c>
      <c r="M2493">
        <v>9.6666666669999994</v>
      </c>
      <c r="N2493">
        <f>IFERROR(VLOOKUP(A2493,vlookup_table!$A:$G,2,FALSE),"")</f>
        <v>0</v>
      </c>
      <c r="O2493">
        <f>IFERROR(VLOOKUP(A2493,vlookup_table!$A:$G,4,FALSE),"")</f>
        <v>0</v>
      </c>
      <c r="P2493" t="str">
        <f>IFERROR(VLOOKUP(A2493,vlookup_table!$A:$G,5,FALSE),"")</f>
        <v>R2</v>
      </c>
      <c r="Q2493">
        <f>IFERROR(VLOOKUP(A2493,vlookup_table!$A:$G,7,FALSE),"")</f>
        <v>10</v>
      </c>
      <c r="R2493">
        <f t="shared" si="152"/>
        <v>97</v>
      </c>
      <c r="S2493" t="str" cm="1">
        <f t="array" ref="S2493">IF(P2493="","",_xlfn.SWITCH(LEFT(P2493,1),"C","Ciudad","T","Pueblo","R","Rural","S","Suburbano","U","Urbano",""))</f>
        <v>Rural</v>
      </c>
      <c r="T2493" t="str">
        <f t="shared" si="153"/>
        <v>F</v>
      </c>
      <c r="U2493" t="str">
        <f t="shared" si="154"/>
        <v>GA</v>
      </c>
      <c r="V2493" t="str">
        <f t="shared" si="155"/>
        <v>10549</v>
      </c>
    </row>
    <row r="2494" spans="1:22" x14ac:dyDescent="0.35">
      <c r="A2494">
        <v>185937</v>
      </c>
      <c r="B2494" t="s">
        <v>42</v>
      </c>
      <c r="C2494" t="s">
        <v>14</v>
      </c>
      <c r="D2494">
        <v>1392</v>
      </c>
      <c r="E2494">
        <v>279</v>
      </c>
      <c r="F2494">
        <v>401</v>
      </c>
      <c r="G2494">
        <v>17</v>
      </c>
      <c r="H2494">
        <v>14099</v>
      </c>
      <c r="I2494">
        <v>6</v>
      </c>
      <c r="J2494">
        <v>48</v>
      </c>
      <c r="K2494">
        <v>343</v>
      </c>
      <c r="L2494">
        <v>342</v>
      </c>
      <c r="M2494">
        <v>8.5</v>
      </c>
      <c r="N2494">
        <f>IFERROR(VLOOKUP(A2494,vlookup_table!$A:$G,2,FALSE),"")</f>
        <v>1</v>
      </c>
      <c r="O2494">
        <f>IFERROR(VLOOKUP(A2494,vlookup_table!$A:$G,4,FALSE),"")</f>
        <v>0</v>
      </c>
      <c r="P2494">
        <f>IFERROR(VLOOKUP(A2494,vlookup_table!$A:$G,5,FALSE),"")</f>
        <v>0</v>
      </c>
      <c r="Q2494">
        <f>IFERROR(VLOOKUP(A2494,vlookup_table!$A:$G,7,FALSE),"")</f>
        <v>10</v>
      </c>
      <c r="R2494">
        <f t="shared" si="152"/>
        <v>97</v>
      </c>
      <c r="S2494" t="str" cm="1">
        <f t="array" ref="S2494">IF(P2494="","",_xlfn.SWITCH(LEFT(P2494,1),"C","Ciudad","T","Pueblo","R","Rural","S","Suburbano","U","Urbano",""))</f>
        <v/>
      </c>
      <c r="T2494" t="str">
        <f t="shared" si="153"/>
        <v>M</v>
      </c>
      <c r="U2494" t="str">
        <f t="shared" si="154"/>
        <v>CT</v>
      </c>
      <c r="V2494" t="str">
        <f t="shared" si="155"/>
        <v>14099</v>
      </c>
    </row>
    <row r="2495" spans="1:22" x14ac:dyDescent="0.35">
      <c r="A2495">
        <v>167799</v>
      </c>
      <c r="B2495" t="s">
        <v>22</v>
      </c>
      <c r="C2495" t="s">
        <v>17</v>
      </c>
      <c r="D2495">
        <v>2291</v>
      </c>
      <c r="E2495">
        <v>353</v>
      </c>
      <c r="F2495">
        <v>440</v>
      </c>
      <c r="G2495">
        <v>68</v>
      </c>
      <c r="H2495">
        <v>13687</v>
      </c>
      <c r="I2495">
        <v>14</v>
      </c>
      <c r="J2495">
        <v>58</v>
      </c>
      <c r="K2495">
        <v>407</v>
      </c>
      <c r="L2495">
        <v>402</v>
      </c>
      <c r="M2495">
        <v>18</v>
      </c>
      <c r="N2495">
        <f>IFERROR(VLOOKUP(A2495,vlookup_table!$A:$G,2,FALSE),"")</f>
        <v>0</v>
      </c>
      <c r="O2495">
        <f>IFERROR(VLOOKUP(A2495,vlookup_table!$A:$G,4,FALSE),"")</f>
        <v>601</v>
      </c>
      <c r="P2495" t="str">
        <f>IFERROR(VLOOKUP(A2495,vlookup_table!$A:$G,5,FALSE),"")</f>
        <v>C2</v>
      </c>
      <c r="Q2495">
        <f>IFERROR(VLOOKUP(A2495,vlookup_table!$A:$G,7,FALSE),"")</f>
        <v>20</v>
      </c>
      <c r="R2495">
        <f t="shared" si="152"/>
        <v>91</v>
      </c>
      <c r="S2495" t="str" cm="1">
        <f t="array" ref="S2495">IF(P2495="","",_xlfn.SWITCH(LEFT(P2495,1),"C","Ciudad","T","Pueblo","R","Rural","S","Suburbano","U","Urbano",""))</f>
        <v>Ciudad</v>
      </c>
      <c r="T2495" t="str">
        <f t="shared" si="153"/>
        <v>F</v>
      </c>
      <c r="U2495" t="str">
        <f t="shared" si="154"/>
        <v>CA</v>
      </c>
      <c r="V2495" t="str">
        <f t="shared" si="155"/>
        <v>13687</v>
      </c>
    </row>
    <row r="2496" spans="1:22" x14ac:dyDescent="0.35">
      <c r="A2496">
        <v>23778</v>
      </c>
      <c r="B2496" t="s">
        <v>46</v>
      </c>
      <c r="C2496" t="s">
        <v>17</v>
      </c>
      <c r="D2496">
        <v>1082</v>
      </c>
      <c r="E2496">
        <v>369</v>
      </c>
      <c r="F2496">
        <v>515</v>
      </c>
      <c r="G2496">
        <v>10</v>
      </c>
      <c r="H2496">
        <v>20355</v>
      </c>
      <c r="I2496">
        <v>2</v>
      </c>
      <c r="J2496">
        <v>43</v>
      </c>
      <c r="K2496">
        <v>454</v>
      </c>
      <c r="L2496">
        <v>432</v>
      </c>
      <c r="M2496">
        <v>13</v>
      </c>
      <c r="N2496">
        <f>IFERROR(VLOOKUP(A2496,vlookup_table!$A:$G,2,FALSE),"")</f>
        <v>0</v>
      </c>
      <c r="O2496">
        <f>IFERROR(VLOOKUP(A2496,vlookup_table!$A:$G,4,FALSE),"")</f>
        <v>1411</v>
      </c>
      <c r="P2496" t="str">
        <f>IFERROR(VLOOKUP(A2496,vlookup_table!$A:$G,5,FALSE),"")</f>
        <v>S1</v>
      </c>
      <c r="Q2496">
        <f>IFERROR(VLOOKUP(A2496,vlookup_table!$A:$G,7,FALSE),"")</f>
        <v>100</v>
      </c>
      <c r="R2496">
        <f t="shared" si="152"/>
        <v>83</v>
      </c>
      <c r="S2496" t="str" cm="1">
        <f t="array" ref="S2496">IF(P2496="","",_xlfn.SWITCH(LEFT(P2496,1),"C","Ciudad","T","Pueblo","R","Rural","S","Suburbano","U","Urbano",""))</f>
        <v>Suburbano</v>
      </c>
      <c r="T2496" t="str">
        <f t="shared" si="153"/>
        <v>F</v>
      </c>
      <c r="U2496" t="str">
        <f t="shared" si="154"/>
        <v>SC</v>
      </c>
      <c r="V2496" t="str">
        <f t="shared" si="155"/>
        <v>20355</v>
      </c>
    </row>
    <row r="2497" spans="1:22" x14ac:dyDescent="0.35">
      <c r="A2497">
        <v>66322</v>
      </c>
      <c r="B2497" t="s">
        <v>29</v>
      </c>
      <c r="C2497" t="s">
        <v>14</v>
      </c>
      <c r="D2497">
        <v>1152</v>
      </c>
      <c r="E2497">
        <v>522</v>
      </c>
      <c r="F2497">
        <v>649</v>
      </c>
      <c r="G2497">
        <v>3</v>
      </c>
      <c r="H2497">
        <v>22796</v>
      </c>
      <c r="I2497">
        <v>6</v>
      </c>
      <c r="J2497">
        <v>58</v>
      </c>
      <c r="K2497">
        <v>563</v>
      </c>
      <c r="L2497">
        <v>585</v>
      </c>
      <c r="M2497">
        <v>7.3333333329999997</v>
      </c>
      <c r="N2497">
        <f>IFERROR(VLOOKUP(A2497,vlookup_table!$A:$G,2,FALSE),"")</f>
        <v>1</v>
      </c>
      <c r="O2497">
        <f>IFERROR(VLOOKUP(A2497,vlookup_table!$A:$G,4,FALSE),"")</f>
        <v>1301</v>
      </c>
      <c r="P2497" t="str">
        <f>IFERROR(VLOOKUP(A2497,vlookup_table!$A:$G,5,FALSE),"")</f>
        <v>S2</v>
      </c>
      <c r="Q2497">
        <f>IFERROR(VLOOKUP(A2497,vlookup_table!$A:$G,7,FALSE),"")</f>
        <v>10</v>
      </c>
      <c r="R2497">
        <f t="shared" si="152"/>
        <v>84</v>
      </c>
      <c r="S2497" t="str" cm="1">
        <f t="array" ref="S2497">IF(P2497="","",_xlfn.SWITCH(LEFT(P2497,1),"C","Ciudad","T","Pueblo","R","Rural","S","Suburbano","U","Urbano",""))</f>
        <v>Suburbano</v>
      </c>
      <c r="T2497" t="str">
        <f t="shared" si="153"/>
        <v>M</v>
      </c>
      <c r="U2497" t="str">
        <f t="shared" si="154"/>
        <v>MI</v>
      </c>
      <c r="V2497" t="str">
        <f t="shared" si="155"/>
        <v>22796</v>
      </c>
    </row>
    <row r="2498" spans="1:22" x14ac:dyDescent="0.35">
      <c r="A2498">
        <v>177458</v>
      </c>
      <c r="B2498" t="s">
        <v>50</v>
      </c>
      <c r="D2498">
        <v>573</v>
      </c>
      <c r="E2498">
        <v>150</v>
      </c>
      <c r="F2498">
        <v>182</v>
      </c>
      <c r="G2498">
        <v>1</v>
      </c>
      <c r="H2498">
        <v>6572</v>
      </c>
      <c r="I2498">
        <v>1</v>
      </c>
      <c r="J2498">
        <v>23</v>
      </c>
      <c r="K2498">
        <v>166</v>
      </c>
      <c r="L2498">
        <v>159</v>
      </c>
      <c r="M2498">
        <v>9.8888888890000004</v>
      </c>
      <c r="N2498">
        <f>IFERROR(VLOOKUP(A2498,vlookup_table!$A:$G,2,FALSE),"")</f>
        <v>0</v>
      </c>
      <c r="O2498">
        <f>IFERROR(VLOOKUP(A2498,vlookup_table!$A:$G,4,FALSE),"")</f>
        <v>0</v>
      </c>
      <c r="P2498" t="str">
        <f>IFERROR(VLOOKUP(A2498,vlookup_table!$A:$G,5,FALSE),"")</f>
        <v>R2</v>
      </c>
      <c r="Q2498">
        <f>IFERROR(VLOOKUP(A2498,vlookup_table!$A:$G,7,FALSE),"")</f>
        <v>6</v>
      </c>
      <c r="R2498">
        <f t="shared" ref="R2498:R2561" si="156">IF(O2498="","",97-INT(O2498/100))</f>
        <v>97</v>
      </c>
      <c r="S2498" t="str" cm="1">
        <f t="array" ref="S2498">IF(P2498="","",_xlfn.SWITCH(LEFT(P2498,1),"C","Ciudad","T","Pueblo","R","Rural","S","Suburbano","U","Urbano",""))</f>
        <v>Rural</v>
      </c>
      <c r="T2498" t="str">
        <f t="shared" ref="T2498:T2561" si="157">IF(C2498="","",IF(OR(UPPER(C2498)="M",UPPER(C2498)="MALE"),"M",IF(OR(UPPER(C2498)="F",UPPER(C2498)="FEMALE",UPPER(C2498)="FEAMALE"),"F",C2498)))</f>
        <v/>
      </c>
      <c r="U2498" t="str">
        <f t="shared" ref="U2498:U2561" si="158">IF(OR(UPPER(B2498)="CALIFORNIA",UPPER(B2498)="CALI"),"CA",B2498)</f>
        <v>OR</v>
      </c>
      <c r="V2498" t="str">
        <f t="shared" ref="V2498:V2561" si="159">SUBSTITUTE(H2498,"@","")</f>
        <v>6572</v>
      </c>
    </row>
    <row r="2499" spans="1:22" x14ac:dyDescent="0.35">
      <c r="A2499">
        <v>102222</v>
      </c>
      <c r="B2499" t="s">
        <v>36</v>
      </c>
      <c r="C2499" t="s">
        <v>17</v>
      </c>
      <c r="D2499">
        <v>545</v>
      </c>
      <c r="E2499">
        <v>321</v>
      </c>
      <c r="F2499">
        <v>371</v>
      </c>
      <c r="G2499">
        <v>0</v>
      </c>
      <c r="H2499">
        <v>13748</v>
      </c>
      <c r="I2499">
        <v>4</v>
      </c>
      <c r="J2499">
        <v>64</v>
      </c>
      <c r="K2499">
        <v>353</v>
      </c>
      <c r="L2499">
        <v>336</v>
      </c>
      <c r="M2499">
        <v>8.6190476189999998</v>
      </c>
      <c r="N2499">
        <f>IFERROR(VLOOKUP(A2499,vlookup_table!$A:$G,2,FALSE),"")</f>
        <v>0</v>
      </c>
      <c r="O2499">
        <f>IFERROR(VLOOKUP(A2499,vlookup_table!$A:$G,4,FALSE),"")</f>
        <v>3307</v>
      </c>
      <c r="P2499" t="str">
        <f>IFERROR(VLOOKUP(A2499,vlookup_table!$A:$G,5,FALSE),"")</f>
        <v>S2</v>
      </c>
      <c r="Q2499">
        <f>IFERROR(VLOOKUP(A2499,vlookup_table!$A:$G,7,FALSE),"")</f>
        <v>10</v>
      </c>
      <c r="R2499">
        <f t="shared" si="156"/>
        <v>64</v>
      </c>
      <c r="S2499" t="str" cm="1">
        <f t="array" ref="S2499">IF(P2499="","",_xlfn.SWITCH(LEFT(P2499,1),"C","Ciudad","T","Pueblo","R","Rural","S","Suburbano","U","Urbano",""))</f>
        <v>Suburbano</v>
      </c>
      <c r="T2499" t="str">
        <f t="shared" si="157"/>
        <v>F</v>
      </c>
      <c r="U2499" t="str">
        <f t="shared" si="158"/>
        <v>MO</v>
      </c>
      <c r="V2499" t="str">
        <f t="shared" si="159"/>
        <v>13748</v>
      </c>
    </row>
    <row r="2500" spans="1:22" x14ac:dyDescent="0.35">
      <c r="A2500">
        <v>158977</v>
      </c>
      <c r="B2500" t="s">
        <v>22</v>
      </c>
      <c r="C2500" t="s">
        <v>14</v>
      </c>
      <c r="D2500">
        <v>1951</v>
      </c>
      <c r="E2500">
        <v>366</v>
      </c>
      <c r="F2500">
        <v>400</v>
      </c>
      <c r="G2500">
        <v>43</v>
      </c>
      <c r="H2500">
        <v>12255</v>
      </c>
      <c r="I2500">
        <v>35</v>
      </c>
      <c r="J2500">
        <v>33</v>
      </c>
      <c r="K2500">
        <v>385</v>
      </c>
      <c r="L2500">
        <v>369</v>
      </c>
      <c r="M2500">
        <v>4.6190476189999998</v>
      </c>
      <c r="N2500">
        <f>IFERROR(VLOOKUP(A2500,vlookup_table!$A:$G,2,FALSE),"")</f>
        <v>0</v>
      </c>
      <c r="O2500">
        <f>IFERROR(VLOOKUP(A2500,vlookup_table!$A:$G,4,FALSE),"")</f>
        <v>2112</v>
      </c>
      <c r="P2500" t="str">
        <f>IFERROR(VLOOKUP(A2500,vlookup_table!$A:$G,5,FALSE),"")</f>
        <v>S2</v>
      </c>
      <c r="Q2500">
        <f>IFERROR(VLOOKUP(A2500,vlookup_table!$A:$G,7,FALSE),"")</f>
        <v>5</v>
      </c>
      <c r="R2500">
        <f t="shared" si="156"/>
        <v>76</v>
      </c>
      <c r="S2500" t="str" cm="1">
        <f t="array" ref="S2500">IF(P2500="","",_xlfn.SWITCH(LEFT(P2500,1),"C","Ciudad","T","Pueblo","R","Rural","S","Suburbano","U","Urbano",""))</f>
        <v>Suburbano</v>
      </c>
      <c r="T2500" t="str">
        <f t="shared" si="157"/>
        <v>M</v>
      </c>
      <c r="U2500" t="str">
        <f t="shared" si="158"/>
        <v>CA</v>
      </c>
      <c r="V2500" t="str">
        <f t="shared" si="159"/>
        <v>12255</v>
      </c>
    </row>
    <row r="2501" spans="1:22" x14ac:dyDescent="0.35">
      <c r="A2501">
        <v>127030</v>
      </c>
      <c r="B2501" t="s">
        <v>21</v>
      </c>
      <c r="C2501" t="s">
        <v>17</v>
      </c>
      <c r="D2501">
        <v>517</v>
      </c>
      <c r="E2501">
        <v>223</v>
      </c>
      <c r="F2501">
        <v>398</v>
      </c>
      <c r="G2501">
        <v>0</v>
      </c>
      <c r="H2501">
        <v>17671</v>
      </c>
      <c r="I2501">
        <v>11</v>
      </c>
      <c r="J2501">
        <v>51</v>
      </c>
      <c r="K2501">
        <v>321</v>
      </c>
      <c r="L2501">
        <v>287</v>
      </c>
      <c r="M2501">
        <v>8</v>
      </c>
      <c r="N2501">
        <f>IFERROR(VLOOKUP(A2501,vlookup_table!$A:$G,2,FALSE),"")</f>
        <v>0</v>
      </c>
      <c r="O2501">
        <f>IFERROR(VLOOKUP(A2501,vlookup_table!$A:$G,4,FALSE),"")</f>
        <v>0</v>
      </c>
      <c r="P2501" t="str">
        <f>IFERROR(VLOOKUP(A2501,vlookup_table!$A:$G,5,FALSE),"")</f>
        <v>U1</v>
      </c>
      <c r="Q2501">
        <f>IFERROR(VLOOKUP(A2501,vlookup_table!$A:$G,7,FALSE),"")</f>
        <v>10</v>
      </c>
      <c r="R2501">
        <f t="shared" si="156"/>
        <v>97</v>
      </c>
      <c r="S2501" t="str" cm="1">
        <f t="array" ref="S2501">IF(P2501="","",_xlfn.SWITCH(LEFT(P2501,1),"C","Ciudad","T","Pueblo","R","Rural","S","Suburbano","U","Urbano",""))</f>
        <v>Urbano</v>
      </c>
      <c r="T2501" t="str">
        <f t="shared" si="157"/>
        <v>F</v>
      </c>
      <c r="U2501" t="str">
        <f t="shared" si="158"/>
        <v>TX</v>
      </c>
      <c r="V2501" t="str">
        <f t="shared" si="159"/>
        <v>17671</v>
      </c>
    </row>
    <row r="2502" spans="1:22" x14ac:dyDescent="0.35">
      <c r="A2502">
        <v>151698</v>
      </c>
      <c r="B2502" t="s">
        <v>50</v>
      </c>
      <c r="C2502" t="s">
        <v>14</v>
      </c>
      <c r="D2502">
        <v>388</v>
      </c>
      <c r="E2502">
        <v>186</v>
      </c>
      <c r="F2502">
        <v>220</v>
      </c>
      <c r="G2502">
        <v>0</v>
      </c>
      <c r="H2502">
        <v>9703</v>
      </c>
      <c r="I2502">
        <v>2</v>
      </c>
      <c r="J2502">
        <v>43</v>
      </c>
      <c r="K2502">
        <v>198</v>
      </c>
      <c r="L2502">
        <v>209</v>
      </c>
      <c r="M2502">
        <v>15</v>
      </c>
      <c r="N2502">
        <f>IFERROR(VLOOKUP(A2502,vlookup_table!$A:$G,2,FALSE),"")</f>
        <v>1</v>
      </c>
      <c r="O2502">
        <f>IFERROR(VLOOKUP(A2502,vlookup_table!$A:$G,4,FALSE),"")</f>
        <v>3201</v>
      </c>
      <c r="P2502" t="str">
        <f>IFERROR(VLOOKUP(A2502,vlookup_table!$A:$G,5,FALSE),"")</f>
        <v>T1</v>
      </c>
      <c r="Q2502">
        <f>IFERROR(VLOOKUP(A2502,vlookup_table!$A:$G,7,FALSE),"")</f>
        <v>20</v>
      </c>
      <c r="R2502">
        <f t="shared" si="156"/>
        <v>65</v>
      </c>
      <c r="S2502" t="str" cm="1">
        <f t="array" ref="S2502">IF(P2502="","",_xlfn.SWITCH(LEFT(P2502,1),"C","Ciudad","T","Pueblo","R","Rural","S","Suburbano","U","Urbano",""))</f>
        <v>Pueblo</v>
      </c>
      <c r="T2502" t="str">
        <f t="shared" si="157"/>
        <v>M</v>
      </c>
      <c r="U2502" t="str">
        <f t="shared" si="158"/>
        <v>OR</v>
      </c>
      <c r="V2502" t="str">
        <f t="shared" si="159"/>
        <v>9703</v>
      </c>
    </row>
    <row r="2503" spans="1:22" x14ac:dyDescent="0.35">
      <c r="A2503">
        <v>1054</v>
      </c>
      <c r="B2503" t="s">
        <v>22</v>
      </c>
      <c r="C2503" t="s">
        <v>17</v>
      </c>
      <c r="D2503">
        <v>1161</v>
      </c>
      <c r="E2503">
        <v>197</v>
      </c>
      <c r="F2503">
        <v>350</v>
      </c>
      <c r="G2503">
        <v>7</v>
      </c>
      <c r="H2503">
        <v>12764</v>
      </c>
      <c r="I2503">
        <v>15</v>
      </c>
      <c r="J2503">
        <v>58</v>
      </c>
      <c r="K2503">
        <v>289</v>
      </c>
      <c r="L2503">
        <v>262</v>
      </c>
      <c r="M2503">
        <v>6.3</v>
      </c>
      <c r="N2503">
        <f>IFERROR(VLOOKUP(A2503,vlookup_table!$A:$G,2,FALSE),"")</f>
        <v>0</v>
      </c>
      <c r="O2503">
        <f>IFERROR(VLOOKUP(A2503,vlookup_table!$A:$G,4,FALSE),"")</f>
        <v>0</v>
      </c>
      <c r="P2503" t="str">
        <f>IFERROR(VLOOKUP(A2503,vlookup_table!$A:$G,5,FALSE),"")</f>
        <v>T2</v>
      </c>
      <c r="Q2503">
        <f>IFERROR(VLOOKUP(A2503,vlookup_table!$A:$G,7,FALSE),"")</f>
        <v>8</v>
      </c>
      <c r="R2503">
        <f t="shared" si="156"/>
        <v>97</v>
      </c>
      <c r="S2503" t="str" cm="1">
        <f t="array" ref="S2503">IF(P2503="","",_xlfn.SWITCH(LEFT(P2503,1),"C","Ciudad","T","Pueblo","R","Rural","S","Suburbano","U","Urbano",""))</f>
        <v>Pueblo</v>
      </c>
      <c r="T2503" t="str">
        <f t="shared" si="157"/>
        <v>F</v>
      </c>
      <c r="U2503" t="str">
        <f t="shared" si="158"/>
        <v>CA</v>
      </c>
      <c r="V2503" t="str">
        <f t="shared" si="159"/>
        <v>12764</v>
      </c>
    </row>
    <row r="2504" spans="1:22" x14ac:dyDescent="0.35">
      <c r="A2504">
        <v>178293</v>
      </c>
      <c r="B2504" t="s">
        <v>40</v>
      </c>
      <c r="C2504" t="s">
        <v>17</v>
      </c>
      <c r="D2504">
        <v>1862</v>
      </c>
      <c r="E2504">
        <v>541</v>
      </c>
      <c r="F2504">
        <v>593</v>
      </c>
      <c r="G2504">
        <v>45</v>
      </c>
      <c r="H2504">
        <v>30096</v>
      </c>
      <c r="I2504">
        <v>15</v>
      </c>
      <c r="J2504">
        <v>36</v>
      </c>
      <c r="K2504">
        <v>548</v>
      </c>
      <c r="L2504">
        <v>575</v>
      </c>
      <c r="M2504">
        <v>8.5833333330000006</v>
      </c>
      <c r="N2504">
        <f>IFERROR(VLOOKUP(A2504,vlookup_table!$A:$G,2,FALSE),"")</f>
        <v>2</v>
      </c>
      <c r="O2504">
        <f>IFERROR(VLOOKUP(A2504,vlookup_table!$A:$G,4,FALSE),"")</f>
        <v>0</v>
      </c>
      <c r="P2504" t="str">
        <f>IFERROR(VLOOKUP(A2504,vlookup_table!$A:$G,5,FALSE),"")</f>
        <v>S1</v>
      </c>
      <c r="Q2504">
        <f>IFERROR(VLOOKUP(A2504,vlookup_table!$A:$G,7,FALSE),"")</f>
        <v>12</v>
      </c>
      <c r="R2504">
        <f t="shared" si="156"/>
        <v>97</v>
      </c>
      <c r="S2504" t="str" cm="1">
        <f t="array" ref="S2504">IF(P2504="","",_xlfn.SWITCH(LEFT(P2504,1),"C","Ciudad","T","Pueblo","R","Rural","S","Suburbano","U","Urbano",""))</f>
        <v>Suburbano</v>
      </c>
      <c r="T2504" t="str">
        <f t="shared" si="157"/>
        <v>F</v>
      </c>
      <c r="U2504" t="str">
        <f t="shared" si="158"/>
        <v>WA</v>
      </c>
      <c r="V2504" t="str">
        <f t="shared" si="159"/>
        <v>30096</v>
      </c>
    </row>
    <row r="2505" spans="1:22" x14ac:dyDescent="0.35">
      <c r="A2505">
        <v>187082</v>
      </c>
      <c r="B2505" t="s">
        <v>18</v>
      </c>
      <c r="C2505" t="s">
        <v>20</v>
      </c>
      <c r="D2505">
        <v>1055</v>
      </c>
      <c r="E2505">
        <v>288</v>
      </c>
      <c r="F2505">
        <v>396</v>
      </c>
      <c r="G2505">
        <v>3</v>
      </c>
      <c r="H2505">
        <v>13839</v>
      </c>
      <c r="I2505">
        <v>0</v>
      </c>
      <c r="J2505">
        <v>49</v>
      </c>
      <c r="K2505">
        <v>312</v>
      </c>
      <c r="L2505">
        <v>355</v>
      </c>
      <c r="M2505">
        <v>7.9</v>
      </c>
      <c r="N2505">
        <f>IFERROR(VLOOKUP(A2505,vlookup_table!$A:$G,2,FALSE),"")</f>
        <v>2</v>
      </c>
      <c r="O2505">
        <f>IFERROR(VLOOKUP(A2505,vlookup_table!$A:$G,4,FALSE),"")</f>
        <v>2001</v>
      </c>
      <c r="P2505" t="str">
        <f>IFERROR(VLOOKUP(A2505,vlookup_table!$A:$G,5,FALSE),"")</f>
        <v>R2</v>
      </c>
      <c r="Q2505">
        <f>IFERROR(VLOOKUP(A2505,vlookup_table!$A:$G,7,FALSE),"")</f>
        <v>8</v>
      </c>
      <c r="R2505">
        <f t="shared" si="156"/>
        <v>77</v>
      </c>
      <c r="S2505" t="str" cm="1">
        <f t="array" ref="S2505">IF(P2505="","",_xlfn.SWITCH(LEFT(P2505,1),"C","Ciudad","T","Pueblo","R","Rural","S","Suburbano","U","Urbano",""))</f>
        <v>Rural</v>
      </c>
      <c r="T2505" t="str">
        <f t="shared" si="157"/>
        <v>F</v>
      </c>
      <c r="U2505" t="str">
        <f t="shared" si="158"/>
        <v>NC</v>
      </c>
      <c r="V2505" t="str">
        <f t="shared" si="159"/>
        <v>13839</v>
      </c>
    </row>
    <row r="2506" spans="1:22" x14ac:dyDescent="0.35">
      <c r="A2506">
        <v>156034</v>
      </c>
      <c r="B2506" t="s">
        <v>22</v>
      </c>
      <c r="C2506" t="s">
        <v>14</v>
      </c>
      <c r="D2506">
        <v>1873</v>
      </c>
      <c r="E2506">
        <v>394</v>
      </c>
      <c r="F2506">
        <v>481</v>
      </c>
      <c r="G2506">
        <v>39</v>
      </c>
      <c r="H2506">
        <v>19031</v>
      </c>
      <c r="I2506">
        <v>12</v>
      </c>
      <c r="J2506">
        <v>44</v>
      </c>
      <c r="K2506">
        <v>428</v>
      </c>
      <c r="L2506">
        <v>453</v>
      </c>
      <c r="M2506">
        <v>20</v>
      </c>
      <c r="N2506">
        <f>IFERROR(VLOOKUP(A2506,vlookup_table!$A:$G,2,FALSE),"")</f>
        <v>1</v>
      </c>
      <c r="O2506">
        <f>IFERROR(VLOOKUP(A2506,vlookup_table!$A:$G,4,FALSE),"")</f>
        <v>6001</v>
      </c>
      <c r="P2506" t="str">
        <f>IFERROR(VLOOKUP(A2506,vlookup_table!$A:$G,5,FALSE),"")</f>
        <v>T2</v>
      </c>
      <c r="Q2506">
        <f>IFERROR(VLOOKUP(A2506,vlookup_table!$A:$G,7,FALSE),"")</f>
        <v>15</v>
      </c>
      <c r="R2506">
        <f t="shared" si="156"/>
        <v>37</v>
      </c>
      <c r="S2506" t="str" cm="1">
        <f t="array" ref="S2506">IF(P2506="","",_xlfn.SWITCH(LEFT(P2506,1),"C","Ciudad","T","Pueblo","R","Rural","S","Suburbano","U","Urbano",""))</f>
        <v>Pueblo</v>
      </c>
      <c r="T2506" t="str">
        <f t="shared" si="157"/>
        <v>M</v>
      </c>
      <c r="U2506" t="str">
        <f t="shared" si="158"/>
        <v>CA</v>
      </c>
      <c r="V2506" t="str">
        <f t="shared" si="159"/>
        <v>19031</v>
      </c>
    </row>
    <row r="2507" spans="1:22" x14ac:dyDescent="0.35">
      <c r="A2507">
        <v>72048</v>
      </c>
      <c r="B2507" t="s">
        <v>29</v>
      </c>
      <c r="C2507" t="s">
        <v>14</v>
      </c>
      <c r="D2507">
        <v>531</v>
      </c>
      <c r="E2507">
        <v>311</v>
      </c>
      <c r="F2507">
        <v>384</v>
      </c>
      <c r="G2507">
        <v>0</v>
      </c>
      <c r="H2507">
        <v>13152</v>
      </c>
      <c r="I2507">
        <v>1</v>
      </c>
      <c r="J2507">
        <v>85</v>
      </c>
      <c r="K2507">
        <v>342</v>
      </c>
      <c r="L2507">
        <v>351</v>
      </c>
      <c r="M2507">
        <v>8.0833333330000006</v>
      </c>
      <c r="N2507">
        <f>IFERROR(VLOOKUP(A2507,vlookup_table!$A:$G,2,FALSE),"")</f>
        <v>1</v>
      </c>
      <c r="O2507">
        <f>IFERROR(VLOOKUP(A2507,vlookup_table!$A:$G,4,FALSE),"")</f>
        <v>6001</v>
      </c>
      <c r="P2507" t="str">
        <f>IFERROR(VLOOKUP(A2507,vlookup_table!$A:$G,5,FALSE),"")</f>
        <v>R2</v>
      </c>
      <c r="Q2507">
        <f>IFERROR(VLOOKUP(A2507,vlookup_table!$A:$G,7,FALSE),"")</f>
        <v>10</v>
      </c>
      <c r="R2507">
        <f t="shared" si="156"/>
        <v>37</v>
      </c>
      <c r="S2507" t="str" cm="1">
        <f t="array" ref="S2507">IF(P2507="","",_xlfn.SWITCH(LEFT(P2507,1),"C","Ciudad","T","Pueblo","R","Rural","S","Suburbano","U","Urbano",""))</f>
        <v>Rural</v>
      </c>
      <c r="T2507" t="str">
        <f t="shared" si="157"/>
        <v>M</v>
      </c>
      <c r="U2507" t="str">
        <f t="shared" si="158"/>
        <v>MI</v>
      </c>
      <c r="V2507" t="str">
        <f t="shared" si="159"/>
        <v>13152</v>
      </c>
    </row>
    <row r="2508" spans="1:22" x14ac:dyDescent="0.35">
      <c r="A2508">
        <v>104427</v>
      </c>
      <c r="B2508" t="s">
        <v>28</v>
      </c>
      <c r="C2508" t="s">
        <v>17</v>
      </c>
      <c r="D2508">
        <v>857</v>
      </c>
      <c r="E2508">
        <v>340</v>
      </c>
      <c r="F2508">
        <v>510</v>
      </c>
      <c r="G2508">
        <v>1</v>
      </c>
      <c r="H2508">
        <v>17128</v>
      </c>
      <c r="I2508">
        <v>1</v>
      </c>
      <c r="J2508">
        <v>52</v>
      </c>
      <c r="K2508">
        <v>481</v>
      </c>
      <c r="L2508">
        <v>399</v>
      </c>
      <c r="M2508">
        <v>20</v>
      </c>
      <c r="N2508">
        <f>IFERROR(VLOOKUP(A2508,vlookup_table!$A:$G,2,FALSE),"")</f>
        <v>0</v>
      </c>
      <c r="O2508">
        <f>IFERROR(VLOOKUP(A2508,vlookup_table!$A:$G,4,FALSE),"")</f>
        <v>4601</v>
      </c>
      <c r="P2508" t="str">
        <f>IFERROR(VLOOKUP(A2508,vlookup_table!$A:$G,5,FALSE),"")</f>
        <v>R2</v>
      </c>
      <c r="Q2508">
        <f>IFERROR(VLOOKUP(A2508,vlookup_table!$A:$G,7,FALSE),"")</f>
        <v>15</v>
      </c>
      <c r="R2508">
        <f t="shared" si="156"/>
        <v>51</v>
      </c>
      <c r="S2508" t="str" cm="1">
        <f t="array" ref="S2508">IF(P2508="","",_xlfn.SWITCH(LEFT(P2508,1),"C","Ciudad","T","Pueblo","R","Rural","S","Suburbano","U","Urbano",""))</f>
        <v>Rural</v>
      </c>
      <c r="T2508" t="str">
        <f t="shared" si="157"/>
        <v>F</v>
      </c>
      <c r="U2508" t="str">
        <f t="shared" si="158"/>
        <v>KS</v>
      </c>
      <c r="V2508" t="str">
        <f t="shared" si="159"/>
        <v>17128</v>
      </c>
    </row>
    <row r="2509" spans="1:22" x14ac:dyDescent="0.35">
      <c r="A2509">
        <v>34448</v>
      </c>
      <c r="B2509" t="s">
        <v>13</v>
      </c>
      <c r="C2509" t="s">
        <v>17</v>
      </c>
      <c r="D2509">
        <v>431</v>
      </c>
      <c r="E2509">
        <v>220</v>
      </c>
      <c r="F2509">
        <v>306</v>
      </c>
      <c r="G2509">
        <v>0</v>
      </c>
      <c r="H2509">
        <v>10129</v>
      </c>
      <c r="I2509">
        <v>2</v>
      </c>
      <c r="J2509">
        <v>63</v>
      </c>
      <c r="K2509">
        <v>259</v>
      </c>
      <c r="L2509">
        <v>281</v>
      </c>
      <c r="M2509">
        <v>25</v>
      </c>
      <c r="N2509">
        <f>IFERROR(VLOOKUP(A2509,vlookup_table!$A:$G,2,FALSE),"")</f>
        <v>2</v>
      </c>
      <c r="O2509">
        <f>IFERROR(VLOOKUP(A2509,vlookup_table!$A:$G,4,FALSE),"")</f>
        <v>1601</v>
      </c>
      <c r="P2509" t="str">
        <f>IFERROR(VLOOKUP(A2509,vlookup_table!$A:$G,5,FALSE),"")</f>
        <v>R2</v>
      </c>
      <c r="Q2509">
        <f>IFERROR(VLOOKUP(A2509,vlookup_table!$A:$G,7,FALSE),"")</f>
        <v>10</v>
      </c>
      <c r="R2509">
        <f t="shared" si="156"/>
        <v>81</v>
      </c>
      <c r="S2509" t="str" cm="1">
        <f t="array" ref="S2509">IF(P2509="","",_xlfn.SWITCH(LEFT(P2509,1),"C","Ciudad","T","Pueblo","R","Rural","S","Suburbano","U","Urbano",""))</f>
        <v>Rural</v>
      </c>
      <c r="T2509" t="str">
        <f t="shared" si="157"/>
        <v>F</v>
      </c>
      <c r="U2509" t="str">
        <f t="shared" si="158"/>
        <v>FL</v>
      </c>
      <c r="V2509" t="str">
        <f t="shared" si="159"/>
        <v>10129</v>
      </c>
    </row>
    <row r="2510" spans="1:22" x14ac:dyDescent="0.35">
      <c r="A2510">
        <v>10247</v>
      </c>
      <c r="B2510" t="s">
        <v>22</v>
      </c>
      <c r="C2510" t="s">
        <v>17</v>
      </c>
      <c r="D2510">
        <v>1580</v>
      </c>
      <c r="E2510">
        <v>503</v>
      </c>
      <c r="F2510">
        <v>483</v>
      </c>
      <c r="G2510">
        <v>11</v>
      </c>
      <c r="H2510">
        <v>15111</v>
      </c>
      <c r="I2510">
        <v>8</v>
      </c>
      <c r="J2510">
        <v>55</v>
      </c>
      <c r="K2510">
        <v>490</v>
      </c>
      <c r="L2510">
        <v>515</v>
      </c>
      <c r="M2510">
        <v>9</v>
      </c>
      <c r="N2510">
        <f>IFERROR(VLOOKUP(A2510,vlookup_table!$A:$G,2,FALSE),"")</f>
        <v>0</v>
      </c>
      <c r="O2510">
        <f>IFERROR(VLOOKUP(A2510,vlookup_table!$A:$G,4,FALSE),"")</f>
        <v>3005</v>
      </c>
      <c r="P2510" t="str">
        <f>IFERROR(VLOOKUP(A2510,vlookup_table!$A:$G,5,FALSE),"")</f>
        <v>C1</v>
      </c>
      <c r="Q2510">
        <f>IFERROR(VLOOKUP(A2510,vlookup_table!$A:$G,7,FALSE),"")</f>
        <v>10</v>
      </c>
      <c r="R2510">
        <f t="shared" si="156"/>
        <v>67</v>
      </c>
      <c r="S2510" t="str" cm="1">
        <f t="array" ref="S2510">IF(P2510="","",_xlfn.SWITCH(LEFT(P2510,1),"C","Ciudad","T","Pueblo","R","Rural","S","Suburbano","U","Urbano",""))</f>
        <v>Ciudad</v>
      </c>
      <c r="T2510" t="str">
        <f t="shared" si="157"/>
        <v>F</v>
      </c>
      <c r="U2510" t="str">
        <f t="shared" si="158"/>
        <v>CA</v>
      </c>
      <c r="V2510" t="str">
        <f t="shared" si="159"/>
        <v>15111</v>
      </c>
    </row>
    <row r="2511" spans="1:22" x14ac:dyDescent="0.35">
      <c r="A2511">
        <v>158679</v>
      </c>
      <c r="B2511" t="s">
        <v>22</v>
      </c>
      <c r="C2511" t="s">
        <v>14</v>
      </c>
      <c r="D2511">
        <v>2211</v>
      </c>
      <c r="E2511">
        <v>592</v>
      </c>
      <c r="F2511">
        <v>639</v>
      </c>
      <c r="G2511">
        <v>74</v>
      </c>
      <c r="H2511">
        <v>18973</v>
      </c>
      <c r="I2511">
        <v>4</v>
      </c>
      <c r="J2511">
        <v>61</v>
      </c>
      <c r="K2511">
        <v>584</v>
      </c>
      <c r="L2511">
        <v>625</v>
      </c>
      <c r="M2511">
        <v>12.363636359999999</v>
      </c>
      <c r="N2511">
        <f>IFERROR(VLOOKUP(A2511,vlookup_table!$A:$G,2,FALSE),"")</f>
        <v>1</v>
      </c>
      <c r="O2511">
        <f>IFERROR(VLOOKUP(A2511,vlookup_table!$A:$G,4,FALSE),"")</f>
        <v>0</v>
      </c>
      <c r="P2511" t="str">
        <f>IFERROR(VLOOKUP(A2511,vlookup_table!$A:$G,5,FALSE),"")</f>
        <v>S2</v>
      </c>
      <c r="Q2511">
        <f>IFERROR(VLOOKUP(A2511,vlookup_table!$A:$G,7,FALSE),"")</f>
        <v>16</v>
      </c>
      <c r="R2511">
        <f t="shared" si="156"/>
        <v>97</v>
      </c>
      <c r="S2511" t="str" cm="1">
        <f t="array" ref="S2511">IF(P2511="","",_xlfn.SWITCH(LEFT(P2511,1),"C","Ciudad","T","Pueblo","R","Rural","S","Suburbano","U","Urbano",""))</f>
        <v>Suburbano</v>
      </c>
      <c r="T2511" t="str">
        <f t="shared" si="157"/>
        <v>M</v>
      </c>
      <c r="U2511" t="str">
        <f t="shared" si="158"/>
        <v>CA</v>
      </c>
      <c r="V2511" t="str">
        <f t="shared" si="159"/>
        <v>18973</v>
      </c>
    </row>
    <row r="2512" spans="1:22" x14ac:dyDescent="0.35">
      <c r="A2512">
        <v>141742</v>
      </c>
      <c r="B2512" t="s">
        <v>24</v>
      </c>
      <c r="C2512" t="s">
        <v>14</v>
      </c>
      <c r="D2512">
        <v>1167</v>
      </c>
      <c r="E2512">
        <v>497</v>
      </c>
      <c r="F2512">
        <v>575</v>
      </c>
      <c r="G2512">
        <v>6</v>
      </c>
      <c r="H2512">
        <v>22162</v>
      </c>
      <c r="I2512">
        <v>3</v>
      </c>
      <c r="J2512">
        <v>18</v>
      </c>
      <c r="K2512">
        <v>503</v>
      </c>
      <c r="L2512">
        <v>547</v>
      </c>
      <c r="M2512">
        <v>8.3333333330000006</v>
      </c>
      <c r="N2512">
        <f>IFERROR(VLOOKUP(A2512,vlookup_table!$A:$G,2,FALSE),"")</f>
        <v>2</v>
      </c>
      <c r="O2512">
        <f>IFERROR(VLOOKUP(A2512,vlookup_table!$A:$G,4,FALSE),"")</f>
        <v>2801</v>
      </c>
      <c r="P2512" t="str">
        <f>IFERROR(VLOOKUP(A2512,vlookup_table!$A:$G,5,FALSE),"")</f>
        <v>T2</v>
      </c>
      <c r="Q2512">
        <f>IFERROR(VLOOKUP(A2512,vlookup_table!$A:$G,7,FALSE),"")</f>
        <v>8</v>
      </c>
      <c r="R2512">
        <f t="shared" si="156"/>
        <v>69</v>
      </c>
      <c r="S2512" t="str" cm="1">
        <f t="array" ref="S2512">IF(P2512="","",_xlfn.SWITCH(LEFT(P2512,1),"C","Ciudad","T","Pueblo","R","Rural","S","Suburbano","U","Urbano",""))</f>
        <v>Pueblo</v>
      </c>
      <c r="T2512" t="str">
        <f t="shared" si="157"/>
        <v>M</v>
      </c>
      <c r="U2512" t="str">
        <f t="shared" si="158"/>
        <v>NV</v>
      </c>
      <c r="V2512" t="str">
        <f t="shared" si="159"/>
        <v>22162</v>
      </c>
    </row>
    <row r="2513" spans="1:22" x14ac:dyDescent="0.35">
      <c r="A2513">
        <v>96679</v>
      </c>
      <c r="B2513" t="s">
        <v>16</v>
      </c>
      <c r="C2513" t="s">
        <v>14</v>
      </c>
      <c r="D2513">
        <v>870</v>
      </c>
      <c r="E2513">
        <v>396</v>
      </c>
      <c r="F2513">
        <v>549</v>
      </c>
      <c r="G2513">
        <v>4</v>
      </c>
      <c r="H2513">
        <v>21366</v>
      </c>
      <c r="I2513">
        <v>4</v>
      </c>
      <c r="J2513">
        <v>64</v>
      </c>
      <c r="K2513">
        <v>510</v>
      </c>
      <c r="L2513">
        <v>456</v>
      </c>
      <c r="M2513">
        <v>6.4285714289999998</v>
      </c>
      <c r="N2513">
        <f>IFERROR(VLOOKUP(A2513,vlookup_table!$A:$G,2,FALSE),"")</f>
        <v>0</v>
      </c>
      <c r="O2513">
        <f>IFERROR(VLOOKUP(A2513,vlookup_table!$A:$G,4,FALSE),"")</f>
        <v>5001</v>
      </c>
      <c r="P2513" t="str">
        <f>IFERROR(VLOOKUP(A2513,vlookup_table!$A:$G,5,FALSE),"")</f>
        <v>S1</v>
      </c>
      <c r="Q2513">
        <f>IFERROR(VLOOKUP(A2513,vlookup_table!$A:$G,7,FALSE),"")</f>
        <v>5</v>
      </c>
      <c r="R2513">
        <f t="shared" si="156"/>
        <v>47</v>
      </c>
      <c r="S2513" t="str" cm="1">
        <f t="array" ref="S2513">IF(P2513="","",_xlfn.SWITCH(LEFT(P2513,1),"C","Ciudad","T","Pueblo","R","Rural","S","Suburbano","U","Urbano",""))</f>
        <v>Suburbano</v>
      </c>
      <c r="T2513" t="str">
        <f t="shared" si="157"/>
        <v>M</v>
      </c>
      <c r="U2513" t="str">
        <f t="shared" si="158"/>
        <v>IL</v>
      </c>
      <c r="V2513" t="str">
        <f t="shared" si="159"/>
        <v>21366</v>
      </c>
    </row>
    <row r="2514" spans="1:22" x14ac:dyDescent="0.35">
      <c r="A2514">
        <v>151513</v>
      </c>
      <c r="B2514" t="s">
        <v>22</v>
      </c>
      <c r="C2514" t="s">
        <v>17</v>
      </c>
      <c r="D2514">
        <v>2346</v>
      </c>
      <c r="E2514">
        <v>569</v>
      </c>
      <c r="F2514">
        <v>617</v>
      </c>
      <c r="G2514">
        <v>71</v>
      </c>
      <c r="H2514">
        <v>21982</v>
      </c>
      <c r="I2514">
        <v>13</v>
      </c>
      <c r="J2514">
        <v>42</v>
      </c>
      <c r="K2514">
        <v>568</v>
      </c>
      <c r="L2514">
        <v>644</v>
      </c>
      <c r="M2514">
        <v>6.923076923</v>
      </c>
      <c r="N2514">
        <f>IFERROR(VLOOKUP(A2514,vlookup_table!$A:$G,2,FALSE),"")</f>
        <v>0</v>
      </c>
      <c r="O2514">
        <f>IFERROR(VLOOKUP(A2514,vlookup_table!$A:$G,4,FALSE),"")</f>
        <v>2201</v>
      </c>
      <c r="P2514" t="str">
        <f>IFERROR(VLOOKUP(A2514,vlookup_table!$A:$G,5,FALSE),"")</f>
        <v>U1</v>
      </c>
      <c r="Q2514">
        <f>IFERROR(VLOOKUP(A2514,vlookup_table!$A:$G,7,FALSE),"")</f>
        <v>15</v>
      </c>
      <c r="R2514">
        <f t="shared" si="156"/>
        <v>75</v>
      </c>
      <c r="S2514" t="str" cm="1">
        <f t="array" ref="S2514">IF(P2514="","",_xlfn.SWITCH(LEFT(P2514,1),"C","Ciudad","T","Pueblo","R","Rural","S","Suburbano","U","Urbano",""))</f>
        <v>Urbano</v>
      </c>
      <c r="T2514" t="str">
        <f t="shared" si="157"/>
        <v>F</v>
      </c>
      <c r="U2514" t="str">
        <f t="shared" si="158"/>
        <v>CA</v>
      </c>
      <c r="V2514" t="str">
        <f t="shared" si="159"/>
        <v>21982</v>
      </c>
    </row>
    <row r="2515" spans="1:22" x14ac:dyDescent="0.35">
      <c r="A2515">
        <v>2085</v>
      </c>
      <c r="B2515" t="s">
        <v>13</v>
      </c>
      <c r="C2515" t="s">
        <v>14</v>
      </c>
      <c r="D2515">
        <v>852</v>
      </c>
      <c r="E2515">
        <v>426</v>
      </c>
      <c r="F2515">
        <v>485</v>
      </c>
      <c r="G2515">
        <v>1</v>
      </c>
      <c r="H2515">
        <v>14762</v>
      </c>
      <c r="I2515">
        <v>4</v>
      </c>
      <c r="J2515">
        <v>44</v>
      </c>
      <c r="K2515">
        <v>438</v>
      </c>
      <c r="L2515">
        <v>455</v>
      </c>
      <c r="M2515">
        <v>19.30769231</v>
      </c>
      <c r="N2515">
        <f>IFERROR(VLOOKUP(A2515,vlookup_table!$A:$G,2,FALSE),"")</f>
        <v>1</v>
      </c>
      <c r="O2515">
        <f>IFERROR(VLOOKUP(A2515,vlookup_table!$A:$G,4,FALSE),"")</f>
        <v>4412</v>
      </c>
      <c r="P2515" t="str">
        <f>IFERROR(VLOOKUP(A2515,vlookup_table!$A:$G,5,FALSE),"")</f>
        <v>C2</v>
      </c>
      <c r="Q2515">
        <f>IFERROR(VLOOKUP(A2515,vlookup_table!$A:$G,7,FALSE),"")</f>
        <v>20</v>
      </c>
      <c r="R2515">
        <f t="shared" si="156"/>
        <v>53</v>
      </c>
      <c r="S2515" t="str" cm="1">
        <f t="array" ref="S2515">IF(P2515="","",_xlfn.SWITCH(LEFT(P2515,1),"C","Ciudad","T","Pueblo","R","Rural","S","Suburbano","U","Urbano",""))</f>
        <v>Ciudad</v>
      </c>
      <c r="T2515" t="str">
        <f t="shared" si="157"/>
        <v>M</v>
      </c>
      <c r="U2515" t="str">
        <f t="shared" si="158"/>
        <v>FL</v>
      </c>
      <c r="V2515" t="str">
        <f t="shared" si="159"/>
        <v>14762</v>
      </c>
    </row>
    <row r="2516" spans="1:22" x14ac:dyDescent="0.35">
      <c r="A2516">
        <v>112532</v>
      </c>
      <c r="B2516" t="s">
        <v>32</v>
      </c>
      <c r="C2516" t="s">
        <v>60</v>
      </c>
      <c r="D2516">
        <v>472</v>
      </c>
      <c r="E2516">
        <v>225</v>
      </c>
      <c r="F2516">
        <v>336</v>
      </c>
      <c r="G2516">
        <v>1</v>
      </c>
      <c r="H2516">
        <v>13758</v>
      </c>
      <c r="I2516">
        <v>2</v>
      </c>
      <c r="J2516">
        <v>55</v>
      </c>
      <c r="K2516">
        <v>250</v>
      </c>
      <c r="L2516">
        <v>290</v>
      </c>
      <c r="M2516">
        <v>9.5217391300000003</v>
      </c>
      <c r="N2516">
        <f>IFERROR(VLOOKUP(A2516,vlookup_table!$A:$G,2,FALSE),"")</f>
        <v>0</v>
      </c>
      <c r="O2516">
        <f>IFERROR(VLOOKUP(A2516,vlookup_table!$A:$G,4,FALSE),"")</f>
        <v>0</v>
      </c>
      <c r="P2516" t="str">
        <f>IFERROR(VLOOKUP(A2516,vlookup_table!$A:$G,5,FALSE),"")</f>
        <v>R2</v>
      </c>
      <c r="Q2516">
        <f>IFERROR(VLOOKUP(A2516,vlookup_table!$A:$G,7,FALSE),"")</f>
        <v>11</v>
      </c>
      <c r="R2516">
        <f t="shared" si="156"/>
        <v>97</v>
      </c>
      <c r="S2516" t="str" cm="1">
        <f t="array" ref="S2516">IF(P2516="","",_xlfn.SWITCH(LEFT(P2516,1),"C","Ciudad","T","Pueblo","R","Rural","S","Suburbano","U","Urbano",""))</f>
        <v>Rural</v>
      </c>
      <c r="T2516" t="str">
        <f t="shared" si="157"/>
        <v>F</v>
      </c>
      <c r="U2516" t="str">
        <f t="shared" si="158"/>
        <v>AR</v>
      </c>
      <c r="V2516" t="str">
        <f t="shared" si="159"/>
        <v>13758</v>
      </c>
    </row>
    <row r="2517" spans="1:22" x14ac:dyDescent="0.35">
      <c r="A2517">
        <v>164987</v>
      </c>
      <c r="B2517" t="s">
        <v>22</v>
      </c>
      <c r="C2517" t="s">
        <v>14</v>
      </c>
      <c r="D2517">
        <v>4026</v>
      </c>
      <c r="E2517">
        <v>762</v>
      </c>
      <c r="F2517">
        <v>835</v>
      </c>
      <c r="G2517">
        <v>99</v>
      </c>
      <c r="H2517">
        <v>31860</v>
      </c>
      <c r="I2517">
        <v>7</v>
      </c>
      <c r="J2517">
        <v>56</v>
      </c>
      <c r="K2517">
        <v>787</v>
      </c>
      <c r="L2517">
        <v>794</v>
      </c>
      <c r="M2517">
        <v>11.71428571</v>
      </c>
      <c r="N2517">
        <f>IFERROR(VLOOKUP(A2517,vlookup_table!$A:$G,2,FALSE),"")</f>
        <v>0</v>
      </c>
      <c r="O2517">
        <f>IFERROR(VLOOKUP(A2517,vlookup_table!$A:$G,4,FALSE),"")</f>
        <v>5201</v>
      </c>
      <c r="P2517" t="str">
        <f>IFERROR(VLOOKUP(A2517,vlookup_table!$A:$G,5,FALSE),"")</f>
        <v>S1</v>
      </c>
      <c r="Q2517">
        <f>IFERROR(VLOOKUP(A2517,vlookup_table!$A:$G,7,FALSE),"")</f>
        <v>12</v>
      </c>
      <c r="R2517">
        <f t="shared" si="156"/>
        <v>45</v>
      </c>
      <c r="S2517" t="str" cm="1">
        <f t="array" ref="S2517">IF(P2517="","",_xlfn.SWITCH(LEFT(P2517,1),"C","Ciudad","T","Pueblo","R","Rural","S","Suburbano","U","Urbano",""))</f>
        <v>Suburbano</v>
      </c>
      <c r="T2517" t="str">
        <f t="shared" si="157"/>
        <v>M</v>
      </c>
      <c r="U2517" t="str">
        <f t="shared" si="158"/>
        <v>CA</v>
      </c>
      <c r="V2517" t="str">
        <f t="shared" si="159"/>
        <v>31860</v>
      </c>
    </row>
    <row r="2518" spans="1:22" x14ac:dyDescent="0.35">
      <c r="A2518">
        <v>142013</v>
      </c>
      <c r="B2518" t="s">
        <v>24</v>
      </c>
      <c r="C2518" t="s">
        <v>17</v>
      </c>
      <c r="D2518">
        <v>1009</v>
      </c>
      <c r="E2518">
        <v>367</v>
      </c>
      <c r="F2518">
        <v>417</v>
      </c>
      <c r="G2518">
        <v>1</v>
      </c>
      <c r="H2518">
        <v>14199</v>
      </c>
      <c r="I2518">
        <v>3</v>
      </c>
      <c r="J2518">
        <v>40</v>
      </c>
      <c r="K2518">
        <v>391</v>
      </c>
      <c r="L2518">
        <v>393</v>
      </c>
      <c r="M2518">
        <v>23</v>
      </c>
      <c r="N2518">
        <f>IFERROR(VLOOKUP(A2518,vlookup_table!$A:$G,2,FALSE),"")</f>
        <v>0</v>
      </c>
      <c r="O2518">
        <f>IFERROR(VLOOKUP(A2518,vlookup_table!$A:$G,4,FALSE),"")</f>
        <v>4401</v>
      </c>
      <c r="P2518" t="str">
        <f>IFERROR(VLOOKUP(A2518,vlookup_table!$A:$G,5,FALSE),"")</f>
        <v>R2</v>
      </c>
      <c r="Q2518">
        <f>IFERROR(VLOOKUP(A2518,vlookup_table!$A:$G,7,FALSE),"")</f>
        <v>23</v>
      </c>
      <c r="R2518">
        <f t="shared" si="156"/>
        <v>53</v>
      </c>
      <c r="S2518" t="str" cm="1">
        <f t="array" ref="S2518">IF(P2518="","",_xlfn.SWITCH(LEFT(P2518,1),"C","Ciudad","T","Pueblo","R","Rural","S","Suburbano","U","Urbano",""))</f>
        <v>Rural</v>
      </c>
      <c r="T2518" t="str">
        <f t="shared" si="157"/>
        <v>F</v>
      </c>
      <c r="U2518" t="str">
        <f t="shared" si="158"/>
        <v>NV</v>
      </c>
      <c r="V2518" t="str">
        <f t="shared" si="159"/>
        <v>14199</v>
      </c>
    </row>
    <row r="2519" spans="1:22" x14ac:dyDescent="0.35">
      <c r="A2519">
        <v>185803</v>
      </c>
      <c r="B2519" t="s">
        <v>56</v>
      </c>
      <c r="C2519" t="s">
        <v>14</v>
      </c>
      <c r="D2519">
        <v>887</v>
      </c>
      <c r="E2519">
        <v>533</v>
      </c>
      <c r="F2519">
        <v>652</v>
      </c>
      <c r="G2519">
        <v>0</v>
      </c>
      <c r="H2519">
        <v>16830</v>
      </c>
      <c r="I2519">
        <v>5</v>
      </c>
      <c r="J2519">
        <v>54</v>
      </c>
      <c r="K2519">
        <v>544</v>
      </c>
      <c r="L2519">
        <v>597</v>
      </c>
      <c r="M2519">
        <v>15</v>
      </c>
      <c r="N2519">
        <f>IFERROR(VLOOKUP(A2519,vlookup_table!$A:$G,2,FALSE),"")</f>
        <v>0</v>
      </c>
      <c r="O2519">
        <f>IFERROR(VLOOKUP(A2519,vlookup_table!$A:$G,4,FALSE),"")</f>
        <v>3808</v>
      </c>
      <c r="P2519">
        <f>IFERROR(VLOOKUP(A2519,vlookup_table!$A:$G,5,FALSE),"")</f>
        <v>0</v>
      </c>
      <c r="Q2519">
        <f>IFERROR(VLOOKUP(A2519,vlookup_table!$A:$G,7,FALSE),"")</f>
        <v>20</v>
      </c>
      <c r="R2519">
        <f t="shared" si="156"/>
        <v>59</v>
      </c>
      <c r="S2519" t="str" cm="1">
        <f t="array" ref="S2519">IF(P2519="","",_xlfn.SWITCH(LEFT(P2519,1),"C","Ciudad","T","Pueblo","R","Rural","S","Suburbano","U","Urbano",""))</f>
        <v/>
      </c>
      <c r="T2519" t="str">
        <f t="shared" si="157"/>
        <v>M</v>
      </c>
      <c r="U2519" t="str">
        <f t="shared" si="158"/>
        <v>MN</v>
      </c>
      <c r="V2519" t="str">
        <f t="shared" si="159"/>
        <v>16830</v>
      </c>
    </row>
    <row r="2520" spans="1:22" x14ac:dyDescent="0.35">
      <c r="A2520">
        <v>130908</v>
      </c>
      <c r="B2520" t="s">
        <v>48</v>
      </c>
      <c r="C2520" t="s">
        <v>17</v>
      </c>
      <c r="D2520">
        <v>477</v>
      </c>
      <c r="E2520">
        <v>265</v>
      </c>
      <c r="F2520">
        <v>359</v>
      </c>
      <c r="G2520">
        <v>0</v>
      </c>
      <c r="H2520">
        <v>11854</v>
      </c>
      <c r="I2520">
        <v>0</v>
      </c>
      <c r="J2520">
        <v>61</v>
      </c>
      <c r="K2520">
        <v>305</v>
      </c>
      <c r="L2520">
        <v>309</v>
      </c>
      <c r="M2520">
        <v>15</v>
      </c>
      <c r="N2520">
        <f>IFERROR(VLOOKUP(A2520,vlookup_table!$A:$G,2,FALSE),"")</f>
        <v>3</v>
      </c>
      <c r="O2520">
        <f>IFERROR(VLOOKUP(A2520,vlookup_table!$A:$G,4,FALSE),"")</f>
        <v>0</v>
      </c>
      <c r="P2520" t="str">
        <f>IFERROR(VLOOKUP(A2520,vlookup_table!$A:$G,5,FALSE),"")</f>
        <v>R2</v>
      </c>
      <c r="Q2520">
        <f>IFERROR(VLOOKUP(A2520,vlookup_table!$A:$G,7,FALSE),"")</f>
        <v>25</v>
      </c>
      <c r="R2520">
        <f t="shared" si="156"/>
        <v>97</v>
      </c>
      <c r="S2520" t="str" cm="1">
        <f t="array" ref="S2520">IF(P2520="","",_xlfn.SWITCH(LEFT(P2520,1),"C","Ciudad","T","Pueblo","R","Rural","S","Suburbano","U","Urbano",""))</f>
        <v>Rural</v>
      </c>
      <c r="T2520" t="str">
        <f t="shared" si="157"/>
        <v>F</v>
      </c>
      <c r="U2520" t="str">
        <f t="shared" si="158"/>
        <v>CO</v>
      </c>
      <c r="V2520" t="str">
        <f t="shared" si="159"/>
        <v>11854</v>
      </c>
    </row>
    <row r="2521" spans="1:22" x14ac:dyDescent="0.35">
      <c r="A2521">
        <v>121208</v>
      </c>
      <c r="B2521" t="s">
        <v>21</v>
      </c>
      <c r="C2521" t="s">
        <v>17</v>
      </c>
      <c r="D2521">
        <v>5149</v>
      </c>
      <c r="E2521">
        <v>659</v>
      </c>
      <c r="F2521">
        <v>1013</v>
      </c>
      <c r="G2521">
        <v>86</v>
      </c>
      <c r="H2521">
        <v>72797</v>
      </c>
      <c r="I2521">
        <v>11</v>
      </c>
      <c r="J2521">
        <v>46</v>
      </c>
      <c r="K2521">
        <v>1122</v>
      </c>
      <c r="L2521">
        <v>807</v>
      </c>
      <c r="M2521">
        <v>9.961538462</v>
      </c>
      <c r="N2521">
        <f>IFERROR(VLOOKUP(A2521,vlookup_table!$A:$G,2,FALSE),"")</f>
        <v>0</v>
      </c>
      <c r="O2521">
        <f>IFERROR(VLOOKUP(A2521,vlookup_table!$A:$G,4,FALSE),"")</f>
        <v>6909</v>
      </c>
      <c r="P2521" t="str">
        <f>IFERROR(VLOOKUP(A2521,vlookup_table!$A:$G,5,FALSE),"")</f>
        <v>U1</v>
      </c>
      <c r="Q2521">
        <f>IFERROR(VLOOKUP(A2521,vlookup_table!$A:$G,7,FALSE),"")</f>
        <v>13</v>
      </c>
      <c r="R2521">
        <f t="shared" si="156"/>
        <v>28</v>
      </c>
      <c r="S2521" t="str" cm="1">
        <f t="array" ref="S2521">IF(P2521="","",_xlfn.SWITCH(LEFT(P2521,1),"C","Ciudad","T","Pueblo","R","Rural","S","Suburbano","U","Urbano",""))</f>
        <v>Urbano</v>
      </c>
      <c r="T2521" t="str">
        <f t="shared" si="157"/>
        <v>F</v>
      </c>
      <c r="U2521" t="str">
        <f t="shared" si="158"/>
        <v>TX</v>
      </c>
      <c r="V2521" t="str">
        <f t="shared" si="159"/>
        <v>72797</v>
      </c>
    </row>
    <row r="2522" spans="1:22" x14ac:dyDescent="0.35">
      <c r="A2522">
        <v>96441</v>
      </c>
      <c r="B2522" t="s">
        <v>16</v>
      </c>
      <c r="C2522" t="s">
        <v>14</v>
      </c>
      <c r="D2522">
        <v>915</v>
      </c>
      <c r="E2522">
        <v>524</v>
      </c>
      <c r="F2522">
        <v>592</v>
      </c>
      <c r="G2522">
        <v>1</v>
      </c>
      <c r="H2522">
        <v>18503</v>
      </c>
      <c r="I2522">
        <v>1</v>
      </c>
      <c r="J2522">
        <v>79</v>
      </c>
      <c r="K2522">
        <v>547</v>
      </c>
      <c r="L2522">
        <v>573</v>
      </c>
      <c r="M2522">
        <v>14.7</v>
      </c>
      <c r="N2522">
        <f>IFERROR(VLOOKUP(A2522,vlookup_table!$A:$G,2,FALSE),"")</f>
        <v>0</v>
      </c>
      <c r="O2522">
        <f>IFERROR(VLOOKUP(A2522,vlookup_table!$A:$G,4,FALSE),"")</f>
        <v>2409</v>
      </c>
      <c r="P2522" t="str">
        <f>IFERROR(VLOOKUP(A2522,vlookup_table!$A:$G,5,FALSE),"")</f>
        <v>T1</v>
      </c>
      <c r="Q2522">
        <f>IFERROR(VLOOKUP(A2522,vlookup_table!$A:$G,7,FALSE),"")</f>
        <v>25</v>
      </c>
      <c r="R2522">
        <f t="shared" si="156"/>
        <v>73</v>
      </c>
      <c r="S2522" t="str" cm="1">
        <f t="array" ref="S2522">IF(P2522="","",_xlfn.SWITCH(LEFT(P2522,1),"C","Ciudad","T","Pueblo","R","Rural","S","Suburbano","U","Urbano",""))</f>
        <v>Pueblo</v>
      </c>
      <c r="T2522" t="str">
        <f t="shared" si="157"/>
        <v>M</v>
      </c>
      <c r="U2522" t="str">
        <f t="shared" si="158"/>
        <v>IL</v>
      </c>
      <c r="V2522" t="str">
        <f t="shared" si="159"/>
        <v>18503</v>
      </c>
    </row>
    <row r="2523" spans="1:22" x14ac:dyDescent="0.35">
      <c r="A2523">
        <v>177190</v>
      </c>
      <c r="B2523" t="s">
        <v>50</v>
      </c>
      <c r="C2523" t="s">
        <v>17</v>
      </c>
      <c r="D2523">
        <v>478</v>
      </c>
      <c r="E2523">
        <v>213</v>
      </c>
      <c r="F2523">
        <v>264</v>
      </c>
      <c r="G2523">
        <v>0</v>
      </c>
      <c r="H2523">
        <v>8810</v>
      </c>
      <c r="I2523">
        <v>1</v>
      </c>
      <c r="J2523">
        <v>51</v>
      </c>
      <c r="K2523">
        <v>243</v>
      </c>
      <c r="L2523">
        <v>230</v>
      </c>
      <c r="M2523">
        <v>7.25</v>
      </c>
      <c r="N2523">
        <f>IFERROR(VLOOKUP(A2523,vlookup_table!$A:$G,2,FALSE),"")</f>
        <v>28</v>
      </c>
      <c r="O2523">
        <f>IFERROR(VLOOKUP(A2523,vlookup_table!$A:$G,4,FALSE),"")</f>
        <v>0</v>
      </c>
      <c r="P2523" t="str">
        <f>IFERROR(VLOOKUP(A2523,vlookup_table!$A:$G,5,FALSE),"")</f>
        <v>C3</v>
      </c>
      <c r="Q2523">
        <f>IFERROR(VLOOKUP(A2523,vlookup_table!$A:$G,7,FALSE),"")</f>
        <v>8</v>
      </c>
      <c r="R2523">
        <f t="shared" si="156"/>
        <v>97</v>
      </c>
      <c r="S2523" t="str" cm="1">
        <f t="array" ref="S2523">IF(P2523="","",_xlfn.SWITCH(LEFT(P2523,1),"C","Ciudad","T","Pueblo","R","Rural","S","Suburbano","U","Urbano",""))</f>
        <v>Ciudad</v>
      </c>
      <c r="T2523" t="str">
        <f t="shared" si="157"/>
        <v>F</v>
      </c>
      <c r="U2523" t="str">
        <f t="shared" si="158"/>
        <v>OR</v>
      </c>
      <c r="V2523" t="str">
        <f t="shared" si="159"/>
        <v>8810</v>
      </c>
    </row>
    <row r="2524" spans="1:22" x14ac:dyDescent="0.35">
      <c r="A2524">
        <v>113502</v>
      </c>
      <c r="B2524" t="s">
        <v>31</v>
      </c>
      <c r="C2524" t="s">
        <v>17</v>
      </c>
      <c r="D2524">
        <v>236</v>
      </c>
      <c r="E2524">
        <v>203</v>
      </c>
      <c r="F2524">
        <v>317</v>
      </c>
      <c r="G2524">
        <v>0</v>
      </c>
      <c r="H2524">
        <v>12434</v>
      </c>
      <c r="I2524">
        <v>0</v>
      </c>
      <c r="J2524">
        <v>75</v>
      </c>
      <c r="K2524">
        <v>250</v>
      </c>
      <c r="L2524">
        <v>285</v>
      </c>
      <c r="M2524">
        <v>5.875</v>
      </c>
      <c r="N2524">
        <f>IFERROR(VLOOKUP(A2524,vlookup_table!$A:$G,2,FALSE),"")</f>
        <v>2</v>
      </c>
      <c r="O2524">
        <f>IFERROR(VLOOKUP(A2524,vlookup_table!$A:$G,4,FALSE),"")</f>
        <v>601</v>
      </c>
      <c r="P2524" t="str">
        <f>IFERROR(VLOOKUP(A2524,vlookup_table!$A:$G,5,FALSE),"")</f>
        <v>C2</v>
      </c>
      <c r="Q2524">
        <f>IFERROR(VLOOKUP(A2524,vlookup_table!$A:$G,7,FALSE),"")</f>
        <v>7</v>
      </c>
      <c r="R2524">
        <f t="shared" si="156"/>
        <v>91</v>
      </c>
      <c r="S2524" t="str" cm="1">
        <f t="array" ref="S2524">IF(P2524="","",_xlfn.SWITCH(LEFT(P2524,1),"C","Ciudad","T","Pueblo","R","Rural","S","Suburbano","U","Urbano",""))</f>
        <v>Ciudad</v>
      </c>
      <c r="T2524" t="str">
        <f t="shared" si="157"/>
        <v>F</v>
      </c>
      <c r="U2524" t="str">
        <f t="shared" si="158"/>
        <v>OK</v>
      </c>
      <c r="V2524" t="str">
        <f t="shared" si="159"/>
        <v>12434</v>
      </c>
    </row>
    <row r="2525" spans="1:22" x14ac:dyDescent="0.35">
      <c r="A2525">
        <v>175016</v>
      </c>
      <c r="B2525" t="s">
        <v>50</v>
      </c>
      <c r="C2525" t="s">
        <v>17</v>
      </c>
      <c r="D2525">
        <v>734</v>
      </c>
      <c r="E2525">
        <v>366</v>
      </c>
      <c r="F2525">
        <v>448</v>
      </c>
      <c r="G2525">
        <v>1</v>
      </c>
      <c r="H2525">
        <v>14179</v>
      </c>
      <c r="I2525">
        <v>4</v>
      </c>
      <c r="J2525">
        <v>51</v>
      </c>
      <c r="K2525">
        <v>427</v>
      </c>
      <c r="L2525">
        <v>398</v>
      </c>
      <c r="M2525">
        <v>8.3333333330000006</v>
      </c>
      <c r="N2525">
        <f>IFERROR(VLOOKUP(A2525,vlookup_table!$A:$G,2,FALSE),"")</f>
        <v>2</v>
      </c>
      <c r="O2525">
        <f>IFERROR(VLOOKUP(A2525,vlookup_table!$A:$G,4,FALSE),"")</f>
        <v>0</v>
      </c>
      <c r="P2525" t="str">
        <f>IFERROR(VLOOKUP(A2525,vlookup_table!$A:$G,5,FALSE),"")</f>
        <v>T2</v>
      </c>
      <c r="Q2525">
        <f>IFERROR(VLOOKUP(A2525,vlookup_table!$A:$G,7,FALSE),"")</f>
        <v>9</v>
      </c>
      <c r="R2525">
        <f t="shared" si="156"/>
        <v>97</v>
      </c>
      <c r="S2525" t="str" cm="1">
        <f t="array" ref="S2525">IF(P2525="","",_xlfn.SWITCH(LEFT(P2525,1),"C","Ciudad","T","Pueblo","R","Rural","S","Suburbano","U","Urbano",""))</f>
        <v>Pueblo</v>
      </c>
      <c r="T2525" t="str">
        <f t="shared" si="157"/>
        <v>F</v>
      </c>
      <c r="U2525" t="str">
        <f t="shared" si="158"/>
        <v>OR</v>
      </c>
      <c r="V2525" t="str">
        <f t="shared" si="159"/>
        <v>14179</v>
      </c>
    </row>
    <row r="2526" spans="1:22" x14ac:dyDescent="0.35">
      <c r="A2526">
        <v>150644</v>
      </c>
      <c r="B2526" t="s">
        <v>22</v>
      </c>
      <c r="C2526" t="s">
        <v>17</v>
      </c>
      <c r="D2526">
        <v>3304</v>
      </c>
      <c r="E2526">
        <v>567</v>
      </c>
      <c r="F2526">
        <v>669</v>
      </c>
      <c r="G2526">
        <v>82</v>
      </c>
      <c r="H2526">
        <v>21745</v>
      </c>
      <c r="I2526">
        <v>42</v>
      </c>
      <c r="J2526">
        <v>37</v>
      </c>
      <c r="K2526">
        <v>614</v>
      </c>
      <c r="L2526">
        <v>629</v>
      </c>
      <c r="M2526">
        <v>32.5</v>
      </c>
      <c r="N2526">
        <f>IFERROR(VLOOKUP(A2526,vlookup_table!$A:$G,2,FALSE),"")</f>
        <v>0</v>
      </c>
      <c r="O2526">
        <f>IFERROR(VLOOKUP(A2526,vlookup_table!$A:$G,4,FALSE),"")</f>
        <v>4801</v>
      </c>
      <c r="P2526" t="str">
        <f>IFERROR(VLOOKUP(A2526,vlookup_table!$A:$G,5,FALSE),"")</f>
        <v>U1</v>
      </c>
      <c r="Q2526">
        <f>IFERROR(VLOOKUP(A2526,vlookup_table!$A:$G,7,FALSE),"")</f>
        <v>35</v>
      </c>
      <c r="R2526">
        <f t="shared" si="156"/>
        <v>49</v>
      </c>
      <c r="S2526" t="str" cm="1">
        <f t="array" ref="S2526">IF(P2526="","",_xlfn.SWITCH(LEFT(P2526,1),"C","Ciudad","T","Pueblo","R","Rural","S","Suburbano","U","Urbano",""))</f>
        <v>Urbano</v>
      </c>
      <c r="T2526" t="str">
        <f t="shared" si="157"/>
        <v>F</v>
      </c>
      <c r="U2526" t="str">
        <f t="shared" si="158"/>
        <v>CA</v>
      </c>
      <c r="V2526" t="str">
        <f t="shared" si="159"/>
        <v>21745</v>
      </c>
    </row>
    <row r="2527" spans="1:22" x14ac:dyDescent="0.35">
      <c r="A2527">
        <v>50003</v>
      </c>
      <c r="B2527" t="s">
        <v>68</v>
      </c>
      <c r="C2527" t="s">
        <v>17</v>
      </c>
      <c r="D2527">
        <v>591</v>
      </c>
      <c r="E2527">
        <v>194</v>
      </c>
      <c r="F2527">
        <v>237</v>
      </c>
      <c r="G2527">
        <v>0</v>
      </c>
      <c r="H2527">
        <v>8445</v>
      </c>
      <c r="I2527">
        <v>7</v>
      </c>
      <c r="J2527">
        <v>16</v>
      </c>
      <c r="K2527">
        <v>200</v>
      </c>
      <c r="L2527">
        <v>233</v>
      </c>
      <c r="M2527">
        <v>7.6190476189999998</v>
      </c>
      <c r="N2527">
        <f>IFERROR(VLOOKUP(A2527,vlookup_table!$A:$G,2,FALSE),"")</f>
        <v>2</v>
      </c>
      <c r="O2527">
        <f>IFERROR(VLOOKUP(A2527,vlookup_table!$A:$G,4,FALSE),"")</f>
        <v>2706</v>
      </c>
      <c r="P2527" t="str">
        <f>IFERROR(VLOOKUP(A2527,vlookup_table!$A:$G,5,FALSE),"")</f>
        <v>T2</v>
      </c>
      <c r="Q2527">
        <f>IFERROR(VLOOKUP(A2527,vlookup_table!$A:$G,7,FALSE),"")</f>
        <v>10</v>
      </c>
      <c r="R2527">
        <f t="shared" si="156"/>
        <v>70</v>
      </c>
      <c r="S2527" t="str" cm="1">
        <f t="array" ref="S2527">IF(P2527="","",_xlfn.SWITCH(LEFT(P2527,1),"C","Ciudad","T","Pueblo","R","Rural","S","Suburbano","U","Urbano",""))</f>
        <v>Pueblo</v>
      </c>
      <c r="T2527" t="str">
        <f t="shared" si="157"/>
        <v>F</v>
      </c>
      <c r="U2527" t="str">
        <f t="shared" si="158"/>
        <v>Tennessee</v>
      </c>
      <c r="V2527" t="str">
        <f t="shared" si="159"/>
        <v>8445</v>
      </c>
    </row>
    <row r="2528" spans="1:22" x14ac:dyDescent="0.35">
      <c r="A2528">
        <v>106896</v>
      </c>
      <c r="B2528" t="s">
        <v>59</v>
      </c>
      <c r="C2528" t="s">
        <v>17</v>
      </c>
      <c r="D2528">
        <v>643</v>
      </c>
      <c r="E2528">
        <v>300</v>
      </c>
      <c r="F2528">
        <v>472</v>
      </c>
      <c r="G2528">
        <v>1</v>
      </c>
      <c r="H2528">
        <v>15003</v>
      </c>
      <c r="I2528">
        <v>1</v>
      </c>
      <c r="J2528">
        <v>65</v>
      </c>
      <c r="K2528">
        <v>384</v>
      </c>
      <c r="L2528">
        <v>396</v>
      </c>
      <c r="M2528">
        <v>6.25</v>
      </c>
      <c r="N2528">
        <f>IFERROR(VLOOKUP(A2528,vlookup_table!$A:$G,2,FALSE),"")</f>
        <v>0</v>
      </c>
      <c r="O2528">
        <f>IFERROR(VLOOKUP(A2528,vlookup_table!$A:$G,4,FALSE),"")</f>
        <v>2401</v>
      </c>
      <c r="P2528" t="str">
        <f>IFERROR(VLOOKUP(A2528,vlookup_table!$A:$G,5,FALSE),"")</f>
        <v>S2</v>
      </c>
      <c r="Q2528">
        <f>IFERROR(VLOOKUP(A2528,vlookup_table!$A:$G,7,FALSE),"")</f>
        <v>5</v>
      </c>
      <c r="R2528">
        <f t="shared" si="156"/>
        <v>73</v>
      </c>
      <c r="S2528" t="str" cm="1">
        <f t="array" ref="S2528">IF(P2528="","",_xlfn.SWITCH(LEFT(P2528,1),"C","Ciudad","T","Pueblo","R","Rural","S","Suburbano","U","Urbano",""))</f>
        <v>Suburbano</v>
      </c>
      <c r="T2528" t="str">
        <f t="shared" si="157"/>
        <v>F</v>
      </c>
      <c r="U2528" t="str">
        <f t="shared" si="158"/>
        <v>NE</v>
      </c>
      <c r="V2528" t="str">
        <f t="shared" si="159"/>
        <v>15003</v>
      </c>
    </row>
    <row r="2529" spans="1:22" x14ac:dyDescent="0.35">
      <c r="A2529">
        <v>14898</v>
      </c>
      <c r="B2529" t="s">
        <v>28</v>
      </c>
      <c r="C2529" t="s">
        <v>14</v>
      </c>
      <c r="D2529">
        <v>3939</v>
      </c>
      <c r="E2529">
        <v>1144</v>
      </c>
      <c r="F2529">
        <v>1068</v>
      </c>
      <c r="G2529">
        <v>94</v>
      </c>
      <c r="H2529">
        <v>79386</v>
      </c>
      <c r="I2529">
        <v>3</v>
      </c>
      <c r="J2529">
        <v>18</v>
      </c>
      <c r="K2529">
        <v>1344</v>
      </c>
      <c r="L2529">
        <v>1036</v>
      </c>
      <c r="M2529">
        <v>9.8571428569999995</v>
      </c>
      <c r="N2529">
        <f>IFERROR(VLOOKUP(A2529,vlookup_table!$A:$G,2,FALSE),"")</f>
        <v>1</v>
      </c>
      <c r="O2529">
        <f>IFERROR(VLOOKUP(A2529,vlookup_table!$A:$G,4,FALSE),"")</f>
        <v>1408</v>
      </c>
      <c r="P2529" t="str">
        <f>IFERROR(VLOOKUP(A2529,vlookup_table!$A:$G,5,FALSE),"")</f>
        <v>S1</v>
      </c>
      <c r="Q2529">
        <f>IFERROR(VLOOKUP(A2529,vlookup_table!$A:$G,7,FALSE),"")</f>
        <v>15</v>
      </c>
      <c r="R2529">
        <f t="shared" si="156"/>
        <v>83</v>
      </c>
      <c r="S2529" t="str" cm="1">
        <f t="array" ref="S2529">IF(P2529="","",_xlfn.SWITCH(LEFT(P2529,1),"C","Ciudad","T","Pueblo","R","Rural","S","Suburbano","U","Urbano",""))</f>
        <v>Suburbano</v>
      </c>
      <c r="T2529" t="str">
        <f t="shared" si="157"/>
        <v>M</v>
      </c>
      <c r="U2529" t="str">
        <f t="shared" si="158"/>
        <v>KS</v>
      </c>
      <c r="V2529" t="str">
        <f t="shared" si="159"/>
        <v>79386</v>
      </c>
    </row>
    <row r="2530" spans="1:22" x14ac:dyDescent="0.35">
      <c r="A2530">
        <v>139463</v>
      </c>
      <c r="B2530" t="s">
        <v>54</v>
      </c>
      <c r="C2530" t="s">
        <v>17</v>
      </c>
      <c r="D2530">
        <v>690</v>
      </c>
      <c r="E2530">
        <v>328</v>
      </c>
      <c r="F2530">
        <v>370</v>
      </c>
      <c r="G2530">
        <v>0</v>
      </c>
      <c r="H2530">
        <v>12881</v>
      </c>
      <c r="I2530">
        <v>6</v>
      </c>
      <c r="J2530">
        <v>50</v>
      </c>
      <c r="K2530">
        <v>361</v>
      </c>
      <c r="L2530">
        <v>340</v>
      </c>
      <c r="M2530">
        <v>6.8</v>
      </c>
      <c r="N2530">
        <f>IFERROR(VLOOKUP(A2530,vlookup_table!$A:$G,2,FALSE),"")</f>
        <v>28</v>
      </c>
      <c r="O2530">
        <f>IFERROR(VLOOKUP(A2530,vlookup_table!$A:$G,4,FALSE),"")</f>
        <v>4901</v>
      </c>
      <c r="P2530" t="str">
        <f>IFERROR(VLOOKUP(A2530,vlookup_table!$A:$G,5,FALSE),"")</f>
        <v>U2</v>
      </c>
      <c r="Q2530">
        <f>IFERROR(VLOOKUP(A2530,vlookup_table!$A:$G,7,FALSE),"")</f>
        <v>9</v>
      </c>
      <c r="R2530">
        <f t="shared" si="156"/>
        <v>48</v>
      </c>
      <c r="S2530" t="str" cm="1">
        <f t="array" ref="S2530">IF(P2530="","",_xlfn.SWITCH(LEFT(P2530,1),"C","Ciudad","T","Pueblo","R","Rural","S","Suburbano","U","Urbano",""))</f>
        <v>Urbano</v>
      </c>
      <c r="T2530" t="str">
        <f t="shared" si="157"/>
        <v>F</v>
      </c>
      <c r="U2530" t="str">
        <f t="shared" si="158"/>
        <v>NM</v>
      </c>
      <c r="V2530" t="str">
        <f t="shared" si="159"/>
        <v>12881</v>
      </c>
    </row>
    <row r="2531" spans="1:22" x14ac:dyDescent="0.35">
      <c r="A2531">
        <v>12900</v>
      </c>
      <c r="B2531" t="s">
        <v>40</v>
      </c>
      <c r="C2531" t="s">
        <v>17</v>
      </c>
      <c r="D2531">
        <v>1351</v>
      </c>
      <c r="E2531">
        <v>430</v>
      </c>
      <c r="F2531">
        <v>538</v>
      </c>
      <c r="G2531">
        <v>7</v>
      </c>
      <c r="H2531">
        <v>18642</v>
      </c>
      <c r="I2531">
        <v>12</v>
      </c>
      <c r="J2531">
        <v>45</v>
      </c>
      <c r="K2531">
        <v>526</v>
      </c>
      <c r="L2531">
        <v>466</v>
      </c>
      <c r="M2531">
        <v>7.3333333329999997</v>
      </c>
      <c r="N2531">
        <f>IFERROR(VLOOKUP(A2531,vlookup_table!$A:$G,2,FALSE),"")</f>
        <v>0</v>
      </c>
      <c r="O2531">
        <f>IFERROR(VLOOKUP(A2531,vlookup_table!$A:$G,4,FALSE),"")</f>
        <v>0</v>
      </c>
      <c r="P2531" t="str">
        <f>IFERROR(VLOOKUP(A2531,vlookup_table!$A:$G,5,FALSE),"")</f>
        <v>S1</v>
      </c>
      <c r="Q2531">
        <f>IFERROR(VLOOKUP(A2531,vlookup_table!$A:$G,7,FALSE),"")</f>
        <v>5</v>
      </c>
      <c r="R2531">
        <f t="shared" si="156"/>
        <v>97</v>
      </c>
      <c r="S2531" t="str" cm="1">
        <f t="array" ref="S2531">IF(P2531="","",_xlfn.SWITCH(LEFT(P2531,1),"C","Ciudad","T","Pueblo","R","Rural","S","Suburbano","U","Urbano",""))</f>
        <v>Suburbano</v>
      </c>
      <c r="T2531" t="str">
        <f t="shared" si="157"/>
        <v>F</v>
      </c>
      <c r="U2531" t="str">
        <f t="shared" si="158"/>
        <v>WA</v>
      </c>
      <c r="V2531" t="str">
        <f t="shared" si="159"/>
        <v>18642</v>
      </c>
    </row>
    <row r="2532" spans="1:22" x14ac:dyDescent="0.35">
      <c r="A2532">
        <v>60897</v>
      </c>
      <c r="B2532" t="s">
        <v>33</v>
      </c>
      <c r="C2532" t="s">
        <v>17</v>
      </c>
      <c r="D2532">
        <v>496</v>
      </c>
      <c r="E2532">
        <v>345</v>
      </c>
      <c r="F2532">
        <v>378</v>
      </c>
      <c r="G2532">
        <v>0</v>
      </c>
      <c r="H2532">
        <v>12641</v>
      </c>
      <c r="I2532">
        <v>3</v>
      </c>
      <c r="J2532">
        <v>64</v>
      </c>
      <c r="K2532">
        <v>373</v>
      </c>
      <c r="L2532">
        <v>337</v>
      </c>
      <c r="M2532">
        <v>3.2222222220000001</v>
      </c>
      <c r="N2532">
        <f>IFERROR(VLOOKUP(A2532,vlookup_table!$A:$G,2,FALSE),"")</f>
        <v>0</v>
      </c>
      <c r="O2532">
        <f>IFERROR(VLOOKUP(A2532,vlookup_table!$A:$G,4,FALSE),"")</f>
        <v>0</v>
      </c>
      <c r="P2532" t="str">
        <f>IFERROR(VLOOKUP(A2532,vlookup_table!$A:$G,5,FALSE),"")</f>
        <v>S2</v>
      </c>
      <c r="Q2532">
        <f>IFERROR(VLOOKUP(A2532,vlookup_table!$A:$G,7,FALSE),"")</f>
        <v>5</v>
      </c>
      <c r="R2532">
        <f t="shared" si="156"/>
        <v>97</v>
      </c>
      <c r="S2532" t="str" cm="1">
        <f t="array" ref="S2532">IF(P2532="","",_xlfn.SWITCH(LEFT(P2532,1),"C","Ciudad","T","Pueblo","R","Rural","S","Suburbano","U","Urbano",""))</f>
        <v>Suburbano</v>
      </c>
      <c r="T2532" t="str">
        <f t="shared" si="157"/>
        <v>F</v>
      </c>
      <c r="U2532" t="str">
        <f t="shared" si="158"/>
        <v>IN</v>
      </c>
      <c r="V2532" t="str">
        <f t="shared" si="159"/>
        <v>12641</v>
      </c>
    </row>
    <row r="2533" spans="1:22" x14ac:dyDescent="0.35">
      <c r="A2533">
        <v>5180</v>
      </c>
      <c r="B2533" t="s">
        <v>50</v>
      </c>
      <c r="C2533" t="s">
        <v>17</v>
      </c>
      <c r="D2533">
        <v>469</v>
      </c>
      <c r="E2533">
        <v>285</v>
      </c>
      <c r="F2533">
        <v>311</v>
      </c>
      <c r="G2533">
        <v>0</v>
      </c>
      <c r="H2533">
        <v>11456</v>
      </c>
      <c r="I2533">
        <v>1</v>
      </c>
      <c r="J2533">
        <v>57</v>
      </c>
      <c r="K2533">
        <v>300</v>
      </c>
      <c r="L2533">
        <v>288</v>
      </c>
      <c r="M2533">
        <v>9.3939393940000002</v>
      </c>
      <c r="N2533">
        <f>IFERROR(VLOOKUP(A2533,vlookup_table!$A:$G,2,FALSE),"")</f>
        <v>2</v>
      </c>
      <c r="O2533">
        <f>IFERROR(VLOOKUP(A2533,vlookup_table!$A:$G,4,FALSE),"")</f>
        <v>1901</v>
      </c>
      <c r="P2533" t="str">
        <f>IFERROR(VLOOKUP(A2533,vlookup_table!$A:$G,5,FALSE),"")</f>
        <v>S2</v>
      </c>
      <c r="Q2533">
        <f>IFERROR(VLOOKUP(A2533,vlookup_table!$A:$G,7,FALSE),"")</f>
        <v>13</v>
      </c>
      <c r="R2533">
        <f t="shared" si="156"/>
        <v>78</v>
      </c>
      <c r="S2533" t="str" cm="1">
        <f t="array" ref="S2533">IF(P2533="","",_xlfn.SWITCH(LEFT(P2533,1),"C","Ciudad","T","Pueblo","R","Rural","S","Suburbano","U","Urbano",""))</f>
        <v>Suburbano</v>
      </c>
      <c r="T2533" t="str">
        <f t="shared" si="157"/>
        <v>F</v>
      </c>
      <c r="U2533" t="str">
        <f t="shared" si="158"/>
        <v>OR</v>
      </c>
      <c r="V2533" t="str">
        <f t="shared" si="159"/>
        <v>11456</v>
      </c>
    </row>
    <row r="2534" spans="1:22" x14ac:dyDescent="0.35">
      <c r="A2534">
        <v>137835</v>
      </c>
      <c r="B2534" t="s">
        <v>55</v>
      </c>
      <c r="C2534" t="s">
        <v>60</v>
      </c>
      <c r="D2534">
        <v>560</v>
      </c>
      <c r="E2534">
        <v>191</v>
      </c>
      <c r="F2534">
        <v>317</v>
      </c>
      <c r="G2534">
        <v>0</v>
      </c>
      <c r="H2534">
        <v>10191</v>
      </c>
      <c r="I2534">
        <v>4</v>
      </c>
      <c r="J2534">
        <v>42</v>
      </c>
      <c r="K2534">
        <v>202</v>
      </c>
      <c r="L2534">
        <v>274</v>
      </c>
      <c r="M2534">
        <v>13.66666667</v>
      </c>
      <c r="N2534">
        <f>IFERROR(VLOOKUP(A2534,vlookup_table!$A:$G,2,FALSE),"")</f>
        <v>28</v>
      </c>
      <c r="O2534">
        <f>IFERROR(VLOOKUP(A2534,vlookup_table!$A:$G,4,FALSE),"")</f>
        <v>0</v>
      </c>
      <c r="P2534" t="str">
        <f>IFERROR(VLOOKUP(A2534,vlookup_table!$A:$G,5,FALSE),"")</f>
        <v>T2</v>
      </c>
      <c r="Q2534">
        <f>IFERROR(VLOOKUP(A2534,vlookup_table!$A:$G,7,FALSE),"")</f>
        <v>11</v>
      </c>
      <c r="R2534">
        <f t="shared" si="156"/>
        <v>97</v>
      </c>
      <c r="S2534" t="str" cm="1">
        <f t="array" ref="S2534">IF(P2534="","",_xlfn.SWITCH(LEFT(P2534,1),"C","Ciudad","T","Pueblo","R","Rural","S","Suburbano","U","Urbano",""))</f>
        <v>Pueblo</v>
      </c>
      <c r="T2534" t="str">
        <f t="shared" si="157"/>
        <v>F</v>
      </c>
      <c r="U2534" t="str">
        <f t="shared" si="158"/>
        <v>AZ</v>
      </c>
      <c r="V2534" t="str">
        <f t="shared" si="159"/>
        <v>10191</v>
      </c>
    </row>
    <row r="2535" spans="1:22" x14ac:dyDescent="0.35">
      <c r="A2535">
        <v>2867</v>
      </c>
      <c r="B2535" t="s">
        <v>31</v>
      </c>
      <c r="C2535" t="s">
        <v>17</v>
      </c>
      <c r="D2535">
        <v>476</v>
      </c>
      <c r="E2535">
        <v>200</v>
      </c>
      <c r="F2535">
        <v>296</v>
      </c>
      <c r="G2535">
        <v>0</v>
      </c>
      <c r="H2535">
        <v>9379</v>
      </c>
      <c r="I2535">
        <v>1</v>
      </c>
      <c r="J2535">
        <v>76</v>
      </c>
      <c r="K2535">
        <v>235</v>
      </c>
      <c r="L2535">
        <v>277</v>
      </c>
      <c r="M2535">
        <v>11.25</v>
      </c>
      <c r="N2535">
        <f>IFERROR(VLOOKUP(A2535,vlookup_table!$A:$G,2,FALSE),"")</f>
        <v>0</v>
      </c>
      <c r="O2535">
        <f>IFERROR(VLOOKUP(A2535,vlookup_table!$A:$G,4,FALSE),"")</f>
        <v>0</v>
      </c>
      <c r="P2535" t="str">
        <f>IFERROR(VLOOKUP(A2535,vlookup_table!$A:$G,5,FALSE),"")</f>
        <v>R2</v>
      </c>
      <c r="Q2535">
        <f>IFERROR(VLOOKUP(A2535,vlookup_table!$A:$G,7,FALSE),"")</f>
        <v>13</v>
      </c>
      <c r="R2535">
        <f t="shared" si="156"/>
        <v>97</v>
      </c>
      <c r="S2535" t="str" cm="1">
        <f t="array" ref="S2535">IF(P2535="","",_xlfn.SWITCH(LEFT(P2535,1),"C","Ciudad","T","Pueblo","R","Rural","S","Suburbano","U","Urbano",""))</f>
        <v>Rural</v>
      </c>
      <c r="T2535" t="str">
        <f t="shared" si="157"/>
        <v>F</v>
      </c>
      <c r="U2535" t="str">
        <f t="shared" si="158"/>
        <v>OK</v>
      </c>
      <c r="V2535" t="str">
        <f t="shared" si="159"/>
        <v>9379</v>
      </c>
    </row>
    <row r="2536" spans="1:22" x14ac:dyDescent="0.35">
      <c r="A2536">
        <v>150025</v>
      </c>
      <c r="B2536" t="s">
        <v>22</v>
      </c>
      <c r="C2536" t="s">
        <v>17</v>
      </c>
      <c r="D2536">
        <v>1577</v>
      </c>
      <c r="E2536">
        <v>364</v>
      </c>
      <c r="F2536">
        <v>440</v>
      </c>
      <c r="G2536">
        <v>18</v>
      </c>
      <c r="H2536">
        <v>12819</v>
      </c>
      <c r="I2536">
        <v>18</v>
      </c>
      <c r="J2536">
        <v>56</v>
      </c>
      <c r="K2536">
        <v>377</v>
      </c>
      <c r="L2536">
        <v>422</v>
      </c>
      <c r="M2536">
        <v>6.3529411769999999</v>
      </c>
      <c r="N2536">
        <f>IFERROR(VLOOKUP(A2536,vlookup_table!$A:$G,2,FALSE),"")</f>
        <v>0</v>
      </c>
      <c r="O2536">
        <f>IFERROR(VLOOKUP(A2536,vlookup_table!$A:$G,4,FALSE),"")</f>
        <v>2005</v>
      </c>
      <c r="P2536" t="str">
        <f>IFERROR(VLOOKUP(A2536,vlookup_table!$A:$G,5,FALSE),"")</f>
        <v>S2</v>
      </c>
      <c r="Q2536">
        <f>IFERROR(VLOOKUP(A2536,vlookup_table!$A:$G,7,FALSE),"")</f>
        <v>3</v>
      </c>
      <c r="R2536">
        <f t="shared" si="156"/>
        <v>77</v>
      </c>
      <c r="S2536" t="str" cm="1">
        <f t="array" ref="S2536">IF(P2536="","",_xlfn.SWITCH(LEFT(P2536,1),"C","Ciudad","T","Pueblo","R","Rural","S","Suburbano","U","Urbano",""))</f>
        <v>Suburbano</v>
      </c>
      <c r="T2536" t="str">
        <f t="shared" si="157"/>
        <v>F</v>
      </c>
      <c r="U2536" t="str">
        <f t="shared" si="158"/>
        <v>CA</v>
      </c>
      <c r="V2536" t="str">
        <f t="shared" si="159"/>
        <v>12819</v>
      </c>
    </row>
    <row r="2537" spans="1:22" x14ac:dyDescent="0.35">
      <c r="A2537">
        <v>111045</v>
      </c>
      <c r="B2537" t="s">
        <v>32</v>
      </c>
      <c r="D2537">
        <v>428</v>
      </c>
      <c r="E2537">
        <v>208</v>
      </c>
      <c r="F2537">
        <v>276</v>
      </c>
      <c r="G2537">
        <v>1</v>
      </c>
      <c r="H2537">
        <v>10201</v>
      </c>
      <c r="I2537">
        <v>0</v>
      </c>
      <c r="J2537">
        <v>76</v>
      </c>
      <c r="K2537">
        <v>227</v>
      </c>
      <c r="L2537">
        <v>251</v>
      </c>
      <c r="M2537">
        <v>10.35714286</v>
      </c>
      <c r="N2537">
        <f>IFERROR(VLOOKUP(A2537,vlookup_table!$A:$G,2,FALSE),"")</f>
        <v>0</v>
      </c>
      <c r="O2537">
        <f>IFERROR(VLOOKUP(A2537,vlookup_table!$A:$G,4,FALSE),"")</f>
        <v>1812</v>
      </c>
      <c r="P2537" t="str">
        <f>IFERROR(VLOOKUP(A2537,vlookup_table!$A:$G,5,FALSE),"")</f>
        <v>R2</v>
      </c>
      <c r="Q2537">
        <f>IFERROR(VLOOKUP(A2537,vlookup_table!$A:$G,7,FALSE),"")</f>
        <v>10</v>
      </c>
      <c r="R2537">
        <f t="shared" si="156"/>
        <v>79</v>
      </c>
      <c r="S2537" t="str" cm="1">
        <f t="array" ref="S2537">IF(P2537="","",_xlfn.SWITCH(LEFT(P2537,1),"C","Ciudad","T","Pueblo","R","Rural","S","Suburbano","U","Urbano",""))</f>
        <v>Rural</v>
      </c>
      <c r="T2537" t="str">
        <f t="shared" si="157"/>
        <v/>
      </c>
      <c r="U2537" t="str">
        <f t="shared" si="158"/>
        <v>AR</v>
      </c>
      <c r="V2537" t="str">
        <f t="shared" si="159"/>
        <v>10201</v>
      </c>
    </row>
    <row r="2538" spans="1:22" x14ac:dyDescent="0.35">
      <c r="A2538">
        <v>3109</v>
      </c>
      <c r="B2538" t="s">
        <v>16</v>
      </c>
      <c r="C2538" t="s">
        <v>14</v>
      </c>
      <c r="D2538">
        <v>1002</v>
      </c>
      <c r="E2538">
        <v>434</v>
      </c>
      <c r="F2538">
        <v>597</v>
      </c>
      <c r="G2538">
        <v>2</v>
      </c>
      <c r="H2538">
        <v>21023</v>
      </c>
      <c r="I2538">
        <v>8</v>
      </c>
      <c r="J2538">
        <v>54</v>
      </c>
      <c r="K2538">
        <v>566</v>
      </c>
      <c r="L2538">
        <v>495</v>
      </c>
      <c r="M2538">
        <v>21.270270270000001</v>
      </c>
      <c r="N2538">
        <f>IFERROR(VLOOKUP(A2538,vlookup_table!$A:$G,2,FALSE),"")</f>
        <v>0</v>
      </c>
      <c r="O2538">
        <f>IFERROR(VLOOKUP(A2538,vlookup_table!$A:$G,4,FALSE),"")</f>
        <v>3408</v>
      </c>
      <c r="P2538" t="str">
        <f>IFERROR(VLOOKUP(A2538,vlookup_table!$A:$G,5,FALSE),"")</f>
        <v>C1</v>
      </c>
      <c r="Q2538">
        <f>IFERROR(VLOOKUP(A2538,vlookup_table!$A:$G,7,FALSE),"")</f>
        <v>25</v>
      </c>
      <c r="R2538">
        <f t="shared" si="156"/>
        <v>63</v>
      </c>
      <c r="S2538" t="str" cm="1">
        <f t="array" ref="S2538">IF(P2538="","",_xlfn.SWITCH(LEFT(P2538,1),"C","Ciudad","T","Pueblo","R","Rural","S","Suburbano","U","Urbano",""))</f>
        <v>Ciudad</v>
      </c>
      <c r="T2538" t="str">
        <f t="shared" si="157"/>
        <v>M</v>
      </c>
      <c r="U2538" t="str">
        <f t="shared" si="158"/>
        <v>IL</v>
      </c>
      <c r="V2538" t="str">
        <f t="shared" si="159"/>
        <v>21023</v>
      </c>
    </row>
    <row r="2539" spans="1:22" x14ac:dyDescent="0.35">
      <c r="A2539">
        <v>45134</v>
      </c>
      <c r="B2539" t="s">
        <v>13</v>
      </c>
      <c r="C2539" t="s">
        <v>14</v>
      </c>
      <c r="D2539">
        <v>736</v>
      </c>
      <c r="E2539">
        <v>235</v>
      </c>
      <c r="F2539">
        <v>351</v>
      </c>
      <c r="G2539">
        <v>0</v>
      </c>
      <c r="H2539">
        <v>14532</v>
      </c>
      <c r="I2539">
        <v>12</v>
      </c>
      <c r="J2539">
        <v>11</v>
      </c>
      <c r="K2539">
        <v>288</v>
      </c>
      <c r="L2539">
        <v>291</v>
      </c>
      <c r="M2539">
        <v>12.66666667</v>
      </c>
      <c r="N2539">
        <f>IFERROR(VLOOKUP(A2539,vlookup_table!$A:$G,2,FALSE),"")</f>
        <v>1</v>
      </c>
      <c r="O2539">
        <f>IFERROR(VLOOKUP(A2539,vlookup_table!$A:$G,4,FALSE),"")</f>
        <v>1312</v>
      </c>
      <c r="P2539" t="str">
        <f>IFERROR(VLOOKUP(A2539,vlookup_table!$A:$G,5,FALSE),"")</f>
        <v>C2</v>
      </c>
      <c r="Q2539">
        <f>IFERROR(VLOOKUP(A2539,vlookup_table!$A:$G,7,FALSE),"")</f>
        <v>12</v>
      </c>
      <c r="R2539">
        <f t="shared" si="156"/>
        <v>84</v>
      </c>
      <c r="S2539" t="str" cm="1">
        <f t="array" ref="S2539">IF(P2539="","",_xlfn.SWITCH(LEFT(P2539,1),"C","Ciudad","T","Pueblo","R","Rural","S","Suburbano","U","Urbano",""))</f>
        <v>Ciudad</v>
      </c>
      <c r="T2539" t="str">
        <f t="shared" si="157"/>
        <v>M</v>
      </c>
      <c r="U2539" t="str">
        <f t="shared" si="158"/>
        <v>FL</v>
      </c>
      <c r="V2539" t="str">
        <f t="shared" si="159"/>
        <v>14532</v>
      </c>
    </row>
    <row r="2540" spans="1:22" x14ac:dyDescent="0.35">
      <c r="A2540">
        <v>85396</v>
      </c>
      <c r="B2540" t="s">
        <v>56</v>
      </c>
      <c r="C2540" t="s">
        <v>17</v>
      </c>
      <c r="D2540">
        <v>784</v>
      </c>
      <c r="E2540">
        <v>389</v>
      </c>
      <c r="F2540">
        <v>491</v>
      </c>
      <c r="G2540">
        <v>3</v>
      </c>
      <c r="H2540">
        <v>15497</v>
      </c>
      <c r="I2540">
        <v>0</v>
      </c>
      <c r="J2540">
        <v>84</v>
      </c>
      <c r="K2540">
        <v>436</v>
      </c>
      <c r="L2540">
        <v>450</v>
      </c>
      <c r="M2540">
        <v>5.875</v>
      </c>
      <c r="N2540">
        <f>IFERROR(VLOOKUP(A2540,vlookup_table!$A:$G,2,FALSE),"")</f>
        <v>0</v>
      </c>
      <c r="O2540">
        <f>IFERROR(VLOOKUP(A2540,vlookup_table!$A:$G,4,FALSE),"")</f>
        <v>6301</v>
      </c>
      <c r="P2540" t="str">
        <f>IFERROR(VLOOKUP(A2540,vlookup_table!$A:$G,5,FALSE),"")</f>
        <v>T1</v>
      </c>
      <c r="Q2540">
        <f>IFERROR(VLOOKUP(A2540,vlookup_table!$A:$G,7,FALSE),"")</f>
        <v>9</v>
      </c>
      <c r="R2540">
        <f t="shared" si="156"/>
        <v>34</v>
      </c>
      <c r="S2540" t="str" cm="1">
        <f t="array" ref="S2540">IF(P2540="","",_xlfn.SWITCH(LEFT(P2540,1),"C","Ciudad","T","Pueblo","R","Rural","S","Suburbano","U","Urbano",""))</f>
        <v>Pueblo</v>
      </c>
      <c r="T2540" t="str">
        <f t="shared" si="157"/>
        <v>F</v>
      </c>
      <c r="U2540" t="str">
        <f t="shared" si="158"/>
        <v>MN</v>
      </c>
      <c r="V2540" t="str">
        <f t="shared" si="159"/>
        <v>15497</v>
      </c>
    </row>
    <row r="2541" spans="1:22" x14ac:dyDescent="0.35">
      <c r="A2541">
        <v>164246</v>
      </c>
      <c r="B2541" t="s">
        <v>22</v>
      </c>
      <c r="C2541" t="s">
        <v>17</v>
      </c>
      <c r="D2541">
        <v>2982</v>
      </c>
      <c r="E2541">
        <v>609</v>
      </c>
      <c r="F2541">
        <v>713</v>
      </c>
      <c r="G2541">
        <v>83</v>
      </c>
      <c r="H2541">
        <v>21687</v>
      </c>
      <c r="I2541">
        <v>13</v>
      </c>
      <c r="J2541">
        <v>54</v>
      </c>
      <c r="K2541">
        <v>660</v>
      </c>
      <c r="L2541">
        <v>635</v>
      </c>
      <c r="M2541">
        <v>7.2352941179999997</v>
      </c>
      <c r="N2541">
        <f>IFERROR(VLOOKUP(A2541,vlookup_table!$A:$G,2,FALSE),"")</f>
        <v>2</v>
      </c>
      <c r="O2541">
        <f>IFERROR(VLOOKUP(A2541,vlookup_table!$A:$G,4,FALSE),"")</f>
        <v>5001</v>
      </c>
      <c r="P2541" t="str">
        <f>IFERROR(VLOOKUP(A2541,vlookup_table!$A:$G,5,FALSE),"")</f>
        <v>U1</v>
      </c>
      <c r="Q2541">
        <f>IFERROR(VLOOKUP(A2541,vlookup_table!$A:$G,7,FALSE),"")</f>
        <v>15</v>
      </c>
      <c r="R2541">
        <f t="shared" si="156"/>
        <v>47</v>
      </c>
      <c r="S2541" t="str" cm="1">
        <f t="array" ref="S2541">IF(P2541="","",_xlfn.SWITCH(LEFT(P2541,1),"C","Ciudad","T","Pueblo","R","Rural","S","Suburbano","U","Urbano",""))</f>
        <v>Urbano</v>
      </c>
      <c r="T2541" t="str">
        <f t="shared" si="157"/>
        <v>F</v>
      </c>
      <c r="U2541" t="str">
        <f t="shared" si="158"/>
        <v>CA</v>
      </c>
      <c r="V2541" t="str">
        <f t="shared" si="159"/>
        <v>21687</v>
      </c>
    </row>
    <row r="2542" spans="1:22" x14ac:dyDescent="0.35">
      <c r="A2542">
        <v>49109</v>
      </c>
      <c r="B2542" t="s">
        <v>43</v>
      </c>
      <c r="D2542">
        <v>394</v>
      </c>
      <c r="E2542">
        <v>248</v>
      </c>
      <c r="F2542">
        <v>313</v>
      </c>
      <c r="G2542">
        <v>0</v>
      </c>
      <c r="H2542">
        <v>10581</v>
      </c>
      <c r="I2542">
        <v>0</v>
      </c>
      <c r="J2542">
        <v>81</v>
      </c>
      <c r="K2542">
        <v>281</v>
      </c>
      <c r="L2542">
        <v>272</v>
      </c>
      <c r="M2542">
        <v>5.2857142860000002</v>
      </c>
      <c r="N2542">
        <f>IFERROR(VLOOKUP(A2542,vlookup_table!$A:$G,2,FALSE),"")</f>
        <v>0</v>
      </c>
      <c r="O2542">
        <f>IFERROR(VLOOKUP(A2542,vlookup_table!$A:$G,4,FALSE),"")</f>
        <v>0</v>
      </c>
      <c r="P2542" t="str">
        <f>IFERROR(VLOOKUP(A2542,vlookup_table!$A:$G,5,FALSE),"")</f>
        <v>R2</v>
      </c>
      <c r="Q2542">
        <f>IFERROR(VLOOKUP(A2542,vlookup_table!$A:$G,7,FALSE),"")</f>
        <v>6</v>
      </c>
      <c r="R2542">
        <f t="shared" si="156"/>
        <v>97</v>
      </c>
      <c r="S2542" t="str" cm="1">
        <f t="array" ref="S2542">IF(P2542="","",_xlfn.SWITCH(LEFT(P2542,1),"C","Ciudad","T","Pueblo","R","Rural","S","Suburbano","U","Urbano",""))</f>
        <v>Rural</v>
      </c>
      <c r="T2542" t="str">
        <f t="shared" si="157"/>
        <v/>
      </c>
      <c r="U2542" t="str">
        <f t="shared" si="158"/>
        <v>AL</v>
      </c>
      <c r="V2542" t="str">
        <f t="shared" si="159"/>
        <v>10581</v>
      </c>
    </row>
    <row r="2543" spans="1:22" x14ac:dyDescent="0.35">
      <c r="A2543">
        <v>127346</v>
      </c>
      <c r="B2543" t="s">
        <v>74</v>
      </c>
      <c r="C2543" t="s">
        <v>17</v>
      </c>
      <c r="D2543">
        <v>2189</v>
      </c>
      <c r="E2543">
        <v>656</v>
      </c>
      <c r="F2543">
        <v>723</v>
      </c>
      <c r="G2543">
        <v>63</v>
      </c>
      <c r="H2543">
        <v>22182</v>
      </c>
      <c r="I2543">
        <v>3</v>
      </c>
      <c r="J2543">
        <v>61</v>
      </c>
      <c r="K2543">
        <v>664</v>
      </c>
      <c r="L2543">
        <v>711</v>
      </c>
      <c r="M2543">
        <v>15</v>
      </c>
      <c r="N2543">
        <f>IFERROR(VLOOKUP(A2543,vlookup_table!$A:$G,2,FALSE),"")</f>
        <v>0</v>
      </c>
      <c r="O2543">
        <f>IFERROR(VLOOKUP(A2543,vlookup_table!$A:$G,4,FALSE),"")</f>
        <v>5001</v>
      </c>
      <c r="P2543" t="str">
        <f>IFERROR(VLOOKUP(A2543,vlookup_table!$A:$G,5,FALSE),"")</f>
        <v>S1</v>
      </c>
      <c r="Q2543">
        <f>IFERROR(VLOOKUP(A2543,vlookup_table!$A:$G,7,FALSE),"")</f>
        <v>10</v>
      </c>
      <c r="R2543">
        <f t="shared" si="156"/>
        <v>47</v>
      </c>
      <c r="S2543" t="str" cm="1">
        <f t="array" ref="S2543">IF(P2543="","",_xlfn.SWITCH(LEFT(P2543,1),"C","Ciudad","T","Pueblo","R","Rural","S","Suburbano","U","Urbano",""))</f>
        <v>Suburbano</v>
      </c>
      <c r="T2543" t="str">
        <f t="shared" si="157"/>
        <v>F</v>
      </c>
      <c r="U2543" t="str">
        <f t="shared" si="158"/>
        <v>PA</v>
      </c>
      <c r="V2543" t="str">
        <f t="shared" si="159"/>
        <v>22182</v>
      </c>
    </row>
    <row r="2544" spans="1:22" x14ac:dyDescent="0.35">
      <c r="A2544">
        <v>54123</v>
      </c>
      <c r="B2544" t="s">
        <v>68</v>
      </c>
      <c r="C2544" t="s">
        <v>17</v>
      </c>
      <c r="D2544">
        <v>452</v>
      </c>
      <c r="E2544">
        <v>193</v>
      </c>
      <c r="F2544">
        <v>270</v>
      </c>
      <c r="G2544">
        <v>0</v>
      </c>
      <c r="H2544">
        <v>9283</v>
      </c>
      <c r="I2544">
        <v>0</v>
      </c>
      <c r="J2544">
        <v>79</v>
      </c>
      <c r="K2544">
        <v>256</v>
      </c>
      <c r="L2544">
        <v>230</v>
      </c>
      <c r="M2544">
        <v>5</v>
      </c>
      <c r="N2544">
        <f>IFERROR(VLOOKUP(A2544,vlookup_table!$A:$G,2,FALSE),"")</f>
        <v>0</v>
      </c>
      <c r="O2544">
        <f>IFERROR(VLOOKUP(A2544,vlookup_table!$A:$G,4,FALSE),"")</f>
        <v>0</v>
      </c>
      <c r="P2544" t="str">
        <f>IFERROR(VLOOKUP(A2544,vlookup_table!$A:$G,5,FALSE),"")</f>
        <v>T2</v>
      </c>
      <c r="Q2544">
        <f>IFERROR(VLOOKUP(A2544,vlookup_table!$A:$G,7,FALSE),"")</f>
        <v>5</v>
      </c>
      <c r="R2544">
        <f t="shared" si="156"/>
        <v>97</v>
      </c>
      <c r="S2544" t="str" cm="1">
        <f t="array" ref="S2544">IF(P2544="","",_xlfn.SWITCH(LEFT(P2544,1),"C","Ciudad","T","Pueblo","R","Rural","S","Suburbano","U","Urbano",""))</f>
        <v>Pueblo</v>
      </c>
      <c r="T2544" t="str">
        <f t="shared" si="157"/>
        <v>F</v>
      </c>
      <c r="U2544" t="str">
        <f t="shared" si="158"/>
        <v>Tennessee</v>
      </c>
      <c r="V2544" t="str">
        <f t="shared" si="159"/>
        <v>9283</v>
      </c>
    </row>
    <row r="2545" spans="1:22" x14ac:dyDescent="0.35">
      <c r="A2545">
        <v>125999</v>
      </c>
      <c r="B2545" t="s">
        <v>21</v>
      </c>
      <c r="C2545" t="s">
        <v>17</v>
      </c>
      <c r="D2545">
        <v>281</v>
      </c>
      <c r="E2545">
        <v>138</v>
      </c>
      <c r="F2545">
        <v>193</v>
      </c>
      <c r="G2545">
        <v>0</v>
      </c>
      <c r="H2545">
        <v>5843</v>
      </c>
      <c r="I2545">
        <v>8</v>
      </c>
      <c r="J2545">
        <v>89</v>
      </c>
      <c r="K2545">
        <v>158</v>
      </c>
      <c r="L2545">
        <v>173</v>
      </c>
      <c r="M2545">
        <v>9.4090909089999997</v>
      </c>
      <c r="N2545">
        <f>IFERROR(VLOOKUP(A2545,vlookup_table!$A:$G,2,FALSE),"")</f>
        <v>2</v>
      </c>
      <c r="O2545">
        <f>IFERROR(VLOOKUP(A2545,vlookup_table!$A:$G,4,FALSE),"")</f>
        <v>5701</v>
      </c>
      <c r="P2545" t="str">
        <f>IFERROR(VLOOKUP(A2545,vlookup_table!$A:$G,5,FALSE),"")</f>
        <v>T3</v>
      </c>
      <c r="Q2545">
        <f>IFERROR(VLOOKUP(A2545,vlookup_table!$A:$G,7,FALSE),"")</f>
        <v>20</v>
      </c>
      <c r="R2545">
        <f t="shared" si="156"/>
        <v>40</v>
      </c>
      <c r="S2545" t="str" cm="1">
        <f t="array" ref="S2545">IF(P2545="","",_xlfn.SWITCH(LEFT(P2545,1),"C","Ciudad","T","Pueblo","R","Rural","S","Suburbano","U","Urbano",""))</f>
        <v>Pueblo</v>
      </c>
      <c r="T2545" t="str">
        <f t="shared" si="157"/>
        <v>F</v>
      </c>
      <c r="U2545" t="str">
        <f t="shared" si="158"/>
        <v>TX</v>
      </c>
      <c r="V2545" t="str">
        <f t="shared" si="159"/>
        <v>5843</v>
      </c>
    </row>
    <row r="2546" spans="1:22" x14ac:dyDescent="0.35">
      <c r="A2546">
        <v>130989</v>
      </c>
      <c r="B2546" t="s">
        <v>48</v>
      </c>
      <c r="C2546" t="s">
        <v>14</v>
      </c>
      <c r="D2546">
        <v>1175</v>
      </c>
      <c r="E2546">
        <v>517</v>
      </c>
      <c r="F2546">
        <v>599</v>
      </c>
      <c r="G2546">
        <v>8</v>
      </c>
      <c r="H2546">
        <v>18850</v>
      </c>
      <c r="I2546">
        <v>2</v>
      </c>
      <c r="J2546">
        <v>38</v>
      </c>
      <c r="K2546">
        <v>568</v>
      </c>
      <c r="L2546">
        <v>565</v>
      </c>
      <c r="M2546">
        <v>5.6666666670000003</v>
      </c>
      <c r="N2546">
        <f>IFERROR(VLOOKUP(A2546,vlookup_table!$A:$G,2,FALSE),"")</f>
        <v>1</v>
      </c>
      <c r="O2546">
        <f>IFERROR(VLOOKUP(A2546,vlookup_table!$A:$G,4,FALSE),"")</f>
        <v>0</v>
      </c>
      <c r="P2546" t="str">
        <f>IFERROR(VLOOKUP(A2546,vlookup_table!$A:$G,5,FALSE),"")</f>
        <v>T1</v>
      </c>
      <c r="Q2546">
        <f>IFERROR(VLOOKUP(A2546,vlookup_table!$A:$G,7,FALSE),"")</f>
        <v>25</v>
      </c>
      <c r="R2546">
        <f t="shared" si="156"/>
        <v>97</v>
      </c>
      <c r="S2546" t="str" cm="1">
        <f t="array" ref="S2546">IF(P2546="","",_xlfn.SWITCH(LEFT(P2546,1),"C","Ciudad","T","Pueblo","R","Rural","S","Suburbano","U","Urbano",""))</f>
        <v>Pueblo</v>
      </c>
      <c r="T2546" t="str">
        <f t="shared" si="157"/>
        <v>M</v>
      </c>
      <c r="U2546" t="str">
        <f t="shared" si="158"/>
        <v>CO</v>
      </c>
      <c r="V2546" t="str">
        <f t="shared" si="159"/>
        <v>18850</v>
      </c>
    </row>
    <row r="2547" spans="1:22" x14ac:dyDescent="0.35">
      <c r="A2547">
        <v>62721</v>
      </c>
      <c r="B2547" t="s">
        <v>33</v>
      </c>
      <c r="C2547" t="s">
        <v>30</v>
      </c>
      <c r="D2547">
        <v>413</v>
      </c>
      <c r="E2547">
        <v>283</v>
      </c>
      <c r="F2547">
        <v>372</v>
      </c>
      <c r="G2547">
        <v>0</v>
      </c>
      <c r="H2547">
        <v>12509</v>
      </c>
      <c r="I2547">
        <v>0</v>
      </c>
      <c r="J2547">
        <v>79</v>
      </c>
      <c r="K2547">
        <v>324</v>
      </c>
      <c r="L2547">
        <v>320</v>
      </c>
      <c r="M2547">
        <v>6.4</v>
      </c>
      <c r="N2547">
        <f>IFERROR(VLOOKUP(A2547,vlookup_table!$A:$G,2,FALSE),"")</f>
        <v>1</v>
      </c>
      <c r="O2547">
        <f>IFERROR(VLOOKUP(A2547,vlookup_table!$A:$G,4,FALSE),"")</f>
        <v>0</v>
      </c>
      <c r="P2547" t="str">
        <f>IFERROR(VLOOKUP(A2547,vlookup_table!$A:$G,5,FALSE),"")</f>
        <v>R2</v>
      </c>
      <c r="Q2547">
        <f>IFERROR(VLOOKUP(A2547,vlookup_table!$A:$G,7,FALSE),"")</f>
        <v>6</v>
      </c>
      <c r="R2547">
        <f t="shared" si="156"/>
        <v>97</v>
      </c>
      <c r="S2547" t="str" cm="1">
        <f t="array" ref="S2547">IF(P2547="","",_xlfn.SWITCH(LEFT(P2547,1),"C","Ciudad","T","Pueblo","R","Rural","S","Suburbano","U","Urbano",""))</f>
        <v>Rural</v>
      </c>
      <c r="T2547" t="str">
        <f t="shared" si="157"/>
        <v>U</v>
      </c>
      <c r="U2547" t="str">
        <f t="shared" si="158"/>
        <v>IN</v>
      </c>
      <c r="V2547" t="str">
        <f t="shared" si="159"/>
        <v>12509</v>
      </c>
    </row>
    <row r="2548" spans="1:22" x14ac:dyDescent="0.35">
      <c r="A2548">
        <v>104177</v>
      </c>
      <c r="B2548" t="s">
        <v>36</v>
      </c>
      <c r="C2548" t="s">
        <v>17</v>
      </c>
      <c r="D2548">
        <v>985</v>
      </c>
      <c r="E2548">
        <v>492</v>
      </c>
      <c r="F2548">
        <v>680</v>
      </c>
      <c r="G2548">
        <v>2</v>
      </c>
      <c r="H2548">
        <v>24807</v>
      </c>
      <c r="I2548">
        <v>1</v>
      </c>
      <c r="J2548">
        <v>60</v>
      </c>
      <c r="K2548">
        <v>568</v>
      </c>
      <c r="L2548">
        <v>595</v>
      </c>
      <c r="M2548">
        <v>6.4285714289999998</v>
      </c>
      <c r="N2548">
        <f>IFERROR(VLOOKUP(A2548,vlookup_table!$A:$G,2,FALSE),"")</f>
        <v>0</v>
      </c>
      <c r="O2548">
        <f>IFERROR(VLOOKUP(A2548,vlookup_table!$A:$G,4,FALSE),"")</f>
        <v>4201</v>
      </c>
      <c r="P2548" t="str">
        <f>IFERROR(VLOOKUP(A2548,vlookup_table!$A:$G,5,FALSE),"")</f>
        <v>S1</v>
      </c>
      <c r="Q2548">
        <f>IFERROR(VLOOKUP(A2548,vlookup_table!$A:$G,7,FALSE),"")</f>
        <v>15</v>
      </c>
      <c r="R2548">
        <f t="shared" si="156"/>
        <v>55</v>
      </c>
      <c r="S2548" t="str" cm="1">
        <f t="array" ref="S2548">IF(P2548="","",_xlfn.SWITCH(LEFT(P2548,1),"C","Ciudad","T","Pueblo","R","Rural","S","Suburbano","U","Urbano",""))</f>
        <v>Suburbano</v>
      </c>
      <c r="T2548" t="str">
        <f t="shared" si="157"/>
        <v>F</v>
      </c>
      <c r="U2548" t="str">
        <f t="shared" si="158"/>
        <v>MO</v>
      </c>
      <c r="V2548" t="str">
        <f t="shared" si="159"/>
        <v>24807</v>
      </c>
    </row>
    <row r="2549" spans="1:22" x14ac:dyDescent="0.35">
      <c r="A2549">
        <v>70217</v>
      </c>
      <c r="B2549" t="s">
        <v>29</v>
      </c>
      <c r="C2549" t="s">
        <v>17</v>
      </c>
      <c r="D2549">
        <v>320</v>
      </c>
      <c r="E2549">
        <v>226</v>
      </c>
      <c r="F2549">
        <v>324</v>
      </c>
      <c r="G2549">
        <v>0</v>
      </c>
      <c r="H2549">
        <v>10003</v>
      </c>
      <c r="I2549">
        <v>1</v>
      </c>
      <c r="J2549">
        <v>80</v>
      </c>
      <c r="K2549">
        <v>310</v>
      </c>
      <c r="L2549">
        <v>282</v>
      </c>
      <c r="M2549">
        <v>5.2</v>
      </c>
      <c r="N2549">
        <f>IFERROR(VLOOKUP(A2549,vlookup_table!$A:$G,2,FALSE),"")</f>
        <v>28</v>
      </c>
      <c r="O2549">
        <f>IFERROR(VLOOKUP(A2549,vlookup_table!$A:$G,4,FALSE),"")</f>
        <v>5201</v>
      </c>
      <c r="P2549" t="str">
        <f>IFERROR(VLOOKUP(A2549,vlookup_table!$A:$G,5,FALSE),"")</f>
        <v>S3</v>
      </c>
      <c r="Q2549">
        <f>IFERROR(VLOOKUP(A2549,vlookup_table!$A:$G,7,FALSE),"")</f>
        <v>10</v>
      </c>
      <c r="R2549">
        <f t="shared" si="156"/>
        <v>45</v>
      </c>
      <c r="S2549" t="str" cm="1">
        <f t="array" ref="S2549">IF(P2549="","",_xlfn.SWITCH(LEFT(P2549,1),"C","Ciudad","T","Pueblo","R","Rural","S","Suburbano","U","Urbano",""))</f>
        <v>Suburbano</v>
      </c>
      <c r="T2549" t="str">
        <f t="shared" si="157"/>
        <v>F</v>
      </c>
      <c r="U2549" t="str">
        <f t="shared" si="158"/>
        <v>MI</v>
      </c>
      <c r="V2549" t="str">
        <f t="shared" si="159"/>
        <v>10003</v>
      </c>
    </row>
    <row r="2550" spans="1:22" x14ac:dyDescent="0.35">
      <c r="A2550">
        <v>160394</v>
      </c>
      <c r="B2550" t="s">
        <v>22</v>
      </c>
      <c r="C2550" t="s">
        <v>17</v>
      </c>
      <c r="D2550">
        <v>882</v>
      </c>
      <c r="E2550">
        <v>406</v>
      </c>
      <c r="F2550">
        <v>444</v>
      </c>
      <c r="G2550">
        <v>0</v>
      </c>
      <c r="H2550">
        <v>12842</v>
      </c>
      <c r="I2550">
        <v>3</v>
      </c>
      <c r="J2550">
        <v>69</v>
      </c>
      <c r="K2550">
        <v>431</v>
      </c>
      <c r="L2550">
        <v>419</v>
      </c>
      <c r="M2550">
        <v>6.0526315789999998</v>
      </c>
      <c r="N2550">
        <f>IFERROR(VLOOKUP(A2550,vlookup_table!$A:$G,2,FALSE),"")</f>
        <v>0</v>
      </c>
      <c r="O2550">
        <f>IFERROR(VLOOKUP(A2550,vlookup_table!$A:$G,4,FALSE),"")</f>
        <v>1001</v>
      </c>
      <c r="P2550" t="str">
        <f>IFERROR(VLOOKUP(A2550,vlookup_table!$A:$G,5,FALSE),"")</f>
        <v>S2</v>
      </c>
      <c r="Q2550">
        <f>IFERROR(VLOOKUP(A2550,vlookup_table!$A:$G,7,FALSE),"")</f>
        <v>8</v>
      </c>
      <c r="R2550">
        <f t="shared" si="156"/>
        <v>87</v>
      </c>
      <c r="S2550" t="str" cm="1">
        <f t="array" ref="S2550">IF(P2550="","",_xlfn.SWITCH(LEFT(P2550,1),"C","Ciudad","T","Pueblo","R","Rural","S","Suburbano","U","Urbano",""))</f>
        <v>Suburbano</v>
      </c>
      <c r="T2550" t="str">
        <f t="shared" si="157"/>
        <v>F</v>
      </c>
      <c r="U2550" t="str">
        <f t="shared" si="158"/>
        <v>CA</v>
      </c>
      <c r="V2550" t="str">
        <f t="shared" si="159"/>
        <v>12842</v>
      </c>
    </row>
    <row r="2551" spans="1:22" x14ac:dyDescent="0.35">
      <c r="A2551">
        <v>134115</v>
      </c>
      <c r="B2551" t="s">
        <v>26</v>
      </c>
      <c r="C2551" t="s">
        <v>27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11.45454546</v>
      </c>
      <c r="N2551">
        <f>IFERROR(VLOOKUP(A2551,vlookup_table!$A:$G,2,FALSE),"")</f>
        <v>1002</v>
      </c>
      <c r="O2551">
        <f>IFERROR(VLOOKUP(A2551,vlookup_table!$A:$G,4,FALSE),"")</f>
        <v>5706</v>
      </c>
      <c r="P2551" t="str">
        <f>IFERROR(VLOOKUP(A2551,vlookup_table!$A:$G,5,FALSE),"")</f>
        <v>T2</v>
      </c>
      <c r="Q2551">
        <f>IFERROR(VLOOKUP(A2551,vlookup_table!$A:$G,7,FALSE),"")</f>
        <v>20</v>
      </c>
      <c r="R2551">
        <f t="shared" si="156"/>
        <v>40</v>
      </c>
      <c r="S2551" t="str" cm="1">
        <f t="array" ref="S2551">IF(P2551="","",_xlfn.SWITCH(LEFT(P2551,1),"C","Ciudad","T","Pueblo","R","Rural","S","Suburbano","U","Urbano",""))</f>
        <v>Pueblo</v>
      </c>
      <c r="T2551" t="str">
        <f t="shared" si="157"/>
        <v>M</v>
      </c>
      <c r="U2551" t="str">
        <f t="shared" si="158"/>
        <v>AP</v>
      </c>
      <c r="V2551" t="str">
        <f t="shared" si="159"/>
        <v>0</v>
      </c>
    </row>
    <row r="2552" spans="1:22" x14ac:dyDescent="0.35">
      <c r="A2552">
        <v>175602</v>
      </c>
      <c r="B2552" t="s">
        <v>50</v>
      </c>
      <c r="C2552" t="s">
        <v>17</v>
      </c>
      <c r="D2552">
        <v>217</v>
      </c>
      <c r="E2552">
        <v>97</v>
      </c>
      <c r="F2552">
        <v>149</v>
      </c>
      <c r="G2552">
        <v>0</v>
      </c>
      <c r="H2552">
        <v>4914</v>
      </c>
      <c r="I2552">
        <v>1</v>
      </c>
      <c r="J2552">
        <v>40</v>
      </c>
      <c r="K2552">
        <v>163</v>
      </c>
      <c r="L2552">
        <v>129</v>
      </c>
      <c r="M2552">
        <v>3.4259259260000001</v>
      </c>
      <c r="N2552">
        <f>IFERROR(VLOOKUP(A2552,vlookup_table!$A:$G,2,FALSE),"")</f>
        <v>2</v>
      </c>
      <c r="O2552">
        <f>IFERROR(VLOOKUP(A2552,vlookup_table!$A:$G,4,FALSE),"")</f>
        <v>2301</v>
      </c>
      <c r="P2552" t="str">
        <f>IFERROR(VLOOKUP(A2552,vlookup_table!$A:$G,5,FALSE),"")</f>
        <v>U4</v>
      </c>
      <c r="Q2552">
        <f>IFERROR(VLOOKUP(A2552,vlookup_table!$A:$G,7,FALSE),"")</f>
        <v>3</v>
      </c>
      <c r="R2552">
        <f t="shared" si="156"/>
        <v>74</v>
      </c>
      <c r="S2552" t="str" cm="1">
        <f t="array" ref="S2552">IF(P2552="","",_xlfn.SWITCH(LEFT(P2552,1),"C","Ciudad","T","Pueblo","R","Rural","S","Suburbano","U","Urbano",""))</f>
        <v>Urbano</v>
      </c>
      <c r="T2552" t="str">
        <f t="shared" si="157"/>
        <v>F</v>
      </c>
      <c r="U2552" t="str">
        <f t="shared" si="158"/>
        <v>OR</v>
      </c>
      <c r="V2552" t="str">
        <f t="shared" si="159"/>
        <v>4914</v>
      </c>
    </row>
    <row r="2553" spans="1:22" x14ac:dyDescent="0.35">
      <c r="A2553">
        <v>88489</v>
      </c>
      <c r="B2553" t="s">
        <v>16</v>
      </c>
      <c r="C2553" t="s">
        <v>17</v>
      </c>
      <c r="D2553">
        <v>1833</v>
      </c>
      <c r="E2553">
        <v>594</v>
      </c>
      <c r="F2553">
        <v>706</v>
      </c>
      <c r="G2553">
        <v>37</v>
      </c>
      <c r="H2553">
        <v>21653</v>
      </c>
      <c r="I2553">
        <v>17</v>
      </c>
      <c r="J2553">
        <v>46</v>
      </c>
      <c r="K2553">
        <v>642</v>
      </c>
      <c r="L2553">
        <v>668</v>
      </c>
      <c r="M2553">
        <v>17</v>
      </c>
      <c r="N2553">
        <f>IFERROR(VLOOKUP(A2553,vlookup_table!$A:$G,2,FALSE),"")</f>
        <v>0</v>
      </c>
      <c r="O2553">
        <f>IFERROR(VLOOKUP(A2553,vlookup_table!$A:$G,4,FALSE),"")</f>
        <v>3011</v>
      </c>
      <c r="P2553" t="str">
        <f>IFERROR(VLOOKUP(A2553,vlookup_table!$A:$G,5,FALSE),"")</f>
        <v>S1</v>
      </c>
      <c r="Q2553">
        <f>IFERROR(VLOOKUP(A2553,vlookup_table!$A:$G,7,FALSE),"")</f>
        <v>25</v>
      </c>
      <c r="R2553">
        <f t="shared" si="156"/>
        <v>67</v>
      </c>
      <c r="S2553" t="str" cm="1">
        <f t="array" ref="S2553">IF(P2553="","",_xlfn.SWITCH(LEFT(P2553,1),"C","Ciudad","T","Pueblo","R","Rural","S","Suburbano","U","Urbano",""))</f>
        <v>Suburbano</v>
      </c>
      <c r="T2553" t="str">
        <f t="shared" si="157"/>
        <v>F</v>
      </c>
      <c r="U2553" t="str">
        <f t="shared" si="158"/>
        <v>IL</v>
      </c>
      <c r="V2553" t="str">
        <f t="shared" si="159"/>
        <v>21653</v>
      </c>
    </row>
    <row r="2554" spans="1:22" x14ac:dyDescent="0.35">
      <c r="A2554">
        <v>139664</v>
      </c>
      <c r="B2554" t="s">
        <v>54</v>
      </c>
      <c r="C2554" t="s">
        <v>17</v>
      </c>
      <c r="D2554">
        <v>952</v>
      </c>
      <c r="E2554">
        <v>474</v>
      </c>
      <c r="F2554">
        <v>482</v>
      </c>
      <c r="G2554">
        <v>3</v>
      </c>
      <c r="H2554">
        <v>17141</v>
      </c>
      <c r="I2554">
        <v>2</v>
      </c>
      <c r="J2554">
        <v>37</v>
      </c>
      <c r="K2554">
        <v>478</v>
      </c>
      <c r="L2554">
        <v>467</v>
      </c>
      <c r="M2554">
        <v>14.58823529</v>
      </c>
      <c r="N2554">
        <f>IFERROR(VLOOKUP(A2554,vlookup_table!$A:$G,2,FALSE),"")</f>
        <v>28</v>
      </c>
      <c r="O2554">
        <f>IFERROR(VLOOKUP(A2554,vlookup_table!$A:$G,4,FALSE),"")</f>
        <v>4408</v>
      </c>
      <c r="P2554" t="str">
        <f>IFERROR(VLOOKUP(A2554,vlookup_table!$A:$G,5,FALSE),"")</f>
        <v>S1</v>
      </c>
      <c r="Q2554">
        <f>IFERROR(VLOOKUP(A2554,vlookup_table!$A:$G,7,FALSE),"")</f>
        <v>16</v>
      </c>
      <c r="R2554">
        <f t="shared" si="156"/>
        <v>53</v>
      </c>
      <c r="S2554" t="str" cm="1">
        <f t="array" ref="S2554">IF(P2554="","",_xlfn.SWITCH(LEFT(P2554,1),"C","Ciudad","T","Pueblo","R","Rural","S","Suburbano","U","Urbano",""))</f>
        <v>Suburbano</v>
      </c>
      <c r="T2554" t="str">
        <f t="shared" si="157"/>
        <v>F</v>
      </c>
      <c r="U2554" t="str">
        <f t="shared" si="158"/>
        <v>NM</v>
      </c>
      <c r="V2554" t="str">
        <f t="shared" si="159"/>
        <v>17141</v>
      </c>
    </row>
    <row r="2555" spans="1:22" x14ac:dyDescent="0.35">
      <c r="A2555">
        <v>9947</v>
      </c>
      <c r="B2555" t="s">
        <v>48</v>
      </c>
      <c r="C2555" t="s">
        <v>14</v>
      </c>
      <c r="D2555">
        <v>793</v>
      </c>
      <c r="E2555">
        <v>429</v>
      </c>
      <c r="F2555">
        <v>458</v>
      </c>
      <c r="G2555">
        <v>0</v>
      </c>
      <c r="H2555">
        <v>12976</v>
      </c>
      <c r="I2555">
        <v>1</v>
      </c>
      <c r="J2555">
        <v>66</v>
      </c>
      <c r="K2555">
        <v>454</v>
      </c>
      <c r="L2555">
        <v>447</v>
      </c>
      <c r="M2555">
        <v>6.615384615</v>
      </c>
      <c r="N2555">
        <f>IFERROR(VLOOKUP(A2555,vlookup_table!$A:$G,2,FALSE),"")</f>
        <v>1</v>
      </c>
      <c r="O2555">
        <f>IFERROR(VLOOKUP(A2555,vlookup_table!$A:$G,4,FALSE),"")</f>
        <v>2001</v>
      </c>
      <c r="P2555" t="str">
        <f>IFERROR(VLOOKUP(A2555,vlookup_table!$A:$G,5,FALSE),"")</f>
        <v>S2</v>
      </c>
      <c r="Q2555">
        <f>IFERROR(VLOOKUP(A2555,vlookup_table!$A:$G,7,FALSE),"")</f>
        <v>10</v>
      </c>
      <c r="R2555">
        <f t="shared" si="156"/>
        <v>77</v>
      </c>
      <c r="S2555" t="str" cm="1">
        <f t="array" ref="S2555">IF(P2555="","",_xlfn.SWITCH(LEFT(P2555,1),"C","Ciudad","T","Pueblo","R","Rural","S","Suburbano","U","Urbano",""))</f>
        <v>Suburbano</v>
      </c>
      <c r="T2555" t="str">
        <f t="shared" si="157"/>
        <v>M</v>
      </c>
      <c r="U2555" t="str">
        <f t="shared" si="158"/>
        <v>CO</v>
      </c>
      <c r="V2555" t="str">
        <f t="shared" si="159"/>
        <v>12976</v>
      </c>
    </row>
    <row r="2556" spans="1:22" x14ac:dyDescent="0.35">
      <c r="A2556">
        <v>168368</v>
      </c>
      <c r="B2556" t="s">
        <v>22</v>
      </c>
      <c r="C2556" t="s">
        <v>14</v>
      </c>
      <c r="D2556">
        <v>3256</v>
      </c>
      <c r="E2556">
        <v>538</v>
      </c>
      <c r="F2556">
        <v>628</v>
      </c>
      <c r="G2556">
        <v>90</v>
      </c>
      <c r="H2556">
        <v>21944</v>
      </c>
      <c r="I2556">
        <v>19</v>
      </c>
      <c r="J2556">
        <v>43</v>
      </c>
      <c r="K2556">
        <v>603</v>
      </c>
      <c r="L2556">
        <v>624</v>
      </c>
      <c r="M2556">
        <v>14.28571429</v>
      </c>
      <c r="N2556">
        <f>IFERROR(VLOOKUP(A2556,vlookup_table!$A:$G,2,FALSE),"")</f>
        <v>0</v>
      </c>
      <c r="O2556">
        <f>IFERROR(VLOOKUP(A2556,vlookup_table!$A:$G,4,FALSE),"")</f>
        <v>4406</v>
      </c>
      <c r="P2556" t="str">
        <f>IFERROR(VLOOKUP(A2556,vlookup_table!$A:$G,5,FALSE),"")</f>
        <v>S1</v>
      </c>
      <c r="Q2556">
        <f>IFERROR(VLOOKUP(A2556,vlookup_table!$A:$G,7,FALSE),"")</f>
        <v>10</v>
      </c>
      <c r="R2556">
        <f t="shared" si="156"/>
        <v>53</v>
      </c>
      <c r="S2556" t="str" cm="1">
        <f t="array" ref="S2556">IF(P2556="","",_xlfn.SWITCH(LEFT(P2556,1),"C","Ciudad","T","Pueblo","R","Rural","S","Suburbano","U","Urbano",""))</f>
        <v>Suburbano</v>
      </c>
      <c r="T2556" t="str">
        <f t="shared" si="157"/>
        <v>M</v>
      </c>
      <c r="U2556" t="str">
        <f t="shared" si="158"/>
        <v>CA</v>
      </c>
      <c r="V2556" t="str">
        <f t="shared" si="159"/>
        <v>21944</v>
      </c>
    </row>
    <row r="2557" spans="1:22" x14ac:dyDescent="0.35">
      <c r="A2557">
        <v>166927</v>
      </c>
      <c r="B2557" t="s">
        <v>22</v>
      </c>
      <c r="C2557" t="s">
        <v>14</v>
      </c>
      <c r="D2557">
        <v>2763</v>
      </c>
      <c r="E2557">
        <v>465</v>
      </c>
      <c r="F2557">
        <v>626</v>
      </c>
      <c r="G2557">
        <v>83</v>
      </c>
      <c r="H2557">
        <v>22975</v>
      </c>
      <c r="I2557">
        <v>13</v>
      </c>
      <c r="J2557">
        <v>49</v>
      </c>
      <c r="K2557">
        <v>571</v>
      </c>
      <c r="L2557">
        <v>530</v>
      </c>
      <c r="M2557">
        <v>20</v>
      </c>
      <c r="N2557">
        <f>IFERROR(VLOOKUP(A2557,vlookup_table!$A:$G,2,FALSE),"")</f>
        <v>1002</v>
      </c>
      <c r="O2557">
        <f>IFERROR(VLOOKUP(A2557,vlookup_table!$A:$G,4,FALSE),"")</f>
        <v>2908</v>
      </c>
      <c r="P2557" t="str">
        <f>IFERROR(VLOOKUP(A2557,vlookup_table!$A:$G,5,FALSE),"")</f>
        <v>S1</v>
      </c>
      <c r="Q2557">
        <f>IFERROR(VLOOKUP(A2557,vlookup_table!$A:$G,7,FALSE),"")</f>
        <v>20</v>
      </c>
      <c r="R2557">
        <f t="shared" si="156"/>
        <v>68</v>
      </c>
      <c r="S2557" t="str" cm="1">
        <f t="array" ref="S2557">IF(P2557="","",_xlfn.SWITCH(LEFT(P2557,1),"C","Ciudad","T","Pueblo","R","Rural","S","Suburbano","U","Urbano",""))</f>
        <v>Suburbano</v>
      </c>
      <c r="T2557" t="str">
        <f t="shared" si="157"/>
        <v>M</v>
      </c>
      <c r="U2557" t="str">
        <f t="shared" si="158"/>
        <v>CA</v>
      </c>
      <c r="V2557" t="str">
        <f t="shared" si="159"/>
        <v>22975</v>
      </c>
    </row>
    <row r="2558" spans="1:22" x14ac:dyDescent="0.35">
      <c r="A2558">
        <v>189723</v>
      </c>
      <c r="B2558" t="s">
        <v>48</v>
      </c>
      <c r="C2558" t="s">
        <v>17</v>
      </c>
      <c r="D2558">
        <v>952</v>
      </c>
      <c r="E2558">
        <v>358</v>
      </c>
      <c r="F2558">
        <v>461</v>
      </c>
      <c r="G2558">
        <v>1</v>
      </c>
      <c r="H2558">
        <v>16123</v>
      </c>
      <c r="I2558">
        <v>3</v>
      </c>
      <c r="J2558">
        <v>37</v>
      </c>
      <c r="K2558">
        <v>432</v>
      </c>
      <c r="L2558">
        <v>423</v>
      </c>
      <c r="M2558">
        <v>26.666666670000001</v>
      </c>
      <c r="N2558">
        <f>IFERROR(VLOOKUP(A2558,vlookup_table!$A:$G,2,FALSE),"")</f>
        <v>0</v>
      </c>
      <c r="O2558">
        <f>IFERROR(VLOOKUP(A2558,vlookup_table!$A:$G,4,FALSE),"")</f>
        <v>0</v>
      </c>
      <c r="P2558" t="str">
        <f>IFERROR(VLOOKUP(A2558,vlookup_table!$A:$G,5,FALSE),"")</f>
        <v>S1</v>
      </c>
      <c r="Q2558">
        <f>IFERROR(VLOOKUP(A2558,vlookup_table!$A:$G,7,FALSE),"")</f>
        <v>10</v>
      </c>
      <c r="R2558">
        <f t="shared" si="156"/>
        <v>97</v>
      </c>
      <c r="S2558" t="str" cm="1">
        <f t="array" ref="S2558">IF(P2558="","",_xlfn.SWITCH(LEFT(P2558,1),"C","Ciudad","T","Pueblo","R","Rural","S","Suburbano","U","Urbano",""))</f>
        <v>Suburbano</v>
      </c>
      <c r="T2558" t="str">
        <f t="shared" si="157"/>
        <v>F</v>
      </c>
      <c r="U2558" t="str">
        <f t="shared" si="158"/>
        <v>CO</v>
      </c>
      <c r="V2558" t="str">
        <f t="shared" si="159"/>
        <v>16123</v>
      </c>
    </row>
    <row r="2559" spans="1:22" x14ac:dyDescent="0.35">
      <c r="A2559">
        <v>156559</v>
      </c>
      <c r="B2559" t="s">
        <v>22</v>
      </c>
      <c r="C2559" t="s">
        <v>14</v>
      </c>
      <c r="D2559">
        <v>2158</v>
      </c>
      <c r="E2559">
        <v>576</v>
      </c>
      <c r="F2559">
        <v>651</v>
      </c>
      <c r="G2559">
        <v>62</v>
      </c>
      <c r="H2559">
        <v>20066</v>
      </c>
      <c r="I2559">
        <v>11</v>
      </c>
      <c r="J2559">
        <v>51</v>
      </c>
      <c r="K2559">
        <v>617</v>
      </c>
      <c r="L2559">
        <v>604</v>
      </c>
      <c r="M2559">
        <v>9.8571428569999995</v>
      </c>
      <c r="N2559">
        <f>IFERROR(VLOOKUP(A2559,vlookup_table!$A:$G,2,FALSE),"")</f>
        <v>1</v>
      </c>
      <c r="O2559">
        <f>IFERROR(VLOOKUP(A2559,vlookup_table!$A:$G,4,FALSE),"")</f>
        <v>4601</v>
      </c>
      <c r="P2559" t="str">
        <f>IFERROR(VLOOKUP(A2559,vlookup_table!$A:$G,5,FALSE),"")</f>
        <v>S1</v>
      </c>
      <c r="Q2559">
        <f>IFERROR(VLOOKUP(A2559,vlookup_table!$A:$G,7,FALSE),"")</f>
        <v>12</v>
      </c>
      <c r="R2559">
        <f t="shared" si="156"/>
        <v>51</v>
      </c>
      <c r="S2559" t="str" cm="1">
        <f t="array" ref="S2559">IF(P2559="","",_xlfn.SWITCH(LEFT(P2559,1),"C","Ciudad","T","Pueblo","R","Rural","S","Suburbano","U","Urbano",""))</f>
        <v>Suburbano</v>
      </c>
      <c r="T2559" t="str">
        <f t="shared" si="157"/>
        <v>M</v>
      </c>
      <c r="U2559" t="str">
        <f t="shared" si="158"/>
        <v>CA</v>
      </c>
      <c r="V2559" t="str">
        <f t="shared" si="159"/>
        <v>20066</v>
      </c>
    </row>
    <row r="2560" spans="1:22" x14ac:dyDescent="0.35">
      <c r="A2560">
        <v>64683</v>
      </c>
      <c r="B2560" t="s">
        <v>29</v>
      </c>
      <c r="C2560" t="s">
        <v>17</v>
      </c>
      <c r="D2560">
        <v>477</v>
      </c>
      <c r="E2560">
        <v>328</v>
      </c>
      <c r="F2560">
        <v>446</v>
      </c>
      <c r="G2560">
        <v>0</v>
      </c>
      <c r="H2560">
        <v>15065</v>
      </c>
      <c r="I2560">
        <v>6</v>
      </c>
      <c r="J2560">
        <v>75</v>
      </c>
      <c r="K2560">
        <v>431</v>
      </c>
      <c r="L2560">
        <v>386</v>
      </c>
      <c r="M2560">
        <v>15</v>
      </c>
      <c r="N2560">
        <f>IFERROR(VLOOKUP(A2560,vlookup_table!$A:$G,2,FALSE),"")</f>
        <v>28</v>
      </c>
      <c r="O2560">
        <f>IFERROR(VLOOKUP(A2560,vlookup_table!$A:$G,4,FALSE),"")</f>
        <v>5001</v>
      </c>
      <c r="P2560" t="str">
        <f>IFERROR(VLOOKUP(A2560,vlookup_table!$A:$G,5,FALSE),"")</f>
        <v>U3</v>
      </c>
      <c r="Q2560">
        <f>IFERROR(VLOOKUP(A2560,vlookup_table!$A:$G,7,FALSE),"")</f>
        <v>10</v>
      </c>
      <c r="R2560">
        <f t="shared" si="156"/>
        <v>47</v>
      </c>
      <c r="S2560" t="str" cm="1">
        <f t="array" ref="S2560">IF(P2560="","",_xlfn.SWITCH(LEFT(P2560,1),"C","Ciudad","T","Pueblo","R","Rural","S","Suburbano","U","Urbano",""))</f>
        <v>Urbano</v>
      </c>
      <c r="T2560" t="str">
        <f t="shared" si="157"/>
        <v>F</v>
      </c>
      <c r="U2560" t="str">
        <f t="shared" si="158"/>
        <v>MI</v>
      </c>
      <c r="V2560" t="str">
        <f t="shared" si="159"/>
        <v>15065</v>
      </c>
    </row>
    <row r="2561" spans="1:22" x14ac:dyDescent="0.35">
      <c r="A2561">
        <v>164697</v>
      </c>
      <c r="B2561" t="s">
        <v>22</v>
      </c>
      <c r="C2561" t="s">
        <v>17</v>
      </c>
      <c r="D2561">
        <v>2235</v>
      </c>
      <c r="E2561">
        <v>441</v>
      </c>
      <c r="F2561">
        <v>478</v>
      </c>
      <c r="G2561">
        <v>66</v>
      </c>
      <c r="H2561">
        <v>15262</v>
      </c>
      <c r="I2561">
        <v>14</v>
      </c>
      <c r="J2561">
        <v>55</v>
      </c>
      <c r="K2561">
        <v>459</v>
      </c>
      <c r="L2561">
        <v>449</v>
      </c>
      <c r="M2561">
        <v>5.6</v>
      </c>
      <c r="N2561">
        <f>IFERROR(VLOOKUP(A2561,vlookup_table!$A:$G,2,FALSE),"")</f>
        <v>28</v>
      </c>
      <c r="O2561">
        <f>IFERROR(VLOOKUP(A2561,vlookup_table!$A:$G,4,FALSE),"")</f>
        <v>1701</v>
      </c>
      <c r="P2561" t="str">
        <f>IFERROR(VLOOKUP(A2561,vlookup_table!$A:$G,5,FALSE),"")</f>
        <v>S2</v>
      </c>
      <c r="Q2561">
        <f>IFERROR(VLOOKUP(A2561,vlookup_table!$A:$G,7,FALSE),"")</f>
        <v>20</v>
      </c>
      <c r="R2561">
        <f t="shared" si="156"/>
        <v>80</v>
      </c>
      <c r="S2561" t="str" cm="1">
        <f t="array" ref="S2561">IF(P2561="","",_xlfn.SWITCH(LEFT(P2561,1),"C","Ciudad","T","Pueblo","R","Rural","S","Suburbano","U","Urbano",""))</f>
        <v>Suburbano</v>
      </c>
      <c r="T2561" t="str">
        <f t="shared" si="157"/>
        <v>F</v>
      </c>
      <c r="U2561" t="str">
        <f t="shared" si="158"/>
        <v>CA</v>
      </c>
      <c r="V2561" t="str">
        <f t="shared" si="159"/>
        <v>15262</v>
      </c>
    </row>
    <row r="2562" spans="1:22" x14ac:dyDescent="0.35">
      <c r="A2562">
        <v>111918</v>
      </c>
      <c r="B2562" t="s">
        <v>32</v>
      </c>
      <c r="C2562" t="s">
        <v>60</v>
      </c>
      <c r="D2562">
        <v>427</v>
      </c>
      <c r="E2562">
        <v>250</v>
      </c>
      <c r="F2562">
        <v>356</v>
      </c>
      <c r="G2562">
        <v>0</v>
      </c>
      <c r="H2562">
        <v>14425</v>
      </c>
      <c r="I2562">
        <v>0</v>
      </c>
      <c r="J2562">
        <v>77</v>
      </c>
      <c r="K2562">
        <v>286</v>
      </c>
      <c r="L2562">
        <v>296</v>
      </c>
      <c r="M2562">
        <v>7.076923077</v>
      </c>
      <c r="N2562">
        <f>IFERROR(VLOOKUP(A2562,vlookup_table!$A:$G,2,FALSE),"")</f>
        <v>0</v>
      </c>
      <c r="O2562">
        <f>IFERROR(VLOOKUP(A2562,vlookup_table!$A:$G,4,FALSE),"")</f>
        <v>3201</v>
      </c>
      <c r="P2562" t="str">
        <f>IFERROR(VLOOKUP(A2562,vlookup_table!$A:$G,5,FALSE),"")</f>
        <v>T2</v>
      </c>
      <c r="Q2562">
        <f>IFERROR(VLOOKUP(A2562,vlookup_table!$A:$G,7,FALSE),"")</f>
        <v>5</v>
      </c>
      <c r="R2562">
        <f t="shared" ref="R2562:R2625" si="160">IF(O2562="","",97-INT(O2562/100))</f>
        <v>65</v>
      </c>
      <c r="S2562" t="str" cm="1">
        <f t="array" ref="S2562">IF(P2562="","",_xlfn.SWITCH(LEFT(P2562,1),"C","Ciudad","T","Pueblo","R","Rural","S","Suburbano","U","Urbano",""))</f>
        <v>Pueblo</v>
      </c>
      <c r="T2562" t="str">
        <f t="shared" ref="T2562:T2625" si="161">IF(C2562="","",IF(OR(UPPER(C2562)="M",UPPER(C2562)="MALE"),"M",IF(OR(UPPER(C2562)="F",UPPER(C2562)="FEMALE",UPPER(C2562)="FEAMALE"),"F",C2562)))</f>
        <v>F</v>
      </c>
      <c r="U2562" t="str">
        <f t="shared" ref="U2562:U2625" si="162">IF(OR(UPPER(B2562)="CALIFORNIA",UPPER(B2562)="CALI"),"CA",B2562)</f>
        <v>AR</v>
      </c>
      <c r="V2562" t="str">
        <f t="shared" ref="V2562:V2625" si="163">SUBSTITUTE(H2562,"@","")</f>
        <v>14425</v>
      </c>
    </row>
    <row r="2563" spans="1:22" x14ac:dyDescent="0.35">
      <c r="A2563">
        <v>89816</v>
      </c>
      <c r="B2563" t="s">
        <v>16</v>
      </c>
      <c r="C2563" t="s">
        <v>14</v>
      </c>
      <c r="D2563">
        <v>2000</v>
      </c>
      <c r="E2563">
        <v>760</v>
      </c>
      <c r="F2563">
        <v>759</v>
      </c>
      <c r="G2563">
        <v>50</v>
      </c>
      <c r="H2563">
        <v>22531</v>
      </c>
      <c r="I2563">
        <v>2</v>
      </c>
      <c r="J2563">
        <v>72</v>
      </c>
      <c r="K2563">
        <v>773</v>
      </c>
      <c r="L2563">
        <v>727</v>
      </c>
      <c r="M2563">
        <v>35</v>
      </c>
      <c r="N2563">
        <f>IFERROR(VLOOKUP(A2563,vlookup_table!$A:$G,2,FALSE),"")</f>
        <v>0</v>
      </c>
      <c r="O2563">
        <f>IFERROR(VLOOKUP(A2563,vlookup_table!$A:$G,4,FALSE),"")</f>
        <v>4707</v>
      </c>
      <c r="P2563" t="str">
        <f>IFERROR(VLOOKUP(A2563,vlookup_table!$A:$G,5,FALSE),"")</f>
        <v>S1</v>
      </c>
      <c r="Q2563">
        <f>IFERROR(VLOOKUP(A2563,vlookup_table!$A:$G,7,FALSE),"")</f>
        <v>25</v>
      </c>
      <c r="R2563">
        <f t="shared" si="160"/>
        <v>50</v>
      </c>
      <c r="S2563" t="str" cm="1">
        <f t="array" ref="S2563">IF(P2563="","",_xlfn.SWITCH(LEFT(P2563,1),"C","Ciudad","T","Pueblo","R","Rural","S","Suburbano","U","Urbano",""))</f>
        <v>Suburbano</v>
      </c>
      <c r="T2563" t="str">
        <f t="shared" si="161"/>
        <v>M</v>
      </c>
      <c r="U2563" t="str">
        <f t="shared" si="162"/>
        <v>IL</v>
      </c>
      <c r="V2563" t="str">
        <f t="shared" si="163"/>
        <v>22531</v>
      </c>
    </row>
    <row r="2564" spans="1:22" x14ac:dyDescent="0.35">
      <c r="A2564">
        <v>161115</v>
      </c>
      <c r="B2564" t="s">
        <v>22</v>
      </c>
      <c r="C2564" t="s">
        <v>30</v>
      </c>
      <c r="D2564">
        <v>728</v>
      </c>
      <c r="E2564">
        <v>180</v>
      </c>
      <c r="F2564">
        <v>286</v>
      </c>
      <c r="G2564">
        <v>0</v>
      </c>
      <c r="H2564">
        <v>11426</v>
      </c>
      <c r="I2564">
        <v>0</v>
      </c>
      <c r="J2564">
        <v>54</v>
      </c>
      <c r="K2564">
        <v>241</v>
      </c>
      <c r="L2564">
        <v>214</v>
      </c>
      <c r="M2564">
        <v>8.625</v>
      </c>
      <c r="N2564">
        <f>IFERROR(VLOOKUP(A2564,vlookup_table!$A:$G,2,FALSE),"")</f>
        <v>2</v>
      </c>
      <c r="O2564">
        <f>IFERROR(VLOOKUP(A2564,vlookup_table!$A:$G,4,FALSE),"")</f>
        <v>0</v>
      </c>
      <c r="P2564" t="str">
        <f>IFERROR(VLOOKUP(A2564,vlookup_table!$A:$G,5,FALSE),"")</f>
        <v>C2</v>
      </c>
      <c r="Q2564">
        <f>IFERROR(VLOOKUP(A2564,vlookup_table!$A:$G,7,FALSE),"")</f>
        <v>10</v>
      </c>
      <c r="R2564">
        <f t="shared" si="160"/>
        <v>97</v>
      </c>
      <c r="S2564" t="str" cm="1">
        <f t="array" ref="S2564">IF(P2564="","",_xlfn.SWITCH(LEFT(P2564,1),"C","Ciudad","T","Pueblo","R","Rural","S","Suburbano","U","Urbano",""))</f>
        <v>Ciudad</v>
      </c>
      <c r="T2564" t="str">
        <f t="shared" si="161"/>
        <v>U</v>
      </c>
      <c r="U2564" t="str">
        <f t="shared" si="162"/>
        <v>CA</v>
      </c>
      <c r="V2564" t="str">
        <f t="shared" si="163"/>
        <v>11426</v>
      </c>
    </row>
    <row r="2565" spans="1:22" x14ac:dyDescent="0.35">
      <c r="A2565">
        <v>165753</v>
      </c>
      <c r="B2565" t="s">
        <v>22</v>
      </c>
      <c r="C2565" t="s">
        <v>14</v>
      </c>
      <c r="D2565">
        <v>1345</v>
      </c>
      <c r="E2565">
        <v>372</v>
      </c>
      <c r="F2565">
        <v>437</v>
      </c>
      <c r="G2565">
        <v>2</v>
      </c>
      <c r="H2565">
        <v>17201</v>
      </c>
      <c r="I2565">
        <v>12</v>
      </c>
      <c r="J2565">
        <v>56</v>
      </c>
      <c r="K2565">
        <v>436</v>
      </c>
      <c r="L2565">
        <v>407</v>
      </c>
      <c r="M2565">
        <v>15</v>
      </c>
      <c r="N2565">
        <f>IFERROR(VLOOKUP(A2565,vlookup_table!$A:$G,2,FALSE),"")</f>
        <v>0</v>
      </c>
      <c r="O2565">
        <f>IFERROR(VLOOKUP(A2565,vlookup_table!$A:$G,4,FALSE),"")</f>
        <v>2801</v>
      </c>
      <c r="P2565" t="str">
        <f>IFERROR(VLOOKUP(A2565,vlookup_table!$A:$G,5,FALSE),"")</f>
        <v>S2</v>
      </c>
      <c r="Q2565">
        <f>IFERROR(VLOOKUP(A2565,vlookup_table!$A:$G,7,FALSE),"")</f>
        <v>15</v>
      </c>
      <c r="R2565">
        <f t="shared" si="160"/>
        <v>69</v>
      </c>
      <c r="S2565" t="str" cm="1">
        <f t="array" ref="S2565">IF(P2565="","",_xlfn.SWITCH(LEFT(P2565,1),"C","Ciudad","T","Pueblo","R","Rural","S","Suburbano","U","Urbano",""))</f>
        <v>Suburbano</v>
      </c>
      <c r="T2565" t="str">
        <f t="shared" si="161"/>
        <v>M</v>
      </c>
      <c r="U2565" t="str">
        <f t="shared" si="162"/>
        <v>CA</v>
      </c>
      <c r="V2565" t="str">
        <f t="shared" si="163"/>
        <v>17201</v>
      </c>
    </row>
    <row r="2566" spans="1:22" x14ac:dyDescent="0.35">
      <c r="A2566">
        <v>117411</v>
      </c>
      <c r="B2566" t="s">
        <v>21</v>
      </c>
      <c r="C2566" t="s">
        <v>17</v>
      </c>
      <c r="D2566">
        <v>904</v>
      </c>
      <c r="E2566">
        <v>117</v>
      </c>
      <c r="F2566">
        <v>382</v>
      </c>
      <c r="G2566">
        <v>0</v>
      </c>
      <c r="H2566">
        <v>10892</v>
      </c>
      <c r="I2566">
        <v>24</v>
      </c>
      <c r="J2566">
        <v>46</v>
      </c>
      <c r="K2566">
        <v>374</v>
      </c>
      <c r="L2566">
        <v>185</v>
      </c>
      <c r="M2566">
        <v>13.80555556</v>
      </c>
      <c r="N2566">
        <f>IFERROR(VLOOKUP(A2566,vlookup_table!$A:$G,2,FALSE),"")</f>
        <v>0</v>
      </c>
      <c r="O2566">
        <f>IFERROR(VLOOKUP(A2566,vlookup_table!$A:$G,4,FALSE),"")</f>
        <v>2009</v>
      </c>
      <c r="P2566" t="str">
        <f>IFERROR(VLOOKUP(A2566,vlookup_table!$A:$G,5,FALSE),"")</f>
        <v>S1</v>
      </c>
      <c r="Q2566">
        <f>IFERROR(VLOOKUP(A2566,vlookup_table!$A:$G,7,FALSE),"")</f>
        <v>20</v>
      </c>
      <c r="R2566">
        <f t="shared" si="160"/>
        <v>77</v>
      </c>
      <c r="S2566" t="str" cm="1">
        <f t="array" ref="S2566">IF(P2566="","",_xlfn.SWITCH(LEFT(P2566,1),"C","Ciudad","T","Pueblo","R","Rural","S","Suburbano","U","Urbano",""))</f>
        <v>Suburbano</v>
      </c>
      <c r="T2566" t="str">
        <f t="shared" si="161"/>
        <v>F</v>
      </c>
      <c r="U2566" t="str">
        <f t="shared" si="162"/>
        <v>TX</v>
      </c>
      <c r="V2566" t="str">
        <f t="shared" si="163"/>
        <v>10892</v>
      </c>
    </row>
    <row r="2567" spans="1:22" x14ac:dyDescent="0.35">
      <c r="A2567">
        <v>112750</v>
      </c>
      <c r="B2567" t="s">
        <v>31</v>
      </c>
      <c r="C2567" t="s">
        <v>17</v>
      </c>
      <c r="D2567">
        <v>428</v>
      </c>
      <c r="E2567">
        <v>267</v>
      </c>
      <c r="F2567">
        <v>347</v>
      </c>
      <c r="G2567">
        <v>0</v>
      </c>
      <c r="H2567">
        <v>11716</v>
      </c>
      <c r="I2567">
        <v>2</v>
      </c>
      <c r="J2567">
        <v>72</v>
      </c>
      <c r="K2567">
        <v>306</v>
      </c>
      <c r="L2567">
        <v>315</v>
      </c>
      <c r="M2567">
        <v>12.75</v>
      </c>
      <c r="N2567">
        <f>IFERROR(VLOOKUP(A2567,vlookup_table!$A:$G,2,FALSE),"")</f>
        <v>0</v>
      </c>
      <c r="O2567">
        <f>IFERROR(VLOOKUP(A2567,vlookup_table!$A:$G,4,FALSE),"")</f>
        <v>5801</v>
      </c>
      <c r="P2567" t="str">
        <f>IFERROR(VLOOKUP(A2567,vlookup_table!$A:$G,5,FALSE),"")</f>
        <v>S1</v>
      </c>
      <c r="Q2567">
        <f>IFERROR(VLOOKUP(A2567,vlookup_table!$A:$G,7,FALSE),"")</f>
        <v>20</v>
      </c>
      <c r="R2567">
        <f t="shared" si="160"/>
        <v>39</v>
      </c>
      <c r="S2567" t="str" cm="1">
        <f t="array" ref="S2567">IF(P2567="","",_xlfn.SWITCH(LEFT(P2567,1),"C","Ciudad","T","Pueblo","R","Rural","S","Suburbano","U","Urbano",""))</f>
        <v>Suburbano</v>
      </c>
      <c r="T2567" t="str">
        <f t="shared" si="161"/>
        <v>F</v>
      </c>
      <c r="U2567" t="str">
        <f t="shared" si="162"/>
        <v>OK</v>
      </c>
      <c r="V2567" t="str">
        <f t="shared" si="163"/>
        <v>11716</v>
      </c>
    </row>
    <row r="2568" spans="1:22" x14ac:dyDescent="0.35">
      <c r="A2568">
        <v>134852</v>
      </c>
      <c r="B2568" t="s">
        <v>38</v>
      </c>
      <c r="C2568" t="s">
        <v>14</v>
      </c>
      <c r="D2568">
        <v>735</v>
      </c>
      <c r="E2568">
        <v>289</v>
      </c>
      <c r="F2568">
        <v>358</v>
      </c>
      <c r="G2568">
        <v>2</v>
      </c>
      <c r="H2568">
        <v>9048</v>
      </c>
      <c r="I2568">
        <v>2</v>
      </c>
      <c r="J2568">
        <v>86</v>
      </c>
      <c r="K2568">
        <v>343</v>
      </c>
      <c r="L2568">
        <v>334</v>
      </c>
      <c r="M2568">
        <v>50</v>
      </c>
      <c r="N2568">
        <f>IFERROR(VLOOKUP(A2568,vlookup_table!$A:$G,2,FALSE),"")</f>
        <v>1</v>
      </c>
      <c r="O2568">
        <f>IFERROR(VLOOKUP(A2568,vlookup_table!$A:$G,4,FALSE),"")</f>
        <v>4901</v>
      </c>
      <c r="P2568" t="str">
        <f>IFERROR(VLOOKUP(A2568,vlookup_table!$A:$G,5,FALSE),"")</f>
        <v>R2</v>
      </c>
      <c r="Q2568">
        <f>IFERROR(VLOOKUP(A2568,vlookup_table!$A:$G,7,FALSE),"")</f>
        <v>50</v>
      </c>
      <c r="R2568">
        <f t="shared" si="160"/>
        <v>48</v>
      </c>
      <c r="S2568" t="str" cm="1">
        <f t="array" ref="S2568">IF(P2568="","",_xlfn.SWITCH(LEFT(P2568,1),"C","Ciudad","T","Pueblo","R","Rural","S","Suburbano","U","Urbano",""))</f>
        <v>Rural</v>
      </c>
      <c r="T2568" t="str">
        <f t="shared" si="161"/>
        <v>M</v>
      </c>
      <c r="U2568" t="str">
        <f t="shared" si="162"/>
        <v>UT</v>
      </c>
      <c r="V2568" t="str">
        <f t="shared" si="163"/>
        <v>9048</v>
      </c>
    </row>
    <row r="2569" spans="1:22" x14ac:dyDescent="0.35">
      <c r="A2569">
        <v>69506</v>
      </c>
      <c r="B2569" t="s">
        <v>29</v>
      </c>
      <c r="C2569" t="s">
        <v>17</v>
      </c>
      <c r="D2569">
        <v>921</v>
      </c>
      <c r="E2569">
        <v>451</v>
      </c>
      <c r="F2569">
        <v>534</v>
      </c>
      <c r="G2569">
        <v>7</v>
      </c>
      <c r="H2569">
        <v>17564</v>
      </c>
      <c r="I2569">
        <v>2</v>
      </c>
      <c r="J2569">
        <v>86</v>
      </c>
      <c r="K2569">
        <v>466</v>
      </c>
      <c r="L2569">
        <v>512</v>
      </c>
      <c r="M2569">
        <v>13</v>
      </c>
      <c r="N2569">
        <f>IFERROR(VLOOKUP(A2569,vlookup_table!$A:$G,2,FALSE),"")</f>
        <v>0</v>
      </c>
      <c r="O2569">
        <f>IFERROR(VLOOKUP(A2569,vlookup_table!$A:$G,4,FALSE),"")</f>
        <v>2005</v>
      </c>
      <c r="P2569" t="str">
        <f>IFERROR(VLOOKUP(A2569,vlookup_table!$A:$G,5,FALSE),"")</f>
        <v>S2</v>
      </c>
      <c r="Q2569">
        <f>IFERROR(VLOOKUP(A2569,vlookup_table!$A:$G,7,FALSE),"")</f>
        <v>15</v>
      </c>
      <c r="R2569">
        <f t="shared" si="160"/>
        <v>77</v>
      </c>
      <c r="S2569" t="str" cm="1">
        <f t="array" ref="S2569">IF(P2569="","",_xlfn.SWITCH(LEFT(P2569,1),"C","Ciudad","T","Pueblo","R","Rural","S","Suburbano","U","Urbano",""))</f>
        <v>Suburbano</v>
      </c>
      <c r="T2569" t="str">
        <f t="shared" si="161"/>
        <v>F</v>
      </c>
      <c r="U2569" t="str">
        <f t="shared" si="162"/>
        <v>MI</v>
      </c>
      <c r="V2569" t="str">
        <f t="shared" si="163"/>
        <v>17564</v>
      </c>
    </row>
    <row r="2570" spans="1:22" x14ac:dyDescent="0.35">
      <c r="A2570">
        <v>94920</v>
      </c>
      <c r="B2570" t="s">
        <v>16</v>
      </c>
      <c r="C2570" t="s">
        <v>17</v>
      </c>
      <c r="D2570">
        <v>1349</v>
      </c>
      <c r="E2570">
        <v>411</v>
      </c>
      <c r="F2570">
        <v>488</v>
      </c>
      <c r="G2570">
        <v>10</v>
      </c>
      <c r="H2570">
        <v>18814</v>
      </c>
      <c r="I2570">
        <v>30</v>
      </c>
      <c r="J2570">
        <v>54</v>
      </c>
      <c r="K2570">
        <v>428</v>
      </c>
      <c r="L2570">
        <v>465</v>
      </c>
      <c r="M2570">
        <v>21.166666670000001</v>
      </c>
      <c r="N2570">
        <f>IFERROR(VLOOKUP(A2570,vlookup_table!$A:$G,2,FALSE),"")</f>
        <v>0</v>
      </c>
      <c r="O2570">
        <f>IFERROR(VLOOKUP(A2570,vlookup_table!$A:$G,4,FALSE),"")</f>
        <v>4105</v>
      </c>
      <c r="P2570" t="str">
        <f>IFERROR(VLOOKUP(A2570,vlookup_table!$A:$G,5,FALSE),"")</f>
        <v>U1</v>
      </c>
      <c r="Q2570">
        <f>IFERROR(VLOOKUP(A2570,vlookup_table!$A:$G,7,FALSE),"")</f>
        <v>15</v>
      </c>
      <c r="R2570">
        <f t="shared" si="160"/>
        <v>56</v>
      </c>
      <c r="S2570" t="str" cm="1">
        <f t="array" ref="S2570">IF(P2570="","",_xlfn.SWITCH(LEFT(P2570,1),"C","Ciudad","T","Pueblo","R","Rural","S","Suburbano","U","Urbano",""))</f>
        <v>Urbano</v>
      </c>
      <c r="T2570" t="str">
        <f t="shared" si="161"/>
        <v>F</v>
      </c>
      <c r="U2570" t="str">
        <f t="shared" si="162"/>
        <v>IL</v>
      </c>
      <c r="V2570" t="str">
        <f t="shared" si="163"/>
        <v>18814</v>
      </c>
    </row>
    <row r="2571" spans="1:22" x14ac:dyDescent="0.35">
      <c r="A2571">
        <v>186699</v>
      </c>
      <c r="B2571" t="s">
        <v>35</v>
      </c>
      <c r="C2571" t="s">
        <v>17</v>
      </c>
      <c r="D2571">
        <v>338</v>
      </c>
      <c r="E2571">
        <v>149</v>
      </c>
      <c r="F2571">
        <v>218</v>
      </c>
      <c r="G2571">
        <v>0</v>
      </c>
      <c r="H2571">
        <v>5317</v>
      </c>
      <c r="I2571">
        <v>0</v>
      </c>
      <c r="J2571">
        <v>62</v>
      </c>
      <c r="K2571">
        <v>145</v>
      </c>
      <c r="L2571">
        <v>214</v>
      </c>
      <c r="M2571">
        <v>9.6875</v>
      </c>
      <c r="N2571">
        <f>IFERROR(VLOOKUP(A2571,vlookup_table!$A:$G,2,FALSE),"")</f>
        <v>2</v>
      </c>
      <c r="O2571">
        <f>IFERROR(VLOOKUP(A2571,vlookup_table!$A:$G,4,FALSE),"")</f>
        <v>0</v>
      </c>
      <c r="P2571" t="str">
        <f>IFERROR(VLOOKUP(A2571,vlookup_table!$A:$G,5,FALSE),"")</f>
        <v>U4</v>
      </c>
      <c r="Q2571">
        <f>IFERROR(VLOOKUP(A2571,vlookup_table!$A:$G,7,FALSE),"")</f>
        <v>20</v>
      </c>
      <c r="R2571">
        <f t="shared" si="160"/>
        <v>97</v>
      </c>
      <c r="S2571" t="str" cm="1">
        <f t="array" ref="S2571">IF(P2571="","",_xlfn.SWITCH(LEFT(P2571,1),"C","Ciudad","T","Pueblo","R","Rural","S","Suburbano","U","Urbano",""))</f>
        <v>Urbano</v>
      </c>
      <c r="T2571" t="str">
        <f t="shared" si="161"/>
        <v>F</v>
      </c>
      <c r="U2571" t="str">
        <f t="shared" si="162"/>
        <v>WI</v>
      </c>
      <c r="V2571" t="str">
        <f t="shared" si="163"/>
        <v>5317</v>
      </c>
    </row>
    <row r="2572" spans="1:22" x14ac:dyDescent="0.35">
      <c r="A2572">
        <v>99276</v>
      </c>
      <c r="B2572" t="s">
        <v>36</v>
      </c>
      <c r="C2572" t="s">
        <v>17</v>
      </c>
      <c r="D2572">
        <v>2941</v>
      </c>
      <c r="E2572">
        <v>654</v>
      </c>
      <c r="F2572">
        <v>879</v>
      </c>
      <c r="G2572">
        <v>71</v>
      </c>
      <c r="H2572">
        <v>33387</v>
      </c>
      <c r="I2572">
        <v>5</v>
      </c>
      <c r="J2572">
        <v>47</v>
      </c>
      <c r="K2572">
        <v>843</v>
      </c>
      <c r="L2572">
        <v>729</v>
      </c>
      <c r="M2572">
        <v>13.55555556</v>
      </c>
      <c r="N2572">
        <f>IFERROR(VLOOKUP(A2572,vlookup_table!$A:$G,2,FALSE),"")</f>
        <v>2</v>
      </c>
      <c r="O2572">
        <f>IFERROR(VLOOKUP(A2572,vlookup_table!$A:$G,4,FALSE),"")</f>
        <v>5801</v>
      </c>
      <c r="P2572" t="str">
        <f>IFERROR(VLOOKUP(A2572,vlookup_table!$A:$G,5,FALSE),"")</f>
        <v>S1</v>
      </c>
      <c r="Q2572">
        <f>IFERROR(VLOOKUP(A2572,vlookup_table!$A:$G,7,FALSE),"")</f>
        <v>15</v>
      </c>
      <c r="R2572">
        <f t="shared" si="160"/>
        <v>39</v>
      </c>
      <c r="S2572" t="str" cm="1">
        <f t="array" ref="S2572">IF(P2572="","",_xlfn.SWITCH(LEFT(P2572,1),"C","Ciudad","T","Pueblo","R","Rural","S","Suburbano","U","Urbano",""))</f>
        <v>Suburbano</v>
      </c>
      <c r="T2572" t="str">
        <f t="shared" si="161"/>
        <v>F</v>
      </c>
      <c r="U2572" t="str">
        <f t="shared" si="162"/>
        <v>MO</v>
      </c>
      <c r="V2572" t="str">
        <f t="shared" si="163"/>
        <v>33387</v>
      </c>
    </row>
    <row r="2573" spans="1:22" x14ac:dyDescent="0.35">
      <c r="A2573">
        <v>84582</v>
      </c>
      <c r="B2573" t="s">
        <v>56</v>
      </c>
      <c r="C2573" t="s">
        <v>17</v>
      </c>
      <c r="D2573">
        <v>973</v>
      </c>
      <c r="E2573">
        <v>468</v>
      </c>
      <c r="F2573">
        <v>542</v>
      </c>
      <c r="G2573">
        <v>0</v>
      </c>
      <c r="H2573">
        <v>17726</v>
      </c>
      <c r="I2573">
        <v>6</v>
      </c>
      <c r="J2573">
        <v>61</v>
      </c>
      <c r="K2573">
        <v>514</v>
      </c>
      <c r="L2573">
        <v>506</v>
      </c>
      <c r="M2573">
        <v>11.4</v>
      </c>
      <c r="N2573">
        <f>IFERROR(VLOOKUP(A2573,vlookup_table!$A:$G,2,FALSE),"")</f>
        <v>2</v>
      </c>
      <c r="O2573">
        <f>IFERROR(VLOOKUP(A2573,vlookup_table!$A:$G,4,FALSE),"")</f>
        <v>3512</v>
      </c>
      <c r="P2573" t="str">
        <f>IFERROR(VLOOKUP(A2573,vlookup_table!$A:$G,5,FALSE),"")</f>
        <v>C1</v>
      </c>
      <c r="Q2573">
        <f>IFERROR(VLOOKUP(A2573,vlookup_table!$A:$G,7,FALSE),"")</f>
        <v>25</v>
      </c>
      <c r="R2573">
        <f t="shared" si="160"/>
        <v>62</v>
      </c>
      <c r="S2573" t="str" cm="1">
        <f t="array" ref="S2573">IF(P2573="","",_xlfn.SWITCH(LEFT(P2573,1),"C","Ciudad","T","Pueblo","R","Rural","S","Suburbano","U","Urbano",""))</f>
        <v>Ciudad</v>
      </c>
      <c r="T2573" t="str">
        <f t="shared" si="161"/>
        <v>F</v>
      </c>
      <c r="U2573" t="str">
        <f t="shared" si="162"/>
        <v>MN</v>
      </c>
      <c r="V2573" t="str">
        <f t="shared" si="163"/>
        <v>17726</v>
      </c>
    </row>
    <row r="2574" spans="1:22" x14ac:dyDescent="0.35">
      <c r="A2574">
        <v>132339</v>
      </c>
      <c r="B2574" t="s">
        <v>48</v>
      </c>
      <c r="C2574" t="s">
        <v>14</v>
      </c>
      <c r="D2574">
        <v>779</v>
      </c>
      <c r="E2574">
        <v>260</v>
      </c>
      <c r="F2574">
        <v>328</v>
      </c>
      <c r="G2574">
        <v>3</v>
      </c>
      <c r="H2574">
        <v>16604</v>
      </c>
      <c r="I2574">
        <v>2</v>
      </c>
      <c r="J2574">
        <v>67</v>
      </c>
      <c r="K2574">
        <v>258</v>
      </c>
      <c r="L2574">
        <v>318</v>
      </c>
      <c r="M2574">
        <v>8.8888888890000004</v>
      </c>
      <c r="N2574">
        <f>IFERROR(VLOOKUP(A2574,vlookup_table!$A:$G,2,FALSE),"")</f>
        <v>0</v>
      </c>
      <c r="O2574">
        <f>IFERROR(VLOOKUP(A2574,vlookup_table!$A:$G,4,FALSE),"")</f>
        <v>3001</v>
      </c>
      <c r="P2574" t="str">
        <f>IFERROR(VLOOKUP(A2574,vlookup_table!$A:$G,5,FALSE),"")</f>
        <v>R2</v>
      </c>
      <c r="Q2574">
        <f>IFERROR(VLOOKUP(A2574,vlookup_table!$A:$G,7,FALSE),"")</f>
        <v>11</v>
      </c>
      <c r="R2574">
        <f t="shared" si="160"/>
        <v>67</v>
      </c>
      <c r="S2574" t="str" cm="1">
        <f t="array" ref="S2574">IF(P2574="","",_xlfn.SWITCH(LEFT(P2574,1),"C","Ciudad","T","Pueblo","R","Rural","S","Suburbano","U","Urbano",""))</f>
        <v>Rural</v>
      </c>
      <c r="T2574" t="str">
        <f t="shared" si="161"/>
        <v>M</v>
      </c>
      <c r="U2574" t="str">
        <f t="shared" si="162"/>
        <v>CO</v>
      </c>
      <c r="V2574" t="str">
        <f t="shared" si="163"/>
        <v>16604</v>
      </c>
    </row>
    <row r="2575" spans="1:22" x14ac:dyDescent="0.35">
      <c r="A2575">
        <v>12011</v>
      </c>
      <c r="B2575" t="s">
        <v>22</v>
      </c>
      <c r="C2575" t="s">
        <v>14</v>
      </c>
      <c r="D2575">
        <v>3514</v>
      </c>
      <c r="E2575">
        <v>691</v>
      </c>
      <c r="F2575">
        <v>795</v>
      </c>
      <c r="G2575">
        <v>98</v>
      </c>
      <c r="H2575">
        <v>28298</v>
      </c>
      <c r="I2575">
        <v>10</v>
      </c>
      <c r="J2575">
        <v>40</v>
      </c>
      <c r="K2575">
        <v>728</v>
      </c>
      <c r="L2575">
        <v>763</v>
      </c>
      <c r="M2575">
        <v>8.3529411769999999</v>
      </c>
      <c r="N2575">
        <f>IFERROR(VLOOKUP(A2575,vlookup_table!$A:$G,2,FALSE),"")</f>
        <v>1</v>
      </c>
      <c r="O2575">
        <f>IFERROR(VLOOKUP(A2575,vlookup_table!$A:$G,4,FALSE),"")</f>
        <v>2801</v>
      </c>
      <c r="P2575" t="str">
        <f>IFERROR(VLOOKUP(A2575,vlookup_table!$A:$G,5,FALSE),"")</f>
        <v>C3</v>
      </c>
      <c r="Q2575">
        <f>IFERROR(VLOOKUP(A2575,vlookup_table!$A:$G,7,FALSE),"")</f>
        <v>11</v>
      </c>
      <c r="R2575">
        <f t="shared" si="160"/>
        <v>69</v>
      </c>
      <c r="S2575" t="str" cm="1">
        <f t="array" ref="S2575">IF(P2575="","",_xlfn.SWITCH(LEFT(P2575,1),"C","Ciudad","T","Pueblo","R","Rural","S","Suburbano","U","Urbano",""))</f>
        <v>Ciudad</v>
      </c>
      <c r="T2575" t="str">
        <f t="shared" si="161"/>
        <v>M</v>
      </c>
      <c r="U2575" t="str">
        <f t="shared" si="162"/>
        <v>CA</v>
      </c>
      <c r="V2575" t="str">
        <f t="shared" si="163"/>
        <v>28298</v>
      </c>
    </row>
    <row r="2576" spans="1:22" x14ac:dyDescent="0.35">
      <c r="A2576">
        <v>117673</v>
      </c>
      <c r="B2576" t="s">
        <v>21</v>
      </c>
      <c r="C2576" t="s">
        <v>14</v>
      </c>
      <c r="D2576">
        <v>762</v>
      </c>
      <c r="E2576">
        <v>439</v>
      </c>
      <c r="F2576">
        <v>518</v>
      </c>
      <c r="G2576">
        <v>1</v>
      </c>
      <c r="H2576">
        <v>16107</v>
      </c>
      <c r="I2576">
        <v>4</v>
      </c>
      <c r="J2576">
        <v>67</v>
      </c>
      <c r="K2576">
        <v>475</v>
      </c>
      <c r="L2576">
        <v>481</v>
      </c>
      <c r="M2576">
        <v>9.7272727270000008</v>
      </c>
      <c r="N2576">
        <f>IFERROR(VLOOKUP(A2576,vlookup_table!$A:$G,2,FALSE),"")</f>
        <v>1</v>
      </c>
      <c r="O2576">
        <f>IFERROR(VLOOKUP(A2576,vlookup_table!$A:$G,4,FALSE),"")</f>
        <v>3801</v>
      </c>
      <c r="P2576" t="str">
        <f>IFERROR(VLOOKUP(A2576,vlookup_table!$A:$G,5,FALSE),"")</f>
        <v>T2</v>
      </c>
      <c r="Q2576">
        <f>IFERROR(VLOOKUP(A2576,vlookup_table!$A:$G,7,FALSE),"")</f>
        <v>15</v>
      </c>
      <c r="R2576">
        <f t="shared" si="160"/>
        <v>59</v>
      </c>
      <c r="S2576" t="str" cm="1">
        <f t="array" ref="S2576">IF(P2576="","",_xlfn.SWITCH(LEFT(P2576,1),"C","Ciudad","T","Pueblo","R","Rural","S","Suburbano","U","Urbano",""))</f>
        <v>Pueblo</v>
      </c>
      <c r="T2576" t="str">
        <f t="shared" si="161"/>
        <v>M</v>
      </c>
      <c r="U2576" t="str">
        <f t="shared" si="162"/>
        <v>TX</v>
      </c>
      <c r="V2576" t="str">
        <f t="shared" si="163"/>
        <v>16107</v>
      </c>
    </row>
    <row r="2577" spans="1:22" x14ac:dyDescent="0.35">
      <c r="A2577">
        <v>186170</v>
      </c>
      <c r="B2577" t="s">
        <v>21</v>
      </c>
      <c r="C2577" t="s">
        <v>14</v>
      </c>
      <c r="D2577">
        <v>591</v>
      </c>
      <c r="E2577">
        <v>292</v>
      </c>
      <c r="F2577">
        <v>377</v>
      </c>
      <c r="G2577">
        <v>0</v>
      </c>
      <c r="H2577">
        <v>12912</v>
      </c>
      <c r="I2577">
        <v>0</v>
      </c>
      <c r="J2577">
        <v>88</v>
      </c>
      <c r="K2577">
        <v>339</v>
      </c>
      <c r="L2577">
        <v>333</v>
      </c>
      <c r="M2577">
        <v>13.38888889</v>
      </c>
      <c r="N2577">
        <f>IFERROR(VLOOKUP(A2577,vlookup_table!$A:$G,2,FALSE),"")</f>
        <v>1</v>
      </c>
      <c r="O2577">
        <f>IFERROR(VLOOKUP(A2577,vlookup_table!$A:$G,4,FALSE),"")</f>
        <v>1801</v>
      </c>
      <c r="P2577" t="str">
        <f>IFERROR(VLOOKUP(A2577,vlookup_table!$A:$G,5,FALSE),"")</f>
        <v>R2</v>
      </c>
      <c r="Q2577">
        <f>IFERROR(VLOOKUP(A2577,vlookup_table!$A:$G,7,FALSE),"")</f>
        <v>17</v>
      </c>
      <c r="R2577">
        <f t="shared" si="160"/>
        <v>79</v>
      </c>
      <c r="S2577" t="str" cm="1">
        <f t="array" ref="S2577">IF(P2577="","",_xlfn.SWITCH(LEFT(P2577,1),"C","Ciudad","T","Pueblo","R","Rural","S","Suburbano","U","Urbano",""))</f>
        <v>Rural</v>
      </c>
      <c r="T2577" t="str">
        <f t="shared" si="161"/>
        <v>M</v>
      </c>
      <c r="U2577" t="str">
        <f t="shared" si="162"/>
        <v>TX</v>
      </c>
      <c r="V2577" t="str">
        <f t="shared" si="163"/>
        <v>12912</v>
      </c>
    </row>
    <row r="2578" spans="1:22" x14ac:dyDescent="0.35">
      <c r="A2578">
        <v>150186</v>
      </c>
      <c r="B2578" t="s">
        <v>22</v>
      </c>
      <c r="C2578" t="s">
        <v>17</v>
      </c>
      <c r="D2578">
        <v>2166</v>
      </c>
      <c r="E2578">
        <v>427</v>
      </c>
      <c r="F2578">
        <v>559</v>
      </c>
      <c r="G2578">
        <v>68</v>
      </c>
      <c r="H2578">
        <v>15653</v>
      </c>
      <c r="I2578">
        <v>15</v>
      </c>
      <c r="J2578">
        <v>54</v>
      </c>
      <c r="K2578">
        <v>515</v>
      </c>
      <c r="L2578">
        <v>471</v>
      </c>
      <c r="M2578">
        <v>14.33333333</v>
      </c>
      <c r="N2578">
        <f>IFERROR(VLOOKUP(A2578,vlookup_table!$A:$G,2,FALSE),"")</f>
        <v>28</v>
      </c>
      <c r="O2578">
        <f>IFERROR(VLOOKUP(A2578,vlookup_table!$A:$G,4,FALSE),"")</f>
        <v>0</v>
      </c>
      <c r="P2578" t="str">
        <f>IFERROR(VLOOKUP(A2578,vlookup_table!$A:$G,5,FALSE),"")</f>
        <v>S2</v>
      </c>
      <c r="Q2578">
        <f>IFERROR(VLOOKUP(A2578,vlookup_table!$A:$G,7,FALSE),"")</f>
        <v>10</v>
      </c>
      <c r="R2578">
        <f t="shared" si="160"/>
        <v>97</v>
      </c>
      <c r="S2578" t="str" cm="1">
        <f t="array" ref="S2578">IF(P2578="","",_xlfn.SWITCH(LEFT(P2578,1),"C","Ciudad","T","Pueblo","R","Rural","S","Suburbano","U","Urbano",""))</f>
        <v>Suburbano</v>
      </c>
      <c r="T2578" t="str">
        <f t="shared" si="161"/>
        <v>F</v>
      </c>
      <c r="U2578" t="str">
        <f t="shared" si="162"/>
        <v>CA</v>
      </c>
      <c r="V2578" t="str">
        <f t="shared" si="163"/>
        <v>15653</v>
      </c>
    </row>
    <row r="2579" spans="1:22" x14ac:dyDescent="0.35">
      <c r="A2579">
        <v>3638</v>
      </c>
      <c r="B2579" t="s">
        <v>29</v>
      </c>
      <c r="C2579" t="s">
        <v>17</v>
      </c>
      <c r="D2579">
        <v>951</v>
      </c>
      <c r="E2579">
        <v>411</v>
      </c>
      <c r="F2579">
        <v>623</v>
      </c>
      <c r="G2579">
        <v>1</v>
      </c>
      <c r="H2579">
        <v>20137</v>
      </c>
      <c r="I2579">
        <v>7</v>
      </c>
      <c r="J2579">
        <v>68</v>
      </c>
      <c r="K2579">
        <v>548</v>
      </c>
      <c r="L2579">
        <v>483</v>
      </c>
      <c r="M2579">
        <v>12.2</v>
      </c>
      <c r="N2579">
        <f>IFERROR(VLOOKUP(A2579,vlookup_table!$A:$G,2,FALSE),"")</f>
        <v>0</v>
      </c>
      <c r="O2579">
        <f>IFERROR(VLOOKUP(A2579,vlookup_table!$A:$G,4,FALSE),"")</f>
        <v>0</v>
      </c>
      <c r="P2579">
        <f>IFERROR(VLOOKUP(A2579,vlookup_table!$A:$G,5,FALSE),"")</f>
        <v>0</v>
      </c>
      <c r="Q2579">
        <f>IFERROR(VLOOKUP(A2579,vlookup_table!$A:$G,7,FALSE),"")</f>
        <v>15</v>
      </c>
      <c r="R2579">
        <f t="shared" si="160"/>
        <v>97</v>
      </c>
      <c r="S2579" t="str" cm="1">
        <f t="array" ref="S2579">IF(P2579="","",_xlfn.SWITCH(LEFT(P2579,1),"C","Ciudad","T","Pueblo","R","Rural","S","Suburbano","U","Urbano",""))</f>
        <v/>
      </c>
      <c r="T2579" t="str">
        <f t="shared" si="161"/>
        <v>F</v>
      </c>
      <c r="U2579" t="str">
        <f t="shared" si="162"/>
        <v>MI</v>
      </c>
      <c r="V2579" t="str">
        <f t="shared" si="163"/>
        <v>20137</v>
      </c>
    </row>
    <row r="2580" spans="1:22" x14ac:dyDescent="0.35">
      <c r="A2580">
        <v>160633</v>
      </c>
      <c r="B2580" t="s">
        <v>22</v>
      </c>
      <c r="C2580" t="s">
        <v>17</v>
      </c>
      <c r="D2580">
        <v>945</v>
      </c>
      <c r="E2580">
        <v>275</v>
      </c>
      <c r="F2580">
        <v>347</v>
      </c>
      <c r="G2580">
        <v>2</v>
      </c>
      <c r="H2580">
        <v>12089</v>
      </c>
      <c r="I2580">
        <v>4</v>
      </c>
      <c r="J2580">
        <v>65</v>
      </c>
      <c r="K2580">
        <v>324</v>
      </c>
      <c r="L2580">
        <v>317</v>
      </c>
      <c r="M2580">
        <v>13.33333333</v>
      </c>
      <c r="N2580">
        <f>IFERROR(VLOOKUP(A2580,vlookup_table!$A:$G,2,FALSE),"")</f>
        <v>0</v>
      </c>
      <c r="O2580">
        <f>IFERROR(VLOOKUP(A2580,vlookup_table!$A:$G,4,FALSE),"")</f>
        <v>4201</v>
      </c>
      <c r="P2580" t="str">
        <f>IFERROR(VLOOKUP(A2580,vlookup_table!$A:$G,5,FALSE),"")</f>
        <v>R2</v>
      </c>
      <c r="Q2580">
        <f>IFERROR(VLOOKUP(A2580,vlookup_table!$A:$G,7,FALSE),"")</f>
        <v>25</v>
      </c>
      <c r="R2580">
        <f t="shared" si="160"/>
        <v>55</v>
      </c>
      <c r="S2580" t="str" cm="1">
        <f t="array" ref="S2580">IF(P2580="","",_xlfn.SWITCH(LEFT(P2580,1),"C","Ciudad","T","Pueblo","R","Rural","S","Suburbano","U","Urbano",""))</f>
        <v>Rural</v>
      </c>
      <c r="T2580" t="str">
        <f t="shared" si="161"/>
        <v>F</v>
      </c>
      <c r="U2580" t="str">
        <f t="shared" si="162"/>
        <v>CA</v>
      </c>
      <c r="V2580" t="str">
        <f t="shared" si="163"/>
        <v>12089</v>
      </c>
    </row>
    <row r="2581" spans="1:22" x14ac:dyDescent="0.35">
      <c r="A2581">
        <v>161514</v>
      </c>
      <c r="B2581" t="s">
        <v>22</v>
      </c>
      <c r="C2581" t="s">
        <v>17</v>
      </c>
      <c r="D2581">
        <v>1408</v>
      </c>
      <c r="E2581">
        <v>390</v>
      </c>
      <c r="F2581">
        <v>508</v>
      </c>
      <c r="G2581">
        <v>16</v>
      </c>
      <c r="H2581">
        <v>17886</v>
      </c>
      <c r="I2581">
        <v>13</v>
      </c>
      <c r="J2581">
        <v>59</v>
      </c>
      <c r="K2581">
        <v>469</v>
      </c>
      <c r="L2581">
        <v>432</v>
      </c>
      <c r="M2581">
        <v>3.2857142860000002</v>
      </c>
      <c r="N2581">
        <f>IFERROR(VLOOKUP(A2581,vlookup_table!$A:$G,2,FALSE),"")</f>
        <v>0</v>
      </c>
      <c r="O2581">
        <f>IFERROR(VLOOKUP(A2581,vlookup_table!$A:$G,4,FALSE),"")</f>
        <v>1001</v>
      </c>
      <c r="P2581" t="str">
        <f>IFERROR(VLOOKUP(A2581,vlookup_table!$A:$G,5,FALSE),"")</f>
        <v>S1</v>
      </c>
      <c r="Q2581">
        <f>IFERROR(VLOOKUP(A2581,vlookup_table!$A:$G,7,FALSE),"")</f>
        <v>5</v>
      </c>
      <c r="R2581">
        <f t="shared" si="160"/>
        <v>87</v>
      </c>
      <c r="S2581" t="str" cm="1">
        <f t="array" ref="S2581">IF(P2581="","",_xlfn.SWITCH(LEFT(P2581,1),"C","Ciudad","T","Pueblo","R","Rural","S","Suburbano","U","Urbano",""))</f>
        <v>Suburbano</v>
      </c>
      <c r="T2581" t="str">
        <f t="shared" si="161"/>
        <v>F</v>
      </c>
      <c r="U2581" t="str">
        <f t="shared" si="162"/>
        <v>CA</v>
      </c>
      <c r="V2581" t="str">
        <f t="shared" si="163"/>
        <v>17886</v>
      </c>
    </row>
    <row r="2582" spans="1:22" x14ac:dyDescent="0.35">
      <c r="A2582">
        <v>110539</v>
      </c>
      <c r="B2582" t="s">
        <v>49</v>
      </c>
      <c r="C2582" t="s">
        <v>14</v>
      </c>
      <c r="D2582">
        <v>554</v>
      </c>
      <c r="E2582">
        <v>241</v>
      </c>
      <c r="F2582">
        <v>316</v>
      </c>
      <c r="G2582">
        <v>0</v>
      </c>
      <c r="H2582">
        <v>9759</v>
      </c>
      <c r="I2582">
        <v>0</v>
      </c>
      <c r="J2582">
        <v>86</v>
      </c>
      <c r="K2582">
        <v>281</v>
      </c>
      <c r="L2582">
        <v>288</v>
      </c>
      <c r="M2582">
        <v>10.375</v>
      </c>
      <c r="N2582">
        <f>IFERROR(VLOOKUP(A2582,vlookup_table!$A:$G,2,FALSE),"")</f>
        <v>2</v>
      </c>
      <c r="O2582">
        <f>IFERROR(VLOOKUP(A2582,vlookup_table!$A:$G,4,FALSE),"")</f>
        <v>4702</v>
      </c>
      <c r="P2582" t="str">
        <f>IFERROR(VLOOKUP(A2582,vlookup_table!$A:$G,5,FALSE),"")</f>
        <v>R2</v>
      </c>
      <c r="Q2582">
        <f>IFERROR(VLOOKUP(A2582,vlookup_table!$A:$G,7,FALSE),"")</f>
        <v>20</v>
      </c>
      <c r="R2582">
        <f t="shared" si="160"/>
        <v>50</v>
      </c>
      <c r="S2582" t="str" cm="1">
        <f t="array" ref="S2582">IF(P2582="","",_xlfn.SWITCH(LEFT(P2582,1),"C","Ciudad","T","Pueblo","R","Rural","S","Suburbano","U","Urbano",""))</f>
        <v>Rural</v>
      </c>
      <c r="T2582" t="str">
        <f t="shared" si="161"/>
        <v>M</v>
      </c>
      <c r="U2582" t="str">
        <f t="shared" si="162"/>
        <v>LA</v>
      </c>
      <c r="V2582" t="str">
        <f t="shared" si="163"/>
        <v>9759</v>
      </c>
    </row>
    <row r="2583" spans="1:22" x14ac:dyDescent="0.35">
      <c r="A2583">
        <v>77379</v>
      </c>
      <c r="B2583" t="s">
        <v>35</v>
      </c>
      <c r="D2583">
        <v>789</v>
      </c>
      <c r="E2583">
        <v>415</v>
      </c>
      <c r="F2583">
        <v>472</v>
      </c>
      <c r="G2583">
        <v>0</v>
      </c>
      <c r="H2583">
        <v>16332</v>
      </c>
      <c r="I2583">
        <v>0</v>
      </c>
      <c r="J2583">
        <v>88</v>
      </c>
      <c r="K2583">
        <v>427</v>
      </c>
      <c r="L2583">
        <v>465</v>
      </c>
      <c r="M2583">
        <v>17.5</v>
      </c>
      <c r="N2583">
        <f>IFERROR(VLOOKUP(A2583,vlookup_table!$A:$G,2,FALSE),"")</f>
        <v>0</v>
      </c>
      <c r="O2583">
        <f>IFERROR(VLOOKUP(A2583,vlookup_table!$A:$G,4,FALSE),"")</f>
        <v>0</v>
      </c>
      <c r="P2583" t="str">
        <f>IFERROR(VLOOKUP(A2583,vlookup_table!$A:$G,5,FALSE),"")</f>
        <v>T2</v>
      </c>
      <c r="Q2583">
        <f>IFERROR(VLOOKUP(A2583,vlookup_table!$A:$G,7,FALSE),"")</f>
        <v>20</v>
      </c>
      <c r="R2583">
        <f t="shared" si="160"/>
        <v>97</v>
      </c>
      <c r="S2583" t="str" cm="1">
        <f t="array" ref="S2583">IF(P2583="","",_xlfn.SWITCH(LEFT(P2583,1),"C","Ciudad","T","Pueblo","R","Rural","S","Suburbano","U","Urbano",""))</f>
        <v>Pueblo</v>
      </c>
      <c r="T2583" t="str">
        <f t="shared" si="161"/>
        <v/>
      </c>
      <c r="U2583" t="str">
        <f t="shared" si="162"/>
        <v>WI</v>
      </c>
      <c r="V2583" t="str">
        <f t="shared" si="163"/>
        <v>16332</v>
      </c>
    </row>
    <row r="2584" spans="1:22" x14ac:dyDescent="0.35">
      <c r="A2584">
        <v>176881</v>
      </c>
      <c r="B2584" t="s">
        <v>50</v>
      </c>
      <c r="C2584" t="s">
        <v>17</v>
      </c>
      <c r="D2584">
        <v>415</v>
      </c>
      <c r="E2584">
        <v>205</v>
      </c>
      <c r="F2584">
        <v>251</v>
      </c>
      <c r="G2584">
        <v>0</v>
      </c>
      <c r="H2584">
        <v>8605</v>
      </c>
      <c r="I2584">
        <v>2</v>
      </c>
      <c r="J2584">
        <v>49</v>
      </c>
      <c r="K2584">
        <v>221</v>
      </c>
      <c r="L2584">
        <v>239</v>
      </c>
      <c r="M2584">
        <v>5.4285714289999998</v>
      </c>
      <c r="N2584">
        <f>IFERROR(VLOOKUP(A2584,vlookup_table!$A:$G,2,FALSE),"")</f>
        <v>2</v>
      </c>
      <c r="O2584">
        <f>IFERROR(VLOOKUP(A2584,vlookup_table!$A:$G,4,FALSE),"")</f>
        <v>3001</v>
      </c>
      <c r="P2584" t="str">
        <f>IFERROR(VLOOKUP(A2584,vlookup_table!$A:$G,5,FALSE),"")</f>
        <v>T2</v>
      </c>
      <c r="Q2584">
        <f>IFERROR(VLOOKUP(A2584,vlookup_table!$A:$G,7,FALSE),"")</f>
        <v>5</v>
      </c>
      <c r="R2584">
        <f t="shared" si="160"/>
        <v>67</v>
      </c>
      <c r="S2584" t="str" cm="1">
        <f t="array" ref="S2584">IF(P2584="","",_xlfn.SWITCH(LEFT(P2584,1),"C","Ciudad","T","Pueblo","R","Rural","S","Suburbano","U","Urbano",""))</f>
        <v>Pueblo</v>
      </c>
      <c r="T2584" t="str">
        <f t="shared" si="161"/>
        <v>F</v>
      </c>
      <c r="U2584" t="str">
        <f t="shared" si="162"/>
        <v>OR</v>
      </c>
      <c r="V2584" t="str">
        <f t="shared" si="163"/>
        <v>8605</v>
      </c>
    </row>
    <row r="2585" spans="1:22" x14ac:dyDescent="0.35">
      <c r="A2585">
        <v>115833</v>
      </c>
      <c r="B2585" t="s">
        <v>21</v>
      </c>
      <c r="C2585" t="s">
        <v>14</v>
      </c>
      <c r="D2585">
        <v>818</v>
      </c>
      <c r="E2585">
        <v>385</v>
      </c>
      <c r="F2585">
        <v>485</v>
      </c>
      <c r="G2585">
        <v>0</v>
      </c>
      <c r="H2585">
        <v>18461</v>
      </c>
      <c r="I2585">
        <v>3</v>
      </c>
      <c r="J2585">
        <v>60</v>
      </c>
      <c r="K2585">
        <v>453</v>
      </c>
      <c r="L2585">
        <v>451</v>
      </c>
      <c r="M2585">
        <v>4.692307692</v>
      </c>
      <c r="N2585">
        <f>IFERROR(VLOOKUP(A2585,vlookup_table!$A:$G,2,FALSE),"")</f>
        <v>1</v>
      </c>
      <c r="O2585">
        <f>IFERROR(VLOOKUP(A2585,vlookup_table!$A:$G,4,FALSE),"")</f>
        <v>3106</v>
      </c>
      <c r="P2585" t="str">
        <f>IFERROR(VLOOKUP(A2585,vlookup_table!$A:$G,5,FALSE),"")</f>
        <v>U2</v>
      </c>
      <c r="Q2585">
        <f>IFERROR(VLOOKUP(A2585,vlookup_table!$A:$G,7,FALSE),"")</f>
        <v>5</v>
      </c>
      <c r="R2585">
        <f t="shared" si="160"/>
        <v>66</v>
      </c>
      <c r="S2585" t="str" cm="1">
        <f t="array" ref="S2585">IF(P2585="","",_xlfn.SWITCH(LEFT(P2585,1),"C","Ciudad","T","Pueblo","R","Rural","S","Suburbano","U","Urbano",""))</f>
        <v>Urbano</v>
      </c>
      <c r="T2585" t="str">
        <f t="shared" si="161"/>
        <v>M</v>
      </c>
      <c r="U2585" t="str">
        <f t="shared" si="162"/>
        <v>TX</v>
      </c>
      <c r="V2585" t="str">
        <f t="shared" si="163"/>
        <v>18461</v>
      </c>
    </row>
    <row r="2586" spans="1:22" x14ac:dyDescent="0.35">
      <c r="A2586">
        <v>65421</v>
      </c>
      <c r="B2586" t="s">
        <v>29</v>
      </c>
      <c r="C2586" t="s">
        <v>17</v>
      </c>
      <c r="D2586">
        <v>727</v>
      </c>
      <c r="E2586">
        <v>418</v>
      </c>
      <c r="F2586">
        <v>481</v>
      </c>
      <c r="G2586">
        <v>0</v>
      </c>
      <c r="H2586">
        <v>15227</v>
      </c>
      <c r="I2586">
        <v>4</v>
      </c>
      <c r="J2586">
        <v>85</v>
      </c>
      <c r="K2586">
        <v>466</v>
      </c>
      <c r="L2586">
        <v>425</v>
      </c>
      <c r="M2586">
        <v>14.2</v>
      </c>
      <c r="N2586">
        <f>IFERROR(VLOOKUP(A2586,vlookup_table!$A:$G,2,FALSE),"")</f>
        <v>2</v>
      </c>
      <c r="O2586">
        <f>IFERROR(VLOOKUP(A2586,vlookup_table!$A:$G,4,FALSE),"")</f>
        <v>6301</v>
      </c>
      <c r="P2586" t="str">
        <f>IFERROR(VLOOKUP(A2586,vlookup_table!$A:$G,5,FALSE),"")</f>
        <v>S2</v>
      </c>
      <c r="Q2586">
        <f>IFERROR(VLOOKUP(A2586,vlookup_table!$A:$G,7,FALSE),"")</f>
        <v>15</v>
      </c>
      <c r="R2586">
        <f t="shared" si="160"/>
        <v>34</v>
      </c>
      <c r="S2586" t="str" cm="1">
        <f t="array" ref="S2586">IF(P2586="","",_xlfn.SWITCH(LEFT(P2586,1),"C","Ciudad","T","Pueblo","R","Rural","S","Suburbano","U","Urbano",""))</f>
        <v>Suburbano</v>
      </c>
      <c r="T2586" t="str">
        <f t="shared" si="161"/>
        <v>F</v>
      </c>
      <c r="U2586" t="str">
        <f t="shared" si="162"/>
        <v>MI</v>
      </c>
      <c r="V2586" t="str">
        <f t="shared" si="163"/>
        <v>15227</v>
      </c>
    </row>
    <row r="2587" spans="1:22" x14ac:dyDescent="0.35">
      <c r="A2587">
        <v>132157</v>
      </c>
      <c r="B2587" t="s">
        <v>48</v>
      </c>
      <c r="C2587" t="s">
        <v>17</v>
      </c>
      <c r="D2587">
        <v>1070</v>
      </c>
      <c r="E2587">
        <v>271</v>
      </c>
      <c r="F2587">
        <v>394</v>
      </c>
      <c r="G2587">
        <v>2</v>
      </c>
      <c r="H2587">
        <v>13186</v>
      </c>
      <c r="I2587">
        <v>3</v>
      </c>
      <c r="J2587">
        <v>36</v>
      </c>
      <c r="K2587">
        <v>388</v>
      </c>
      <c r="L2587">
        <v>330</v>
      </c>
      <c r="M2587">
        <v>13.57142857</v>
      </c>
      <c r="N2587">
        <f>IFERROR(VLOOKUP(A2587,vlookup_table!$A:$G,2,FALSE),"")</f>
        <v>0</v>
      </c>
      <c r="O2587">
        <f>IFERROR(VLOOKUP(A2587,vlookup_table!$A:$G,4,FALSE),"")</f>
        <v>4201</v>
      </c>
      <c r="P2587" t="str">
        <f>IFERROR(VLOOKUP(A2587,vlookup_table!$A:$G,5,FALSE),"")</f>
        <v>T2</v>
      </c>
      <c r="Q2587">
        <f>IFERROR(VLOOKUP(A2587,vlookup_table!$A:$G,7,FALSE),"")</f>
        <v>25</v>
      </c>
      <c r="R2587">
        <f t="shared" si="160"/>
        <v>55</v>
      </c>
      <c r="S2587" t="str" cm="1">
        <f t="array" ref="S2587">IF(P2587="","",_xlfn.SWITCH(LEFT(P2587,1),"C","Ciudad","T","Pueblo","R","Rural","S","Suburbano","U","Urbano",""))</f>
        <v>Pueblo</v>
      </c>
      <c r="T2587" t="str">
        <f t="shared" si="161"/>
        <v>F</v>
      </c>
      <c r="U2587" t="str">
        <f t="shared" si="162"/>
        <v>CO</v>
      </c>
      <c r="V2587" t="str">
        <f t="shared" si="163"/>
        <v>13186</v>
      </c>
    </row>
    <row r="2588" spans="1:22" x14ac:dyDescent="0.35">
      <c r="A2588">
        <v>36576</v>
      </c>
      <c r="B2588" t="s">
        <v>13</v>
      </c>
      <c r="D2588">
        <v>1342</v>
      </c>
      <c r="E2588">
        <v>472</v>
      </c>
      <c r="F2588">
        <v>607</v>
      </c>
      <c r="G2588">
        <v>7</v>
      </c>
      <c r="H2588">
        <v>23348</v>
      </c>
      <c r="I2588">
        <v>28</v>
      </c>
      <c r="J2588">
        <v>30</v>
      </c>
      <c r="K2588">
        <v>543</v>
      </c>
      <c r="L2588">
        <v>551</v>
      </c>
      <c r="M2588">
        <v>4.5208333329999997</v>
      </c>
      <c r="N2588">
        <f>IFERROR(VLOOKUP(A2588,vlookup_table!$A:$G,2,FALSE),"")</f>
        <v>0</v>
      </c>
      <c r="O2588">
        <f>IFERROR(VLOOKUP(A2588,vlookup_table!$A:$G,4,FALSE),"")</f>
        <v>0</v>
      </c>
      <c r="P2588" t="str">
        <f>IFERROR(VLOOKUP(A2588,vlookup_table!$A:$G,5,FALSE),"")</f>
        <v>S1</v>
      </c>
      <c r="Q2588">
        <f>IFERROR(VLOOKUP(A2588,vlookup_table!$A:$G,7,FALSE),"")</f>
        <v>5</v>
      </c>
      <c r="R2588">
        <f t="shared" si="160"/>
        <v>97</v>
      </c>
      <c r="S2588" t="str" cm="1">
        <f t="array" ref="S2588">IF(P2588="","",_xlfn.SWITCH(LEFT(P2588,1),"C","Ciudad","T","Pueblo","R","Rural","S","Suburbano","U","Urbano",""))</f>
        <v>Suburbano</v>
      </c>
      <c r="T2588" t="str">
        <f t="shared" si="161"/>
        <v/>
      </c>
      <c r="U2588" t="str">
        <f t="shared" si="162"/>
        <v>FL</v>
      </c>
      <c r="V2588" t="str">
        <f t="shared" si="163"/>
        <v>23348</v>
      </c>
    </row>
    <row r="2589" spans="1:22" x14ac:dyDescent="0.35">
      <c r="A2589">
        <v>157739</v>
      </c>
      <c r="B2589" t="s">
        <v>22</v>
      </c>
      <c r="C2589" t="s">
        <v>14</v>
      </c>
      <c r="D2589">
        <v>2278</v>
      </c>
      <c r="E2589">
        <v>370</v>
      </c>
      <c r="F2589">
        <v>508</v>
      </c>
      <c r="G2589">
        <v>66</v>
      </c>
      <c r="H2589">
        <v>18777</v>
      </c>
      <c r="I2589">
        <v>15</v>
      </c>
      <c r="J2589">
        <v>49</v>
      </c>
      <c r="K2589">
        <v>424</v>
      </c>
      <c r="L2589">
        <v>462</v>
      </c>
      <c r="M2589">
        <v>9.625</v>
      </c>
      <c r="N2589">
        <f>IFERROR(VLOOKUP(A2589,vlookup_table!$A:$G,2,FALSE),"")</f>
        <v>1</v>
      </c>
      <c r="O2589">
        <f>IFERROR(VLOOKUP(A2589,vlookup_table!$A:$G,4,FALSE),"")</f>
        <v>2705</v>
      </c>
      <c r="P2589" t="str">
        <f>IFERROR(VLOOKUP(A2589,vlookup_table!$A:$G,5,FALSE),"")</f>
        <v>S1</v>
      </c>
      <c r="Q2589">
        <f>IFERROR(VLOOKUP(A2589,vlookup_table!$A:$G,7,FALSE),"")</f>
        <v>14</v>
      </c>
      <c r="R2589">
        <f t="shared" si="160"/>
        <v>70</v>
      </c>
      <c r="S2589" t="str" cm="1">
        <f t="array" ref="S2589">IF(P2589="","",_xlfn.SWITCH(LEFT(P2589,1),"C","Ciudad","T","Pueblo","R","Rural","S","Suburbano","U","Urbano",""))</f>
        <v>Suburbano</v>
      </c>
      <c r="T2589" t="str">
        <f t="shared" si="161"/>
        <v>M</v>
      </c>
      <c r="U2589" t="str">
        <f t="shared" si="162"/>
        <v>CA</v>
      </c>
      <c r="V2589" t="str">
        <f t="shared" si="163"/>
        <v>18777</v>
      </c>
    </row>
    <row r="2590" spans="1:22" x14ac:dyDescent="0.35">
      <c r="A2590">
        <v>157660</v>
      </c>
      <c r="B2590" t="s">
        <v>22</v>
      </c>
      <c r="C2590" t="s">
        <v>17</v>
      </c>
      <c r="D2590">
        <v>5811</v>
      </c>
      <c r="E2590">
        <v>1040</v>
      </c>
      <c r="F2590">
        <v>1078</v>
      </c>
      <c r="G2590">
        <v>99</v>
      </c>
      <c r="H2590">
        <v>61440</v>
      </c>
      <c r="I2590">
        <v>7</v>
      </c>
      <c r="J2590">
        <v>47</v>
      </c>
      <c r="K2590">
        <v>1179</v>
      </c>
      <c r="L2590">
        <v>966</v>
      </c>
      <c r="M2590">
        <v>16.5</v>
      </c>
      <c r="N2590">
        <f>IFERROR(VLOOKUP(A2590,vlookup_table!$A:$G,2,FALSE),"")</f>
        <v>0</v>
      </c>
      <c r="O2590">
        <f>IFERROR(VLOOKUP(A2590,vlookup_table!$A:$G,4,FALSE),"")</f>
        <v>3201</v>
      </c>
      <c r="P2590" t="str">
        <f>IFERROR(VLOOKUP(A2590,vlookup_table!$A:$G,5,FALSE),"")</f>
        <v>C1</v>
      </c>
      <c r="Q2590">
        <f>IFERROR(VLOOKUP(A2590,vlookup_table!$A:$G,7,FALSE),"")</f>
        <v>20</v>
      </c>
      <c r="R2590">
        <f t="shared" si="160"/>
        <v>65</v>
      </c>
      <c r="S2590" t="str" cm="1">
        <f t="array" ref="S2590">IF(P2590="","",_xlfn.SWITCH(LEFT(P2590,1),"C","Ciudad","T","Pueblo","R","Rural","S","Suburbano","U","Urbano",""))</f>
        <v>Ciudad</v>
      </c>
      <c r="T2590" t="str">
        <f t="shared" si="161"/>
        <v>F</v>
      </c>
      <c r="U2590" t="str">
        <f t="shared" si="162"/>
        <v>CA</v>
      </c>
      <c r="V2590" t="str">
        <f t="shared" si="163"/>
        <v>61440</v>
      </c>
    </row>
    <row r="2591" spans="1:22" x14ac:dyDescent="0.35">
      <c r="A2591">
        <v>34681</v>
      </c>
      <c r="B2591" t="s">
        <v>13</v>
      </c>
      <c r="C2591" t="s">
        <v>17</v>
      </c>
      <c r="D2591">
        <v>1145</v>
      </c>
      <c r="E2591">
        <v>498</v>
      </c>
      <c r="F2591">
        <v>561</v>
      </c>
      <c r="G2591">
        <v>14</v>
      </c>
      <c r="H2591">
        <v>21059</v>
      </c>
      <c r="I2591">
        <v>9</v>
      </c>
      <c r="J2591">
        <v>27</v>
      </c>
      <c r="K2591">
        <v>516</v>
      </c>
      <c r="L2591">
        <v>536</v>
      </c>
      <c r="M2591">
        <v>12.222222220000001</v>
      </c>
      <c r="N2591">
        <f>IFERROR(VLOOKUP(A2591,vlookup_table!$A:$G,2,FALSE),"")</f>
        <v>0</v>
      </c>
      <c r="O2591">
        <f>IFERROR(VLOOKUP(A2591,vlookup_table!$A:$G,4,FALSE),"")</f>
        <v>6108</v>
      </c>
      <c r="P2591" t="str">
        <f>IFERROR(VLOOKUP(A2591,vlookup_table!$A:$G,5,FALSE),"")</f>
        <v>S1</v>
      </c>
      <c r="Q2591">
        <f>IFERROR(VLOOKUP(A2591,vlookup_table!$A:$G,7,FALSE),"")</f>
        <v>21</v>
      </c>
      <c r="R2591">
        <f t="shared" si="160"/>
        <v>36</v>
      </c>
      <c r="S2591" t="str" cm="1">
        <f t="array" ref="S2591">IF(P2591="","",_xlfn.SWITCH(LEFT(P2591,1),"C","Ciudad","T","Pueblo","R","Rural","S","Suburbano","U","Urbano",""))</f>
        <v>Suburbano</v>
      </c>
      <c r="T2591" t="str">
        <f t="shared" si="161"/>
        <v>F</v>
      </c>
      <c r="U2591" t="str">
        <f t="shared" si="162"/>
        <v>FL</v>
      </c>
      <c r="V2591" t="str">
        <f t="shared" si="163"/>
        <v>21059</v>
      </c>
    </row>
    <row r="2592" spans="1:22" x14ac:dyDescent="0.35">
      <c r="A2592">
        <v>72139</v>
      </c>
      <c r="B2592" t="s">
        <v>29</v>
      </c>
      <c r="C2592" t="s">
        <v>17</v>
      </c>
      <c r="D2592">
        <v>486</v>
      </c>
      <c r="E2592">
        <v>293</v>
      </c>
      <c r="F2592">
        <v>343</v>
      </c>
      <c r="G2592">
        <v>0</v>
      </c>
      <c r="H2592">
        <v>10516</v>
      </c>
      <c r="I2592">
        <v>1</v>
      </c>
      <c r="J2592">
        <v>89</v>
      </c>
      <c r="K2592">
        <v>309</v>
      </c>
      <c r="L2592">
        <v>324</v>
      </c>
      <c r="M2592">
        <v>8.2941176470000002</v>
      </c>
      <c r="N2592">
        <f>IFERROR(VLOOKUP(A2592,vlookup_table!$A:$G,2,FALSE),"")</f>
        <v>0</v>
      </c>
      <c r="O2592">
        <f>IFERROR(VLOOKUP(A2592,vlookup_table!$A:$G,4,FALSE),"")</f>
        <v>3811</v>
      </c>
      <c r="P2592" t="str">
        <f>IFERROR(VLOOKUP(A2592,vlookup_table!$A:$G,5,FALSE),"")</f>
        <v>R2</v>
      </c>
      <c r="Q2592">
        <f>IFERROR(VLOOKUP(A2592,vlookup_table!$A:$G,7,FALSE),"")</f>
        <v>10</v>
      </c>
      <c r="R2592">
        <f t="shared" si="160"/>
        <v>59</v>
      </c>
      <c r="S2592" t="str" cm="1">
        <f t="array" ref="S2592">IF(P2592="","",_xlfn.SWITCH(LEFT(P2592,1),"C","Ciudad","T","Pueblo","R","Rural","S","Suburbano","U","Urbano",""))</f>
        <v>Rural</v>
      </c>
      <c r="T2592" t="str">
        <f t="shared" si="161"/>
        <v>F</v>
      </c>
      <c r="U2592" t="str">
        <f t="shared" si="162"/>
        <v>MI</v>
      </c>
      <c r="V2592" t="str">
        <f t="shared" si="163"/>
        <v>10516</v>
      </c>
    </row>
    <row r="2593" spans="1:22" x14ac:dyDescent="0.35">
      <c r="A2593">
        <v>47525</v>
      </c>
      <c r="B2593" t="s">
        <v>43</v>
      </c>
      <c r="C2593" t="s">
        <v>27</v>
      </c>
      <c r="D2593">
        <v>349</v>
      </c>
      <c r="E2593">
        <v>161</v>
      </c>
      <c r="F2593">
        <v>231</v>
      </c>
      <c r="G2593">
        <v>0</v>
      </c>
      <c r="H2593">
        <v>6934</v>
      </c>
      <c r="I2593">
        <v>0</v>
      </c>
      <c r="J2593">
        <v>95</v>
      </c>
      <c r="K2593">
        <v>192</v>
      </c>
      <c r="L2593">
        <v>195</v>
      </c>
      <c r="M2593">
        <v>14</v>
      </c>
      <c r="N2593">
        <f>IFERROR(VLOOKUP(A2593,vlookup_table!$A:$G,2,FALSE),"")</f>
        <v>1</v>
      </c>
      <c r="O2593">
        <f>IFERROR(VLOOKUP(A2593,vlookup_table!$A:$G,4,FALSE),"")</f>
        <v>3601</v>
      </c>
      <c r="P2593" t="str">
        <f>IFERROR(VLOOKUP(A2593,vlookup_table!$A:$G,5,FALSE),"")</f>
        <v>C3</v>
      </c>
      <c r="Q2593">
        <f>IFERROR(VLOOKUP(A2593,vlookup_table!$A:$G,7,FALSE),"")</f>
        <v>20</v>
      </c>
      <c r="R2593">
        <f t="shared" si="160"/>
        <v>61</v>
      </c>
      <c r="S2593" t="str" cm="1">
        <f t="array" ref="S2593">IF(P2593="","",_xlfn.SWITCH(LEFT(P2593,1),"C","Ciudad","T","Pueblo","R","Rural","S","Suburbano","U","Urbano",""))</f>
        <v>Ciudad</v>
      </c>
      <c r="T2593" t="str">
        <f t="shared" si="161"/>
        <v>M</v>
      </c>
      <c r="U2593" t="str">
        <f t="shared" si="162"/>
        <v>AL</v>
      </c>
      <c r="V2593" t="str">
        <f t="shared" si="163"/>
        <v>6934</v>
      </c>
    </row>
    <row r="2594" spans="1:22" x14ac:dyDescent="0.35">
      <c r="A2594">
        <v>51467</v>
      </c>
      <c r="B2594" t="s">
        <v>68</v>
      </c>
      <c r="C2594" t="s">
        <v>17</v>
      </c>
      <c r="D2594">
        <v>359</v>
      </c>
      <c r="E2594">
        <v>162</v>
      </c>
      <c r="F2594">
        <v>236</v>
      </c>
      <c r="G2594">
        <v>2</v>
      </c>
      <c r="H2594">
        <v>8321</v>
      </c>
      <c r="I2594">
        <v>1</v>
      </c>
      <c r="J2594">
        <v>61</v>
      </c>
      <c r="K2594">
        <v>189</v>
      </c>
      <c r="L2594">
        <v>211</v>
      </c>
      <c r="M2594">
        <v>8.6</v>
      </c>
      <c r="N2594">
        <f>IFERROR(VLOOKUP(A2594,vlookup_table!$A:$G,2,FALSE),"")</f>
        <v>0</v>
      </c>
      <c r="O2594">
        <f>IFERROR(VLOOKUP(A2594,vlookup_table!$A:$G,4,FALSE),"")</f>
        <v>0</v>
      </c>
      <c r="P2594" t="str">
        <f>IFERROR(VLOOKUP(A2594,vlookup_table!$A:$G,5,FALSE),"")</f>
        <v>C3</v>
      </c>
      <c r="Q2594">
        <f>IFERROR(VLOOKUP(A2594,vlookup_table!$A:$G,7,FALSE),"")</f>
        <v>11</v>
      </c>
      <c r="R2594">
        <f t="shared" si="160"/>
        <v>97</v>
      </c>
      <c r="S2594" t="str" cm="1">
        <f t="array" ref="S2594">IF(P2594="","",_xlfn.SWITCH(LEFT(P2594,1),"C","Ciudad","T","Pueblo","R","Rural","S","Suburbano","U","Urbano",""))</f>
        <v>Ciudad</v>
      </c>
      <c r="T2594" t="str">
        <f t="shared" si="161"/>
        <v>F</v>
      </c>
      <c r="U2594" t="str">
        <f t="shared" si="162"/>
        <v>Tennessee</v>
      </c>
      <c r="V2594" t="str">
        <f t="shared" si="163"/>
        <v>8321</v>
      </c>
    </row>
    <row r="2595" spans="1:22" x14ac:dyDescent="0.35">
      <c r="A2595">
        <v>34800</v>
      </c>
      <c r="B2595" t="s">
        <v>13</v>
      </c>
      <c r="C2595" t="s">
        <v>17</v>
      </c>
      <c r="D2595">
        <v>756</v>
      </c>
      <c r="E2595">
        <v>305</v>
      </c>
      <c r="F2595">
        <v>354</v>
      </c>
      <c r="G2595">
        <v>0</v>
      </c>
      <c r="H2595">
        <v>12909</v>
      </c>
      <c r="I2595">
        <v>7</v>
      </c>
      <c r="J2595">
        <v>12</v>
      </c>
      <c r="K2595">
        <v>321</v>
      </c>
      <c r="L2595">
        <v>333</v>
      </c>
      <c r="M2595">
        <v>13.46153846</v>
      </c>
      <c r="N2595">
        <f>IFERROR(VLOOKUP(A2595,vlookup_table!$A:$G,2,FALSE),"")</f>
        <v>28</v>
      </c>
      <c r="O2595">
        <f>IFERROR(VLOOKUP(A2595,vlookup_table!$A:$G,4,FALSE),"")</f>
        <v>2801</v>
      </c>
      <c r="P2595" t="str">
        <f>IFERROR(VLOOKUP(A2595,vlookup_table!$A:$G,5,FALSE),"")</f>
        <v>C2</v>
      </c>
      <c r="Q2595">
        <f>IFERROR(VLOOKUP(A2595,vlookup_table!$A:$G,7,FALSE),"")</f>
        <v>10</v>
      </c>
      <c r="R2595">
        <f t="shared" si="160"/>
        <v>69</v>
      </c>
      <c r="S2595" t="str" cm="1">
        <f t="array" ref="S2595">IF(P2595="","",_xlfn.SWITCH(LEFT(P2595,1),"C","Ciudad","T","Pueblo","R","Rural","S","Suburbano","U","Urbano",""))</f>
        <v>Ciudad</v>
      </c>
      <c r="T2595" t="str">
        <f t="shared" si="161"/>
        <v>F</v>
      </c>
      <c r="U2595" t="str">
        <f t="shared" si="162"/>
        <v>FL</v>
      </c>
      <c r="V2595" t="str">
        <f t="shared" si="163"/>
        <v>12909</v>
      </c>
    </row>
    <row r="2596" spans="1:22" x14ac:dyDescent="0.35">
      <c r="A2596">
        <v>186809</v>
      </c>
      <c r="B2596" t="s">
        <v>22</v>
      </c>
      <c r="C2596" t="s">
        <v>17</v>
      </c>
      <c r="D2596">
        <v>2443</v>
      </c>
      <c r="E2596">
        <v>423</v>
      </c>
      <c r="F2596">
        <v>580</v>
      </c>
      <c r="G2596">
        <v>72</v>
      </c>
      <c r="H2596">
        <v>21089</v>
      </c>
      <c r="I2596">
        <v>5</v>
      </c>
      <c r="J2596">
        <v>51</v>
      </c>
      <c r="K2596">
        <v>502</v>
      </c>
      <c r="L2596">
        <v>506</v>
      </c>
      <c r="M2596">
        <v>12.5</v>
      </c>
      <c r="N2596">
        <f>IFERROR(VLOOKUP(A2596,vlookup_table!$A:$G,2,FALSE),"")</f>
        <v>2</v>
      </c>
      <c r="O2596">
        <f>IFERROR(VLOOKUP(A2596,vlookup_table!$A:$G,4,FALSE),"")</f>
        <v>3201</v>
      </c>
      <c r="P2596" t="str">
        <f>IFERROR(VLOOKUP(A2596,vlookup_table!$A:$G,5,FALSE),"")</f>
        <v>S1</v>
      </c>
      <c r="Q2596">
        <f>IFERROR(VLOOKUP(A2596,vlookup_table!$A:$G,7,FALSE),"")</f>
        <v>15</v>
      </c>
      <c r="R2596">
        <f t="shared" si="160"/>
        <v>65</v>
      </c>
      <c r="S2596" t="str" cm="1">
        <f t="array" ref="S2596">IF(P2596="","",_xlfn.SWITCH(LEFT(P2596,1),"C","Ciudad","T","Pueblo","R","Rural","S","Suburbano","U","Urbano",""))</f>
        <v>Suburbano</v>
      </c>
      <c r="T2596" t="str">
        <f t="shared" si="161"/>
        <v>F</v>
      </c>
      <c r="U2596" t="str">
        <f t="shared" si="162"/>
        <v>CA</v>
      </c>
      <c r="V2596" t="str">
        <f t="shared" si="163"/>
        <v>21089</v>
      </c>
    </row>
    <row r="2597" spans="1:22" x14ac:dyDescent="0.35">
      <c r="A2597">
        <v>3118</v>
      </c>
      <c r="B2597" t="s">
        <v>54</v>
      </c>
      <c r="C2597" t="s">
        <v>17</v>
      </c>
      <c r="D2597">
        <v>871</v>
      </c>
      <c r="E2597">
        <v>383</v>
      </c>
      <c r="F2597">
        <v>386</v>
      </c>
      <c r="G2597">
        <v>0</v>
      </c>
      <c r="H2597">
        <v>15366</v>
      </c>
      <c r="I2597">
        <v>5</v>
      </c>
      <c r="J2597">
        <v>37</v>
      </c>
      <c r="K2597">
        <v>403</v>
      </c>
      <c r="L2597">
        <v>380</v>
      </c>
      <c r="M2597">
        <v>13.66666667</v>
      </c>
      <c r="N2597">
        <f>IFERROR(VLOOKUP(A2597,vlookup_table!$A:$G,2,FALSE),"")</f>
        <v>28</v>
      </c>
      <c r="O2597">
        <f>IFERROR(VLOOKUP(A2597,vlookup_table!$A:$G,4,FALSE),"")</f>
        <v>6201</v>
      </c>
      <c r="P2597" t="str">
        <f>IFERROR(VLOOKUP(A2597,vlookup_table!$A:$G,5,FALSE),"")</f>
        <v>S1</v>
      </c>
      <c r="Q2597">
        <f>IFERROR(VLOOKUP(A2597,vlookup_table!$A:$G,7,FALSE),"")</f>
        <v>10</v>
      </c>
      <c r="R2597">
        <f t="shared" si="160"/>
        <v>35</v>
      </c>
      <c r="S2597" t="str" cm="1">
        <f t="array" ref="S2597">IF(P2597="","",_xlfn.SWITCH(LEFT(P2597,1),"C","Ciudad","T","Pueblo","R","Rural","S","Suburbano","U","Urbano",""))</f>
        <v>Suburbano</v>
      </c>
      <c r="T2597" t="str">
        <f t="shared" si="161"/>
        <v>F</v>
      </c>
      <c r="U2597" t="str">
        <f t="shared" si="162"/>
        <v>NM</v>
      </c>
      <c r="V2597" t="str">
        <f t="shared" si="163"/>
        <v>15366</v>
      </c>
    </row>
    <row r="2598" spans="1:22" x14ac:dyDescent="0.35">
      <c r="A2598">
        <v>120972</v>
      </c>
      <c r="B2598" t="s">
        <v>21</v>
      </c>
      <c r="C2598" t="s">
        <v>17</v>
      </c>
      <c r="D2598">
        <v>280</v>
      </c>
      <c r="E2598">
        <v>164</v>
      </c>
      <c r="F2598">
        <v>233</v>
      </c>
      <c r="G2598">
        <v>0</v>
      </c>
      <c r="H2598">
        <v>4967</v>
      </c>
      <c r="I2598">
        <v>43</v>
      </c>
      <c r="J2598">
        <v>49</v>
      </c>
      <c r="K2598">
        <v>213</v>
      </c>
      <c r="L2598">
        <v>208</v>
      </c>
      <c r="M2598">
        <v>8.7311538459999998</v>
      </c>
      <c r="N2598">
        <f>IFERROR(VLOOKUP(A2598,vlookup_table!$A:$G,2,FALSE),"")</f>
        <v>0</v>
      </c>
      <c r="O2598">
        <f>IFERROR(VLOOKUP(A2598,vlookup_table!$A:$G,4,FALSE),"")</f>
        <v>2606</v>
      </c>
      <c r="P2598" t="str">
        <f>IFERROR(VLOOKUP(A2598,vlookup_table!$A:$G,5,FALSE),"")</f>
        <v>U4</v>
      </c>
      <c r="Q2598">
        <f>IFERROR(VLOOKUP(A2598,vlookup_table!$A:$G,7,FALSE),"")</f>
        <v>7</v>
      </c>
      <c r="R2598">
        <f t="shared" si="160"/>
        <v>71</v>
      </c>
      <c r="S2598" t="str" cm="1">
        <f t="array" ref="S2598">IF(P2598="","",_xlfn.SWITCH(LEFT(P2598,1),"C","Ciudad","T","Pueblo","R","Rural","S","Suburbano","U","Urbano",""))</f>
        <v>Urbano</v>
      </c>
      <c r="T2598" t="str">
        <f t="shared" si="161"/>
        <v>F</v>
      </c>
      <c r="U2598" t="str">
        <f t="shared" si="162"/>
        <v>TX</v>
      </c>
      <c r="V2598" t="str">
        <f t="shared" si="163"/>
        <v>4967</v>
      </c>
    </row>
    <row r="2599" spans="1:22" x14ac:dyDescent="0.35">
      <c r="A2599">
        <v>53853</v>
      </c>
      <c r="B2599" t="s">
        <v>68</v>
      </c>
      <c r="C2599" t="s">
        <v>17</v>
      </c>
      <c r="D2599">
        <v>186</v>
      </c>
      <c r="E2599">
        <v>77</v>
      </c>
      <c r="F2599">
        <v>130</v>
      </c>
      <c r="G2599">
        <v>0</v>
      </c>
      <c r="H2599">
        <v>4365</v>
      </c>
      <c r="I2599">
        <v>1</v>
      </c>
      <c r="J2599">
        <v>78</v>
      </c>
      <c r="K2599">
        <v>91</v>
      </c>
      <c r="L2599">
        <v>119</v>
      </c>
      <c r="M2599">
        <v>6.25</v>
      </c>
      <c r="N2599">
        <f>IFERROR(VLOOKUP(A2599,vlookup_table!$A:$G,2,FALSE),"")</f>
        <v>0</v>
      </c>
      <c r="O2599">
        <f>IFERROR(VLOOKUP(A2599,vlookup_table!$A:$G,4,FALSE),"")</f>
        <v>0</v>
      </c>
      <c r="P2599" t="str">
        <f>IFERROR(VLOOKUP(A2599,vlookup_table!$A:$G,5,FALSE),"")</f>
        <v>T3</v>
      </c>
      <c r="Q2599">
        <f>IFERROR(VLOOKUP(A2599,vlookup_table!$A:$G,7,FALSE),"")</f>
        <v>8</v>
      </c>
      <c r="R2599">
        <f t="shared" si="160"/>
        <v>97</v>
      </c>
      <c r="S2599" t="str" cm="1">
        <f t="array" ref="S2599">IF(P2599="","",_xlfn.SWITCH(LEFT(P2599,1),"C","Ciudad","T","Pueblo","R","Rural","S","Suburbano","U","Urbano",""))</f>
        <v>Pueblo</v>
      </c>
      <c r="T2599" t="str">
        <f t="shared" si="161"/>
        <v>F</v>
      </c>
      <c r="U2599" t="str">
        <f t="shared" si="162"/>
        <v>Tennessee</v>
      </c>
      <c r="V2599" t="str">
        <f t="shared" si="163"/>
        <v>4365</v>
      </c>
    </row>
    <row r="2600" spans="1:22" x14ac:dyDescent="0.35">
      <c r="A2600">
        <v>2320</v>
      </c>
      <c r="B2600" t="s">
        <v>28</v>
      </c>
      <c r="C2600" t="s">
        <v>17</v>
      </c>
      <c r="D2600">
        <v>634</v>
      </c>
      <c r="E2600">
        <v>336</v>
      </c>
      <c r="F2600">
        <v>421</v>
      </c>
      <c r="G2600">
        <v>0</v>
      </c>
      <c r="H2600">
        <v>14507</v>
      </c>
      <c r="I2600">
        <v>0</v>
      </c>
      <c r="J2600">
        <v>68</v>
      </c>
      <c r="K2600">
        <v>403</v>
      </c>
      <c r="L2600">
        <v>332</v>
      </c>
      <c r="M2600">
        <v>3.8387096770000002</v>
      </c>
      <c r="N2600">
        <f>IFERROR(VLOOKUP(A2600,vlookup_table!$A:$G,2,FALSE),"")</f>
        <v>0</v>
      </c>
      <c r="O2600">
        <f>IFERROR(VLOOKUP(A2600,vlookup_table!$A:$G,4,FALSE),"")</f>
        <v>8103</v>
      </c>
      <c r="P2600" t="str">
        <f>IFERROR(VLOOKUP(A2600,vlookup_table!$A:$G,5,FALSE),"")</f>
        <v>S2</v>
      </c>
      <c r="Q2600">
        <f>IFERROR(VLOOKUP(A2600,vlookup_table!$A:$G,7,FALSE),"")</f>
        <v>6</v>
      </c>
      <c r="R2600">
        <f t="shared" si="160"/>
        <v>16</v>
      </c>
      <c r="S2600" t="str" cm="1">
        <f t="array" ref="S2600">IF(P2600="","",_xlfn.SWITCH(LEFT(P2600,1),"C","Ciudad","T","Pueblo","R","Rural","S","Suburbano","U","Urbano",""))</f>
        <v>Suburbano</v>
      </c>
      <c r="T2600" t="str">
        <f t="shared" si="161"/>
        <v>F</v>
      </c>
      <c r="U2600" t="str">
        <f t="shared" si="162"/>
        <v>KS</v>
      </c>
      <c r="V2600" t="str">
        <f t="shared" si="163"/>
        <v>14507</v>
      </c>
    </row>
    <row r="2601" spans="1:22" x14ac:dyDescent="0.35">
      <c r="A2601">
        <v>154799</v>
      </c>
      <c r="B2601" t="s">
        <v>22</v>
      </c>
      <c r="C2601" t="s">
        <v>14</v>
      </c>
      <c r="D2601">
        <v>1314</v>
      </c>
      <c r="E2601">
        <v>363</v>
      </c>
      <c r="F2601">
        <v>398</v>
      </c>
      <c r="G2601">
        <v>12</v>
      </c>
      <c r="H2601">
        <v>12406</v>
      </c>
      <c r="I2601">
        <v>6</v>
      </c>
      <c r="J2601">
        <v>60</v>
      </c>
      <c r="K2601">
        <v>379</v>
      </c>
      <c r="L2601">
        <v>376</v>
      </c>
      <c r="M2601">
        <v>17.5</v>
      </c>
      <c r="N2601">
        <f>IFERROR(VLOOKUP(A2601,vlookup_table!$A:$G,2,FALSE),"")</f>
        <v>1</v>
      </c>
      <c r="O2601">
        <f>IFERROR(VLOOKUP(A2601,vlookup_table!$A:$G,4,FALSE),"")</f>
        <v>0</v>
      </c>
      <c r="P2601" t="str">
        <f>IFERROR(VLOOKUP(A2601,vlookup_table!$A:$G,5,FALSE),"")</f>
        <v>R2</v>
      </c>
      <c r="Q2601">
        <f>IFERROR(VLOOKUP(A2601,vlookup_table!$A:$G,7,FALSE),"")</f>
        <v>50</v>
      </c>
      <c r="R2601">
        <f t="shared" si="160"/>
        <v>97</v>
      </c>
      <c r="S2601" t="str" cm="1">
        <f t="array" ref="S2601">IF(P2601="","",_xlfn.SWITCH(LEFT(P2601,1),"C","Ciudad","T","Pueblo","R","Rural","S","Suburbano","U","Urbano",""))</f>
        <v>Rural</v>
      </c>
      <c r="T2601" t="str">
        <f t="shared" si="161"/>
        <v>M</v>
      </c>
      <c r="U2601" t="str">
        <f t="shared" si="162"/>
        <v>CA</v>
      </c>
      <c r="V2601" t="str">
        <f t="shared" si="163"/>
        <v>12406</v>
      </c>
    </row>
    <row r="2602" spans="1:22" x14ac:dyDescent="0.35">
      <c r="A2602">
        <v>102521</v>
      </c>
      <c r="B2602" t="s">
        <v>36</v>
      </c>
      <c r="C2602" t="s">
        <v>14</v>
      </c>
      <c r="D2602">
        <v>695</v>
      </c>
      <c r="E2602">
        <v>350</v>
      </c>
      <c r="F2602">
        <v>439</v>
      </c>
      <c r="G2602">
        <v>4</v>
      </c>
      <c r="H2602">
        <v>12831</v>
      </c>
      <c r="I2602">
        <v>0</v>
      </c>
      <c r="J2602">
        <v>61</v>
      </c>
      <c r="K2602">
        <v>482</v>
      </c>
      <c r="L2602">
        <v>395</v>
      </c>
      <c r="M2602">
        <v>12.5</v>
      </c>
      <c r="N2602">
        <f>IFERROR(VLOOKUP(A2602,vlookup_table!$A:$G,2,FALSE),"")</f>
        <v>1</v>
      </c>
      <c r="O2602">
        <f>IFERROR(VLOOKUP(A2602,vlookup_table!$A:$G,4,FALSE),"")</f>
        <v>4401</v>
      </c>
      <c r="P2602" t="str">
        <f>IFERROR(VLOOKUP(A2602,vlookup_table!$A:$G,5,FALSE),"")</f>
        <v>R2</v>
      </c>
      <c r="Q2602">
        <f>IFERROR(VLOOKUP(A2602,vlookup_table!$A:$G,7,FALSE),"")</f>
        <v>5</v>
      </c>
      <c r="R2602">
        <f t="shared" si="160"/>
        <v>53</v>
      </c>
      <c r="S2602" t="str" cm="1">
        <f t="array" ref="S2602">IF(P2602="","",_xlfn.SWITCH(LEFT(P2602,1),"C","Ciudad","T","Pueblo","R","Rural","S","Suburbano","U","Urbano",""))</f>
        <v>Rural</v>
      </c>
      <c r="T2602" t="str">
        <f t="shared" si="161"/>
        <v>M</v>
      </c>
      <c r="U2602" t="str">
        <f t="shared" si="162"/>
        <v>MO</v>
      </c>
      <c r="V2602" t="str">
        <f t="shared" si="163"/>
        <v>12831</v>
      </c>
    </row>
    <row r="2603" spans="1:22" x14ac:dyDescent="0.35">
      <c r="A2603">
        <v>30029</v>
      </c>
      <c r="B2603" t="s">
        <v>39</v>
      </c>
      <c r="C2603" t="s">
        <v>17</v>
      </c>
      <c r="D2603">
        <v>646</v>
      </c>
      <c r="E2603">
        <v>279</v>
      </c>
      <c r="F2603">
        <v>452</v>
      </c>
      <c r="G2603">
        <v>2</v>
      </c>
      <c r="H2603">
        <v>18434</v>
      </c>
      <c r="I2603">
        <v>0</v>
      </c>
      <c r="J2603">
        <v>83</v>
      </c>
      <c r="K2603">
        <v>359</v>
      </c>
      <c r="L2603">
        <v>371</v>
      </c>
      <c r="M2603">
        <v>7.7037037039999996</v>
      </c>
      <c r="N2603">
        <f>IFERROR(VLOOKUP(A2603,vlookup_table!$A:$G,2,FALSE),"")</f>
        <v>0</v>
      </c>
      <c r="O2603">
        <f>IFERROR(VLOOKUP(A2603,vlookup_table!$A:$G,4,FALSE),"")</f>
        <v>3001</v>
      </c>
      <c r="P2603" t="str">
        <f>IFERROR(VLOOKUP(A2603,vlookup_table!$A:$G,5,FALSE),"")</f>
        <v>T1</v>
      </c>
      <c r="Q2603">
        <f>IFERROR(VLOOKUP(A2603,vlookup_table!$A:$G,7,FALSE),"")</f>
        <v>14</v>
      </c>
      <c r="R2603">
        <f t="shared" si="160"/>
        <v>67</v>
      </c>
      <c r="S2603" t="str" cm="1">
        <f t="array" ref="S2603">IF(P2603="","",_xlfn.SWITCH(LEFT(P2603,1),"C","Ciudad","T","Pueblo","R","Rural","S","Suburbano","U","Urbano",""))</f>
        <v>Pueblo</v>
      </c>
      <c r="T2603" t="str">
        <f t="shared" si="161"/>
        <v>F</v>
      </c>
      <c r="U2603" t="str">
        <f t="shared" si="162"/>
        <v>GA</v>
      </c>
      <c r="V2603" t="str">
        <f t="shared" si="163"/>
        <v>18434</v>
      </c>
    </row>
    <row r="2604" spans="1:22" x14ac:dyDescent="0.35">
      <c r="A2604">
        <v>148883</v>
      </c>
      <c r="B2604" t="s">
        <v>22</v>
      </c>
      <c r="C2604" t="s">
        <v>14</v>
      </c>
      <c r="D2604">
        <v>2252</v>
      </c>
      <c r="E2604">
        <v>595</v>
      </c>
      <c r="F2604">
        <v>658</v>
      </c>
      <c r="G2604">
        <v>68</v>
      </c>
      <c r="H2604">
        <v>20460</v>
      </c>
      <c r="I2604">
        <v>7</v>
      </c>
      <c r="J2604">
        <v>57</v>
      </c>
      <c r="K2604">
        <v>608</v>
      </c>
      <c r="L2604">
        <v>645</v>
      </c>
      <c r="M2604">
        <v>15</v>
      </c>
      <c r="N2604">
        <f>IFERROR(VLOOKUP(A2604,vlookup_table!$A:$G,2,FALSE),"")</f>
        <v>1</v>
      </c>
      <c r="O2604">
        <f>IFERROR(VLOOKUP(A2604,vlookup_table!$A:$G,4,FALSE),"")</f>
        <v>4701</v>
      </c>
      <c r="P2604" t="str">
        <f>IFERROR(VLOOKUP(A2604,vlookup_table!$A:$G,5,FALSE),"")</f>
        <v>T1</v>
      </c>
      <c r="Q2604">
        <f>IFERROR(VLOOKUP(A2604,vlookup_table!$A:$G,7,FALSE),"")</f>
        <v>21</v>
      </c>
      <c r="R2604">
        <f t="shared" si="160"/>
        <v>50</v>
      </c>
      <c r="S2604" t="str" cm="1">
        <f t="array" ref="S2604">IF(P2604="","",_xlfn.SWITCH(LEFT(P2604,1),"C","Ciudad","T","Pueblo","R","Rural","S","Suburbano","U","Urbano",""))</f>
        <v>Pueblo</v>
      </c>
      <c r="T2604" t="str">
        <f t="shared" si="161"/>
        <v>M</v>
      </c>
      <c r="U2604" t="str">
        <f t="shared" si="162"/>
        <v>CA</v>
      </c>
      <c r="V2604" t="str">
        <f t="shared" si="163"/>
        <v>20460</v>
      </c>
    </row>
    <row r="2605" spans="1:22" x14ac:dyDescent="0.35">
      <c r="A2605">
        <v>177837</v>
      </c>
      <c r="B2605" t="s">
        <v>50</v>
      </c>
      <c r="C2605" t="s">
        <v>14</v>
      </c>
      <c r="D2605">
        <v>597</v>
      </c>
      <c r="E2605">
        <v>214</v>
      </c>
      <c r="F2605">
        <v>280</v>
      </c>
      <c r="G2605">
        <v>8</v>
      </c>
      <c r="H2605">
        <v>10247</v>
      </c>
      <c r="I2605">
        <v>1</v>
      </c>
      <c r="J2605">
        <v>41</v>
      </c>
      <c r="K2605">
        <v>239</v>
      </c>
      <c r="L2605">
        <v>252</v>
      </c>
      <c r="M2605">
        <v>57.5</v>
      </c>
      <c r="N2605">
        <f>IFERROR(VLOOKUP(A2605,vlookup_table!$A:$G,2,FALSE),"")</f>
        <v>0</v>
      </c>
      <c r="O2605">
        <f>IFERROR(VLOOKUP(A2605,vlookup_table!$A:$G,4,FALSE),"")</f>
        <v>0</v>
      </c>
      <c r="P2605">
        <f>IFERROR(VLOOKUP(A2605,vlookup_table!$A:$G,5,FALSE),"")</f>
        <v>0</v>
      </c>
      <c r="Q2605">
        <f>IFERROR(VLOOKUP(A2605,vlookup_table!$A:$G,7,FALSE),"")</f>
        <v>100</v>
      </c>
      <c r="R2605">
        <f t="shared" si="160"/>
        <v>97</v>
      </c>
      <c r="S2605" t="str" cm="1">
        <f t="array" ref="S2605">IF(P2605="","",_xlfn.SWITCH(LEFT(P2605,1),"C","Ciudad","T","Pueblo","R","Rural","S","Suburbano","U","Urbano",""))</f>
        <v/>
      </c>
      <c r="T2605" t="str">
        <f t="shared" si="161"/>
        <v>M</v>
      </c>
      <c r="U2605" t="str">
        <f t="shared" si="162"/>
        <v>OR</v>
      </c>
      <c r="V2605" t="str">
        <f t="shared" si="163"/>
        <v>10247</v>
      </c>
    </row>
    <row r="2606" spans="1:22" x14ac:dyDescent="0.35">
      <c r="A2606">
        <v>140377</v>
      </c>
      <c r="B2606" t="s">
        <v>54</v>
      </c>
      <c r="C2606" t="s">
        <v>17</v>
      </c>
      <c r="D2606">
        <v>657</v>
      </c>
      <c r="E2606">
        <v>264</v>
      </c>
      <c r="F2606">
        <v>332</v>
      </c>
      <c r="G2606">
        <v>1</v>
      </c>
      <c r="H2606">
        <v>11148</v>
      </c>
      <c r="I2606">
        <v>2</v>
      </c>
      <c r="J2606">
        <v>53</v>
      </c>
      <c r="K2606">
        <v>290</v>
      </c>
      <c r="L2606">
        <v>308</v>
      </c>
      <c r="M2606">
        <v>10.61538462</v>
      </c>
      <c r="N2606">
        <f>IFERROR(VLOOKUP(A2606,vlookup_table!$A:$G,2,FALSE),"")</f>
        <v>0</v>
      </c>
      <c r="O2606">
        <f>IFERROR(VLOOKUP(A2606,vlookup_table!$A:$G,4,FALSE),"")</f>
        <v>3801</v>
      </c>
      <c r="P2606" t="str">
        <f>IFERROR(VLOOKUP(A2606,vlookup_table!$A:$G,5,FALSE),"")</f>
        <v>T2</v>
      </c>
      <c r="Q2606">
        <f>IFERROR(VLOOKUP(A2606,vlookup_table!$A:$G,7,FALSE),"")</f>
        <v>15</v>
      </c>
      <c r="R2606">
        <f t="shared" si="160"/>
        <v>59</v>
      </c>
      <c r="S2606" t="str" cm="1">
        <f t="array" ref="S2606">IF(P2606="","",_xlfn.SWITCH(LEFT(P2606,1),"C","Ciudad","T","Pueblo","R","Rural","S","Suburbano","U","Urbano",""))</f>
        <v>Pueblo</v>
      </c>
      <c r="T2606" t="str">
        <f t="shared" si="161"/>
        <v>F</v>
      </c>
      <c r="U2606" t="str">
        <f t="shared" si="162"/>
        <v>NM</v>
      </c>
      <c r="V2606" t="str">
        <f t="shared" si="163"/>
        <v>11148</v>
      </c>
    </row>
    <row r="2607" spans="1:22" x14ac:dyDescent="0.35">
      <c r="A2607">
        <v>139363</v>
      </c>
      <c r="B2607" t="s">
        <v>54</v>
      </c>
      <c r="C2607" t="s">
        <v>14</v>
      </c>
      <c r="D2607">
        <v>782</v>
      </c>
      <c r="E2607">
        <v>222</v>
      </c>
      <c r="F2607">
        <v>453</v>
      </c>
      <c r="G2607">
        <v>1</v>
      </c>
      <c r="H2607">
        <v>20867</v>
      </c>
      <c r="I2607">
        <v>11</v>
      </c>
      <c r="J2607">
        <v>30</v>
      </c>
      <c r="K2607">
        <v>294</v>
      </c>
      <c r="L2607">
        <v>307</v>
      </c>
      <c r="M2607">
        <v>13</v>
      </c>
      <c r="N2607">
        <f>IFERROR(VLOOKUP(A2607,vlookup_table!$A:$G,2,FALSE),"")</f>
        <v>0</v>
      </c>
      <c r="O2607">
        <f>IFERROR(VLOOKUP(A2607,vlookup_table!$A:$G,4,FALSE),"")</f>
        <v>5501</v>
      </c>
      <c r="P2607" t="str">
        <f>IFERROR(VLOOKUP(A2607,vlookup_table!$A:$G,5,FALSE),"")</f>
        <v>C1</v>
      </c>
      <c r="Q2607">
        <f>IFERROR(VLOOKUP(A2607,vlookup_table!$A:$G,7,FALSE),"")</f>
        <v>12</v>
      </c>
      <c r="R2607">
        <f t="shared" si="160"/>
        <v>42</v>
      </c>
      <c r="S2607" t="str" cm="1">
        <f t="array" ref="S2607">IF(P2607="","",_xlfn.SWITCH(LEFT(P2607,1),"C","Ciudad","T","Pueblo","R","Rural","S","Suburbano","U","Urbano",""))</f>
        <v>Ciudad</v>
      </c>
      <c r="T2607" t="str">
        <f t="shared" si="161"/>
        <v>M</v>
      </c>
      <c r="U2607" t="str">
        <f t="shared" si="162"/>
        <v>NM</v>
      </c>
      <c r="V2607" t="str">
        <f t="shared" si="163"/>
        <v>20867</v>
      </c>
    </row>
    <row r="2608" spans="1:22" x14ac:dyDescent="0.35">
      <c r="A2608">
        <v>148131</v>
      </c>
      <c r="B2608" t="s">
        <v>22</v>
      </c>
      <c r="C2608" t="s">
        <v>17</v>
      </c>
      <c r="D2608">
        <v>3992</v>
      </c>
      <c r="E2608">
        <v>801</v>
      </c>
      <c r="F2608">
        <v>858</v>
      </c>
      <c r="G2608">
        <v>96</v>
      </c>
      <c r="H2608">
        <v>29156</v>
      </c>
      <c r="I2608">
        <v>15</v>
      </c>
      <c r="J2608">
        <v>46</v>
      </c>
      <c r="K2608">
        <v>821</v>
      </c>
      <c r="L2608">
        <v>839</v>
      </c>
      <c r="M2608">
        <v>10</v>
      </c>
      <c r="N2608">
        <f>IFERROR(VLOOKUP(A2608,vlookup_table!$A:$G,2,FALSE),"")</f>
        <v>0</v>
      </c>
      <c r="O2608">
        <f>IFERROR(VLOOKUP(A2608,vlookup_table!$A:$G,4,FALSE),"")</f>
        <v>5601</v>
      </c>
      <c r="P2608" t="str">
        <f>IFERROR(VLOOKUP(A2608,vlookup_table!$A:$G,5,FALSE),"")</f>
        <v>C1</v>
      </c>
      <c r="Q2608">
        <f>IFERROR(VLOOKUP(A2608,vlookup_table!$A:$G,7,FALSE),"")</f>
        <v>20</v>
      </c>
      <c r="R2608">
        <f t="shared" si="160"/>
        <v>41</v>
      </c>
      <c r="S2608" t="str" cm="1">
        <f t="array" ref="S2608">IF(P2608="","",_xlfn.SWITCH(LEFT(P2608,1),"C","Ciudad","T","Pueblo","R","Rural","S","Suburbano","U","Urbano",""))</f>
        <v>Ciudad</v>
      </c>
      <c r="T2608" t="str">
        <f t="shared" si="161"/>
        <v>F</v>
      </c>
      <c r="U2608" t="str">
        <f t="shared" si="162"/>
        <v>CA</v>
      </c>
      <c r="V2608" t="str">
        <f t="shared" si="163"/>
        <v>29156</v>
      </c>
    </row>
    <row r="2609" spans="1:22" x14ac:dyDescent="0.35">
      <c r="A2609">
        <v>175902</v>
      </c>
      <c r="B2609" t="s">
        <v>50</v>
      </c>
      <c r="C2609" t="s">
        <v>17</v>
      </c>
      <c r="D2609">
        <v>807</v>
      </c>
      <c r="E2609">
        <v>351</v>
      </c>
      <c r="F2609">
        <v>420</v>
      </c>
      <c r="G2609">
        <v>0</v>
      </c>
      <c r="H2609">
        <v>16532</v>
      </c>
      <c r="I2609">
        <v>7</v>
      </c>
      <c r="J2609">
        <v>51</v>
      </c>
      <c r="K2609">
        <v>388</v>
      </c>
      <c r="L2609">
        <v>377</v>
      </c>
      <c r="M2609">
        <v>9.0714285710000002</v>
      </c>
      <c r="N2609">
        <f>IFERROR(VLOOKUP(A2609,vlookup_table!$A:$G,2,FALSE),"")</f>
        <v>2</v>
      </c>
      <c r="O2609">
        <f>IFERROR(VLOOKUP(A2609,vlookup_table!$A:$G,4,FALSE),"")</f>
        <v>0</v>
      </c>
      <c r="P2609" t="str">
        <f>IFERROR(VLOOKUP(A2609,vlookup_table!$A:$G,5,FALSE),"")</f>
        <v>C2</v>
      </c>
      <c r="Q2609">
        <f>IFERROR(VLOOKUP(A2609,vlookup_table!$A:$G,7,FALSE),"")</f>
        <v>15</v>
      </c>
      <c r="R2609">
        <f t="shared" si="160"/>
        <v>97</v>
      </c>
      <c r="S2609" t="str" cm="1">
        <f t="array" ref="S2609">IF(P2609="","",_xlfn.SWITCH(LEFT(P2609,1),"C","Ciudad","T","Pueblo","R","Rural","S","Suburbano","U","Urbano",""))</f>
        <v>Ciudad</v>
      </c>
      <c r="T2609" t="str">
        <f t="shared" si="161"/>
        <v>F</v>
      </c>
      <c r="U2609" t="str">
        <f t="shared" si="162"/>
        <v>OR</v>
      </c>
      <c r="V2609" t="str">
        <f t="shared" si="163"/>
        <v>16532</v>
      </c>
    </row>
    <row r="2610" spans="1:22" x14ac:dyDescent="0.35">
      <c r="A2610">
        <v>148030</v>
      </c>
      <c r="B2610" t="s">
        <v>22</v>
      </c>
      <c r="C2610" t="s">
        <v>17</v>
      </c>
      <c r="D2610">
        <v>1875</v>
      </c>
      <c r="E2610">
        <v>226</v>
      </c>
      <c r="F2610">
        <v>622</v>
      </c>
      <c r="G2610">
        <v>33</v>
      </c>
      <c r="H2610">
        <v>23383</v>
      </c>
      <c r="I2610">
        <v>30</v>
      </c>
      <c r="J2610">
        <v>22</v>
      </c>
      <c r="K2610">
        <v>575</v>
      </c>
      <c r="L2610">
        <v>343</v>
      </c>
      <c r="M2610">
        <v>6.0833333329999997</v>
      </c>
      <c r="N2610">
        <f>IFERROR(VLOOKUP(A2610,vlookup_table!$A:$G,2,FALSE),"")</f>
        <v>3</v>
      </c>
      <c r="O2610">
        <f>IFERROR(VLOOKUP(A2610,vlookup_table!$A:$G,4,FALSE),"")</f>
        <v>0</v>
      </c>
      <c r="P2610" t="str">
        <f>IFERROR(VLOOKUP(A2610,vlookup_table!$A:$G,5,FALSE),"")</f>
        <v>U2</v>
      </c>
      <c r="Q2610">
        <f>IFERROR(VLOOKUP(A2610,vlookup_table!$A:$G,7,FALSE),"")</f>
        <v>10</v>
      </c>
      <c r="R2610">
        <f t="shared" si="160"/>
        <v>97</v>
      </c>
      <c r="S2610" t="str" cm="1">
        <f t="array" ref="S2610">IF(P2610="","",_xlfn.SWITCH(LEFT(P2610,1),"C","Ciudad","T","Pueblo","R","Rural","S","Suburbano","U","Urbano",""))</f>
        <v>Urbano</v>
      </c>
      <c r="T2610" t="str">
        <f t="shared" si="161"/>
        <v>F</v>
      </c>
      <c r="U2610" t="str">
        <f t="shared" si="162"/>
        <v>CA</v>
      </c>
      <c r="V2610" t="str">
        <f t="shared" si="163"/>
        <v>23383</v>
      </c>
    </row>
    <row r="2611" spans="1:22" x14ac:dyDescent="0.35">
      <c r="A2611">
        <v>54003</v>
      </c>
      <c r="B2611" t="s">
        <v>68</v>
      </c>
      <c r="C2611" t="s">
        <v>30</v>
      </c>
      <c r="D2611">
        <v>486</v>
      </c>
      <c r="E2611">
        <v>247</v>
      </c>
      <c r="F2611">
        <v>393</v>
      </c>
      <c r="G2611">
        <v>2</v>
      </c>
      <c r="H2611">
        <v>15388</v>
      </c>
      <c r="I2611">
        <v>0</v>
      </c>
      <c r="J2611">
        <v>84</v>
      </c>
      <c r="K2611">
        <v>273</v>
      </c>
      <c r="L2611">
        <v>346</v>
      </c>
      <c r="M2611">
        <v>13.66666667</v>
      </c>
      <c r="N2611">
        <f>IFERROR(VLOOKUP(A2611,vlookup_table!$A:$G,2,FALSE),"")</f>
        <v>0</v>
      </c>
      <c r="O2611">
        <f>IFERROR(VLOOKUP(A2611,vlookup_table!$A:$G,4,FALSE),"")</f>
        <v>3509</v>
      </c>
      <c r="P2611" t="str">
        <f>IFERROR(VLOOKUP(A2611,vlookup_table!$A:$G,5,FALSE),"")</f>
        <v>T2</v>
      </c>
      <c r="Q2611">
        <f>IFERROR(VLOOKUP(A2611,vlookup_table!$A:$G,7,FALSE),"")</f>
        <v>15</v>
      </c>
      <c r="R2611">
        <f t="shared" si="160"/>
        <v>62</v>
      </c>
      <c r="S2611" t="str" cm="1">
        <f t="array" ref="S2611">IF(P2611="","",_xlfn.SWITCH(LEFT(P2611,1),"C","Ciudad","T","Pueblo","R","Rural","S","Suburbano","U","Urbano",""))</f>
        <v>Pueblo</v>
      </c>
      <c r="T2611" t="str">
        <f t="shared" si="161"/>
        <v>U</v>
      </c>
      <c r="U2611" t="str">
        <f t="shared" si="162"/>
        <v>Tennessee</v>
      </c>
      <c r="V2611" t="str">
        <f t="shared" si="163"/>
        <v>15388</v>
      </c>
    </row>
    <row r="2612" spans="1:22" x14ac:dyDescent="0.35">
      <c r="A2612">
        <v>163412</v>
      </c>
      <c r="B2612" t="s">
        <v>22</v>
      </c>
      <c r="C2612" t="s">
        <v>17</v>
      </c>
      <c r="D2612">
        <v>2841</v>
      </c>
      <c r="E2612">
        <v>426</v>
      </c>
      <c r="F2612">
        <v>512</v>
      </c>
      <c r="G2612">
        <v>87</v>
      </c>
      <c r="H2612">
        <v>15278</v>
      </c>
      <c r="I2612">
        <v>55</v>
      </c>
      <c r="J2612">
        <v>35</v>
      </c>
      <c r="K2612">
        <v>460</v>
      </c>
      <c r="L2612">
        <v>476</v>
      </c>
      <c r="M2612">
        <v>20</v>
      </c>
      <c r="N2612">
        <f>IFERROR(VLOOKUP(A2612,vlookup_table!$A:$G,2,FALSE),"")</f>
        <v>0</v>
      </c>
      <c r="O2612">
        <f>IFERROR(VLOOKUP(A2612,vlookup_table!$A:$G,4,FALSE),"")</f>
        <v>0</v>
      </c>
      <c r="P2612" t="str">
        <f>IFERROR(VLOOKUP(A2612,vlookup_table!$A:$G,5,FALSE),"")</f>
        <v>U1</v>
      </c>
      <c r="Q2612">
        <f>IFERROR(VLOOKUP(A2612,vlookup_table!$A:$G,7,FALSE),"")</f>
        <v>20</v>
      </c>
      <c r="R2612">
        <f t="shared" si="160"/>
        <v>97</v>
      </c>
      <c r="S2612" t="str" cm="1">
        <f t="array" ref="S2612">IF(P2612="","",_xlfn.SWITCH(LEFT(P2612,1),"C","Ciudad","T","Pueblo","R","Rural","S","Suburbano","U","Urbano",""))</f>
        <v>Urbano</v>
      </c>
      <c r="T2612" t="str">
        <f t="shared" si="161"/>
        <v>F</v>
      </c>
      <c r="U2612" t="str">
        <f t="shared" si="162"/>
        <v>CA</v>
      </c>
      <c r="V2612" t="str">
        <f t="shared" si="163"/>
        <v>15278</v>
      </c>
    </row>
    <row r="2613" spans="1:22" x14ac:dyDescent="0.35">
      <c r="A2613">
        <v>134325</v>
      </c>
      <c r="B2613" t="s">
        <v>38</v>
      </c>
      <c r="C2613" t="s">
        <v>14</v>
      </c>
      <c r="D2613">
        <v>542</v>
      </c>
      <c r="E2613">
        <v>171</v>
      </c>
      <c r="F2613">
        <v>237</v>
      </c>
      <c r="G2613">
        <v>0</v>
      </c>
      <c r="H2613">
        <v>10735</v>
      </c>
      <c r="I2613">
        <v>17</v>
      </c>
      <c r="J2613">
        <v>41</v>
      </c>
      <c r="K2613">
        <v>172</v>
      </c>
      <c r="L2613">
        <v>228</v>
      </c>
      <c r="M2613">
        <v>4.4000000000000004</v>
      </c>
      <c r="N2613">
        <f>IFERROR(VLOOKUP(A2613,vlookup_table!$A:$G,2,FALSE),"")</f>
        <v>1</v>
      </c>
      <c r="O2613">
        <f>IFERROR(VLOOKUP(A2613,vlookup_table!$A:$G,4,FALSE),"")</f>
        <v>0</v>
      </c>
      <c r="P2613" t="str">
        <f>IFERROR(VLOOKUP(A2613,vlookup_table!$A:$G,5,FALSE),"")</f>
        <v>C2</v>
      </c>
      <c r="Q2613">
        <f>IFERROR(VLOOKUP(A2613,vlookup_table!$A:$G,7,FALSE),"")</f>
        <v>5</v>
      </c>
      <c r="R2613">
        <f t="shared" si="160"/>
        <v>97</v>
      </c>
      <c r="S2613" t="str" cm="1">
        <f t="array" ref="S2613">IF(P2613="","",_xlfn.SWITCH(LEFT(P2613,1),"C","Ciudad","T","Pueblo","R","Rural","S","Suburbano","U","Urbano",""))</f>
        <v>Ciudad</v>
      </c>
      <c r="T2613" t="str">
        <f t="shared" si="161"/>
        <v>M</v>
      </c>
      <c r="U2613" t="str">
        <f t="shared" si="162"/>
        <v>UT</v>
      </c>
      <c r="V2613" t="str">
        <f t="shared" si="163"/>
        <v>10735</v>
      </c>
    </row>
    <row r="2614" spans="1:22" x14ac:dyDescent="0.35">
      <c r="A2614">
        <v>21135</v>
      </c>
      <c r="B2614" t="s">
        <v>18</v>
      </c>
      <c r="C2614" t="s">
        <v>14</v>
      </c>
      <c r="D2614">
        <v>694</v>
      </c>
      <c r="E2614">
        <v>251</v>
      </c>
      <c r="F2614">
        <v>343</v>
      </c>
      <c r="G2614">
        <v>7</v>
      </c>
      <c r="H2614">
        <v>12282</v>
      </c>
      <c r="I2614">
        <v>1</v>
      </c>
      <c r="J2614">
        <v>73</v>
      </c>
      <c r="K2614">
        <v>291</v>
      </c>
      <c r="L2614">
        <v>296</v>
      </c>
      <c r="M2614">
        <v>7.2352941179999997</v>
      </c>
      <c r="N2614">
        <f>IFERROR(VLOOKUP(A2614,vlookup_table!$A:$G,2,FALSE),"")</f>
        <v>14</v>
      </c>
      <c r="O2614">
        <f>IFERROR(VLOOKUP(A2614,vlookup_table!$A:$G,4,FALSE),"")</f>
        <v>0</v>
      </c>
      <c r="P2614" t="str">
        <f>IFERROR(VLOOKUP(A2614,vlookup_table!$A:$G,5,FALSE),"")</f>
        <v>R2</v>
      </c>
      <c r="Q2614">
        <f>IFERROR(VLOOKUP(A2614,vlookup_table!$A:$G,7,FALSE),"")</f>
        <v>5</v>
      </c>
      <c r="R2614">
        <f t="shared" si="160"/>
        <v>97</v>
      </c>
      <c r="S2614" t="str" cm="1">
        <f t="array" ref="S2614">IF(P2614="","",_xlfn.SWITCH(LEFT(P2614,1),"C","Ciudad","T","Pueblo","R","Rural","S","Suburbano","U","Urbano",""))</f>
        <v>Rural</v>
      </c>
      <c r="T2614" t="str">
        <f t="shared" si="161"/>
        <v>M</v>
      </c>
      <c r="U2614" t="str">
        <f t="shared" si="162"/>
        <v>NC</v>
      </c>
      <c r="V2614" t="str">
        <f t="shared" si="163"/>
        <v>12282</v>
      </c>
    </row>
    <row r="2615" spans="1:22" x14ac:dyDescent="0.35">
      <c r="A2615">
        <v>133948</v>
      </c>
      <c r="B2615" t="s">
        <v>22</v>
      </c>
      <c r="D2615">
        <v>2170</v>
      </c>
      <c r="E2615">
        <v>397</v>
      </c>
      <c r="F2615">
        <v>542</v>
      </c>
      <c r="G2615">
        <v>60</v>
      </c>
      <c r="H2615">
        <v>22655</v>
      </c>
      <c r="I2615">
        <v>10</v>
      </c>
      <c r="J2615">
        <v>30</v>
      </c>
      <c r="K2615">
        <v>468</v>
      </c>
      <c r="L2615">
        <v>473</v>
      </c>
      <c r="M2615">
        <v>10.8</v>
      </c>
      <c r="N2615">
        <f>IFERROR(VLOOKUP(A2615,vlookup_table!$A:$G,2,FALSE),"")</f>
        <v>0</v>
      </c>
      <c r="O2615">
        <f>IFERROR(VLOOKUP(A2615,vlookup_table!$A:$G,4,FALSE),"")</f>
        <v>1603</v>
      </c>
      <c r="P2615" t="str">
        <f>IFERROR(VLOOKUP(A2615,vlookup_table!$A:$G,5,FALSE),"")</f>
        <v>T2</v>
      </c>
      <c r="Q2615">
        <f>IFERROR(VLOOKUP(A2615,vlookup_table!$A:$G,7,FALSE),"")</f>
        <v>13</v>
      </c>
      <c r="R2615">
        <f t="shared" si="160"/>
        <v>81</v>
      </c>
      <c r="S2615" t="str" cm="1">
        <f t="array" ref="S2615">IF(P2615="","",_xlfn.SWITCH(LEFT(P2615,1),"C","Ciudad","T","Pueblo","R","Rural","S","Suburbano","U","Urbano",""))</f>
        <v>Pueblo</v>
      </c>
      <c r="T2615" t="str">
        <f t="shared" si="161"/>
        <v/>
      </c>
      <c r="U2615" t="str">
        <f t="shared" si="162"/>
        <v>CA</v>
      </c>
      <c r="V2615" t="str">
        <f t="shared" si="163"/>
        <v>22655</v>
      </c>
    </row>
    <row r="2616" spans="1:22" x14ac:dyDescent="0.35">
      <c r="A2616">
        <v>129945</v>
      </c>
      <c r="B2616" t="s">
        <v>48</v>
      </c>
      <c r="C2616" t="s">
        <v>17</v>
      </c>
      <c r="D2616">
        <v>755</v>
      </c>
      <c r="E2616">
        <v>163</v>
      </c>
      <c r="F2616">
        <v>335</v>
      </c>
      <c r="G2616">
        <v>4</v>
      </c>
      <c r="H2616">
        <v>15510</v>
      </c>
      <c r="I2616">
        <v>9</v>
      </c>
      <c r="J2616">
        <v>31</v>
      </c>
      <c r="K2616">
        <v>233</v>
      </c>
      <c r="L2616">
        <v>230</v>
      </c>
      <c r="M2616">
        <v>7</v>
      </c>
      <c r="N2616">
        <f>IFERROR(VLOOKUP(A2616,vlookup_table!$A:$G,2,FALSE),"")</f>
        <v>0</v>
      </c>
      <c r="O2616">
        <f>IFERROR(VLOOKUP(A2616,vlookup_table!$A:$G,4,FALSE),"")</f>
        <v>0</v>
      </c>
      <c r="P2616" t="str">
        <f>IFERROR(VLOOKUP(A2616,vlookup_table!$A:$G,5,FALSE),"")</f>
        <v>C3</v>
      </c>
      <c r="Q2616">
        <f>IFERROR(VLOOKUP(A2616,vlookup_table!$A:$G,7,FALSE),"")</f>
        <v>7</v>
      </c>
      <c r="R2616">
        <f t="shared" si="160"/>
        <v>97</v>
      </c>
      <c r="S2616" t="str" cm="1">
        <f t="array" ref="S2616">IF(P2616="","",_xlfn.SWITCH(LEFT(P2616,1),"C","Ciudad","T","Pueblo","R","Rural","S","Suburbano","U","Urbano",""))</f>
        <v>Ciudad</v>
      </c>
      <c r="T2616" t="str">
        <f t="shared" si="161"/>
        <v>F</v>
      </c>
      <c r="U2616" t="str">
        <f t="shared" si="162"/>
        <v>CO</v>
      </c>
      <c r="V2616" t="str">
        <f t="shared" si="163"/>
        <v>15510</v>
      </c>
    </row>
    <row r="2617" spans="1:22" x14ac:dyDescent="0.35">
      <c r="A2617">
        <v>12832</v>
      </c>
      <c r="B2617" t="s">
        <v>32</v>
      </c>
      <c r="C2617" t="s">
        <v>60</v>
      </c>
      <c r="D2617">
        <v>662</v>
      </c>
      <c r="E2617">
        <v>292</v>
      </c>
      <c r="F2617">
        <v>377</v>
      </c>
      <c r="G2617">
        <v>1</v>
      </c>
      <c r="H2617">
        <v>12252</v>
      </c>
      <c r="I2617">
        <v>1</v>
      </c>
      <c r="J2617">
        <v>74</v>
      </c>
      <c r="K2617">
        <v>347</v>
      </c>
      <c r="L2617">
        <v>337</v>
      </c>
      <c r="M2617">
        <v>10.4</v>
      </c>
      <c r="N2617">
        <f>IFERROR(VLOOKUP(A2617,vlookup_table!$A:$G,2,FALSE),"")</f>
        <v>0</v>
      </c>
      <c r="O2617">
        <f>IFERROR(VLOOKUP(A2617,vlookup_table!$A:$G,4,FALSE),"")</f>
        <v>2301</v>
      </c>
      <c r="P2617" t="str">
        <f>IFERROR(VLOOKUP(A2617,vlookup_table!$A:$G,5,FALSE),"")</f>
        <v>T2</v>
      </c>
      <c r="Q2617">
        <f>IFERROR(VLOOKUP(A2617,vlookup_table!$A:$G,7,FALSE),"")</f>
        <v>10</v>
      </c>
      <c r="R2617">
        <f t="shared" si="160"/>
        <v>74</v>
      </c>
      <c r="S2617" t="str" cm="1">
        <f t="array" ref="S2617">IF(P2617="","",_xlfn.SWITCH(LEFT(P2617,1),"C","Ciudad","T","Pueblo","R","Rural","S","Suburbano","U","Urbano",""))</f>
        <v>Pueblo</v>
      </c>
      <c r="T2617" t="str">
        <f t="shared" si="161"/>
        <v>F</v>
      </c>
      <c r="U2617" t="str">
        <f t="shared" si="162"/>
        <v>AR</v>
      </c>
      <c r="V2617" t="str">
        <f t="shared" si="163"/>
        <v>12252</v>
      </c>
    </row>
    <row r="2618" spans="1:22" x14ac:dyDescent="0.35">
      <c r="A2618">
        <v>74706</v>
      </c>
      <c r="B2618" t="s">
        <v>29</v>
      </c>
      <c r="C2618" t="s">
        <v>14</v>
      </c>
      <c r="D2618">
        <v>350</v>
      </c>
      <c r="E2618">
        <v>147</v>
      </c>
      <c r="F2618">
        <v>348</v>
      </c>
      <c r="G2618">
        <v>0</v>
      </c>
      <c r="H2618">
        <v>12182</v>
      </c>
      <c r="I2618">
        <v>3</v>
      </c>
      <c r="J2618">
        <v>77</v>
      </c>
      <c r="K2618">
        <v>352</v>
      </c>
      <c r="L2618">
        <v>224</v>
      </c>
      <c r="M2618">
        <v>15</v>
      </c>
      <c r="N2618">
        <f>IFERROR(VLOOKUP(A2618,vlookup_table!$A:$G,2,FALSE),"")</f>
        <v>1</v>
      </c>
      <c r="O2618">
        <f>IFERROR(VLOOKUP(A2618,vlookup_table!$A:$G,4,FALSE),"")</f>
        <v>5101</v>
      </c>
      <c r="P2618" t="str">
        <f>IFERROR(VLOOKUP(A2618,vlookup_table!$A:$G,5,FALSE),"")</f>
        <v>T2</v>
      </c>
      <c r="Q2618">
        <f>IFERROR(VLOOKUP(A2618,vlookup_table!$A:$G,7,FALSE),"")</f>
        <v>25</v>
      </c>
      <c r="R2618">
        <f t="shared" si="160"/>
        <v>46</v>
      </c>
      <c r="S2618" t="str" cm="1">
        <f t="array" ref="S2618">IF(P2618="","",_xlfn.SWITCH(LEFT(P2618,1),"C","Ciudad","T","Pueblo","R","Rural","S","Suburbano","U","Urbano",""))</f>
        <v>Pueblo</v>
      </c>
      <c r="T2618" t="str">
        <f t="shared" si="161"/>
        <v>M</v>
      </c>
      <c r="U2618" t="str">
        <f t="shared" si="162"/>
        <v>MI</v>
      </c>
      <c r="V2618" t="str">
        <f t="shared" si="163"/>
        <v>12182</v>
      </c>
    </row>
    <row r="2619" spans="1:22" x14ac:dyDescent="0.35">
      <c r="A2619">
        <v>7649</v>
      </c>
      <c r="B2619" t="s">
        <v>68</v>
      </c>
      <c r="C2619" t="s">
        <v>17</v>
      </c>
      <c r="D2619">
        <v>1318</v>
      </c>
      <c r="E2619">
        <v>388</v>
      </c>
      <c r="F2619">
        <v>652</v>
      </c>
      <c r="G2619">
        <v>26</v>
      </c>
      <c r="H2619">
        <v>27280</v>
      </c>
      <c r="I2619">
        <v>5</v>
      </c>
      <c r="J2619">
        <v>45</v>
      </c>
      <c r="K2619">
        <v>524</v>
      </c>
      <c r="L2619">
        <v>466</v>
      </c>
      <c r="M2619">
        <v>10.045454550000001</v>
      </c>
      <c r="N2619">
        <f>IFERROR(VLOOKUP(A2619,vlookup_table!$A:$G,2,FALSE),"")</f>
        <v>2</v>
      </c>
      <c r="O2619">
        <f>IFERROR(VLOOKUP(A2619,vlookup_table!$A:$G,4,FALSE),"")</f>
        <v>0</v>
      </c>
      <c r="P2619" t="str">
        <f>IFERROR(VLOOKUP(A2619,vlookup_table!$A:$G,5,FALSE),"")</f>
        <v>S1</v>
      </c>
      <c r="Q2619">
        <f>IFERROR(VLOOKUP(A2619,vlookup_table!$A:$G,7,FALSE),"")</f>
        <v>13</v>
      </c>
      <c r="R2619">
        <f t="shared" si="160"/>
        <v>97</v>
      </c>
      <c r="S2619" t="str" cm="1">
        <f t="array" ref="S2619">IF(P2619="","",_xlfn.SWITCH(LEFT(P2619,1),"C","Ciudad","T","Pueblo","R","Rural","S","Suburbano","U","Urbano",""))</f>
        <v>Suburbano</v>
      </c>
      <c r="T2619" t="str">
        <f t="shared" si="161"/>
        <v>F</v>
      </c>
      <c r="U2619" t="str">
        <f t="shared" si="162"/>
        <v>Tennessee</v>
      </c>
      <c r="V2619" t="str">
        <f t="shared" si="163"/>
        <v>27280</v>
      </c>
    </row>
    <row r="2620" spans="1:22" x14ac:dyDescent="0.35">
      <c r="A2620">
        <v>45878</v>
      </c>
      <c r="B2620" t="s">
        <v>13</v>
      </c>
      <c r="C2620" t="s">
        <v>17</v>
      </c>
      <c r="D2620">
        <v>800</v>
      </c>
      <c r="E2620">
        <v>168</v>
      </c>
      <c r="F2620">
        <v>274</v>
      </c>
      <c r="G2620">
        <v>0</v>
      </c>
      <c r="H2620">
        <v>9970</v>
      </c>
      <c r="I2620">
        <v>9</v>
      </c>
      <c r="J2620">
        <v>26</v>
      </c>
      <c r="K2620">
        <v>227</v>
      </c>
      <c r="L2620">
        <v>225</v>
      </c>
      <c r="M2620">
        <v>7.6666666670000003</v>
      </c>
      <c r="N2620">
        <f>IFERROR(VLOOKUP(A2620,vlookup_table!$A:$G,2,FALSE),"")</f>
        <v>28</v>
      </c>
      <c r="O2620">
        <f>IFERROR(VLOOKUP(A2620,vlookup_table!$A:$G,4,FALSE),"")</f>
        <v>0</v>
      </c>
      <c r="P2620" t="str">
        <f>IFERROR(VLOOKUP(A2620,vlookup_table!$A:$G,5,FALSE),"")</f>
        <v>C3</v>
      </c>
      <c r="Q2620">
        <f>IFERROR(VLOOKUP(A2620,vlookup_table!$A:$G,7,FALSE),"")</f>
        <v>5</v>
      </c>
      <c r="R2620">
        <f t="shared" si="160"/>
        <v>97</v>
      </c>
      <c r="S2620" t="str" cm="1">
        <f t="array" ref="S2620">IF(P2620="","",_xlfn.SWITCH(LEFT(P2620,1),"C","Ciudad","T","Pueblo","R","Rural","S","Suburbano","U","Urbano",""))</f>
        <v>Ciudad</v>
      </c>
      <c r="T2620" t="str">
        <f t="shared" si="161"/>
        <v>F</v>
      </c>
      <c r="U2620" t="str">
        <f t="shared" si="162"/>
        <v>FL</v>
      </c>
      <c r="V2620" t="str">
        <f t="shared" si="163"/>
        <v>9970</v>
      </c>
    </row>
    <row r="2621" spans="1:22" x14ac:dyDescent="0.35">
      <c r="A2621">
        <v>68650</v>
      </c>
      <c r="B2621" t="s">
        <v>29</v>
      </c>
      <c r="C2621" t="s">
        <v>17</v>
      </c>
      <c r="D2621">
        <v>1186</v>
      </c>
      <c r="E2621">
        <v>496</v>
      </c>
      <c r="F2621">
        <v>571</v>
      </c>
      <c r="G2621">
        <v>0</v>
      </c>
      <c r="H2621">
        <v>20563</v>
      </c>
      <c r="I2621">
        <v>10</v>
      </c>
      <c r="J2621">
        <v>67</v>
      </c>
      <c r="K2621">
        <v>537</v>
      </c>
      <c r="L2621">
        <v>513</v>
      </c>
      <c r="M2621">
        <v>7.6</v>
      </c>
      <c r="N2621">
        <f>IFERROR(VLOOKUP(A2621,vlookup_table!$A:$G,2,FALSE),"")</f>
        <v>0</v>
      </c>
      <c r="O2621">
        <f>IFERROR(VLOOKUP(A2621,vlookup_table!$A:$G,4,FALSE),"")</f>
        <v>5712</v>
      </c>
      <c r="P2621" t="str">
        <f>IFERROR(VLOOKUP(A2621,vlookup_table!$A:$G,5,FALSE),"")</f>
        <v>S1</v>
      </c>
      <c r="Q2621">
        <f>IFERROR(VLOOKUP(A2621,vlookup_table!$A:$G,7,FALSE),"")</f>
        <v>15</v>
      </c>
      <c r="R2621">
        <f t="shared" si="160"/>
        <v>40</v>
      </c>
      <c r="S2621" t="str" cm="1">
        <f t="array" ref="S2621">IF(P2621="","",_xlfn.SWITCH(LEFT(P2621,1),"C","Ciudad","T","Pueblo","R","Rural","S","Suburbano","U","Urbano",""))</f>
        <v>Suburbano</v>
      </c>
      <c r="T2621" t="str">
        <f t="shared" si="161"/>
        <v>F</v>
      </c>
      <c r="U2621" t="str">
        <f t="shared" si="162"/>
        <v>MI</v>
      </c>
      <c r="V2621" t="str">
        <f t="shared" si="163"/>
        <v>20563</v>
      </c>
    </row>
    <row r="2622" spans="1:22" x14ac:dyDescent="0.35">
      <c r="A2622">
        <v>60859</v>
      </c>
      <c r="B2622" t="s">
        <v>33</v>
      </c>
      <c r="C2622" t="s">
        <v>17</v>
      </c>
      <c r="D2622">
        <v>1026</v>
      </c>
      <c r="E2622">
        <v>514</v>
      </c>
      <c r="F2622">
        <v>628</v>
      </c>
      <c r="G2622">
        <v>8</v>
      </c>
      <c r="H2622">
        <v>20949</v>
      </c>
      <c r="I2622">
        <v>6</v>
      </c>
      <c r="J2622">
        <v>57</v>
      </c>
      <c r="K2622">
        <v>547</v>
      </c>
      <c r="L2622">
        <v>579</v>
      </c>
      <c r="M2622">
        <v>5.2</v>
      </c>
      <c r="N2622">
        <f>IFERROR(VLOOKUP(A2622,vlookup_table!$A:$G,2,FALSE),"")</f>
        <v>2</v>
      </c>
      <c r="O2622">
        <f>IFERROR(VLOOKUP(A2622,vlookup_table!$A:$G,4,FALSE),"")</f>
        <v>4612</v>
      </c>
      <c r="P2622" t="str">
        <f>IFERROR(VLOOKUP(A2622,vlookup_table!$A:$G,5,FALSE),"")</f>
        <v>S1</v>
      </c>
      <c r="Q2622">
        <f>IFERROR(VLOOKUP(A2622,vlookup_table!$A:$G,7,FALSE),"")</f>
        <v>10</v>
      </c>
      <c r="R2622">
        <f t="shared" si="160"/>
        <v>51</v>
      </c>
      <c r="S2622" t="str" cm="1">
        <f t="array" ref="S2622">IF(P2622="","",_xlfn.SWITCH(LEFT(P2622,1),"C","Ciudad","T","Pueblo","R","Rural","S","Suburbano","U","Urbano",""))</f>
        <v>Suburbano</v>
      </c>
      <c r="T2622" t="str">
        <f t="shared" si="161"/>
        <v>F</v>
      </c>
      <c r="U2622" t="str">
        <f t="shared" si="162"/>
        <v>IN</v>
      </c>
      <c r="V2622" t="str">
        <f t="shared" si="163"/>
        <v>20949</v>
      </c>
    </row>
    <row r="2623" spans="1:22" x14ac:dyDescent="0.35">
      <c r="A2623">
        <v>73030</v>
      </c>
      <c r="B2623" t="s">
        <v>29</v>
      </c>
      <c r="C2623" t="s">
        <v>14</v>
      </c>
      <c r="D2623">
        <v>821</v>
      </c>
      <c r="E2623">
        <v>403</v>
      </c>
      <c r="F2623">
        <v>500</v>
      </c>
      <c r="G2623">
        <v>1</v>
      </c>
      <c r="H2623">
        <v>15040</v>
      </c>
      <c r="I2623">
        <v>1</v>
      </c>
      <c r="J2623">
        <v>89</v>
      </c>
      <c r="K2623">
        <v>417</v>
      </c>
      <c r="L2623">
        <v>474</v>
      </c>
      <c r="M2623">
        <v>11.66666667</v>
      </c>
      <c r="N2623">
        <f>IFERROR(VLOOKUP(A2623,vlookup_table!$A:$G,2,FALSE),"")</f>
        <v>1</v>
      </c>
      <c r="O2623">
        <f>IFERROR(VLOOKUP(A2623,vlookup_table!$A:$G,4,FALSE),"")</f>
        <v>4601</v>
      </c>
      <c r="P2623" t="str">
        <f>IFERROR(VLOOKUP(A2623,vlookup_table!$A:$G,5,FALSE),"")</f>
        <v>T2</v>
      </c>
      <c r="Q2623">
        <f>IFERROR(VLOOKUP(A2623,vlookup_table!$A:$G,7,FALSE),"")</f>
        <v>25</v>
      </c>
      <c r="R2623">
        <f t="shared" si="160"/>
        <v>51</v>
      </c>
      <c r="S2623" t="str" cm="1">
        <f t="array" ref="S2623">IF(P2623="","",_xlfn.SWITCH(LEFT(P2623,1),"C","Ciudad","T","Pueblo","R","Rural","S","Suburbano","U","Urbano",""))</f>
        <v>Pueblo</v>
      </c>
      <c r="T2623" t="str">
        <f t="shared" si="161"/>
        <v>M</v>
      </c>
      <c r="U2623" t="str">
        <f t="shared" si="162"/>
        <v>MI</v>
      </c>
      <c r="V2623" t="str">
        <f t="shared" si="163"/>
        <v>15040</v>
      </c>
    </row>
    <row r="2624" spans="1:22" x14ac:dyDescent="0.35">
      <c r="A2624">
        <v>181972</v>
      </c>
      <c r="B2624" t="s">
        <v>40</v>
      </c>
      <c r="C2624" t="s">
        <v>17</v>
      </c>
      <c r="D2624">
        <v>646</v>
      </c>
      <c r="E2624">
        <v>357</v>
      </c>
      <c r="F2624">
        <v>377</v>
      </c>
      <c r="G2624">
        <v>0</v>
      </c>
      <c r="H2624">
        <v>13882</v>
      </c>
      <c r="I2624">
        <v>4</v>
      </c>
      <c r="J2624">
        <v>60</v>
      </c>
      <c r="K2624">
        <v>365</v>
      </c>
      <c r="L2624">
        <v>354</v>
      </c>
      <c r="M2624">
        <v>12</v>
      </c>
      <c r="N2624">
        <f>IFERROR(VLOOKUP(A2624,vlookup_table!$A:$G,2,FALSE),"")</f>
        <v>0</v>
      </c>
      <c r="O2624">
        <f>IFERROR(VLOOKUP(A2624,vlookup_table!$A:$G,4,FALSE),"")</f>
        <v>5210</v>
      </c>
      <c r="P2624" t="str">
        <f>IFERROR(VLOOKUP(A2624,vlookup_table!$A:$G,5,FALSE),"")</f>
        <v>U2</v>
      </c>
      <c r="Q2624">
        <f>IFERROR(VLOOKUP(A2624,vlookup_table!$A:$G,7,FALSE),"")</f>
        <v>10</v>
      </c>
      <c r="R2624">
        <f t="shared" si="160"/>
        <v>45</v>
      </c>
      <c r="S2624" t="str" cm="1">
        <f t="array" ref="S2624">IF(P2624="","",_xlfn.SWITCH(LEFT(P2624,1),"C","Ciudad","T","Pueblo","R","Rural","S","Suburbano","U","Urbano",""))</f>
        <v>Urbano</v>
      </c>
      <c r="T2624" t="str">
        <f t="shared" si="161"/>
        <v>F</v>
      </c>
      <c r="U2624" t="str">
        <f t="shared" si="162"/>
        <v>WA</v>
      </c>
      <c r="V2624" t="str">
        <f t="shared" si="163"/>
        <v>13882</v>
      </c>
    </row>
    <row r="2625" spans="1:22" x14ac:dyDescent="0.35">
      <c r="A2625">
        <v>14598</v>
      </c>
      <c r="B2625" t="s">
        <v>18</v>
      </c>
      <c r="C2625" t="s">
        <v>14</v>
      </c>
      <c r="D2625">
        <v>510</v>
      </c>
      <c r="E2625">
        <v>261</v>
      </c>
      <c r="F2625">
        <v>401</v>
      </c>
      <c r="G2625">
        <v>1</v>
      </c>
      <c r="H2625">
        <v>10743</v>
      </c>
      <c r="I2625">
        <v>0</v>
      </c>
      <c r="J2625">
        <v>58</v>
      </c>
      <c r="K2625">
        <v>413</v>
      </c>
      <c r="L2625">
        <v>303</v>
      </c>
      <c r="M2625">
        <v>20.166666670000001</v>
      </c>
      <c r="N2625">
        <f>IFERROR(VLOOKUP(A2625,vlookup_table!$A:$G,2,FALSE),"")</f>
        <v>1</v>
      </c>
      <c r="O2625">
        <f>IFERROR(VLOOKUP(A2625,vlookup_table!$A:$G,4,FALSE),"")</f>
        <v>1401</v>
      </c>
      <c r="P2625" t="str">
        <f>IFERROR(VLOOKUP(A2625,vlookup_table!$A:$G,5,FALSE),"")</f>
        <v>T2</v>
      </c>
      <c r="Q2625">
        <f>IFERROR(VLOOKUP(A2625,vlookup_table!$A:$G,7,FALSE),"")</f>
        <v>50</v>
      </c>
      <c r="R2625">
        <f t="shared" si="160"/>
        <v>83</v>
      </c>
      <c r="S2625" t="str" cm="1">
        <f t="array" ref="S2625">IF(P2625="","",_xlfn.SWITCH(LEFT(P2625,1),"C","Ciudad","T","Pueblo","R","Rural","S","Suburbano","U","Urbano",""))</f>
        <v>Pueblo</v>
      </c>
      <c r="T2625" t="str">
        <f t="shared" si="161"/>
        <v>M</v>
      </c>
      <c r="U2625" t="str">
        <f t="shared" si="162"/>
        <v>NC</v>
      </c>
      <c r="V2625" t="str">
        <f t="shared" si="163"/>
        <v>10743</v>
      </c>
    </row>
    <row r="2626" spans="1:22" x14ac:dyDescent="0.35">
      <c r="A2626">
        <v>92052</v>
      </c>
      <c r="B2626" t="s">
        <v>16</v>
      </c>
      <c r="C2626" t="s">
        <v>14</v>
      </c>
      <c r="D2626">
        <v>587</v>
      </c>
      <c r="E2626">
        <v>313</v>
      </c>
      <c r="F2626">
        <v>384</v>
      </c>
      <c r="G2626">
        <v>0</v>
      </c>
      <c r="H2626">
        <v>15084</v>
      </c>
      <c r="I2626">
        <v>11</v>
      </c>
      <c r="J2626">
        <v>62</v>
      </c>
      <c r="K2626">
        <v>343</v>
      </c>
      <c r="L2626">
        <v>349</v>
      </c>
      <c r="M2626">
        <v>5.55</v>
      </c>
      <c r="N2626">
        <f>IFERROR(VLOOKUP(A2626,vlookup_table!$A:$G,2,FALSE),"")</f>
        <v>1</v>
      </c>
      <c r="O2626">
        <f>IFERROR(VLOOKUP(A2626,vlookup_table!$A:$G,4,FALSE),"")</f>
        <v>1311</v>
      </c>
      <c r="P2626" t="str">
        <f>IFERROR(VLOOKUP(A2626,vlookup_table!$A:$G,5,FALSE),"")</f>
        <v>C3</v>
      </c>
      <c r="Q2626">
        <f>IFERROR(VLOOKUP(A2626,vlookup_table!$A:$G,7,FALSE),"")</f>
        <v>10</v>
      </c>
      <c r="R2626">
        <f t="shared" ref="R2626:R2689" si="164">IF(O2626="","",97-INT(O2626/100))</f>
        <v>84</v>
      </c>
      <c r="S2626" t="str" cm="1">
        <f t="array" ref="S2626">IF(P2626="","",_xlfn.SWITCH(LEFT(P2626,1),"C","Ciudad","T","Pueblo","R","Rural","S","Suburbano","U","Urbano",""))</f>
        <v>Ciudad</v>
      </c>
      <c r="T2626" t="str">
        <f t="shared" ref="T2626:T2689" si="165">IF(C2626="","",IF(OR(UPPER(C2626)="M",UPPER(C2626)="MALE"),"M",IF(OR(UPPER(C2626)="F",UPPER(C2626)="FEMALE",UPPER(C2626)="FEAMALE"),"F",C2626)))</f>
        <v>M</v>
      </c>
      <c r="U2626" t="str">
        <f t="shared" ref="U2626:U2689" si="166">IF(OR(UPPER(B2626)="CALIFORNIA",UPPER(B2626)="CALI"),"CA",B2626)</f>
        <v>IL</v>
      </c>
      <c r="V2626" t="str">
        <f t="shared" ref="V2626:V2689" si="167">SUBSTITUTE(H2626,"@","")</f>
        <v>15084</v>
      </c>
    </row>
    <row r="2627" spans="1:22" x14ac:dyDescent="0.35">
      <c r="A2627">
        <v>15086</v>
      </c>
      <c r="B2627" t="s">
        <v>18</v>
      </c>
      <c r="C2627" t="s">
        <v>20</v>
      </c>
      <c r="D2627">
        <v>595</v>
      </c>
      <c r="E2627">
        <v>289</v>
      </c>
      <c r="F2627">
        <v>381</v>
      </c>
      <c r="G2627">
        <v>0</v>
      </c>
      <c r="H2627">
        <v>13060</v>
      </c>
      <c r="I2627">
        <v>0</v>
      </c>
      <c r="J2627">
        <v>85</v>
      </c>
      <c r="K2627">
        <v>346</v>
      </c>
      <c r="L2627">
        <v>330</v>
      </c>
      <c r="M2627">
        <v>14.18181818</v>
      </c>
      <c r="N2627">
        <f>IFERROR(VLOOKUP(A2627,vlookup_table!$A:$G,2,FALSE),"")</f>
        <v>0</v>
      </c>
      <c r="O2627">
        <f>IFERROR(VLOOKUP(A2627,vlookup_table!$A:$G,4,FALSE),"")</f>
        <v>0</v>
      </c>
      <c r="P2627" t="str">
        <f>IFERROR(VLOOKUP(A2627,vlookup_table!$A:$G,5,FALSE),"")</f>
        <v>R2</v>
      </c>
      <c r="Q2627">
        <f>IFERROR(VLOOKUP(A2627,vlookup_table!$A:$G,7,FALSE),"")</f>
        <v>10</v>
      </c>
      <c r="R2627">
        <f t="shared" si="164"/>
        <v>97</v>
      </c>
      <c r="S2627" t="str" cm="1">
        <f t="array" ref="S2627">IF(P2627="","",_xlfn.SWITCH(LEFT(P2627,1),"C","Ciudad","T","Pueblo","R","Rural","S","Suburbano","U","Urbano",""))</f>
        <v>Rural</v>
      </c>
      <c r="T2627" t="str">
        <f t="shared" si="165"/>
        <v>F</v>
      </c>
      <c r="U2627" t="str">
        <f t="shared" si="166"/>
        <v>NC</v>
      </c>
      <c r="V2627" t="str">
        <f t="shared" si="167"/>
        <v>13060</v>
      </c>
    </row>
    <row r="2628" spans="1:22" x14ac:dyDescent="0.35">
      <c r="A2628">
        <v>92058</v>
      </c>
      <c r="B2628" t="s">
        <v>59</v>
      </c>
      <c r="C2628" t="s">
        <v>17</v>
      </c>
      <c r="D2628">
        <v>1010</v>
      </c>
      <c r="E2628">
        <v>547</v>
      </c>
      <c r="F2628">
        <v>618</v>
      </c>
      <c r="G2628">
        <v>8</v>
      </c>
      <c r="H2628">
        <v>18137</v>
      </c>
      <c r="I2628">
        <v>1</v>
      </c>
      <c r="J2628">
        <v>57</v>
      </c>
      <c r="K2628">
        <v>554</v>
      </c>
      <c r="L2628">
        <v>611</v>
      </c>
      <c r="M2628">
        <v>15</v>
      </c>
      <c r="N2628">
        <f>IFERROR(VLOOKUP(A2628,vlookup_table!$A:$G,2,FALSE),"")</f>
        <v>0</v>
      </c>
      <c r="O2628">
        <f>IFERROR(VLOOKUP(A2628,vlookup_table!$A:$G,4,FALSE),"")</f>
        <v>0</v>
      </c>
      <c r="P2628" t="str">
        <f>IFERROR(VLOOKUP(A2628,vlookup_table!$A:$G,5,FALSE),"")</f>
        <v>S1</v>
      </c>
      <c r="Q2628">
        <f>IFERROR(VLOOKUP(A2628,vlookup_table!$A:$G,7,FALSE),"")</f>
        <v>15</v>
      </c>
      <c r="R2628">
        <f t="shared" si="164"/>
        <v>97</v>
      </c>
      <c r="S2628" t="str" cm="1">
        <f t="array" ref="S2628">IF(P2628="","",_xlfn.SWITCH(LEFT(P2628,1),"C","Ciudad","T","Pueblo","R","Rural","S","Suburbano","U","Urbano",""))</f>
        <v>Suburbano</v>
      </c>
      <c r="T2628" t="str">
        <f t="shared" si="165"/>
        <v>F</v>
      </c>
      <c r="U2628" t="str">
        <f t="shared" si="166"/>
        <v>NE</v>
      </c>
      <c r="V2628" t="str">
        <f t="shared" si="167"/>
        <v>18137</v>
      </c>
    </row>
    <row r="2629" spans="1:22" x14ac:dyDescent="0.35">
      <c r="A2629">
        <v>18104</v>
      </c>
      <c r="B2629" t="s">
        <v>18</v>
      </c>
      <c r="C2629" t="s">
        <v>14</v>
      </c>
      <c r="D2629">
        <v>915</v>
      </c>
      <c r="E2629">
        <v>327</v>
      </c>
      <c r="F2629">
        <v>512</v>
      </c>
      <c r="G2629">
        <v>3</v>
      </c>
      <c r="H2629">
        <v>17723</v>
      </c>
      <c r="I2629">
        <v>3</v>
      </c>
      <c r="J2629">
        <v>64</v>
      </c>
      <c r="K2629">
        <v>461</v>
      </c>
      <c r="L2629">
        <v>387</v>
      </c>
      <c r="M2629">
        <v>10.545454550000001</v>
      </c>
      <c r="N2629">
        <f>IFERROR(VLOOKUP(A2629,vlookup_table!$A:$G,2,FALSE),"")</f>
        <v>0</v>
      </c>
      <c r="O2629">
        <f>IFERROR(VLOOKUP(A2629,vlookup_table!$A:$G,4,FALSE),"")</f>
        <v>5406</v>
      </c>
      <c r="P2629" t="str">
        <f>IFERROR(VLOOKUP(A2629,vlookup_table!$A:$G,5,FALSE),"")</f>
        <v>C1</v>
      </c>
      <c r="Q2629">
        <f>IFERROR(VLOOKUP(A2629,vlookup_table!$A:$G,7,FALSE),"")</f>
        <v>12</v>
      </c>
      <c r="R2629">
        <f t="shared" si="164"/>
        <v>43</v>
      </c>
      <c r="S2629" t="str" cm="1">
        <f t="array" ref="S2629">IF(P2629="","",_xlfn.SWITCH(LEFT(P2629,1),"C","Ciudad","T","Pueblo","R","Rural","S","Suburbano","U","Urbano",""))</f>
        <v>Ciudad</v>
      </c>
      <c r="T2629" t="str">
        <f t="shared" si="165"/>
        <v>M</v>
      </c>
      <c r="U2629" t="str">
        <f t="shared" si="166"/>
        <v>NC</v>
      </c>
      <c r="V2629" t="str">
        <f t="shared" si="167"/>
        <v>17723</v>
      </c>
    </row>
    <row r="2630" spans="1:22" x14ac:dyDescent="0.35">
      <c r="A2630">
        <v>91942</v>
      </c>
      <c r="B2630" t="s">
        <v>16</v>
      </c>
      <c r="C2630" t="s">
        <v>14</v>
      </c>
      <c r="D2630">
        <v>868</v>
      </c>
      <c r="E2630">
        <v>357</v>
      </c>
      <c r="F2630">
        <v>397</v>
      </c>
      <c r="G2630">
        <v>0</v>
      </c>
      <c r="H2630">
        <v>13378</v>
      </c>
      <c r="I2630">
        <v>1</v>
      </c>
      <c r="J2630">
        <v>85</v>
      </c>
      <c r="K2630">
        <v>382</v>
      </c>
      <c r="L2630">
        <v>382</v>
      </c>
      <c r="M2630">
        <v>3.592592593</v>
      </c>
      <c r="N2630">
        <f>IFERROR(VLOOKUP(A2630,vlookup_table!$A:$G,2,FALSE),"")</f>
        <v>2</v>
      </c>
      <c r="O2630">
        <f>IFERROR(VLOOKUP(A2630,vlookup_table!$A:$G,4,FALSE),"")</f>
        <v>2308</v>
      </c>
      <c r="P2630" t="str">
        <f>IFERROR(VLOOKUP(A2630,vlookup_table!$A:$G,5,FALSE),"")</f>
        <v>S2</v>
      </c>
      <c r="Q2630">
        <f>IFERROR(VLOOKUP(A2630,vlookup_table!$A:$G,7,FALSE),"")</f>
        <v>3</v>
      </c>
      <c r="R2630">
        <f t="shared" si="164"/>
        <v>74</v>
      </c>
      <c r="S2630" t="str" cm="1">
        <f t="array" ref="S2630">IF(P2630="","",_xlfn.SWITCH(LEFT(P2630,1),"C","Ciudad","T","Pueblo","R","Rural","S","Suburbano","U","Urbano",""))</f>
        <v>Suburbano</v>
      </c>
      <c r="T2630" t="str">
        <f t="shared" si="165"/>
        <v>M</v>
      </c>
      <c r="U2630" t="str">
        <f t="shared" si="166"/>
        <v>IL</v>
      </c>
      <c r="V2630" t="str">
        <f t="shared" si="167"/>
        <v>13378</v>
      </c>
    </row>
    <row r="2631" spans="1:22" x14ac:dyDescent="0.35">
      <c r="A2631">
        <v>103926</v>
      </c>
      <c r="B2631" t="s">
        <v>36</v>
      </c>
      <c r="C2631" t="s">
        <v>14</v>
      </c>
      <c r="D2631">
        <v>472</v>
      </c>
      <c r="E2631">
        <v>157</v>
      </c>
      <c r="F2631">
        <v>225</v>
      </c>
      <c r="G2631">
        <v>1</v>
      </c>
      <c r="H2631">
        <v>8974</v>
      </c>
      <c r="I2631">
        <v>2</v>
      </c>
      <c r="J2631">
        <v>62</v>
      </c>
      <c r="K2631">
        <v>167</v>
      </c>
      <c r="L2631">
        <v>203</v>
      </c>
      <c r="M2631">
        <v>6.2083333329999997</v>
      </c>
      <c r="N2631">
        <f>IFERROR(VLOOKUP(A2631,vlookup_table!$A:$G,2,FALSE),"")</f>
        <v>1</v>
      </c>
      <c r="O2631">
        <f>IFERROR(VLOOKUP(A2631,vlookup_table!$A:$G,4,FALSE),"")</f>
        <v>804</v>
      </c>
      <c r="P2631" t="str">
        <f>IFERROR(VLOOKUP(A2631,vlookup_table!$A:$G,5,FALSE),"")</f>
        <v>R2</v>
      </c>
      <c r="Q2631">
        <f>IFERROR(VLOOKUP(A2631,vlookup_table!$A:$G,7,FALSE),"")</f>
        <v>5</v>
      </c>
      <c r="R2631">
        <f t="shared" si="164"/>
        <v>89</v>
      </c>
      <c r="S2631" t="str" cm="1">
        <f t="array" ref="S2631">IF(P2631="","",_xlfn.SWITCH(LEFT(P2631,1),"C","Ciudad","T","Pueblo","R","Rural","S","Suburbano","U","Urbano",""))</f>
        <v>Rural</v>
      </c>
      <c r="T2631" t="str">
        <f t="shared" si="165"/>
        <v>M</v>
      </c>
      <c r="U2631" t="str">
        <f t="shared" si="166"/>
        <v>MO</v>
      </c>
      <c r="V2631" t="str">
        <f t="shared" si="167"/>
        <v>8974</v>
      </c>
    </row>
    <row r="2632" spans="1:22" x14ac:dyDescent="0.35">
      <c r="A2632">
        <v>149033</v>
      </c>
      <c r="B2632" t="s">
        <v>22</v>
      </c>
      <c r="C2632" t="s">
        <v>17</v>
      </c>
      <c r="D2632">
        <v>3514</v>
      </c>
      <c r="E2632">
        <v>691</v>
      </c>
      <c r="F2632">
        <v>795</v>
      </c>
      <c r="G2632">
        <v>98</v>
      </c>
      <c r="H2632">
        <v>28298</v>
      </c>
      <c r="I2632">
        <v>10</v>
      </c>
      <c r="J2632">
        <v>40</v>
      </c>
      <c r="K2632">
        <v>728</v>
      </c>
      <c r="L2632">
        <v>763</v>
      </c>
      <c r="M2632">
        <v>7.3333333329999997</v>
      </c>
      <c r="N2632">
        <f>IFERROR(VLOOKUP(A2632,vlookup_table!$A:$G,2,FALSE),"")</f>
        <v>0</v>
      </c>
      <c r="O2632">
        <f>IFERROR(VLOOKUP(A2632,vlookup_table!$A:$G,4,FALSE),"")</f>
        <v>2801</v>
      </c>
      <c r="P2632" t="str">
        <f>IFERROR(VLOOKUP(A2632,vlookup_table!$A:$G,5,FALSE),"")</f>
        <v>C3</v>
      </c>
      <c r="Q2632">
        <f>IFERROR(VLOOKUP(A2632,vlookup_table!$A:$G,7,FALSE),"")</f>
        <v>7</v>
      </c>
      <c r="R2632">
        <f t="shared" si="164"/>
        <v>69</v>
      </c>
      <c r="S2632" t="str" cm="1">
        <f t="array" ref="S2632">IF(P2632="","",_xlfn.SWITCH(LEFT(P2632,1),"C","Ciudad","T","Pueblo","R","Rural","S","Suburbano","U","Urbano",""))</f>
        <v>Ciudad</v>
      </c>
      <c r="T2632" t="str">
        <f t="shared" si="165"/>
        <v>F</v>
      </c>
      <c r="U2632" t="str">
        <f t="shared" si="166"/>
        <v>CA</v>
      </c>
      <c r="V2632" t="str">
        <f t="shared" si="167"/>
        <v>28298</v>
      </c>
    </row>
    <row r="2633" spans="1:22" x14ac:dyDescent="0.35">
      <c r="A2633">
        <v>52196</v>
      </c>
      <c r="B2633" t="s">
        <v>68</v>
      </c>
      <c r="C2633" t="s">
        <v>14</v>
      </c>
      <c r="D2633">
        <v>504</v>
      </c>
      <c r="E2633">
        <v>338</v>
      </c>
      <c r="F2633">
        <v>396</v>
      </c>
      <c r="G2633">
        <v>0</v>
      </c>
      <c r="H2633">
        <v>16375</v>
      </c>
      <c r="I2633">
        <v>1</v>
      </c>
      <c r="J2633">
        <v>60</v>
      </c>
      <c r="K2633">
        <v>363</v>
      </c>
      <c r="L2633">
        <v>372</v>
      </c>
      <c r="M2633">
        <v>10</v>
      </c>
      <c r="N2633">
        <f>IFERROR(VLOOKUP(A2633,vlookup_table!$A:$G,2,FALSE),"")</f>
        <v>1</v>
      </c>
      <c r="O2633">
        <f>IFERROR(VLOOKUP(A2633,vlookup_table!$A:$G,4,FALSE),"")</f>
        <v>5001</v>
      </c>
      <c r="P2633" t="str">
        <f>IFERROR(VLOOKUP(A2633,vlookup_table!$A:$G,5,FALSE),"")</f>
        <v>T2</v>
      </c>
      <c r="Q2633">
        <f>IFERROR(VLOOKUP(A2633,vlookup_table!$A:$G,7,FALSE),"")</f>
        <v>10</v>
      </c>
      <c r="R2633">
        <f t="shared" si="164"/>
        <v>47</v>
      </c>
      <c r="S2633" t="str" cm="1">
        <f t="array" ref="S2633">IF(P2633="","",_xlfn.SWITCH(LEFT(P2633,1),"C","Ciudad","T","Pueblo","R","Rural","S","Suburbano","U","Urbano",""))</f>
        <v>Pueblo</v>
      </c>
      <c r="T2633" t="str">
        <f t="shared" si="165"/>
        <v>M</v>
      </c>
      <c r="U2633" t="str">
        <f t="shared" si="166"/>
        <v>Tennessee</v>
      </c>
      <c r="V2633" t="str">
        <f t="shared" si="167"/>
        <v>16375</v>
      </c>
    </row>
    <row r="2634" spans="1:22" x14ac:dyDescent="0.35">
      <c r="A2634">
        <v>38519</v>
      </c>
      <c r="B2634" t="s">
        <v>13</v>
      </c>
      <c r="C2634" t="s">
        <v>17</v>
      </c>
      <c r="D2634">
        <v>1098</v>
      </c>
      <c r="E2634">
        <v>342</v>
      </c>
      <c r="F2634">
        <v>544</v>
      </c>
      <c r="G2634">
        <v>3</v>
      </c>
      <c r="H2634">
        <v>23740</v>
      </c>
      <c r="I2634">
        <v>22</v>
      </c>
      <c r="J2634">
        <v>20</v>
      </c>
      <c r="K2634">
        <v>455</v>
      </c>
      <c r="L2634">
        <v>428</v>
      </c>
      <c r="M2634">
        <v>3.1176470589999998</v>
      </c>
      <c r="N2634">
        <f>IFERROR(VLOOKUP(A2634,vlookup_table!$A:$G,2,FALSE),"")</f>
        <v>0</v>
      </c>
      <c r="O2634">
        <f>IFERROR(VLOOKUP(A2634,vlookup_table!$A:$G,4,FALSE),"")</f>
        <v>4601</v>
      </c>
      <c r="P2634" t="str">
        <f>IFERROR(VLOOKUP(A2634,vlookup_table!$A:$G,5,FALSE),"")</f>
        <v>S1</v>
      </c>
      <c r="Q2634">
        <f>IFERROR(VLOOKUP(A2634,vlookup_table!$A:$G,7,FALSE),"")</f>
        <v>2</v>
      </c>
      <c r="R2634">
        <f t="shared" si="164"/>
        <v>51</v>
      </c>
      <c r="S2634" t="str" cm="1">
        <f t="array" ref="S2634">IF(P2634="","",_xlfn.SWITCH(LEFT(P2634,1),"C","Ciudad","T","Pueblo","R","Rural","S","Suburbano","U","Urbano",""))</f>
        <v>Suburbano</v>
      </c>
      <c r="T2634" t="str">
        <f t="shared" si="165"/>
        <v>F</v>
      </c>
      <c r="U2634" t="str">
        <f t="shared" si="166"/>
        <v>FL</v>
      </c>
      <c r="V2634" t="str">
        <f t="shared" si="167"/>
        <v>23740</v>
      </c>
    </row>
    <row r="2635" spans="1:22" x14ac:dyDescent="0.35">
      <c r="A2635">
        <v>107413</v>
      </c>
      <c r="B2635" t="s">
        <v>59</v>
      </c>
      <c r="C2635" t="s">
        <v>17</v>
      </c>
      <c r="D2635">
        <v>396</v>
      </c>
      <c r="E2635">
        <v>259</v>
      </c>
      <c r="F2635">
        <v>319</v>
      </c>
      <c r="G2635">
        <v>0</v>
      </c>
      <c r="H2635">
        <v>10244</v>
      </c>
      <c r="I2635">
        <v>0</v>
      </c>
      <c r="J2635">
        <v>45</v>
      </c>
      <c r="K2635">
        <v>290</v>
      </c>
      <c r="L2635">
        <v>288</v>
      </c>
      <c r="M2635">
        <v>9.4285714289999998</v>
      </c>
      <c r="N2635">
        <f>IFERROR(VLOOKUP(A2635,vlookup_table!$A:$G,2,FALSE),"")</f>
        <v>2</v>
      </c>
      <c r="O2635">
        <f>IFERROR(VLOOKUP(A2635,vlookup_table!$A:$G,4,FALSE),"")</f>
        <v>0</v>
      </c>
      <c r="P2635" t="str">
        <f>IFERROR(VLOOKUP(A2635,vlookup_table!$A:$G,5,FALSE),"")</f>
        <v>R2</v>
      </c>
      <c r="Q2635">
        <f>IFERROR(VLOOKUP(A2635,vlookup_table!$A:$G,7,FALSE),"")</f>
        <v>14</v>
      </c>
      <c r="R2635">
        <f t="shared" si="164"/>
        <v>97</v>
      </c>
      <c r="S2635" t="str" cm="1">
        <f t="array" ref="S2635">IF(P2635="","",_xlfn.SWITCH(LEFT(P2635,1),"C","Ciudad","T","Pueblo","R","Rural","S","Suburbano","U","Urbano",""))</f>
        <v>Rural</v>
      </c>
      <c r="T2635" t="str">
        <f t="shared" si="165"/>
        <v>F</v>
      </c>
      <c r="U2635" t="str">
        <f t="shared" si="166"/>
        <v>NE</v>
      </c>
      <c r="V2635" t="str">
        <f t="shared" si="167"/>
        <v>10244</v>
      </c>
    </row>
    <row r="2636" spans="1:22" x14ac:dyDescent="0.35">
      <c r="A2636">
        <v>6099</v>
      </c>
      <c r="B2636" t="s">
        <v>22</v>
      </c>
      <c r="C2636" t="s">
        <v>14</v>
      </c>
      <c r="D2636">
        <v>1733</v>
      </c>
      <c r="E2636">
        <v>410</v>
      </c>
      <c r="F2636">
        <v>442</v>
      </c>
      <c r="G2636">
        <v>40</v>
      </c>
      <c r="H2636">
        <v>13449</v>
      </c>
      <c r="I2636">
        <v>10</v>
      </c>
      <c r="J2636">
        <v>53</v>
      </c>
      <c r="K2636">
        <v>441</v>
      </c>
      <c r="L2636">
        <v>412</v>
      </c>
      <c r="M2636">
        <v>8.96875</v>
      </c>
      <c r="N2636">
        <f>IFERROR(VLOOKUP(A2636,vlookup_table!$A:$G,2,FALSE),"")</f>
        <v>0</v>
      </c>
      <c r="O2636">
        <f>IFERROR(VLOOKUP(A2636,vlookup_table!$A:$G,4,FALSE),"")</f>
        <v>5501</v>
      </c>
      <c r="P2636" t="str">
        <f>IFERROR(VLOOKUP(A2636,vlookup_table!$A:$G,5,FALSE),"")</f>
        <v>T2</v>
      </c>
      <c r="Q2636">
        <f>IFERROR(VLOOKUP(A2636,vlookup_table!$A:$G,7,FALSE),"")</f>
        <v>10</v>
      </c>
      <c r="R2636">
        <f t="shared" si="164"/>
        <v>42</v>
      </c>
      <c r="S2636" t="str" cm="1">
        <f t="array" ref="S2636">IF(P2636="","",_xlfn.SWITCH(LEFT(P2636,1),"C","Ciudad","T","Pueblo","R","Rural","S","Suburbano","U","Urbano",""))</f>
        <v>Pueblo</v>
      </c>
      <c r="T2636" t="str">
        <f t="shared" si="165"/>
        <v>M</v>
      </c>
      <c r="U2636" t="str">
        <f t="shared" si="166"/>
        <v>CA</v>
      </c>
      <c r="V2636" t="str">
        <f t="shared" si="167"/>
        <v>13449</v>
      </c>
    </row>
    <row r="2637" spans="1:22" x14ac:dyDescent="0.35">
      <c r="A2637">
        <v>95879</v>
      </c>
      <c r="B2637" t="s">
        <v>16</v>
      </c>
      <c r="C2637" t="s">
        <v>17</v>
      </c>
      <c r="D2637">
        <v>363</v>
      </c>
      <c r="E2637">
        <v>242</v>
      </c>
      <c r="F2637">
        <v>297</v>
      </c>
      <c r="G2637">
        <v>0</v>
      </c>
      <c r="H2637">
        <v>11607</v>
      </c>
      <c r="I2637">
        <v>2</v>
      </c>
      <c r="J2637">
        <v>69</v>
      </c>
      <c r="K2637">
        <v>244</v>
      </c>
      <c r="L2637">
        <v>302</v>
      </c>
      <c r="M2637">
        <v>23</v>
      </c>
      <c r="N2637">
        <f>IFERROR(VLOOKUP(A2637,vlookup_table!$A:$G,2,FALSE),"")</f>
        <v>28</v>
      </c>
      <c r="O2637">
        <f>IFERROR(VLOOKUP(A2637,vlookup_table!$A:$G,4,FALSE),"")</f>
        <v>4306</v>
      </c>
      <c r="P2637" t="str">
        <f>IFERROR(VLOOKUP(A2637,vlookup_table!$A:$G,5,FALSE),"")</f>
        <v>T3</v>
      </c>
      <c r="Q2637">
        <f>IFERROR(VLOOKUP(A2637,vlookup_table!$A:$G,7,FALSE),"")</f>
        <v>30</v>
      </c>
      <c r="R2637">
        <f t="shared" si="164"/>
        <v>54</v>
      </c>
      <c r="S2637" t="str" cm="1">
        <f t="array" ref="S2637">IF(P2637="","",_xlfn.SWITCH(LEFT(P2637,1),"C","Ciudad","T","Pueblo","R","Rural","S","Suburbano","U","Urbano",""))</f>
        <v>Pueblo</v>
      </c>
      <c r="T2637" t="str">
        <f t="shared" si="165"/>
        <v>F</v>
      </c>
      <c r="U2637" t="str">
        <f t="shared" si="166"/>
        <v>IL</v>
      </c>
      <c r="V2637" t="str">
        <f t="shared" si="167"/>
        <v>11607</v>
      </c>
    </row>
    <row r="2638" spans="1:22" x14ac:dyDescent="0.35">
      <c r="A2638">
        <v>16175</v>
      </c>
      <c r="B2638" t="s">
        <v>18</v>
      </c>
      <c r="C2638" t="s">
        <v>20</v>
      </c>
      <c r="D2638">
        <v>444</v>
      </c>
      <c r="E2638">
        <v>265</v>
      </c>
      <c r="F2638">
        <v>357</v>
      </c>
      <c r="G2638">
        <v>1</v>
      </c>
      <c r="H2638">
        <v>12189</v>
      </c>
      <c r="I2638">
        <v>0</v>
      </c>
      <c r="J2638">
        <v>89</v>
      </c>
      <c r="K2638">
        <v>282</v>
      </c>
      <c r="L2638">
        <v>322</v>
      </c>
      <c r="M2638">
        <v>25</v>
      </c>
      <c r="N2638">
        <f>IFERROR(VLOOKUP(A2638,vlookup_table!$A:$G,2,FALSE),"")</f>
        <v>0</v>
      </c>
      <c r="O2638">
        <f>IFERROR(VLOOKUP(A2638,vlookup_table!$A:$G,4,FALSE),"")</f>
        <v>2801</v>
      </c>
      <c r="P2638" t="str">
        <f>IFERROR(VLOOKUP(A2638,vlookup_table!$A:$G,5,FALSE),"")</f>
        <v>R3</v>
      </c>
      <c r="Q2638">
        <f>IFERROR(VLOOKUP(A2638,vlookup_table!$A:$G,7,FALSE),"")</f>
        <v>30</v>
      </c>
      <c r="R2638">
        <f t="shared" si="164"/>
        <v>69</v>
      </c>
      <c r="S2638" t="str" cm="1">
        <f t="array" ref="S2638">IF(P2638="","",_xlfn.SWITCH(LEFT(P2638,1),"C","Ciudad","T","Pueblo","R","Rural","S","Suburbano","U","Urbano",""))</f>
        <v>Rural</v>
      </c>
      <c r="T2638" t="str">
        <f t="shared" si="165"/>
        <v>F</v>
      </c>
      <c r="U2638" t="str">
        <f t="shared" si="166"/>
        <v>NC</v>
      </c>
      <c r="V2638" t="str">
        <f t="shared" si="167"/>
        <v>12189</v>
      </c>
    </row>
    <row r="2639" spans="1:22" x14ac:dyDescent="0.35">
      <c r="A2639">
        <v>43564</v>
      </c>
      <c r="B2639" t="s">
        <v>13</v>
      </c>
      <c r="C2639" t="s">
        <v>14</v>
      </c>
      <c r="D2639">
        <v>1165</v>
      </c>
      <c r="E2639">
        <v>373</v>
      </c>
      <c r="F2639">
        <v>410</v>
      </c>
      <c r="G2639">
        <v>9</v>
      </c>
      <c r="H2639">
        <v>15522</v>
      </c>
      <c r="I2639">
        <v>0</v>
      </c>
      <c r="J2639">
        <v>38</v>
      </c>
      <c r="K2639">
        <v>363</v>
      </c>
      <c r="L2639">
        <v>410</v>
      </c>
      <c r="M2639">
        <v>20</v>
      </c>
      <c r="N2639">
        <f>IFERROR(VLOOKUP(A2639,vlookup_table!$A:$G,2,FALSE),"")</f>
        <v>1</v>
      </c>
      <c r="O2639">
        <f>IFERROR(VLOOKUP(A2639,vlookup_table!$A:$G,4,FALSE),"")</f>
        <v>4501</v>
      </c>
      <c r="P2639" t="str">
        <f>IFERROR(VLOOKUP(A2639,vlookup_table!$A:$G,5,FALSE),"")</f>
        <v>C2</v>
      </c>
      <c r="Q2639">
        <f>IFERROR(VLOOKUP(A2639,vlookup_table!$A:$G,7,FALSE),"")</f>
        <v>20</v>
      </c>
      <c r="R2639">
        <f t="shared" si="164"/>
        <v>52</v>
      </c>
      <c r="S2639" t="str" cm="1">
        <f t="array" ref="S2639">IF(P2639="","",_xlfn.SWITCH(LEFT(P2639,1),"C","Ciudad","T","Pueblo","R","Rural","S","Suburbano","U","Urbano",""))</f>
        <v>Ciudad</v>
      </c>
      <c r="T2639" t="str">
        <f t="shared" si="165"/>
        <v>M</v>
      </c>
      <c r="U2639" t="str">
        <f t="shared" si="166"/>
        <v>FL</v>
      </c>
      <c r="V2639" t="str">
        <f t="shared" si="167"/>
        <v>15522</v>
      </c>
    </row>
    <row r="2640" spans="1:22" x14ac:dyDescent="0.35">
      <c r="A2640">
        <v>64906</v>
      </c>
      <c r="B2640" t="s">
        <v>29</v>
      </c>
      <c r="C2640" t="s">
        <v>17</v>
      </c>
      <c r="D2640">
        <v>640</v>
      </c>
      <c r="E2640">
        <v>319</v>
      </c>
      <c r="F2640">
        <v>424</v>
      </c>
      <c r="G2640">
        <v>0</v>
      </c>
      <c r="H2640">
        <v>16559</v>
      </c>
      <c r="I2640">
        <v>5</v>
      </c>
      <c r="J2640">
        <v>80</v>
      </c>
      <c r="K2640">
        <v>391</v>
      </c>
      <c r="L2640">
        <v>372</v>
      </c>
      <c r="M2640">
        <v>25</v>
      </c>
      <c r="N2640">
        <f>IFERROR(VLOOKUP(A2640,vlookup_table!$A:$G,2,FALSE),"")</f>
        <v>0</v>
      </c>
      <c r="O2640">
        <f>IFERROR(VLOOKUP(A2640,vlookup_table!$A:$G,4,FALSE),"")</f>
        <v>3701</v>
      </c>
      <c r="P2640" t="str">
        <f>IFERROR(VLOOKUP(A2640,vlookup_table!$A:$G,5,FALSE),"")</f>
        <v>S2</v>
      </c>
      <c r="Q2640">
        <f>IFERROR(VLOOKUP(A2640,vlookup_table!$A:$G,7,FALSE),"")</f>
        <v>50</v>
      </c>
      <c r="R2640">
        <f t="shared" si="164"/>
        <v>60</v>
      </c>
      <c r="S2640" t="str" cm="1">
        <f t="array" ref="S2640">IF(P2640="","",_xlfn.SWITCH(LEFT(P2640,1),"C","Ciudad","T","Pueblo","R","Rural","S","Suburbano","U","Urbano",""))</f>
        <v>Suburbano</v>
      </c>
      <c r="T2640" t="str">
        <f t="shared" si="165"/>
        <v>F</v>
      </c>
      <c r="U2640" t="str">
        <f t="shared" si="166"/>
        <v>MI</v>
      </c>
      <c r="V2640" t="str">
        <f t="shared" si="167"/>
        <v>16559</v>
      </c>
    </row>
    <row r="2641" spans="1:22" x14ac:dyDescent="0.35">
      <c r="A2641">
        <v>149110</v>
      </c>
      <c r="B2641" t="s">
        <v>22</v>
      </c>
      <c r="C2641" t="s">
        <v>14</v>
      </c>
      <c r="D2641">
        <v>3994</v>
      </c>
      <c r="E2641">
        <v>522</v>
      </c>
      <c r="F2641">
        <v>734</v>
      </c>
      <c r="G2641">
        <v>99</v>
      </c>
      <c r="H2641">
        <v>24150</v>
      </c>
      <c r="I2641">
        <v>16</v>
      </c>
      <c r="J2641">
        <v>32</v>
      </c>
      <c r="K2641">
        <v>627</v>
      </c>
      <c r="L2641">
        <v>609</v>
      </c>
      <c r="M2641">
        <v>7.076923077</v>
      </c>
      <c r="N2641">
        <f>IFERROR(VLOOKUP(A2641,vlookup_table!$A:$G,2,FALSE),"")</f>
        <v>0</v>
      </c>
      <c r="O2641">
        <f>IFERROR(VLOOKUP(A2641,vlookup_table!$A:$G,4,FALSE),"")</f>
        <v>0</v>
      </c>
      <c r="P2641" t="str">
        <f>IFERROR(VLOOKUP(A2641,vlookup_table!$A:$G,5,FALSE),"")</f>
        <v>C1</v>
      </c>
      <c r="Q2641">
        <f>IFERROR(VLOOKUP(A2641,vlookup_table!$A:$G,7,FALSE),"")</f>
        <v>6</v>
      </c>
      <c r="R2641">
        <f t="shared" si="164"/>
        <v>97</v>
      </c>
      <c r="S2641" t="str" cm="1">
        <f t="array" ref="S2641">IF(P2641="","",_xlfn.SWITCH(LEFT(P2641,1),"C","Ciudad","T","Pueblo","R","Rural","S","Suburbano","U","Urbano",""))</f>
        <v>Ciudad</v>
      </c>
      <c r="T2641" t="str">
        <f t="shared" si="165"/>
        <v>M</v>
      </c>
      <c r="U2641" t="str">
        <f t="shared" si="166"/>
        <v>CA</v>
      </c>
      <c r="V2641" t="str">
        <f t="shared" si="167"/>
        <v>24150</v>
      </c>
    </row>
    <row r="2642" spans="1:22" x14ac:dyDescent="0.35">
      <c r="A2642">
        <v>24663</v>
      </c>
      <c r="B2642" t="s">
        <v>46</v>
      </c>
      <c r="C2642" t="s">
        <v>17</v>
      </c>
      <c r="D2642">
        <v>381</v>
      </c>
      <c r="E2642">
        <v>284</v>
      </c>
      <c r="F2642">
        <v>381</v>
      </c>
      <c r="G2642">
        <v>4</v>
      </c>
      <c r="H2642">
        <v>11085</v>
      </c>
      <c r="I2642">
        <v>0</v>
      </c>
      <c r="J2642">
        <v>81</v>
      </c>
      <c r="K2642">
        <v>354</v>
      </c>
      <c r="L2642">
        <v>319</v>
      </c>
      <c r="M2642">
        <v>10.07142857</v>
      </c>
      <c r="N2642">
        <f>IFERROR(VLOOKUP(A2642,vlookup_table!$A:$G,2,FALSE),"")</f>
        <v>0</v>
      </c>
      <c r="O2642">
        <f>IFERROR(VLOOKUP(A2642,vlookup_table!$A:$G,4,FALSE),"")</f>
        <v>3311</v>
      </c>
      <c r="P2642" t="str">
        <f>IFERROR(VLOOKUP(A2642,vlookup_table!$A:$G,5,FALSE),"")</f>
        <v>T2</v>
      </c>
      <c r="Q2642">
        <f>IFERROR(VLOOKUP(A2642,vlookup_table!$A:$G,7,FALSE),"")</f>
        <v>16</v>
      </c>
      <c r="R2642">
        <f t="shared" si="164"/>
        <v>64</v>
      </c>
      <c r="S2642" t="str" cm="1">
        <f t="array" ref="S2642">IF(P2642="","",_xlfn.SWITCH(LEFT(P2642,1),"C","Ciudad","T","Pueblo","R","Rural","S","Suburbano","U","Urbano",""))</f>
        <v>Pueblo</v>
      </c>
      <c r="T2642" t="str">
        <f t="shared" si="165"/>
        <v>F</v>
      </c>
      <c r="U2642" t="str">
        <f t="shared" si="166"/>
        <v>SC</v>
      </c>
      <c r="V2642" t="str">
        <f t="shared" si="167"/>
        <v>11085</v>
      </c>
    </row>
    <row r="2643" spans="1:22" x14ac:dyDescent="0.35">
      <c r="A2643">
        <v>85922</v>
      </c>
      <c r="B2643" t="s">
        <v>52</v>
      </c>
      <c r="C2643" t="s">
        <v>17</v>
      </c>
      <c r="D2643">
        <v>432</v>
      </c>
      <c r="E2643">
        <v>311</v>
      </c>
      <c r="F2643">
        <v>364</v>
      </c>
      <c r="G2643">
        <v>0</v>
      </c>
      <c r="H2643">
        <v>11095</v>
      </c>
      <c r="I2643">
        <v>6</v>
      </c>
      <c r="J2643">
        <v>78</v>
      </c>
      <c r="K2643">
        <v>319</v>
      </c>
      <c r="L2643">
        <v>323</v>
      </c>
      <c r="M2643">
        <v>10.764705879999999</v>
      </c>
      <c r="N2643">
        <f>IFERROR(VLOOKUP(A2643,vlookup_table!$A:$G,2,FALSE),"")</f>
        <v>0</v>
      </c>
      <c r="O2643">
        <f>IFERROR(VLOOKUP(A2643,vlookup_table!$A:$G,4,FALSE),"")</f>
        <v>4001</v>
      </c>
      <c r="P2643" t="str">
        <f>IFERROR(VLOOKUP(A2643,vlookup_table!$A:$G,5,FALSE),"")</f>
        <v>T2</v>
      </c>
      <c r="Q2643">
        <f>IFERROR(VLOOKUP(A2643,vlookup_table!$A:$G,7,FALSE),"")</f>
        <v>10</v>
      </c>
      <c r="R2643">
        <f t="shared" si="164"/>
        <v>57</v>
      </c>
      <c r="S2643" t="str" cm="1">
        <f t="array" ref="S2643">IF(P2643="","",_xlfn.SWITCH(LEFT(P2643,1),"C","Ciudad","T","Pueblo","R","Rural","S","Suburbano","U","Urbano",""))</f>
        <v>Pueblo</v>
      </c>
      <c r="T2643" t="str">
        <f t="shared" si="165"/>
        <v>F</v>
      </c>
      <c r="U2643" t="str">
        <f t="shared" si="166"/>
        <v>SD</v>
      </c>
      <c r="V2643" t="str">
        <f t="shared" si="167"/>
        <v>11095</v>
      </c>
    </row>
    <row r="2644" spans="1:22" x14ac:dyDescent="0.35">
      <c r="A2644">
        <v>84276</v>
      </c>
      <c r="B2644" t="s">
        <v>56</v>
      </c>
      <c r="C2644" t="s">
        <v>17</v>
      </c>
      <c r="D2644">
        <v>570</v>
      </c>
      <c r="E2644">
        <v>280</v>
      </c>
      <c r="F2644">
        <v>360</v>
      </c>
      <c r="G2644">
        <v>2</v>
      </c>
      <c r="H2644">
        <v>11330</v>
      </c>
      <c r="I2644">
        <v>1</v>
      </c>
      <c r="J2644">
        <v>82</v>
      </c>
      <c r="K2644">
        <v>314</v>
      </c>
      <c r="L2644">
        <v>325</v>
      </c>
      <c r="M2644">
        <v>5.3409090910000003</v>
      </c>
      <c r="N2644">
        <f>IFERROR(VLOOKUP(A2644,vlookup_table!$A:$G,2,FALSE),"")</f>
        <v>2</v>
      </c>
      <c r="O2644">
        <f>IFERROR(VLOOKUP(A2644,vlookup_table!$A:$G,4,FALSE),"")</f>
        <v>4311</v>
      </c>
      <c r="P2644" t="str">
        <f>IFERROR(VLOOKUP(A2644,vlookup_table!$A:$G,5,FALSE),"")</f>
        <v>R2</v>
      </c>
      <c r="Q2644">
        <f>IFERROR(VLOOKUP(A2644,vlookup_table!$A:$G,7,FALSE),"")</f>
        <v>3</v>
      </c>
      <c r="R2644">
        <f t="shared" si="164"/>
        <v>54</v>
      </c>
      <c r="S2644" t="str" cm="1">
        <f t="array" ref="S2644">IF(P2644="","",_xlfn.SWITCH(LEFT(P2644,1),"C","Ciudad","T","Pueblo","R","Rural","S","Suburbano","U","Urbano",""))</f>
        <v>Rural</v>
      </c>
      <c r="T2644" t="str">
        <f t="shared" si="165"/>
        <v>F</v>
      </c>
      <c r="U2644" t="str">
        <f t="shared" si="166"/>
        <v>MN</v>
      </c>
      <c r="V2644" t="str">
        <f t="shared" si="167"/>
        <v>11330</v>
      </c>
    </row>
    <row r="2645" spans="1:22" x14ac:dyDescent="0.35">
      <c r="A2645">
        <v>154611</v>
      </c>
      <c r="B2645" t="s">
        <v>22</v>
      </c>
      <c r="C2645" t="s">
        <v>17</v>
      </c>
      <c r="D2645">
        <v>1099</v>
      </c>
      <c r="E2645">
        <v>366</v>
      </c>
      <c r="F2645">
        <v>404</v>
      </c>
      <c r="G2645">
        <v>3</v>
      </c>
      <c r="H2645">
        <v>13229</v>
      </c>
      <c r="I2645">
        <v>5</v>
      </c>
      <c r="J2645">
        <v>57</v>
      </c>
      <c r="K2645">
        <v>363</v>
      </c>
      <c r="L2645">
        <v>391</v>
      </c>
      <c r="M2645">
        <v>4.8333333329999997</v>
      </c>
      <c r="N2645">
        <f>IFERROR(VLOOKUP(A2645,vlookup_table!$A:$G,2,FALSE),"")</f>
        <v>28</v>
      </c>
      <c r="O2645">
        <f>IFERROR(VLOOKUP(A2645,vlookup_table!$A:$G,4,FALSE),"")</f>
        <v>2101</v>
      </c>
      <c r="P2645" t="str">
        <f>IFERROR(VLOOKUP(A2645,vlookup_table!$A:$G,5,FALSE),"")</f>
        <v>T2</v>
      </c>
      <c r="Q2645">
        <f>IFERROR(VLOOKUP(A2645,vlookup_table!$A:$G,7,FALSE),"")</f>
        <v>5</v>
      </c>
      <c r="R2645">
        <f t="shared" si="164"/>
        <v>76</v>
      </c>
      <c r="S2645" t="str" cm="1">
        <f t="array" ref="S2645">IF(P2645="","",_xlfn.SWITCH(LEFT(P2645,1),"C","Ciudad","T","Pueblo","R","Rural","S","Suburbano","U","Urbano",""))</f>
        <v>Pueblo</v>
      </c>
      <c r="T2645" t="str">
        <f t="shared" si="165"/>
        <v>F</v>
      </c>
      <c r="U2645" t="str">
        <f t="shared" si="166"/>
        <v>CA</v>
      </c>
      <c r="V2645" t="str">
        <f t="shared" si="167"/>
        <v>13229</v>
      </c>
    </row>
    <row r="2646" spans="1:22" x14ac:dyDescent="0.35">
      <c r="A2646">
        <v>55293</v>
      </c>
      <c r="B2646" t="s">
        <v>62</v>
      </c>
      <c r="C2646" t="s">
        <v>20</v>
      </c>
      <c r="D2646">
        <v>444</v>
      </c>
      <c r="E2646">
        <v>136</v>
      </c>
      <c r="F2646">
        <v>235</v>
      </c>
      <c r="G2646">
        <v>2</v>
      </c>
      <c r="H2646">
        <v>11820</v>
      </c>
      <c r="I2646">
        <v>0</v>
      </c>
      <c r="J2646">
        <v>95</v>
      </c>
      <c r="K2646">
        <v>143</v>
      </c>
      <c r="L2646">
        <v>218</v>
      </c>
      <c r="M2646">
        <v>20</v>
      </c>
      <c r="N2646">
        <f>IFERROR(VLOOKUP(A2646,vlookup_table!$A:$G,2,FALSE),"")</f>
        <v>28</v>
      </c>
      <c r="O2646">
        <f>IFERROR(VLOOKUP(A2646,vlookup_table!$A:$G,4,FALSE),"")</f>
        <v>0</v>
      </c>
      <c r="P2646" t="str">
        <f>IFERROR(VLOOKUP(A2646,vlookup_table!$A:$G,5,FALSE),"")</f>
        <v>C3</v>
      </c>
      <c r="Q2646">
        <f>IFERROR(VLOOKUP(A2646,vlookup_table!$A:$G,7,FALSE),"")</f>
        <v>25</v>
      </c>
      <c r="R2646">
        <f t="shared" si="164"/>
        <v>97</v>
      </c>
      <c r="S2646" t="str" cm="1">
        <f t="array" ref="S2646">IF(P2646="","",_xlfn.SWITCH(LEFT(P2646,1),"C","Ciudad","T","Pueblo","R","Rural","S","Suburbano","U","Urbano",""))</f>
        <v>Ciudad</v>
      </c>
      <c r="T2646" t="str">
        <f t="shared" si="165"/>
        <v>F</v>
      </c>
      <c r="U2646" t="str">
        <f t="shared" si="166"/>
        <v>MS</v>
      </c>
      <c r="V2646" t="str">
        <f t="shared" si="167"/>
        <v>11820</v>
      </c>
    </row>
    <row r="2647" spans="1:22" x14ac:dyDescent="0.35">
      <c r="A2647">
        <v>188812</v>
      </c>
      <c r="B2647" t="s">
        <v>29</v>
      </c>
      <c r="C2647" t="s">
        <v>14</v>
      </c>
      <c r="D2647">
        <v>1076</v>
      </c>
      <c r="E2647">
        <v>438</v>
      </c>
      <c r="F2647">
        <v>535</v>
      </c>
      <c r="G2647">
        <v>2</v>
      </c>
      <c r="H2647">
        <v>17353</v>
      </c>
      <c r="I2647">
        <v>10</v>
      </c>
      <c r="J2647">
        <v>69</v>
      </c>
      <c r="K2647">
        <v>552</v>
      </c>
      <c r="L2647">
        <v>425</v>
      </c>
      <c r="M2647">
        <v>17.333333329999999</v>
      </c>
      <c r="N2647">
        <f>IFERROR(VLOOKUP(A2647,vlookup_table!$A:$G,2,FALSE),"")</f>
        <v>0</v>
      </c>
      <c r="O2647">
        <f>IFERROR(VLOOKUP(A2647,vlookup_table!$A:$G,4,FALSE),"")</f>
        <v>1901</v>
      </c>
      <c r="P2647" t="str">
        <f>IFERROR(VLOOKUP(A2647,vlookup_table!$A:$G,5,FALSE),"")</f>
        <v>S1</v>
      </c>
      <c r="Q2647">
        <f>IFERROR(VLOOKUP(A2647,vlookup_table!$A:$G,7,FALSE),"")</f>
        <v>20</v>
      </c>
      <c r="R2647">
        <f t="shared" si="164"/>
        <v>78</v>
      </c>
      <c r="S2647" t="str" cm="1">
        <f t="array" ref="S2647">IF(P2647="","",_xlfn.SWITCH(LEFT(P2647,1),"C","Ciudad","T","Pueblo","R","Rural","S","Suburbano","U","Urbano",""))</f>
        <v>Suburbano</v>
      </c>
      <c r="T2647" t="str">
        <f t="shared" si="165"/>
        <v>M</v>
      </c>
      <c r="U2647" t="str">
        <f t="shared" si="166"/>
        <v>MI</v>
      </c>
      <c r="V2647" t="str">
        <f t="shared" si="167"/>
        <v>17353</v>
      </c>
    </row>
    <row r="2648" spans="1:22" x14ac:dyDescent="0.35">
      <c r="A2648">
        <v>149506</v>
      </c>
      <c r="B2648" t="s">
        <v>22</v>
      </c>
      <c r="C2648" t="s">
        <v>14</v>
      </c>
      <c r="D2648">
        <v>5164</v>
      </c>
      <c r="E2648">
        <v>650</v>
      </c>
      <c r="F2648">
        <v>842</v>
      </c>
      <c r="G2648">
        <v>97</v>
      </c>
      <c r="H2648">
        <v>50548</v>
      </c>
      <c r="I2648">
        <v>20</v>
      </c>
      <c r="J2648">
        <v>41</v>
      </c>
      <c r="K2648">
        <v>715</v>
      </c>
      <c r="L2648">
        <v>782</v>
      </c>
      <c r="M2648">
        <v>8.4166666669999994</v>
      </c>
      <c r="N2648">
        <f>IFERROR(VLOOKUP(A2648,vlookup_table!$A:$G,2,FALSE),"")</f>
        <v>1</v>
      </c>
      <c r="O2648">
        <f>IFERROR(VLOOKUP(A2648,vlookup_table!$A:$G,4,FALSE),"")</f>
        <v>4605</v>
      </c>
      <c r="P2648" t="str">
        <f>IFERROR(VLOOKUP(A2648,vlookup_table!$A:$G,5,FALSE),"")</f>
        <v>S1</v>
      </c>
      <c r="Q2648">
        <f>IFERROR(VLOOKUP(A2648,vlookup_table!$A:$G,7,FALSE),"")</f>
        <v>10</v>
      </c>
      <c r="R2648">
        <f t="shared" si="164"/>
        <v>51</v>
      </c>
      <c r="S2648" t="str" cm="1">
        <f t="array" ref="S2648">IF(P2648="","",_xlfn.SWITCH(LEFT(P2648,1),"C","Ciudad","T","Pueblo","R","Rural","S","Suburbano","U","Urbano",""))</f>
        <v>Suburbano</v>
      </c>
      <c r="T2648" t="str">
        <f t="shared" si="165"/>
        <v>M</v>
      </c>
      <c r="U2648" t="str">
        <f t="shared" si="166"/>
        <v>CA</v>
      </c>
      <c r="V2648" t="str">
        <f t="shared" si="167"/>
        <v>50548</v>
      </c>
    </row>
    <row r="2649" spans="1:22" x14ac:dyDescent="0.35">
      <c r="A2649">
        <v>190727</v>
      </c>
      <c r="B2649" t="s">
        <v>13</v>
      </c>
      <c r="C2649" t="s">
        <v>17</v>
      </c>
      <c r="D2649">
        <v>655</v>
      </c>
      <c r="E2649">
        <v>236</v>
      </c>
      <c r="F2649">
        <v>331</v>
      </c>
      <c r="G2649">
        <v>1</v>
      </c>
      <c r="H2649">
        <v>11094</v>
      </c>
      <c r="I2649">
        <v>8</v>
      </c>
      <c r="J2649">
        <v>17</v>
      </c>
      <c r="K2649">
        <v>264</v>
      </c>
      <c r="L2649">
        <v>311</v>
      </c>
      <c r="M2649">
        <v>6.9333333330000002</v>
      </c>
      <c r="N2649">
        <f>IFERROR(VLOOKUP(A2649,vlookup_table!$A:$G,2,FALSE),"")</f>
        <v>2</v>
      </c>
      <c r="O2649">
        <f>IFERROR(VLOOKUP(A2649,vlookup_table!$A:$G,4,FALSE),"")</f>
        <v>1709</v>
      </c>
      <c r="P2649">
        <f>IFERROR(VLOOKUP(A2649,vlookup_table!$A:$G,5,FALSE),"")</f>
        <v>0</v>
      </c>
      <c r="Q2649">
        <f>IFERROR(VLOOKUP(A2649,vlookup_table!$A:$G,7,FALSE),"")</f>
        <v>11</v>
      </c>
      <c r="R2649">
        <f t="shared" si="164"/>
        <v>80</v>
      </c>
      <c r="S2649" t="str" cm="1">
        <f t="array" ref="S2649">IF(P2649="","",_xlfn.SWITCH(LEFT(P2649,1),"C","Ciudad","T","Pueblo","R","Rural","S","Suburbano","U","Urbano",""))</f>
        <v/>
      </c>
      <c r="T2649" t="str">
        <f t="shared" si="165"/>
        <v>F</v>
      </c>
      <c r="U2649" t="str">
        <f t="shared" si="166"/>
        <v>FL</v>
      </c>
      <c r="V2649" t="str">
        <f t="shared" si="167"/>
        <v>11094</v>
      </c>
    </row>
    <row r="2650" spans="1:22" x14ac:dyDescent="0.35">
      <c r="A2650">
        <v>150248</v>
      </c>
      <c r="B2650" t="s">
        <v>22</v>
      </c>
      <c r="C2650" t="s">
        <v>14</v>
      </c>
      <c r="D2650">
        <v>2182</v>
      </c>
      <c r="E2650">
        <v>555</v>
      </c>
      <c r="F2650">
        <v>569</v>
      </c>
      <c r="G2650">
        <v>67</v>
      </c>
      <c r="H2650">
        <v>17516</v>
      </c>
      <c r="I2650">
        <v>13</v>
      </c>
      <c r="J2650">
        <v>57</v>
      </c>
      <c r="K2650">
        <v>561</v>
      </c>
      <c r="L2650">
        <v>559</v>
      </c>
      <c r="M2650">
        <v>19</v>
      </c>
      <c r="N2650">
        <f>IFERROR(VLOOKUP(A2650,vlookup_table!$A:$G,2,FALSE),"")</f>
        <v>28</v>
      </c>
      <c r="O2650">
        <f>IFERROR(VLOOKUP(A2650,vlookup_table!$A:$G,4,FALSE),"")</f>
        <v>0</v>
      </c>
      <c r="P2650" t="str">
        <f>IFERROR(VLOOKUP(A2650,vlookup_table!$A:$G,5,FALSE),"")</f>
        <v>S2</v>
      </c>
      <c r="Q2650">
        <f>IFERROR(VLOOKUP(A2650,vlookup_table!$A:$G,7,FALSE),"")</f>
        <v>25</v>
      </c>
      <c r="R2650">
        <f t="shared" si="164"/>
        <v>97</v>
      </c>
      <c r="S2650" t="str" cm="1">
        <f t="array" ref="S2650">IF(P2650="","",_xlfn.SWITCH(LEFT(P2650,1),"C","Ciudad","T","Pueblo","R","Rural","S","Suburbano","U","Urbano",""))</f>
        <v>Suburbano</v>
      </c>
      <c r="T2650" t="str">
        <f t="shared" si="165"/>
        <v>M</v>
      </c>
      <c r="U2650" t="str">
        <f t="shared" si="166"/>
        <v>CA</v>
      </c>
      <c r="V2650" t="str">
        <f t="shared" si="167"/>
        <v>17516</v>
      </c>
    </row>
    <row r="2651" spans="1:22" x14ac:dyDescent="0.35">
      <c r="A2651">
        <v>177009</v>
      </c>
      <c r="B2651" t="s">
        <v>50</v>
      </c>
      <c r="D2651">
        <v>584</v>
      </c>
      <c r="E2651">
        <v>262</v>
      </c>
      <c r="F2651">
        <v>386</v>
      </c>
      <c r="G2651">
        <v>0</v>
      </c>
      <c r="H2651">
        <v>13898</v>
      </c>
      <c r="I2651">
        <v>1</v>
      </c>
      <c r="J2651">
        <v>52</v>
      </c>
      <c r="K2651">
        <v>332</v>
      </c>
      <c r="L2651">
        <v>346</v>
      </c>
      <c r="M2651">
        <v>7.4210526320000003</v>
      </c>
      <c r="N2651">
        <f>IFERROR(VLOOKUP(A2651,vlookup_table!$A:$G,2,FALSE),"")</f>
        <v>0</v>
      </c>
      <c r="O2651">
        <f>IFERROR(VLOOKUP(A2651,vlookup_table!$A:$G,4,FALSE),"")</f>
        <v>0</v>
      </c>
      <c r="P2651" t="str">
        <f>IFERROR(VLOOKUP(A2651,vlookup_table!$A:$G,5,FALSE),"")</f>
        <v>R2</v>
      </c>
      <c r="Q2651">
        <f>IFERROR(VLOOKUP(A2651,vlookup_table!$A:$G,7,FALSE),"")</f>
        <v>5</v>
      </c>
      <c r="R2651">
        <f t="shared" si="164"/>
        <v>97</v>
      </c>
      <c r="S2651" t="str" cm="1">
        <f t="array" ref="S2651">IF(P2651="","",_xlfn.SWITCH(LEFT(P2651,1),"C","Ciudad","T","Pueblo","R","Rural","S","Suburbano","U","Urbano",""))</f>
        <v>Rural</v>
      </c>
      <c r="T2651" t="str">
        <f t="shared" si="165"/>
        <v/>
      </c>
      <c r="U2651" t="str">
        <f t="shared" si="166"/>
        <v>OR</v>
      </c>
      <c r="V2651" t="str">
        <f t="shared" si="167"/>
        <v>13898</v>
      </c>
    </row>
    <row r="2652" spans="1:22" x14ac:dyDescent="0.35">
      <c r="A2652">
        <v>89642</v>
      </c>
      <c r="B2652" t="s">
        <v>16</v>
      </c>
      <c r="C2652" t="s">
        <v>17</v>
      </c>
      <c r="D2652">
        <v>854</v>
      </c>
      <c r="E2652">
        <v>452</v>
      </c>
      <c r="F2652">
        <v>580</v>
      </c>
      <c r="G2652">
        <v>2</v>
      </c>
      <c r="H2652">
        <v>20510</v>
      </c>
      <c r="I2652">
        <v>4</v>
      </c>
      <c r="J2652">
        <v>73</v>
      </c>
      <c r="K2652">
        <v>478</v>
      </c>
      <c r="L2652">
        <v>498</v>
      </c>
      <c r="M2652">
        <v>8.6666666669999994</v>
      </c>
      <c r="N2652">
        <f>IFERROR(VLOOKUP(A2652,vlookup_table!$A:$G,2,FALSE),"")</f>
        <v>0</v>
      </c>
      <c r="O2652">
        <f>IFERROR(VLOOKUP(A2652,vlookup_table!$A:$G,4,FALSE),"")</f>
        <v>0</v>
      </c>
      <c r="P2652" t="str">
        <f>IFERROR(VLOOKUP(A2652,vlookup_table!$A:$G,5,FALSE),"")</f>
        <v>C1</v>
      </c>
      <c r="Q2652">
        <f>IFERROR(VLOOKUP(A2652,vlookup_table!$A:$G,7,FALSE),"")</f>
        <v>15</v>
      </c>
      <c r="R2652">
        <f t="shared" si="164"/>
        <v>97</v>
      </c>
      <c r="S2652" t="str" cm="1">
        <f t="array" ref="S2652">IF(P2652="","",_xlfn.SWITCH(LEFT(P2652,1),"C","Ciudad","T","Pueblo","R","Rural","S","Suburbano","U","Urbano",""))</f>
        <v>Ciudad</v>
      </c>
      <c r="T2652" t="str">
        <f t="shared" si="165"/>
        <v>F</v>
      </c>
      <c r="U2652" t="str">
        <f t="shared" si="166"/>
        <v>IL</v>
      </c>
      <c r="V2652" t="str">
        <f t="shared" si="167"/>
        <v>20510</v>
      </c>
    </row>
    <row r="2653" spans="1:22" x14ac:dyDescent="0.35">
      <c r="A2653">
        <v>103913</v>
      </c>
      <c r="B2653" t="s">
        <v>36</v>
      </c>
      <c r="C2653" t="s">
        <v>17</v>
      </c>
      <c r="D2653">
        <v>297</v>
      </c>
      <c r="E2653">
        <v>146</v>
      </c>
      <c r="F2653">
        <v>196</v>
      </c>
      <c r="G2653">
        <v>0</v>
      </c>
      <c r="H2653">
        <v>8352</v>
      </c>
      <c r="I2653">
        <v>0</v>
      </c>
      <c r="J2653">
        <v>61</v>
      </c>
      <c r="K2653">
        <v>175</v>
      </c>
      <c r="L2653">
        <v>178</v>
      </c>
      <c r="M2653">
        <v>9.2142857140000007</v>
      </c>
      <c r="N2653">
        <f>IFERROR(VLOOKUP(A2653,vlookup_table!$A:$G,2,FALSE),"")</f>
        <v>0</v>
      </c>
      <c r="O2653">
        <f>IFERROR(VLOOKUP(A2653,vlookup_table!$A:$G,4,FALSE),"")</f>
        <v>5406</v>
      </c>
      <c r="P2653" t="str">
        <f>IFERROR(VLOOKUP(A2653,vlookup_table!$A:$G,5,FALSE),"")</f>
        <v>R3</v>
      </c>
      <c r="Q2653">
        <f>IFERROR(VLOOKUP(A2653,vlookup_table!$A:$G,7,FALSE),"")</f>
        <v>11</v>
      </c>
      <c r="R2653">
        <f t="shared" si="164"/>
        <v>43</v>
      </c>
      <c r="S2653" t="str" cm="1">
        <f t="array" ref="S2653">IF(P2653="","",_xlfn.SWITCH(LEFT(P2653,1),"C","Ciudad","T","Pueblo","R","Rural","S","Suburbano","U","Urbano",""))</f>
        <v>Rural</v>
      </c>
      <c r="T2653" t="str">
        <f t="shared" si="165"/>
        <v>F</v>
      </c>
      <c r="U2653" t="str">
        <f t="shared" si="166"/>
        <v>MO</v>
      </c>
      <c r="V2653" t="str">
        <f t="shared" si="167"/>
        <v>8352</v>
      </c>
    </row>
    <row r="2654" spans="1:22" x14ac:dyDescent="0.35">
      <c r="A2654">
        <v>76780</v>
      </c>
      <c r="B2654" t="s">
        <v>47</v>
      </c>
      <c r="C2654" t="s">
        <v>17</v>
      </c>
      <c r="D2654">
        <v>688</v>
      </c>
      <c r="E2654">
        <v>408</v>
      </c>
      <c r="F2654">
        <v>510</v>
      </c>
      <c r="G2654">
        <v>1</v>
      </c>
      <c r="H2654">
        <v>17000</v>
      </c>
      <c r="I2654">
        <v>2</v>
      </c>
      <c r="J2654">
        <v>64</v>
      </c>
      <c r="K2654">
        <v>484</v>
      </c>
      <c r="L2654">
        <v>437</v>
      </c>
      <c r="M2654">
        <v>33</v>
      </c>
      <c r="N2654">
        <f>IFERROR(VLOOKUP(A2654,vlookup_table!$A:$G,2,FALSE),"")</f>
        <v>2</v>
      </c>
      <c r="O2654">
        <f>IFERROR(VLOOKUP(A2654,vlookup_table!$A:$G,4,FALSE),"")</f>
        <v>1601</v>
      </c>
      <c r="P2654" t="str">
        <f>IFERROR(VLOOKUP(A2654,vlookup_table!$A:$G,5,FALSE),"")</f>
        <v>T1</v>
      </c>
      <c r="Q2654">
        <f>IFERROR(VLOOKUP(A2654,vlookup_table!$A:$G,7,FALSE),"")</f>
        <v>75</v>
      </c>
      <c r="R2654">
        <f t="shared" si="164"/>
        <v>81</v>
      </c>
      <c r="S2654" t="str" cm="1">
        <f t="array" ref="S2654">IF(P2654="","",_xlfn.SWITCH(LEFT(P2654,1),"C","Ciudad","T","Pueblo","R","Rural","S","Suburbano","U","Urbano",""))</f>
        <v>Pueblo</v>
      </c>
      <c r="T2654" t="str">
        <f t="shared" si="165"/>
        <v>F</v>
      </c>
      <c r="U2654" t="str">
        <f t="shared" si="166"/>
        <v>IA</v>
      </c>
      <c r="V2654" t="str">
        <f t="shared" si="167"/>
        <v>17000</v>
      </c>
    </row>
    <row r="2655" spans="1:22" x14ac:dyDescent="0.35">
      <c r="A2655">
        <v>41901</v>
      </c>
      <c r="B2655" t="s">
        <v>29</v>
      </c>
      <c r="C2655" t="s">
        <v>14</v>
      </c>
      <c r="D2655">
        <v>380</v>
      </c>
      <c r="E2655">
        <v>329</v>
      </c>
      <c r="F2655">
        <v>394</v>
      </c>
      <c r="G2655">
        <v>0</v>
      </c>
      <c r="H2655">
        <v>12349</v>
      </c>
      <c r="I2655">
        <v>1</v>
      </c>
      <c r="J2655">
        <v>77</v>
      </c>
      <c r="K2655">
        <v>355</v>
      </c>
      <c r="L2655">
        <v>340</v>
      </c>
      <c r="M2655">
        <v>26.444444440000002</v>
      </c>
      <c r="N2655">
        <f>IFERROR(VLOOKUP(A2655,vlookup_table!$A:$G,2,FALSE),"")</f>
        <v>1</v>
      </c>
      <c r="O2655">
        <f>IFERROR(VLOOKUP(A2655,vlookup_table!$A:$G,4,FALSE),"")</f>
        <v>5601</v>
      </c>
      <c r="P2655" t="str">
        <f>IFERROR(VLOOKUP(A2655,vlookup_table!$A:$G,5,FALSE),"")</f>
        <v>U3</v>
      </c>
      <c r="Q2655">
        <f>IFERROR(VLOOKUP(A2655,vlookup_table!$A:$G,7,FALSE),"")</f>
        <v>100</v>
      </c>
      <c r="R2655">
        <f t="shared" si="164"/>
        <v>41</v>
      </c>
      <c r="S2655" t="str" cm="1">
        <f t="array" ref="S2655">IF(P2655="","",_xlfn.SWITCH(LEFT(P2655,1),"C","Ciudad","T","Pueblo","R","Rural","S","Suburbano","U","Urbano",""))</f>
        <v>Urbano</v>
      </c>
      <c r="T2655" t="str">
        <f t="shared" si="165"/>
        <v>M</v>
      </c>
      <c r="U2655" t="str">
        <f t="shared" si="166"/>
        <v>MI</v>
      </c>
      <c r="V2655" t="str">
        <f t="shared" si="167"/>
        <v>12349</v>
      </c>
    </row>
    <row r="2656" spans="1:22" x14ac:dyDescent="0.35">
      <c r="A2656">
        <v>137998</v>
      </c>
      <c r="B2656" t="s">
        <v>55</v>
      </c>
      <c r="C2656" t="s">
        <v>60</v>
      </c>
      <c r="D2656">
        <v>547</v>
      </c>
      <c r="E2656">
        <v>251</v>
      </c>
      <c r="F2656">
        <v>306</v>
      </c>
      <c r="G2656">
        <v>0</v>
      </c>
      <c r="H2656">
        <v>10393</v>
      </c>
      <c r="I2656">
        <v>6</v>
      </c>
      <c r="J2656">
        <v>44</v>
      </c>
      <c r="K2656">
        <v>292</v>
      </c>
      <c r="L2656">
        <v>283</v>
      </c>
      <c r="M2656">
        <v>17.09090909</v>
      </c>
      <c r="N2656">
        <f>IFERROR(VLOOKUP(A2656,vlookup_table!$A:$G,2,FALSE),"")</f>
        <v>0</v>
      </c>
      <c r="O2656">
        <f>IFERROR(VLOOKUP(A2656,vlookup_table!$A:$G,4,FALSE),"")</f>
        <v>4701</v>
      </c>
      <c r="P2656" t="str">
        <f>IFERROR(VLOOKUP(A2656,vlookup_table!$A:$G,5,FALSE),"")</f>
        <v>S2</v>
      </c>
      <c r="Q2656">
        <f>IFERROR(VLOOKUP(A2656,vlookup_table!$A:$G,7,FALSE),"")</f>
        <v>20</v>
      </c>
      <c r="R2656">
        <f t="shared" si="164"/>
        <v>50</v>
      </c>
      <c r="S2656" t="str" cm="1">
        <f t="array" ref="S2656">IF(P2656="","",_xlfn.SWITCH(LEFT(P2656,1),"C","Ciudad","T","Pueblo","R","Rural","S","Suburbano","U","Urbano",""))</f>
        <v>Suburbano</v>
      </c>
      <c r="T2656" t="str">
        <f t="shared" si="165"/>
        <v>F</v>
      </c>
      <c r="U2656" t="str">
        <f t="shared" si="166"/>
        <v>AZ</v>
      </c>
      <c r="V2656" t="str">
        <f t="shared" si="167"/>
        <v>10393</v>
      </c>
    </row>
    <row r="2657" spans="1:22" x14ac:dyDescent="0.35">
      <c r="A2657">
        <v>79136</v>
      </c>
      <c r="B2657" t="s">
        <v>35</v>
      </c>
      <c r="C2657" t="s">
        <v>51</v>
      </c>
      <c r="D2657">
        <v>336</v>
      </c>
      <c r="E2657">
        <v>301</v>
      </c>
      <c r="F2657">
        <v>357</v>
      </c>
      <c r="G2657">
        <v>0</v>
      </c>
      <c r="H2657">
        <v>10835</v>
      </c>
      <c r="I2657">
        <v>1</v>
      </c>
      <c r="J2657">
        <v>74</v>
      </c>
      <c r="K2657">
        <v>316</v>
      </c>
      <c r="L2657">
        <v>326</v>
      </c>
      <c r="M2657">
        <v>8.0833333330000006</v>
      </c>
      <c r="N2657">
        <f>IFERROR(VLOOKUP(A2657,vlookup_table!$A:$G,2,FALSE),"")</f>
        <v>1</v>
      </c>
      <c r="O2657">
        <f>IFERROR(VLOOKUP(A2657,vlookup_table!$A:$G,4,FALSE),"")</f>
        <v>2401</v>
      </c>
      <c r="P2657" t="str">
        <f>IFERROR(VLOOKUP(A2657,vlookup_table!$A:$G,5,FALSE),"")</f>
        <v>C3</v>
      </c>
      <c r="Q2657">
        <f>IFERROR(VLOOKUP(A2657,vlookup_table!$A:$G,7,FALSE),"")</f>
        <v>10</v>
      </c>
      <c r="R2657">
        <f t="shared" si="164"/>
        <v>73</v>
      </c>
      <c r="S2657" t="str" cm="1">
        <f t="array" ref="S2657">IF(P2657="","",_xlfn.SWITCH(LEFT(P2657,1),"C","Ciudad","T","Pueblo","R","Rural","S","Suburbano","U","Urbano",""))</f>
        <v>Ciudad</v>
      </c>
      <c r="T2657" t="str">
        <f t="shared" si="165"/>
        <v>M</v>
      </c>
      <c r="U2657" t="str">
        <f t="shared" si="166"/>
        <v>WI</v>
      </c>
      <c r="V2657" t="str">
        <f t="shared" si="167"/>
        <v>10835</v>
      </c>
    </row>
    <row r="2658" spans="1:22" x14ac:dyDescent="0.35">
      <c r="A2658">
        <v>46110</v>
      </c>
      <c r="B2658" t="s">
        <v>75</v>
      </c>
      <c r="C2658" t="s">
        <v>51</v>
      </c>
      <c r="D2658">
        <v>876</v>
      </c>
      <c r="E2658">
        <v>281</v>
      </c>
      <c r="F2658">
        <v>353</v>
      </c>
      <c r="G2658">
        <v>2</v>
      </c>
      <c r="H2658">
        <v>11807</v>
      </c>
      <c r="I2658">
        <v>3</v>
      </c>
      <c r="J2658">
        <v>39</v>
      </c>
      <c r="K2658">
        <v>297</v>
      </c>
      <c r="L2658">
        <v>325</v>
      </c>
      <c r="M2658">
        <v>3.7317073170000001</v>
      </c>
      <c r="N2658">
        <f>IFERROR(VLOOKUP(A2658,vlookup_table!$A:$G,2,FALSE),"")</f>
        <v>2</v>
      </c>
      <c r="O2658">
        <f>IFERROR(VLOOKUP(A2658,vlookup_table!$A:$G,4,FALSE),"")</f>
        <v>0</v>
      </c>
      <c r="P2658">
        <f>IFERROR(VLOOKUP(A2658,vlookup_table!$A:$G,5,FALSE),"")</f>
        <v>0</v>
      </c>
      <c r="Q2658">
        <f>IFERROR(VLOOKUP(A2658,vlookup_table!$A:$G,7,FALSE),"")</f>
        <v>4</v>
      </c>
      <c r="R2658">
        <f t="shared" si="164"/>
        <v>97</v>
      </c>
      <c r="S2658" t="str" cm="1">
        <f t="array" ref="S2658">IF(P2658="","",_xlfn.SWITCH(LEFT(P2658,1),"C","Ciudad","T","Pueblo","R","Rural","S","Suburbano","U","Urbano",""))</f>
        <v/>
      </c>
      <c r="T2658" t="str">
        <f t="shared" si="165"/>
        <v>M</v>
      </c>
      <c r="U2658" t="str">
        <f t="shared" si="166"/>
        <v>VT</v>
      </c>
      <c r="V2658" t="str">
        <f t="shared" si="167"/>
        <v>11807</v>
      </c>
    </row>
    <row r="2659" spans="1:22" x14ac:dyDescent="0.35">
      <c r="A2659">
        <v>97774</v>
      </c>
      <c r="B2659" t="s">
        <v>16</v>
      </c>
      <c r="C2659" t="s">
        <v>17</v>
      </c>
      <c r="D2659">
        <v>470</v>
      </c>
      <c r="E2659">
        <v>263</v>
      </c>
      <c r="F2659">
        <v>330</v>
      </c>
      <c r="G2659">
        <v>0</v>
      </c>
      <c r="H2659">
        <v>10776</v>
      </c>
      <c r="I2659">
        <v>1</v>
      </c>
      <c r="J2659">
        <v>68</v>
      </c>
      <c r="K2659">
        <v>297</v>
      </c>
      <c r="L2659">
        <v>296</v>
      </c>
      <c r="M2659">
        <v>17.88888889</v>
      </c>
      <c r="N2659">
        <f>IFERROR(VLOOKUP(A2659,vlookup_table!$A:$G,2,FALSE),"")</f>
        <v>0</v>
      </c>
      <c r="O2659">
        <f>IFERROR(VLOOKUP(A2659,vlookup_table!$A:$G,4,FALSE),"")</f>
        <v>5201</v>
      </c>
      <c r="P2659" t="str">
        <f>IFERROR(VLOOKUP(A2659,vlookup_table!$A:$G,5,FALSE),"")</f>
        <v>T2</v>
      </c>
      <c r="Q2659">
        <f>IFERROR(VLOOKUP(A2659,vlookup_table!$A:$G,7,FALSE),"")</f>
        <v>25</v>
      </c>
      <c r="R2659">
        <f t="shared" si="164"/>
        <v>45</v>
      </c>
      <c r="S2659" t="str" cm="1">
        <f t="array" ref="S2659">IF(P2659="","",_xlfn.SWITCH(LEFT(P2659,1),"C","Ciudad","T","Pueblo","R","Rural","S","Suburbano","U","Urbano",""))</f>
        <v>Pueblo</v>
      </c>
      <c r="T2659" t="str">
        <f t="shared" si="165"/>
        <v>F</v>
      </c>
      <c r="U2659" t="str">
        <f t="shared" si="166"/>
        <v>IL</v>
      </c>
      <c r="V2659" t="str">
        <f t="shared" si="167"/>
        <v>10776</v>
      </c>
    </row>
    <row r="2660" spans="1:22" x14ac:dyDescent="0.35">
      <c r="A2660">
        <v>103590</v>
      </c>
      <c r="B2660" t="s">
        <v>36</v>
      </c>
      <c r="C2660" t="s">
        <v>14</v>
      </c>
      <c r="D2660">
        <v>397</v>
      </c>
      <c r="E2660">
        <v>203</v>
      </c>
      <c r="F2660">
        <v>284</v>
      </c>
      <c r="G2660">
        <v>0</v>
      </c>
      <c r="H2660">
        <v>9609</v>
      </c>
      <c r="I2660">
        <v>1</v>
      </c>
      <c r="J2660">
        <v>79</v>
      </c>
      <c r="K2660">
        <v>244</v>
      </c>
      <c r="L2660">
        <v>246</v>
      </c>
      <c r="M2660">
        <v>15</v>
      </c>
      <c r="N2660">
        <f>IFERROR(VLOOKUP(A2660,vlookup_table!$A:$G,2,FALSE),"")</f>
        <v>39002</v>
      </c>
      <c r="O2660">
        <f>IFERROR(VLOOKUP(A2660,vlookup_table!$A:$G,4,FALSE),"")</f>
        <v>0</v>
      </c>
      <c r="P2660" t="str">
        <f>IFERROR(VLOOKUP(A2660,vlookup_table!$A:$G,5,FALSE),"")</f>
        <v>R3</v>
      </c>
      <c r="Q2660">
        <f>IFERROR(VLOOKUP(A2660,vlookup_table!$A:$G,7,FALSE),"")</f>
        <v>15</v>
      </c>
      <c r="R2660">
        <f t="shared" si="164"/>
        <v>97</v>
      </c>
      <c r="S2660" t="str" cm="1">
        <f t="array" ref="S2660">IF(P2660="","",_xlfn.SWITCH(LEFT(P2660,1),"C","Ciudad","T","Pueblo","R","Rural","S","Suburbano","U","Urbano",""))</f>
        <v>Rural</v>
      </c>
      <c r="T2660" t="str">
        <f t="shared" si="165"/>
        <v>M</v>
      </c>
      <c r="U2660" t="str">
        <f t="shared" si="166"/>
        <v>MO</v>
      </c>
      <c r="V2660" t="str">
        <f t="shared" si="167"/>
        <v>9609</v>
      </c>
    </row>
    <row r="2661" spans="1:22" x14ac:dyDescent="0.35">
      <c r="A2661">
        <v>181998</v>
      </c>
      <c r="B2661" t="s">
        <v>40</v>
      </c>
      <c r="D2661">
        <v>1222</v>
      </c>
      <c r="E2661">
        <v>423</v>
      </c>
      <c r="F2661">
        <v>487</v>
      </c>
      <c r="G2661">
        <v>13</v>
      </c>
      <c r="H2661">
        <v>19730</v>
      </c>
      <c r="I2661">
        <v>10</v>
      </c>
      <c r="J2661">
        <v>25</v>
      </c>
      <c r="K2661">
        <v>492</v>
      </c>
      <c r="L2661">
        <v>472</v>
      </c>
      <c r="M2661">
        <v>6.2727272730000001</v>
      </c>
      <c r="N2661">
        <f>IFERROR(VLOOKUP(A2661,vlookup_table!$A:$G,2,FALSE),"")</f>
        <v>0</v>
      </c>
      <c r="O2661">
        <f>IFERROR(VLOOKUP(A2661,vlookup_table!$A:$G,4,FALSE),"")</f>
        <v>6201</v>
      </c>
      <c r="P2661" t="str">
        <f>IFERROR(VLOOKUP(A2661,vlookup_table!$A:$G,5,FALSE),"")</f>
        <v>S2</v>
      </c>
      <c r="Q2661">
        <f>IFERROR(VLOOKUP(A2661,vlookup_table!$A:$G,7,FALSE),"")</f>
        <v>20</v>
      </c>
      <c r="R2661">
        <f t="shared" si="164"/>
        <v>35</v>
      </c>
      <c r="S2661" t="str" cm="1">
        <f t="array" ref="S2661">IF(P2661="","",_xlfn.SWITCH(LEFT(P2661,1),"C","Ciudad","T","Pueblo","R","Rural","S","Suburbano","U","Urbano",""))</f>
        <v>Suburbano</v>
      </c>
      <c r="T2661" t="str">
        <f t="shared" si="165"/>
        <v/>
      </c>
      <c r="U2661" t="str">
        <f t="shared" si="166"/>
        <v>WA</v>
      </c>
      <c r="V2661" t="str">
        <f t="shared" si="167"/>
        <v>19730</v>
      </c>
    </row>
    <row r="2662" spans="1:22" x14ac:dyDescent="0.35">
      <c r="A2662">
        <v>10036</v>
      </c>
      <c r="B2662" t="s">
        <v>40</v>
      </c>
      <c r="C2662" t="s">
        <v>51</v>
      </c>
      <c r="D2662">
        <v>1489</v>
      </c>
      <c r="E2662">
        <v>413</v>
      </c>
      <c r="F2662">
        <v>477</v>
      </c>
      <c r="G2662">
        <v>14</v>
      </c>
      <c r="H2662">
        <v>16434</v>
      </c>
      <c r="I2662">
        <v>2</v>
      </c>
      <c r="J2662">
        <v>66</v>
      </c>
      <c r="K2662">
        <v>397</v>
      </c>
      <c r="L2662">
        <v>481</v>
      </c>
      <c r="M2662">
        <v>25</v>
      </c>
      <c r="N2662">
        <f>IFERROR(VLOOKUP(A2662,vlookup_table!$A:$G,2,FALSE),"")</f>
        <v>2</v>
      </c>
      <c r="O2662">
        <f>IFERROR(VLOOKUP(A2662,vlookup_table!$A:$G,4,FALSE),"")</f>
        <v>2503</v>
      </c>
      <c r="P2662" t="str">
        <f>IFERROR(VLOOKUP(A2662,vlookup_table!$A:$G,5,FALSE),"")</f>
        <v>S1</v>
      </c>
      <c r="Q2662">
        <f>IFERROR(VLOOKUP(A2662,vlookup_table!$A:$G,7,FALSE),"")</f>
        <v>25</v>
      </c>
      <c r="R2662">
        <f t="shared" si="164"/>
        <v>72</v>
      </c>
      <c r="S2662" t="str" cm="1">
        <f t="array" ref="S2662">IF(P2662="","",_xlfn.SWITCH(LEFT(P2662,1),"C","Ciudad","T","Pueblo","R","Rural","S","Suburbano","U","Urbano",""))</f>
        <v>Suburbano</v>
      </c>
      <c r="T2662" t="str">
        <f t="shared" si="165"/>
        <v>M</v>
      </c>
      <c r="U2662" t="str">
        <f t="shared" si="166"/>
        <v>WA</v>
      </c>
      <c r="V2662" t="str">
        <f t="shared" si="167"/>
        <v>16434</v>
      </c>
    </row>
    <row r="2663" spans="1:22" x14ac:dyDescent="0.35">
      <c r="A2663">
        <v>175584</v>
      </c>
      <c r="B2663" t="s">
        <v>50</v>
      </c>
      <c r="C2663" t="s">
        <v>14</v>
      </c>
      <c r="D2663">
        <v>454</v>
      </c>
      <c r="E2663">
        <v>283</v>
      </c>
      <c r="F2663">
        <v>448</v>
      </c>
      <c r="G2663">
        <v>0</v>
      </c>
      <c r="H2663">
        <v>14140</v>
      </c>
      <c r="I2663">
        <v>4</v>
      </c>
      <c r="J2663">
        <v>57</v>
      </c>
      <c r="K2663">
        <v>313</v>
      </c>
      <c r="L2663">
        <v>359</v>
      </c>
      <c r="M2663">
        <v>11.2</v>
      </c>
      <c r="N2663">
        <f>IFERROR(VLOOKUP(A2663,vlookup_table!$A:$G,2,FALSE),"")</f>
        <v>1</v>
      </c>
      <c r="O2663">
        <f>IFERROR(VLOOKUP(A2663,vlookup_table!$A:$G,4,FALSE),"")</f>
        <v>2505</v>
      </c>
      <c r="P2663" t="str">
        <f>IFERROR(VLOOKUP(A2663,vlookup_table!$A:$G,5,FALSE),"")</f>
        <v>S2</v>
      </c>
      <c r="Q2663">
        <f>IFERROR(VLOOKUP(A2663,vlookup_table!$A:$G,7,FALSE),"")</f>
        <v>15</v>
      </c>
      <c r="R2663">
        <f t="shared" si="164"/>
        <v>72</v>
      </c>
      <c r="S2663" t="str" cm="1">
        <f t="array" ref="S2663">IF(P2663="","",_xlfn.SWITCH(LEFT(P2663,1),"C","Ciudad","T","Pueblo","R","Rural","S","Suburbano","U","Urbano",""))</f>
        <v>Suburbano</v>
      </c>
      <c r="T2663" t="str">
        <f t="shared" si="165"/>
        <v>M</v>
      </c>
      <c r="U2663" t="str">
        <f t="shared" si="166"/>
        <v>OR</v>
      </c>
      <c r="V2663" t="str">
        <f t="shared" si="167"/>
        <v>14140</v>
      </c>
    </row>
    <row r="2664" spans="1:22" x14ac:dyDescent="0.35">
      <c r="A2664">
        <v>41905</v>
      </c>
      <c r="B2664" t="s">
        <v>13</v>
      </c>
      <c r="C2664" t="s">
        <v>17</v>
      </c>
      <c r="D2664">
        <v>469</v>
      </c>
      <c r="E2664">
        <v>133</v>
      </c>
      <c r="F2664">
        <v>302</v>
      </c>
      <c r="G2664">
        <v>0</v>
      </c>
      <c r="H2664">
        <v>10321</v>
      </c>
      <c r="I2664">
        <v>1</v>
      </c>
      <c r="J2664">
        <v>27</v>
      </c>
      <c r="K2664">
        <v>200</v>
      </c>
      <c r="L2664">
        <v>218</v>
      </c>
      <c r="M2664">
        <v>6.6</v>
      </c>
      <c r="N2664">
        <f>IFERROR(VLOOKUP(A2664,vlookup_table!$A:$G,2,FALSE),"")</f>
        <v>0</v>
      </c>
      <c r="O2664">
        <f>IFERROR(VLOOKUP(A2664,vlookup_table!$A:$G,4,FALSE),"")</f>
        <v>0</v>
      </c>
      <c r="P2664" t="str">
        <f>IFERROR(VLOOKUP(A2664,vlookup_table!$A:$G,5,FALSE),"")</f>
        <v>U4</v>
      </c>
      <c r="Q2664">
        <f>IFERROR(VLOOKUP(A2664,vlookup_table!$A:$G,7,FALSE),"")</f>
        <v>15</v>
      </c>
      <c r="R2664">
        <f t="shared" si="164"/>
        <v>97</v>
      </c>
      <c r="S2664" t="str" cm="1">
        <f t="array" ref="S2664">IF(P2664="","",_xlfn.SWITCH(LEFT(P2664,1),"C","Ciudad","T","Pueblo","R","Rural","S","Suburbano","U","Urbano",""))</f>
        <v>Urbano</v>
      </c>
      <c r="T2664" t="str">
        <f t="shared" si="165"/>
        <v>F</v>
      </c>
      <c r="U2664" t="str">
        <f t="shared" si="166"/>
        <v>FL</v>
      </c>
      <c r="V2664" t="str">
        <f t="shared" si="167"/>
        <v>10321</v>
      </c>
    </row>
    <row r="2665" spans="1:22" x14ac:dyDescent="0.35">
      <c r="A2665">
        <v>156449</v>
      </c>
      <c r="B2665" t="s">
        <v>22</v>
      </c>
      <c r="C2665" t="s">
        <v>17</v>
      </c>
      <c r="D2665">
        <v>3261</v>
      </c>
      <c r="E2665">
        <v>364</v>
      </c>
      <c r="F2665">
        <v>523</v>
      </c>
      <c r="G2665">
        <v>94</v>
      </c>
      <c r="H2665">
        <v>19895</v>
      </c>
      <c r="I2665">
        <v>2</v>
      </c>
      <c r="J2665">
        <v>69</v>
      </c>
      <c r="K2665">
        <v>430</v>
      </c>
      <c r="L2665">
        <v>482</v>
      </c>
      <c r="M2665">
        <v>8.25</v>
      </c>
      <c r="N2665">
        <f>IFERROR(VLOOKUP(A2665,vlookup_table!$A:$G,2,FALSE),"")</f>
        <v>28</v>
      </c>
      <c r="O2665">
        <f>IFERROR(VLOOKUP(A2665,vlookup_table!$A:$G,4,FALSE),"")</f>
        <v>3601</v>
      </c>
      <c r="P2665" t="str">
        <f>IFERROR(VLOOKUP(A2665,vlookup_table!$A:$G,5,FALSE),"")</f>
        <v>U1</v>
      </c>
      <c r="Q2665">
        <f>IFERROR(VLOOKUP(A2665,vlookup_table!$A:$G,7,FALSE),"")</f>
        <v>20</v>
      </c>
      <c r="R2665">
        <f t="shared" si="164"/>
        <v>61</v>
      </c>
      <c r="S2665" t="str" cm="1">
        <f t="array" ref="S2665">IF(P2665="","",_xlfn.SWITCH(LEFT(P2665,1),"C","Ciudad","T","Pueblo","R","Rural","S","Suburbano","U","Urbano",""))</f>
        <v>Urbano</v>
      </c>
      <c r="T2665" t="str">
        <f t="shared" si="165"/>
        <v>F</v>
      </c>
      <c r="U2665" t="str">
        <f t="shared" si="166"/>
        <v>CA</v>
      </c>
      <c r="V2665" t="str">
        <f t="shared" si="167"/>
        <v>19895</v>
      </c>
    </row>
    <row r="2666" spans="1:22" x14ac:dyDescent="0.35">
      <c r="A2666">
        <v>131465</v>
      </c>
      <c r="B2666" t="s">
        <v>48</v>
      </c>
      <c r="C2666" t="s">
        <v>17</v>
      </c>
      <c r="D2666">
        <v>1113</v>
      </c>
      <c r="E2666">
        <v>393</v>
      </c>
      <c r="F2666">
        <v>493</v>
      </c>
      <c r="G2666">
        <v>2</v>
      </c>
      <c r="H2666">
        <v>18227</v>
      </c>
      <c r="I2666">
        <v>4</v>
      </c>
      <c r="J2666">
        <v>28</v>
      </c>
      <c r="K2666">
        <v>505</v>
      </c>
      <c r="L2666">
        <v>428</v>
      </c>
      <c r="M2666">
        <v>12.33333333</v>
      </c>
      <c r="N2666">
        <f>IFERROR(VLOOKUP(A2666,vlookup_table!$A:$G,2,FALSE),"")</f>
        <v>0</v>
      </c>
      <c r="O2666">
        <f>IFERROR(VLOOKUP(A2666,vlookup_table!$A:$G,4,FALSE),"")</f>
        <v>5401</v>
      </c>
      <c r="P2666" t="str">
        <f>IFERROR(VLOOKUP(A2666,vlookup_table!$A:$G,5,FALSE),"")</f>
        <v>T1</v>
      </c>
      <c r="Q2666">
        <f>IFERROR(VLOOKUP(A2666,vlookup_table!$A:$G,7,FALSE),"")</f>
        <v>15</v>
      </c>
      <c r="R2666">
        <f t="shared" si="164"/>
        <v>43</v>
      </c>
      <c r="S2666" t="str" cm="1">
        <f t="array" ref="S2666">IF(P2666="","",_xlfn.SWITCH(LEFT(P2666,1),"C","Ciudad","T","Pueblo","R","Rural","S","Suburbano","U","Urbano",""))</f>
        <v>Pueblo</v>
      </c>
      <c r="T2666" t="str">
        <f t="shared" si="165"/>
        <v>F</v>
      </c>
      <c r="U2666" t="str">
        <f t="shared" si="166"/>
        <v>CO</v>
      </c>
      <c r="V2666" t="str">
        <f t="shared" si="167"/>
        <v>18227</v>
      </c>
    </row>
    <row r="2667" spans="1:22" x14ac:dyDescent="0.35">
      <c r="A2667">
        <v>170889</v>
      </c>
      <c r="B2667" t="s">
        <v>22</v>
      </c>
      <c r="C2667" t="s">
        <v>17</v>
      </c>
      <c r="D2667">
        <v>1254</v>
      </c>
      <c r="E2667">
        <v>420</v>
      </c>
      <c r="F2667">
        <v>438</v>
      </c>
      <c r="G2667">
        <v>1</v>
      </c>
      <c r="H2667">
        <v>15376</v>
      </c>
      <c r="I2667">
        <v>3</v>
      </c>
      <c r="J2667">
        <v>60</v>
      </c>
      <c r="K2667">
        <v>411</v>
      </c>
      <c r="L2667">
        <v>455</v>
      </c>
      <c r="M2667">
        <v>4.2857142860000002</v>
      </c>
      <c r="N2667">
        <f>IFERROR(VLOOKUP(A2667,vlookup_table!$A:$G,2,FALSE),"")</f>
        <v>0</v>
      </c>
      <c r="O2667">
        <f>IFERROR(VLOOKUP(A2667,vlookup_table!$A:$G,4,FALSE),"")</f>
        <v>0</v>
      </c>
      <c r="P2667" t="str">
        <f>IFERROR(VLOOKUP(A2667,vlookup_table!$A:$G,5,FALSE),"")</f>
        <v>U2</v>
      </c>
      <c r="Q2667">
        <f>IFERROR(VLOOKUP(A2667,vlookup_table!$A:$G,7,FALSE),"")</f>
        <v>7</v>
      </c>
      <c r="R2667">
        <f t="shared" si="164"/>
        <v>97</v>
      </c>
      <c r="S2667" t="str" cm="1">
        <f t="array" ref="S2667">IF(P2667="","",_xlfn.SWITCH(LEFT(P2667,1),"C","Ciudad","T","Pueblo","R","Rural","S","Suburbano","U","Urbano",""))</f>
        <v>Urbano</v>
      </c>
      <c r="T2667" t="str">
        <f t="shared" si="165"/>
        <v>F</v>
      </c>
      <c r="U2667" t="str">
        <f t="shared" si="166"/>
        <v>CA</v>
      </c>
      <c r="V2667" t="str">
        <f t="shared" si="167"/>
        <v>15376</v>
      </c>
    </row>
    <row r="2668" spans="1:22" x14ac:dyDescent="0.35">
      <c r="A2668">
        <v>103593</v>
      </c>
      <c r="B2668" t="s">
        <v>36</v>
      </c>
      <c r="C2668" t="s">
        <v>17</v>
      </c>
      <c r="D2668">
        <v>397</v>
      </c>
      <c r="E2668">
        <v>203</v>
      </c>
      <c r="F2668">
        <v>284</v>
      </c>
      <c r="G2668">
        <v>0</v>
      </c>
      <c r="H2668">
        <v>9609</v>
      </c>
      <c r="I2668">
        <v>1</v>
      </c>
      <c r="J2668">
        <v>79</v>
      </c>
      <c r="K2668">
        <v>244</v>
      </c>
      <c r="L2668">
        <v>246</v>
      </c>
      <c r="M2668">
        <v>8.5</v>
      </c>
      <c r="N2668">
        <f>IFERROR(VLOOKUP(A2668,vlookup_table!$A:$G,2,FALSE),"")</f>
        <v>0</v>
      </c>
      <c r="O2668">
        <f>IFERROR(VLOOKUP(A2668,vlookup_table!$A:$G,4,FALSE),"")</f>
        <v>1505</v>
      </c>
      <c r="P2668" t="str">
        <f>IFERROR(VLOOKUP(A2668,vlookup_table!$A:$G,5,FALSE),"")</f>
        <v>R3</v>
      </c>
      <c r="Q2668">
        <f>IFERROR(VLOOKUP(A2668,vlookup_table!$A:$G,7,FALSE),"")</f>
        <v>10</v>
      </c>
      <c r="R2668">
        <f t="shared" si="164"/>
        <v>82</v>
      </c>
      <c r="S2668" t="str" cm="1">
        <f t="array" ref="S2668">IF(P2668="","",_xlfn.SWITCH(LEFT(P2668,1),"C","Ciudad","T","Pueblo","R","Rural","S","Suburbano","U","Urbano",""))</f>
        <v>Rural</v>
      </c>
      <c r="T2668" t="str">
        <f t="shared" si="165"/>
        <v>F</v>
      </c>
      <c r="U2668" t="str">
        <f t="shared" si="166"/>
        <v>MO</v>
      </c>
      <c r="V2668" t="str">
        <f t="shared" si="167"/>
        <v>9609</v>
      </c>
    </row>
    <row r="2669" spans="1:22" x14ac:dyDescent="0.35">
      <c r="A2669">
        <v>86017</v>
      </c>
      <c r="B2669" t="s">
        <v>52</v>
      </c>
      <c r="C2669" t="s">
        <v>14</v>
      </c>
      <c r="D2669">
        <v>595</v>
      </c>
      <c r="E2669">
        <v>332</v>
      </c>
      <c r="F2669">
        <v>389</v>
      </c>
      <c r="G2669">
        <v>0</v>
      </c>
      <c r="H2669">
        <v>18324</v>
      </c>
      <c r="I2669">
        <v>3</v>
      </c>
      <c r="J2669">
        <v>63</v>
      </c>
      <c r="K2669">
        <v>347</v>
      </c>
      <c r="L2669">
        <v>368</v>
      </c>
      <c r="M2669">
        <v>7.125</v>
      </c>
      <c r="N2669">
        <f>IFERROR(VLOOKUP(A2669,vlookup_table!$A:$G,2,FALSE),"")</f>
        <v>1</v>
      </c>
      <c r="O2669">
        <f>IFERROR(VLOOKUP(A2669,vlookup_table!$A:$G,4,FALSE),"")</f>
        <v>702</v>
      </c>
      <c r="P2669" t="str">
        <f>IFERROR(VLOOKUP(A2669,vlookup_table!$A:$G,5,FALSE),"")</f>
        <v>C2</v>
      </c>
      <c r="Q2669">
        <f>IFERROR(VLOOKUP(A2669,vlookup_table!$A:$G,7,FALSE),"")</f>
        <v>10</v>
      </c>
      <c r="R2669">
        <f t="shared" si="164"/>
        <v>90</v>
      </c>
      <c r="S2669" t="str" cm="1">
        <f t="array" ref="S2669">IF(P2669="","",_xlfn.SWITCH(LEFT(P2669,1),"C","Ciudad","T","Pueblo","R","Rural","S","Suburbano","U","Urbano",""))</f>
        <v>Ciudad</v>
      </c>
      <c r="T2669" t="str">
        <f t="shared" si="165"/>
        <v>M</v>
      </c>
      <c r="U2669" t="str">
        <f t="shared" si="166"/>
        <v>SD</v>
      </c>
      <c r="V2669" t="str">
        <f t="shared" si="167"/>
        <v>18324</v>
      </c>
    </row>
    <row r="2670" spans="1:22" x14ac:dyDescent="0.35">
      <c r="A2670">
        <v>92891</v>
      </c>
      <c r="B2670" t="s">
        <v>16</v>
      </c>
      <c r="C2670" t="s">
        <v>17</v>
      </c>
      <c r="D2670">
        <v>521</v>
      </c>
      <c r="E2670">
        <v>216</v>
      </c>
      <c r="F2670">
        <v>292</v>
      </c>
      <c r="G2670">
        <v>0</v>
      </c>
      <c r="H2670">
        <v>9845</v>
      </c>
      <c r="I2670">
        <v>13</v>
      </c>
      <c r="J2670">
        <v>80</v>
      </c>
      <c r="K2670">
        <v>243</v>
      </c>
      <c r="L2670">
        <v>260</v>
      </c>
      <c r="M2670">
        <v>5.266666667</v>
      </c>
      <c r="N2670">
        <f>IFERROR(VLOOKUP(A2670,vlookup_table!$A:$G,2,FALSE),"")</f>
        <v>0</v>
      </c>
      <c r="O2670">
        <f>IFERROR(VLOOKUP(A2670,vlookup_table!$A:$G,4,FALSE),"")</f>
        <v>2601</v>
      </c>
      <c r="P2670" t="str">
        <f>IFERROR(VLOOKUP(A2670,vlookup_table!$A:$G,5,FALSE),"")</f>
        <v>U4</v>
      </c>
      <c r="Q2670">
        <f>IFERROR(VLOOKUP(A2670,vlookup_table!$A:$G,7,FALSE),"")</f>
        <v>5</v>
      </c>
      <c r="R2670">
        <f t="shared" si="164"/>
        <v>71</v>
      </c>
      <c r="S2670" t="str" cm="1">
        <f t="array" ref="S2670">IF(P2670="","",_xlfn.SWITCH(LEFT(P2670,1),"C","Ciudad","T","Pueblo","R","Rural","S","Suburbano","U","Urbano",""))</f>
        <v>Urbano</v>
      </c>
      <c r="T2670" t="str">
        <f t="shared" si="165"/>
        <v>F</v>
      </c>
      <c r="U2670" t="str">
        <f t="shared" si="166"/>
        <v>IL</v>
      </c>
      <c r="V2670" t="str">
        <f t="shared" si="167"/>
        <v>9845</v>
      </c>
    </row>
    <row r="2671" spans="1:22" x14ac:dyDescent="0.35">
      <c r="A2671">
        <v>143691</v>
      </c>
      <c r="B2671" t="s">
        <v>22</v>
      </c>
      <c r="C2671" t="s">
        <v>17</v>
      </c>
      <c r="D2671">
        <v>4093</v>
      </c>
      <c r="E2671">
        <v>585</v>
      </c>
      <c r="F2671">
        <v>776</v>
      </c>
      <c r="G2671">
        <v>92</v>
      </c>
      <c r="H2671">
        <v>32301</v>
      </c>
      <c r="I2671">
        <v>7</v>
      </c>
      <c r="J2671">
        <v>44</v>
      </c>
      <c r="K2671">
        <v>697</v>
      </c>
      <c r="L2671">
        <v>685</v>
      </c>
      <c r="M2671">
        <v>15.25</v>
      </c>
      <c r="N2671">
        <f>IFERROR(VLOOKUP(A2671,vlookup_table!$A:$G,2,FALSE),"")</f>
        <v>0</v>
      </c>
      <c r="O2671">
        <f>IFERROR(VLOOKUP(A2671,vlookup_table!$A:$G,4,FALSE),"")</f>
        <v>3001</v>
      </c>
      <c r="P2671" t="str">
        <f>IFERROR(VLOOKUP(A2671,vlookup_table!$A:$G,5,FALSE),"")</f>
        <v>U1</v>
      </c>
      <c r="Q2671">
        <f>IFERROR(VLOOKUP(A2671,vlookup_table!$A:$G,7,FALSE),"")</f>
        <v>15</v>
      </c>
      <c r="R2671">
        <f t="shared" si="164"/>
        <v>67</v>
      </c>
      <c r="S2671" t="str" cm="1">
        <f t="array" ref="S2671">IF(P2671="","",_xlfn.SWITCH(LEFT(P2671,1),"C","Ciudad","T","Pueblo","R","Rural","S","Suburbano","U","Urbano",""))</f>
        <v>Urbano</v>
      </c>
      <c r="T2671" t="str">
        <f t="shared" si="165"/>
        <v>F</v>
      </c>
      <c r="U2671" t="str">
        <f t="shared" si="166"/>
        <v>CA</v>
      </c>
      <c r="V2671" t="str">
        <f t="shared" si="167"/>
        <v>32301</v>
      </c>
    </row>
    <row r="2672" spans="1:22" x14ac:dyDescent="0.35">
      <c r="A2672">
        <v>44500</v>
      </c>
      <c r="B2672" t="s">
        <v>13</v>
      </c>
      <c r="C2672" t="s">
        <v>17</v>
      </c>
      <c r="D2672">
        <v>686</v>
      </c>
      <c r="E2672">
        <v>169</v>
      </c>
      <c r="F2672">
        <v>253</v>
      </c>
      <c r="G2672">
        <v>3</v>
      </c>
      <c r="H2672">
        <v>9678</v>
      </c>
      <c r="I2672">
        <v>1</v>
      </c>
      <c r="J2672">
        <v>36</v>
      </c>
      <c r="K2672">
        <v>182</v>
      </c>
      <c r="L2672">
        <v>226</v>
      </c>
      <c r="M2672">
        <v>7.59375</v>
      </c>
      <c r="N2672">
        <f>IFERROR(VLOOKUP(A2672,vlookup_table!$A:$G,2,FALSE),"")</f>
        <v>0</v>
      </c>
      <c r="O2672">
        <f>IFERROR(VLOOKUP(A2672,vlookup_table!$A:$G,4,FALSE),"")</f>
        <v>4503</v>
      </c>
      <c r="P2672" t="str">
        <f>IFERROR(VLOOKUP(A2672,vlookup_table!$A:$G,5,FALSE),"")</f>
        <v>R2</v>
      </c>
      <c r="Q2672">
        <f>IFERROR(VLOOKUP(A2672,vlookup_table!$A:$G,7,FALSE),"")</f>
        <v>5</v>
      </c>
      <c r="R2672">
        <f t="shared" si="164"/>
        <v>52</v>
      </c>
      <c r="S2672" t="str" cm="1">
        <f t="array" ref="S2672">IF(P2672="","",_xlfn.SWITCH(LEFT(P2672,1),"C","Ciudad","T","Pueblo","R","Rural","S","Suburbano","U","Urbano",""))</f>
        <v>Rural</v>
      </c>
      <c r="T2672" t="str">
        <f t="shared" si="165"/>
        <v>F</v>
      </c>
      <c r="U2672" t="str">
        <f t="shared" si="166"/>
        <v>FL</v>
      </c>
      <c r="V2672" t="str">
        <f t="shared" si="167"/>
        <v>9678</v>
      </c>
    </row>
    <row r="2673" spans="1:22" x14ac:dyDescent="0.35">
      <c r="A2673">
        <v>7301</v>
      </c>
      <c r="B2673" t="s">
        <v>52</v>
      </c>
      <c r="C2673" t="s">
        <v>14</v>
      </c>
      <c r="D2673">
        <v>284</v>
      </c>
      <c r="E2673">
        <v>222</v>
      </c>
      <c r="F2673">
        <v>309</v>
      </c>
      <c r="G2673">
        <v>0</v>
      </c>
      <c r="H2673">
        <v>9798</v>
      </c>
      <c r="I2673">
        <v>1</v>
      </c>
      <c r="J2673">
        <v>64</v>
      </c>
      <c r="K2673">
        <v>271</v>
      </c>
      <c r="L2673">
        <v>274</v>
      </c>
      <c r="M2673">
        <v>9.1176470589999994</v>
      </c>
      <c r="N2673">
        <f>IFERROR(VLOOKUP(A2673,vlookup_table!$A:$G,2,FALSE),"")</f>
        <v>1</v>
      </c>
      <c r="O2673">
        <f>IFERROR(VLOOKUP(A2673,vlookup_table!$A:$G,4,FALSE),"")</f>
        <v>1801</v>
      </c>
      <c r="P2673">
        <f>IFERROR(VLOOKUP(A2673,vlookup_table!$A:$G,5,FALSE),"")</f>
        <v>0</v>
      </c>
      <c r="Q2673">
        <f>IFERROR(VLOOKUP(A2673,vlookup_table!$A:$G,7,FALSE),"")</f>
        <v>10</v>
      </c>
      <c r="R2673">
        <f t="shared" si="164"/>
        <v>79</v>
      </c>
      <c r="S2673" t="str" cm="1">
        <f t="array" ref="S2673">IF(P2673="","",_xlfn.SWITCH(LEFT(P2673,1),"C","Ciudad","T","Pueblo","R","Rural","S","Suburbano","U","Urbano",""))</f>
        <v/>
      </c>
      <c r="T2673" t="str">
        <f t="shared" si="165"/>
        <v>M</v>
      </c>
      <c r="U2673" t="str">
        <f t="shared" si="166"/>
        <v>SD</v>
      </c>
      <c r="V2673" t="str">
        <f t="shared" si="167"/>
        <v>9798</v>
      </c>
    </row>
    <row r="2674" spans="1:22" x14ac:dyDescent="0.35">
      <c r="A2674">
        <v>8742</v>
      </c>
      <c r="B2674" t="s">
        <v>48</v>
      </c>
      <c r="D2674">
        <v>591</v>
      </c>
      <c r="E2674">
        <v>211</v>
      </c>
      <c r="F2674">
        <v>292</v>
      </c>
      <c r="G2674">
        <v>0</v>
      </c>
      <c r="H2674">
        <v>10661</v>
      </c>
      <c r="I2674">
        <v>10</v>
      </c>
      <c r="J2674">
        <v>62</v>
      </c>
      <c r="K2674">
        <v>246</v>
      </c>
      <c r="L2674">
        <v>249</v>
      </c>
      <c r="M2674">
        <v>2.9444444440000002</v>
      </c>
      <c r="N2674">
        <f>IFERROR(VLOOKUP(A2674,vlookup_table!$A:$G,2,FALSE),"")</f>
        <v>2</v>
      </c>
      <c r="O2674">
        <f>IFERROR(VLOOKUP(A2674,vlookup_table!$A:$G,4,FALSE),"")</f>
        <v>2011</v>
      </c>
      <c r="P2674" t="str">
        <f>IFERROR(VLOOKUP(A2674,vlookup_table!$A:$G,5,FALSE),"")</f>
        <v>C3</v>
      </c>
      <c r="Q2674">
        <f>IFERROR(VLOOKUP(A2674,vlookup_table!$A:$G,7,FALSE),"")</f>
        <v>3</v>
      </c>
      <c r="R2674">
        <f t="shared" si="164"/>
        <v>77</v>
      </c>
      <c r="S2674" t="str" cm="1">
        <f t="array" ref="S2674">IF(P2674="","",_xlfn.SWITCH(LEFT(P2674,1),"C","Ciudad","T","Pueblo","R","Rural","S","Suburbano","U","Urbano",""))</f>
        <v>Ciudad</v>
      </c>
      <c r="T2674" t="str">
        <f t="shared" si="165"/>
        <v/>
      </c>
      <c r="U2674" t="str">
        <f t="shared" si="166"/>
        <v>CO</v>
      </c>
      <c r="V2674" t="str">
        <f t="shared" si="167"/>
        <v>10661</v>
      </c>
    </row>
    <row r="2675" spans="1:22" x14ac:dyDescent="0.35">
      <c r="A2675">
        <v>42589</v>
      </c>
      <c r="B2675" t="s">
        <v>13</v>
      </c>
      <c r="C2675" t="s">
        <v>17</v>
      </c>
      <c r="D2675">
        <v>822</v>
      </c>
      <c r="E2675">
        <v>318</v>
      </c>
      <c r="F2675">
        <v>488</v>
      </c>
      <c r="G2675">
        <v>13</v>
      </c>
      <c r="H2675">
        <v>17908</v>
      </c>
      <c r="I2675">
        <v>2</v>
      </c>
      <c r="J2675">
        <v>32</v>
      </c>
      <c r="K2675">
        <v>354</v>
      </c>
      <c r="L2675">
        <v>420</v>
      </c>
      <c r="M2675">
        <v>9.75</v>
      </c>
      <c r="N2675">
        <f>IFERROR(VLOOKUP(A2675,vlookup_table!$A:$G,2,FALSE),"")</f>
        <v>0</v>
      </c>
      <c r="O2675">
        <f>IFERROR(VLOOKUP(A2675,vlookup_table!$A:$G,4,FALSE),"")</f>
        <v>2809</v>
      </c>
      <c r="P2675" t="str">
        <f>IFERROR(VLOOKUP(A2675,vlookup_table!$A:$G,5,FALSE),"")</f>
        <v>C2</v>
      </c>
      <c r="Q2675">
        <f>IFERROR(VLOOKUP(A2675,vlookup_table!$A:$G,7,FALSE),"")</f>
        <v>15</v>
      </c>
      <c r="R2675">
        <f t="shared" si="164"/>
        <v>69</v>
      </c>
      <c r="S2675" t="str" cm="1">
        <f t="array" ref="S2675">IF(P2675="","",_xlfn.SWITCH(LEFT(P2675,1),"C","Ciudad","T","Pueblo","R","Rural","S","Suburbano","U","Urbano",""))</f>
        <v>Ciudad</v>
      </c>
      <c r="T2675" t="str">
        <f t="shared" si="165"/>
        <v>F</v>
      </c>
      <c r="U2675" t="str">
        <f t="shared" si="166"/>
        <v>FL</v>
      </c>
      <c r="V2675" t="str">
        <f t="shared" si="167"/>
        <v>17908</v>
      </c>
    </row>
    <row r="2676" spans="1:22" x14ac:dyDescent="0.35">
      <c r="A2676">
        <v>125086</v>
      </c>
      <c r="B2676" t="s">
        <v>21</v>
      </c>
      <c r="C2676" t="s">
        <v>17</v>
      </c>
      <c r="D2676">
        <v>365</v>
      </c>
      <c r="E2676">
        <v>147</v>
      </c>
      <c r="F2676">
        <v>251</v>
      </c>
      <c r="G2676">
        <v>0</v>
      </c>
      <c r="H2676">
        <v>6802</v>
      </c>
      <c r="I2676">
        <v>9</v>
      </c>
      <c r="J2676">
        <v>86</v>
      </c>
      <c r="K2676">
        <v>218</v>
      </c>
      <c r="L2676">
        <v>215</v>
      </c>
      <c r="M2676">
        <v>5.538461539</v>
      </c>
      <c r="N2676">
        <f>IFERROR(VLOOKUP(A2676,vlookup_table!$A:$G,2,FALSE),"")</f>
        <v>2</v>
      </c>
      <c r="O2676">
        <f>IFERROR(VLOOKUP(A2676,vlookup_table!$A:$G,4,FALSE),"")</f>
        <v>4601</v>
      </c>
      <c r="P2676" t="str">
        <f>IFERROR(VLOOKUP(A2676,vlookup_table!$A:$G,5,FALSE),"")</f>
        <v>U4</v>
      </c>
      <c r="Q2676">
        <f>IFERROR(VLOOKUP(A2676,vlookup_table!$A:$G,7,FALSE),"")</f>
        <v>6</v>
      </c>
      <c r="R2676">
        <f t="shared" si="164"/>
        <v>51</v>
      </c>
      <c r="S2676" t="str" cm="1">
        <f t="array" ref="S2676">IF(P2676="","",_xlfn.SWITCH(LEFT(P2676,1),"C","Ciudad","T","Pueblo","R","Rural","S","Suburbano","U","Urbano",""))</f>
        <v>Urbano</v>
      </c>
      <c r="T2676" t="str">
        <f t="shared" si="165"/>
        <v>F</v>
      </c>
      <c r="U2676" t="str">
        <f t="shared" si="166"/>
        <v>TX</v>
      </c>
      <c r="V2676" t="str">
        <f t="shared" si="167"/>
        <v>6802</v>
      </c>
    </row>
    <row r="2677" spans="1:22" x14ac:dyDescent="0.35">
      <c r="A2677">
        <v>82998</v>
      </c>
      <c r="B2677" t="s">
        <v>56</v>
      </c>
      <c r="C2677" t="s">
        <v>17</v>
      </c>
      <c r="D2677">
        <v>833</v>
      </c>
      <c r="E2677">
        <v>381</v>
      </c>
      <c r="F2677">
        <v>416</v>
      </c>
      <c r="G2677">
        <v>0</v>
      </c>
      <c r="H2677">
        <v>13716</v>
      </c>
      <c r="I2677">
        <v>3</v>
      </c>
      <c r="J2677">
        <v>78</v>
      </c>
      <c r="K2677">
        <v>414</v>
      </c>
      <c r="L2677">
        <v>396</v>
      </c>
      <c r="M2677">
        <v>9.1428571430000005</v>
      </c>
      <c r="N2677">
        <f>IFERROR(VLOOKUP(A2677,vlookup_table!$A:$G,2,FALSE),"")</f>
        <v>0</v>
      </c>
      <c r="O2677">
        <f>IFERROR(VLOOKUP(A2677,vlookup_table!$A:$G,4,FALSE),"")</f>
        <v>5510</v>
      </c>
      <c r="P2677" t="str">
        <f>IFERROR(VLOOKUP(A2677,vlookup_table!$A:$G,5,FALSE),"")</f>
        <v>S2</v>
      </c>
      <c r="Q2677">
        <f>IFERROR(VLOOKUP(A2677,vlookup_table!$A:$G,7,FALSE),"")</f>
        <v>25</v>
      </c>
      <c r="R2677">
        <f t="shared" si="164"/>
        <v>42</v>
      </c>
      <c r="S2677" t="str" cm="1">
        <f t="array" ref="S2677">IF(P2677="","",_xlfn.SWITCH(LEFT(P2677,1),"C","Ciudad","T","Pueblo","R","Rural","S","Suburbano","U","Urbano",""))</f>
        <v>Suburbano</v>
      </c>
      <c r="T2677" t="str">
        <f t="shared" si="165"/>
        <v>F</v>
      </c>
      <c r="U2677" t="str">
        <f t="shared" si="166"/>
        <v>MN</v>
      </c>
      <c r="V2677" t="str">
        <f t="shared" si="167"/>
        <v>13716</v>
      </c>
    </row>
    <row r="2678" spans="1:22" x14ac:dyDescent="0.35">
      <c r="A2678">
        <v>82548</v>
      </c>
      <c r="B2678" t="s">
        <v>56</v>
      </c>
      <c r="C2678" t="s">
        <v>14</v>
      </c>
      <c r="D2678">
        <v>634</v>
      </c>
      <c r="E2678">
        <v>251</v>
      </c>
      <c r="F2678">
        <v>320</v>
      </c>
      <c r="G2678">
        <v>0</v>
      </c>
      <c r="H2678">
        <v>10092</v>
      </c>
      <c r="I2678">
        <v>2</v>
      </c>
      <c r="J2678">
        <v>82</v>
      </c>
      <c r="K2678">
        <v>271</v>
      </c>
      <c r="L2678">
        <v>296</v>
      </c>
      <c r="M2678">
        <v>5.25</v>
      </c>
      <c r="N2678">
        <f>IFERROR(VLOOKUP(A2678,vlookup_table!$A:$G,2,FALSE),"")</f>
        <v>0</v>
      </c>
      <c r="O2678">
        <f>IFERROR(VLOOKUP(A2678,vlookup_table!$A:$G,4,FALSE),"")</f>
        <v>3801</v>
      </c>
      <c r="P2678" t="str">
        <f>IFERROR(VLOOKUP(A2678,vlookup_table!$A:$G,5,FALSE),"")</f>
        <v>U3</v>
      </c>
      <c r="Q2678">
        <f>IFERROR(VLOOKUP(A2678,vlookup_table!$A:$G,7,FALSE),"")</f>
        <v>10</v>
      </c>
      <c r="R2678">
        <f t="shared" si="164"/>
        <v>59</v>
      </c>
      <c r="S2678" t="str" cm="1">
        <f t="array" ref="S2678">IF(P2678="","",_xlfn.SWITCH(LEFT(P2678,1),"C","Ciudad","T","Pueblo","R","Rural","S","Suburbano","U","Urbano",""))</f>
        <v>Urbano</v>
      </c>
      <c r="T2678" t="str">
        <f t="shared" si="165"/>
        <v>M</v>
      </c>
      <c r="U2678" t="str">
        <f t="shared" si="166"/>
        <v>MN</v>
      </c>
      <c r="V2678" t="str">
        <f t="shared" si="167"/>
        <v>10092</v>
      </c>
    </row>
    <row r="2679" spans="1:22" x14ac:dyDescent="0.35">
      <c r="A2679">
        <v>190488</v>
      </c>
      <c r="B2679" t="s">
        <v>36</v>
      </c>
      <c r="C2679" t="s">
        <v>17</v>
      </c>
      <c r="D2679">
        <v>1182</v>
      </c>
      <c r="E2679">
        <v>359</v>
      </c>
      <c r="F2679">
        <v>453</v>
      </c>
      <c r="G2679">
        <v>2</v>
      </c>
      <c r="H2679">
        <v>18266</v>
      </c>
      <c r="I2679">
        <v>3</v>
      </c>
      <c r="J2679">
        <v>43</v>
      </c>
      <c r="K2679">
        <v>430</v>
      </c>
      <c r="L2679">
        <v>386</v>
      </c>
      <c r="M2679">
        <v>19.432432429999999</v>
      </c>
      <c r="N2679">
        <f>IFERROR(VLOOKUP(A2679,vlookup_table!$A:$G,2,FALSE),"")</f>
        <v>0</v>
      </c>
      <c r="O2679">
        <f>IFERROR(VLOOKUP(A2679,vlookup_table!$A:$G,4,FALSE),"")</f>
        <v>4901</v>
      </c>
      <c r="P2679" t="str">
        <f>IFERROR(VLOOKUP(A2679,vlookup_table!$A:$G,5,FALSE),"")</f>
        <v>T1</v>
      </c>
      <c r="Q2679">
        <f>IFERROR(VLOOKUP(A2679,vlookup_table!$A:$G,7,FALSE),"")</f>
        <v>25</v>
      </c>
      <c r="R2679">
        <f t="shared" si="164"/>
        <v>48</v>
      </c>
      <c r="S2679" t="str" cm="1">
        <f t="array" ref="S2679">IF(P2679="","",_xlfn.SWITCH(LEFT(P2679,1),"C","Ciudad","T","Pueblo","R","Rural","S","Suburbano","U","Urbano",""))</f>
        <v>Pueblo</v>
      </c>
      <c r="T2679" t="str">
        <f t="shared" si="165"/>
        <v>F</v>
      </c>
      <c r="U2679" t="str">
        <f t="shared" si="166"/>
        <v>MO</v>
      </c>
      <c r="V2679" t="str">
        <f t="shared" si="167"/>
        <v>18266</v>
      </c>
    </row>
    <row r="2680" spans="1:22" x14ac:dyDescent="0.35">
      <c r="A2680">
        <v>54996</v>
      </c>
      <c r="B2680" t="s">
        <v>62</v>
      </c>
      <c r="C2680" t="s">
        <v>14</v>
      </c>
      <c r="D2680">
        <v>336</v>
      </c>
      <c r="E2680">
        <v>196</v>
      </c>
      <c r="F2680">
        <v>251</v>
      </c>
      <c r="G2680">
        <v>0</v>
      </c>
      <c r="H2680">
        <v>8008</v>
      </c>
      <c r="I2680">
        <v>1</v>
      </c>
      <c r="J2680">
        <v>87</v>
      </c>
      <c r="K2680">
        <v>222</v>
      </c>
      <c r="L2680">
        <v>229</v>
      </c>
      <c r="M2680">
        <v>8.230769231</v>
      </c>
      <c r="N2680">
        <f>IFERROR(VLOOKUP(A2680,vlookup_table!$A:$G,2,FALSE),"")</f>
        <v>2</v>
      </c>
      <c r="O2680">
        <f>IFERROR(VLOOKUP(A2680,vlookup_table!$A:$G,4,FALSE),"")</f>
        <v>2812</v>
      </c>
      <c r="P2680" t="str">
        <f>IFERROR(VLOOKUP(A2680,vlookup_table!$A:$G,5,FALSE),"")</f>
        <v>R3</v>
      </c>
      <c r="Q2680">
        <f>IFERROR(VLOOKUP(A2680,vlookup_table!$A:$G,7,FALSE),"")</f>
        <v>10</v>
      </c>
      <c r="R2680">
        <f t="shared" si="164"/>
        <v>69</v>
      </c>
      <c r="S2680" t="str" cm="1">
        <f t="array" ref="S2680">IF(P2680="","",_xlfn.SWITCH(LEFT(P2680,1),"C","Ciudad","T","Pueblo","R","Rural","S","Suburbano","U","Urbano",""))</f>
        <v>Rural</v>
      </c>
      <c r="T2680" t="str">
        <f t="shared" si="165"/>
        <v>M</v>
      </c>
      <c r="U2680" t="str">
        <f t="shared" si="166"/>
        <v>MS</v>
      </c>
      <c r="V2680" t="str">
        <f t="shared" si="167"/>
        <v>8008</v>
      </c>
    </row>
    <row r="2681" spans="1:22" x14ac:dyDescent="0.35">
      <c r="A2681">
        <v>185880</v>
      </c>
      <c r="B2681" t="s">
        <v>33</v>
      </c>
      <c r="C2681" t="s">
        <v>14</v>
      </c>
      <c r="D2681">
        <v>450</v>
      </c>
      <c r="E2681">
        <v>330</v>
      </c>
      <c r="F2681">
        <v>372</v>
      </c>
      <c r="G2681">
        <v>0</v>
      </c>
      <c r="H2681">
        <v>13149</v>
      </c>
      <c r="I2681">
        <v>1</v>
      </c>
      <c r="J2681">
        <v>68</v>
      </c>
      <c r="K2681">
        <v>344</v>
      </c>
      <c r="L2681">
        <v>357</v>
      </c>
      <c r="M2681">
        <v>10.125</v>
      </c>
      <c r="N2681">
        <f>IFERROR(VLOOKUP(A2681,vlookup_table!$A:$G,2,FALSE),"")</f>
        <v>1</v>
      </c>
      <c r="O2681">
        <f>IFERROR(VLOOKUP(A2681,vlookup_table!$A:$G,4,FALSE),"")</f>
        <v>1801</v>
      </c>
      <c r="P2681" t="str">
        <f>IFERROR(VLOOKUP(A2681,vlookup_table!$A:$G,5,FALSE),"")</f>
        <v>S3</v>
      </c>
      <c r="Q2681">
        <f>IFERROR(VLOOKUP(A2681,vlookup_table!$A:$G,7,FALSE),"")</f>
        <v>13</v>
      </c>
      <c r="R2681">
        <f t="shared" si="164"/>
        <v>79</v>
      </c>
      <c r="S2681" t="str" cm="1">
        <f t="array" ref="S2681">IF(P2681="","",_xlfn.SWITCH(LEFT(P2681,1),"C","Ciudad","T","Pueblo","R","Rural","S","Suburbano","U","Urbano",""))</f>
        <v>Suburbano</v>
      </c>
      <c r="T2681" t="str">
        <f t="shared" si="165"/>
        <v>M</v>
      </c>
      <c r="U2681" t="str">
        <f t="shared" si="166"/>
        <v>IN</v>
      </c>
      <c r="V2681" t="str">
        <f t="shared" si="167"/>
        <v>13149</v>
      </c>
    </row>
    <row r="2682" spans="1:22" x14ac:dyDescent="0.35">
      <c r="A2682">
        <v>119843</v>
      </c>
      <c r="B2682" t="s">
        <v>21</v>
      </c>
      <c r="C2682" t="s">
        <v>17</v>
      </c>
      <c r="D2682">
        <v>417</v>
      </c>
      <c r="E2682">
        <v>185</v>
      </c>
      <c r="F2682">
        <v>253</v>
      </c>
      <c r="G2682">
        <v>0</v>
      </c>
      <c r="H2682">
        <v>10294</v>
      </c>
      <c r="I2682">
        <v>3</v>
      </c>
      <c r="J2682">
        <v>77</v>
      </c>
      <c r="K2682">
        <v>208</v>
      </c>
      <c r="L2682">
        <v>217</v>
      </c>
      <c r="M2682">
        <v>14.28571429</v>
      </c>
      <c r="N2682">
        <f>IFERROR(VLOOKUP(A2682,vlookup_table!$A:$G,2,FALSE),"")</f>
        <v>0</v>
      </c>
      <c r="O2682">
        <f>IFERROR(VLOOKUP(A2682,vlookup_table!$A:$G,4,FALSE),"")</f>
        <v>1209</v>
      </c>
      <c r="P2682" t="str">
        <f>IFERROR(VLOOKUP(A2682,vlookup_table!$A:$G,5,FALSE),"")</f>
        <v>R2</v>
      </c>
      <c r="Q2682">
        <f>IFERROR(VLOOKUP(A2682,vlookup_table!$A:$G,7,FALSE),"")</f>
        <v>20</v>
      </c>
      <c r="R2682">
        <f t="shared" si="164"/>
        <v>85</v>
      </c>
      <c r="S2682" t="str" cm="1">
        <f t="array" ref="S2682">IF(P2682="","",_xlfn.SWITCH(LEFT(P2682,1),"C","Ciudad","T","Pueblo","R","Rural","S","Suburbano","U","Urbano",""))</f>
        <v>Rural</v>
      </c>
      <c r="T2682" t="str">
        <f t="shared" si="165"/>
        <v>F</v>
      </c>
      <c r="U2682" t="str">
        <f t="shared" si="166"/>
        <v>TX</v>
      </c>
      <c r="V2682" t="str">
        <f t="shared" si="167"/>
        <v>10294</v>
      </c>
    </row>
    <row r="2683" spans="1:22" x14ac:dyDescent="0.35">
      <c r="A2683">
        <v>142564</v>
      </c>
      <c r="B2683" t="s">
        <v>22</v>
      </c>
      <c r="C2683" t="s">
        <v>14</v>
      </c>
      <c r="D2683">
        <v>1943</v>
      </c>
      <c r="E2683">
        <v>426</v>
      </c>
      <c r="F2683">
        <v>523</v>
      </c>
      <c r="G2683">
        <v>45</v>
      </c>
      <c r="H2683">
        <v>16702</v>
      </c>
      <c r="I2683">
        <v>3</v>
      </c>
      <c r="J2683">
        <v>48</v>
      </c>
      <c r="K2683">
        <v>444</v>
      </c>
      <c r="L2683">
        <v>439</v>
      </c>
      <c r="M2683">
        <v>10.33333333</v>
      </c>
      <c r="N2683">
        <f>IFERROR(VLOOKUP(A2683,vlookup_table!$A:$G,2,FALSE),"")</f>
        <v>1</v>
      </c>
      <c r="O2683">
        <f>IFERROR(VLOOKUP(A2683,vlookup_table!$A:$G,4,FALSE),"")</f>
        <v>2401</v>
      </c>
      <c r="P2683" t="str">
        <f>IFERROR(VLOOKUP(A2683,vlookup_table!$A:$G,5,FALSE),"")</f>
        <v>U2</v>
      </c>
      <c r="Q2683">
        <f>IFERROR(VLOOKUP(A2683,vlookup_table!$A:$G,7,FALSE),"")</f>
        <v>38</v>
      </c>
      <c r="R2683">
        <f t="shared" si="164"/>
        <v>73</v>
      </c>
      <c r="S2683" t="str" cm="1">
        <f t="array" ref="S2683">IF(P2683="","",_xlfn.SWITCH(LEFT(P2683,1),"C","Ciudad","T","Pueblo","R","Rural","S","Suburbano","U","Urbano",""))</f>
        <v>Urbano</v>
      </c>
      <c r="T2683" t="str">
        <f t="shared" si="165"/>
        <v>M</v>
      </c>
      <c r="U2683" t="str">
        <f t="shared" si="166"/>
        <v>CA</v>
      </c>
      <c r="V2683" t="str">
        <f t="shared" si="167"/>
        <v>16702</v>
      </c>
    </row>
    <row r="2684" spans="1:22" x14ac:dyDescent="0.35">
      <c r="A2684">
        <v>164796</v>
      </c>
      <c r="B2684" t="s">
        <v>22</v>
      </c>
      <c r="D2684">
        <v>3692</v>
      </c>
      <c r="E2684">
        <v>783</v>
      </c>
      <c r="F2684">
        <v>864</v>
      </c>
      <c r="G2684">
        <v>97</v>
      </c>
      <c r="H2684">
        <v>32609</v>
      </c>
      <c r="I2684">
        <v>14</v>
      </c>
      <c r="J2684">
        <v>38</v>
      </c>
      <c r="K2684">
        <v>826</v>
      </c>
      <c r="L2684">
        <v>827</v>
      </c>
      <c r="M2684">
        <v>7.2</v>
      </c>
      <c r="N2684">
        <f>IFERROR(VLOOKUP(A2684,vlookup_table!$A:$G,2,FALSE),"")</f>
        <v>0</v>
      </c>
      <c r="O2684">
        <f>IFERROR(VLOOKUP(A2684,vlookup_table!$A:$G,4,FALSE),"")</f>
        <v>3607</v>
      </c>
      <c r="P2684" t="str">
        <f>IFERROR(VLOOKUP(A2684,vlookup_table!$A:$G,5,FALSE),"")</f>
        <v>S2</v>
      </c>
      <c r="Q2684">
        <f>IFERROR(VLOOKUP(A2684,vlookup_table!$A:$G,7,FALSE),"")</f>
        <v>12</v>
      </c>
      <c r="R2684">
        <f t="shared" si="164"/>
        <v>61</v>
      </c>
      <c r="S2684" t="str" cm="1">
        <f t="array" ref="S2684">IF(P2684="","",_xlfn.SWITCH(LEFT(P2684,1),"C","Ciudad","T","Pueblo","R","Rural","S","Suburbano","U","Urbano",""))</f>
        <v>Suburbano</v>
      </c>
      <c r="T2684" t="str">
        <f t="shared" si="165"/>
        <v/>
      </c>
      <c r="U2684" t="str">
        <f t="shared" si="166"/>
        <v>CA</v>
      </c>
      <c r="V2684" t="str">
        <f t="shared" si="167"/>
        <v>32609</v>
      </c>
    </row>
    <row r="2685" spans="1:22" x14ac:dyDescent="0.35">
      <c r="A2685">
        <v>171072</v>
      </c>
      <c r="B2685" t="s">
        <v>22</v>
      </c>
      <c r="C2685" t="s">
        <v>17</v>
      </c>
      <c r="D2685">
        <v>1033</v>
      </c>
      <c r="E2685">
        <v>246</v>
      </c>
      <c r="F2685">
        <v>267</v>
      </c>
      <c r="G2685">
        <v>1</v>
      </c>
      <c r="H2685">
        <v>11090</v>
      </c>
      <c r="I2685">
        <v>3</v>
      </c>
      <c r="J2685">
        <v>50</v>
      </c>
      <c r="K2685">
        <v>256</v>
      </c>
      <c r="L2685">
        <v>260</v>
      </c>
      <c r="M2685">
        <v>12.625</v>
      </c>
      <c r="N2685">
        <f>IFERROR(VLOOKUP(A2685,vlookup_table!$A:$G,2,FALSE),"")</f>
        <v>28</v>
      </c>
      <c r="O2685">
        <f>IFERROR(VLOOKUP(A2685,vlookup_table!$A:$G,4,FALSE),"")</f>
        <v>0</v>
      </c>
      <c r="P2685" t="str">
        <f>IFERROR(VLOOKUP(A2685,vlookup_table!$A:$G,5,FALSE),"")</f>
        <v>U3</v>
      </c>
      <c r="Q2685">
        <f>IFERROR(VLOOKUP(A2685,vlookup_table!$A:$G,7,FALSE),"")</f>
        <v>10</v>
      </c>
      <c r="R2685">
        <f t="shared" si="164"/>
        <v>97</v>
      </c>
      <c r="S2685" t="str" cm="1">
        <f t="array" ref="S2685">IF(P2685="","",_xlfn.SWITCH(LEFT(P2685,1),"C","Ciudad","T","Pueblo","R","Rural","S","Suburbano","U","Urbano",""))</f>
        <v>Urbano</v>
      </c>
      <c r="T2685" t="str">
        <f t="shared" si="165"/>
        <v>F</v>
      </c>
      <c r="U2685" t="str">
        <f t="shared" si="166"/>
        <v>CA</v>
      </c>
      <c r="V2685" t="str">
        <f t="shared" si="167"/>
        <v>11090</v>
      </c>
    </row>
    <row r="2686" spans="1:22" x14ac:dyDescent="0.35">
      <c r="A2686">
        <v>101143</v>
      </c>
      <c r="B2686" t="s">
        <v>36</v>
      </c>
      <c r="C2686" t="s">
        <v>17</v>
      </c>
      <c r="D2686">
        <v>720</v>
      </c>
      <c r="E2686">
        <v>335</v>
      </c>
      <c r="F2686">
        <v>386</v>
      </c>
      <c r="G2686">
        <v>1</v>
      </c>
      <c r="H2686">
        <v>13406</v>
      </c>
      <c r="I2686">
        <v>0</v>
      </c>
      <c r="J2686">
        <v>75</v>
      </c>
      <c r="K2686">
        <v>390</v>
      </c>
      <c r="L2686">
        <v>341</v>
      </c>
      <c r="M2686">
        <v>4.4000000000000004</v>
      </c>
      <c r="N2686">
        <f>IFERROR(VLOOKUP(A2686,vlookup_table!$A:$G,2,FALSE),"")</f>
        <v>0</v>
      </c>
      <c r="O2686">
        <f>IFERROR(VLOOKUP(A2686,vlookup_table!$A:$G,4,FALSE),"")</f>
        <v>2801</v>
      </c>
      <c r="P2686" t="str">
        <f>IFERROR(VLOOKUP(A2686,vlookup_table!$A:$G,5,FALSE),"")</f>
        <v>R2</v>
      </c>
      <c r="Q2686">
        <f>IFERROR(VLOOKUP(A2686,vlookup_table!$A:$G,7,FALSE),"")</f>
        <v>10</v>
      </c>
      <c r="R2686">
        <f t="shared" si="164"/>
        <v>69</v>
      </c>
      <c r="S2686" t="str" cm="1">
        <f t="array" ref="S2686">IF(P2686="","",_xlfn.SWITCH(LEFT(P2686,1),"C","Ciudad","T","Pueblo","R","Rural","S","Suburbano","U","Urbano",""))</f>
        <v>Rural</v>
      </c>
      <c r="T2686" t="str">
        <f t="shared" si="165"/>
        <v>F</v>
      </c>
      <c r="U2686" t="str">
        <f t="shared" si="166"/>
        <v>MO</v>
      </c>
      <c r="V2686" t="str">
        <f t="shared" si="167"/>
        <v>13406</v>
      </c>
    </row>
    <row r="2687" spans="1:22" x14ac:dyDescent="0.35">
      <c r="A2687">
        <v>171612</v>
      </c>
      <c r="B2687" t="s">
        <v>22</v>
      </c>
      <c r="C2687" t="s">
        <v>17</v>
      </c>
      <c r="D2687">
        <v>1537</v>
      </c>
      <c r="E2687">
        <v>495</v>
      </c>
      <c r="F2687">
        <v>544</v>
      </c>
      <c r="G2687">
        <v>19</v>
      </c>
      <c r="H2687">
        <v>17689</v>
      </c>
      <c r="I2687">
        <v>13</v>
      </c>
      <c r="J2687">
        <v>58</v>
      </c>
      <c r="K2687">
        <v>509</v>
      </c>
      <c r="L2687">
        <v>528</v>
      </c>
      <c r="M2687">
        <v>8.375</v>
      </c>
      <c r="N2687">
        <f>IFERROR(VLOOKUP(A2687,vlookup_table!$A:$G,2,FALSE),"")</f>
        <v>0</v>
      </c>
      <c r="O2687">
        <f>IFERROR(VLOOKUP(A2687,vlookup_table!$A:$G,4,FALSE),"")</f>
        <v>3712</v>
      </c>
      <c r="P2687" t="str">
        <f>IFERROR(VLOOKUP(A2687,vlookup_table!$A:$G,5,FALSE),"")</f>
        <v>S1</v>
      </c>
      <c r="Q2687">
        <f>IFERROR(VLOOKUP(A2687,vlookup_table!$A:$G,7,FALSE),"")</f>
        <v>20</v>
      </c>
      <c r="R2687">
        <f t="shared" si="164"/>
        <v>60</v>
      </c>
      <c r="S2687" t="str" cm="1">
        <f t="array" ref="S2687">IF(P2687="","",_xlfn.SWITCH(LEFT(P2687,1),"C","Ciudad","T","Pueblo","R","Rural","S","Suburbano","U","Urbano",""))</f>
        <v>Suburbano</v>
      </c>
      <c r="T2687" t="str">
        <f t="shared" si="165"/>
        <v>F</v>
      </c>
      <c r="U2687" t="str">
        <f t="shared" si="166"/>
        <v>CA</v>
      </c>
      <c r="V2687" t="str">
        <f t="shared" si="167"/>
        <v>17689</v>
      </c>
    </row>
    <row r="2688" spans="1:22" x14ac:dyDescent="0.35">
      <c r="A2688">
        <v>85619</v>
      </c>
      <c r="B2688" t="s">
        <v>56</v>
      </c>
      <c r="C2688" t="s">
        <v>17</v>
      </c>
      <c r="D2688">
        <v>435</v>
      </c>
      <c r="E2688">
        <v>181</v>
      </c>
      <c r="F2688">
        <v>265</v>
      </c>
      <c r="G2688">
        <v>0</v>
      </c>
      <c r="H2688">
        <v>9026</v>
      </c>
      <c r="I2688">
        <v>1</v>
      </c>
      <c r="J2688">
        <v>76</v>
      </c>
      <c r="K2688">
        <v>232</v>
      </c>
      <c r="L2688">
        <v>225</v>
      </c>
      <c r="M2688">
        <v>8</v>
      </c>
      <c r="N2688">
        <f>IFERROR(VLOOKUP(A2688,vlookup_table!$A:$G,2,FALSE),"")</f>
        <v>0</v>
      </c>
      <c r="O2688">
        <f>IFERROR(VLOOKUP(A2688,vlookup_table!$A:$G,4,FALSE),"")</f>
        <v>3803</v>
      </c>
      <c r="P2688" t="str">
        <f>IFERROR(VLOOKUP(A2688,vlookup_table!$A:$G,5,FALSE),"")</f>
        <v>R2</v>
      </c>
      <c r="Q2688">
        <f>IFERROR(VLOOKUP(A2688,vlookup_table!$A:$G,7,FALSE),"")</f>
        <v>5</v>
      </c>
      <c r="R2688">
        <f t="shared" si="164"/>
        <v>59</v>
      </c>
      <c r="S2688" t="str" cm="1">
        <f t="array" ref="S2688">IF(P2688="","",_xlfn.SWITCH(LEFT(P2688,1),"C","Ciudad","T","Pueblo","R","Rural","S","Suburbano","U","Urbano",""))</f>
        <v>Rural</v>
      </c>
      <c r="T2688" t="str">
        <f t="shared" si="165"/>
        <v>F</v>
      </c>
      <c r="U2688" t="str">
        <f t="shared" si="166"/>
        <v>MN</v>
      </c>
      <c r="V2688" t="str">
        <f t="shared" si="167"/>
        <v>9026</v>
      </c>
    </row>
    <row r="2689" spans="1:22" x14ac:dyDescent="0.35">
      <c r="A2689">
        <v>118905</v>
      </c>
      <c r="B2689" t="s">
        <v>21</v>
      </c>
      <c r="C2689" t="s">
        <v>14</v>
      </c>
      <c r="D2689">
        <v>1362</v>
      </c>
      <c r="E2689">
        <v>724</v>
      </c>
      <c r="F2689">
        <v>724</v>
      </c>
      <c r="G2689">
        <v>1</v>
      </c>
      <c r="H2689">
        <v>23403</v>
      </c>
      <c r="I2689">
        <v>19</v>
      </c>
      <c r="J2689">
        <v>28</v>
      </c>
      <c r="K2689">
        <v>754</v>
      </c>
      <c r="L2689">
        <v>714</v>
      </c>
      <c r="M2689">
        <v>6.5625</v>
      </c>
      <c r="N2689">
        <f>IFERROR(VLOOKUP(A2689,vlookup_table!$A:$G,2,FALSE),"")</f>
        <v>0</v>
      </c>
      <c r="O2689">
        <f>IFERROR(VLOOKUP(A2689,vlookup_table!$A:$G,4,FALSE),"")</f>
        <v>4310</v>
      </c>
      <c r="P2689" t="str">
        <f>IFERROR(VLOOKUP(A2689,vlookup_table!$A:$G,5,FALSE),"")</f>
        <v>C1</v>
      </c>
      <c r="Q2689">
        <f>IFERROR(VLOOKUP(A2689,vlookup_table!$A:$G,7,FALSE),"")</f>
        <v>10</v>
      </c>
      <c r="R2689">
        <f t="shared" si="164"/>
        <v>54</v>
      </c>
      <c r="S2689" t="str" cm="1">
        <f t="array" ref="S2689">IF(P2689="","",_xlfn.SWITCH(LEFT(P2689,1),"C","Ciudad","T","Pueblo","R","Rural","S","Suburbano","U","Urbano",""))</f>
        <v>Ciudad</v>
      </c>
      <c r="T2689" t="str">
        <f t="shared" si="165"/>
        <v>M</v>
      </c>
      <c r="U2689" t="str">
        <f t="shared" si="166"/>
        <v>TX</v>
      </c>
      <c r="V2689" t="str">
        <f t="shared" si="167"/>
        <v>23403</v>
      </c>
    </row>
    <row r="2690" spans="1:22" x14ac:dyDescent="0.35">
      <c r="A2690">
        <v>793</v>
      </c>
      <c r="B2690" t="s">
        <v>22</v>
      </c>
      <c r="C2690" t="s">
        <v>17</v>
      </c>
      <c r="D2690">
        <v>1568</v>
      </c>
      <c r="E2690">
        <v>328</v>
      </c>
      <c r="F2690">
        <v>451</v>
      </c>
      <c r="G2690">
        <v>15</v>
      </c>
      <c r="H2690">
        <v>17761</v>
      </c>
      <c r="I2690">
        <v>12</v>
      </c>
      <c r="J2690">
        <v>49</v>
      </c>
      <c r="K2690">
        <v>406</v>
      </c>
      <c r="L2690">
        <v>375</v>
      </c>
      <c r="M2690">
        <v>10.19047619</v>
      </c>
      <c r="N2690">
        <f>IFERROR(VLOOKUP(A2690,vlookup_table!$A:$G,2,FALSE),"")</f>
        <v>0</v>
      </c>
      <c r="O2690">
        <f>IFERROR(VLOOKUP(A2690,vlookup_table!$A:$G,4,FALSE),"")</f>
        <v>1006</v>
      </c>
      <c r="P2690" t="str">
        <f>IFERROR(VLOOKUP(A2690,vlookup_table!$A:$G,5,FALSE),"")</f>
        <v>S2</v>
      </c>
      <c r="Q2690">
        <f>IFERROR(VLOOKUP(A2690,vlookup_table!$A:$G,7,FALSE),"")</f>
        <v>15</v>
      </c>
      <c r="R2690">
        <f t="shared" ref="R2690:R2753" si="168">IF(O2690="","",97-INT(O2690/100))</f>
        <v>87</v>
      </c>
      <c r="S2690" t="str" cm="1">
        <f t="array" ref="S2690">IF(P2690="","",_xlfn.SWITCH(LEFT(P2690,1),"C","Ciudad","T","Pueblo","R","Rural","S","Suburbano","U","Urbano",""))</f>
        <v>Suburbano</v>
      </c>
      <c r="T2690" t="str">
        <f t="shared" ref="T2690:T2753" si="169">IF(C2690="","",IF(OR(UPPER(C2690)="M",UPPER(C2690)="MALE"),"M",IF(OR(UPPER(C2690)="F",UPPER(C2690)="FEMALE",UPPER(C2690)="FEAMALE"),"F",C2690)))</f>
        <v>F</v>
      </c>
      <c r="U2690" t="str">
        <f t="shared" ref="U2690:U2753" si="170">IF(OR(UPPER(B2690)="CALIFORNIA",UPPER(B2690)="CALI"),"CA",B2690)</f>
        <v>CA</v>
      </c>
      <c r="V2690" t="str">
        <f t="shared" ref="V2690:V2753" si="171">SUBSTITUTE(H2690,"@","")</f>
        <v>17761</v>
      </c>
    </row>
    <row r="2691" spans="1:22" x14ac:dyDescent="0.35">
      <c r="A2691">
        <v>52547</v>
      </c>
      <c r="B2691" t="s">
        <v>68</v>
      </c>
      <c r="C2691" t="s">
        <v>14</v>
      </c>
      <c r="D2691">
        <v>309</v>
      </c>
      <c r="E2691">
        <v>147</v>
      </c>
      <c r="F2691">
        <v>217</v>
      </c>
      <c r="G2691">
        <v>0</v>
      </c>
      <c r="H2691">
        <v>6852</v>
      </c>
      <c r="I2691">
        <v>0</v>
      </c>
      <c r="J2691">
        <v>85</v>
      </c>
      <c r="K2691">
        <v>174</v>
      </c>
      <c r="L2691">
        <v>191</v>
      </c>
      <c r="M2691">
        <v>4.4545454549999999</v>
      </c>
      <c r="N2691">
        <f>IFERROR(VLOOKUP(A2691,vlookup_table!$A:$G,2,FALSE),"")</f>
        <v>1</v>
      </c>
      <c r="O2691">
        <f>IFERROR(VLOOKUP(A2691,vlookup_table!$A:$G,4,FALSE),"")</f>
        <v>4001</v>
      </c>
      <c r="P2691" t="str">
        <f>IFERROR(VLOOKUP(A2691,vlookup_table!$A:$G,5,FALSE),"")</f>
        <v>R2</v>
      </c>
      <c r="Q2691">
        <f>IFERROR(VLOOKUP(A2691,vlookup_table!$A:$G,7,FALSE),"")</f>
        <v>5</v>
      </c>
      <c r="R2691">
        <f t="shared" si="168"/>
        <v>57</v>
      </c>
      <c r="S2691" t="str" cm="1">
        <f t="array" ref="S2691">IF(P2691="","",_xlfn.SWITCH(LEFT(P2691,1),"C","Ciudad","T","Pueblo","R","Rural","S","Suburbano","U","Urbano",""))</f>
        <v>Rural</v>
      </c>
      <c r="T2691" t="str">
        <f t="shared" si="169"/>
        <v>M</v>
      </c>
      <c r="U2691" t="str">
        <f t="shared" si="170"/>
        <v>Tennessee</v>
      </c>
      <c r="V2691" t="str">
        <f t="shared" si="171"/>
        <v>6852</v>
      </c>
    </row>
    <row r="2692" spans="1:22" x14ac:dyDescent="0.35">
      <c r="A2692">
        <v>162313</v>
      </c>
      <c r="B2692" t="s">
        <v>22</v>
      </c>
      <c r="C2692" t="s">
        <v>17</v>
      </c>
      <c r="D2692">
        <v>5975</v>
      </c>
      <c r="E2692">
        <v>1500</v>
      </c>
      <c r="F2692">
        <v>1331</v>
      </c>
      <c r="G2692">
        <v>99</v>
      </c>
      <c r="H2692">
        <v>90600</v>
      </c>
      <c r="I2692">
        <v>20</v>
      </c>
      <c r="J2692">
        <v>36</v>
      </c>
      <c r="K2692">
        <v>1500</v>
      </c>
      <c r="L2692">
        <v>1311</v>
      </c>
      <c r="M2692">
        <v>22.2</v>
      </c>
      <c r="N2692">
        <f>IFERROR(VLOOKUP(A2692,vlookup_table!$A:$G,2,FALSE),"")</f>
        <v>1</v>
      </c>
      <c r="O2692">
        <f>IFERROR(VLOOKUP(A2692,vlookup_table!$A:$G,4,FALSE),"")</f>
        <v>6201</v>
      </c>
      <c r="P2692" t="str">
        <f>IFERROR(VLOOKUP(A2692,vlookup_table!$A:$G,5,FALSE),"")</f>
        <v>S1</v>
      </c>
      <c r="Q2692">
        <f>IFERROR(VLOOKUP(A2692,vlookup_table!$A:$G,7,FALSE),"")</f>
        <v>25</v>
      </c>
      <c r="R2692">
        <f t="shared" si="168"/>
        <v>35</v>
      </c>
      <c r="S2692" t="str" cm="1">
        <f t="array" ref="S2692">IF(P2692="","",_xlfn.SWITCH(LEFT(P2692,1),"C","Ciudad","T","Pueblo","R","Rural","S","Suburbano","U","Urbano",""))</f>
        <v>Suburbano</v>
      </c>
      <c r="T2692" t="str">
        <f t="shared" si="169"/>
        <v>F</v>
      </c>
      <c r="U2692" t="str">
        <f t="shared" si="170"/>
        <v>CA</v>
      </c>
      <c r="V2692" t="str">
        <f t="shared" si="171"/>
        <v>90600</v>
      </c>
    </row>
    <row r="2693" spans="1:22" x14ac:dyDescent="0.35">
      <c r="A2693">
        <v>4320</v>
      </c>
      <c r="B2693" t="s">
        <v>43</v>
      </c>
      <c r="C2693" t="s">
        <v>17</v>
      </c>
      <c r="D2693">
        <v>738</v>
      </c>
      <c r="E2693">
        <v>332</v>
      </c>
      <c r="F2693">
        <v>438</v>
      </c>
      <c r="G2693">
        <v>2</v>
      </c>
      <c r="H2693">
        <v>16613</v>
      </c>
      <c r="I2693">
        <v>1</v>
      </c>
      <c r="J2693">
        <v>67</v>
      </c>
      <c r="K2693">
        <v>379</v>
      </c>
      <c r="L2693">
        <v>387</v>
      </c>
      <c r="M2693">
        <v>11</v>
      </c>
      <c r="N2693">
        <f>IFERROR(VLOOKUP(A2693,vlookup_table!$A:$G,2,FALSE),"")</f>
        <v>2</v>
      </c>
      <c r="O2693">
        <f>IFERROR(VLOOKUP(A2693,vlookup_table!$A:$G,4,FALSE),"")</f>
        <v>801</v>
      </c>
      <c r="P2693" t="str">
        <f>IFERROR(VLOOKUP(A2693,vlookup_table!$A:$G,5,FALSE),"")</f>
        <v>T2</v>
      </c>
      <c r="Q2693">
        <f>IFERROR(VLOOKUP(A2693,vlookup_table!$A:$G,7,FALSE),"")</f>
        <v>15</v>
      </c>
      <c r="R2693">
        <f t="shared" si="168"/>
        <v>89</v>
      </c>
      <c r="S2693" t="str" cm="1">
        <f t="array" ref="S2693">IF(P2693="","",_xlfn.SWITCH(LEFT(P2693,1),"C","Ciudad","T","Pueblo","R","Rural","S","Suburbano","U","Urbano",""))</f>
        <v>Pueblo</v>
      </c>
      <c r="T2693" t="str">
        <f t="shared" si="169"/>
        <v>F</v>
      </c>
      <c r="U2693" t="str">
        <f t="shared" si="170"/>
        <v>AL</v>
      </c>
      <c r="V2693" t="str">
        <f t="shared" si="171"/>
        <v>16613</v>
      </c>
    </row>
    <row r="2694" spans="1:22" x14ac:dyDescent="0.35">
      <c r="A2694">
        <v>36690</v>
      </c>
      <c r="B2694" t="s">
        <v>13</v>
      </c>
      <c r="C2694" t="s">
        <v>17</v>
      </c>
      <c r="D2694">
        <v>1631</v>
      </c>
      <c r="E2694">
        <v>682</v>
      </c>
      <c r="F2694">
        <v>831</v>
      </c>
      <c r="G2694">
        <v>25</v>
      </c>
      <c r="H2694">
        <v>26585</v>
      </c>
      <c r="I2694">
        <v>13</v>
      </c>
      <c r="J2694">
        <v>25</v>
      </c>
      <c r="K2694">
        <v>649</v>
      </c>
      <c r="L2694">
        <v>820</v>
      </c>
      <c r="M2694">
        <v>10</v>
      </c>
      <c r="N2694">
        <f>IFERROR(VLOOKUP(A2694,vlookup_table!$A:$G,2,FALSE),"")</f>
        <v>0</v>
      </c>
      <c r="O2694">
        <f>IFERROR(VLOOKUP(A2694,vlookup_table!$A:$G,4,FALSE),"")</f>
        <v>0</v>
      </c>
      <c r="P2694" t="str">
        <f>IFERROR(VLOOKUP(A2694,vlookup_table!$A:$G,5,FALSE),"")</f>
        <v>S1</v>
      </c>
      <c r="Q2694">
        <f>IFERROR(VLOOKUP(A2694,vlookup_table!$A:$G,7,FALSE),"")</f>
        <v>3</v>
      </c>
      <c r="R2694">
        <f t="shared" si="168"/>
        <v>97</v>
      </c>
      <c r="S2694" t="str" cm="1">
        <f t="array" ref="S2694">IF(P2694="","",_xlfn.SWITCH(LEFT(P2694,1),"C","Ciudad","T","Pueblo","R","Rural","S","Suburbano","U","Urbano",""))</f>
        <v>Suburbano</v>
      </c>
      <c r="T2694" t="str">
        <f t="shared" si="169"/>
        <v>F</v>
      </c>
      <c r="U2694" t="str">
        <f t="shared" si="170"/>
        <v>FL</v>
      </c>
      <c r="V2694" t="str">
        <f t="shared" si="171"/>
        <v>26585</v>
      </c>
    </row>
    <row r="2695" spans="1:22" x14ac:dyDescent="0.35">
      <c r="A2695">
        <v>158213</v>
      </c>
      <c r="B2695" t="s">
        <v>21</v>
      </c>
      <c r="C2695" t="s">
        <v>14</v>
      </c>
      <c r="D2695">
        <v>1217</v>
      </c>
      <c r="E2695">
        <v>620</v>
      </c>
      <c r="F2695">
        <v>692</v>
      </c>
      <c r="G2695">
        <v>0</v>
      </c>
      <c r="H2695">
        <v>23408</v>
      </c>
      <c r="I2695">
        <v>2</v>
      </c>
      <c r="J2695">
        <v>37</v>
      </c>
      <c r="K2695">
        <v>654</v>
      </c>
      <c r="L2695">
        <v>655</v>
      </c>
      <c r="M2695">
        <v>4.5555555559999998</v>
      </c>
      <c r="N2695">
        <f>IFERROR(VLOOKUP(A2695,vlookup_table!$A:$G,2,FALSE),"")</f>
        <v>0</v>
      </c>
      <c r="O2695">
        <f>IFERROR(VLOOKUP(A2695,vlookup_table!$A:$G,4,FALSE),"")</f>
        <v>0</v>
      </c>
      <c r="P2695" t="str">
        <f>IFERROR(VLOOKUP(A2695,vlookup_table!$A:$G,5,FALSE),"")</f>
        <v>U1</v>
      </c>
      <c r="Q2695">
        <f>IFERROR(VLOOKUP(A2695,vlookup_table!$A:$G,7,FALSE),"")</f>
        <v>5</v>
      </c>
      <c r="R2695">
        <f t="shared" si="168"/>
        <v>97</v>
      </c>
      <c r="S2695" t="str" cm="1">
        <f t="array" ref="S2695">IF(P2695="","",_xlfn.SWITCH(LEFT(P2695,1),"C","Ciudad","T","Pueblo","R","Rural","S","Suburbano","U","Urbano",""))</f>
        <v>Urbano</v>
      </c>
      <c r="T2695" t="str">
        <f t="shared" si="169"/>
        <v>M</v>
      </c>
      <c r="U2695" t="str">
        <f t="shared" si="170"/>
        <v>TX</v>
      </c>
      <c r="V2695" t="str">
        <f t="shared" si="171"/>
        <v>23408</v>
      </c>
    </row>
    <row r="2696" spans="1:22" x14ac:dyDescent="0.35">
      <c r="A2696">
        <v>75522</v>
      </c>
      <c r="B2696" t="s">
        <v>47</v>
      </c>
      <c r="C2696" t="s">
        <v>14</v>
      </c>
      <c r="D2696">
        <v>600</v>
      </c>
      <c r="E2696">
        <v>379</v>
      </c>
      <c r="F2696">
        <v>399</v>
      </c>
      <c r="G2696">
        <v>0</v>
      </c>
      <c r="H2696">
        <v>13988</v>
      </c>
      <c r="I2696">
        <v>1</v>
      </c>
      <c r="J2696">
        <v>74</v>
      </c>
      <c r="K2696">
        <v>417</v>
      </c>
      <c r="L2696">
        <v>376</v>
      </c>
      <c r="M2696">
        <v>6.3333333329999997</v>
      </c>
      <c r="N2696">
        <f>IFERROR(VLOOKUP(A2696,vlookup_table!$A:$G,2,FALSE),"")</f>
        <v>2</v>
      </c>
      <c r="O2696">
        <f>IFERROR(VLOOKUP(A2696,vlookup_table!$A:$G,4,FALSE),"")</f>
        <v>0</v>
      </c>
      <c r="P2696" t="str">
        <f>IFERROR(VLOOKUP(A2696,vlookup_table!$A:$G,5,FALSE),"")</f>
        <v>C2</v>
      </c>
      <c r="Q2696">
        <f>IFERROR(VLOOKUP(A2696,vlookup_table!$A:$G,7,FALSE),"")</f>
        <v>10</v>
      </c>
      <c r="R2696">
        <f t="shared" si="168"/>
        <v>97</v>
      </c>
      <c r="S2696" t="str" cm="1">
        <f t="array" ref="S2696">IF(P2696="","",_xlfn.SWITCH(LEFT(P2696,1),"C","Ciudad","T","Pueblo","R","Rural","S","Suburbano","U","Urbano",""))</f>
        <v>Ciudad</v>
      </c>
      <c r="T2696" t="str">
        <f t="shared" si="169"/>
        <v>M</v>
      </c>
      <c r="U2696" t="str">
        <f t="shared" si="170"/>
        <v>IA</v>
      </c>
      <c r="V2696" t="str">
        <f t="shared" si="171"/>
        <v>13988</v>
      </c>
    </row>
    <row r="2697" spans="1:22" x14ac:dyDescent="0.35">
      <c r="A2697">
        <v>7346</v>
      </c>
      <c r="B2697" t="s">
        <v>22</v>
      </c>
      <c r="C2697" t="s">
        <v>17</v>
      </c>
      <c r="D2697">
        <v>1936</v>
      </c>
      <c r="E2697">
        <v>353</v>
      </c>
      <c r="F2697">
        <v>409</v>
      </c>
      <c r="G2697">
        <v>44</v>
      </c>
      <c r="H2697">
        <v>9361</v>
      </c>
      <c r="I2697">
        <v>21</v>
      </c>
      <c r="J2697">
        <v>43</v>
      </c>
      <c r="K2697">
        <v>360</v>
      </c>
      <c r="L2697">
        <v>407</v>
      </c>
      <c r="M2697">
        <v>10.727272729999999</v>
      </c>
      <c r="N2697">
        <f>IFERROR(VLOOKUP(A2697,vlookup_table!$A:$G,2,FALSE),"")</f>
        <v>2</v>
      </c>
      <c r="O2697">
        <f>IFERROR(VLOOKUP(A2697,vlookup_table!$A:$G,4,FALSE),"")</f>
        <v>0</v>
      </c>
      <c r="P2697" t="str">
        <f>IFERROR(VLOOKUP(A2697,vlookup_table!$A:$G,5,FALSE),"")</f>
        <v>U2</v>
      </c>
      <c r="Q2697">
        <f>IFERROR(VLOOKUP(A2697,vlookup_table!$A:$G,7,FALSE),"")</f>
        <v>15</v>
      </c>
      <c r="R2697">
        <f t="shared" si="168"/>
        <v>97</v>
      </c>
      <c r="S2697" t="str" cm="1">
        <f t="array" ref="S2697">IF(P2697="","",_xlfn.SWITCH(LEFT(P2697,1),"C","Ciudad","T","Pueblo","R","Rural","S","Suburbano","U","Urbano",""))</f>
        <v>Urbano</v>
      </c>
      <c r="T2697" t="str">
        <f t="shared" si="169"/>
        <v>F</v>
      </c>
      <c r="U2697" t="str">
        <f t="shared" si="170"/>
        <v>CA</v>
      </c>
      <c r="V2697" t="str">
        <f t="shared" si="171"/>
        <v>9361</v>
      </c>
    </row>
    <row r="2698" spans="1:22" x14ac:dyDescent="0.35">
      <c r="A2698">
        <v>718</v>
      </c>
      <c r="B2698" t="s">
        <v>22</v>
      </c>
      <c r="C2698" t="s">
        <v>17</v>
      </c>
      <c r="D2698">
        <v>1215</v>
      </c>
      <c r="E2698">
        <v>296</v>
      </c>
      <c r="F2698">
        <v>373</v>
      </c>
      <c r="G2698">
        <v>9</v>
      </c>
      <c r="H2698">
        <v>12319</v>
      </c>
      <c r="I2698">
        <v>4</v>
      </c>
      <c r="J2698">
        <v>56</v>
      </c>
      <c r="K2698">
        <v>319</v>
      </c>
      <c r="L2698">
        <v>352</v>
      </c>
      <c r="M2698">
        <v>22.5625</v>
      </c>
      <c r="N2698">
        <f>IFERROR(VLOOKUP(A2698,vlookup_table!$A:$G,2,FALSE),"")</f>
        <v>2</v>
      </c>
      <c r="O2698">
        <f>IFERROR(VLOOKUP(A2698,vlookup_table!$A:$G,4,FALSE),"")</f>
        <v>2201</v>
      </c>
      <c r="P2698" t="str">
        <f>IFERROR(VLOOKUP(A2698,vlookup_table!$A:$G,5,FALSE),"")</f>
        <v>C2</v>
      </c>
      <c r="Q2698">
        <f>IFERROR(VLOOKUP(A2698,vlookup_table!$A:$G,7,FALSE),"")</f>
        <v>35</v>
      </c>
      <c r="R2698">
        <f t="shared" si="168"/>
        <v>75</v>
      </c>
      <c r="S2698" t="str" cm="1">
        <f t="array" ref="S2698">IF(P2698="","",_xlfn.SWITCH(LEFT(P2698,1),"C","Ciudad","T","Pueblo","R","Rural","S","Suburbano","U","Urbano",""))</f>
        <v>Ciudad</v>
      </c>
      <c r="T2698" t="str">
        <f t="shared" si="169"/>
        <v>F</v>
      </c>
      <c r="U2698" t="str">
        <f t="shared" si="170"/>
        <v>CA</v>
      </c>
      <c r="V2698" t="str">
        <f t="shared" si="171"/>
        <v>12319</v>
      </c>
    </row>
    <row r="2699" spans="1:22" x14ac:dyDescent="0.35">
      <c r="A2699">
        <v>171677</v>
      </c>
      <c r="B2699" t="s">
        <v>22</v>
      </c>
      <c r="D2699">
        <v>1375</v>
      </c>
      <c r="E2699">
        <v>92</v>
      </c>
      <c r="F2699">
        <v>203</v>
      </c>
      <c r="G2699">
        <v>0</v>
      </c>
      <c r="H2699">
        <v>12453</v>
      </c>
      <c r="I2699">
        <v>7</v>
      </c>
      <c r="J2699">
        <v>39</v>
      </c>
      <c r="K2699">
        <v>279</v>
      </c>
      <c r="L2699">
        <v>125</v>
      </c>
      <c r="M2699">
        <v>14.25</v>
      </c>
      <c r="N2699">
        <f>IFERROR(VLOOKUP(A2699,vlookup_table!$A:$G,2,FALSE),"")</f>
        <v>0</v>
      </c>
      <c r="O2699">
        <f>IFERROR(VLOOKUP(A2699,vlookup_table!$A:$G,4,FALSE),"")</f>
        <v>0</v>
      </c>
      <c r="P2699" t="str">
        <f>IFERROR(VLOOKUP(A2699,vlookup_table!$A:$G,5,FALSE),"")</f>
        <v>U4</v>
      </c>
      <c r="Q2699">
        <f>IFERROR(VLOOKUP(A2699,vlookup_table!$A:$G,7,FALSE),"")</f>
        <v>25</v>
      </c>
      <c r="R2699">
        <f t="shared" si="168"/>
        <v>97</v>
      </c>
      <c r="S2699" t="str" cm="1">
        <f t="array" ref="S2699">IF(P2699="","",_xlfn.SWITCH(LEFT(P2699,1),"C","Ciudad","T","Pueblo","R","Rural","S","Suburbano","U","Urbano",""))</f>
        <v>Urbano</v>
      </c>
      <c r="T2699" t="str">
        <f t="shared" si="169"/>
        <v/>
      </c>
      <c r="U2699" t="str">
        <f t="shared" si="170"/>
        <v>CA</v>
      </c>
      <c r="V2699" t="str">
        <f t="shared" si="171"/>
        <v>12453</v>
      </c>
    </row>
    <row r="2700" spans="1:22" x14ac:dyDescent="0.35">
      <c r="A2700">
        <v>96344</v>
      </c>
      <c r="B2700" t="s">
        <v>16</v>
      </c>
      <c r="C2700" t="s">
        <v>17</v>
      </c>
      <c r="D2700">
        <v>293</v>
      </c>
      <c r="E2700">
        <v>219</v>
      </c>
      <c r="F2700">
        <v>270</v>
      </c>
      <c r="G2700">
        <v>0</v>
      </c>
      <c r="H2700">
        <v>10914</v>
      </c>
      <c r="I2700">
        <v>0</v>
      </c>
      <c r="J2700">
        <v>92</v>
      </c>
      <c r="K2700">
        <v>228</v>
      </c>
      <c r="L2700">
        <v>258</v>
      </c>
      <c r="M2700">
        <v>6.1578947370000003</v>
      </c>
      <c r="N2700">
        <f>IFERROR(VLOOKUP(A2700,vlookup_table!$A:$G,2,FALSE),"")</f>
        <v>2</v>
      </c>
      <c r="O2700">
        <f>IFERROR(VLOOKUP(A2700,vlookup_table!$A:$G,4,FALSE),"")</f>
        <v>0</v>
      </c>
      <c r="P2700" t="str">
        <f>IFERROR(VLOOKUP(A2700,vlookup_table!$A:$G,5,FALSE),"")</f>
        <v>T3</v>
      </c>
      <c r="Q2700">
        <f>IFERROR(VLOOKUP(A2700,vlookup_table!$A:$G,7,FALSE),"")</f>
        <v>10</v>
      </c>
      <c r="R2700">
        <f t="shared" si="168"/>
        <v>97</v>
      </c>
      <c r="S2700" t="str" cm="1">
        <f t="array" ref="S2700">IF(P2700="","",_xlfn.SWITCH(LEFT(P2700,1),"C","Ciudad","T","Pueblo","R","Rural","S","Suburbano","U","Urbano",""))</f>
        <v>Pueblo</v>
      </c>
      <c r="T2700" t="str">
        <f t="shared" si="169"/>
        <v>F</v>
      </c>
      <c r="U2700" t="str">
        <f t="shared" si="170"/>
        <v>IL</v>
      </c>
      <c r="V2700" t="str">
        <f t="shared" si="171"/>
        <v>10914</v>
      </c>
    </row>
    <row r="2701" spans="1:22" x14ac:dyDescent="0.35">
      <c r="A2701">
        <v>178742</v>
      </c>
      <c r="B2701" t="s">
        <v>40</v>
      </c>
      <c r="C2701" t="s">
        <v>17</v>
      </c>
      <c r="D2701">
        <v>1053</v>
      </c>
      <c r="E2701">
        <v>298</v>
      </c>
      <c r="F2701">
        <v>366</v>
      </c>
      <c r="G2701">
        <v>2</v>
      </c>
      <c r="H2701">
        <v>17021</v>
      </c>
      <c r="I2701">
        <v>5</v>
      </c>
      <c r="J2701">
        <v>37</v>
      </c>
      <c r="K2701">
        <v>343</v>
      </c>
      <c r="L2701">
        <v>319</v>
      </c>
      <c r="M2701">
        <v>10.71428571</v>
      </c>
      <c r="N2701">
        <f>IFERROR(VLOOKUP(A2701,vlookup_table!$A:$G,2,FALSE),"")</f>
        <v>2</v>
      </c>
      <c r="O2701">
        <f>IFERROR(VLOOKUP(A2701,vlookup_table!$A:$G,4,FALSE),"")</f>
        <v>1201</v>
      </c>
      <c r="P2701" t="str">
        <f>IFERROR(VLOOKUP(A2701,vlookup_table!$A:$G,5,FALSE),"")</f>
        <v>S2</v>
      </c>
      <c r="Q2701">
        <f>IFERROR(VLOOKUP(A2701,vlookup_table!$A:$G,7,FALSE),"")</f>
        <v>10</v>
      </c>
      <c r="R2701">
        <f t="shared" si="168"/>
        <v>85</v>
      </c>
      <c r="S2701" t="str" cm="1">
        <f t="array" ref="S2701">IF(P2701="","",_xlfn.SWITCH(LEFT(P2701,1),"C","Ciudad","T","Pueblo","R","Rural","S","Suburbano","U","Urbano",""))</f>
        <v>Suburbano</v>
      </c>
      <c r="T2701" t="str">
        <f t="shared" si="169"/>
        <v>F</v>
      </c>
      <c r="U2701" t="str">
        <f t="shared" si="170"/>
        <v>WA</v>
      </c>
      <c r="V2701" t="str">
        <f t="shared" si="171"/>
        <v>17021</v>
      </c>
    </row>
    <row r="2702" spans="1:22" x14ac:dyDescent="0.35">
      <c r="A2702">
        <v>22989</v>
      </c>
      <c r="B2702" t="s">
        <v>46</v>
      </c>
      <c r="C2702" t="s">
        <v>17</v>
      </c>
      <c r="D2702">
        <v>596</v>
      </c>
      <c r="E2702">
        <v>301</v>
      </c>
      <c r="F2702">
        <v>344</v>
      </c>
      <c r="G2702">
        <v>0</v>
      </c>
      <c r="H2702">
        <v>10405</v>
      </c>
      <c r="I2702">
        <v>3</v>
      </c>
      <c r="J2702">
        <v>53</v>
      </c>
      <c r="K2702">
        <v>296</v>
      </c>
      <c r="L2702">
        <v>343</v>
      </c>
      <c r="M2702">
        <v>11.4</v>
      </c>
      <c r="N2702">
        <f>IFERROR(VLOOKUP(A2702,vlookup_table!$A:$G,2,FALSE),"")</f>
        <v>2</v>
      </c>
      <c r="O2702">
        <f>IFERROR(VLOOKUP(A2702,vlookup_table!$A:$G,4,FALSE),"")</f>
        <v>3101</v>
      </c>
      <c r="P2702" t="str">
        <f>IFERROR(VLOOKUP(A2702,vlookup_table!$A:$G,5,FALSE),"")</f>
        <v>T2</v>
      </c>
      <c r="Q2702">
        <f>IFERROR(VLOOKUP(A2702,vlookup_table!$A:$G,7,FALSE),"")</f>
        <v>11</v>
      </c>
      <c r="R2702">
        <f t="shared" si="168"/>
        <v>66</v>
      </c>
      <c r="S2702" t="str" cm="1">
        <f t="array" ref="S2702">IF(P2702="","",_xlfn.SWITCH(LEFT(P2702,1),"C","Ciudad","T","Pueblo","R","Rural","S","Suburbano","U","Urbano",""))</f>
        <v>Pueblo</v>
      </c>
      <c r="T2702" t="str">
        <f t="shared" si="169"/>
        <v>F</v>
      </c>
      <c r="U2702" t="str">
        <f t="shared" si="170"/>
        <v>SC</v>
      </c>
      <c r="V2702" t="str">
        <f t="shared" si="171"/>
        <v>10405</v>
      </c>
    </row>
    <row r="2703" spans="1:22" x14ac:dyDescent="0.35">
      <c r="A2703">
        <v>184644</v>
      </c>
      <c r="B2703" t="s">
        <v>70</v>
      </c>
      <c r="C2703" t="s">
        <v>27</v>
      </c>
      <c r="D2703">
        <v>1594</v>
      </c>
      <c r="E2703">
        <v>215</v>
      </c>
      <c r="F2703">
        <v>663</v>
      </c>
      <c r="G2703">
        <v>7</v>
      </c>
      <c r="H2703">
        <v>34426</v>
      </c>
      <c r="I2703">
        <v>7</v>
      </c>
      <c r="J2703">
        <v>26</v>
      </c>
      <c r="K2703">
        <v>526</v>
      </c>
      <c r="L2703">
        <v>330</v>
      </c>
      <c r="M2703">
        <v>25</v>
      </c>
      <c r="N2703">
        <f>IFERROR(VLOOKUP(A2703,vlookup_table!$A:$G,2,FALSE),"")</f>
        <v>0</v>
      </c>
      <c r="O2703">
        <f>IFERROR(VLOOKUP(A2703,vlookup_table!$A:$G,4,FALSE),"")</f>
        <v>2601</v>
      </c>
      <c r="P2703" t="str">
        <f>IFERROR(VLOOKUP(A2703,vlookup_table!$A:$G,5,FALSE),"")</f>
        <v>T3</v>
      </c>
      <c r="Q2703">
        <f>IFERROR(VLOOKUP(A2703,vlookup_table!$A:$G,7,FALSE),"")</f>
        <v>20</v>
      </c>
      <c r="R2703">
        <f t="shared" si="168"/>
        <v>71</v>
      </c>
      <c r="S2703" t="str" cm="1">
        <f t="array" ref="S2703">IF(P2703="","",_xlfn.SWITCH(LEFT(P2703,1),"C","Ciudad","T","Pueblo","R","Rural","S","Suburbano","U","Urbano",""))</f>
        <v>Pueblo</v>
      </c>
      <c r="T2703" t="str">
        <f t="shared" si="169"/>
        <v>M</v>
      </c>
      <c r="U2703" t="str">
        <f t="shared" si="170"/>
        <v>AK</v>
      </c>
      <c r="V2703" t="str">
        <f t="shared" si="171"/>
        <v>34426</v>
      </c>
    </row>
    <row r="2704" spans="1:22" x14ac:dyDescent="0.35">
      <c r="A2704">
        <v>7676</v>
      </c>
      <c r="B2704" t="s">
        <v>34</v>
      </c>
      <c r="C2704" t="s">
        <v>20</v>
      </c>
      <c r="D2704">
        <v>466</v>
      </c>
      <c r="E2704">
        <v>244</v>
      </c>
      <c r="F2704">
        <v>307</v>
      </c>
      <c r="G2704">
        <v>0</v>
      </c>
      <c r="H2704">
        <v>10532</v>
      </c>
      <c r="I2704">
        <v>2</v>
      </c>
      <c r="J2704">
        <v>57</v>
      </c>
      <c r="K2704">
        <v>280</v>
      </c>
      <c r="L2704">
        <v>280</v>
      </c>
      <c r="M2704">
        <v>13.782608700000001</v>
      </c>
      <c r="N2704">
        <f>IFERROR(VLOOKUP(A2704,vlookup_table!$A:$G,2,FALSE),"")</f>
        <v>0</v>
      </c>
      <c r="O2704">
        <f>IFERROR(VLOOKUP(A2704,vlookup_table!$A:$G,4,FALSE),"")</f>
        <v>0</v>
      </c>
      <c r="P2704" t="str">
        <f>IFERROR(VLOOKUP(A2704,vlookup_table!$A:$G,5,FALSE),"")</f>
        <v>R2</v>
      </c>
      <c r="Q2704">
        <f>IFERROR(VLOOKUP(A2704,vlookup_table!$A:$G,7,FALSE),"")</f>
        <v>35</v>
      </c>
      <c r="R2704">
        <f t="shared" si="168"/>
        <v>97</v>
      </c>
      <c r="S2704" t="str" cm="1">
        <f t="array" ref="S2704">IF(P2704="","",_xlfn.SWITCH(LEFT(P2704,1),"C","Ciudad","T","Pueblo","R","Rural","S","Suburbano","U","Urbano",""))</f>
        <v>Rural</v>
      </c>
      <c r="T2704" t="str">
        <f t="shared" si="169"/>
        <v>F</v>
      </c>
      <c r="U2704" t="str">
        <f t="shared" si="170"/>
        <v>MT</v>
      </c>
      <c r="V2704" t="str">
        <f t="shared" si="171"/>
        <v>10532</v>
      </c>
    </row>
    <row r="2705" spans="1:22" x14ac:dyDescent="0.35">
      <c r="A2705">
        <v>83983</v>
      </c>
      <c r="B2705" t="s">
        <v>56</v>
      </c>
      <c r="C2705" t="s">
        <v>14</v>
      </c>
      <c r="D2705">
        <v>866</v>
      </c>
      <c r="E2705">
        <v>375</v>
      </c>
      <c r="F2705">
        <v>573</v>
      </c>
      <c r="G2705">
        <v>4</v>
      </c>
      <c r="H2705">
        <v>24617</v>
      </c>
      <c r="I2705">
        <v>6</v>
      </c>
      <c r="J2705">
        <v>64</v>
      </c>
      <c r="K2705">
        <v>423</v>
      </c>
      <c r="L2705">
        <v>483</v>
      </c>
      <c r="M2705">
        <v>14.5</v>
      </c>
      <c r="N2705">
        <f>IFERROR(VLOOKUP(A2705,vlookup_table!$A:$G,2,FALSE),"")</f>
        <v>0</v>
      </c>
      <c r="O2705">
        <f>IFERROR(VLOOKUP(A2705,vlookup_table!$A:$G,4,FALSE),"")</f>
        <v>2305</v>
      </c>
      <c r="P2705" t="str">
        <f>IFERROR(VLOOKUP(A2705,vlookup_table!$A:$G,5,FALSE),"")</f>
        <v>S1</v>
      </c>
      <c r="Q2705">
        <f>IFERROR(VLOOKUP(A2705,vlookup_table!$A:$G,7,FALSE),"")</f>
        <v>15</v>
      </c>
      <c r="R2705">
        <f t="shared" si="168"/>
        <v>74</v>
      </c>
      <c r="S2705" t="str" cm="1">
        <f t="array" ref="S2705">IF(P2705="","",_xlfn.SWITCH(LEFT(P2705,1),"C","Ciudad","T","Pueblo","R","Rural","S","Suburbano","U","Urbano",""))</f>
        <v>Suburbano</v>
      </c>
      <c r="T2705" t="str">
        <f t="shared" si="169"/>
        <v>M</v>
      </c>
      <c r="U2705" t="str">
        <f t="shared" si="170"/>
        <v>MN</v>
      </c>
      <c r="V2705" t="str">
        <f t="shared" si="171"/>
        <v>24617</v>
      </c>
    </row>
    <row r="2706" spans="1:22" x14ac:dyDescent="0.35">
      <c r="A2706">
        <v>99567</v>
      </c>
      <c r="B2706" t="s">
        <v>36</v>
      </c>
      <c r="C2706" t="s">
        <v>17</v>
      </c>
      <c r="D2706">
        <v>734</v>
      </c>
      <c r="E2706">
        <v>419</v>
      </c>
      <c r="F2706">
        <v>481</v>
      </c>
      <c r="G2706">
        <v>0</v>
      </c>
      <c r="H2706">
        <v>16029</v>
      </c>
      <c r="I2706">
        <v>3</v>
      </c>
      <c r="J2706">
        <v>71</v>
      </c>
      <c r="K2706">
        <v>470</v>
      </c>
      <c r="L2706">
        <v>452</v>
      </c>
      <c r="M2706">
        <v>11.25</v>
      </c>
      <c r="N2706">
        <f>IFERROR(VLOOKUP(A2706,vlookup_table!$A:$G,2,FALSE),"")</f>
        <v>0</v>
      </c>
      <c r="O2706">
        <f>IFERROR(VLOOKUP(A2706,vlookup_table!$A:$G,4,FALSE),"")</f>
        <v>3101</v>
      </c>
      <c r="P2706" t="str">
        <f>IFERROR(VLOOKUP(A2706,vlookup_table!$A:$G,5,FALSE),"")</f>
        <v>S2</v>
      </c>
      <c r="Q2706">
        <f>IFERROR(VLOOKUP(A2706,vlookup_table!$A:$G,7,FALSE),"")</f>
        <v>15</v>
      </c>
      <c r="R2706">
        <f t="shared" si="168"/>
        <v>66</v>
      </c>
      <c r="S2706" t="str" cm="1">
        <f t="array" ref="S2706">IF(P2706="","",_xlfn.SWITCH(LEFT(P2706,1),"C","Ciudad","T","Pueblo","R","Rural","S","Suburbano","U","Urbano",""))</f>
        <v>Suburbano</v>
      </c>
      <c r="T2706" t="str">
        <f t="shared" si="169"/>
        <v>F</v>
      </c>
      <c r="U2706" t="str">
        <f t="shared" si="170"/>
        <v>MO</v>
      </c>
      <c r="V2706" t="str">
        <f t="shared" si="171"/>
        <v>16029</v>
      </c>
    </row>
    <row r="2707" spans="1:22" x14ac:dyDescent="0.35">
      <c r="A2707">
        <v>141652</v>
      </c>
      <c r="B2707" t="s">
        <v>24</v>
      </c>
      <c r="C2707" t="s">
        <v>17</v>
      </c>
      <c r="D2707">
        <v>997</v>
      </c>
      <c r="E2707">
        <v>416</v>
      </c>
      <c r="F2707">
        <v>422</v>
      </c>
      <c r="G2707">
        <v>0</v>
      </c>
      <c r="H2707">
        <v>14118</v>
      </c>
      <c r="I2707">
        <v>4</v>
      </c>
      <c r="J2707">
        <v>19</v>
      </c>
      <c r="K2707">
        <v>420</v>
      </c>
      <c r="L2707">
        <v>416</v>
      </c>
      <c r="M2707">
        <v>11.222222220000001</v>
      </c>
      <c r="N2707">
        <f>IFERROR(VLOOKUP(A2707,vlookup_table!$A:$G,2,FALSE),"")</f>
        <v>0</v>
      </c>
      <c r="O2707">
        <f>IFERROR(VLOOKUP(A2707,vlookup_table!$A:$G,4,FALSE),"")</f>
        <v>3801</v>
      </c>
      <c r="P2707" t="str">
        <f>IFERROR(VLOOKUP(A2707,vlookup_table!$A:$G,5,FALSE),"")</f>
        <v>S2</v>
      </c>
      <c r="Q2707">
        <f>IFERROR(VLOOKUP(A2707,vlookup_table!$A:$G,7,FALSE),"")</f>
        <v>13</v>
      </c>
      <c r="R2707">
        <f t="shared" si="168"/>
        <v>59</v>
      </c>
      <c r="S2707" t="str" cm="1">
        <f t="array" ref="S2707">IF(P2707="","",_xlfn.SWITCH(LEFT(P2707,1),"C","Ciudad","T","Pueblo","R","Rural","S","Suburbano","U","Urbano",""))</f>
        <v>Suburbano</v>
      </c>
      <c r="T2707" t="str">
        <f t="shared" si="169"/>
        <v>F</v>
      </c>
      <c r="U2707" t="str">
        <f t="shared" si="170"/>
        <v>NV</v>
      </c>
      <c r="V2707" t="str">
        <f t="shared" si="171"/>
        <v>14118</v>
      </c>
    </row>
    <row r="2708" spans="1:22" x14ac:dyDescent="0.35">
      <c r="A2708">
        <v>182325</v>
      </c>
      <c r="B2708" t="s">
        <v>40</v>
      </c>
      <c r="C2708" t="s">
        <v>51</v>
      </c>
      <c r="D2708">
        <v>683</v>
      </c>
      <c r="E2708">
        <v>199</v>
      </c>
      <c r="F2708">
        <v>341</v>
      </c>
      <c r="G2708">
        <v>1</v>
      </c>
      <c r="H2708">
        <v>13282</v>
      </c>
      <c r="I2708">
        <v>5</v>
      </c>
      <c r="J2708">
        <v>40</v>
      </c>
      <c r="K2708">
        <v>278</v>
      </c>
      <c r="L2708">
        <v>245</v>
      </c>
      <c r="M2708">
        <v>9</v>
      </c>
      <c r="N2708">
        <f>IFERROR(VLOOKUP(A2708,vlookup_table!$A:$G,2,FALSE),"")</f>
        <v>0</v>
      </c>
      <c r="O2708">
        <f>IFERROR(VLOOKUP(A2708,vlookup_table!$A:$G,4,FALSE),"")</f>
        <v>0</v>
      </c>
      <c r="P2708" t="str">
        <f>IFERROR(VLOOKUP(A2708,vlookup_table!$A:$G,5,FALSE),"")</f>
        <v>C2</v>
      </c>
      <c r="Q2708">
        <f>IFERROR(VLOOKUP(A2708,vlookup_table!$A:$G,7,FALSE),"")</f>
        <v>10</v>
      </c>
      <c r="R2708">
        <f t="shared" si="168"/>
        <v>97</v>
      </c>
      <c r="S2708" t="str" cm="1">
        <f t="array" ref="S2708">IF(P2708="","",_xlfn.SWITCH(LEFT(P2708,1),"C","Ciudad","T","Pueblo","R","Rural","S","Suburbano","U","Urbano",""))</f>
        <v>Ciudad</v>
      </c>
      <c r="T2708" t="str">
        <f t="shared" si="169"/>
        <v>M</v>
      </c>
      <c r="U2708" t="str">
        <f t="shared" si="170"/>
        <v>WA</v>
      </c>
      <c r="V2708" t="str">
        <f t="shared" si="171"/>
        <v>13282</v>
      </c>
    </row>
    <row r="2709" spans="1:22" x14ac:dyDescent="0.35">
      <c r="A2709">
        <v>44370</v>
      </c>
      <c r="B2709" t="s">
        <v>13</v>
      </c>
      <c r="C2709" t="s">
        <v>17</v>
      </c>
      <c r="D2709">
        <v>1226</v>
      </c>
      <c r="E2709">
        <v>354</v>
      </c>
      <c r="F2709">
        <v>464</v>
      </c>
      <c r="G2709">
        <v>10</v>
      </c>
      <c r="H2709">
        <v>21501</v>
      </c>
      <c r="I2709">
        <v>4</v>
      </c>
      <c r="J2709">
        <v>4</v>
      </c>
      <c r="K2709">
        <v>416</v>
      </c>
      <c r="L2709">
        <v>410</v>
      </c>
      <c r="M2709">
        <v>4.4444444440000002</v>
      </c>
      <c r="N2709">
        <f>IFERROR(VLOOKUP(A2709,vlookup_table!$A:$G,2,FALSE),"")</f>
        <v>28</v>
      </c>
      <c r="O2709">
        <f>IFERROR(VLOOKUP(A2709,vlookup_table!$A:$G,4,FALSE),"")</f>
        <v>1502</v>
      </c>
      <c r="P2709" t="str">
        <f>IFERROR(VLOOKUP(A2709,vlookup_table!$A:$G,5,FALSE),"")</f>
        <v>C2</v>
      </c>
      <c r="Q2709">
        <f>IFERROR(VLOOKUP(A2709,vlookup_table!$A:$G,7,FALSE),"")</f>
        <v>5</v>
      </c>
      <c r="R2709">
        <f t="shared" si="168"/>
        <v>82</v>
      </c>
      <c r="S2709" t="str" cm="1">
        <f t="array" ref="S2709">IF(P2709="","",_xlfn.SWITCH(LEFT(P2709,1),"C","Ciudad","T","Pueblo","R","Rural","S","Suburbano","U","Urbano",""))</f>
        <v>Ciudad</v>
      </c>
      <c r="T2709" t="str">
        <f t="shared" si="169"/>
        <v>F</v>
      </c>
      <c r="U2709" t="str">
        <f t="shared" si="170"/>
        <v>FL</v>
      </c>
      <c r="V2709" t="str">
        <f t="shared" si="171"/>
        <v>21501</v>
      </c>
    </row>
    <row r="2710" spans="1:22" x14ac:dyDescent="0.35">
      <c r="A2710">
        <v>48338</v>
      </c>
      <c r="B2710" t="s">
        <v>43</v>
      </c>
      <c r="C2710" t="s">
        <v>27</v>
      </c>
      <c r="D2710">
        <v>511</v>
      </c>
      <c r="E2710">
        <v>288</v>
      </c>
      <c r="F2710">
        <v>351</v>
      </c>
      <c r="G2710">
        <v>1</v>
      </c>
      <c r="H2710">
        <v>11357</v>
      </c>
      <c r="I2710">
        <v>0</v>
      </c>
      <c r="J2710">
        <v>85</v>
      </c>
      <c r="K2710">
        <v>327</v>
      </c>
      <c r="L2710">
        <v>312</v>
      </c>
      <c r="M2710">
        <v>25</v>
      </c>
      <c r="N2710">
        <f>IFERROR(VLOOKUP(A2710,vlookup_table!$A:$G,2,FALSE),"")</f>
        <v>0</v>
      </c>
      <c r="O2710">
        <f>IFERROR(VLOOKUP(A2710,vlookup_table!$A:$G,4,FALSE),"")</f>
        <v>4301</v>
      </c>
      <c r="P2710" t="str">
        <f>IFERROR(VLOOKUP(A2710,vlookup_table!$A:$G,5,FALSE),"")</f>
        <v>T2</v>
      </c>
      <c r="Q2710">
        <f>IFERROR(VLOOKUP(A2710,vlookup_table!$A:$G,7,FALSE),"")</f>
        <v>25</v>
      </c>
      <c r="R2710">
        <f t="shared" si="168"/>
        <v>54</v>
      </c>
      <c r="S2710" t="str" cm="1">
        <f t="array" ref="S2710">IF(P2710="","",_xlfn.SWITCH(LEFT(P2710,1),"C","Ciudad","T","Pueblo","R","Rural","S","Suburbano","U","Urbano",""))</f>
        <v>Pueblo</v>
      </c>
      <c r="T2710" t="str">
        <f t="shared" si="169"/>
        <v>M</v>
      </c>
      <c r="U2710" t="str">
        <f t="shared" si="170"/>
        <v>AL</v>
      </c>
      <c r="V2710" t="str">
        <f t="shared" si="171"/>
        <v>11357</v>
      </c>
    </row>
    <row r="2711" spans="1:22" x14ac:dyDescent="0.35">
      <c r="A2711">
        <v>97077</v>
      </c>
      <c r="B2711" t="s">
        <v>16</v>
      </c>
      <c r="C2711" t="s">
        <v>17</v>
      </c>
      <c r="D2711">
        <v>820</v>
      </c>
      <c r="E2711">
        <v>454</v>
      </c>
      <c r="F2711">
        <v>595</v>
      </c>
      <c r="G2711">
        <v>6</v>
      </c>
      <c r="H2711">
        <v>24703</v>
      </c>
      <c r="I2711">
        <v>5</v>
      </c>
      <c r="J2711">
        <v>67</v>
      </c>
      <c r="K2711">
        <v>476</v>
      </c>
      <c r="L2711">
        <v>555</v>
      </c>
      <c r="M2711">
        <v>9.5</v>
      </c>
      <c r="N2711">
        <f>IFERROR(VLOOKUP(A2711,vlookup_table!$A:$G,2,FALSE),"")</f>
        <v>0</v>
      </c>
      <c r="O2711">
        <f>IFERROR(VLOOKUP(A2711,vlookup_table!$A:$G,4,FALSE),"")</f>
        <v>2807</v>
      </c>
      <c r="P2711" t="str">
        <f>IFERROR(VLOOKUP(A2711,vlookup_table!$A:$G,5,FALSE),"")</f>
        <v>C1</v>
      </c>
      <c r="Q2711">
        <f>IFERROR(VLOOKUP(A2711,vlookup_table!$A:$G,7,FALSE),"")</f>
        <v>12</v>
      </c>
      <c r="R2711">
        <f t="shared" si="168"/>
        <v>69</v>
      </c>
      <c r="S2711" t="str" cm="1">
        <f t="array" ref="S2711">IF(P2711="","",_xlfn.SWITCH(LEFT(P2711,1),"C","Ciudad","T","Pueblo","R","Rural","S","Suburbano","U","Urbano",""))</f>
        <v>Ciudad</v>
      </c>
      <c r="T2711" t="str">
        <f t="shared" si="169"/>
        <v>F</v>
      </c>
      <c r="U2711" t="str">
        <f t="shared" si="170"/>
        <v>IL</v>
      </c>
      <c r="V2711" t="str">
        <f t="shared" si="171"/>
        <v>24703</v>
      </c>
    </row>
    <row r="2712" spans="1:22" x14ac:dyDescent="0.35">
      <c r="A2712">
        <v>160975</v>
      </c>
      <c r="B2712" t="s">
        <v>48</v>
      </c>
      <c r="C2712" t="s">
        <v>14</v>
      </c>
      <c r="D2712">
        <v>1209</v>
      </c>
      <c r="E2712">
        <v>471</v>
      </c>
      <c r="F2712">
        <v>557</v>
      </c>
      <c r="G2712">
        <v>7</v>
      </c>
      <c r="H2712">
        <v>18220</v>
      </c>
      <c r="I2712">
        <v>4</v>
      </c>
      <c r="J2712">
        <v>24</v>
      </c>
      <c r="K2712">
        <v>496</v>
      </c>
      <c r="L2712">
        <v>524</v>
      </c>
      <c r="M2712">
        <v>12.5</v>
      </c>
      <c r="N2712">
        <f>IFERROR(VLOOKUP(A2712,vlookup_table!$A:$G,2,FALSE),"")</f>
        <v>0</v>
      </c>
      <c r="O2712">
        <f>IFERROR(VLOOKUP(A2712,vlookup_table!$A:$G,4,FALSE),"")</f>
        <v>0</v>
      </c>
      <c r="P2712" t="str">
        <f>IFERROR(VLOOKUP(A2712,vlookup_table!$A:$G,5,FALSE),"")</f>
        <v>T2</v>
      </c>
      <c r="Q2712">
        <f>IFERROR(VLOOKUP(A2712,vlookup_table!$A:$G,7,FALSE),"")</f>
        <v>15</v>
      </c>
      <c r="R2712">
        <f t="shared" si="168"/>
        <v>97</v>
      </c>
      <c r="S2712" t="str" cm="1">
        <f t="array" ref="S2712">IF(P2712="","",_xlfn.SWITCH(LEFT(P2712,1),"C","Ciudad","T","Pueblo","R","Rural","S","Suburbano","U","Urbano",""))</f>
        <v>Pueblo</v>
      </c>
      <c r="T2712" t="str">
        <f t="shared" si="169"/>
        <v>M</v>
      </c>
      <c r="U2712" t="str">
        <f t="shared" si="170"/>
        <v>CO</v>
      </c>
      <c r="V2712" t="str">
        <f t="shared" si="171"/>
        <v>18220</v>
      </c>
    </row>
    <row r="2713" spans="1:22" x14ac:dyDescent="0.35">
      <c r="A2713">
        <v>114828</v>
      </c>
      <c r="B2713" t="s">
        <v>31</v>
      </c>
      <c r="C2713" t="s">
        <v>30</v>
      </c>
      <c r="D2713">
        <v>440</v>
      </c>
      <c r="E2713">
        <v>215</v>
      </c>
      <c r="F2713">
        <v>320</v>
      </c>
      <c r="G2713">
        <v>4</v>
      </c>
      <c r="H2713">
        <v>12060</v>
      </c>
      <c r="I2713">
        <v>1</v>
      </c>
      <c r="J2713">
        <v>59</v>
      </c>
      <c r="K2713">
        <v>254</v>
      </c>
      <c r="L2713">
        <v>278</v>
      </c>
      <c r="M2713">
        <v>3.1489361699999998</v>
      </c>
      <c r="N2713">
        <f>IFERROR(VLOOKUP(A2713,vlookup_table!$A:$G,2,FALSE),"")</f>
        <v>2</v>
      </c>
      <c r="O2713">
        <f>IFERROR(VLOOKUP(A2713,vlookup_table!$A:$G,4,FALSE),"")</f>
        <v>0</v>
      </c>
      <c r="P2713" t="str">
        <f>IFERROR(VLOOKUP(A2713,vlookup_table!$A:$G,5,FALSE),"")</f>
        <v>R2</v>
      </c>
      <c r="Q2713">
        <f>IFERROR(VLOOKUP(A2713,vlookup_table!$A:$G,7,FALSE),"")</f>
        <v>4</v>
      </c>
      <c r="R2713">
        <f t="shared" si="168"/>
        <v>97</v>
      </c>
      <c r="S2713" t="str" cm="1">
        <f t="array" ref="S2713">IF(P2713="","",_xlfn.SWITCH(LEFT(P2713,1),"C","Ciudad","T","Pueblo","R","Rural","S","Suburbano","U","Urbano",""))</f>
        <v>Rural</v>
      </c>
      <c r="T2713" t="str">
        <f t="shared" si="169"/>
        <v>U</v>
      </c>
      <c r="U2713" t="str">
        <f t="shared" si="170"/>
        <v>OK</v>
      </c>
      <c r="V2713" t="str">
        <f t="shared" si="171"/>
        <v>12060</v>
      </c>
    </row>
    <row r="2714" spans="1:22" x14ac:dyDescent="0.35">
      <c r="A2714">
        <v>182181</v>
      </c>
      <c r="B2714" t="s">
        <v>40</v>
      </c>
      <c r="C2714" t="s">
        <v>51</v>
      </c>
      <c r="D2714">
        <v>940</v>
      </c>
      <c r="E2714">
        <v>335</v>
      </c>
      <c r="F2714">
        <v>471</v>
      </c>
      <c r="G2714">
        <v>6</v>
      </c>
      <c r="H2714">
        <v>17478</v>
      </c>
      <c r="I2714">
        <v>6</v>
      </c>
      <c r="J2714">
        <v>50</v>
      </c>
      <c r="K2714">
        <v>408</v>
      </c>
      <c r="L2714">
        <v>404</v>
      </c>
      <c r="M2714">
        <v>16</v>
      </c>
      <c r="N2714">
        <f>IFERROR(VLOOKUP(A2714,vlookup_table!$A:$G,2,FALSE),"")</f>
        <v>0</v>
      </c>
      <c r="O2714">
        <f>IFERROR(VLOOKUP(A2714,vlookup_table!$A:$G,4,FALSE),"")</f>
        <v>6201</v>
      </c>
      <c r="P2714" t="str">
        <f>IFERROR(VLOOKUP(A2714,vlookup_table!$A:$G,5,FALSE),"")</f>
        <v>S1</v>
      </c>
      <c r="Q2714">
        <f>IFERROR(VLOOKUP(A2714,vlookup_table!$A:$G,7,FALSE),"")</f>
        <v>20</v>
      </c>
      <c r="R2714">
        <f t="shared" si="168"/>
        <v>35</v>
      </c>
      <c r="S2714" t="str" cm="1">
        <f t="array" ref="S2714">IF(P2714="","",_xlfn.SWITCH(LEFT(P2714,1),"C","Ciudad","T","Pueblo","R","Rural","S","Suburbano","U","Urbano",""))</f>
        <v>Suburbano</v>
      </c>
      <c r="T2714" t="str">
        <f t="shared" si="169"/>
        <v>M</v>
      </c>
      <c r="U2714" t="str">
        <f t="shared" si="170"/>
        <v>WA</v>
      </c>
      <c r="V2714" t="str">
        <f t="shared" si="171"/>
        <v>17478</v>
      </c>
    </row>
    <row r="2715" spans="1:22" x14ac:dyDescent="0.35">
      <c r="A2715">
        <v>75481</v>
      </c>
      <c r="B2715" t="s">
        <v>47</v>
      </c>
      <c r="C2715" t="s">
        <v>14</v>
      </c>
      <c r="D2715">
        <v>363</v>
      </c>
      <c r="E2715">
        <v>250</v>
      </c>
      <c r="F2715">
        <v>390</v>
      </c>
      <c r="G2715">
        <v>0</v>
      </c>
      <c r="H2715">
        <v>13053</v>
      </c>
      <c r="I2715">
        <v>0</v>
      </c>
      <c r="J2715">
        <v>89</v>
      </c>
      <c r="K2715">
        <v>269</v>
      </c>
      <c r="L2715">
        <v>360</v>
      </c>
      <c r="M2715">
        <v>5.8636363640000004</v>
      </c>
      <c r="N2715">
        <f>IFERROR(VLOOKUP(A2715,vlookup_table!$A:$G,2,FALSE),"")</f>
        <v>1</v>
      </c>
      <c r="O2715">
        <f>IFERROR(VLOOKUP(A2715,vlookup_table!$A:$G,4,FALSE),"")</f>
        <v>2901</v>
      </c>
      <c r="P2715" t="str">
        <f>IFERROR(VLOOKUP(A2715,vlookup_table!$A:$G,5,FALSE),"")</f>
        <v>R2</v>
      </c>
      <c r="Q2715">
        <f>IFERROR(VLOOKUP(A2715,vlookup_table!$A:$G,7,FALSE),"")</f>
        <v>8</v>
      </c>
      <c r="R2715">
        <f t="shared" si="168"/>
        <v>68</v>
      </c>
      <c r="S2715" t="str" cm="1">
        <f t="array" ref="S2715">IF(P2715="","",_xlfn.SWITCH(LEFT(P2715,1),"C","Ciudad","T","Pueblo","R","Rural","S","Suburbano","U","Urbano",""))</f>
        <v>Rural</v>
      </c>
      <c r="T2715" t="str">
        <f t="shared" si="169"/>
        <v>M</v>
      </c>
      <c r="U2715" t="str">
        <f t="shared" si="170"/>
        <v>IA</v>
      </c>
      <c r="V2715" t="str">
        <f t="shared" si="171"/>
        <v>13053</v>
      </c>
    </row>
    <row r="2716" spans="1:22" x14ac:dyDescent="0.35">
      <c r="A2716">
        <v>13566</v>
      </c>
      <c r="B2716" t="s">
        <v>16</v>
      </c>
      <c r="C2716" t="s">
        <v>14</v>
      </c>
      <c r="D2716">
        <v>1493</v>
      </c>
      <c r="E2716">
        <v>346</v>
      </c>
      <c r="F2716">
        <v>475</v>
      </c>
      <c r="G2716">
        <v>12</v>
      </c>
      <c r="H2716">
        <v>16740</v>
      </c>
      <c r="I2716">
        <v>25</v>
      </c>
      <c r="J2716">
        <v>67</v>
      </c>
      <c r="K2716">
        <v>399</v>
      </c>
      <c r="L2716">
        <v>416</v>
      </c>
      <c r="M2716">
        <v>10.75</v>
      </c>
      <c r="N2716">
        <f>IFERROR(VLOOKUP(A2716,vlookup_table!$A:$G,2,FALSE),"")</f>
        <v>0</v>
      </c>
      <c r="O2716">
        <f>IFERROR(VLOOKUP(A2716,vlookup_table!$A:$G,4,FALSE),"")</f>
        <v>0</v>
      </c>
      <c r="P2716" t="str">
        <f>IFERROR(VLOOKUP(A2716,vlookup_table!$A:$G,5,FALSE),"")</f>
        <v>U2</v>
      </c>
      <c r="Q2716">
        <f>IFERROR(VLOOKUP(A2716,vlookup_table!$A:$G,7,FALSE),"")</f>
        <v>13</v>
      </c>
      <c r="R2716">
        <f t="shared" si="168"/>
        <v>97</v>
      </c>
      <c r="S2716" t="str" cm="1">
        <f t="array" ref="S2716">IF(P2716="","",_xlfn.SWITCH(LEFT(P2716,1),"C","Ciudad","T","Pueblo","R","Rural","S","Suburbano","U","Urbano",""))</f>
        <v>Urbano</v>
      </c>
      <c r="T2716" t="str">
        <f t="shared" si="169"/>
        <v>M</v>
      </c>
      <c r="U2716" t="str">
        <f t="shared" si="170"/>
        <v>IL</v>
      </c>
      <c r="V2716" t="str">
        <f t="shared" si="171"/>
        <v>16740</v>
      </c>
    </row>
    <row r="2717" spans="1:22" x14ac:dyDescent="0.35">
      <c r="A2717">
        <v>187612</v>
      </c>
      <c r="B2717" t="s">
        <v>55</v>
      </c>
      <c r="C2717" t="s">
        <v>14</v>
      </c>
      <c r="D2717">
        <v>881</v>
      </c>
      <c r="E2717">
        <v>305</v>
      </c>
      <c r="F2717">
        <v>403</v>
      </c>
      <c r="G2717">
        <v>0</v>
      </c>
      <c r="H2717">
        <v>15128</v>
      </c>
      <c r="I2717">
        <v>5</v>
      </c>
      <c r="J2717">
        <v>28</v>
      </c>
      <c r="K2717">
        <v>379</v>
      </c>
      <c r="L2717">
        <v>348</v>
      </c>
      <c r="M2717">
        <v>13.4</v>
      </c>
      <c r="N2717">
        <f>IFERROR(VLOOKUP(A2717,vlookup_table!$A:$G,2,FALSE),"")</f>
        <v>1</v>
      </c>
      <c r="O2717">
        <f>IFERROR(VLOOKUP(A2717,vlookup_table!$A:$G,4,FALSE),"")</f>
        <v>0</v>
      </c>
      <c r="P2717" t="str">
        <f>IFERROR(VLOOKUP(A2717,vlookup_table!$A:$G,5,FALSE),"")</f>
        <v>S1</v>
      </c>
      <c r="Q2717">
        <f>IFERROR(VLOOKUP(A2717,vlookup_table!$A:$G,7,FALSE),"")</f>
        <v>15</v>
      </c>
      <c r="R2717">
        <f t="shared" si="168"/>
        <v>97</v>
      </c>
      <c r="S2717" t="str" cm="1">
        <f t="array" ref="S2717">IF(P2717="","",_xlfn.SWITCH(LEFT(P2717,1),"C","Ciudad","T","Pueblo","R","Rural","S","Suburbano","U","Urbano",""))</f>
        <v>Suburbano</v>
      </c>
      <c r="T2717" t="str">
        <f t="shared" si="169"/>
        <v>M</v>
      </c>
      <c r="U2717" t="str">
        <f t="shared" si="170"/>
        <v>AZ</v>
      </c>
      <c r="V2717" t="str">
        <f t="shared" si="171"/>
        <v>15128</v>
      </c>
    </row>
    <row r="2718" spans="1:22" x14ac:dyDescent="0.35">
      <c r="A2718">
        <v>143529</v>
      </c>
      <c r="B2718" t="s">
        <v>22</v>
      </c>
      <c r="C2718" t="s">
        <v>17</v>
      </c>
      <c r="D2718">
        <v>1310</v>
      </c>
      <c r="E2718">
        <v>327</v>
      </c>
      <c r="F2718">
        <v>399</v>
      </c>
      <c r="G2718">
        <v>5</v>
      </c>
      <c r="H2718">
        <v>11859</v>
      </c>
      <c r="I2718">
        <v>14</v>
      </c>
      <c r="J2718">
        <v>50</v>
      </c>
      <c r="K2718">
        <v>316</v>
      </c>
      <c r="L2718">
        <v>411</v>
      </c>
      <c r="M2718">
        <v>20</v>
      </c>
      <c r="N2718">
        <f>IFERROR(VLOOKUP(A2718,vlookup_table!$A:$G,2,FALSE),"")</f>
        <v>0</v>
      </c>
      <c r="O2718">
        <f>IFERROR(VLOOKUP(A2718,vlookup_table!$A:$G,4,FALSE),"")</f>
        <v>201</v>
      </c>
      <c r="P2718" t="str">
        <f>IFERROR(VLOOKUP(A2718,vlookup_table!$A:$G,5,FALSE),"")</f>
        <v>U3</v>
      </c>
      <c r="Q2718">
        <f>IFERROR(VLOOKUP(A2718,vlookup_table!$A:$G,7,FALSE),"")</f>
        <v>25</v>
      </c>
      <c r="R2718">
        <f t="shared" si="168"/>
        <v>95</v>
      </c>
      <c r="S2718" t="str" cm="1">
        <f t="array" ref="S2718">IF(P2718="","",_xlfn.SWITCH(LEFT(P2718,1),"C","Ciudad","T","Pueblo","R","Rural","S","Suburbano","U","Urbano",""))</f>
        <v>Urbano</v>
      </c>
      <c r="T2718" t="str">
        <f t="shared" si="169"/>
        <v>F</v>
      </c>
      <c r="U2718" t="str">
        <f t="shared" si="170"/>
        <v>CA</v>
      </c>
      <c r="V2718" t="str">
        <f t="shared" si="171"/>
        <v>11859</v>
      </c>
    </row>
    <row r="2719" spans="1:22" x14ac:dyDescent="0.35">
      <c r="A2719">
        <v>152376</v>
      </c>
      <c r="B2719" t="s">
        <v>22</v>
      </c>
      <c r="C2719" t="s">
        <v>17</v>
      </c>
      <c r="D2719">
        <v>2959</v>
      </c>
      <c r="E2719">
        <v>404</v>
      </c>
      <c r="F2719">
        <v>536</v>
      </c>
      <c r="G2719">
        <v>76</v>
      </c>
      <c r="H2719">
        <v>19718</v>
      </c>
      <c r="I2719">
        <v>15</v>
      </c>
      <c r="J2719">
        <v>31</v>
      </c>
      <c r="K2719">
        <v>434</v>
      </c>
      <c r="L2719">
        <v>500</v>
      </c>
      <c r="M2719">
        <v>9.4444444440000002</v>
      </c>
      <c r="N2719">
        <f>IFERROR(VLOOKUP(A2719,vlookup_table!$A:$G,2,FALSE),"")</f>
        <v>0</v>
      </c>
      <c r="O2719">
        <f>IFERROR(VLOOKUP(A2719,vlookup_table!$A:$G,4,FALSE),"")</f>
        <v>0</v>
      </c>
      <c r="P2719" t="str">
        <f>IFERROR(VLOOKUP(A2719,vlookup_table!$A:$G,5,FALSE),"")</f>
        <v>S2</v>
      </c>
      <c r="Q2719">
        <f>IFERROR(VLOOKUP(A2719,vlookup_table!$A:$G,7,FALSE),"")</f>
        <v>10</v>
      </c>
      <c r="R2719">
        <f t="shared" si="168"/>
        <v>97</v>
      </c>
      <c r="S2719" t="str" cm="1">
        <f t="array" ref="S2719">IF(P2719="","",_xlfn.SWITCH(LEFT(P2719,1),"C","Ciudad","T","Pueblo","R","Rural","S","Suburbano","U","Urbano",""))</f>
        <v>Suburbano</v>
      </c>
      <c r="T2719" t="str">
        <f t="shared" si="169"/>
        <v>F</v>
      </c>
      <c r="U2719" t="str">
        <f t="shared" si="170"/>
        <v>CA</v>
      </c>
      <c r="V2719" t="str">
        <f t="shared" si="171"/>
        <v>19718</v>
      </c>
    </row>
    <row r="2720" spans="1:22" x14ac:dyDescent="0.35">
      <c r="A2720">
        <v>22150</v>
      </c>
      <c r="B2720" t="s">
        <v>18</v>
      </c>
      <c r="C2720" t="s">
        <v>20</v>
      </c>
      <c r="D2720">
        <v>639</v>
      </c>
      <c r="E2720">
        <v>228</v>
      </c>
      <c r="F2720">
        <v>333</v>
      </c>
      <c r="G2720">
        <v>2</v>
      </c>
      <c r="H2720">
        <v>12224</v>
      </c>
      <c r="I2720">
        <v>1</v>
      </c>
      <c r="J2720">
        <v>77</v>
      </c>
      <c r="K2720">
        <v>269</v>
      </c>
      <c r="L2720">
        <v>289</v>
      </c>
      <c r="M2720">
        <v>3.8</v>
      </c>
      <c r="N2720">
        <f>IFERROR(VLOOKUP(A2720,vlookup_table!$A:$G,2,FALSE),"")</f>
        <v>0</v>
      </c>
      <c r="O2720">
        <f>IFERROR(VLOOKUP(A2720,vlookup_table!$A:$G,4,FALSE),"")</f>
        <v>4401</v>
      </c>
      <c r="P2720" t="str">
        <f>IFERROR(VLOOKUP(A2720,vlookup_table!$A:$G,5,FALSE),"")</f>
        <v>T3</v>
      </c>
      <c r="Q2720">
        <f>IFERROR(VLOOKUP(A2720,vlookup_table!$A:$G,7,FALSE),"")</f>
        <v>5</v>
      </c>
      <c r="R2720">
        <f t="shared" si="168"/>
        <v>53</v>
      </c>
      <c r="S2720" t="str" cm="1">
        <f t="array" ref="S2720">IF(P2720="","",_xlfn.SWITCH(LEFT(P2720,1),"C","Ciudad","T","Pueblo","R","Rural","S","Suburbano","U","Urbano",""))</f>
        <v>Pueblo</v>
      </c>
      <c r="T2720" t="str">
        <f t="shared" si="169"/>
        <v>F</v>
      </c>
      <c r="U2720" t="str">
        <f t="shared" si="170"/>
        <v>NC</v>
      </c>
      <c r="V2720" t="str">
        <f t="shared" si="171"/>
        <v>12224</v>
      </c>
    </row>
    <row r="2721" spans="1:22" x14ac:dyDescent="0.35">
      <c r="A2721">
        <v>120559</v>
      </c>
      <c r="B2721" t="s">
        <v>21</v>
      </c>
      <c r="C2721" t="s">
        <v>14</v>
      </c>
      <c r="D2721">
        <v>379</v>
      </c>
      <c r="E2721">
        <v>179</v>
      </c>
      <c r="F2721">
        <v>278</v>
      </c>
      <c r="G2721">
        <v>0</v>
      </c>
      <c r="H2721">
        <v>8879</v>
      </c>
      <c r="I2721">
        <v>3</v>
      </c>
      <c r="J2721">
        <v>79</v>
      </c>
      <c r="K2721">
        <v>236</v>
      </c>
      <c r="L2721">
        <v>230</v>
      </c>
      <c r="M2721">
        <v>10.5</v>
      </c>
      <c r="N2721">
        <f>IFERROR(VLOOKUP(A2721,vlookup_table!$A:$G,2,FALSE),"")</f>
        <v>0</v>
      </c>
      <c r="O2721">
        <f>IFERROR(VLOOKUP(A2721,vlookup_table!$A:$G,4,FALSE),"")</f>
        <v>3601</v>
      </c>
      <c r="P2721" t="str">
        <f>IFERROR(VLOOKUP(A2721,vlookup_table!$A:$G,5,FALSE),"")</f>
        <v>T2</v>
      </c>
      <c r="Q2721">
        <f>IFERROR(VLOOKUP(A2721,vlookup_table!$A:$G,7,FALSE),"")</f>
        <v>12</v>
      </c>
      <c r="R2721">
        <f t="shared" si="168"/>
        <v>61</v>
      </c>
      <c r="S2721" t="str" cm="1">
        <f t="array" ref="S2721">IF(P2721="","",_xlfn.SWITCH(LEFT(P2721,1),"C","Ciudad","T","Pueblo","R","Rural","S","Suburbano","U","Urbano",""))</f>
        <v>Pueblo</v>
      </c>
      <c r="T2721" t="str">
        <f t="shared" si="169"/>
        <v>M</v>
      </c>
      <c r="U2721" t="str">
        <f t="shared" si="170"/>
        <v>TX</v>
      </c>
      <c r="V2721" t="str">
        <f t="shared" si="171"/>
        <v>8879</v>
      </c>
    </row>
    <row r="2722" spans="1:22" x14ac:dyDescent="0.35">
      <c r="A2722">
        <v>148213</v>
      </c>
      <c r="B2722" t="s">
        <v>22</v>
      </c>
      <c r="C2722" t="s">
        <v>14</v>
      </c>
      <c r="D2722">
        <v>2776</v>
      </c>
      <c r="E2722">
        <v>651</v>
      </c>
      <c r="F2722">
        <v>717</v>
      </c>
      <c r="G2722">
        <v>94</v>
      </c>
      <c r="H2722">
        <v>19603</v>
      </c>
      <c r="I2722">
        <v>28</v>
      </c>
      <c r="J2722">
        <v>40</v>
      </c>
      <c r="K2722">
        <v>667</v>
      </c>
      <c r="L2722">
        <v>715</v>
      </c>
      <c r="M2722">
        <v>12.5</v>
      </c>
      <c r="N2722">
        <f>IFERROR(VLOOKUP(A2722,vlookup_table!$A:$G,2,FALSE),"")</f>
        <v>2</v>
      </c>
      <c r="O2722">
        <f>IFERROR(VLOOKUP(A2722,vlookup_table!$A:$G,4,FALSE),"")</f>
        <v>2901</v>
      </c>
      <c r="P2722" t="str">
        <f>IFERROR(VLOOKUP(A2722,vlookup_table!$A:$G,5,FALSE),"")</f>
        <v>S1</v>
      </c>
      <c r="Q2722">
        <f>IFERROR(VLOOKUP(A2722,vlookup_table!$A:$G,7,FALSE),"")</f>
        <v>14</v>
      </c>
      <c r="R2722">
        <f t="shared" si="168"/>
        <v>68</v>
      </c>
      <c r="S2722" t="str" cm="1">
        <f t="array" ref="S2722">IF(P2722="","",_xlfn.SWITCH(LEFT(P2722,1),"C","Ciudad","T","Pueblo","R","Rural","S","Suburbano","U","Urbano",""))</f>
        <v>Suburbano</v>
      </c>
      <c r="T2722" t="str">
        <f t="shared" si="169"/>
        <v>M</v>
      </c>
      <c r="U2722" t="str">
        <f t="shared" si="170"/>
        <v>CA</v>
      </c>
      <c r="V2722" t="str">
        <f t="shared" si="171"/>
        <v>19603</v>
      </c>
    </row>
    <row r="2723" spans="1:22" x14ac:dyDescent="0.35">
      <c r="A2723">
        <v>180787</v>
      </c>
      <c r="B2723" t="s">
        <v>40</v>
      </c>
      <c r="C2723" t="s">
        <v>51</v>
      </c>
      <c r="D2723">
        <v>1113</v>
      </c>
      <c r="E2723">
        <v>206</v>
      </c>
      <c r="F2723">
        <v>271</v>
      </c>
      <c r="G2723">
        <v>7</v>
      </c>
      <c r="H2723">
        <v>11015</v>
      </c>
      <c r="I2723">
        <v>2</v>
      </c>
      <c r="J2723">
        <v>64</v>
      </c>
      <c r="K2723">
        <v>213</v>
      </c>
      <c r="L2723">
        <v>252</v>
      </c>
      <c r="M2723">
        <v>20</v>
      </c>
      <c r="N2723">
        <f>IFERROR(VLOOKUP(A2723,vlookup_table!$A:$G,2,FALSE),"")</f>
        <v>1002</v>
      </c>
      <c r="O2723">
        <f>IFERROR(VLOOKUP(A2723,vlookup_table!$A:$G,4,FALSE),"")</f>
        <v>6001</v>
      </c>
      <c r="P2723" t="str">
        <f>IFERROR(VLOOKUP(A2723,vlookup_table!$A:$G,5,FALSE),"")</f>
        <v>T2</v>
      </c>
      <c r="Q2723">
        <f>IFERROR(VLOOKUP(A2723,vlookup_table!$A:$G,7,FALSE),"")</f>
        <v>20</v>
      </c>
      <c r="R2723">
        <f t="shared" si="168"/>
        <v>37</v>
      </c>
      <c r="S2723" t="str" cm="1">
        <f t="array" ref="S2723">IF(P2723="","",_xlfn.SWITCH(LEFT(P2723,1),"C","Ciudad","T","Pueblo","R","Rural","S","Suburbano","U","Urbano",""))</f>
        <v>Pueblo</v>
      </c>
      <c r="T2723" t="str">
        <f t="shared" si="169"/>
        <v>M</v>
      </c>
      <c r="U2723" t="str">
        <f t="shared" si="170"/>
        <v>WA</v>
      </c>
      <c r="V2723" t="str">
        <f t="shared" si="171"/>
        <v>11015</v>
      </c>
    </row>
    <row r="2724" spans="1:22" x14ac:dyDescent="0.35">
      <c r="A2724">
        <v>118847</v>
      </c>
      <c r="B2724" t="s">
        <v>21</v>
      </c>
      <c r="C2724" t="s">
        <v>17</v>
      </c>
      <c r="D2724">
        <v>583</v>
      </c>
      <c r="E2724">
        <v>224</v>
      </c>
      <c r="F2724">
        <v>262</v>
      </c>
      <c r="G2724">
        <v>11</v>
      </c>
      <c r="H2724">
        <v>11542</v>
      </c>
      <c r="I2724">
        <v>12</v>
      </c>
      <c r="J2724">
        <v>44</v>
      </c>
      <c r="K2724">
        <v>220</v>
      </c>
      <c r="L2724">
        <v>253</v>
      </c>
      <c r="M2724">
        <v>11.25</v>
      </c>
      <c r="N2724">
        <f>IFERROR(VLOOKUP(A2724,vlookup_table!$A:$G,2,FALSE),"")</f>
        <v>0</v>
      </c>
      <c r="O2724">
        <f>IFERROR(VLOOKUP(A2724,vlookup_table!$A:$G,4,FALSE),"")</f>
        <v>4010</v>
      </c>
      <c r="P2724" t="str">
        <f>IFERROR(VLOOKUP(A2724,vlookup_table!$A:$G,5,FALSE),"")</f>
        <v>C1</v>
      </c>
      <c r="Q2724">
        <f>IFERROR(VLOOKUP(A2724,vlookup_table!$A:$G,7,FALSE),"")</f>
        <v>25</v>
      </c>
      <c r="R2724">
        <f t="shared" si="168"/>
        <v>57</v>
      </c>
      <c r="S2724" t="str" cm="1">
        <f t="array" ref="S2724">IF(P2724="","",_xlfn.SWITCH(LEFT(P2724,1),"C","Ciudad","T","Pueblo","R","Rural","S","Suburbano","U","Urbano",""))</f>
        <v>Ciudad</v>
      </c>
      <c r="T2724" t="str">
        <f t="shared" si="169"/>
        <v>F</v>
      </c>
      <c r="U2724" t="str">
        <f t="shared" si="170"/>
        <v>TX</v>
      </c>
      <c r="V2724" t="str">
        <f t="shared" si="171"/>
        <v>11542</v>
      </c>
    </row>
    <row r="2725" spans="1:22" x14ac:dyDescent="0.35">
      <c r="A2725">
        <v>28713</v>
      </c>
      <c r="B2725" t="s">
        <v>39</v>
      </c>
      <c r="C2725" t="s">
        <v>17</v>
      </c>
      <c r="D2725">
        <v>3306</v>
      </c>
      <c r="E2725">
        <v>1090</v>
      </c>
      <c r="F2725">
        <v>1065</v>
      </c>
      <c r="G2725">
        <v>96</v>
      </c>
      <c r="H2725">
        <v>34893</v>
      </c>
      <c r="I2725">
        <v>4</v>
      </c>
      <c r="J2725">
        <v>29</v>
      </c>
      <c r="K2725">
        <v>1109</v>
      </c>
      <c r="L2725">
        <v>1060</v>
      </c>
      <c r="M2725">
        <v>15.1</v>
      </c>
      <c r="N2725">
        <f>IFERROR(VLOOKUP(A2725,vlookup_table!$A:$G,2,FALSE),"")</f>
        <v>2</v>
      </c>
      <c r="O2725">
        <f>IFERROR(VLOOKUP(A2725,vlookup_table!$A:$G,4,FALSE),"")</f>
        <v>4801</v>
      </c>
      <c r="P2725" t="str">
        <f>IFERROR(VLOOKUP(A2725,vlookup_table!$A:$G,5,FALSE),"")</f>
        <v>S1</v>
      </c>
      <c r="Q2725">
        <f>IFERROR(VLOOKUP(A2725,vlookup_table!$A:$G,7,FALSE),"")</f>
        <v>21</v>
      </c>
      <c r="R2725">
        <f t="shared" si="168"/>
        <v>49</v>
      </c>
      <c r="S2725" t="str" cm="1">
        <f t="array" ref="S2725">IF(P2725="","",_xlfn.SWITCH(LEFT(P2725,1),"C","Ciudad","T","Pueblo","R","Rural","S","Suburbano","U","Urbano",""))</f>
        <v>Suburbano</v>
      </c>
      <c r="T2725" t="str">
        <f t="shared" si="169"/>
        <v>F</v>
      </c>
      <c r="U2725" t="str">
        <f t="shared" si="170"/>
        <v>GA</v>
      </c>
      <c r="V2725" t="str">
        <f t="shared" si="171"/>
        <v>34893</v>
      </c>
    </row>
    <row r="2726" spans="1:22" x14ac:dyDescent="0.35">
      <c r="A2726">
        <v>29777</v>
      </c>
      <c r="B2726" t="s">
        <v>39</v>
      </c>
      <c r="C2726" t="s">
        <v>17</v>
      </c>
      <c r="D2726">
        <v>724</v>
      </c>
      <c r="E2726">
        <v>380</v>
      </c>
      <c r="F2726">
        <v>465</v>
      </c>
      <c r="G2726">
        <v>0</v>
      </c>
      <c r="H2726">
        <v>19961</v>
      </c>
      <c r="I2726">
        <v>4</v>
      </c>
      <c r="J2726">
        <v>62</v>
      </c>
      <c r="K2726">
        <v>443</v>
      </c>
      <c r="L2726">
        <v>424</v>
      </c>
      <c r="M2726">
        <v>10.66666667</v>
      </c>
      <c r="N2726">
        <f>IFERROR(VLOOKUP(A2726,vlookup_table!$A:$G,2,FALSE),"")</f>
        <v>0</v>
      </c>
      <c r="O2726">
        <f>IFERROR(VLOOKUP(A2726,vlookup_table!$A:$G,4,FALSE),"")</f>
        <v>2601</v>
      </c>
      <c r="P2726" t="str">
        <f>IFERROR(VLOOKUP(A2726,vlookup_table!$A:$G,5,FALSE),"")</f>
        <v>C1</v>
      </c>
      <c r="Q2726">
        <f>IFERROR(VLOOKUP(A2726,vlookup_table!$A:$G,7,FALSE),"")</f>
        <v>10</v>
      </c>
      <c r="R2726">
        <f t="shared" si="168"/>
        <v>71</v>
      </c>
      <c r="S2726" t="str" cm="1">
        <f t="array" ref="S2726">IF(P2726="","",_xlfn.SWITCH(LEFT(P2726,1),"C","Ciudad","T","Pueblo","R","Rural","S","Suburbano","U","Urbano",""))</f>
        <v>Ciudad</v>
      </c>
      <c r="T2726" t="str">
        <f t="shared" si="169"/>
        <v>F</v>
      </c>
      <c r="U2726" t="str">
        <f t="shared" si="170"/>
        <v>GA</v>
      </c>
      <c r="V2726" t="str">
        <f t="shared" si="171"/>
        <v>19961</v>
      </c>
    </row>
    <row r="2727" spans="1:22" x14ac:dyDescent="0.35">
      <c r="A2727">
        <v>42499</v>
      </c>
      <c r="B2727" t="s">
        <v>13</v>
      </c>
      <c r="C2727" t="s">
        <v>14</v>
      </c>
      <c r="D2727">
        <v>680</v>
      </c>
      <c r="E2727">
        <v>181</v>
      </c>
      <c r="F2727">
        <v>421</v>
      </c>
      <c r="G2727">
        <v>5</v>
      </c>
      <c r="H2727">
        <v>19962</v>
      </c>
      <c r="I2727">
        <v>5</v>
      </c>
      <c r="J2727">
        <v>42</v>
      </c>
      <c r="K2727">
        <v>277</v>
      </c>
      <c r="L2727">
        <v>328</v>
      </c>
      <c r="M2727">
        <v>6.6666666670000003</v>
      </c>
      <c r="N2727">
        <f>IFERROR(VLOOKUP(A2727,vlookup_table!$A:$G,2,FALSE),"")</f>
        <v>0</v>
      </c>
      <c r="O2727">
        <f>IFERROR(VLOOKUP(A2727,vlookup_table!$A:$G,4,FALSE),"")</f>
        <v>2901</v>
      </c>
      <c r="P2727" t="str">
        <f>IFERROR(VLOOKUP(A2727,vlookup_table!$A:$G,5,FALSE),"")</f>
        <v>R2</v>
      </c>
      <c r="Q2727">
        <f>IFERROR(VLOOKUP(A2727,vlookup_table!$A:$G,7,FALSE),"")</f>
        <v>10</v>
      </c>
      <c r="R2727">
        <f t="shared" si="168"/>
        <v>68</v>
      </c>
      <c r="S2727" t="str" cm="1">
        <f t="array" ref="S2727">IF(P2727="","",_xlfn.SWITCH(LEFT(P2727,1),"C","Ciudad","T","Pueblo","R","Rural","S","Suburbano","U","Urbano",""))</f>
        <v>Rural</v>
      </c>
      <c r="T2727" t="str">
        <f t="shared" si="169"/>
        <v>M</v>
      </c>
      <c r="U2727" t="str">
        <f t="shared" si="170"/>
        <v>FL</v>
      </c>
      <c r="V2727" t="str">
        <f t="shared" si="171"/>
        <v>19962</v>
      </c>
    </row>
    <row r="2728" spans="1:22" x14ac:dyDescent="0.35">
      <c r="A2728">
        <v>38987</v>
      </c>
      <c r="B2728" t="s">
        <v>13</v>
      </c>
      <c r="C2728" t="s">
        <v>17</v>
      </c>
      <c r="D2728">
        <v>1314</v>
      </c>
      <c r="E2728">
        <v>339</v>
      </c>
      <c r="F2728">
        <v>493</v>
      </c>
      <c r="G2728">
        <v>17</v>
      </c>
      <c r="H2728">
        <v>19845</v>
      </c>
      <c r="I2728">
        <v>12</v>
      </c>
      <c r="J2728">
        <v>20</v>
      </c>
      <c r="K2728">
        <v>453</v>
      </c>
      <c r="L2728">
        <v>413</v>
      </c>
      <c r="M2728">
        <v>11.19047619</v>
      </c>
      <c r="N2728">
        <f>IFERROR(VLOOKUP(A2728,vlookup_table!$A:$G,2,FALSE),"")</f>
        <v>2</v>
      </c>
      <c r="O2728">
        <f>IFERROR(VLOOKUP(A2728,vlookup_table!$A:$G,4,FALSE),"")</f>
        <v>2611</v>
      </c>
      <c r="P2728" t="str">
        <f>IFERROR(VLOOKUP(A2728,vlookup_table!$A:$G,5,FALSE),"")</f>
        <v>S2</v>
      </c>
      <c r="Q2728">
        <f>IFERROR(VLOOKUP(A2728,vlookup_table!$A:$G,7,FALSE),"")</f>
        <v>13</v>
      </c>
      <c r="R2728">
        <f t="shared" si="168"/>
        <v>71</v>
      </c>
      <c r="S2728" t="str" cm="1">
        <f t="array" ref="S2728">IF(P2728="","",_xlfn.SWITCH(LEFT(P2728,1),"C","Ciudad","T","Pueblo","R","Rural","S","Suburbano","U","Urbano",""))</f>
        <v>Suburbano</v>
      </c>
      <c r="T2728" t="str">
        <f t="shared" si="169"/>
        <v>F</v>
      </c>
      <c r="U2728" t="str">
        <f t="shared" si="170"/>
        <v>FL</v>
      </c>
      <c r="V2728" t="str">
        <f t="shared" si="171"/>
        <v>19845</v>
      </c>
    </row>
    <row r="2729" spans="1:22" x14ac:dyDescent="0.35">
      <c r="A2729">
        <v>130936</v>
      </c>
      <c r="B2729" t="s">
        <v>48</v>
      </c>
      <c r="C2729" t="s">
        <v>14</v>
      </c>
      <c r="D2729">
        <v>684</v>
      </c>
      <c r="E2729">
        <v>190</v>
      </c>
      <c r="F2729">
        <v>251</v>
      </c>
      <c r="G2729">
        <v>0</v>
      </c>
      <c r="H2729">
        <v>11141</v>
      </c>
      <c r="I2729">
        <v>4</v>
      </c>
      <c r="J2729">
        <v>41</v>
      </c>
      <c r="K2729">
        <v>218</v>
      </c>
      <c r="L2729">
        <v>225</v>
      </c>
      <c r="M2729">
        <v>12.33333333</v>
      </c>
      <c r="N2729">
        <f>IFERROR(VLOOKUP(A2729,vlookup_table!$A:$G,2,FALSE),"")</f>
        <v>1</v>
      </c>
      <c r="O2729">
        <f>IFERROR(VLOOKUP(A2729,vlookup_table!$A:$G,4,FALSE),"")</f>
        <v>1512</v>
      </c>
      <c r="P2729" t="str">
        <f>IFERROR(VLOOKUP(A2729,vlookup_table!$A:$G,5,FALSE),"")</f>
        <v>C3</v>
      </c>
      <c r="Q2729">
        <f>IFERROR(VLOOKUP(A2729,vlookup_table!$A:$G,7,FALSE),"")</f>
        <v>15</v>
      </c>
      <c r="R2729">
        <f t="shared" si="168"/>
        <v>82</v>
      </c>
      <c r="S2729" t="str" cm="1">
        <f t="array" ref="S2729">IF(P2729="","",_xlfn.SWITCH(LEFT(P2729,1),"C","Ciudad","T","Pueblo","R","Rural","S","Suburbano","U","Urbano",""))</f>
        <v>Ciudad</v>
      </c>
      <c r="T2729" t="str">
        <f t="shared" si="169"/>
        <v>M</v>
      </c>
      <c r="U2729" t="str">
        <f t="shared" si="170"/>
        <v>CO</v>
      </c>
      <c r="V2729" t="str">
        <f t="shared" si="171"/>
        <v>11141</v>
      </c>
    </row>
    <row r="2730" spans="1:22" x14ac:dyDescent="0.35">
      <c r="A2730">
        <v>21463</v>
      </c>
      <c r="B2730" t="s">
        <v>18</v>
      </c>
      <c r="C2730" t="s">
        <v>20</v>
      </c>
      <c r="D2730">
        <v>499</v>
      </c>
      <c r="E2730">
        <v>260</v>
      </c>
      <c r="F2730">
        <v>324</v>
      </c>
      <c r="G2730">
        <v>0</v>
      </c>
      <c r="H2730">
        <v>10632</v>
      </c>
      <c r="I2730">
        <v>0</v>
      </c>
      <c r="J2730">
        <v>89</v>
      </c>
      <c r="K2730">
        <v>289</v>
      </c>
      <c r="L2730">
        <v>291</v>
      </c>
      <c r="M2730">
        <v>9.25</v>
      </c>
      <c r="N2730">
        <f>IFERROR(VLOOKUP(A2730,vlookup_table!$A:$G,2,FALSE),"")</f>
        <v>0</v>
      </c>
      <c r="O2730">
        <f>IFERROR(VLOOKUP(A2730,vlookup_table!$A:$G,4,FALSE),"")</f>
        <v>6201</v>
      </c>
      <c r="P2730" t="str">
        <f>IFERROR(VLOOKUP(A2730,vlookup_table!$A:$G,5,FALSE),"")</f>
        <v>T2</v>
      </c>
      <c r="Q2730">
        <f>IFERROR(VLOOKUP(A2730,vlookup_table!$A:$G,7,FALSE),"")</f>
        <v>11</v>
      </c>
      <c r="R2730">
        <f t="shared" si="168"/>
        <v>35</v>
      </c>
      <c r="S2730" t="str" cm="1">
        <f t="array" ref="S2730">IF(P2730="","",_xlfn.SWITCH(LEFT(P2730,1),"C","Ciudad","T","Pueblo","R","Rural","S","Suburbano","U","Urbano",""))</f>
        <v>Pueblo</v>
      </c>
      <c r="T2730" t="str">
        <f t="shared" si="169"/>
        <v>F</v>
      </c>
      <c r="U2730" t="str">
        <f t="shared" si="170"/>
        <v>NC</v>
      </c>
      <c r="V2730" t="str">
        <f t="shared" si="171"/>
        <v>10632</v>
      </c>
    </row>
    <row r="2731" spans="1:22" x14ac:dyDescent="0.35">
      <c r="A2731">
        <v>154531</v>
      </c>
      <c r="B2731" t="s">
        <v>22</v>
      </c>
      <c r="C2731" t="s">
        <v>17</v>
      </c>
      <c r="D2731">
        <v>724</v>
      </c>
      <c r="E2731">
        <v>158</v>
      </c>
      <c r="F2731">
        <v>277</v>
      </c>
      <c r="G2731">
        <v>4</v>
      </c>
      <c r="H2731">
        <v>11223</v>
      </c>
      <c r="I2731">
        <v>10</v>
      </c>
      <c r="J2731">
        <v>38</v>
      </c>
      <c r="K2731">
        <v>213</v>
      </c>
      <c r="L2731">
        <v>226</v>
      </c>
      <c r="M2731">
        <v>5.0571428569999997</v>
      </c>
      <c r="N2731">
        <f>IFERROR(VLOOKUP(A2731,vlookup_table!$A:$G,2,FALSE),"")</f>
        <v>0</v>
      </c>
      <c r="O2731">
        <f>IFERROR(VLOOKUP(A2731,vlookup_table!$A:$G,4,FALSE),"")</f>
        <v>2010</v>
      </c>
      <c r="P2731" t="str">
        <f>IFERROR(VLOOKUP(A2731,vlookup_table!$A:$G,5,FALSE),"")</f>
        <v>T2</v>
      </c>
      <c r="Q2731">
        <f>IFERROR(VLOOKUP(A2731,vlookup_table!$A:$G,7,FALSE),"")</f>
        <v>5</v>
      </c>
      <c r="R2731">
        <f t="shared" si="168"/>
        <v>77</v>
      </c>
      <c r="S2731" t="str" cm="1">
        <f t="array" ref="S2731">IF(P2731="","",_xlfn.SWITCH(LEFT(P2731,1),"C","Ciudad","T","Pueblo","R","Rural","S","Suburbano","U","Urbano",""))</f>
        <v>Pueblo</v>
      </c>
      <c r="T2731" t="str">
        <f t="shared" si="169"/>
        <v>F</v>
      </c>
      <c r="U2731" t="str">
        <f t="shared" si="170"/>
        <v>CA</v>
      </c>
      <c r="V2731" t="str">
        <f t="shared" si="171"/>
        <v>11223</v>
      </c>
    </row>
    <row r="2732" spans="1:22" x14ac:dyDescent="0.35">
      <c r="A2732">
        <v>165033</v>
      </c>
      <c r="B2732" t="s">
        <v>22</v>
      </c>
      <c r="C2732" t="s">
        <v>14</v>
      </c>
      <c r="D2732">
        <v>3207</v>
      </c>
      <c r="E2732">
        <v>705</v>
      </c>
      <c r="F2732">
        <v>754</v>
      </c>
      <c r="G2732">
        <v>92</v>
      </c>
      <c r="H2732">
        <v>26498</v>
      </c>
      <c r="I2732">
        <v>20</v>
      </c>
      <c r="J2732">
        <v>43</v>
      </c>
      <c r="K2732">
        <v>763</v>
      </c>
      <c r="L2732">
        <v>708</v>
      </c>
      <c r="M2732">
        <v>16.25</v>
      </c>
      <c r="N2732">
        <f>IFERROR(VLOOKUP(A2732,vlookup_table!$A:$G,2,FALSE),"")</f>
        <v>1</v>
      </c>
      <c r="O2732">
        <f>IFERROR(VLOOKUP(A2732,vlookup_table!$A:$G,4,FALSE),"")</f>
        <v>5501</v>
      </c>
      <c r="P2732" t="str">
        <f>IFERROR(VLOOKUP(A2732,vlookup_table!$A:$G,5,FALSE),"")</f>
        <v>T1</v>
      </c>
      <c r="Q2732">
        <f>IFERROR(VLOOKUP(A2732,vlookup_table!$A:$G,7,FALSE),"")</f>
        <v>10</v>
      </c>
      <c r="R2732">
        <f t="shared" si="168"/>
        <v>42</v>
      </c>
      <c r="S2732" t="str" cm="1">
        <f t="array" ref="S2732">IF(P2732="","",_xlfn.SWITCH(LEFT(P2732,1),"C","Ciudad","T","Pueblo","R","Rural","S","Suburbano","U","Urbano",""))</f>
        <v>Pueblo</v>
      </c>
      <c r="T2732" t="str">
        <f t="shared" si="169"/>
        <v>M</v>
      </c>
      <c r="U2732" t="str">
        <f t="shared" si="170"/>
        <v>CA</v>
      </c>
      <c r="V2732" t="str">
        <f t="shared" si="171"/>
        <v>26498</v>
      </c>
    </row>
    <row r="2733" spans="1:22" x14ac:dyDescent="0.35">
      <c r="A2733">
        <v>12171</v>
      </c>
      <c r="B2733" t="s">
        <v>40</v>
      </c>
      <c r="C2733" t="s">
        <v>17</v>
      </c>
      <c r="D2733">
        <v>659</v>
      </c>
      <c r="E2733">
        <v>272</v>
      </c>
      <c r="F2733">
        <v>347</v>
      </c>
      <c r="G2733">
        <v>0</v>
      </c>
      <c r="H2733">
        <v>11918</v>
      </c>
      <c r="I2733">
        <v>13</v>
      </c>
      <c r="J2733">
        <v>56</v>
      </c>
      <c r="K2733">
        <v>303</v>
      </c>
      <c r="L2733">
        <v>309</v>
      </c>
      <c r="M2733">
        <v>5.55</v>
      </c>
      <c r="N2733">
        <f>IFERROR(VLOOKUP(A2733,vlookup_table!$A:$G,2,FALSE),"")</f>
        <v>2</v>
      </c>
      <c r="O2733">
        <f>IFERROR(VLOOKUP(A2733,vlookup_table!$A:$G,4,FALSE),"")</f>
        <v>1301</v>
      </c>
      <c r="P2733" t="str">
        <f>IFERROR(VLOOKUP(A2733,vlookup_table!$A:$G,5,FALSE),"")</f>
        <v>S2</v>
      </c>
      <c r="Q2733">
        <f>IFERROR(VLOOKUP(A2733,vlookup_table!$A:$G,7,FALSE),"")</f>
        <v>5</v>
      </c>
      <c r="R2733">
        <f t="shared" si="168"/>
        <v>84</v>
      </c>
      <c r="S2733" t="str" cm="1">
        <f t="array" ref="S2733">IF(P2733="","",_xlfn.SWITCH(LEFT(P2733,1),"C","Ciudad","T","Pueblo","R","Rural","S","Suburbano","U","Urbano",""))</f>
        <v>Suburbano</v>
      </c>
      <c r="T2733" t="str">
        <f t="shared" si="169"/>
        <v>F</v>
      </c>
      <c r="U2733" t="str">
        <f t="shared" si="170"/>
        <v>WA</v>
      </c>
      <c r="V2733" t="str">
        <f t="shared" si="171"/>
        <v>11918</v>
      </c>
    </row>
    <row r="2734" spans="1:22" x14ac:dyDescent="0.35">
      <c r="A2734">
        <v>186462</v>
      </c>
      <c r="B2734" t="s">
        <v>18</v>
      </c>
      <c r="C2734" t="s">
        <v>20</v>
      </c>
      <c r="D2734">
        <v>654</v>
      </c>
      <c r="E2734">
        <v>350</v>
      </c>
      <c r="F2734">
        <v>362</v>
      </c>
      <c r="G2734">
        <v>0</v>
      </c>
      <c r="H2734">
        <v>11564</v>
      </c>
      <c r="I2734">
        <v>0</v>
      </c>
      <c r="J2734">
        <v>83</v>
      </c>
      <c r="K2734">
        <v>377</v>
      </c>
      <c r="L2734">
        <v>333</v>
      </c>
      <c r="M2734">
        <v>4.2857142860000002</v>
      </c>
      <c r="N2734">
        <f>IFERROR(VLOOKUP(A2734,vlookup_table!$A:$G,2,FALSE),"")</f>
        <v>2</v>
      </c>
      <c r="O2734">
        <f>IFERROR(VLOOKUP(A2734,vlookup_table!$A:$G,4,FALSE),"")</f>
        <v>1603</v>
      </c>
      <c r="P2734" t="str">
        <f>IFERROR(VLOOKUP(A2734,vlookup_table!$A:$G,5,FALSE),"")</f>
        <v>T2</v>
      </c>
      <c r="Q2734">
        <f>IFERROR(VLOOKUP(A2734,vlookup_table!$A:$G,7,FALSE),"")</f>
        <v>8</v>
      </c>
      <c r="R2734">
        <f t="shared" si="168"/>
        <v>81</v>
      </c>
      <c r="S2734" t="str" cm="1">
        <f t="array" ref="S2734">IF(P2734="","",_xlfn.SWITCH(LEFT(P2734,1),"C","Ciudad","T","Pueblo","R","Rural","S","Suburbano","U","Urbano",""))</f>
        <v>Pueblo</v>
      </c>
      <c r="T2734" t="str">
        <f t="shared" si="169"/>
        <v>F</v>
      </c>
      <c r="U2734" t="str">
        <f t="shared" si="170"/>
        <v>NC</v>
      </c>
      <c r="V2734" t="str">
        <f t="shared" si="171"/>
        <v>11564</v>
      </c>
    </row>
    <row r="2735" spans="1:22" x14ac:dyDescent="0.35">
      <c r="A2735">
        <v>70312</v>
      </c>
      <c r="B2735" t="s">
        <v>29</v>
      </c>
      <c r="C2735" t="s">
        <v>17</v>
      </c>
      <c r="D2735">
        <v>549</v>
      </c>
      <c r="E2735">
        <v>367</v>
      </c>
      <c r="F2735">
        <v>430</v>
      </c>
      <c r="G2735">
        <v>0</v>
      </c>
      <c r="H2735">
        <v>12991</v>
      </c>
      <c r="I2735">
        <v>2</v>
      </c>
      <c r="J2735">
        <v>91</v>
      </c>
      <c r="K2735">
        <v>414</v>
      </c>
      <c r="L2735">
        <v>385</v>
      </c>
      <c r="M2735">
        <v>5.3333333329999997</v>
      </c>
      <c r="N2735">
        <f>IFERROR(VLOOKUP(A2735,vlookup_table!$A:$G,2,FALSE),"")</f>
        <v>2</v>
      </c>
      <c r="O2735">
        <f>IFERROR(VLOOKUP(A2735,vlookup_table!$A:$G,4,FALSE),"")</f>
        <v>5901</v>
      </c>
      <c r="P2735" t="str">
        <f>IFERROR(VLOOKUP(A2735,vlookup_table!$A:$G,5,FALSE),"")</f>
        <v>T2</v>
      </c>
      <c r="Q2735">
        <f>IFERROR(VLOOKUP(A2735,vlookup_table!$A:$G,7,FALSE),"")</f>
        <v>5</v>
      </c>
      <c r="R2735">
        <f t="shared" si="168"/>
        <v>38</v>
      </c>
      <c r="S2735" t="str" cm="1">
        <f t="array" ref="S2735">IF(P2735="","",_xlfn.SWITCH(LEFT(P2735,1),"C","Ciudad","T","Pueblo","R","Rural","S","Suburbano","U","Urbano",""))</f>
        <v>Pueblo</v>
      </c>
      <c r="T2735" t="str">
        <f t="shared" si="169"/>
        <v>F</v>
      </c>
      <c r="U2735" t="str">
        <f t="shared" si="170"/>
        <v>MI</v>
      </c>
      <c r="V2735" t="str">
        <f t="shared" si="171"/>
        <v>12991</v>
      </c>
    </row>
    <row r="2736" spans="1:22" x14ac:dyDescent="0.35">
      <c r="A2736">
        <v>27267</v>
      </c>
      <c r="B2736" t="s">
        <v>39</v>
      </c>
      <c r="C2736" t="s">
        <v>17</v>
      </c>
      <c r="D2736">
        <v>1094</v>
      </c>
      <c r="E2736">
        <v>412</v>
      </c>
      <c r="F2736">
        <v>604</v>
      </c>
      <c r="G2736">
        <v>27</v>
      </c>
      <c r="H2736">
        <v>23020</v>
      </c>
      <c r="I2736">
        <v>5</v>
      </c>
      <c r="J2736">
        <v>56</v>
      </c>
      <c r="K2736">
        <v>502</v>
      </c>
      <c r="L2736">
        <v>531</v>
      </c>
      <c r="M2736">
        <v>7.875</v>
      </c>
      <c r="N2736">
        <f>IFERROR(VLOOKUP(A2736,vlookup_table!$A:$G,2,FALSE),"")</f>
        <v>0</v>
      </c>
      <c r="O2736">
        <f>IFERROR(VLOOKUP(A2736,vlookup_table!$A:$G,4,FALSE),"")</f>
        <v>5801</v>
      </c>
      <c r="P2736" t="str">
        <f>IFERROR(VLOOKUP(A2736,vlookup_table!$A:$G,5,FALSE),"")</f>
        <v>T1</v>
      </c>
      <c r="Q2736">
        <f>IFERROR(VLOOKUP(A2736,vlookup_table!$A:$G,7,FALSE),"")</f>
        <v>10</v>
      </c>
      <c r="R2736">
        <f t="shared" si="168"/>
        <v>39</v>
      </c>
      <c r="S2736" t="str" cm="1">
        <f t="array" ref="S2736">IF(P2736="","",_xlfn.SWITCH(LEFT(P2736,1),"C","Ciudad","T","Pueblo","R","Rural","S","Suburbano","U","Urbano",""))</f>
        <v>Pueblo</v>
      </c>
      <c r="T2736" t="str">
        <f t="shared" si="169"/>
        <v>F</v>
      </c>
      <c r="U2736" t="str">
        <f t="shared" si="170"/>
        <v>GA</v>
      </c>
      <c r="V2736" t="str">
        <f t="shared" si="171"/>
        <v>23020</v>
      </c>
    </row>
    <row r="2737" spans="1:22" x14ac:dyDescent="0.35">
      <c r="A2737">
        <v>7048</v>
      </c>
      <c r="B2737" t="s">
        <v>22</v>
      </c>
      <c r="C2737" t="s">
        <v>14</v>
      </c>
      <c r="D2737">
        <v>3431</v>
      </c>
      <c r="E2737">
        <v>549</v>
      </c>
      <c r="F2737">
        <v>664</v>
      </c>
      <c r="G2737">
        <v>86</v>
      </c>
      <c r="H2737">
        <v>20683</v>
      </c>
      <c r="I2737">
        <v>20</v>
      </c>
      <c r="J2737">
        <v>51</v>
      </c>
      <c r="K2737">
        <v>626</v>
      </c>
      <c r="L2737">
        <v>610</v>
      </c>
      <c r="M2737">
        <v>9.9411764710000003</v>
      </c>
      <c r="N2737">
        <f>IFERROR(VLOOKUP(A2737,vlookup_table!$A:$G,2,FALSE),"")</f>
        <v>1002</v>
      </c>
      <c r="O2737">
        <f>IFERROR(VLOOKUP(A2737,vlookup_table!$A:$G,4,FALSE),"")</f>
        <v>3301</v>
      </c>
      <c r="P2737" t="str">
        <f>IFERROR(VLOOKUP(A2737,vlookup_table!$A:$G,5,FALSE),"")</f>
        <v>S1</v>
      </c>
      <c r="Q2737">
        <f>IFERROR(VLOOKUP(A2737,vlookup_table!$A:$G,7,FALSE),"")</f>
        <v>15</v>
      </c>
      <c r="R2737">
        <f t="shared" si="168"/>
        <v>64</v>
      </c>
      <c r="S2737" t="str" cm="1">
        <f t="array" ref="S2737">IF(P2737="","",_xlfn.SWITCH(LEFT(P2737,1),"C","Ciudad","T","Pueblo","R","Rural","S","Suburbano","U","Urbano",""))</f>
        <v>Suburbano</v>
      </c>
      <c r="T2737" t="str">
        <f t="shared" si="169"/>
        <v>M</v>
      </c>
      <c r="U2737" t="str">
        <f t="shared" si="170"/>
        <v>CA</v>
      </c>
      <c r="V2737" t="str">
        <f t="shared" si="171"/>
        <v>20683</v>
      </c>
    </row>
    <row r="2738" spans="1:22" x14ac:dyDescent="0.35">
      <c r="A2738">
        <v>144631</v>
      </c>
      <c r="B2738" t="s">
        <v>22</v>
      </c>
      <c r="C2738" t="s">
        <v>17</v>
      </c>
      <c r="D2738">
        <v>2339</v>
      </c>
      <c r="E2738">
        <v>416</v>
      </c>
      <c r="F2738">
        <v>454</v>
      </c>
      <c r="G2738">
        <v>75</v>
      </c>
      <c r="H2738">
        <v>14849</v>
      </c>
      <c r="I2738">
        <v>27</v>
      </c>
      <c r="J2738">
        <v>47</v>
      </c>
      <c r="K2738">
        <v>416</v>
      </c>
      <c r="L2738">
        <v>442</v>
      </c>
      <c r="M2738">
        <v>12.85714286</v>
      </c>
      <c r="N2738">
        <f>IFERROR(VLOOKUP(A2738,vlookup_table!$A:$G,2,FALSE),"")</f>
        <v>0</v>
      </c>
      <c r="O2738">
        <f>IFERROR(VLOOKUP(A2738,vlookup_table!$A:$G,4,FALSE),"")</f>
        <v>6203</v>
      </c>
      <c r="P2738" t="str">
        <f>IFERROR(VLOOKUP(A2738,vlookup_table!$A:$G,5,FALSE),"")</f>
        <v>U2</v>
      </c>
      <c r="Q2738">
        <f>IFERROR(VLOOKUP(A2738,vlookup_table!$A:$G,7,FALSE),"")</f>
        <v>25</v>
      </c>
      <c r="R2738">
        <f t="shared" si="168"/>
        <v>35</v>
      </c>
      <c r="S2738" t="str" cm="1">
        <f t="array" ref="S2738">IF(P2738="","",_xlfn.SWITCH(LEFT(P2738,1),"C","Ciudad","T","Pueblo","R","Rural","S","Suburbano","U","Urbano",""))</f>
        <v>Urbano</v>
      </c>
      <c r="T2738" t="str">
        <f t="shared" si="169"/>
        <v>F</v>
      </c>
      <c r="U2738" t="str">
        <f t="shared" si="170"/>
        <v>CA</v>
      </c>
      <c r="V2738" t="str">
        <f t="shared" si="171"/>
        <v>14849</v>
      </c>
    </row>
    <row r="2739" spans="1:22" x14ac:dyDescent="0.35">
      <c r="A2739">
        <v>134677</v>
      </c>
      <c r="B2739" t="s">
        <v>38</v>
      </c>
      <c r="D2739">
        <v>684</v>
      </c>
      <c r="E2739">
        <v>345</v>
      </c>
      <c r="F2739">
        <v>420</v>
      </c>
      <c r="G2739">
        <v>2</v>
      </c>
      <c r="H2739">
        <v>9317</v>
      </c>
      <c r="I2739">
        <v>1</v>
      </c>
      <c r="J2739">
        <v>74</v>
      </c>
      <c r="K2739">
        <v>359</v>
      </c>
      <c r="L2739">
        <v>397</v>
      </c>
      <c r="M2739">
        <v>5</v>
      </c>
      <c r="N2739">
        <f>IFERROR(VLOOKUP(A2739,vlookup_table!$A:$G,2,FALSE),"")</f>
        <v>28</v>
      </c>
      <c r="O2739">
        <f>IFERROR(VLOOKUP(A2739,vlookup_table!$A:$G,4,FALSE),"")</f>
        <v>0</v>
      </c>
      <c r="P2739" t="str">
        <f>IFERROR(VLOOKUP(A2739,vlookup_table!$A:$G,5,FALSE),"")</f>
        <v>T2</v>
      </c>
      <c r="Q2739">
        <f>IFERROR(VLOOKUP(A2739,vlookup_table!$A:$G,7,FALSE),"")</f>
        <v>5</v>
      </c>
      <c r="R2739">
        <f t="shared" si="168"/>
        <v>97</v>
      </c>
      <c r="S2739" t="str" cm="1">
        <f t="array" ref="S2739">IF(P2739="","",_xlfn.SWITCH(LEFT(P2739,1),"C","Ciudad","T","Pueblo","R","Rural","S","Suburbano","U","Urbano",""))</f>
        <v>Pueblo</v>
      </c>
      <c r="T2739" t="str">
        <f t="shared" si="169"/>
        <v/>
      </c>
      <c r="U2739" t="str">
        <f t="shared" si="170"/>
        <v>UT</v>
      </c>
      <c r="V2739" t="str">
        <f t="shared" si="171"/>
        <v>9317</v>
      </c>
    </row>
    <row r="2740" spans="1:22" x14ac:dyDescent="0.35">
      <c r="A2740">
        <v>149792</v>
      </c>
      <c r="B2740" t="s">
        <v>22</v>
      </c>
      <c r="C2740" t="s">
        <v>76</v>
      </c>
      <c r="D2740">
        <v>1949</v>
      </c>
      <c r="E2740">
        <v>288</v>
      </c>
      <c r="F2740">
        <v>374</v>
      </c>
      <c r="G2740">
        <v>44</v>
      </c>
      <c r="H2740">
        <v>16663</v>
      </c>
      <c r="I2740">
        <v>41</v>
      </c>
      <c r="J2740">
        <v>30</v>
      </c>
      <c r="K2740">
        <v>334</v>
      </c>
      <c r="L2740">
        <v>384</v>
      </c>
      <c r="M2740">
        <v>36.799999999999997</v>
      </c>
      <c r="N2740">
        <f>IFERROR(VLOOKUP(A2740,vlookup_table!$A:$G,2,FALSE),"")</f>
        <v>1</v>
      </c>
      <c r="O2740">
        <f>IFERROR(VLOOKUP(A2740,vlookup_table!$A:$G,4,FALSE),"")</f>
        <v>2401</v>
      </c>
      <c r="P2740">
        <f>IFERROR(VLOOKUP(A2740,vlookup_table!$A:$G,5,FALSE),"")</f>
        <v>0</v>
      </c>
      <c r="Q2740">
        <f>IFERROR(VLOOKUP(A2740,vlookup_table!$A:$G,7,FALSE),"")</f>
        <v>100</v>
      </c>
      <c r="R2740">
        <f t="shared" si="168"/>
        <v>73</v>
      </c>
      <c r="S2740" t="str" cm="1">
        <f t="array" ref="S2740">IF(P2740="","",_xlfn.SWITCH(LEFT(P2740,1),"C","Ciudad","T","Pueblo","R","Rural","S","Suburbano","U","Urbano",""))</f>
        <v/>
      </c>
      <c r="T2740" t="str">
        <f t="shared" si="169"/>
        <v>A</v>
      </c>
      <c r="U2740" t="str">
        <f t="shared" si="170"/>
        <v>CA</v>
      </c>
      <c r="V2740" t="str">
        <f t="shared" si="171"/>
        <v>16663</v>
      </c>
    </row>
    <row r="2741" spans="1:22" x14ac:dyDescent="0.35">
      <c r="A2741">
        <v>169813</v>
      </c>
      <c r="B2741" t="s">
        <v>22</v>
      </c>
      <c r="C2741" t="s">
        <v>17</v>
      </c>
      <c r="D2741">
        <v>3247</v>
      </c>
      <c r="E2741">
        <v>653</v>
      </c>
      <c r="F2741">
        <v>732</v>
      </c>
      <c r="G2741">
        <v>94</v>
      </c>
      <c r="H2741">
        <v>24693</v>
      </c>
      <c r="I2741">
        <v>5</v>
      </c>
      <c r="J2741">
        <v>63</v>
      </c>
      <c r="K2741">
        <v>666</v>
      </c>
      <c r="L2741">
        <v>722</v>
      </c>
      <c r="M2741">
        <v>11</v>
      </c>
      <c r="N2741">
        <f>IFERROR(VLOOKUP(A2741,vlookup_table!$A:$G,2,FALSE),"")</f>
        <v>0</v>
      </c>
      <c r="O2741">
        <f>IFERROR(VLOOKUP(A2741,vlookup_table!$A:$G,4,FALSE),"")</f>
        <v>5204</v>
      </c>
      <c r="P2741" t="str">
        <f>IFERROR(VLOOKUP(A2741,vlookup_table!$A:$G,5,FALSE),"")</f>
        <v>S1</v>
      </c>
      <c r="Q2741">
        <f>IFERROR(VLOOKUP(A2741,vlookup_table!$A:$G,7,FALSE),"")</f>
        <v>15</v>
      </c>
      <c r="R2741">
        <f t="shared" si="168"/>
        <v>45</v>
      </c>
      <c r="S2741" t="str" cm="1">
        <f t="array" ref="S2741">IF(P2741="","",_xlfn.SWITCH(LEFT(P2741,1),"C","Ciudad","T","Pueblo","R","Rural","S","Suburbano","U","Urbano",""))</f>
        <v>Suburbano</v>
      </c>
      <c r="T2741" t="str">
        <f t="shared" si="169"/>
        <v>F</v>
      </c>
      <c r="U2741" t="str">
        <f t="shared" si="170"/>
        <v>CA</v>
      </c>
      <c r="V2741" t="str">
        <f t="shared" si="171"/>
        <v>24693</v>
      </c>
    </row>
    <row r="2742" spans="1:22" x14ac:dyDescent="0.35">
      <c r="A2742">
        <v>135152</v>
      </c>
      <c r="B2742" t="s">
        <v>55</v>
      </c>
      <c r="C2742" t="s">
        <v>60</v>
      </c>
      <c r="D2742">
        <v>850</v>
      </c>
      <c r="E2742">
        <v>270</v>
      </c>
      <c r="F2742">
        <v>347</v>
      </c>
      <c r="G2742">
        <v>2</v>
      </c>
      <c r="H2742">
        <v>14275</v>
      </c>
      <c r="I2742">
        <v>13</v>
      </c>
      <c r="J2742">
        <v>30</v>
      </c>
      <c r="K2742">
        <v>311</v>
      </c>
      <c r="L2742">
        <v>292</v>
      </c>
      <c r="M2742">
        <v>15</v>
      </c>
      <c r="N2742">
        <f>IFERROR(VLOOKUP(A2742,vlookup_table!$A:$G,2,FALSE),"")</f>
        <v>2</v>
      </c>
      <c r="O2742">
        <f>IFERROR(VLOOKUP(A2742,vlookup_table!$A:$G,4,FALSE),"")</f>
        <v>6801</v>
      </c>
      <c r="P2742" t="str">
        <f>IFERROR(VLOOKUP(A2742,vlookup_table!$A:$G,5,FALSE),"")</f>
        <v>S2</v>
      </c>
      <c r="Q2742">
        <f>IFERROR(VLOOKUP(A2742,vlookup_table!$A:$G,7,FALSE),"")</f>
        <v>15</v>
      </c>
      <c r="R2742">
        <f t="shared" si="168"/>
        <v>29</v>
      </c>
      <c r="S2742" t="str" cm="1">
        <f t="array" ref="S2742">IF(P2742="","",_xlfn.SWITCH(LEFT(P2742,1),"C","Ciudad","T","Pueblo","R","Rural","S","Suburbano","U","Urbano",""))</f>
        <v>Suburbano</v>
      </c>
      <c r="T2742" t="str">
        <f t="shared" si="169"/>
        <v>F</v>
      </c>
      <c r="U2742" t="str">
        <f t="shared" si="170"/>
        <v>AZ</v>
      </c>
      <c r="V2742" t="str">
        <f t="shared" si="171"/>
        <v>14275</v>
      </c>
    </row>
    <row r="2743" spans="1:22" x14ac:dyDescent="0.35">
      <c r="A2743">
        <v>52593</v>
      </c>
      <c r="B2743" t="s">
        <v>68</v>
      </c>
      <c r="C2743" t="s">
        <v>17</v>
      </c>
      <c r="D2743">
        <v>524</v>
      </c>
      <c r="E2743">
        <v>244</v>
      </c>
      <c r="F2743">
        <v>300</v>
      </c>
      <c r="G2743">
        <v>0</v>
      </c>
      <c r="H2743">
        <v>10213</v>
      </c>
      <c r="I2743">
        <v>0</v>
      </c>
      <c r="J2743">
        <v>75</v>
      </c>
      <c r="K2743">
        <v>279</v>
      </c>
      <c r="L2743">
        <v>271</v>
      </c>
      <c r="M2743">
        <v>11.66666667</v>
      </c>
      <c r="N2743">
        <f>IFERROR(VLOOKUP(A2743,vlookup_table!$A:$G,2,FALSE),"")</f>
        <v>2</v>
      </c>
      <c r="O2743">
        <f>IFERROR(VLOOKUP(A2743,vlookup_table!$A:$G,4,FALSE),"")</f>
        <v>3801</v>
      </c>
      <c r="P2743" t="str">
        <f>IFERROR(VLOOKUP(A2743,vlookup_table!$A:$G,5,FALSE),"")</f>
        <v>R2</v>
      </c>
      <c r="Q2743">
        <f>IFERROR(VLOOKUP(A2743,vlookup_table!$A:$G,7,FALSE),"")</f>
        <v>22</v>
      </c>
      <c r="R2743">
        <f t="shared" si="168"/>
        <v>59</v>
      </c>
      <c r="S2743" t="str" cm="1">
        <f t="array" ref="S2743">IF(P2743="","",_xlfn.SWITCH(LEFT(P2743,1),"C","Ciudad","T","Pueblo","R","Rural","S","Suburbano","U","Urbano",""))</f>
        <v>Rural</v>
      </c>
      <c r="T2743" t="str">
        <f t="shared" si="169"/>
        <v>F</v>
      </c>
      <c r="U2743" t="str">
        <f t="shared" si="170"/>
        <v>Tennessee</v>
      </c>
      <c r="V2743" t="str">
        <f t="shared" si="171"/>
        <v>10213</v>
      </c>
    </row>
    <row r="2744" spans="1:22" x14ac:dyDescent="0.35">
      <c r="A2744">
        <v>64161</v>
      </c>
      <c r="B2744" t="s">
        <v>33</v>
      </c>
      <c r="C2744" t="s">
        <v>14</v>
      </c>
      <c r="D2744">
        <v>588</v>
      </c>
      <c r="E2744">
        <v>284</v>
      </c>
      <c r="F2744">
        <v>387</v>
      </c>
      <c r="G2744">
        <v>0</v>
      </c>
      <c r="H2744">
        <v>12127</v>
      </c>
      <c r="I2744">
        <v>0</v>
      </c>
      <c r="J2744">
        <v>84</v>
      </c>
      <c r="K2744">
        <v>353</v>
      </c>
      <c r="L2744">
        <v>360</v>
      </c>
      <c r="M2744">
        <v>9.5</v>
      </c>
      <c r="N2744">
        <f>IFERROR(VLOOKUP(A2744,vlookup_table!$A:$G,2,FALSE),"")</f>
        <v>1</v>
      </c>
      <c r="O2744">
        <f>IFERROR(VLOOKUP(A2744,vlookup_table!$A:$G,4,FALSE),"")</f>
        <v>2801</v>
      </c>
      <c r="P2744" t="str">
        <f>IFERROR(VLOOKUP(A2744,vlookup_table!$A:$G,5,FALSE),"")</f>
        <v>R2</v>
      </c>
      <c r="Q2744">
        <f>IFERROR(VLOOKUP(A2744,vlookup_table!$A:$G,7,FALSE),"")</f>
        <v>11</v>
      </c>
      <c r="R2744">
        <f t="shared" si="168"/>
        <v>69</v>
      </c>
      <c r="S2744" t="str" cm="1">
        <f t="array" ref="S2744">IF(P2744="","",_xlfn.SWITCH(LEFT(P2744,1),"C","Ciudad","T","Pueblo","R","Rural","S","Suburbano","U","Urbano",""))</f>
        <v>Rural</v>
      </c>
      <c r="T2744" t="str">
        <f t="shared" si="169"/>
        <v>M</v>
      </c>
      <c r="U2744" t="str">
        <f t="shared" si="170"/>
        <v>IN</v>
      </c>
      <c r="V2744" t="str">
        <f t="shared" si="171"/>
        <v>12127</v>
      </c>
    </row>
    <row r="2745" spans="1:22" x14ac:dyDescent="0.35">
      <c r="A2745">
        <v>116738</v>
      </c>
      <c r="B2745" t="s">
        <v>21</v>
      </c>
      <c r="C2745" t="s">
        <v>17</v>
      </c>
      <c r="D2745">
        <v>956</v>
      </c>
      <c r="E2745">
        <v>422</v>
      </c>
      <c r="F2745">
        <v>516</v>
      </c>
      <c r="G2745">
        <v>5</v>
      </c>
      <c r="H2745">
        <v>17136</v>
      </c>
      <c r="I2745">
        <v>2</v>
      </c>
      <c r="J2745">
        <v>72</v>
      </c>
      <c r="K2745">
        <v>469</v>
      </c>
      <c r="L2745">
        <v>476</v>
      </c>
      <c r="M2745">
        <v>9.75</v>
      </c>
      <c r="N2745">
        <f>IFERROR(VLOOKUP(A2745,vlookup_table!$A:$G,2,FALSE),"")</f>
        <v>0</v>
      </c>
      <c r="O2745">
        <f>IFERROR(VLOOKUP(A2745,vlookup_table!$A:$G,4,FALSE),"")</f>
        <v>6101</v>
      </c>
      <c r="P2745" t="str">
        <f>IFERROR(VLOOKUP(A2745,vlookup_table!$A:$G,5,FALSE),"")</f>
        <v>T2</v>
      </c>
      <c r="Q2745">
        <f>IFERROR(VLOOKUP(A2745,vlookup_table!$A:$G,7,FALSE),"")</f>
        <v>14</v>
      </c>
      <c r="R2745">
        <f t="shared" si="168"/>
        <v>36</v>
      </c>
      <c r="S2745" t="str" cm="1">
        <f t="array" ref="S2745">IF(P2745="","",_xlfn.SWITCH(LEFT(P2745,1),"C","Ciudad","T","Pueblo","R","Rural","S","Suburbano","U","Urbano",""))</f>
        <v>Pueblo</v>
      </c>
      <c r="T2745" t="str">
        <f t="shared" si="169"/>
        <v>F</v>
      </c>
      <c r="U2745" t="str">
        <f t="shared" si="170"/>
        <v>TX</v>
      </c>
      <c r="V2745" t="str">
        <f t="shared" si="171"/>
        <v>17136</v>
      </c>
    </row>
    <row r="2746" spans="1:22" x14ac:dyDescent="0.35">
      <c r="A2746">
        <v>56831</v>
      </c>
      <c r="B2746" t="s">
        <v>57</v>
      </c>
      <c r="C2746" t="s">
        <v>14</v>
      </c>
      <c r="D2746">
        <v>1368</v>
      </c>
      <c r="E2746">
        <v>723</v>
      </c>
      <c r="F2746">
        <v>779</v>
      </c>
      <c r="G2746">
        <v>4</v>
      </c>
      <c r="H2746">
        <v>27195</v>
      </c>
      <c r="I2746">
        <v>4</v>
      </c>
      <c r="J2746">
        <v>58</v>
      </c>
      <c r="K2746">
        <v>741</v>
      </c>
      <c r="L2746">
        <v>759</v>
      </c>
      <c r="M2746">
        <v>9.1666666669999994</v>
      </c>
      <c r="N2746">
        <f>IFERROR(VLOOKUP(A2746,vlookup_table!$A:$G,2,FALSE),"")</f>
        <v>2</v>
      </c>
      <c r="O2746">
        <f>IFERROR(VLOOKUP(A2746,vlookup_table!$A:$G,4,FALSE),"")</f>
        <v>6701</v>
      </c>
      <c r="P2746" t="str">
        <f>IFERROR(VLOOKUP(A2746,vlookup_table!$A:$G,5,FALSE),"")</f>
        <v>S1</v>
      </c>
      <c r="Q2746">
        <f>IFERROR(VLOOKUP(A2746,vlookup_table!$A:$G,7,FALSE),"")</f>
        <v>15</v>
      </c>
      <c r="R2746">
        <f t="shared" si="168"/>
        <v>30</v>
      </c>
      <c r="S2746" t="str" cm="1">
        <f t="array" ref="S2746">IF(P2746="","",_xlfn.SWITCH(LEFT(P2746,1),"C","Ciudad","T","Pueblo","R","Rural","S","Suburbano","U","Urbano",""))</f>
        <v>Suburbano</v>
      </c>
      <c r="T2746" t="str">
        <f t="shared" si="169"/>
        <v>M</v>
      </c>
      <c r="U2746" t="str">
        <f t="shared" si="170"/>
        <v>KY</v>
      </c>
      <c r="V2746" t="str">
        <f t="shared" si="171"/>
        <v>27195</v>
      </c>
    </row>
    <row r="2747" spans="1:22" x14ac:dyDescent="0.35">
      <c r="A2747">
        <v>139107</v>
      </c>
      <c r="B2747" t="s">
        <v>55</v>
      </c>
      <c r="C2747" t="s">
        <v>60</v>
      </c>
      <c r="D2747">
        <v>830</v>
      </c>
      <c r="E2747">
        <v>250</v>
      </c>
      <c r="F2747">
        <v>296</v>
      </c>
      <c r="G2747">
        <v>18</v>
      </c>
      <c r="H2747">
        <v>10544</v>
      </c>
      <c r="I2747">
        <v>2</v>
      </c>
      <c r="J2747">
        <v>12</v>
      </c>
      <c r="K2747">
        <v>260</v>
      </c>
      <c r="L2747">
        <v>278</v>
      </c>
      <c r="M2747">
        <v>52</v>
      </c>
      <c r="N2747">
        <f>IFERROR(VLOOKUP(A2747,vlookup_table!$A:$G,2,FALSE),"")</f>
        <v>0</v>
      </c>
      <c r="O2747">
        <f>IFERROR(VLOOKUP(A2747,vlookup_table!$A:$G,4,FALSE),"")</f>
        <v>3407</v>
      </c>
      <c r="P2747" t="str">
        <f>IFERROR(VLOOKUP(A2747,vlookup_table!$A:$G,5,FALSE),"")</f>
        <v>T3</v>
      </c>
      <c r="Q2747">
        <f>IFERROR(VLOOKUP(A2747,vlookup_table!$A:$G,7,FALSE),"")</f>
        <v>50</v>
      </c>
      <c r="R2747">
        <f t="shared" si="168"/>
        <v>63</v>
      </c>
      <c r="S2747" t="str" cm="1">
        <f t="array" ref="S2747">IF(P2747="","",_xlfn.SWITCH(LEFT(P2747,1),"C","Ciudad","T","Pueblo","R","Rural","S","Suburbano","U","Urbano",""))</f>
        <v>Pueblo</v>
      </c>
      <c r="T2747" t="str">
        <f t="shared" si="169"/>
        <v>F</v>
      </c>
      <c r="U2747" t="str">
        <f t="shared" si="170"/>
        <v>AZ</v>
      </c>
      <c r="V2747" t="str">
        <f t="shared" si="171"/>
        <v>10544</v>
      </c>
    </row>
    <row r="2748" spans="1:22" x14ac:dyDescent="0.35">
      <c r="A2748">
        <v>28681</v>
      </c>
      <c r="B2748" t="s">
        <v>39</v>
      </c>
      <c r="C2748" t="s">
        <v>14</v>
      </c>
      <c r="D2748">
        <v>896</v>
      </c>
      <c r="E2748">
        <v>441</v>
      </c>
      <c r="F2748">
        <v>569</v>
      </c>
      <c r="G2748">
        <v>5</v>
      </c>
      <c r="H2748">
        <v>17474</v>
      </c>
      <c r="I2748">
        <v>1</v>
      </c>
      <c r="J2748">
        <v>74</v>
      </c>
      <c r="K2748">
        <v>512</v>
      </c>
      <c r="L2748">
        <v>505</v>
      </c>
      <c r="M2748">
        <v>9.8000000000000007</v>
      </c>
      <c r="N2748">
        <f>IFERROR(VLOOKUP(A2748,vlookup_table!$A:$G,2,FALSE),"")</f>
        <v>1</v>
      </c>
      <c r="O2748">
        <f>IFERROR(VLOOKUP(A2748,vlookup_table!$A:$G,4,FALSE),"")</f>
        <v>4612</v>
      </c>
      <c r="P2748" t="str">
        <f>IFERROR(VLOOKUP(A2748,vlookup_table!$A:$G,5,FALSE),"")</f>
        <v>T1</v>
      </c>
      <c r="Q2748">
        <f>IFERROR(VLOOKUP(A2748,vlookup_table!$A:$G,7,FALSE),"")</f>
        <v>35</v>
      </c>
      <c r="R2748">
        <f t="shared" si="168"/>
        <v>51</v>
      </c>
      <c r="S2748" t="str" cm="1">
        <f t="array" ref="S2748">IF(P2748="","",_xlfn.SWITCH(LEFT(P2748,1),"C","Ciudad","T","Pueblo","R","Rural","S","Suburbano","U","Urbano",""))</f>
        <v>Pueblo</v>
      </c>
      <c r="T2748" t="str">
        <f t="shared" si="169"/>
        <v>M</v>
      </c>
      <c r="U2748" t="str">
        <f t="shared" si="170"/>
        <v>GA</v>
      </c>
      <c r="V2748" t="str">
        <f t="shared" si="171"/>
        <v>17474</v>
      </c>
    </row>
    <row r="2749" spans="1:22" x14ac:dyDescent="0.35">
      <c r="A2749">
        <v>125446</v>
      </c>
      <c r="B2749" t="s">
        <v>21</v>
      </c>
      <c r="C2749" t="s">
        <v>17</v>
      </c>
      <c r="D2749">
        <v>380</v>
      </c>
      <c r="E2749">
        <v>277</v>
      </c>
      <c r="F2749">
        <v>349</v>
      </c>
      <c r="G2749">
        <v>0</v>
      </c>
      <c r="H2749">
        <v>10379</v>
      </c>
      <c r="I2749">
        <v>5</v>
      </c>
      <c r="J2749">
        <v>84</v>
      </c>
      <c r="K2749">
        <v>293</v>
      </c>
      <c r="L2749">
        <v>325</v>
      </c>
      <c r="M2749">
        <v>9.884615385</v>
      </c>
      <c r="N2749">
        <f>IFERROR(VLOOKUP(A2749,vlookup_table!$A:$G,2,FALSE),"")</f>
        <v>2</v>
      </c>
      <c r="O2749">
        <f>IFERROR(VLOOKUP(A2749,vlookup_table!$A:$G,4,FALSE),"")</f>
        <v>3801</v>
      </c>
      <c r="P2749" t="str">
        <f>IFERROR(VLOOKUP(A2749,vlookup_table!$A:$G,5,FALSE),"")</f>
        <v>S3</v>
      </c>
      <c r="Q2749">
        <f>IFERROR(VLOOKUP(A2749,vlookup_table!$A:$G,7,FALSE),"")</f>
        <v>10</v>
      </c>
      <c r="R2749">
        <f t="shared" si="168"/>
        <v>59</v>
      </c>
      <c r="S2749" t="str" cm="1">
        <f t="array" ref="S2749">IF(P2749="","",_xlfn.SWITCH(LEFT(P2749,1),"C","Ciudad","T","Pueblo","R","Rural","S","Suburbano","U","Urbano",""))</f>
        <v>Suburbano</v>
      </c>
      <c r="T2749" t="str">
        <f t="shared" si="169"/>
        <v>F</v>
      </c>
      <c r="U2749" t="str">
        <f t="shared" si="170"/>
        <v>TX</v>
      </c>
      <c r="V2749" t="str">
        <f t="shared" si="171"/>
        <v>10379</v>
      </c>
    </row>
    <row r="2750" spans="1:22" x14ac:dyDescent="0.35">
      <c r="A2750">
        <v>95151</v>
      </c>
      <c r="B2750" t="s">
        <v>16</v>
      </c>
      <c r="C2750" t="s">
        <v>17</v>
      </c>
      <c r="D2750">
        <v>302</v>
      </c>
      <c r="E2750">
        <v>202</v>
      </c>
      <c r="F2750">
        <v>304</v>
      </c>
      <c r="G2750">
        <v>0</v>
      </c>
      <c r="H2750">
        <v>9358</v>
      </c>
      <c r="I2750">
        <v>1</v>
      </c>
      <c r="J2750">
        <v>76</v>
      </c>
      <c r="K2750">
        <v>283</v>
      </c>
      <c r="L2750">
        <v>245</v>
      </c>
      <c r="M2750">
        <v>7.6666666670000003</v>
      </c>
      <c r="N2750">
        <f>IFERROR(VLOOKUP(A2750,vlookup_table!$A:$G,2,FALSE),"")</f>
        <v>0</v>
      </c>
      <c r="O2750">
        <f>IFERROR(VLOOKUP(A2750,vlookup_table!$A:$G,4,FALSE),"")</f>
        <v>4601</v>
      </c>
      <c r="P2750" t="str">
        <f>IFERROR(VLOOKUP(A2750,vlookup_table!$A:$G,5,FALSE),"")</f>
        <v>R3</v>
      </c>
      <c r="Q2750">
        <f>IFERROR(VLOOKUP(A2750,vlookup_table!$A:$G,7,FALSE),"")</f>
        <v>7</v>
      </c>
      <c r="R2750">
        <f t="shared" si="168"/>
        <v>51</v>
      </c>
      <c r="S2750" t="str" cm="1">
        <f t="array" ref="S2750">IF(P2750="","",_xlfn.SWITCH(LEFT(P2750,1),"C","Ciudad","T","Pueblo","R","Rural","S","Suburbano","U","Urbano",""))</f>
        <v>Rural</v>
      </c>
      <c r="T2750" t="str">
        <f t="shared" si="169"/>
        <v>F</v>
      </c>
      <c r="U2750" t="str">
        <f t="shared" si="170"/>
        <v>IL</v>
      </c>
      <c r="V2750" t="str">
        <f t="shared" si="171"/>
        <v>9358</v>
      </c>
    </row>
    <row r="2751" spans="1:22" x14ac:dyDescent="0.35">
      <c r="A2751">
        <v>132394</v>
      </c>
      <c r="B2751" t="s">
        <v>48</v>
      </c>
      <c r="C2751" t="s">
        <v>17</v>
      </c>
      <c r="D2751">
        <v>467</v>
      </c>
      <c r="E2751">
        <v>189</v>
      </c>
      <c r="F2751">
        <v>269</v>
      </c>
      <c r="G2751">
        <v>0</v>
      </c>
      <c r="H2751">
        <v>9668</v>
      </c>
      <c r="I2751">
        <v>1</v>
      </c>
      <c r="J2751">
        <v>44</v>
      </c>
      <c r="K2751">
        <v>231</v>
      </c>
      <c r="L2751">
        <v>237</v>
      </c>
      <c r="M2751">
        <v>7</v>
      </c>
      <c r="N2751">
        <f>IFERROR(VLOOKUP(A2751,vlookup_table!$A:$G,2,FALSE),"")</f>
        <v>2</v>
      </c>
      <c r="O2751">
        <f>IFERROR(VLOOKUP(A2751,vlookup_table!$A:$G,4,FALSE),"")</f>
        <v>1001</v>
      </c>
      <c r="P2751" t="str">
        <f>IFERROR(VLOOKUP(A2751,vlookup_table!$A:$G,5,FALSE),"")</f>
        <v>R2</v>
      </c>
      <c r="Q2751">
        <f>IFERROR(VLOOKUP(A2751,vlookup_table!$A:$G,7,FALSE),"")</f>
        <v>11</v>
      </c>
      <c r="R2751">
        <f t="shared" si="168"/>
        <v>87</v>
      </c>
      <c r="S2751" t="str" cm="1">
        <f t="array" ref="S2751">IF(P2751="","",_xlfn.SWITCH(LEFT(P2751,1),"C","Ciudad","T","Pueblo","R","Rural","S","Suburbano","U","Urbano",""))</f>
        <v>Rural</v>
      </c>
      <c r="T2751" t="str">
        <f t="shared" si="169"/>
        <v>F</v>
      </c>
      <c r="U2751" t="str">
        <f t="shared" si="170"/>
        <v>CO</v>
      </c>
      <c r="V2751" t="str">
        <f t="shared" si="171"/>
        <v>9668</v>
      </c>
    </row>
    <row r="2752" spans="1:22" x14ac:dyDescent="0.35">
      <c r="A2752">
        <v>151702</v>
      </c>
      <c r="B2752" t="s">
        <v>22</v>
      </c>
      <c r="C2752" t="s">
        <v>17</v>
      </c>
      <c r="D2752">
        <v>2145</v>
      </c>
      <c r="E2752">
        <v>474</v>
      </c>
      <c r="F2752">
        <v>554</v>
      </c>
      <c r="G2752">
        <v>56</v>
      </c>
      <c r="H2752">
        <v>18340</v>
      </c>
      <c r="I2752">
        <v>11</v>
      </c>
      <c r="J2752">
        <v>55</v>
      </c>
      <c r="K2752">
        <v>492</v>
      </c>
      <c r="L2752">
        <v>522</v>
      </c>
      <c r="M2752">
        <v>11.57142857</v>
      </c>
      <c r="N2752">
        <f>IFERROR(VLOOKUP(A2752,vlookup_table!$A:$G,2,FALSE),"")</f>
        <v>0</v>
      </c>
      <c r="O2752">
        <f>IFERROR(VLOOKUP(A2752,vlookup_table!$A:$G,4,FALSE),"")</f>
        <v>4305</v>
      </c>
      <c r="P2752" t="str">
        <f>IFERROR(VLOOKUP(A2752,vlookup_table!$A:$G,5,FALSE),"")</f>
        <v>T1</v>
      </c>
      <c r="Q2752">
        <f>IFERROR(VLOOKUP(A2752,vlookup_table!$A:$G,7,FALSE),"")</f>
        <v>15</v>
      </c>
      <c r="R2752">
        <f t="shared" si="168"/>
        <v>54</v>
      </c>
      <c r="S2752" t="str" cm="1">
        <f t="array" ref="S2752">IF(P2752="","",_xlfn.SWITCH(LEFT(P2752,1),"C","Ciudad","T","Pueblo","R","Rural","S","Suburbano","U","Urbano",""))</f>
        <v>Pueblo</v>
      </c>
      <c r="T2752" t="str">
        <f t="shared" si="169"/>
        <v>F</v>
      </c>
      <c r="U2752" t="str">
        <f t="shared" si="170"/>
        <v>CA</v>
      </c>
      <c r="V2752" t="str">
        <f t="shared" si="171"/>
        <v>18340</v>
      </c>
    </row>
    <row r="2753" spans="1:22" x14ac:dyDescent="0.35">
      <c r="A2753">
        <v>65668</v>
      </c>
      <c r="B2753" t="s">
        <v>29</v>
      </c>
      <c r="C2753" t="s">
        <v>17</v>
      </c>
      <c r="D2753">
        <v>404</v>
      </c>
      <c r="E2753">
        <v>180</v>
      </c>
      <c r="F2753">
        <v>257</v>
      </c>
      <c r="G2753">
        <v>0</v>
      </c>
      <c r="H2753">
        <v>8761</v>
      </c>
      <c r="I2753">
        <v>1</v>
      </c>
      <c r="J2753">
        <v>85</v>
      </c>
      <c r="K2753">
        <v>212</v>
      </c>
      <c r="L2753">
        <v>231</v>
      </c>
      <c r="M2753">
        <v>8.4</v>
      </c>
      <c r="N2753">
        <f>IFERROR(VLOOKUP(A2753,vlookup_table!$A:$G,2,FALSE),"")</f>
        <v>2</v>
      </c>
      <c r="O2753">
        <f>IFERROR(VLOOKUP(A2753,vlookup_table!$A:$G,4,FALSE),"")</f>
        <v>0</v>
      </c>
      <c r="P2753" t="str">
        <f>IFERROR(VLOOKUP(A2753,vlookup_table!$A:$G,5,FALSE),"")</f>
        <v>R3</v>
      </c>
      <c r="Q2753">
        <f>IFERROR(VLOOKUP(A2753,vlookup_table!$A:$G,7,FALSE),"")</f>
        <v>10</v>
      </c>
      <c r="R2753">
        <f t="shared" si="168"/>
        <v>97</v>
      </c>
      <c r="S2753" t="str" cm="1">
        <f t="array" ref="S2753">IF(P2753="","",_xlfn.SWITCH(LEFT(P2753,1),"C","Ciudad","T","Pueblo","R","Rural","S","Suburbano","U","Urbano",""))</f>
        <v>Rural</v>
      </c>
      <c r="T2753" t="str">
        <f t="shared" si="169"/>
        <v>F</v>
      </c>
      <c r="U2753" t="str">
        <f t="shared" si="170"/>
        <v>MI</v>
      </c>
      <c r="V2753" t="str">
        <f t="shared" si="171"/>
        <v>8761</v>
      </c>
    </row>
    <row r="2754" spans="1:22" x14ac:dyDescent="0.35">
      <c r="A2754">
        <v>167357</v>
      </c>
      <c r="B2754" t="s">
        <v>22</v>
      </c>
      <c r="C2754" t="s">
        <v>14</v>
      </c>
      <c r="D2754">
        <v>2429</v>
      </c>
      <c r="E2754">
        <v>315</v>
      </c>
      <c r="F2754">
        <v>456</v>
      </c>
      <c r="G2754">
        <v>81</v>
      </c>
      <c r="H2754">
        <v>18050</v>
      </c>
      <c r="I2754">
        <v>9</v>
      </c>
      <c r="J2754">
        <v>50</v>
      </c>
      <c r="K2754">
        <v>413</v>
      </c>
      <c r="L2754">
        <v>375</v>
      </c>
      <c r="M2754">
        <v>8.75</v>
      </c>
      <c r="N2754">
        <f>IFERROR(VLOOKUP(A2754,vlookup_table!$A:$G,2,FALSE),"")</f>
        <v>1</v>
      </c>
      <c r="O2754">
        <f>IFERROR(VLOOKUP(A2754,vlookup_table!$A:$G,4,FALSE),"")</f>
        <v>5501</v>
      </c>
      <c r="P2754" t="str">
        <f>IFERROR(VLOOKUP(A2754,vlookup_table!$A:$G,5,FALSE),"")</f>
        <v>S1</v>
      </c>
      <c r="Q2754">
        <f>IFERROR(VLOOKUP(A2754,vlookup_table!$A:$G,7,FALSE),"")</f>
        <v>12</v>
      </c>
      <c r="R2754">
        <f t="shared" ref="R2754:R2817" si="172">IF(O2754="","",97-INT(O2754/100))</f>
        <v>42</v>
      </c>
      <c r="S2754" t="str" cm="1">
        <f t="array" ref="S2754">IF(P2754="","",_xlfn.SWITCH(LEFT(P2754,1),"C","Ciudad","T","Pueblo","R","Rural","S","Suburbano","U","Urbano",""))</f>
        <v>Suburbano</v>
      </c>
      <c r="T2754" t="str">
        <f t="shared" ref="T2754:T2817" si="173">IF(C2754="","",IF(OR(UPPER(C2754)="M",UPPER(C2754)="MALE"),"M",IF(OR(UPPER(C2754)="F",UPPER(C2754)="FEMALE",UPPER(C2754)="FEAMALE"),"F",C2754)))</f>
        <v>M</v>
      </c>
      <c r="U2754" t="str">
        <f t="shared" ref="U2754:U2817" si="174">IF(OR(UPPER(B2754)="CALIFORNIA",UPPER(B2754)="CALI"),"CA",B2754)</f>
        <v>CA</v>
      </c>
      <c r="V2754" t="str">
        <f t="shared" ref="V2754:V2817" si="175">SUBSTITUTE(H2754,"@","")</f>
        <v>18050</v>
      </c>
    </row>
    <row r="2755" spans="1:22" x14ac:dyDescent="0.35">
      <c r="A2755">
        <v>117552</v>
      </c>
      <c r="B2755" t="s">
        <v>21</v>
      </c>
      <c r="C2755" t="s">
        <v>17</v>
      </c>
      <c r="D2755">
        <v>2650</v>
      </c>
      <c r="E2755">
        <v>853</v>
      </c>
      <c r="F2755">
        <v>987</v>
      </c>
      <c r="G2755">
        <v>66</v>
      </c>
      <c r="H2755">
        <v>41814</v>
      </c>
      <c r="I2755">
        <v>7</v>
      </c>
      <c r="J2755">
        <v>38</v>
      </c>
      <c r="K2755">
        <v>965</v>
      </c>
      <c r="L2755">
        <v>870</v>
      </c>
      <c r="M2755">
        <v>13.75</v>
      </c>
      <c r="N2755">
        <f>IFERROR(VLOOKUP(A2755,vlookup_table!$A:$G,2,FALSE),"")</f>
        <v>0</v>
      </c>
      <c r="O2755">
        <f>IFERROR(VLOOKUP(A2755,vlookup_table!$A:$G,4,FALSE),"")</f>
        <v>4403</v>
      </c>
      <c r="P2755" t="str">
        <f>IFERROR(VLOOKUP(A2755,vlookup_table!$A:$G,5,FALSE),"")</f>
        <v>S1</v>
      </c>
      <c r="Q2755">
        <f>IFERROR(VLOOKUP(A2755,vlookup_table!$A:$G,7,FALSE),"")</f>
        <v>20</v>
      </c>
      <c r="R2755">
        <f t="shared" si="172"/>
        <v>53</v>
      </c>
      <c r="S2755" t="str" cm="1">
        <f t="array" ref="S2755">IF(P2755="","",_xlfn.SWITCH(LEFT(P2755,1),"C","Ciudad","T","Pueblo","R","Rural","S","Suburbano","U","Urbano",""))</f>
        <v>Suburbano</v>
      </c>
      <c r="T2755" t="str">
        <f t="shared" si="173"/>
        <v>F</v>
      </c>
      <c r="U2755" t="str">
        <f t="shared" si="174"/>
        <v>TX</v>
      </c>
      <c r="V2755" t="str">
        <f t="shared" si="175"/>
        <v>41814</v>
      </c>
    </row>
    <row r="2756" spans="1:22" x14ac:dyDescent="0.35">
      <c r="A2756">
        <v>75341</v>
      </c>
      <c r="B2756" t="s">
        <v>47</v>
      </c>
      <c r="C2756" t="s">
        <v>17</v>
      </c>
      <c r="D2756">
        <v>595</v>
      </c>
      <c r="E2756">
        <v>362</v>
      </c>
      <c r="F2756">
        <v>560</v>
      </c>
      <c r="G2756">
        <v>1</v>
      </c>
      <c r="H2756">
        <v>18202</v>
      </c>
      <c r="I2756">
        <v>0</v>
      </c>
      <c r="J2756">
        <v>70</v>
      </c>
      <c r="K2756">
        <v>436</v>
      </c>
      <c r="L2756">
        <v>437</v>
      </c>
      <c r="M2756">
        <v>7</v>
      </c>
      <c r="N2756">
        <f>IFERROR(VLOOKUP(A2756,vlookup_table!$A:$G,2,FALSE),"")</f>
        <v>28</v>
      </c>
      <c r="O2756">
        <f>IFERROR(VLOOKUP(A2756,vlookup_table!$A:$G,4,FALSE),"")</f>
        <v>1403</v>
      </c>
      <c r="P2756" t="str">
        <f>IFERROR(VLOOKUP(A2756,vlookup_table!$A:$G,5,FALSE),"")</f>
        <v>T1</v>
      </c>
      <c r="Q2756">
        <f>IFERROR(VLOOKUP(A2756,vlookup_table!$A:$G,7,FALSE),"")</f>
        <v>15</v>
      </c>
      <c r="R2756">
        <f t="shared" si="172"/>
        <v>83</v>
      </c>
      <c r="S2756" t="str" cm="1">
        <f t="array" ref="S2756">IF(P2756="","",_xlfn.SWITCH(LEFT(P2756,1),"C","Ciudad","T","Pueblo","R","Rural","S","Suburbano","U","Urbano",""))</f>
        <v>Pueblo</v>
      </c>
      <c r="T2756" t="str">
        <f t="shared" si="173"/>
        <v>F</v>
      </c>
      <c r="U2756" t="str">
        <f t="shared" si="174"/>
        <v>IA</v>
      </c>
      <c r="V2756" t="str">
        <f t="shared" si="175"/>
        <v>18202</v>
      </c>
    </row>
    <row r="2757" spans="1:22" x14ac:dyDescent="0.35">
      <c r="A2757">
        <v>36774</v>
      </c>
      <c r="B2757" t="s">
        <v>13</v>
      </c>
      <c r="C2757" t="s">
        <v>14</v>
      </c>
      <c r="D2757">
        <v>902</v>
      </c>
      <c r="E2757">
        <v>435</v>
      </c>
      <c r="F2757">
        <v>508</v>
      </c>
      <c r="G2757">
        <v>0</v>
      </c>
      <c r="H2757">
        <v>16699</v>
      </c>
      <c r="I2757">
        <v>21</v>
      </c>
      <c r="J2757">
        <v>32</v>
      </c>
      <c r="K2757">
        <v>465</v>
      </c>
      <c r="L2757">
        <v>481</v>
      </c>
      <c r="M2757">
        <v>10</v>
      </c>
      <c r="N2757">
        <f>IFERROR(VLOOKUP(A2757,vlookup_table!$A:$G,2,FALSE),"")</f>
        <v>1</v>
      </c>
      <c r="O2757">
        <f>IFERROR(VLOOKUP(A2757,vlookup_table!$A:$G,4,FALSE),"")</f>
        <v>4401</v>
      </c>
      <c r="P2757" t="str">
        <f>IFERROR(VLOOKUP(A2757,vlookup_table!$A:$G,5,FALSE),"")</f>
        <v>S1</v>
      </c>
      <c r="Q2757">
        <f>IFERROR(VLOOKUP(A2757,vlookup_table!$A:$G,7,FALSE),"")</f>
        <v>21</v>
      </c>
      <c r="R2757">
        <f t="shared" si="172"/>
        <v>53</v>
      </c>
      <c r="S2757" t="str" cm="1">
        <f t="array" ref="S2757">IF(P2757="","",_xlfn.SWITCH(LEFT(P2757,1),"C","Ciudad","T","Pueblo","R","Rural","S","Suburbano","U","Urbano",""))</f>
        <v>Suburbano</v>
      </c>
      <c r="T2757" t="str">
        <f t="shared" si="173"/>
        <v>M</v>
      </c>
      <c r="U2757" t="str">
        <f t="shared" si="174"/>
        <v>FL</v>
      </c>
      <c r="V2757" t="str">
        <f t="shared" si="175"/>
        <v>16699</v>
      </c>
    </row>
    <row r="2758" spans="1:22" x14ac:dyDescent="0.35">
      <c r="A2758">
        <v>139074</v>
      </c>
      <c r="B2758" t="s">
        <v>55</v>
      </c>
      <c r="C2758" t="s">
        <v>14</v>
      </c>
      <c r="D2758">
        <v>684</v>
      </c>
      <c r="E2758">
        <v>196</v>
      </c>
      <c r="F2758">
        <v>271</v>
      </c>
      <c r="G2758">
        <v>2</v>
      </c>
      <c r="H2758">
        <v>10133</v>
      </c>
      <c r="I2758">
        <v>3</v>
      </c>
      <c r="J2758">
        <v>13</v>
      </c>
      <c r="K2758">
        <v>222</v>
      </c>
      <c r="L2758">
        <v>247</v>
      </c>
      <c r="M2758">
        <v>12.2</v>
      </c>
      <c r="N2758">
        <f>IFERROR(VLOOKUP(A2758,vlookup_table!$A:$G,2,FALSE),"")</f>
        <v>1</v>
      </c>
      <c r="O2758">
        <f>IFERROR(VLOOKUP(A2758,vlookup_table!$A:$G,4,FALSE),"")</f>
        <v>2103</v>
      </c>
      <c r="P2758" t="str">
        <f>IFERROR(VLOOKUP(A2758,vlookup_table!$A:$G,5,FALSE),"")</f>
        <v>R2</v>
      </c>
      <c r="Q2758">
        <f>IFERROR(VLOOKUP(A2758,vlookup_table!$A:$G,7,FALSE),"")</f>
        <v>20</v>
      </c>
      <c r="R2758">
        <f t="shared" si="172"/>
        <v>76</v>
      </c>
      <c r="S2758" t="str" cm="1">
        <f t="array" ref="S2758">IF(P2758="","",_xlfn.SWITCH(LEFT(P2758,1),"C","Ciudad","T","Pueblo","R","Rural","S","Suburbano","U","Urbano",""))</f>
        <v>Rural</v>
      </c>
      <c r="T2758" t="str">
        <f t="shared" si="173"/>
        <v>M</v>
      </c>
      <c r="U2758" t="str">
        <f t="shared" si="174"/>
        <v>AZ</v>
      </c>
      <c r="V2758" t="str">
        <f t="shared" si="175"/>
        <v>10133</v>
      </c>
    </row>
    <row r="2759" spans="1:22" x14ac:dyDescent="0.35">
      <c r="A2759">
        <v>58086</v>
      </c>
      <c r="B2759" t="s">
        <v>57</v>
      </c>
      <c r="C2759" t="s">
        <v>17</v>
      </c>
      <c r="D2759">
        <v>240</v>
      </c>
      <c r="E2759">
        <v>99</v>
      </c>
      <c r="F2759">
        <v>191</v>
      </c>
      <c r="G2759">
        <v>0</v>
      </c>
      <c r="H2759">
        <v>6133</v>
      </c>
      <c r="I2759">
        <v>0</v>
      </c>
      <c r="J2759">
        <v>92</v>
      </c>
      <c r="K2759">
        <v>156</v>
      </c>
      <c r="L2759">
        <v>153</v>
      </c>
      <c r="M2759">
        <v>3.2608695650000001</v>
      </c>
      <c r="N2759">
        <f>IFERROR(VLOOKUP(A2759,vlookup_table!$A:$G,2,FALSE),"")</f>
        <v>0</v>
      </c>
      <c r="O2759">
        <f>IFERROR(VLOOKUP(A2759,vlookup_table!$A:$G,4,FALSE),"")</f>
        <v>4401</v>
      </c>
      <c r="P2759" t="str">
        <f>IFERROR(VLOOKUP(A2759,vlookup_table!$A:$G,5,FALSE),"")</f>
        <v>R3</v>
      </c>
      <c r="Q2759">
        <f>IFERROR(VLOOKUP(A2759,vlookup_table!$A:$G,7,FALSE),"")</f>
        <v>4</v>
      </c>
      <c r="R2759">
        <f t="shared" si="172"/>
        <v>53</v>
      </c>
      <c r="S2759" t="str" cm="1">
        <f t="array" ref="S2759">IF(P2759="","",_xlfn.SWITCH(LEFT(P2759,1),"C","Ciudad","T","Pueblo","R","Rural","S","Suburbano","U","Urbano",""))</f>
        <v>Rural</v>
      </c>
      <c r="T2759" t="str">
        <f t="shared" si="173"/>
        <v>F</v>
      </c>
      <c r="U2759" t="str">
        <f t="shared" si="174"/>
        <v>KY</v>
      </c>
      <c r="V2759" t="str">
        <f t="shared" si="175"/>
        <v>6133</v>
      </c>
    </row>
    <row r="2760" spans="1:22" x14ac:dyDescent="0.35">
      <c r="A2760">
        <v>37637</v>
      </c>
      <c r="B2760" t="s">
        <v>13</v>
      </c>
      <c r="C2760" t="s">
        <v>17</v>
      </c>
      <c r="D2760">
        <v>1305</v>
      </c>
      <c r="E2760">
        <v>511</v>
      </c>
      <c r="F2760">
        <v>705</v>
      </c>
      <c r="G2760">
        <v>14</v>
      </c>
      <c r="H2760">
        <v>35196</v>
      </c>
      <c r="I2760">
        <v>31</v>
      </c>
      <c r="J2760">
        <v>33</v>
      </c>
      <c r="K2760">
        <v>650</v>
      </c>
      <c r="L2760">
        <v>605</v>
      </c>
      <c r="M2760">
        <v>7.5833333329999997</v>
      </c>
      <c r="N2760">
        <f>IFERROR(VLOOKUP(A2760,vlookup_table!$A:$G,2,FALSE),"")</f>
        <v>28</v>
      </c>
      <c r="O2760">
        <f>IFERROR(VLOOKUP(A2760,vlookup_table!$A:$G,4,FALSE),"")</f>
        <v>4906</v>
      </c>
      <c r="P2760" t="str">
        <f>IFERROR(VLOOKUP(A2760,vlookup_table!$A:$G,5,FALSE),"")</f>
        <v>C1</v>
      </c>
      <c r="Q2760">
        <f>IFERROR(VLOOKUP(A2760,vlookup_table!$A:$G,7,FALSE),"")</f>
        <v>10</v>
      </c>
      <c r="R2760">
        <f t="shared" si="172"/>
        <v>48</v>
      </c>
      <c r="S2760" t="str" cm="1">
        <f t="array" ref="S2760">IF(P2760="","",_xlfn.SWITCH(LEFT(P2760,1),"C","Ciudad","T","Pueblo","R","Rural","S","Suburbano","U","Urbano",""))</f>
        <v>Ciudad</v>
      </c>
      <c r="T2760" t="str">
        <f t="shared" si="173"/>
        <v>F</v>
      </c>
      <c r="U2760" t="str">
        <f t="shared" si="174"/>
        <v>FL</v>
      </c>
      <c r="V2760" t="str">
        <f t="shared" si="175"/>
        <v>35196</v>
      </c>
    </row>
    <row r="2761" spans="1:22" x14ac:dyDescent="0.35">
      <c r="A2761">
        <v>73625</v>
      </c>
      <c r="B2761" t="s">
        <v>29</v>
      </c>
      <c r="C2761" t="s">
        <v>17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8.7777777780000008</v>
      </c>
      <c r="N2761">
        <f>IFERROR(VLOOKUP(A2761,vlookup_table!$A:$G,2,FALSE),"")</f>
        <v>0</v>
      </c>
      <c r="O2761">
        <f>IFERROR(VLOOKUP(A2761,vlookup_table!$A:$G,4,FALSE),"")</f>
        <v>5806</v>
      </c>
      <c r="P2761" t="str">
        <f>IFERROR(VLOOKUP(A2761,vlookup_table!$A:$G,5,FALSE),"")</f>
        <v>U4</v>
      </c>
      <c r="Q2761">
        <f>IFERROR(VLOOKUP(A2761,vlookup_table!$A:$G,7,FALSE),"")</f>
        <v>10</v>
      </c>
      <c r="R2761">
        <f t="shared" si="172"/>
        <v>39</v>
      </c>
      <c r="S2761" t="str" cm="1">
        <f t="array" ref="S2761">IF(P2761="","",_xlfn.SWITCH(LEFT(P2761,1),"C","Ciudad","T","Pueblo","R","Rural","S","Suburbano","U","Urbano",""))</f>
        <v>Urbano</v>
      </c>
      <c r="T2761" t="str">
        <f t="shared" si="173"/>
        <v>F</v>
      </c>
      <c r="U2761" t="str">
        <f t="shared" si="174"/>
        <v>MI</v>
      </c>
      <c r="V2761" t="str">
        <f t="shared" si="175"/>
        <v>0</v>
      </c>
    </row>
    <row r="2762" spans="1:22" x14ac:dyDescent="0.35">
      <c r="A2762">
        <v>77845</v>
      </c>
      <c r="B2762" t="s">
        <v>35</v>
      </c>
      <c r="C2762" t="s">
        <v>17</v>
      </c>
      <c r="D2762">
        <v>1117</v>
      </c>
      <c r="E2762">
        <v>448</v>
      </c>
      <c r="F2762">
        <v>500</v>
      </c>
      <c r="G2762">
        <v>5</v>
      </c>
      <c r="H2762">
        <v>17807</v>
      </c>
      <c r="I2762">
        <v>4</v>
      </c>
      <c r="J2762">
        <v>63</v>
      </c>
      <c r="K2762">
        <v>478</v>
      </c>
      <c r="L2762">
        <v>467</v>
      </c>
      <c r="M2762">
        <v>12.5</v>
      </c>
      <c r="N2762">
        <f>IFERROR(VLOOKUP(A2762,vlookup_table!$A:$G,2,FALSE),"")</f>
        <v>0</v>
      </c>
      <c r="O2762">
        <f>IFERROR(VLOOKUP(A2762,vlookup_table!$A:$G,4,FALSE),"")</f>
        <v>6101</v>
      </c>
      <c r="P2762" t="str">
        <f>IFERROR(VLOOKUP(A2762,vlookup_table!$A:$G,5,FALSE),"")</f>
        <v>T2</v>
      </c>
      <c r="Q2762">
        <f>IFERROR(VLOOKUP(A2762,vlookup_table!$A:$G,7,FALSE),"")</f>
        <v>15</v>
      </c>
      <c r="R2762">
        <f t="shared" si="172"/>
        <v>36</v>
      </c>
      <c r="S2762" t="str" cm="1">
        <f t="array" ref="S2762">IF(P2762="","",_xlfn.SWITCH(LEFT(P2762,1),"C","Ciudad","T","Pueblo","R","Rural","S","Suburbano","U","Urbano",""))</f>
        <v>Pueblo</v>
      </c>
      <c r="T2762" t="str">
        <f t="shared" si="173"/>
        <v>F</v>
      </c>
      <c r="U2762" t="str">
        <f t="shared" si="174"/>
        <v>WI</v>
      </c>
      <c r="V2762" t="str">
        <f t="shared" si="175"/>
        <v>17807</v>
      </c>
    </row>
    <row r="2763" spans="1:22" x14ac:dyDescent="0.35">
      <c r="A2763">
        <v>6615</v>
      </c>
      <c r="B2763" t="s">
        <v>13</v>
      </c>
      <c r="C2763" t="s">
        <v>17</v>
      </c>
      <c r="D2763">
        <v>1701</v>
      </c>
      <c r="E2763">
        <v>355</v>
      </c>
      <c r="F2763">
        <v>615</v>
      </c>
      <c r="G2763">
        <v>39</v>
      </c>
      <c r="H2763">
        <v>25527</v>
      </c>
      <c r="I2763">
        <v>29</v>
      </c>
      <c r="J2763">
        <v>30</v>
      </c>
      <c r="K2763">
        <v>493</v>
      </c>
      <c r="L2763">
        <v>486</v>
      </c>
      <c r="M2763">
        <v>10.68421053</v>
      </c>
      <c r="N2763">
        <f>IFERROR(VLOOKUP(A2763,vlookup_table!$A:$G,2,FALSE),"")</f>
        <v>0</v>
      </c>
      <c r="O2763">
        <f>IFERROR(VLOOKUP(A2763,vlookup_table!$A:$G,4,FALSE),"")</f>
        <v>0</v>
      </c>
      <c r="P2763" t="str">
        <f>IFERROR(VLOOKUP(A2763,vlookup_table!$A:$G,5,FALSE),"")</f>
        <v>S1</v>
      </c>
      <c r="Q2763">
        <f>IFERROR(VLOOKUP(A2763,vlookup_table!$A:$G,7,FALSE),"")</f>
        <v>11</v>
      </c>
      <c r="R2763">
        <f t="shared" si="172"/>
        <v>97</v>
      </c>
      <c r="S2763" t="str" cm="1">
        <f t="array" ref="S2763">IF(P2763="","",_xlfn.SWITCH(LEFT(P2763,1),"C","Ciudad","T","Pueblo","R","Rural","S","Suburbano","U","Urbano",""))</f>
        <v>Suburbano</v>
      </c>
      <c r="T2763" t="str">
        <f t="shared" si="173"/>
        <v>F</v>
      </c>
      <c r="U2763" t="str">
        <f t="shared" si="174"/>
        <v>FL</v>
      </c>
      <c r="V2763" t="str">
        <f t="shared" si="175"/>
        <v>25527</v>
      </c>
    </row>
    <row r="2764" spans="1:22" x14ac:dyDescent="0.35">
      <c r="A2764">
        <v>35504</v>
      </c>
      <c r="B2764" t="s">
        <v>13</v>
      </c>
      <c r="C2764" t="s">
        <v>17</v>
      </c>
      <c r="D2764">
        <v>834</v>
      </c>
      <c r="E2764">
        <v>343</v>
      </c>
      <c r="F2764">
        <v>379</v>
      </c>
      <c r="G2764">
        <v>0</v>
      </c>
      <c r="H2764">
        <v>16348</v>
      </c>
      <c r="I2764">
        <v>8</v>
      </c>
      <c r="J2764">
        <v>26</v>
      </c>
      <c r="K2764">
        <v>368</v>
      </c>
      <c r="L2764">
        <v>369</v>
      </c>
      <c r="M2764">
        <v>14</v>
      </c>
      <c r="N2764">
        <f>IFERROR(VLOOKUP(A2764,vlookup_table!$A:$G,2,FALSE),"")</f>
        <v>0</v>
      </c>
      <c r="O2764">
        <f>IFERROR(VLOOKUP(A2764,vlookup_table!$A:$G,4,FALSE),"")</f>
        <v>4901</v>
      </c>
      <c r="P2764" t="str">
        <f>IFERROR(VLOOKUP(A2764,vlookup_table!$A:$G,5,FALSE),"")</f>
        <v>S2</v>
      </c>
      <c r="Q2764">
        <f>IFERROR(VLOOKUP(A2764,vlookup_table!$A:$G,7,FALSE),"")</f>
        <v>15</v>
      </c>
      <c r="R2764">
        <f t="shared" si="172"/>
        <v>48</v>
      </c>
      <c r="S2764" t="str" cm="1">
        <f t="array" ref="S2764">IF(P2764="","",_xlfn.SWITCH(LEFT(P2764,1),"C","Ciudad","T","Pueblo","R","Rural","S","Suburbano","U","Urbano",""))</f>
        <v>Suburbano</v>
      </c>
      <c r="T2764" t="str">
        <f t="shared" si="173"/>
        <v>F</v>
      </c>
      <c r="U2764" t="str">
        <f t="shared" si="174"/>
        <v>FL</v>
      </c>
      <c r="V2764" t="str">
        <f t="shared" si="175"/>
        <v>16348</v>
      </c>
    </row>
    <row r="2765" spans="1:22" x14ac:dyDescent="0.35">
      <c r="A2765">
        <v>131845</v>
      </c>
      <c r="B2765" t="s">
        <v>48</v>
      </c>
      <c r="C2765" t="s">
        <v>17</v>
      </c>
      <c r="D2765">
        <v>881</v>
      </c>
      <c r="E2765">
        <v>363</v>
      </c>
      <c r="F2765">
        <v>469</v>
      </c>
      <c r="G2765">
        <v>3</v>
      </c>
      <c r="H2765">
        <v>15179</v>
      </c>
      <c r="I2765">
        <v>5</v>
      </c>
      <c r="J2765">
        <v>29</v>
      </c>
      <c r="K2765">
        <v>412</v>
      </c>
      <c r="L2765">
        <v>428</v>
      </c>
      <c r="M2765">
        <v>9</v>
      </c>
      <c r="N2765">
        <f>IFERROR(VLOOKUP(A2765,vlookup_table!$A:$G,2,FALSE),"")</f>
        <v>2</v>
      </c>
      <c r="O2765">
        <f>IFERROR(VLOOKUP(A2765,vlookup_table!$A:$G,4,FALSE),"")</f>
        <v>4601</v>
      </c>
      <c r="P2765" t="str">
        <f>IFERROR(VLOOKUP(A2765,vlookup_table!$A:$G,5,FALSE),"")</f>
        <v>S3</v>
      </c>
      <c r="Q2765">
        <f>IFERROR(VLOOKUP(A2765,vlookup_table!$A:$G,7,FALSE),"")</f>
        <v>15</v>
      </c>
      <c r="R2765">
        <f t="shared" si="172"/>
        <v>51</v>
      </c>
      <c r="S2765" t="str" cm="1">
        <f t="array" ref="S2765">IF(P2765="","",_xlfn.SWITCH(LEFT(P2765,1),"C","Ciudad","T","Pueblo","R","Rural","S","Suburbano","U","Urbano",""))</f>
        <v>Suburbano</v>
      </c>
      <c r="T2765" t="str">
        <f t="shared" si="173"/>
        <v>F</v>
      </c>
      <c r="U2765" t="str">
        <f t="shared" si="174"/>
        <v>CO</v>
      </c>
      <c r="V2765" t="str">
        <f t="shared" si="175"/>
        <v>15179</v>
      </c>
    </row>
    <row r="2766" spans="1:22" x14ac:dyDescent="0.35">
      <c r="A2766">
        <v>189902</v>
      </c>
      <c r="B2766" t="s">
        <v>22</v>
      </c>
      <c r="C2766" t="s">
        <v>17</v>
      </c>
      <c r="D2766">
        <v>1553</v>
      </c>
      <c r="E2766">
        <v>215</v>
      </c>
      <c r="F2766">
        <v>318</v>
      </c>
      <c r="G2766">
        <v>16</v>
      </c>
      <c r="H2766">
        <v>8322</v>
      </c>
      <c r="I2766">
        <v>55</v>
      </c>
      <c r="J2766">
        <v>34</v>
      </c>
      <c r="K2766">
        <v>238</v>
      </c>
      <c r="L2766">
        <v>295</v>
      </c>
      <c r="M2766">
        <v>5.8636363640000004</v>
      </c>
      <c r="N2766">
        <f>IFERROR(VLOOKUP(A2766,vlookup_table!$A:$G,2,FALSE),"")</f>
        <v>0</v>
      </c>
      <c r="O2766">
        <f>IFERROR(VLOOKUP(A2766,vlookup_table!$A:$G,4,FALSE),"")</f>
        <v>4607</v>
      </c>
      <c r="P2766" t="str">
        <f>IFERROR(VLOOKUP(A2766,vlookup_table!$A:$G,5,FALSE),"")</f>
        <v>U4</v>
      </c>
      <c r="Q2766">
        <f>IFERROR(VLOOKUP(A2766,vlookup_table!$A:$G,7,FALSE),"")</f>
        <v>6</v>
      </c>
      <c r="R2766">
        <f t="shared" si="172"/>
        <v>51</v>
      </c>
      <c r="S2766" t="str" cm="1">
        <f t="array" ref="S2766">IF(P2766="","",_xlfn.SWITCH(LEFT(P2766,1),"C","Ciudad","T","Pueblo","R","Rural","S","Suburbano","U","Urbano",""))</f>
        <v>Urbano</v>
      </c>
      <c r="T2766" t="str">
        <f t="shared" si="173"/>
        <v>F</v>
      </c>
      <c r="U2766" t="str">
        <f t="shared" si="174"/>
        <v>CA</v>
      </c>
      <c r="V2766" t="str">
        <f t="shared" si="175"/>
        <v>8322</v>
      </c>
    </row>
    <row r="2767" spans="1:22" x14ac:dyDescent="0.35">
      <c r="A2767">
        <v>34836</v>
      </c>
      <c r="B2767" t="s">
        <v>13</v>
      </c>
      <c r="C2767" t="s">
        <v>17</v>
      </c>
      <c r="D2767">
        <v>705</v>
      </c>
      <c r="E2767">
        <v>204</v>
      </c>
      <c r="F2767">
        <v>300</v>
      </c>
      <c r="G2767">
        <v>6</v>
      </c>
      <c r="H2767">
        <v>12915</v>
      </c>
      <c r="I2767">
        <v>3</v>
      </c>
      <c r="J2767">
        <v>11</v>
      </c>
      <c r="K2767">
        <v>241</v>
      </c>
      <c r="L2767">
        <v>251</v>
      </c>
      <c r="M2767">
        <v>15.4</v>
      </c>
      <c r="N2767">
        <f>IFERROR(VLOOKUP(A2767,vlookup_table!$A:$G,2,FALSE),"")</f>
        <v>0</v>
      </c>
      <c r="O2767">
        <f>IFERROR(VLOOKUP(A2767,vlookup_table!$A:$G,4,FALSE),"")</f>
        <v>0</v>
      </c>
      <c r="P2767" t="str">
        <f>IFERROR(VLOOKUP(A2767,vlookup_table!$A:$G,5,FALSE),"")</f>
        <v>C2</v>
      </c>
      <c r="Q2767">
        <f>IFERROR(VLOOKUP(A2767,vlookup_table!$A:$G,7,FALSE),"")</f>
        <v>15</v>
      </c>
      <c r="R2767">
        <f t="shared" si="172"/>
        <v>97</v>
      </c>
      <c r="S2767" t="str" cm="1">
        <f t="array" ref="S2767">IF(P2767="","",_xlfn.SWITCH(LEFT(P2767,1),"C","Ciudad","T","Pueblo","R","Rural","S","Suburbano","U","Urbano",""))</f>
        <v>Ciudad</v>
      </c>
      <c r="T2767" t="str">
        <f t="shared" si="173"/>
        <v>F</v>
      </c>
      <c r="U2767" t="str">
        <f t="shared" si="174"/>
        <v>FL</v>
      </c>
      <c r="V2767" t="str">
        <f t="shared" si="175"/>
        <v>12915</v>
      </c>
    </row>
    <row r="2768" spans="1:22" x14ac:dyDescent="0.35">
      <c r="A2768">
        <v>123909</v>
      </c>
      <c r="B2768" t="s">
        <v>21</v>
      </c>
      <c r="C2768" t="s">
        <v>14</v>
      </c>
      <c r="D2768">
        <v>529</v>
      </c>
      <c r="E2768">
        <v>413</v>
      </c>
      <c r="F2768">
        <v>473</v>
      </c>
      <c r="G2768">
        <v>0</v>
      </c>
      <c r="H2768">
        <v>13711</v>
      </c>
      <c r="I2768">
        <v>4</v>
      </c>
      <c r="J2768">
        <v>77</v>
      </c>
      <c r="K2768">
        <v>431</v>
      </c>
      <c r="L2768">
        <v>434</v>
      </c>
      <c r="M2768">
        <v>4.6521739130000004</v>
      </c>
      <c r="N2768">
        <f>IFERROR(VLOOKUP(A2768,vlookup_table!$A:$G,2,FALSE),"")</f>
        <v>2</v>
      </c>
      <c r="O2768">
        <f>IFERROR(VLOOKUP(A2768,vlookup_table!$A:$G,4,FALSE),"")</f>
        <v>3211</v>
      </c>
      <c r="P2768" t="str">
        <f>IFERROR(VLOOKUP(A2768,vlookup_table!$A:$G,5,FALSE),"")</f>
        <v>C2</v>
      </c>
      <c r="Q2768">
        <f>IFERROR(VLOOKUP(A2768,vlookup_table!$A:$G,7,FALSE),"")</f>
        <v>5</v>
      </c>
      <c r="R2768">
        <f t="shared" si="172"/>
        <v>65</v>
      </c>
      <c r="S2768" t="str" cm="1">
        <f t="array" ref="S2768">IF(P2768="","",_xlfn.SWITCH(LEFT(P2768,1),"C","Ciudad","T","Pueblo","R","Rural","S","Suburbano","U","Urbano",""))</f>
        <v>Ciudad</v>
      </c>
      <c r="T2768" t="str">
        <f t="shared" si="173"/>
        <v>M</v>
      </c>
      <c r="U2768" t="str">
        <f t="shared" si="174"/>
        <v>TX</v>
      </c>
      <c r="V2768" t="str">
        <f t="shared" si="175"/>
        <v>13711</v>
      </c>
    </row>
    <row r="2769" spans="1:22" x14ac:dyDescent="0.35">
      <c r="A2769">
        <v>188913</v>
      </c>
      <c r="B2769" t="s">
        <v>55</v>
      </c>
      <c r="C2769" t="s">
        <v>60</v>
      </c>
      <c r="D2769">
        <v>838</v>
      </c>
      <c r="E2769">
        <v>371</v>
      </c>
      <c r="F2769">
        <v>543</v>
      </c>
      <c r="G2769">
        <v>0</v>
      </c>
      <c r="H2769">
        <v>16220</v>
      </c>
      <c r="I2769">
        <v>4</v>
      </c>
      <c r="J2769">
        <v>25</v>
      </c>
      <c r="K2769">
        <v>469</v>
      </c>
      <c r="L2769">
        <v>465</v>
      </c>
      <c r="M2769">
        <v>13.73913044</v>
      </c>
      <c r="N2769">
        <f>IFERROR(VLOOKUP(A2769,vlookup_table!$A:$G,2,FALSE),"")</f>
        <v>0</v>
      </c>
      <c r="O2769">
        <f>IFERROR(VLOOKUP(A2769,vlookup_table!$A:$G,4,FALSE),"")</f>
        <v>0</v>
      </c>
      <c r="P2769" t="str">
        <f>IFERROR(VLOOKUP(A2769,vlookup_table!$A:$G,5,FALSE),"")</f>
        <v>S2</v>
      </c>
      <c r="Q2769">
        <f>IFERROR(VLOOKUP(A2769,vlookup_table!$A:$G,7,FALSE),"")</f>
        <v>20</v>
      </c>
      <c r="R2769">
        <f t="shared" si="172"/>
        <v>97</v>
      </c>
      <c r="S2769" t="str" cm="1">
        <f t="array" ref="S2769">IF(P2769="","",_xlfn.SWITCH(LEFT(P2769,1),"C","Ciudad","T","Pueblo","R","Rural","S","Suburbano","U","Urbano",""))</f>
        <v>Suburbano</v>
      </c>
      <c r="T2769" t="str">
        <f t="shared" si="173"/>
        <v>F</v>
      </c>
      <c r="U2769" t="str">
        <f t="shared" si="174"/>
        <v>AZ</v>
      </c>
      <c r="V2769" t="str">
        <f t="shared" si="175"/>
        <v>16220</v>
      </c>
    </row>
    <row r="2770" spans="1:22" x14ac:dyDescent="0.35">
      <c r="A2770">
        <v>96426</v>
      </c>
      <c r="B2770" t="s">
        <v>16</v>
      </c>
      <c r="C2770" t="s">
        <v>14</v>
      </c>
      <c r="D2770">
        <v>720</v>
      </c>
      <c r="E2770">
        <v>420</v>
      </c>
      <c r="F2770">
        <v>487</v>
      </c>
      <c r="G2770">
        <v>2</v>
      </c>
      <c r="H2770">
        <v>15469</v>
      </c>
      <c r="I2770">
        <v>1</v>
      </c>
      <c r="J2770">
        <v>84</v>
      </c>
      <c r="K2770">
        <v>448</v>
      </c>
      <c r="L2770">
        <v>452</v>
      </c>
      <c r="M2770">
        <v>7.923076923</v>
      </c>
      <c r="N2770">
        <f>IFERROR(VLOOKUP(A2770,vlookup_table!$A:$G,2,FALSE),"")</f>
        <v>2</v>
      </c>
      <c r="O2770">
        <f>IFERROR(VLOOKUP(A2770,vlookup_table!$A:$G,4,FALSE),"")</f>
        <v>5810</v>
      </c>
      <c r="P2770" t="str">
        <f>IFERROR(VLOOKUP(A2770,vlookup_table!$A:$G,5,FALSE),"")</f>
        <v>T2</v>
      </c>
      <c r="Q2770">
        <f>IFERROR(VLOOKUP(A2770,vlookup_table!$A:$G,7,FALSE),"")</f>
        <v>10</v>
      </c>
      <c r="R2770">
        <f t="shared" si="172"/>
        <v>39</v>
      </c>
      <c r="S2770" t="str" cm="1">
        <f t="array" ref="S2770">IF(P2770="","",_xlfn.SWITCH(LEFT(P2770,1),"C","Ciudad","T","Pueblo","R","Rural","S","Suburbano","U","Urbano",""))</f>
        <v>Pueblo</v>
      </c>
      <c r="T2770" t="str">
        <f t="shared" si="173"/>
        <v>M</v>
      </c>
      <c r="U2770" t="str">
        <f t="shared" si="174"/>
        <v>IL</v>
      </c>
      <c r="V2770" t="str">
        <f t="shared" si="175"/>
        <v>15469</v>
      </c>
    </row>
    <row r="2771" spans="1:22" x14ac:dyDescent="0.35">
      <c r="A2771">
        <v>23022</v>
      </c>
      <c r="B2771" t="s">
        <v>46</v>
      </c>
      <c r="C2771" t="s">
        <v>14</v>
      </c>
      <c r="D2771">
        <v>777</v>
      </c>
      <c r="E2771">
        <v>297</v>
      </c>
      <c r="F2771">
        <v>563</v>
      </c>
      <c r="G2771">
        <v>4</v>
      </c>
      <c r="H2771">
        <v>24342</v>
      </c>
      <c r="I2771">
        <v>5</v>
      </c>
      <c r="J2771">
        <v>43</v>
      </c>
      <c r="K2771">
        <v>424</v>
      </c>
      <c r="L2771">
        <v>353</v>
      </c>
      <c r="M2771">
        <v>13.16666667</v>
      </c>
      <c r="N2771">
        <f>IFERROR(VLOOKUP(A2771,vlookup_table!$A:$G,2,FALSE),"")</f>
        <v>0</v>
      </c>
      <c r="O2771">
        <f>IFERROR(VLOOKUP(A2771,vlookup_table!$A:$G,4,FALSE),"")</f>
        <v>4604</v>
      </c>
      <c r="P2771" t="str">
        <f>IFERROR(VLOOKUP(A2771,vlookup_table!$A:$G,5,FALSE),"")</f>
        <v>S1</v>
      </c>
      <c r="Q2771">
        <f>IFERROR(VLOOKUP(A2771,vlookup_table!$A:$G,7,FALSE),"")</f>
        <v>15</v>
      </c>
      <c r="R2771">
        <f t="shared" si="172"/>
        <v>51</v>
      </c>
      <c r="S2771" t="str" cm="1">
        <f t="array" ref="S2771">IF(P2771="","",_xlfn.SWITCH(LEFT(P2771,1),"C","Ciudad","T","Pueblo","R","Rural","S","Suburbano","U","Urbano",""))</f>
        <v>Suburbano</v>
      </c>
      <c r="T2771" t="str">
        <f t="shared" si="173"/>
        <v>M</v>
      </c>
      <c r="U2771" t="str">
        <f t="shared" si="174"/>
        <v>SC</v>
      </c>
      <c r="V2771" t="str">
        <f t="shared" si="175"/>
        <v>24342</v>
      </c>
    </row>
    <row r="2772" spans="1:22" x14ac:dyDescent="0.35">
      <c r="A2772">
        <v>144099</v>
      </c>
      <c r="B2772" t="s">
        <v>22</v>
      </c>
      <c r="C2772" t="s">
        <v>17</v>
      </c>
      <c r="D2772">
        <v>5000</v>
      </c>
      <c r="E2772">
        <v>462</v>
      </c>
      <c r="F2772">
        <v>766</v>
      </c>
      <c r="G2772">
        <v>99</v>
      </c>
      <c r="H2772">
        <v>39964</v>
      </c>
      <c r="I2772">
        <v>31</v>
      </c>
      <c r="J2772">
        <v>25</v>
      </c>
      <c r="K2772">
        <v>643</v>
      </c>
      <c r="L2772">
        <v>612</v>
      </c>
      <c r="M2772">
        <v>15.5</v>
      </c>
      <c r="N2772">
        <f>IFERROR(VLOOKUP(A2772,vlookup_table!$A:$G,2,FALSE),"")</f>
        <v>28</v>
      </c>
      <c r="O2772">
        <f>IFERROR(VLOOKUP(A2772,vlookup_table!$A:$G,4,FALSE),"")</f>
        <v>5801</v>
      </c>
      <c r="P2772" t="str">
        <f>IFERROR(VLOOKUP(A2772,vlookup_table!$A:$G,5,FALSE),"")</f>
        <v>U1</v>
      </c>
      <c r="Q2772">
        <f>IFERROR(VLOOKUP(A2772,vlookup_table!$A:$G,7,FALSE),"")</f>
        <v>17</v>
      </c>
      <c r="R2772">
        <f t="shared" si="172"/>
        <v>39</v>
      </c>
      <c r="S2772" t="str" cm="1">
        <f t="array" ref="S2772">IF(P2772="","",_xlfn.SWITCH(LEFT(P2772,1),"C","Ciudad","T","Pueblo","R","Rural","S","Suburbano","U","Urbano",""))</f>
        <v>Urbano</v>
      </c>
      <c r="T2772" t="str">
        <f t="shared" si="173"/>
        <v>F</v>
      </c>
      <c r="U2772" t="str">
        <f t="shared" si="174"/>
        <v>CA</v>
      </c>
      <c r="V2772" t="str">
        <f t="shared" si="175"/>
        <v>39964</v>
      </c>
    </row>
    <row r="2773" spans="1:22" x14ac:dyDescent="0.35">
      <c r="A2773">
        <v>186965</v>
      </c>
      <c r="B2773" t="s">
        <v>28</v>
      </c>
      <c r="C2773" t="s">
        <v>17</v>
      </c>
      <c r="D2773">
        <v>271</v>
      </c>
      <c r="E2773">
        <v>202</v>
      </c>
      <c r="F2773">
        <v>289</v>
      </c>
      <c r="G2773">
        <v>0</v>
      </c>
      <c r="H2773">
        <v>9865</v>
      </c>
      <c r="I2773">
        <v>0</v>
      </c>
      <c r="J2773">
        <v>61</v>
      </c>
      <c r="K2773">
        <v>236</v>
      </c>
      <c r="L2773">
        <v>242</v>
      </c>
      <c r="M2773">
        <v>9.8666666670000005</v>
      </c>
      <c r="N2773">
        <f>IFERROR(VLOOKUP(A2773,vlookup_table!$A:$G,2,FALSE),"")</f>
        <v>0</v>
      </c>
      <c r="O2773">
        <f>IFERROR(VLOOKUP(A2773,vlookup_table!$A:$G,4,FALSE),"")</f>
        <v>3104</v>
      </c>
      <c r="P2773" t="str">
        <f>IFERROR(VLOOKUP(A2773,vlookup_table!$A:$G,5,FALSE),"")</f>
        <v>R3</v>
      </c>
      <c r="Q2773">
        <f>IFERROR(VLOOKUP(A2773,vlookup_table!$A:$G,7,FALSE),"")</f>
        <v>13</v>
      </c>
      <c r="R2773">
        <f t="shared" si="172"/>
        <v>66</v>
      </c>
      <c r="S2773" t="str" cm="1">
        <f t="array" ref="S2773">IF(P2773="","",_xlfn.SWITCH(LEFT(P2773,1),"C","Ciudad","T","Pueblo","R","Rural","S","Suburbano","U","Urbano",""))</f>
        <v>Rural</v>
      </c>
      <c r="T2773" t="str">
        <f t="shared" si="173"/>
        <v>F</v>
      </c>
      <c r="U2773" t="str">
        <f t="shared" si="174"/>
        <v>KS</v>
      </c>
      <c r="V2773" t="str">
        <f t="shared" si="175"/>
        <v>9865</v>
      </c>
    </row>
    <row r="2774" spans="1:22" x14ac:dyDescent="0.35">
      <c r="A2774">
        <v>106161</v>
      </c>
      <c r="B2774" t="s">
        <v>28</v>
      </c>
      <c r="C2774" t="s">
        <v>17</v>
      </c>
      <c r="D2774">
        <v>172</v>
      </c>
      <c r="E2774">
        <v>187</v>
      </c>
      <c r="F2774">
        <v>278</v>
      </c>
      <c r="G2774">
        <v>0</v>
      </c>
      <c r="H2774">
        <v>9821</v>
      </c>
      <c r="I2774">
        <v>0</v>
      </c>
      <c r="J2774">
        <v>84</v>
      </c>
      <c r="K2774">
        <v>252</v>
      </c>
      <c r="L2774">
        <v>229</v>
      </c>
      <c r="M2774">
        <v>4.9655172409999997</v>
      </c>
      <c r="N2774">
        <f>IFERROR(VLOOKUP(A2774,vlookup_table!$A:$G,2,FALSE),"")</f>
        <v>0</v>
      </c>
      <c r="O2774">
        <f>IFERROR(VLOOKUP(A2774,vlookup_table!$A:$G,4,FALSE),"")</f>
        <v>3203</v>
      </c>
      <c r="P2774" t="str">
        <f>IFERROR(VLOOKUP(A2774,vlookup_table!$A:$G,5,FALSE),"")</f>
        <v>R3</v>
      </c>
      <c r="Q2774">
        <f>IFERROR(VLOOKUP(A2774,vlookup_table!$A:$G,7,FALSE),"")</f>
        <v>4</v>
      </c>
      <c r="R2774">
        <f t="shared" si="172"/>
        <v>65</v>
      </c>
      <c r="S2774" t="str" cm="1">
        <f t="array" ref="S2774">IF(P2774="","",_xlfn.SWITCH(LEFT(P2774,1),"C","Ciudad","T","Pueblo","R","Rural","S","Suburbano","U","Urbano",""))</f>
        <v>Rural</v>
      </c>
      <c r="T2774" t="str">
        <f t="shared" si="173"/>
        <v>F</v>
      </c>
      <c r="U2774" t="str">
        <f t="shared" si="174"/>
        <v>KS</v>
      </c>
      <c r="V2774" t="str">
        <f t="shared" si="175"/>
        <v>9821</v>
      </c>
    </row>
    <row r="2775" spans="1:22" x14ac:dyDescent="0.35">
      <c r="A2775">
        <v>166742</v>
      </c>
      <c r="B2775" t="s">
        <v>22</v>
      </c>
      <c r="C2775" t="s">
        <v>17</v>
      </c>
      <c r="D2775">
        <v>4705</v>
      </c>
      <c r="E2775">
        <v>839</v>
      </c>
      <c r="F2775">
        <v>930</v>
      </c>
      <c r="G2775">
        <v>98</v>
      </c>
      <c r="H2775">
        <v>41201</v>
      </c>
      <c r="I2775">
        <v>14</v>
      </c>
      <c r="J2775">
        <v>47</v>
      </c>
      <c r="K2775">
        <v>858</v>
      </c>
      <c r="L2775">
        <v>904</v>
      </c>
      <c r="M2775">
        <v>9.6363636360000005</v>
      </c>
      <c r="N2775">
        <f>IFERROR(VLOOKUP(A2775,vlookup_table!$A:$G,2,FALSE),"")</f>
        <v>0</v>
      </c>
      <c r="O2775">
        <f>IFERROR(VLOOKUP(A2775,vlookup_table!$A:$G,4,FALSE),"")</f>
        <v>3610</v>
      </c>
      <c r="P2775" t="str">
        <f>IFERROR(VLOOKUP(A2775,vlookup_table!$A:$G,5,FALSE),"")</f>
        <v>C1</v>
      </c>
      <c r="Q2775">
        <f>IFERROR(VLOOKUP(A2775,vlookup_table!$A:$G,7,FALSE),"")</f>
        <v>12</v>
      </c>
      <c r="R2775">
        <f t="shared" si="172"/>
        <v>61</v>
      </c>
      <c r="S2775" t="str" cm="1">
        <f t="array" ref="S2775">IF(P2775="","",_xlfn.SWITCH(LEFT(P2775,1),"C","Ciudad","T","Pueblo","R","Rural","S","Suburbano","U","Urbano",""))</f>
        <v>Ciudad</v>
      </c>
      <c r="T2775" t="str">
        <f t="shared" si="173"/>
        <v>F</v>
      </c>
      <c r="U2775" t="str">
        <f t="shared" si="174"/>
        <v>CA</v>
      </c>
      <c r="V2775" t="str">
        <f t="shared" si="175"/>
        <v>41201</v>
      </c>
    </row>
    <row r="2776" spans="1:22" x14ac:dyDescent="0.35">
      <c r="A2776">
        <v>132145</v>
      </c>
      <c r="B2776" t="s">
        <v>48</v>
      </c>
      <c r="C2776" t="s">
        <v>14</v>
      </c>
      <c r="D2776">
        <v>589</v>
      </c>
      <c r="E2776">
        <v>200</v>
      </c>
      <c r="F2776">
        <v>298</v>
      </c>
      <c r="G2776">
        <v>1</v>
      </c>
      <c r="H2776">
        <v>11309</v>
      </c>
      <c r="I2776">
        <v>1</v>
      </c>
      <c r="J2776">
        <v>50</v>
      </c>
      <c r="K2776">
        <v>239</v>
      </c>
      <c r="L2776">
        <v>266</v>
      </c>
      <c r="M2776">
        <v>6.1428571429999996</v>
      </c>
      <c r="N2776">
        <f>IFERROR(VLOOKUP(A2776,vlookup_table!$A:$G,2,FALSE),"")</f>
        <v>0</v>
      </c>
      <c r="O2776">
        <f>IFERROR(VLOOKUP(A2776,vlookup_table!$A:$G,4,FALSE),"")</f>
        <v>0</v>
      </c>
      <c r="P2776" t="str">
        <f>IFERROR(VLOOKUP(A2776,vlookup_table!$A:$G,5,FALSE),"")</f>
        <v>R2</v>
      </c>
      <c r="Q2776">
        <f>IFERROR(VLOOKUP(A2776,vlookup_table!$A:$G,7,FALSE),"")</f>
        <v>10</v>
      </c>
      <c r="R2776">
        <f t="shared" si="172"/>
        <v>97</v>
      </c>
      <c r="S2776" t="str" cm="1">
        <f t="array" ref="S2776">IF(P2776="","",_xlfn.SWITCH(LEFT(P2776,1),"C","Ciudad","T","Pueblo","R","Rural","S","Suburbano","U","Urbano",""))</f>
        <v>Rural</v>
      </c>
      <c r="T2776" t="str">
        <f t="shared" si="173"/>
        <v>M</v>
      </c>
      <c r="U2776" t="str">
        <f t="shared" si="174"/>
        <v>CO</v>
      </c>
      <c r="V2776" t="str">
        <f t="shared" si="175"/>
        <v>11309</v>
      </c>
    </row>
    <row r="2777" spans="1:22" x14ac:dyDescent="0.35">
      <c r="A2777">
        <v>166485</v>
      </c>
      <c r="B2777" t="s">
        <v>22</v>
      </c>
      <c r="C2777" t="s">
        <v>14</v>
      </c>
      <c r="D2777">
        <v>1823</v>
      </c>
      <c r="E2777">
        <v>271</v>
      </c>
      <c r="F2777">
        <v>412</v>
      </c>
      <c r="G2777">
        <v>39</v>
      </c>
      <c r="H2777">
        <v>15867</v>
      </c>
      <c r="I2777">
        <v>10</v>
      </c>
      <c r="J2777">
        <v>41</v>
      </c>
      <c r="K2777">
        <v>366</v>
      </c>
      <c r="L2777">
        <v>344</v>
      </c>
      <c r="M2777">
        <v>20.833333329999999</v>
      </c>
      <c r="N2777">
        <f>IFERROR(VLOOKUP(A2777,vlookup_table!$A:$G,2,FALSE),"")</f>
        <v>1</v>
      </c>
      <c r="O2777">
        <f>IFERROR(VLOOKUP(A2777,vlookup_table!$A:$G,4,FALSE),"")</f>
        <v>4406</v>
      </c>
      <c r="P2777" t="str">
        <f>IFERROR(VLOOKUP(A2777,vlookup_table!$A:$G,5,FALSE),"")</f>
        <v>U1</v>
      </c>
      <c r="Q2777">
        <f>IFERROR(VLOOKUP(A2777,vlookup_table!$A:$G,7,FALSE),"")</f>
        <v>45</v>
      </c>
      <c r="R2777">
        <f t="shared" si="172"/>
        <v>53</v>
      </c>
      <c r="S2777" t="str" cm="1">
        <f t="array" ref="S2777">IF(P2777="","",_xlfn.SWITCH(LEFT(P2777,1),"C","Ciudad","T","Pueblo","R","Rural","S","Suburbano","U","Urbano",""))</f>
        <v>Urbano</v>
      </c>
      <c r="T2777" t="str">
        <f t="shared" si="173"/>
        <v>M</v>
      </c>
      <c r="U2777" t="str">
        <f t="shared" si="174"/>
        <v>CA</v>
      </c>
      <c r="V2777" t="str">
        <f t="shared" si="175"/>
        <v>15867</v>
      </c>
    </row>
    <row r="2778" spans="1:22" x14ac:dyDescent="0.35">
      <c r="A2778">
        <v>89209</v>
      </c>
      <c r="B2778" t="s">
        <v>16</v>
      </c>
      <c r="C2778" t="s">
        <v>14</v>
      </c>
      <c r="D2778">
        <v>1003</v>
      </c>
      <c r="E2778">
        <v>483</v>
      </c>
      <c r="F2778">
        <v>464</v>
      </c>
      <c r="G2778">
        <v>3</v>
      </c>
      <c r="H2778">
        <v>14992</v>
      </c>
      <c r="I2778">
        <v>3</v>
      </c>
      <c r="J2778">
        <v>64</v>
      </c>
      <c r="K2778">
        <v>484</v>
      </c>
      <c r="L2778">
        <v>481</v>
      </c>
      <c r="M2778">
        <v>6.25</v>
      </c>
      <c r="N2778">
        <f>IFERROR(VLOOKUP(A2778,vlookup_table!$A:$G,2,FALSE),"")</f>
        <v>1</v>
      </c>
      <c r="O2778">
        <f>IFERROR(VLOOKUP(A2778,vlookup_table!$A:$G,4,FALSE),"")</f>
        <v>4703</v>
      </c>
      <c r="P2778" t="str">
        <f>IFERROR(VLOOKUP(A2778,vlookup_table!$A:$G,5,FALSE),"")</f>
        <v>S2</v>
      </c>
      <c r="Q2778">
        <f>IFERROR(VLOOKUP(A2778,vlookup_table!$A:$G,7,FALSE),"")</f>
        <v>6</v>
      </c>
      <c r="R2778">
        <f t="shared" si="172"/>
        <v>50</v>
      </c>
      <c r="S2778" t="str" cm="1">
        <f t="array" ref="S2778">IF(P2778="","",_xlfn.SWITCH(LEFT(P2778,1),"C","Ciudad","T","Pueblo","R","Rural","S","Suburbano","U","Urbano",""))</f>
        <v>Suburbano</v>
      </c>
      <c r="T2778" t="str">
        <f t="shared" si="173"/>
        <v>M</v>
      </c>
      <c r="U2778" t="str">
        <f t="shared" si="174"/>
        <v>IL</v>
      </c>
      <c r="V2778" t="str">
        <f t="shared" si="175"/>
        <v>14992</v>
      </c>
    </row>
    <row r="2779" spans="1:22" x14ac:dyDescent="0.35">
      <c r="A2779">
        <v>167165</v>
      </c>
      <c r="B2779" t="s">
        <v>22</v>
      </c>
      <c r="C2779" t="s">
        <v>17</v>
      </c>
      <c r="D2779">
        <v>2600</v>
      </c>
      <c r="E2779">
        <v>345</v>
      </c>
      <c r="F2779">
        <v>503</v>
      </c>
      <c r="G2779">
        <v>85</v>
      </c>
      <c r="H2779">
        <v>18743</v>
      </c>
      <c r="I2779">
        <v>10</v>
      </c>
      <c r="J2779">
        <v>49</v>
      </c>
      <c r="K2779">
        <v>435</v>
      </c>
      <c r="L2779">
        <v>424</v>
      </c>
      <c r="M2779">
        <v>11</v>
      </c>
      <c r="N2779">
        <f>IFERROR(VLOOKUP(A2779,vlookup_table!$A:$G,2,FALSE),"")</f>
        <v>0</v>
      </c>
      <c r="O2779">
        <f>IFERROR(VLOOKUP(A2779,vlookup_table!$A:$G,4,FALSE),"")</f>
        <v>3501</v>
      </c>
      <c r="P2779" t="str">
        <f>IFERROR(VLOOKUP(A2779,vlookup_table!$A:$G,5,FALSE),"")</f>
        <v>U1</v>
      </c>
      <c r="Q2779">
        <f>IFERROR(VLOOKUP(A2779,vlookup_table!$A:$G,7,FALSE),"")</f>
        <v>16</v>
      </c>
      <c r="R2779">
        <f t="shared" si="172"/>
        <v>62</v>
      </c>
      <c r="S2779" t="str" cm="1">
        <f t="array" ref="S2779">IF(P2779="","",_xlfn.SWITCH(LEFT(P2779,1),"C","Ciudad","T","Pueblo","R","Rural","S","Suburbano","U","Urbano",""))</f>
        <v>Urbano</v>
      </c>
      <c r="T2779" t="str">
        <f t="shared" si="173"/>
        <v>F</v>
      </c>
      <c r="U2779" t="str">
        <f t="shared" si="174"/>
        <v>CA</v>
      </c>
      <c r="V2779" t="str">
        <f t="shared" si="175"/>
        <v>18743</v>
      </c>
    </row>
    <row r="2780" spans="1:22" x14ac:dyDescent="0.35">
      <c r="A2780">
        <v>162169</v>
      </c>
      <c r="B2780" t="s">
        <v>22</v>
      </c>
      <c r="C2780" t="s">
        <v>14</v>
      </c>
      <c r="D2780">
        <v>3451</v>
      </c>
      <c r="E2780">
        <v>599</v>
      </c>
      <c r="F2780">
        <v>691</v>
      </c>
      <c r="G2780">
        <v>96</v>
      </c>
      <c r="H2780">
        <v>22424</v>
      </c>
      <c r="I2780">
        <v>15</v>
      </c>
      <c r="J2780">
        <v>54</v>
      </c>
      <c r="K2780">
        <v>636</v>
      </c>
      <c r="L2780">
        <v>645</v>
      </c>
      <c r="M2780">
        <v>15</v>
      </c>
      <c r="N2780">
        <f>IFERROR(VLOOKUP(A2780,vlookup_table!$A:$G,2,FALSE),"")</f>
        <v>2</v>
      </c>
      <c r="O2780">
        <f>IFERROR(VLOOKUP(A2780,vlookup_table!$A:$G,4,FALSE),"")</f>
        <v>0</v>
      </c>
      <c r="P2780" t="str">
        <f>IFERROR(VLOOKUP(A2780,vlookup_table!$A:$G,5,FALSE),"")</f>
        <v>T1</v>
      </c>
      <c r="Q2780">
        <f>IFERROR(VLOOKUP(A2780,vlookup_table!$A:$G,7,FALSE),"")</f>
        <v>20</v>
      </c>
      <c r="R2780">
        <f t="shared" si="172"/>
        <v>97</v>
      </c>
      <c r="S2780" t="str" cm="1">
        <f t="array" ref="S2780">IF(P2780="","",_xlfn.SWITCH(LEFT(P2780,1),"C","Ciudad","T","Pueblo","R","Rural","S","Suburbano","U","Urbano",""))</f>
        <v>Pueblo</v>
      </c>
      <c r="T2780" t="str">
        <f t="shared" si="173"/>
        <v>M</v>
      </c>
      <c r="U2780" t="str">
        <f t="shared" si="174"/>
        <v>CA</v>
      </c>
      <c r="V2780" t="str">
        <f t="shared" si="175"/>
        <v>22424</v>
      </c>
    </row>
    <row r="2781" spans="1:22" x14ac:dyDescent="0.35">
      <c r="A2781">
        <v>31183</v>
      </c>
      <c r="B2781" t="s">
        <v>39</v>
      </c>
      <c r="C2781" t="s">
        <v>14</v>
      </c>
      <c r="D2781">
        <v>621</v>
      </c>
      <c r="E2781">
        <v>254</v>
      </c>
      <c r="F2781">
        <v>387</v>
      </c>
      <c r="G2781">
        <v>1</v>
      </c>
      <c r="H2781">
        <v>13234</v>
      </c>
      <c r="I2781">
        <v>2</v>
      </c>
      <c r="J2781">
        <v>82</v>
      </c>
      <c r="K2781">
        <v>374</v>
      </c>
      <c r="L2781">
        <v>315</v>
      </c>
      <c r="M2781">
        <v>9.6</v>
      </c>
      <c r="N2781">
        <f>IFERROR(VLOOKUP(A2781,vlookup_table!$A:$G,2,FALSE),"")</f>
        <v>0</v>
      </c>
      <c r="O2781">
        <f>IFERROR(VLOOKUP(A2781,vlookup_table!$A:$G,4,FALSE),"")</f>
        <v>4301</v>
      </c>
      <c r="P2781" t="str">
        <f>IFERROR(VLOOKUP(A2781,vlookup_table!$A:$G,5,FALSE),"")</f>
        <v>T2</v>
      </c>
      <c r="Q2781">
        <f>IFERROR(VLOOKUP(A2781,vlookup_table!$A:$G,7,FALSE),"")</f>
        <v>18</v>
      </c>
      <c r="R2781">
        <f t="shared" si="172"/>
        <v>54</v>
      </c>
      <c r="S2781" t="str" cm="1">
        <f t="array" ref="S2781">IF(P2781="","",_xlfn.SWITCH(LEFT(P2781,1),"C","Ciudad","T","Pueblo","R","Rural","S","Suburbano","U","Urbano",""))</f>
        <v>Pueblo</v>
      </c>
      <c r="T2781" t="str">
        <f t="shared" si="173"/>
        <v>M</v>
      </c>
      <c r="U2781" t="str">
        <f t="shared" si="174"/>
        <v>GA</v>
      </c>
      <c r="V2781" t="str">
        <f t="shared" si="175"/>
        <v>13234</v>
      </c>
    </row>
    <row r="2782" spans="1:22" x14ac:dyDescent="0.35">
      <c r="A2782">
        <v>86340</v>
      </c>
      <c r="B2782" t="s">
        <v>52</v>
      </c>
      <c r="C2782" t="s">
        <v>14</v>
      </c>
      <c r="D2782">
        <v>365</v>
      </c>
      <c r="E2782">
        <v>255</v>
      </c>
      <c r="F2782">
        <v>340</v>
      </c>
      <c r="G2782">
        <v>0</v>
      </c>
      <c r="H2782">
        <v>11180</v>
      </c>
      <c r="I2782">
        <v>1</v>
      </c>
      <c r="J2782">
        <v>77</v>
      </c>
      <c r="K2782">
        <v>309</v>
      </c>
      <c r="L2782">
        <v>287</v>
      </c>
      <c r="M2782">
        <v>6.9333333330000002</v>
      </c>
      <c r="N2782">
        <f>IFERROR(VLOOKUP(A2782,vlookup_table!$A:$G,2,FALSE),"")</f>
        <v>2</v>
      </c>
      <c r="O2782">
        <f>IFERROR(VLOOKUP(A2782,vlookup_table!$A:$G,4,FALSE),"")</f>
        <v>0</v>
      </c>
      <c r="P2782" t="str">
        <f>IFERROR(VLOOKUP(A2782,vlookup_table!$A:$G,5,FALSE),"")</f>
        <v>R2</v>
      </c>
      <c r="Q2782">
        <f>IFERROR(VLOOKUP(A2782,vlookup_table!$A:$G,7,FALSE),"")</f>
        <v>3</v>
      </c>
      <c r="R2782">
        <f t="shared" si="172"/>
        <v>97</v>
      </c>
      <c r="S2782" t="str" cm="1">
        <f t="array" ref="S2782">IF(P2782="","",_xlfn.SWITCH(LEFT(P2782,1),"C","Ciudad","T","Pueblo","R","Rural","S","Suburbano","U","Urbano",""))</f>
        <v>Rural</v>
      </c>
      <c r="T2782" t="str">
        <f t="shared" si="173"/>
        <v>M</v>
      </c>
      <c r="U2782" t="str">
        <f t="shared" si="174"/>
        <v>SD</v>
      </c>
      <c r="V2782" t="str">
        <f t="shared" si="175"/>
        <v>11180</v>
      </c>
    </row>
    <row r="2783" spans="1:22" x14ac:dyDescent="0.35">
      <c r="A2783">
        <v>45584</v>
      </c>
      <c r="B2783" t="s">
        <v>21</v>
      </c>
      <c r="C2783" t="s">
        <v>17</v>
      </c>
      <c r="D2783">
        <v>1861</v>
      </c>
      <c r="E2783">
        <v>349</v>
      </c>
      <c r="F2783">
        <v>641</v>
      </c>
      <c r="G2783">
        <v>40</v>
      </c>
      <c r="H2783">
        <v>25565</v>
      </c>
      <c r="I2783">
        <v>6</v>
      </c>
      <c r="J2783">
        <v>50</v>
      </c>
      <c r="K2783">
        <v>507</v>
      </c>
      <c r="L2783">
        <v>529</v>
      </c>
      <c r="M2783">
        <v>16.25</v>
      </c>
      <c r="N2783">
        <f>IFERROR(VLOOKUP(A2783,vlookup_table!$A:$G,2,FALSE),"")</f>
        <v>28</v>
      </c>
      <c r="O2783">
        <f>IFERROR(VLOOKUP(A2783,vlookup_table!$A:$G,4,FALSE),"")</f>
        <v>4706</v>
      </c>
      <c r="P2783" t="str">
        <f>IFERROR(VLOOKUP(A2783,vlookup_table!$A:$G,5,FALSE),"")</f>
        <v>S2</v>
      </c>
      <c r="Q2783">
        <f>IFERROR(VLOOKUP(A2783,vlookup_table!$A:$G,7,FALSE),"")</f>
        <v>25</v>
      </c>
      <c r="R2783">
        <f t="shared" si="172"/>
        <v>50</v>
      </c>
      <c r="S2783" t="str" cm="1">
        <f t="array" ref="S2783">IF(P2783="","",_xlfn.SWITCH(LEFT(P2783,1),"C","Ciudad","T","Pueblo","R","Rural","S","Suburbano","U","Urbano",""))</f>
        <v>Suburbano</v>
      </c>
      <c r="T2783" t="str">
        <f t="shared" si="173"/>
        <v>F</v>
      </c>
      <c r="U2783" t="str">
        <f t="shared" si="174"/>
        <v>TX</v>
      </c>
      <c r="V2783" t="str">
        <f t="shared" si="175"/>
        <v>25565</v>
      </c>
    </row>
    <row r="2784" spans="1:22" x14ac:dyDescent="0.35">
      <c r="A2784">
        <v>131106</v>
      </c>
      <c r="B2784" t="s">
        <v>48</v>
      </c>
      <c r="C2784" t="s">
        <v>14</v>
      </c>
      <c r="D2784">
        <v>678</v>
      </c>
      <c r="E2784">
        <v>261</v>
      </c>
      <c r="F2784">
        <v>347</v>
      </c>
      <c r="G2784">
        <v>1</v>
      </c>
      <c r="H2784">
        <v>11625</v>
      </c>
      <c r="I2784">
        <v>2</v>
      </c>
      <c r="J2784">
        <v>44</v>
      </c>
      <c r="K2784">
        <v>292</v>
      </c>
      <c r="L2784">
        <v>303</v>
      </c>
      <c r="M2784">
        <v>13.33333333</v>
      </c>
      <c r="N2784">
        <f>IFERROR(VLOOKUP(A2784,vlookup_table!$A:$G,2,FALSE),"")</f>
        <v>0</v>
      </c>
      <c r="O2784">
        <f>IFERROR(VLOOKUP(A2784,vlookup_table!$A:$G,4,FALSE),"")</f>
        <v>0</v>
      </c>
      <c r="P2784" t="str">
        <f>IFERROR(VLOOKUP(A2784,vlookup_table!$A:$G,5,FALSE),"")</f>
        <v>T2</v>
      </c>
      <c r="Q2784">
        <f>IFERROR(VLOOKUP(A2784,vlookup_table!$A:$G,7,FALSE),"")</f>
        <v>40</v>
      </c>
      <c r="R2784">
        <f t="shared" si="172"/>
        <v>97</v>
      </c>
      <c r="S2784" t="str" cm="1">
        <f t="array" ref="S2784">IF(P2784="","",_xlfn.SWITCH(LEFT(P2784,1),"C","Ciudad","T","Pueblo","R","Rural","S","Suburbano","U","Urbano",""))</f>
        <v>Pueblo</v>
      </c>
      <c r="T2784" t="str">
        <f t="shared" si="173"/>
        <v>M</v>
      </c>
      <c r="U2784" t="str">
        <f t="shared" si="174"/>
        <v>CO</v>
      </c>
      <c r="V2784" t="str">
        <f t="shared" si="175"/>
        <v>11625</v>
      </c>
    </row>
    <row r="2785" spans="1:22" x14ac:dyDescent="0.35">
      <c r="A2785">
        <v>29105</v>
      </c>
      <c r="B2785" t="s">
        <v>39</v>
      </c>
      <c r="C2785" t="s">
        <v>14</v>
      </c>
      <c r="D2785">
        <v>710</v>
      </c>
      <c r="E2785">
        <v>198</v>
      </c>
      <c r="F2785">
        <v>298</v>
      </c>
      <c r="G2785">
        <v>5</v>
      </c>
      <c r="H2785">
        <v>11679</v>
      </c>
      <c r="I2785">
        <v>1</v>
      </c>
      <c r="J2785">
        <v>63</v>
      </c>
      <c r="K2785">
        <v>242</v>
      </c>
      <c r="L2785">
        <v>260</v>
      </c>
      <c r="M2785">
        <v>6.2962962960000004</v>
      </c>
      <c r="N2785">
        <f>IFERROR(VLOOKUP(A2785,vlookup_table!$A:$G,2,FALSE),"")</f>
        <v>0</v>
      </c>
      <c r="O2785">
        <f>IFERROR(VLOOKUP(A2785,vlookup_table!$A:$G,4,FALSE),"")</f>
        <v>0</v>
      </c>
      <c r="P2785" t="str">
        <f>IFERROR(VLOOKUP(A2785,vlookup_table!$A:$G,5,FALSE),"")</f>
        <v>R2</v>
      </c>
      <c r="Q2785">
        <f>IFERROR(VLOOKUP(A2785,vlookup_table!$A:$G,7,FALSE),"")</f>
        <v>11</v>
      </c>
      <c r="R2785">
        <f t="shared" si="172"/>
        <v>97</v>
      </c>
      <c r="S2785" t="str" cm="1">
        <f t="array" ref="S2785">IF(P2785="","",_xlfn.SWITCH(LEFT(P2785,1),"C","Ciudad","T","Pueblo","R","Rural","S","Suburbano","U","Urbano",""))</f>
        <v>Rural</v>
      </c>
      <c r="T2785" t="str">
        <f t="shared" si="173"/>
        <v>M</v>
      </c>
      <c r="U2785" t="str">
        <f t="shared" si="174"/>
        <v>GA</v>
      </c>
      <c r="V2785" t="str">
        <f t="shared" si="175"/>
        <v>11679</v>
      </c>
    </row>
    <row r="2786" spans="1:22" x14ac:dyDescent="0.35">
      <c r="A2786">
        <v>123667</v>
      </c>
      <c r="B2786" t="s">
        <v>21</v>
      </c>
      <c r="C2786" t="s">
        <v>17</v>
      </c>
      <c r="D2786">
        <v>1287</v>
      </c>
      <c r="E2786">
        <v>534</v>
      </c>
      <c r="F2786">
        <v>632</v>
      </c>
      <c r="G2786">
        <v>11</v>
      </c>
      <c r="H2786">
        <v>31394</v>
      </c>
      <c r="I2786">
        <v>1</v>
      </c>
      <c r="J2786">
        <v>64</v>
      </c>
      <c r="K2786">
        <v>553</v>
      </c>
      <c r="L2786">
        <v>604</v>
      </c>
      <c r="M2786">
        <v>17.125</v>
      </c>
      <c r="N2786">
        <f>IFERROR(VLOOKUP(A2786,vlookup_table!$A:$G,2,FALSE),"")</f>
        <v>28</v>
      </c>
      <c r="O2786">
        <f>IFERROR(VLOOKUP(A2786,vlookup_table!$A:$G,4,FALSE),"")</f>
        <v>4301</v>
      </c>
      <c r="P2786" t="str">
        <f>IFERROR(VLOOKUP(A2786,vlookup_table!$A:$G,5,FALSE),"")</f>
        <v>T1</v>
      </c>
      <c r="Q2786">
        <f>IFERROR(VLOOKUP(A2786,vlookup_table!$A:$G,7,FALSE),"")</f>
        <v>15</v>
      </c>
      <c r="R2786">
        <f t="shared" si="172"/>
        <v>54</v>
      </c>
      <c r="S2786" t="str" cm="1">
        <f t="array" ref="S2786">IF(P2786="","",_xlfn.SWITCH(LEFT(P2786,1),"C","Ciudad","T","Pueblo","R","Rural","S","Suburbano","U","Urbano",""))</f>
        <v>Pueblo</v>
      </c>
      <c r="T2786" t="str">
        <f t="shared" si="173"/>
        <v>F</v>
      </c>
      <c r="U2786" t="str">
        <f t="shared" si="174"/>
        <v>TX</v>
      </c>
      <c r="V2786" t="str">
        <f t="shared" si="175"/>
        <v>31394</v>
      </c>
    </row>
    <row r="2787" spans="1:22" x14ac:dyDescent="0.35">
      <c r="A2787">
        <v>164188</v>
      </c>
      <c r="B2787" t="s">
        <v>22</v>
      </c>
      <c r="C2787" t="s">
        <v>17</v>
      </c>
      <c r="D2787">
        <v>1525</v>
      </c>
      <c r="E2787">
        <v>466</v>
      </c>
      <c r="F2787">
        <v>551</v>
      </c>
      <c r="G2787">
        <v>17</v>
      </c>
      <c r="H2787">
        <v>17484</v>
      </c>
      <c r="I2787">
        <v>12</v>
      </c>
      <c r="J2787">
        <v>65</v>
      </c>
      <c r="K2787">
        <v>483</v>
      </c>
      <c r="L2787">
        <v>522</v>
      </c>
      <c r="M2787">
        <v>9.6</v>
      </c>
      <c r="N2787">
        <f>IFERROR(VLOOKUP(A2787,vlookup_table!$A:$G,2,FALSE),"")</f>
        <v>0</v>
      </c>
      <c r="O2787">
        <f>IFERROR(VLOOKUP(A2787,vlookup_table!$A:$G,4,FALSE),"")</f>
        <v>6201</v>
      </c>
      <c r="P2787" t="str">
        <f>IFERROR(VLOOKUP(A2787,vlookup_table!$A:$G,5,FALSE),"")</f>
        <v>T1</v>
      </c>
      <c r="Q2787">
        <f>IFERROR(VLOOKUP(A2787,vlookup_table!$A:$G,7,FALSE),"")</f>
        <v>14</v>
      </c>
      <c r="R2787">
        <f t="shared" si="172"/>
        <v>35</v>
      </c>
      <c r="S2787" t="str" cm="1">
        <f t="array" ref="S2787">IF(P2787="","",_xlfn.SWITCH(LEFT(P2787,1),"C","Ciudad","T","Pueblo","R","Rural","S","Suburbano","U","Urbano",""))</f>
        <v>Pueblo</v>
      </c>
      <c r="T2787" t="str">
        <f t="shared" si="173"/>
        <v>F</v>
      </c>
      <c r="U2787" t="str">
        <f t="shared" si="174"/>
        <v>CA</v>
      </c>
      <c r="V2787" t="str">
        <f t="shared" si="175"/>
        <v>17484</v>
      </c>
    </row>
    <row r="2788" spans="1:22" x14ac:dyDescent="0.35">
      <c r="A2788">
        <v>37528</v>
      </c>
      <c r="B2788" t="s">
        <v>13</v>
      </c>
      <c r="C2788" t="s">
        <v>17</v>
      </c>
      <c r="D2788">
        <v>829</v>
      </c>
      <c r="E2788">
        <v>226</v>
      </c>
      <c r="F2788">
        <v>299</v>
      </c>
      <c r="G2788">
        <v>0</v>
      </c>
      <c r="H2788">
        <v>10281</v>
      </c>
      <c r="I2788">
        <v>79</v>
      </c>
      <c r="J2788">
        <v>14</v>
      </c>
      <c r="K2788">
        <v>244</v>
      </c>
      <c r="L2788">
        <v>270</v>
      </c>
      <c r="M2788">
        <v>6.8333333329999997</v>
      </c>
      <c r="N2788">
        <f>IFERROR(VLOOKUP(A2788,vlookup_table!$A:$G,2,FALSE),"")</f>
        <v>0</v>
      </c>
      <c r="O2788">
        <f>IFERROR(VLOOKUP(A2788,vlookup_table!$A:$G,4,FALSE),"")</f>
        <v>0</v>
      </c>
      <c r="P2788" t="str">
        <f>IFERROR(VLOOKUP(A2788,vlookup_table!$A:$G,5,FALSE),"")</f>
        <v>U3</v>
      </c>
      <c r="Q2788">
        <f>IFERROR(VLOOKUP(A2788,vlookup_table!$A:$G,7,FALSE),"")</f>
        <v>10</v>
      </c>
      <c r="R2788">
        <f t="shared" si="172"/>
        <v>97</v>
      </c>
      <c r="S2788" t="str" cm="1">
        <f t="array" ref="S2788">IF(P2788="","",_xlfn.SWITCH(LEFT(P2788,1),"C","Ciudad","T","Pueblo","R","Rural","S","Suburbano","U","Urbano",""))</f>
        <v>Urbano</v>
      </c>
      <c r="T2788" t="str">
        <f t="shared" si="173"/>
        <v>F</v>
      </c>
      <c r="U2788" t="str">
        <f t="shared" si="174"/>
        <v>FL</v>
      </c>
      <c r="V2788" t="str">
        <f t="shared" si="175"/>
        <v>10281</v>
      </c>
    </row>
    <row r="2789" spans="1:22" x14ac:dyDescent="0.35">
      <c r="A2789">
        <v>159417</v>
      </c>
      <c r="B2789" t="s">
        <v>22</v>
      </c>
      <c r="C2789" t="s">
        <v>17</v>
      </c>
      <c r="D2789">
        <v>2574</v>
      </c>
      <c r="E2789">
        <v>305</v>
      </c>
      <c r="F2789">
        <v>348</v>
      </c>
      <c r="G2789">
        <v>82</v>
      </c>
      <c r="H2789">
        <v>11908</v>
      </c>
      <c r="I2789">
        <v>30</v>
      </c>
      <c r="J2789">
        <v>48</v>
      </c>
      <c r="K2789">
        <v>308</v>
      </c>
      <c r="L2789">
        <v>338</v>
      </c>
      <c r="M2789">
        <v>13.71428571</v>
      </c>
      <c r="N2789">
        <f>IFERROR(VLOOKUP(A2789,vlookup_table!$A:$G,2,FALSE),"")</f>
        <v>0</v>
      </c>
      <c r="O2789">
        <f>IFERROR(VLOOKUP(A2789,vlookup_table!$A:$G,4,FALSE),"")</f>
        <v>5912</v>
      </c>
      <c r="P2789" t="str">
        <f>IFERROR(VLOOKUP(A2789,vlookup_table!$A:$G,5,FALSE),"")</f>
        <v>S1</v>
      </c>
      <c r="Q2789">
        <f>IFERROR(VLOOKUP(A2789,vlookup_table!$A:$G,7,FALSE),"")</f>
        <v>25</v>
      </c>
      <c r="R2789">
        <f t="shared" si="172"/>
        <v>38</v>
      </c>
      <c r="S2789" t="str" cm="1">
        <f t="array" ref="S2789">IF(P2789="","",_xlfn.SWITCH(LEFT(P2789,1),"C","Ciudad","T","Pueblo","R","Rural","S","Suburbano","U","Urbano",""))</f>
        <v>Suburbano</v>
      </c>
      <c r="T2789" t="str">
        <f t="shared" si="173"/>
        <v>F</v>
      </c>
      <c r="U2789" t="str">
        <f t="shared" si="174"/>
        <v>CA</v>
      </c>
      <c r="V2789" t="str">
        <f t="shared" si="175"/>
        <v>11908</v>
      </c>
    </row>
    <row r="2790" spans="1:22" x14ac:dyDescent="0.35">
      <c r="A2790">
        <v>181382</v>
      </c>
      <c r="B2790" t="s">
        <v>40</v>
      </c>
      <c r="C2790" t="s">
        <v>51</v>
      </c>
      <c r="D2790">
        <v>879</v>
      </c>
      <c r="E2790">
        <v>422</v>
      </c>
      <c r="F2790">
        <v>445</v>
      </c>
      <c r="G2790">
        <v>3</v>
      </c>
      <c r="H2790">
        <v>13128</v>
      </c>
      <c r="I2790">
        <v>4</v>
      </c>
      <c r="J2790">
        <v>50</v>
      </c>
      <c r="K2790">
        <v>422</v>
      </c>
      <c r="L2790">
        <v>445</v>
      </c>
      <c r="M2790">
        <v>8</v>
      </c>
      <c r="N2790">
        <f>IFERROR(VLOOKUP(A2790,vlookup_table!$A:$G,2,FALSE),"")</f>
        <v>2</v>
      </c>
      <c r="O2790">
        <f>IFERROR(VLOOKUP(A2790,vlookup_table!$A:$G,4,FALSE),"")</f>
        <v>0</v>
      </c>
      <c r="P2790" t="str">
        <f>IFERROR(VLOOKUP(A2790,vlookup_table!$A:$G,5,FALSE),"")</f>
        <v>R2</v>
      </c>
      <c r="Q2790">
        <f>IFERROR(VLOOKUP(A2790,vlookup_table!$A:$G,7,FALSE),"")</f>
        <v>12</v>
      </c>
      <c r="R2790">
        <f t="shared" si="172"/>
        <v>97</v>
      </c>
      <c r="S2790" t="str" cm="1">
        <f t="array" ref="S2790">IF(P2790="","",_xlfn.SWITCH(LEFT(P2790,1),"C","Ciudad","T","Pueblo","R","Rural","S","Suburbano","U","Urbano",""))</f>
        <v>Rural</v>
      </c>
      <c r="T2790" t="str">
        <f t="shared" si="173"/>
        <v>M</v>
      </c>
      <c r="U2790" t="str">
        <f t="shared" si="174"/>
        <v>WA</v>
      </c>
      <c r="V2790" t="str">
        <f t="shared" si="175"/>
        <v>13128</v>
      </c>
    </row>
    <row r="2791" spans="1:22" x14ac:dyDescent="0.35">
      <c r="A2791">
        <v>159358</v>
      </c>
      <c r="B2791" t="s">
        <v>22</v>
      </c>
      <c r="C2791" t="s">
        <v>14</v>
      </c>
      <c r="D2791">
        <v>3950</v>
      </c>
      <c r="E2791">
        <v>414</v>
      </c>
      <c r="F2791">
        <v>634</v>
      </c>
      <c r="G2791">
        <v>96</v>
      </c>
      <c r="H2791">
        <v>24339</v>
      </c>
      <c r="I2791">
        <v>13</v>
      </c>
      <c r="J2791">
        <v>43</v>
      </c>
      <c r="K2791">
        <v>505</v>
      </c>
      <c r="L2791">
        <v>517</v>
      </c>
      <c r="M2791">
        <v>8.0434782610000006</v>
      </c>
      <c r="N2791">
        <f>IFERROR(VLOOKUP(A2791,vlookup_table!$A:$G,2,FALSE),"")</f>
        <v>2</v>
      </c>
      <c r="O2791">
        <f>IFERROR(VLOOKUP(A2791,vlookup_table!$A:$G,4,FALSE),"")</f>
        <v>2201</v>
      </c>
      <c r="P2791" t="str">
        <f>IFERROR(VLOOKUP(A2791,vlookup_table!$A:$G,5,FALSE),"")</f>
        <v>S1</v>
      </c>
      <c r="Q2791">
        <f>IFERROR(VLOOKUP(A2791,vlookup_table!$A:$G,7,FALSE),"")</f>
        <v>10</v>
      </c>
      <c r="R2791">
        <f t="shared" si="172"/>
        <v>75</v>
      </c>
      <c r="S2791" t="str" cm="1">
        <f t="array" ref="S2791">IF(P2791="","",_xlfn.SWITCH(LEFT(P2791,1),"C","Ciudad","T","Pueblo","R","Rural","S","Suburbano","U","Urbano",""))</f>
        <v>Suburbano</v>
      </c>
      <c r="T2791" t="str">
        <f t="shared" si="173"/>
        <v>M</v>
      </c>
      <c r="U2791" t="str">
        <f t="shared" si="174"/>
        <v>CA</v>
      </c>
      <c r="V2791" t="str">
        <f t="shared" si="175"/>
        <v>24339</v>
      </c>
    </row>
    <row r="2792" spans="1:22" x14ac:dyDescent="0.35">
      <c r="A2792">
        <v>159550</v>
      </c>
      <c r="B2792" t="s">
        <v>22</v>
      </c>
      <c r="C2792" t="s">
        <v>14</v>
      </c>
      <c r="D2792">
        <v>838</v>
      </c>
      <c r="E2792">
        <v>174</v>
      </c>
      <c r="F2792">
        <v>304</v>
      </c>
      <c r="G2792">
        <v>4</v>
      </c>
      <c r="H2792">
        <v>11984</v>
      </c>
      <c r="I2792">
        <v>3</v>
      </c>
      <c r="J2792">
        <v>44</v>
      </c>
      <c r="K2792">
        <v>221</v>
      </c>
      <c r="L2792">
        <v>251</v>
      </c>
      <c r="M2792">
        <v>11.2</v>
      </c>
      <c r="N2792">
        <f>IFERROR(VLOOKUP(A2792,vlookup_table!$A:$G,2,FALSE),"")</f>
        <v>1</v>
      </c>
      <c r="O2792">
        <f>IFERROR(VLOOKUP(A2792,vlookup_table!$A:$G,4,FALSE),"")</f>
        <v>5801</v>
      </c>
      <c r="P2792" t="str">
        <f>IFERROR(VLOOKUP(A2792,vlookup_table!$A:$G,5,FALSE),"")</f>
        <v>R2</v>
      </c>
      <c r="Q2792">
        <f>IFERROR(VLOOKUP(A2792,vlookup_table!$A:$G,7,FALSE),"")</f>
        <v>10</v>
      </c>
      <c r="R2792">
        <f t="shared" si="172"/>
        <v>39</v>
      </c>
      <c r="S2792" t="str" cm="1">
        <f t="array" ref="S2792">IF(P2792="","",_xlfn.SWITCH(LEFT(P2792,1),"C","Ciudad","T","Pueblo","R","Rural","S","Suburbano","U","Urbano",""))</f>
        <v>Rural</v>
      </c>
      <c r="T2792" t="str">
        <f t="shared" si="173"/>
        <v>M</v>
      </c>
      <c r="U2792" t="str">
        <f t="shared" si="174"/>
        <v>CA</v>
      </c>
      <c r="V2792" t="str">
        <f t="shared" si="175"/>
        <v>11984</v>
      </c>
    </row>
    <row r="2793" spans="1:22" x14ac:dyDescent="0.35">
      <c r="A2793">
        <v>167396</v>
      </c>
      <c r="B2793" t="s">
        <v>22</v>
      </c>
      <c r="C2793" t="s">
        <v>14</v>
      </c>
      <c r="D2793">
        <v>4764</v>
      </c>
      <c r="E2793">
        <v>784</v>
      </c>
      <c r="F2793">
        <v>844</v>
      </c>
      <c r="G2793">
        <v>96</v>
      </c>
      <c r="H2793">
        <v>33464</v>
      </c>
      <c r="I2793">
        <v>9</v>
      </c>
      <c r="J2793">
        <v>53</v>
      </c>
      <c r="K2793">
        <v>791</v>
      </c>
      <c r="L2793">
        <v>829</v>
      </c>
      <c r="M2793">
        <v>20</v>
      </c>
      <c r="N2793">
        <f>IFERROR(VLOOKUP(A2793,vlookup_table!$A:$G,2,FALSE),"")</f>
        <v>0</v>
      </c>
      <c r="O2793">
        <f>IFERROR(VLOOKUP(A2793,vlookup_table!$A:$G,4,FALSE),"")</f>
        <v>0</v>
      </c>
      <c r="P2793" t="str">
        <f>IFERROR(VLOOKUP(A2793,vlookup_table!$A:$G,5,FALSE),"")</f>
        <v>S1</v>
      </c>
      <c r="Q2793">
        <f>IFERROR(VLOOKUP(A2793,vlookup_table!$A:$G,7,FALSE),"")</f>
        <v>20</v>
      </c>
      <c r="R2793">
        <f t="shared" si="172"/>
        <v>97</v>
      </c>
      <c r="S2793" t="str" cm="1">
        <f t="array" ref="S2793">IF(P2793="","",_xlfn.SWITCH(LEFT(P2793,1),"C","Ciudad","T","Pueblo","R","Rural","S","Suburbano","U","Urbano",""))</f>
        <v>Suburbano</v>
      </c>
      <c r="T2793" t="str">
        <f t="shared" si="173"/>
        <v>M</v>
      </c>
      <c r="U2793" t="str">
        <f t="shared" si="174"/>
        <v>CA</v>
      </c>
      <c r="V2793" t="str">
        <f t="shared" si="175"/>
        <v>33464</v>
      </c>
    </row>
    <row r="2794" spans="1:22" x14ac:dyDescent="0.35">
      <c r="A2794">
        <v>101673</v>
      </c>
      <c r="B2794" t="s">
        <v>36</v>
      </c>
      <c r="C2794" t="s">
        <v>17</v>
      </c>
      <c r="D2794">
        <v>1162</v>
      </c>
      <c r="E2794">
        <v>529</v>
      </c>
      <c r="F2794">
        <v>612</v>
      </c>
      <c r="G2794">
        <v>7</v>
      </c>
      <c r="H2794">
        <v>18860</v>
      </c>
      <c r="I2794">
        <v>4</v>
      </c>
      <c r="J2794">
        <v>60</v>
      </c>
      <c r="K2794">
        <v>560</v>
      </c>
      <c r="L2794">
        <v>571</v>
      </c>
      <c r="M2794">
        <v>10.83333333</v>
      </c>
      <c r="N2794">
        <f>IFERROR(VLOOKUP(A2794,vlookup_table!$A:$G,2,FALSE),"")</f>
        <v>0</v>
      </c>
      <c r="O2794">
        <f>IFERROR(VLOOKUP(A2794,vlookup_table!$A:$G,4,FALSE),"")</f>
        <v>5702</v>
      </c>
      <c r="P2794" t="str">
        <f>IFERROR(VLOOKUP(A2794,vlookup_table!$A:$G,5,FALSE),"")</f>
        <v>C1</v>
      </c>
      <c r="Q2794">
        <f>IFERROR(VLOOKUP(A2794,vlookup_table!$A:$G,7,FALSE),"")</f>
        <v>20</v>
      </c>
      <c r="R2794">
        <f t="shared" si="172"/>
        <v>40</v>
      </c>
      <c r="S2794" t="str" cm="1">
        <f t="array" ref="S2794">IF(P2794="","",_xlfn.SWITCH(LEFT(P2794,1),"C","Ciudad","T","Pueblo","R","Rural","S","Suburbano","U","Urbano",""))</f>
        <v>Ciudad</v>
      </c>
      <c r="T2794" t="str">
        <f t="shared" si="173"/>
        <v>F</v>
      </c>
      <c r="U2794" t="str">
        <f t="shared" si="174"/>
        <v>MO</v>
      </c>
      <c r="V2794" t="str">
        <f t="shared" si="175"/>
        <v>18860</v>
      </c>
    </row>
    <row r="2795" spans="1:22" x14ac:dyDescent="0.35">
      <c r="A2795">
        <v>132767</v>
      </c>
      <c r="B2795" t="s">
        <v>66</v>
      </c>
      <c r="C2795" t="s">
        <v>51</v>
      </c>
      <c r="D2795">
        <v>828</v>
      </c>
      <c r="E2795">
        <v>409</v>
      </c>
      <c r="F2795">
        <v>463</v>
      </c>
      <c r="G2795">
        <v>2</v>
      </c>
      <c r="H2795">
        <v>14309</v>
      </c>
      <c r="I2795">
        <v>1</v>
      </c>
      <c r="J2795">
        <v>43</v>
      </c>
      <c r="K2795">
        <v>426</v>
      </c>
      <c r="L2795">
        <v>419</v>
      </c>
      <c r="M2795">
        <v>11.66666667</v>
      </c>
      <c r="N2795">
        <f>IFERROR(VLOOKUP(A2795,vlookup_table!$A:$G,2,FALSE),"")</f>
        <v>1</v>
      </c>
      <c r="O2795">
        <f>IFERROR(VLOOKUP(A2795,vlookup_table!$A:$G,4,FALSE),"")</f>
        <v>2001</v>
      </c>
      <c r="P2795" t="str">
        <f>IFERROR(VLOOKUP(A2795,vlookup_table!$A:$G,5,FALSE),"")</f>
        <v>C1</v>
      </c>
      <c r="Q2795">
        <f>IFERROR(VLOOKUP(A2795,vlookup_table!$A:$G,7,FALSE),"")</f>
        <v>15</v>
      </c>
      <c r="R2795">
        <f t="shared" si="172"/>
        <v>77</v>
      </c>
      <c r="S2795" t="str" cm="1">
        <f t="array" ref="S2795">IF(P2795="","",_xlfn.SWITCH(LEFT(P2795,1),"C","Ciudad","T","Pueblo","R","Rural","S","Suburbano","U","Urbano",""))</f>
        <v>Ciudad</v>
      </c>
      <c r="T2795" t="str">
        <f t="shared" si="173"/>
        <v>M</v>
      </c>
      <c r="U2795" t="str">
        <f t="shared" si="174"/>
        <v>WY</v>
      </c>
      <c r="V2795" t="str">
        <f t="shared" si="175"/>
        <v>14309</v>
      </c>
    </row>
    <row r="2796" spans="1:22" x14ac:dyDescent="0.35">
      <c r="A2796">
        <v>178334</v>
      </c>
      <c r="B2796" t="s">
        <v>40</v>
      </c>
      <c r="C2796" t="s">
        <v>44</v>
      </c>
      <c r="D2796">
        <v>1338</v>
      </c>
      <c r="E2796">
        <v>418</v>
      </c>
      <c r="F2796">
        <v>460</v>
      </c>
      <c r="G2796">
        <v>1</v>
      </c>
      <c r="H2796">
        <v>15772</v>
      </c>
      <c r="I2796">
        <v>7</v>
      </c>
      <c r="J2796">
        <v>44</v>
      </c>
      <c r="K2796">
        <v>449</v>
      </c>
      <c r="L2796">
        <v>419</v>
      </c>
      <c r="M2796">
        <v>9.1666666669999994</v>
      </c>
      <c r="N2796">
        <f>IFERROR(VLOOKUP(A2796,vlookup_table!$A:$G,2,FALSE),"")</f>
        <v>0</v>
      </c>
      <c r="O2796">
        <f>IFERROR(VLOOKUP(A2796,vlookup_table!$A:$G,4,FALSE),"")</f>
        <v>2701</v>
      </c>
      <c r="P2796" t="str">
        <f>IFERROR(VLOOKUP(A2796,vlookup_table!$A:$G,5,FALSE),"")</f>
        <v>S2</v>
      </c>
      <c r="Q2796">
        <f>IFERROR(VLOOKUP(A2796,vlookup_table!$A:$G,7,FALSE),"")</f>
        <v>11</v>
      </c>
      <c r="R2796">
        <f t="shared" si="172"/>
        <v>70</v>
      </c>
      <c r="S2796" t="str" cm="1">
        <f t="array" ref="S2796">IF(P2796="","",_xlfn.SWITCH(LEFT(P2796,1),"C","Ciudad","T","Pueblo","R","Rural","S","Suburbano","U","Urbano",""))</f>
        <v>Suburbano</v>
      </c>
      <c r="T2796" t="str">
        <f t="shared" si="173"/>
        <v>J</v>
      </c>
      <c r="U2796" t="str">
        <f t="shared" si="174"/>
        <v>WA</v>
      </c>
      <c r="V2796" t="str">
        <f t="shared" si="175"/>
        <v>15772</v>
      </c>
    </row>
    <row r="2797" spans="1:22" x14ac:dyDescent="0.35">
      <c r="A2797">
        <v>109778</v>
      </c>
      <c r="B2797" t="s">
        <v>49</v>
      </c>
      <c r="C2797" t="s">
        <v>14</v>
      </c>
      <c r="D2797">
        <v>944</v>
      </c>
      <c r="E2797">
        <v>413</v>
      </c>
      <c r="F2797">
        <v>571</v>
      </c>
      <c r="G2797">
        <v>12</v>
      </c>
      <c r="H2797">
        <v>22847</v>
      </c>
      <c r="I2797">
        <v>0</v>
      </c>
      <c r="J2797">
        <v>75</v>
      </c>
      <c r="K2797">
        <v>459</v>
      </c>
      <c r="L2797">
        <v>559</v>
      </c>
      <c r="M2797">
        <v>8.8333333330000006</v>
      </c>
      <c r="N2797">
        <f>IFERROR(VLOOKUP(A2797,vlookup_table!$A:$G,2,FALSE),"")</f>
        <v>2</v>
      </c>
      <c r="O2797">
        <f>IFERROR(VLOOKUP(A2797,vlookup_table!$A:$G,4,FALSE),"")</f>
        <v>1801</v>
      </c>
      <c r="P2797" t="str">
        <f>IFERROR(VLOOKUP(A2797,vlookup_table!$A:$G,5,FALSE),"")</f>
        <v>C1</v>
      </c>
      <c r="Q2797">
        <f>IFERROR(VLOOKUP(A2797,vlookup_table!$A:$G,7,FALSE),"")</f>
        <v>10</v>
      </c>
      <c r="R2797">
        <f t="shared" si="172"/>
        <v>79</v>
      </c>
      <c r="S2797" t="str" cm="1">
        <f t="array" ref="S2797">IF(P2797="","",_xlfn.SWITCH(LEFT(P2797,1),"C","Ciudad","T","Pueblo","R","Rural","S","Suburbano","U","Urbano",""))</f>
        <v>Ciudad</v>
      </c>
      <c r="T2797" t="str">
        <f t="shared" si="173"/>
        <v>M</v>
      </c>
      <c r="U2797" t="str">
        <f t="shared" si="174"/>
        <v>LA</v>
      </c>
      <c r="V2797" t="str">
        <f t="shared" si="175"/>
        <v>22847</v>
      </c>
    </row>
    <row r="2798" spans="1:22" x14ac:dyDescent="0.35">
      <c r="A2798">
        <v>108176</v>
      </c>
      <c r="B2798" t="s">
        <v>49</v>
      </c>
      <c r="C2798" t="s">
        <v>14</v>
      </c>
      <c r="D2798">
        <v>1060</v>
      </c>
      <c r="E2798">
        <v>559</v>
      </c>
      <c r="F2798">
        <v>655</v>
      </c>
      <c r="G2798">
        <v>1</v>
      </c>
      <c r="H2798">
        <v>21036</v>
      </c>
      <c r="I2798">
        <v>3</v>
      </c>
      <c r="J2798">
        <v>62</v>
      </c>
      <c r="K2798">
        <v>572</v>
      </c>
      <c r="L2798">
        <v>637</v>
      </c>
      <c r="M2798">
        <v>7.8666666669999996</v>
      </c>
      <c r="N2798">
        <f>IFERROR(VLOOKUP(A2798,vlookup_table!$A:$G,2,FALSE),"")</f>
        <v>2</v>
      </c>
      <c r="O2798">
        <f>IFERROR(VLOOKUP(A2798,vlookup_table!$A:$G,4,FALSE),"")</f>
        <v>5611</v>
      </c>
      <c r="P2798" t="str">
        <f>IFERROR(VLOOKUP(A2798,vlookup_table!$A:$G,5,FALSE),"")</f>
        <v>T1</v>
      </c>
      <c r="Q2798">
        <f>IFERROR(VLOOKUP(A2798,vlookup_table!$A:$G,7,FALSE),"")</f>
        <v>10</v>
      </c>
      <c r="R2798">
        <f t="shared" si="172"/>
        <v>41</v>
      </c>
      <c r="S2798" t="str" cm="1">
        <f t="array" ref="S2798">IF(P2798="","",_xlfn.SWITCH(LEFT(P2798,1),"C","Ciudad","T","Pueblo","R","Rural","S","Suburbano","U","Urbano",""))</f>
        <v>Pueblo</v>
      </c>
      <c r="T2798" t="str">
        <f t="shared" si="173"/>
        <v>M</v>
      </c>
      <c r="U2798" t="str">
        <f t="shared" si="174"/>
        <v>LA</v>
      </c>
      <c r="V2798" t="str">
        <f t="shared" si="175"/>
        <v>21036</v>
      </c>
    </row>
    <row r="2799" spans="1:22" x14ac:dyDescent="0.35">
      <c r="A2799">
        <v>24949</v>
      </c>
      <c r="B2799" t="s">
        <v>46</v>
      </c>
      <c r="C2799" t="s">
        <v>14</v>
      </c>
      <c r="D2799">
        <v>482</v>
      </c>
      <c r="E2799">
        <v>273</v>
      </c>
      <c r="F2799">
        <v>326</v>
      </c>
      <c r="G2799">
        <v>0</v>
      </c>
      <c r="H2799">
        <v>10431</v>
      </c>
      <c r="I2799">
        <v>0</v>
      </c>
      <c r="J2799">
        <v>80</v>
      </c>
      <c r="K2799">
        <v>305</v>
      </c>
      <c r="L2799">
        <v>286</v>
      </c>
      <c r="M2799">
        <v>10.7</v>
      </c>
      <c r="N2799">
        <f>IFERROR(VLOOKUP(A2799,vlookup_table!$A:$G,2,FALSE),"")</f>
        <v>0</v>
      </c>
      <c r="O2799">
        <f>IFERROR(VLOOKUP(A2799,vlookup_table!$A:$G,4,FALSE),"")</f>
        <v>4601</v>
      </c>
      <c r="P2799" t="str">
        <f>IFERROR(VLOOKUP(A2799,vlookup_table!$A:$G,5,FALSE),"")</f>
        <v>R2</v>
      </c>
      <c r="Q2799">
        <f>IFERROR(VLOOKUP(A2799,vlookup_table!$A:$G,7,FALSE),"")</f>
        <v>16</v>
      </c>
      <c r="R2799">
        <f t="shared" si="172"/>
        <v>51</v>
      </c>
      <c r="S2799" t="str" cm="1">
        <f t="array" ref="S2799">IF(P2799="","",_xlfn.SWITCH(LEFT(P2799,1),"C","Ciudad","T","Pueblo","R","Rural","S","Suburbano","U","Urbano",""))</f>
        <v>Rural</v>
      </c>
      <c r="T2799" t="str">
        <f t="shared" si="173"/>
        <v>M</v>
      </c>
      <c r="U2799" t="str">
        <f t="shared" si="174"/>
        <v>SC</v>
      </c>
      <c r="V2799" t="str">
        <f t="shared" si="175"/>
        <v>10431</v>
      </c>
    </row>
    <row r="2800" spans="1:22" x14ac:dyDescent="0.35">
      <c r="A2800">
        <v>12122</v>
      </c>
      <c r="B2800" t="s">
        <v>22</v>
      </c>
      <c r="C2800" t="s">
        <v>17</v>
      </c>
      <c r="D2800">
        <v>2051</v>
      </c>
      <c r="E2800">
        <v>417</v>
      </c>
      <c r="F2800">
        <v>453</v>
      </c>
      <c r="G2800">
        <v>54</v>
      </c>
      <c r="H2800">
        <v>12747</v>
      </c>
      <c r="I2800">
        <v>23</v>
      </c>
      <c r="J2800">
        <v>58</v>
      </c>
      <c r="K2800">
        <v>416</v>
      </c>
      <c r="L2800">
        <v>454</v>
      </c>
      <c r="M2800">
        <v>23.125</v>
      </c>
      <c r="N2800">
        <f>IFERROR(VLOOKUP(A2800,vlookup_table!$A:$G,2,FALSE),"")</f>
        <v>2</v>
      </c>
      <c r="O2800">
        <f>IFERROR(VLOOKUP(A2800,vlookup_table!$A:$G,4,FALSE),"")</f>
        <v>5904</v>
      </c>
      <c r="P2800" t="str">
        <f>IFERROR(VLOOKUP(A2800,vlookup_table!$A:$G,5,FALSE),"")</f>
        <v>S2</v>
      </c>
      <c r="Q2800">
        <f>IFERROR(VLOOKUP(A2800,vlookup_table!$A:$G,7,FALSE),"")</f>
        <v>12</v>
      </c>
      <c r="R2800">
        <f t="shared" si="172"/>
        <v>38</v>
      </c>
      <c r="S2800" t="str" cm="1">
        <f t="array" ref="S2800">IF(P2800="","",_xlfn.SWITCH(LEFT(P2800,1),"C","Ciudad","T","Pueblo","R","Rural","S","Suburbano","U","Urbano",""))</f>
        <v>Suburbano</v>
      </c>
      <c r="T2800" t="str">
        <f t="shared" si="173"/>
        <v>F</v>
      </c>
      <c r="U2800" t="str">
        <f t="shared" si="174"/>
        <v>CA</v>
      </c>
      <c r="V2800" t="str">
        <f t="shared" si="175"/>
        <v>12747</v>
      </c>
    </row>
    <row r="2801" spans="1:22" x14ac:dyDescent="0.35">
      <c r="A2801">
        <v>171014</v>
      </c>
      <c r="B2801" t="s">
        <v>22</v>
      </c>
      <c r="C2801" t="s">
        <v>14</v>
      </c>
      <c r="D2801">
        <v>1264</v>
      </c>
      <c r="E2801">
        <v>403</v>
      </c>
      <c r="F2801">
        <v>457</v>
      </c>
      <c r="G2801">
        <v>15</v>
      </c>
      <c r="H2801">
        <v>12093</v>
      </c>
      <c r="I2801">
        <v>8</v>
      </c>
      <c r="J2801">
        <v>60</v>
      </c>
      <c r="K2801">
        <v>427</v>
      </c>
      <c r="L2801">
        <v>424</v>
      </c>
      <c r="M2801">
        <v>25</v>
      </c>
      <c r="N2801">
        <f>IFERROR(VLOOKUP(A2801,vlookup_table!$A:$G,2,FALSE),"")</f>
        <v>1</v>
      </c>
      <c r="O2801">
        <f>IFERROR(VLOOKUP(A2801,vlookup_table!$A:$G,4,FALSE),"")</f>
        <v>4801</v>
      </c>
      <c r="P2801" t="str">
        <f>IFERROR(VLOOKUP(A2801,vlookup_table!$A:$G,5,FALSE),"")</f>
        <v>R2</v>
      </c>
      <c r="Q2801">
        <f>IFERROR(VLOOKUP(A2801,vlookup_table!$A:$G,7,FALSE),"")</f>
        <v>25</v>
      </c>
      <c r="R2801">
        <f t="shared" si="172"/>
        <v>49</v>
      </c>
      <c r="S2801" t="str" cm="1">
        <f t="array" ref="S2801">IF(P2801="","",_xlfn.SWITCH(LEFT(P2801,1),"C","Ciudad","T","Pueblo","R","Rural","S","Suburbano","U","Urbano",""))</f>
        <v>Rural</v>
      </c>
      <c r="T2801" t="str">
        <f t="shared" si="173"/>
        <v>M</v>
      </c>
      <c r="U2801" t="str">
        <f t="shared" si="174"/>
        <v>CA</v>
      </c>
      <c r="V2801" t="str">
        <f t="shared" si="175"/>
        <v>12093</v>
      </c>
    </row>
    <row r="2802" spans="1:22" x14ac:dyDescent="0.35">
      <c r="A2802">
        <v>152822</v>
      </c>
      <c r="B2802" t="s">
        <v>22</v>
      </c>
      <c r="C2802" t="s">
        <v>17</v>
      </c>
      <c r="D2802">
        <v>1714</v>
      </c>
      <c r="E2802">
        <v>411</v>
      </c>
      <c r="F2802">
        <v>537</v>
      </c>
      <c r="G2802">
        <v>10</v>
      </c>
      <c r="H2802">
        <v>18267</v>
      </c>
      <c r="I2802">
        <v>8</v>
      </c>
      <c r="J2802">
        <v>53</v>
      </c>
      <c r="K2802">
        <v>467</v>
      </c>
      <c r="L2802">
        <v>501</v>
      </c>
      <c r="M2802">
        <v>10</v>
      </c>
      <c r="N2802">
        <f>IFERROR(VLOOKUP(A2802,vlookup_table!$A:$G,2,FALSE),"")</f>
        <v>0</v>
      </c>
      <c r="O2802">
        <f>IFERROR(VLOOKUP(A2802,vlookup_table!$A:$G,4,FALSE),"")</f>
        <v>6601</v>
      </c>
      <c r="P2802" t="str">
        <f>IFERROR(VLOOKUP(A2802,vlookup_table!$A:$G,5,FALSE),"")</f>
        <v>S2</v>
      </c>
      <c r="Q2802">
        <f>IFERROR(VLOOKUP(A2802,vlookup_table!$A:$G,7,FALSE),"")</f>
        <v>20</v>
      </c>
      <c r="R2802">
        <f t="shared" si="172"/>
        <v>31</v>
      </c>
      <c r="S2802" t="str" cm="1">
        <f t="array" ref="S2802">IF(P2802="","",_xlfn.SWITCH(LEFT(P2802,1),"C","Ciudad","T","Pueblo","R","Rural","S","Suburbano","U","Urbano",""))</f>
        <v>Suburbano</v>
      </c>
      <c r="T2802" t="str">
        <f t="shared" si="173"/>
        <v>F</v>
      </c>
      <c r="U2802" t="str">
        <f t="shared" si="174"/>
        <v>CA</v>
      </c>
      <c r="V2802" t="str">
        <f t="shared" si="175"/>
        <v>18267</v>
      </c>
    </row>
    <row r="2803" spans="1:22" x14ac:dyDescent="0.35">
      <c r="A2803">
        <v>150730</v>
      </c>
      <c r="B2803" t="s">
        <v>22</v>
      </c>
      <c r="C2803" t="s">
        <v>17</v>
      </c>
      <c r="D2803">
        <v>1502</v>
      </c>
      <c r="E2803">
        <v>317</v>
      </c>
      <c r="F2803">
        <v>413</v>
      </c>
      <c r="G2803">
        <v>4</v>
      </c>
      <c r="H2803">
        <v>16754</v>
      </c>
      <c r="I2803">
        <v>9</v>
      </c>
      <c r="J2803">
        <v>47</v>
      </c>
      <c r="K2803">
        <v>352</v>
      </c>
      <c r="L2803">
        <v>389</v>
      </c>
      <c r="M2803">
        <v>11.66666667</v>
      </c>
      <c r="N2803">
        <f>IFERROR(VLOOKUP(A2803,vlookup_table!$A:$G,2,FALSE),"")</f>
        <v>28</v>
      </c>
      <c r="O2803">
        <f>IFERROR(VLOOKUP(A2803,vlookup_table!$A:$G,4,FALSE),"")</f>
        <v>4201</v>
      </c>
      <c r="P2803" t="str">
        <f>IFERROR(VLOOKUP(A2803,vlookup_table!$A:$G,5,FALSE),"")</f>
        <v>S2</v>
      </c>
      <c r="Q2803">
        <f>IFERROR(VLOOKUP(A2803,vlookup_table!$A:$G,7,FALSE),"")</f>
        <v>2</v>
      </c>
      <c r="R2803">
        <f t="shared" si="172"/>
        <v>55</v>
      </c>
      <c r="S2803" t="str" cm="1">
        <f t="array" ref="S2803">IF(P2803="","",_xlfn.SWITCH(LEFT(P2803,1),"C","Ciudad","T","Pueblo","R","Rural","S","Suburbano","U","Urbano",""))</f>
        <v>Suburbano</v>
      </c>
      <c r="T2803" t="str">
        <f t="shared" si="173"/>
        <v>F</v>
      </c>
      <c r="U2803" t="str">
        <f t="shared" si="174"/>
        <v>CA</v>
      </c>
      <c r="V2803" t="str">
        <f t="shared" si="175"/>
        <v>16754</v>
      </c>
    </row>
    <row r="2804" spans="1:22" x14ac:dyDescent="0.35">
      <c r="A2804">
        <v>65189</v>
      </c>
      <c r="B2804" t="s">
        <v>29</v>
      </c>
      <c r="C2804" t="s">
        <v>14</v>
      </c>
      <c r="D2804">
        <v>450</v>
      </c>
      <c r="E2804">
        <v>292</v>
      </c>
      <c r="F2804">
        <v>373</v>
      </c>
      <c r="G2804">
        <v>0</v>
      </c>
      <c r="H2804">
        <v>12203</v>
      </c>
      <c r="I2804">
        <v>2</v>
      </c>
      <c r="J2804">
        <v>93</v>
      </c>
      <c r="K2804">
        <v>361</v>
      </c>
      <c r="L2804">
        <v>329</v>
      </c>
      <c r="M2804">
        <v>9.5</v>
      </c>
      <c r="N2804">
        <f>IFERROR(VLOOKUP(A2804,vlookup_table!$A:$G,2,FALSE),"")</f>
        <v>2</v>
      </c>
      <c r="O2804">
        <f>IFERROR(VLOOKUP(A2804,vlookup_table!$A:$G,4,FALSE),"")</f>
        <v>2409</v>
      </c>
      <c r="P2804" t="str">
        <f>IFERROR(VLOOKUP(A2804,vlookup_table!$A:$G,5,FALSE),"")</f>
        <v>S2</v>
      </c>
      <c r="Q2804">
        <f>IFERROR(VLOOKUP(A2804,vlookup_table!$A:$G,7,FALSE),"")</f>
        <v>13</v>
      </c>
      <c r="R2804">
        <f t="shared" si="172"/>
        <v>73</v>
      </c>
      <c r="S2804" t="str" cm="1">
        <f t="array" ref="S2804">IF(P2804="","",_xlfn.SWITCH(LEFT(P2804,1),"C","Ciudad","T","Pueblo","R","Rural","S","Suburbano","U","Urbano",""))</f>
        <v>Suburbano</v>
      </c>
      <c r="T2804" t="str">
        <f t="shared" si="173"/>
        <v>M</v>
      </c>
      <c r="U2804" t="str">
        <f t="shared" si="174"/>
        <v>MI</v>
      </c>
      <c r="V2804" t="str">
        <f t="shared" si="175"/>
        <v>12203</v>
      </c>
    </row>
    <row r="2805" spans="1:22" x14ac:dyDescent="0.35">
      <c r="A2805">
        <v>136990</v>
      </c>
      <c r="B2805" t="s">
        <v>55</v>
      </c>
      <c r="C2805" t="s">
        <v>14</v>
      </c>
      <c r="D2805">
        <v>1074</v>
      </c>
      <c r="E2805">
        <v>469</v>
      </c>
      <c r="F2805">
        <v>516</v>
      </c>
      <c r="G2805">
        <v>11</v>
      </c>
      <c r="H2805">
        <v>18042</v>
      </c>
      <c r="I2805">
        <v>2</v>
      </c>
      <c r="J2805">
        <v>34</v>
      </c>
      <c r="K2805">
        <v>472</v>
      </c>
      <c r="L2805">
        <v>510</v>
      </c>
      <c r="M2805">
        <v>6.12</v>
      </c>
      <c r="N2805">
        <f>IFERROR(VLOOKUP(A2805,vlookup_table!$A:$G,2,FALSE),"")</f>
        <v>0</v>
      </c>
      <c r="O2805">
        <f>IFERROR(VLOOKUP(A2805,vlookup_table!$A:$G,4,FALSE),"")</f>
        <v>5401</v>
      </c>
      <c r="P2805" t="str">
        <f>IFERROR(VLOOKUP(A2805,vlookup_table!$A:$G,5,FALSE),"")</f>
        <v>T1</v>
      </c>
      <c r="Q2805">
        <f>IFERROR(VLOOKUP(A2805,vlookup_table!$A:$G,7,FALSE),"")</f>
        <v>8</v>
      </c>
      <c r="R2805">
        <f t="shared" si="172"/>
        <v>43</v>
      </c>
      <c r="S2805" t="str" cm="1">
        <f t="array" ref="S2805">IF(P2805="","",_xlfn.SWITCH(LEFT(P2805,1),"C","Ciudad","T","Pueblo","R","Rural","S","Suburbano","U","Urbano",""))</f>
        <v>Pueblo</v>
      </c>
      <c r="T2805" t="str">
        <f t="shared" si="173"/>
        <v>M</v>
      </c>
      <c r="U2805" t="str">
        <f t="shared" si="174"/>
        <v>AZ</v>
      </c>
      <c r="V2805" t="str">
        <f t="shared" si="175"/>
        <v>18042</v>
      </c>
    </row>
    <row r="2806" spans="1:22" x14ac:dyDescent="0.35">
      <c r="A2806">
        <v>148143</v>
      </c>
      <c r="B2806" t="s">
        <v>22</v>
      </c>
      <c r="C2806" t="s">
        <v>17</v>
      </c>
      <c r="D2806">
        <v>3992</v>
      </c>
      <c r="E2806">
        <v>801</v>
      </c>
      <c r="F2806">
        <v>858</v>
      </c>
      <c r="G2806">
        <v>96</v>
      </c>
      <c r="H2806">
        <v>29156</v>
      </c>
      <c r="I2806">
        <v>15</v>
      </c>
      <c r="J2806">
        <v>46</v>
      </c>
      <c r="K2806">
        <v>821</v>
      </c>
      <c r="L2806">
        <v>839</v>
      </c>
      <c r="M2806">
        <v>6.6666666670000003</v>
      </c>
      <c r="N2806">
        <f>IFERROR(VLOOKUP(A2806,vlookup_table!$A:$G,2,FALSE),"")</f>
        <v>0</v>
      </c>
      <c r="O2806">
        <f>IFERROR(VLOOKUP(A2806,vlookup_table!$A:$G,4,FALSE),"")</f>
        <v>0</v>
      </c>
      <c r="P2806" t="str">
        <f>IFERROR(VLOOKUP(A2806,vlookup_table!$A:$G,5,FALSE),"")</f>
        <v>C1</v>
      </c>
      <c r="Q2806">
        <f>IFERROR(VLOOKUP(A2806,vlookup_table!$A:$G,7,FALSE),"")</f>
        <v>20</v>
      </c>
      <c r="R2806">
        <f t="shared" si="172"/>
        <v>97</v>
      </c>
      <c r="S2806" t="str" cm="1">
        <f t="array" ref="S2806">IF(P2806="","",_xlfn.SWITCH(LEFT(P2806,1),"C","Ciudad","T","Pueblo","R","Rural","S","Suburbano","U","Urbano",""))</f>
        <v>Ciudad</v>
      </c>
      <c r="T2806" t="str">
        <f t="shared" si="173"/>
        <v>F</v>
      </c>
      <c r="U2806" t="str">
        <f t="shared" si="174"/>
        <v>CA</v>
      </c>
      <c r="V2806" t="str">
        <f t="shared" si="175"/>
        <v>29156</v>
      </c>
    </row>
    <row r="2807" spans="1:22" x14ac:dyDescent="0.35">
      <c r="A2807">
        <v>54762</v>
      </c>
      <c r="B2807" t="s">
        <v>62</v>
      </c>
      <c r="C2807" t="s">
        <v>14</v>
      </c>
      <c r="D2807">
        <v>429</v>
      </c>
      <c r="E2807">
        <v>201</v>
      </c>
      <c r="F2807">
        <v>288</v>
      </c>
      <c r="G2807">
        <v>0</v>
      </c>
      <c r="H2807">
        <v>9672</v>
      </c>
      <c r="I2807">
        <v>0</v>
      </c>
      <c r="J2807">
        <v>86</v>
      </c>
      <c r="K2807">
        <v>257</v>
      </c>
      <c r="L2807">
        <v>243</v>
      </c>
      <c r="M2807">
        <v>7.3333333329999997</v>
      </c>
      <c r="N2807">
        <f>IFERROR(VLOOKUP(A2807,vlookup_table!$A:$G,2,FALSE),"")</f>
        <v>0</v>
      </c>
      <c r="O2807">
        <f>IFERROR(VLOOKUP(A2807,vlookup_table!$A:$G,4,FALSE),"")</f>
        <v>1403</v>
      </c>
      <c r="P2807" t="str">
        <f>IFERROR(VLOOKUP(A2807,vlookup_table!$A:$G,5,FALSE),"")</f>
        <v>R2</v>
      </c>
      <c r="Q2807">
        <f>IFERROR(VLOOKUP(A2807,vlookup_table!$A:$G,7,FALSE),"")</f>
        <v>16</v>
      </c>
      <c r="R2807">
        <f t="shared" si="172"/>
        <v>83</v>
      </c>
      <c r="S2807" t="str" cm="1">
        <f t="array" ref="S2807">IF(P2807="","",_xlfn.SWITCH(LEFT(P2807,1),"C","Ciudad","T","Pueblo","R","Rural","S","Suburbano","U","Urbano",""))</f>
        <v>Rural</v>
      </c>
      <c r="T2807" t="str">
        <f t="shared" si="173"/>
        <v>M</v>
      </c>
      <c r="U2807" t="str">
        <f t="shared" si="174"/>
        <v>MS</v>
      </c>
      <c r="V2807" t="str">
        <f t="shared" si="175"/>
        <v>9672</v>
      </c>
    </row>
    <row r="2808" spans="1:22" x14ac:dyDescent="0.35">
      <c r="A2808">
        <v>107379</v>
      </c>
      <c r="B2808" t="s">
        <v>59</v>
      </c>
      <c r="C2808" t="s">
        <v>17</v>
      </c>
      <c r="D2808">
        <v>493</v>
      </c>
      <c r="E2808">
        <v>215</v>
      </c>
      <c r="F2808">
        <v>321</v>
      </c>
      <c r="G2808">
        <v>0</v>
      </c>
      <c r="H2808">
        <v>9071</v>
      </c>
      <c r="I2808">
        <v>3</v>
      </c>
      <c r="J2808">
        <v>74</v>
      </c>
      <c r="K2808">
        <v>297</v>
      </c>
      <c r="L2808">
        <v>238</v>
      </c>
      <c r="M2808">
        <v>5.2068965519999999</v>
      </c>
      <c r="N2808">
        <f>IFERROR(VLOOKUP(A2808,vlookup_table!$A:$G,2,FALSE),"")</f>
        <v>2</v>
      </c>
      <c r="O2808">
        <f>IFERROR(VLOOKUP(A2808,vlookup_table!$A:$G,4,FALSE),"")</f>
        <v>0</v>
      </c>
      <c r="P2808" t="str">
        <f>IFERROR(VLOOKUP(A2808,vlookup_table!$A:$G,5,FALSE),"")</f>
        <v>T2</v>
      </c>
      <c r="Q2808">
        <f>IFERROR(VLOOKUP(A2808,vlookup_table!$A:$G,7,FALSE),"")</f>
        <v>5</v>
      </c>
      <c r="R2808">
        <f t="shared" si="172"/>
        <v>97</v>
      </c>
      <c r="S2808" t="str" cm="1">
        <f t="array" ref="S2808">IF(P2808="","",_xlfn.SWITCH(LEFT(P2808,1),"C","Ciudad","T","Pueblo","R","Rural","S","Suburbano","U","Urbano",""))</f>
        <v>Pueblo</v>
      </c>
      <c r="T2808" t="str">
        <f t="shared" si="173"/>
        <v>F</v>
      </c>
      <c r="U2808" t="str">
        <f t="shared" si="174"/>
        <v>NE</v>
      </c>
      <c r="V2808" t="str">
        <f t="shared" si="175"/>
        <v>9071</v>
      </c>
    </row>
    <row r="2809" spans="1:22" x14ac:dyDescent="0.35">
      <c r="A2809">
        <v>132316</v>
      </c>
      <c r="B2809" t="s">
        <v>48</v>
      </c>
      <c r="C2809" t="s">
        <v>14</v>
      </c>
      <c r="D2809">
        <v>814</v>
      </c>
      <c r="E2809">
        <v>343</v>
      </c>
      <c r="F2809">
        <v>472</v>
      </c>
      <c r="G2809">
        <v>2</v>
      </c>
      <c r="H2809">
        <v>17392</v>
      </c>
      <c r="I2809">
        <v>3</v>
      </c>
      <c r="J2809">
        <v>50</v>
      </c>
      <c r="K2809">
        <v>430</v>
      </c>
      <c r="L2809">
        <v>421</v>
      </c>
      <c r="M2809">
        <v>4.2068965519999999</v>
      </c>
      <c r="N2809">
        <f>IFERROR(VLOOKUP(A2809,vlookup_table!$A:$G,2,FALSE),"")</f>
        <v>2</v>
      </c>
      <c r="O2809">
        <f>IFERROR(VLOOKUP(A2809,vlookup_table!$A:$G,4,FALSE),"")</f>
        <v>3711</v>
      </c>
      <c r="P2809" t="str">
        <f>IFERROR(VLOOKUP(A2809,vlookup_table!$A:$G,5,FALSE),"")</f>
        <v>T1</v>
      </c>
      <c r="Q2809">
        <f>IFERROR(VLOOKUP(A2809,vlookup_table!$A:$G,7,FALSE),"")</f>
        <v>10</v>
      </c>
      <c r="R2809">
        <f t="shared" si="172"/>
        <v>60</v>
      </c>
      <c r="S2809" t="str" cm="1">
        <f t="array" ref="S2809">IF(P2809="","",_xlfn.SWITCH(LEFT(P2809,1),"C","Ciudad","T","Pueblo","R","Rural","S","Suburbano","U","Urbano",""))</f>
        <v>Pueblo</v>
      </c>
      <c r="T2809" t="str">
        <f t="shared" si="173"/>
        <v>M</v>
      </c>
      <c r="U2809" t="str">
        <f t="shared" si="174"/>
        <v>CO</v>
      </c>
      <c r="V2809" t="str">
        <f t="shared" si="175"/>
        <v>17392</v>
      </c>
    </row>
    <row r="2810" spans="1:22" x14ac:dyDescent="0.35">
      <c r="A2810">
        <v>24277</v>
      </c>
      <c r="B2810" t="s">
        <v>46</v>
      </c>
      <c r="C2810" t="s">
        <v>17</v>
      </c>
      <c r="D2810">
        <v>832</v>
      </c>
      <c r="E2810">
        <v>253</v>
      </c>
      <c r="F2810">
        <v>356</v>
      </c>
      <c r="G2810">
        <v>13</v>
      </c>
      <c r="H2810">
        <v>13519</v>
      </c>
      <c r="I2810">
        <v>3</v>
      </c>
      <c r="J2810">
        <v>34</v>
      </c>
      <c r="K2810">
        <v>289</v>
      </c>
      <c r="L2810">
        <v>312</v>
      </c>
      <c r="M2810">
        <v>12.28571429</v>
      </c>
      <c r="N2810">
        <f>IFERROR(VLOOKUP(A2810,vlookup_table!$A:$G,2,FALSE),"")</f>
        <v>2</v>
      </c>
      <c r="O2810">
        <f>IFERROR(VLOOKUP(A2810,vlookup_table!$A:$G,4,FALSE),"")</f>
        <v>0</v>
      </c>
      <c r="P2810" t="str">
        <f>IFERROR(VLOOKUP(A2810,vlookup_table!$A:$G,5,FALSE),"")</f>
        <v>T2</v>
      </c>
      <c r="Q2810">
        <f>IFERROR(VLOOKUP(A2810,vlookup_table!$A:$G,7,FALSE),"")</f>
        <v>40</v>
      </c>
      <c r="R2810">
        <f t="shared" si="172"/>
        <v>97</v>
      </c>
      <c r="S2810" t="str" cm="1">
        <f t="array" ref="S2810">IF(P2810="","",_xlfn.SWITCH(LEFT(P2810,1),"C","Ciudad","T","Pueblo","R","Rural","S","Suburbano","U","Urbano",""))</f>
        <v>Pueblo</v>
      </c>
      <c r="T2810" t="str">
        <f t="shared" si="173"/>
        <v>F</v>
      </c>
      <c r="U2810" t="str">
        <f t="shared" si="174"/>
        <v>SC</v>
      </c>
      <c r="V2810" t="str">
        <f t="shared" si="175"/>
        <v>13519</v>
      </c>
    </row>
    <row r="2811" spans="1:22" x14ac:dyDescent="0.35">
      <c r="A2811">
        <v>87217</v>
      </c>
      <c r="B2811" t="s">
        <v>34</v>
      </c>
      <c r="C2811" t="s">
        <v>14</v>
      </c>
      <c r="D2811">
        <v>350</v>
      </c>
      <c r="E2811">
        <v>163</v>
      </c>
      <c r="F2811">
        <v>260</v>
      </c>
      <c r="G2811">
        <v>0</v>
      </c>
      <c r="H2811">
        <v>8402</v>
      </c>
      <c r="I2811">
        <v>1</v>
      </c>
      <c r="J2811">
        <v>76</v>
      </c>
      <c r="K2811">
        <v>203</v>
      </c>
      <c r="L2811">
        <v>221</v>
      </c>
      <c r="M2811">
        <v>12.6</v>
      </c>
      <c r="N2811">
        <f>IFERROR(VLOOKUP(A2811,vlookup_table!$A:$G,2,FALSE),"")</f>
        <v>0</v>
      </c>
      <c r="O2811">
        <f>IFERROR(VLOOKUP(A2811,vlookup_table!$A:$G,4,FALSE),"")</f>
        <v>2601</v>
      </c>
      <c r="P2811" t="str">
        <f>IFERROR(VLOOKUP(A2811,vlookup_table!$A:$G,5,FALSE),"")</f>
        <v>R2</v>
      </c>
      <c r="Q2811">
        <f>IFERROR(VLOOKUP(A2811,vlookup_table!$A:$G,7,FALSE),"")</f>
        <v>20</v>
      </c>
      <c r="R2811">
        <f t="shared" si="172"/>
        <v>71</v>
      </c>
      <c r="S2811" t="str" cm="1">
        <f t="array" ref="S2811">IF(P2811="","",_xlfn.SWITCH(LEFT(P2811,1),"C","Ciudad","T","Pueblo","R","Rural","S","Suburbano","U","Urbano",""))</f>
        <v>Rural</v>
      </c>
      <c r="T2811" t="str">
        <f t="shared" si="173"/>
        <v>M</v>
      </c>
      <c r="U2811" t="str">
        <f t="shared" si="174"/>
        <v>MT</v>
      </c>
      <c r="V2811" t="str">
        <f t="shared" si="175"/>
        <v>8402</v>
      </c>
    </row>
    <row r="2812" spans="1:22" x14ac:dyDescent="0.35">
      <c r="A2812">
        <v>113882</v>
      </c>
      <c r="B2812" t="s">
        <v>31</v>
      </c>
      <c r="C2812" t="s">
        <v>14</v>
      </c>
      <c r="D2812">
        <v>260</v>
      </c>
      <c r="E2812">
        <v>159</v>
      </c>
      <c r="F2812">
        <v>253</v>
      </c>
      <c r="G2812">
        <v>0</v>
      </c>
      <c r="H2812">
        <v>9167</v>
      </c>
      <c r="I2812">
        <v>1</v>
      </c>
      <c r="J2812">
        <v>65</v>
      </c>
      <c r="K2812">
        <v>176</v>
      </c>
      <c r="L2812">
        <v>226</v>
      </c>
      <c r="M2812">
        <v>5.9565217390000003</v>
      </c>
      <c r="N2812">
        <f>IFERROR(VLOOKUP(A2812,vlookup_table!$A:$G,2,FALSE),"")</f>
        <v>1</v>
      </c>
      <c r="O2812">
        <f>IFERROR(VLOOKUP(A2812,vlookup_table!$A:$G,4,FALSE),"")</f>
        <v>2601</v>
      </c>
      <c r="P2812" t="str">
        <f>IFERROR(VLOOKUP(A2812,vlookup_table!$A:$G,5,FALSE),"")</f>
        <v>T3</v>
      </c>
      <c r="Q2812">
        <f>IFERROR(VLOOKUP(A2812,vlookup_table!$A:$G,7,FALSE),"")</f>
        <v>5</v>
      </c>
      <c r="R2812">
        <f t="shared" si="172"/>
        <v>71</v>
      </c>
      <c r="S2812" t="str" cm="1">
        <f t="array" ref="S2812">IF(P2812="","",_xlfn.SWITCH(LEFT(P2812,1),"C","Ciudad","T","Pueblo","R","Rural","S","Suburbano","U","Urbano",""))</f>
        <v>Pueblo</v>
      </c>
      <c r="T2812" t="str">
        <f t="shared" si="173"/>
        <v>M</v>
      </c>
      <c r="U2812" t="str">
        <f t="shared" si="174"/>
        <v>OK</v>
      </c>
      <c r="V2812" t="str">
        <f t="shared" si="175"/>
        <v>9167</v>
      </c>
    </row>
    <row r="2813" spans="1:22" x14ac:dyDescent="0.35">
      <c r="A2813">
        <v>8912</v>
      </c>
      <c r="B2813" t="s">
        <v>50</v>
      </c>
      <c r="C2813" t="s">
        <v>17</v>
      </c>
      <c r="D2813">
        <v>749</v>
      </c>
      <c r="E2813">
        <v>316</v>
      </c>
      <c r="F2813">
        <v>412</v>
      </c>
      <c r="G2813">
        <v>0</v>
      </c>
      <c r="H2813">
        <v>15051</v>
      </c>
      <c r="I2813">
        <v>4</v>
      </c>
      <c r="J2813">
        <v>56</v>
      </c>
      <c r="K2813">
        <v>339</v>
      </c>
      <c r="L2813">
        <v>378</v>
      </c>
      <c r="M2813">
        <v>16.85714286</v>
      </c>
      <c r="N2813">
        <f>IFERROR(VLOOKUP(A2813,vlookup_table!$A:$G,2,FALSE),"")</f>
        <v>0</v>
      </c>
      <c r="O2813">
        <f>IFERROR(VLOOKUP(A2813,vlookup_table!$A:$G,4,FALSE),"")</f>
        <v>4001</v>
      </c>
      <c r="P2813" t="str">
        <f>IFERROR(VLOOKUP(A2813,vlookup_table!$A:$G,5,FALSE),"")</f>
        <v>S2</v>
      </c>
      <c r="Q2813">
        <f>IFERROR(VLOOKUP(A2813,vlookup_table!$A:$G,7,FALSE),"")</f>
        <v>20</v>
      </c>
      <c r="R2813">
        <f t="shared" si="172"/>
        <v>57</v>
      </c>
      <c r="S2813" t="str" cm="1">
        <f t="array" ref="S2813">IF(P2813="","",_xlfn.SWITCH(LEFT(P2813,1),"C","Ciudad","T","Pueblo","R","Rural","S","Suburbano","U","Urbano",""))</f>
        <v>Suburbano</v>
      </c>
      <c r="T2813" t="str">
        <f t="shared" si="173"/>
        <v>F</v>
      </c>
      <c r="U2813" t="str">
        <f t="shared" si="174"/>
        <v>OR</v>
      </c>
      <c r="V2813" t="str">
        <f t="shared" si="175"/>
        <v>15051</v>
      </c>
    </row>
    <row r="2814" spans="1:22" x14ac:dyDescent="0.35">
      <c r="A2814">
        <v>28406</v>
      </c>
      <c r="B2814" t="s">
        <v>39</v>
      </c>
      <c r="C2814" t="s">
        <v>14</v>
      </c>
      <c r="D2814">
        <v>4220</v>
      </c>
      <c r="E2814">
        <v>982</v>
      </c>
      <c r="F2814">
        <v>1114</v>
      </c>
      <c r="G2814">
        <v>94</v>
      </c>
      <c r="H2814">
        <v>68148</v>
      </c>
      <c r="I2814">
        <v>8</v>
      </c>
      <c r="J2814">
        <v>40</v>
      </c>
      <c r="K2814">
        <v>1311</v>
      </c>
      <c r="L2814">
        <v>954</v>
      </c>
      <c r="M2814">
        <v>12</v>
      </c>
      <c r="N2814">
        <f>IFERROR(VLOOKUP(A2814,vlookup_table!$A:$G,2,FALSE),"")</f>
        <v>0</v>
      </c>
      <c r="O2814">
        <f>IFERROR(VLOOKUP(A2814,vlookup_table!$A:$G,4,FALSE),"")</f>
        <v>3401</v>
      </c>
      <c r="P2814" t="str">
        <f>IFERROR(VLOOKUP(A2814,vlookup_table!$A:$G,5,FALSE),"")</f>
        <v>S1</v>
      </c>
      <c r="Q2814">
        <f>IFERROR(VLOOKUP(A2814,vlookup_table!$A:$G,7,FALSE),"")</f>
        <v>19</v>
      </c>
      <c r="R2814">
        <f t="shared" si="172"/>
        <v>63</v>
      </c>
      <c r="S2814" t="str" cm="1">
        <f t="array" ref="S2814">IF(P2814="","",_xlfn.SWITCH(LEFT(P2814,1),"C","Ciudad","T","Pueblo","R","Rural","S","Suburbano","U","Urbano",""))</f>
        <v>Suburbano</v>
      </c>
      <c r="T2814" t="str">
        <f t="shared" si="173"/>
        <v>M</v>
      </c>
      <c r="U2814" t="str">
        <f t="shared" si="174"/>
        <v>GA</v>
      </c>
      <c r="V2814" t="str">
        <f t="shared" si="175"/>
        <v>68148</v>
      </c>
    </row>
    <row r="2815" spans="1:22" x14ac:dyDescent="0.35">
      <c r="A2815">
        <v>70069</v>
      </c>
      <c r="B2815" t="s">
        <v>29</v>
      </c>
      <c r="C2815" t="s">
        <v>17</v>
      </c>
      <c r="D2815">
        <v>330</v>
      </c>
      <c r="E2815">
        <v>179</v>
      </c>
      <c r="F2815">
        <v>235</v>
      </c>
      <c r="G2815">
        <v>0</v>
      </c>
      <c r="H2815">
        <v>8746</v>
      </c>
      <c r="I2815">
        <v>1</v>
      </c>
      <c r="J2815">
        <v>59</v>
      </c>
      <c r="K2815">
        <v>179</v>
      </c>
      <c r="L2815">
        <v>234</v>
      </c>
      <c r="M2815">
        <v>10.30769231</v>
      </c>
      <c r="N2815">
        <f>IFERROR(VLOOKUP(A2815,vlookup_table!$A:$G,2,FALSE),"")</f>
        <v>2</v>
      </c>
      <c r="O2815">
        <f>IFERROR(VLOOKUP(A2815,vlookup_table!$A:$G,4,FALSE),"")</f>
        <v>2603</v>
      </c>
      <c r="P2815" t="str">
        <f>IFERROR(VLOOKUP(A2815,vlookup_table!$A:$G,5,FALSE),"")</f>
        <v>C3</v>
      </c>
      <c r="Q2815">
        <f>IFERROR(VLOOKUP(A2815,vlookup_table!$A:$G,7,FALSE),"")</f>
        <v>11</v>
      </c>
      <c r="R2815">
        <f t="shared" si="172"/>
        <v>71</v>
      </c>
      <c r="S2815" t="str" cm="1">
        <f t="array" ref="S2815">IF(P2815="","",_xlfn.SWITCH(LEFT(P2815,1),"C","Ciudad","T","Pueblo","R","Rural","S","Suburbano","U","Urbano",""))</f>
        <v>Ciudad</v>
      </c>
      <c r="T2815" t="str">
        <f t="shared" si="173"/>
        <v>F</v>
      </c>
      <c r="U2815" t="str">
        <f t="shared" si="174"/>
        <v>MI</v>
      </c>
      <c r="V2815" t="str">
        <f t="shared" si="175"/>
        <v>8746</v>
      </c>
    </row>
    <row r="2816" spans="1:22" x14ac:dyDescent="0.35">
      <c r="A2816">
        <v>1102</v>
      </c>
      <c r="B2816" t="s">
        <v>56</v>
      </c>
      <c r="C2816" t="s">
        <v>14</v>
      </c>
      <c r="D2816">
        <v>882</v>
      </c>
      <c r="E2816">
        <v>380</v>
      </c>
      <c r="F2816">
        <v>484</v>
      </c>
      <c r="G2816">
        <v>1</v>
      </c>
      <c r="H2816">
        <v>18642</v>
      </c>
      <c r="I2816">
        <v>2</v>
      </c>
      <c r="J2816">
        <v>78</v>
      </c>
      <c r="K2816">
        <v>430</v>
      </c>
      <c r="L2816">
        <v>431</v>
      </c>
      <c r="M2816">
        <v>11.33333333</v>
      </c>
      <c r="N2816">
        <f>IFERROR(VLOOKUP(A2816,vlookup_table!$A:$G,2,FALSE),"")</f>
        <v>1</v>
      </c>
      <c r="O2816">
        <f>IFERROR(VLOOKUP(A2816,vlookup_table!$A:$G,4,FALSE),"")</f>
        <v>1110</v>
      </c>
      <c r="P2816">
        <f>IFERROR(VLOOKUP(A2816,vlookup_table!$A:$G,5,FALSE),"")</f>
        <v>0</v>
      </c>
      <c r="Q2816">
        <f>IFERROR(VLOOKUP(A2816,vlookup_table!$A:$G,7,FALSE),"")</f>
        <v>11</v>
      </c>
      <c r="R2816">
        <f t="shared" si="172"/>
        <v>86</v>
      </c>
      <c r="S2816" t="str" cm="1">
        <f t="array" ref="S2816">IF(P2816="","",_xlfn.SWITCH(LEFT(P2816,1),"C","Ciudad","T","Pueblo","R","Rural","S","Suburbano","U","Urbano",""))</f>
        <v/>
      </c>
      <c r="T2816" t="str">
        <f t="shared" si="173"/>
        <v>M</v>
      </c>
      <c r="U2816" t="str">
        <f t="shared" si="174"/>
        <v>MN</v>
      </c>
      <c r="V2816" t="str">
        <f t="shared" si="175"/>
        <v>18642</v>
      </c>
    </row>
    <row r="2817" spans="1:22" x14ac:dyDescent="0.35">
      <c r="A2817">
        <v>141888</v>
      </c>
      <c r="B2817" t="s">
        <v>24</v>
      </c>
      <c r="C2817" t="s">
        <v>14</v>
      </c>
      <c r="D2817">
        <v>2030</v>
      </c>
      <c r="E2817">
        <v>458</v>
      </c>
      <c r="F2817">
        <v>588</v>
      </c>
      <c r="G2817">
        <v>51</v>
      </c>
      <c r="H2817">
        <v>22685</v>
      </c>
      <c r="I2817">
        <v>11</v>
      </c>
      <c r="J2817">
        <v>22</v>
      </c>
      <c r="K2817">
        <v>515</v>
      </c>
      <c r="L2817">
        <v>531</v>
      </c>
      <c r="M2817">
        <v>5.0740740740000003</v>
      </c>
      <c r="N2817">
        <f>IFERROR(VLOOKUP(A2817,vlookup_table!$A:$G,2,FALSE),"")</f>
        <v>0</v>
      </c>
      <c r="O2817">
        <f>IFERROR(VLOOKUP(A2817,vlookup_table!$A:$G,4,FALSE),"")</f>
        <v>2807</v>
      </c>
      <c r="P2817" t="str">
        <f>IFERROR(VLOOKUP(A2817,vlookup_table!$A:$G,5,FALSE),"")</f>
        <v>T1</v>
      </c>
      <c r="Q2817">
        <f>IFERROR(VLOOKUP(A2817,vlookup_table!$A:$G,7,FALSE),"")</f>
        <v>5</v>
      </c>
      <c r="R2817">
        <f t="shared" si="172"/>
        <v>69</v>
      </c>
      <c r="S2817" t="str" cm="1">
        <f t="array" ref="S2817">IF(P2817="","",_xlfn.SWITCH(LEFT(P2817,1),"C","Ciudad","T","Pueblo","R","Rural","S","Suburbano","U","Urbano",""))</f>
        <v>Pueblo</v>
      </c>
      <c r="T2817" t="str">
        <f t="shared" si="173"/>
        <v>M</v>
      </c>
      <c r="U2817" t="str">
        <f t="shared" si="174"/>
        <v>NV</v>
      </c>
      <c r="V2817" t="str">
        <f t="shared" si="175"/>
        <v>22685</v>
      </c>
    </row>
    <row r="2818" spans="1:22" x14ac:dyDescent="0.35">
      <c r="A2818">
        <v>183412</v>
      </c>
      <c r="B2818" t="s">
        <v>40</v>
      </c>
      <c r="D2818">
        <v>383</v>
      </c>
      <c r="E2818">
        <v>178</v>
      </c>
      <c r="F2818">
        <v>228</v>
      </c>
      <c r="G2818">
        <v>0</v>
      </c>
      <c r="H2818">
        <v>7456</v>
      </c>
      <c r="I2818">
        <v>6</v>
      </c>
      <c r="J2818">
        <v>72</v>
      </c>
      <c r="K2818">
        <v>190</v>
      </c>
      <c r="L2818">
        <v>227</v>
      </c>
      <c r="M2818">
        <v>23.666666670000001</v>
      </c>
      <c r="N2818">
        <f>IFERROR(VLOOKUP(A2818,vlookup_table!$A:$G,2,FALSE),"")</f>
        <v>0</v>
      </c>
      <c r="O2818">
        <f>IFERROR(VLOOKUP(A2818,vlookup_table!$A:$G,4,FALSE),"")</f>
        <v>0</v>
      </c>
      <c r="P2818" t="str">
        <f>IFERROR(VLOOKUP(A2818,vlookup_table!$A:$G,5,FALSE),"")</f>
        <v>R2</v>
      </c>
      <c r="Q2818">
        <f>IFERROR(VLOOKUP(A2818,vlookup_table!$A:$G,7,FALSE),"")</f>
        <v>50</v>
      </c>
      <c r="R2818">
        <f t="shared" ref="R2818:R2881" si="176">IF(O2818="","",97-INT(O2818/100))</f>
        <v>97</v>
      </c>
      <c r="S2818" t="str" cm="1">
        <f t="array" ref="S2818">IF(P2818="","",_xlfn.SWITCH(LEFT(P2818,1),"C","Ciudad","T","Pueblo","R","Rural","S","Suburbano","U","Urbano",""))</f>
        <v>Rural</v>
      </c>
      <c r="T2818" t="str">
        <f t="shared" ref="T2818:T2881" si="177">IF(C2818="","",IF(OR(UPPER(C2818)="M",UPPER(C2818)="MALE"),"M",IF(OR(UPPER(C2818)="F",UPPER(C2818)="FEMALE",UPPER(C2818)="FEAMALE"),"F",C2818)))</f>
        <v/>
      </c>
      <c r="U2818" t="str">
        <f t="shared" ref="U2818:U2881" si="178">IF(OR(UPPER(B2818)="CALIFORNIA",UPPER(B2818)="CALI"),"CA",B2818)</f>
        <v>WA</v>
      </c>
      <c r="V2818" t="str">
        <f t="shared" ref="V2818:V2881" si="179">SUBSTITUTE(H2818,"@","")</f>
        <v>7456</v>
      </c>
    </row>
    <row r="2819" spans="1:22" x14ac:dyDescent="0.35">
      <c r="A2819">
        <v>128599</v>
      </c>
      <c r="B2819" t="s">
        <v>21</v>
      </c>
      <c r="C2819" t="s">
        <v>14</v>
      </c>
      <c r="D2819">
        <v>441</v>
      </c>
      <c r="E2819">
        <v>318</v>
      </c>
      <c r="F2819">
        <v>327</v>
      </c>
      <c r="G2819">
        <v>0</v>
      </c>
      <c r="H2819">
        <v>13514</v>
      </c>
      <c r="I2819">
        <v>1</v>
      </c>
      <c r="J2819">
        <v>75</v>
      </c>
      <c r="K2819">
        <v>320</v>
      </c>
      <c r="L2819">
        <v>319</v>
      </c>
      <c r="M2819">
        <v>8.1999999999999993</v>
      </c>
      <c r="N2819">
        <f>IFERROR(VLOOKUP(A2819,vlookup_table!$A:$G,2,FALSE),"")</f>
        <v>1</v>
      </c>
      <c r="O2819">
        <f>IFERROR(VLOOKUP(A2819,vlookup_table!$A:$G,4,FALSE),"")</f>
        <v>4701</v>
      </c>
      <c r="P2819" t="str">
        <f>IFERROR(VLOOKUP(A2819,vlookup_table!$A:$G,5,FALSE),"")</f>
        <v>C2</v>
      </c>
      <c r="Q2819">
        <f>IFERROR(VLOOKUP(A2819,vlookup_table!$A:$G,7,FALSE),"")</f>
        <v>8</v>
      </c>
      <c r="R2819">
        <f t="shared" si="176"/>
        <v>50</v>
      </c>
      <c r="S2819" t="str" cm="1">
        <f t="array" ref="S2819">IF(P2819="","",_xlfn.SWITCH(LEFT(P2819,1),"C","Ciudad","T","Pueblo","R","Rural","S","Suburbano","U","Urbano",""))</f>
        <v>Ciudad</v>
      </c>
      <c r="T2819" t="str">
        <f t="shared" si="177"/>
        <v>M</v>
      </c>
      <c r="U2819" t="str">
        <f t="shared" si="178"/>
        <v>TX</v>
      </c>
      <c r="V2819" t="str">
        <f t="shared" si="179"/>
        <v>13514</v>
      </c>
    </row>
    <row r="2820" spans="1:22" x14ac:dyDescent="0.35">
      <c r="A2820">
        <v>53496</v>
      </c>
      <c r="B2820" t="s">
        <v>68</v>
      </c>
      <c r="C2820" t="s">
        <v>17</v>
      </c>
      <c r="D2820">
        <v>625</v>
      </c>
      <c r="E2820">
        <v>375</v>
      </c>
      <c r="F2820">
        <v>413</v>
      </c>
      <c r="G2820">
        <v>0</v>
      </c>
      <c r="H2820">
        <v>14065</v>
      </c>
      <c r="I2820">
        <v>0</v>
      </c>
      <c r="J2820">
        <v>66</v>
      </c>
      <c r="K2820">
        <v>379</v>
      </c>
      <c r="L2820">
        <v>395</v>
      </c>
      <c r="M2820">
        <v>12.57142857</v>
      </c>
      <c r="N2820">
        <f>IFERROR(VLOOKUP(A2820,vlookup_table!$A:$G,2,FALSE),"")</f>
        <v>28</v>
      </c>
      <c r="O2820">
        <f>IFERROR(VLOOKUP(A2820,vlookup_table!$A:$G,4,FALSE),"")</f>
        <v>5009</v>
      </c>
      <c r="P2820" t="str">
        <f>IFERROR(VLOOKUP(A2820,vlookup_table!$A:$G,5,FALSE),"")</f>
        <v>S2</v>
      </c>
      <c r="Q2820">
        <f>IFERROR(VLOOKUP(A2820,vlookup_table!$A:$G,7,FALSE),"")</f>
        <v>20</v>
      </c>
      <c r="R2820">
        <f t="shared" si="176"/>
        <v>47</v>
      </c>
      <c r="S2820" t="str" cm="1">
        <f t="array" ref="S2820">IF(P2820="","",_xlfn.SWITCH(LEFT(P2820,1),"C","Ciudad","T","Pueblo","R","Rural","S","Suburbano","U","Urbano",""))</f>
        <v>Suburbano</v>
      </c>
      <c r="T2820" t="str">
        <f t="shared" si="177"/>
        <v>F</v>
      </c>
      <c r="U2820" t="str">
        <f t="shared" si="178"/>
        <v>Tennessee</v>
      </c>
      <c r="V2820" t="str">
        <f t="shared" si="179"/>
        <v>14065</v>
      </c>
    </row>
    <row r="2821" spans="1:22" x14ac:dyDescent="0.35">
      <c r="A2821">
        <v>28381</v>
      </c>
      <c r="B2821" t="s">
        <v>39</v>
      </c>
      <c r="C2821" t="s">
        <v>14</v>
      </c>
      <c r="D2821">
        <v>1602</v>
      </c>
      <c r="E2821">
        <v>309</v>
      </c>
      <c r="F2821">
        <v>565</v>
      </c>
      <c r="G2821">
        <v>24</v>
      </c>
      <c r="H2821">
        <v>19258</v>
      </c>
      <c r="I2821">
        <v>9</v>
      </c>
      <c r="J2821">
        <v>33</v>
      </c>
      <c r="K2821">
        <v>477</v>
      </c>
      <c r="L2821">
        <v>429</v>
      </c>
      <c r="M2821">
        <v>7.875</v>
      </c>
      <c r="N2821">
        <f>IFERROR(VLOOKUP(A2821,vlookup_table!$A:$G,2,FALSE),"")</f>
        <v>1</v>
      </c>
      <c r="O2821">
        <f>IFERROR(VLOOKUP(A2821,vlookup_table!$A:$G,4,FALSE),"")</f>
        <v>0</v>
      </c>
      <c r="P2821" t="str">
        <f>IFERROR(VLOOKUP(A2821,vlookup_table!$A:$G,5,FALSE),"")</f>
        <v>S1</v>
      </c>
      <c r="Q2821">
        <f>IFERROR(VLOOKUP(A2821,vlookup_table!$A:$G,7,FALSE),"")</f>
        <v>15</v>
      </c>
      <c r="R2821">
        <f t="shared" si="176"/>
        <v>97</v>
      </c>
      <c r="S2821" t="str" cm="1">
        <f t="array" ref="S2821">IF(P2821="","",_xlfn.SWITCH(LEFT(P2821,1),"C","Ciudad","T","Pueblo","R","Rural","S","Suburbano","U","Urbano",""))</f>
        <v>Suburbano</v>
      </c>
      <c r="T2821" t="str">
        <f t="shared" si="177"/>
        <v>M</v>
      </c>
      <c r="U2821" t="str">
        <f t="shared" si="178"/>
        <v>GA</v>
      </c>
      <c r="V2821" t="str">
        <f t="shared" si="179"/>
        <v>19258</v>
      </c>
    </row>
    <row r="2822" spans="1:22" x14ac:dyDescent="0.35">
      <c r="A2822">
        <v>6292</v>
      </c>
      <c r="B2822" t="s">
        <v>16</v>
      </c>
      <c r="C2822" t="s">
        <v>17</v>
      </c>
      <c r="D2822">
        <v>1079</v>
      </c>
      <c r="E2822">
        <v>441</v>
      </c>
      <c r="F2822">
        <v>536</v>
      </c>
      <c r="G2822">
        <v>3</v>
      </c>
      <c r="H2822">
        <v>19972</v>
      </c>
      <c r="I2822">
        <v>4</v>
      </c>
      <c r="J2822">
        <v>72</v>
      </c>
      <c r="K2822">
        <v>452</v>
      </c>
      <c r="L2822">
        <v>502</v>
      </c>
      <c r="M2822">
        <v>13.24</v>
      </c>
      <c r="N2822">
        <f>IFERROR(VLOOKUP(A2822,vlookup_table!$A:$G,2,FALSE),"")</f>
        <v>0</v>
      </c>
      <c r="O2822">
        <f>IFERROR(VLOOKUP(A2822,vlookup_table!$A:$G,4,FALSE),"")</f>
        <v>1601</v>
      </c>
      <c r="P2822" t="str">
        <f>IFERROR(VLOOKUP(A2822,vlookup_table!$A:$G,5,FALSE),"")</f>
        <v>S1</v>
      </c>
      <c r="Q2822">
        <f>IFERROR(VLOOKUP(A2822,vlookup_table!$A:$G,7,FALSE),"")</f>
        <v>20</v>
      </c>
      <c r="R2822">
        <f t="shared" si="176"/>
        <v>81</v>
      </c>
      <c r="S2822" t="str" cm="1">
        <f t="array" ref="S2822">IF(P2822="","",_xlfn.SWITCH(LEFT(P2822,1),"C","Ciudad","T","Pueblo","R","Rural","S","Suburbano","U","Urbano",""))</f>
        <v>Suburbano</v>
      </c>
      <c r="T2822" t="str">
        <f t="shared" si="177"/>
        <v>F</v>
      </c>
      <c r="U2822" t="str">
        <f t="shared" si="178"/>
        <v>IL</v>
      </c>
      <c r="V2822" t="str">
        <f t="shared" si="179"/>
        <v>19972</v>
      </c>
    </row>
    <row r="2823" spans="1:22" x14ac:dyDescent="0.35">
      <c r="A2823">
        <v>21644</v>
      </c>
      <c r="B2823" t="s">
        <v>18</v>
      </c>
      <c r="C2823" t="s">
        <v>20</v>
      </c>
      <c r="D2823">
        <v>543</v>
      </c>
      <c r="E2823">
        <v>253</v>
      </c>
      <c r="F2823">
        <v>354</v>
      </c>
      <c r="G2823">
        <v>1</v>
      </c>
      <c r="H2823">
        <v>12614</v>
      </c>
      <c r="I2823">
        <v>1</v>
      </c>
      <c r="J2823">
        <v>83</v>
      </c>
      <c r="K2823">
        <v>314</v>
      </c>
      <c r="L2823">
        <v>300</v>
      </c>
      <c r="M2823">
        <v>7.5</v>
      </c>
      <c r="N2823">
        <f>IFERROR(VLOOKUP(A2823,vlookup_table!$A:$G,2,FALSE),"")</f>
        <v>2</v>
      </c>
      <c r="O2823">
        <f>IFERROR(VLOOKUP(A2823,vlookup_table!$A:$G,4,FALSE),"")</f>
        <v>4001</v>
      </c>
      <c r="P2823" t="str">
        <f>IFERROR(VLOOKUP(A2823,vlookup_table!$A:$G,5,FALSE),"")</f>
        <v>T2</v>
      </c>
      <c r="Q2823">
        <f>IFERROR(VLOOKUP(A2823,vlookup_table!$A:$G,7,FALSE),"")</f>
        <v>8</v>
      </c>
      <c r="R2823">
        <f t="shared" si="176"/>
        <v>57</v>
      </c>
      <c r="S2823" t="str" cm="1">
        <f t="array" ref="S2823">IF(P2823="","",_xlfn.SWITCH(LEFT(P2823,1),"C","Ciudad","T","Pueblo","R","Rural","S","Suburbano","U","Urbano",""))</f>
        <v>Pueblo</v>
      </c>
      <c r="T2823" t="str">
        <f t="shared" si="177"/>
        <v>F</v>
      </c>
      <c r="U2823" t="str">
        <f t="shared" si="178"/>
        <v>NC</v>
      </c>
      <c r="V2823" t="str">
        <f t="shared" si="179"/>
        <v>12614</v>
      </c>
    </row>
    <row r="2824" spans="1:22" x14ac:dyDescent="0.35">
      <c r="A2824">
        <v>181075</v>
      </c>
      <c r="B2824" t="s">
        <v>40</v>
      </c>
      <c r="C2824" t="s">
        <v>51</v>
      </c>
      <c r="D2824">
        <v>1464</v>
      </c>
      <c r="E2824">
        <v>480</v>
      </c>
      <c r="F2824">
        <v>544</v>
      </c>
      <c r="G2824">
        <v>19</v>
      </c>
      <c r="H2824">
        <v>18525</v>
      </c>
      <c r="I2824">
        <v>7</v>
      </c>
      <c r="J2824">
        <v>55</v>
      </c>
      <c r="K2824">
        <v>474</v>
      </c>
      <c r="L2824">
        <v>513</v>
      </c>
      <c r="M2824">
        <v>7</v>
      </c>
      <c r="N2824">
        <f>IFERROR(VLOOKUP(A2824,vlookup_table!$A:$G,2,FALSE),"")</f>
        <v>0</v>
      </c>
      <c r="O2824">
        <f>IFERROR(VLOOKUP(A2824,vlookup_table!$A:$G,4,FALSE),"")</f>
        <v>2101</v>
      </c>
      <c r="P2824" t="str">
        <f>IFERROR(VLOOKUP(A2824,vlookup_table!$A:$G,5,FALSE),"")</f>
        <v>T1</v>
      </c>
      <c r="Q2824">
        <f>IFERROR(VLOOKUP(A2824,vlookup_table!$A:$G,7,FALSE),"")</f>
        <v>10</v>
      </c>
      <c r="R2824">
        <f t="shared" si="176"/>
        <v>76</v>
      </c>
      <c r="S2824" t="str" cm="1">
        <f t="array" ref="S2824">IF(P2824="","",_xlfn.SWITCH(LEFT(P2824,1),"C","Ciudad","T","Pueblo","R","Rural","S","Suburbano","U","Urbano",""))</f>
        <v>Pueblo</v>
      </c>
      <c r="T2824" t="str">
        <f t="shared" si="177"/>
        <v>M</v>
      </c>
      <c r="U2824" t="str">
        <f t="shared" si="178"/>
        <v>WA</v>
      </c>
      <c r="V2824" t="str">
        <f t="shared" si="179"/>
        <v>18525</v>
      </c>
    </row>
    <row r="2825" spans="1:22" x14ac:dyDescent="0.35">
      <c r="A2825">
        <v>172863</v>
      </c>
      <c r="B2825" t="s">
        <v>22</v>
      </c>
      <c r="C2825" t="s">
        <v>14</v>
      </c>
      <c r="D2825">
        <v>981</v>
      </c>
      <c r="E2825">
        <v>379</v>
      </c>
      <c r="F2825">
        <v>415</v>
      </c>
      <c r="G2825">
        <v>8</v>
      </c>
      <c r="H2825">
        <v>13631</v>
      </c>
      <c r="I2825">
        <v>2</v>
      </c>
      <c r="J2825">
        <v>69</v>
      </c>
      <c r="K2825">
        <v>383</v>
      </c>
      <c r="L2825">
        <v>396</v>
      </c>
      <c r="M2825">
        <v>6.5</v>
      </c>
      <c r="N2825">
        <f>IFERROR(VLOOKUP(A2825,vlookup_table!$A:$G,2,FALSE),"")</f>
        <v>1</v>
      </c>
      <c r="O2825">
        <f>IFERROR(VLOOKUP(A2825,vlookup_table!$A:$G,4,FALSE),"")</f>
        <v>2901</v>
      </c>
      <c r="P2825" t="str">
        <f>IFERROR(VLOOKUP(A2825,vlookup_table!$A:$G,5,FALSE),"")</f>
        <v>T2</v>
      </c>
      <c r="Q2825">
        <f>IFERROR(VLOOKUP(A2825,vlookup_table!$A:$G,7,FALSE),"")</f>
        <v>9</v>
      </c>
      <c r="R2825">
        <f t="shared" si="176"/>
        <v>68</v>
      </c>
      <c r="S2825" t="str" cm="1">
        <f t="array" ref="S2825">IF(P2825="","",_xlfn.SWITCH(LEFT(P2825,1),"C","Ciudad","T","Pueblo","R","Rural","S","Suburbano","U","Urbano",""))</f>
        <v>Pueblo</v>
      </c>
      <c r="T2825" t="str">
        <f t="shared" si="177"/>
        <v>M</v>
      </c>
      <c r="U2825" t="str">
        <f t="shared" si="178"/>
        <v>CA</v>
      </c>
      <c r="V2825" t="str">
        <f t="shared" si="179"/>
        <v>13631</v>
      </c>
    </row>
    <row r="2826" spans="1:22" x14ac:dyDescent="0.35">
      <c r="A2826">
        <v>97691</v>
      </c>
      <c r="B2826" t="s">
        <v>16</v>
      </c>
      <c r="C2826" t="s">
        <v>44</v>
      </c>
      <c r="D2826">
        <v>879</v>
      </c>
      <c r="E2826">
        <v>464</v>
      </c>
      <c r="F2826">
        <v>493</v>
      </c>
      <c r="G2826">
        <v>0</v>
      </c>
      <c r="H2826">
        <v>15730</v>
      </c>
      <c r="I2826">
        <v>4</v>
      </c>
      <c r="J2826">
        <v>36</v>
      </c>
      <c r="K2826">
        <v>485</v>
      </c>
      <c r="L2826">
        <v>463</v>
      </c>
      <c r="M2826">
        <v>9.6666666669999994</v>
      </c>
      <c r="N2826">
        <f>IFERROR(VLOOKUP(A2826,vlookup_table!$A:$G,2,FALSE),"")</f>
        <v>1002</v>
      </c>
      <c r="O2826">
        <f>IFERROR(VLOOKUP(A2826,vlookup_table!$A:$G,4,FALSE),"")</f>
        <v>3001</v>
      </c>
      <c r="P2826" t="str">
        <f>IFERROR(VLOOKUP(A2826,vlookup_table!$A:$G,5,FALSE),"")</f>
        <v>C1</v>
      </c>
      <c r="Q2826">
        <f>IFERROR(VLOOKUP(A2826,vlookup_table!$A:$G,7,FALSE),"")</f>
        <v>16</v>
      </c>
      <c r="R2826">
        <f t="shared" si="176"/>
        <v>67</v>
      </c>
      <c r="S2826" t="str" cm="1">
        <f t="array" ref="S2826">IF(P2826="","",_xlfn.SWITCH(LEFT(P2826,1),"C","Ciudad","T","Pueblo","R","Rural","S","Suburbano","U","Urbano",""))</f>
        <v>Ciudad</v>
      </c>
      <c r="T2826" t="str">
        <f t="shared" si="177"/>
        <v>J</v>
      </c>
      <c r="U2826" t="str">
        <f t="shared" si="178"/>
        <v>IL</v>
      </c>
      <c r="V2826" t="str">
        <f t="shared" si="179"/>
        <v>15730</v>
      </c>
    </row>
    <row r="2827" spans="1:22" x14ac:dyDescent="0.35">
      <c r="A2827">
        <v>115166</v>
      </c>
      <c r="B2827" t="s">
        <v>31</v>
      </c>
      <c r="C2827" t="s">
        <v>17</v>
      </c>
      <c r="D2827">
        <v>683</v>
      </c>
      <c r="E2827">
        <v>371</v>
      </c>
      <c r="F2827">
        <v>484</v>
      </c>
      <c r="G2827">
        <v>2</v>
      </c>
      <c r="H2827">
        <v>17476</v>
      </c>
      <c r="I2827">
        <v>1</v>
      </c>
      <c r="J2827">
        <v>59</v>
      </c>
      <c r="K2827">
        <v>436</v>
      </c>
      <c r="L2827">
        <v>422</v>
      </c>
      <c r="M2827">
        <v>6.5714285710000002</v>
      </c>
      <c r="N2827">
        <f>IFERROR(VLOOKUP(A2827,vlookup_table!$A:$G,2,FALSE),"")</f>
        <v>0</v>
      </c>
      <c r="O2827">
        <f>IFERROR(VLOOKUP(A2827,vlookup_table!$A:$G,4,FALSE),"")</f>
        <v>0</v>
      </c>
      <c r="P2827" t="str">
        <f>IFERROR(VLOOKUP(A2827,vlookup_table!$A:$G,5,FALSE),"")</f>
        <v>T1</v>
      </c>
      <c r="Q2827">
        <f>IFERROR(VLOOKUP(A2827,vlookup_table!$A:$G,7,FALSE),"")</f>
        <v>5</v>
      </c>
      <c r="R2827">
        <f t="shared" si="176"/>
        <v>97</v>
      </c>
      <c r="S2827" t="str" cm="1">
        <f t="array" ref="S2827">IF(P2827="","",_xlfn.SWITCH(LEFT(P2827,1),"C","Ciudad","T","Pueblo","R","Rural","S","Suburbano","U","Urbano",""))</f>
        <v>Pueblo</v>
      </c>
      <c r="T2827" t="str">
        <f t="shared" si="177"/>
        <v>F</v>
      </c>
      <c r="U2827" t="str">
        <f t="shared" si="178"/>
        <v>OK</v>
      </c>
      <c r="V2827" t="str">
        <f t="shared" si="179"/>
        <v>17476</v>
      </c>
    </row>
    <row r="2828" spans="1:22" x14ac:dyDescent="0.35">
      <c r="A2828">
        <v>88572</v>
      </c>
      <c r="B2828" t="s">
        <v>16</v>
      </c>
      <c r="C2828" t="s">
        <v>17</v>
      </c>
      <c r="D2828">
        <v>1897</v>
      </c>
      <c r="E2828">
        <v>406</v>
      </c>
      <c r="F2828">
        <v>664</v>
      </c>
      <c r="G2828">
        <v>44</v>
      </c>
      <c r="H2828">
        <v>26951</v>
      </c>
      <c r="I2828">
        <v>15</v>
      </c>
      <c r="J2828">
        <v>67</v>
      </c>
      <c r="K2828">
        <v>519</v>
      </c>
      <c r="L2828">
        <v>476</v>
      </c>
      <c r="M2828">
        <v>15</v>
      </c>
      <c r="N2828">
        <f>IFERROR(VLOOKUP(A2828,vlookup_table!$A:$G,2,FALSE),"")</f>
        <v>0</v>
      </c>
      <c r="O2828">
        <f>IFERROR(VLOOKUP(A2828,vlookup_table!$A:$G,4,FALSE),"")</f>
        <v>2801</v>
      </c>
      <c r="P2828" t="str">
        <f>IFERROR(VLOOKUP(A2828,vlookup_table!$A:$G,5,FALSE),"")</f>
        <v>U1</v>
      </c>
      <c r="Q2828">
        <f>IFERROR(VLOOKUP(A2828,vlookup_table!$A:$G,7,FALSE),"")</f>
        <v>15</v>
      </c>
      <c r="R2828">
        <f t="shared" si="176"/>
        <v>69</v>
      </c>
      <c r="S2828" t="str" cm="1">
        <f t="array" ref="S2828">IF(P2828="","",_xlfn.SWITCH(LEFT(P2828,1),"C","Ciudad","T","Pueblo","R","Rural","S","Suburbano","U","Urbano",""))</f>
        <v>Urbano</v>
      </c>
      <c r="T2828" t="str">
        <f t="shared" si="177"/>
        <v>F</v>
      </c>
      <c r="U2828" t="str">
        <f t="shared" si="178"/>
        <v>IL</v>
      </c>
      <c r="V2828" t="str">
        <f t="shared" si="179"/>
        <v>26951</v>
      </c>
    </row>
    <row r="2829" spans="1:22" x14ac:dyDescent="0.35">
      <c r="A2829">
        <v>122823</v>
      </c>
      <c r="B2829" t="s">
        <v>21</v>
      </c>
      <c r="C2829" t="s">
        <v>17</v>
      </c>
      <c r="D2829">
        <v>1020</v>
      </c>
      <c r="E2829">
        <v>523</v>
      </c>
      <c r="F2829">
        <v>608</v>
      </c>
      <c r="G2829">
        <v>1</v>
      </c>
      <c r="H2829">
        <v>19432</v>
      </c>
      <c r="I2829">
        <v>6</v>
      </c>
      <c r="J2829">
        <v>50</v>
      </c>
      <c r="K2829">
        <v>544</v>
      </c>
      <c r="L2829">
        <v>586</v>
      </c>
      <c r="M2829">
        <v>21.25</v>
      </c>
      <c r="N2829">
        <f>IFERROR(VLOOKUP(A2829,vlookup_table!$A:$G,2,FALSE),"")</f>
        <v>0</v>
      </c>
      <c r="O2829">
        <f>IFERROR(VLOOKUP(A2829,vlookup_table!$A:$G,4,FALSE),"")</f>
        <v>0</v>
      </c>
      <c r="P2829" t="str">
        <f>IFERROR(VLOOKUP(A2829,vlookup_table!$A:$G,5,FALSE),"")</f>
        <v>T1</v>
      </c>
      <c r="Q2829">
        <f>IFERROR(VLOOKUP(A2829,vlookup_table!$A:$G,7,FALSE),"")</f>
        <v>35</v>
      </c>
      <c r="R2829">
        <f t="shared" si="176"/>
        <v>97</v>
      </c>
      <c r="S2829" t="str" cm="1">
        <f t="array" ref="S2829">IF(P2829="","",_xlfn.SWITCH(LEFT(P2829,1),"C","Ciudad","T","Pueblo","R","Rural","S","Suburbano","U","Urbano",""))</f>
        <v>Pueblo</v>
      </c>
      <c r="T2829" t="str">
        <f t="shared" si="177"/>
        <v>F</v>
      </c>
      <c r="U2829" t="str">
        <f t="shared" si="178"/>
        <v>TX</v>
      </c>
      <c r="V2829" t="str">
        <f t="shared" si="179"/>
        <v>19432</v>
      </c>
    </row>
    <row r="2830" spans="1:22" x14ac:dyDescent="0.35">
      <c r="A2830">
        <v>159180</v>
      </c>
      <c r="B2830" t="s">
        <v>22</v>
      </c>
      <c r="C2830" t="s">
        <v>14</v>
      </c>
      <c r="D2830">
        <v>2221</v>
      </c>
      <c r="E2830">
        <v>540</v>
      </c>
      <c r="F2830">
        <v>570</v>
      </c>
      <c r="G2830">
        <v>73</v>
      </c>
      <c r="H2830">
        <v>16639</v>
      </c>
      <c r="I2830">
        <v>17</v>
      </c>
      <c r="J2830">
        <v>44</v>
      </c>
      <c r="K2830">
        <v>562</v>
      </c>
      <c r="L2830">
        <v>569</v>
      </c>
      <c r="M2830">
        <v>8.5714285710000002</v>
      </c>
      <c r="N2830">
        <f>IFERROR(VLOOKUP(A2830,vlookup_table!$A:$G,2,FALSE),"")</f>
        <v>2</v>
      </c>
      <c r="O2830">
        <f>IFERROR(VLOOKUP(A2830,vlookup_table!$A:$G,4,FALSE),"")</f>
        <v>5201</v>
      </c>
      <c r="P2830" t="str">
        <f>IFERROR(VLOOKUP(A2830,vlookup_table!$A:$G,5,FALSE),"")</f>
        <v>C1</v>
      </c>
      <c r="Q2830">
        <f>IFERROR(VLOOKUP(A2830,vlookup_table!$A:$G,7,FALSE),"")</f>
        <v>10</v>
      </c>
      <c r="R2830">
        <f t="shared" si="176"/>
        <v>45</v>
      </c>
      <c r="S2830" t="str" cm="1">
        <f t="array" ref="S2830">IF(P2830="","",_xlfn.SWITCH(LEFT(P2830,1),"C","Ciudad","T","Pueblo","R","Rural","S","Suburbano","U","Urbano",""))</f>
        <v>Ciudad</v>
      </c>
      <c r="T2830" t="str">
        <f t="shared" si="177"/>
        <v>M</v>
      </c>
      <c r="U2830" t="str">
        <f t="shared" si="178"/>
        <v>CA</v>
      </c>
      <c r="V2830" t="str">
        <f t="shared" si="179"/>
        <v>16639</v>
      </c>
    </row>
    <row r="2831" spans="1:22" x14ac:dyDescent="0.35">
      <c r="A2831">
        <v>140171</v>
      </c>
      <c r="B2831" t="s">
        <v>54</v>
      </c>
      <c r="C2831" t="s">
        <v>14</v>
      </c>
      <c r="D2831">
        <v>659</v>
      </c>
      <c r="E2831">
        <v>240</v>
      </c>
      <c r="F2831">
        <v>326</v>
      </c>
      <c r="G2831">
        <v>0</v>
      </c>
      <c r="H2831">
        <v>11242</v>
      </c>
      <c r="I2831">
        <v>10</v>
      </c>
      <c r="J2831">
        <v>63</v>
      </c>
      <c r="K2831">
        <v>280</v>
      </c>
      <c r="L2831">
        <v>303</v>
      </c>
      <c r="M2831">
        <v>9.5</v>
      </c>
      <c r="N2831">
        <f>IFERROR(VLOOKUP(A2831,vlookup_table!$A:$G,2,FALSE),"")</f>
        <v>1</v>
      </c>
      <c r="O2831">
        <f>IFERROR(VLOOKUP(A2831,vlookup_table!$A:$G,4,FALSE),"")</f>
        <v>2304</v>
      </c>
      <c r="P2831" t="str">
        <f>IFERROR(VLOOKUP(A2831,vlookup_table!$A:$G,5,FALSE),"")</f>
        <v>T2</v>
      </c>
      <c r="Q2831">
        <f>IFERROR(VLOOKUP(A2831,vlookup_table!$A:$G,7,FALSE),"")</f>
        <v>15</v>
      </c>
      <c r="R2831">
        <f t="shared" si="176"/>
        <v>74</v>
      </c>
      <c r="S2831" t="str" cm="1">
        <f t="array" ref="S2831">IF(P2831="","",_xlfn.SWITCH(LEFT(P2831,1),"C","Ciudad","T","Pueblo","R","Rural","S","Suburbano","U","Urbano",""))</f>
        <v>Pueblo</v>
      </c>
      <c r="T2831" t="str">
        <f t="shared" si="177"/>
        <v>M</v>
      </c>
      <c r="U2831" t="str">
        <f t="shared" si="178"/>
        <v>NM</v>
      </c>
      <c r="V2831" t="str">
        <f t="shared" si="179"/>
        <v>11242</v>
      </c>
    </row>
    <row r="2832" spans="1:22" x14ac:dyDescent="0.35">
      <c r="A2832">
        <v>74436</v>
      </c>
      <c r="B2832" t="s">
        <v>29</v>
      </c>
      <c r="C2832" t="s">
        <v>14</v>
      </c>
      <c r="D2832">
        <v>429</v>
      </c>
      <c r="E2832">
        <v>179</v>
      </c>
      <c r="F2832">
        <v>316</v>
      </c>
      <c r="G2832">
        <v>0</v>
      </c>
      <c r="H2832">
        <v>11722</v>
      </c>
      <c r="I2832">
        <v>1</v>
      </c>
      <c r="J2832">
        <v>93</v>
      </c>
      <c r="K2832">
        <v>282</v>
      </c>
      <c r="L2832">
        <v>239</v>
      </c>
      <c r="M2832">
        <v>16</v>
      </c>
      <c r="N2832">
        <f>IFERROR(VLOOKUP(A2832,vlookup_table!$A:$G,2,FALSE),"")</f>
        <v>1002</v>
      </c>
      <c r="O2832">
        <f>IFERROR(VLOOKUP(A2832,vlookup_table!$A:$G,4,FALSE),"")</f>
        <v>5701</v>
      </c>
      <c r="P2832" t="str">
        <f>IFERROR(VLOOKUP(A2832,vlookup_table!$A:$G,5,FALSE),"")</f>
        <v>R3</v>
      </c>
      <c r="Q2832">
        <f>IFERROR(VLOOKUP(A2832,vlookup_table!$A:$G,7,FALSE),"")</f>
        <v>37</v>
      </c>
      <c r="R2832">
        <f t="shared" si="176"/>
        <v>40</v>
      </c>
      <c r="S2832" t="str" cm="1">
        <f t="array" ref="S2832">IF(P2832="","",_xlfn.SWITCH(LEFT(P2832,1),"C","Ciudad","T","Pueblo","R","Rural","S","Suburbano","U","Urbano",""))</f>
        <v>Rural</v>
      </c>
      <c r="T2832" t="str">
        <f t="shared" si="177"/>
        <v>M</v>
      </c>
      <c r="U2832" t="str">
        <f t="shared" si="178"/>
        <v>MI</v>
      </c>
      <c r="V2832" t="str">
        <f t="shared" si="179"/>
        <v>11722</v>
      </c>
    </row>
    <row r="2833" spans="1:22" x14ac:dyDescent="0.35">
      <c r="A2833">
        <v>92963</v>
      </c>
      <c r="B2833" t="s">
        <v>16</v>
      </c>
      <c r="C2833" t="s">
        <v>14</v>
      </c>
      <c r="D2833">
        <v>900</v>
      </c>
      <c r="E2833">
        <v>437</v>
      </c>
      <c r="F2833">
        <v>1093</v>
      </c>
      <c r="G2833">
        <v>0</v>
      </c>
      <c r="H2833">
        <v>64360</v>
      </c>
      <c r="I2833">
        <v>17</v>
      </c>
      <c r="J2833">
        <v>42</v>
      </c>
      <c r="K2833">
        <v>1151</v>
      </c>
      <c r="L2833">
        <v>643</v>
      </c>
      <c r="M2833">
        <v>20</v>
      </c>
      <c r="N2833">
        <f>IFERROR(VLOOKUP(A2833,vlookup_table!$A:$G,2,FALSE),"")</f>
        <v>2</v>
      </c>
      <c r="O2833">
        <f>IFERROR(VLOOKUP(A2833,vlookup_table!$A:$G,4,FALSE),"")</f>
        <v>0</v>
      </c>
      <c r="P2833" t="str">
        <f>IFERROR(VLOOKUP(A2833,vlookup_table!$A:$G,5,FALSE),"")</f>
        <v>U1</v>
      </c>
      <c r="Q2833">
        <f>IFERROR(VLOOKUP(A2833,vlookup_table!$A:$G,7,FALSE),"")</f>
        <v>20</v>
      </c>
      <c r="R2833">
        <f t="shared" si="176"/>
        <v>97</v>
      </c>
      <c r="S2833" t="str" cm="1">
        <f t="array" ref="S2833">IF(P2833="","",_xlfn.SWITCH(LEFT(P2833,1),"C","Ciudad","T","Pueblo","R","Rural","S","Suburbano","U","Urbano",""))</f>
        <v>Urbano</v>
      </c>
      <c r="T2833" t="str">
        <f t="shared" si="177"/>
        <v>M</v>
      </c>
      <c r="U2833" t="str">
        <f t="shared" si="178"/>
        <v>IL</v>
      </c>
      <c r="V2833" t="str">
        <f t="shared" si="179"/>
        <v>64360</v>
      </c>
    </row>
    <row r="2834" spans="1:22" x14ac:dyDescent="0.35">
      <c r="A2834">
        <v>170907</v>
      </c>
      <c r="B2834" t="s">
        <v>22</v>
      </c>
      <c r="C2834" t="s">
        <v>17</v>
      </c>
      <c r="D2834">
        <v>2225</v>
      </c>
      <c r="E2834">
        <v>625</v>
      </c>
      <c r="F2834">
        <v>674</v>
      </c>
      <c r="G2834">
        <v>70</v>
      </c>
      <c r="H2834">
        <v>24493</v>
      </c>
      <c r="I2834">
        <v>8</v>
      </c>
      <c r="J2834">
        <v>55</v>
      </c>
      <c r="K2834">
        <v>632</v>
      </c>
      <c r="L2834">
        <v>662</v>
      </c>
      <c r="M2834">
        <v>10</v>
      </c>
      <c r="N2834">
        <f>IFERROR(VLOOKUP(A2834,vlookup_table!$A:$G,2,FALSE),"")</f>
        <v>0</v>
      </c>
      <c r="O2834">
        <f>IFERROR(VLOOKUP(A2834,vlookup_table!$A:$G,4,FALSE),"")</f>
        <v>6001</v>
      </c>
      <c r="P2834" t="str">
        <f>IFERROR(VLOOKUP(A2834,vlookup_table!$A:$G,5,FALSE),"")</f>
        <v>S1</v>
      </c>
      <c r="Q2834">
        <f>IFERROR(VLOOKUP(A2834,vlookup_table!$A:$G,7,FALSE),"")</f>
        <v>15</v>
      </c>
      <c r="R2834">
        <f t="shared" si="176"/>
        <v>37</v>
      </c>
      <c r="S2834" t="str" cm="1">
        <f t="array" ref="S2834">IF(P2834="","",_xlfn.SWITCH(LEFT(P2834,1),"C","Ciudad","T","Pueblo","R","Rural","S","Suburbano","U","Urbano",""))</f>
        <v>Suburbano</v>
      </c>
      <c r="T2834" t="str">
        <f t="shared" si="177"/>
        <v>F</v>
      </c>
      <c r="U2834" t="str">
        <f t="shared" si="178"/>
        <v>CA</v>
      </c>
      <c r="V2834" t="str">
        <f t="shared" si="179"/>
        <v>24493</v>
      </c>
    </row>
    <row r="2835" spans="1:22" x14ac:dyDescent="0.35">
      <c r="A2835">
        <v>93894</v>
      </c>
      <c r="B2835" t="s">
        <v>16</v>
      </c>
      <c r="C2835" t="s">
        <v>17</v>
      </c>
      <c r="D2835">
        <v>540</v>
      </c>
      <c r="E2835">
        <v>310</v>
      </c>
      <c r="F2835">
        <v>399</v>
      </c>
      <c r="G2835">
        <v>0</v>
      </c>
      <c r="H2835">
        <v>11230</v>
      </c>
      <c r="I2835">
        <v>29</v>
      </c>
      <c r="J2835">
        <v>58</v>
      </c>
      <c r="K2835">
        <v>332</v>
      </c>
      <c r="L2835">
        <v>361</v>
      </c>
      <c r="M2835">
        <v>5.4375</v>
      </c>
      <c r="N2835">
        <f>IFERROR(VLOOKUP(A2835,vlookup_table!$A:$G,2,FALSE),"")</f>
        <v>2</v>
      </c>
      <c r="O2835">
        <f>IFERROR(VLOOKUP(A2835,vlookup_table!$A:$G,4,FALSE),"")</f>
        <v>1501</v>
      </c>
      <c r="P2835" t="str">
        <f>IFERROR(VLOOKUP(A2835,vlookup_table!$A:$G,5,FALSE),"")</f>
        <v>U3</v>
      </c>
      <c r="Q2835">
        <f>IFERROR(VLOOKUP(A2835,vlookup_table!$A:$G,7,FALSE),"")</f>
        <v>11</v>
      </c>
      <c r="R2835">
        <f t="shared" si="176"/>
        <v>82</v>
      </c>
      <c r="S2835" t="str" cm="1">
        <f t="array" ref="S2835">IF(P2835="","",_xlfn.SWITCH(LEFT(P2835,1),"C","Ciudad","T","Pueblo","R","Rural","S","Suburbano","U","Urbano",""))</f>
        <v>Urbano</v>
      </c>
      <c r="T2835" t="str">
        <f t="shared" si="177"/>
        <v>F</v>
      </c>
      <c r="U2835" t="str">
        <f t="shared" si="178"/>
        <v>IL</v>
      </c>
      <c r="V2835" t="str">
        <f t="shared" si="179"/>
        <v>11230</v>
      </c>
    </row>
    <row r="2836" spans="1:22" x14ac:dyDescent="0.35">
      <c r="A2836">
        <v>133144</v>
      </c>
      <c r="B2836" t="s">
        <v>41</v>
      </c>
      <c r="C2836" t="s">
        <v>14</v>
      </c>
      <c r="D2836">
        <v>274</v>
      </c>
      <c r="E2836">
        <v>170</v>
      </c>
      <c r="F2836">
        <v>232</v>
      </c>
      <c r="G2836">
        <v>0</v>
      </c>
      <c r="H2836">
        <v>9658</v>
      </c>
      <c r="I2836">
        <v>1</v>
      </c>
      <c r="J2836">
        <v>50</v>
      </c>
      <c r="K2836">
        <v>186</v>
      </c>
      <c r="L2836">
        <v>203</v>
      </c>
      <c r="M2836">
        <v>15.66666667</v>
      </c>
      <c r="N2836">
        <f>IFERROR(VLOOKUP(A2836,vlookup_table!$A:$G,2,FALSE),"")</f>
        <v>1</v>
      </c>
      <c r="O2836">
        <f>IFERROR(VLOOKUP(A2836,vlookup_table!$A:$G,4,FALSE),"")</f>
        <v>3001</v>
      </c>
      <c r="P2836" t="str">
        <f>IFERROR(VLOOKUP(A2836,vlookup_table!$A:$G,5,FALSE),"")</f>
        <v>R3</v>
      </c>
      <c r="Q2836">
        <f>IFERROR(VLOOKUP(A2836,vlookup_table!$A:$G,7,FALSE),"")</f>
        <v>10</v>
      </c>
      <c r="R2836">
        <f t="shared" si="176"/>
        <v>67</v>
      </c>
      <c r="S2836" t="str" cm="1">
        <f t="array" ref="S2836">IF(P2836="","",_xlfn.SWITCH(LEFT(P2836,1),"C","Ciudad","T","Pueblo","R","Rural","S","Suburbano","U","Urbano",""))</f>
        <v>Rural</v>
      </c>
      <c r="T2836" t="str">
        <f t="shared" si="177"/>
        <v>M</v>
      </c>
      <c r="U2836" t="str">
        <f t="shared" si="178"/>
        <v>ID</v>
      </c>
      <c r="V2836" t="str">
        <f t="shared" si="179"/>
        <v>9658</v>
      </c>
    </row>
    <row r="2837" spans="1:22" x14ac:dyDescent="0.35">
      <c r="A2837">
        <v>71347</v>
      </c>
      <c r="B2837" t="s">
        <v>29</v>
      </c>
      <c r="C2837" t="s">
        <v>17</v>
      </c>
      <c r="D2837">
        <v>638</v>
      </c>
      <c r="E2837">
        <v>402</v>
      </c>
      <c r="F2837">
        <v>437</v>
      </c>
      <c r="G2837">
        <v>0</v>
      </c>
      <c r="H2837">
        <v>13264</v>
      </c>
      <c r="I2837">
        <v>0</v>
      </c>
      <c r="J2837">
        <v>91</v>
      </c>
      <c r="K2837">
        <v>418</v>
      </c>
      <c r="L2837">
        <v>418</v>
      </c>
      <c r="M2837">
        <v>4.6363636359999996</v>
      </c>
      <c r="N2837">
        <f>IFERROR(VLOOKUP(A2837,vlookup_table!$A:$G,2,FALSE),"")</f>
        <v>2</v>
      </c>
      <c r="O2837">
        <f>IFERROR(VLOOKUP(A2837,vlookup_table!$A:$G,4,FALSE),"")</f>
        <v>5101</v>
      </c>
      <c r="P2837" t="str">
        <f>IFERROR(VLOOKUP(A2837,vlookup_table!$A:$G,5,FALSE),"")</f>
        <v>R2</v>
      </c>
      <c r="Q2837">
        <f>IFERROR(VLOOKUP(A2837,vlookup_table!$A:$G,7,FALSE),"")</f>
        <v>4</v>
      </c>
      <c r="R2837">
        <f t="shared" si="176"/>
        <v>46</v>
      </c>
      <c r="S2837" t="str" cm="1">
        <f t="array" ref="S2837">IF(P2837="","",_xlfn.SWITCH(LEFT(P2837,1),"C","Ciudad","T","Pueblo","R","Rural","S","Suburbano","U","Urbano",""))</f>
        <v>Rural</v>
      </c>
      <c r="T2837" t="str">
        <f t="shared" si="177"/>
        <v>F</v>
      </c>
      <c r="U2837" t="str">
        <f t="shared" si="178"/>
        <v>MI</v>
      </c>
      <c r="V2837" t="str">
        <f t="shared" si="179"/>
        <v>13264</v>
      </c>
    </row>
    <row r="2838" spans="1:22" x14ac:dyDescent="0.35">
      <c r="A2838">
        <v>67595</v>
      </c>
      <c r="B2838" t="s">
        <v>29</v>
      </c>
      <c r="C2838" t="s">
        <v>17</v>
      </c>
      <c r="D2838">
        <v>157</v>
      </c>
      <c r="E2838">
        <v>107</v>
      </c>
      <c r="F2838">
        <v>213</v>
      </c>
      <c r="G2838">
        <v>0</v>
      </c>
      <c r="H2838">
        <v>5912</v>
      </c>
      <c r="I2838">
        <v>1</v>
      </c>
      <c r="J2838">
        <v>70</v>
      </c>
      <c r="K2838">
        <v>150</v>
      </c>
      <c r="L2838">
        <v>185</v>
      </c>
      <c r="M2838">
        <v>13.33333333</v>
      </c>
      <c r="N2838">
        <f>IFERROR(VLOOKUP(A2838,vlookup_table!$A:$G,2,FALSE),"")</f>
        <v>0</v>
      </c>
      <c r="O2838">
        <f>IFERROR(VLOOKUP(A2838,vlookup_table!$A:$G,4,FALSE),"")</f>
        <v>3508</v>
      </c>
      <c r="P2838" t="str">
        <f>IFERROR(VLOOKUP(A2838,vlookup_table!$A:$G,5,FALSE),"")</f>
        <v>U4</v>
      </c>
      <c r="Q2838">
        <f>IFERROR(VLOOKUP(A2838,vlookup_table!$A:$G,7,FALSE),"")</f>
        <v>15</v>
      </c>
      <c r="R2838">
        <f t="shared" si="176"/>
        <v>62</v>
      </c>
      <c r="S2838" t="str" cm="1">
        <f t="array" ref="S2838">IF(P2838="","",_xlfn.SWITCH(LEFT(P2838,1),"C","Ciudad","T","Pueblo","R","Rural","S","Suburbano","U","Urbano",""))</f>
        <v>Urbano</v>
      </c>
      <c r="T2838" t="str">
        <f t="shared" si="177"/>
        <v>F</v>
      </c>
      <c r="U2838" t="str">
        <f t="shared" si="178"/>
        <v>MI</v>
      </c>
      <c r="V2838" t="str">
        <f t="shared" si="179"/>
        <v>5912</v>
      </c>
    </row>
    <row r="2839" spans="1:22" x14ac:dyDescent="0.35">
      <c r="A2839">
        <v>3550</v>
      </c>
      <c r="B2839" t="s">
        <v>33</v>
      </c>
      <c r="C2839" t="s">
        <v>14</v>
      </c>
      <c r="D2839">
        <v>342</v>
      </c>
      <c r="E2839">
        <v>243</v>
      </c>
      <c r="F2839">
        <v>322</v>
      </c>
      <c r="G2839">
        <v>0</v>
      </c>
      <c r="H2839">
        <v>10488</v>
      </c>
      <c r="I2839">
        <v>1</v>
      </c>
      <c r="J2839">
        <v>87</v>
      </c>
      <c r="K2839">
        <v>291</v>
      </c>
      <c r="L2839">
        <v>277</v>
      </c>
      <c r="M2839">
        <v>11.5</v>
      </c>
      <c r="N2839">
        <f>IFERROR(VLOOKUP(A2839,vlookup_table!$A:$G,2,FALSE),"")</f>
        <v>1</v>
      </c>
      <c r="O2839">
        <f>IFERROR(VLOOKUP(A2839,vlookup_table!$A:$G,4,FALSE),"")</f>
        <v>1110</v>
      </c>
      <c r="P2839" t="str">
        <f>IFERROR(VLOOKUP(A2839,vlookup_table!$A:$G,5,FALSE),"")</f>
        <v>R2</v>
      </c>
      <c r="Q2839">
        <f>IFERROR(VLOOKUP(A2839,vlookup_table!$A:$G,7,FALSE),"")</f>
        <v>10</v>
      </c>
      <c r="R2839">
        <f t="shared" si="176"/>
        <v>86</v>
      </c>
      <c r="S2839" t="str" cm="1">
        <f t="array" ref="S2839">IF(P2839="","",_xlfn.SWITCH(LEFT(P2839,1),"C","Ciudad","T","Pueblo","R","Rural","S","Suburbano","U","Urbano",""))</f>
        <v>Rural</v>
      </c>
      <c r="T2839" t="str">
        <f t="shared" si="177"/>
        <v>M</v>
      </c>
      <c r="U2839" t="str">
        <f t="shared" si="178"/>
        <v>IN</v>
      </c>
      <c r="V2839" t="str">
        <f t="shared" si="179"/>
        <v>10488</v>
      </c>
    </row>
    <row r="2840" spans="1:22" x14ac:dyDescent="0.35">
      <c r="A2840">
        <v>141276</v>
      </c>
      <c r="B2840" t="s">
        <v>24</v>
      </c>
      <c r="C2840" t="s">
        <v>14</v>
      </c>
      <c r="D2840">
        <v>714</v>
      </c>
      <c r="E2840">
        <v>299</v>
      </c>
      <c r="F2840">
        <v>343</v>
      </c>
      <c r="G2840">
        <v>0</v>
      </c>
      <c r="H2840">
        <v>12239</v>
      </c>
      <c r="I2840">
        <v>9</v>
      </c>
      <c r="J2840">
        <v>23</v>
      </c>
      <c r="K2840">
        <v>311</v>
      </c>
      <c r="L2840">
        <v>333</v>
      </c>
      <c r="M2840">
        <v>12.07142857</v>
      </c>
      <c r="N2840">
        <f>IFERROR(VLOOKUP(A2840,vlookup_table!$A:$G,2,FALSE),"")</f>
        <v>1</v>
      </c>
      <c r="O2840">
        <f>IFERROR(VLOOKUP(A2840,vlookup_table!$A:$G,4,FALSE),"")</f>
        <v>2005</v>
      </c>
      <c r="P2840" t="str">
        <f>IFERROR(VLOOKUP(A2840,vlookup_table!$A:$G,5,FALSE),"")</f>
        <v>C3</v>
      </c>
      <c r="Q2840">
        <f>IFERROR(VLOOKUP(A2840,vlookup_table!$A:$G,7,FALSE),"")</f>
        <v>6</v>
      </c>
      <c r="R2840">
        <f t="shared" si="176"/>
        <v>77</v>
      </c>
      <c r="S2840" t="str" cm="1">
        <f t="array" ref="S2840">IF(P2840="","",_xlfn.SWITCH(LEFT(P2840,1),"C","Ciudad","T","Pueblo","R","Rural","S","Suburbano","U","Urbano",""))</f>
        <v>Ciudad</v>
      </c>
      <c r="T2840" t="str">
        <f t="shared" si="177"/>
        <v>M</v>
      </c>
      <c r="U2840" t="str">
        <f t="shared" si="178"/>
        <v>NV</v>
      </c>
      <c r="V2840" t="str">
        <f t="shared" si="179"/>
        <v>12239</v>
      </c>
    </row>
    <row r="2841" spans="1:22" x14ac:dyDescent="0.35">
      <c r="A2841">
        <v>184255</v>
      </c>
      <c r="B2841" t="s">
        <v>40</v>
      </c>
      <c r="C2841" t="s">
        <v>51</v>
      </c>
      <c r="D2841">
        <v>814</v>
      </c>
      <c r="E2841">
        <v>470</v>
      </c>
      <c r="F2841">
        <v>529</v>
      </c>
      <c r="G2841">
        <v>4</v>
      </c>
      <c r="H2841">
        <v>17455</v>
      </c>
      <c r="I2841">
        <v>5</v>
      </c>
      <c r="J2841">
        <v>58</v>
      </c>
      <c r="K2841">
        <v>484</v>
      </c>
      <c r="L2841">
        <v>509</v>
      </c>
      <c r="M2841">
        <v>16.333333329999999</v>
      </c>
      <c r="N2841">
        <f>IFERROR(VLOOKUP(A2841,vlookup_table!$A:$G,2,FALSE),"")</f>
        <v>1</v>
      </c>
      <c r="O2841">
        <f>IFERROR(VLOOKUP(A2841,vlookup_table!$A:$G,4,FALSE),"")</f>
        <v>3210</v>
      </c>
      <c r="P2841" t="str">
        <f>IFERROR(VLOOKUP(A2841,vlookup_table!$A:$G,5,FALSE),"")</f>
        <v>T1</v>
      </c>
      <c r="Q2841">
        <f>IFERROR(VLOOKUP(A2841,vlookup_table!$A:$G,7,FALSE),"")</f>
        <v>25</v>
      </c>
      <c r="R2841">
        <f t="shared" si="176"/>
        <v>65</v>
      </c>
      <c r="S2841" t="str" cm="1">
        <f t="array" ref="S2841">IF(P2841="","",_xlfn.SWITCH(LEFT(P2841,1),"C","Ciudad","T","Pueblo","R","Rural","S","Suburbano","U","Urbano",""))</f>
        <v>Pueblo</v>
      </c>
      <c r="T2841" t="str">
        <f t="shared" si="177"/>
        <v>M</v>
      </c>
      <c r="U2841" t="str">
        <f t="shared" si="178"/>
        <v>WA</v>
      </c>
      <c r="V2841" t="str">
        <f t="shared" si="179"/>
        <v>17455</v>
      </c>
    </row>
    <row r="2842" spans="1:22" x14ac:dyDescent="0.35">
      <c r="A2842">
        <v>181841</v>
      </c>
      <c r="B2842" t="s">
        <v>21</v>
      </c>
      <c r="C2842" t="s">
        <v>17</v>
      </c>
      <c r="D2842">
        <v>652</v>
      </c>
      <c r="E2842">
        <v>427</v>
      </c>
      <c r="F2842">
        <v>491</v>
      </c>
      <c r="G2842">
        <v>0</v>
      </c>
      <c r="H2842">
        <v>15375</v>
      </c>
      <c r="I2842">
        <v>13</v>
      </c>
      <c r="J2842">
        <v>54</v>
      </c>
      <c r="K2842">
        <v>458</v>
      </c>
      <c r="L2842">
        <v>467</v>
      </c>
      <c r="M2842">
        <v>14.15789474</v>
      </c>
      <c r="N2842">
        <f>IFERROR(VLOOKUP(A2842,vlookup_table!$A:$G,2,FALSE),"")</f>
        <v>28</v>
      </c>
      <c r="O2842">
        <f>IFERROR(VLOOKUP(A2842,vlookup_table!$A:$G,4,FALSE),"")</f>
        <v>0</v>
      </c>
      <c r="P2842" t="str">
        <f>IFERROR(VLOOKUP(A2842,vlookup_table!$A:$G,5,FALSE),"")</f>
        <v>S2</v>
      </c>
      <c r="Q2842">
        <f>IFERROR(VLOOKUP(A2842,vlookup_table!$A:$G,7,FALSE),"")</f>
        <v>20</v>
      </c>
      <c r="R2842">
        <f t="shared" si="176"/>
        <v>97</v>
      </c>
      <c r="S2842" t="str" cm="1">
        <f t="array" ref="S2842">IF(P2842="","",_xlfn.SWITCH(LEFT(P2842,1),"C","Ciudad","T","Pueblo","R","Rural","S","Suburbano","U","Urbano",""))</f>
        <v>Suburbano</v>
      </c>
      <c r="T2842" t="str">
        <f t="shared" si="177"/>
        <v>F</v>
      </c>
      <c r="U2842" t="str">
        <f t="shared" si="178"/>
        <v>TX</v>
      </c>
      <c r="V2842" t="str">
        <f t="shared" si="179"/>
        <v>15375</v>
      </c>
    </row>
    <row r="2843" spans="1:22" x14ac:dyDescent="0.35">
      <c r="A2843">
        <v>182670</v>
      </c>
      <c r="B2843" t="s">
        <v>40</v>
      </c>
      <c r="C2843" t="s">
        <v>51</v>
      </c>
      <c r="D2843">
        <v>394</v>
      </c>
      <c r="E2843">
        <v>321</v>
      </c>
      <c r="F2843">
        <v>420</v>
      </c>
      <c r="G2843">
        <v>1</v>
      </c>
      <c r="H2843">
        <v>15348</v>
      </c>
      <c r="I2843">
        <v>0</v>
      </c>
      <c r="J2843">
        <v>66</v>
      </c>
      <c r="K2843">
        <v>367</v>
      </c>
      <c r="L2843">
        <v>349</v>
      </c>
      <c r="M2843">
        <v>3.8235294120000001</v>
      </c>
      <c r="N2843">
        <f>IFERROR(VLOOKUP(A2843,vlookup_table!$A:$G,2,FALSE),"")</f>
        <v>1</v>
      </c>
      <c r="O2843">
        <f>IFERROR(VLOOKUP(A2843,vlookup_table!$A:$G,4,FALSE),"")</f>
        <v>2304</v>
      </c>
      <c r="P2843" t="str">
        <f>IFERROR(VLOOKUP(A2843,vlookup_table!$A:$G,5,FALSE),"")</f>
        <v>R2</v>
      </c>
      <c r="Q2843">
        <f>IFERROR(VLOOKUP(A2843,vlookup_table!$A:$G,7,FALSE),"")</f>
        <v>5</v>
      </c>
      <c r="R2843">
        <f t="shared" si="176"/>
        <v>74</v>
      </c>
      <c r="S2843" t="str" cm="1">
        <f t="array" ref="S2843">IF(P2843="","",_xlfn.SWITCH(LEFT(P2843,1),"C","Ciudad","T","Pueblo","R","Rural","S","Suburbano","U","Urbano",""))</f>
        <v>Rural</v>
      </c>
      <c r="T2843" t="str">
        <f t="shared" si="177"/>
        <v>M</v>
      </c>
      <c r="U2843" t="str">
        <f t="shared" si="178"/>
        <v>WA</v>
      </c>
      <c r="V2843" t="str">
        <f t="shared" si="179"/>
        <v>15348</v>
      </c>
    </row>
    <row r="2844" spans="1:22" x14ac:dyDescent="0.35">
      <c r="A2844">
        <v>22645</v>
      </c>
      <c r="B2844" t="s">
        <v>46</v>
      </c>
      <c r="D2844">
        <v>416</v>
      </c>
      <c r="E2844">
        <v>191</v>
      </c>
      <c r="F2844">
        <v>247</v>
      </c>
      <c r="G2844">
        <v>0</v>
      </c>
      <c r="H2844">
        <v>7564</v>
      </c>
      <c r="I2844">
        <v>1</v>
      </c>
      <c r="J2844">
        <v>79</v>
      </c>
      <c r="K2844">
        <v>215</v>
      </c>
      <c r="L2844">
        <v>228</v>
      </c>
      <c r="M2844">
        <v>7.2727272730000001</v>
      </c>
      <c r="N2844">
        <f>IFERROR(VLOOKUP(A2844,vlookup_table!$A:$G,2,FALSE),"")</f>
        <v>2</v>
      </c>
      <c r="O2844">
        <f>IFERROR(VLOOKUP(A2844,vlookup_table!$A:$G,4,FALSE),"")</f>
        <v>3604</v>
      </c>
      <c r="P2844" t="str">
        <f>IFERROR(VLOOKUP(A2844,vlookup_table!$A:$G,5,FALSE),"")</f>
        <v>R2</v>
      </c>
      <c r="Q2844">
        <f>IFERROR(VLOOKUP(A2844,vlookup_table!$A:$G,7,FALSE),"")</f>
        <v>8</v>
      </c>
      <c r="R2844">
        <f t="shared" si="176"/>
        <v>61</v>
      </c>
      <c r="S2844" t="str" cm="1">
        <f t="array" ref="S2844">IF(P2844="","",_xlfn.SWITCH(LEFT(P2844,1),"C","Ciudad","T","Pueblo","R","Rural","S","Suburbano","U","Urbano",""))</f>
        <v>Rural</v>
      </c>
      <c r="T2844" t="str">
        <f t="shared" si="177"/>
        <v/>
      </c>
      <c r="U2844" t="str">
        <f t="shared" si="178"/>
        <v>SC</v>
      </c>
      <c r="V2844" t="str">
        <f t="shared" si="179"/>
        <v>7564</v>
      </c>
    </row>
    <row r="2845" spans="1:22" x14ac:dyDescent="0.35">
      <c r="A2845">
        <v>141834</v>
      </c>
      <c r="B2845" t="s">
        <v>24</v>
      </c>
      <c r="C2845" t="s">
        <v>17</v>
      </c>
      <c r="D2845">
        <v>984</v>
      </c>
      <c r="E2845">
        <v>330</v>
      </c>
      <c r="F2845">
        <v>413</v>
      </c>
      <c r="G2845">
        <v>5</v>
      </c>
      <c r="H2845">
        <v>13871</v>
      </c>
      <c r="I2845">
        <v>5</v>
      </c>
      <c r="J2845">
        <v>19</v>
      </c>
      <c r="K2845">
        <v>357</v>
      </c>
      <c r="L2845">
        <v>375</v>
      </c>
      <c r="M2845">
        <v>9.5</v>
      </c>
      <c r="N2845">
        <f>IFERROR(VLOOKUP(A2845,vlookup_table!$A:$G,2,FALSE),"")</f>
        <v>0</v>
      </c>
      <c r="O2845">
        <f>IFERROR(VLOOKUP(A2845,vlookup_table!$A:$G,4,FALSE),"")</f>
        <v>3001</v>
      </c>
      <c r="P2845" t="str">
        <f>IFERROR(VLOOKUP(A2845,vlookup_table!$A:$G,5,FALSE),"")</f>
        <v>R2</v>
      </c>
      <c r="Q2845">
        <f>IFERROR(VLOOKUP(A2845,vlookup_table!$A:$G,7,FALSE),"")</f>
        <v>8</v>
      </c>
      <c r="R2845">
        <f t="shared" si="176"/>
        <v>67</v>
      </c>
      <c r="S2845" t="str" cm="1">
        <f t="array" ref="S2845">IF(P2845="","",_xlfn.SWITCH(LEFT(P2845,1),"C","Ciudad","T","Pueblo","R","Rural","S","Suburbano","U","Urbano",""))</f>
        <v>Rural</v>
      </c>
      <c r="T2845" t="str">
        <f t="shared" si="177"/>
        <v>F</v>
      </c>
      <c r="U2845" t="str">
        <f t="shared" si="178"/>
        <v>NV</v>
      </c>
      <c r="V2845" t="str">
        <f t="shared" si="179"/>
        <v>13871</v>
      </c>
    </row>
    <row r="2846" spans="1:22" x14ac:dyDescent="0.35">
      <c r="A2846">
        <v>129335</v>
      </c>
      <c r="B2846" t="s">
        <v>48</v>
      </c>
      <c r="C2846" t="s">
        <v>14</v>
      </c>
      <c r="D2846">
        <v>919</v>
      </c>
      <c r="E2846">
        <v>488</v>
      </c>
      <c r="F2846">
        <v>529</v>
      </c>
      <c r="G2846">
        <v>0</v>
      </c>
      <c r="H2846">
        <v>16273</v>
      </c>
      <c r="I2846">
        <v>3</v>
      </c>
      <c r="J2846">
        <v>31</v>
      </c>
      <c r="K2846">
        <v>494</v>
      </c>
      <c r="L2846">
        <v>524</v>
      </c>
      <c r="M2846">
        <v>7.2727272730000001</v>
      </c>
      <c r="N2846">
        <f>IFERROR(VLOOKUP(A2846,vlookup_table!$A:$G,2,FALSE),"")</f>
        <v>1002</v>
      </c>
      <c r="O2846">
        <f>IFERROR(VLOOKUP(A2846,vlookup_table!$A:$G,4,FALSE),"")</f>
        <v>5001</v>
      </c>
      <c r="P2846" t="str">
        <f>IFERROR(VLOOKUP(A2846,vlookup_table!$A:$G,5,FALSE),"")</f>
        <v>S1</v>
      </c>
      <c r="Q2846">
        <f>IFERROR(VLOOKUP(A2846,vlookup_table!$A:$G,7,FALSE),"")</f>
        <v>12</v>
      </c>
      <c r="R2846">
        <f t="shared" si="176"/>
        <v>47</v>
      </c>
      <c r="S2846" t="str" cm="1">
        <f t="array" ref="S2846">IF(P2846="","",_xlfn.SWITCH(LEFT(P2846,1),"C","Ciudad","T","Pueblo","R","Rural","S","Suburbano","U","Urbano",""))</f>
        <v>Suburbano</v>
      </c>
      <c r="T2846" t="str">
        <f t="shared" si="177"/>
        <v>M</v>
      </c>
      <c r="U2846" t="str">
        <f t="shared" si="178"/>
        <v>CO</v>
      </c>
      <c r="V2846" t="str">
        <f t="shared" si="179"/>
        <v>16273</v>
      </c>
    </row>
    <row r="2847" spans="1:22" x14ac:dyDescent="0.35">
      <c r="A2847">
        <v>98793</v>
      </c>
      <c r="B2847" t="s">
        <v>16</v>
      </c>
      <c r="C2847" t="s">
        <v>14</v>
      </c>
      <c r="D2847">
        <v>332</v>
      </c>
      <c r="E2847">
        <v>213</v>
      </c>
      <c r="F2847">
        <v>300</v>
      </c>
      <c r="G2847">
        <v>0</v>
      </c>
      <c r="H2847">
        <v>9892</v>
      </c>
      <c r="I2847">
        <v>0</v>
      </c>
      <c r="J2847">
        <v>80</v>
      </c>
      <c r="K2847">
        <v>246</v>
      </c>
      <c r="L2847">
        <v>256</v>
      </c>
      <c r="M2847">
        <v>8.1428571430000005</v>
      </c>
      <c r="N2847">
        <f>IFERROR(VLOOKUP(A2847,vlookup_table!$A:$G,2,FALSE),"")</f>
        <v>0</v>
      </c>
      <c r="O2847">
        <f>IFERROR(VLOOKUP(A2847,vlookup_table!$A:$G,4,FALSE),"")</f>
        <v>2801</v>
      </c>
      <c r="P2847" t="str">
        <f>IFERROR(VLOOKUP(A2847,vlookup_table!$A:$G,5,FALSE),"")</f>
        <v>R2</v>
      </c>
      <c r="Q2847">
        <f>IFERROR(VLOOKUP(A2847,vlookup_table!$A:$G,7,FALSE),"")</f>
        <v>10</v>
      </c>
      <c r="R2847">
        <f t="shared" si="176"/>
        <v>69</v>
      </c>
      <c r="S2847" t="str" cm="1">
        <f t="array" ref="S2847">IF(P2847="","",_xlfn.SWITCH(LEFT(P2847,1),"C","Ciudad","T","Pueblo","R","Rural","S","Suburbano","U","Urbano",""))</f>
        <v>Rural</v>
      </c>
      <c r="T2847" t="str">
        <f t="shared" si="177"/>
        <v>M</v>
      </c>
      <c r="U2847" t="str">
        <f t="shared" si="178"/>
        <v>IL</v>
      </c>
      <c r="V2847" t="str">
        <f t="shared" si="179"/>
        <v>9892</v>
      </c>
    </row>
    <row r="2848" spans="1:22" x14ac:dyDescent="0.35">
      <c r="A2848">
        <v>187691</v>
      </c>
      <c r="B2848" t="s">
        <v>18</v>
      </c>
      <c r="C2848" t="s">
        <v>20</v>
      </c>
      <c r="D2848">
        <v>872</v>
      </c>
      <c r="E2848">
        <v>318</v>
      </c>
      <c r="F2848">
        <v>417</v>
      </c>
      <c r="G2848">
        <v>2</v>
      </c>
      <c r="H2848">
        <v>14570</v>
      </c>
      <c r="I2848">
        <v>0</v>
      </c>
      <c r="J2848">
        <v>68</v>
      </c>
      <c r="K2848">
        <v>394</v>
      </c>
      <c r="L2848">
        <v>362</v>
      </c>
      <c r="M2848">
        <v>4.2222222220000001</v>
      </c>
      <c r="N2848">
        <f>IFERROR(VLOOKUP(A2848,vlookup_table!$A:$G,2,FALSE),"")</f>
        <v>0</v>
      </c>
      <c r="O2848">
        <f>IFERROR(VLOOKUP(A2848,vlookup_table!$A:$G,4,FALSE),"")</f>
        <v>0</v>
      </c>
      <c r="P2848" t="str">
        <f>IFERROR(VLOOKUP(A2848,vlookup_table!$A:$G,5,FALSE),"")</f>
        <v>T2</v>
      </c>
      <c r="Q2848">
        <f>IFERROR(VLOOKUP(A2848,vlookup_table!$A:$G,7,FALSE),"")</f>
        <v>10</v>
      </c>
      <c r="R2848">
        <f t="shared" si="176"/>
        <v>97</v>
      </c>
      <c r="S2848" t="str" cm="1">
        <f t="array" ref="S2848">IF(P2848="","",_xlfn.SWITCH(LEFT(P2848,1),"C","Ciudad","T","Pueblo","R","Rural","S","Suburbano","U","Urbano",""))</f>
        <v>Pueblo</v>
      </c>
      <c r="T2848" t="str">
        <f t="shared" si="177"/>
        <v>F</v>
      </c>
      <c r="U2848" t="str">
        <f t="shared" si="178"/>
        <v>NC</v>
      </c>
      <c r="V2848" t="str">
        <f t="shared" si="179"/>
        <v>14570</v>
      </c>
    </row>
    <row r="2849" spans="1:22" x14ac:dyDescent="0.35">
      <c r="A2849">
        <v>112495</v>
      </c>
      <c r="B2849" t="s">
        <v>32</v>
      </c>
      <c r="C2849" t="s">
        <v>60</v>
      </c>
      <c r="D2849">
        <v>698</v>
      </c>
      <c r="E2849">
        <v>287</v>
      </c>
      <c r="F2849">
        <v>454</v>
      </c>
      <c r="G2849">
        <v>5</v>
      </c>
      <c r="H2849">
        <v>17175</v>
      </c>
      <c r="I2849">
        <v>3</v>
      </c>
      <c r="J2849">
        <v>56</v>
      </c>
      <c r="K2849">
        <v>372</v>
      </c>
      <c r="L2849">
        <v>376</v>
      </c>
      <c r="M2849">
        <v>6.4</v>
      </c>
      <c r="N2849">
        <f>IFERROR(VLOOKUP(A2849,vlookup_table!$A:$G,2,FALSE),"")</f>
        <v>0</v>
      </c>
      <c r="O2849">
        <f>IFERROR(VLOOKUP(A2849,vlookup_table!$A:$G,4,FALSE),"")</f>
        <v>0</v>
      </c>
      <c r="P2849" t="str">
        <f>IFERROR(VLOOKUP(A2849,vlookup_table!$A:$G,5,FALSE),"")</f>
        <v>C2</v>
      </c>
      <c r="Q2849">
        <f>IFERROR(VLOOKUP(A2849,vlookup_table!$A:$G,7,FALSE),"")</f>
        <v>8</v>
      </c>
      <c r="R2849">
        <f t="shared" si="176"/>
        <v>97</v>
      </c>
      <c r="S2849" t="str" cm="1">
        <f t="array" ref="S2849">IF(P2849="","",_xlfn.SWITCH(LEFT(P2849,1),"C","Ciudad","T","Pueblo","R","Rural","S","Suburbano","U","Urbano",""))</f>
        <v>Ciudad</v>
      </c>
      <c r="T2849" t="str">
        <f t="shared" si="177"/>
        <v>F</v>
      </c>
      <c r="U2849" t="str">
        <f t="shared" si="178"/>
        <v>AR</v>
      </c>
      <c r="V2849" t="str">
        <f t="shared" si="179"/>
        <v>17175</v>
      </c>
    </row>
    <row r="2850" spans="1:22" x14ac:dyDescent="0.35">
      <c r="A2850">
        <v>129408</v>
      </c>
      <c r="B2850" t="s">
        <v>48</v>
      </c>
      <c r="C2850" t="s">
        <v>14</v>
      </c>
      <c r="D2850">
        <v>818</v>
      </c>
      <c r="E2850">
        <v>405</v>
      </c>
      <c r="F2850">
        <v>438</v>
      </c>
      <c r="G2850">
        <v>0</v>
      </c>
      <c r="H2850">
        <v>13951</v>
      </c>
      <c r="I2850">
        <v>1</v>
      </c>
      <c r="J2850">
        <v>55</v>
      </c>
      <c r="K2850">
        <v>425</v>
      </c>
      <c r="L2850">
        <v>426</v>
      </c>
      <c r="M2850">
        <v>27.285714290000001</v>
      </c>
      <c r="N2850">
        <f>IFERROR(VLOOKUP(A2850,vlookup_table!$A:$G,2,FALSE),"")</f>
        <v>2</v>
      </c>
      <c r="O2850">
        <f>IFERROR(VLOOKUP(A2850,vlookup_table!$A:$G,4,FALSE),"")</f>
        <v>5110</v>
      </c>
      <c r="P2850" t="str">
        <f>IFERROR(VLOOKUP(A2850,vlookup_table!$A:$G,5,FALSE),"")</f>
        <v>S2</v>
      </c>
      <c r="Q2850">
        <f>IFERROR(VLOOKUP(A2850,vlookup_table!$A:$G,7,FALSE),"")</f>
        <v>45</v>
      </c>
      <c r="R2850">
        <f t="shared" si="176"/>
        <v>46</v>
      </c>
      <c r="S2850" t="str" cm="1">
        <f t="array" ref="S2850">IF(P2850="","",_xlfn.SWITCH(LEFT(P2850,1),"C","Ciudad","T","Pueblo","R","Rural","S","Suburbano","U","Urbano",""))</f>
        <v>Suburbano</v>
      </c>
      <c r="T2850" t="str">
        <f t="shared" si="177"/>
        <v>M</v>
      </c>
      <c r="U2850" t="str">
        <f t="shared" si="178"/>
        <v>CO</v>
      </c>
      <c r="V2850" t="str">
        <f t="shared" si="179"/>
        <v>13951</v>
      </c>
    </row>
    <row r="2851" spans="1:22" x14ac:dyDescent="0.35">
      <c r="A2851">
        <v>76316</v>
      </c>
      <c r="B2851" t="s">
        <v>47</v>
      </c>
      <c r="C2851" t="s">
        <v>14</v>
      </c>
      <c r="D2851">
        <v>443</v>
      </c>
      <c r="E2851">
        <v>261</v>
      </c>
      <c r="F2851">
        <v>335</v>
      </c>
      <c r="G2851">
        <v>0</v>
      </c>
      <c r="H2851">
        <v>11545</v>
      </c>
      <c r="I2851">
        <v>1</v>
      </c>
      <c r="J2851">
        <v>79</v>
      </c>
      <c r="K2851">
        <v>309</v>
      </c>
      <c r="L2851">
        <v>292</v>
      </c>
      <c r="M2851">
        <v>9.8000000000000007</v>
      </c>
      <c r="N2851">
        <f>IFERROR(VLOOKUP(A2851,vlookup_table!$A:$G,2,FALSE),"")</f>
        <v>1002</v>
      </c>
      <c r="O2851">
        <f>IFERROR(VLOOKUP(A2851,vlookup_table!$A:$G,4,FALSE),"")</f>
        <v>0</v>
      </c>
      <c r="P2851" t="str">
        <f>IFERROR(VLOOKUP(A2851,vlookup_table!$A:$G,5,FALSE),"")</f>
        <v>R2</v>
      </c>
      <c r="Q2851">
        <f>IFERROR(VLOOKUP(A2851,vlookup_table!$A:$G,7,FALSE),"")</f>
        <v>13</v>
      </c>
      <c r="R2851">
        <f t="shared" si="176"/>
        <v>97</v>
      </c>
      <c r="S2851" t="str" cm="1">
        <f t="array" ref="S2851">IF(P2851="","",_xlfn.SWITCH(LEFT(P2851,1),"C","Ciudad","T","Pueblo","R","Rural","S","Suburbano","U","Urbano",""))</f>
        <v>Rural</v>
      </c>
      <c r="T2851" t="str">
        <f t="shared" si="177"/>
        <v>M</v>
      </c>
      <c r="U2851" t="str">
        <f t="shared" si="178"/>
        <v>IA</v>
      </c>
      <c r="V2851" t="str">
        <f t="shared" si="179"/>
        <v>11545</v>
      </c>
    </row>
    <row r="2852" spans="1:22" x14ac:dyDescent="0.35">
      <c r="A2852">
        <v>23957</v>
      </c>
      <c r="B2852" t="s">
        <v>46</v>
      </c>
      <c r="C2852" t="s">
        <v>17</v>
      </c>
      <c r="D2852">
        <v>441</v>
      </c>
      <c r="E2852">
        <v>246</v>
      </c>
      <c r="F2852">
        <v>289</v>
      </c>
      <c r="G2852">
        <v>0</v>
      </c>
      <c r="H2852">
        <v>8328</v>
      </c>
      <c r="I2852">
        <v>0</v>
      </c>
      <c r="J2852">
        <v>73</v>
      </c>
      <c r="K2852">
        <v>268</v>
      </c>
      <c r="L2852">
        <v>261</v>
      </c>
      <c r="M2852">
        <v>7.1818181819999998</v>
      </c>
      <c r="N2852">
        <f>IFERROR(VLOOKUP(A2852,vlookup_table!$A:$G,2,FALSE),"")</f>
        <v>2</v>
      </c>
      <c r="O2852">
        <f>IFERROR(VLOOKUP(A2852,vlookup_table!$A:$G,4,FALSE),"")</f>
        <v>3701</v>
      </c>
      <c r="P2852" t="str">
        <f>IFERROR(VLOOKUP(A2852,vlookup_table!$A:$G,5,FALSE),"")</f>
        <v>T2</v>
      </c>
      <c r="Q2852">
        <f>IFERROR(VLOOKUP(A2852,vlookup_table!$A:$G,7,FALSE),"")</f>
        <v>8</v>
      </c>
      <c r="R2852">
        <f t="shared" si="176"/>
        <v>60</v>
      </c>
      <c r="S2852" t="str" cm="1">
        <f t="array" ref="S2852">IF(P2852="","",_xlfn.SWITCH(LEFT(P2852,1),"C","Ciudad","T","Pueblo","R","Rural","S","Suburbano","U","Urbano",""))</f>
        <v>Pueblo</v>
      </c>
      <c r="T2852" t="str">
        <f t="shared" si="177"/>
        <v>F</v>
      </c>
      <c r="U2852" t="str">
        <f t="shared" si="178"/>
        <v>SC</v>
      </c>
      <c r="V2852" t="str">
        <f t="shared" si="179"/>
        <v>8328</v>
      </c>
    </row>
    <row r="2853" spans="1:22" x14ac:dyDescent="0.35">
      <c r="A2853">
        <v>62704</v>
      </c>
      <c r="B2853" t="s">
        <v>33</v>
      </c>
      <c r="C2853" t="s">
        <v>14</v>
      </c>
      <c r="D2853">
        <v>416</v>
      </c>
      <c r="E2853">
        <v>312</v>
      </c>
      <c r="F2853">
        <v>333</v>
      </c>
      <c r="G2853">
        <v>1</v>
      </c>
      <c r="H2853">
        <v>11719</v>
      </c>
      <c r="I2853">
        <v>0</v>
      </c>
      <c r="J2853">
        <v>76</v>
      </c>
      <c r="K2853">
        <v>317</v>
      </c>
      <c r="L2853">
        <v>328</v>
      </c>
      <c r="M2853">
        <v>10.199999999999999</v>
      </c>
      <c r="N2853">
        <f>IFERROR(VLOOKUP(A2853,vlookup_table!$A:$G,2,FALSE),"")</f>
        <v>1</v>
      </c>
      <c r="O2853">
        <f>IFERROR(VLOOKUP(A2853,vlookup_table!$A:$G,4,FALSE),"")</f>
        <v>4501</v>
      </c>
      <c r="P2853" t="str">
        <f>IFERROR(VLOOKUP(A2853,vlookup_table!$A:$G,5,FALSE),"")</f>
        <v>T2</v>
      </c>
      <c r="Q2853">
        <f>IFERROR(VLOOKUP(A2853,vlookup_table!$A:$G,7,FALSE),"")</f>
        <v>12</v>
      </c>
      <c r="R2853">
        <f t="shared" si="176"/>
        <v>52</v>
      </c>
      <c r="S2853" t="str" cm="1">
        <f t="array" ref="S2853">IF(P2853="","",_xlfn.SWITCH(LEFT(P2853,1),"C","Ciudad","T","Pueblo","R","Rural","S","Suburbano","U","Urbano",""))</f>
        <v>Pueblo</v>
      </c>
      <c r="T2853" t="str">
        <f t="shared" si="177"/>
        <v>M</v>
      </c>
      <c r="U2853" t="str">
        <f t="shared" si="178"/>
        <v>IN</v>
      </c>
      <c r="V2853" t="str">
        <f t="shared" si="179"/>
        <v>11719</v>
      </c>
    </row>
    <row r="2854" spans="1:22" x14ac:dyDescent="0.35">
      <c r="A2854">
        <v>42176</v>
      </c>
      <c r="B2854" t="s">
        <v>13</v>
      </c>
      <c r="C2854" t="s">
        <v>17</v>
      </c>
      <c r="D2854">
        <v>759</v>
      </c>
      <c r="E2854">
        <v>299</v>
      </c>
      <c r="F2854">
        <v>386</v>
      </c>
      <c r="G2854">
        <v>6</v>
      </c>
      <c r="H2854">
        <v>15734</v>
      </c>
      <c r="I2854">
        <v>2</v>
      </c>
      <c r="J2854">
        <v>25</v>
      </c>
      <c r="K2854">
        <v>332</v>
      </c>
      <c r="L2854">
        <v>332</v>
      </c>
      <c r="M2854">
        <v>6.1</v>
      </c>
      <c r="N2854">
        <f>IFERROR(VLOOKUP(A2854,vlookup_table!$A:$G,2,FALSE),"")</f>
        <v>2</v>
      </c>
      <c r="O2854">
        <f>IFERROR(VLOOKUP(A2854,vlookup_table!$A:$G,4,FALSE),"")</f>
        <v>1410</v>
      </c>
      <c r="P2854" t="str">
        <f>IFERROR(VLOOKUP(A2854,vlookup_table!$A:$G,5,FALSE),"")</f>
        <v>C2</v>
      </c>
      <c r="Q2854">
        <f>IFERROR(VLOOKUP(A2854,vlookup_table!$A:$G,7,FALSE),"")</f>
        <v>10</v>
      </c>
      <c r="R2854">
        <f t="shared" si="176"/>
        <v>83</v>
      </c>
      <c r="S2854" t="str" cm="1">
        <f t="array" ref="S2854">IF(P2854="","",_xlfn.SWITCH(LEFT(P2854,1),"C","Ciudad","T","Pueblo","R","Rural","S","Suburbano","U","Urbano",""))</f>
        <v>Ciudad</v>
      </c>
      <c r="T2854" t="str">
        <f t="shared" si="177"/>
        <v>F</v>
      </c>
      <c r="U2854" t="str">
        <f t="shared" si="178"/>
        <v>FL</v>
      </c>
      <c r="V2854" t="str">
        <f t="shared" si="179"/>
        <v>15734</v>
      </c>
    </row>
    <row r="2855" spans="1:22" x14ac:dyDescent="0.35">
      <c r="A2855">
        <v>172888</v>
      </c>
      <c r="B2855" t="s">
        <v>22</v>
      </c>
      <c r="C2855" t="s">
        <v>17</v>
      </c>
      <c r="D2855">
        <v>988</v>
      </c>
      <c r="E2855">
        <v>160</v>
      </c>
      <c r="F2855">
        <v>244</v>
      </c>
      <c r="G2855">
        <v>8</v>
      </c>
      <c r="H2855">
        <v>8591</v>
      </c>
      <c r="I2855">
        <v>0</v>
      </c>
      <c r="J2855">
        <v>61</v>
      </c>
      <c r="K2855">
        <v>164</v>
      </c>
      <c r="L2855">
        <v>223</v>
      </c>
      <c r="M2855">
        <v>15</v>
      </c>
      <c r="N2855">
        <f>IFERROR(VLOOKUP(A2855,vlookup_table!$A:$G,2,FALSE),"")</f>
        <v>0</v>
      </c>
      <c r="O2855">
        <f>IFERROR(VLOOKUP(A2855,vlookup_table!$A:$G,4,FALSE),"")</f>
        <v>0</v>
      </c>
      <c r="P2855" t="str">
        <f>IFERROR(VLOOKUP(A2855,vlookup_table!$A:$G,5,FALSE),"")</f>
        <v>T2</v>
      </c>
      <c r="Q2855">
        <f>IFERROR(VLOOKUP(A2855,vlookup_table!$A:$G,7,FALSE),"")</f>
        <v>15</v>
      </c>
      <c r="R2855">
        <f t="shared" si="176"/>
        <v>97</v>
      </c>
      <c r="S2855" t="str" cm="1">
        <f t="array" ref="S2855">IF(P2855="","",_xlfn.SWITCH(LEFT(P2855,1),"C","Ciudad","T","Pueblo","R","Rural","S","Suburbano","U","Urbano",""))</f>
        <v>Pueblo</v>
      </c>
      <c r="T2855" t="str">
        <f t="shared" si="177"/>
        <v>F</v>
      </c>
      <c r="U2855" t="str">
        <f t="shared" si="178"/>
        <v>CA</v>
      </c>
      <c r="V2855" t="str">
        <f t="shared" si="179"/>
        <v>8591</v>
      </c>
    </row>
    <row r="2856" spans="1:22" x14ac:dyDescent="0.35">
      <c r="A2856">
        <v>137015</v>
      </c>
      <c r="B2856" t="s">
        <v>55</v>
      </c>
      <c r="C2856" t="s">
        <v>60</v>
      </c>
      <c r="D2856">
        <v>701</v>
      </c>
      <c r="E2856">
        <v>190</v>
      </c>
      <c r="F2856">
        <v>246</v>
      </c>
      <c r="G2856">
        <v>1</v>
      </c>
      <c r="H2856">
        <v>9630</v>
      </c>
      <c r="I2856">
        <v>3</v>
      </c>
      <c r="J2856">
        <v>27</v>
      </c>
      <c r="K2856">
        <v>220</v>
      </c>
      <c r="L2856">
        <v>217</v>
      </c>
      <c r="M2856">
        <v>6.9</v>
      </c>
      <c r="N2856">
        <f>IFERROR(VLOOKUP(A2856,vlookup_table!$A:$G,2,FALSE),"")</f>
        <v>0</v>
      </c>
      <c r="O2856">
        <f>IFERROR(VLOOKUP(A2856,vlookup_table!$A:$G,4,FALSE),"")</f>
        <v>2601</v>
      </c>
      <c r="P2856" t="str">
        <f>IFERROR(VLOOKUP(A2856,vlookup_table!$A:$G,5,FALSE),"")</f>
        <v>R3</v>
      </c>
      <c r="Q2856">
        <f>IFERROR(VLOOKUP(A2856,vlookup_table!$A:$G,7,FALSE),"")</f>
        <v>10</v>
      </c>
      <c r="R2856">
        <f t="shared" si="176"/>
        <v>71</v>
      </c>
      <c r="S2856" t="str" cm="1">
        <f t="array" ref="S2856">IF(P2856="","",_xlfn.SWITCH(LEFT(P2856,1),"C","Ciudad","T","Pueblo","R","Rural","S","Suburbano","U","Urbano",""))</f>
        <v>Rural</v>
      </c>
      <c r="T2856" t="str">
        <f t="shared" si="177"/>
        <v>F</v>
      </c>
      <c r="U2856" t="str">
        <f t="shared" si="178"/>
        <v>AZ</v>
      </c>
      <c r="V2856" t="str">
        <f t="shared" si="179"/>
        <v>9630</v>
      </c>
    </row>
    <row r="2857" spans="1:22" x14ac:dyDescent="0.35">
      <c r="A2857">
        <v>31461</v>
      </c>
      <c r="B2857" t="s">
        <v>39</v>
      </c>
      <c r="C2857" t="s">
        <v>17</v>
      </c>
      <c r="D2857">
        <v>752</v>
      </c>
      <c r="E2857">
        <v>278</v>
      </c>
      <c r="F2857">
        <v>408</v>
      </c>
      <c r="G2857">
        <v>6</v>
      </c>
      <c r="H2857">
        <v>14900</v>
      </c>
      <c r="I2857">
        <v>2</v>
      </c>
      <c r="J2857">
        <v>58</v>
      </c>
      <c r="K2857">
        <v>332</v>
      </c>
      <c r="L2857">
        <v>353</v>
      </c>
      <c r="M2857">
        <v>17.529411769999999</v>
      </c>
      <c r="N2857">
        <f>IFERROR(VLOOKUP(A2857,vlookup_table!$A:$G,2,FALSE),"")</f>
        <v>2</v>
      </c>
      <c r="O2857">
        <f>IFERROR(VLOOKUP(A2857,vlookup_table!$A:$G,4,FALSE),"")</f>
        <v>5601</v>
      </c>
      <c r="P2857" t="str">
        <f>IFERROR(VLOOKUP(A2857,vlookup_table!$A:$G,5,FALSE),"")</f>
        <v>R2</v>
      </c>
      <c r="Q2857">
        <f>IFERROR(VLOOKUP(A2857,vlookup_table!$A:$G,7,FALSE),"")</f>
        <v>26</v>
      </c>
      <c r="R2857">
        <f t="shared" si="176"/>
        <v>41</v>
      </c>
      <c r="S2857" t="str" cm="1">
        <f t="array" ref="S2857">IF(P2857="","",_xlfn.SWITCH(LEFT(P2857,1),"C","Ciudad","T","Pueblo","R","Rural","S","Suburbano","U","Urbano",""))</f>
        <v>Rural</v>
      </c>
      <c r="T2857" t="str">
        <f t="shared" si="177"/>
        <v>F</v>
      </c>
      <c r="U2857" t="str">
        <f t="shared" si="178"/>
        <v>GA</v>
      </c>
      <c r="V2857" t="str">
        <f t="shared" si="179"/>
        <v>14900</v>
      </c>
    </row>
    <row r="2858" spans="1:22" x14ac:dyDescent="0.35">
      <c r="A2858">
        <v>39438</v>
      </c>
      <c r="B2858" t="s">
        <v>13</v>
      </c>
      <c r="C2858" t="s">
        <v>17</v>
      </c>
      <c r="D2858">
        <v>1344</v>
      </c>
      <c r="E2858">
        <v>458</v>
      </c>
      <c r="F2858">
        <v>671</v>
      </c>
      <c r="G2858">
        <v>31</v>
      </c>
      <c r="H2858">
        <v>44193</v>
      </c>
      <c r="I2858">
        <v>28</v>
      </c>
      <c r="J2858">
        <v>25</v>
      </c>
      <c r="K2858">
        <v>490</v>
      </c>
      <c r="L2858">
        <v>595</v>
      </c>
      <c r="M2858">
        <v>4.1428571429999996</v>
      </c>
      <c r="N2858">
        <f>IFERROR(VLOOKUP(A2858,vlookup_table!$A:$G,2,FALSE),"")</f>
        <v>2</v>
      </c>
      <c r="O2858">
        <f>IFERROR(VLOOKUP(A2858,vlookup_table!$A:$G,4,FALSE),"")</f>
        <v>2401</v>
      </c>
      <c r="P2858" t="str">
        <f>IFERROR(VLOOKUP(A2858,vlookup_table!$A:$G,5,FALSE),"")</f>
        <v>C1</v>
      </c>
      <c r="Q2858">
        <f>IFERROR(VLOOKUP(A2858,vlookup_table!$A:$G,7,FALSE),"")</f>
        <v>4</v>
      </c>
      <c r="R2858">
        <f t="shared" si="176"/>
        <v>73</v>
      </c>
      <c r="S2858" t="str" cm="1">
        <f t="array" ref="S2858">IF(P2858="","",_xlfn.SWITCH(LEFT(P2858,1),"C","Ciudad","T","Pueblo","R","Rural","S","Suburbano","U","Urbano",""))</f>
        <v>Ciudad</v>
      </c>
      <c r="T2858" t="str">
        <f t="shared" si="177"/>
        <v>F</v>
      </c>
      <c r="U2858" t="str">
        <f t="shared" si="178"/>
        <v>FL</v>
      </c>
      <c r="V2858" t="str">
        <f t="shared" si="179"/>
        <v>44193</v>
      </c>
    </row>
    <row r="2859" spans="1:22" x14ac:dyDescent="0.35">
      <c r="A2859">
        <v>143518</v>
      </c>
      <c r="B2859" t="s">
        <v>22</v>
      </c>
      <c r="C2859" t="s">
        <v>14</v>
      </c>
      <c r="D2859">
        <v>3645</v>
      </c>
      <c r="E2859">
        <v>336</v>
      </c>
      <c r="F2859">
        <v>491</v>
      </c>
      <c r="G2859">
        <v>88</v>
      </c>
      <c r="H2859">
        <v>27066</v>
      </c>
      <c r="I2859">
        <v>32</v>
      </c>
      <c r="J2859">
        <v>22</v>
      </c>
      <c r="K2859">
        <v>414</v>
      </c>
      <c r="L2859">
        <v>428</v>
      </c>
      <c r="M2859">
        <v>12.625</v>
      </c>
      <c r="N2859">
        <f>IFERROR(VLOOKUP(A2859,vlookup_table!$A:$G,2,FALSE),"")</f>
        <v>1</v>
      </c>
      <c r="O2859">
        <f>IFERROR(VLOOKUP(A2859,vlookup_table!$A:$G,4,FALSE),"")</f>
        <v>3411</v>
      </c>
      <c r="P2859" t="str">
        <f>IFERROR(VLOOKUP(A2859,vlookup_table!$A:$G,5,FALSE),"")</f>
        <v>U1</v>
      </c>
      <c r="Q2859">
        <f>IFERROR(VLOOKUP(A2859,vlookup_table!$A:$G,7,FALSE),"")</f>
        <v>17</v>
      </c>
      <c r="R2859">
        <f t="shared" si="176"/>
        <v>63</v>
      </c>
      <c r="S2859" t="str" cm="1">
        <f t="array" ref="S2859">IF(P2859="","",_xlfn.SWITCH(LEFT(P2859,1),"C","Ciudad","T","Pueblo","R","Rural","S","Suburbano","U","Urbano",""))</f>
        <v>Urbano</v>
      </c>
      <c r="T2859" t="str">
        <f t="shared" si="177"/>
        <v>M</v>
      </c>
      <c r="U2859" t="str">
        <f t="shared" si="178"/>
        <v>CA</v>
      </c>
      <c r="V2859" t="str">
        <f t="shared" si="179"/>
        <v>27066</v>
      </c>
    </row>
    <row r="2860" spans="1:22" x14ac:dyDescent="0.35">
      <c r="A2860">
        <v>23412</v>
      </c>
      <c r="B2860" t="s">
        <v>46</v>
      </c>
      <c r="C2860" t="s">
        <v>14</v>
      </c>
      <c r="D2860">
        <v>237</v>
      </c>
      <c r="E2860">
        <v>236</v>
      </c>
      <c r="F2860">
        <v>308</v>
      </c>
      <c r="G2860">
        <v>0</v>
      </c>
      <c r="H2860">
        <v>9638</v>
      </c>
      <c r="I2860">
        <v>2</v>
      </c>
      <c r="J2860">
        <v>81</v>
      </c>
      <c r="K2860">
        <v>323</v>
      </c>
      <c r="L2860">
        <v>251</v>
      </c>
      <c r="M2860">
        <v>11</v>
      </c>
      <c r="N2860">
        <f>IFERROR(VLOOKUP(A2860,vlookup_table!$A:$G,2,FALSE),"")</f>
        <v>1</v>
      </c>
      <c r="O2860">
        <f>IFERROR(VLOOKUP(A2860,vlookup_table!$A:$G,4,FALSE),"")</f>
        <v>5201</v>
      </c>
      <c r="P2860" t="str">
        <f>IFERROR(VLOOKUP(A2860,vlookup_table!$A:$G,5,FALSE),"")</f>
        <v>R2</v>
      </c>
      <c r="Q2860">
        <f>IFERROR(VLOOKUP(A2860,vlookup_table!$A:$G,7,FALSE),"")</f>
        <v>19</v>
      </c>
      <c r="R2860">
        <f t="shared" si="176"/>
        <v>45</v>
      </c>
      <c r="S2860" t="str" cm="1">
        <f t="array" ref="S2860">IF(P2860="","",_xlfn.SWITCH(LEFT(P2860,1),"C","Ciudad","T","Pueblo","R","Rural","S","Suburbano","U","Urbano",""))</f>
        <v>Rural</v>
      </c>
      <c r="T2860" t="str">
        <f t="shared" si="177"/>
        <v>M</v>
      </c>
      <c r="U2860" t="str">
        <f t="shared" si="178"/>
        <v>SC</v>
      </c>
      <c r="V2860" t="str">
        <f t="shared" si="179"/>
        <v>9638</v>
      </c>
    </row>
    <row r="2861" spans="1:22" x14ac:dyDescent="0.35">
      <c r="A2861">
        <v>46552</v>
      </c>
      <c r="B2861" t="s">
        <v>13</v>
      </c>
      <c r="C2861" t="s">
        <v>17</v>
      </c>
      <c r="D2861">
        <v>1930</v>
      </c>
      <c r="E2861">
        <v>462</v>
      </c>
      <c r="F2861">
        <v>648</v>
      </c>
      <c r="G2861">
        <v>49</v>
      </c>
      <c r="H2861">
        <v>31606</v>
      </c>
      <c r="I2861">
        <v>3</v>
      </c>
      <c r="J2861">
        <v>23</v>
      </c>
      <c r="K2861">
        <v>520</v>
      </c>
      <c r="L2861">
        <v>581</v>
      </c>
      <c r="M2861">
        <v>10.33333333</v>
      </c>
      <c r="N2861">
        <f>IFERROR(VLOOKUP(A2861,vlookup_table!$A:$G,2,FALSE),"")</f>
        <v>0</v>
      </c>
      <c r="O2861">
        <f>IFERROR(VLOOKUP(A2861,vlookup_table!$A:$G,4,FALSE),"")</f>
        <v>0</v>
      </c>
      <c r="P2861" t="str">
        <f>IFERROR(VLOOKUP(A2861,vlookup_table!$A:$G,5,FALSE),"")</f>
        <v>T1</v>
      </c>
      <c r="Q2861">
        <f>IFERROR(VLOOKUP(A2861,vlookup_table!$A:$G,7,FALSE),"")</f>
        <v>20</v>
      </c>
      <c r="R2861">
        <f t="shared" si="176"/>
        <v>97</v>
      </c>
      <c r="S2861" t="str" cm="1">
        <f t="array" ref="S2861">IF(P2861="","",_xlfn.SWITCH(LEFT(P2861,1),"C","Ciudad","T","Pueblo","R","Rural","S","Suburbano","U","Urbano",""))</f>
        <v>Pueblo</v>
      </c>
      <c r="T2861" t="str">
        <f t="shared" si="177"/>
        <v>F</v>
      </c>
      <c r="U2861" t="str">
        <f t="shared" si="178"/>
        <v>FL</v>
      </c>
      <c r="V2861" t="str">
        <f t="shared" si="179"/>
        <v>31606</v>
      </c>
    </row>
    <row r="2862" spans="1:22" x14ac:dyDescent="0.35">
      <c r="A2862">
        <v>67422</v>
      </c>
      <c r="B2862" t="s">
        <v>29</v>
      </c>
      <c r="C2862" t="s">
        <v>17</v>
      </c>
      <c r="D2862">
        <v>475</v>
      </c>
      <c r="E2862">
        <v>358</v>
      </c>
      <c r="F2862">
        <v>407</v>
      </c>
      <c r="G2862">
        <v>0</v>
      </c>
      <c r="H2862">
        <v>13136</v>
      </c>
      <c r="I2862">
        <v>2</v>
      </c>
      <c r="J2862">
        <v>85</v>
      </c>
      <c r="K2862">
        <v>384</v>
      </c>
      <c r="L2862">
        <v>376</v>
      </c>
      <c r="M2862">
        <v>25</v>
      </c>
      <c r="N2862">
        <f>IFERROR(VLOOKUP(A2862,vlookup_table!$A:$G,2,FALSE),"")</f>
        <v>0</v>
      </c>
      <c r="O2862">
        <f>IFERROR(VLOOKUP(A2862,vlookup_table!$A:$G,4,FALSE),"")</f>
        <v>2101</v>
      </c>
      <c r="P2862" t="str">
        <f>IFERROR(VLOOKUP(A2862,vlookup_table!$A:$G,5,FALSE),"")</f>
        <v>U3</v>
      </c>
      <c r="Q2862">
        <f>IFERROR(VLOOKUP(A2862,vlookup_table!$A:$G,7,FALSE),"")</f>
        <v>30</v>
      </c>
      <c r="R2862">
        <f t="shared" si="176"/>
        <v>76</v>
      </c>
      <c r="S2862" t="str" cm="1">
        <f t="array" ref="S2862">IF(P2862="","",_xlfn.SWITCH(LEFT(P2862,1),"C","Ciudad","T","Pueblo","R","Rural","S","Suburbano","U","Urbano",""))</f>
        <v>Urbano</v>
      </c>
      <c r="T2862" t="str">
        <f t="shared" si="177"/>
        <v>F</v>
      </c>
      <c r="U2862" t="str">
        <f t="shared" si="178"/>
        <v>MI</v>
      </c>
      <c r="V2862" t="str">
        <f t="shared" si="179"/>
        <v>13136</v>
      </c>
    </row>
    <row r="2863" spans="1:22" x14ac:dyDescent="0.35">
      <c r="A2863">
        <v>140294</v>
      </c>
      <c r="B2863" t="s">
        <v>54</v>
      </c>
      <c r="D2863">
        <v>697</v>
      </c>
      <c r="E2863">
        <v>197</v>
      </c>
      <c r="F2863">
        <v>254</v>
      </c>
      <c r="G2863">
        <v>2</v>
      </c>
      <c r="H2863">
        <v>7659</v>
      </c>
      <c r="I2863">
        <v>12</v>
      </c>
      <c r="J2863">
        <v>51</v>
      </c>
      <c r="K2863">
        <v>208</v>
      </c>
      <c r="L2863">
        <v>244</v>
      </c>
      <c r="M2863">
        <v>9.6666666669999994</v>
      </c>
      <c r="N2863">
        <f>IFERROR(VLOOKUP(A2863,vlookup_table!$A:$G,2,FALSE),"")</f>
        <v>0</v>
      </c>
      <c r="O2863">
        <f>IFERROR(VLOOKUP(A2863,vlookup_table!$A:$G,4,FALSE),"")</f>
        <v>0</v>
      </c>
      <c r="P2863">
        <f>IFERROR(VLOOKUP(A2863,vlookup_table!$A:$G,5,FALSE),"")</f>
        <v>0</v>
      </c>
      <c r="Q2863">
        <f>IFERROR(VLOOKUP(A2863,vlookup_table!$A:$G,7,FALSE),"")</f>
        <v>15</v>
      </c>
      <c r="R2863">
        <f t="shared" si="176"/>
        <v>97</v>
      </c>
      <c r="S2863" t="str" cm="1">
        <f t="array" ref="S2863">IF(P2863="","",_xlfn.SWITCH(LEFT(P2863,1),"C","Ciudad","T","Pueblo","R","Rural","S","Suburbano","U","Urbano",""))</f>
        <v/>
      </c>
      <c r="T2863" t="str">
        <f t="shared" si="177"/>
        <v/>
      </c>
      <c r="U2863" t="str">
        <f t="shared" si="178"/>
        <v>NM</v>
      </c>
      <c r="V2863" t="str">
        <f t="shared" si="179"/>
        <v>7659</v>
      </c>
    </row>
    <row r="2864" spans="1:22" x14ac:dyDescent="0.35">
      <c r="A2864">
        <v>1371</v>
      </c>
      <c r="B2864" t="s">
        <v>22</v>
      </c>
      <c r="C2864" t="s">
        <v>17</v>
      </c>
      <c r="D2864">
        <v>2753</v>
      </c>
      <c r="E2864">
        <v>504</v>
      </c>
      <c r="F2864">
        <v>673</v>
      </c>
      <c r="G2864">
        <v>91</v>
      </c>
      <c r="H2864">
        <v>24127</v>
      </c>
      <c r="I2864">
        <v>15</v>
      </c>
      <c r="J2864">
        <v>41</v>
      </c>
      <c r="K2864">
        <v>613</v>
      </c>
      <c r="L2864">
        <v>620</v>
      </c>
      <c r="M2864">
        <v>20</v>
      </c>
      <c r="N2864">
        <f>IFERROR(VLOOKUP(A2864,vlookup_table!$A:$G,2,FALSE),"")</f>
        <v>0</v>
      </c>
      <c r="O2864">
        <f>IFERROR(VLOOKUP(A2864,vlookup_table!$A:$G,4,FALSE),"")</f>
        <v>2201</v>
      </c>
      <c r="P2864" t="str">
        <f>IFERROR(VLOOKUP(A2864,vlookup_table!$A:$G,5,FALSE),"")</f>
        <v>S1</v>
      </c>
      <c r="Q2864">
        <f>IFERROR(VLOOKUP(A2864,vlookup_table!$A:$G,7,FALSE),"")</f>
        <v>35</v>
      </c>
      <c r="R2864">
        <f t="shared" si="176"/>
        <v>75</v>
      </c>
      <c r="S2864" t="str" cm="1">
        <f t="array" ref="S2864">IF(P2864="","",_xlfn.SWITCH(LEFT(P2864,1),"C","Ciudad","T","Pueblo","R","Rural","S","Suburbano","U","Urbano",""))</f>
        <v>Suburbano</v>
      </c>
      <c r="T2864" t="str">
        <f t="shared" si="177"/>
        <v>F</v>
      </c>
      <c r="U2864" t="str">
        <f t="shared" si="178"/>
        <v>CA</v>
      </c>
      <c r="V2864" t="str">
        <f t="shared" si="179"/>
        <v>24127</v>
      </c>
    </row>
    <row r="2865" spans="1:22" x14ac:dyDescent="0.35">
      <c r="A2865">
        <v>177556</v>
      </c>
      <c r="B2865" t="s">
        <v>50</v>
      </c>
      <c r="C2865" t="s">
        <v>17</v>
      </c>
      <c r="D2865">
        <v>613</v>
      </c>
      <c r="E2865">
        <v>246</v>
      </c>
      <c r="F2865">
        <v>329</v>
      </c>
      <c r="G2865">
        <v>4</v>
      </c>
      <c r="H2865">
        <v>11642</v>
      </c>
      <c r="I2865">
        <v>2</v>
      </c>
      <c r="J2865">
        <v>38</v>
      </c>
      <c r="K2865">
        <v>286</v>
      </c>
      <c r="L2865">
        <v>279</v>
      </c>
      <c r="M2865">
        <v>17.833333329999999</v>
      </c>
      <c r="N2865">
        <f>IFERROR(VLOOKUP(A2865,vlookup_table!$A:$G,2,FALSE),"")</f>
        <v>28</v>
      </c>
      <c r="O2865">
        <f>IFERROR(VLOOKUP(A2865,vlookup_table!$A:$G,4,FALSE),"")</f>
        <v>2104</v>
      </c>
      <c r="P2865" t="str">
        <f>IFERROR(VLOOKUP(A2865,vlookup_table!$A:$G,5,FALSE),"")</f>
        <v>C2</v>
      </c>
      <c r="Q2865">
        <f>IFERROR(VLOOKUP(A2865,vlookup_table!$A:$G,7,FALSE),"")</f>
        <v>18</v>
      </c>
      <c r="R2865">
        <f t="shared" si="176"/>
        <v>76</v>
      </c>
      <c r="S2865" t="str" cm="1">
        <f t="array" ref="S2865">IF(P2865="","",_xlfn.SWITCH(LEFT(P2865,1),"C","Ciudad","T","Pueblo","R","Rural","S","Suburbano","U","Urbano",""))</f>
        <v>Ciudad</v>
      </c>
      <c r="T2865" t="str">
        <f t="shared" si="177"/>
        <v>F</v>
      </c>
      <c r="U2865" t="str">
        <f t="shared" si="178"/>
        <v>OR</v>
      </c>
      <c r="V2865" t="str">
        <f t="shared" si="179"/>
        <v>11642</v>
      </c>
    </row>
    <row r="2866" spans="1:22" x14ac:dyDescent="0.35">
      <c r="A2866">
        <v>146182</v>
      </c>
      <c r="B2866" t="s">
        <v>22</v>
      </c>
      <c r="C2866" t="s">
        <v>17</v>
      </c>
      <c r="D2866">
        <v>1834</v>
      </c>
      <c r="E2866">
        <v>408</v>
      </c>
      <c r="F2866">
        <v>463</v>
      </c>
      <c r="G2866">
        <v>20</v>
      </c>
      <c r="H2866">
        <v>15069</v>
      </c>
      <c r="I2866">
        <v>17</v>
      </c>
      <c r="J2866">
        <v>52</v>
      </c>
      <c r="K2866">
        <v>418</v>
      </c>
      <c r="L2866">
        <v>443</v>
      </c>
      <c r="M2866">
        <v>8.6428571430000005</v>
      </c>
      <c r="N2866">
        <f>IFERROR(VLOOKUP(A2866,vlookup_table!$A:$G,2,FALSE),"")</f>
        <v>0</v>
      </c>
      <c r="O2866">
        <f>IFERROR(VLOOKUP(A2866,vlookup_table!$A:$G,4,FALSE),"")</f>
        <v>0</v>
      </c>
      <c r="P2866" t="str">
        <f>IFERROR(VLOOKUP(A2866,vlookup_table!$A:$G,5,FALSE),"")</f>
        <v>U2</v>
      </c>
      <c r="Q2866">
        <f>IFERROR(VLOOKUP(A2866,vlookup_table!$A:$G,7,FALSE),"")</f>
        <v>10</v>
      </c>
      <c r="R2866">
        <f t="shared" si="176"/>
        <v>97</v>
      </c>
      <c r="S2866" t="str" cm="1">
        <f t="array" ref="S2866">IF(P2866="","",_xlfn.SWITCH(LEFT(P2866,1),"C","Ciudad","T","Pueblo","R","Rural","S","Suburbano","U","Urbano",""))</f>
        <v>Urbano</v>
      </c>
      <c r="T2866" t="str">
        <f t="shared" si="177"/>
        <v>F</v>
      </c>
      <c r="U2866" t="str">
        <f t="shared" si="178"/>
        <v>CA</v>
      </c>
      <c r="V2866" t="str">
        <f t="shared" si="179"/>
        <v>15069</v>
      </c>
    </row>
    <row r="2867" spans="1:22" x14ac:dyDescent="0.35">
      <c r="A2867">
        <v>150292</v>
      </c>
      <c r="B2867" t="s">
        <v>22</v>
      </c>
      <c r="C2867" t="s">
        <v>14</v>
      </c>
      <c r="D2867">
        <v>1435</v>
      </c>
      <c r="E2867">
        <v>273</v>
      </c>
      <c r="F2867">
        <v>295</v>
      </c>
      <c r="G2867">
        <v>10</v>
      </c>
      <c r="H2867">
        <v>7822</v>
      </c>
      <c r="I2867">
        <v>56</v>
      </c>
      <c r="J2867">
        <v>34</v>
      </c>
      <c r="K2867">
        <v>270</v>
      </c>
      <c r="L2867">
        <v>300</v>
      </c>
      <c r="M2867">
        <v>15</v>
      </c>
      <c r="N2867">
        <f>IFERROR(VLOOKUP(A2867,vlookup_table!$A:$G,2,FALSE),"")</f>
        <v>1</v>
      </c>
      <c r="O2867">
        <f>IFERROR(VLOOKUP(A2867,vlookup_table!$A:$G,4,FALSE),"")</f>
        <v>1601</v>
      </c>
      <c r="P2867" t="str">
        <f>IFERROR(VLOOKUP(A2867,vlookup_table!$A:$G,5,FALSE),"")</f>
        <v>U4</v>
      </c>
      <c r="Q2867">
        <f>IFERROR(VLOOKUP(A2867,vlookup_table!$A:$G,7,FALSE),"")</f>
        <v>10</v>
      </c>
      <c r="R2867">
        <f t="shared" si="176"/>
        <v>81</v>
      </c>
      <c r="S2867" t="str" cm="1">
        <f t="array" ref="S2867">IF(P2867="","",_xlfn.SWITCH(LEFT(P2867,1),"C","Ciudad","T","Pueblo","R","Rural","S","Suburbano","U","Urbano",""))</f>
        <v>Urbano</v>
      </c>
      <c r="T2867" t="str">
        <f t="shared" si="177"/>
        <v>M</v>
      </c>
      <c r="U2867" t="str">
        <f t="shared" si="178"/>
        <v>CA</v>
      </c>
      <c r="V2867" t="str">
        <f t="shared" si="179"/>
        <v>7822</v>
      </c>
    </row>
    <row r="2868" spans="1:22" x14ac:dyDescent="0.35">
      <c r="A2868">
        <v>142</v>
      </c>
      <c r="B2868" t="s">
        <v>18</v>
      </c>
      <c r="C2868" t="s">
        <v>20</v>
      </c>
      <c r="D2868">
        <v>475</v>
      </c>
      <c r="E2868">
        <v>227</v>
      </c>
      <c r="F2868">
        <v>294</v>
      </c>
      <c r="G2868">
        <v>0</v>
      </c>
      <c r="H2868">
        <v>10221</v>
      </c>
      <c r="I2868">
        <v>1</v>
      </c>
      <c r="J2868">
        <v>80</v>
      </c>
      <c r="K2868">
        <v>276</v>
      </c>
      <c r="L2868">
        <v>264</v>
      </c>
      <c r="M2868">
        <v>6</v>
      </c>
      <c r="N2868">
        <f>IFERROR(VLOOKUP(A2868,vlookup_table!$A:$G,2,FALSE),"")</f>
        <v>0</v>
      </c>
      <c r="O2868">
        <f>IFERROR(VLOOKUP(A2868,vlookup_table!$A:$G,4,FALSE),"")</f>
        <v>0</v>
      </c>
      <c r="P2868" t="str">
        <f>IFERROR(VLOOKUP(A2868,vlookup_table!$A:$G,5,FALSE),"")</f>
        <v>R2</v>
      </c>
      <c r="Q2868">
        <f>IFERROR(VLOOKUP(A2868,vlookup_table!$A:$G,7,FALSE),"")</f>
        <v>3</v>
      </c>
      <c r="R2868">
        <f t="shared" si="176"/>
        <v>97</v>
      </c>
      <c r="S2868" t="str" cm="1">
        <f t="array" ref="S2868">IF(P2868="","",_xlfn.SWITCH(LEFT(P2868,1),"C","Ciudad","T","Pueblo","R","Rural","S","Suburbano","U","Urbano",""))</f>
        <v>Rural</v>
      </c>
      <c r="T2868" t="str">
        <f t="shared" si="177"/>
        <v>F</v>
      </c>
      <c r="U2868" t="str">
        <f t="shared" si="178"/>
        <v>NC</v>
      </c>
      <c r="V2868" t="str">
        <f t="shared" si="179"/>
        <v>10221</v>
      </c>
    </row>
    <row r="2869" spans="1:22" x14ac:dyDescent="0.35">
      <c r="A2869">
        <v>73762</v>
      </c>
      <c r="B2869" t="s">
        <v>29</v>
      </c>
      <c r="C2869" t="s">
        <v>14</v>
      </c>
      <c r="D2869">
        <v>840</v>
      </c>
      <c r="E2869">
        <v>430</v>
      </c>
      <c r="F2869">
        <v>491</v>
      </c>
      <c r="G2869">
        <v>0</v>
      </c>
      <c r="H2869">
        <v>15111</v>
      </c>
      <c r="I2869">
        <v>5</v>
      </c>
      <c r="J2869">
        <v>75</v>
      </c>
      <c r="K2869">
        <v>448</v>
      </c>
      <c r="L2869">
        <v>469</v>
      </c>
      <c r="M2869">
        <v>17.5</v>
      </c>
      <c r="N2869">
        <f>IFERROR(VLOOKUP(A2869,vlookup_table!$A:$G,2,FALSE),"")</f>
        <v>1</v>
      </c>
      <c r="O2869">
        <f>IFERROR(VLOOKUP(A2869,vlookup_table!$A:$G,4,FALSE),"")</f>
        <v>4603</v>
      </c>
      <c r="P2869" t="str">
        <f>IFERROR(VLOOKUP(A2869,vlookup_table!$A:$G,5,FALSE),"")</f>
        <v>S2</v>
      </c>
      <c r="Q2869">
        <f>IFERROR(VLOOKUP(A2869,vlookup_table!$A:$G,7,FALSE),"")</f>
        <v>25</v>
      </c>
      <c r="R2869">
        <f t="shared" si="176"/>
        <v>51</v>
      </c>
      <c r="S2869" t="str" cm="1">
        <f t="array" ref="S2869">IF(P2869="","",_xlfn.SWITCH(LEFT(P2869,1),"C","Ciudad","T","Pueblo","R","Rural","S","Suburbano","U","Urbano",""))</f>
        <v>Suburbano</v>
      </c>
      <c r="T2869" t="str">
        <f t="shared" si="177"/>
        <v>M</v>
      </c>
      <c r="U2869" t="str">
        <f t="shared" si="178"/>
        <v>MI</v>
      </c>
      <c r="V2869" t="str">
        <f t="shared" si="179"/>
        <v>15111</v>
      </c>
    </row>
    <row r="2870" spans="1:22" x14ac:dyDescent="0.35">
      <c r="A2870">
        <v>120224</v>
      </c>
      <c r="B2870" t="s">
        <v>21</v>
      </c>
      <c r="C2870" t="s">
        <v>17</v>
      </c>
      <c r="D2870">
        <v>391</v>
      </c>
      <c r="E2870">
        <v>282</v>
      </c>
      <c r="F2870">
        <v>304</v>
      </c>
      <c r="G2870">
        <v>0</v>
      </c>
      <c r="H2870">
        <v>11352</v>
      </c>
      <c r="I2870">
        <v>0</v>
      </c>
      <c r="J2870">
        <v>79</v>
      </c>
      <c r="K2870">
        <v>294</v>
      </c>
      <c r="L2870">
        <v>278</v>
      </c>
      <c r="M2870">
        <v>4</v>
      </c>
      <c r="N2870">
        <f>IFERROR(VLOOKUP(A2870,vlookup_table!$A:$G,2,FALSE),"")</f>
        <v>0</v>
      </c>
      <c r="O2870">
        <f>IFERROR(VLOOKUP(A2870,vlookup_table!$A:$G,4,FALSE),"")</f>
        <v>2711</v>
      </c>
      <c r="P2870" t="str">
        <f>IFERROR(VLOOKUP(A2870,vlookup_table!$A:$G,5,FALSE),"")</f>
        <v>C3</v>
      </c>
      <c r="Q2870">
        <f>IFERROR(VLOOKUP(A2870,vlookup_table!$A:$G,7,FALSE),"")</f>
        <v>12</v>
      </c>
      <c r="R2870">
        <f t="shared" si="176"/>
        <v>70</v>
      </c>
      <c r="S2870" t="str" cm="1">
        <f t="array" ref="S2870">IF(P2870="","",_xlfn.SWITCH(LEFT(P2870,1),"C","Ciudad","T","Pueblo","R","Rural","S","Suburbano","U","Urbano",""))</f>
        <v>Ciudad</v>
      </c>
      <c r="T2870" t="str">
        <f t="shared" si="177"/>
        <v>F</v>
      </c>
      <c r="U2870" t="str">
        <f t="shared" si="178"/>
        <v>TX</v>
      </c>
      <c r="V2870" t="str">
        <f t="shared" si="179"/>
        <v>11352</v>
      </c>
    </row>
    <row r="2871" spans="1:22" x14ac:dyDescent="0.35">
      <c r="A2871">
        <v>61586</v>
      </c>
      <c r="B2871" t="s">
        <v>33</v>
      </c>
      <c r="C2871" t="s">
        <v>17</v>
      </c>
      <c r="D2871">
        <v>547</v>
      </c>
      <c r="E2871">
        <v>247</v>
      </c>
      <c r="F2871">
        <v>382</v>
      </c>
      <c r="G2871">
        <v>1</v>
      </c>
      <c r="H2871">
        <v>13661</v>
      </c>
      <c r="I2871">
        <v>4</v>
      </c>
      <c r="J2871">
        <v>64</v>
      </c>
      <c r="K2871">
        <v>320</v>
      </c>
      <c r="L2871">
        <v>306</v>
      </c>
      <c r="M2871">
        <v>12.625</v>
      </c>
      <c r="N2871">
        <f>IFERROR(VLOOKUP(A2871,vlookup_table!$A:$G,2,FALSE),"")</f>
        <v>0</v>
      </c>
      <c r="O2871">
        <f>IFERROR(VLOOKUP(A2871,vlookup_table!$A:$G,4,FALSE),"")</f>
        <v>2912</v>
      </c>
      <c r="P2871" t="str">
        <f>IFERROR(VLOOKUP(A2871,vlookup_table!$A:$G,5,FALSE),"")</f>
        <v>T2</v>
      </c>
      <c r="Q2871">
        <f>IFERROR(VLOOKUP(A2871,vlookup_table!$A:$G,7,FALSE),"")</f>
        <v>10</v>
      </c>
      <c r="R2871">
        <f t="shared" si="176"/>
        <v>68</v>
      </c>
      <c r="S2871" t="str" cm="1">
        <f t="array" ref="S2871">IF(P2871="","",_xlfn.SWITCH(LEFT(P2871,1),"C","Ciudad","T","Pueblo","R","Rural","S","Suburbano","U","Urbano",""))</f>
        <v>Pueblo</v>
      </c>
      <c r="T2871" t="str">
        <f t="shared" si="177"/>
        <v>F</v>
      </c>
      <c r="U2871" t="str">
        <f t="shared" si="178"/>
        <v>IN</v>
      </c>
      <c r="V2871" t="str">
        <f t="shared" si="179"/>
        <v>13661</v>
      </c>
    </row>
    <row r="2872" spans="1:22" x14ac:dyDescent="0.35">
      <c r="A2872">
        <v>139228</v>
      </c>
      <c r="B2872" t="s">
        <v>54</v>
      </c>
      <c r="C2872" t="s">
        <v>14</v>
      </c>
      <c r="D2872">
        <v>1081</v>
      </c>
      <c r="E2872">
        <v>349</v>
      </c>
      <c r="F2872">
        <v>449</v>
      </c>
      <c r="G2872">
        <v>14</v>
      </c>
      <c r="H2872">
        <v>14846</v>
      </c>
      <c r="I2872">
        <v>3</v>
      </c>
      <c r="J2872">
        <v>56</v>
      </c>
      <c r="K2872">
        <v>401</v>
      </c>
      <c r="L2872">
        <v>417</v>
      </c>
      <c r="M2872">
        <v>26.571428569999998</v>
      </c>
      <c r="N2872">
        <f>IFERROR(VLOOKUP(A2872,vlookup_table!$A:$G,2,FALSE),"")</f>
        <v>1</v>
      </c>
      <c r="O2872">
        <f>IFERROR(VLOOKUP(A2872,vlookup_table!$A:$G,4,FALSE),"")</f>
        <v>4001</v>
      </c>
      <c r="P2872" t="str">
        <f>IFERROR(VLOOKUP(A2872,vlookup_table!$A:$G,5,FALSE),"")</f>
        <v>R1</v>
      </c>
      <c r="Q2872">
        <f>IFERROR(VLOOKUP(A2872,vlookup_table!$A:$G,7,FALSE),"")</f>
        <v>43</v>
      </c>
      <c r="R2872">
        <f t="shared" si="176"/>
        <v>57</v>
      </c>
      <c r="S2872" t="str" cm="1">
        <f t="array" ref="S2872">IF(P2872="","",_xlfn.SWITCH(LEFT(P2872,1),"C","Ciudad","T","Pueblo","R","Rural","S","Suburbano","U","Urbano",""))</f>
        <v>Rural</v>
      </c>
      <c r="T2872" t="str">
        <f t="shared" si="177"/>
        <v>M</v>
      </c>
      <c r="U2872" t="str">
        <f t="shared" si="178"/>
        <v>NM</v>
      </c>
      <c r="V2872" t="str">
        <f t="shared" si="179"/>
        <v>14846</v>
      </c>
    </row>
    <row r="2873" spans="1:22" x14ac:dyDescent="0.35">
      <c r="A2873">
        <v>72444</v>
      </c>
      <c r="B2873" t="s">
        <v>29</v>
      </c>
      <c r="C2873" t="s">
        <v>14</v>
      </c>
      <c r="D2873">
        <v>521</v>
      </c>
      <c r="E2873">
        <v>364</v>
      </c>
      <c r="F2873">
        <v>419</v>
      </c>
      <c r="G2873">
        <v>0</v>
      </c>
      <c r="H2873">
        <v>13027</v>
      </c>
      <c r="I2873">
        <v>0</v>
      </c>
      <c r="J2873">
        <v>86</v>
      </c>
      <c r="K2873">
        <v>384</v>
      </c>
      <c r="L2873">
        <v>398</v>
      </c>
      <c r="M2873">
        <v>8.5714285710000002</v>
      </c>
      <c r="N2873">
        <f>IFERROR(VLOOKUP(A2873,vlookup_table!$A:$G,2,FALSE),"")</f>
        <v>1002</v>
      </c>
      <c r="O2873">
        <f>IFERROR(VLOOKUP(A2873,vlookup_table!$A:$G,4,FALSE),"")</f>
        <v>6501</v>
      </c>
      <c r="P2873" t="str">
        <f>IFERROR(VLOOKUP(A2873,vlookup_table!$A:$G,5,FALSE),"")</f>
        <v>R2</v>
      </c>
      <c r="Q2873">
        <f>IFERROR(VLOOKUP(A2873,vlookup_table!$A:$G,7,FALSE),"")</f>
        <v>10</v>
      </c>
      <c r="R2873">
        <f t="shared" si="176"/>
        <v>32</v>
      </c>
      <c r="S2873" t="str" cm="1">
        <f t="array" ref="S2873">IF(P2873="","",_xlfn.SWITCH(LEFT(P2873,1),"C","Ciudad","T","Pueblo","R","Rural","S","Suburbano","U","Urbano",""))</f>
        <v>Rural</v>
      </c>
      <c r="T2873" t="str">
        <f t="shared" si="177"/>
        <v>M</v>
      </c>
      <c r="U2873" t="str">
        <f t="shared" si="178"/>
        <v>MI</v>
      </c>
      <c r="V2873" t="str">
        <f t="shared" si="179"/>
        <v>13027</v>
      </c>
    </row>
    <row r="2874" spans="1:22" x14ac:dyDescent="0.35">
      <c r="A2874">
        <v>182180</v>
      </c>
      <c r="B2874" t="s">
        <v>40</v>
      </c>
      <c r="C2874" t="s">
        <v>51</v>
      </c>
      <c r="D2874">
        <v>754</v>
      </c>
      <c r="E2874">
        <v>290</v>
      </c>
      <c r="F2874">
        <v>332</v>
      </c>
      <c r="G2874">
        <v>0</v>
      </c>
      <c r="H2874">
        <v>10677</v>
      </c>
      <c r="I2874">
        <v>6</v>
      </c>
      <c r="J2874">
        <v>51</v>
      </c>
      <c r="K2874">
        <v>315</v>
      </c>
      <c r="L2874">
        <v>303</v>
      </c>
      <c r="M2874">
        <v>16</v>
      </c>
      <c r="N2874">
        <f>IFERROR(VLOOKUP(A2874,vlookup_table!$A:$G,2,FALSE),"")</f>
        <v>1</v>
      </c>
      <c r="O2874">
        <f>IFERROR(VLOOKUP(A2874,vlookup_table!$A:$G,4,FALSE),"")</f>
        <v>4801</v>
      </c>
      <c r="P2874" t="str">
        <f>IFERROR(VLOOKUP(A2874,vlookup_table!$A:$G,5,FALSE),"")</f>
        <v>S2</v>
      </c>
      <c r="Q2874">
        <f>IFERROR(VLOOKUP(A2874,vlookup_table!$A:$G,7,FALSE),"")</f>
        <v>20</v>
      </c>
      <c r="R2874">
        <f t="shared" si="176"/>
        <v>49</v>
      </c>
      <c r="S2874" t="str" cm="1">
        <f t="array" ref="S2874">IF(P2874="","",_xlfn.SWITCH(LEFT(P2874,1),"C","Ciudad","T","Pueblo","R","Rural","S","Suburbano","U","Urbano",""))</f>
        <v>Suburbano</v>
      </c>
      <c r="T2874" t="str">
        <f t="shared" si="177"/>
        <v>M</v>
      </c>
      <c r="U2874" t="str">
        <f t="shared" si="178"/>
        <v>WA</v>
      </c>
      <c r="V2874" t="str">
        <f t="shared" si="179"/>
        <v>10677</v>
      </c>
    </row>
    <row r="2875" spans="1:22" x14ac:dyDescent="0.35">
      <c r="A2875">
        <v>185972</v>
      </c>
      <c r="B2875" t="s">
        <v>39</v>
      </c>
      <c r="C2875" t="s">
        <v>17</v>
      </c>
      <c r="D2875">
        <v>708</v>
      </c>
      <c r="E2875">
        <v>294</v>
      </c>
      <c r="F2875">
        <v>376</v>
      </c>
      <c r="G2875">
        <v>1</v>
      </c>
      <c r="H2875">
        <v>11850</v>
      </c>
      <c r="I2875">
        <v>1</v>
      </c>
      <c r="J2875">
        <v>75</v>
      </c>
      <c r="K2875">
        <v>346</v>
      </c>
      <c r="L2875">
        <v>332</v>
      </c>
      <c r="M2875">
        <v>7.1818181819999998</v>
      </c>
      <c r="N2875">
        <f>IFERROR(VLOOKUP(A2875,vlookup_table!$A:$G,2,FALSE),"")</f>
        <v>28</v>
      </c>
      <c r="O2875">
        <f>IFERROR(VLOOKUP(A2875,vlookup_table!$A:$G,4,FALSE),"")</f>
        <v>2102</v>
      </c>
      <c r="P2875" t="str">
        <f>IFERROR(VLOOKUP(A2875,vlookup_table!$A:$G,5,FALSE),"")</f>
        <v>C3</v>
      </c>
      <c r="Q2875">
        <f>IFERROR(VLOOKUP(A2875,vlookup_table!$A:$G,7,FALSE),"")</f>
        <v>10</v>
      </c>
      <c r="R2875">
        <f t="shared" si="176"/>
        <v>76</v>
      </c>
      <c r="S2875" t="str" cm="1">
        <f t="array" ref="S2875">IF(P2875="","",_xlfn.SWITCH(LEFT(P2875,1),"C","Ciudad","T","Pueblo","R","Rural","S","Suburbano","U","Urbano",""))</f>
        <v>Ciudad</v>
      </c>
      <c r="T2875" t="str">
        <f t="shared" si="177"/>
        <v>F</v>
      </c>
      <c r="U2875" t="str">
        <f t="shared" si="178"/>
        <v>GA</v>
      </c>
      <c r="V2875" t="str">
        <f t="shared" si="179"/>
        <v>11850</v>
      </c>
    </row>
    <row r="2876" spans="1:22" x14ac:dyDescent="0.35">
      <c r="A2876">
        <v>73089</v>
      </c>
      <c r="B2876" t="s">
        <v>29</v>
      </c>
      <c r="C2876" t="s">
        <v>17</v>
      </c>
      <c r="D2876">
        <v>764</v>
      </c>
      <c r="E2876">
        <v>272</v>
      </c>
      <c r="F2876">
        <v>424</v>
      </c>
      <c r="G2876">
        <v>6</v>
      </c>
      <c r="H2876">
        <v>16257</v>
      </c>
      <c r="I2876">
        <v>3</v>
      </c>
      <c r="J2876">
        <v>61</v>
      </c>
      <c r="K2876">
        <v>361</v>
      </c>
      <c r="L2876">
        <v>346</v>
      </c>
      <c r="M2876">
        <v>7.9130434779999996</v>
      </c>
      <c r="N2876">
        <f>IFERROR(VLOOKUP(A2876,vlookup_table!$A:$G,2,FALSE),"")</f>
        <v>2</v>
      </c>
      <c r="O2876">
        <f>IFERROR(VLOOKUP(A2876,vlookup_table!$A:$G,4,FALSE),"")</f>
        <v>0</v>
      </c>
      <c r="P2876" t="str">
        <f>IFERROR(VLOOKUP(A2876,vlookup_table!$A:$G,5,FALSE),"")</f>
        <v>R2</v>
      </c>
      <c r="Q2876">
        <f>IFERROR(VLOOKUP(A2876,vlookup_table!$A:$G,7,FALSE),"")</f>
        <v>15</v>
      </c>
      <c r="R2876">
        <f t="shared" si="176"/>
        <v>97</v>
      </c>
      <c r="S2876" t="str" cm="1">
        <f t="array" ref="S2876">IF(P2876="","",_xlfn.SWITCH(LEFT(P2876,1),"C","Ciudad","T","Pueblo","R","Rural","S","Suburbano","U","Urbano",""))</f>
        <v>Rural</v>
      </c>
      <c r="T2876" t="str">
        <f t="shared" si="177"/>
        <v>F</v>
      </c>
      <c r="U2876" t="str">
        <f t="shared" si="178"/>
        <v>MI</v>
      </c>
      <c r="V2876" t="str">
        <f t="shared" si="179"/>
        <v>16257</v>
      </c>
    </row>
    <row r="2877" spans="1:22" x14ac:dyDescent="0.35">
      <c r="A2877">
        <v>130850</v>
      </c>
      <c r="B2877" t="s">
        <v>48</v>
      </c>
      <c r="C2877" t="s">
        <v>30</v>
      </c>
      <c r="D2877">
        <v>869</v>
      </c>
      <c r="E2877">
        <v>315</v>
      </c>
      <c r="F2877">
        <v>399</v>
      </c>
      <c r="G2877">
        <v>4</v>
      </c>
      <c r="H2877">
        <v>13437</v>
      </c>
      <c r="I2877">
        <v>2</v>
      </c>
      <c r="J2877">
        <v>43</v>
      </c>
      <c r="K2877">
        <v>349</v>
      </c>
      <c r="L2877">
        <v>357</v>
      </c>
      <c r="M2877">
        <v>6.0666666669999998</v>
      </c>
      <c r="N2877">
        <f>IFERROR(VLOOKUP(A2877,vlookup_table!$A:$G,2,FALSE),"")</f>
        <v>980</v>
      </c>
      <c r="O2877">
        <f>IFERROR(VLOOKUP(A2877,vlookup_table!$A:$G,4,FALSE),"")</f>
        <v>0</v>
      </c>
      <c r="P2877" t="str">
        <f>IFERROR(VLOOKUP(A2877,vlookup_table!$A:$G,5,FALSE),"")</f>
        <v>R2</v>
      </c>
      <c r="Q2877">
        <f>IFERROR(VLOOKUP(A2877,vlookup_table!$A:$G,7,FALSE),"")</f>
        <v>7</v>
      </c>
      <c r="R2877">
        <f t="shared" si="176"/>
        <v>97</v>
      </c>
      <c r="S2877" t="str" cm="1">
        <f t="array" ref="S2877">IF(P2877="","",_xlfn.SWITCH(LEFT(P2877,1),"C","Ciudad","T","Pueblo","R","Rural","S","Suburbano","U","Urbano",""))</f>
        <v>Rural</v>
      </c>
      <c r="T2877" t="str">
        <f t="shared" si="177"/>
        <v>U</v>
      </c>
      <c r="U2877" t="str">
        <f t="shared" si="178"/>
        <v>CO</v>
      </c>
      <c r="V2877" t="str">
        <f t="shared" si="179"/>
        <v>13437</v>
      </c>
    </row>
    <row r="2878" spans="1:22" x14ac:dyDescent="0.35">
      <c r="A2878">
        <v>45338</v>
      </c>
      <c r="B2878" t="s">
        <v>13</v>
      </c>
      <c r="C2878" t="s">
        <v>17</v>
      </c>
      <c r="D2878">
        <v>698</v>
      </c>
      <c r="E2878">
        <v>232</v>
      </c>
      <c r="F2878">
        <v>340</v>
      </c>
      <c r="G2878">
        <v>1</v>
      </c>
      <c r="H2878">
        <v>14431</v>
      </c>
      <c r="I2878">
        <v>10</v>
      </c>
      <c r="J2878">
        <v>14</v>
      </c>
      <c r="K2878">
        <v>300</v>
      </c>
      <c r="L2878">
        <v>265</v>
      </c>
      <c r="M2878">
        <v>13.125</v>
      </c>
      <c r="N2878">
        <f>IFERROR(VLOOKUP(A2878,vlookup_table!$A:$G,2,FALSE),"")</f>
        <v>0</v>
      </c>
      <c r="O2878">
        <f>IFERROR(VLOOKUP(A2878,vlookup_table!$A:$G,4,FALSE),"")</f>
        <v>7004</v>
      </c>
      <c r="P2878" t="str">
        <f>IFERROR(VLOOKUP(A2878,vlookup_table!$A:$G,5,FALSE),"")</f>
        <v>S2</v>
      </c>
      <c r="Q2878">
        <f>IFERROR(VLOOKUP(A2878,vlookup_table!$A:$G,7,FALSE),"")</f>
        <v>25</v>
      </c>
      <c r="R2878">
        <f t="shared" si="176"/>
        <v>27</v>
      </c>
      <c r="S2878" t="str" cm="1">
        <f t="array" ref="S2878">IF(P2878="","",_xlfn.SWITCH(LEFT(P2878,1),"C","Ciudad","T","Pueblo","R","Rural","S","Suburbano","U","Urbano",""))</f>
        <v>Suburbano</v>
      </c>
      <c r="T2878" t="str">
        <f t="shared" si="177"/>
        <v>F</v>
      </c>
      <c r="U2878" t="str">
        <f t="shared" si="178"/>
        <v>FL</v>
      </c>
      <c r="V2878" t="str">
        <f t="shared" si="179"/>
        <v>14431</v>
      </c>
    </row>
    <row r="2879" spans="1:22" x14ac:dyDescent="0.35">
      <c r="A2879">
        <v>188860</v>
      </c>
      <c r="B2879" t="s">
        <v>21</v>
      </c>
      <c r="C2879" t="s">
        <v>14</v>
      </c>
      <c r="D2879">
        <v>569</v>
      </c>
      <c r="E2879">
        <v>256</v>
      </c>
      <c r="F2879">
        <v>317</v>
      </c>
      <c r="G2879">
        <v>1</v>
      </c>
      <c r="H2879">
        <v>9118</v>
      </c>
      <c r="I2879">
        <v>0</v>
      </c>
      <c r="J2879">
        <v>92</v>
      </c>
      <c r="K2879">
        <v>270</v>
      </c>
      <c r="L2879">
        <v>310</v>
      </c>
      <c r="M2879">
        <v>6.6470588240000001</v>
      </c>
      <c r="N2879">
        <f>IFERROR(VLOOKUP(A2879,vlookup_table!$A:$G,2,FALSE),"")</f>
        <v>1</v>
      </c>
      <c r="O2879">
        <f>IFERROR(VLOOKUP(A2879,vlookup_table!$A:$G,4,FALSE),"")</f>
        <v>2101</v>
      </c>
      <c r="P2879" t="str">
        <f>IFERROR(VLOOKUP(A2879,vlookup_table!$A:$G,5,FALSE),"")</f>
        <v>T2</v>
      </c>
      <c r="Q2879">
        <f>IFERROR(VLOOKUP(A2879,vlookup_table!$A:$G,7,FALSE),"")</f>
        <v>10</v>
      </c>
      <c r="R2879">
        <f t="shared" si="176"/>
        <v>76</v>
      </c>
      <c r="S2879" t="str" cm="1">
        <f t="array" ref="S2879">IF(P2879="","",_xlfn.SWITCH(LEFT(P2879,1),"C","Ciudad","T","Pueblo","R","Rural","S","Suburbano","U","Urbano",""))</f>
        <v>Pueblo</v>
      </c>
      <c r="T2879" t="str">
        <f t="shared" si="177"/>
        <v>M</v>
      </c>
      <c r="U2879" t="str">
        <f t="shared" si="178"/>
        <v>TX</v>
      </c>
      <c r="V2879" t="str">
        <f t="shared" si="179"/>
        <v>9118</v>
      </c>
    </row>
    <row r="2880" spans="1:22" x14ac:dyDescent="0.35">
      <c r="A2880">
        <v>89036</v>
      </c>
      <c r="B2880" t="s">
        <v>16</v>
      </c>
      <c r="C2880" t="s">
        <v>17</v>
      </c>
      <c r="D2880">
        <v>1892</v>
      </c>
      <c r="E2880">
        <v>608</v>
      </c>
      <c r="F2880">
        <v>745</v>
      </c>
      <c r="G2880">
        <v>44</v>
      </c>
      <c r="H2880">
        <v>27443</v>
      </c>
      <c r="I2880">
        <v>9</v>
      </c>
      <c r="J2880">
        <v>80</v>
      </c>
      <c r="K2880">
        <v>659</v>
      </c>
      <c r="L2880">
        <v>704</v>
      </c>
      <c r="M2880">
        <v>9.5</v>
      </c>
      <c r="N2880">
        <f>IFERROR(VLOOKUP(A2880,vlookup_table!$A:$G,2,FALSE),"")</f>
        <v>0</v>
      </c>
      <c r="O2880">
        <f>IFERROR(VLOOKUP(A2880,vlookup_table!$A:$G,4,FALSE),"")</f>
        <v>2501</v>
      </c>
      <c r="P2880" t="str">
        <f>IFERROR(VLOOKUP(A2880,vlookup_table!$A:$G,5,FALSE),"")</f>
        <v>S2</v>
      </c>
      <c r="Q2880">
        <f>IFERROR(VLOOKUP(A2880,vlookup_table!$A:$G,7,FALSE),"")</f>
        <v>30</v>
      </c>
      <c r="R2880">
        <f t="shared" si="176"/>
        <v>72</v>
      </c>
      <c r="S2880" t="str" cm="1">
        <f t="array" ref="S2880">IF(P2880="","",_xlfn.SWITCH(LEFT(P2880,1),"C","Ciudad","T","Pueblo","R","Rural","S","Suburbano","U","Urbano",""))</f>
        <v>Suburbano</v>
      </c>
      <c r="T2880" t="str">
        <f t="shared" si="177"/>
        <v>F</v>
      </c>
      <c r="U2880" t="str">
        <f t="shared" si="178"/>
        <v>IL</v>
      </c>
      <c r="V2880" t="str">
        <f t="shared" si="179"/>
        <v>27443</v>
      </c>
    </row>
    <row r="2881" spans="1:22" x14ac:dyDescent="0.35">
      <c r="A2881">
        <v>61026</v>
      </c>
      <c r="B2881" t="s">
        <v>33</v>
      </c>
      <c r="C2881" t="s">
        <v>17</v>
      </c>
      <c r="D2881">
        <v>499</v>
      </c>
      <c r="E2881">
        <v>270</v>
      </c>
      <c r="F2881">
        <v>372</v>
      </c>
      <c r="G2881">
        <v>1</v>
      </c>
      <c r="H2881">
        <v>12615</v>
      </c>
      <c r="I2881">
        <v>2</v>
      </c>
      <c r="J2881">
        <v>72</v>
      </c>
      <c r="K2881">
        <v>325</v>
      </c>
      <c r="L2881">
        <v>320</v>
      </c>
      <c r="M2881">
        <v>20</v>
      </c>
      <c r="N2881">
        <f>IFERROR(VLOOKUP(A2881,vlookup_table!$A:$G,2,FALSE),"")</f>
        <v>28</v>
      </c>
      <c r="O2881">
        <f>IFERROR(VLOOKUP(A2881,vlookup_table!$A:$G,4,FALSE),"")</f>
        <v>0</v>
      </c>
      <c r="P2881" t="str">
        <f>IFERROR(VLOOKUP(A2881,vlookup_table!$A:$G,5,FALSE),"")</f>
        <v>T2</v>
      </c>
      <c r="Q2881">
        <f>IFERROR(VLOOKUP(A2881,vlookup_table!$A:$G,7,FALSE),"")</f>
        <v>20</v>
      </c>
      <c r="R2881">
        <f t="shared" si="176"/>
        <v>97</v>
      </c>
      <c r="S2881" t="str" cm="1">
        <f t="array" ref="S2881">IF(P2881="","",_xlfn.SWITCH(LEFT(P2881,1),"C","Ciudad","T","Pueblo","R","Rural","S","Suburbano","U","Urbano",""))</f>
        <v>Pueblo</v>
      </c>
      <c r="T2881" t="str">
        <f t="shared" si="177"/>
        <v>F</v>
      </c>
      <c r="U2881" t="str">
        <f t="shared" si="178"/>
        <v>IN</v>
      </c>
      <c r="V2881" t="str">
        <f t="shared" si="179"/>
        <v>12615</v>
      </c>
    </row>
    <row r="2882" spans="1:22" x14ac:dyDescent="0.35">
      <c r="A2882">
        <v>186880</v>
      </c>
      <c r="B2882" t="s">
        <v>36</v>
      </c>
      <c r="C2882" t="s">
        <v>17</v>
      </c>
      <c r="D2882">
        <v>313</v>
      </c>
      <c r="E2882">
        <v>138</v>
      </c>
      <c r="F2882">
        <v>216</v>
      </c>
      <c r="G2882">
        <v>0</v>
      </c>
      <c r="H2882">
        <v>7617</v>
      </c>
      <c r="I2882">
        <v>1</v>
      </c>
      <c r="J2882">
        <v>62</v>
      </c>
      <c r="K2882">
        <v>165</v>
      </c>
      <c r="L2882">
        <v>189</v>
      </c>
      <c r="M2882">
        <v>7.6296296300000002</v>
      </c>
      <c r="N2882">
        <f>IFERROR(VLOOKUP(A2882,vlookup_table!$A:$G,2,FALSE),"")</f>
        <v>3</v>
      </c>
      <c r="O2882">
        <f>IFERROR(VLOOKUP(A2882,vlookup_table!$A:$G,4,FALSE),"")</f>
        <v>3903</v>
      </c>
      <c r="P2882" t="str">
        <f>IFERROR(VLOOKUP(A2882,vlookup_table!$A:$G,5,FALSE),"")</f>
        <v>R3</v>
      </c>
      <c r="Q2882">
        <f>IFERROR(VLOOKUP(A2882,vlookup_table!$A:$G,7,FALSE),"")</f>
        <v>5</v>
      </c>
      <c r="R2882">
        <f t="shared" ref="R2882:R2945" si="180">IF(O2882="","",97-INT(O2882/100))</f>
        <v>58</v>
      </c>
      <c r="S2882" t="str" cm="1">
        <f t="array" ref="S2882">IF(P2882="","",_xlfn.SWITCH(LEFT(P2882,1),"C","Ciudad","T","Pueblo","R","Rural","S","Suburbano","U","Urbano",""))</f>
        <v>Rural</v>
      </c>
      <c r="T2882" t="str">
        <f t="shared" ref="T2882:T2945" si="181">IF(C2882="","",IF(OR(UPPER(C2882)="M",UPPER(C2882)="MALE"),"M",IF(OR(UPPER(C2882)="F",UPPER(C2882)="FEMALE",UPPER(C2882)="FEAMALE"),"F",C2882)))</f>
        <v>F</v>
      </c>
      <c r="U2882" t="str">
        <f t="shared" ref="U2882:U2945" si="182">IF(OR(UPPER(B2882)="CALIFORNIA",UPPER(B2882)="CALI"),"CA",B2882)</f>
        <v>MO</v>
      </c>
      <c r="V2882" t="str">
        <f t="shared" ref="V2882:V2945" si="183">SUBSTITUTE(H2882,"@","")</f>
        <v>7617</v>
      </c>
    </row>
    <row r="2883" spans="1:22" x14ac:dyDescent="0.35">
      <c r="A2883">
        <v>123871</v>
      </c>
      <c r="B2883" t="s">
        <v>21</v>
      </c>
      <c r="C2883" t="s">
        <v>14</v>
      </c>
      <c r="D2883">
        <v>1324</v>
      </c>
      <c r="E2883">
        <v>770</v>
      </c>
      <c r="F2883">
        <v>841</v>
      </c>
      <c r="G2883">
        <v>5</v>
      </c>
      <c r="H2883">
        <v>33254</v>
      </c>
      <c r="I2883">
        <v>6</v>
      </c>
      <c r="J2883">
        <v>28</v>
      </c>
      <c r="K2883">
        <v>779</v>
      </c>
      <c r="L2883">
        <v>825</v>
      </c>
      <c r="M2883">
        <v>8.8000000000000007</v>
      </c>
      <c r="N2883">
        <f>IFERROR(VLOOKUP(A2883,vlookup_table!$A:$G,2,FALSE),"")</f>
        <v>0</v>
      </c>
      <c r="O2883">
        <f>IFERROR(VLOOKUP(A2883,vlookup_table!$A:$G,4,FALSE),"")</f>
        <v>5211</v>
      </c>
      <c r="P2883" t="str">
        <f>IFERROR(VLOOKUP(A2883,vlookup_table!$A:$G,5,FALSE),"")</f>
        <v>C1</v>
      </c>
      <c r="Q2883">
        <f>IFERROR(VLOOKUP(A2883,vlookup_table!$A:$G,7,FALSE),"")</f>
        <v>15</v>
      </c>
      <c r="R2883">
        <f t="shared" si="180"/>
        <v>45</v>
      </c>
      <c r="S2883" t="str" cm="1">
        <f t="array" ref="S2883">IF(P2883="","",_xlfn.SWITCH(LEFT(P2883,1),"C","Ciudad","T","Pueblo","R","Rural","S","Suburbano","U","Urbano",""))</f>
        <v>Ciudad</v>
      </c>
      <c r="T2883" t="str">
        <f t="shared" si="181"/>
        <v>M</v>
      </c>
      <c r="U2883" t="str">
        <f t="shared" si="182"/>
        <v>TX</v>
      </c>
      <c r="V2883" t="str">
        <f t="shared" si="183"/>
        <v>33254</v>
      </c>
    </row>
    <row r="2884" spans="1:22" x14ac:dyDescent="0.35">
      <c r="A2884">
        <v>63104</v>
      </c>
      <c r="B2884" t="s">
        <v>33</v>
      </c>
      <c r="C2884" t="s">
        <v>14</v>
      </c>
      <c r="D2884">
        <v>551</v>
      </c>
      <c r="E2884">
        <v>345</v>
      </c>
      <c r="F2884">
        <v>414</v>
      </c>
      <c r="G2884">
        <v>1</v>
      </c>
      <c r="H2884">
        <v>13717</v>
      </c>
      <c r="I2884">
        <v>0</v>
      </c>
      <c r="J2884">
        <v>86</v>
      </c>
      <c r="K2884">
        <v>376</v>
      </c>
      <c r="L2884">
        <v>391</v>
      </c>
      <c r="M2884">
        <v>12.8</v>
      </c>
      <c r="N2884">
        <f>IFERROR(VLOOKUP(A2884,vlookup_table!$A:$G,2,FALSE),"")</f>
        <v>1</v>
      </c>
      <c r="O2884">
        <f>IFERROR(VLOOKUP(A2884,vlookup_table!$A:$G,4,FALSE),"")</f>
        <v>4606</v>
      </c>
      <c r="P2884" t="str">
        <f>IFERROR(VLOOKUP(A2884,vlookup_table!$A:$G,5,FALSE),"")</f>
        <v>R2</v>
      </c>
      <c r="Q2884">
        <f>IFERROR(VLOOKUP(A2884,vlookup_table!$A:$G,7,FALSE),"")</f>
        <v>40</v>
      </c>
      <c r="R2884">
        <f t="shared" si="180"/>
        <v>51</v>
      </c>
      <c r="S2884" t="str" cm="1">
        <f t="array" ref="S2884">IF(P2884="","",_xlfn.SWITCH(LEFT(P2884,1),"C","Ciudad","T","Pueblo","R","Rural","S","Suburbano","U","Urbano",""))</f>
        <v>Rural</v>
      </c>
      <c r="T2884" t="str">
        <f t="shared" si="181"/>
        <v>M</v>
      </c>
      <c r="U2884" t="str">
        <f t="shared" si="182"/>
        <v>IN</v>
      </c>
      <c r="V2884" t="str">
        <f t="shared" si="183"/>
        <v>13717</v>
      </c>
    </row>
    <row r="2885" spans="1:22" x14ac:dyDescent="0.35">
      <c r="A2885">
        <v>181770</v>
      </c>
      <c r="B2885" t="s">
        <v>40</v>
      </c>
      <c r="C2885" t="s">
        <v>51</v>
      </c>
      <c r="D2885">
        <v>1461</v>
      </c>
      <c r="E2885">
        <v>313</v>
      </c>
      <c r="F2885">
        <v>464</v>
      </c>
      <c r="G2885">
        <v>20</v>
      </c>
      <c r="H2885">
        <v>20659</v>
      </c>
      <c r="I2885">
        <v>7</v>
      </c>
      <c r="J2885">
        <v>31</v>
      </c>
      <c r="K2885">
        <v>342</v>
      </c>
      <c r="L2885">
        <v>411</v>
      </c>
      <c r="M2885">
        <v>6.3684210529999996</v>
      </c>
      <c r="N2885">
        <f>IFERROR(VLOOKUP(A2885,vlookup_table!$A:$G,2,FALSE),"")</f>
        <v>1</v>
      </c>
      <c r="O2885">
        <f>IFERROR(VLOOKUP(A2885,vlookup_table!$A:$G,4,FALSE),"")</f>
        <v>2601</v>
      </c>
      <c r="P2885" t="str">
        <f>IFERROR(VLOOKUP(A2885,vlookup_table!$A:$G,5,FALSE),"")</f>
        <v>C1</v>
      </c>
      <c r="Q2885">
        <f>IFERROR(VLOOKUP(A2885,vlookup_table!$A:$G,7,FALSE),"")</f>
        <v>7</v>
      </c>
      <c r="R2885">
        <f t="shared" si="180"/>
        <v>71</v>
      </c>
      <c r="S2885" t="str" cm="1">
        <f t="array" ref="S2885">IF(P2885="","",_xlfn.SWITCH(LEFT(P2885,1),"C","Ciudad","T","Pueblo","R","Rural","S","Suburbano","U","Urbano",""))</f>
        <v>Ciudad</v>
      </c>
      <c r="T2885" t="str">
        <f t="shared" si="181"/>
        <v>M</v>
      </c>
      <c r="U2885" t="str">
        <f t="shared" si="182"/>
        <v>WA</v>
      </c>
      <c r="V2885" t="str">
        <f t="shared" si="183"/>
        <v>20659</v>
      </c>
    </row>
    <row r="2886" spans="1:22" x14ac:dyDescent="0.35">
      <c r="A2886">
        <v>142466</v>
      </c>
      <c r="B2886" t="s">
        <v>22</v>
      </c>
      <c r="C2886" t="s">
        <v>17</v>
      </c>
      <c r="D2886">
        <v>951</v>
      </c>
      <c r="E2886">
        <v>168</v>
      </c>
      <c r="F2886">
        <v>229</v>
      </c>
      <c r="G2886">
        <v>2</v>
      </c>
      <c r="H2886">
        <v>5893</v>
      </c>
      <c r="I2886">
        <v>33</v>
      </c>
      <c r="J2886">
        <v>43</v>
      </c>
      <c r="K2886">
        <v>178</v>
      </c>
      <c r="L2886">
        <v>222</v>
      </c>
      <c r="M2886">
        <v>17.875</v>
      </c>
      <c r="N2886">
        <f>IFERROR(VLOOKUP(A2886,vlookup_table!$A:$G,2,FALSE),"")</f>
        <v>2</v>
      </c>
      <c r="O2886">
        <f>IFERROR(VLOOKUP(A2886,vlookup_table!$A:$G,4,FALSE),"")</f>
        <v>3805</v>
      </c>
      <c r="P2886" t="str">
        <f>IFERROR(VLOOKUP(A2886,vlookup_table!$A:$G,5,FALSE),"")</f>
        <v>U4</v>
      </c>
      <c r="Q2886">
        <f>IFERROR(VLOOKUP(A2886,vlookup_table!$A:$G,7,FALSE),"")</f>
        <v>20</v>
      </c>
      <c r="R2886">
        <f t="shared" si="180"/>
        <v>59</v>
      </c>
      <c r="S2886" t="str" cm="1">
        <f t="array" ref="S2886">IF(P2886="","",_xlfn.SWITCH(LEFT(P2886,1),"C","Ciudad","T","Pueblo","R","Rural","S","Suburbano","U","Urbano",""))</f>
        <v>Urbano</v>
      </c>
      <c r="T2886" t="str">
        <f t="shared" si="181"/>
        <v>F</v>
      </c>
      <c r="U2886" t="str">
        <f t="shared" si="182"/>
        <v>CA</v>
      </c>
      <c r="V2886" t="str">
        <f t="shared" si="183"/>
        <v>5893</v>
      </c>
    </row>
    <row r="2887" spans="1:22" x14ac:dyDescent="0.35">
      <c r="A2887">
        <v>58284</v>
      </c>
      <c r="B2887" t="s">
        <v>57</v>
      </c>
      <c r="C2887" t="s">
        <v>17</v>
      </c>
      <c r="D2887">
        <v>463</v>
      </c>
      <c r="E2887">
        <v>225</v>
      </c>
      <c r="F2887">
        <v>319</v>
      </c>
      <c r="G2887">
        <v>0</v>
      </c>
      <c r="H2887">
        <v>11650</v>
      </c>
      <c r="I2887">
        <v>0</v>
      </c>
      <c r="J2887">
        <v>74</v>
      </c>
      <c r="K2887">
        <v>274</v>
      </c>
      <c r="L2887">
        <v>278</v>
      </c>
      <c r="M2887">
        <v>3.6875</v>
      </c>
      <c r="N2887">
        <f>IFERROR(VLOOKUP(A2887,vlookup_table!$A:$G,2,FALSE),"")</f>
        <v>2</v>
      </c>
      <c r="O2887">
        <f>IFERROR(VLOOKUP(A2887,vlookup_table!$A:$G,4,FALSE),"")</f>
        <v>3201</v>
      </c>
      <c r="P2887" t="str">
        <f>IFERROR(VLOOKUP(A2887,vlookup_table!$A:$G,5,FALSE),"")</f>
        <v>R2</v>
      </c>
      <c r="Q2887">
        <f>IFERROR(VLOOKUP(A2887,vlookup_table!$A:$G,7,FALSE),"")</f>
        <v>4</v>
      </c>
      <c r="R2887">
        <f t="shared" si="180"/>
        <v>65</v>
      </c>
      <c r="S2887" t="str" cm="1">
        <f t="array" ref="S2887">IF(P2887="","",_xlfn.SWITCH(LEFT(P2887,1),"C","Ciudad","T","Pueblo","R","Rural","S","Suburbano","U","Urbano",""))</f>
        <v>Rural</v>
      </c>
      <c r="T2887" t="str">
        <f t="shared" si="181"/>
        <v>F</v>
      </c>
      <c r="U2887" t="str">
        <f t="shared" si="182"/>
        <v>KY</v>
      </c>
      <c r="V2887" t="str">
        <f t="shared" si="183"/>
        <v>11650</v>
      </c>
    </row>
    <row r="2888" spans="1:22" x14ac:dyDescent="0.35">
      <c r="A2888">
        <v>126483</v>
      </c>
      <c r="B2888" t="s">
        <v>21</v>
      </c>
      <c r="C2888" t="s">
        <v>14</v>
      </c>
      <c r="D2888">
        <v>373</v>
      </c>
      <c r="E2888">
        <v>168</v>
      </c>
      <c r="F2888">
        <v>239</v>
      </c>
      <c r="G2888">
        <v>1</v>
      </c>
      <c r="H2888">
        <v>7538</v>
      </c>
      <c r="I2888">
        <v>15</v>
      </c>
      <c r="J2888">
        <v>66</v>
      </c>
      <c r="K2888">
        <v>190</v>
      </c>
      <c r="L2888">
        <v>221</v>
      </c>
      <c r="M2888">
        <v>15</v>
      </c>
      <c r="N2888">
        <f>IFERROR(VLOOKUP(A2888,vlookup_table!$A:$G,2,FALSE),"")</f>
        <v>1</v>
      </c>
      <c r="O2888">
        <f>IFERROR(VLOOKUP(A2888,vlookup_table!$A:$G,4,FALSE),"")</f>
        <v>2001</v>
      </c>
      <c r="P2888" t="str">
        <f>IFERROR(VLOOKUP(A2888,vlookup_table!$A:$G,5,FALSE),"")</f>
        <v>C2</v>
      </c>
      <c r="Q2888">
        <f>IFERROR(VLOOKUP(A2888,vlookup_table!$A:$G,7,FALSE),"")</f>
        <v>15</v>
      </c>
      <c r="R2888">
        <f t="shared" si="180"/>
        <v>77</v>
      </c>
      <c r="S2888" t="str" cm="1">
        <f t="array" ref="S2888">IF(P2888="","",_xlfn.SWITCH(LEFT(P2888,1),"C","Ciudad","T","Pueblo","R","Rural","S","Suburbano","U","Urbano",""))</f>
        <v>Ciudad</v>
      </c>
      <c r="T2888" t="str">
        <f t="shared" si="181"/>
        <v>M</v>
      </c>
      <c r="U2888" t="str">
        <f t="shared" si="182"/>
        <v>TX</v>
      </c>
      <c r="V2888" t="str">
        <f t="shared" si="183"/>
        <v>7538</v>
      </c>
    </row>
    <row r="2889" spans="1:22" x14ac:dyDescent="0.35">
      <c r="A2889">
        <v>56451</v>
      </c>
      <c r="B2889" t="s">
        <v>57</v>
      </c>
      <c r="C2889" t="s">
        <v>14</v>
      </c>
      <c r="D2889">
        <v>781</v>
      </c>
      <c r="E2889">
        <v>403</v>
      </c>
      <c r="F2889">
        <v>473</v>
      </c>
      <c r="G2889">
        <v>0</v>
      </c>
      <c r="H2889">
        <v>15259</v>
      </c>
      <c r="I2889">
        <v>1</v>
      </c>
      <c r="J2889">
        <v>81</v>
      </c>
      <c r="K2889">
        <v>422</v>
      </c>
      <c r="L2889">
        <v>434</v>
      </c>
      <c r="M2889">
        <v>7.8</v>
      </c>
      <c r="N2889">
        <f>IFERROR(VLOOKUP(A2889,vlookup_table!$A:$G,2,FALSE),"")</f>
        <v>2</v>
      </c>
      <c r="O2889">
        <f>IFERROR(VLOOKUP(A2889,vlookup_table!$A:$G,4,FALSE),"")</f>
        <v>3801</v>
      </c>
      <c r="P2889" t="str">
        <f>IFERROR(VLOOKUP(A2889,vlookup_table!$A:$G,5,FALSE),"")</f>
        <v>T2</v>
      </c>
      <c r="Q2889">
        <f>IFERROR(VLOOKUP(A2889,vlookup_table!$A:$G,7,FALSE),"")</f>
        <v>8</v>
      </c>
      <c r="R2889">
        <f t="shared" si="180"/>
        <v>59</v>
      </c>
      <c r="S2889" t="str" cm="1">
        <f t="array" ref="S2889">IF(P2889="","",_xlfn.SWITCH(LEFT(P2889,1),"C","Ciudad","T","Pueblo","R","Rural","S","Suburbano","U","Urbano",""))</f>
        <v>Pueblo</v>
      </c>
      <c r="T2889" t="str">
        <f t="shared" si="181"/>
        <v>M</v>
      </c>
      <c r="U2889" t="str">
        <f t="shared" si="182"/>
        <v>KY</v>
      </c>
      <c r="V2889" t="str">
        <f t="shared" si="183"/>
        <v>15259</v>
      </c>
    </row>
    <row r="2890" spans="1:22" x14ac:dyDescent="0.35">
      <c r="A2890">
        <v>103111</v>
      </c>
      <c r="B2890" t="s">
        <v>36</v>
      </c>
      <c r="C2890" t="s">
        <v>17</v>
      </c>
      <c r="D2890">
        <v>509</v>
      </c>
      <c r="E2890">
        <v>373</v>
      </c>
      <c r="F2890">
        <v>430</v>
      </c>
      <c r="G2890">
        <v>0</v>
      </c>
      <c r="H2890">
        <v>12992</v>
      </c>
      <c r="I2890">
        <v>0</v>
      </c>
      <c r="J2890">
        <v>90</v>
      </c>
      <c r="K2890">
        <v>377</v>
      </c>
      <c r="L2890">
        <v>410</v>
      </c>
      <c r="M2890">
        <v>15</v>
      </c>
      <c r="N2890">
        <f>IFERROR(VLOOKUP(A2890,vlookup_table!$A:$G,2,FALSE),"")</f>
        <v>0</v>
      </c>
      <c r="O2890">
        <f>IFERROR(VLOOKUP(A2890,vlookup_table!$A:$G,4,FALSE),"")</f>
        <v>6701</v>
      </c>
      <c r="P2890" t="str">
        <f>IFERROR(VLOOKUP(A2890,vlookup_table!$A:$G,5,FALSE),"")</f>
        <v>R2</v>
      </c>
      <c r="Q2890">
        <f>IFERROR(VLOOKUP(A2890,vlookup_table!$A:$G,7,FALSE),"")</f>
        <v>10</v>
      </c>
      <c r="R2890">
        <f t="shared" si="180"/>
        <v>30</v>
      </c>
      <c r="S2890" t="str" cm="1">
        <f t="array" ref="S2890">IF(P2890="","",_xlfn.SWITCH(LEFT(P2890,1),"C","Ciudad","T","Pueblo","R","Rural","S","Suburbano","U","Urbano",""))</f>
        <v>Rural</v>
      </c>
      <c r="T2890" t="str">
        <f t="shared" si="181"/>
        <v>F</v>
      </c>
      <c r="U2890" t="str">
        <f t="shared" si="182"/>
        <v>MO</v>
      </c>
      <c r="V2890" t="str">
        <f t="shared" si="183"/>
        <v>12992</v>
      </c>
    </row>
    <row r="2891" spans="1:22" x14ac:dyDescent="0.35">
      <c r="A2891">
        <v>3825</v>
      </c>
      <c r="B2891" t="s">
        <v>24</v>
      </c>
      <c r="C2891" t="s">
        <v>14</v>
      </c>
      <c r="D2891">
        <v>943</v>
      </c>
      <c r="E2891">
        <v>412</v>
      </c>
      <c r="F2891">
        <v>413</v>
      </c>
      <c r="G2891">
        <v>0</v>
      </c>
      <c r="H2891">
        <v>15479</v>
      </c>
      <c r="I2891">
        <v>4</v>
      </c>
      <c r="J2891">
        <v>29</v>
      </c>
      <c r="K2891">
        <v>403</v>
      </c>
      <c r="L2891">
        <v>435</v>
      </c>
      <c r="M2891">
        <v>11.56</v>
      </c>
      <c r="N2891">
        <f>IFERROR(VLOOKUP(A2891,vlookup_table!$A:$G,2,FALSE),"")</f>
        <v>1</v>
      </c>
      <c r="O2891">
        <f>IFERROR(VLOOKUP(A2891,vlookup_table!$A:$G,4,FALSE),"")</f>
        <v>2404</v>
      </c>
      <c r="P2891" t="str">
        <f>IFERROR(VLOOKUP(A2891,vlookup_table!$A:$G,5,FALSE),"")</f>
        <v>S2</v>
      </c>
      <c r="Q2891">
        <f>IFERROR(VLOOKUP(A2891,vlookup_table!$A:$G,7,FALSE),"")</f>
        <v>15</v>
      </c>
      <c r="R2891">
        <f t="shared" si="180"/>
        <v>73</v>
      </c>
      <c r="S2891" t="str" cm="1">
        <f t="array" ref="S2891">IF(P2891="","",_xlfn.SWITCH(LEFT(P2891,1),"C","Ciudad","T","Pueblo","R","Rural","S","Suburbano","U","Urbano",""))</f>
        <v>Suburbano</v>
      </c>
      <c r="T2891" t="str">
        <f t="shared" si="181"/>
        <v>M</v>
      </c>
      <c r="U2891" t="str">
        <f t="shared" si="182"/>
        <v>NV</v>
      </c>
      <c r="V2891" t="str">
        <f t="shared" si="183"/>
        <v>15479</v>
      </c>
    </row>
    <row r="2892" spans="1:22" x14ac:dyDescent="0.35">
      <c r="A2892">
        <v>17145</v>
      </c>
      <c r="B2892" t="s">
        <v>18</v>
      </c>
      <c r="C2892" t="s">
        <v>20</v>
      </c>
      <c r="D2892">
        <v>497</v>
      </c>
      <c r="E2892">
        <v>207</v>
      </c>
      <c r="F2892">
        <v>303</v>
      </c>
      <c r="G2892">
        <v>0</v>
      </c>
      <c r="H2892">
        <v>10030</v>
      </c>
      <c r="I2892">
        <v>0</v>
      </c>
      <c r="J2892">
        <v>91</v>
      </c>
      <c r="K2892">
        <v>250</v>
      </c>
      <c r="L2892">
        <v>254</v>
      </c>
      <c r="M2892">
        <v>20</v>
      </c>
      <c r="N2892">
        <f>IFERROR(VLOOKUP(A2892,vlookup_table!$A:$G,2,FALSE),"")</f>
        <v>0</v>
      </c>
      <c r="O2892">
        <f>IFERROR(VLOOKUP(A2892,vlookup_table!$A:$G,4,FALSE),"")</f>
        <v>0</v>
      </c>
      <c r="P2892" t="str">
        <f>IFERROR(VLOOKUP(A2892,vlookup_table!$A:$G,5,FALSE),"")</f>
        <v>R3</v>
      </c>
      <c r="Q2892">
        <f>IFERROR(VLOOKUP(A2892,vlookup_table!$A:$G,7,FALSE),"")</f>
        <v>20</v>
      </c>
      <c r="R2892">
        <f t="shared" si="180"/>
        <v>97</v>
      </c>
      <c r="S2892" t="str" cm="1">
        <f t="array" ref="S2892">IF(P2892="","",_xlfn.SWITCH(LEFT(P2892,1),"C","Ciudad","T","Pueblo","R","Rural","S","Suburbano","U","Urbano",""))</f>
        <v>Rural</v>
      </c>
      <c r="T2892" t="str">
        <f t="shared" si="181"/>
        <v>F</v>
      </c>
      <c r="U2892" t="str">
        <f t="shared" si="182"/>
        <v>NC</v>
      </c>
      <c r="V2892" t="str">
        <f t="shared" si="183"/>
        <v>10030</v>
      </c>
    </row>
    <row r="2893" spans="1:22" x14ac:dyDescent="0.35">
      <c r="A2893">
        <v>159868</v>
      </c>
      <c r="B2893" t="s">
        <v>22</v>
      </c>
      <c r="C2893" t="s">
        <v>17</v>
      </c>
      <c r="D2893">
        <v>714</v>
      </c>
      <c r="E2893">
        <v>343</v>
      </c>
      <c r="F2893">
        <v>391</v>
      </c>
      <c r="G2893">
        <v>0</v>
      </c>
      <c r="H2893">
        <v>12568</v>
      </c>
      <c r="I2893">
        <v>3</v>
      </c>
      <c r="J2893">
        <v>69</v>
      </c>
      <c r="K2893">
        <v>363</v>
      </c>
      <c r="L2893">
        <v>372</v>
      </c>
      <c r="M2893">
        <v>9.0555555559999998</v>
      </c>
      <c r="N2893">
        <f>IFERROR(VLOOKUP(A2893,vlookup_table!$A:$G,2,FALSE),"")</f>
        <v>2</v>
      </c>
      <c r="O2893">
        <f>IFERROR(VLOOKUP(A2893,vlookup_table!$A:$G,4,FALSE),"")</f>
        <v>2302</v>
      </c>
      <c r="P2893" t="str">
        <f>IFERROR(VLOOKUP(A2893,vlookup_table!$A:$G,5,FALSE),"")</f>
        <v>C3</v>
      </c>
      <c r="Q2893">
        <f>IFERROR(VLOOKUP(A2893,vlookup_table!$A:$G,7,FALSE),"")</f>
        <v>15</v>
      </c>
      <c r="R2893">
        <f t="shared" si="180"/>
        <v>74</v>
      </c>
      <c r="S2893" t="str" cm="1">
        <f t="array" ref="S2893">IF(P2893="","",_xlfn.SWITCH(LEFT(P2893,1),"C","Ciudad","T","Pueblo","R","Rural","S","Suburbano","U","Urbano",""))</f>
        <v>Ciudad</v>
      </c>
      <c r="T2893" t="str">
        <f t="shared" si="181"/>
        <v>F</v>
      </c>
      <c r="U2893" t="str">
        <f t="shared" si="182"/>
        <v>CA</v>
      </c>
      <c r="V2893" t="str">
        <f t="shared" si="183"/>
        <v>12568</v>
      </c>
    </row>
    <row r="2894" spans="1:22" x14ac:dyDescent="0.35">
      <c r="A2894">
        <v>24722</v>
      </c>
      <c r="B2894" t="s">
        <v>46</v>
      </c>
      <c r="C2894" t="s">
        <v>14</v>
      </c>
      <c r="D2894">
        <v>551</v>
      </c>
      <c r="E2894">
        <v>247</v>
      </c>
      <c r="F2894">
        <v>354</v>
      </c>
      <c r="G2894">
        <v>2</v>
      </c>
      <c r="H2894">
        <v>12254</v>
      </c>
      <c r="I2894">
        <v>1</v>
      </c>
      <c r="J2894">
        <v>82</v>
      </c>
      <c r="K2894">
        <v>309</v>
      </c>
      <c r="L2894">
        <v>316</v>
      </c>
      <c r="M2894">
        <v>3.2888888889999999</v>
      </c>
      <c r="N2894">
        <f>IFERROR(VLOOKUP(A2894,vlookup_table!$A:$G,2,FALSE),"")</f>
        <v>1</v>
      </c>
      <c r="O2894">
        <f>IFERROR(VLOOKUP(A2894,vlookup_table!$A:$G,4,FALSE),"")</f>
        <v>4401</v>
      </c>
      <c r="P2894" t="str">
        <f>IFERROR(VLOOKUP(A2894,vlookup_table!$A:$G,5,FALSE),"")</f>
        <v>T2</v>
      </c>
      <c r="Q2894">
        <f>IFERROR(VLOOKUP(A2894,vlookup_table!$A:$G,7,FALSE),"")</f>
        <v>3</v>
      </c>
      <c r="R2894">
        <f t="shared" si="180"/>
        <v>53</v>
      </c>
      <c r="S2894" t="str" cm="1">
        <f t="array" ref="S2894">IF(P2894="","",_xlfn.SWITCH(LEFT(P2894,1),"C","Ciudad","T","Pueblo","R","Rural","S","Suburbano","U","Urbano",""))</f>
        <v>Pueblo</v>
      </c>
      <c r="T2894" t="str">
        <f t="shared" si="181"/>
        <v>M</v>
      </c>
      <c r="U2894" t="str">
        <f t="shared" si="182"/>
        <v>SC</v>
      </c>
      <c r="V2894" t="str">
        <f t="shared" si="183"/>
        <v>12254</v>
      </c>
    </row>
    <row r="2895" spans="1:22" x14ac:dyDescent="0.35">
      <c r="A2895">
        <v>101058</v>
      </c>
      <c r="B2895" t="s">
        <v>36</v>
      </c>
      <c r="C2895" t="s">
        <v>17</v>
      </c>
      <c r="D2895">
        <v>1123</v>
      </c>
      <c r="E2895">
        <v>547</v>
      </c>
      <c r="F2895">
        <v>662</v>
      </c>
      <c r="G2895">
        <v>20</v>
      </c>
      <c r="H2895">
        <v>20264</v>
      </c>
      <c r="I2895">
        <v>1</v>
      </c>
      <c r="J2895">
        <v>59</v>
      </c>
      <c r="K2895">
        <v>575</v>
      </c>
      <c r="L2895">
        <v>631</v>
      </c>
      <c r="M2895">
        <v>8.230769231</v>
      </c>
      <c r="N2895">
        <f>IFERROR(VLOOKUP(A2895,vlookup_table!$A:$G,2,FALSE),"")</f>
        <v>28</v>
      </c>
      <c r="O2895">
        <f>IFERROR(VLOOKUP(A2895,vlookup_table!$A:$G,4,FALSE),"")</f>
        <v>4001</v>
      </c>
      <c r="P2895" t="str">
        <f>IFERROR(VLOOKUP(A2895,vlookup_table!$A:$G,5,FALSE),"")</f>
        <v>T1</v>
      </c>
      <c r="Q2895">
        <f>IFERROR(VLOOKUP(A2895,vlookup_table!$A:$G,7,FALSE),"")</f>
        <v>10</v>
      </c>
      <c r="R2895">
        <f t="shared" si="180"/>
        <v>57</v>
      </c>
      <c r="S2895" t="str" cm="1">
        <f t="array" ref="S2895">IF(P2895="","",_xlfn.SWITCH(LEFT(P2895,1),"C","Ciudad","T","Pueblo","R","Rural","S","Suburbano","U","Urbano",""))</f>
        <v>Pueblo</v>
      </c>
      <c r="T2895" t="str">
        <f t="shared" si="181"/>
        <v>F</v>
      </c>
      <c r="U2895" t="str">
        <f t="shared" si="182"/>
        <v>MO</v>
      </c>
      <c r="V2895" t="str">
        <f t="shared" si="183"/>
        <v>20264</v>
      </c>
    </row>
    <row r="2896" spans="1:22" x14ac:dyDescent="0.35">
      <c r="A2896">
        <v>12822</v>
      </c>
      <c r="B2896" t="s">
        <v>49</v>
      </c>
      <c r="C2896" t="s">
        <v>17</v>
      </c>
      <c r="D2896">
        <v>544</v>
      </c>
      <c r="E2896">
        <v>255</v>
      </c>
      <c r="F2896">
        <v>313</v>
      </c>
      <c r="G2896">
        <v>5</v>
      </c>
      <c r="H2896">
        <v>10281</v>
      </c>
      <c r="I2896">
        <v>0</v>
      </c>
      <c r="J2896">
        <v>84</v>
      </c>
      <c r="K2896">
        <v>305</v>
      </c>
      <c r="L2896">
        <v>282</v>
      </c>
      <c r="M2896">
        <v>6.6666666670000003</v>
      </c>
      <c r="N2896">
        <f>IFERROR(VLOOKUP(A2896,vlookup_table!$A:$G,2,FALSE),"")</f>
        <v>28</v>
      </c>
      <c r="O2896">
        <f>IFERROR(VLOOKUP(A2896,vlookup_table!$A:$G,4,FALSE),"")</f>
        <v>103</v>
      </c>
      <c r="P2896" t="str">
        <f>IFERROR(VLOOKUP(A2896,vlookup_table!$A:$G,5,FALSE),"")</f>
        <v>T2</v>
      </c>
      <c r="Q2896">
        <f>IFERROR(VLOOKUP(A2896,vlookup_table!$A:$G,7,FALSE),"")</f>
        <v>5</v>
      </c>
      <c r="R2896">
        <f t="shared" si="180"/>
        <v>96</v>
      </c>
      <c r="S2896" t="str" cm="1">
        <f t="array" ref="S2896">IF(P2896="","",_xlfn.SWITCH(LEFT(P2896,1),"C","Ciudad","T","Pueblo","R","Rural","S","Suburbano","U","Urbano",""))</f>
        <v>Pueblo</v>
      </c>
      <c r="T2896" t="str">
        <f t="shared" si="181"/>
        <v>F</v>
      </c>
      <c r="U2896" t="str">
        <f t="shared" si="182"/>
        <v>LA</v>
      </c>
      <c r="V2896" t="str">
        <f t="shared" si="183"/>
        <v>10281</v>
      </c>
    </row>
    <row r="2897" spans="1:22" x14ac:dyDescent="0.35">
      <c r="A2897">
        <v>6185</v>
      </c>
      <c r="B2897" t="s">
        <v>22</v>
      </c>
      <c r="C2897" t="s">
        <v>17</v>
      </c>
      <c r="D2897">
        <v>2258</v>
      </c>
      <c r="E2897">
        <v>360</v>
      </c>
      <c r="F2897">
        <v>470</v>
      </c>
      <c r="G2897">
        <v>66</v>
      </c>
      <c r="H2897">
        <v>15758</v>
      </c>
      <c r="I2897">
        <v>23</v>
      </c>
      <c r="J2897">
        <v>44</v>
      </c>
      <c r="K2897">
        <v>428</v>
      </c>
      <c r="L2897">
        <v>398</v>
      </c>
      <c r="M2897">
        <v>13.636363640000001</v>
      </c>
      <c r="N2897">
        <f>IFERROR(VLOOKUP(A2897,vlookup_table!$A:$G,2,FALSE),"")</f>
        <v>0</v>
      </c>
      <c r="O2897">
        <f>IFERROR(VLOOKUP(A2897,vlookup_table!$A:$G,4,FALSE),"")</f>
        <v>2501</v>
      </c>
      <c r="P2897" t="str">
        <f>IFERROR(VLOOKUP(A2897,vlookup_table!$A:$G,5,FALSE),"")</f>
        <v>U2</v>
      </c>
      <c r="Q2897">
        <f>IFERROR(VLOOKUP(A2897,vlookup_table!$A:$G,7,FALSE),"")</f>
        <v>30</v>
      </c>
      <c r="R2897">
        <f t="shared" si="180"/>
        <v>72</v>
      </c>
      <c r="S2897" t="str" cm="1">
        <f t="array" ref="S2897">IF(P2897="","",_xlfn.SWITCH(LEFT(P2897,1),"C","Ciudad","T","Pueblo","R","Rural","S","Suburbano","U","Urbano",""))</f>
        <v>Urbano</v>
      </c>
      <c r="T2897" t="str">
        <f t="shared" si="181"/>
        <v>F</v>
      </c>
      <c r="U2897" t="str">
        <f t="shared" si="182"/>
        <v>CA</v>
      </c>
      <c r="V2897" t="str">
        <f t="shared" si="183"/>
        <v>15758</v>
      </c>
    </row>
    <row r="2898" spans="1:22" x14ac:dyDescent="0.35">
      <c r="A2898">
        <v>172929</v>
      </c>
      <c r="B2898" t="s">
        <v>22</v>
      </c>
      <c r="C2898" t="s">
        <v>17</v>
      </c>
      <c r="D2898">
        <v>1516</v>
      </c>
      <c r="E2898">
        <v>369</v>
      </c>
      <c r="F2898">
        <v>539</v>
      </c>
      <c r="G2898">
        <v>34</v>
      </c>
      <c r="H2898">
        <v>16810</v>
      </c>
      <c r="I2898">
        <v>4</v>
      </c>
      <c r="J2898">
        <v>56</v>
      </c>
      <c r="K2898">
        <v>430</v>
      </c>
      <c r="L2898">
        <v>491</v>
      </c>
      <c r="M2898">
        <v>5.4</v>
      </c>
      <c r="N2898">
        <f>IFERROR(VLOOKUP(A2898,vlookup_table!$A:$G,2,FALSE),"")</f>
        <v>0</v>
      </c>
      <c r="O2898">
        <f>IFERROR(VLOOKUP(A2898,vlookup_table!$A:$G,4,FALSE),"")</f>
        <v>4801</v>
      </c>
      <c r="P2898" t="str">
        <f>IFERROR(VLOOKUP(A2898,vlookup_table!$A:$G,5,FALSE),"")</f>
        <v>C2</v>
      </c>
      <c r="Q2898">
        <f>IFERROR(VLOOKUP(A2898,vlookup_table!$A:$G,7,FALSE),"")</f>
        <v>6</v>
      </c>
      <c r="R2898">
        <f t="shared" si="180"/>
        <v>49</v>
      </c>
      <c r="S2898" t="str" cm="1">
        <f t="array" ref="S2898">IF(P2898="","",_xlfn.SWITCH(LEFT(P2898,1),"C","Ciudad","T","Pueblo","R","Rural","S","Suburbano","U","Urbano",""))</f>
        <v>Ciudad</v>
      </c>
      <c r="T2898" t="str">
        <f t="shared" si="181"/>
        <v>F</v>
      </c>
      <c r="U2898" t="str">
        <f t="shared" si="182"/>
        <v>CA</v>
      </c>
      <c r="V2898" t="str">
        <f t="shared" si="183"/>
        <v>16810</v>
      </c>
    </row>
    <row r="2899" spans="1:22" x14ac:dyDescent="0.35">
      <c r="A2899">
        <v>161492</v>
      </c>
      <c r="B2899" t="s">
        <v>22</v>
      </c>
      <c r="C2899" t="s">
        <v>17</v>
      </c>
      <c r="D2899">
        <v>1437</v>
      </c>
      <c r="E2899">
        <v>509</v>
      </c>
      <c r="F2899">
        <v>664</v>
      </c>
      <c r="G2899">
        <v>23</v>
      </c>
      <c r="H2899">
        <v>25226</v>
      </c>
      <c r="I2899">
        <v>11</v>
      </c>
      <c r="J2899">
        <v>58</v>
      </c>
      <c r="K2899">
        <v>575</v>
      </c>
      <c r="L2899">
        <v>611</v>
      </c>
      <c r="M2899">
        <v>25</v>
      </c>
      <c r="N2899">
        <f>IFERROR(VLOOKUP(A2899,vlookup_table!$A:$G,2,FALSE),"")</f>
        <v>0</v>
      </c>
      <c r="O2899">
        <f>IFERROR(VLOOKUP(A2899,vlookup_table!$A:$G,4,FALSE),"")</f>
        <v>2401</v>
      </c>
      <c r="P2899" t="str">
        <f>IFERROR(VLOOKUP(A2899,vlookup_table!$A:$G,5,FALSE),"")</f>
        <v>S1</v>
      </c>
      <c r="Q2899">
        <f>IFERROR(VLOOKUP(A2899,vlookup_table!$A:$G,7,FALSE),"")</f>
        <v>16</v>
      </c>
      <c r="R2899">
        <f t="shared" si="180"/>
        <v>73</v>
      </c>
      <c r="S2899" t="str" cm="1">
        <f t="array" ref="S2899">IF(P2899="","",_xlfn.SWITCH(LEFT(P2899,1),"C","Ciudad","T","Pueblo","R","Rural","S","Suburbano","U","Urbano",""))</f>
        <v>Suburbano</v>
      </c>
      <c r="T2899" t="str">
        <f t="shared" si="181"/>
        <v>F</v>
      </c>
      <c r="U2899" t="str">
        <f t="shared" si="182"/>
        <v>CA</v>
      </c>
      <c r="V2899" t="str">
        <f t="shared" si="183"/>
        <v>25226</v>
      </c>
    </row>
    <row r="2900" spans="1:22" x14ac:dyDescent="0.35">
      <c r="A2900">
        <v>2154</v>
      </c>
      <c r="B2900" t="s">
        <v>35</v>
      </c>
      <c r="C2900" t="s">
        <v>51</v>
      </c>
      <c r="D2900">
        <v>655</v>
      </c>
      <c r="E2900">
        <v>258</v>
      </c>
      <c r="F2900">
        <v>344</v>
      </c>
      <c r="G2900">
        <v>3</v>
      </c>
      <c r="H2900">
        <v>13780</v>
      </c>
      <c r="I2900">
        <v>2</v>
      </c>
      <c r="J2900">
        <v>74</v>
      </c>
      <c r="K2900">
        <v>274</v>
      </c>
      <c r="L2900">
        <v>314</v>
      </c>
      <c r="M2900">
        <v>19.399999999999999</v>
      </c>
      <c r="N2900">
        <f>IFERROR(VLOOKUP(A2900,vlookup_table!$A:$G,2,FALSE),"")</f>
        <v>0</v>
      </c>
      <c r="O2900">
        <f>IFERROR(VLOOKUP(A2900,vlookup_table!$A:$G,4,FALSE),"")</f>
        <v>2004</v>
      </c>
      <c r="P2900" t="str">
        <f>IFERROR(VLOOKUP(A2900,vlookup_table!$A:$G,5,FALSE),"")</f>
        <v>R2</v>
      </c>
      <c r="Q2900">
        <f>IFERROR(VLOOKUP(A2900,vlookup_table!$A:$G,7,FALSE),"")</f>
        <v>15</v>
      </c>
      <c r="R2900">
        <f t="shared" si="180"/>
        <v>77</v>
      </c>
      <c r="S2900" t="str" cm="1">
        <f t="array" ref="S2900">IF(P2900="","",_xlfn.SWITCH(LEFT(P2900,1),"C","Ciudad","T","Pueblo","R","Rural","S","Suburbano","U","Urbano",""))</f>
        <v>Rural</v>
      </c>
      <c r="T2900" t="str">
        <f t="shared" si="181"/>
        <v>M</v>
      </c>
      <c r="U2900" t="str">
        <f t="shared" si="182"/>
        <v>WI</v>
      </c>
      <c r="V2900" t="str">
        <f t="shared" si="183"/>
        <v>13780</v>
      </c>
    </row>
    <row r="2901" spans="1:22" x14ac:dyDescent="0.35">
      <c r="A2901">
        <v>100430</v>
      </c>
      <c r="B2901" t="s">
        <v>36</v>
      </c>
      <c r="C2901" t="s">
        <v>17</v>
      </c>
      <c r="D2901">
        <v>2083</v>
      </c>
      <c r="E2901">
        <v>662</v>
      </c>
      <c r="F2901">
        <v>861</v>
      </c>
      <c r="G2901">
        <v>56</v>
      </c>
      <c r="H2901">
        <v>30627</v>
      </c>
      <c r="I2901">
        <v>7</v>
      </c>
      <c r="J2901">
        <v>48</v>
      </c>
      <c r="K2901">
        <v>833</v>
      </c>
      <c r="L2901">
        <v>726</v>
      </c>
      <c r="M2901">
        <v>40</v>
      </c>
      <c r="N2901">
        <f>IFERROR(VLOOKUP(A2901,vlookup_table!$A:$G,2,FALSE),"")</f>
        <v>0</v>
      </c>
      <c r="O2901">
        <f>IFERROR(VLOOKUP(A2901,vlookup_table!$A:$G,4,FALSE),"")</f>
        <v>4010</v>
      </c>
      <c r="P2901" t="str">
        <f>IFERROR(VLOOKUP(A2901,vlookup_table!$A:$G,5,FALSE),"")</f>
        <v>S1</v>
      </c>
      <c r="Q2901">
        <f>IFERROR(VLOOKUP(A2901,vlookup_table!$A:$G,7,FALSE),"")</f>
        <v>25</v>
      </c>
      <c r="R2901">
        <f t="shared" si="180"/>
        <v>57</v>
      </c>
      <c r="S2901" t="str" cm="1">
        <f t="array" ref="S2901">IF(P2901="","",_xlfn.SWITCH(LEFT(P2901,1),"C","Ciudad","T","Pueblo","R","Rural","S","Suburbano","U","Urbano",""))</f>
        <v>Suburbano</v>
      </c>
      <c r="T2901" t="str">
        <f t="shared" si="181"/>
        <v>F</v>
      </c>
      <c r="U2901" t="str">
        <f t="shared" si="182"/>
        <v>MO</v>
      </c>
      <c r="V2901" t="str">
        <f t="shared" si="183"/>
        <v>30627</v>
      </c>
    </row>
    <row r="2902" spans="1:22" x14ac:dyDescent="0.35">
      <c r="A2902">
        <v>153213</v>
      </c>
      <c r="B2902" t="s">
        <v>22</v>
      </c>
      <c r="C2902" t="s">
        <v>17</v>
      </c>
      <c r="D2902">
        <v>2977</v>
      </c>
      <c r="E2902">
        <v>553</v>
      </c>
      <c r="F2902">
        <v>721</v>
      </c>
      <c r="G2902">
        <v>85</v>
      </c>
      <c r="H2902">
        <v>33460</v>
      </c>
      <c r="I2902">
        <v>7</v>
      </c>
      <c r="J2902">
        <v>48</v>
      </c>
      <c r="K2902">
        <v>659</v>
      </c>
      <c r="L2902">
        <v>627</v>
      </c>
      <c r="M2902">
        <v>13.14285714</v>
      </c>
      <c r="N2902">
        <f>IFERROR(VLOOKUP(A2902,vlookup_table!$A:$G,2,FALSE),"")</f>
        <v>0</v>
      </c>
      <c r="O2902">
        <f>IFERROR(VLOOKUP(A2902,vlookup_table!$A:$G,4,FALSE),"")</f>
        <v>0</v>
      </c>
      <c r="P2902" t="str">
        <f>IFERROR(VLOOKUP(A2902,vlookup_table!$A:$G,5,FALSE),"")</f>
        <v>U1</v>
      </c>
      <c r="Q2902">
        <f>IFERROR(VLOOKUP(A2902,vlookup_table!$A:$G,7,FALSE),"")</f>
        <v>5</v>
      </c>
      <c r="R2902">
        <f t="shared" si="180"/>
        <v>97</v>
      </c>
      <c r="S2902" t="str" cm="1">
        <f t="array" ref="S2902">IF(P2902="","",_xlfn.SWITCH(LEFT(P2902,1),"C","Ciudad","T","Pueblo","R","Rural","S","Suburbano","U","Urbano",""))</f>
        <v>Urbano</v>
      </c>
      <c r="T2902" t="str">
        <f t="shared" si="181"/>
        <v>F</v>
      </c>
      <c r="U2902" t="str">
        <f t="shared" si="182"/>
        <v>CA</v>
      </c>
      <c r="V2902" t="str">
        <f t="shared" si="183"/>
        <v>33460</v>
      </c>
    </row>
    <row r="2903" spans="1:22" x14ac:dyDescent="0.35">
      <c r="A2903">
        <v>53763</v>
      </c>
      <c r="B2903" t="s">
        <v>68</v>
      </c>
      <c r="C2903" t="s">
        <v>14</v>
      </c>
      <c r="D2903">
        <v>1752</v>
      </c>
      <c r="E2903">
        <v>849</v>
      </c>
      <c r="F2903">
        <v>931</v>
      </c>
      <c r="G2903">
        <v>41</v>
      </c>
      <c r="H2903">
        <v>35260</v>
      </c>
      <c r="I2903">
        <v>1</v>
      </c>
      <c r="J2903">
        <v>28</v>
      </c>
      <c r="K2903">
        <v>869</v>
      </c>
      <c r="L2903">
        <v>914</v>
      </c>
      <c r="M2903">
        <v>14</v>
      </c>
      <c r="N2903">
        <f>IFERROR(VLOOKUP(A2903,vlookup_table!$A:$G,2,FALSE),"")</f>
        <v>1</v>
      </c>
      <c r="O2903">
        <f>IFERROR(VLOOKUP(A2903,vlookup_table!$A:$G,4,FALSE),"")</f>
        <v>4201</v>
      </c>
      <c r="P2903" t="str">
        <f>IFERROR(VLOOKUP(A2903,vlookup_table!$A:$G,5,FALSE),"")</f>
        <v>T1</v>
      </c>
      <c r="Q2903">
        <f>IFERROR(VLOOKUP(A2903,vlookup_table!$A:$G,7,FALSE),"")</f>
        <v>15</v>
      </c>
      <c r="R2903">
        <f t="shared" si="180"/>
        <v>55</v>
      </c>
      <c r="S2903" t="str" cm="1">
        <f t="array" ref="S2903">IF(P2903="","",_xlfn.SWITCH(LEFT(P2903,1),"C","Ciudad","T","Pueblo","R","Rural","S","Suburbano","U","Urbano",""))</f>
        <v>Pueblo</v>
      </c>
      <c r="T2903" t="str">
        <f t="shared" si="181"/>
        <v>M</v>
      </c>
      <c r="U2903" t="str">
        <f t="shared" si="182"/>
        <v>Tennessee</v>
      </c>
      <c r="V2903" t="str">
        <f t="shared" si="183"/>
        <v>35260</v>
      </c>
    </row>
    <row r="2904" spans="1:22" x14ac:dyDescent="0.35">
      <c r="A2904">
        <v>74360</v>
      </c>
      <c r="B2904" t="s">
        <v>29</v>
      </c>
      <c r="C2904" t="s">
        <v>17</v>
      </c>
      <c r="D2904">
        <v>704</v>
      </c>
      <c r="E2904">
        <v>327</v>
      </c>
      <c r="F2904">
        <v>417</v>
      </c>
      <c r="G2904">
        <v>2</v>
      </c>
      <c r="H2904">
        <v>15094</v>
      </c>
      <c r="I2904">
        <v>1</v>
      </c>
      <c r="J2904">
        <v>82</v>
      </c>
      <c r="K2904">
        <v>339</v>
      </c>
      <c r="L2904">
        <v>404</v>
      </c>
      <c r="M2904">
        <v>10</v>
      </c>
      <c r="N2904">
        <f>IFERROR(VLOOKUP(A2904,vlookup_table!$A:$G,2,FALSE),"")</f>
        <v>2</v>
      </c>
      <c r="O2904">
        <f>IFERROR(VLOOKUP(A2904,vlookup_table!$A:$G,4,FALSE),"")</f>
        <v>5901</v>
      </c>
      <c r="P2904" t="str">
        <f>IFERROR(VLOOKUP(A2904,vlookup_table!$A:$G,5,FALSE),"")</f>
        <v>R2</v>
      </c>
      <c r="Q2904">
        <f>IFERROR(VLOOKUP(A2904,vlookup_table!$A:$G,7,FALSE),"")</f>
        <v>21</v>
      </c>
      <c r="R2904">
        <f t="shared" si="180"/>
        <v>38</v>
      </c>
      <c r="S2904" t="str" cm="1">
        <f t="array" ref="S2904">IF(P2904="","",_xlfn.SWITCH(LEFT(P2904,1),"C","Ciudad","T","Pueblo","R","Rural","S","Suburbano","U","Urbano",""))</f>
        <v>Rural</v>
      </c>
      <c r="T2904" t="str">
        <f t="shared" si="181"/>
        <v>F</v>
      </c>
      <c r="U2904" t="str">
        <f t="shared" si="182"/>
        <v>MI</v>
      </c>
      <c r="V2904" t="str">
        <f t="shared" si="183"/>
        <v>15094</v>
      </c>
    </row>
    <row r="2905" spans="1:22" x14ac:dyDescent="0.35">
      <c r="A2905">
        <v>55027</v>
      </c>
      <c r="B2905" t="s">
        <v>62</v>
      </c>
      <c r="C2905" t="s">
        <v>20</v>
      </c>
      <c r="D2905">
        <v>955</v>
      </c>
      <c r="E2905">
        <v>521</v>
      </c>
      <c r="F2905">
        <v>653</v>
      </c>
      <c r="G2905">
        <v>7</v>
      </c>
      <c r="H2905">
        <v>22275</v>
      </c>
      <c r="I2905">
        <v>1</v>
      </c>
      <c r="J2905">
        <v>69</v>
      </c>
      <c r="K2905">
        <v>573</v>
      </c>
      <c r="L2905">
        <v>621</v>
      </c>
      <c r="M2905">
        <v>10.96818182</v>
      </c>
      <c r="N2905">
        <f>IFERROR(VLOOKUP(A2905,vlookup_table!$A:$G,2,FALSE),"")</f>
        <v>0</v>
      </c>
      <c r="O2905">
        <f>IFERROR(VLOOKUP(A2905,vlookup_table!$A:$G,4,FALSE),"")</f>
        <v>2610</v>
      </c>
      <c r="P2905" t="str">
        <f>IFERROR(VLOOKUP(A2905,vlookup_table!$A:$G,5,FALSE),"")</f>
        <v>T1</v>
      </c>
      <c r="Q2905">
        <f>IFERROR(VLOOKUP(A2905,vlookup_table!$A:$G,7,FALSE),"")</f>
        <v>5</v>
      </c>
      <c r="R2905">
        <f t="shared" si="180"/>
        <v>71</v>
      </c>
      <c r="S2905" t="str" cm="1">
        <f t="array" ref="S2905">IF(P2905="","",_xlfn.SWITCH(LEFT(P2905,1),"C","Ciudad","T","Pueblo","R","Rural","S","Suburbano","U","Urbano",""))</f>
        <v>Pueblo</v>
      </c>
      <c r="T2905" t="str">
        <f t="shared" si="181"/>
        <v>F</v>
      </c>
      <c r="U2905" t="str">
        <f t="shared" si="182"/>
        <v>MS</v>
      </c>
      <c r="V2905" t="str">
        <f t="shared" si="183"/>
        <v>22275</v>
      </c>
    </row>
    <row r="2906" spans="1:22" x14ac:dyDescent="0.35">
      <c r="A2906">
        <v>115094</v>
      </c>
      <c r="B2906" t="s">
        <v>31</v>
      </c>
      <c r="D2906">
        <v>521</v>
      </c>
      <c r="E2906">
        <v>249</v>
      </c>
      <c r="F2906">
        <v>369</v>
      </c>
      <c r="G2906">
        <v>1</v>
      </c>
      <c r="H2906">
        <v>15515</v>
      </c>
      <c r="I2906">
        <v>1</v>
      </c>
      <c r="J2906">
        <v>70</v>
      </c>
      <c r="K2906">
        <v>307</v>
      </c>
      <c r="L2906">
        <v>322</v>
      </c>
      <c r="M2906">
        <v>14.88888889</v>
      </c>
      <c r="N2906">
        <f>IFERROR(VLOOKUP(A2906,vlookup_table!$A:$G,2,FALSE),"")</f>
        <v>0</v>
      </c>
      <c r="O2906">
        <f>IFERROR(VLOOKUP(A2906,vlookup_table!$A:$G,4,FALSE),"")</f>
        <v>0</v>
      </c>
      <c r="P2906" t="str">
        <f>IFERROR(VLOOKUP(A2906,vlookup_table!$A:$G,5,FALSE),"")</f>
        <v>T2</v>
      </c>
      <c r="Q2906">
        <f>IFERROR(VLOOKUP(A2906,vlookup_table!$A:$G,7,FALSE),"")</f>
        <v>38</v>
      </c>
      <c r="R2906">
        <f t="shared" si="180"/>
        <v>97</v>
      </c>
      <c r="S2906" t="str" cm="1">
        <f t="array" ref="S2906">IF(P2906="","",_xlfn.SWITCH(LEFT(P2906,1),"C","Ciudad","T","Pueblo","R","Rural","S","Suburbano","U","Urbano",""))</f>
        <v>Pueblo</v>
      </c>
      <c r="T2906" t="str">
        <f t="shared" si="181"/>
        <v/>
      </c>
      <c r="U2906" t="str">
        <f t="shared" si="182"/>
        <v>OK</v>
      </c>
      <c r="V2906" t="str">
        <f t="shared" si="183"/>
        <v>15515</v>
      </c>
    </row>
    <row r="2907" spans="1:22" x14ac:dyDescent="0.35">
      <c r="A2907">
        <v>68589</v>
      </c>
      <c r="B2907" t="s">
        <v>29</v>
      </c>
      <c r="C2907" t="s">
        <v>14</v>
      </c>
      <c r="D2907">
        <v>1662</v>
      </c>
      <c r="E2907">
        <v>777</v>
      </c>
      <c r="F2907">
        <v>871</v>
      </c>
      <c r="G2907">
        <v>25</v>
      </c>
      <c r="H2907">
        <v>37242</v>
      </c>
      <c r="I2907">
        <v>10</v>
      </c>
      <c r="J2907">
        <v>67</v>
      </c>
      <c r="K2907">
        <v>831</v>
      </c>
      <c r="L2907">
        <v>808</v>
      </c>
      <c r="M2907">
        <v>13.57142857</v>
      </c>
      <c r="N2907">
        <f>IFERROR(VLOOKUP(A2907,vlookup_table!$A:$G,2,FALSE),"")</f>
        <v>2</v>
      </c>
      <c r="O2907">
        <f>IFERROR(VLOOKUP(A2907,vlookup_table!$A:$G,4,FALSE),"")</f>
        <v>2905</v>
      </c>
      <c r="P2907" t="str">
        <f>IFERROR(VLOOKUP(A2907,vlookup_table!$A:$G,5,FALSE),"")</f>
        <v>S1</v>
      </c>
      <c r="Q2907">
        <f>IFERROR(VLOOKUP(A2907,vlookup_table!$A:$G,7,FALSE),"")</f>
        <v>20</v>
      </c>
      <c r="R2907">
        <f t="shared" si="180"/>
        <v>68</v>
      </c>
      <c r="S2907" t="str" cm="1">
        <f t="array" ref="S2907">IF(P2907="","",_xlfn.SWITCH(LEFT(P2907,1),"C","Ciudad","T","Pueblo","R","Rural","S","Suburbano","U","Urbano",""))</f>
        <v>Suburbano</v>
      </c>
      <c r="T2907" t="str">
        <f t="shared" si="181"/>
        <v>M</v>
      </c>
      <c r="U2907" t="str">
        <f t="shared" si="182"/>
        <v>MI</v>
      </c>
      <c r="V2907" t="str">
        <f t="shared" si="183"/>
        <v>37242</v>
      </c>
    </row>
    <row r="2908" spans="1:22" x14ac:dyDescent="0.35">
      <c r="A2908">
        <v>63135</v>
      </c>
      <c r="B2908" t="s">
        <v>68</v>
      </c>
      <c r="C2908" t="s">
        <v>17</v>
      </c>
      <c r="D2908">
        <v>776</v>
      </c>
      <c r="E2908">
        <v>378</v>
      </c>
      <c r="F2908">
        <v>439</v>
      </c>
      <c r="G2908">
        <v>1</v>
      </c>
      <c r="H2908">
        <v>14465</v>
      </c>
      <c r="I2908">
        <v>1</v>
      </c>
      <c r="J2908">
        <v>59</v>
      </c>
      <c r="K2908">
        <v>422</v>
      </c>
      <c r="L2908">
        <v>406</v>
      </c>
      <c r="M2908">
        <v>4.3499999999999996</v>
      </c>
      <c r="N2908">
        <f>IFERROR(VLOOKUP(A2908,vlookup_table!$A:$G,2,FALSE),"")</f>
        <v>0</v>
      </c>
      <c r="O2908">
        <f>IFERROR(VLOOKUP(A2908,vlookup_table!$A:$G,4,FALSE),"")</f>
        <v>3310</v>
      </c>
      <c r="P2908" t="str">
        <f>IFERROR(VLOOKUP(A2908,vlookup_table!$A:$G,5,FALSE),"")</f>
        <v>C3</v>
      </c>
      <c r="Q2908">
        <f>IFERROR(VLOOKUP(A2908,vlookup_table!$A:$G,7,FALSE),"")</f>
        <v>5</v>
      </c>
      <c r="R2908">
        <f t="shared" si="180"/>
        <v>64</v>
      </c>
      <c r="S2908" t="str" cm="1">
        <f t="array" ref="S2908">IF(P2908="","",_xlfn.SWITCH(LEFT(P2908,1),"C","Ciudad","T","Pueblo","R","Rural","S","Suburbano","U","Urbano",""))</f>
        <v>Ciudad</v>
      </c>
      <c r="T2908" t="str">
        <f t="shared" si="181"/>
        <v>F</v>
      </c>
      <c r="U2908" t="str">
        <f t="shared" si="182"/>
        <v>Tennessee</v>
      </c>
      <c r="V2908" t="str">
        <f t="shared" si="183"/>
        <v>14465</v>
      </c>
    </row>
    <row r="2909" spans="1:22" x14ac:dyDescent="0.35">
      <c r="A2909">
        <v>99890</v>
      </c>
      <c r="B2909" t="s">
        <v>36</v>
      </c>
      <c r="C2909" t="s">
        <v>17</v>
      </c>
      <c r="D2909">
        <v>574</v>
      </c>
      <c r="E2909">
        <v>274</v>
      </c>
      <c r="F2909">
        <v>407</v>
      </c>
      <c r="G2909">
        <v>0</v>
      </c>
      <c r="H2909">
        <v>18084</v>
      </c>
      <c r="I2909">
        <v>0</v>
      </c>
      <c r="J2909">
        <v>76</v>
      </c>
      <c r="K2909">
        <v>324</v>
      </c>
      <c r="L2909">
        <v>348</v>
      </c>
      <c r="M2909">
        <v>9.625</v>
      </c>
      <c r="N2909">
        <f>IFERROR(VLOOKUP(A2909,vlookup_table!$A:$G,2,FALSE),"")</f>
        <v>3</v>
      </c>
      <c r="O2909">
        <f>IFERROR(VLOOKUP(A2909,vlookup_table!$A:$G,4,FALSE),"")</f>
        <v>2810</v>
      </c>
      <c r="P2909" t="str">
        <f>IFERROR(VLOOKUP(A2909,vlookup_table!$A:$G,5,FALSE),"")</f>
        <v>T2</v>
      </c>
      <c r="Q2909">
        <f>IFERROR(VLOOKUP(A2909,vlookup_table!$A:$G,7,FALSE),"")</f>
        <v>15</v>
      </c>
      <c r="R2909">
        <f t="shared" si="180"/>
        <v>69</v>
      </c>
      <c r="S2909" t="str" cm="1">
        <f t="array" ref="S2909">IF(P2909="","",_xlfn.SWITCH(LEFT(P2909,1),"C","Ciudad","T","Pueblo","R","Rural","S","Suburbano","U","Urbano",""))</f>
        <v>Pueblo</v>
      </c>
      <c r="T2909" t="str">
        <f t="shared" si="181"/>
        <v>F</v>
      </c>
      <c r="U2909" t="str">
        <f t="shared" si="182"/>
        <v>MO</v>
      </c>
      <c r="V2909" t="str">
        <f t="shared" si="183"/>
        <v>18084</v>
      </c>
    </row>
    <row r="2910" spans="1:22" x14ac:dyDescent="0.35">
      <c r="A2910">
        <v>124520</v>
      </c>
      <c r="B2910" t="s">
        <v>21</v>
      </c>
      <c r="C2910" t="s">
        <v>17</v>
      </c>
      <c r="D2910">
        <v>570</v>
      </c>
      <c r="E2910">
        <v>310</v>
      </c>
      <c r="F2910">
        <v>352</v>
      </c>
      <c r="G2910">
        <v>0</v>
      </c>
      <c r="H2910">
        <v>12329</v>
      </c>
      <c r="I2910">
        <v>2</v>
      </c>
      <c r="J2910">
        <v>79</v>
      </c>
      <c r="K2910">
        <v>339</v>
      </c>
      <c r="L2910">
        <v>333</v>
      </c>
      <c r="M2910">
        <v>6.904761905</v>
      </c>
      <c r="N2910">
        <f>IFERROR(VLOOKUP(A2910,vlookup_table!$A:$G,2,FALSE),"")</f>
        <v>28</v>
      </c>
      <c r="O2910">
        <f>IFERROR(VLOOKUP(A2910,vlookup_table!$A:$G,4,FALSE),"")</f>
        <v>4307</v>
      </c>
      <c r="P2910" t="str">
        <f>IFERROR(VLOOKUP(A2910,vlookup_table!$A:$G,5,FALSE),"")</f>
        <v>C2</v>
      </c>
      <c r="Q2910">
        <f>IFERROR(VLOOKUP(A2910,vlookup_table!$A:$G,7,FALSE),"")</f>
        <v>8</v>
      </c>
      <c r="R2910">
        <f t="shared" si="180"/>
        <v>54</v>
      </c>
      <c r="S2910" t="str" cm="1">
        <f t="array" ref="S2910">IF(P2910="","",_xlfn.SWITCH(LEFT(P2910,1),"C","Ciudad","T","Pueblo","R","Rural","S","Suburbano","U","Urbano",""))</f>
        <v>Ciudad</v>
      </c>
      <c r="T2910" t="str">
        <f t="shared" si="181"/>
        <v>F</v>
      </c>
      <c r="U2910" t="str">
        <f t="shared" si="182"/>
        <v>TX</v>
      </c>
      <c r="V2910" t="str">
        <f t="shared" si="183"/>
        <v>12329</v>
      </c>
    </row>
    <row r="2911" spans="1:22" x14ac:dyDescent="0.35">
      <c r="A2911">
        <v>166651</v>
      </c>
      <c r="B2911" t="s">
        <v>22</v>
      </c>
      <c r="C2911" t="s">
        <v>17</v>
      </c>
      <c r="D2911">
        <v>1333</v>
      </c>
      <c r="E2911">
        <v>220</v>
      </c>
      <c r="F2911">
        <v>395</v>
      </c>
      <c r="G2911">
        <v>11</v>
      </c>
      <c r="H2911">
        <v>14312</v>
      </c>
      <c r="I2911">
        <v>21</v>
      </c>
      <c r="J2911">
        <v>40</v>
      </c>
      <c r="K2911">
        <v>359</v>
      </c>
      <c r="L2911">
        <v>300</v>
      </c>
      <c r="M2911">
        <v>15</v>
      </c>
      <c r="N2911">
        <f>IFERROR(VLOOKUP(A2911,vlookup_table!$A:$G,2,FALSE),"")</f>
        <v>0</v>
      </c>
      <c r="O2911">
        <f>IFERROR(VLOOKUP(A2911,vlookup_table!$A:$G,4,FALSE),"")</f>
        <v>5001</v>
      </c>
      <c r="P2911" t="str">
        <f>IFERROR(VLOOKUP(A2911,vlookup_table!$A:$G,5,FALSE),"")</f>
        <v>C2</v>
      </c>
      <c r="Q2911">
        <f>IFERROR(VLOOKUP(A2911,vlookup_table!$A:$G,7,FALSE),"")</f>
        <v>20</v>
      </c>
      <c r="R2911">
        <f t="shared" si="180"/>
        <v>47</v>
      </c>
      <c r="S2911" t="str" cm="1">
        <f t="array" ref="S2911">IF(P2911="","",_xlfn.SWITCH(LEFT(P2911,1),"C","Ciudad","T","Pueblo","R","Rural","S","Suburbano","U","Urbano",""))</f>
        <v>Ciudad</v>
      </c>
      <c r="T2911" t="str">
        <f t="shared" si="181"/>
        <v>F</v>
      </c>
      <c r="U2911" t="str">
        <f t="shared" si="182"/>
        <v>CA</v>
      </c>
      <c r="V2911" t="str">
        <f t="shared" si="183"/>
        <v>14312</v>
      </c>
    </row>
    <row r="2912" spans="1:22" x14ac:dyDescent="0.35">
      <c r="A2912">
        <v>154224</v>
      </c>
      <c r="B2912" t="s">
        <v>40</v>
      </c>
      <c r="C2912" t="s">
        <v>51</v>
      </c>
      <c r="D2912">
        <v>1364</v>
      </c>
      <c r="E2912">
        <v>321</v>
      </c>
      <c r="F2912">
        <v>471</v>
      </c>
      <c r="G2912">
        <v>6</v>
      </c>
      <c r="H2912">
        <v>18060</v>
      </c>
      <c r="I2912">
        <v>4</v>
      </c>
      <c r="J2912">
        <v>53</v>
      </c>
      <c r="K2912">
        <v>471</v>
      </c>
      <c r="L2912">
        <v>384</v>
      </c>
      <c r="M2912">
        <v>9.2258064520000005</v>
      </c>
      <c r="N2912">
        <f>IFERROR(VLOOKUP(A2912,vlookup_table!$A:$G,2,FALSE),"")</f>
        <v>0</v>
      </c>
      <c r="O2912">
        <f>IFERROR(VLOOKUP(A2912,vlookup_table!$A:$G,4,FALSE),"")</f>
        <v>1701</v>
      </c>
      <c r="P2912" t="str">
        <f>IFERROR(VLOOKUP(A2912,vlookup_table!$A:$G,5,FALSE),"")</f>
        <v>S2</v>
      </c>
      <c r="Q2912">
        <f>IFERROR(VLOOKUP(A2912,vlookup_table!$A:$G,7,FALSE),"")</f>
        <v>10</v>
      </c>
      <c r="R2912">
        <f t="shared" si="180"/>
        <v>80</v>
      </c>
      <c r="S2912" t="str" cm="1">
        <f t="array" ref="S2912">IF(P2912="","",_xlfn.SWITCH(LEFT(P2912,1),"C","Ciudad","T","Pueblo","R","Rural","S","Suburbano","U","Urbano",""))</f>
        <v>Suburbano</v>
      </c>
      <c r="T2912" t="str">
        <f t="shared" si="181"/>
        <v>M</v>
      </c>
      <c r="U2912" t="str">
        <f t="shared" si="182"/>
        <v>WA</v>
      </c>
      <c r="V2912" t="str">
        <f t="shared" si="183"/>
        <v>18060</v>
      </c>
    </row>
    <row r="2913" spans="1:22" x14ac:dyDescent="0.35">
      <c r="A2913">
        <v>166937</v>
      </c>
      <c r="B2913" t="s">
        <v>22</v>
      </c>
      <c r="C2913" t="s">
        <v>14</v>
      </c>
      <c r="D2913">
        <v>2098</v>
      </c>
      <c r="E2913">
        <v>417</v>
      </c>
      <c r="F2913">
        <v>489</v>
      </c>
      <c r="G2913">
        <v>57</v>
      </c>
      <c r="H2913">
        <v>20544</v>
      </c>
      <c r="I2913">
        <v>16</v>
      </c>
      <c r="J2913">
        <v>50</v>
      </c>
      <c r="K2913">
        <v>476</v>
      </c>
      <c r="L2913">
        <v>450</v>
      </c>
      <c r="M2913">
        <v>11</v>
      </c>
      <c r="N2913">
        <f>IFERROR(VLOOKUP(A2913,vlookup_table!$A:$G,2,FALSE),"")</f>
        <v>1</v>
      </c>
      <c r="O2913">
        <f>IFERROR(VLOOKUP(A2913,vlookup_table!$A:$G,4,FALSE),"")</f>
        <v>1907</v>
      </c>
      <c r="P2913" t="str">
        <f>IFERROR(VLOOKUP(A2913,vlookup_table!$A:$G,5,FALSE),"")</f>
        <v>S1</v>
      </c>
      <c r="Q2913">
        <f>IFERROR(VLOOKUP(A2913,vlookup_table!$A:$G,7,FALSE),"")</f>
        <v>10</v>
      </c>
      <c r="R2913">
        <f t="shared" si="180"/>
        <v>78</v>
      </c>
      <c r="S2913" t="str" cm="1">
        <f t="array" ref="S2913">IF(P2913="","",_xlfn.SWITCH(LEFT(P2913,1),"C","Ciudad","T","Pueblo","R","Rural","S","Suburbano","U","Urbano",""))</f>
        <v>Suburbano</v>
      </c>
      <c r="T2913" t="str">
        <f t="shared" si="181"/>
        <v>M</v>
      </c>
      <c r="U2913" t="str">
        <f t="shared" si="182"/>
        <v>CA</v>
      </c>
      <c r="V2913" t="str">
        <f t="shared" si="183"/>
        <v>20544</v>
      </c>
    </row>
    <row r="2914" spans="1:22" x14ac:dyDescent="0.35">
      <c r="A2914">
        <v>149196</v>
      </c>
      <c r="B2914" t="s">
        <v>22</v>
      </c>
      <c r="C2914" t="s">
        <v>14</v>
      </c>
      <c r="D2914">
        <v>3273</v>
      </c>
      <c r="E2914">
        <v>609</v>
      </c>
      <c r="F2914">
        <v>659</v>
      </c>
      <c r="G2914">
        <v>93</v>
      </c>
      <c r="H2914">
        <v>35239</v>
      </c>
      <c r="I2914">
        <v>14</v>
      </c>
      <c r="J2914">
        <v>37</v>
      </c>
      <c r="K2914">
        <v>608</v>
      </c>
      <c r="L2914">
        <v>694</v>
      </c>
      <c r="M2914">
        <v>16.666666670000001</v>
      </c>
      <c r="N2914">
        <f>IFERROR(VLOOKUP(A2914,vlookup_table!$A:$G,2,FALSE),"")</f>
        <v>1</v>
      </c>
      <c r="O2914">
        <f>IFERROR(VLOOKUP(A2914,vlookup_table!$A:$G,4,FALSE),"")</f>
        <v>2101</v>
      </c>
      <c r="P2914" t="str">
        <f>IFERROR(VLOOKUP(A2914,vlookup_table!$A:$G,5,FALSE),"")</f>
        <v>U1</v>
      </c>
      <c r="Q2914">
        <f>IFERROR(VLOOKUP(A2914,vlookup_table!$A:$G,7,FALSE),"")</f>
        <v>20</v>
      </c>
      <c r="R2914">
        <f t="shared" si="180"/>
        <v>76</v>
      </c>
      <c r="S2914" t="str" cm="1">
        <f t="array" ref="S2914">IF(P2914="","",_xlfn.SWITCH(LEFT(P2914,1),"C","Ciudad","T","Pueblo","R","Rural","S","Suburbano","U","Urbano",""))</f>
        <v>Urbano</v>
      </c>
      <c r="T2914" t="str">
        <f t="shared" si="181"/>
        <v>M</v>
      </c>
      <c r="U2914" t="str">
        <f t="shared" si="182"/>
        <v>CA</v>
      </c>
      <c r="V2914" t="str">
        <f t="shared" si="183"/>
        <v>35239</v>
      </c>
    </row>
    <row r="2915" spans="1:22" x14ac:dyDescent="0.35">
      <c r="A2915">
        <v>155040</v>
      </c>
      <c r="B2915" t="s">
        <v>22</v>
      </c>
      <c r="D2915">
        <v>1382</v>
      </c>
      <c r="E2915">
        <v>316</v>
      </c>
      <c r="F2915">
        <v>456</v>
      </c>
      <c r="G2915">
        <v>15</v>
      </c>
      <c r="H2915">
        <v>16979</v>
      </c>
      <c r="I2915">
        <v>24</v>
      </c>
      <c r="J2915">
        <v>36</v>
      </c>
      <c r="K2915">
        <v>360</v>
      </c>
      <c r="L2915">
        <v>384</v>
      </c>
      <c r="M2915">
        <v>15.217391299999999</v>
      </c>
      <c r="N2915">
        <f>IFERROR(VLOOKUP(A2915,vlookup_table!$A:$G,2,FALSE),"")</f>
        <v>0</v>
      </c>
      <c r="O2915">
        <f>IFERROR(VLOOKUP(A2915,vlookup_table!$A:$G,4,FALSE),"")</f>
        <v>601</v>
      </c>
      <c r="P2915" t="str">
        <f>IFERROR(VLOOKUP(A2915,vlookup_table!$A:$G,5,FALSE),"")</f>
        <v>S1</v>
      </c>
      <c r="Q2915">
        <f>IFERROR(VLOOKUP(A2915,vlookup_table!$A:$G,7,FALSE),"")</f>
        <v>25</v>
      </c>
      <c r="R2915">
        <f t="shared" si="180"/>
        <v>91</v>
      </c>
      <c r="S2915" t="str" cm="1">
        <f t="array" ref="S2915">IF(P2915="","",_xlfn.SWITCH(LEFT(P2915,1),"C","Ciudad","T","Pueblo","R","Rural","S","Suburbano","U","Urbano",""))</f>
        <v>Suburbano</v>
      </c>
      <c r="T2915" t="str">
        <f t="shared" si="181"/>
        <v/>
      </c>
      <c r="U2915" t="str">
        <f t="shared" si="182"/>
        <v>CA</v>
      </c>
      <c r="V2915" t="str">
        <f t="shared" si="183"/>
        <v>16979</v>
      </c>
    </row>
    <row r="2916" spans="1:22" x14ac:dyDescent="0.35">
      <c r="A2916">
        <v>4393</v>
      </c>
      <c r="B2916" t="s">
        <v>56</v>
      </c>
      <c r="C2916" t="s">
        <v>14</v>
      </c>
      <c r="D2916">
        <v>1047</v>
      </c>
      <c r="E2916">
        <v>213</v>
      </c>
      <c r="F2916">
        <v>388</v>
      </c>
      <c r="G2916">
        <v>5</v>
      </c>
      <c r="H2916">
        <v>15868</v>
      </c>
      <c r="I2916">
        <v>6</v>
      </c>
      <c r="J2916">
        <v>62</v>
      </c>
      <c r="K2916">
        <v>305</v>
      </c>
      <c r="L2916">
        <v>294</v>
      </c>
      <c r="M2916">
        <v>9.5161290320000003</v>
      </c>
      <c r="N2916">
        <f>IFERROR(VLOOKUP(A2916,vlookup_table!$A:$G,2,FALSE),"")</f>
        <v>1</v>
      </c>
      <c r="O2916">
        <f>IFERROR(VLOOKUP(A2916,vlookup_table!$A:$G,4,FALSE),"")</f>
        <v>1006</v>
      </c>
      <c r="P2916" t="str">
        <f>IFERROR(VLOOKUP(A2916,vlookup_table!$A:$G,5,FALSE),"")</f>
        <v>C2</v>
      </c>
      <c r="Q2916">
        <f>IFERROR(VLOOKUP(A2916,vlookup_table!$A:$G,7,FALSE),"")</f>
        <v>10</v>
      </c>
      <c r="R2916">
        <f t="shared" si="180"/>
        <v>87</v>
      </c>
      <c r="S2916" t="str" cm="1">
        <f t="array" ref="S2916">IF(P2916="","",_xlfn.SWITCH(LEFT(P2916,1),"C","Ciudad","T","Pueblo","R","Rural","S","Suburbano","U","Urbano",""))</f>
        <v>Ciudad</v>
      </c>
      <c r="T2916" t="str">
        <f t="shared" si="181"/>
        <v>M</v>
      </c>
      <c r="U2916" t="str">
        <f t="shared" si="182"/>
        <v>MN</v>
      </c>
      <c r="V2916" t="str">
        <f t="shared" si="183"/>
        <v>15868</v>
      </c>
    </row>
    <row r="2917" spans="1:22" x14ac:dyDescent="0.35">
      <c r="A2917">
        <v>85390</v>
      </c>
      <c r="B2917" t="s">
        <v>56</v>
      </c>
      <c r="C2917" t="s">
        <v>14</v>
      </c>
      <c r="D2917">
        <v>698</v>
      </c>
      <c r="E2917">
        <v>388</v>
      </c>
      <c r="F2917">
        <v>448</v>
      </c>
      <c r="G2917">
        <v>0</v>
      </c>
      <c r="H2917">
        <v>12449</v>
      </c>
      <c r="I2917">
        <v>0</v>
      </c>
      <c r="J2917">
        <v>85</v>
      </c>
      <c r="K2917">
        <v>412</v>
      </c>
      <c r="L2917">
        <v>418</v>
      </c>
      <c r="M2917">
        <v>9.5</v>
      </c>
      <c r="N2917">
        <f>IFERROR(VLOOKUP(A2917,vlookup_table!$A:$G,2,FALSE),"")</f>
        <v>1</v>
      </c>
      <c r="O2917">
        <f>IFERROR(VLOOKUP(A2917,vlookup_table!$A:$G,4,FALSE),"")</f>
        <v>4701</v>
      </c>
      <c r="P2917" t="str">
        <f>IFERROR(VLOOKUP(A2917,vlookup_table!$A:$G,5,FALSE),"")</f>
        <v>R1</v>
      </c>
      <c r="Q2917">
        <f>IFERROR(VLOOKUP(A2917,vlookup_table!$A:$G,7,FALSE),"")</f>
        <v>12</v>
      </c>
      <c r="R2917">
        <f t="shared" si="180"/>
        <v>50</v>
      </c>
      <c r="S2917" t="str" cm="1">
        <f t="array" ref="S2917">IF(P2917="","",_xlfn.SWITCH(LEFT(P2917,1),"C","Ciudad","T","Pueblo","R","Rural","S","Suburbano","U","Urbano",""))</f>
        <v>Rural</v>
      </c>
      <c r="T2917" t="str">
        <f t="shared" si="181"/>
        <v>M</v>
      </c>
      <c r="U2917" t="str">
        <f t="shared" si="182"/>
        <v>MN</v>
      </c>
      <c r="V2917" t="str">
        <f t="shared" si="183"/>
        <v>12449</v>
      </c>
    </row>
    <row r="2918" spans="1:22" x14ac:dyDescent="0.35">
      <c r="A2918">
        <v>11064</v>
      </c>
      <c r="B2918" t="s">
        <v>16</v>
      </c>
      <c r="C2918" t="s">
        <v>17</v>
      </c>
      <c r="D2918">
        <v>1075</v>
      </c>
      <c r="E2918">
        <v>366</v>
      </c>
      <c r="F2918">
        <v>455</v>
      </c>
      <c r="G2918">
        <v>0</v>
      </c>
      <c r="H2918">
        <v>14394</v>
      </c>
      <c r="I2918">
        <v>1</v>
      </c>
      <c r="J2918">
        <v>90</v>
      </c>
      <c r="K2918">
        <v>449</v>
      </c>
      <c r="L2918">
        <v>373</v>
      </c>
      <c r="M2918">
        <v>10.31578947</v>
      </c>
      <c r="N2918">
        <f>IFERROR(VLOOKUP(A2918,vlookup_table!$A:$G,2,FALSE),"")</f>
        <v>0</v>
      </c>
      <c r="O2918">
        <f>IFERROR(VLOOKUP(A2918,vlookup_table!$A:$G,4,FALSE),"")</f>
        <v>1605</v>
      </c>
      <c r="P2918" t="str">
        <f>IFERROR(VLOOKUP(A2918,vlookup_table!$A:$G,5,FALSE),"")</f>
        <v>S2</v>
      </c>
      <c r="Q2918">
        <f>IFERROR(VLOOKUP(A2918,vlookup_table!$A:$G,7,FALSE),"")</f>
        <v>10</v>
      </c>
      <c r="R2918">
        <f t="shared" si="180"/>
        <v>81</v>
      </c>
      <c r="S2918" t="str" cm="1">
        <f t="array" ref="S2918">IF(P2918="","",_xlfn.SWITCH(LEFT(P2918,1),"C","Ciudad","T","Pueblo","R","Rural","S","Suburbano","U","Urbano",""))</f>
        <v>Suburbano</v>
      </c>
      <c r="T2918" t="str">
        <f t="shared" si="181"/>
        <v>F</v>
      </c>
      <c r="U2918" t="str">
        <f t="shared" si="182"/>
        <v>IL</v>
      </c>
      <c r="V2918" t="str">
        <f t="shared" si="183"/>
        <v>14394</v>
      </c>
    </row>
    <row r="2919" spans="1:22" x14ac:dyDescent="0.35">
      <c r="A2919">
        <v>148523</v>
      </c>
      <c r="B2919" t="s">
        <v>22</v>
      </c>
      <c r="C2919" t="s">
        <v>14</v>
      </c>
      <c r="D2919">
        <v>4286</v>
      </c>
      <c r="E2919">
        <v>811</v>
      </c>
      <c r="F2919">
        <v>947</v>
      </c>
      <c r="G2919">
        <v>95</v>
      </c>
      <c r="H2919">
        <v>33614</v>
      </c>
      <c r="I2919">
        <v>24</v>
      </c>
      <c r="J2919">
        <v>41</v>
      </c>
      <c r="K2919">
        <v>910</v>
      </c>
      <c r="L2919">
        <v>883</v>
      </c>
      <c r="M2919">
        <v>15</v>
      </c>
      <c r="N2919">
        <f>IFERROR(VLOOKUP(A2919,vlookup_table!$A:$G,2,FALSE),"")</f>
        <v>1</v>
      </c>
      <c r="O2919">
        <f>IFERROR(VLOOKUP(A2919,vlookup_table!$A:$G,4,FALSE),"")</f>
        <v>1801</v>
      </c>
      <c r="P2919" t="str">
        <f>IFERROR(VLOOKUP(A2919,vlookup_table!$A:$G,5,FALSE),"")</f>
        <v>S1</v>
      </c>
      <c r="Q2919">
        <f>IFERROR(VLOOKUP(A2919,vlookup_table!$A:$G,7,FALSE),"")</f>
        <v>25</v>
      </c>
      <c r="R2919">
        <f t="shared" si="180"/>
        <v>79</v>
      </c>
      <c r="S2919" t="str" cm="1">
        <f t="array" ref="S2919">IF(P2919="","",_xlfn.SWITCH(LEFT(P2919,1),"C","Ciudad","T","Pueblo","R","Rural","S","Suburbano","U","Urbano",""))</f>
        <v>Suburbano</v>
      </c>
      <c r="T2919" t="str">
        <f t="shared" si="181"/>
        <v>M</v>
      </c>
      <c r="U2919" t="str">
        <f t="shared" si="182"/>
        <v>CA</v>
      </c>
      <c r="V2919" t="str">
        <f t="shared" si="183"/>
        <v>33614</v>
      </c>
    </row>
    <row r="2920" spans="1:22" x14ac:dyDescent="0.35">
      <c r="A2920">
        <v>189027</v>
      </c>
      <c r="B2920" t="s">
        <v>16</v>
      </c>
      <c r="C2920" t="s">
        <v>17</v>
      </c>
      <c r="D2920">
        <v>606</v>
      </c>
      <c r="E2920">
        <v>339</v>
      </c>
      <c r="F2920">
        <v>421</v>
      </c>
      <c r="G2920">
        <v>0</v>
      </c>
      <c r="H2920">
        <v>13281</v>
      </c>
      <c r="I2920">
        <v>1</v>
      </c>
      <c r="J2920">
        <v>78</v>
      </c>
      <c r="K2920">
        <v>402</v>
      </c>
      <c r="L2920">
        <v>370</v>
      </c>
      <c r="M2920">
        <v>8.80952381</v>
      </c>
      <c r="N2920">
        <f>IFERROR(VLOOKUP(A2920,vlookup_table!$A:$G,2,FALSE),"")</f>
        <v>2</v>
      </c>
      <c r="O2920">
        <f>IFERROR(VLOOKUP(A2920,vlookup_table!$A:$G,4,FALSE),"")</f>
        <v>1911</v>
      </c>
      <c r="P2920" t="str">
        <f>IFERROR(VLOOKUP(A2920,vlookup_table!$A:$G,5,FALSE),"")</f>
        <v>R1</v>
      </c>
      <c r="Q2920">
        <f>IFERROR(VLOOKUP(A2920,vlookup_table!$A:$G,7,FALSE),"")</f>
        <v>10</v>
      </c>
      <c r="R2920">
        <f t="shared" si="180"/>
        <v>78</v>
      </c>
      <c r="S2920" t="str" cm="1">
        <f t="array" ref="S2920">IF(P2920="","",_xlfn.SWITCH(LEFT(P2920,1),"C","Ciudad","T","Pueblo","R","Rural","S","Suburbano","U","Urbano",""))</f>
        <v>Rural</v>
      </c>
      <c r="T2920" t="str">
        <f t="shared" si="181"/>
        <v>F</v>
      </c>
      <c r="U2920" t="str">
        <f t="shared" si="182"/>
        <v>IL</v>
      </c>
      <c r="V2920" t="str">
        <f t="shared" si="183"/>
        <v>13281</v>
      </c>
    </row>
    <row r="2921" spans="1:22" x14ac:dyDescent="0.35">
      <c r="A2921">
        <v>63107</v>
      </c>
      <c r="B2921" t="s">
        <v>33</v>
      </c>
      <c r="C2921" t="s">
        <v>14</v>
      </c>
      <c r="D2921">
        <v>578</v>
      </c>
      <c r="E2921">
        <v>310</v>
      </c>
      <c r="F2921">
        <v>427</v>
      </c>
      <c r="G2921">
        <v>0</v>
      </c>
      <c r="H2921">
        <v>19153</v>
      </c>
      <c r="I2921">
        <v>4</v>
      </c>
      <c r="J2921">
        <v>80</v>
      </c>
      <c r="K2921">
        <v>370</v>
      </c>
      <c r="L2921">
        <v>340</v>
      </c>
      <c r="M2921">
        <v>4.733333333</v>
      </c>
      <c r="N2921">
        <f>IFERROR(VLOOKUP(A2921,vlookup_table!$A:$G,2,FALSE),"")</f>
        <v>1</v>
      </c>
      <c r="O2921">
        <f>IFERROR(VLOOKUP(A2921,vlookup_table!$A:$G,4,FALSE),"")</f>
        <v>2712</v>
      </c>
      <c r="P2921" t="str">
        <f>IFERROR(VLOOKUP(A2921,vlookup_table!$A:$G,5,FALSE),"")</f>
        <v>T2</v>
      </c>
      <c r="Q2921">
        <f>IFERROR(VLOOKUP(A2921,vlookup_table!$A:$G,7,FALSE),"")</f>
        <v>10</v>
      </c>
      <c r="R2921">
        <f t="shared" si="180"/>
        <v>70</v>
      </c>
      <c r="S2921" t="str" cm="1">
        <f t="array" ref="S2921">IF(P2921="","",_xlfn.SWITCH(LEFT(P2921,1),"C","Ciudad","T","Pueblo","R","Rural","S","Suburbano","U","Urbano",""))</f>
        <v>Pueblo</v>
      </c>
      <c r="T2921" t="str">
        <f t="shared" si="181"/>
        <v>M</v>
      </c>
      <c r="U2921" t="str">
        <f t="shared" si="182"/>
        <v>IN</v>
      </c>
      <c r="V2921" t="str">
        <f t="shared" si="183"/>
        <v>19153</v>
      </c>
    </row>
    <row r="2922" spans="1:22" x14ac:dyDescent="0.35">
      <c r="A2922">
        <v>120366</v>
      </c>
      <c r="B2922" t="s">
        <v>21</v>
      </c>
      <c r="C2922" t="s">
        <v>14</v>
      </c>
      <c r="D2922">
        <v>914</v>
      </c>
      <c r="E2922">
        <v>445</v>
      </c>
      <c r="F2922">
        <v>541</v>
      </c>
      <c r="G2922">
        <v>0</v>
      </c>
      <c r="H2922">
        <v>22258</v>
      </c>
      <c r="I2922">
        <v>5</v>
      </c>
      <c r="J2922">
        <v>31</v>
      </c>
      <c r="K2922">
        <v>515</v>
      </c>
      <c r="L2922">
        <v>469</v>
      </c>
      <c r="M2922">
        <v>6.6666666670000003</v>
      </c>
      <c r="N2922">
        <f>IFERROR(VLOOKUP(A2922,vlookup_table!$A:$G,2,FALSE),"")</f>
        <v>0</v>
      </c>
      <c r="O2922">
        <f>IFERROR(VLOOKUP(A2922,vlookup_table!$A:$G,4,FALSE),"")</f>
        <v>5201</v>
      </c>
      <c r="P2922" t="str">
        <f>IFERROR(VLOOKUP(A2922,vlookup_table!$A:$G,5,FALSE),"")</f>
        <v>T2</v>
      </c>
      <c r="Q2922">
        <f>IFERROR(VLOOKUP(A2922,vlookup_table!$A:$G,7,FALSE),"")</f>
        <v>9</v>
      </c>
      <c r="R2922">
        <f t="shared" si="180"/>
        <v>45</v>
      </c>
      <c r="S2922" t="str" cm="1">
        <f t="array" ref="S2922">IF(P2922="","",_xlfn.SWITCH(LEFT(P2922,1),"C","Ciudad","T","Pueblo","R","Rural","S","Suburbano","U","Urbano",""))</f>
        <v>Pueblo</v>
      </c>
      <c r="T2922" t="str">
        <f t="shared" si="181"/>
        <v>M</v>
      </c>
      <c r="U2922" t="str">
        <f t="shared" si="182"/>
        <v>TX</v>
      </c>
      <c r="V2922" t="str">
        <f t="shared" si="183"/>
        <v>22258</v>
      </c>
    </row>
    <row r="2923" spans="1:22" x14ac:dyDescent="0.35">
      <c r="A2923">
        <v>4588</v>
      </c>
      <c r="B2923" t="s">
        <v>33</v>
      </c>
      <c r="C2923" t="s">
        <v>14</v>
      </c>
      <c r="D2923">
        <v>561</v>
      </c>
      <c r="E2923">
        <v>337</v>
      </c>
      <c r="F2923">
        <v>362</v>
      </c>
      <c r="G2923">
        <v>0</v>
      </c>
      <c r="H2923">
        <v>12185</v>
      </c>
      <c r="I2923">
        <v>0</v>
      </c>
      <c r="J2923">
        <v>78</v>
      </c>
      <c r="K2923">
        <v>357</v>
      </c>
      <c r="L2923">
        <v>334</v>
      </c>
      <c r="M2923">
        <v>12.4375</v>
      </c>
      <c r="N2923">
        <f>IFERROR(VLOOKUP(A2923,vlookup_table!$A:$G,2,FALSE),"")</f>
        <v>0</v>
      </c>
      <c r="O2923">
        <f>IFERROR(VLOOKUP(A2923,vlookup_table!$A:$G,4,FALSE),"")</f>
        <v>1608</v>
      </c>
      <c r="P2923" t="str">
        <f>IFERROR(VLOOKUP(A2923,vlookup_table!$A:$G,5,FALSE),"")</f>
        <v>R2</v>
      </c>
      <c r="Q2923">
        <f>IFERROR(VLOOKUP(A2923,vlookup_table!$A:$G,7,FALSE),"")</f>
        <v>15</v>
      </c>
      <c r="R2923">
        <f t="shared" si="180"/>
        <v>81</v>
      </c>
      <c r="S2923" t="str" cm="1">
        <f t="array" ref="S2923">IF(P2923="","",_xlfn.SWITCH(LEFT(P2923,1),"C","Ciudad","T","Pueblo","R","Rural","S","Suburbano","U","Urbano",""))</f>
        <v>Rural</v>
      </c>
      <c r="T2923" t="str">
        <f t="shared" si="181"/>
        <v>M</v>
      </c>
      <c r="U2923" t="str">
        <f t="shared" si="182"/>
        <v>IN</v>
      </c>
      <c r="V2923" t="str">
        <f t="shared" si="183"/>
        <v>12185</v>
      </c>
    </row>
    <row r="2924" spans="1:22" x14ac:dyDescent="0.35">
      <c r="A2924">
        <v>164899</v>
      </c>
      <c r="B2924" t="s">
        <v>22</v>
      </c>
      <c r="C2924" t="s">
        <v>17</v>
      </c>
      <c r="D2924">
        <v>2094</v>
      </c>
      <c r="E2924">
        <v>352</v>
      </c>
      <c r="F2924">
        <v>456</v>
      </c>
      <c r="G2924">
        <v>56</v>
      </c>
      <c r="H2924">
        <v>14963</v>
      </c>
      <c r="I2924">
        <v>12</v>
      </c>
      <c r="J2924">
        <v>66</v>
      </c>
      <c r="K2924">
        <v>401</v>
      </c>
      <c r="L2924">
        <v>395</v>
      </c>
      <c r="M2924">
        <v>23</v>
      </c>
      <c r="N2924">
        <f>IFERROR(VLOOKUP(A2924,vlookup_table!$A:$G,2,FALSE),"")</f>
        <v>0</v>
      </c>
      <c r="O2924">
        <f>IFERROR(VLOOKUP(A2924,vlookup_table!$A:$G,4,FALSE),"")</f>
        <v>4101</v>
      </c>
      <c r="P2924" t="str">
        <f>IFERROR(VLOOKUP(A2924,vlookup_table!$A:$G,5,FALSE),"")</f>
        <v>S2</v>
      </c>
      <c r="Q2924">
        <f>IFERROR(VLOOKUP(A2924,vlookup_table!$A:$G,7,FALSE),"")</f>
        <v>23</v>
      </c>
      <c r="R2924">
        <f t="shared" si="180"/>
        <v>56</v>
      </c>
      <c r="S2924" t="str" cm="1">
        <f t="array" ref="S2924">IF(P2924="","",_xlfn.SWITCH(LEFT(P2924,1),"C","Ciudad","T","Pueblo","R","Rural","S","Suburbano","U","Urbano",""))</f>
        <v>Suburbano</v>
      </c>
      <c r="T2924" t="str">
        <f t="shared" si="181"/>
        <v>F</v>
      </c>
      <c r="U2924" t="str">
        <f t="shared" si="182"/>
        <v>CA</v>
      </c>
      <c r="V2924" t="str">
        <f t="shared" si="183"/>
        <v>14963</v>
      </c>
    </row>
    <row r="2925" spans="1:22" x14ac:dyDescent="0.35">
      <c r="A2925">
        <v>129766</v>
      </c>
      <c r="B2925" t="s">
        <v>59</v>
      </c>
      <c r="C2925" t="s">
        <v>14</v>
      </c>
      <c r="D2925">
        <v>960</v>
      </c>
      <c r="E2925">
        <v>566</v>
      </c>
      <c r="F2925">
        <v>634</v>
      </c>
      <c r="G2925">
        <v>0</v>
      </c>
      <c r="H2925">
        <v>18502</v>
      </c>
      <c r="I2925">
        <v>2</v>
      </c>
      <c r="J2925">
        <v>49</v>
      </c>
      <c r="K2925">
        <v>587</v>
      </c>
      <c r="L2925">
        <v>600</v>
      </c>
      <c r="M2925">
        <v>15.28571429</v>
      </c>
      <c r="N2925">
        <f>IFERROR(VLOOKUP(A2925,vlookup_table!$A:$G,2,FALSE),"")</f>
        <v>0</v>
      </c>
      <c r="O2925">
        <f>IFERROR(VLOOKUP(A2925,vlookup_table!$A:$G,4,FALSE),"")</f>
        <v>5201</v>
      </c>
      <c r="P2925" t="str">
        <f>IFERROR(VLOOKUP(A2925,vlookup_table!$A:$G,5,FALSE),"")</f>
        <v>S2</v>
      </c>
      <c r="Q2925">
        <f>IFERROR(VLOOKUP(A2925,vlookup_table!$A:$G,7,FALSE),"")</f>
        <v>20</v>
      </c>
      <c r="R2925">
        <f t="shared" si="180"/>
        <v>45</v>
      </c>
      <c r="S2925" t="str" cm="1">
        <f t="array" ref="S2925">IF(P2925="","",_xlfn.SWITCH(LEFT(P2925,1),"C","Ciudad","T","Pueblo","R","Rural","S","Suburbano","U","Urbano",""))</f>
        <v>Suburbano</v>
      </c>
      <c r="T2925" t="str">
        <f t="shared" si="181"/>
        <v>M</v>
      </c>
      <c r="U2925" t="str">
        <f t="shared" si="182"/>
        <v>NE</v>
      </c>
      <c r="V2925" t="str">
        <f t="shared" si="183"/>
        <v>18502</v>
      </c>
    </row>
    <row r="2926" spans="1:22" x14ac:dyDescent="0.35">
      <c r="A2926">
        <v>1799</v>
      </c>
      <c r="B2926" t="s">
        <v>18</v>
      </c>
      <c r="C2926" t="s">
        <v>14</v>
      </c>
      <c r="D2926">
        <v>860</v>
      </c>
      <c r="E2926">
        <v>358</v>
      </c>
      <c r="F2926">
        <v>435</v>
      </c>
      <c r="G2926">
        <v>2</v>
      </c>
      <c r="H2926">
        <v>14984</v>
      </c>
      <c r="I2926">
        <v>3</v>
      </c>
      <c r="J2926">
        <v>63</v>
      </c>
      <c r="K2926">
        <v>395</v>
      </c>
      <c r="L2926">
        <v>393</v>
      </c>
      <c r="M2926">
        <v>9.2380952379999997</v>
      </c>
      <c r="N2926">
        <f>IFERROR(VLOOKUP(A2926,vlookup_table!$A:$G,2,FALSE),"")</f>
        <v>0</v>
      </c>
      <c r="O2926">
        <f>IFERROR(VLOOKUP(A2926,vlookup_table!$A:$G,4,FALSE),"")</f>
        <v>0</v>
      </c>
      <c r="P2926" t="str">
        <f>IFERROR(VLOOKUP(A2926,vlookup_table!$A:$G,5,FALSE),"")</f>
        <v>C2</v>
      </c>
      <c r="Q2926">
        <f>IFERROR(VLOOKUP(A2926,vlookup_table!$A:$G,7,FALSE),"")</f>
        <v>10</v>
      </c>
      <c r="R2926">
        <f t="shared" si="180"/>
        <v>97</v>
      </c>
      <c r="S2926" t="str" cm="1">
        <f t="array" ref="S2926">IF(P2926="","",_xlfn.SWITCH(LEFT(P2926,1),"C","Ciudad","T","Pueblo","R","Rural","S","Suburbano","U","Urbano",""))</f>
        <v>Ciudad</v>
      </c>
      <c r="T2926" t="str">
        <f t="shared" si="181"/>
        <v>M</v>
      </c>
      <c r="U2926" t="str">
        <f t="shared" si="182"/>
        <v>NC</v>
      </c>
      <c r="V2926" t="str">
        <f t="shared" si="183"/>
        <v>14984</v>
      </c>
    </row>
    <row r="2927" spans="1:22" x14ac:dyDescent="0.35">
      <c r="A2927">
        <v>151547</v>
      </c>
      <c r="B2927" t="s">
        <v>22</v>
      </c>
      <c r="C2927" t="s">
        <v>14</v>
      </c>
      <c r="D2927">
        <v>1463</v>
      </c>
      <c r="E2927">
        <v>228</v>
      </c>
      <c r="F2927">
        <v>351</v>
      </c>
      <c r="G2927">
        <v>7</v>
      </c>
      <c r="H2927">
        <v>11400</v>
      </c>
      <c r="I2927">
        <v>15</v>
      </c>
      <c r="J2927">
        <v>49</v>
      </c>
      <c r="K2927">
        <v>247</v>
      </c>
      <c r="L2927">
        <v>343</v>
      </c>
      <c r="M2927">
        <v>15</v>
      </c>
      <c r="N2927">
        <f>IFERROR(VLOOKUP(A2927,vlookup_table!$A:$G,2,FALSE),"")</f>
        <v>1</v>
      </c>
      <c r="O2927">
        <f>IFERROR(VLOOKUP(A2927,vlookup_table!$A:$G,4,FALSE),"")</f>
        <v>3201</v>
      </c>
      <c r="P2927" t="str">
        <f>IFERROR(VLOOKUP(A2927,vlookup_table!$A:$G,5,FALSE),"")</f>
        <v>U3</v>
      </c>
      <c r="Q2927">
        <f>IFERROR(VLOOKUP(A2927,vlookup_table!$A:$G,7,FALSE),"")</f>
        <v>5</v>
      </c>
      <c r="R2927">
        <f t="shared" si="180"/>
        <v>65</v>
      </c>
      <c r="S2927" t="str" cm="1">
        <f t="array" ref="S2927">IF(P2927="","",_xlfn.SWITCH(LEFT(P2927,1),"C","Ciudad","T","Pueblo","R","Rural","S","Suburbano","U","Urbano",""))</f>
        <v>Urbano</v>
      </c>
      <c r="T2927" t="str">
        <f t="shared" si="181"/>
        <v>M</v>
      </c>
      <c r="U2927" t="str">
        <f t="shared" si="182"/>
        <v>CA</v>
      </c>
      <c r="V2927" t="str">
        <f t="shared" si="183"/>
        <v>11400</v>
      </c>
    </row>
    <row r="2928" spans="1:22" x14ac:dyDescent="0.35">
      <c r="A2928">
        <v>169955</v>
      </c>
      <c r="B2928" t="s">
        <v>22</v>
      </c>
      <c r="C2928" t="s">
        <v>14</v>
      </c>
      <c r="D2928">
        <v>1588</v>
      </c>
      <c r="E2928">
        <v>238</v>
      </c>
      <c r="F2928">
        <v>369</v>
      </c>
      <c r="G2928">
        <v>33</v>
      </c>
      <c r="H2928">
        <v>14499</v>
      </c>
      <c r="I2928">
        <v>7</v>
      </c>
      <c r="J2928">
        <v>48</v>
      </c>
      <c r="K2928">
        <v>328</v>
      </c>
      <c r="L2928">
        <v>295</v>
      </c>
      <c r="M2928">
        <v>28.75</v>
      </c>
      <c r="N2928">
        <f>IFERROR(VLOOKUP(A2928,vlookup_table!$A:$G,2,FALSE),"")</f>
        <v>1</v>
      </c>
      <c r="O2928">
        <f>IFERROR(VLOOKUP(A2928,vlookup_table!$A:$G,4,FALSE),"")</f>
        <v>2401</v>
      </c>
      <c r="P2928" t="str">
        <f>IFERROR(VLOOKUP(A2928,vlookup_table!$A:$G,5,FALSE),"")</f>
        <v>R1</v>
      </c>
      <c r="Q2928">
        <f>IFERROR(VLOOKUP(A2928,vlookup_table!$A:$G,7,FALSE),"")</f>
        <v>50</v>
      </c>
      <c r="R2928">
        <f t="shared" si="180"/>
        <v>73</v>
      </c>
      <c r="S2928" t="str" cm="1">
        <f t="array" ref="S2928">IF(P2928="","",_xlfn.SWITCH(LEFT(P2928,1),"C","Ciudad","T","Pueblo","R","Rural","S","Suburbano","U","Urbano",""))</f>
        <v>Rural</v>
      </c>
      <c r="T2928" t="str">
        <f t="shared" si="181"/>
        <v>M</v>
      </c>
      <c r="U2928" t="str">
        <f t="shared" si="182"/>
        <v>CA</v>
      </c>
      <c r="V2928" t="str">
        <f t="shared" si="183"/>
        <v>14499</v>
      </c>
    </row>
    <row r="2929" spans="1:22" x14ac:dyDescent="0.35">
      <c r="A2929">
        <v>98275</v>
      </c>
      <c r="B2929" t="s">
        <v>16</v>
      </c>
      <c r="C2929" t="s">
        <v>44</v>
      </c>
      <c r="D2929">
        <v>284</v>
      </c>
      <c r="E2929">
        <v>224</v>
      </c>
      <c r="F2929">
        <v>326</v>
      </c>
      <c r="G2929">
        <v>0</v>
      </c>
      <c r="H2929">
        <v>11129</v>
      </c>
      <c r="I2929">
        <v>0</v>
      </c>
      <c r="J2929">
        <v>88</v>
      </c>
      <c r="K2929">
        <v>252</v>
      </c>
      <c r="L2929">
        <v>284</v>
      </c>
      <c r="M2929">
        <v>9.0714285710000002</v>
      </c>
      <c r="N2929">
        <f>IFERROR(VLOOKUP(A2929,vlookup_table!$A:$G,2,FALSE),"")</f>
        <v>1002</v>
      </c>
      <c r="O2929">
        <f>IFERROR(VLOOKUP(A2929,vlookup_table!$A:$G,4,FALSE),"")</f>
        <v>0</v>
      </c>
      <c r="P2929" t="str">
        <f>IFERROR(VLOOKUP(A2929,vlookup_table!$A:$G,5,FALSE),"")</f>
        <v>R2</v>
      </c>
      <c r="Q2929">
        <f>IFERROR(VLOOKUP(A2929,vlookup_table!$A:$G,7,FALSE),"")</f>
        <v>9</v>
      </c>
      <c r="R2929">
        <f t="shared" si="180"/>
        <v>97</v>
      </c>
      <c r="S2929" t="str" cm="1">
        <f t="array" ref="S2929">IF(P2929="","",_xlfn.SWITCH(LEFT(P2929,1),"C","Ciudad","T","Pueblo","R","Rural","S","Suburbano","U","Urbano",""))</f>
        <v>Rural</v>
      </c>
      <c r="T2929" t="str">
        <f t="shared" si="181"/>
        <v>J</v>
      </c>
      <c r="U2929" t="str">
        <f t="shared" si="182"/>
        <v>IL</v>
      </c>
      <c r="V2929" t="str">
        <f t="shared" si="183"/>
        <v>11129</v>
      </c>
    </row>
    <row r="2930" spans="1:22" x14ac:dyDescent="0.35">
      <c r="A2930">
        <v>6298</v>
      </c>
      <c r="B2930" t="s">
        <v>46</v>
      </c>
      <c r="C2930" t="s">
        <v>17</v>
      </c>
      <c r="D2930">
        <v>598</v>
      </c>
      <c r="E2930">
        <v>292</v>
      </c>
      <c r="F2930">
        <v>413</v>
      </c>
      <c r="G2930">
        <v>0</v>
      </c>
      <c r="H2930">
        <v>12864</v>
      </c>
      <c r="I2930">
        <v>0</v>
      </c>
      <c r="J2930">
        <v>82</v>
      </c>
      <c r="K2930">
        <v>426</v>
      </c>
      <c r="L2930">
        <v>352</v>
      </c>
      <c r="M2930">
        <v>6.84375</v>
      </c>
      <c r="N2930">
        <f>IFERROR(VLOOKUP(A2930,vlookup_table!$A:$G,2,FALSE),"")</f>
        <v>2</v>
      </c>
      <c r="O2930">
        <f>IFERROR(VLOOKUP(A2930,vlookup_table!$A:$G,4,FALSE),"")</f>
        <v>2509</v>
      </c>
      <c r="P2930" t="str">
        <f>IFERROR(VLOOKUP(A2930,vlookup_table!$A:$G,5,FALSE),"")</f>
        <v>T2</v>
      </c>
      <c r="Q2930">
        <f>IFERROR(VLOOKUP(A2930,vlookup_table!$A:$G,7,FALSE),"")</f>
        <v>7</v>
      </c>
      <c r="R2930">
        <f t="shared" si="180"/>
        <v>72</v>
      </c>
      <c r="S2930" t="str" cm="1">
        <f t="array" ref="S2930">IF(P2930="","",_xlfn.SWITCH(LEFT(P2930,1),"C","Ciudad","T","Pueblo","R","Rural","S","Suburbano","U","Urbano",""))</f>
        <v>Pueblo</v>
      </c>
      <c r="T2930" t="str">
        <f t="shared" si="181"/>
        <v>F</v>
      </c>
      <c r="U2930" t="str">
        <f t="shared" si="182"/>
        <v>SC</v>
      </c>
      <c r="V2930" t="str">
        <f t="shared" si="183"/>
        <v>12864</v>
      </c>
    </row>
    <row r="2931" spans="1:22" x14ac:dyDescent="0.35">
      <c r="A2931">
        <v>32880</v>
      </c>
      <c r="B2931" t="s">
        <v>13</v>
      </c>
      <c r="C2931" t="s">
        <v>17</v>
      </c>
      <c r="D2931">
        <v>695</v>
      </c>
      <c r="E2931">
        <v>304</v>
      </c>
      <c r="F2931">
        <v>346</v>
      </c>
      <c r="G2931">
        <v>7</v>
      </c>
      <c r="H2931">
        <v>15245</v>
      </c>
      <c r="I2931">
        <v>4</v>
      </c>
      <c r="J2931">
        <v>38</v>
      </c>
      <c r="K2931">
        <v>299</v>
      </c>
      <c r="L2931">
        <v>325</v>
      </c>
      <c r="M2931">
        <v>12.2</v>
      </c>
      <c r="N2931">
        <f>IFERROR(VLOOKUP(A2931,vlookup_table!$A:$G,2,FALSE),"")</f>
        <v>28</v>
      </c>
      <c r="O2931">
        <f>IFERROR(VLOOKUP(A2931,vlookup_table!$A:$G,4,FALSE),"")</f>
        <v>4005</v>
      </c>
      <c r="P2931" t="str">
        <f>IFERROR(VLOOKUP(A2931,vlookup_table!$A:$G,5,FALSE),"")</f>
        <v>S2</v>
      </c>
      <c r="Q2931">
        <f>IFERROR(VLOOKUP(A2931,vlookup_table!$A:$G,7,FALSE),"")</f>
        <v>10</v>
      </c>
      <c r="R2931">
        <f t="shared" si="180"/>
        <v>57</v>
      </c>
      <c r="S2931" t="str" cm="1">
        <f t="array" ref="S2931">IF(P2931="","",_xlfn.SWITCH(LEFT(P2931,1),"C","Ciudad","T","Pueblo","R","Rural","S","Suburbano","U","Urbano",""))</f>
        <v>Suburbano</v>
      </c>
      <c r="T2931" t="str">
        <f t="shared" si="181"/>
        <v>F</v>
      </c>
      <c r="U2931" t="str">
        <f t="shared" si="182"/>
        <v>FL</v>
      </c>
      <c r="V2931" t="str">
        <f t="shared" si="183"/>
        <v>15245</v>
      </c>
    </row>
    <row r="2932" spans="1:22" x14ac:dyDescent="0.35">
      <c r="A2932">
        <v>26669</v>
      </c>
      <c r="B2932" t="s">
        <v>39</v>
      </c>
      <c r="C2932" t="s">
        <v>17</v>
      </c>
      <c r="D2932">
        <v>477</v>
      </c>
      <c r="E2932">
        <v>301</v>
      </c>
      <c r="F2932">
        <v>389</v>
      </c>
      <c r="G2932">
        <v>1</v>
      </c>
      <c r="H2932">
        <v>13345</v>
      </c>
      <c r="I2932">
        <v>0</v>
      </c>
      <c r="J2932">
        <v>79</v>
      </c>
      <c r="K2932">
        <v>345</v>
      </c>
      <c r="L2932">
        <v>342</v>
      </c>
      <c r="M2932">
        <v>5.8333333329999997</v>
      </c>
      <c r="N2932">
        <f>IFERROR(VLOOKUP(A2932,vlookup_table!$A:$G,2,FALSE),"")</f>
        <v>2</v>
      </c>
      <c r="O2932">
        <f>IFERROR(VLOOKUP(A2932,vlookup_table!$A:$G,4,FALSE),"")</f>
        <v>0</v>
      </c>
      <c r="P2932" t="str">
        <f>IFERROR(VLOOKUP(A2932,vlookup_table!$A:$G,5,FALSE),"")</f>
        <v>R2</v>
      </c>
      <c r="Q2932">
        <f>IFERROR(VLOOKUP(A2932,vlookup_table!$A:$G,7,FALSE),"")</f>
        <v>1</v>
      </c>
      <c r="R2932">
        <f t="shared" si="180"/>
        <v>97</v>
      </c>
      <c r="S2932" t="str" cm="1">
        <f t="array" ref="S2932">IF(P2932="","",_xlfn.SWITCH(LEFT(P2932,1),"C","Ciudad","T","Pueblo","R","Rural","S","Suburbano","U","Urbano",""))</f>
        <v>Rural</v>
      </c>
      <c r="T2932" t="str">
        <f t="shared" si="181"/>
        <v>F</v>
      </c>
      <c r="U2932" t="str">
        <f t="shared" si="182"/>
        <v>GA</v>
      </c>
      <c r="V2932" t="str">
        <f t="shared" si="183"/>
        <v>13345</v>
      </c>
    </row>
    <row r="2933" spans="1:22" x14ac:dyDescent="0.35">
      <c r="A2933">
        <v>36081</v>
      </c>
      <c r="B2933" t="s">
        <v>13</v>
      </c>
      <c r="C2933" t="s">
        <v>14</v>
      </c>
      <c r="D2933">
        <v>1201</v>
      </c>
      <c r="E2933">
        <v>419</v>
      </c>
      <c r="F2933">
        <v>474</v>
      </c>
      <c r="G2933">
        <v>8</v>
      </c>
      <c r="H2933">
        <v>17269</v>
      </c>
      <c r="I2933">
        <v>2</v>
      </c>
      <c r="J2933">
        <v>36</v>
      </c>
      <c r="K2933">
        <v>465</v>
      </c>
      <c r="L2933">
        <v>449</v>
      </c>
      <c r="M2933">
        <v>6.3529411769999999</v>
      </c>
      <c r="N2933">
        <f>IFERROR(VLOOKUP(A2933,vlookup_table!$A:$G,2,FALSE),"")</f>
        <v>1</v>
      </c>
      <c r="O2933">
        <f>IFERROR(VLOOKUP(A2933,vlookup_table!$A:$G,4,FALSE),"")</f>
        <v>3110</v>
      </c>
      <c r="P2933" t="str">
        <f>IFERROR(VLOOKUP(A2933,vlookup_table!$A:$G,5,FALSE),"")</f>
        <v>C1</v>
      </c>
      <c r="Q2933">
        <f>IFERROR(VLOOKUP(A2933,vlookup_table!$A:$G,7,FALSE),"")</f>
        <v>17</v>
      </c>
      <c r="R2933">
        <f t="shared" si="180"/>
        <v>66</v>
      </c>
      <c r="S2933" t="str" cm="1">
        <f t="array" ref="S2933">IF(P2933="","",_xlfn.SWITCH(LEFT(P2933,1),"C","Ciudad","T","Pueblo","R","Rural","S","Suburbano","U","Urbano",""))</f>
        <v>Ciudad</v>
      </c>
      <c r="T2933" t="str">
        <f t="shared" si="181"/>
        <v>M</v>
      </c>
      <c r="U2933" t="str">
        <f t="shared" si="182"/>
        <v>FL</v>
      </c>
      <c r="V2933" t="str">
        <f t="shared" si="183"/>
        <v>17269</v>
      </c>
    </row>
    <row r="2934" spans="1:22" x14ac:dyDescent="0.35">
      <c r="A2934">
        <v>140928</v>
      </c>
      <c r="B2934" t="s">
        <v>24</v>
      </c>
      <c r="C2934" t="s">
        <v>17</v>
      </c>
      <c r="D2934">
        <v>1117</v>
      </c>
      <c r="E2934">
        <v>461</v>
      </c>
      <c r="F2934">
        <v>450</v>
      </c>
      <c r="G2934">
        <v>3</v>
      </c>
      <c r="H2934">
        <v>16614</v>
      </c>
      <c r="I2934">
        <v>6</v>
      </c>
      <c r="J2934">
        <v>28</v>
      </c>
      <c r="K2934">
        <v>461</v>
      </c>
      <c r="L2934">
        <v>461</v>
      </c>
      <c r="M2934">
        <v>20.944444440000002</v>
      </c>
      <c r="N2934">
        <f>IFERROR(VLOOKUP(A2934,vlookup_table!$A:$G,2,FALSE),"")</f>
        <v>2</v>
      </c>
      <c r="O2934">
        <f>IFERROR(VLOOKUP(A2934,vlookup_table!$A:$G,4,FALSE),"")</f>
        <v>2801</v>
      </c>
      <c r="P2934" t="str">
        <f>IFERROR(VLOOKUP(A2934,vlookup_table!$A:$G,5,FALSE),"")</f>
        <v>S2</v>
      </c>
      <c r="Q2934">
        <f>IFERROR(VLOOKUP(A2934,vlookup_table!$A:$G,7,FALSE),"")</f>
        <v>21</v>
      </c>
      <c r="R2934">
        <f t="shared" si="180"/>
        <v>69</v>
      </c>
      <c r="S2934" t="str" cm="1">
        <f t="array" ref="S2934">IF(P2934="","",_xlfn.SWITCH(LEFT(P2934,1),"C","Ciudad","T","Pueblo","R","Rural","S","Suburbano","U","Urbano",""))</f>
        <v>Suburbano</v>
      </c>
      <c r="T2934" t="str">
        <f t="shared" si="181"/>
        <v>F</v>
      </c>
      <c r="U2934" t="str">
        <f t="shared" si="182"/>
        <v>NV</v>
      </c>
      <c r="V2934" t="str">
        <f t="shared" si="183"/>
        <v>16614</v>
      </c>
    </row>
    <row r="2935" spans="1:22" x14ac:dyDescent="0.35">
      <c r="A2935">
        <v>84390</v>
      </c>
      <c r="B2935" t="s">
        <v>56</v>
      </c>
      <c r="C2935" t="s">
        <v>14</v>
      </c>
      <c r="D2935">
        <v>465</v>
      </c>
      <c r="E2935">
        <v>213</v>
      </c>
      <c r="F2935">
        <v>312</v>
      </c>
      <c r="G2935">
        <v>0</v>
      </c>
      <c r="H2935">
        <v>10736</v>
      </c>
      <c r="I2935">
        <v>1</v>
      </c>
      <c r="J2935">
        <v>80</v>
      </c>
      <c r="K2935">
        <v>281</v>
      </c>
      <c r="L2935">
        <v>259</v>
      </c>
      <c r="M2935">
        <v>7.5333333329999999</v>
      </c>
      <c r="N2935">
        <f>IFERROR(VLOOKUP(A2935,vlookup_table!$A:$G,2,FALSE),"")</f>
        <v>1</v>
      </c>
      <c r="O2935">
        <f>IFERROR(VLOOKUP(A2935,vlookup_table!$A:$G,4,FALSE),"")</f>
        <v>1801</v>
      </c>
      <c r="P2935" t="str">
        <f>IFERROR(VLOOKUP(A2935,vlookup_table!$A:$G,5,FALSE),"")</f>
        <v>R2</v>
      </c>
      <c r="Q2935">
        <f>IFERROR(VLOOKUP(A2935,vlookup_table!$A:$G,7,FALSE),"")</f>
        <v>5</v>
      </c>
      <c r="R2935">
        <f t="shared" si="180"/>
        <v>79</v>
      </c>
      <c r="S2935" t="str" cm="1">
        <f t="array" ref="S2935">IF(P2935="","",_xlfn.SWITCH(LEFT(P2935,1),"C","Ciudad","T","Pueblo","R","Rural","S","Suburbano","U","Urbano",""))</f>
        <v>Rural</v>
      </c>
      <c r="T2935" t="str">
        <f t="shared" si="181"/>
        <v>M</v>
      </c>
      <c r="U2935" t="str">
        <f t="shared" si="182"/>
        <v>MN</v>
      </c>
      <c r="V2935" t="str">
        <f t="shared" si="183"/>
        <v>10736</v>
      </c>
    </row>
    <row r="2936" spans="1:22" x14ac:dyDescent="0.35">
      <c r="A2936">
        <v>83709</v>
      </c>
      <c r="B2936" t="s">
        <v>56</v>
      </c>
      <c r="C2936" t="s">
        <v>14</v>
      </c>
      <c r="D2936">
        <v>680</v>
      </c>
      <c r="E2936">
        <v>335</v>
      </c>
      <c r="F2936">
        <v>357</v>
      </c>
      <c r="G2936">
        <v>0</v>
      </c>
      <c r="H2936">
        <v>13525</v>
      </c>
      <c r="I2936">
        <v>3</v>
      </c>
      <c r="J2936">
        <v>81</v>
      </c>
      <c r="K2936">
        <v>324</v>
      </c>
      <c r="L2936">
        <v>358</v>
      </c>
      <c r="M2936">
        <v>6.3636363640000004</v>
      </c>
      <c r="N2936">
        <f>IFERROR(VLOOKUP(A2936,vlookup_table!$A:$G,2,FALSE),"")</f>
        <v>2</v>
      </c>
      <c r="O2936">
        <f>IFERROR(VLOOKUP(A2936,vlookup_table!$A:$G,4,FALSE),"")</f>
        <v>2512</v>
      </c>
      <c r="P2936" t="str">
        <f>IFERROR(VLOOKUP(A2936,vlookup_table!$A:$G,5,FALSE),"")</f>
        <v>S2</v>
      </c>
      <c r="Q2936">
        <f>IFERROR(VLOOKUP(A2936,vlookup_table!$A:$G,7,FALSE),"")</f>
        <v>10</v>
      </c>
      <c r="R2936">
        <f t="shared" si="180"/>
        <v>72</v>
      </c>
      <c r="S2936" t="str" cm="1">
        <f t="array" ref="S2936">IF(P2936="","",_xlfn.SWITCH(LEFT(P2936,1),"C","Ciudad","T","Pueblo","R","Rural","S","Suburbano","U","Urbano",""))</f>
        <v>Suburbano</v>
      </c>
      <c r="T2936" t="str">
        <f t="shared" si="181"/>
        <v>M</v>
      </c>
      <c r="U2936" t="str">
        <f t="shared" si="182"/>
        <v>MN</v>
      </c>
      <c r="V2936" t="str">
        <f t="shared" si="183"/>
        <v>13525</v>
      </c>
    </row>
    <row r="2937" spans="1:22" x14ac:dyDescent="0.35">
      <c r="A2937">
        <v>27854</v>
      </c>
      <c r="B2937" t="s">
        <v>39</v>
      </c>
      <c r="C2937" t="s">
        <v>17</v>
      </c>
      <c r="D2937">
        <v>679</v>
      </c>
      <c r="E2937">
        <v>475</v>
      </c>
      <c r="F2937">
        <v>466</v>
      </c>
      <c r="G2937">
        <v>0</v>
      </c>
      <c r="H2937">
        <v>13724</v>
      </c>
      <c r="I2937">
        <v>2</v>
      </c>
      <c r="J2937">
        <v>50</v>
      </c>
      <c r="K2937">
        <v>468</v>
      </c>
      <c r="L2937">
        <v>477</v>
      </c>
      <c r="M2937">
        <v>5.5625</v>
      </c>
      <c r="N2937">
        <f>IFERROR(VLOOKUP(A2937,vlookup_table!$A:$G,2,FALSE),"")</f>
        <v>2</v>
      </c>
      <c r="O2937">
        <f>IFERROR(VLOOKUP(A2937,vlookup_table!$A:$G,4,FALSE),"")</f>
        <v>3111</v>
      </c>
      <c r="P2937" t="str">
        <f>IFERROR(VLOOKUP(A2937,vlookup_table!$A:$G,5,FALSE),"")</f>
        <v>C2</v>
      </c>
      <c r="Q2937">
        <f>IFERROR(VLOOKUP(A2937,vlookup_table!$A:$G,7,FALSE),"")</f>
        <v>5</v>
      </c>
      <c r="R2937">
        <f t="shared" si="180"/>
        <v>66</v>
      </c>
      <c r="S2937" t="str" cm="1">
        <f t="array" ref="S2937">IF(P2937="","",_xlfn.SWITCH(LEFT(P2937,1),"C","Ciudad","T","Pueblo","R","Rural","S","Suburbano","U","Urbano",""))</f>
        <v>Ciudad</v>
      </c>
      <c r="T2937" t="str">
        <f t="shared" si="181"/>
        <v>F</v>
      </c>
      <c r="U2937" t="str">
        <f t="shared" si="182"/>
        <v>GA</v>
      </c>
      <c r="V2937" t="str">
        <f t="shared" si="183"/>
        <v>13724</v>
      </c>
    </row>
    <row r="2938" spans="1:22" x14ac:dyDescent="0.35">
      <c r="A2938">
        <v>139302</v>
      </c>
      <c r="B2938" t="s">
        <v>54</v>
      </c>
      <c r="C2938" t="s">
        <v>14</v>
      </c>
      <c r="D2938">
        <v>592</v>
      </c>
      <c r="E2938">
        <v>273</v>
      </c>
      <c r="F2938">
        <v>315</v>
      </c>
      <c r="G2938">
        <v>0</v>
      </c>
      <c r="H2938">
        <v>7582</v>
      </c>
      <c r="I2938">
        <v>4</v>
      </c>
      <c r="J2938">
        <v>79</v>
      </c>
      <c r="K2938">
        <v>294</v>
      </c>
      <c r="L2938">
        <v>290</v>
      </c>
      <c r="M2938">
        <v>21.666666670000001</v>
      </c>
      <c r="N2938">
        <f>IFERROR(VLOOKUP(A2938,vlookup_table!$A:$G,2,FALSE),"")</f>
        <v>0</v>
      </c>
      <c r="O2938">
        <f>IFERROR(VLOOKUP(A2938,vlookup_table!$A:$G,4,FALSE),"")</f>
        <v>4003</v>
      </c>
      <c r="P2938" t="str">
        <f>IFERROR(VLOOKUP(A2938,vlookup_table!$A:$G,5,FALSE),"")</f>
        <v>S3</v>
      </c>
      <c r="Q2938">
        <f>IFERROR(VLOOKUP(A2938,vlookup_table!$A:$G,7,FALSE),"")</f>
        <v>25</v>
      </c>
      <c r="R2938">
        <f t="shared" si="180"/>
        <v>57</v>
      </c>
      <c r="S2938" t="str" cm="1">
        <f t="array" ref="S2938">IF(P2938="","",_xlfn.SWITCH(LEFT(P2938,1),"C","Ciudad","T","Pueblo","R","Rural","S","Suburbano","U","Urbano",""))</f>
        <v>Suburbano</v>
      </c>
      <c r="T2938" t="str">
        <f t="shared" si="181"/>
        <v>M</v>
      </c>
      <c r="U2938" t="str">
        <f t="shared" si="182"/>
        <v>NM</v>
      </c>
      <c r="V2938" t="str">
        <f t="shared" si="183"/>
        <v>7582</v>
      </c>
    </row>
    <row r="2939" spans="1:22" x14ac:dyDescent="0.35">
      <c r="A2939">
        <v>87538</v>
      </c>
      <c r="B2939" t="s">
        <v>34</v>
      </c>
      <c r="C2939" t="s">
        <v>20</v>
      </c>
      <c r="D2939">
        <v>561</v>
      </c>
      <c r="E2939">
        <v>189</v>
      </c>
      <c r="F2939">
        <v>282</v>
      </c>
      <c r="G2939">
        <v>0</v>
      </c>
      <c r="H2939">
        <v>9557</v>
      </c>
      <c r="I2939">
        <v>1</v>
      </c>
      <c r="J2939">
        <v>62</v>
      </c>
      <c r="K2939">
        <v>243</v>
      </c>
      <c r="L2939">
        <v>233</v>
      </c>
      <c r="M2939">
        <v>8.3333333330000006</v>
      </c>
      <c r="N2939">
        <f>IFERROR(VLOOKUP(A2939,vlookup_table!$A:$G,2,FALSE),"")</f>
        <v>0</v>
      </c>
      <c r="O2939">
        <f>IFERROR(VLOOKUP(A2939,vlookup_table!$A:$G,4,FALSE),"")</f>
        <v>0</v>
      </c>
      <c r="P2939" t="str">
        <f>IFERROR(VLOOKUP(A2939,vlookup_table!$A:$G,5,FALSE),"")</f>
        <v>R2</v>
      </c>
      <c r="Q2939">
        <f>IFERROR(VLOOKUP(A2939,vlookup_table!$A:$G,7,FALSE),"")</f>
        <v>10</v>
      </c>
      <c r="R2939">
        <f t="shared" si="180"/>
        <v>97</v>
      </c>
      <c r="S2939" t="str" cm="1">
        <f t="array" ref="S2939">IF(P2939="","",_xlfn.SWITCH(LEFT(P2939,1),"C","Ciudad","T","Pueblo","R","Rural","S","Suburbano","U","Urbano",""))</f>
        <v>Rural</v>
      </c>
      <c r="T2939" t="str">
        <f t="shared" si="181"/>
        <v>F</v>
      </c>
      <c r="U2939" t="str">
        <f t="shared" si="182"/>
        <v>MT</v>
      </c>
      <c r="V2939" t="str">
        <f t="shared" si="183"/>
        <v>9557</v>
      </c>
    </row>
    <row r="2940" spans="1:22" x14ac:dyDescent="0.35">
      <c r="A2940">
        <v>173571</v>
      </c>
      <c r="B2940" t="s">
        <v>37</v>
      </c>
      <c r="C2940" t="s">
        <v>14</v>
      </c>
      <c r="D2940">
        <v>2575</v>
      </c>
      <c r="E2940">
        <v>521</v>
      </c>
      <c r="F2940">
        <v>584</v>
      </c>
      <c r="G2940">
        <v>74</v>
      </c>
      <c r="H2940">
        <v>17578</v>
      </c>
      <c r="I2940">
        <v>5</v>
      </c>
      <c r="J2940">
        <v>80</v>
      </c>
      <c r="K2940">
        <v>551</v>
      </c>
      <c r="L2940">
        <v>561</v>
      </c>
      <c r="M2940">
        <v>17.5</v>
      </c>
      <c r="N2940">
        <f>IFERROR(VLOOKUP(A2940,vlookup_table!$A:$G,2,FALSE),"")</f>
        <v>0</v>
      </c>
      <c r="O2940">
        <f>IFERROR(VLOOKUP(A2940,vlookup_table!$A:$G,4,FALSE),"")</f>
        <v>0</v>
      </c>
      <c r="P2940" t="str">
        <f>IFERROR(VLOOKUP(A2940,vlookup_table!$A:$G,5,FALSE),"")</f>
        <v>T2</v>
      </c>
      <c r="Q2940">
        <f>IFERROR(VLOOKUP(A2940,vlookup_table!$A:$G,7,FALSE),"")</f>
        <v>25</v>
      </c>
      <c r="R2940">
        <f t="shared" si="180"/>
        <v>97</v>
      </c>
      <c r="S2940" t="str" cm="1">
        <f t="array" ref="S2940">IF(P2940="","",_xlfn.SWITCH(LEFT(P2940,1),"C","Ciudad","T","Pueblo","R","Rural","S","Suburbano","U","Urbano",""))</f>
        <v>Pueblo</v>
      </c>
      <c r="T2940" t="str">
        <f t="shared" si="181"/>
        <v>M</v>
      </c>
      <c r="U2940" t="str">
        <f t="shared" si="182"/>
        <v>HI</v>
      </c>
      <c r="V2940" t="str">
        <f t="shared" si="183"/>
        <v>17578</v>
      </c>
    </row>
    <row r="2941" spans="1:22" x14ac:dyDescent="0.35">
      <c r="A2941">
        <v>55091</v>
      </c>
      <c r="B2941" t="s">
        <v>62</v>
      </c>
      <c r="C2941" t="s">
        <v>20</v>
      </c>
      <c r="D2941">
        <v>364</v>
      </c>
      <c r="E2941">
        <v>187</v>
      </c>
      <c r="F2941">
        <v>263</v>
      </c>
      <c r="G2941">
        <v>1</v>
      </c>
      <c r="H2941">
        <v>8562</v>
      </c>
      <c r="I2941">
        <v>0</v>
      </c>
      <c r="J2941">
        <v>89</v>
      </c>
      <c r="K2941">
        <v>216</v>
      </c>
      <c r="L2941">
        <v>234</v>
      </c>
      <c r="M2941">
        <v>25</v>
      </c>
      <c r="N2941">
        <f>IFERROR(VLOOKUP(A2941,vlookup_table!$A:$G,2,FALSE),"")</f>
        <v>0</v>
      </c>
      <c r="O2941">
        <f>IFERROR(VLOOKUP(A2941,vlookup_table!$A:$G,4,FALSE),"")</f>
        <v>5001</v>
      </c>
      <c r="P2941" t="str">
        <f>IFERROR(VLOOKUP(A2941,vlookup_table!$A:$G,5,FALSE),"")</f>
        <v>R3</v>
      </c>
      <c r="Q2941">
        <f>IFERROR(VLOOKUP(A2941,vlookup_table!$A:$G,7,FALSE),"")</f>
        <v>10</v>
      </c>
      <c r="R2941">
        <f t="shared" si="180"/>
        <v>47</v>
      </c>
      <c r="S2941" t="str" cm="1">
        <f t="array" ref="S2941">IF(P2941="","",_xlfn.SWITCH(LEFT(P2941,1),"C","Ciudad","T","Pueblo","R","Rural","S","Suburbano","U","Urbano",""))</f>
        <v>Rural</v>
      </c>
      <c r="T2941" t="str">
        <f t="shared" si="181"/>
        <v>F</v>
      </c>
      <c r="U2941" t="str">
        <f t="shared" si="182"/>
        <v>MS</v>
      </c>
      <c r="V2941" t="str">
        <f t="shared" si="183"/>
        <v>8562</v>
      </c>
    </row>
    <row r="2942" spans="1:22" x14ac:dyDescent="0.35">
      <c r="A2942">
        <v>2861</v>
      </c>
      <c r="B2942" t="s">
        <v>40</v>
      </c>
      <c r="C2942" t="s">
        <v>51</v>
      </c>
      <c r="D2942">
        <v>817</v>
      </c>
      <c r="E2942">
        <v>388</v>
      </c>
      <c r="F2942">
        <v>422</v>
      </c>
      <c r="G2942">
        <v>0</v>
      </c>
      <c r="H2942">
        <v>13502</v>
      </c>
      <c r="I2942">
        <v>3</v>
      </c>
      <c r="J2942">
        <v>60</v>
      </c>
      <c r="K2942">
        <v>404</v>
      </c>
      <c r="L2942">
        <v>390</v>
      </c>
      <c r="M2942">
        <v>7.7857142860000002</v>
      </c>
      <c r="N2942">
        <f>IFERROR(VLOOKUP(A2942,vlookup_table!$A:$G,2,FALSE),"")</f>
        <v>0</v>
      </c>
      <c r="O2942">
        <f>IFERROR(VLOOKUP(A2942,vlookup_table!$A:$G,4,FALSE),"")</f>
        <v>3701</v>
      </c>
      <c r="P2942" t="str">
        <f>IFERROR(VLOOKUP(A2942,vlookup_table!$A:$G,5,FALSE),"")</f>
        <v>S2</v>
      </c>
      <c r="Q2942">
        <f>IFERROR(VLOOKUP(A2942,vlookup_table!$A:$G,7,FALSE),"")</f>
        <v>7</v>
      </c>
      <c r="R2942">
        <f t="shared" si="180"/>
        <v>60</v>
      </c>
      <c r="S2942" t="str" cm="1">
        <f t="array" ref="S2942">IF(P2942="","",_xlfn.SWITCH(LEFT(P2942,1),"C","Ciudad","T","Pueblo","R","Rural","S","Suburbano","U","Urbano",""))</f>
        <v>Suburbano</v>
      </c>
      <c r="T2942" t="str">
        <f t="shared" si="181"/>
        <v>M</v>
      </c>
      <c r="U2942" t="str">
        <f t="shared" si="182"/>
        <v>WA</v>
      </c>
      <c r="V2942" t="str">
        <f t="shared" si="183"/>
        <v>13502</v>
      </c>
    </row>
    <row r="2943" spans="1:22" x14ac:dyDescent="0.35">
      <c r="A2943">
        <v>141666</v>
      </c>
      <c r="B2943" t="s">
        <v>24</v>
      </c>
      <c r="C2943" t="s">
        <v>14</v>
      </c>
      <c r="D2943">
        <v>1105</v>
      </c>
      <c r="E2943">
        <v>229</v>
      </c>
      <c r="F2943">
        <v>374</v>
      </c>
      <c r="G2943">
        <v>7</v>
      </c>
      <c r="H2943">
        <v>15856</v>
      </c>
      <c r="I2943">
        <v>12</v>
      </c>
      <c r="J2943">
        <v>14</v>
      </c>
      <c r="K2943">
        <v>285</v>
      </c>
      <c r="L2943">
        <v>303</v>
      </c>
      <c r="M2943">
        <v>10.5</v>
      </c>
      <c r="N2943">
        <f>IFERROR(VLOOKUP(A2943,vlookup_table!$A:$G,2,FALSE),"")</f>
        <v>1</v>
      </c>
      <c r="O2943">
        <f>IFERROR(VLOOKUP(A2943,vlookup_table!$A:$G,4,FALSE),"")</f>
        <v>0</v>
      </c>
      <c r="P2943" t="str">
        <f>IFERROR(VLOOKUP(A2943,vlookup_table!$A:$G,5,FALSE),"")</f>
        <v>C1</v>
      </c>
      <c r="Q2943">
        <f>IFERROR(VLOOKUP(A2943,vlookup_table!$A:$G,7,FALSE),"")</f>
        <v>16</v>
      </c>
      <c r="R2943">
        <f t="shared" si="180"/>
        <v>97</v>
      </c>
      <c r="S2943" t="str" cm="1">
        <f t="array" ref="S2943">IF(P2943="","",_xlfn.SWITCH(LEFT(P2943,1),"C","Ciudad","T","Pueblo","R","Rural","S","Suburbano","U","Urbano",""))</f>
        <v>Ciudad</v>
      </c>
      <c r="T2943" t="str">
        <f t="shared" si="181"/>
        <v>M</v>
      </c>
      <c r="U2943" t="str">
        <f t="shared" si="182"/>
        <v>NV</v>
      </c>
      <c r="V2943" t="str">
        <f t="shared" si="183"/>
        <v>15856</v>
      </c>
    </row>
    <row r="2944" spans="1:22" x14ac:dyDescent="0.35">
      <c r="A2944">
        <v>165857</v>
      </c>
      <c r="B2944" t="s">
        <v>22</v>
      </c>
      <c r="C2944" t="s">
        <v>17</v>
      </c>
      <c r="D2944">
        <v>1269</v>
      </c>
      <c r="E2944">
        <v>409</v>
      </c>
      <c r="F2944">
        <v>490</v>
      </c>
      <c r="G2944">
        <v>3</v>
      </c>
      <c r="H2944">
        <v>17132</v>
      </c>
      <c r="I2944">
        <v>5</v>
      </c>
      <c r="J2944">
        <v>55</v>
      </c>
      <c r="K2944">
        <v>457</v>
      </c>
      <c r="L2944">
        <v>443</v>
      </c>
      <c r="M2944">
        <v>3.4</v>
      </c>
      <c r="N2944">
        <f>IFERROR(VLOOKUP(A2944,vlookup_table!$A:$G,2,FALSE),"")</f>
        <v>28</v>
      </c>
      <c r="O2944">
        <f>IFERROR(VLOOKUP(A2944,vlookup_table!$A:$G,4,FALSE),"")</f>
        <v>2201</v>
      </c>
      <c r="P2944" t="str">
        <f>IFERROR(VLOOKUP(A2944,vlookup_table!$A:$G,5,FALSE),"")</f>
        <v>C2</v>
      </c>
      <c r="Q2944">
        <f>IFERROR(VLOOKUP(A2944,vlookup_table!$A:$G,7,FALSE),"")</f>
        <v>4</v>
      </c>
      <c r="R2944">
        <f t="shared" si="180"/>
        <v>75</v>
      </c>
      <c r="S2944" t="str" cm="1">
        <f t="array" ref="S2944">IF(P2944="","",_xlfn.SWITCH(LEFT(P2944,1),"C","Ciudad","T","Pueblo","R","Rural","S","Suburbano","U","Urbano",""))</f>
        <v>Ciudad</v>
      </c>
      <c r="T2944" t="str">
        <f t="shared" si="181"/>
        <v>F</v>
      </c>
      <c r="U2944" t="str">
        <f t="shared" si="182"/>
        <v>CA</v>
      </c>
      <c r="V2944" t="str">
        <f t="shared" si="183"/>
        <v>17132</v>
      </c>
    </row>
    <row r="2945" spans="1:22" x14ac:dyDescent="0.35">
      <c r="A2945">
        <v>172464</v>
      </c>
      <c r="B2945" t="s">
        <v>22</v>
      </c>
      <c r="C2945" t="s">
        <v>14</v>
      </c>
      <c r="D2945">
        <v>1257</v>
      </c>
      <c r="E2945">
        <v>231</v>
      </c>
      <c r="F2945">
        <v>535</v>
      </c>
      <c r="G2945">
        <v>20</v>
      </c>
      <c r="H2945">
        <v>19180</v>
      </c>
      <c r="I2945">
        <v>10</v>
      </c>
      <c r="J2945">
        <v>54</v>
      </c>
      <c r="K2945">
        <v>509</v>
      </c>
      <c r="L2945">
        <v>350</v>
      </c>
      <c r="M2945">
        <v>5.625</v>
      </c>
      <c r="N2945">
        <f>IFERROR(VLOOKUP(A2945,vlookup_table!$A:$G,2,FALSE),"")</f>
        <v>0</v>
      </c>
      <c r="O2945">
        <f>IFERROR(VLOOKUP(A2945,vlookup_table!$A:$G,4,FALSE),"")</f>
        <v>0</v>
      </c>
      <c r="P2945" t="str">
        <f>IFERROR(VLOOKUP(A2945,vlookup_table!$A:$G,5,FALSE),"")</f>
        <v>T2</v>
      </c>
      <c r="Q2945">
        <f>IFERROR(VLOOKUP(A2945,vlookup_table!$A:$G,7,FALSE),"")</f>
        <v>6</v>
      </c>
      <c r="R2945">
        <f t="shared" si="180"/>
        <v>97</v>
      </c>
      <c r="S2945" t="str" cm="1">
        <f t="array" ref="S2945">IF(P2945="","",_xlfn.SWITCH(LEFT(P2945,1),"C","Ciudad","T","Pueblo","R","Rural","S","Suburbano","U","Urbano",""))</f>
        <v>Pueblo</v>
      </c>
      <c r="T2945" t="str">
        <f t="shared" si="181"/>
        <v>M</v>
      </c>
      <c r="U2945" t="str">
        <f t="shared" si="182"/>
        <v>CA</v>
      </c>
      <c r="V2945" t="str">
        <f t="shared" si="183"/>
        <v>19180</v>
      </c>
    </row>
    <row r="2946" spans="1:22" x14ac:dyDescent="0.35">
      <c r="A2946">
        <v>168171</v>
      </c>
      <c r="B2946" t="s">
        <v>22</v>
      </c>
      <c r="C2946" t="s">
        <v>17</v>
      </c>
      <c r="D2946">
        <v>3938</v>
      </c>
      <c r="E2946">
        <v>203</v>
      </c>
      <c r="F2946">
        <v>344</v>
      </c>
      <c r="G2946">
        <v>50</v>
      </c>
      <c r="H2946">
        <v>15598</v>
      </c>
      <c r="I2946">
        <v>10</v>
      </c>
      <c r="J2946">
        <v>38</v>
      </c>
      <c r="K2946">
        <v>325</v>
      </c>
      <c r="L2946">
        <v>271</v>
      </c>
      <c r="M2946">
        <v>13.57142857</v>
      </c>
      <c r="N2946">
        <f>IFERROR(VLOOKUP(A2946,vlookup_table!$A:$G,2,FALSE),"")</f>
        <v>0</v>
      </c>
      <c r="O2946">
        <f>IFERROR(VLOOKUP(A2946,vlookup_table!$A:$G,4,FALSE),"")</f>
        <v>4511</v>
      </c>
      <c r="P2946" t="str">
        <f>IFERROR(VLOOKUP(A2946,vlookup_table!$A:$G,5,FALSE),"")</f>
        <v>C2</v>
      </c>
      <c r="Q2946">
        <f>IFERROR(VLOOKUP(A2946,vlookup_table!$A:$G,7,FALSE),"")</f>
        <v>10</v>
      </c>
      <c r="R2946">
        <f t="shared" ref="R2946:R3009" si="184">IF(O2946="","",97-INT(O2946/100))</f>
        <v>52</v>
      </c>
      <c r="S2946" t="str" cm="1">
        <f t="array" ref="S2946">IF(P2946="","",_xlfn.SWITCH(LEFT(P2946,1),"C","Ciudad","T","Pueblo","R","Rural","S","Suburbano","U","Urbano",""))</f>
        <v>Ciudad</v>
      </c>
      <c r="T2946" t="str">
        <f t="shared" ref="T2946:T3009" si="185">IF(C2946="","",IF(OR(UPPER(C2946)="M",UPPER(C2946)="MALE"),"M",IF(OR(UPPER(C2946)="F",UPPER(C2946)="FEMALE",UPPER(C2946)="FEAMALE"),"F",C2946)))</f>
        <v>F</v>
      </c>
      <c r="U2946" t="str">
        <f t="shared" ref="U2946:U3009" si="186">IF(OR(UPPER(B2946)="CALIFORNIA",UPPER(B2946)="CALI"),"CA",B2946)</f>
        <v>CA</v>
      </c>
      <c r="V2946" t="str">
        <f t="shared" ref="V2946:V3009" si="187">SUBSTITUTE(H2946,"@","")</f>
        <v>15598</v>
      </c>
    </row>
    <row r="2947" spans="1:22" x14ac:dyDescent="0.35">
      <c r="A2947">
        <v>68563</v>
      </c>
      <c r="B2947" t="s">
        <v>29</v>
      </c>
      <c r="C2947" t="s">
        <v>17</v>
      </c>
      <c r="D2947">
        <v>2119</v>
      </c>
      <c r="E2947">
        <v>956</v>
      </c>
      <c r="F2947">
        <v>987</v>
      </c>
      <c r="G2947">
        <v>58</v>
      </c>
      <c r="H2947">
        <v>50910</v>
      </c>
      <c r="I2947">
        <v>11</v>
      </c>
      <c r="J2947">
        <v>72</v>
      </c>
      <c r="K2947">
        <v>1010</v>
      </c>
      <c r="L2947">
        <v>964</v>
      </c>
      <c r="M2947">
        <v>22.5</v>
      </c>
      <c r="N2947">
        <f>IFERROR(VLOOKUP(A2947,vlookup_table!$A:$G,2,FALSE),"")</f>
        <v>0</v>
      </c>
      <c r="O2947">
        <f>IFERROR(VLOOKUP(A2947,vlookup_table!$A:$G,4,FALSE),"")</f>
        <v>3601</v>
      </c>
      <c r="P2947" t="str">
        <f>IFERROR(VLOOKUP(A2947,vlookup_table!$A:$G,5,FALSE),"")</f>
        <v>S1</v>
      </c>
      <c r="Q2947">
        <f>IFERROR(VLOOKUP(A2947,vlookup_table!$A:$G,7,FALSE),"")</f>
        <v>30</v>
      </c>
      <c r="R2947">
        <f t="shared" si="184"/>
        <v>61</v>
      </c>
      <c r="S2947" t="str" cm="1">
        <f t="array" ref="S2947">IF(P2947="","",_xlfn.SWITCH(LEFT(P2947,1),"C","Ciudad","T","Pueblo","R","Rural","S","Suburbano","U","Urbano",""))</f>
        <v>Suburbano</v>
      </c>
      <c r="T2947" t="str">
        <f t="shared" si="185"/>
        <v>F</v>
      </c>
      <c r="U2947" t="str">
        <f t="shared" si="186"/>
        <v>MI</v>
      </c>
      <c r="V2947" t="str">
        <f t="shared" si="187"/>
        <v>50910</v>
      </c>
    </row>
    <row r="2948" spans="1:22" x14ac:dyDescent="0.35">
      <c r="A2948">
        <v>7160</v>
      </c>
      <c r="B2948" t="s">
        <v>40</v>
      </c>
      <c r="C2948" t="s">
        <v>51</v>
      </c>
      <c r="D2948">
        <v>1117</v>
      </c>
      <c r="E2948">
        <v>376</v>
      </c>
      <c r="F2948">
        <v>439</v>
      </c>
      <c r="G2948">
        <v>9</v>
      </c>
      <c r="H2948">
        <v>14428</v>
      </c>
      <c r="I2948">
        <v>2</v>
      </c>
      <c r="J2948">
        <v>62</v>
      </c>
      <c r="K2948">
        <v>397</v>
      </c>
      <c r="L2948">
        <v>413</v>
      </c>
      <c r="M2948">
        <v>14.44444444</v>
      </c>
      <c r="N2948">
        <f>IFERROR(VLOOKUP(A2948,vlookup_table!$A:$G,2,FALSE),"")</f>
        <v>2</v>
      </c>
      <c r="O2948">
        <f>IFERROR(VLOOKUP(A2948,vlookup_table!$A:$G,4,FALSE),"")</f>
        <v>906</v>
      </c>
      <c r="P2948" t="str">
        <f>IFERROR(VLOOKUP(A2948,vlookup_table!$A:$G,5,FALSE),"")</f>
        <v>T2</v>
      </c>
      <c r="Q2948">
        <f>IFERROR(VLOOKUP(A2948,vlookup_table!$A:$G,7,FALSE),"")</f>
        <v>14</v>
      </c>
      <c r="R2948">
        <f t="shared" si="184"/>
        <v>88</v>
      </c>
      <c r="S2948" t="str" cm="1">
        <f t="array" ref="S2948">IF(P2948="","",_xlfn.SWITCH(LEFT(P2948,1),"C","Ciudad","T","Pueblo","R","Rural","S","Suburbano","U","Urbano",""))</f>
        <v>Pueblo</v>
      </c>
      <c r="T2948" t="str">
        <f t="shared" si="185"/>
        <v>M</v>
      </c>
      <c r="U2948" t="str">
        <f t="shared" si="186"/>
        <v>WA</v>
      </c>
      <c r="V2948" t="str">
        <f t="shared" si="187"/>
        <v>14428</v>
      </c>
    </row>
    <row r="2949" spans="1:22" x14ac:dyDescent="0.35">
      <c r="A2949">
        <v>129779</v>
      </c>
      <c r="B2949" t="s">
        <v>48</v>
      </c>
      <c r="C2949" t="s">
        <v>17</v>
      </c>
      <c r="D2949">
        <v>1200</v>
      </c>
      <c r="E2949">
        <v>529</v>
      </c>
      <c r="F2949">
        <v>529</v>
      </c>
      <c r="G2949">
        <v>2</v>
      </c>
      <c r="H2949">
        <v>18107</v>
      </c>
      <c r="I2949">
        <v>1</v>
      </c>
      <c r="J2949">
        <v>39</v>
      </c>
      <c r="K2949">
        <v>552</v>
      </c>
      <c r="L2949">
        <v>516</v>
      </c>
      <c r="M2949">
        <v>14.68421053</v>
      </c>
      <c r="N2949">
        <f>IFERROR(VLOOKUP(A2949,vlookup_table!$A:$G,2,FALSE),"")</f>
        <v>0</v>
      </c>
      <c r="O2949">
        <f>IFERROR(VLOOKUP(A2949,vlookup_table!$A:$G,4,FALSE),"")</f>
        <v>3012</v>
      </c>
      <c r="P2949" t="str">
        <f>IFERROR(VLOOKUP(A2949,vlookup_table!$A:$G,5,FALSE),"")</f>
        <v>S1</v>
      </c>
      <c r="Q2949">
        <f>IFERROR(VLOOKUP(A2949,vlookup_table!$A:$G,7,FALSE),"")</f>
        <v>12</v>
      </c>
      <c r="R2949">
        <f t="shared" si="184"/>
        <v>67</v>
      </c>
      <c r="S2949" t="str" cm="1">
        <f t="array" ref="S2949">IF(P2949="","",_xlfn.SWITCH(LEFT(P2949,1),"C","Ciudad","T","Pueblo","R","Rural","S","Suburbano","U","Urbano",""))</f>
        <v>Suburbano</v>
      </c>
      <c r="T2949" t="str">
        <f t="shared" si="185"/>
        <v>F</v>
      </c>
      <c r="U2949" t="str">
        <f t="shared" si="186"/>
        <v>CO</v>
      </c>
      <c r="V2949" t="str">
        <f t="shared" si="187"/>
        <v>18107</v>
      </c>
    </row>
    <row r="2950" spans="1:22" x14ac:dyDescent="0.35">
      <c r="A2950">
        <v>112504</v>
      </c>
      <c r="B2950" t="s">
        <v>32</v>
      </c>
      <c r="C2950" t="s">
        <v>60</v>
      </c>
      <c r="D2950">
        <v>773</v>
      </c>
      <c r="E2950">
        <v>521</v>
      </c>
      <c r="F2950">
        <v>566</v>
      </c>
      <c r="G2950">
        <v>0</v>
      </c>
      <c r="H2950">
        <v>18085</v>
      </c>
      <c r="I2950">
        <v>0</v>
      </c>
      <c r="J2950">
        <v>61</v>
      </c>
      <c r="K2950">
        <v>545</v>
      </c>
      <c r="L2950">
        <v>530</v>
      </c>
      <c r="M2950">
        <v>5.8333333329999997</v>
      </c>
      <c r="N2950">
        <f>IFERROR(VLOOKUP(A2950,vlookup_table!$A:$G,2,FALSE),"")</f>
        <v>0</v>
      </c>
      <c r="O2950">
        <f>IFERROR(VLOOKUP(A2950,vlookup_table!$A:$G,4,FALSE),"")</f>
        <v>2401</v>
      </c>
      <c r="P2950" t="str">
        <f>IFERROR(VLOOKUP(A2950,vlookup_table!$A:$G,5,FALSE),"")</f>
        <v>C1</v>
      </c>
      <c r="Q2950">
        <f>IFERROR(VLOOKUP(A2950,vlookup_table!$A:$G,7,FALSE),"")</f>
        <v>10</v>
      </c>
      <c r="R2950">
        <f t="shared" si="184"/>
        <v>73</v>
      </c>
      <c r="S2950" t="str" cm="1">
        <f t="array" ref="S2950">IF(P2950="","",_xlfn.SWITCH(LEFT(P2950,1),"C","Ciudad","T","Pueblo","R","Rural","S","Suburbano","U","Urbano",""))</f>
        <v>Ciudad</v>
      </c>
      <c r="T2950" t="str">
        <f t="shared" si="185"/>
        <v>F</v>
      </c>
      <c r="U2950" t="str">
        <f t="shared" si="186"/>
        <v>AR</v>
      </c>
      <c r="V2950" t="str">
        <f t="shared" si="187"/>
        <v>18085</v>
      </c>
    </row>
    <row r="2951" spans="1:22" x14ac:dyDescent="0.35">
      <c r="A2951">
        <v>69536</v>
      </c>
      <c r="B2951" t="s">
        <v>29</v>
      </c>
      <c r="D2951">
        <v>394</v>
      </c>
      <c r="E2951">
        <v>228</v>
      </c>
      <c r="F2951">
        <v>276</v>
      </c>
      <c r="G2951">
        <v>0</v>
      </c>
      <c r="H2951">
        <v>9401</v>
      </c>
      <c r="I2951">
        <v>2</v>
      </c>
      <c r="J2951">
        <v>90</v>
      </c>
      <c r="K2951">
        <v>244</v>
      </c>
      <c r="L2951">
        <v>251</v>
      </c>
      <c r="M2951">
        <v>6</v>
      </c>
      <c r="N2951">
        <f>IFERROR(VLOOKUP(A2951,vlookup_table!$A:$G,2,FALSE),"")</f>
        <v>1</v>
      </c>
      <c r="O2951">
        <f>IFERROR(VLOOKUP(A2951,vlookup_table!$A:$G,4,FALSE),"")</f>
        <v>1301</v>
      </c>
      <c r="P2951" t="str">
        <f>IFERROR(VLOOKUP(A2951,vlookup_table!$A:$G,5,FALSE),"")</f>
        <v>R3</v>
      </c>
      <c r="Q2951">
        <f>IFERROR(VLOOKUP(A2951,vlookup_table!$A:$G,7,FALSE),"")</f>
        <v>8</v>
      </c>
      <c r="R2951">
        <f t="shared" si="184"/>
        <v>84</v>
      </c>
      <c r="S2951" t="str" cm="1">
        <f t="array" ref="S2951">IF(P2951="","",_xlfn.SWITCH(LEFT(P2951,1),"C","Ciudad","T","Pueblo","R","Rural","S","Suburbano","U","Urbano",""))</f>
        <v>Rural</v>
      </c>
      <c r="T2951" t="str">
        <f t="shared" si="185"/>
        <v/>
      </c>
      <c r="U2951" t="str">
        <f t="shared" si="186"/>
        <v>MI</v>
      </c>
      <c r="V2951" t="str">
        <f t="shared" si="187"/>
        <v>9401</v>
      </c>
    </row>
    <row r="2952" spans="1:22" x14ac:dyDescent="0.35">
      <c r="A2952">
        <v>5321</v>
      </c>
      <c r="B2952" t="s">
        <v>22</v>
      </c>
      <c r="C2952" t="s">
        <v>30</v>
      </c>
      <c r="D2952">
        <v>2220</v>
      </c>
      <c r="E2952">
        <v>550</v>
      </c>
      <c r="F2952">
        <v>636</v>
      </c>
      <c r="G2952">
        <v>67</v>
      </c>
      <c r="H2952">
        <v>19233</v>
      </c>
      <c r="I2952">
        <v>11</v>
      </c>
      <c r="J2952">
        <v>43</v>
      </c>
      <c r="K2952">
        <v>617</v>
      </c>
      <c r="L2952">
        <v>576</v>
      </c>
      <c r="M2952">
        <v>25</v>
      </c>
      <c r="N2952">
        <f>IFERROR(VLOOKUP(A2952,vlookup_table!$A:$G,2,FALSE),"")</f>
        <v>0</v>
      </c>
      <c r="O2952">
        <f>IFERROR(VLOOKUP(A2952,vlookup_table!$A:$G,4,FALSE),"")</f>
        <v>5401</v>
      </c>
      <c r="P2952" t="str">
        <f>IFERROR(VLOOKUP(A2952,vlookup_table!$A:$G,5,FALSE),"")</f>
        <v>S1</v>
      </c>
      <c r="Q2952">
        <f>IFERROR(VLOOKUP(A2952,vlookup_table!$A:$G,7,FALSE),"")</f>
        <v>25</v>
      </c>
      <c r="R2952">
        <f t="shared" si="184"/>
        <v>43</v>
      </c>
      <c r="S2952" t="str" cm="1">
        <f t="array" ref="S2952">IF(P2952="","",_xlfn.SWITCH(LEFT(P2952,1),"C","Ciudad","T","Pueblo","R","Rural","S","Suburbano","U","Urbano",""))</f>
        <v>Suburbano</v>
      </c>
      <c r="T2952" t="str">
        <f t="shared" si="185"/>
        <v>U</v>
      </c>
      <c r="U2952" t="str">
        <f t="shared" si="186"/>
        <v>CA</v>
      </c>
      <c r="V2952" t="str">
        <f t="shared" si="187"/>
        <v>19233</v>
      </c>
    </row>
    <row r="2953" spans="1:22" x14ac:dyDescent="0.35">
      <c r="A2953">
        <v>162849</v>
      </c>
      <c r="B2953" t="s">
        <v>22</v>
      </c>
      <c r="C2953" t="s">
        <v>17</v>
      </c>
      <c r="D2953">
        <v>3242</v>
      </c>
      <c r="E2953">
        <v>340</v>
      </c>
      <c r="F2953">
        <v>457</v>
      </c>
      <c r="G2953">
        <v>93</v>
      </c>
      <c r="H2953">
        <v>21061</v>
      </c>
      <c r="I2953">
        <v>14</v>
      </c>
      <c r="J2953">
        <v>40</v>
      </c>
      <c r="K2953">
        <v>408</v>
      </c>
      <c r="L2953">
        <v>398</v>
      </c>
      <c r="M2953">
        <v>3.25</v>
      </c>
      <c r="N2953">
        <f>IFERROR(VLOOKUP(A2953,vlookup_table!$A:$G,2,FALSE),"")</f>
        <v>0</v>
      </c>
      <c r="O2953">
        <f>IFERROR(VLOOKUP(A2953,vlookup_table!$A:$G,4,FALSE),"")</f>
        <v>2909</v>
      </c>
      <c r="P2953" t="str">
        <f>IFERROR(VLOOKUP(A2953,vlookup_table!$A:$G,5,FALSE),"")</f>
        <v>U1</v>
      </c>
      <c r="Q2953">
        <f>IFERROR(VLOOKUP(A2953,vlookup_table!$A:$G,7,FALSE),"")</f>
        <v>9</v>
      </c>
      <c r="R2953">
        <f t="shared" si="184"/>
        <v>68</v>
      </c>
      <c r="S2953" t="str" cm="1">
        <f t="array" ref="S2953">IF(P2953="","",_xlfn.SWITCH(LEFT(P2953,1),"C","Ciudad","T","Pueblo","R","Rural","S","Suburbano","U","Urbano",""))</f>
        <v>Urbano</v>
      </c>
      <c r="T2953" t="str">
        <f t="shared" si="185"/>
        <v>F</v>
      </c>
      <c r="U2953" t="str">
        <f t="shared" si="186"/>
        <v>CA</v>
      </c>
      <c r="V2953" t="str">
        <f t="shared" si="187"/>
        <v>21061</v>
      </c>
    </row>
    <row r="2954" spans="1:22" x14ac:dyDescent="0.35">
      <c r="A2954">
        <v>58079</v>
      </c>
      <c r="B2954" t="s">
        <v>57</v>
      </c>
      <c r="C2954" t="s">
        <v>17</v>
      </c>
      <c r="D2954">
        <v>253</v>
      </c>
      <c r="E2954">
        <v>89</v>
      </c>
      <c r="F2954">
        <v>167</v>
      </c>
      <c r="G2954">
        <v>0</v>
      </c>
      <c r="H2954">
        <v>5372</v>
      </c>
      <c r="I2954">
        <v>0</v>
      </c>
      <c r="J2954">
        <v>83</v>
      </c>
      <c r="K2954">
        <v>125</v>
      </c>
      <c r="L2954">
        <v>139</v>
      </c>
      <c r="M2954">
        <v>13.55555556</v>
      </c>
      <c r="N2954">
        <f>IFERROR(VLOOKUP(A2954,vlookup_table!$A:$G,2,FALSE),"")</f>
        <v>0</v>
      </c>
      <c r="O2954">
        <f>IFERROR(VLOOKUP(A2954,vlookup_table!$A:$G,4,FALSE),"")</f>
        <v>0</v>
      </c>
      <c r="P2954" t="str">
        <f>IFERROR(VLOOKUP(A2954,vlookup_table!$A:$G,5,FALSE),"")</f>
        <v>R3</v>
      </c>
      <c r="Q2954">
        <f>IFERROR(VLOOKUP(A2954,vlookup_table!$A:$G,7,FALSE),"")</f>
        <v>10</v>
      </c>
      <c r="R2954">
        <f t="shared" si="184"/>
        <v>97</v>
      </c>
      <c r="S2954" t="str" cm="1">
        <f t="array" ref="S2954">IF(P2954="","",_xlfn.SWITCH(LEFT(P2954,1),"C","Ciudad","T","Pueblo","R","Rural","S","Suburbano","U","Urbano",""))</f>
        <v>Rural</v>
      </c>
      <c r="T2954" t="str">
        <f t="shared" si="185"/>
        <v>F</v>
      </c>
      <c r="U2954" t="str">
        <f t="shared" si="186"/>
        <v>KY</v>
      </c>
      <c r="V2954" t="str">
        <f t="shared" si="187"/>
        <v>5372</v>
      </c>
    </row>
    <row r="2955" spans="1:22" x14ac:dyDescent="0.35">
      <c r="A2955">
        <v>54393</v>
      </c>
      <c r="B2955" t="s">
        <v>62</v>
      </c>
      <c r="C2955" t="s">
        <v>20</v>
      </c>
      <c r="D2955">
        <v>918</v>
      </c>
      <c r="E2955">
        <v>364</v>
      </c>
      <c r="F2955">
        <v>484</v>
      </c>
      <c r="G2955">
        <v>7</v>
      </c>
      <c r="H2955">
        <v>18685</v>
      </c>
      <c r="I2955">
        <v>0</v>
      </c>
      <c r="J2955">
        <v>68</v>
      </c>
      <c r="K2955">
        <v>390</v>
      </c>
      <c r="L2955">
        <v>464</v>
      </c>
      <c r="M2955">
        <v>13</v>
      </c>
      <c r="N2955">
        <f>IFERROR(VLOOKUP(A2955,vlookup_table!$A:$G,2,FALSE),"")</f>
        <v>2</v>
      </c>
      <c r="O2955">
        <f>IFERROR(VLOOKUP(A2955,vlookup_table!$A:$G,4,FALSE),"")</f>
        <v>3001</v>
      </c>
      <c r="P2955" t="str">
        <f>IFERROR(VLOOKUP(A2955,vlookup_table!$A:$G,5,FALSE),"")</f>
        <v>R1</v>
      </c>
      <c r="Q2955">
        <f>IFERROR(VLOOKUP(A2955,vlookup_table!$A:$G,7,FALSE),"")</f>
        <v>23</v>
      </c>
      <c r="R2955">
        <f t="shared" si="184"/>
        <v>67</v>
      </c>
      <c r="S2955" t="str" cm="1">
        <f t="array" ref="S2955">IF(P2955="","",_xlfn.SWITCH(LEFT(P2955,1),"C","Ciudad","T","Pueblo","R","Rural","S","Suburbano","U","Urbano",""))</f>
        <v>Rural</v>
      </c>
      <c r="T2955" t="str">
        <f t="shared" si="185"/>
        <v>F</v>
      </c>
      <c r="U2955" t="str">
        <f t="shared" si="186"/>
        <v>MS</v>
      </c>
      <c r="V2955" t="str">
        <f t="shared" si="187"/>
        <v>18685</v>
      </c>
    </row>
    <row r="2956" spans="1:22" x14ac:dyDescent="0.35">
      <c r="A2956">
        <v>162618</v>
      </c>
      <c r="B2956" t="s">
        <v>22</v>
      </c>
      <c r="C2956" t="s">
        <v>17</v>
      </c>
      <c r="D2956">
        <v>2670</v>
      </c>
      <c r="E2956">
        <v>427</v>
      </c>
      <c r="F2956">
        <v>551</v>
      </c>
      <c r="G2956">
        <v>88</v>
      </c>
      <c r="H2956">
        <v>15703</v>
      </c>
      <c r="I2956">
        <v>18</v>
      </c>
      <c r="J2956">
        <v>58</v>
      </c>
      <c r="K2956">
        <v>502</v>
      </c>
      <c r="L2956">
        <v>496</v>
      </c>
      <c r="M2956">
        <v>4.7142857139999998</v>
      </c>
      <c r="N2956">
        <f>IFERROR(VLOOKUP(A2956,vlookup_table!$A:$G,2,FALSE),"")</f>
        <v>2</v>
      </c>
      <c r="O2956">
        <f>IFERROR(VLOOKUP(A2956,vlookup_table!$A:$G,4,FALSE),"")</f>
        <v>2201</v>
      </c>
      <c r="P2956" t="str">
        <f>IFERROR(VLOOKUP(A2956,vlookup_table!$A:$G,5,FALSE),"")</f>
        <v>S2</v>
      </c>
      <c r="Q2956">
        <f>IFERROR(VLOOKUP(A2956,vlookup_table!$A:$G,7,FALSE),"")</f>
        <v>4</v>
      </c>
      <c r="R2956">
        <f t="shared" si="184"/>
        <v>75</v>
      </c>
      <c r="S2956" t="str" cm="1">
        <f t="array" ref="S2956">IF(P2956="","",_xlfn.SWITCH(LEFT(P2956,1),"C","Ciudad","T","Pueblo","R","Rural","S","Suburbano","U","Urbano",""))</f>
        <v>Suburbano</v>
      </c>
      <c r="T2956" t="str">
        <f t="shared" si="185"/>
        <v>F</v>
      </c>
      <c r="U2956" t="str">
        <f t="shared" si="186"/>
        <v>CA</v>
      </c>
      <c r="V2956" t="str">
        <f t="shared" si="187"/>
        <v>15703</v>
      </c>
    </row>
    <row r="2957" spans="1:22" x14ac:dyDescent="0.35">
      <c r="A2957">
        <v>80449</v>
      </c>
      <c r="B2957" t="s">
        <v>35</v>
      </c>
      <c r="C2957" t="s">
        <v>17</v>
      </c>
      <c r="D2957">
        <v>550</v>
      </c>
      <c r="E2957">
        <v>306</v>
      </c>
      <c r="F2957">
        <v>390</v>
      </c>
      <c r="G2957">
        <v>0</v>
      </c>
      <c r="H2957">
        <v>15148</v>
      </c>
      <c r="I2957">
        <v>2</v>
      </c>
      <c r="J2957">
        <v>85</v>
      </c>
      <c r="K2957">
        <v>360</v>
      </c>
      <c r="L2957">
        <v>349</v>
      </c>
      <c r="M2957">
        <v>5.8666666669999996</v>
      </c>
      <c r="N2957">
        <f>IFERROR(VLOOKUP(A2957,vlookup_table!$A:$G,2,FALSE),"")</f>
        <v>0</v>
      </c>
      <c r="O2957">
        <f>IFERROR(VLOOKUP(A2957,vlookup_table!$A:$G,4,FALSE),"")</f>
        <v>5203</v>
      </c>
      <c r="P2957" t="str">
        <f>IFERROR(VLOOKUP(A2957,vlookup_table!$A:$G,5,FALSE),"")</f>
        <v>C2</v>
      </c>
      <c r="Q2957">
        <f>IFERROR(VLOOKUP(A2957,vlookup_table!$A:$G,7,FALSE),"")</f>
        <v>10</v>
      </c>
      <c r="R2957">
        <f t="shared" si="184"/>
        <v>45</v>
      </c>
      <c r="S2957" t="str" cm="1">
        <f t="array" ref="S2957">IF(P2957="","",_xlfn.SWITCH(LEFT(P2957,1),"C","Ciudad","T","Pueblo","R","Rural","S","Suburbano","U","Urbano",""))</f>
        <v>Ciudad</v>
      </c>
      <c r="T2957" t="str">
        <f t="shared" si="185"/>
        <v>F</v>
      </c>
      <c r="U2957" t="str">
        <f t="shared" si="186"/>
        <v>WI</v>
      </c>
      <c r="V2957" t="str">
        <f t="shared" si="187"/>
        <v>15148</v>
      </c>
    </row>
    <row r="2958" spans="1:22" x14ac:dyDescent="0.35">
      <c r="A2958">
        <v>111142</v>
      </c>
      <c r="B2958" t="s">
        <v>32</v>
      </c>
      <c r="C2958" t="s">
        <v>60</v>
      </c>
      <c r="D2958">
        <v>505</v>
      </c>
      <c r="E2958">
        <v>222</v>
      </c>
      <c r="F2958">
        <v>374</v>
      </c>
      <c r="G2958">
        <v>0</v>
      </c>
      <c r="H2958">
        <v>14178</v>
      </c>
      <c r="I2958">
        <v>4</v>
      </c>
      <c r="J2958">
        <v>40</v>
      </c>
      <c r="K2958">
        <v>253</v>
      </c>
      <c r="L2958">
        <v>342</v>
      </c>
      <c r="M2958">
        <v>7.35</v>
      </c>
      <c r="N2958">
        <f>IFERROR(VLOOKUP(A2958,vlookup_table!$A:$G,2,FALSE),"")</f>
        <v>2</v>
      </c>
      <c r="O2958">
        <f>IFERROR(VLOOKUP(A2958,vlookup_table!$A:$G,4,FALSE),"")</f>
        <v>2501</v>
      </c>
      <c r="P2958" t="str">
        <f>IFERROR(VLOOKUP(A2958,vlookup_table!$A:$G,5,FALSE),"")</f>
        <v>T2</v>
      </c>
      <c r="Q2958">
        <f>IFERROR(VLOOKUP(A2958,vlookup_table!$A:$G,7,FALSE),"")</f>
        <v>10</v>
      </c>
      <c r="R2958">
        <f t="shared" si="184"/>
        <v>72</v>
      </c>
      <c r="S2958" t="str" cm="1">
        <f t="array" ref="S2958">IF(P2958="","",_xlfn.SWITCH(LEFT(P2958,1),"C","Ciudad","T","Pueblo","R","Rural","S","Suburbano","U","Urbano",""))</f>
        <v>Pueblo</v>
      </c>
      <c r="T2958" t="str">
        <f t="shared" si="185"/>
        <v>F</v>
      </c>
      <c r="U2958" t="str">
        <f t="shared" si="186"/>
        <v>AR</v>
      </c>
      <c r="V2958" t="str">
        <f t="shared" si="187"/>
        <v>14178</v>
      </c>
    </row>
    <row r="2959" spans="1:22" x14ac:dyDescent="0.35">
      <c r="A2959">
        <v>109710</v>
      </c>
      <c r="B2959" t="s">
        <v>49</v>
      </c>
      <c r="C2959" t="s">
        <v>14</v>
      </c>
      <c r="D2959">
        <v>825</v>
      </c>
      <c r="E2959">
        <v>488</v>
      </c>
      <c r="F2959">
        <v>561</v>
      </c>
      <c r="G2959">
        <v>1</v>
      </c>
      <c r="H2959">
        <v>16933</v>
      </c>
      <c r="I2959">
        <v>0</v>
      </c>
      <c r="J2959">
        <v>71</v>
      </c>
      <c r="K2959">
        <v>522</v>
      </c>
      <c r="L2959">
        <v>518</v>
      </c>
      <c r="M2959">
        <v>6.1818181819999998</v>
      </c>
      <c r="N2959">
        <f>IFERROR(VLOOKUP(A2959,vlookup_table!$A:$G,2,FALSE),"")</f>
        <v>1</v>
      </c>
      <c r="O2959">
        <f>IFERROR(VLOOKUP(A2959,vlookup_table!$A:$G,4,FALSE),"")</f>
        <v>4201</v>
      </c>
      <c r="P2959" t="str">
        <f>IFERROR(VLOOKUP(A2959,vlookup_table!$A:$G,5,FALSE),"")</f>
        <v>T1</v>
      </c>
      <c r="Q2959">
        <f>IFERROR(VLOOKUP(A2959,vlookup_table!$A:$G,7,FALSE),"")</f>
        <v>5</v>
      </c>
      <c r="R2959">
        <f t="shared" si="184"/>
        <v>55</v>
      </c>
      <c r="S2959" t="str" cm="1">
        <f t="array" ref="S2959">IF(P2959="","",_xlfn.SWITCH(LEFT(P2959,1),"C","Ciudad","T","Pueblo","R","Rural","S","Suburbano","U","Urbano",""))</f>
        <v>Pueblo</v>
      </c>
      <c r="T2959" t="str">
        <f t="shared" si="185"/>
        <v>M</v>
      </c>
      <c r="U2959" t="str">
        <f t="shared" si="186"/>
        <v>LA</v>
      </c>
      <c r="V2959" t="str">
        <f t="shared" si="187"/>
        <v>16933</v>
      </c>
    </row>
    <row r="2960" spans="1:22" x14ac:dyDescent="0.35">
      <c r="A2960">
        <v>67000</v>
      </c>
      <c r="B2960" t="s">
        <v>29</v>
      </c>
      <c r="C2960" t="s">
        <v>17</v>
      </c>
      <c r="D2960">
        <v>914</v>
      </c>
      <c r="E2960">
        <v>406</v>
      </c>
      <c r="F2960">
        <v>423</v>
      </c>
      <c r="G2960">
        <v>1</v>
      </c>
      <c r="H2960">
        <v>13658</v>
      </c>
      <c r="I2960">
        <v>0</v>
      </c>
      <c r="J2960">
        <v>81</v>
      </c>
      <c r="K2960">
        <v>419</v>
      </c>
      <c r="L2960">
        <v>425</v>
      </c>
      <c r="M2960">
        <v>7.4545454549999999</v>
      </c>
      <c r="N2960">
        <f>IFERROR(VLOOKUP(A2960,vlookup_table!$A:$G,2,FALSE),"")</f>
        <v>0</v>
      </c>
      <c r="O2960">
        <f>IFERROR(VLOOKUP(A2960,vlookup_table!$A:$G,4,FALSE),"")</f>
        <v>2601</v>
      </c>
      <c r="P2960" t="str">
        <f>IFERROR(VLOOKUP(A2960,vlookup_table!$A:$G,5,FALSE),"")</f>
        <v>C2</v>
      </c>
      <c r="Q2960">
        <f>IFERROR(VLOOKUP(A2960,vlookup_table!$A:$G,7,FALSE),"")</f>
        <v>9</v>
      </c>
      <c r="R2960">
        <f t="shared" si="184"/>
        <v>71</v>
      </c>
      <c r="S2960" t="str" cm="1">
        <f t="array" ref="S2960">IF(P2960="","",_xlfn.SWITCH(LEFT(P2960,1),"C","Ciudad","T","Pueblo","R","Rural","S","Suburbano","U","Urbano",""))</f>
        <v>Ciudad</v>
      </c>
      <c r="T2960" t="str">
        <f t="shared" si="185"/>
        <v>F</v>
      </c>
      <c r="U2960" t="str">
        <f t="shared" si="186"/>
        <v>MI</v>
      </c>
      <c r="V2960" t="str">
        <f t="shared" si="187"/>
        <v>13658</v>
      </c>
    </row>
    <row r="2961" spans="1:22" x14ac:dyDescent="0.35">
      <c r="A2961">
        <v>124315</v>
      </c>
      <c r="B2961" t="s">
        <v>21</v>
      </c>
      <c r="C2961" t="s">
        <v>17</v>
      </c>
      <c r="D2961">
        <v>524</v>
      </c>
      <c r="E2961">
        <v>341</v>
      </c>
      <c r="F2961">
        <v>404</v>
      </c>
      <c r="G2961">
        <v>0</v>
      </c>
      <c r="H2961">
        <v>17305</v>
      </c>
      <c r="I2961">
        <v>12</v>
      </c>
      <c r="J2961">
        <v>54</v>
      </c>
      <c r="K2961">
        <v>357</v>
      </c>
      <c r="L2961">
        <v>384</v>
      </c>
      <c r="M2961">
        <v>9.6666666669999994</v>
      </c>
      <c r="N2961">
        <f>IFERROR(VLOOKUP(A2961,vlookup_table!$A:$G,2,FALSE),"")</f>
        <v>0</v>
      </c>
      <c r="O2961">
        <f>IFERROR(VLOOKUP(A2961,vlookup_table!$A:$G,4,FALSE),"")</f>
        <v>6812</v>
      </c>
      <c r="P2961" t="str">
        <f>IFERROR(VLOOKUP(A2961,vlookup_table!$A:$G,5,FALSE),"")</f>
        <v>C2</v>
      </c>
      <c r="Q2961">
        <f>IFERROR(VLOOKUP(A2961,vlookup_table!$A:$G,7,FALSE),"")</f>
        <v>5</v>
      </c>
      <c r="R2961">
        <f t="shared" si="184"/>
        <v>29</v>
      </c>
      <c r="S2961" t="str" cm="1">
        <f t="array" ref="S2961">IF(P2961="","",_xlfn.SWITCH(LEFT(P2961,1),"C","Ciudad","T","Pueblo","R","Rural","S","Suburbano","U","Urbano",""))</f>
        <v>Ciudad</v>
      </c>
      <c r="T2961" t="str">
        <f t="shared" si="185"/>
        <v>F</v>
      </c>
      <c r="U2961" t="str">
        <f t="shared" si="186"/>
        <v>TX</v>
      </c>
      <c r="V2961" t="str">
        <f t="shared" si="187"/>
        <v>17305</v>
      </c>
    </row>
    <row r="2962" spans="1:22" x14ac:dyDescent="0.35">
      <c r="A2962">
        <v>138239</v>
      </c>
      <c r="B2962" t="s">
        <v>55</v>
      </c>
      <c r="C2962" t="s">
        <v>60</v>
      </c>
      <c r="D2962">
        <v>2026</v>
      </c>
      <c r="E2962">
        <v>655</v>
      </c>
      <c r="F2962">
        <v>829</v>
      </c>
      <c r="G2962">
        <v>51</v>
      </c>
      <c r="H2962">
        <v>31520</v>
      </c>
      <c r="I2962">
        <v>7</v>
      </c>
      <c r="J2962">
        <v>29</v>
      </c>
      <c r="K2962">
        <v>711</v>
      </c>
      <c r="L2962">
        <v>756</v>
      </c>
      <c r="M2962">
        <v>12.5</v>
      </c>
      <c r="N2962">
        <f>IFERROR(VLOOKUP(A2962,vlookup_table!$A:$G,2,FALSE),"")</f>
        <v>0</v>
      </c>
      <c r="O2962">
        <f>IFERROR(VLOOKUP(A2962,vlookup_table!$A:$G,4,FALSE),"")</f>
        <v>5501</v>
      </c>
      <c r="P2962" t="str">
        <f>IFERROR(VLOOKUP(A2962,vlookup_table!$A:$G,5,FALSE),"")</f>
        <v>S1</v>
      </c>
      <c r="Q2962">
        <f>IFERROR(VLOOKUP(A2962,vlookup_table!$A:$G,7,FALSE),"")</f>
        <v>10</v>
      </c>
      <c r="R2962">
        <f t="shared" si="184"/>
        <v>42</v>
      </c>
      <c r="S2962" t="str" cm="1">
        <f t="array" ref="S2962">IF(P2962="","",_xlfn.SWITCH(LEFT(P2962,1),"C","Ciudad","T","Pueblo","R","Rural","S","Suburbano","U","Urbano",""))</f>
        <v>Suburbano</v>
      </c>
      <c r="T2962" t="str">
        <f t="shared" si="185"/>
        <v>F</v>
      </c>
      <c r="U2962" t="str">
        <f t="shared" si="186"/>
        <v>AZ</v>
      </c>
      <c r="V2962" t="str">
        <f t="shared" si="187"/>
        <v>31520</v>
      </c>
    </row>
    <row r="2963" spans="1:22" x14ac:dyDescent="0.35">
      <c r="A2963">
        <v>85894</v>
      </c>
      <c r="B2963" t="s">
        <v>52</v>
      </c>
      <c r="C2963" t="s">
        <v>14</v>
      </c>
      <c r="D2963">
        <v>396</v>
      </c>
      <c r="E2963">
        <v>248</v>
      </c>
      <c r="F2963">
        <v>304</v>
      </c>
      <c r="G2963">
        <v>1</v>
      </c>
      <c r="H2963">
        <v>10419</v>
      </c>
      <c r="I2963">
        <v>1</v>
      </c>
      <c r="J2963">
        <v>18</v>
      </c>
      <c r="K2963">
        <v>274</v>
      </c>
      <c r="L2963">
        <v>284</v>
      </c>
      <c r="M2963">
        <v>3.125</v>
      </c>
      <c r="N2963">
        <f>IFERROR(VLOOKUP(A2963,vlookup_table!$A:$G,2,FALSE),"")</f>
        <v>1002</v>
      </c>
      <c r="O2963">
        <f>IFERROR(VLOOKUP(A2963,vlookup_table!$A:$G,4,FALSE),"")</f>
        <v>6101</v>
      </c>
      <c r="P2963" t="str">
        <f>IFERROR(VLOOKUP(A2963,vlookup_table!$A:$G,5,FALSE),"")</f>
        <v>R2</v>
      </c>
      <c r="Q2963">
        <f>IFERROR(VLOOKUP(A2963,vlookup_table!$A:$G,7,FALSE),"")</f>
        <v>3</v>
      </c>
      <c r="R2963">
        <f t="shared" si="184"/>
        <v>36</v>
      </c>
      <c r="S2963" t="str" cm="1">
        <f t="array" ref="S2963">IF(P2963="","",_xlfn.SWITCH(LEFT(P2963,1),"C","Ciudad","T","Pueblo","R","Rural","S","Suburbano","U","Urbano",""))</f>
        <v>Rural</v>
      </c>
      <c r="T2963" t="str">
        <f t="shared" si="185"/>
        <v>M</v>
      </c>
      <c r="U2963" t="str">
        <f t="shared" si="186"/>
        <v>SD</v>
      </c>
      <c r="V2963" t="str">
        <f t="shared" si="187"/>
        <v>10419</v>
      </c>
    </row>
    <row r="2964" spans="1:22" x14ac:dyDescent="0.35">
      <c r="A2964">
        <v>184106</v>
      </c>
      <c r="B2964" t="s">
        <v>40</v>
      </c>
      <c r="C2964" t="s">
        <v>17</v>
      </c>
      <c r="D2964">
        <v>446</v>
      </c>
      <c r="E2964">
        <v>168</v>
      </c>
      <c r="F2964">
        <v>254</v>
      </c>
      <c r="G2964">
        <v>0</v>
      </c>
      <c r="H2964">
        <v>11971</v>
      </c>
      <c r="I2964">
        <v>8</v>
      </c>
      <c r="J2964">
        <v>51</v>
      </c>
      <c r="K2964">
        <v>201</v>
      </c>
      <c r="L2964">
        <v>218</v>
      </c>
      <c r="M2964">
        <v>5.8</v>
      </c>
      <c r="N2964">
        <f>IFERROR(VLOOKUP(A2964,vlookup_table!$A:$G,2,FALSE),"")</f>
        <v>0</v>
      </c>
      <c r="O2964">
        <f>IFERROR(VLOOKUP(A2964,vlookup_table!$A:$G,4,FALSE),"")</f>
        <v>1601</v>
      </c>
      <c r="P2964" t="str">
        <f>IFERROR(VLOOKUP(A2964,vlookup_table!$A:$G,5,FALSE),"")</f>
        <v>C3</v>
      </c>
      <c r="Q2964">
        <f>IFERROR(VLOOKUP(A2964,vlookup_table!$A:$G,7,FALSE),"")</f>
        <v>6</v>
      </c>
      <c r="R2964">
        <f t="shared" si="184"/>
        <v>81</v>
      </c>
      <c r="S2964" t="str" cm="1">
        <f t="array" ref="S2964">IF(P2964="","",_xlfn.SWITCH(LEFT(P2964,1),"C","Ciudad","T","Pueblo","R","Rural","S","Suburbano","U","Urbano",""))</f>
        <v>Ciudad</v>
      </c>
      <c r="T2964" t="str">
        <f t="shared" si="185"/>
        <v>F</v>
      </c>
      <c r="U2964" t="str">
        <f t="shared" si="186"/>
        <v>WA</v>
      </c>
      <c r="V2964" t="str">
        <f t="shared" si="187"/>
        <v>11971</v>
      </c>
    </row>
    <row r="2965" spans="1:22" x14ac:dyDescent="0.35">
      <c r="A2965">
        <v>95563</v>
      </c>
      <c r="B2965" t="s">
        <v>16</v>
      </c>
      <c r="C2965" t="s">
        <v>14</v>
      </c>
      <c r="D2965">
        <v>576</v>
      </c>
      <c r="E2965">
        <v>335</v>
      </c>
      <c r="F2965">
        <v>463</v>
      </c>
      <c r="G2965">
        <v>0</v>
      </c>
      <c r="H2965">
        <v>15332</v>
      </c>
      <c r="I2965">
        <v>2</v>
      </c>
      <c r="J2965">
        <v>66</v>
      </c>
      <c r="K2965">
        <v>386</v>
      </c>
      <c r="L2965">
        <v>407</v>
      </c>
      <c r="M2965">
        <v>3.1176470589999998</v>
      </c>
      <c r="N2965">
        <f>IFERROR(VLOOKUP(A2965,vlookup_table!$A:$G,2,FALSE),"")</f>
        <v>0</v>
      </c>
      <c r="O2965">
        <f>IFERROR(VLOOKUP(A2965,vlookup_table!$A:$G,4,FALSE),"")</f>
        <v>3301</v>
      </c>
      <c r="P2965" t="str">
        <f>IFERROR(VLOOKUP(A2965,vlookup_table!$A:$G,5,FALSE),"")</f>
        <v>S2</v>
      </c>
      <c r="Q2965">
        <f>IFERROR(VLOOKUP(A2965,vlookup_table!$A:$G,7,FALSE),"")</f>
        <v>4</v>
      </c>
      <c r="R2965">
        <f t="shared" si="184"/>
        <v>64</v>
      </c>
      <c r="S2965" t="str" cm="1">
        <f t="array" ref="S2965">IF(P2965="","",_xlfn.SWITCH(LEFT(P2965,1),"C","Ciudad","T","Pueblo","R","Rural","S","Suburbano","U","Urbano",""))</f>
        <v>Suburbano</v>
      </c>
      <c r="T2965" t="str">
        <f t="shared" si="185"/>
        <v>M</v>
      </c>
      <c r="U2965" t="str">
        <f t="shared" si="186"/>
        <v>IL</v>
      </c>
      <c r="V2965" t="str">
        <f t="shared" si="187"/>
        <v>15332</v>
      </c>
    </row>
    <row r="2966" spans="1:22" x14ac:dyDescent="0.35">
      <c r="A2966">
        <v>79747</v>
      </c>
      <c r="B2966" t="s">
        <v>35</v>
      </c>
      <c r="C2966" t="s">
        <v>51</v>
      </c>
      <c r="D2966">
        <v>329</v>
      </c>
      <c r="E2966">
        <v>211</v>
      </c>
      <c r="F2966">
        <v>303</v>
      </c>
      <c r="G2966">
        <v>0</v>
      </c>
      <c r="H2966">
        <v>9216</v>
      </c>
      <c r="I2966">
        <v>0</v>
      </c>
      <c r="J2966">
        <v>87</v>
      </c>
      <c r="K2966">
        <v>239</v>
      </c>
      <c r="L2966">
        <v>275</v>
      </c>
      <c r="M2966">
        <v>15</v>
      </c>
      <c r="N2966">
        <f>IFERROR(VLOOKUP(A2966,vlookup_table!$A:$G,2,FALSE),"")</f>
        <v>1</v>
      </c>
      <c r="O2966">
        <f>IFERROR(VLOOKUP(A2966,vlookup_table!$A:$G,4,FALSE),"")</f>
        <v>1401</v>
      </c>
      <c r="P2966" t="str">
        <f>IFERROR(VLOOKUP(A2966,vlookup_table!$A:$G,5,FALSE),"")</f>
        <v>R3</v>
      </c>
      <c r="Q2966">
        <f>IFERROR(VLOOKUP(A2966,vlookup_table!$A:$G,7,FALSE),"")</f>
        <v>15</v>
      </c>
      <c r="R2966">
        <f t="shared" si="184"/>
        <v>83</v>
      </c>
      <c r="S2966" t="str" cm="1">
        <f t="array" ref="S2966">IF(P2966="","",_xlfn.SWITCH(LEFT(P2966,1),"C","Ciudad","T","Pueblo","R","Rural","S","Suburbano","U","Urbano",""))</f>
        <v>Rural</v>
      </c>
      <c r="T2966" t="str">
        <f t="shared" si="185"/>
        <v>M</v>
      </c>
      <c r="U2966" t="str">
        <f t="shared" si="186"/>
        <v>WI</v>
      </c>
      <c r="V2966" t="str">
        <f t="shared" si="187"/>
        <v>9216</v>
      </c>
    </row>
    <row r="2967" spans="1:22" x14ac:dyDescent="0.35">
      <c r="A2967">
        <v>178275</v>
      </c>
      <c r="B2967" t="s">
        <v>40</v>
      </c>
      <c r="C2967" t="s">
        <v>17</v>
      </c>
      <c r="D2967">
        <v>2019</v>
      </c>
      <c r="E2967">
        <v>506</v>
      </c>
      <c r="F2967">
        <v>608</v>
      </c>
      <c r="G2967">
        <v>51</v>
      </c>
      <c r="H2967">
        <v>23545</v>
      </c>
      <c r="I2967">
        <v>11</v>
      </c>
      <c r="J2967">
        <v>55</v>
      </c>
      <c r="K2967">
        <v>535</v>
      </c>
      <c r="L2967">
        <v>551</v>
      </c>
      <c r="M2967">
        <v>5.3333333329999997</v>
      </c>
      <c r="N2967">
        <f>IFERROR(VLOOKUP(A2967,vlookup_table!$A:$G,2,FALSE),"")</f>
        <v>2</v>
      </c>
      <c r="O2967">
        <f>IFERROR(VLOOKUP(A2967,vlookup_table!$A:$G,4,FALSE),"")</f>
        <v>2401</v>
      </c>
      <c r="P2967" t="str">
        <f>IFERROR(VLOOKUP(A2967,vlookup_table!$A:$G,5,FALSE),"")</f>
        <v>S1</v>
      </c>
      <c r="Q2967">
        <f>IFERROR(VLOOKUP(A2967,vlookup_table!$A:$G,7,FALSE),"")</f>
        <v>5</v>
      </c>
      <c r="R2967">
        <f t="shared" si="184"/>
        <v>73</v>
      </c>
      <c r="S2967" t="str" cm="1">
        <f t="array" ref="S2967">IF(P2967="","",_xlfn.SWITCH(LEFT(P2967,1),"C","Ciudad","T","Pueblo","R","Rural","S","Suburbano","U","Urbano",""))</f>
        <v>Suburbano</v>
      </c>
      <c r="T2967" t="str">
        <f t="shared" si="185"/>
        <v>F</v>
      </c>
      <c r="U2967" t="str">
        <f t="shared" si="186"/>
        <v>WA</v>
      </c>
      <c r="V2967" t="str">
        <f t="shared" si="187"/>
        <v>23545</v>
      </c>
    </row>
    <row r="2968" spans="1:22" x14ac:dyDescent="0.35">
      <c r="A2968">
        <v>190754</v>
      </c>
      <c r="B2968" t="s">
        <v>22</v>
      </c>
      <c r="C2968" t="s">
        <v>17</v>
      </c>
      <c r="D2968">
        <v>3213</v>
      </c>
      <c r="E2968">
        <v>697</v>
      </c>
      <c r="F2968">
        <v>745</v>
      </c>
      <c r="G2968">
        <v>96</v>
      </c>
      <c r="H2968">
        <v>21605</v>
      </c>
      <c r="I2968">
        <v>12</v>
      </c>
      <c r="J2968">
        <v>56</v>
      </c>
      <c r="K2968">
        <v>703</v>
      </c>
      <c r="L2968">
        <v>735</v>
      </c>
      <c r="M2968">
        <v>28.041666670000001</v>
      </c>
      <c r="N2968">
        <f>IFERROR(VLOOKUP(A2968,vlookup_table!$A:$G,2,FALSE),"")</f>
        <v>2</v>
      </c>
      <c r="O2968">
        <f>IFERROR(VLOOKUP(A2968,vlookup_table!$A:$G,4,FALSE),"")</f>
        <v>5009</v>
      </c>
      <c r="P2968" t="str">
        <f>IFERROR(VLOOKUP(A2968,vlookup_table!$A:$G,5,FALSE),"")</f>
        <v>C1</v>
      </c>
      <c r="Q2968">
        <f>IFERROR(VLOOKUP(A2968,vlookup_table!$A:$G,7,FALSE),"")</f>
        <v>25</v>
      </c>
      <c r="R2968">
        <f t="shared" si="184"/>
        <v>47</v>
      </c>
      <c r="S2968" t="str" cm="1">
        <f t="array" ref="S2968">IF(P2968="","",_xlfn.SWITCH(LEFT(P2968,1),"C","Ciudad","T","Pueblo","R","Rural","S","Suburbano","U","Urbano",""))</f>
        <v>Ciudad</v>
      </c>
      <c r="T2968" t="str">
        <f t="shared" si="185"/>
        <v>F</v>
      </c>
      <c r="U2968" t="str">
        <f t="shared" si="186"/>
        <v>CA</v>
      </c>
      <c r="V2968" t="str">
        <f t="shared" si="187"/>
        <v>21605</v>
      </c>
    </row>
    <row r="2969" spans="1:22" x14ac:dyDescent="0.35">
      <c r="A2969">
        <v>2951</v>
      </c>
      <c r="B2969" t="s">
        <v>24</v>
      </c>
      <c r="C2969" t="s">
        <v>14</v>
      </c>
      <c r="D2969">
        <v>1330</v>
      </c>
      <c r="E2969">
        <v>367</v>
      </c>
      <c r="F2969">
        <v>488</v>
      </c>
      <c r="G2969">
        <v>16</v>
      </c>
      <c r="H2969">
        <v>18153</v>
      </c>
      <c r="I2969">
        <v>4</v>
      </c>
      <c r="J2969">
        <v>12</v>
      </c>
      <c r="K2969">
        <v>419</v>
      </c>
      <c r="L2969">
        <v>437</v>
      </c>
      <c r="M2969">
        <v>5.0833333329999997</v>
      </c>
      <c r="N2969">
        <f>IFERROR(VLOOKUP(A2969,vlookup_table!$A:$G,2,FALSE),"")</f>
        <v>1</v>
      </c>
      <c r="O2969">
        <f>IFERROR(VLOOKUP(A2969,vlookup_table!$A:$G,4,FALSE),"")</f>
        <v>2301</v>
      </c>
      <c r="P2969" t="str">
        <f>IFERROR(VLOOKUP(A2969,vlookup_table!$A:$G,5,FALSE),"")</f>
        <v>T2</v>
      </c>
      <c r="Q2969">
        <f>IFERROR(VLOOKUP(A2969,vlookup_table!$A:$G,7,FALSE),"")</f>
        <v>5</v>
      </c>
      <c r="R2969">
        <f t="shared" si="184"/>
        <v>74</v>
      </c>
      <c r="S2969" t="str" cm="1">
        <f t="array" ref="S2969">IF(P2969="","",_xlfn.SWITCH(LEFT(P2969,1),"C","Ciudad","T","Pueblo","R","Rural","S","Suburbano","U","Urbano",""))</f>
        <v>Pueblo</v>
      </c>
      <c r="T2969" t="str">
        <f t="shared" si="185"/>
        <v>M</v>
      </c>
      <c r="U2969" t="str">
        <f t="shared" si="186"/>
        <v>NV</v>
      </c>
      <c r="V2969" t="str">
        <f t="shared" si="187"/>
        <v>18153</v>
      </c>
    </row>
    <row r="2970" spans="1:22" x14ac:dyDescent="0.35">
      <c r="A2970">
        <v>60313</v>
      </c>
      <c r="B2970" t="s">
        <v>33</v>
      </c>
      <c r="C2970" t="s">
        <v>14</v>
      </c>
      <c r="D2970">
        <v>480</v>
      </c>
      <c r="E2970">
        <v>270</v>
      </c>
      <c r="F2970">
        <v>304</v>
      </c>
      <c r="G2970">
        <v>0</v>
      </c>
      <c r="H2970">
        <v>12144</v>
      </c>
      <c r="I2970">
        <v>1</v>
      </c>
      <c r="J2970">
        <v>69</v>
      </c>
      <c r="K2970">
        <v>288</v>
      </c>
      <c r="L2970">
        <v>302</v>
      </c>
      <c r="M2970">
        <v>15.375</v>
      </c>
      <c r="N2970">
        <f>IFERROR(VLOOKUP(A2970,vlookup_table!$A:$G,2,FALSE),"")</f>
        <v>2</v>
      </c>
      <c r="O2970">
        <f>IFERROR(VLOOKUP(A2970,vlookup_table!$A:$G,4,FALSE),"")</f>
        <v>4401</v>
      </c>
      <c r="P2970" t="str">
        <f>IFERROR(VLOOKUP(A2970,vlookup_table!$A:$G,5,FALSE),"")</f>
        <v>S2</v>
      </c>
      <c r="Q2970">
        <f>IFERROR(VLOOKUP(A2970,vlookup_table!$A:$G,7,FALSE),"")</f>
        <v>10</v>
      </c>
      <c r="R2970">
        <f t="shared" si="184"/>
        <v>53</v>
      </c>
      <c r="S2970" t="str" cm="1">
        <f t="array" ref="S2970">IF(P2970="","",_xlfn.SWITCH(LEFT(P2970,1),"C","Ciudad","T","Pueblo","R","Rural","S","Suburbano","U","Urbano",""))</f>
        <v>Suburbano</v>
      </c>
      <c r="T2970" t="str">
        <f t="shared" si="185"/>
        <v>M</v>
      </c>
      <c r="U2970" t="str">
        <f t="shared" si="186"/>
        <v>IN</v>
      </c>
      <c r="V2970" t="str">
        <f t="shared" si="187"/>
        <v>12144</v>
      </c>
    </row>
    <row r="2971" spans="1:22" x14ac:dyDescent="0.35">
      <c r="A2971">
        <v>138000</v>
      </c>
      <c r="B2971" t="s">
        <v>55</v>
      </c>
      <c r="D2971">
        <v>630</v>
      </c>
      <c r="E2971">
        <v>222</v>
      </c>
      <c r="F2971">
        <v>295</v>
      </c>
      <c r="G2971">
        <v>5</v>
      </c>
      <c r="H2971">
        <v>10306</v>
      </c>
      <c r="I2971">
        <v>12</v>
      </c>
      <c r="J2971">
        <v>34</v>
      </c>
      <c r="K2971">
        <v>224</v>
      </c>
      <c r="L2971">
        <v>296</v>
      </c>
      <c r="M2971">
        <v>4.2</v>
      </c>
      <c r="N2971">
        <f>IFERROR(VLOOKUP(A2971,vlookup_table!$A:$G,2,FALSE),"")</f>
        <v>0</v>
      </c>
      <c r="O2971">
        <f>IFERROR(VLOOKUP(A2971,vlookup_table!$A:$G,4,FALSE),"")</f>
        <v>0</v>
      </c>
      <c r="P2971" t="str">
        <f>IFERROR(VLOOKUP(A2971,vlookup_table!$A:$G,5,FALSE),"")</f>
        <v>C3</v>
      </c>
      <c r="Q2971">
        <f>IFERROR(VLOOKUP(A2971,vlookup_table!$A:$G,7,FALSE),"")</f>
        <v>6</v>
      </c>
      <c r="R2971">
        <f t="shared" si="184"/>
        <v>97</v>
      </c>
      <c r="S2971" t="str" cm="1">
        <f t="array" ref="S2971">IF(P2971="","",_xlfn.SWITCH(LEFT(P2971,1),"C","Ciudad","T","Pueblo","R","Rural","S","Suburbano","U","Urbano",""))</f>
        <v>Ciudad</v>
      </c>
      <c r="T2971" t="str">
        <f t="shared" si="185"/>
        <v/>
      </c>
      <c r="U2971" t="str">
        <f t="shared" si="186"/>
        <v>AZ</v>
      </c>
      <c r="V2971" t="str">
        <f t="shared" si="187"/>
        <v>10306</v>
      </c>
    </row>
    <row r="2972" spans="1:22" x14ac:dyDescent="0.35">
      <c r="A2972">
        <v>160483</v>
      </c>
      <c r="B2972" t="s">
        <v>22</v>
      </c>
      <c r="C2972" t="s">
        <v>17</v>
      </c>
      <c r="D2972">
        <v>1286</v>
      </c>
      <c r="E2972">
        <v>366</v>
      </c>
      <c r="F2972">
        <v>391</v>
      </c>
      <c r="G2972">
        <v>0</v>
      </c>
      <c r="H2972">
        <v>12914</v>
      </c>
      <c r="I2972">
        <v>13</v>
      </c>
      <c r="J2972">
        <v>52</v>
      </c>
      <c r="K2972">
        <v>373</v>
      </c>
      <c r="L2972">
        <v>389</v>
      </c>
      <c r="M2972">
        <v>8.8000000000000007</v>
      </c>
      <c r="N2972">
        <f>IFERROR(VLOOKUP(A2972,vlookup_table!$A:$G,2,FALSE),"")</f>
        <v>0</v>
      </c>
      <c r="O2972">
        <f>IFERROR(VLOOKUP(A2972,vlookup_table!$A:$G,4,FALSE),"")</f>
        <v>7001</v>
      </c>
      <c r="P2972" t="str">
        <f>IFERROR(VLOOKUP(A2972,vlookup_table!$A:$G,5,FALSE),"")</f>
        <v>C2</v>
      </c>
      <c r="Q2972">
        <f>IFERROR(VLOOKUP(A2972,vlookup_table!$A:$G,7,FALSE),"")</f>
        <v>9</v>
      </c>
      <c r="R2972">
        <f t="shared" si="184"/>
        <v>27</v>
      </c>
      <c r="S2972" t="str" cm="1">
        <f t="array" ref="S2972">IF(P2972="","",_xlfn.SWITCH(LEFT(P2972,1),"C","Ciudad","T","Pueblo","R","Rural","S","Suburbano","U","Urbano",""))</f>
        <v>Ciudad</v>
      </c>
      <c r="T2972" t="str">
        <f t="shared" si="185"/>
        <v>F</v>
      </c>
      <c r="U2972" t="str">
        <f t="shared" si="186"/>
        <v>CA</v>
      </c>
      <c r="V2972" t="str">
        <f t="shared" si="187"/>
        <v>12914</v>
      </c>
    </row>
    <row r="2973" spans="1:22" x14ac:dyDescent="0.35">
      <c r="A2973">
        <v>149569</v>
      </c>
      <c r="B2973" t="s">
        <v>22</v>
      </c>
      <c r="C2973" t="s">
        <v>17</v>
      </c>
      <c r="D2973">
        <v>2500</v>
      </c>
      <c r="E2973">
        <v>272</v>
      </c>
      <c r="F2973">
        <v>278</v>
      </c>
      <c r="G2973">
        <v>71</v>
      </c>
      <c r="H2973">
        <v>15913</v>
      </c>
      <c r="I2973">
        <v>26</v>
      </c>
      <c r="J2973">
        <v>27</v>
      </c>
      <c r="K2973">
        <v>236</v>
      </c>
      <c r="L2973">
        <v>298</v>
      </c>
      <c r="M2973">
        <v>25.5</v>
      </c>
      <c r="N2973">
        <f>IFERROR(VLOOKUP(A2973,vlookup_table!$A:$G,2,FALSE),"")</f>
        <v>0</v>
      </c>
      <c r="O2973">
        <f>IFERROR(VLOOKUP(A2973,vlookup_table!$A:$G,4,FALSE),"")</f>
        <v>0</v>
      </c>
      <c r="P2973" t="str">
        <f>IFERROR(VLOOKUP(A2973,vlookup_table!$A:$G,5,FALSE),"")</f>
        <v>U2</v>
      </c>
      <c r="Q2973">
        <f>IFERROR(VLOOKUP(A2973,vlookup_table!$A:$G,7,FALSE),"")</f>
        <v>28</v>
      </c>
      <c r="R2973">
        <f t="shared" si="184"/>
        <v>97</v>
      </c>
      <c r="S2973" t="str" cm="1">
        <f t="array" ref="S2973">IF(P2973="","",_xlfn.SWITCH(LEFT(P2973,1),"C","Ciudad","T","Pueblo","R","Rural","S","Suburbano","U","Urbano",""))</f>
        <v>Urbano</v>
      </c>
      <c r="T2973" t="str">
        <f t="shared" si="185"/>
        <v>F</v>
      </c>
      <c r="U2973" t="str">
        <f t="shared" si="186"/>
        <v>CA</v>
      </c>
      <c r="V2973" t="str">
        <f t="shared" si="187"/>
        <v>15913</v>
      </c>
    </row>
    <row r="2974" spans="1:22" x14ac:dyDescent="0.35">
      <c r="A2974">
        <v>62349</v>
      </c>
      <c r="B2974" t="s">
        <v>33</v>
      </c>
      <c r="C2974" t="s">
        <v>14</v>
      </c>
      <c r="D2974">
        <v>643</v>
      </c>
      <c r="E2974">
        <v>273</v>
      </c>
      <c r="F2974">
        <v>321</v>
      </c>
      <c r="G2974">
        <v>0</v>
      </c>
      <c r="H2974">
        <v>13088</v>
      </c>
      <c r="I2974">
        <v>2</v>
      </c>
      <c r="J2974">
        <v>73</v>
      </c>
      <c r="K2974">
        <v>297</v>
      </c>
      <c r="L2974">
        <v>298</v>
      </c>
      <c r="M2974">
        <v>30</v>
      </c>
      <c r="N2974">
        <f>IFERROR(VLOOKUP(A2974,vlookup_table!$A:$G,2,FALSE),"")</f>
        <v>28</v>
      </c>
      <c r="O2974">
        <f>IFERROR(VLOOKUP(A2974,vlookup_table!$A:$G,4,FALSE),"")</f>
        <v>3101</v>
      </c>
      <c r="P2974" t="str">
        <f>IFERROR(VLOOKUP(A2974,vlookup_table!$A:$G,5,FALSE),"")</f>
        <v>S2</v>
      </c>
      <c r="Q2974">
        <f>IFERROR(VLOOKUP(A2974,vlookup_table!$A:$G,7,FALSE),"")</f>
        <v>50</v>
      </c>
      <c r="R2974">
        <f t="shared" si="184"/>
        <v>66</v>
      </c>
      <c r="S2974" t="str" cm="1">
        <f t="array" ref="S2974">IF(P2974="","",_xlfn.SWITCH(LEFT(P2974,1),"C","Ciudad","T","Pueblo","R","Rural","S","Suburbano","U","Urbano",""))</f>
        <v>Suburbano</v>
      </c>
      <c r="T2974" t="str">
        <f t="shared" si="185"/>
        <v>M</v>
      </c>
      <c r="U2974" t="str">
        <f t="shared" si="186"/>
        <v>IN</v>
      </c>
      <c r="V2974" t="str">
        <f t="shared" si="187"/>
        <v>13088</v>
      </c>
    </row>
    <row r="2975" spans="1:22" x14ac:dyDescent="0.35">
      <c r="A2975">
        <v>25073</v>
      </c>
      <c r="B2975" t="s">
        <v>46</v>
      </c>
      <c r="C2975" t="s">
        <v>14</v>
      </c>
      <c r="D2975">
        <v>524</v>
      </c>
      <c r="E2975">
        <v>217</v>
      </c>
      <c r="F2975">
        <v>343</v>
      </c>
      <c r="G2975">
        <v>1</v>
      </c>
      <c r="H2975">
        <v>11775</v>
      </c>
      <c r="I2975">
        <v>6</v>
      </c>
      <c r="J2975">
        <v>49</v>
      </c>
      <c r="K2975">
        <v>253</v>
      </c>
      <c r="L2975">
        <v>300</v>
      </c>
      <c r="M2975">
        <v>7.6666666670000003</v>
      </c>
      <c r="N2975">
        <f>IFERROR(VLOOKUP(A2975,vlookup_table!$A:$G,2,FALSE),"")</f>
        <v>1</v>
      </c>
      <c r="O2975">
        <f>IFERROR(VLOOKUP(A2975,vlookup_table!$A:$G,4,FALSE),"")</f>
        <v>6201</v>
      </c>
      <c r="P2975" t="str">
        <f>IFERROR(VLOOKUP(A2975,vlookup_table!$A:$G,5,FALSE),"")</f>
        <v>T2</v>
      </c>
      <c r="Q2975">
        <f>IFERROR(VLOOKUP(A2975,vlookup_table!$A:$G,7,FALSE),"")</f>
        <v>21</v>
      </c>
      <c r="R2975">
        <f t="shared" si="184"/>
        <v>35</v>
      </c>
      <c r="S2975" t="str" cm="1">
        <f t="array" ref="S2975">IF(P2975="","",_xlfn.SWITCH(LEFT(P2975,1),"C","Ciudad","T","Pueblo","R","Rural","S","Suburbano","U","Urbano",""))</f>
        <v>Pueblo</v>
      </c>
      <c r="T2975" t="str">
        <f t="shared" si="185"/>
        <v>M</v>
      </c>
      <c r="U2975" t="str">
        <f t="shared" si="186"/>
        <v>SC</v>
      </c>
      <c r="V2975" t="str">
        <f t="shared" si="187"/>
        <v>11775</v>
      </c>
    </row>
    <row r="2976" spans="1:22" x14ac:dyDescent="0.35">
      <c r="A2976">
        <v>47245</v>
      </c>
      <c r="B2976" t="s">
        <v>43</v>
      </c>
      <c r="C2976" t="s">
        <v>17</v>
      </c>
      <c r="D2976">
        <v>679</v>
      </c>
      <c r="E2976">
        <v>312</v>
      </c>
      <c r="F2976">
        <v>459</v>
      </c>
      <c r="G2976">
        <v>0</v>
      </c>
      <c r="H2976">
        <v>16088</v>
      </c>
      <c r="I2976">
        <v>1</v>
      </c>
      <c r="J2976">
        <v>88</v>
      </c>
      <c r="K2976">
        <v>393</v>
      </c>
      <c r="L2976">
        <v>408</v>
      </c>
      <c r="M2976">
        <v>5.1428571429999996</v>
      </c>
      <c r="N2976">
        <f>IFERROR(VLOOKUP(A2976,vlookup_table!$A:$G,2,FALSE),"")</f>
        <v>0</v>
      </c>
      <c r="O2976">
        <f>IFERROR(VLOOKUP(A2976,vlookup_table!$A:$G,4,FALSE),"")</f>
        <v>0</v>
      </c>
      <c r="P2976" t="str">
        <f>IFERROR(VLOOKUP(A2976,vlookup_table!$A:$G,5,FALSE),"")</f>
        <v>C3</v>
      </c>
      <c r="Q2976">
        <f>IFERROR(VLOOKUP(A2976,vlookup_table!$A:$G,7,FALSE),"")</f>
        <v>5</v>
      </c>
      <c r="R2976">
        <f t="shared" si="184"/>
        <v>97</v>
      </c>
      <c r="S2976" t="str" cm="1">
        <f t="array" ref="S2976">IF(P2976="","",_xlfn.SWITCH(LEFT(P2976,1),"C","Ciudad","T","Pueblo","R","Rural","S","Suburbano","U","Urbano",""))</f>
        <v>Ciudad</v>
      </c>
      <c r="T2976" t="str">
        <f t="shared" si="185"/>
        <v>F</v>
      </c>
      <c r="U2976" t="str">
        <f t="shared" si="186"/>
        <v>AL</v>
      </c>
      <c r="V2976" t="str">
        <f t="shared" si="187"/>
        <v>16088</v>
      </c>
    </row>
    <row r="2977" spans="1:22" x14ac:dyDescent="0.35">
      <c r="A2977">
        <v>166508</v>
      </c>
      <c r="B2977" t="s">
        <v>22</v>
      </c>
      <c r="C2977" t="s">
        <v>14</v>
      </c>
      <c r="D2977">
        <v>2901</v>
      </c>
      <c r="E2977">
        <v>459</v>
      </c>
      <c r="F2977">
        <v>711</v>
      </c>
      <c r="G2977">
        <v>91</v>
      </c>
      <c r="H2977">
        <v>25733</v>
      </c>
      <c r="I2977">
        <v>16</v>
      </c>
      <c r="J2977">
        <v>45</v>
      </c>
      <c r="K2977">
        <v>585</v>
      </c>
      <c r="L2977">
        <v>556</v>
      </c>
      <c r="M2977">
        <v>13.66666667</v>
      </c>
      <c r="N2977">
        <f>IFERROR(VLOOKUP(A2977,vlookup_table!$A:$G,2,FALSE),"")</f>
        <v>1</v>
      </c>
      <c r="O2977">
        <f>IFERROR(VLOOKUP(A2977,vlookup_table!$A:$G,4,FALSE),"")</f>
        <v>4501</v>
      </c>
      <c r="P2977" t="str">
        <f>IFERROR(VLOOKUP(A2977,vlookup_table!$A:$G,5,FALSE),"")</f>
        <v>U1</v>
      </c>
      <c r="Q2977">
        <f>IFERROR(VLOOKUP(A2977,vlookup_table!$A:$G,7,FALSE),"")</f>
        <v>20</v>
      </c>
      <c r="R2977">
        <f t="shared" si="184"/>
        <v>52</v>
      </c>
      <c r="S2977" t="str" cm="1">
        <f t="array" ref="S2977">IF(P2977="","",_xlfn.SWITCH(LEFT(P2977,1),"C","Ciudad","T","Pueblo","R","Rural","S","Suburbano","U","Urbano",""))</f>
        <v>Urbano</v>
      </c>
      <c r="T2977" t="str">
        <f t="shared" si="185"/>
        <v>M</v>
      </c>
      <c r="U2977" t="str">
        <f t="shared" si="186"/>
        <v>CA</v>
      </c>
      <c r="V2977" t="str">
        <f t="shared" si="187"/>
        <v>25733</v>
      </c>
    </row>
    <row r="2978" spans="1:22" x14ac:dyDescent="0.35">
      <c r="A2978">
        <v>33355</v>
      </c>
      <c r="B2978" t="s">
        <v>13</v>
      </c>
      <c r="C2978" t="s">
        <v>14</v>
      </c>
      <c r="D2978">
        <v>700</v>
      </c>
      <c r="E2978">
        <v>383</v>
      </c>
      <c r="F2978">
        <v>443</v>
      </c>
      <c r="G2978">
        <v>1</v>
      </c>
      <c r="H2978">
        <v>14917</v>
      </c>
      <c r="I2978">
        <v>5</v>
      </c>
      <c r="J2978">
        <v>47</v>
      </c>
      <c r="K2978">
        <v>412</v>
      </c>
      <c r="L2978">
        <v>421</v>
      </c>
      <c r="M2978">
        <v>12.92307692</v>
      </c>
      <c r="N2978">
        <f>IFERROR(VLOOKUP(A2978,vlookup_table!$A:$G,2,FALSE),"")</f>
        <v>1002</v>
      </c>
      <c r="O2978">
        <f>IFERROR(VLOOKUP(A2978,vlookup_table!$A:$G,4,FALSE),"")</f>
        <v>0</v>
      </c>
      <c r="P2978" t="str">
        <f>IFERROR(VLOOKUP(A2978,vlookup_table!$A:$G,5,FALSE),"")</f>
        <v>T2</v>
      </c>
      <c r="Q2978">
        <f>IFERROR(VLOOKUP(A2978,vlookup_table!$A:$G,7,FALSE),"")</f>
        <v>15</v>
      </c>
      <c r="R2978">
        <f t="shared" si="184"/>
        <v>97</v>
      </c>
      <c r="S2978" t="str" cm="1">
        <f t="array" ref="S2978">IF(P2978="","",_xlfn.SWITCH(LEFT(P2978,1),"C","Ciudad","T","Pueblo","R","Rural","S","Suburbano","U","Urbano",""))</f>
        <v>Pueblo</v>
      </c>
      <c r="T2978" t="str">
        <f t="shared" si="185"/>
        <v>M</v>
      </c>
      <c r="U2978" t="str">
        <f t="shared" si="186"/>
        <v>FL</v>
      </c>
      <c r="V2978" t="str">
        <f t="shared" si="187"/>
        <v>14917</v>
      </c>
    </row>
    <row r="2979" spans="1:22" x14ac:dyDescent="0.35">
      <c r="A2979">
        <v>118083</v>
      </c>
      <c r="B2979" t="s">
        <v>21</v>
      </c>
      <c r="C2979" t="s">
        <v>17</v>
      </c>
      <c r="D2979">
        <v>390</v>
      </c>
      <c r="E2979">
        <v>223</v>
      </c>
      <c r="F2979">
        <v>359</v>
      </c>
      <c r="G2979">
        <v>2</v>
      </c>
      <c r="H2979">
        <v>11982</v>
      </c>
      <c r="I2979">
        <v>8</v>
      </c>
      <c r="J2979">
        <v>73</v>
      </c>
      <c r="K2979">
        <v>309</v>
      </c>
      <c r="L2979">
        <v>290</v>
      </c>
      <c r="M2979">
        <v>13.75</v>
      </c>
      <c r="N2979">
        <f>IFERROR(VLOOKUP(A2979,vlookup_table!$A:$G,2,FALSE),"")</f>
        <v>0</v>
      </c>
      <c r="O2979">
        <f>IFERROR(VLOOKUP(A2979,vlookup_table!$A:$G,4,FALSE),"")</f>
        <v>6005</v>
      </c>
      <c r="P2979" t="str">
        <f>IFERROR(VLOOKUP(A2979,vlookup_table!$A:$G,5,FALSE),"")</f>
        <v>R2</v>
      </c>
      <c r="Q2979">
        <f>IFERROR(VLOOKUP(A2979,vlookup_table!$A:$G,7,FALSE),"")</f>
        <v>15</v>
      </c>
      <c r="R2979">
        <f t="shared" si="184"/>
        <v>37</v>
      </c>
      <c r="S2979" t="str" cm="1">
        <f t="array" ref="S2979">IF(P2979="","",_xlfn.SWITCH(LEFT(P2979,1),"C","Ciudad","T","Pueblo","R","Rural","S","Suburbano","U","Urbano",""))</f>
        <v>Rural</v>
      </c>
      <c r="T2979" t="str">
        <f t="shared" si="185"/>
        <v>F</v>
      </c>
      <c r="U2979" t="str">
        <f t="shared" si="186"/>
        <v>TX</v>
      </c>
      <c r="V2979" t="str">
        <f t="shared" si="187"/>
        <v>11982</v>
      </c>
    </row>
    <row r="2980" spans="1:22" x14ac:dyDescent="0.35">
      <c r="A2980">
        <v>19208</v>
      </c>
      <c r="B2980" t="s">
        <v>18</v>
      </c>
      <c r="C2980" t="s">
        <v>20</v>
      </c>
      <c r="D2980">
        <v>670</v>
      </c>
      <c r="E2980">
        <v>275</v>
      </c>
      <c r="F2980">
        <v>371</v>
      </c>
      <c r="G2980">
        <v>1</v>
      </c>
      <c r="H2980">
        <v>14984</v>
      </c>
      <c r="I2980">
        <v>1</v>
      </c>
      <c r="J2980">
        <v>71</v>
      </c>
      <c r="K2980">
        <v>325</v>
      </c>
      <c r="L2980">
        <v>322</v>
      </c>
      <c r="M2980">
        <v>11.08333333</v>
      </c>
      <c r="N2980">
        <f>IFERROR(VLOOKUP(A2980,vlookup_table!$A:$G,2,FALSE),"")</f>
        <v>0</v>
      </c>
      <c r="O2980">
        <f>IFERROR(VLOOKUP(A2980,vlookup_table!$A:$G,4,FALSE),"")</f>
        <v>0</v>
      </c>
      <c r="P2980">
        <f>IFERROR(VLOOKUP(A2980,vlookup_table!$A:$G,5,FALSE),"")</f>
        <v>0</v>
      </c>
      <c r="Q2980">
        <f>IFERROR(VLOOKUP(A2980,vlookup_table!$A:$G,7,FALSE),"")</f>
        <v>18</v>
      </c>
      <c r="R2980">
        <f t="shared" si="184"/>
        <v>97</v>
      </c>
      <c r="S2980" t="str" cm="1">
        <f t="array" ref="S2980">IF(P2980="","",_xlfn.SWITCH(LEFT(P2980,1),"C","Ciudad","T","Pueblo","R","Rural","S","Suburbano","U","Urbano",""))</f>
        <v/>
      </c>
      <c r="T2980" t="str">
        <f t="shared" si="185"/>
        <v>F</v>
      </c>
      <c r="U2980" t="str">
        <f t="shared" si="186"/>
        <v>NC</v>
      </c>
      <c r="V2980" t="str">
        <f t="shared" si="187"/>
        <v>14984</v>
      </c>
    </row>
    <row r="2981" spans="1:22" x14ac:dyDescent="0.35">
      <c r="A2981">
        <v>18664</v>
      </c>
      <c r="B2981" t="s">
        <v>18</v>
      </c>
      <c r="C2981" t="s">
        <v>14</v>
      </c>
      <c r="D2981">
        <v>519</v>
      </c>
      <c r="E2981">
        <v>283</v>
      </c>
      <c r="F2981">
        <v>362</v>
      </c>
      <c r="G2981">
        <v>1</v>
      </c>
      <c r="H2981">
        <v>12386</v>
      </c>
      <c r="I2981">
        <v>0</v>
      </c>
      <c r="J2981">
        <v>80</v>
      </c>
      <c r="K2981">
        <v>310</v>
      </c>
      <c r="L2981">
        <v>337</v>
      </c>
      <c r="M2981">
        <v>20</v>
      </c>
      <c r="N2981">
        <f>IFERROR(VLOOKUP(A2981,vlookup_table!$A:$G,2,FALSE),"")</f>
        <v>1</v>
      </c>
      <c r="O2981">
        <f>IFERROR(VLOOKUP(A2981,vlookup_table!$A:$G,4,FALSE),"")</f>
        <v>3801</v>
      </c>
      <c r="P2981" t="str">
        <f>IFERROR(VLOOKUP(A2981,vlookup_table!$A:$G,5,FALSE),"")</f>
        <v>T2</v>
      </c>
      <c r="Q2981">
        <f>IFERROR(VLOOKUP(A2981,vlookup_table!$A:$G,7,FALSE),"")</f>
        <v>15</v>
      </c>
      <c r="R2981">
        <f t="shared" si="184"/>
        <v>59</v>
      </c>
      <c r="S2981" t="str" cm="1">
        <f t="array" ref="S2981">IF(P2981="","",_xlfn.SWITCH(LEFT(P2981,1),"C","Ciudad","T","Pueblo","R","Rural","S","Suburbano","U","Urbano",""))</f>
        <v>Pueblo</v>
      </c>
      <c r="T2981" t="str">
        <f t="shared" si="185"/>
        <v>M</v>
      </c>
      <c r="U2981" t="str">
        <f t="shared" si="186"/>
        <v>NC</v>
      </c>
      <c r="V2981" t="str">
        <f t="shared" si="187"/>
        <v>12386</v>
      </c>
    </row>
    <row r="2982" spans="1:22" x14ac:dyDescent="0.35">
      <c r="A2982">
        <v>137276</v>
      </c>
      <c r="B2982" t="s">
        <v>55</v>
      </c>
      <c r="C2982" t="s">
        <v>60</v>
      </c>
      <c r="D2982">
        <v>723</v>
      </c>
      <c r="E2982">
        <v>270</v>
      </c>
      <c r="F2982">
        <v>386</v>
      </c>
      <c r="G2982">
        <v>0</v>
      </c>
      <c r="H2982">
        <v>20233</v>
      </c>
      <c r="I2982">
        <v>8</v>
      </c>
      <c r="J2982">
        <v>1</v>
      </c>
      <c r="K2982">
        <v>335</v>
      </c>
      <c r="L2982">
        <v>321</v>
      </c>
      <c r="M2982">
        <v>10.10526316</v>
      </c>
      <c r="N2982">
        <f>IFERROR(VLOOKUP(A2982,vlookup_table!$A:$G,2,FALSE),"")</f>
        <v>0</v>
      </c>
      <c r="O2982">
        <f>IFERROR(VLOOKUP(A2982,vlookup_table!$A:$G,4,FALSE),"")</f>
        <v>1008</v>
      </c>
      <c r="P2982" t="str">
        <f>IFERROR(VLOOKUP(A2982,vlookup_table!$A:$G,5,FALSE),"")</f>
        <v>C1</v>
      </c>
      <c r="Q2982">
        <f>IFERROR(VLOOKUP(A2982,vlookup_table!$A:$G,7,FALSE),"")</f>
        <v>11</v>
      </c>
      <c r="R2982">
        <f t="shared" si="184"/>
        <v>87</v>
      </c>
      <c r="S2982" t="str" cm="1">
        <f t="array" ref="S2982">IF(P2982="","",_xlfn.SWITCH(LEFT(P2982,1),"C","Ciudad","T","Pueblo","R","Rural","S","Suburbano","U","Urbano",""))</f>
        <v>Ciudad</v>
      </c>
      <c r="T2982" t="str">
        <f t="shared" si="185"/>
        <v>F</v>
      </c>
      <c r="U2982" t="str">
        <f t="shared" si="186"/>
        <v>AZ</v>
      </c>
      <c r="V2982" t="str">
        <f t="shared" si="187"/>
        <v>20233</v>
      </c>
    </row>
    <row r="2983" spans="1:22" x14ac:dyDescent="0.35">
      <c r="A2983">
        <v>11254</v>
      </c>
      <c r="B2983" t="s">
        <v>16</v>
      </c>
      <c r="C2983" t="s">
        <v>17</v>
      </c>
      <c r="D2983">
        <v>931</v>
      </c>
      <c r="E2983">
        <v>470</v>
      </c>
      <c r="F2983">
        <v>519</v>
      </c>
      <c r="G2983">
        <v>0</v>
      </c>
      <c r="H2983">
        <v>15138</v>
      </c>
      <c r="I2983">
        <v>5</v>
      </c>
      <c r="J2983">
        <v>77</v>
      </c>
      <c r="K2983">
        <v>492</v>
      </c>
      <c r="L2983">
        <v>472</v>
      </c>
      <c r="M2983">
        <v>22.69230769</v>
      </c>
      <c r="N2983">
        <f>IFERROR(VLOOKUP(A2983,vlookup_table!$A:$G,2,FALSE),"")</f>
        <v>0</v>
      </c>
      <c r="O2983">
        <f>IFERROR(VLOOKUP(A2983,vlookup_table!$A:$G,4,FALSE),"")</f>
        <v>3509</v>
      </c>
      <c r="P2983">
        <f>IFERROR(VLOOKUP(A2983,vlookup_table!$A:$G,5,FALSE),"")</f>
        <v>0</v>
      </c>
      <c r="Q2983">
        <f>IFERROR(VLOOKUP(A2983,vlookup_table!$A:$G,7,FALSE),"")</f>
        <v>25</v>
      </c>
      <c r="R2983">
        <f t="shared" si="184"/>
        <v>62</v>
      </c>
      <c r="S2983" t="str" cm="1">
        <f t="array" ref="S2983">IF(P2983="","",_xlfn.SWITCH(LEFT(P2983,1),"C","Ciudad","T","Pueblo","R","Rural","S","Suburbano","U","Urbano",""))</f>
        <v/>
      </c>
      <c r="T2983" t="str">
        <f t="shared" si="185"/>
        <v>F</v>
      </c>
      <c r="U2983" t="str">
        <f t="shared" si="186"/>
        <v>IL</v>
      </c>
      <c r="V2983" t="str">
        <f t="shared" si="187"/>
        <v>15138</v>
      </c>
    </row>
    <row r="2984" spans="1:22" x14ac:dyDescent="0.35">
      <c r="A2984">
        <v>47404</v>
      </c>
      <c r="B2984" t="s">
        <v>43</v>
      </c>
      <c r="C2984" t="s">
        <v>17</v>
      </c>
      <c r="D2984">
        <v>475</v>
      </c>
      <c r="E2984">
        <v>308</v>
      </c>
      <c r="F2984">
        <v>364</v>
      </c>
      <c r="G2984">
        <v>0</v>
      </c>
      <c r="H2984">
        <v>9853</v>
      </c>
      <c r="I2984">
        <v>0</v>
      </c>
      <c r="J2984">
        <v>99</v>
      </c>
      <c r="K2984">
        <v>319</v>
      </c>
      <c r="L2984">
        <v>325</v>
      </c>
      <c r="M2984">
        <v>5.2352941179999997</v>
      </c>
      <c r="N2984">
        <f>IFERROR(VLOOKUP(A2984,vlookup_table!$A:$G,2,FALSE),"")</f>
        <v>0</v>
      </c>
      <c r="O2984">
        <f>IFERROR(VLOOKUP(A2984,vlookup_table!$A:$G,4,FALSE),"")</f>
        <v>4201</v>
      </c>
      <c r="P2984" t="str">
        <f>IFERROR(VLOOKUP(A2984,vlookup_table!$A:$G,5,FALSE),"")</f>
        <v>T2</v>
      </c>
      <c r="Q2984">
        <f>IFERROR(VLOOKUP(A2984,vlookup_table!$A:$G,7,FALSE),"")</f>
        <v>10</v>
      </c>
      <c r="R2984">
        <f t="shared" si="184"/>
        <v>55</v>
      </c>
      <c r="S2984" t="str" cm="1">
        <f t="array" ref="S2984">IF(P2984="","",_xlfn.SWITCH(LEFT(P2984,1),"C","Ciudad","T","Pueblo","R","Rural","S","Suburbano","U","Urbano",""))</f>
        <v>Pueblo</v>
      </c>
      <c r="T2984" t="str">
        <f t="shared" si="185"/>
        <v>F</v>
      </c>
      <c r="U2984" t="str">
        <f t="shared" si="186"/>
        <v>AL</v>
      </c>
      <c r="V2984" t="str">
        <f t="shared" si="187"/>
        <v>9853</v>
      </c>
    </row>
    <row r="2985" spans="1:22" x14ac:dyDescent="0.35">
      <c r="A2985">
        <v>33615</v>
      </c>
      <c r="B2985" t="s">
        <v>13</v>
      </c>
      <c r="C2985" t="s">
        <v>14</v>
      </c>
      <c r="D2985">
        <v>563</v>
      </c>
      <c r="E2985">
        <v>216</v>
      </c>
      <c r="F2985">
        <v>297</v>
      </c>
      <c r="G2985">
        <v>1</v>
      </c>
      <c r="H2985">
        <v>10832</v>
      </c>
      <c r="I2985">
        <v>5</v>
      </c>
      <c r="J2985">
        <v>36</v>
      </c>
      <c r="K2985">
        <v>250</v>
      </c>
      <c r="L2985">
        <v>252</v>
      </c>
      <c r="M2985">
        <v>14.57142857</v>
      </c>
      <c r="N2985">
        <f>IFERROR(VLOOKUP(A2985,vlookup_table!$A:$G,2,FALSE),"")</f>
        <v>1</v>
      </c>
      <c r="O2985">
        <f>IFERROR(VLOOKUP(A2985,vlookup_table!$A:$G,4,FALSE),"")</f>
        <v>3211</v>
      </c>
      <c r="P2985" t="str">
        <f>IFERROR(VLOOKUP(A2985,vlookup_table!$A:$G,5,FALSE),"")</f>
        <v>C3</v>
      </c>
      <c r="Q2985">
        <f>IFERROR(VLOOKUP(A2985,vlookup_table!$A:$G,7,FALSE),"")</f>
        <v>15</v>
      </c>
      <c r="R2985">
        <f t="shared" si="184"/>
        <v>65</v>
      </c>
      <c r="S2985" t="str" cm="1">
        <f t="array" ref="S2985">IF(P2985="","",_xlfn.SWITCH(LEFT(P2985,1),"C","Ciudad","T","Pueblo","R","Rural","S","Suburbano","U","Urbano",""))</f>
        <v>Ciudad</v>
      </c>
      <c r="T2985" t="str">
        <f t="shared" si="185"/>
        <v>M</v>
      </c>
      <c r="U2985" t="str">
        <f t="shared" si="186"/>
        <v>FL</v>
      </c>
      <c r="V2985" t="str">
        <f t="shared" si="187"/>
        <v>10832</v>
      </c>
    </row>
    <row r="2986" spans="1:22" x14ac:dyDescent="0.35">
      <c r="A2986">
        <v>47738</v>
      </c>
      <c r="B2986" t="s">
        <v>43</v>
      </c>
      <c r="C2986" t="s">
        <v>17</v>
      </c>
      <c r="D2986">
        <v>419</v>
      </c>
      <c r="E2986">
        <v>212</v>
      </c>
      <c r="F2986">
        <v>306</v>
      </c>
      <c r="G2986">
        <v>0</v>
      </c>
      <c r="H2986">
        <v>10063</v>
      </c>
      <c r="I2986">
        <v>0</v>
      </c>
      <c r="J2986">
        <v>64</v>
      </c>
      <c r="K2986">
        <v>268</v>
      </c>
      <c r="L2986">
        <v>258</v>
      </c>
      <c r="M2986">
        <v>8.1666666669999994</v>
      </c>
      <c r="N2986">
        <f>IFERROR(VLOOKUP(A2986,vlookup_table!$A:$G,2,FALSE),"")</f>
        <v>2</v>
      </c>
      <c r="O2986">
        <f>IFERROR(VLOOKUP(A2986,vlookup_table!$A:$G,4,FALSE),"")</f>
        <v>2401</v>
      </c>
      <c r="P2986" t="str">
        <f>IFERROR(VLOOKUP(A2986,vlookup_table!$A:$G,5,FALSE),"")</f>
        <v>R3</v>
      </c>
      <c r="Q2986">
        <f>IFERROR(VLOOKUP(A2986,vlookup_table!$A:$G,7,FALSE),"")</f>
        <v>12</v>
      </c>
      <c r="R2986">
        <f t="shared" si="184"/>
        <v>73</v>
      </c>
      <c r="S2986" t="str" cm="1">
        <f t="array" ref="S2986">IF(P2986="","",_xlfn.SWITCH(LEFT(P2986,1),"C","Ciudad","T","Pueblo","R","Rural","S","Suburbano","U","Urbano",""))</f>
        <v>Rural</v>
      </c>
      <c r="T2986" t="str">
        <f t="shared" si="185"/>
        <v>F</v>
      </c>
      <c r="U2986" t="str">
        <f t="shared" si="186"/>
        <v>AL</v>
      </c>
      <c r="V2986" t="str">
        <f t="shared" si="187"/>
        <v>10063</v>
      </c>
    </row>
    <row r="2987" spans="1:22" x14ac:dyDescent="0.35">
      <c r="A2987">
        <v>144301</v>
      </c>
      <c r="B2987" t="s">
        <v>22</v>
      </c>
      <c r="C2987" t="s">
        <v>17</v>
      </c>
      <c r="D2987">
        <v>2448</v>
      </c>
      <c r="E2987">
        <v>498</v>
      </c>
      <c r="F2987">
        <v>575</v>
      </c>
      <c r="G2987">
        <v>72</v>
      </c>
      <c r="H2987">
        <v>22133</v>
      </c>
      <c r="I2987">
        <v>7</v>
      </c>
      <c r="J2987">
        <v>44</v>
      </c>
      <c r="K2987">
        <v>515</v>
      </c>
      <c r="L2987">
        <v>552</v>
      </c>
      <c r="M2987">
        <v>9.5454545460000002</v>
      </c>
      <c r="N2987">
        <f>IFERROR(VLOOKUP(A2987,vlookup_table!$A:$G,2,FALSE),"")</f>
        <v>0</v>
      </c>
      <c r="O2987">
        <f>IFERROR(VLOOKUP(A2987,vlookup_table!$A:$G,4,FALSE),"")</f>
        <v>5104</v>
      </c>
      <c r="P2987" t="str">
        <f>IFERROR(VLOOKUP(A2987,vlookup_table!$A:$G,5,FALSE),"")</f>
        <v>U1</v>
      </c>
      <c r="Q2987">
        <f>IFERROR(VLOOKUP(A2987,vlookup_table!$A:$G,7,FALSE),"")</f>
        <v>11</v>
      </c>
      <c r="R2987">
        <f t="shared" si="184"/>
        <v>46</v>
      </c>
      <c r="S2987" t="str" cm="1">
        <f t="array" ref="S2987">IF(P2987="","",_xlfn.SWITCH(LEFT(P2987,1),"C","Ciudad","T","Pueblo","R","Rural","S","Suburbano","U","Urbano",""))</f>
        <v>Urbano</v>
      </c>
      <c r="T2987" t="str">
        <f t="shared" si="185"/>
        <v>F</v>
      </c>
      <c r="U2987" t="str">
        <f t="shared" si="186"/>
        <v>CA</v>
      </c>
      <c r="V2987" t="str">
        <f t="shared" si="187"/>
        <v>22133</v>
      </c>
    </row>
    <row r="2988" spans="1:22" x14ac:dyDescent="0.35">
      <c r="A2988">
        <v>10491</v>
      </c>
      <c r="B2988" t="s">
        <v>24</v>
      </c>
      <c r="C2988" t="s">
        <v>17</v>
      </c>
      <c r="D2988">
        <v>1001</v>
      </c>
      <c r="E2988">
        <v>420</v>
      </c>
      <c r="F2988">
        <v>482</v>
      </c>
      <c r="G2988">
        <v>0</v>
      </c>
      <c r="H2988">
        <v>13472</v>
      </c>
      <c r="I2988">
        <v>2</v>
      </c>
      <c r="J2988">
        <v>26</v>
      </c>
      <c r="K2988">
        <v>455</v>
      </c>
      <c r="L2988">
        <v>447</v>
      </c>
      <c r="M2988">
        <v>7.05</v>
      </c>
      <c r="N2988">
        <f>IFERROR(VLOOKUP(A2988,vlookup_table!$A:$G,2,FALSE),"")</f>
        <v>0</v>
      </c>
      <c r="O2988">
        <f>IFERROR(VLOOKUP(A2988,vlookup_table!$A:$G,4,FALSE),"")</f>
        <v>3507</v>
      </c>
      <c r="P2988" t="str">
        <f>IFERROR(VLOOKUP(A2988,vlookup_table!$A:$G,5,FALSE),"")</f>
        <v>C2</v>
      </c>
      <c r="Q2988">
        <f>IFERROR(VLOOKUP(A2988,vlookup_table!$A:$G,7,FALSE),"")</f>
        <v>5</v>
      </c>
      <c r="R2988">
        <f t="shared" si="184"/>
        <v>62</v>
      </c>
      <c r="S2988" t="str" cm="1">
        <f t="array" ref="S2988">IF(P2988="","",_xlfn.SWITCH(LEFT(P2988,1),"C","Ciudad","T","Pueblo","R","Rural","S","Suburbano","U","Urbano",""))</f>
        <v>Ciudad</v>
      </c>
      <c r="T2988" t="str">
        <f t="shared" si="185"/>
        <v>F</v>
      </c>
      <c r="U2988" t="str">
        <f t="shared" si="186"/>
        <v>NV</v>
      </c>
      <c r="V2988" t="str">
        <f t="shared" si="187"/>
        <v>13472</v>
      </c>
    </row>
    <row r="2989" spans="1:22" x14ac:dyDescent="0.35">
      <c r="A2989">
        <v>189009</v>
      </c>
      <c r="B2989" t="s">
        <v>40</v>
      </c>
      <c r="C2989" t="s">
        <v>51</v>
      </c>
      <c r="D2989">
        <v>1347</v>
      </c>
      <c r="E2989">
        <v>192</v>
      </c>
      <c r="F2989">
        <v>408</v>
      </c>
      <c r="G2989">
        <v>9</v>
      </c>
      <c r="H2989">
        <v>16895</v>
      </c>
      <c r="I2989">
        <v>11</v>
      </c>
      <c r="J2989">
        <v>42</v>
      </c>
      <c r="K2989">
        <v>361</v>
      </c>
      <c r="L2989">
        <v>260</v>
      </c>
      <c r="M2989">
        <v>5.7777777779999999</v>
      </c>
      <c r="N2989">
        <f>IFERROR(VLOOKUP(A2989,vlookup_table!$A:$G,2,FALSE),"")</f>
        <v>2</v>
      </c>
      <c r="O2989">
        <f>IFERROR(VLOOKUP(A2989,vlookup_table!$A:$G,4,FALSE),"")</f>
        <v>0</v>
      </c>
      <c r="P2989" t="str">
        <f>IFERROR(VLOOKUP(A2989,vlookup_table!$A:$G,5,FALSE),"")</f>
        <v>U2</v>
      </c>
      <c r="Q2989">
        <f>IFERROR(VLOOKUP(A2989,vlookup_table!$A:$G,7,FALSE),"")</f>
        <v>5</v>
      </c>
      <c r="R2989">
        <f t="shared" si="184"/>
        <v>97</v>
      </c>
      <c r="S2989" t="str" cm="1">
        <f t="array" ref="S2989">IF(P2989="","",_xlfn.SWITCH(LEFT(P2989,1),"C","Ciudad","T","Pueblo","R","Rural","S","Suburbano","U","Urbano",""))</f>
        <v>Urbano</v>
      </c>
      <c r="T2989" t="str">
        <f t="shared" si="185"/>
        <v>M</v>
      </c>
      <c r="U2989" t="str">
        <f t="shared" si="186"/>
        <v>WA</v>
      </c>
      <c r="V2989" t="str">
        <f t="shared" si="187"/>
        <v>16895</v>
      </c>
    </row>
    <row r="2990" spans="1:22" x14ac:dyDescent="0.35">
      <c r="A2990">
        <v>68718</v>
      </c>
      <c r="B2990" t="s">
        <v>29</v>
      </c>
      <c r="C2990" t="s">
        <v>14</v>
      </c>
      <c r="D2990">
        <v>1114</v>
      </c>
      <c r="E2990">
        <v>623</v>
      </c>
      <c r="F2990">
        <v>621</v>
      </c>
      <c r="G2990">
        <v>1</v>
      </c>
      <c r="H2990">
        <v>17694</v>
      </c>
      <c r="I2990">
        <v>12</v>
      </c>
      <c r="J2990">
        <v>76</v>
      </c>
      <c r="K2990">
        <v>631</v>
      </c>
      <c r="L2990">
        <v>607</v>
      </c>
      <c r="M2990">
        <v>10.733333330000001</v>
      </c>
      <c r="N2990">
        <f>IFERROR(VLOOKUP(A2990,vlookup_table!$A:$G,2,FALSE),"")</f>
        <v>1002</v>
      </c>
      <c r="O2990">
        <f>IFERROR(VLOOKUP(A2990,vlookup_table!$A:$G,4,FALSE),"")</f>
        <v>0</v>
      </c>
      <c r="P2990" t="str">
        <f>IFERROR(VLOOKUP(A2990,vlookup_table!$A:$G,5,FALSE),"")</f>
        <v>S1</v>
      </c>
      <c r="Q2990">
        <f>IFERROR(VLOOKUP(A2990,vlookup_table!$A:$G,7,FALSE),"")</f>
        <v>10</v>
      </c>
      <c r="R2990">
        <f t="shared" si="184"/>
        <v>97</v>
      </c>
      <c r="S2990" t="str" cm="1">
        <f t="array" ref="S2990">IF(P2990="","",_xlfn.SWITCH(LEFT(P2990,1),"C","Ciudad","T","Pueblo","R","Rural","S","Suburbano","U","Urbano",""))</f>
        <v>Suburbano</v>
      </c>
      <c r="T2990" t="str">
        <f t="shared" si="185"/>
        <v>M</v>
      </c>
      <c r="U2990" t="str">
        <f t="shared" si="186"/>
        <v>MI</v>
      </c>
      <c r="V2990" t="str">
        <f t="shared" si="187"/>
        <v>17694</v>
      </c>
    </row>
    <row r="2991" spans="1:22" x14ac:dyDescent="0.35">
      <c r="A2991">
        <v>74673</v>
      </c>
      <c r="B2991" t="s">
        <v>29</v>
      </c>
      <c r="C2991" t="s">
        <v>17</v>
      </c>
      <c r="D2991">
        <v>368</v>
      </c>
      <c r="E2991">
        <v>168</v>
      </c>
      <c r="F2991">
        <v>260</v>
      </c>
      <c r="G2991">
        <v>0</v>
      </c>
      <c r="H2991">
        <v>8859</v>
      </c>
      <c r="I2991">
        <v>1</v>
      </c>
      <c r="J2991">
        <v>52</v>
      </c>
      <c r="K2991">
        <v>220</v>
      </c>
      <c r="L2991">
        <v>216</v>
      </c>
      <c r="M2991">
        <v>5.615384615</v>
      </c>
      <c r="N2991">
        <f>IFERROR(VLOOKUP(A2991,vlookup_table!$A:$G,2,FALSE),"")</f>
        <v>0</v>
      </c>
      <c r="O2991">
        <f>IFERROR(VLOOKUP(A2991,vlookup_table!$A:$G,4,FALSE),"")</f>
        <v>3805</v>
      </c>
      <c r="P2991" t="str">
        <f>IFERROR(VLOOKUP(A2991,vlookup_table!$A:$G,5,FALSE),"")</f>
        <v>R3</v>
      </c>
      <c r="Q2991">
        <f>IFERROR(VLOOKUP(A2991,vlookup_table!$A:$G,7,FALSE),"")</f>
        <v>7</v>
      </c>
      <c r="R2991">
        <f t="shared" si="184"/>
        <v>59</v>
      </c>
      <c r="S2991" t="str" cm="1">
        <f t="array" ref="S2991">IF(P2991="","",_xlfn.SWITCH(LEFT(P2991,1),"C","Ciudad","T","Pueblo","R","Rural","S","Suburbano","U","Urbano",""))</f>
        <v>Rural</v>
      </c>
      <c r="T2991" t="str">
        <f t="shared" si="185"/>
        <v>F</v>
      </c>
      <c r="U2991" t="str">
        <f t="shared" si="186"/>
        <v>MI</v>
      </c>
      <c r="V2991" t="str">
        <f t="shared" si="187"/>
        <v>8859</v>
      </c>
    </row>
    <row r="2992" spans="1:22" x14ac:dyDescent="0.35">
      <c r="A2992">
        <v>35328</v>
      </c>
      <c r="B2992" t="s">
        <v>13</v>
      </c>
      <c r="C2992" t="s">
        <v>14</v>
      </c>
      <c r="D2992">
        <v>1454</v>
      </c>
      <c r="E2992">
        <v>523</v>
      </c>
      <c r="F2992">
        <v>579</v>
      </c>
      <c r="G2992">
        <v>14</v>
      </c>
      <c r="H2992">
        <v>16035</v>
      </c>
      <c r="I2992">
        <v>7</v>
      </c>
      <c r="J2992">
        <v>28</v>
      </c>
      <c r="K2992">
        <v>526</v>
      </c>
      <c r="L2992">
        <v>575</v>
      </c>
      <c r="M2992">
        <v>11.64285714</v>
      </c>
      <c r="N2992">
        <f>IFERROR(VLOOKUP(A2992,vlookup_table!$A:$G,2,FALSE),"")</f>
        <v>1002</v>
      </c>
      <c r="O2992">
        <f>IFERROR(VLOOKUP(A2992,vlookup_table!$A:$G,4,FALSE),"")</f>
        <v>5809</v>
      </c>
      <c r="P2992" t="str">
        <f>IFERROR(VLOOKUP(A2992,vlookup_table!$A:$G,5,FALSE),"")</f>
        <v>C1</v>
      </c>
      <c r="Q2992">
        <f>IFERROR(VLOOKUP(A2992,vlookup_table!$A:$G,7,FALSE),"")</f>
        <v>20</v>
      </c>
      <c r="R2992">
        <f t="shared" si="184"/>
        <v>39</v>
      </c>
      <c r="S2992" t="str" cm="1">
        <f t="array" ref="S2992">IF(P2992="","",_xlfn.SWITCH(LEFT(P2992,1),"C","Ciudad","T","Pueblo","R","Rural","S","Suburbano","U","Urbano",""))</f>
        <v>Ciudad</v>
      </c>
      <c r="T2992" t="str">
        <f t="shared" si="185"/>
        <v>M</v>
      </c>
      <c r="U2992" t="str">
        <f t="shared" si="186"/>
        <v>FL</v>
      </c>
      <c r="V2992" t="str">
        <f t="shared" si="187"/>
        <v>16035</v>
      </c>
    </row>
    <row r="2993" spans="1:22" x14ac:dyDescent="0.35">
      <c r="A2993">
        <v>971</v>
      </c>
      <c r="B2993" t="s">
        <v>54</v>
      </c>
      <c r="C2993" t="s">
        <v>17</v>
      </c>
      <c r="D2993">
        <v>695</v>
      </c>
      <c r="E2993">
        <v>222</v>
      </c>
      <c r="F2993">
        <v>291</v>
      </c>
      <c r="G2993">
        <v>0</v>
      </c>
      <c r="H2993">
        <v>9991</v>
      </c>
      <c r="I2993">
        <v>3</v>
      </c>
      <c r="J2993">
        <v>28</v>
      </c>
      <c r="K2993">
        <v>304</v>
      </c>
      <c r="L2993">
        <v>279</v>
      </c>
      <c r="M2993">
        <v>7.5</v>
      </c>
      <c r="N2993">
        <f>IFERROR(VLOOKUP(A2993,vlookup_table!$A:$G,2,FALSE),"")</f>
        <v>3</v>
      </c>
      <c r="O2993">
        <f>IFERROR(VLOOKUP(A2993,vlookup_table!$A:$G,4,FALSE),"")</f>
        <v>4001</v>
      </c>
      <c r="P2993" t="str">
        <f>IFERROR(VLOOKUP(A2993,vlookup_table!$A:$G,5,FALSE),"")</f>
        <v>T2</v>
      </c>
      <c r="Q2993">
        <f>IFERROR(VLOOKUP(A2993,vlookup_table!$A:$G,7,FALSE),"")</f>
        <v>8</v>
      </c>
      <c r="R2993">
        <f t="shared" si="184"/>
        <v>57</v>
      </c>
      <c r="S2993" t="str" cm="1">
        <f t="array" ref="S2993">IF(P2993="","",_xlfn.SWITCH(LEFT(P2993,1),"C","Ciudad","T","Pueblo","R","Rural","S","Suburbano","U","Urbano",""))</f>
        <v>Pueblo</v>
      </c>
      <c r="T2993" t="str">
        <f t="shared" si="185"/>
        <v>F</v>
      </c>
      <c r="U2993" t="str">
        <f t="shared" si="186"/>
        <v>NM</v>
      </c>
      <c r="V2993" t="str">
        <f t="shared" si="187"/>
        <v>9991</v>
      </c>
    </row>
    <row r="2994" spans="1:22" x14ac:dyDescent="0.35">
      <c r="A2994">
        <v>18508</v>
      </c>
      <c r="B2994" t="s">
        <v>18</v>
      </c>
      <c r="C2994" t="s">
        <v>20</v>
      </c>
      <c r="D2994">
        <v>635</v>
      </c>
      <c r="E2994">
        <v>301</v>
      </c>
      <c r="F2994">
        <v>388</v>
      </c>
      <c r="G2994">
        <v>3</v>
      </c>
      <c r="H2994">
        <v>12754</v>
      </c>
      <c r="I2994">
        <v>2</v>
      </c>
      <c r="J2994">
        <v>73</v>
      </c>
      <c r="K2994">
        <v>342</v>
      </c>
      <c r="L2994">
        <v>338</v>
      </c>
      <c r="M2994">
        <v>6.6666666670000003</v>
      </c>
      <c r="N2994">
        <f>IFERROR(VLOOKUP(A2994,vlookup_table!$A:$G,2,FALSE),"")</f>
        <v>2</v>
      </c>
      <c r="O2994">
        <f>IFERROR(VLOOKUP(A2994,vlookup_table!$A:$G,4,FALSE),"")</f>
        <v>0</v>
      </c>
      <c r="P2994" t="str">
        <f>IFERROR(VLOOKUP(A2994,vlookup_table!$A:$G,5,FALSE),"")</f>
        <v>T2</v>
      </c>
      <c r="Q2994">
        <f>IFERROR(VLOOKUP(A2994,vlookup_table!$A:$G,7,FALSE),"")</f>
        <v>6</v>
      </c>
      <c r="R2994">
        <f t="shared" si="184"/>
        <v>97</v>
      </c>
      <c r="S2994" t="str" cm="1">
        <f t="array" ref="S2994">IF(P2994="","",_xlfn.SWITCH(LEFT(P2994,1),"C","Ciudad","T","Pueblo","R","Rural","S","Suburbano","U","Urbano",""))</f>
        <v>Pueblo</v>
      </c>
      <c r="T2994" t="str">
        <f t="shared" si="185"/>
        <v>F</v>
      </c>
      <c r="U2994" t="str">
        <f t="shared" si="186"/>
        <v>NC</v>
      </c>
      <c r="V2994" t="str">
        <f t="shared" si="187"/>
        <v>12754</v>
      </c>
    </row>
    <row r="2995" spans="1:22" x14ac:dyDescent="0.35">
      <c r="A2995">
        <v>93496</v>
      </c>
      <c r="B2995" t="s">
        <v>16</v>
      </c>
      <c r="C2995" t="s">
        <v>17</v>
      </c>
      <c r="D2995">
        <v>819</v>
      </c>
      <c r="E2995">
        <v>255</v>
      </c>
      <c r="F2995">
        <v>342</v>
      </c>
      <c r="G2995">
        <v>15</v>
      </c>
      <c r="H2995">
        <v>13588</v>
      </c>
      <c r="I2995">
        <v>16</v>
      </c>
      <c r="J2995">
        <v>62</v>
      </c>
      <c r="K2995">
        <v>263</v>
      </c>
      <c r="L2995">
        <v>323</v>
      </c>
      <c r="M2995">
        <v>4.4545454549999999</v>
      </c>
      <c r="N2995">
        <f>IFERROR(VLOOKUP(A2995,vlookup_table!$A:$G,2,FALSE),"")</f>
        <v>0</v>
      </c>
      <c r="O2995">
        <f>IFERROR(VLOOKUP(A2995,vlookup_table!$A:$G,4,FALSE),"")</f>
        <v>1907</v>
      </c>
      <c r="P2995" t="str">
        <f>IFERROR(VLOOKUP(A2995,vlookup_table!$A:$G,5,FALSE),"")</f>
        <v>U2</v>
      </c>
      <c r="Q2995">
        <f>IFERROR(VLOOKUP(A2995,vlookup_table!$A:$G,7,FALSE),"")</f>
        <v>10</v>
      </c>
      <c r="R2995">
        <f t="shared" si="184"/>
        <v>78</v>
      </c>
      <c r="S2995" t="str" cm="1">
        <f t="array" ref="S2995">IF(P2995="","",_xlfn.SWITCH(LEFT(P2995,1),"C","Ciudad","T","Pueblo","R","Rural","S","Suburbano","U","Urbano",""))</f>
        <v>Urbano</v>
      </c>
      <c r="T2995" t="str">
        <f t="shared" si="185"/>
        <v>F</v>
      </c>
      <c r="U2995" t="str">
        <f t="shared" si="186"/>
        <v>IL</v>
      </c>
      <c r="V2995" t="str">
        <f t="shared" si="187"/>
        <v>13588</v>
      </c>
    </row>
    <row r="2996" spans="1:22" x14ac:dyDescent="0.35">
      <c r="A2996">
        <v>92121</v>
      </c>
      <c r="B2996" t="s">
        <v>16</v>
      </c>
      <c r="C2996" t="s">
        <v>14</v>
      </c>
      <c r="D2996">
        <v>1216</v>
      </c>
      <c r="E2996">
        <v>449</v>
      </c>
      <c r="F2996">
        <v>514</v>
      </c>
      <c r="G2996">
        <v>9</v>
      </c>
      <c r="H2996">
        <v>16243</v>
      </c>
      <c r="I2996">
        <v>1</v>
      </c>
      <c r="J2996">
        <v>83</v>
      </c>
      <c r="K2996">
        <v>470</v>
      </c>
      <c r="L2996">
        <v>492</v>
      </c>
      <c r="M2996">
        <v>15</v>
      </c>
      <c r="N2996">
        <f>IFERROR(VLOOKUP(A2996,vlookup_table!$A:$G,2,FALSE),"")</f>
        <v>0</v>
      </c>
      <c r="O2996">
        <f>IFERROR(VLOOKUP(A2996,vlookup_table!$A:$G,4,FALSE),"")</f>
        <v>6401</v>
      </c>
      <c r="P2996" t="str">
        <f>IFERROR(VLOOKUP(A2996,vlookup_table!$A:$G,5,FALSE),"")</f>
        <v>T2</v>
      </c>
      <c r="Q2996">
        <f>IFERROR(VLOOKUP(A2996,vlookup_table!$A:$G,7,FALSE),"")</f>
        <v>15</v>
      </c>
      <c r="R2996">
        <f t="shared" si="184"/>
        <v>33</v>
      </c>
      <c r="S2996" t="str" cm="1">
        <f t="array" ref="S2996">IF(P2996="","",_xlfn.SWITCH(LEFT(P2996,1),"C","Ciudad","T","Pueblo","R","Rural","S","Suburbano","U","Urbano",""))</f>
        <v>Pueblo</v>
      </c>
      <c r="T2996" t="str">
        <f t="shared" si="185"/>
        <v>M</v>
      </c>
      <c r="U2996" t="str">
        <f t="shared" si="186"/>
        <v>IL</v>
      </c>
      <c r="V2996" t="str">
        <f t="shared" si="187"/>
        <v>16243</v>
      </c>
    </row>
    <row r="2997" spans="1:22" x14ac:dyDescent="0.35">
      <c r="A2997">
        <v>6649</v>
      </c>
      <c r="B2997" t="s">
        <v>55</v>
      </c>
      <c r="C2997" t="s">
        <v>60</v>
      </c>
      <c r="D2997">
        <v>2026</v>
      </c>
      <c r="E2997">
        <v>655</v>
      </c>
      <c r="F2997">
        <v>829</v>
      </c>
      <c r="G2997">
        <v>51</v>
      </c>
      <c r="H2997">
        <v>31520</v>
      </c>
      <c r="I2997">
        <v>7</v>
      </c>
      <c r="J2997">
        <v>29</v>
      </c>
      <c r="K2997">
        <v>711</v>
      </c>
      <c r="L2997">
        <v>756</v>
      </c>
      <c r="M2997">
        <v>32.416666669999998</v>
      </c>
      <c r="N2997">
        <f>IFERROR(VLOOKUP(A2997,vlookup_table!$A:$G,2,FALSE),"")</f>
        <v>1</v>
      </c>
      <c r="O2997">
        <f>IFERROR(VLOOKUP(A2997,vlookup_table!$A:$G,4,FALSE),"")</f>
        <v>0</v>
      </c>
      <c r="P2997">
        <f>IFERROR(VLOOKUP(A2997,vlookup_table!$A:$G,5,FALSE),"")</f>
        <v>0</v>
      </c>
      <c r="Q2997">
        <f>IFERROR(VLOOKUP(A2997,vlookup_table!$A:$G,7,FALSE),"")</f>
        <v>50</v>
      </c>
      <c r="R2997">
        <f t="shared" si="184"/>
        <v>97</v>
      </c>
      <c r="S2997" t="str" cm="1">
        <f t="array" ref="S2997">IF(P2997="","",_xlfn.SWITCH(LEFT(P2997,1),"C","Ciudad","T","Pueblo","R","Rural","S","Suburbano","U","Urbano",""))</f>
        <v/>
      </c>
      <c r="T2997" t="str">
        <f t="shared" si="185"/>
        <v>F</v>
      </c>
      <c r="U2997" t="str">
        <f t="shared" si="186"/>
        <v>AZ</v>
      </c>
      <c r="V2997" t="str">
        <f t="shared" si="187"/>
        <v>31520</v>
      </c>
    </row>
    <row r="2998" spans="1:22" x14ac:dyDescent="0.35">
      <c r="A2998">
        <v>186993</v>
      </c>
      <c r="B2998" t="s">
        <v>21</v>
      </c>
      <c r="C2998" t="s">
        <v>14</v>
      </c>
      <c r="D2998">
        <v>567</v>
      </c>
      <c r="E2998">
        <v>201</v>
      </c>
      <c r="F2998">
        <v>313</v>
      </c>
      <c r="G2998">
        <v>1</v>
      </c>
      <c r="H2998">
        <v>10793</v>
      </c>
      <c r="I2998">
        <v>10</v>
      </c>
      <c r="J2998">
        <v>67</v>
      </c>
      <c r="K2998">
        <v>240</v>
      </c>
      <c r="L2998">
        <v>302</v>
      </c>
      <c r="M2998">
        <v>10.545454550000001</v>
      </c>
      <c r="N2998">
        <f>IFERROR(VLOOKUP(A2998,vlookup_table!$A:$G,2,FALSE),"")</f>
        <v>1</v>
      </c>
      <c r="O2998">
        <f>IFERROR(VLOOKUP(A2998,vlookup_table!$A:$G,4,FALSE),"")</f>
        <v>0</v>
      </c>
      <c r="P2998">
        <f>IFERROR(VLOOKUP(A2998,vlookup_table!$A:$G,5,FALSE),"")</f>
        <v>0</v>
      </c>
      <c r="Q2998">
        <f>IFERROR(VLOOKUP(A2998,vlookup_table!$A:$G,7,FALSE),"")</f>
        <v>10</v>
      </c>
      <c r="R2998">
        <f t="shared" si="184"/>
        <v>97</v>
      </c>
      <c r="S2998" t="str" cm="1">
        <f t="array" ref="S2998">IF(P2998="","",_xlfn.SWITCH(LEFT(P2998,1),"C","Ciudad","T","Pueblo","R","Rural","S","Suburbano","U","Urbano",""))</f>
        <v/>
      </c>
      <c r="T2998" t="str">
        <f t="shared" si="185"/>
        <v>M</v>
      </c>
      <c r="U2998" t="str">
        <f t="shared" si="186"/>
        <v>TX</v>
      </c>
      <c r="V2998" t="str">
        <f t="shared" si="187"/>
        <v>10793</v>
      </c>
    </row>
    <row r="2999" spans="1:22" x14ac:dyDescent="0.35">
      <c r="A2999">
        <v>175935</v>
      </c>
      <c r="B2999" t="s">
        <v>50</v>
      </c>
      <c r="C2999" t="s">
        <v>17</v>
      </c>
      <c r="D2999">
        <v>541</v>
      </c>
      <c r="E2999">
        <v>171</v>
      </c>
      <c r="F2999">
        <v>283</v>
      </c>
      <c r="G2999">
        <v>0</v>
      </c>
      <c r="H2999">
        <v>9862</v>
      </c>
      <c r="I2999">
        <v>11</v>
      </c>
      <c r="J2999">
        <v>46</v>
      </c>
      <c r="K2999">
        <v>239</v>
      </c>
      <c r="L2999">
        <v>220</v>
      </c>
      <c r="M2999">
        <v>15</v>
      </c>
      <c r="N2999">
        <f>IFERROR(VLOOKUP(A2999,vlookup_table!$A:$G,2,FALSE),"")</f>
        <v>28</v>
      </c>
      <c r="O2999">
        <f>IFERROR(VLOOKUP(A2999,vlookup_table!$A:$G,4,FALSE),"")</f>
        <v>0</v>
      </c>
      <c r="P2999" t="str">
        <f>IFERROR(VLOOKUP(A2999,vlookup_table!$A:$G,5,FALSE),"")</f>
        <v>S2</v>
      </c>
      <c r="Q2999">
        <f>IFERROR(VLOOKUP(A2999,vlookup_table!$A:$G,7,FALSE),"")</f>
        <v>15</v>
      </c>
      <c r="R2999">
        <f t="shared" si="184"/>
        <v>97</v>
      </c>
      <c r="S2999" t="str" cm="1">
        <f t="array" ref="S2999">IF(P2999="","",_xlfn.SWITCH(LEFT(P2999,1),"C","Ciudad","T","Pueblo","R","Rural","S","Suburbano","U","Urbano",""))</f>
        <v>Suburbano</v>
      </c>
      <c r="T2999" t="str">
        <f t="shared" si="185"/>
        <v>F</v>
      </c>
      <c r="U2999" t="str">
        <f t="shared" si="186"/>
        <v>OR</v>
      </c>
      <c r="V2999" t="str">
        <f t="shared" si="187"/>
        <v>9862</v>
      </c>
    </row>
    <row r="3000" spans="1:22" x14ac:dyDescent="0.35">
      <c r="A3000">
        <v>133163</v>
      </c>
      <c r="B3000" t="s">
        <v>41</v>
      </c>
      <c r="C3000" t="s">
        <v>14</v>
      </c>
      <c r="D3000">
        <v>418</v>
      </c>
      <c r="E3000">
        <v>188</v>
      </c>
      <c r="F3000">
        <v>241</v>
      </c>
      <c r="G3000">
        <v>0</v>
      </c>
      <c r="H3000">
        <v>7470</v>
      </c>
      <c r="I3000">
        <v>2</v>
      </c>
      <c r="J3000">
        <v>58</v>
      </c>
      <c r="K3000">
        <v>227</v>
      </c>
      <c r="L3000">
        <v>220</v>
      </c>
      <c r="M3000">
        <v>15</v>
      </c>
      <c r="N3000">
        <f>IFERROR(VLOOKUP(A3000,vlookup_table!$A:$G,2,FALSE),"")</f>
        <v>1</v>
      </c>
      <c r="O3000">
        <f>IFERROR(VLOOKUP(A3000,vlookup_table!$A:$G,4,FALSE),"")</f>
        <v>4501</v>
      </c>
      <c r="P3000" t="str">
        <f>IFERROR(VLOOKUP(A3000,vlookup_table!$A:$G,5,FALSE),"")</f>
        <v>T2</v>
      </c>
      <c r="Q3000">
        <f>IFERROR(VLOOKUP(A3000,vlookup_table!$A:$G,7,FALSE),"")</f>
        <v>15</v>
      </c>
      <c r="R3000">
        <f t="shared" si="184"/>
        <v>52</v>
      </c>
      <c r="S3000" t="str" cm="1">
        <f t="array" ref="S3000">IF(P3000="","",_xlfn.SWITCH(LEFT(P3000,1),"C","Ciudad","T","Pueblo","R","Rural","S","Suburbano","U","Urbano",""))</f>
        <v>Pueblo</v>
      </c>
      <c r="T3000" t="str">
        <f t="shared" si="185"/>
        <v>M</v>
      </c>
      <c r="U3000" t="str">
        <f t="shared" si="186"/>
        <v>ID</v>
      </c>
      <c r="V3000" t="str">
        <f t="shared" si="187"/>
        <v>7470</v>
      </c>
    </row>
    <row r="3001" spans="1:22" x14ac:dyDescent="0.35">
      <c r="A3001">
        <v>12</v>
      </c>
      <c r="B3001" t="s">
        <v>36</v>
      </c>
      <c r="C3001" t="s">
        <v>14</v>
      </c>
      <c r="D3001">
        <v>334</v>
      </c>
      <c r="E3001">
        <v>212</v>
      </c>
      <c r="F3001">
        <v>305</v>
      </c>
      <c r="G3001">
        <v>0</v>
      </c>
      <c r="H3001">
        <v>10385</v>
      </c>
      <c r="I3001">
        <v>1</v>
      </c>
      <c r="J3001">
        <v>77</v>
      </c>
      <c r="K3001">
        <v>259</v>
      </c>
      <c r="L3001">
        <v>259</v>
      </c>
      <c r="M3001">
        <v>14.72</v>
      </c>
      <c r="N3001">
        <f>IFERROR(VLOOKUP(A3001,vlookup_table!$A:$G,2,FALSE),"")</f>
        <v>2</v>
      </c>
      <c r="O3001">
        <f>IFERROR(VLOOKUP(A3001,vlookup_table!$A:$G,4,FALSE),"")</f>
        <v>1804</v>
      </c>
      <c r="P3001" t="str">
        <f>IFERROR(VLOOKUP(A3001,vlookup_table!$A:$G,5,FALSE),"")</f>
        <v>R2</v>
      </c>
      <c r="Q3001">
        <f>IFERROR(VLOOKUP(A3001,vlookup_table!$A:$G,7,FALSE),"")</f>
        <v>10</v>
      </c>
      <c r="R3001">
        <f t="shared" si="184"/>
        <v>79</v>
      </c>
      <c r="S3001" t="str" cm="1">
        <f t="array" ref="S3001">IF(P3001="","",_xlfn.SWITCH(LEFT(P3001,1),"C","Ciudad","T","Pueblo","R","Rural","S","Suburbano","U","Urbano",""))</f>
        <v>Rural</v>
      </c>
      <c r="T3001" t="str">
        <f t="shared" si="185"/>
        <v>M</v>
      </c>
      <c r="U3001" t="str">
        <f t="shared" si="186"/>
        <v>MO</v>
      </c>
      <c r="V3001" t="str">
        <f t="shared" si="187"/>
        <v>10385</v>
      </c>
    </row>
    <row r="3002" spans="1:22" x14ac:dyDescent="0.35">
      <c r="A3002">
        <v>511</v>
      </c>
      <c r="B3002" t="s">
        <v>21</v>
      </c>
      <c r="C3002" t="s">
        <v>17</v>
      </c>
      <c r="D3002">
        <v>1024</v>
      </c>
      <c r="E3002">
        <v>225</v>
      </c>
      <c r="F3002">
        <v>393</v>
      </c>
      <c r="G3002">
        <v>2</v>
      </c>
      <c r="H3002">
        <v>16782</v>
      </c>
      <c r="I3002">
        <v>7</v>
      </c>
      <c r="J3002">
        <v>53</v>
      </c>
      <c r="K3002">
        <v>267</v>
      </c>
      <c r="L3002">
        <v>299</v>
      </c>
      <c r="M3002">
        <v>10</v>
      </c>
      <c r="N3002">
        <f>IFERROR(VLOOKUP(A3002,vlookup_table!$A:$G,2,FALSE),"")</f>
        <v>28</v>
      </c>
      <c r="O3002">
        <f>IFERROR(VLOOKUP(A3002,vlookup_table!$A:$G,4,FALSE),"")</f>
        <v>1501</v>
      </c>
      <c r="P3002" t="str">
        <f>IFERROR(VLOOKUP(A3002,vlookup_table!$A:$G,5,FALSE),"")</f>
        <v>S1</v>
      </c>
      <c r="Q3002">
        <f>IFERROR(VLOOKUP(A3002,vlookup_table!$A:$G,7,FALSE),"")</f>
        <v>12</v>
      </c>
      <c r="R3002">
        <f t="shared" si="184"/>
        <v>82</v>
      </c>
      <c r="S3002" t="str" cm="1">
        <f t="array" ref="S3002">IF(P3002="","",_xlfn.SWITCH(LEFT(P3002,1),"C","Ciudad","T","Pueblo","R","Rural","S","Suburbano","U","Urbano",""))</f>
        <v>Suburbano</v>
      </c>
      <c r="T3002" t="str">
        <f t="shared" si="185"/>
        <v>F</v>
      </c>
      <c r="U3002" t="str">
        <f t="shared" si="186"/>
        <v>TX</v>
      </c>
      <c r="V3002" t="str">
        <f t="shared" si="187"/>
        <v>16782</v>
      </c>
    </row>
    <row r="3003" spans="1:22" x14ac:dyDescent="0.35">
      <c r="A3003">
        <v>125013</v>
      </c>
      <c r="B3003" t="s">
        <v>21</v>
      </c>
      <c r="C3003" t="s">
        <v>17</v>
      </c>
      <c r="D3003">
        <v>644</v>
      </c>
      <c r="E3003">
        <v>275</v>
      </c>
      <c r="F3003">
        <v>331</v>
      </c>
      <c r="G3003">
        <v>2</v>
      </c>
      <c r="H3003">
        <v>11416</v>
      </c>
      <c r="I3003">
        <v>2</v>
      </c>
      <c r="J3003">
        <v>76</v>
      </c>
      <c r="K3003">
        <v>294</v>
      </c>
      <c r="L3003">
        <v>314</v>
      </c>
      <c r="M3003">
        <v>7.75</v>
      </c>
      <c r="N3003">
        <f>IFERROR(VLOOKUP(A3003,vlookup_table!$A:$G,2,FALSE),"")</f>
        <v>2</v>
      </c>
      <c r="O3003">
        <f>IFERROR(VLOOKUP(A3003,vlookup_table!$A:$G,4,FALSE),"")</f>
        <v>0</v>
      </c>
      <c r="P3003" t="str">
        <f>IFERROR(VLOOKUP(A3003,vlookup_table!$A:$G,5,FALSE),"")</f>
        <v>T2</v>
      </c>
      <c r="Q3003">
        <f>IFERROR(VLOOKUP(A3003,vlookup_table!$A:$G,7,FALSE),"")</f>
        <v>15</v>
      </c>
      <c r="R3003">
        <f t="shared" si="184"/>
        <v>97</v>
      </c>
      <c r="S3003" t="str" cm="1">
        <f t="array" ref="S3003">IF(P3003="","",_xlfn.SWITCH(LEFT(P3003,1),"C","Ciudad","T","Pueblo","R","Rural","S","Suburbano","U","Urbano",""))</f>
        <v>Pueblo</v>
      </c>
      <c r="T3003" t="str">
        <f t="shared" si="185"/>
        <v>F</v>
      </c>
      <c r="U3003" t="str">
        <f t="shared" si="186"/>
        <v>TX</v>
      </c>
      <c r="V3003" t="str">
        <f t="shared" si="187"/>
        <v>11416</v>
      </c>
    </row>
    <row r="3004" spans="1:22" x14ac:dyDescent="0.35">
      <c r="A3004">
        <v>138814</v>
      </c>
      <c r="B3004" t="s">
        <v>55</v>
      </c>
      <c r="C3004" t="s">
        <v>60</v>
      </c>
      <c r="D3004">
        <v>940</v>
      </c>
      <c r="E3004">
        <v>203</v>
      </c>
      <c r="F3004">
        <v>338</v>
      </c>
      <c r="G3004">
        <v>8</v>
      </c>
      <c r="H3004">
        <v>13487</v>
      </c>
      <c r="I3004">
        <v>6</v>
      </c>
      <c r="J3004">
        <v>32</v>
      </c>
      <c r="K3004">
        <v>244</v>
      </c>
      <c r="L3004">
        <v>303</v>
      </c>
      <c r="M3004">
        <v>9.6999999999999993</v>
      </c>
      <c r="N3004">
        <f>IFERROR(VLOOKUP(A3004,vlookup_table!$A:$G,2,FALSE),"")</f>
        <v>0</v>
      </c>
      <c r="O3004">
        <f>IFERROR(VLOOKUP(A3004,vlookup_table!$A:$G,4,FALSE),"")</f>
        <v>5401</v>
      </c>
      <c r="P3004" t="str">
        <f>IFERROR(VLOOKUP(A3004,vlookup_table!$A:$G,5,FALSE),"")</f>
        <v>T2</v>
      </c>
      <c r="Q3004">
        <f>IFERROR(VLOOKUP(A3004,vlookup_table!$A:$G,7,FALSE),"")</f>
        <v>20</v>
      </c>
      <c r="R3004">
        <f t="shared" si="184"/>
        <v>43</v>
      </c>
      <c r="S3004" t="str" cm="1">
        <f t="array" ref="S3004">IF(P3004="","",_xlfn.SWITCH(LEFT(P3004,1),"C","Ciudad","T","Pueblo","R","Rural","S","Suburbano","U","Urbano",""))</f>
        <v>Pueblo</v>
      </c>
      <c r="T3004" t="str">
        <f t="shared" si="185"/>
        <v>F</v>
      </c>
      <c r="U3004" t="str">
        <f t="shared" si="186"/>
        <v>AZ</v>
      </c>
      <c r="V3004" t="str">
        <f t="shared" si="187"/>
        <v>13487</v>
      </c>
    </row>
    <row r="3005" spans="1:22" x14ac:dyDescent="0.35">
      <c r="A3005">
        <v>101290</v>
      </c>
      <c r="B3005" t="s">
        <v>36</v>
      </c>
      <c r="C3005" t="s">
        <v>14</v>
      </c>
      <c r="D3005">
        <v>152</v>
      </c>
      <c r="E3005">
        <v>160</v>
      </c>
      <c r="F3005">
        <v>225</v>
      </c>
      <c r="G3005">
        <v>0</v>
      </c>
      <c r="H3005">
        <v>9249</v>
      </c>
      <c r="I3005">
        <v>0</v>
      </c>
      <c r="J3005">
        <v>80</v>
      </c>
      <c r="K3005">
        <v>174</v>
      </c>
      <c r="L3005">
        <v>195</v>
      </c>
      <c r="M3005">
        <v>3.25</v>
      </c>
      <c r="N3005">
        <f>IFERROR(VLOOKUP(A3005,vlookup_table!$A:$G,2,FALSE),"")</f>
        <v>1</v>
      </c>
      <c r="O3005">
        <f>IFERROR(VLOOKUP(A3005,vlookup_table!$A:$G,4,FALSE),"")</f>
        <v>1401</v>
      </c>
      <c r="P3005" t="str">
        <f>IFERROR(VLOOKUP(A3005,vlookup_table!$A:$G,5,FALSE),"")</f>
        <v>R3</v>
      </c>
      <c r="Q3005">
        <f>IFERROR(VLOOKUP(A3005,vlookup_table!$A:$G,7,FALSE),"")</f>
        <v>3</v>
      </c>
      <c r="R3005">
        <f t="shared" si="184"/>
        <v>83</v>
      </c>
      <c r="S3005" t="str" cm="1">
        <f t="array" ref="S3005">IF(P3005="","",_xlfn.SWITCH(LEFT(P3005,1),"C","Ciudad","T","Pueblo","R","Rural","S","Suburbano","U","Urbano",""))</f>
        <v>Rural</v>
      </c>
      <c r="T3005" t="str">
        <f t="shared" si="185"/>
        <v>M</v>
      </c>
      <c r="U3005" t="str">
        <f t="shared" si="186"/>
        <v>MO</v>
      </c>
      <c r="V3005" t="str">
        <f t="shared" si="187"/>
        <v>9249</v>
      </c>
    </row>
    <row r="3006" spans="1:22" x14ac:dyDescent="0.35">
      <c r="A3006">
        <v>22779</v>
      </c>
      <c r="B3006" t="s">
        <v>46</v>
      </c>
      <c r="C3006" t="s">
        <v>14</v>
      </c>
      <c r="D3006">
        <v>535</v>
      </c>
      <c r="E3006">
        <v>189</v>
      </c>
      <c r="F3006">
        <v>221</v>
      </c>
      <c r="G3006">
        <v>2</v>
      </c>
      <c r="H3006">
        <v>8017</v>
      </c>
      <c r="I3006">
        <v>0</v>
      </c>
      <c r="J3006">
        <v>75</v>
      </c>
      <c r="K3006">
        <v>192</v>
      </c>
      <c r="L3006">
        <v>204</v>
      </c>
      <c r="M3006">
        <v>12.53333333</v>
      </c>
      <c r="N3006">
        <f>IFERROR(VLOOKUP(A3006,vlookup_table!$A:$G,2,FALSE),"")</f>
        <v>0</v>
      </c>
      <c r="O3006">
        <f>IFERROR(VLOOKUP(A3006,vlookup_table!$A:$G,4,FALSE),"")</f>
        <v>5701</v>
      </c>
      <c r="P3006" t="str">
        <f>IFERROR(VLOOKUP(A3006,vlookup_table!$A:$G,5,FALSE),"")</f>
        <v>T2</v>
      </c>
      <c r="Q3006">
        <f>IFERROR(VLOOKUP(A3006,vlookup_table!$A:$G,7,FALSE),"")</f>
        <v>20</v>
      </c>
      <c r="R3006">
        <f t="shared" si="184"/>
        <v>40</v>
      </c>
      <c r="S3006" t="str" cm="1">
        <f t="array" ref="S3006">IF(P3006="","",_xlfn.SWITCH(LEFT(P3006,1),"C","Ciudad","T","Pueblo","R","Rural","S","Suburbano","U","Urbano",""))</f>
        <v>Pueblo</v>
      </c>
      <c r="T3006" t="str">
        <f t="shared" si="185"/>
        <v>M</v>
      </c>
      <c r="U3006" t="str">
        <f t="shared" si="186"/>
        <v>SC</v>
      </c>
      <c r="V3006" t="str">
        <f t="shared" si="187"/>
        <v>8017</v>
      </c>
    </row>
    <row r="3007" spans="1:22" x14ac:dyDescent="0.35">
      <c r="A3007">
        <v>138689</v>
      </c>
      <c r="B3007" t="s">
        <v>55</v>
      </c>
      <c r="C3007" t="s">
        <v>60</v>
      </c>
      <c r="D3007">
        <v>975</v>
      </c>
      <c r="E3007">
        <v>261</v>
      </c>
      <c r="F3007">
        <v>419</v>
      </c>
      <c r="G3007">
        <v>4</v>
      </c>
      <c r="H3007">
        <v>13670</v>
      </c>
      <c r="I3007">
        <v>2</v>
      </c>
      <c r="J3007">
        <v>38</v>
      </c>
      <c r="K3007">
        <v>335</v>
      </c>
      <c r="L3007">
        <v>325</v>
      </c>
      <c r="M3007">
        <v>13</v>
      </c>
      <c r="N3007">
        <f>IFERROR(VLOOKUP(A3007,vlookup_table!$A:$G,2,FALSE),"")</f>
        <v>28</v>
      </c>
      <c r="O3007">
        <f>IFERROR(VLOOKUP(A3007,vlookup_table!$A:$G,4,FALSE),"")</f>
        <v>0</v>
      </c>
      <c r="P3007" t="str">
        <f>IFERROR(VLOOKUP(A3007,vlookup_table!$A:$G,5,FALSE),"")</f>
        <v>T1</v>
      </c>
      <c r="Q3007">
        <f>IFERROR(VLOOKUP(A3007,vlookup_table!$A:$G,7,FALSE),"")</f>
        <v>25</v>
      </c>
      <c r="R3007">
        <f t="shared" si="184"/>
        <v>97</v>
      </c>
      <c r="S3007" t="str" cm="1">
        <f t="array" ref="S3007">IF(P3007="","",_xlfn.SWITCH(LEFT(P3007,1),"C","Ciudad","T","Pueblo","R","Rural","S","Suburbano","U","Urbano",""))</f>
        <v>Pueblo</v>
      </c>
      <c r="T3007" t="str">
        <f t="shared" si="185"/>
        <v>F</v>
      </c>
      <c r="U3007" t="str">
        <f t="shared" si="186"/>
        <v>AZ</v>
      </c>
      <c r="V3007" t="str">
        <f t="shared" si="187"/>
        <v>13670</v>
      </c>
    </row>
    <row r="3008" spans="1:22" x14ac:dyDescent="0.35">
      <c r="A3008">
        <v>99066</v>
      </c>
      <c r="B3008" t="s">
        <v>16</v>
      </c>
      <c r="C3008" t="s">
        <v>14</v>
      </c>
      <c r="D3008">
        <v>206</v>
      </c>
      <c r="E3008">
        <v>116</v>
      </c>
      <c r="F3008">
        <v>228</v>
      </c>
      <c r="G3008">
        <v>0</v>
      </c>
      <c r="H3008">
        <v>8204</v>
      </c>
      <c r="I3008">
        <v>1</v>
      </c>
      <c r="J3008">
        <v>63</v>
      </c>
      <c r="K3008">
        <v>164</v>
      </c>
      <c r="L3008">
        <v>194</v>
      </c>
      <c r="M3008">
        <v>4.434782609</v>
      </c>
      <c r="N3008">
        <f>IFERROR(VLOOKUP(A3008,vlookup_table!$A:$G,2,FALSE),"")</f>
        <v>1</v>
      </c>
      <c r="O3008">
        <f>IFERROR(VLOOKUP(A3008,vlookup_table!$A:$G,4,FALSE),"")</f>
        <v>3006</v>
      </c>
      <c r="P3008" t="str">
        <f>IFERROR(VLOOKUP(A3008,vlookup_table!$A:$G,5,FALSE),"")</f>
        <v>R3</v>
      </c>
      <c r="Q3008">
        <f>IFERROR(VLOOKUP(A3008,vlookup_table!$A:$G,7,FALSE),"")</f>
        <v>5</v>
      </c>
      <c r="R3008">
        <f t="shared" si="184"/>
        <v>67</v>
      </c>
      <c r="S3008" t="str" cm="1">
        <f t="array" ref="S3008">IF(P3008="","",_xlfn.SWITCH(LEFT(P3008,1),"C","Ciudad","T","Pueblo","R","Rural","S","Suburbano","U","Urbano",""))</f>
        <v>Rural</v>
      </c>
      <c r="T3008" t="str">
        <f t="shared" si="185"/>
        <v>M</v>
      </c>
      <c r="U3008" t="str">
        <f t="shared" si="186"/>
        <v>IL</v>
      </c>
      <c r="V3008" t="str">
        <f t="shared" si="187"/>
        <v>8204</v>
      </c>
    </row>
    <row r="3009" spans="1:22" x14ac:dyDescent="0.35">
      <c r="A3009">
        <v>148141</v>
      </c>
      <c r="B3009" t="s">
        <v>22</v>
      </c>
      <c r="C3009" t="s">
        <v>17</v>
      </c>
      <c r="D3009">
        <v>3576</v>
      </c>
      <c r="E3009">
        <v>661</v>
      </c>
      <c r="F3009">
        <v>826</v>
      </c>
      <c r="G3009">
        <v>96</v>
      </c>
      <c r="H3009">
        <v>29413</v>
      </c>
      <c r="I3009">
        <v>14</v>
      </c>
      <c r="J3009">
        <v>50</v>
      </c>
      <c r="K3009">
        <v>768</v>
      </c>
      <c r="L3009">
        <v>729</v>
      </c>
      <c r="M3009">
        <v>11</v>
      </c>
      <c r="N3009">
        <f>IFERROR(VLOOKUP(A3009,vlookup_table!$A:$G,2,FALSE),"")</f>
        <v>0</v>
      </c>
      <c r="O3009">
        <f>IFERROR(VLOOKUP(A3009,vlookup_table!$A:$G,4,FALSE),"")</f>
        <v>4704</v>
      </c>
      <c r="P3009" t="str">
        <f>IFERROR(VLOOKUP(A3009,vlookup_table!$A:$G,5,FALSE),"")</f>
        <v>C1</v>
      </c>
      <c r="Q3009">
        <f>IFERROR(VLOOKUP(A3009,vlookup_table!$A:$G,7,FALSE),"")</f>
        <v>14</v>
      </c>
      <c r="R3009">
        <f t="shared" si="184"/>
        <v>50</v>
      </c>
      <c r="S3009" t="str" cm="1">
        <f t="array" ref="S3009">IF(P3009="","",_xlfn.SWITCH(LEFT(P3009,1),"C","Ciudad","T","Pueblo","R","Rural","S","Suburbano","U","Urbano",""))</f>
        <v>Ciudad</v>
      </c>
      <c r="T3009" t="str">
        <f t="shared" si="185"/>
        <v>F</v>
      </c>
      <c r="U3009" t="str">
        <f t="shared" si="186"/>
        <v>CA</v>
      </c>
      <c r="V3009" t="str">
        <f t="shared" si="187"/>
        <v>29413</v>
      </c>
    </row>
    <row r="3010" spans="1:22" x14ac:dyDescent="0.35">
      <c r="A3010">
        <v>186456</v>
      </c>
      <c r="B3010" t="s">
        <v>50</v>
      </c>
      <c r="C3010" t="s">
        <v>17</v>
      </c>
      <c r="D3010">
        <v>589</v>
      </c>
      <c r="E3010">
        <v>277</v>
      </c>
      <c r="F3010">
        <v>364</v>
      </c>
      <c r="G3010">
        <v>1</v>
      </c>
      <c r="H3010">
        <v>12713</v>
      </c>
      <c r="I3010">
        <v>2</v>
      </c>
      <c r="J3010">
        <v>51</v>
      </c>
      <c r="K3010">
        <v>331</v>
      </c>
      <c r="L3010">
        <v>321</v>
      </c>
      <c r="M3010">
        <v>5.0882352940000004</v>
      </c>
      <c r="N3010">
        <f>IFERROR(VLOOKUP(A3010,vlookup_table!$A:$G,2,FALSE),"")</f>
        <v>0</v>
      </c>
      <c r="O3010">
        <f>IFERROR(VLOOKUP(A3010,vlookup_table!$A:$G,4,FALSE),"")</f>
        <v>712</v>
      </c>
      <c r="P3010" t="str">
        <f>IFERROR(VLOOKUP(A3010,vlookup_table!$A:$G,5,FALSE),"")</f>
        <v>C2</v>
      </c>
      <c r="Q3010">
        <f>IFERROR(VLOOKUP(A3010,vlookup_table!$A:$G,7,FALSE),"")</f>
        <v>5</v>
      </c>
      <c r="R3010">
        <f t="shared" ref="R3010:R3073" si="188">IF(O3010="","",97-INT(O3010/100))</f>
        <v>90</v>
      </c>
      <c r="S3010" t="str" cm="1">
        <f t="array" ref="S3010">IF(P3010="","",_xlfn.SWITCH(LEFT(P3010,1),"C","Ciudad","T","Pueblo","R","Rural","S","Suburbano","U","Urbano",""))</f>
        <v>Ciudad</v>
      </c>
      <c r="T3010" t="str">
        <f t="shared" ref="T3010:T3073" si="189">IF(C3010="","",IF(OR(UPPER(C3010)="M",UPPER(C3010)="MALE"),"M",IF(OR(UPPER(C3010)="F",UPPER(C3010)="FEMALE",UPPER(C3010)="FEAMALE"),"F",C3010)))</f>
        <v>F</v>
      </c>
      <c r="U3010" t="str">
        <f t="shared" ref="U3010:U3073" si="190">IF(OR(UPPER(B3010)="CALIFORNIA",UPPER(B3010)="CALI"),"CA",B3010)</f>
        <v>OR</v>
      </c>
      <c r="V3010" t="str">
        <f t="shared" ref="V3010:V3073" si="191">SUBSTITUTE(H3010,"@","")</f>
        <v>12713</v>
      </c>
    </row>
    <row r="3011" spans="1:22" x14ac:dyDescent="0.35">
      <c r="A3011">
        <v>158935</v>
      </c>
      <c r="B3011" t="s">
        <v>22</v>
      </c>
      <c r="C3011" t="s">
        <v>17</v>
      </c>
      <c r="D3011">
        <v>1781</v>
      </c>
      <c r="E3011">
        <v>170</v>
      </c>
      <c r="F3011">
        <v>178</v>
      </c>
      <c r="G3011">
        <v>33</v>
      </c>
      <c r="H3011">
        <v>14039</v>
      </c>
      <c r="I3011">
        <v>59</v>
      </c>
      <c r="J3011">
        <v>24</v>
      </c>
      <c r="K3011">
        <v>186</v>
      </c>
      <c r="L3011">
        <v>252</v>
      </c>
      <c r="M3011">
        <v>7.230769231</v>
      </c>
      <c r="N3011">
        <f>IFERROR(VLOOKUP(A3011,vlookup_table!$A:$G,2,FALSE),"")</f>
        <v>0</v>
      </c>
      <c r="O3011">
        <f>IFERROR(VLOOKUP(A3011,vlookup_table!$A:$G,4,FALSE),"")</f>
        <v>2001</v>
      </c>
      <c r="P3011" t="str">
        <f>IFERROR(VLOOKUP(A3011,vlookup_table!$A:$G,5,FALSE),"")</f>
        <v>C3</v>
      </c>
      <c r="Q3011">
        <f>IFERROR(VLOOKUP(A3011,vlookup_table!$A:$G,7,FALSE),"")</f>
        <v>5</v>
      </c>
      <c r="R3011">
        <f t="shared" si="188"/>
        <v>77</v>
      </c>
      <c r="S3011" t="str" cm="1">
        <f t="array" ref="S3011">IF(P3011="","",_xlfn.SWITCH(LEFT(P3011,1),"C","Ciudad","T","Pueblo","R","Rural","S","Suburbano","U","Urbano",""))</f>
        <v>Ciudad</v>
      </c>
      <c r="T3011" t="str">
        <f t="shared" si="189"/>
        <v>F</v>
      </c>
      <c r="U3011" t="str">
        <f t="shared" si="190"/>
        <v>CA</v>
      </c>
      <c r="V3011" t="str">
        <f t="shared" si="191"/>
        <v>14039</v>
      </c>
    </row>
    <row r="3012" spans="1:22" x14ac:dyDescent="0.35">
      <c r="A3012">
        <v>145275</v>
      </c>
      <c r="B3012" t="s">
        <v>22</v>
      </c>
      <c r="C3012" t="s">
        <v>17</v>
      </c>
      <c r="D3012">
        <v>3833</v>
      </c>
      <c r="E3012">
        <v>365</v>
      </c>
      <c r="F3012">
        <v>508</v>
      </c>
      <c r="G3012">
        <v>93</v>
      </c>
      <c r="H3012">
        <v>31120</v>
      </c>
      <c r="I3012">
        <v>29</v>
      </c>
      <c r="J3012">
        <v>27</v>
      </c>
      <c r="K3012">
        <v>426</v>
      </c>
      <c r="L3012">
        <v>461</v>
      </c>
      <c r="M3012">
        <v>12.2</v>
      </c>
      <c r="N3012">
        <f>IFERROR(VLOOKUP(A3012,vlookup_table!$A:$G,2,FALSE),"")</f>
        <v>28</v>
      </c>
      <c r="O3012">
        <f>IFERROR(VLOOKUP(A3012,vlookup_table!$A:$G,4,FALSE),"")</f>
        <v>3107</v>
      </c>
      <c r="P3012" t="str">
        <f>IFERROR(VLOOKUP(A3012,vlookup_table!$A:$G,5,FALSE),"")</f>
        <v>U1</v>
      </c>
      <c r="Q3012">
        <f>IFERROR(VLOOKUP(A3012,vlookup_table!$A:$G,7,FALSE),"")</f>
        <v>20</v>
      </c>
      <c r="R3012">
        <f t="shared" si="188"/>
        <v>66</v>
      </c>
      <c r="S3012" t="str" cm="1">
        <f t="array" ref="S3012">IF(P3012="","",_xlfn.SWITCH(LEFT(P3012,1),"C","Ciudad","T","Pueblo","R","Rural","S","Suburbano","U","Urbano",""))</f>
        <v>Urbano</v>
      </c>
      <c r="T3012" t="str">
        <f t="shared" si="189"/>
        <v>F</v>
      </c>
      <c r="U3012" t="str">
        <f t="shared" si="190"/>
        <v>CA</v>
      </c>
      <c r="V3012" t="str">
        <f t="shared" si="191"/>
        <v>31120</v>
      </c>
    </row>
    <row r="3013" spans="1:22" x14ac:dyDescent="0.35">
      <c r="A3013">
        <v>173744</v>
      </c>
      <c r="B3013" t="s">
        <v>37</v>
      </c>
      <c r="D3013">
        <v>798</v>
      </c>
      <c r="E3013">
        <v>234</v>
      </c>
      <c r="F3013">
        <v>321</v>
      </c>
      <c r="G3013">
        <v>2</v>
      </c>
      <c r="H3013">
        <v>10082</v>
      </c>
      <c r="I3013">
        <v>14</v>
      </c>
      <c r="J3013">
        <v>55</v>
      </c>
      <c r="K3013">
        <v>252</v>
      </c>
      <c r="L3013">
        <v>297</v>
      </c>
      <c r="M3013">
        <v>20</v>
      </c>
      <c r="N3013">
        <f>IFERROR(VLOOKUP(A3013,vlookup_table!$A:$G,2,FALSE),"")</f>
        <v>0</v>
      </c>
      <c r="O3013">
        <f>IFERROR(VLOOKUP(A3013,vlookup_table!$A:$G,4,FALSE),"")</f>
        <v>0</v>
      </c>
      <c r="P3013" t="str">
        <f>IFERROR(VLOOKUP(A3013,vlookup_table!$A:$G,5,FALSE),"")</f>
        <v>R2</v>
      </c>
      <c r="Q3013">
        <f>IFERROR(VLOOKUP(A3013,vlookup_table!$A:$G,7,FALSE),"")</f>
        <v>20</v>
      </c>
      <c r="R3013">
        <f t="shared" si="188"/>
        <v>97</v>
      </c>
      <c r="S3013" t="str" cm="1">
        <f t="array" ref="S3013">IF(P3013="","",_xlfn.SWITCH(LEFT(P3013,1),"C","Ciudad","T","Pueblo","R","Rural","S","Suburbano","U","Urbano",""))</f>
        <v>Rural</v>
      </c>
      <c r="T3013" t="str">
        <f t="shared" si="189"/>
        <v/>
      </c>
      <c r="U3013" t="str">
        <f t="shared" si="190"/>
        <v>HI</v>
      </c>
      <c r="V3013" t="str">
        <f t="shared" si="191"/>
        <v>10082</v>
      </c>
    </row>
    <row r="3014" spans="1:22" x14ac:dyDescent="0.35">
      <c r="A3014">
        <v>179683</v>
      </c>
      <c r="B3014" t="s">
        <v>40</v>
      </c>
      <c r="C3014" t="s">
        <v>17</v>
      </c>
      <c r="D3014">
        <v>1108</v>
      </c>
      <c r="E3014">
        <v>371</v>
      </c>
      <c r="F3014">
        <v>408</v>
      </c>
      <c r="G3014">
        <v>4</v>
      </c>
      <c r="H3014">
        <v>13661</v>
      </c>
      <c r="I3014">
        <v>3</v>
      </c>
      <c r="J3014">
        <v>63</v>
      </c>
      <c r="K3014">
        <v>395</v>
      </c>
      <c r="L3014">
        <v>393</v>
      </c>
      <c r="M3014">
        <v>21.666666670000001</v>
      </c>
      <c r="N3014">
        <f>IFERROR(VLOOKUP(A3014,vlookup_table!$A:$G,2,FALSE),"")</f>
        <v>0</v>
      </c>
      <c r="O3014">
        <f>IFERROR(VLOOKUP(A3014,vlookup_table!$A:$G,4,FALSE),"")</f>
        <v>5108</v>
      </c>
      <c r="P3014" t="str">
        <f>IFERROR(VLOOKUP(A3014,vlookup_table!$A:$G,5,FALSE),"")</f>
        <v>S2</v>
      </c>
      <c r="Q3014">
        <f>IFERROR(VLOOKUP(A3014,vlookup_table!$A:$G,7,FALSE),"")</f>
        <v>25</v>
      </c>
      <c r="R3014">
        <f t="shared" si="188"/>
        <v>46</v>
      </c>
      <c r="S3014" t="str" cm="1">
        <f t="array" ref="S3014">IF(P3014="","",_xlfn.SWITCH(LEFT(P3014,1),"C","Ciudad","T","Pueblo","R","Rural","S","Suburbano","U","Urbano",""))</f>
        <v>Suburbano</v>
      </c>
      <c r="T3014" t="str">
        <f t="shared" si="189"/>
        <v>F</v>
      </c>
      <c r="U3014" t="str">
        <f t="shared" si="190"/>
        <v>WA</v>
      </c>
      <c r="V3014" t="str">
        <f t="shared" si="191"/>
        <v>13661</v>
      </c>
    </row>
    <row r="3015" spans="1:22" x14ac:dyDescent="0.35">
      <c r="A3015">
        <v>188421</v>
      </c>
      <c r="B3015" t="s">
        <v>50</v>
      </c>
      <c r="C3015" t="s">
        <v>14</v>
      </c>
      <c r="D3015">
        <v>704</v>
      </c>
      <c r="E3015">
        <v>359</v>
      </c>
      <c r="F3015">
        <v>405</v>
      </c>
      <c r="G3015">
        <v>0</v>
      </c>
      <c r="H3015">
        <v>13482</v>
      </c>
      <c r="I3015">
        <v>4</v>
      </c>
      <c r="J3015">
        <v>48</v>
      </c>
      <c r="K3015">
        <v>370</v>
      </c>
      <c r="L3015">
        <v>392</v>
      </c>
      <c r="M3015">
        <v>7.5</v>
      </c>
      <c r="N3015">
        <f>IFERROR(VLOOKUP(A3015,vlookup_table!$A:$G,2,FALSE),"")</f>
        <v>1</v>
      </c>
      <c r="O3015">
        <f>IFERROR(VLOOKUP(A3015,vlookup_table!$A:$G,4,FALSE),"")</f>
        <v>2403</v>
      </c>
      <c r="P3015" t="str">
        <f>IFERROR(VLOOKUP(A3015,vlookup_table!$A:$G,5,FALSE),"")</f>
        <v>S2</v>
      </c>
      <c r="Q3015">
        <f>IFERROR(VLOOKUP(A3015,vlookup_table!$A:$G,7,FALSE),"")</f>
        <v>10</v>
      </c>
      <c r="R3015">
        <f t="shared" si="188"/>
        <v>73</v>
      </c>
      <c r="S3015" t="str" cm="1">
        <f t="array" ref="S3015">IF(P3015="","",_xlfn.SWITCH(LEFT(P3015,1),"C","Ciudad","T","Pueblo","R","Rural","S","Suburbano","U","Urbano",""))</f>
        <v>Suburbano</v>
      </c>
      <c r="T3015" t="str">
        <f t="shared" si="189"/>
        <v>M</v>
      </c>
      <c r="U3015" t="str">
        <f t="shared" si="190"/>
        <v>OR</v>
      </c>
      <c r="V3015" t="str">
        <f t="shared" si="191"/>
        <v>13482</v>
      </c>
    </row>
    <row r="3016" spans="1:22" x14ac:dyDescent="0.35">
      <c r="A3016">
        <v>123699</v>
      </c>
      <c r="B3016" t="s">
        <v>21</v>
      </c>
      <c r="C3016" t="s">
        <v>17</v>
      </c>
      <c r="D3016">
        <v>1077</v>
      </c>
      <c r="E3016">
        <v>751</v>
      </c>
      <c r="F3016">
        <v>762</v>
      </c>
      <c r="G3016">
        <v>2</v>
      </c>
      <c r="H3016">
        <v>28799</v>
      </c>
      <c r="I3016">
        <v>5</v>
      </c>
      <c r="J3016">
        <v>55</v>
      </c>
      <c r="K3016">
        <v>733</v>
      </c>
      <c r="L3016">
        <v>766</v>
      </c>
      <c r="M3016">
        <v>7.8</v>
      </c>
      <c r="N3016">
        <f>IFERROR(VLOOKUP(A3016,vlookup_table!$A:$G,2,FALSE),"")</f>
        <v>0</v>
      </c>
      <c r="O3016">
        <f>IFERROR(VLOOKUP(A3016,vlookup_table!$A:$G,4,FALSE),"")</f>
        <v>5101</v>
      </c>
      <c r="P3016" t="str">
        <f>IFERROR(VLOOKUP(A3016,vlookup_table!$A:$G,5,FALSE),"")</f>
        <v>C1</v>
      </c>
      <c r="Q3016">
        <f>IFERROR(VLOOKUP(A3016,vlookup_table!$A:$G,7,FALSE),"")</f>
        <v>10</v>
      </c>
      <c r="R3016">
        <f t="shared" si="188"/>
        <v>46</v>
      </c>
      <c r="S3016" t="str" cm="1">
        <f t="array" ref="S3016">IF(P3016="","",_xlfn.SWITCH(LEFT(P3016,1),"C","Ciudad","T","Pueblo","R","Rural","S","Suburbano","U","Urbano",""))</f>
        <v>Ciudad</v>
      </c>
      <c r="T3016" t="str">
        <f t="shared" si="189"/>
        <v>F</v>
      </c>
      <c r="U3016" t="str">
        <f t="shared" si="190"/>
        <v>TX</v>
      </c>
      <c r="V3016" t="str">
        <f t="shared" si="191"/>
        <v>28799</v>
      </c>
    </row>
    <row r="3017" spans="1:22" x14ac:dyDescent="0.35">
      <c r="A3017">
        <v>23930</v>
      </c>
      <c r="B3017" t="s">
        <v>46</v>
      </c>
      <c r="C3017" t="s">
        <v>14</v>
      </c>
      <c r="D3017">
        <v>891</v>
      </c>
      <c r="E3017">
        <v>489</v>
      </c>
      <c r="F3017">
        <v>655</v>
      </c>
      <c r="G3017">
        <v>7</v>
      </c>
      <c r="H3017">
        <v>26220</v>
      </c>
      <c r="I3017">
        <v>2</v>
      </c>
      <c r="J3017">
        <v>60</v>
      </c>
      <c r="K3017">
        <v>516</v>
      </c>
      <c r="L3017">
        <v>595</v>
      </c>
      <c r="M3017">
        <v>4.2777777779999999</v>
      </c>
      <c r="N3017">
        <f>IFERROR(VLOOKUP(A3017,vlookup_table!$A:$G,2,FALSE),"")</f>
        <v>2</v>
      </c>
      <c r="O3017">
        <f>IFERROR(VLOOKUP(A3017,vlookup_table!$A:$G,4,FALSE),"")</f>
        <v>2101</v>
      </c>
      <c r="P3017" t="str">
        <f>IFERROR(VLOOKUP(A3017,vlookup_table!$A:$G,5,FALSE),"")</f>
        <v>C1</v>
      </c>
      <c r="Q3017">
        <f>IFERROR(VLOOKUP(A3017,vlookup_table!$A:$G,7,FALSE),"")</f>
        <v>5</v>
      </c>
      <c r="R3017">
        <f t="shared" si="188"/>
        <v>76</v>
      </c>
      <c r="S3017" t="str" cm="1">
        <f t="array" ref="S3017">IF(P3017="","",_xlfn.SWITCH(LEFT(P3017,1),"C","Ciudad","T","Pueblo","R","Rural","S","Suburbano","U","Urbano",""))</f>
        <v>Ciudad</v>
      </c>
      <c r="T3017" t="str">
        <f t="shared" si="189"/>
        <v>M</v>
      </c>
      <c r="U3017" t="str">
        <f t="shared" si="190"/>
        <v>SC</v>
      </c>
      <c r="V3017" t="str">
        <f t="shared" si="191"/>
        <v>26220</v>
      </c>
    </row>
    <row r="3018" spans="1:22" x14ac:dyDescent="0.35">
      <c r="A3018">
        <v>46153</v>
      </c>
      <c r="B3018" t="s">
        <v>13</v>
      </c>
      <c r="C3018" t="s">
        <v>17</v>
      </c>
      <c r="D3018">
        <v>933</v>
      </c>
      <c r="E3018">
        <v>224</v>
      </c>
      <c r="F3018">
        <v>406</v>
      </c>
      <c r="G3018">
        <v>5</v>
      </c>
      <c r="H3018">
        <v>14946</v>
      </c>
      <c r="I3018">
        <v>5</v>
      </c>
      <c r="J3018">
        <v>19</v>
      </c>
      <c r="K3018">
        <v>290</v>
      </c>
      <c r="L3018">
        <v>333</v>
      </c>
      <c r="M3018">
        <v>10</v>
      </c>
      <c r="N3018">
        <f>IFERROR(VLOOKUP(A3018,vlookup_table!$A:$G,2,FALSE),"")</f>
        <v>3</v>
      </c>
      <c r="O3018">
        <f>IFERROR(VLOOKUP(A3018,vlookup_table!$A:$G,4,FALSE),"")</f>
        <v>6201</v>
      </c>
      <c r="P3018" t="str">
        <f>IFERROR(VLOOKUP(A3018,vlookup_table!$A:$G,5,FALSE),"")</f>
        <v>T2</v>
      </c>
      <c r="Q3018">
        <f>IFERROR(VLOOKUP(A3018,vlookup_table!$A:$G,7,FALSE),"")</f>
        <v>15</v>
      </c>
      <c r="R3018">
        <f t="shared" si="188"/>
        <v>35</v>
      </c>
      <c r="S3018" t="str" cm="1">
        <f t="array" ref="S3018">IF(P3018="","",_xlfn.SWITCH(LEFT(P3018,1),"C","Ciudad","T","Pueblo","R","Rural","S","Suburbano","U","Urbano",""))</f>
        <v>Pueblo</v>
      </c>
      <c r="T3018" t="str">
        <f t="shared" si="189"/>
        <v>F</v>
      </c>
      <c r="U3018" t="str">
        <f t="shared" si="190"/>
        <v>FL</v>
      </c>
      <c r="V3018" t="str">
        <f t="shared" si="191"/>
        <v>14946</v>
      </c>
    </row>
    <row r="3019" spans="1:22" x14ac:dyDescent="0.35">
      <c r="A3019">
        <v>179863</v>
      </c>
      <c r="B3019" t="s">
        <v>40</v>
      </c>
      <c r="C3019" t="s">
        <v>51</v>
      </c>
      <c r="D3019">
        <v>1253</v>
      </c>
      <c r="E3019">
        <v>325</v>
      </c>
      <c r="F3019">
        <v>447</v>
      </c>
      <c r="G3019">
        <v>7</v>
      </c>
      <c r="H3019">
        <v>15635</v>
      </c>
      <c r="I3019">
        <v>12</v>
      </c>
      <c r="J3019">
        <v>57</v>
      </c>
      <c r="K3019">
        <v>454</v>
      </c>
      <c r="L3019">
        <v>374</v>
      </c>
      <c r="M3019">
        <v>9.1875</v>
      </c>
      <c r="N3019">
        <f>IFERROR(VLOOKUP(A3019,vlookup_table!$A:$G,2,FALSE),"")</f>
        <v>1</v>
      </c>
      <c r="O3019">
        <f>IFERROR(VLOOKUP(A3019,vlookup_table!$A:$G,4,FALSE),"")</f>
        <v>4702</v>
      </c>
      <c r="P3019" t="str">
        <f>IFERROR(VLOOKUP(A3019,vlookup_table!$A:$G,5,FALSE),"")</f>
        <v>U1</v>
      </c>
      <c r="Q3019">
        <f>IFERROR(VLOOKUP(A3019,vlookup_table!$A:$G,7,FALSE),"")</f>
        <v>10</v>
      </c>
      <c r="R3019">
        <f t="shared" si="188"/>
        <v>50</v>
      </c>
      <c r="S3019" t="str" cm="1">
        <f t="array" ref="S3019">IF(P3019="","",_xlfn.SWITCH(LEFT(P3019,1),"C","Ciudad","T","Pueblo","R","Rural","S","Suburbano","U","Urbano",""))</f>
        <v>Urbano</v>
      </c>
      <c r="T3019" t="str">
        <f t="shared" si="189"/>
        <v>M</v>
      </c>
      <c r="U3019" t="str">
        <f t="shared" si="190"/>
        <v>WA</v>
      </c>
      <c r="V3019" t="str">
        <f t="shared" si="191"/>
        <v>15635</v>
      </c>
    </row>
    <row r="3020" spans="1:22" x14ac:dyDescent="0.35">
      <c r="A3020">
        <v>87395</v>
      </c>
      <c r="B3020" t="s">
        <v>34</v>
      </c>
      <c r="C3020" t="s">
        <v>20</v>
      </c>
      <c r="D3020">
        <v>842</v>
      </c>
      <c r="E3020">
        <v>264</v>
      </c>
      <c r="F3020">
        <v>388</v>
      </c>
      <c r="G3020">
        <v>3</v>
      </c>
      <c r="H3020">
        <v>15084</v>
      </c>
      <c r="I3020">
        <v>2</v>
      </c>
      <c r="J3020">
        <v>50</v>
      </c>
      <c r="K3020">
        <v>286</v>
      </c>
      <c r="L3020">
        <v>370</v>
      </c>
      <c r="M3020">
        <v>15.1</v>
      </c>
      <c r="N3020">
        <f>IFERROR(VLOOKUP(A3020,vlookup_table!$A:$G,2,FALSE),"")</f>
        <v>0</v>
      </c>
      <c r="O3020">
        <f>IFERROR(VLOOKUP(A3020,vlookup_table!$A:$G,4,FALSE),"")</f>
        <v>1701</v>
      </c>
      <c r="P3020" t="str">
        <f>IFERROR(VLOOKUP(A3020,vlookup_table!$A:$G,5,FALSE),"")</f>
        <v>R1</v>
      </c>
      <c r="Q3020">
        <f>IFERROR(VLOOKUP(A3020,vlookup_table!$A:$G,7,FALSE),"")</f>
        <v>20</v>
      </c>
      <c r="R3020">
        <f t="shared" si="188"/>
        <v>80</v>
      </c>
      <c r="S3020" t="str" cm="1">
        <f t="array" ref="S3020">IF(P3020="","",_xlfn.SWITCH(LEFT(P3020,1),"C","Ciudad","T","Pueblo","R","Rural","S","Suburbano","U","Urbano",""))</f>
        <v>Rural</v>
      </c>
      <c r="T3020" t="str">
        <f t="shared" si="189"/>
        <v>F</v>
      </c>
      <c r="U3020" t="str">
        <f t="shared" si="190"/>
        <v>MT</v>
      </c>
      <c r="V3020" t="str">
        <f t="shared" si="191"/>
        <v>15084</v>
      </c>
    </row>
    <row r="3021" spans="1:22" x14ac:dyDescent="0.35">
      <c r="A3021">
        <v>86779</v>
      </c>
      <c r="B3021" t="s">
        <v>45</v>
      </c>
      <c r="C3021" t="s">
        <v>17</v>
      </c>
      <c r="D3021">
        <v>331</v>
      </c>
      <c r="E3021">
        <v>165</v>
      </c>
      <c r="F3021">
        <v>266</v>
      </c>
      <c r="G3021">
        <v>0</v>
      </c>
      <c r="H3021">
        <v>9324</v>
      </c>
      <c r="I3021">
        <v>1</v>
      </c>
      <c r="J3021">
        <v>61</v>
      </c>
      <c r="K3021">
        <v>172</v>
      </c>
      <c r="L3021">
        <v>232</v>
      </c>
      <c r="M3021">
        <v>10.66666667</v>
      </c>
      <c r="N3021">
        <f>IFERROR(VLOOKUP(A3021,vlookup_table!$A:$G,2,FALSE),"")</f>
        <v>28</v>
      </c>
      <c r="O3021">
        <f>IFERROR(VLOOKUP(A3021,vlookup_table!$A:$G,4,FALSE),"")</f>
        <v>0</v>
      </c>
      <c r="P3021" t="str">
        <f>IFERROR(VLOOKUP(A3021,vlookup_table!$A:$G,5,FALSE),"")</f>
        <v>T3</v>
      </c>
      <c r="Q3021">
        <f>IFERROR(VLOOKUP(A3021,vlookup_table!$A:$G,7,FALSE),"")</f>
        <v>11</v>
      </c>
      <c r="R3021">
        <f t="shared" si="188"/>
        <v>97</v>
      </c>
      <c r="S3021" t="str" cm="1">
        <f t="array" ref="S3021">IF(P3021="","",_xlfn.SWITCH(LEFT(P3021,1),"C","Ciudad","T","Pueblo","R","Rural","S","Suburbano","U","Urbano",""))</f>
        <v>Pueblo</v>
      </c>
      <c r="T3021" t="str">
        <f t="shared" si="189"/>
        <v>F</v>
      </c>
      <c r="U3021" t="str">
        <f t="shared" si="190"/>
        <v>ND</v>
      </c>
      <c r="V3021" t="str">
        <f t="shared" si="191"/>
        <v>9324</v>
      </c>
    </row>
    <row r="3022" spans="1:22" x14ac:dyDescent="0.35">
      <c r="A3022">
        <v>25214</v>
      </c>
      <c r="B3022" t="s">
        <v>18</v>
      </c>
      <c r="C3022" t="s">
        <v>20</v>
      </c>
      <c r="D3022">
        <v>1823</v>
      </c>
      <c r="E3022">
        <v>544</v>
      </c>
      <c r="F3022">
        <v>567</v>
      </c>
      <c r="G3022">
        <v>43</v>
      </c>
      <c r="H3022">
        <v>21265</v>
      </c>
      <c r="I3022">
        <v>1</v>
      </c>
      <c r="J3022">
        <v>62</v>
      </c>
      <c r="K3022">
        <v>552</v>
      </c>
      <c r="L3022">
        <v>552</v>
      </c>
      <c r="M3022">
        <v>12</v>
      </c>
      <c r="N3022">
        <f>IFERROR(VLOOKUP(A3022,vlookup_table!$A:$G,2,FALSE),"")</f>
        <v>28</v>
      </c>
      <c r="O3022">
        <f>IFERROR(VLOOKUP(A3022,vlookup_table!$A:$G,4,FALSE),"")</f>
        <v>5111</v>
      </c>
      <c r="P3022" t="str">
        <f>IFERROR(VLOOKUP(A3022,vlookup_table!$A:$G,5,FALSE),"")</f>
        <v>T1</v>
      </c>
      <c r="Q3022">
        <f>IFERROR(VLOOKUP(A3022,vlookup_table!$A:$G,7,FALSE),"")</f>
        <v>25</v>
      </c>
      <c r="R3022">
        <f t="shared" si="188"/>
        <v>46</v>
      </c>
      <c r="S3022" t="str" cm="1">
        <f t="array" ref="S3022">IF(P3022="","",_xlfn.SWITCH(LEFT(P3022,1),"C","Ciudad","T","Pueblo","R","Rural","S","Suburbano","U","Urbano",""))</f>
        <v>Pueblo</v>
      </c>
      <c r="T3022" t="str">
        <f t="shared" si="189"/>
        <v>F</v>
      </c>
      <c r="U3022" t="str">
        <f t="shared" si="190"/>
        <v>NC</v>
      </c>
      <c r="V3022" t="str">
        <f t="shared" si="191"/>
        <v>21265</v>
      </c>
    </row>
    <row r="3023" spans="1:22" x14ac:dyDescent="0.35">
      <c r="A3023">
        <v>79641</v>
      </c>
      <c r="B3023" t="s">
        <v>35</v>
      </c>
      <c r="C3023" t="s">
        <v>17</v>
      </c>
      <c r="D3023">
        <v>1244</v>
      </c>
      <c r="E3023">
        <v>672</v>
      </c>
      <c r="F3023">
        <v>776</v>
      </c>
      <c r="G3023">
        <v>25</v>
      </c>
      <c r="H3023">
        <v>25036</v>
      </c>
      <c r="I3023">
        <v>1</v>
      </c>
      <c r="J3023">
        <v>64</v>
      </c>
      <c r="K3023">
        <v>713</v>
      </c>
      <c r="L3023">
        <v>743</v>
      </c>
      <c r="M3023">
        <v>9.9375</v>
      </c>
      <c r="N3023">
        <f>IFERROR(VLOOKUP(A3023,vlookup_table!$A:$G,2,FALSE),"")</f>
        <v>0</v>
      </c>
      <c r="O3023">
        <f>IFERROR(VLOOKUP(A3023,vlookup_table!$A:$G,4,FALSE),"")</f>
        <v>2310</v>
      </c>
      <c r="P3023" t="str">
        <f>IFERROR(VLOOKUP(A3023,vlookup_table!$A:$G,5,FALSE),"")</f>
        <v>S1</v>
      </c>
      <c r="Q3023">
        <f>IFERROR(VLOOKUP(A3023,vlookup_table!$A:$G,7,FALSE),"")</f>
        <v>12</v>
      </c>
      <c r="R3023">
        <f t="shared" si="188"/>
        <v>74</v>
      </c>
      <c r="S3023" t="str" cm="1">
        <f t="array" ref="S3023">IF(P3023="","",_xlfn.SWITCH(LEFT(P3023,1),"C","Ciudad","T","Pueblo","R","Rural","S","Suburbano","U","Urbano",""))</f>
        <v>Suburbano</v>
      </c>
      <c r="T3023" t="str">
        <f t="shared" si="189"/>
        <v>F</v>
      </c>
      <c r="U3023" t="str">
        <f t="shared" si="190"/>
        <v>WI</v>
      </c>
      <c r="V3023" t="str">
        <f t="shared" si="191"/>
        <v>25036</v>
      </c>
    </row>
    <row r="3024" spans="1:22" x14ac:dyDescent="0.35">
      <c r="A3024" s="3">
        <v>186307</v>
      </c>
      <c r="B3024" t="s">
        <v>22</v>
      </c>
      <c r="C3024" t="s">
        <v>14</v>
      </c>
      <c r="D3024" t="s">
        <v>77</v>
      </c>
      <c r="E3024">
        <v>345</v>
      </c>
      <c r="F3024">
        <v>438</v>
      </c>
      <c r="G3024">
        <v>3</v>
      </c>
      <c r="H3024">
        <v>15915</v>
      </c>
      <c r="I3024">
        <v>2</v>
      </c>
      <c r="J3024">
        <v>58</v>
      </c>
      <c r="K3024">
        <v>388</v>
      </c>
      <c r="L3024">
        <v>417</v>
      </c>
      <c r="M3024">
        <v>16.14285714</v>
      </c>
      <c r="N3024">
        <f>IFERROR(VLOOKUP(A3024,vlookup_table!$A:$G,2,FALSE),"")</f>
        <v>1</v>
      </c>
      <c r="O3024">
        <f>IFERROR(VLOOKUP(A3024,vlookup_table!$A:$G,4,FALSE),"")</f>
        <v>2511</v>
      </c>
      <c r="P3024" t="str">
        <f>IFERROR(VLOOKUP(A3024,vlookup_table!$A:$G,5,FALSE),"")</f>
        <v>C2</v>
      </c>
      <c r="Q3024">
        <f>IFERROR(VLOOKUP(A3024,vlookup_table!$A:$G,7,FALSE),"")</f>
        <v>20</v>
      </c>
      <c r="R3024">
        <f t="shared" si="188"/>
        <v>72</v>
      </c>
      <c r="S3024" t="str" cm="1">
        <f t="array" ref="S3024">IF(P3024="","",_xlfn.SWITCH(LEFT(P3024,1),"C","Ciudad","T","Pueblo","R","Rural","S","Suburbano","U","Urbano",""))</f>
        <v>Ciudad</v>
      </c>
      <c r="T3024" t="str">
        <f t="shared" si="189"/>
        <v>M</v>
      </c>
      <c r="U3024" t="str">
        <f t="shared" si="190"/>
        <v>CA</v>
      </c>
      <c r="V3024" t="str">
        <f t="shared" si="191"/>
        <v>15915</v>
      </c>
    </row>
    <row r="3025" spans="1:22" x14ac:dyDescent="0.35">
      <c r="A3025" s="3">
        <v>34174</v>
      </c>
      <c r="B3025" t="s">
        <v>78</v>
      </c>
      <c r="C3025" t="s">
        <v>17</v>
      </c>
      <c r="D3025">
        <v>529</v>
      </c>
      <c r="E3025">
        <v>198</v>
      </c>
      <c r="F3025">
        <v>291</v>
      </c>
      <c r="G3025">
        <v>0</v>
      </c>
      <c r="H3025">
        <v>10816</v>
      </c>
      <c r="I3025">
        <v>0</v>
      </c>
      <c r="J3025">
        <v>80</v>
      </c>
      <c r="K3025">
        <v>218</v>
      </c>
      <c r="L3025">
        <v>257</v>
      </c>
      <c r="M3025">
        <v>6.0833333329999997</v>
      </c>
      <c r="N3025">
        <f>IFERROR(VLOOKUP(A3025,vlookup_table!$A:$G,2,FALSE),"")</f>
        <v>2</v>
      </c>
      <c r="O3025">
        <f>IFERROR(VLOOKUP(A3025,vlookup_table!$A:$G,4,FALSE),"")</f>
        <v>3001</v>
      </c>
      <c r="P3025" t="str">
        <f>IFERROR(VLOOKUP(A3025,vlookup_table!$A:$G,5,FALSE),"")</f>
        <v>T2</v>
      </c>
      <c r="Q3025">
        <f>IFERROR(VLOOKUP(A3025,vlookup_table!$A:$G,7,FALSE),"")</f>
        <v>12</v>
      </c>
      <c r="R3025">
        <f t="shared" si="188"/>
        <v>67</v>
      </c>
      <c r="S3025" t="str" cm="1">
        <f t="array" ref="S3025">IF(P3025="","",_xlfn.SWITCH(LEFT(P3025,1),"C","Ciudad","T","Pueblo","R","Rural","S","Suburbano","U","Urbano",""))</f>
        <v>Pueblo</v>
      </c>
      <c r="T3025" t="str">
        <f t="shared" si="189"/>
        <v>F</v>
      </c>
      <c r="U3025" t="str">
        <f t="shared" si="190"/>
        <v>WV</v>
      </c>
      <c r="V3025" t="str">
        <f t="shared" si="191"/>
        <v>10816</v>
      </c>
    </row>
    <row r="3026" spans="1:22" x14ac:dyDescent="0.35">
      <c r="A3026" s="3">
        <v>101388</v>
      </c>
      <c r="B3026" t="s">
        <v>36</v>
      </c>
      <c r="C3026" t="s">
        <v>14</v>
      </c>
      <c r="D3026">
        <v>526</v>
      </c>
      <c r="E3026">
        <v>340</v>
      </c>
      <c r="F3026">
        <v>342</v>
      </c>
      <c r="G3026">
        <v>0</v>
      </c>
      <c r="H3026">
        <v>9687</v>
      </c>
      <c r="I3026">
        <v>0</v>
      </c>
      <c r="J3026">
        <v>89</v>
      </c>
      <c r="K3026">
        <v>348</v>
      </c>
      <c r="L3026">
        <v>321</v>
      </c>
      <c r="M3026">
        <v>5.8</v>
      </c>
      <c r="N3026">
        <f>IFERROR(VLOOKUP(A3026,vlookup_table!$A:$G,2,FALSE),"")</f>
        <v>1</v>
      </c>
      <c r="O3026">
        <f>IFERROR(VLOOKUP(A3026,vlookup_table!$A:$G,4,FALSE),"")</f>
        <v>5501</v>
      </c>
      <c r="P3026" t="str">
        <f>IFERROR(VLOOKUP(A3026,vlookup_table!$A:$G,5,FALSE),"")</f>
        <v>R2</v>
      </c>
      <c r="Q3026">
        <f>IFERROR(VLOOKUP(A3026,vlookup_table!$A:$G,7,FALSE),"")</f>
        <v>10</v>
      </c>
      <c r="R3026">
        <f t="shared" si="188"/>
        <v>42</v>
      </c>
      <c r="S3026" t="str" cm="1">
        <f t="array" ref="S3026">IF(P3026="","",_xlfn.SWITCH(LEFT(P3026,1),"C","Ciudad","T","Pueblo","R","Rural","S","Suburbano","U","Urbano",""))</f>
        <v>Rural</v>
      </c>
      <c r="T3026" t="str">
        <f t="shared" si="189"/>
        <v>M</v>
      </c>
      <c r="U3026" t="str">
        <f t="shared" si="190"/>
        <v>MO</v>
      </c>
      <c r="V3026" t="str">
        <f t="shared" si="191"/>
        <v>9687</v>
      </c>
    </row>
    <row r="3027" spans="1:22" x14ac:dyDescent="0.35">
      <c r="A3027" s="3">
        <v>159472</v>
      </c>
      <c r="B3027" t="s">
        <v>22</v>
      </c>
      <c r="C3027" t="s">
        <v>17</v>
      </c>
      <c r="D3027">
        <v>621</v>
      </c>
      <c r="E3027">
        <v>231</v>
      </c>
      <c r="F3027">
        <v>279</v>
      </c>
      <c r="G3027">
        <v>0</v>
      </c>
      <c r="H3027">
        <v>6184</v>
      </c>
      <c r="I3027">
        <v>43</v>
      </c>
      <c r="J3027">
        <v>41</v>
      </c>
      <c r="K3027">
        <v>237</v>
      </c>
      <c r="L3027">
        <v>272</v>
      </c>
      <c r="M3027">
        <v>11.66666667</v>
      </c>
      <c r="N3027">
        <f>IFERROR(VLOOKUP(A3027,vlookup_table!$A:$G,2,FALSE),"")</f>
        <v>1</v>
      </c>
      <c r="O3027">
        <f>IFERROR(VLOOKUP(A3027,vlookup_table!$A:$G,4,FALSE),"")</f>
        <v>1512</v>
      </c>
      <c r="P3027" t="str">
        <f>IFERROR(VLOOKUP(A3027,vlookup_table!$A:$G,5,FALSE),"")</f>
        <v>R3</v>
      </c>
      <c r="Q3027">
        <f>IFERROR(VLOOKUP(A3027,vlookup_table!$A:$G,7,FALSE),"")</f>
        <v>15</v>
      </c>
      <c r="R3027">
        <f t="shared" si="188"/>
        <v>82</v>
      </c>
      <c r="S3027" t="str" cm="1">
        <f t="array" ref="S3027">IF(P3027="","",_xlfn.SWITCH(LEFT(P3027,1),"C","Ciudad","T","Pueblo","R","Rural","S","Suburbano","U","Urbano",""))</f>
        <v>Rural</v>
      </c>
      <c r="T3027" t="str">
        <f t="shared" si="189"/>
        <v>F</v>
      </c>
      <c r="U3027" t="str">
        <f t="shared" si="190"/>
        <v>CA</v>
      </c>
      <c r="V3027" t="str">
        <f t="shared" si="191"/>
        <v>6184</v>
      </c>
    </row>
    <row r="3028" spans="1:22" x14ac:dyDescent="0.35">
      <c r="A3028" s="3">
        <v>179143</v>
      </c>
      <c r="B3028" t="s">
        <v>40</v>
      </c>
      <c r="C3028" t="s">
        <v>51</v>
      </c>
      <c r="D3028">
        <v>1688</v>
      </c>
      <c r="E3028">
        <v>496</v>
      </c>
      <c r="F3028">
        <v>564</v>
      </c>
      <c r="G3028">
        <v>35</v>
      </c>
      <c r="H3028">
        <v>22963</v>
      </c>
      <c r="I3028">
        <v>2</v>
      </c>
      <c r="J3028">
        <v>63</v>
      </c>
      <c r="K3028">
        <v>520</v>
      </c>
      <c r="L3028">
        <v>521</v>
      </c>
      <c r="M3028">
        <v>23.9</v>
      </c>
      <c r="N3028">
        <f>IFERROR(VLOOKUP(A3028,vlookup_table!$A:$G,2,FALSE),"")</f>
        <v>1</v>
      </c>
      <c r="O3028">
        <f>IFERROR(VLOOKUP(A3028,vlookup_table!$A:$G,4,FALSE),"")</f>
        <v>3709</v>
      </c>
      <c r="P3028" t="str">
        <f>IFERROR(VLOOKUP(A3028,vlookup_table!$A:$G,5,FALSE),"")</f>
        <v>T1</v>
      </c>
      <c r="Q3028">
        <f>IFERROR(VLOOKUP(A3028,vlookup_table!$A:$G,7,FALSE),"")</f>
        <v>25</v>
      </c>
      <c r="R3028">
        <f t="shared" si="188"/>
        <v>60</v>
      </c>
      <c r="S3028" t="str" cm="1">
        <f t="array" ref="S3028">IF(P3028="","",_xlfn.SWITCH(LEFT(P3028,1),"C","Ciudad","T","Pueblo","R","Rural","S","Suburbano","U","Urbano",""))</f>
        <v>Pueblo</v>
      </c>
      <c r="T3028" t="str">
        <f t="shared" si="189"/>
        <v>M</v>
      </c>
      <c r="U3028" t="str">
        <f t="shared" si="190"/>
        <v>WA</v>
      </c>
      <c r="V3028" t="str">
        <f t="shared" si="191"/>
        <v>22963</v>
      </c>
    </row>
    <row r="3029" spans="1:22" x14ac:dyDescent="0.35">
      <c r="A3029" s="3">
        <v>150799</v>
      </c>
      <c r="B3029" t="s">
        <v>22</v>
      </c>
      <c r="C3029" t="s">
        <v>14</v>
      </c>
      <c r="D3029" t="s">
        <v>79</v>
      </c>
      <c r="E3029">
        <v>257</v>
      </c>
      <c r="F3029">
        <v>393</v>
      </c>
      <c r="G3029">
        <v>8</v>
      </c>
      <c r="H3029">
        <v>10990</v>
      </c>
      <c r="I3029">
        <v>19</v>
      </c>
      <c r="J3029">
        <v>51</v>
      </c>
      <c r="K3029">
        <v>275</v>
      </c>
      <c r="L3029">
        <v>376</v>
      </c>
      <c r="M3029">
        <v>7.625</v>
      </c>
      <c r="N3029">
        <f>IFERROR(VLOOKUP(A3029,vlookup_table!$A:$G,2,FALSE),"")</f>
        <v>1</v>
      </c>
      <c r="O3029">
        <f>IFERROR(VLOOKUP(A3029,vlookup_table!$A:$G,4,FALSE),"")</f>
        <v>0</v>
      </c>
      <c r="P3029" t="str">
        <f>IFERROR(VLOOKUP(A3029,vlookup_table!$A:$G,5,FALSE),"")</f>
        <v>U3</v>
      </c>
      <c r="Q3029">
        <f>IFERROR(VLOOKUP(A3029,vlookup_table!$A:$G,7,FALSE),"")</f>
        <v>15</v>
      </c>
      <c r="R3029">
        <f t="shared" si="188"/>
        <v>97</v>
      </c>
      <c r="S3029" t="str" cm="1">
        <f t="array" ref="S3029">IF(P3029="","",_xlfn.SWITCH(LEFT(P3029,1),"C","Ciudad","T","Pueblo","R","Rural","S","Suburbano","U","Urbano",""))</f>
        <v>Urbano</v>
      </c>
      <c r="T3029" t="str">
        <f t="shared" si="189"/>
        <v>M</v>
      </c>
      <c r="U3029" t="str">
        <f t="shared" si="190"/>
        <v>CA</v>
      </c>
      <c r="V3029" t="str">
        <f t="shared" si="191"/>
        <v>10990</v>
      </c>
    </row>
    <row r="3030" spans="1:22" x14ac:dyDescent="0.35">
      <c r="A3030" s="3">
        <v>135983</v>
      </c>
      <c r="B3030" t="s">
        <v>55</v>
      </c>
      <c r="D3030">
        <v>638</v>
      </c>
      <c r="E3030">
        <v>213</v>
      </c>
      <c r="F3030">
        <v>226</v>
      </c>
      <c r="G3030">
        <v>0</v>
      </c>
      <c r="H3030">
        <v>9836</v>
      </c>
      <c r="I3030">
        <v>0</v>
      </c>
      <c r="J3030">
        <v>26</v>
      </c>
      <c r="K3030">
        <v>236</v>
      </c>
      <c r="L3030">
        <v>220</v>
      </c>
      <c r="M3030">
        <v>4.6521739130000004</v>
      </c>
      <c r="N3030">
        <f>IFERROR(VLOOKUP(A3030,vlookup_table!$A:$G,2,FALSE),"")</f>
        <v>1</v>
      </c>
      <c r="O3030">
        <f>IFERROR(VLOOKUP(A3030,vlookup_table!$A:$G,4,FALSE),"")</f>
        <v>3201</v>
      </c>
      <c r="P3030" t="str">
        <f>IFERROR(VLOOKUP(A3030,vlookup_table!$A:$G,5,FALSE),"")</f>
        <v>C3</v>
      </c>
      <c r="Q3030">
        <f>IFERROR(VLOOKUP(A3030,vlookup_table!$A:$G,7,FALSE),"")</f>
        <v>7</v>
      </c>
      <c r="R3030">
        <f t="shared" si="188"/>
        <v>65</v>
      </c>
      <c r="S3030" t="str" cm="1">
        <f t="array" ref="S3030">IF(P3030="","",_xlfn.SWITCH(LEFT(P3030,1),"C","Ciudad","T","Pueblo","R","Rural","S","Suburbano","U","Urbano",""))</f>
        <v>Ciudad</v>
      </c>
      <c r="T3030" t="str">
        <f t="shared" si="189"/>
        <v/>
      </c>
      <c r="U3030" t="str">
        <f t="shared" si="190"/>
        <v>AZ</v>
      </c>
      <c r="V3030" t="str">
        <f t="shared" si="191"/>
        <v>9836</v>
      </c>
    </row>
    <row r="3031" spans="1:22" x14ac:dyDescent="0.35">
      <c r="A3031" s="3">
        <v>22817</v>
      </c>
      <c r="B3031" t="s">
        <v>46</v>
      </c>
      <c r="C3031" t="s">
        <v>17</v>
      </c>
      <c r="D3031">
        <v>451</v>
      </c>
      <c r="E3031">
        <v>211</v>
      </c>
      <c r="F3031">
        <v>264</v>
      </c>
      <c r="G3031">
        <v>0</v>
      </c>
      <c r="H3031">
        <v>7676</v>
      </c>
      <c r="I3031">
        <v>0</v>
      </c>
      <c r="J3031">
        <v>96</v>
      </c>
      <c r="K3031">
        <v>227</v>
      </c>
      <c r="L3031">
        <v>245</v>
      </c>
      <c r="M3031">
        <v>16</v>
      </c>
      <c r="N3031">
        <f>IFERROR(VLOOKUP(A3031,vlookup_table!$A:$G,2,FALSE),"")</f>
        <v>0</v>
      </c>
      <c r="O3031">
        <f>IFERROR(VLOOKUP(A3031,vlookup_table!$A:$G,4,FALSE),"")</f>
        <v>5009</v>
      </c>
      <c r="P3031" t="str">
        <f>IFERROR(VLOOKUP(A3031,vlookup_table!$A:$G,5,FALSE),"")</f>
        <v>R3</v>
      </c>
      <c r="Q3031">
        <f>IFERROR(VLOOKUP(A3031,vlookup_table!$A:$G,7,FALSE),"")</f>
        <v>10</v>
      </c>
      <c r="R3031">
        <f t="shared" si="188"/>
        <v>47</v>
      </c>
      <c r="S3031" t="str" cm="1">
        <f t="array" ref="S3031">IF(P3031="","",_xlfn.SWITCH(LEFT(P3031,1),"C","Ciudad","T","Pueblo","R","Rural","S","Suburbano","U","Urbano",""))</f>
        <v>Rural</v>
      </c>
      <c r="T3031" t="str">
        <f t="shared" si="189"/>
        <v>F</v>
      </c>
      <c r="U3031" t="str">
        <f t="shared" si="190"/>
        <v>SC</v>
      </c>
      <c r="V3031" t="str">
        <f t="shared" si="191"/>
        <v>7676</v>
      </c>
    </row>
    <row r="3032" spans="1:22" x14ac:dyDescent="0.35">
      <c r="A3032" s="3">
        <v>123972</v>
      </c>
      <c r="B3032" t="s">
        <v>21</v>
      </c>
      <c r="C3032" t="s">
        <v>17</v>
      </c>
      <c r="D3032">
        <v>496</v>
      </c>
      <c r="E3032">
        <v>359</v>
      </c>
      <c r="F3032">
        <v>496</v>
      </c>
      <c r="G3032">
        <v>2</v>
      </c>
      <c r="H3032">
        <v>21791</v>
      </c>
      <c r="I3032">
        <v>2</v>
      </c>
      <c r="J3032">
        <v>74</v>
      </c>
      <c r="K3032">
        <v>405</v>
      </c>
      <c r="L3032">
        <v>462</v>
      </c>
      <c r="M3032">
        <v>5.8571428570000004</v>
      </c>
      <c r="N3032">
        <f>IFERROR(VLOOKUP(A3032,vlookup_table!$A:$G,2,FALSE),"")</f>
        <v>0</v>
      </c>
      <c r="O3032">
        <f>IFERROR(VLOOKUP(A3032,vlookup_table!$A:$G,4,FALSE),"")</f>
        <v>1305</v>
      </c>
      <c r="P3032" t="str">
        <f>IFERROR(VLOOKUP(A3032,vlookup_table!$A:$G,5,FALSE),"")</f>
        <v>C2</v>
      </c>
      <c r="Q3032">
        <f>IFERROR(VLOOKUP(A3032,vlookup_table!$A:$G,7,FALSE),"")</f>
        <v>5</v>
      </c>
      <c r="R3032">
        <f t="shared" si="188"/>
        <v>84</v>
      </c>
      <c r="S3032" t="str" cm="1">
        <f t="array" ref="S3032">IF(P3032="","",_xlfn.SWITCH(LEFT(P3032,1),"C","Ciudad","T","Pueblo","R","Rural","S","Suburbano","U","Urbano",""))</f>
        <v>Ciudad</v>
      </c>
      <c r="T3032" t="str">
        <f t="shared" si="189"/>
        <v>F</v>
      </c>
      <c r="U3032" t="str">
        <f t="shared" si="190"/>
        <v>TX</v>
      </c>
      <c r="V3032" t="str">
        <f t="shared" si="191"/>
        <v>21791</v>
      </c>
    </row>
    <row r="3033" spans="1:22" x14ac:dyDescent="0.35">
      <c r="A3033" s="3">
        <v>81520</v>
      </c>
      <c r="B3033" t="s">
        <v>35</v>
      </c>
      <c r="C3033" t="s">
        <v>17</v>
      </c>
      <c r="D3033">
        <v>428</v>
      </c>
      <c r="E3033">
        <v>215</v>
      </c>
      <c r="F3033">
        <v>308</v>
      </c>
      <c r="G3033">
        <v>0</v>
      </c>
      <c r="H3033">
        <v>10674</v>
      </c>
      <c r="I3033">
        <v>0</v>
      </c>
      <c r="J3033">
        <v>63</v>
      </c>
      <c r="K3033">
        <v>250</v>
      </c>
      <c r="L3033">
        <v>264</v>
      </c>
      <c r="M3033">
        <v>8.7333333329999991</v>
      </c>
      <c r="N3033">
        <f>IFERROR(VLOOKUP(A3033,vlookup_table!$A:$G,2,FALSE),"")</f>
        <v>0</v>
      </c>
      <c r="O3033">
        <f>IFERROR(VLOOKUP(A3033,vlookup_table!$A:$G,4,FALSE),"")</f>
        <v>1710</v>
      </c>
      <c r="P3033" t="str">
        <f>IFERROR(VLOOKUP(A3033,vlookup_table!$A:$G,5,FALSE),"")</f>
        <v>R3</v>
      </c>
      <c r="Q3033">
        <f>IFERROR(VLOOKUP(A3033,vlookup_table!$A:$G,7,FALSE),"")</f>
        <v>10</v>
      </c>
      <c r="R3033">
        <f t="shared" si="188"/>
        <v>80</v>
      </c>
      <c r="S3033" t="str" cm="1">
        <f t="array" ref="S3033">IF(P3033="","",_xlfn.SWITCH(LEFT(P3033,1),"C","Ciudad","T","Pueblo","R","Rural","S","Suburbano","U","Urbano",""))</f>
        <v>Rural</v>
      </c>
      <c r="T3033" t="str">
        <f t="shared" si="189"/>
        <v>F</v>
      </c>
      <c r="U3033" t="str">
        <f t="shared" si="190"/>
        <v>WI</v>
      </c>
      <c r="V3033" t="str">
        <f t="shared" si="191"/>
        <v>10674</v>
      </c>
    </row>
    <row r="3034" spans="1:22" x14ac:dyDescent="0.35">
      <c r="A3034" s="3">
        <v>185309</v>
      </c>
      <c r="B3034" t="s">
        <v>29</v>
      </c>
      <c r="C3034" t="s">
        <v>17</v>
      </c>
      <c r="D3034">
        <v>629</v>
      </c>
      <c r="E3034">
        <v>434</v>
      </c>
      <c r="F3034">
        <v>439</v>
      </c>
      <c r="G3034">
        <v>0</v>
      </c>
      <c r="H3034">
        <v>14381</v>
      </c>
      <c r="I3034">
        <v>6</v>
      </c>
      <c r="J3034">
        <v>69</v>
      </c>
      <c r="K3034">
        <v>444</v>
      </c>
      <c r="L3034">
        <v>445</v>
      </c>
      <c r="M3034">
        <v>5.2</v>
      </c>
      <c r="N3034">
        <f>IFERROR(VLOOKUP(A3034,vlookup_table!$A:$G,2,FALSE),"")</f>
        <v>2</v>
      </c>
      <c r="O3034">
        <f>IFERROR(VLOOKUP(A3034,vlookup_table!$A:$G,4,FALSE),"")</f>
        <v>3209</v>
      </c>
      <c r="P3034" t="str">
        <f>IFERROR(VLOOKUP(A3034,vlookup_table!$A:$G,5,FALSE),"")</f>
        <v>C2</v>
      </c>
      <c r="Q3034">
        <f>IFERROR(VLOOKUP(A3034,vlookup_table!$A:$G,7,FALSE),"")</f>
        <v>7</v>
      </c>
      <c r="R3034">
        <f t="shared" si="188"/>
        <v>65</v>
      </c>
      <c r="S3034" t="str" cm="1">
        <f t="array" ref="S3034">IF(P3034="","",_xlfn.SWITCH(LEFT(P3034,1),"C","Ciudad","T","Pueblo","R","Rural","S","Suburbano","U","Urbano",""))</f>
        <v>Ciudad</v>
      </c>
      <c r="T3034" t="str">
        <f t="shared" si="189"/>
        <v>F</v>
      </c>
      <c r="U3034" t="str">
        <f t="shared" si="190"/>
        <v>MI</v>
      </c>
      <c r="V3034" t="str">
        <f t="shared" si="191"/>
        <v>14381</v>
      </c>
    </row>
    <row r="3035" spans="1:22" x14ac:dyDescent="0.35">
      <c r="A3035" s="3">
        <v>6555</v>
      </c>
      <c r="B3035" t="s">
        <v>13</v>
      </c>
      <c r="C3035" t="s">
        <v>14</v>
      </c>
      <c r="D3035">
        <v>3125</v>
      </c>
      <c r="E3035">
        <v>616</v>
      </c>
      <c r="F3035">
        <v>817</v>
      </c>
      <c r="G3035">
        <v>90</v>
      </c>
      <c r="H3035">
        <v>37628</v>
      </c>
      <c r="I3035">
        <v>42</v>
      </c>
      <c r="J3035">
        <v>15</v>
      </c>
      <c r="K3035">
        <v>759</v>
      </c>
      <c r="L3035">
        <v>714</v>
      </c>
      <c r="M3035">
        <v>6.0989010989999999</v>
      </c>
      <c r="N3035">
        <f>IFERROR(VLOOKUP(A3035,vlookup_table!$A:$G,2,FALSE),"")</f>
        <v>1</v>
      </c>
      <c r="O3035">
        <f>IFERROR(VLOOKUP(A3035,vlookup_table!$A:$G,4,FALSE),"")</f>
        <v>1808</v>
      </c>
      <c r="P3035" t="str">
        <f>IFERROR(VLOOKUP(A3035,vlookup_table!$A:$G,5,FALSE),"")</f>
        <v>C1</v>
      </c>
      <c r="Q3035">
        <f>IFERROR(VLOOKUP(A3035,vlookup_table!$A:$G,7,FALSE),"")</f>
        <v>10</v>
      </c>
      <c r="R3035">
        <f t="shared" si="188"/>
        <v>79</v>
      </c>
      <c r="S3035" t="str" cm="1">
        <f t="array" ref="S3035">IF(P3035="","",_xlfn.SWITCH(LEFT(P3035,1),"C","Ciudad","T","Pueblo","R","Rural","S","Suburbano","U","Urbano",""))</f>
        <v>Ciudad</v>
      </c>
      <c r="T3035" t="str">
        <f t="shared" si="189"/>
        <v>M</v>
      </c>
      <c r="U3035" t="str">
        <f t="shared" si="190"/>
        <v>FL</v>
      </c>
      <c r="V3035" t="str">
        <f t="shared" si="191"/>
        <v>37628</v>
      </c>
    </row>
    <row r="3036" spans="1:22" x14ac:dyDescent="0.35">
      <c r="A3036" s="3">
        <v>20341</v>
      </c>
      <c r="B3036" t="s">
        <v>18</v>
      </c>
      <c r="C3036" t="s">
        <v>14</v>
      </c>
      <c r="D3036">
        <v>1427</v>
      </c>
      <c r="E3036">
        <v>367</v>
      </c>
      <c r="F3036">
        <v>525</v>
      </c>
      <c r="G3036">
        <v>27</v>
      </c>
      <c r="H3036">
        <v>24023</v>
      </c>
      <c r="I3036">
        <v>3</v>
      </c>
      <c r="J3036">
        <v>36</v>
      </c>
      <c r="K3036">
        <v>435</v>
      </c>
      <c r="L3036">
        <v>456</v>
      </c>
      <c r="M3036">
        <v>7.230769231</v>
      </c>
      <c r="N3036">
        <f>IFERROR(VLOOKUP(A3036,vlookup_table!$A:$G,2,FALSE),"")</f>
        <v>0</v>
      </c>
      <c r="O3036">
        <f>IFERROR(VLOOKUP(A3036,vlookup_table!$A:$G,4,FALSE),"")</f>
        <v>4801</v>
      </c>
      <c r="P3036" t="str">
        <f>IFERROR(VLOOKUP(A3036,vlookup_table!$A:$G,5,FALSE),"")</f>
        <v>C1</v>
      </c>
      <c r="Q3036">
        <f>IFERROR(VLOOKUP(A3036,vlookup_table!$A:$G,7,FALSE),"")</f>
        <v>3</v>
      </c>
      <c r="R3036">
        <f t="shared" si="188"/>
        <v>49</v>
      </c>
      <c r="S3036" t="str" cm="1">
        <f t="array" ref="S3036">IF(P3036="","",_xlfn.SWITCH(LEFT(P3036,1),"C","Ciudad","T","Pueblo","R","Rural","S","Suburbano","U","Urbano",""))</f>
        <v>Ciudad</v>
      </c>
      <c r="T3036" t="str">
        <f t="shared" si="189"/>
        <v>M</v>
      </c>
      <c r="U3036" t="str">
        <f t="shared" si="190"/>
        <v>NC</v>
      </c>
      <c r="V3036" t="str">
        <f t="shared" si="191"/>
        <v>24023</v>
      </c>
    </row>
    <row r="3037" spans="1:22" x14ac:dyDescent="0.35">
      <c r="A3037" s="3">
        <v>30629</v>
      </c>
      <c r="B3037" t="s">
        <v>39</v>
      </c>
      <c r="C3037" t="s">
        <v>17</v>
      </c>
      <c r="D3037">
        <v>680</v>
      </c>
      <c r="E3037">
        <v>248</v>
      </c>
      <c r="F3037">
        <v>383</v>
      </c>
      <c r="G3037">
        <v>0</v>
      </c>
      <c r="H3037">
        <v>15732</v>
      </c>
      <c r="I3037">
        <v>2</v>
      </c>
      <c r="J3037">
        <v>70</v>
      </c>
      <c r="K3037">
        <v>238</v>
      </c>
      <c r="L3037">
        <v>320</v>
      </c>
      <c r="M3037">
        <v>10</v>
      </c>
      <c r="N3037">
        <f>IFERROR(VLOOKUP(A3037,vlookup_table!$A:$G,2,FALSE),"")</f>
        <v>2</v>
      </c>
      <c r="O3037">
        <f>IFERROR(VLOOKUP(A3037,vlookup_table!$A:$G,4,FALSE),"")</f>
        <v>1401</v>
      </c>
      <c r="P3037" t="str">
        <f>IFERROR(VLOOKUP(A3037,vlookup_table!$A:$G,5,FALSE),"")</f>
        <v>C2</v>
      </c>
      <c r="Q3037">
        <f>IFERROR(VLOOKUP(A3037,vlookup_table!$A:$G,7,FALSE),"")</f>
        <v>17</v>
      </c>
      <c r="R3037">
        <f t="shared" si="188"/>
        <v>83</v>
      </c>
      <c r="S3037" t="str" cm="1">
        <f t="array" ref="S3037">IF(P3037="","",_xlfn.SWITCH(LEFT(P3037,1),"C","Ciudad","T","Pueblo","R","Rural","S","Suburbano","U","Urbano",""))</f>
        <v>Ciudad</v>
      </c>
      <c r="T3037" t="str">
        <f t="shared" si="189"/>
        <v>F</v>
      </c>
      <c r="U3037" t="str">
        <f t="shared" si="190"/>
        <v>GA</v>
      </c>
      <c r="V3037" t="str">
        <f t="shared" si="191"/>
        <v>15732</v>
      </c>
    </row>
    <row r="3038" spans="1:22" x14ac:dyDescent="0.35">
      <c r="A3038" s="3">
        <v>38392</v>
      </c>
      <c r="B3038" t="s">
        <v>13</v>
      </c>
      <c r="C3038" t="s">
        <v>17</v>
      </c>
      <c r="D3038" t="s">
        <v>80</v>
      </c>
      <c r="E3038">
        <v>408</v>
      </c>
      <c r="F3038">
        <v>464</v>
      </c>
      <c r="G3038">
        <v>11</v>
      </c>
      <c r="H3038">
        <v>13050</v>
      </c>
      <c r="I3038">
        <v>67</v>
      </c>
      <c r="J3038">
        <v>26</v>
      </c>
      <c r="K3038">
        <v>415</v>
      </c>
      <c r="L3038">
        <v>452</v>
      </c>
      <c r="M3038">
        <v>20</v>
      </c>
      <c r="N3038">
        <f>IFERROR(VLOOKUP(A3038,vlookup_table!$A:$G,2,FALSE),"")</f>
        <v>0</v>
      </c>
      <c r="O3038">
        <f>IFERROR(VLOOKUP(A3038,vlookup_table!$A:$G,4,FALSE),"")</f>
        <v>3401</v>
      </c>
      <c r="P3038" t="str">
        <f>IFERROR(VLOOKUP(A3038,vlookup_table!$A:$G,5,FALSE),"")</f>
        <v>U2</v>
      </c>
      <c r="Q3038">
        <f>IFERROR(VLOOKUP(A3038,vlookup_table!$A:$G,7,FALSE),"")</f>
        <v>20</v>
      </c>
      <c r="R3038">
        <f t="shared" si="188"/>
        <v>63</v>
      </c>
      <c r="S3038" t="str" cm="1">
        <f t="array" ref="S3038">IF(P3038="","",_xlfn.SWITCH(LEFT(P3038,1),"C","Ciudad","T","Pueblo","R","Rural","S","Suburbano","U","Urbano",""))</f>
        <v>Urbano</v>
      </c>
      <c r="T3038" t="str">
        <f t="shared" si="189"/>
        <v>F</v>
      </c>
      <c r="U3038" t="str">
        <f t="shared" si="190"/>
        <v>FL</v>
      </c>
      <c r="V3038" t="str">
        <f t="shared" si="191"/>
        <v>13050</v>
      </c>
    </row>
    <row r="3039" spans="1:22" x14ac:dyDescent="0.35">
      <c r="A3039" s="3">
        <v>122090</v>
      </c>
      <c r="B3039" t="s">
        <v>21</v>
      </c>
      <c r="C3039" t="s">
        <v>14</v>
      </c>
      <c r="D3039">
        <v>405</v>
      </c>
      <c r="E3039">
        <v>279</v>
      </c>
      <c r="F3039">
        <v>381</v>
      </c>
      <c r="G3039">
        <v>0</v>
      </c>
      <c r="H3039">
        <v>10716</v>
      </c>
      <c r="I3039">
        <v>6</v>
      </c>
      <c r="J3039">
        <v>65</v>
      </c>
      <c r="K3039">
        <v>340</v>
      </c>
      <c r="L3039">
        <v>349</v>
      </c>
      <c r="M3039">
        <v>4.7857142860000002</v>
      </c>
      <c r="N3039">
        <f>IFERROR(VLOOKUP(A3039,vlookup_table!$A:$G,2,FALSE),"")</f>
        <v>0</v>
      </c>
      <c r="O3039">
        <f>IFERROR(VLOOKUP(A3039,vlookup_table!$A:$G,4,FALSE),"")</f>
        <v>5009</v>
      </c>
      <c r="P3039" t="str">
        <f>IFERROR(VLOOKUP(A3039,vlookup_table!$A:$G,5,FALSE),"")</f>
        <v>S2</v>
      </c>
      <c r="Q3039">
        <f>IFERROR(VLOOKUP(A3039,vlookup_table!$A:$G,7,FALSE),"")</f>
        <v>20</v>
      </c>
      <c r="R3039">
        <f t="shared" si="188"/>
        <v>47</v>
      </c>
      <c r="S3039" t="str" cm="1">
        <f t="array" ref="S3039">IF(P3039="","",_xlfn.SWITCH(LEFT(P3039,1),"C","Ciudad","T","Pueblo","R","Rural","S","Suburbano","U","Urbano",""))</f>
        <v>Suburbano</v>
      </c>
      <c r="T3039" t="str">
        <f t="shared" si="189"/>
        <v>M</v>
      </c>
      <c r="U3039" t="str">
        <f t="shared" si="190"/>
        <v>TX</v>
      </c>
      <c r="V3039" t="str">
        <f t="shared" si="191"/>
        <v>10716</v>
      </c>
    </row>
    <row r="3040" spans="1:22" x14ac:dyDescent="0.35">
      <c r="A3040" s="3">
        <v>159623</v>
      </c>
      <c r="B3040" t="s">
        <v>35</v>
      </c>
      <c r="C3040" t="s">
        <v>17</v>
      </c>
      <c r="D3040">
        <v>397</v>
      </c>
      <c r="E3040">
        <v>217</v>
      </c>
      <c r="F3040">
        <v>315</v>
      </c>
      <c r="G3040">
        <v>0</v>
      </c>
      <c r="H3040">
        <v>11627</v>
      </c>
      <c r="I3040">
        <v>1</v>
      </c>
      <c r="J3040">
        <v>84</v>
      </c>
      <c r="K3040">
        <v>294</v>
      </c>
      <c r="L3040">
        <v>259</v>
      </c>
      <c r="M3040">
        <v>9.8000000000000007</v>
      </c>
      <c r="N3040">
        <f>IFERROR(VLOOKUP(A3040,vlookup_table!$A:$G,2,FALSE),"")</f>
        <v>28</v>
      </c>
      <c r="O3040">
        <f>IFERROR(VLOOKUP(A3040,vlookup_table!$A:$G,4,FALSE),"")</f>
        <v>4801</v>
      </c>
      <c r="P3040" t="str">
        <f>IFERROR(VLOOKUP(A3040,vlookup_table!$A:$G,5,FALSE),"")</f>
        <v>C2</v>
      </c>
      <c r="Q3040">
        <f>IFERROR(VLOOKUP(A3040,vlookup_table!$A:$G,7,FALSE),"")</f>
        <v>20</v>
      </c>
      <c r="R3040">
        <f t="shared" si="188"/>
        <v>49</v>
      </c>
      <c r="S3040" t="str" cm="1">
        <f t="array" ref="S3040">IF(P3040="","",_xlfn.SWITCH(LEFT(P3040,1),"C","Ciudad","T","Pueblo","R","Rural","S","Suburbano","U","Urbano",""))</f>
        <v>Ciudad</v>
      </c>
      <c r="T3040" t="str">
        <f t="shared" si="189"/>
        <v>F</v>
      </c>
      <c r="U3040" t="str">
        <f t="shared" si="190"/>
        <v>WI</v>
      </c>
      <c r="V3040" t="str">
        <f t="shared" si="191"/>
        <v>11627</v>
      </c>
    </row>
    <row r="3041" spans="1:22" x14ac:dyDescent="0.35">
      <c r="A3041" s="3">
        <v>103290</v>
      </c>
      <c r="B3041" t="s">
        <v>36</v>
      </c>
      <c r="C3041" t="s">
        <v>14</v>
      </c>
      <c r="D3041">
        <v>736</v>
      </c>
      <c r="E3041">
        <v>617</v>
      </c>
      <c r="F3041">
        <v>761</v>
      </c>
      <c r="G3041">
        <v>0</v>
      </c>
      <c r="H3041">
        <v>25623</v>
      </c>
      <c r="I3041">
        <v>4</v>
      </c>
      <c r="J3041">
        <v>62</v>
      </c>
      <c r="K3041">
        <v>646</v>
      </c>
      <c r="L3041">
        <v>654</v>
      </c>
      <c r="M3041">
        <v>9.6</v>
      </c>
      <c r="N3041">
        <f>IFERROR(VLOOKUP(A3041,vlookup_table!$A:$G,2,FALSE),"")</f>
        <v>1</v>
      </c>
      <c r="O3041">
        <f>IFERROR(VLOOKUP(A3041,vlookup_table!$A:$G,4,FALSE),"")</f>
        <v>2601</v>
      </c>
      <c r="P3041" t="str">
        <f>IFERROR(VLOOKUP(A3041,vlookup_table!$A:$G,5,FALSE),"")</f>
        <v>C1</v>
      </c>
      <c r="Q3041">
        <f>IFERROR(VLOOKUP(A3041,vlookup_table!$A:$G,7,FALSE),"")</f>
        <v>16</v>
      </c>
      <c r="R3041">
        <f t="shared" si="188"/>
        <v>71</v>
      </c>
      <c r="S3041" t="str" cm="1">
        <f t="array" ref="S3041">IF(P3041="","",_xlfn.SWITCH(LEFT(P3041,1),"C","Ciudad","T","Pueblo","R","Rural","S","Suburbano","U","Urbano",""))</f>
        <v>Ciudad</v>
      </c>
      <c r="T3041" t="str">
        <f t="shared" si="189"/>
        <v>M</v>
      </c>
      <c r="U3041" t="str">
        <f t="shared" si="190"/>
        <v>MO</v>
      </c>
      <c r="V3041" t="str">
        <f t="shared" si="191"/>
        <v>25623</v>
      </c>
    </row>
    <row r="3042" spans="1:22" x14ac:dyDescent="0.35">
      <c r="A3042" s="3">
        <v>154745</v>
      </c>
      <c r="B3042" t="s">
        <v>22</v>
      </c>
      <c r="C3042" t="s">
        <v>14</v>
      </c>
      <c r="D3042">
        <v>996</v>
      </c>
      <c r="E3042">
        <v>309</v>
      </c>
      <c r="F3042">
        <v>452</v>
      </c>
      <c r="G3042">
        <v>4</v>
      </c>
      <c r="H3042">
        <v>14797</v>
      </c>
      <c r="I3042">
        <v>2</v>
      </c>
      <c r="J3042">
        <v>60</v>
      </c>
      <c r="K3042">
        <v>419</v>
      </c>
      <c r="L3042">
        <v>382</v>
      </c>
      <c r="M3042">
        <v>10</v>
      </c>
      <c r="N3042">
        <f>IFERROR(VLOOKUP(A3042,vlookup_table!$A:$G,2,FALSE),"")</f>
        <v>1</v>
      </c>
      <c r="O3042">
        <f>IFERROR(VLOOKUP(A3042,vlookup_table!$A:$G,4,FALSE),"")</f>
        <v>4201</v>
      </c>
      <c r="P3042" t="str">
        <f>IFERROR(VLOOKUP(A3042,vlookup_table!$A:$G,5,FALSE),"")</f>
        <v>T2</v>
      </c>
      <c r="Q3042">
        <f>IFERROR(VLOOKUP(A3042,vlookup_table!$A:$G,7,FALSE),"")</f>
        <v>5</v>
      </c>
      <c r="R3042">
        <f t="shared" si="188"/>
        <v>55</v>
      </c>
      <c r="S3042" t="str" cm="1">
        <f t="array" ref="S3042">IF(P3042="","",_xlfn.SWITCH(LEFT(P3042,1),"C","Ciudad","T","Pueblo","R","Rural","S","Suburbano","U","Urbano",""))</f>
        <v>Pueblo</v>
      </c>
      <c r="T3042" t="str">
        <f t="shared" si="189"/>
        <v>M</v>
      </c>
      <c r="U3042" t="str">
        <f t="shared" si="190"/>
        <v>CA</v>
      </c>
      <c r="V3042" t="str">
        <f t="shared" si="191"/>
        <v>14797</v>
      </c>
    </row>
    <row r="3043" spans="1:22" x14ac:dyDescent="0.35">
      <c r="A3043" s="3">
        <v>184549</v>
      </c>
      <c r="B3043" t="s">
        <v>70</v>
      </c>
      <c r="C3043" t="s">
        <v>27</v>
      </c>
      <c r="D3043">
        <v>1040</v>
      </c>
      <c r="E3043">
        <v>507</v>
      </c>
      <c r="F3043">
        <v>590</v>
      </c>
      <c r="G3043">
        <v>0</v>
      </c>
      <c r="H3043">
        <v>21442</v>
      </c>
      <c r="I3043">
        <v>6</v>
      </c>
      <c r="J3043">
        <v>24</v>
      </c>
      <c r="K3043">
        <v>569</v>
      </c>
      <c r="L3043">
        <v>566</v>
      </c>
      <c r="M3043">
        <v>20.833333329999999</v>
      </c>
      <c r="N3043">
        <f>IFERROR(VLOOKUP(A3043,vlookup_table!$A:$G,2,FALSE),"")</f>
        <v>0</v>
      </c>
      <c r="O3043">
        <f>IFERROR(VLOOKUP(A3043,vlookup_table!$A:$G,4,FALSE),"")</f>
        <v>4301</v>
      </c>
      <c r="P3043" t="str">
        <f>IFERROR(VLOOKUP(A3043,vlookup_table!$A:$G,5,FALSE),"")</f>
        <v>C2</v>
      </c>
      <c r="Q3043">
        <f>IFERROR(VLOOKUP(A3043,vlookup_table!$A:$G,7,FALSE),"")</f>
        <v>25</v>
      </c>
      <c r="R3043">
        <f t="shared" si="188"/>
        <v>54</v>
      </c>
      <c r="S3043" t="str" cm="1">
        <f t="array" ref="S3043">IF(P3043="","",_xlfn.SWITCH(LEFT(P3043,1),"C","Ciudad","T","Pueblo","R","Rural","S","Suburbano","U","Urbano",""))</f>
        <v>Ciudad</v>
      </c>
      <c r="T3043" t="str">
        <f t="shared" si="189"/>
        <v>M</v>
      </c>
      <c r="U3043" t="str">
        <f t="shared" si="190"/>
        <v>AK</v>
      </c>
      <c r="V3043" t="str">
        <f t="shared" si="191"/>
        <v>21442</v>
      </c>
    </row>
    <row r="3044" spans="1:22" x14ac:dyDescent="0.35">
      <c r="A3044" s="3">
        <v>162494</v>
      </c>
      <c r="B3044" t="s">
        <v>22</v>
      </c>
      <c r="C3044" t="s">
        <v>14</v>
      </c>
      <c r="D3044">
        <v>2375</v>
      </c>
      <c r="E3044">
        <v>435</v>
      </c>
      <c r="F3044">
        <v>514</v>
      </c>
      <c r="G3044">
        <v>88</v>
      </c>
      <c r="H3044">
        <v>17574</v>
      </c>
      <c r="I3044">
        <v>18</v>
      </c>
      <c r="J3044">
        <v>60</v>
      </c>
      <c r="K3044">
        <v>516</v>
      </c>
      <c r="L3044">
        <v>465</v>
      </c>
      <c r="M3044">
        <v>21.875</v>
      </c>
      <c r="N3044">
        <f>IFERROR(VLOOKUP(A3044,vlookup_table!$A:$G,2,FALSE),"")</f>
        <v>1</v>
      </c>
      <c r="O3044">
        <f>IFERROR(VLOOKUP(A3044,vlookup_table!$A:$G,4,FALSE),"")</f>
        <v>5601</v>
      </c>
      <c r="P3044" t="str">
        <f>IFERROR(VLOOKUP(A3044,vlookup_table!$A:$G,5,FALSE),"")</f>
        <v>S2</v>
      </c>
      <c r="Q3044">
        <f>IFERROR(VLOOKUP(A3044,vlookup_table!$A:$G,7,FALSE),"")</f>
        <v>30</v>
      </c>
      <c r="R3044">
        <f t="shared" si="188"/>
        <v>41</v>
      </c>
      <c r="S3044" t="str" cm="1">
        <f t="array" ref="S3044">IF(P3044="","",_xlfn.SWITCH(LEFT(P3044,1),"C","Ciudad","T","Pueblo","R","Rural","S","Suburbano","U","Urbano",""))</f>
        <v>Suburbano</v>
      </c>
      <c r="T3044" t="str">
        <f t="shared" si="189"/>
        <v>M</v>
      </c>
      <c r="U3044" t="str">
        <f t="shared" si="190"/>
        <v>CA</v>
      </c>
      <c r="V3044" t="str">
        <f t="shared" si="191"/>
        <v>17574</v>
      </c>
    </row>
    <row r="3045" spans="1:22" x14ac:dyDescent="0.35">
      <c r="A3045" s="3">
        <v>45873</v>
      </c>
      <c r="B3045" t="s">
        <v>13</v>
      </c>
      <c r="C3045" t="s">
        <v>17</v>
      </c>
      <c r="D3045">
        <v>402</v>
      </c>
      <c r="E3045">
        <v>168</v>
      </c>
      <c r="F3045">
        <v>240</v>
      </c>
      <c r="G3045">
        <v>0</v>
      </c>
      <c r="H3045">
        <v>10003</v>
      </c>
      <c r="I3045">
        <v>8</v>
      </c>
      <c r="J3045">
        <v>17</v>
      </c>
      <c r="K3045">
        <v>251</v>
      </c>
      <c r="L3045">
        <v>199</v>
      </c>
      <c r="M3045">
        <v>6.538461539</v>
      </c>
      <c r="N3045">
        <f>IFERROR(VLOOKUP(A3045,vlookup_table!$A:$G,2,FALSE),"")</f>
        <v>0</v>
      </c>
      <c r="O3045">
        <f>IFERROR(VLOOKUP(A3045,vlookup_table!$A:$G,4,FALSE),"")</f>
        <v>1606</v>
      </c>
      <c r="P3045" t="str">
        <f>IFERROR(VLOOKUP(A3045,vlookup_table!$A:$G,5,FALSE),"")</f>
        <v>C3</v>
      </c>
      <c r="Q3045">
        <f>IFERROR(VLOOKUP(A3045,vlookup_table!$A:$G,7,FALSE),"")</f>
        <v>8</v>
      </c>
      <c r="R3045">
        <f t="shared" si="188"/>
        <v>81</v>
      </c>
      <c r="S3045" t="str" cm="1">
        <f t="array" ref="S3045">IF(P3045="","",_xlfn.SWITCH(LEFT(P3045,1),"C","Ciudad","T","Pueblo","R","Rural","S","Suburbano","U","Urbano",""))</f>
        <v>Ciudad</v>
      </c>
      <c r="T3045" t="str">
        <f t="shared" si="189"/>
        <v>F</v>
      </c>
      <c r="U3045" t="str">
        <f t="shared" si="190"/>
        <v>FL</v>
      </c>
      <c r="V3045" t="str">
        <f t="shared" si="191"/>
        <v>10003</v>
      </c>
    </row>
    <row r="3046" spans="1:22" x14ac:dyDescent="0.35">
      <c r="A3046" s="3">
        <v>14831</v>
      </c>
      <c r="B3046" t="s">
        <v>32</v>
      </c>
      <c r="C3046" t="s">
        <v>60</v>
      </c>
      <c r="D3046">
        <v>374</v>
      </c>
      <c r="E3046">
        <v>223</v>
      </c>
      <c r="F3046">
        <v>276</v>
      </c>
      <c r="G3046">
        <v>0</v>
      </c>
      <c r="H3046">
        <v>9291</v>
      </c>
      <c r="I3046">
        <v>2</v>
      </c>
      <c r="J3046">
        <v>73</v>
      </c>
      <c r="K3046">
        <v>242</v>
      </c>
      <c r="L3046">
        <v>254</v>
      </c>
      <c r="M3046">
        <v>8.7857142859999993</v>
      </c>
      <c r="N3046">
        <f>IFERROR(VLOOKUP(A3046,vlookup_table!$A:$G,2,FALSE),"")</f>
        <v>0</v>
      </c>
      <c r="O3046">
        <f>IFERROR(VLOOKUP(A3046,vlookup_table!$A:$G,4,FALSE),"")</f>
        <v>0</v>
      </c>
      <c r="P3046" t="str">
        <f>IFERROR(VLOOKUP(A3046,vlookup_table!$A:$G,5,FALSE),"")</f>
        <v>R3</v>
      </c>
      <c r="Q3046">
        <f>IFERROR(VLOOKUP(A3046,vlookup_table!$A:$G,7,FALSE),"")</f>
        <v>10</v>
      </c>
      <c r="R3046">
        <f t="shared" si="188"/>
        <v>97</v>
      </c>
      <c r="S3046" t="str" cm="1">
        <f t="array" ref="S3046">IF(P3046="","",_xlfn.SWITCH(LEFT(P3046,1),"C","Ciudad","T","Pueblo","R","Rural","S","Suburbano","U","Urbano",""))</f>
        <v>Rural</v>
      </c>
      <c r="T3046" t="str">
        <f t="shared" si="189"/>
        <v>F</v>
      </c>
      <c r="U3046" t="str">
        <f t="shared" si="190"/>
        <v>AR</v>
      </c>
      <c r="V3046" t="str">
        <f t="shared" si="191"/>
        <v>9291</v>
      </c>
    </row>
    <row r="3047" spans="1:22" x14ac:dyDescent="0.35">
      <c r="A3047" s="3">
        <v>160610</v>
      </c>
      <c r="B3047" t="s">
        <v>22</v>
      </c>
      <c r="C3047" t="s">
        <v>17</v>
      </c>
      <c r="D3047">
        <v>848</v>
      </c>
      <c r="E3047">
        <v>368</v>
      </c>
      <c r="F3047">
        <v>412</v>
      </c>
      <c r="G3047">
        <v>1</v>
      </c>
      <c r="H3047">
        <v>13741</v>
      </c>
      <c r="I3047">
        <v>7</v>
      </c>
      <c r="J3047">
        <v>39</v>
      </c>
      <c r="K3047">
        <v>397</v>
      </c>
      <c r="L3047">
        <v>392</v>
      </c>
      <c r="M3047">
        <v>15</v>
      </c>
      <c r="N3047">
        <f>IFERROR(VLOOKUP(A3047,vlookup_table!$A:$G,2,FALSE),"")</f>
        <v>28</v>
      </c>
      <c r="O3047">
        <f>IFERROR(VLOOKUP(A3047,vlookup_table!$A:$G,4,FALSE),"")</f>
        <v>0</v>
      </c>
      <c r="P3047" t="str">
        <f>IFERROR(VLOOKUP(A3047,vlookup_table!$A:$G,5,FALSE),"")</f>
        <v>R2</v>
      </c>
      <c r="Q3047">
        <f>IFERROR(VLOOKUP(A3047,vlookup_table!$A:$G,7,FALSE),"")</f>
        <v>15</v>
      </c>
      <c r="R3047">
        <f t="shared" si="188"/>
        <v>97</v>
      </c>
      <c r="S3047" t="str" cm="1">
        <f t="array" ref="S3047">IF(P3047="","",_xlfn.SWITCH(LEFT(P3047,1),"C","Ciudad","T","Pueblo","R","Rural","S","Suburbano","U","Urbano",""))</f>
        <v>Rural</v>
      </c>
      <c r="T3047" t="str">
        <f t="shared" si="189"/>
        <v>F</v>
      </c>
      <c r="U3047" t="str">
        <f t="shared" si="190"/>
        <v>CA</v>
      </c>
      <c r="V3047" t="str">
        <f t="shared" si="191"/>
        <v>13741</v>
      </c>
    </row>
    <row r="3048" spans="1:22" x14ac:dyDescent="0.35">
      <c r="A3048" s="3">
        <v>44243</v>
      </c>
      <c r="B3048" t="s">
        <v>13</v>
      </c>
      <c r="C3048" t="s">
        <v>17</v>
      </c>
      <c r="D3048">
        <v>1603</v>
      </c>
      <c r="E3048">
        <v>308</v>
      </c>
      <c r="F3048">
        <v>525</v>
      </c>
      <c r="G3048">
        <v>38</v>
      </c>
      <c r="H3048">
        <v>24259</v>
      </c>
      <c r="I3048">
        <v>7</v>
      </c>
      <c r="J3048">
        <v>13</v>
      </c>
      <c r="K3048">
        <v>346</v>
      </c>
      <c r="L3048">
        <v>445</v>
      </c>
      <c r="M3048">
        <v>12.66666667</v>
      </c>
      <c r="N3048">
        <f>IFERROR(VLOOKUP(A3048,vlookup_table!$A:$G,2,FALSE),"")</f>
        <v>2</v>
      </c>
      <c r="O3048">
        <f>IFERROR(VLOOKUP(A3048,vlookup_table!$A:$G,4,FALSE),"")</f>
        <v>1601</v>
      </c>
      <c r="P3048" t="str">
        <f>IFERROR(VLOOKUP(A3048,vlookup_table!$A:$G,5,FALSE),"")</f>
        <v>C1</v>
      </c>
      <c r="Q3048">
        <f>IFERROR(VLOOKUP(A3048,vlookup_table!$A:$G,7,FALSE),"")</f>
        <v>20</v>
      </c>
      <c r="R3048">
        <f t="shared" si="188"/>
        <v>81</v>
      </c>
      <c r="S3048" t="str" cm="1">
        <f t="array" ref="S3048">IF(P3048="","",_xlfn.SWITCH(LEFT(P3048,1),"C","Ciudad","T","Pueblo","R","Rural","S","Suburbano","U","Urbano",""))</f>
        <v>Ciudad</v>
      </c>
      <c r="T3048" t="str">
        <f t="shared" si="189"/>
        <v>F</v>
      </c>
      <c r="U3048" t="str">
        <f t="shared" si="190"/>
        <v>FL</v>
      </c>
      <c r="V3048" t="str">
        <f t="shared" si="191"/>
        <v>24259</v>
      </c>
    </row>
    <row r="3049" spans="1:22" x14ac:dyDescent="0.35">
      <c r="A3049" s="3">
        <v>41537</v>
      </c>
      <c r="B3049" t="s">
        <v>13</v>
      </c>
      <c r="C3049" t="s">
        <v>17</v>
      </c>
      <c r="D3049">
        <v>742</v>
      </c>
      <c r="E3049">
        <v>396</v>
      </c>
      <c r="F3049">
        <v>470</v>
      </c>
      <c r="G3049">
        <v>0</v>
      </c>
      <c r="H3049">
        <v>15356</v>
      </c>
      <c r="I3049">
        <v>7</v>
      </c>
      <c r="J3049">
        <v>37</v>
      </c>
      <c r="K3049">
        <v>424</v>
      </c>
      <c r="L3049">
        <v>450</v>
      </c>
      <c r="M3049">
        <v>14.28571429</v>
      </c>
      <c r="N3049">
        <f>IFERROR(VLOOKUP(A3049,vlookup_table!$A:$G,2,FALSE),"")</f>
        <v>2</v>
      </c>
      <c r="O3049">
        <f>IFERROR(VLOOKUP(A3049,vlookup_table!$A:$G,4,FALSE),"")</f>
        <v>6101</v>
      </c>
      <c r="P3049" t="str">
        <f>IFERROR(VLOOKUP(A3049,vlookup_table!$A:$G,5,FALSE),"")</f>
        <v>S2</v>
      </c>
      <c r="Q3049">
        <f>IFERROR(VLOOKUP(A3049,vlookup_table!$A:$G,7,FALSE),"")</f>
        <v>50</v>
      </c>
      <c r="R3049">
        <f t="shared" si="188"/>
        <v>36</v>
      </c>
      <c r="S3049" t="str" cm="1">
        <f t="array" ref="S3049">IF(P3049="","",_xlfn.SWITCH(LEFT(P3049,1),"C","Ciudad","T","Pueblo","R","Rural","S","Suburbano","U","Urbano",""))</f>
        <v>Suburbano</v>
      </c>
      <c r="T3049" t="str">
        <f t="shared" si="189"/>
        <v>F</v>
      </c>
      <c r="U3049" t="str">
        <f t="shared" si="190"/>
        <v>FL</v>
      </c>
      <c r="V3049" t="str">
        <f t="shared" si="191"/>
        <v>15356</v>
      </c>
    </row>
    <row r="3050" spans="1:22" x14ac:dyDescent="0.35">
      <c r="A3050" s="3">
        <v>56120</v>
      </c>
      <c r="B3050" t="s">
        <v>62</v>
      </c>
      <c r="C3050" t="s">
        <v>20</v>
      </c>
      <c r="D3050">
        <v>518</v>
      </c>
      <c r="E3050">
        <v>330</v>
      </c>
      <c r="F3050">
        <v>393</v>
      </c>
      <c r="G3050">
        <v>0</v>
      </c>
      <c r="H3050">
        <v>14374</v>
      </c>
      <c r="I3050">
        <v>1</v>
      </c>
      <c r="J3050">
        <v>58</v>
      </c>
      <c r="K3050">
        <v>370</v>
      </c>
      <c r="L3050">
        <v>353</v>
      </c>
      <c r="M3050">
        <v>6.6296296300000002</v>
      </c>
      <c r="N3050">
        <f>IFERROR(VLOOKUP(A3050,vlookup_table!$A:$G,2,FALSE),"")</f>
        <v>0</v>
      </c>
      <c r="O3050">
        <f>IFERROR(VLOOKUP(A3050,vlookup_table!$A:$G,4,FALSE),"")</f>
        <v>0</v>
      </c>
      <c r="P3050" t="str">
        <f>IFERROR(VLOOKUP(A3050,vlookup_table!$A:$G,5,FALSE),"")</f>
        <v>T3</v>
      </c>
      <c r="Q3050">
        <f>IFERROR(VLOOKUP(A3050,vlookup_table!$A:$G,7,FALSE),"")</f>
        <v>15</v>
      </c>
      <c r="R3050">
        <f t="shared" si="188"/>
        <v>97</v>
      </c>
      <c r="S3050" t="str" cm="1">
        <f t="array" ref="S3050">IF(P3050="","",_xlfn.SWITCH(LEFT(P3050,1),"C","Ciudad","T","Pueblo","R","Rural","S","Suburbano","U","Urbano",""))</f>
        <v>Pueblo</v>
      </c>
      <c r="T3050" t="str">
        <f t="shared" si="189"/>
        <v>F</v>
      </c>
      <c r="U3050" t="str">
        <f t="shared" si="190"/>
        <v>MS</v>
      </c>
      <c r="V3050" t="str">
        <f t="shared" si="191"/>
        <v>14374</v>
      </c>
    </row>
    <row r="3051" spans="1:22" x14ac:dyDescent="0.35">
      <c r="A3051" s="3">
        <v>15648</v>
      </c>
      <c r="B3051" t="s">
        <v>18</v>
      </c>
      <c r="C3051" t="s">
        <v>20</v>
      </c>
      <c r="D3051">
        <v>2490</v>
      </c>
      <c r="E3051">
        <v>379</v>
      </c>
      <c r="F3051">
        <v>649</v>
      </c>
      <c r="G3051">
        <v>57</v>
      </c>
      <c r="H3051">
        <v>26456</v>
      </c>
      <c r="I3051">
        <v>5</v>
      </c>
      <c r="J3051">
        <v>54</v>
      </c>
      <c r="K3051">
        <v>459</v>
      </c>
      <c r="L3051">
        <v>546</v>
      </c>
      <c r="M3051">
        <v>8.9545454549999999</v>
      </c>
      <c r="N3051">
        <f>IFERROR(VLOOKUP(A3051,vlookup_table!$A:$G,2,FALSE),"")</f>
        <v>2</v>
      </c>
      <c r="O3051">
        <f>IFERROR(VLOOKUP(A3051,vlookup_table!$A:$G,4,FALSE),"")</f>
        <v>0</v>
      </c>
      <c r="P3051" t="str">
        <f>IFERROR(VLOOKUP(A3051,vlookup_table!$A:$G,5,FALSE),"")</f>
        <v>C2</v>
      </c>
      <c r="Q3051">
        <f>IFERROR(VLOOKUP(A3051,vlookup_table!$A:$G,7,FALSE),"")</f>
        <v>20</v>
      </c>
      <c r="R3051">
        <f t="shared" si="188"/>
        <v>97</v>
      </c>
      <c r="S3051" t="str" cm="1">
        <f t="array" ref="S3051">IF(P3051="","",_xlfn.SWITCH(LEFT(P3051,1),"C","Ciudad","T","Pueblo","R","Rural","S","Suburbano","U","Urbano",""))</f>
        <v>Ciudad</v>
      </c>
      <c r="T3051" t="str">
        <f t="shared" si="189"/>
        <v>F</v>
      </c>
      <c r="U3051" t="str">
        <f t="shared" si="190"/>
        <v>NC</v>
      </c>
      <c r="V3051" t="str">
        <f t="shared" si="191"/>
        <v>26456</v>
      </c>
    </row>
    <row r="3052" spans="1:22" x14ac:dyDescent="0.35">
      <c r="A3052" s="3">
        <v>14608</v>
      </c>
      <c r="B3052" t="s">
        <v>22</v>
      </c>
      <c r="C3052" t="s">
        <v>17</v>
      </c>
      <c r="D3052">
        <v>2556</v>
      </c>
      <c r="E3052">
        <v>490</v>
      </c>
      <c r="F3052">
        <v>744</v>
      </c>
      <c r="G3052">
        <v>88</v>
      </c>
      <c r="H3052">
        <v>40178</v>
      </c>
      <c r="I3052">
        <v>14</v>
      </c>
      <c r="J3052">
        <v>27</v>
      </c>
      <c r="K3052">
        <v>670</v>
      </c>
      <c r="L3052">
        <v>610</v>
      </c>
      <c r="M3052">
        <v>12.09090909</v>
      </c>
      <c r="N3052">
        <f>IFERROR(VLOOKUP(A3052,vlookup_table!$A:$G,2,FALSE),"")</f>
        <v>2</v>
      </c>
      <c r="O3052">
        <f>IFERROR(VLOOKUP(A3052,vlookup_table!$A:$G,4,FALSE),"")</f>
        <v>2601</v>
      </c>
      <c r="P3052" t="str">
        <f>IFERROR(VLOOKUP(A3052,vlookup_table!$A:$G,5,FALSE),"")</f>
        <v>T1</v>
      </c>
      <c r="Q3052">
        <f>IFERROR(VLOOKUP(A3052,vlookup_table!$A:$G,7,FALSE),"")</f>
        <v>15</v>
      </c>
      <c r="R3052">
        <f t="shared" si="188"/>
        <v>71</v>
      </c>
      <c r="S3052" t="str" cm="1">
        <f t="array" ref="S3052">IF(P3052="","",_xlfn.SWITCH(LEFT(P3052,1),"C","Ciudad","T","Pueblo","R","Rural","S","Suburbano","U","Urbano",""))</f>
        <v>Pueblo</v>
      </c>
      <c r="T3052" t="str">
        <f t="shared" si="189"/>
        <v>F</v>
      </c>
      <c r="U3052" t="str">
        <f t="shared" si="190"/>
        <v>CA</v>
      </c>
      <c r="V3052" t="str">
        <f t="shared" si="191"/>
        <v>40178</v>
      </c>
    </row>
    <row r="3053" spans="1:22" x14ac:dyDescent="0.35">
      <c r="A3053" s="3">
        <v>9053</v>
      </c>
      <c r="B3053" t="s">
        <v>22</v>
      </c>
      <c r="C3053" t="s">
        <v>17</v>
      </c>
      <c r="D3053">
        <v>3081</v>
      </c>
      <c r="E3053">
        <v>446</v>
      </c>
      <c r="F3053">
        <v>510</v>
      </c>
      <c r="G3053">
        <v>89</v>
      </c>
      <c r="H3053">
        <v>15984</v>
      </c>
      <c r="I3053">
        <v>11</v>
      </c>
      <c r="J3053">
        <v>63</v>
      </c>
      <c r="K3053">
        <v>514</v>
      </c>
      <c r="L3053">
        <v>485</v>
      </c>
      <c r="M3053">
        <v>13.06666667</v>
      </c>
      <c r="N3053">
        <f>IFERROR(VLOOKUP(A3053,vlookup_table!$A:$G,2,FALSE),"")</f>
        <v>0</v>
      </c>
      <c r="O3053">
        <f>IFERROR(VLOOKUP(A3053,vlookup_table!$A:$G,4,FALSE),"")</f>
        <v>1708</v>
      </c>
      <c r="P3053" t="str">
        <f>IFERROR(VLOOKUP(A3053,vlookup_table!$A:$G,5,FALSE),"")</f>
        <v>S1</v>
      </c>
      <c r="Q3053">
        <f>IFERROR(VLOOKUP(A3053,vlookup_table!$A:$G,7,FALSE),"")</f>
        <v>20</v>
      </c>
      <c r="R3053">
        <f t="shared" si="188"/>
        <v>80</v>
      </c>
      <c r="S3053" t="str" cm="1">
        <f t="array" ref="S3053">IF(P3053="","",_xlfn.SWITCH(LEFT(P3053,1),"C","Ciudad","T","Pueblo","R","Rural","S","Suburbano","U","Urbano",""))</f>
        <v>Suburbano</v>
      </c>
      <c r="T3053" t="str">
        <f t="shared" si="189"/>
        <v>F</v>
      </c>
      <c r="U3053" t="str">
        <f t="shared" si="190"/>
        <v>CA</v>
      </c>
      <c r="V3053" t="str">
        <f t="shared" si="191"/>
        <v>15984</v>
      </c>
    </row>
    <row r="3054" spans="1:22" x14ac:dyDescent="0.35">
      <c r="A3054" s="3">
        <v>137971</v>
      </c>
      <c r="B3054" t="s">
        <v>55</v>
      </c>
      <c r="C3054" t="s">
        <v>60</v>
      </c>
      <c r="D3054">
        <v>582</v>
      </c>
      <c r="E3054">
        <v>163</v>
      </c>
      <c r="F3054">
        <v>229</v>
      </c>
      <c r="G3054">
        <v>0</v>
      </c>
      <c r="H3054">
        <v>8173</v>
      </c>
      <c r="I3054">
        <v>3</v>
      </c>
      <c r="J3054">
        <v>40</v>
      </c>
      <c r="K3054">
        <v>193</v>
      </c>
      <c r="L3054">
        <v>188</v>
      </c>
      <c r="M3054">
        <v>20</v>
      </c>
      <c r="N3054">
        <f>IFERROR(VLOOKUP(A3054,vlookup_table!$A:$G,2,FALSE),"")</f>
        <v>0</v>
      </c>
      <c r="O3054">
        <f>IFERROR(VLOOKUP(A3054,vlookup_table!$A:$G,4,FALSE),"")</f>
        <v>2801</v>
      </c>
      <c r="P3054" t="str">
        <f>IFERROR(VLOOKUP(A3054,vlookup_table!$A:$G,5,FALSE),"")</f>
        <v>C3</v>
      </c>
      <c r="Q3054">
        <f>IFERROR(VLOOKUP(A3054,vlookup_table!$A:$G,7,FALSE),"")</f>
        <v>25</v>
      </c>
      <c r="R3054">
        <f t="shared" si="188"/>
        <v>69</v>
      </c>
      <c r="S3054" t="str" cm="1">
        <f t="array" ref="S3054">IF(P3054="","",_xlfn.SWITCH(LEFT(P3054,1),"C","Ciudad","T","Pueblo","R","Rural","S","Suburbano","U","Urbano",""))</f>
        <v>Ciudad</v>
      </c>
      <c r="T3054" t="str">
        <f t="shared" si="189"/>
        <v>F</v>
      </c>
      <c r="U3054" t="str">
        <f t="shared" si="190"/>
        <v>AZ</v>
      </c>
      <c r="V3054" t="str">
        <f t="shared" si="191"/>
        <v>8173</v>
      </c>
    </row>
    <row r="3055" spans="1:22" x14ac:dyDescent="0.35">
      <c r="A3055" s="3">
        <v>83497</v>
      </c>
      <c r="B3055" t="s">
        <v>56</v>
      </c>
      <c r="C3055" t="s">
        <v>17</v>
      </c>
      <c r="D3055">
        <v>375</v>
      </c>
      <c r="E3055">
        <v>167</v>
      </c>
      <c r="F3055">
        <v>265</v>
      </c>
      <c r="G3055">
        <v>0</v>
      </c>
      <c r="H3055">
        <v>9007</v>
      </c>
      <c r="I3055">
        <v>1</v>
      </c>
      <c r="J3055">
        <v>82</v>
      </c>
      <c r="K3055">
        <v>215</v>
      </c>
      <c r="L3055">
        <v>216</v>
      </c>
      <c r="M3055">
        <v>15</v>
      </c>
      <c r="N3055">
        <f>IFERROR(VLOOKUP(A3055,vlookup_table!$A:$G,2,FALSE),"")</f>
        <v>0</v>
      </c>
      <c r="O3055">
        <f>IFERROR(VLOOKUP(A3055,vlookup_table!$A:$G,4,FALSE),"")</f>
        <v>2801</v>
      </c>
      <c r="P3055" t="str">
        <f>IFERROR(VLOOKUP(A3055,vlookup_table!$A:$G,5,FALSE),"")</f>
        <v>U3</v>
      </c>
      <c r="Q3055">
        <f>IFERROR(VLOOKUP(A3055,vlookup_table!$A:$G,7,FALSE),"")</f>
        <v>15</v>
      </c>
      <c r="R3055">
        <f t="shared" si="188"/>
        <v>69</v>
      </c>
      <c r="S3055" t="str" cm="1">
        <f t="array" ref="S3055">IF(P3055="","",_xlfn.SWITCH(LEFT(P3055,1),"C","Ciudad","T","Pueblo","R","Rural","S","Suburbano","U","Urbano",""))</f>
        <v>Urbano</v>
      </c>
      <c r="T3055" t="str">
        <f t="shared" si="189"/>
        <v>F</v>
      </c>
      <c r="U3055" t="str">
        <f t="shared" si="190"/>
        <v>MN</v>
      </c>
      <c r="V3055" t="str">
        <f t="shared" si="191"/>
        <v>9007</v>
      </c>
    </row>
    <row r="3056" spans="1:22" x14ac:dyDescent="0.35">
      <c r="A3056" s="3">
        <v>169640</v>
      </c>
      <c r="B3056" t="s">
        <v>22</v>
      </c>
      <c r="C3056" t="s">
        <v>17</v>
      </c>
      <c r="D3056">
        <v>1248</v>
      </c>
      <c r="E3056">
        <v>371</v>
      </c>
      <c r="F3056">
        <v>401</v>
      </c>
      <c r="G3056">
        <v>3</v>
      </c>
      <c r="H3056">
        <v>13104</v>
      </c>
      <c r="I3056">
        <v>14</v>
      </c>
      <c r="J3056">
        <v>58</v>
      </c>
      <c r="K3056">
        <v>394</v>
      </c>
      <c r="L3056">
        <v>384</v>
      </c>
      <c r="M3056">
        <v>6.3636363640000004</v>
      </c>
      <c r="N3056">
        <f>IFERROR(VLOOKUP(A3056,vlookup_table!$A:$G,2,FALSE),"")</f>
        <v>0</v>
      </c>
      <c r="O3056">
        <f>IFERROR(VLOOKUP(A3056,vlookup_table!$A:$G,4,FALSE),"")</f>
        <v>2201</v>
      </c>
      <c r="P3056">
        <f>IFERROR(VLOOKUP(A3056,vlookup_table!$A:$G,5,FALSE),"")</f>
        <v>0</v>
      </c>
      <c r="Q3056">
        <f>IFERROR(VLOOKUP(A3056,vlookup_table!$A:$G,7,FALSE),"")</f>
        <v>8</v>
      </c>
      <c r="R3056">
        <f t="shared" si="188"/>
        <v>75</v>
      </c>
      <c r="S3056" t="str" cm="1">
        <f t="array" ref="S3056">IF(P3056="","",_xlfn.SWITCH(LEFT(P3056,1),"C","Ciudad","T","Pueblo","R","Rural","S","Suburbano","U","Urbano",""))</f>
        <v/>
      </c>
      <c r="T3056" t="str">
        <f t="shared" si="189"/>
        <v>F</v>
      </c>
      <c r="U3056" t="str">
        <f t="shared" si="190"/>
        <v>CA</v>
      </c>
      <c r="V3056" t="str">
        <f t="shared" si="191"/>
        <v>13104</v>
      </c>
    </row>
    <row r="3057" spans="1:22" x14ac:dyDescent="0.35">
      <c r="A3057" s="3">
        <v>169903</v>
      </c>
      <c r="B3057" t="s">
        <v>22</v>
      </c>
      <c r="C3057" t="s">
        <v>30</v>
      </c>
      <c r="D3057">
        <v>2598</v>
      </c>
      <c r="E3057">
        <v>470</v>
      </c>
      <c r="F3057">
        <v>661</v>
      </c>
      <c r="G3057">
        <v>74</v>
      </c>
      <c r="H3057">
        <v>31631</v>
      </c>
      <c r="I3057">
        <v>9</v>
      </c>
      <c r="J3057">
        <v>36</v>
      </c>
      <c r="K3057">
        <v>557</v>
      </c>
      <c r="L3057">
        <v>562</v>
      </c>
      <c r="M3057">
        <v>8.1071428569999995</v>
      </c>
      <c r="N3057">
        <f>IFERROR(VLOOKUP(A3057,vlookup_table!$A:$G,2,FALSE),"")</f>
        <v>2</v>
      </c>
      <c r="O3057">
        <f>IFERROR(VLOOKUP(A3057,vlookup_table!$A:$G,4,FALSE),"")</f>
        <v>1701</v>
      </c>
      <c r="P3057" t="str">
        <f>IFERROR(VLOOKUP(A3057,vlookup_table!$A:$G,5,FALSE),"")</f>
        <v>C1</v>
      </c>
      <c r="Q3057">
        <f>IFERROR(VLOOKUP(A3057,vlookup_table!$A:$G,7,FALSE),"")</f>
        <v>15</v>
      </c>
      <c r="R3057">
        <f t="shared" si="188"/>
        <v>80</v>
      </c>
      <c r="S3057" t="str" cm="1">
        <f t="array" ref="S3057">IF(P3057="","",_xlfn.SWITCH(LEFT(P3057,1),"C","Ciudad","T","Pueblo","R","Rural","S","Suburbano","U","Urbano",""))</f>
        <v>Ciudad</v>
      </c>
      <c r="T3057" t="str">
        <f t="shared" si="189"/>
        <v>U</v>
      </c>
      <c r="U3057" t="str">
        <f t="shared" si="190"/>
        <v>CA</v>
      </c>
      <c r="V3057" t="str">
        <f t="shared" si="191"/>
        <v>31631</v>
      </c>
    </row>
    <row r="3058" spans="1:22" x14ac:dyDescent="0.35">
      <c r="A3058" s="3">
        <v>172175</v>
      </c>
      <c r="B3058" t="s">
        <v>22</v>
      </c>
      <c r="C3058" t="s">
        <v>17</v>
      </c>
      <c r="D3058">
        <v>658</v>
      </c>
      <c r="E3058">
        <v>166</v>
      </c>
      <c r="F3058">
        <v>212</v>
      </c>
      <c r="G3058">
        <v>0</v>
      </c>
      <c r="H3058">
        <v>7704</v>
      </c>
      <c r="I3058">
        <v>16</v>
      </c>
      <c r="J3058">
        <v>59</v>
      </c>
      <c r="K3058">
        <v>143</v>
      </c>
      <c r="L3058">
        <v>206</v>
      </c>
      <c r="M3058">
        <v>11.33333333</v>
      </c>
      <c r="N3058">
        <f>IFERROR(VLOOKUP(A3058,vlookup_table!$A:$G,2,FALSE),"")</f>
        <v>0</v>
      </c>
      <c r="O3058">
        <f>IFERROR(VLOOKUP(A3058,vlookup_table!$A:$G,4,FALSE),"")</f>
        <v>201</v>
      </c>
      <c r="P3058" t="str">
        <f>IFERROR(VLOOKUP(A3058,vlookup_table!$A:$G,5,FALSE),"")</f>
        <v>C3</v>
      </c>
      <c r="Q3058">
        <f>IFERROR(VLOOKUP(A3058,vlookup_table!$A:$G,7,FALSE),"")</f>
        <v>10</v>
      </c>
      <c r="R3058">
        <f t="shared" si="188"/>
        <v>95</v>
      </c>
      <c r="S3058" t="str" cm="1">
        <f t="array" ref="S3058">IF(P3058="","",_xlfn.SWITCH(LEFT(P3058,1),"C","Ciudad","T","Pueblo","R","Rural","S","Suburbano","U","Urbano",""))</f>
        <v>Ciudad</v>
      </c>
      <c r="T3058" t="str">
        <f t="shared" si="189"/>
        <v>F</v>
      </c>
      <c r="U3058" t="str">
        <f t="shared" si="190"/>
        <v>CA</v>
      </c>
      <c r="V3058" t="str">
        <f t="shared" si="191"/>
        <v>7704</v>
      </c>
    </row>
    <row r="3059" spans="1:22" x14ac:dyDescent="0.35">
      <c r="A3059" s="3">
        <v>145905</v>
      </c>
      <c r="B3059" t="s">
        <v>22</v>
      </c>
      <c r="C3059" t="s">
        <v>14</v>
      </c>
      <c r="D3059">
        <v>2328</v>
      </c>
      <c r="E3059">
        <v>346</v>
      </c>
      <c r="F3059">
        <v>493</v>
      </c>
      <c r="G3059">
        <v>74</v>
      </c>
      <c r="H3059">
        <v>17417</v>
      </c>
      <c r="I3059">
        <v>20</v>
      </c>
      <c r="J3059">
        <v>47</v>
      </c>
      <c r="K3059">
        <v>469</v>
      </c>
      <c r="L3059">
        <v>434</v>
      </c>
      <c r="M3059">
        <v>25</v>
      </c>
      <c r="N3059">
        <f>IFERROR(VLOOKUP(A3059,vlookup_table!$A:$G,2,FALSE),"")</f>
        <v>1</v>
      </c>
      <c r="O3059">
        <f>IFERROR(VLOOKUP(A3059,vlookup_table!$A:$G,4,FALSE),"")</f>
        <v>1101</v>
      </c>
      <c r="P3059" t="str">
        <f>IFERROR(VLOOKUP(A3059,vlookup_table!$A:$G,5,FALSE),"")</f>
        <v>S1</v>
      </c>
      <c r="Q3059">
        <f>IFERROR(VLOOKUP(A3059,vlookup_table!$A:$G,7,FALSE),"")</f>
        <v>20</v>
      </c>
      <c r="R3059">
        <f t="shared" si="188"/>
        <v>86</v>
      </c>
      <c r="S3059" t="str" cm="1">
        <f t="array" ref="S3059">IF(P3059="","",_xlfn.SWITCH(LEFT(P3059,1),"C","Ciudad","T","Pueblo","R","Rural","S","Suburbano","U","Urbano",""))</f>
        <v>Suburbano</v>
      </c>
      <c r="T3059" t="str">
        <f t="shared" si="189"/>
        <v>M</v>
      </c>
      <c r="U3059" t="str">
        <f t="shared" si="190"/>
        <v>CA</v>
      </c>
      <c r="V3059" t="str">
        <f t="shared" si="191"/>
        <v>17417</v>
      </c>
    </row>
    <row r="3060" spans="1:22" x14ac:dyDescent="0.35">
      <c r="A3060" s="3">
        <v>136385</v>
      </c>
      <c r="B3060" t="s">
        <v>55</v>
      </c>
      <c r="C3060" t="s">
        <v>14</v>
      </c>
      <c r="D3060">
        <v>1239</v>
      </c>
      <c r="E3060">
        <v>241</v>
      </c>
      <c r="F3060">
        <v>382</v>
      </c>
      <c r="G3060">
        <v>15</v>
      </c>
      <c r="H3060">
        <v>14783</v>
      </c>
      <c r="I3060">
        <v>2</v>
      </c>
      <c r="J3060">
        <v>24</v>
      </c>
      <c r="K3060">
        <v>287</v>
      </c>
      <c r="L3060">
        <v>337</v>
      </c>
      <c r="M3060">
        <v>6.75</v>
      </c>
      <c r="N3060">
        <f>IFERROR(VLOOKUP(A3060,vlookup_table!$A:$G,2,FALSE),"")</f>
        <v>1</v>
      </c>
      <c r="O3060">
        <f>IFERROR(VLOOKUP(A3060,vlookup_table!$A:$G,4,FALSE),"")</f>
        <v>2407</v>
      </c>
      <c r="P3060" t="str">
        <f>IFERROR(VLOOKUP(A3060,vlookup_table!$A:$G,5,FALSE),"")</f>
        <v>C1</v>
      </c>
      <c r="Q3060">
        <f>IFERROR(VLOOKUP(A3060,vlookup_table!$A:$G,7,FALSE),"")</f>
        <v>5</v>
      </c>
      <c r="R3060">
        <f t="shared" si="188"/>
        <v>73</v>
      </c>
      <c r="S3060" t="str" cm="1">
        <f t="array" ref="S3060">IF(P3060="","",_xlfn.SWITCH(LEFT(P3060,1),"C","Ciudad","T","Pueblo","R","Rural","S","Suburbano","U","Urbano",""))</f>
        <v>Ciudad</v>
      </c>
      <c r="T3060" t="str">
        <f t="shared" si="189"/>
        <v>M</v>
      </c>
      <c r="U3060" t="str">
        <f t="shared" si="190"/>
        <v>AZ</v>
      </c>
      <c r="V3060" t="str">
        <f t="shared" si="191"/>
        <v>14783</v>
      </c>
    </row>
    <row r="3061" spans="1:22" x14ac:dyDescent="0.35">
      <c r="A3061" s="3">
        <v>15038</v>
      </c>
      <c r="B3061" t="s">
        <v>18</v>
      </c>
      <c r="C3061" t="s">
        <v>14</v>
      </c>
      <c r="D3061">
        <v>849</v>
      </c>
      <c r="E3061">
        <v>457</v>
      </c>
      <c r="F3061">
        <v>519</v>
      </c>
      <c r="G3061">
        <v>0</v>
      </c>
      <c r="H3061">
        <v>16386</v>
      </c>
      <c r="I3061">
        <v>1</v>
      </c>
      <c r="J3061">
        <v>66</v>
      </c>
      <c r="K3061">
        <v>508</v>
      </c>
      <c r="L3061">
        <v>470</v>
      </c>
      <c r="M3061">
        <v>12.8</v>
      </c>
      <c r="N3061">
        <f>IFERROR(VLOOKUP(A3061,vlookup_table!$A:$G,2,FALSE),"")</f>
        <v>2</v>
      </c>
      <c r="O3061">
        <f>IFERROR(VLOOKUP(A3061,vlookup_table!$A:$G,4,FALSE),"")</f>
        <v>2201</v>
      </c>
      <c r="P3061" t="str">
        <f>IFERROR(VLOOKUP(A3061,vlookup_table!$A:$G,5,FALSE),"")</f>
        <v>T2</v>
      </c>
      <c r="Q3061">
        <f>IFERROR(VLOOKUP(A3061,vlookup_table!$A:$G,7,FALSE),"")</f>
        <v>25</v>
      </c>
      <c r="R3061">
        <f t="shared" si="188"/>
        <v>75</v>
      </c>
      <c r="S3061" t="str" cm="1">
        <f t="array" ref="S3061">IF(P3061="","",_xlfn.SWITCH(LEFT(P3061,1),"C","Ciudad","T","Pueblo","R","Rural","S","Suburbano","U","Urbano",""))</f>
        <v>Pueblo</v>
      </c>
      <c r="T3061" t="str">
        <f t="shared" si="189"/>
        <v>M</v>
      </c>
      <c r="U3061" t="str">
        <f t="shared" si="190"/>
        <v>NC</v>
      </c>
      <c r="V3061" t="str">
        <f t="shared" si="191"/>
        <v>16386</v>
      </c>
    </row>
    <row r="3062" spans="1:22" x14ac:dyDescent="0.35">
      <c r="A3062" s="3">
        <v>40786</v>
      </c>
      <c r="B3062" t="s">
        <v>13</v>
      </c>
      <c r="C3062" t="s">
        <v>14</v>
      </c>
      <c r="D3062">
        <v>1163</v>
      </c>
      <c r="E3062">
        <v>402</v>
      </c>
      <c r="F3062">
        <v>552</v>
      </c>
      <c r="G3062">
        <v>14</v>
      </c>
      <c r="H3062">
        <v>19090</v>
      </c>
      <c r="I3062">
        <v>8</v>
      </c>
      <c r="J3062">
        <v>33</v>
      </c>
      <c r="K3062">
        <v>446</v>
      </c>
      <c r="L3062">
        <v>495</v>
      </c>
      <c r="M3062">
        <v>11.375</v>
      </c>
      <c r="N3062">
        <f>IFERROR(VLOOKUP(A3062,vlookup_table!$A:$G,2,FALSE),"")</f>
        <v>1</v>
      </c>
      <c r="O3062">
        <f>IFERROR(VLOOKUP(A3062,vlookup_table!$A:$G,4,FALSE),"")</f>
        <v>2504</v>
      </c>
      <c r="P3062" t="str">
        <f>IFERROR(VLOOKUP(A3062,vlookup_table!$A:$G,5,FALSE),"")</f>
        <v>T2</v>
      </c>
      <c r="Q3062">
        <f>IFERROR(VLOOKUP(A3062,vlookup_table!$A:$G,7,FALSE),"")</f>
        <v>5</v>
      </c>
      <c r="R3062">
        <f t="shared" si="188"/>
        <v>72</v>
      </c>
      <c r="S3062" t="str" cm="1">
        <f t="array" ref="S3062">IF(P3062="","",_xlfn.SWITCH(LEFT(P3062,1),"C","Ciudad","T","Pueblo","R","Rural","S","Suburbano","U","Urbano",""))</f>
        <v>Pueblo</v>
      </c>
      <c r="T3062" t="str">
        <f t="shared" si="189"/>
        <v>M</v>
      </c>
      <c r="U3062" t="str">
        <f t="shared" si="190"/>
        <v>FL</v>
      </c>
      <c r="V3062" t="str">
        <f t="shared" si="191"/>
        <v>19090</v>
      </c>
    </row>
    <row r="3063" spans="1:22" x14ac:dyDescent="0.35">
      <c r="A3063" s="3">
        <v>2935</v>
      </c>
      <c r="B3063" t="s">
        <v>16</v>
      </c>
      <c r="C3063" t="s">
        <v>17</v>
      </c>
      <c r="D3063">
        <v>1609</v>
      </c>
      <c r="E3063">
        <v>504</v>
      </c>
      <c r="F3063">
        <v>663</v>
      </c>
      <c r="G3063">
        <v>33</v>
      </c>
      <c r="H3063">
        <v>23852</v>
      </c>
      <c r="I3063">
        <v>9</v>
      </c>
      <c r="J3063">
        <v>63</v>
      </c>
      <c r="K3063">
        <v>592</v>
      </c>
      <c r="L3063">
        <v>579</v>
      </c>
      <c r="M3063">
        <v>22.5</v>
      </c>
      <c r="N3063">
        <f>IFERROR(VLOOKUP(A3063,vlookup_table!$A:$G,2,FALSE),"")</f>
        <v>0</v>
      </c>
      <c r="O3063">
        <f>IFERROR(VLOOKUP(A3063,vlookup_table!$A:$G,4,FALSE),"")</f>
        <v>0</v>
      </c>
      <c r="P3063">
        <f>IFERROR(VLOOKUP(A3063,vlookup_table!$A:$G,5,FALSE),"")</f>
        <v>0</v>
      </c>
      <c r="Q3063">
        <f>IFERROR(VLOOKUP(A3063,vlookup_table!$A:$G,7,FALSE),"")</f>
        <v>25</v>
      </c>
      <c r="R3063">
        <f t="shared" si="188"/>
        <v>97</v>
      </c>
      <c r="S3063" t="str" cm="1">
        <f t="array" ref="S3063">IF(P3063="","",_xlfn.SWITCH(LEFT(P3063,1),"C","Ciudad","T","Pueblo","R","Rural","S","Suburbano","U","Urbano",""))</f>
        <v/>
      </c>
      <c r="T3063" t="str">
        <f t="shared" si="189"/>
        <v>F</v>
      </c>
      <c r="U3063" t="str">
        <f t="shared" si="190"/>
        <v>IL</v>
      </c>
      <c r="V3063" t="str">
        <f t="shared" si="191"/>
        <v>23852</v>
      </c>
    </row>
    <row r="3064" spans="1:22" x14ac:dyDescent="0.35">
      <c r="A3064" s="3">
        <v>132983</v>
      </c>
      <c r="B3064" t="s">
        <v>66</v>
      </c>
      <c r="C3064" t="s">
        <v>51</v>
      </c>
      <c r="D3064">
        <v>1611</v>
      </c>
      <c r="E3064">
        <v>320</v>
      </c>
      <c r="F3064">
        <v>456</v>
      </c>
      <c r="G3064">
        <v>38</v>
      </c>
      <c r="H3064">
        <v>18475</v>
      </c>
      <c r="I3064">
        <v>2</v>
      </c>
      <c r="J3064">
        <v>25</v>
      </c>
      <c r="K3064">
        <v>404</v>
      </c>
      <c r="L3064">
        <v>404</v>
      </c>
      <c r="M3064">
        <v>10</v>
      </c>
      <c r="N3064">
        <f>IFERROR(VLOOKUP(A3064,vlookup_table!$A:$G,2,FALSE),"")</f>
        <v>2</v>
      </c>
      <c r="O3064">
        <f>IFERROR(VLOOKUP(A3064,vlookup_table!$A:$G,4,FALSE),"")</f>
        <v>4401</v>
      </c>
      <c r="P3064" t="str">
        <f>IFERROR(VLOOKUP(A3064,vlookup_table!$A:$G,5,FALSE),"")</f>
        <v>R1</v>
      </c>
      <c r="Q3064">
        <f>IFERROR(VLOOKUP(A3064,vlookup_table!$A:$G,7,FALSE),"")</f>
        <v>15</v>
      </c>
      <c r="R3064">
        <f t="shared" si="188"/>
        <v>53</v>
      </c>
      <c r="S3064" t="str" cm="1">
        <f t="array" ref="S3064">IF(P3064="","",_xlfn.SWITCH(LEFT(P3064,1),"C","Ciudad","T","Pueblo","R","Rural","S","Suburbano","U","Urbano",""))</f>
        <v>Rural</v>
      </c>
      <c r="T3064" t="str">
        <f t="shared" si="189"/>
        <v>M</v>
      </c>
      <c r="U3064" t="str">
        <f t="shared" si="190"/>
        <v>WY</v>
      </c>
      <c r="V3064" t="str">
        <f t="shared" si="191"/>
        <v>18475</v>
      </c>
    </row>
    <row r="3065" spans="1:22" x14ac:dyDescent="0.35">
      <c r="A3065" s="3">
        <v>104747</v>
      </c>
      <c r="B3065" t="s">
        <v>28</v>
      </c>
      <c r="C3065" t="s">
        <v>17</v>
      </c>
      <c r="D3065">
        <v>706</v>
      </c>
      <c r="E3065">
        <v>391</v>
      </c>
      <c r="F3065">
        <v>493</v>
      </c>
      <c r="G3065">
        <v>0</v>
      </c>
      <c r="H3065">
        <v>19160</v>
      </c>
      <c r="I3065">
        <v>3</v>
      </c>
      <c r="J3065">
        <v>31</v>
      </c>
      <c r="K3065">
        <v>458</v>
      </c>
      <c r="L3065">
        <v>434</v>
      </c>
      <c r="M3065">
        <v>8</v>
      </c>
      <c r="N3065">
        <f>IFERROR(VLOOKUP(A3065,vlookup_table!$A:$G,2,FALSE),"")</f>
        <v>2</v>
      </c>
      <c r="O3065">
        <f>IFERROR(VLOOKUP(A3065,vlookup_table!$A:$G,4,FALSE),"")</f>
        <v>1303</v>
      </c>
      <c r="P3065" t="str">
        <f>IFERROR(VLOOKUP(A3065,vlookup_table!$A:$G,5,FALSE),"")</f>
        <v>U1</v>
      </c>
      <c r="Q3065">
        <f>IFERROR(VLOOKUP(A3065,vlookup_table!$A:$G,7,FALSE),"")</f>
        <v>10</v>
      </c>
      <c r="R3065">
        <f t="shared" si="188"/>
        <v>84</v>
      </c>
      <c r="S3065" t="str" cm="1">
        <f t="array" ref="S3065">IF(P3065="","",_xlfn.SWITCH(LEFT(P3065,1),"C","Ciudad","T","Pueblo","R","Rural","S","Suburbano","U","Urbano",""))</f>
        <v>Urbano</v>
      </c>
      <c r="T3065" t="str">
        <f t="shared" si="189"/>
        <v>F</v>
      </c>
      <c r="U3065" t="str">
        <f t="shared" si="190"/>
        <v>KS</v>
      </c>
      <c r="V3065" t="str">
        <f t="shared" si="191"/>
        <v>19160</v>
      </c>
    </row>
    <row r="3066" spans="1:22" x14ac:dyDescent="0.35">
      <c r="A3066" s="3">
        <v>92772</v>
      </c>
      <c r="B3066" t="s">
        <v>13</v>
      </c>
      <c r="C3066" t="s">
        <v>17</v>
      </c>
      <c r="D3066">
        <v>860</v>
      </c>
      <c r="E3066">
        <v>294</v>
      </c>
      <c r="F3066">
        <v>348</v>
      </c>
      <c r="G3066">
        <v>0</v>
      </c>
      <c r="H3066">
        <v>15425</v>
      </c>
      <c r="I3066">
        <v>8</v>
      </c>
      <c r="J3066">
        <v>8</v>
      </c>
      <c r="K3066">
        <v>322</v>
      </c>
      <c r="L3066">
        <v>329</v>
      </c>
      <c r="M3066">
        <v>18</v>
      </c>
      <c r="N3066">
        <f>IFERROR(VLOOKUP(A3066,vlookup_table!$A:$G,2,FALSE),"")</f>
        <v>2</v>
      </c>
      <c r="O3066">
        <f>IFERROR(VLOOKUP(A3066,vlookup_table!$A:$G,4,FALSE),"")</f>
        <v>4002</v>
      </c>
      <c r="P3066" t="str">
        <f>IFERROR(VLOOKUP(A3066,vlookup_table!$A:$G,5,FALSE),"")</f>
        <v>S1</v>
      </c>
      <c r="Q3066">
        <f>IFERROR(VLOOKUP(A3066,vlookup_table!$A:$G,7,FALSE),"")</f>
        <v>5</v>
      </c>
      <c r="R3066">
        <f t="shared" si="188"/>
        <v>57</v>
      </c>
      <c r="S3066" t="str" cm="1">
        <f t="array" ref="S3066">IF(P3066="","",_xlfn.SWITCH(LEFT(P3066,1),"C","Ciudad","T","Pueblo","R","Rural","S","Suburbano","U","Urbano",""))</f>
        <v>Suburbano</v>
      </c>
      <c r="T3066" t="str">
        <f t="shared" si="189"/>
        <v>F</v>
      </c>
      <c r="U3066" t="str">
        <f t="shared" si="190"/>
        <v>FL</v>
      </c>
      <c r="V3066" t="str">
        <f t="shared" si="191"/>
        <v>15425</v>
      </c>
    </row>
    <row r="3067" spans="1:22" x14ac:dyDescent="0.35">
      <c r="A3067" s="3">
        <v>64522</v>
      </c>
      <c r="B3067" t="s">
        <v>33</v>
      </c>
      <c r="C3067" t="s">
        <v>14</v>
      </c>
      <c r="D3067">
        <v>648</v>
      </c>
      <c r="E3067">
        <v>304</v>
      </c>
      <c r="F3067">
        <v>396</v>
      </c>
      <c r="G3067">
        <v>3</v>
      </c>
      <c r="H3067">
        <v>14750</v>
      </c>
      <c r="I3067">
        <v>1</v>
      </c>
      <c r="J3067">
        <v>72</v>
      </c>
      <c r="K3067">
        <v>349</v>
      </c>
      <c r="L3067">
        <v>358</v>
      </c>
      <c r="M3067">
        <v>8</v>
      </c>
      <c r="N3067">
        <f>IFERROR(VLOOKUP(A3067,vlookup_table!$A:$G,2,FALSE),"")</f>
        <v>0</v>
      </c>
      <c r="O3067">
        <f>IFERROR(VLOOKUP(A3067,vlookup_table!$A:$G,4,FALSE),"")</f>
        <v>3606</v>
      </c>
      <c r="P3067" t="str">
        <f>IFERROR(VLOOKUP(A3067,vlookup_table!$A:$G,5,FALSE),"")</f>
        <v>R2</v>
      </c>
      <c r="Q3067">
        <f>IFERROR(VLOOKUP(A3067,vlookup_table!$A:$G,7,FALSE),"")</f>
        <v>10</v>
      </c>
      <c r="R3067">
        <f t="shared" si="188"/>
        <v>61</v>
      </c>
      <c r="S3067" t="str" cm="1">
        <f t="array" ref="S3067">IF(P3067="","",_xlfn.SWITCH(LEFT(P3067,1),"C","Ciudad","T","Pueblo","R","Rural","S","Suburbano","U","Urbano",""))</f>
        <v>Rural</v>
      </c>
      <c r="T3067" t="str">
        <f t="shared" si="189"/>
        <v>M</v>
      </c>
      <c r="U3067" t="str">
        <f t="shared" si="190"/>
        <v>IN</v>
      </c>
      <c r="V3067" t="str">
        <f t="shared" si="191"/>
        <v>14750</v>
      </c>
    </row>
    <row r="3068" spans="1:22" x14ac:dyDescent="0.35">
      <c r="A3068" s="3">
        <v>175719</v>
      </c>
      <c r="B3068" t="s">
        <v>50</v>
      </c>
      <c r="C3068" t="s">
        <v>14</v>
      </c>
      <c r="D3068">
        <v>749</v>
      </c>
      <c r="E3068">
        <v>316</v>
      </c>
      <c r="F3068">
        <v>412</v>
      </c>
      <c r="G3068">
        <v>0</v>
      </c>
      <c r="H3068">
        <v>15051</v>
      </c>
      <c r="I3068">
        <v>4</v>
      </c>
      <c r="J3068">
        <v>56</v>
      </c>
      <c r="K3068">
        <v>339</v>
      </c>
      <c r="L3068">
        <v>378</v>
      </c>
      <c r="M3068">
        <v>8.3333333330000006</v>
      </c>
      <c r="N3068">
        <f>IFERROR(VLOOKUP(A3068,vlookup_table!$A:$G,2,FALSE),"")</f>
        <v>0</v>
      </c>
      <c r="O3068">
        <f>IFERROR(VLOOKUP(A3068,vlookup_table!$A:$G,4,FALSE),"")</f>
        <v>2502</v>
      </c>
      <c r="P3068" t="str">
        <f>IFERROR(VLOOKUP(A3068,vlookup_table!$A:$G,5,FALSE),"")</f>
        <v>S2</v>
      </c>
      <c r="Q3068">
        <f>IFERROR(VLOOKUP(A3068,vlookup_table!$A:$G,7,FALSE),"")</f>
        <v>5</v>
      </c>
      <c r="R3068">
        <f t="shared" si="188"/>
        <v>72</v>
      </c>
      <c r="S3068" t="str" cm="1">
        <f t="array" ref="S3068">IF(P3068="","",_xlfn.SWITCH(LEFT(P3068,1),"C","Ciudad","T","Pueblo","R","Rural","S","Suburbano","U","Urbano",""))</f>
        <v>Suburbano</v>
      </c>
      <c r="T3068" t="str">
        <f t="shared" si="189"/>
        <v>M</v>
      </c>
      <c r="U3068" t="str">
        <f t="shared" si="190"/>
        <v>OR</v>
      </c>
      <c r="V3068" t="str">
        <f t="shared" si="191"/>
        <v>15051</v>
      </c>
    </row>
    <row r="3069" spans="1:22" x14ac:dyDescent="0.35">
      <c r="A3069" s="3">
        <v>56318</v>
      </c>
      <c r="B3069" t="s">
        <v>57</v>
      </c>
      <c r="C3069" t="s">
        <v>17</v>
      </c>
      <c r="D3069">
        <v>2008</v>
      </c>
      <c r="E3069">
        <v>788</v>
      </c>
      <c r="F3069">
        <v>832</v>
      </c>
      <c r="G3069">
        <v>50</v>
      </c>
      <c r="H3069">
        <v>39749</v>
      </c>
      <c r="I3069">
        <v>0</v>
      </c>
      <c r="J3069">
        <v>74</v>
      </c>
      <c r="K3069">
        <v>863</v>
      </c>
      <c r="L3069">
        <v>782</v>
      </c>
      <c r="M3069">
        <v>5.1666666670000003</v>
      </c>
      <c r="N3069">
        <f>IFERROR(VLOOKUP(A3069,vlookup_table!$A:$G,2,FALSE),"")</f>
        <v>28</v>
      </c>
      <c r="O3069">
        <f>IFERROR(VLOOKUP(A3069,vlookup_table!$A:$G,4,FALSE),"")</f>
        <v>5801</v>
      </c>
      <c r="P3069" t="str">
        <f>IFERROR(VLOOKUP(A3069,vlookup_table!$A:$G,5,FALSE),"")</f>
        <v>T1</v>
      </c>
      <c r="Q3069">
        <f>IFERROR(VLOOKUP(A3069,vlookup_table!$A:$G,7,FALSE),"")</f>
        <v>5</v>
      </c>
      <c r="R3069">
        <f t="shared" si="188"/>
        <v>39</v>
      </c>
      <c r="S3069" t="str" cm="1">
        <f t="array" ref="S3069">IF(P3069="","",_xlfn.SWITCH(LEFT(P3069,1),"C","Ciudad","T","Pueblo","R","Rural","S","Suburbano","U","Urbano",""))</f>
        <v>Pueblo</v>
      </c>
      <c r="T3069" t="str">
        <f t="shared" si="189"/>
        <v>F</v>
      </c>
      <c r="U3069" t="str">
        <f t="shared" si="190"/>
        <v>KY</v>
      </c>
      <c r="V3069" t="str">
        <f t="shared" si="191"/>
        <v>39749</v>
      </c>
    </row>
    <row r="3070" spans="1:22" x14ac:dyDescent="0.35">
      <c r="A3070" s="3">
        <v>113736</v>
      </c>
      <c r="B3070" t="s">
        <v>31</v>
      </c>
      <c r="C3070" t="s">
        <v>17</v>
      </c>
      <c r="D3070">
        <v>706</v>
      </c>
      <c r="E3070">
        <v>439</v>
      </c>
      <c r="F3070">
        <v>500</v>
      </c>
      <c r="G3070">
        <v>7</v>
      </c>
      <c r="H3070">
        <v>17192</v>
      </c>
      <c r="I3070">
        <v>0</v>
      </c>
      <c r="J3070">
        <v>68</v>
      </c>
      <c r="K3070">
        <v>470</v>
      </c>
      <c r="L3070">
        <v>467</v>
      </c>
      <c r="M3070">
        <v>12</v>
      </c>
      <c r="N3070">
        <f>IFERROR(VLOOKUP(A3070,vlookup_table!$A:$G,2,FALSE),"")</f>
        <v>0</v>
      </c>
      <c r="O3070">
        <f>IFERROR(VLOOKUP(A3070,vlookup_table!$A:$G,4,FALSE),"")</f>
        <v>5701</v>
      </c>
      <c r="P3070" t="str">
        <f>IFERROR(VLOOKUP(A3070,vlookup_table!$A:$G,5,FALSE),"")</f>
        <v>T1</v>
      </c>
      <c r="Q3070">
        <f>IFERROR(VLOOKUP(A3070,vlookup_table!$A:$G,7,FALSE),"")</f>
        <v>20</v>
      </c>
      <c r="R3070">
        <f t="shared" si="188"/>
        <v>40</v>
      </c>
      <c r="S3070" t="str" cm="1">
        <f t="array" ref="S3070">IF(P3070="","",_xlfn.SWITCH(LEFT(P3070,1),"C","Ciudad","T","Pueblo","R","Rural","S","Suburbano","U","Urbano",""))</f>
        <v>Pueblo</v>
      </c>
      <c r="T3070" t="str">
        <f t="shared" si="189"/>
        <v>F</v>
      </c>
      <c r="U3070" t="str">
        <f t="shared" si="190"/>
        <v>OK</v>
      </c>
      <c r="V3070" t="str">
        <f t="shared" si="191"/>
        <v>17192</v>
      </c>
    </row>
    <row r="3071" spans="1:22" x14ac:dyDescent="0.35">
      <c r="A3071" s="3">
        <v>165366</v>
      </c>
      <c r="B3071" t="s">
        <v>22</v>
      </c>
      <c r="C3071" t="s">
        <v>14</v>
      </c>
      <c r="D3071">
        <v>5567</v>
      </c>
      <c r="E3071">
        <v>1094</v>
      </c>
      <c r="F3071">
        <v>1093</v>
      </c>
      <c r="G3071">
        <v>99</v>
      </c>
      <c r="H3071">
        <v>52169</v>
      </c>
      <c r="I3071">
        <v>10</v>
      </c>
      <c r="J3071">
        <v>59</v>
      </c>
      <c r="K3071">
        <v>1189</v>
      </c>
      <c r="L3071">
        <v>1045</v>
      </c>
      <c r="M3071">
        <v>25</v>
      </c>
      <c r="N3071">
        <f>IFERROR(VLOOKUP(A3071,vlookup_table!$A:$G,2,FALSE),"")</f>
        <v>0</v>
      </c>
      <c r="O3071">
        <f>IFERROR(VLOOKUP(A3071,vlookup_table!$A:$G,4,FALSE),"")</f>
        <v>0</v>
      </c>
      <c r="P3071" t="str">
        <f>IFERROR(VLOOKUP(A3071,vlookup_table!$A:$G,5,FALSE),"")</f>
        <v>T1</v>
      </c>
      <c r="Q3071">
        <f>IFERROR(VLOOKUP(A3071,vlookup_table!$A:$G,7,FALSE),"")</f>
        <v>30</v>
      </c>
      <c r="R3071">
        <f t="shared" si="188"/>
        <v>97</v>
      </c>
      <c r="S3071" t="str" cm="1">
        <f t="array" ref="S3071">IF(P3071="","",_xlfn.SWITCH(LEFT(P3071,1),"C","Ciudad","T","Pueblo","R","Rural","S","Suburbano","U","Urbano",""))</f>
        <v>Pueblo</v>
      </c>
      <c r="T3071" t="str">
        <f t="shared" si="189"/>
        <v>M</v>
      </c>
      <c r="U3071" t="str">
        <f t="shared" si="190"/>
        <v>CA</v>
      </c>
      <c r="V3071" t="str">
        <f t="shared" si="191"/>
        <v>52169</v>
      </c>
    </row>
    <row r="3072" spans="1:22" x14ac:dyDescent="0.35">
      <c r="A3072" s="3">
        <v>73371</v>
      </c>
      <c r="B3072" t="s">
        <v>29</v>
      </c>
      <c r="D3072">
        <v>363</v>
      </c>
      <c r="E3072">
        <v>256</v>
      </c>
      <c r="F3072">
        <v>331</v>
      </c>
      <c r="G3072">
        <v>0</v>
      </c>
      <c r="H3072">
        <v>12080</v>
      </c>
      <c r="I3072">
        <v>1</v>
      </c>
      <c r="J3072">
        <v>89</v>
      </c>
      <c r="K3072">
        <v>298</v>
      </c>
      <c r="L3072">
        <v>288</v>
      </c>
      <c r="M3072">
        <v>5.125</v>
      </c>
      <c r="N3072">
        <f>IFERROR(VLOOKUP(A3072,vlookup_table!$A:$G,2,FALSE),"")</f>
        <v>1</v>
      </c>
      <c r="O3072">
        <f>IFERROR(VLOOKUP(A3072,vlookup_table!$A:$G,4,FALSE),"")</f>
        <v>1901</v>
      </c>
      <c r="P3072" t="str">
        <f>IFERROR(VLOOKUP(A3072,vlookup_table!$A:$G,5,FALSE),"")</f>
        <v>C3</v>
      </c>
      <c r="Q3072">
        <f>IFERROR(VLOOKUP(A3072,vlookup_table!$A:$G,7,FALSE),"")</f>
        <v>10</v>
      </c>
      <c r="R3072">
        <f t="shared" si="188"/>
        <v>78</v>
      </c>
      <c r="S3072" t="str" cm="1">
        <f t="array" ref="S3072">IF(P3072="","",_xlfn.SWITCH(LEFT(P3072,1),"C","Ciudad","T","Pueblo","R","Rural","S","Suburbano","U","Urbano",""))</f>
        <v>Ciudad</v>
      </c>
      <c r="T3072" t="str">
        <f t="shared" si="189"/>
        <v/>
      </c>
      <c r="U3072" t="str">
        <f t="shared" si="190"/>
        <v>MI</v>
      </c>
      <c r="V3072" t="str">
        <f t="shared" si="191"/>
        <v>12080</v>
      </c>
    </row>
    <row r="3073" spans="1:22" x14ac:dyDescent="0.35">
      <c r="A3073" s="3">
        <v>145895</v>
      </c>
      <c r="B3073" t="s">
        <v>22</v>
      </c>
      <c r="C3073" t="s">
        <v>17</v>
      </c>
      <c r="D3073">
        <v>2679</v>
      </c>
      <c r="E3073">
        <v>445</v>
      </c>
      <c r="F3073">
        <v>572</v>
      </c>
      <c r="G3073">
        <v>78</v>
      </c>
      <c r="H3073">
        <v>20693</v>
      </c>
      <c r="I3073">
        <v>11</v>
      </c>
      <c r="J3073">
        <v>55</v>
      </c>
      <c r="K3073">
        <v>470</v>
      </c>
      <c r="L3073">
        <v>535</v>
      </c>
      <c r="M3073">
        <v>9.75</v>
      </c>
      <c r="N3073">
        <f>IFERROR(VLOOKUP(A3073,vlookup_table!$A:$G,2,FALSE),"")</f>
        <v>0</v>
      </c>
      <c r="O3073">
        <f>IFERROR(VLOOKUP(A3073,vlookup_table!$A:$G,4,FALSE),"")</f>
        <v>0</v>
      </c>
      <c r="P3073" t="str">
        <f>IFERROR(VLOOKUP(A3073,vlookup_table!$A:$G,5,FALSE),"")</f>
        <v>S1</v>
      </c>
      <c r="Q3073">
        <f>IFERROR(VLOOKUP(A3073,vlookup_table!$A:$G,7,FALSE),"")</f>
        <v>15</v>
      </c>
      <c r="R3073">
        <f t="shared" si="188"/>
        <v>97</v>
      </c>
      <c r="S3073" t="str" cm="1">
        <f t="array" ref="S3073">IF(P3073="","",_xlfn.SWITCH(LEFT(P3073,1),"C","Ciudad","T","Pueblo","R","Rural","S","Suburbano","U","Urbano",""))</f>
        <v>Suburbano</v>
      </c>
      <c r="T3073" t="str">
        <f t="shared" si="189"/>
        <v>F</v>
      </c>
      <c r="U3073" t="str">
        <f t="shared" si="190"/>
        <v>CA</v>
      </c>
      <c r="V3073" t="str">
        <f t="shared" si="191"/>
        <v>20693</v>
      </c>
    </row>
    <row r="3074" spans="1:22" x14ac:dyDescent="0.35">
      <c r="A3074" s="3">
        <v>5366</v>
      </c>
      <c r="B3074" t="s">
        <v>22</v>
      </c>
      <c r="C3074" t="s">
        <v>17</v>
      </c>
      <c r="D3074">
        <v>1522</v>
      </c>
      <c r="E3074">
        <v>426</v>
      </c>
      <c r="F3074">
        <v>437</v>
      </c>
      <c r="G3074">
        <v>16</v>
      </c>
      <c r="H3074">
        <v>14334</v>
      </c>
      <c r="I3074">
        <v>6</v>
      </c>
      <c r="J3074">
        <v>55</v>
      </c>
      <c r="K3074">
        <v>425</v>
      </c>
      <c r="L3074">
        <v>462</v>
      </c>
      <c r="M3074">
        <v>13.875</v>
      </c>
      <c r="N3074">
        <f>IFERROR(VLOOKUP(A3074,vlookup_table!$A:$G,2,FALSE),"")</f>
        <v>0</v>
      </c>
      <c r="O3074">
        <f>IFERROR(VLOOKUP(A3074,vlookup_table!$A:$G,4,FALSE),"")</f>
        <v>4901</v>
      </c>
      <c r="P3074" t="str">
        <f>IFERROR(VLOOKUP(A3074,vlookup_table!$A:$G,5,FALSE),"")</f>
        <v>C2</v>
      </c>
      <c r="Q3074">
        <f>IFERROR(VLOOKUP(A3074,vlookup_table!$A:$G,7,FALSE),"")</f>
        <v>20</v>
      </c>
      <c r="R3074">
        <f t="shared" ref="R3074:R3137" si="192">IF(O3074="","",97-INT(O3074/100))</f>
        <v>48</v>
      </c>
      <c r="S3074" t="str" cm="1">
        <f t="array" ref="S3074">IF(P3074="","",_xlfn.SWITCH(LEFT(P3074,1),"C","Ciudad","T","Pueblo","R","Rural","S","Suburbano","U","Urbano",""))</f>
        <v>Ciudad</v>
      </c>
      <c r="T3074" t="str">
        <f t="shared" ref="T3074:T3137" si="193">IF(C3074="","",IF(OR(UPPER(C3074)="M",UPPER(C3074)="MALE"),"M",IF(OR(UPPER(C3074)="F",UPPER(C3074)="FEMALE",UPPER(C3074)="FEAMALE"),"F",C3074)))</f>
        <v>F</v>
      </c>
      <c r="U3074" t="str">
        <f t="shared" ref="U3074:U3137" si="194">IF(OR(UPPER(B3074)="CALIFORNIA",UPPER(B3074)="CALI"),"CA",B3074)</f>
        <v>CA</v>
      </c>
      <c r="V3074" t="str">
        <f t="shared" ref="V3074:V3137" si="195">SUBSTITUTE(H3074,"@","")</f>
        <v>14334</v>
      </c>
    </row>
    <row r="3075" spans="1:22" x14ac:dyDescent="0.35">
      <c r="A3075" s="3">
        <v>37090</v>
      </c>
      <c r="B3075" t="s">
        <v>13</v>
      </c>
      <c r="C3075" t="s">
        <v>14</v>
      </c>
      <c r="D3075">
        <v>1363</v>
      </c>
      <c r="E3075">
        <v>491</v>
      </c>
      <c r="F3075">
        <v>616</v>
      </c>
      <c r="G3075">
        <v>24</v>
      </c>
      <c r="H3075">
        <v>23656</v>
      </c>
      <c r="I3075">
        <v>18</v>
      </c>
      <c r="J3075">
        <v>23</v>
      </c>
      <c r="K3075">
        <v>524</v>
      </c>
      <c r="L3075">
        <v>581</v>
      </c>
      <c r="M3075">
        <v>13.7</v>
      </c>
      <c r="N3075">
        <f>IFERROR(VLOOKUP(A3075,vlookup_table!$A:$G,2,FALSE),"")</f>
        <v>1</v>
      </c>
      <c r="O3075">
        <f>IFERROR(VLOOKUP(A3075,vlookup_table!$A:$G,4,FALSE),"")</f>
        <v>3011</v>
      </c>
      <c r="P3075" t="str">
        <f>IFERROR(VLOOKUP(A3075,vlookup_table!$A:$G,5,FALSE),"")</f>
        <v>S3</v>
      </c>
      <c r="Q3075">
        <f>IFERROR(VLOOKUP(A3075,vlookup_table!$A:$G,7,FALSE),"")</f>
        <v>20</v>
      </c>
      <c r="R3075">
        <f t="shared" si="192"/>
        <v>67</v>
      </c>
      <c r="S3075" t="str" cm="1">
        <f t="array" ref="S3075">IF(P3075="","",_xlfn.SWITCH(LEFT(P3075,1),"C","Ciudad","T","Pueblo","R","Rural","S","Suburbano","U","Urbano",""))</f>
        <v>Suburbano</v>
      </c>
      <c r="T3075" t="str">
        <f t="shared" si="193"/>
        <v>M</v>
      </c>
      <c r="U3075" t="str">
        <f t="shared" si="194"/>
        <v>FL</v>
      </c>
      <c r="V3075" t="str">
        <f t="shared" si="195"/>
        <v>23656</v>
      </c>
    </row>
    <row r="3076" spans="1:22" x14ac:dyDescent="0.35">
      <c r="A3076" s="3">
        <v>427</v>
      </c>
      <c r="B3076" t="s">
        <v>13</v>
      </c>
      <c r="C3076" t="s">
        <v>14</v>
      </c>
      <c r="D3076">
        <v>709</v>
      </c>
      <c r="E3076">
        <v>256</v>
      </c>
      <c r="F3076">
        <v>327</v>
      </c>
      <c r="G3076">
        <v>0</v>
      </c>
      <c r="H3076">
        <v>13576</v>
      </c>
      <c r="I3076">
        <v>3</v>
      </c>
      <c r="J3076">
        <v>8</v>
      </c>
      <c r="K3076">
        <v>271</v>
      </c>
      <c r="L3076">
        <v>291</v>
      </c>
      <c r="M3076">
        <v>9.5454545460000002</v>
      </c>
      <c r="N3076">
        <f>IFERROR(VLOOKUP(A3076,vlookup_table!$A:$G,2,FALSE),"")</f>
        <v>0</v>
      </c>
      <c r="O3076">
        <f>IFERROR(VLOOKUP(A3076,vlookup_table!$A:$G,4,FALSE),"")</f>
        <v>0</v>
      </c>
      <c r="P3076" t="str">
        <f>IFERROR(VLOOKUP(A3076,vlookup_table!$A:$G,5,FALSE),"")</f>
        <v>C2</v>
      </c>
      <c r="Q3076">
        <f>IFERROR(VLOOKUP(A3076,vlookup_table!$A:$G,7,FALSE),"")</f>
        <v>10</v>
      </c>
      <c r="R3076">
        <f t="shared" si="192"/>
        <v>97</v>
      </c>
      <c r="S3076" t="str" cm="1">
        <f t="array" ref="S3076">IF(P3076="","",_xlfn.SWITCH(LEFT(P3076,1),"C","Ciudad","T","Pueblo","R","Rural","S","Suburbano","U","Urbano",""))</f>
        <v>Ciudad</v>
      </c>
      <c r="T3076" t="str">
        <f t="shared" si="193"/>
        <v>M</v>
      </c>
      <c r="U3076" t="str">
        <f t="shared" si="194"/>
        <v>FL</v>
      </c>
      <c r="V3076" t="str">
        <f t="shared" si="195"/>
        <v>13576</v>
      </c>
    </row>
    <row r="3077" spans="1:22" x14ac:dyDescent="0.35">
      <c r="A3077" s="3">
        <v>220</v>
      </c>
      <c r="B3077" t="s">
        <v>16</v>
      </c>
      <c r="C3077" t="s">
        <v>14</v>
      </c>
      <c r="D3077">
        <v>550</v>
      </c>
      <c r="E3077">
        <v>387</v>
      </c>
      <c r="F3077">
        <v>502</v>
      </c>
      <c r="G3077">
        <v>0</v>
      </c>
      <c r="H3077">
        <v>20210</v>
      </c>
      <c r="I3077">
        <v>1</v>
      </c>
      <c r="J3077">
        <v>71</v>
      </c>
      <c r="K3077">
        <v>427</v>
      </c>
      <c r="L3077">
        <v>467</v>
      </c>
      <c r="M3077">
        <v>5.5454545450000001</v>
      </c>
      <c r="N3077">
        <f>IFERROR(VLOOKUP(A3077,vlookup_table!$A:$G,2,FALSE),"")</f>
        <v>1</v>
      </c>
      <c r="O3077">
        <f>IFERROR(VLOOKUP(A3077,vlookup_table!$A:$G,4,FALSE),"")</f>
        <v>5205</v>
      </c>
      <c r="P3077" t="str">
        <f>IFERROR(VLOOKUP(A3077,vlookup_table!$A:$G,5,FALSE),"")</f>
        <v>C3</v>
      </c>
      <c r="Q3077">
        <f>IFERROR(VLOOKUP(A3077,vlookup_table!$A:$G,7,FALSE),"")</f>
        <v>8</v>
      </c>
      <c r="R3077">
        <f t="shared" si="192"/>
        <v>45</v>
      </c>
      <c r="S3077" t="str" cm="1">
        <f t="array" ref="S3077">IF(P3077="","",_xlfn.SWITCH(LEFT(P3077,1),"C","Ciudad","T","Pueblo","R","Rural","S","Suburbano","U","Urbano",""))</f>
        <v>Ciudad</v>
      </c>
      <c r="T3077" t="str">
        <f t="shared" si="193"/>
        <v>M</v>
      </c>
      <c r="U3077" t="str">
        <f t="shared" si="194"/>
        <v>IL</v>
      </c>
      <c r="V3077" t="str">
        <f t="shared" si="195"/>
        <v>20210</v>
      </c>
    </row>
    <row r="3078" spans="1:22" x14ac:dyDescent="0.35">
      <c r="A3078" s="3">
        <v>39246</v>
      </c>
      <c r="B3078" t="s">
        <v>13</v>
      </c>
      <c r="C3078" t="s">
        <v>17</v>
      </c>
      <c r="D3078">
        <v>1093</v>
      </c>
      <c r="E3078">
        <v>364</v>
      </c>
      <c r="F3078">
        <v>441</v>
      </c>
      <c r="G3078">
        <v>2</v>
      </c>
      <c r="H3078">
        <v>15640</v>
      </c>
      <c r="I3078">
        <v>6</v>
      </c>
      <c r="J3078">
        <v>30</v>
      </c>
      <c r="K3078">
        <v>424</v>
      </c>
      <c r="L3078">
        <v>392</v>
      </c>
      <c r="M3078">
        <v>4.25</v>
      </c>
      <c r="N3078">
        <f>IFERROR(VLOOKUP(A3078,vlookup_table!$A:$G,2,FALSE),"")</f>
        <v>28</v>
      </c>
      <c r="O3078">
        <f>IFERROR(VLOOKUP(A3078,vlookup_table!$A:$G,4,FALSE),"")</f>
        <v>2401</v>
      </c>
      <c r="P3078" t="str">
        <f>IFERROR(VLOOKUP(A3078,vlookup_table!$A:$G,5,FALSE),"")</f>
        <v>S2</v>
      </c>
      <c r="Q3078">
        <f>IFERROR(VLOOKUP(A3078,vlookup_table!$A:$G,7,FALSE),"")</f>
        <v>5</v>
      </c>
      <c r="R3078">
        <f t="shared" si="192"/>
        <v>73</v>
      </c>
      <c r="S3078" t="str" cm="1">
        <f t="array" ref="S3078">IF(P3078="","",_xlfn.SWITCH(LEFT(P3078,1),"C","Ciudad","T","Pueblo","R","Rural","S","Suburbano","U","Urbano",""))</f>
        <v>Suburbano</v>
      </c>
      <c r="T3078" t="str">
        <f t="shared" si="193"/>
        <v>F</v>
      </c>
      <c r="U3078" t="str">
        <f t="shared" si="194"/>
        <v>FL</v>
      </c>
      <c r="V3078" t="str">
        <f t="shared" si="195"/>
        <v>15640</v>
      </c>
    </row>
    <row r="3079" spans="1:22" x14ac:dyDescent="0.35">
      <c r="A3079" s="3">
        <v>85853</v>
      </c>
      <c r="B3079" t="s">
        <v>56</v>
      </c>
      <c r="C3079" t="s">
        <v>14</v>
      </c>
      <c r="D3079">
        <v>542</v>
      </c>
      <c r="E3079">
        <v>280</v>
      </c>
      <c r="F3079">
        <v>320</v>
      </c>
      <c r="G3079">
        <v>0</v>
      </c>
      <c r="H3079">
        <v>10254</v>
      </c>
      <c r="I3079">
        <v>2</v>
      </c>
      <c r="J3079">
        <v>79</v>
      </c>
      <c r="K3079">
        <v>305</v>
      </c>
      <c r="L3079">
        <v>303</v>
      </c>
      <c r="M3079">
        <v>7</v>
      </c>
      <c r="N3079">
        <f>IFERROR(VLOOKUP(A3079,vlookup_table!$A:$G,2,FALSE),"")</f>
        <v>1002</v>
      </c>
      <c r="O3079">
        <f>IFERROR(VLOOKUP(A3079,vlookup_table!$A:$G,4,FALSE),"")</f>
        <v>6001</v>
      </c>
      <c r="P3079" t="str">
        <f>IFERROR(VLOOKUP(A3079,vlookup_table!$A:$G,5,FALSE),"")</f>
        <v>R2</v>
      </c>
      <c r="Q3079">
        <f>IFERROR(VLOOKUP(A3079,vlookup_table!$A:$G,7,FALSE),"")</f>
        <v>20</v>
      </c>
      <c r="R3079">
        <f t="shared" si="192"/>
        <v>37</v>
      </c>
      <c r="S3079" t="str" cm="1">
        <f t="array" ref="S3079">IF(P3079="","",_xlfn.SWITCH(LEFT(P3079,1),"C","Ciudad","T","Pueblo","R","Rural","S","Suburbano","U","Urbano",""))</f>
        <v>Rural</v>
      </c>
      <c r="T3079" t="str">
        <f t="shared" si="193"/>
        <v>M</v>
      </c>
      <c r="U3079" t="str">
        <f t="shared" si="194"/>
        <v>MN</v>
      </c>
      <c r="V3079" t="str">
        <f t="shared" si="195"/>
        <v>10254</v>
      </c>
    </row>
    <row r="3080" spans="1:22" x14ac:dyDescent="0.35">
      <c r="A3080" s="3">
        <v>97829</v>
      </c>
      <c r="B3080" t="s">
        <v>16</v>
      </c>
      <c r="C3080" t="s">
        <v>14</v>
      </c>
      <c r="D3080">
        <v>819</v>
      </c>
      <c r="E3080">
        <v>371</v>
      </c>
      <c r="F3080">
        <v>471</v>
      </c>
      <c r="G3080">
        <v>2</v>
      </c>
      <c r="H3080">
        <v>15719</v>
      </c>
      <c r="I3080">
        <v>1</v>
      </c>
      <c r="J3080">
        <v>65</v>
      </c>
      <c r="K3080">
        <v>432</v>
      </c>
      <c r="L3080">
        <v>407</v>
      </c>
      <c r="M3080">
        <v>4.7205882350000001</v>
      </c>
      <c r="N3080">
        <f>IFERROR(VLOOKUP(A3080,vlookup_table!$A:$G,2,FALSE),"")</f>
        <v>0</v>
      </c>
      <c r="O3080">
        <f>IFERROR(VLOOKUP(A3080,vlookup_table!$A:$G,4,FALSE),"")</f>
        <v>5101</v>
      </c>
      <c r="P3080" t="str">
        <f>IFERROR(VLOOKUP(A3080,vlookup_table!$A:$G,5,FALSE),"")</f>
        <v>T2</v>
      </c>
      <c r="Q3080">
        <f>IFERROR(VLOOKUP(A3080,vlookup_table!$A:$G,7,FALSE),"")</f>
        <v>10</v>
      </c>
      <c r="R3080">
        <f t="shared" si="192"/>
        <v>46</v>
      </c>
      <c r="S3080" t="str" cm="1">
        <f t="array" ref="S3080">IF(P3080="","",_xlfn.SWITCH(LEFT(P3080,1),"C","Ciudad","T","Pueblo","R","Rural","S","Suburbano","U","Urbano",""))</f>
        <v>Pueblo</v>
      </c>
      <c r="T3080" t="str">
        <f t="shared" si="193"/>
        <v>M</v>
      </c>
      <c r="U3080" t="str">
        <f t="shared" si="194"/>
        <v>IL</v>
      </c>
      <c r="V3080" t="str">
        <f t="shared" si="195"/>
        <v>15719</v>
      </c>
    </row>
    <row r="3081" spans="1:22" x14ac:dyDescent="0.35">
      <c r="A3081" s="3">
        <v>118831</v>
      </c>
      <c r="B3081" t="s">
        <v>21</v>
      </c>
      <c r="C3081" t="s">
        <v>17</v>
      </c>
      <c r="D3081">
        <v>850</v>
      </c>
      <c r="E3081">
        <v>440</v>
      </c>
      <c r="F3081">
        <v>511</v>
      </c>
      <c r="G3081">
        <v>0</v>
      </c>
      <c r="H3081">
        <v>17825</v>
      </c>
      <c r="I3081">
        <v>6</v>
      </c>
      <c r="J3081">
        <v>51</v>
      </c>
      <c r="K3081">
        <v>468</v>
      </c>
      <c r="L3081">
        <v>470</v>
      </c>
      <c r="M3081">
        <v>20</v>
      </c>
      <c r="N3081">
        <f>IFERROR(VLOOKUP(A3081,vlookup_table!$A:$G,2,FALSE),"")</f>
        <v>0</v>
      </c>
      <c r="O3081">
        <f>IFERROR(VLOOKUP(A3081,vlookup_table!$A:$G,4,FALSE),"")</f>
        <v>6201</v>
      </c>
      <c r="P3081" t="str">
        <f>IFERROR(VLOOKUP(A3081,vlookup_table!$A:$G,5,FALSE),"")</f>
        <v>S1</v>
      </c>
      <c r="Q3081">
        <f>IFERROR(VLOOKUP(A3081,vlookup_table!$A:$G,7,FALSE),"")</f>
        <v>20</v>
      </c>
      <c r="R3081">
        <f t="shared" si="192"/>
        <v>35</v>
      </c>
      <c r="S3081" t="str" cm="1">
        <f t="array" ref="S3081">IF(P3081="","",_xlfn.SWITCH(LEFT(P3081,1),"C","Ciudad","T","Pueblo","R","Rural","S","Suburbano","U","Urbano",""))</f>
        <v>Suburbano</v>
      </c>
      <c r="T3081" t="str">
        <f t="shared" si="193"/>
        <v>F</v>
      </c>
      <c r="U3081" t="str">
        <f t="shared" si="194"/>
        <v>TX</v>
      </c>
      <c r="V3081" t="str">
        <f t="shared" si="195"/>
        <v>17825</v>
      </c>
    </row>
    <row r="3082" spans="1:22" x14ac:dyDescent="0.35">
      <c r="A3082" s="3">
        <v>178597</v>
      </c>
      <c r="B3082" t="s">
        <v>40</v>
      </c>
      <c r="C3082" t="s">
        <v>17</v>
      </c>
      <c r="D3082">
        <v>2132</v>
      </c>
      <c r="E3082">
        <v>632</v>
      </c>
      <c r="F3082">
        <v>761</v>
      </c>
      <c r="G3082">
        <v>54</v>
      </c>
      <c r="H3082">
        <v>27547</v>
      </c>
      <c r="I3082">
        <v>6</v>
      </c>
      <c r="J3082">
        <v>53</v>
      </c>
      <c r="K3082">
        <v>714</v>
      </c>
      <c r="L3082">
        <v>721</v>
      </c>
      <c r="M3082">
        <v>13</v>
      </c>
      <c r="N3082">
        <f>IFERROR(VLOOKUP(A3082,vlookup_table!$A:$G,2,FALSE),"")</f>
        <v>2</v>
      </c>
      <c r="O3082">
        <f>IFERROR(VLOOKUP(A3082,vlookup_table!$A:$G,4,FALSE),"")</f>
        <v>3201</v>
      </c>
      <c r="P3082" t="str">
        <f>IFERROR(VLOOKUP(A3082,vlookup_table!$A:$G,5,FALSE),"")</f>
        <v>S1</v>
      </c>
      <c r="Q3082">
        <f>IFERROR(VLOOKUP(A3082,vlookup_table!$A:$G,7,FALSE),"")</f>
        <v>22</v>
      </c>
      <c r="R3082">
        <f t="shared" si="192"/>
        <v>65</v>
      </c>
      <c r="S3082" t="str" cm="1">
        <f t="array" ref="S3082">IF(P3082="","",_xlfn.SWITCH(LEFT(P3082,1),"C","Ciudad","T","Pueblo","R","Rural","S","Suburbano","U","Urbano",""))</f>
        <v>Suburbano</v>
      </c>
      <c r="T3082" t="str">
        <f t="shared" si="193"/>
        <v>F</v>
      </c>
      <c r="U3082" t="str">
        <f t="shared" si="194"/>
        <v>WA</v>
      </c>
      <c r="V3082" t="str">
        <f t="shared" si="195"/>
        <v>27547</v>
      </c>
    </row>
    <row r="3083" spans="1:22" x14ac:dyDescent="0.35">
      <c r="A3083" s="3">
        <v>152509</v>
      </c>
      <c r="B3083" t="s">
        <v>22</v>
      </c>
      <c r="C3083" t="s">
        <v>17</v>
      </c>
      <c r="D3083">
        <v>1725</v>
      </c>
      <c r="E3083">
        <v>394</v>
      </c>
      <c r="F3083">
        <v>444</v>
      </c>
      <c r="G3083">
        <v>24</v>
      </c>
      <c r="H3083">
        <v>14032</v>
      </c>
      <c r="I3083">
        <v>4</v>
      </c>
      <c r="J3083">
        <v>52</v>
      </c>
      <c r="K3083">
        <v>408</v>
      </c>
      <c r="L3083">
        <v>425</v>
      </c>
      <c r="M3083">
        <v>13.21428571</v>
      </c>
      <c r="N3083">
        <f>IFERROR(VLOOKUP(A3083,vlookup_table!$A:$G,2,FALSE),"")</f>
        <v>28</v>
      </c>
      <c r="O3083">
        <f>IFERROR(VLOOKUP(A3083,vlookup_table!$A:$G,4,FALSE),"")</f>
        <v>0</v>
      </c>
      <c r="P3083" t="str">
        <f>IFERROR(VLOOKUP(A3083,vlookup_table!$A:$G,5,FALSE),"")</f>
        <v>S2</v>
      </c>
      <c r="Q3083">
        <f>IFERROR(VLOOKUP(A3083,vlookup_table!$A:$G,7,FALSE),"")</f>
        <v>20</v>
      </c>
      <c r="R3083">
        <f t="shared" si="192"/>
        <v>97</v>
      </c>
      <c r="S3083" t="str" cm="1">
        <f t="array" ref="S3083">IF(P3083="","",_xlfn.SWITCH(LEFT(P3083,1),"C","Ciudad","T","Pueblo","R","Rural","S","Suburbano","U","Urbano",""))</f>
        <v>Suburbano</v>
      </c>
      <c r="T3083" t="str">
        <f t="shared" si="193"/>
        <v>F</v>
      </c>
      <c r="U3083" t="str">
        <f t="shared" si="194"/>
        <v>CA</v>
      </c>
      <c r="V3083" t="str">
        <f t="shared" si="195"/>
        <v>14032</v>
      </c>
    </row>
    <row r="3084" spans="1:22" x14ac:dyDescent="0.35">
      <c r="A3084" s="3">
        <v>61232</v>
      </c>
      <c r="B3084" t="s">
        <v>33</v>
      </c>
      <c r="C3084" t="s">
        <v>17</v>
      </c>
      <c r="D3084">
        <v>1057</v>
      </c>
      <c r="E3084">
        <v>425</v>
      </c>
      <c r="F3084">
        <v>530</v>
      </c>
      <c r="G3084">
        <v>2</v>
      </c>
      <c r="H3084">
        <v>17343</v>
      </c>
      <c r="I3084">
        <v>3</v>
      </c>
      <c r="J3084">
        <v>57</v>
      </c>
      <c r="K3084">
        <v>489</v>
      </c>
      <c r="L3084">
        <v>482</v>
      </c>
      <c r="M3084">
        <v>9.2535000000000007</v>
      </c>
      <c r="N3084">
        <f>IFERROR(VLOOKUP(A3084,vlookup_table!$A:$G,2,FALSE),"")</f>
        <v>0</v>
      </c>
      <c r="O3084">
        <f>IFERROR(VLOOKUP(A3084,vlookup_table!$A:$G,4,FALSE),"")</f>
        <v>4501</v>
      </c>
      <c r="P3084" t="str">
        <f>IFERROR(VLOOKUP(A3084,vlookup_table!$A:$G,5,FALSE),"")</f>
        <v>S1</v>
      </c>
      <c r="Q3084">
        <f>IFERROR(VLOOKUP(A3084,vlookup_table!$A:$G,7,FALSE),"")</f>
        <v>10</v>
      </c>
      <c r="R3084">
        <f t="shared" si="192"/>
        <v>52</v>
      </c>
      <c r="S3084" t="str" cm="1">
        <f t="array" ref="S3084">IF(P3084="","",_xlfn.SWITCH(LEFT(P3084,1),"C","Ciudad","T","Pueblo","R","Rural","S","Suburbano","U","Urbano",""))</f>
        <v>Suburbano</v>
      </c>
      <c r="T3084" t="str">
        <f t="shared" si="193"/>
        <v>F</v>
      </c>
      <c r="U3084" t="str">
        <f t="shared" si="194"/>
        <v>IN</v>
      </c>
      <c r="V3084" t="str">
        <f t="shared" si="195"/>
        <v>17343</v>
      </c>
    </row>
    <row r="3085" spans="1:22" x14ac:dyDescent="0.35">
      <c r="A3085" s="3">
        <v>27714</v>
      </c>
      <c r="B3085" t="s">
        <v>39</v>
      </c>
      <c r="C3085" t="s">
        <v>14</v>
      </c>
      <c r="D3085">
        <v>1458</v>
      </c>
      <c r="E3085">
        <v>643</v>
      </c>
      <c r="F3085">
        <v>688</v>
      </c>
      <c r="G3085">
        <v>10</v>
      </c>
      <c r="H3085">
        <v>21122</v>
      </c>
      <c r="I3085">
        <v>6</v>
      </c>
      <c r="J3085">
        <v>34</v>
      </c>
      <c r="K3085">
        <v>660</v>
      </c>
      <c r="L3085">
        <v>635</v>
      </c>
      <c r="M3085">
        <v>6.8333333329999997</v>
      </c>
      <c r="N3085">
        <f>IFERROR(VLOOKUP(A3085,vlookup_table!$A:$G,2,FALSE),"")</f>
        <v>1</v>
      </c>
      <c r="O3085">
        <f>IFERROR(VLOOKUP(A3085,vlookup_table!$A:$G,4,FALSE),"")</f>
        <v>3801</v>
      </c>
      <c r="P3085" t="str">
        <f>IFERROR(VLOOKUP(A3085,vlookup_table!$A:$G,5,FALSE),"")</f>
        <v>C1</v>
      </c>
      <c r="Q3085">
        <f>IFERROR(VLOOKUP(A3085,vlookup_table!$A:$G,7,FALSE),"")</f>
        <v>9</v>
      </c>
      <c r="R3085">
        <f t="shared" si="192"/>
        <v>59</v>
      </c>
      <c r="S3085" t="str" cm="1">
        <f t="array" ref="S3085">IF(P3085="","",_xlfn.SWITCH(LEFT(P3085,1),"C","Ciudad","T","Pueblo","R","Rural","S","Suburbano","U","Urbano",""))</f>
        <v>Ciudad</v>
      </c>
      <c r="T3085" t="str">
        <f t="shared" si="193"/>
        <v>M</v>
      </c>
      <c r="U3085" t="str">
        <f t="shared" si="194"/>
        <v>GA</v>
      </c>
      <c r="V3085" t="str">
        <f t="shared" si="195"/>
        <v>21122</v>
      </c>
    </row>
    <row r="3086" spans="1:22" x14ac:dyDescent="0.35">
      <c r="A3086" s="3">
        <v>170473</v>
      </c>
      <c r="B3086" t="s">
        <v>22</v>
      </c>
      <c r="C3086" t="s">
        <v>14</v>
      </c>
      <c r="D3086">
        <v>1194</v>
      </c>
      <c r="E3086">
        <v>247</v>
      </c>
      <c r="F3086">
        <v>349</v>
      </c>
      <c r="G3086">
        <v>21</v>
      </c>
      <c r="H3086">
        <v>13998</v>
      </c>
      <c r="I3086">
        <v>3</v>
      </c>
      <c r="J3086">
        <v>63</v>
      </c>
      <c r="K3086">
        <v>307</v>
      </c>
      <c r="L3086">
        <v>311</v>
      </c>
      <c r="M3086">
        <v>15.33333333</v>
      </c>
      <c r="N3086">
        <f>IFERROR(VLOOKUP(A3086,vlookup_table!$A:$G,2,FALSE),"")</f>
        <v>72</v>
      </c>
      <c r="O3086">
        <f>IFERROR(VLOOKUP(A3086,vlookup_table!$A:$G,4,FALSE),"")</f>
        <v>5101</v>
      </c>
      <c r="P3086" t="str">
        <f>IFERROR(VLOOKUP(A3086,vlookup_table!$A:$G,5,FALSE),"")</f>
        <v>R1</v>
      </c>
      <c r="Q3086">
        <f>IFERROR(VLOOKUP(A3086,vlookup_table!$A:$G,7,FALSE),"")</f>
        <v>20</v>
      </c>
      <c r="R3086">
        <f t="shared" si="192"/>
        <v>46</v>
      </c>
      <c r="S3086" t="str" cm="1">
        <f t="array" ref="S3086">IF(P3086="","",_xlfn.SWITCH(LEFT(P3086,1),"C","Ciudad","T","Pueblo","R","Rural","S","Suburbano","U","Urbano",""))</f>
        <v>Rural</v>
      </c>
      <c r="T3086" t="str">
        <f t="shared" si="193"/>
        <v>M</v>
      </c>
      <c r="U3086" t="str">
        <f t="shared" si="194"/>
        <v>CA</v>
      </c>
      <c r="V3086" t="str">
        <f t="shared" si="195"/>
        <v>13998</v>
      </c>
    </row>
    <row r="3087" spans="1:22" x14ac:dyDescent="0.35">
      <c r="A3087" s="3">
        <v>176454</v>
      </c>
      <c r="B3087" t="s">
        <v>50</v>
      </c>
      <c r="C3087" t="s">
        <v>17</v>
      </c>
      <c r="D3087">
        <v>426</v>
      </c>
      <c r="E3087">
        <v>213</v>
      </c>
      <c r="F3087">
        <v>272</v>
      </c>
      <c r="G3087">
        <v>0</v>
      </c>
      <c r="H3087">
        <v>9590</v>
      </c>
      <c r="I3087">
        <v>1</v>
      </c>
      <c r="J3087">
        <v>55</v>
      </c>
      <c r="K3087">
        <v>240</v>
      </c>
      <c r="L3087">
        <v>255</v>
      </c>
      <c r="M3087">
        <v>23</v>
      </c>
      <c r="N3087">
        <f>IFERROR(VLOOKUP(A3087,vlookup_table!$A:$G,2,FALSE),"")</f>
        <v>28</v>
      </c>
      <c r="O3087">
        <f>IFERROR(VLOOKUP(A3087,vlookup_table!$A:$G,4,FALSE),"")</f>
        <v>0</v>
      </c>
      <c r="P3087" t="str">
        <f>IFERROR(VLOOKUP(A3087,vlookup_table!$A:$G,5,FALSE),"")</f>
        <v>T3</v>
      </c>
      <c r="Q3087">
        <f>IFERROR(VLOOKUP(A3087,vlookup_table!$A:$G,7,FALSE),"")</f>
        <v>23</v>
      </c>
      <c r="R3087">
        <f t="shared" si="192"/>
        <v>97</v>
      </c>
      <c r="S3087" t="str" cm="1">
        <f t="array" ref="S3087">IF(P3087="","",_xlfn.SWITCH(LEFT(P3087,1),"C","Ciudad","T","Pueblo","R","Rural","S","Suburbano","U","Urbano",""))</f>
        <v>Pueblo</v>
      </c>
      <c r="T3087" t="str">
        <f t="shared" si="193"/>
        <v>F</v>
      </c>
      <c r="U3087" t="str">
        <f t="shared" si="194"/>
        <v>OR</v>
      </c>
      <c r="V3087" t="str">
        <f t="shared" si="195"/>
        <v>9590</v>
      </c>
    </row>
    <row r="3088" spans="1:22" x14ac:dyDescent="0.35">
      <c r="A3088" s="3">
        <v>73685</v>
      </c>
      <c r="B3088" t="s">
        <v>29</v>
      </c>
      <c r="C3088" t="s">
        <v>14</v>
      </c>
      <c r="D3088">
        <v>641</v>
      </c>
      <c r="E3088">
        <v>255</v>
      </c>
      <c r="F3088">
        <v>371</v>
      </c>
      <c r="G3088">
        <v>0</v>
      </c>
      <c r="H3088">
        <v>12503</v>
      </c>
      <c r="I3088">
        <v>2</v>
      </c>
      <c r="J3088">
        <v>87</v>
      </c>
      <c r="K3088">
        <v>336</v>
      </c>
      <c r="L3088">
        <v>317</v>
      </c>
      <c r="M3088">
        <v>8.5789473679999997</v>
      </c>
      <c r="N3088">
        <f>IFERROR(VLOOKUP(A3088,vlookup_table!$A:$G,2,FALSE),"")</f>
        <v>1</v>
      </c>
      <c r="O3088">
        <f>IFERROR(VLOOKUP(A3088,vlookup_table!$A:$G,4,FALSE),"")</f>
        <v>1707</v>
      </c>
      <c r="P3088" t="str">
        <f>IFERROR(VLOOKUP(A3088,vlookup_table!$A:$G,5,FALSE),"")</f>
        <v>S2</v>
      </c>
      <c r="Q3088">
        <f>IFERROR(VLOOKUP(A3088,vlookup_table!$A:$G,7,FALSE),"")</f>
        <v>10</v>
      </c>
      <c r="R3088">
        <f t="shared" si="192"/>
        <v>80</v>
      </c>
      <c r="S3088" t="str" cm="1">
        <f t="array" ref="S3088">IF(P3088="","",_xlfn.SWITCH(LEFT(P3088,1),"C","Ciudad","T","Pueblo","R","Rural","S","Suburbano","U","Urbano",""))</f>
        <v>Suburbano</v>
      </c>
      <c r="T3088" t="str">
        <f t="shared" si="193"/>
        <v>M</v>
      </c>
      <c r="U3088" t="str">
        <f t="shared" si="194"/>
        <v>MI</v>
      </c>
      <c r="V3088" t="str">
        <f t="shared" si="195"/>
        <v>12503</v>
      </c>
    </row>
    <row r="3089" spans="1:22" x14ac:dyDescent="0.35">
      <c r="A3089" s="3">
        <v>75153</v>
      </c>
      <c r="B3089" t="s">
        <v>47</v>
      </c>
      <c r="C3089" t="s">
        <v>14</v>
      </c>
      <c r="D3089">
        <v>750</v>
      </c>
      <c r="E3089">
        <v>118</v>
      </c>
      <c r="F3089">
        <v>325</v>
      </c>
      <c r="G3089">
        <v>25</v>
      </c>
      <c r="H3089">
        <v>11638</v>
      </c>
      <c r="I3089">
        <v>4</v>
      </c>
      <c r="J3089">
        <v>66</v>
      </c>
      <c r="K3089">
        <v>366</v>
      </c>
      <c r="L3089">
        <v>152</v>
      </c>
      <c r="M3089">
        <v>10.66666667</v>
      </c>
      <c r="N3089">
        <f>IFERROR(VLOOKUP(A3089,vlookup_table!$A:$G,2,FALSE),"")</f>
        <v>1</v>
      </c>
      <c r="O3089">
        <f>IFERROR(VLOOKUP(A3089,vlookup_table!$A:$G,4,FALSE),"")</f>
        <v>1601</v>
      </c>
      <c r="P3089" t="str">
        <f>IFERROR(VLOOKUP(A3089,vlookup_table!$A:$G,5,FALSE),"")</f>
        <v>C2</v>
      </c>
      <c r="Q3089">
        <f>IFERROR(VLOOKUP(A3089,vlookup_table!$A:$G,7,FALSE),"")</f>
        <v>13</v>
      </c>
      <c r="R3089">
        <f t="shared" si="192"/>
        <v>81</v>
      </c>
      <c r="S3089" t="str" cm="1">
        <f t="array" ref="S3089">IF(P3089="","",_xlfn.SWITCH(LEFT(P3089,1),"C","Ciudad","T","Pueblo","R","Rural","S","Suburbano","U","Urbano",""))</f>
        <v>Ciudad</v>
      </c>
      <c r="T3089" t="str">
        <f t="shared" si="193"/>
        <v>M</v>
      </c>
      <c r="U3089" t="str">
        <f t="shared" si="194"/>
        <v>IA</v>
      </c>
      <c r="V3089" t="str">
        <f t="shared" si="195"/>
        <v>11638</v>
      </c>
    </row>
    <row r="3090" spans="1:22" x14ac:dyDescent="0.35">
      <c r="A3090" s="3">
        <v>98731</v>
      </c>
      <c r="B3090" t="s">
        <v>16</v>
      </c>
      <c r="C3090" t="s">
        <v>17</v>
      </c>
      <c r="D3090">
        <v>1462</v>
      </c>
      <c r="E3090">
        <v>600</v>
      </c>
      <c r="F3090">
        <v>655</v>
      </c>
      <c r="G3090">
        <v>4</v>
      </c>
      <c r="H3090">
        <v>21328</v>
      </c>
      <c r="I3090">
        <v>8</v>
      </c>
      <c r="J3090">
        <v>57</v>
      </c>
      <c r="K3090">
        <v>639</v>
      </c>
      <c r="L3090">
        <v>627</v>
      </c>
      <c r="M3090">
        <v>15</v>
      </c>
      <c r="N3090">
        <f>IFERROR(VLOOKUP(A3090,vlookup_table!$A:$G,2,FALSE),"")</f>
        <v>28</v>
      </c>
      <c r="O3090">
        <f>IFERROR(VLOOKUP(A3090,vlookup_table!$A:$G,4,FALSE),"")</f>
        <v>5801</v>
      </c>
      <c r="P3090" t="str">
        <f>IFERROR(VLOOKUP(A3090,vlookup_table!$A:$G,5,FALSE),"")</f>
        <v>C1</v>
      </c>
      <c r="Q3090">
        <f>IFERROR(VLOOKUP(A3090,vlookup_table!$A:$G,7,FALSE),"")</f>
        <v>15</v>
      </c>
      <c r="R3090">
        <f t="shared" si="192"/>
        <v>39</v>
      </c>
      <c r="S3090" t="str" cm="1">
        <f t="array" ref="S3090">IF(P3090="","",_xlfn.SWITCH(LEFT(P3090,1),"C","Ciudad","T","Pueblo","R","Rural","S","Suburbano","U","Urbano",""))</f>
        <v>Ciudad</v>
      </c>
      <c r="T3090" t="str">
        <f t="shared" si="193"/>
        <v>F</v>
      </c>
      <c r="U3090" t="str">
        <f t="shared" si="194"/>
        <v>IL</v>
      </c>
      <c r="V3090" t="str">
        <f t="shared" si="195"/>
        <v>21328</v>
      </c>
    </row>
    <row r="3091" spans="1:22" x14ac:dyDescent="0.35">
      <c r="A3091" s="3">
        <v>81600</v>
      </c>
      <c r="B3091" t="s">
        <v>35</v>
      </c>
      <c r="C3091" t="s">
        <v>17</v>
      </c>
      <c r="D3091">
        <v>582</v>
      </c>
      <c r="E3091">
        <v>173</v>
      </c>
      <c r="F3091">
        <v>231</v>
      </c>
      <c r="G3091">
        <v>1</v>
      </c>
      <c r="H3091">
        <v>8740</v>
      </c>
      <c r="I3091">
        <v>0</v>
      </c>
      <c r="J3091">
        <v>54</v>
      </c>
      <c r="K3091">
        <v>195</v>
      </c>
      <c r="L3091">
        <v>212</v>
      </c>
      <c r="M3091">
        <v>9.7142857140000007</v>
      </c>
      <c r="N3091">
        <f>IFERROR(VLOOKUP(A3091,vlookup_table!$A:$G,2,FALSE),"")</f>
        <v>0</v>
      </c>
      <c r="O3091">
        <f>IFERROR(VLOOKUP(A3091,vlookup_table!$A:$G,4,FALSE),"")</f>
        <v>0</v>
      </c>
      <c r="P3091" t="str">
        <f>IFERROR(VLOOKUP(A3091,vlookup_table!$A:$G,5,FALSE),"")</f>
        <v>R2</v>
      </c>
      <c r="Q3091">
        <f>IFERROR(VLOOKUP(A3091,vlookup_table!$A:$G,7,FALSE),"")</f>
        <v>5</v>
      </c>
      <c r="R3091">
        <f t="shared" si="192"/>
        <v>97</v>
      </c>
      <c r="S3091" t="str" cm="1">
        <f t="array" ref="S3091">IF(P3091="","",_xlfn.SWITCH(LEFT(P3091,1),"C","Ciudad","T","Pueblo","R","Rural","S","Suburbano","U","Urbano",""))</f>
        <v>Rural</v>
      </c>
      <c r="T3091" t="str">
        <f t="shared" si="193"/>
        <v>F</v>
      </c>
      <c r="U3091" t="str">
        <f t="shared" si="194"/>
        <v>WI</v>
      </c>
      <c r="V3091" t="str">
        <f t="shared" si="195"/>
        <v>8740</v>
      </c>
    </row>
    <row r="3092" spans="1:22" x14ac:dyDescent="0.35">
      <c r="A3092" s="3">
        <v>104467</v>
      </c>
      <c r="B3092" t="s">
        <v>28</v>
      </c>
      <c r="C3092" t="s">
        <v>14</v>
      </c>
      <c r="D3092">
        <v>640</v>
      </c>
      <c r="E3092">
        <v>168</v>
      </c>
      <c r="F3092">
        <v>302</v>
      </c>
      <c r="G3092">
        <v>0</v>
      </c>
      <c r="H3092">
        <v>11377</v>
      </c>
      <c r="I3092">
        <v>3</v>
      </c>
      <c r="J3092">
        <v>31</v>
      </c>
      <c r="K3092">
        <v>292</v>
      </c>
      <c r="L3092">
        <v>232</v>
      </c>
      <c r="M3092">
        <v>3.5454545460000002</v>
      </c>
      <c r="N3092">
        <f>IFERROR(VLOOKUP(A3092,vlookup_table!$A:$G,2,FALSE),"")</f>
        <v>0</v>
      </c>
      <c r="O3092">
        <f>IFERROR(VLOOKUP(A3092,vlookup_table!$A:$G,4,FALSE),"")</f>
        <v>3201</v>
      </c>
      <c r="P3092" t="str">
        <f>IFERROR(VLOOKUP(A3092,vlookup_table!$A:$G,5,FALSE),"")</f>
        <v>C2</v>
      </c>
      <c r="Q3092">
        <f>IFERROR(VLOOKUP(A3092,vlookup_table!$A:$G,7,FALSE),"")</f>
        <v>3</v>
      </c>
      <c r="R3092">
        <f t="shared" si="192"/>
        <v>65</v>
      </c>
      <c r="S3092" t="str" cm="1">
        <f t="array" ref="S3092">IF(P3092="","",_xlfn.SWITCH(LEFT(P3092,1),"C","Ciudad","T","Pueblo","R","Rural","S","Suburbano","U","Urbano",""))</f>
        <v>Ciudad</v>
      </c>
      <c r="T3092" t="str">
        <f t="shared" si="193"/>
        <v>M</v>
      </c>
      <c r="U3092" t="str">
        <f t="shared" si="194"/>
        <v>KS</v>
      </c>
      <c r="V3092" t="str">
        <f t="shared" si="195"/>
        <v>11377</v>
      </c>
    </row>
    <row r="3093" spans="1:22" x14ac:dyDescent="0.35">
      <c r="A3093" s="3">
        <v>190647</v>
      </c>
      <c r="B3093" t="s">
        <v>56</v>
      </c>
      <c r="C3093" t="s">
        <v>17</v>
      </c>
      <c r="D3093">
        <v>460</v>
      </c>
      <c r="E3093">
        <v>200</v>
      </c>
      <c r="F3093">
        <v>321</v>
      </c>
      <c r="G3093">
        <v>0</v>
      </c>
      <c r="H3093">
        <v>10559</v>
      </c>
      <c r="I3093">
        <v>0</v>
      </c>
      <c r="J3093">
        <v>82</v>
      </c>
      <c r="K3093">
        <v>279</v>
      </c>
      <c r="L3093">
        <v>258</v>
      </c>
      <c r="M3093">
        <v>7.1666666670000003</v>
      </c>
      <c r="N3093">
        <f>IFERROR(VLOOKUP(A3093,vlookup_table!$A:$G,2,FALSE),"")</f>
        <v>2</v>
      </c>
      <c r="O3093">
        <f>IFERROR(VLOOKUP(A3093,vlookup_table!$A:$G,4,FALSE),"")</f>
        <v>0</v>
      </c>
      <c r="P3093" t="str">
        <f>IFERROR(VLOOKUP(A3093,vlookup_table!$A:$G,5,FALSE),"")</f>
        <v>R2</v>
      </c>
      <c r="Q3093">
        <f>IFERROR(VLOOKUP(A3093,vlookup_table!$A:$G,7,FALSE),"")</f>
        <v>10</v>
      </c>
      <c r="R3093">
        <f t="shared" si="192"/>
        <v>97</v>
      </c>
      <c r="S3093" t="str" cm="1">
        <f t="array" ref="S3093">IF(P3093="","",_xlfn.SWITCH(LEFT(P3093,1),"C","Ciudad","T","Pueblo","R","Rural","S","Suburbano","U","Urbano",""))</f>
        <v>Rural</v>
      </c>
      <c r="T3093" t="str">
        <f t="shared" si="193"/>
        <v>F</v>
      </c>
      <c r="U3093" t="str">
        <f t="shared" si="194"/>
        <v>MN</v>
      </c>
      <c r="V3093" t="str">
        <f t="shared" si="195"/>
        <v>10559</v>
      </c>
    </row>
    <row r="3094" spans="1:22" x14ac:dyDescent="0.35">
      <c r="A3094" s="3">
        <v>790</v>
      </c>
      <c r="B3094" t="s">
        <v>16</v>
      </c>
      <c r="C3094" t="s">
        <v>14</v>
      </c>
      <c r="D3094">
        <v>580</v>
      </c>
      <c r="E3094">
        <v>286</v>
      </c>
      <c r="F3094">
        <v>377</v>
      </c>
      <c r="G3094">
        <v>0</v>
      </c>
      <c r="H3094">
        <v>12400</v>
      </c>
      <c r="I3094">
        <v>0</v>
      </c>
      <c r="J3094">
        <v>86</v>
      </c>
      <c r="K3094">
        <v>343</v>
      </c>
      <c r="L3094">
        <v>324</v>
      </c>
      <c r="M3094">
        <v>8.3636363639999995</v>
      </c>
      <c r="N3094">
        <f>IFERROR(VLOOKUP(A3094,vlookup_table!$A:$G,2,FALSE),"")</f>
        <v>1</v>
      </c>
      <c r="O3094">
        <f>IFERROR(VLOOKUP(A3094,vlookup_table!$A:$G,4,FALSE),"")</f>
        <v>2601</v>
      </c>
      <c r="P3094" t="str">
        <f>IFERROR(VLOOKUP(A3094,vlookup_table!$A:$G,5,FALSE),"")</f>
        <v>R2</v>
      </c>
      <c r="Q3094">
        <f>IFERROR(VLOOKUP(A3094,vlookup_table!$A:$G,7,FALSE),"")</f>
        <v>15</v>
      </c>
      <c r="R3094">
        <f t="shared" si="192"/>
        <v>71</v>
      </c>
      <c r="S3094" t="str" cm="1">
        <f t="array" ref="S3094">IF(P3094="","",_xlfn.SWITCH(LEFT(P3094,1),"C","Ciudad","T","Pueblo","R","Rural","S","Suburbano","U","Urbano",""))</f>
        <v>Rural</v>
      </c>
      <c r="T3094" t="str">
        <f t="shared" si="193"/>
        <v>M</v>
      </c>
      <c r="U3094" t="str">
        <f t="shared" si="194"/>
        <v>IL</v>
      </c>
      <c r="V3094" t="str">
        <f t="shared" si="195"/>
        <v>12400</v>
      </c>
    </row>
    <row r="3095" spans="1:22" x14ac:dyDescent="0.35">
      <c r="A3095" s="3">
        <v>153319</v>
      </c>
      <c r="B3095" t="s">
        <v>22</v>
      </c>
      <c r="C3095" t="s">
        <v>17</v>
      </c>
      <c r="D3095">
        <v>1510</v>
      </c>
      <c r="E3095">
        <v>414</v>
      </c>
      <c r="F3095">
        <v>528</v>
      </c>
      <c r="G3095">
        <v>10</v>
      </c>
      <c r="H3095">
        <v>23110</v>
      </c>
      <c r="I3095">
        <v>15</v>
      </c>
      <c r="J3095">
        <v>26</v>
      </c>
      <c r="K3095">
        <v>522</v>
      </c>
      <c r="L3095">
        <v>450</v>
      </c>
      <c r="M3095">
        <v>20</v>
      </c>
      <c r="N3095">
        <f>IFERROR(VLOOKUP(A3095,vlookup_table!$A:$G,2,FALSE),"")</f>
        <v>0</v>
      </c>
      <c r="O3095">
        <f>IFERROR(VLOOKUP(A3095,vlookup_table!$A:$G,4,FALSE),"")</f>
        <v>4601</v>
      </c>
      <c r="P3095" t="str">
        <f>IFERROR(VLOOKUP(A3095,vlookup_table!$A:$G,5,FALSE),"")</f>
        <v>U1</v>
      </c>
      <c r="Q3095">
        <f>IFERROR(VLOOKUP(A3095,vlookup_table!$A:$G,7,FALSE),"")</f>
        <v>35</v>
      </c>
      <c r="R3095">
        <f t="shared" si="192"/>
        <v>51</v>
      </c>
      <c r="S3095" t="str" cm="1">
        <f t="array" ref="S3095">IF(P3095="","",_xlfn.SWITCH(LEFT(P3095,1),"C","Ciudad","T","Pueblo","R","Rural","S","Suburbano","U","Urbano",""))</f>
        <v>Urbano</v>
      </c>
      <c r="T3095" t="str">
        <f t="shared" si="193"/>
        <v>F</v>
      </c>
      <c r="U3095" t="str">
        <f t="shared" si="194"/>
        <v>CA</v>
      </c>
      <c r="V3095" t="str">
        <f t="shared" si="195"/>
        <v>23110</v>
      </c>
    </row>
    <row r="3096" spans="1:22" x14ac:dyDescent="0.35">
      <c r="A3096" s="3">
        <v>21769</v>
      </c>
      <c r="B3096" t="s">
        <v>18</v>
      </c>
      <c r="C3096" t="s">
        <v>14</v>
      </c>
      <c r="D3096">
        <v>598</v>
      </c>
      <c r="E3096">
        <v>253</v>
      </c>
      <c r="F3096">
        <v>338</v>
      </c>
      <c r="G3096">
        <v>1</v>
      </c>
      <c r="H3096">
        <v>11918</v>
      </c>
      <c r="I3096">
        <v>1</v>
      </c>
      <c r="J3096">
        <v>77</v>
      </c>
      <c r="K3096">
        <v>294</v>
      </c>
      <c r="L3096">
        <v>301</v>
      </c>
      <c r="M3096">
        <v>8</v>
      </c>
      <c r="N3096">
        <f>IFERROR(VLOOKUP(A3096,vlookup_table!$A:$G,2,FALSE),"")</f>
        <v>1</v>
      </c>
      <c r="O3096">
        <f>IFERROR(VLOOKUP(A3096,vlookup_table!$A:$G,4,FALSE),"")</f>
        <v>0</v>
      </c>
      <c r="P3096" t="str">
        <f>IFERROR(VLOOKUP(A3096,vlookup_table!$A:$G,5,FALSE),"")</f>
        <v>T2</v>
      </c>
      <c r="Q3096">
        <f>IFERROR(VLOOKUP(A3096,vlookup_table!$A:$G,7,FALSE),"")</f>
        <v>9</v>
      </c>
      <c r="R3096">
        <f t="shared" si="192"/>
        <v>97</v>
      </c>
      <c r="S3096" t="str" cm="1">
        <f t="array" ref="S3096">IF(P3096="","",_xlfn.SWITCH(LEFT(P3096,1),"C","Ciudad","T","Pueblo","R","Rural","S","Suburbano","U","Urbano",""))</f>
        <v>Pueblo</v>
      </c>
      <c r="T3096" t="str">
        <f t="shared" si="193"/>
        <v>M</v>
      </c>
      <c r="U3096" t="str">
        <f t="shared" si="194"/>
        <v>NC</v>
      </c>
      <c r="V3096" t="str">
        <f t="shared" si="195"/>
        <v>11918</v>
      </c>
    </row>
    <row r="3097" spans="1:22" x14ac:dyDescent="0.35">
      <c r="A3097" s="3">
        <v>57419</v>
      </c>
      <c r="B3097" t="s">
        <v>57</v>
      </c>
      <c r="C3097" t="s">
        <v>17</v>
      </c>
      <c r="D3097">
        <v>910</v>
      </c>
      <c r="E3097">
        <v>484</v>
      </c>
      <c r="F3097">
        <v>537</v>
      </c>
      <c r="G3097">
        <v>1</v>
      </c>
      <c r="H3097">
        <v>17977</v>
      </c>
      <c r="I3097">
        <v>2</v>
      </c>
      <c r="J3097">
        <v>56</v>
      </c>
      <c r="K3097">
        <v>492</v>
      </c>
      <c r="L3097">
        <v>525</v>
      </c>
      <c r="M3097">
        <v>7.5</v>
      </c>
      <c r="N3097">
        <f>IFERROR(VLOOKUP(A3097,vlookup_table!$A:$G,2,FALSE),"")</f>
        <v>0</v>
      </c>
      <c r="O3097">
        <f>IFERROR(VLOOKUP(A3097,vlookup_table!$A:$G,4,FALSE),"")</f>
        <v>6201</v>
      </c>
      <c r="P3097" t="str">
        <f>IFERROR(VLOOKUP(A3097,vlookup_table!$A:$G,5,FALSE),"")</f>
        <v>S1</v>
      </c>
      <c r="Q3097">
        <f>IFERROR(VLOOKUP(A3097,vlookup_table!$A:$G,7,FALSE),"")</f>
        <v>10</v>
      </c>
      <c r="R3097">
        <f t="shared" si="192"/>
        <v>35</v>
      </c>
      <c r="S3097" t="str" cm="1">
        <f t="array" ref="S3097">IF(P3097="","",_xlfn.SWITCH(LEFT(P3097,1),"C","Ciudad","T","Pueblo","R","Rural","S","Suburbano","U","Urbano",""))</f>
        <v>Suburbano</v>
      </c>
      <c r="T3097" t="str">
        <f t="shared" si="193"/>
        <v>F</v>
      </c>
      <c r="U3097" t="str">
        <f t="shared" si="194"/>
        <v>KY</v>
      </c>
      <c r="V3097" t="str">
        <f t="shared" si="195"/>
        <v>17977</v>
      </c>
    </row>
    <row r="3098" spans="1:22" x14ac:dyDescent="0.35">
      <c r="A3098" s="3">
        <v>107195</v>
      </c>
      <c r="B3098" t="s">
        <v>59</v>
      </c>
      <c r="C3098" t="s">
        <v>17</v>
      </c>
      <c r="D3098">
        <v>480</v>
      </c>
      <c r="E3098">
        <v>254</v>
      </c>
      <c r="F3098">
        <v>394</v>
      </c>
      <c r="G3098">
        <v>0</v>
      </c>
      <c r="H3098">
        <v>12217</v>
      </c>
      <c r="I3098">
        <v>1</v>
      </c>
      <c r="J3098">
        <v>62</v>
      </c>
      <c r="K3098">
        <v>359</v>
      </c>
      <c r="L3098">
        <v>306</v>
      </c>
      <c r="M3098">
        <v>15</v>
      </c>
      <c r="N3098">
        <f>IFERROR(VLOOKUP(A3098,vlookup_table!$A:$G,2,FALSE),"")</f>
        <v>2</v>
      </c>
      <c r="O3098">
        <f>IFERROR(VLOOKUP(A3098,vlookup_table!$A:$G,4,FALSE),"")</f>
        <v>4801</v>
      </c>
      <c r="P3098" t="str">
        <f>IFERROR(VLOOKUP(A3098,vlookup_table!$A:$G,5,FALSE),"")</f>
        <v>C2</v>
      </c>
      <c r="Q3098">
        <f>IFERROR(VLOOKUP(A3098,vlookup_table!$A:$G,7,FALSE),"")</f>
        <v>10</v>
      </c>
      <c r="R3098">
        <f t="shared" si="192"/>
        <v>49</v>
      </c>
      <c r="S3098" t="str" cm="1">
        <f t="array" ref="S3098">IF(P3098="","",_xlfn.SWITCH(LEFT(P3098,1),"C","Ciudad","T","Pueblo","R","Rural","S","Suburbano","U","Urbano",""))</f>
        <v>Ciudad</v>
      </c>
      <c r="T3098" t="str">
        <f t="shared" si="193"/>
        <v>F</v>
      </c>
      <c r="U3098" t="str">
        <f t="shared" si="194"/>
        <v>NE</v>
      </c>
      <c r="V3098" t="str">
        <f t="shared" si="195"/>
        <v>12217</v>
      </c>
    </row>
    <row r="3099" spans="1:22" x14ac:dyDescent="0.35">
      <c r="A3099" s="3">
        <v>139062</v>
      </c>
      <c r="B3099" t="s">
        <v>55</v>
      </c>
      <c r="C3099" t="s">
        <v>60</v>
      </c>
      <c r="D3099">
        <v>592</v>
      </c>
      <c r="E3099">
        <v>227</v>
      </c>
      <c r="F3099">
        <v>267</v>
      </c>
      <c r="G3099">
        <v>0</v>
      </c>
      <c r="H3099">
        <v>9711</v>
      </c>
      <c r="I3099">
        <v>2</v>
      </c>
      <c r="J3099">
        <v>19</v>
      </c>
      <c r="K3099">
        <v>210</v>
      </c>
      <c r="L3099">
        <v>264</v>
      </c>
      <c r="M3099">
        <v>10.30769231</v>
      </c>
      <c r="N3099">
        <f>IFERROR(VLOOKUP(A3099,vlookup_table!$A:$G,2,FALSE),"")</f>
        <v>0</v>
      </c>
      <c r="O3099">
        <f>IFERROR(VLOOKUP(A3099,vlookup_table!$A:$G,4,FALSE),"")</f>
        <v>3501</v>
      </c>
      <c r="P3099">
        <f>IFERROR(VLOOKUP(A3099,vlookup_table!$A:$G,5,FALSE),"")</f>
        <v>0</v>
      </c>
      <c r="Q3099">
        <f>IFERROR(VLOOKUP(A3099,vlookup_table!$A:$G,7,FALSE),"")</f>
        <v>20</v>
      </c>
      <c r="R3099">
        <f t="shared" si="192"/>
        <v>62</v>
      </c>
      <c r="S3099" t="str" cm="1">
        <f t="array" ref="S3099">IF(P3099="","",_xlfn.SWITCH(LEFT(P3099,1),"C","Ciudad","T","Pueblo","R","Rural","S","Suburbano","U","Urbano",""))</f>
        <v/>
      </c>
      <c r="T3099" t="str">
        <f t="shared" si="193"/>
        <v>F</v>
      </c>
      <c r="U3099" t="str">
        <f t="shared" si="194"/>
        <v>AZ</v>
      </c>
      <c r="V3099" t="str">
        <f t="shared" si="195"/>
        <v>9711</v>
      </c>
    </row>
    <row r="3100" spans="1:22" x14ac:dyDescent="0.35">
      <c r="A3100" s="3">
        <v>147529</v>
      </c>
      <c r="B3100" t="s">
        <v>18</v>
      </c>
      <c r="C3100" t="s">
        <v>20</v>
      </c>
      <c r="D3100">
        <v>279</v>
      </c>
      <c r="E3100">
        <v>154</v>
      </c>
      <c r="F3100">
        <v>207</v>
      </c>
      <c r="G3100">
        <v>0</v>
      </c>
      <c r="H3100">
        <v>5922</v>
      </c>
      <c r="I3100">
        <v>0</v>
      </c>
      <c r="J3100">
        <v>88</v>
      </c>
      <c r="K3100">
        <v>163</v>
      </c>
      <c r="L3100">
        <v>194</v>
      </c>
      <c r="M3100">
        <v>25</v>
      </c>
      <c r="N3100">
        <f>IFERROR(VLOOKUP(A3100,vlookup_table!$A:$G,2,FALSE),"")</f>
        <v>1</v>
      </c>
      <c r="O3100">
        <f>IFERROR(VLOOKUP(A3100,vlookup_table!$A:$G,4,FALSE),"")</f>
        <v>3810</v>
      </c>
      <c r="P3100" t="str">
        <f>IFERROR(VLOOKUP(A3100,vlookup_table!$A:$G,5,FALSE),"")</f>
        <v>S1</v>
      </c>
      <c r="Q3100">
        <f>IFERROR(VLOOKUP(A3100,vlookup_table!$A:$G,7,FALSE),"")</f>
        <v>20</v>
      </c>
      <c r="R3100">
        <f t="shared" si="192"/>
        <v>59</v>
      </c>
      <c r="S3100" t="str" cm="1">
        <f t="array" ref="S3100">IF(P3100="","",_xlfn.SWITCH(LEFT(P3100,1),"C","Ciudad","T","Pueblo","R","Rural","S","Suburbano","U","Urbano",""))</f>
        <v>Suburbano</v>
      </c>
      <c r="T3100" t="str">
        <f t="shared" si="193"/>
        <v>F</v>
      </c>
      <c r="U3100" t="str">
        <f t="shared" si="194"/>
        <v>NC</v>
      </c>
      <c r="V3100" t="str">
        <f t="shared" si="195"/>
        <v>5922</v>
      </c>
    </row>
    <row r="3101" spans="1:22" x14ac:dyDescent="0.35">
      <c r="A3101" s="3">
        <v>52574</v>
      </c>
      <c r="B3101" t="s">
        <v>68</v>
      </c>
      <c r="C3101" t="s">
        <v>17</v>
      </c>
      <c r="D3101">
        <v>619</v>
      </c>
      <c r="E3101">
        <v>172</v>
      </c>
      <c r="F3101">
        <v>329</v>
      </c>
      <c r="G3101">
        <v>1</v>
      </c>
      <c r="H3101">
        <v>10705</v>
      </c>
      <c r="I3101">
        <v>4</v>
      </c>
      <c r="J3101">
        <v>67</v>
      </c>
      <c r="K3101">
        <v>247</v>
      </c>
      <c r="L3101">
        <v>277</v>
      </c>
      <c r="M3101">
        <v>8.2173913039999995</v>
      </c>
      <c r="N3101">
        <f>IFERROR(VLOOKUP(A3101,vlookup_table!$A:$G,2,FALSE),"")</f>
        <v>0</v>
      </c>
      <c r="O3101">
        <f>IFERROR(VLOOKUP(A3101,vlookup_table!$A:$G,4,FALSE),"")</f>
        <v>4501</v>
      </c>
      <c r="P3101" t="str">
        <f>IFERROR(VLOOKUP(A3101,vlookup_table!$A:$G,5,FALSE),"")</f>
        <v>R2</v>
      </c>
      <c r="Q3101">
        <f>IFERROR(VLOOKUP(A3101,vlookup_table!$A:$G,7,FALSE),"")</f>
        <v>12</v>
      </c>
      <c r="R3101">
        <f t="shared" si="192"/>
        <v>52</v>
      </c>
      <c r="S3101" t="str" cm="1">
        <f t="array" ref="S3101">IF(P3101="","",_xlfn.SWITCH(LEFT(P3101,1),"C","Ciudad","T","Pueblo","R","Rural","S","Suburbano","U","Urbano",""))</f>
        <v>Rural</v>
      </c>
      <c r="T3101" t="str">
        <f t="shared" si="193"/>
        <v>F</v>
      </c>
      <c r="U3101" t="str">
        <f t="shared" si="194"/>
        <v>Tennessee</v>
      </c>
      <c r="V3101" t="str">
        <f t="shared" si="195"/>
        <v>10705</v>
      </c>
    </row>
    <row r="3102" spans="1:22" x14ac:dyDescent="0.35">
      <c r="A3102" s="3">
        <v>41482</v>
      </c>
      <c r="B3102" t="s">
        <v>13</v>
      </c>
      <c r="C3102" t="s">
        <v>17</v>
      </c>
      <c r="D3102">
        <v>513</v>
      </c>
      <c r="E3102">
        <v>210</v>
      </c>
      <c r="F3102">
        <v>283</v>
      </c>
      <c r="G3102">
        <v>1</v>
      </c>
      <c r="H3102">
        <v>9233</v>
      </c>
      <c r="I3102">
        <v>7</v>
      </c>
      <c r="J3102">
        <v>39</v>
      </c>
      <c r="K3102">
        <v>234</v>
      </c>
      <c r="L3102">
        <v>260</v>
      </c>
      <c r="M3102">
        <v>3.411764706</v>
      </c>
      <c r="N3102">
        <f>IFERROR(VLOOKUP(A3102,vlookup_table!$A:$G,2,FALSE),"")</f>
        <v>0</v>
      </c>
      <c r="O3102">
        <f>IFERROR(VLOOKUP(A3102,vlookup_table!$A:$G,4,FALSE),"")</f>
        <v>2501</v>
      </c>
      <c r="P3102" t="str">
        <f>IFERROR(VLOOKUP(A3102,vlookup_table!$A:$G,5,FALSE),"")</f>
        <v>C3</v>
      </c>
      <c r="Q3102">
        <f>IFERROR(VLOOKUP(A3102,vlookup_table!$A:$G,7,FALSE),"")</f>
        <v>5</v>
      </c>
      <c r="R3102">
        <f t="shared" si="192"/>
        <v>72</v>
      </c>
      <c r="S3102" t="str" cm="1">
        <f t="array" ref="S3102">IF(P3102="","",_xlfn.SWITCH(LEFT(P3102,1),"C","Ciudad","T","Pueblo","R","Rural","S","Suburbano","U","Urbano",""))</f>
        <v>Ciudad</v>
      </c>
      <c r="T3102" t="str">
        <f t="shared" si="193"/>
        <v>F</v>
      </c>
      <c r="U3102" t="str">
        <f t="shared" si="194"/>
        <v>FL</v>
      </c>
      <c r="V3102" t="str">
        <f t="shared" si="195"/>
        <v>9233</v>
      </c>
    </row>
    <row r="3103" spans="1:22" x14ac:dyDescent="0.35">
      <c r="A3103" s="3">
        <v>165287</v>
      </c>
      <c r="B3103" t="s">
        <v>22</v>
      </c>
      <c r="C3103" t="s">
        <v>14</v>
      </c>
      <c r="D3103">
        <v>2811</v>
      </c>
      <c r="E3103">
        <v>524</v>
      </c>
      <c r="F3103">
        <v>645</v>
      </c>
      <c r="G3103">
        <v>72</v>
      </c>
      <c r="H3103">
        <v>23861</v>
      </c>
      <c r="I3103">
        <v>8</v>
      </c>
      <c r="J3103">
        <v>60</v>
      </c>
      <c r="K3103">
        <v>577</v>
      </c>
      <c r="L3103">
        <v>599</v>
      </c>
      <c r="M3103">
        <v>17.25</v>
      </c>
      <c r="N3103">
        <f>IFERROR(VLOOKUP(A3103,vlookup_table!$A:$G,2,FALSE),"")</f>
        <v>1</v>
      </c>
      <c r="O3103">
        <f>IFERROR(VLOOKUP(A3103,vlookup_table!$A:$G,4,FALSE),"")</f>
        <v>5401</v>
      </c>
      <c r="P3103" t="str">
        <f>IFERROR(VLOOKUP(A3103,vlookup_table!$A:$G,5,FALSE),"")</f>
        <v>C1</v>
      </c>
      <c r="Q3103">
        <f>IFERROR(VLOOKUP(A3103,vlookup_table!$A:$G,7,FALSE),"")</f>
        <v>22</v>
      </c>
      <c r="R3103">
        <f t="shared" si="192"/>
        <v>43</v>
      </c>
      <c r="S3103" t="str" cm="1">
        <f t="array" ref="S3103">IF(P3103="","",_xlfn.SWITCH(LEFT(P3103,1),"C","Ciudad","T","Pueblo","R","Rural","S","Suburbano","U","Urbano",""))</f>
        <v>Ciudad</v>
      </c>
      <c r="T3103" t="str">
        <f t="shared" si="193"/>
        <v>M</v>
      </c>
      <c r="U3103" t="str">
        <f t="shared" si="194"/>
        <v>CA</v>
      </c>
      <c r="V3103" t="str">
        <f t="shared" si="195"/>
        <v>23861</v>
      </c>
    </row>
    <row r="3104" spans="1:22" x14ac:dyDescent="0.35">
      <c r="A3104" s="3">
        <v>41569</v>
      </c>
      <c r="B3104" t="s">
        <v>13</v>
      </c>
      <c r="C3104" t="s">
        <v>17</v>
      </c>
      <c r="D3104">
        <v>1079</v>
      </c>
      <c r="E3104">
        <v>347</v>
      </c>
      <c r="F3104">
        <v>756</v>
      </c>
      <c r="G3104">
        <v>2</v>
      </c>
      <c r="H3104">
        <v>24541</v>
      </c>
      <c r="I3104">
        <v>6</v>
      </c>
      <c r="J3104">
        <v>36</v>
      </c>
      <c r="K3104">
        <v>714</v>
      </c>
      <c r="L3104">
        <v>519</v>
      </c>
      <c r="M3104">
        <v>10</v>
      </c>
      <c r="N3104">
        <f>IFERROR(VLOOKUP(A3104,vlookup_table!$A:$G,2,FALSE),"")</f>
        <v>0</v>
      </c>
      <c r="O3104">
        <f>IFERROR(VLOOKUP(A3104,vlookup_table!$A:$G,4,FALSE),"")</f>
        <v>2507</v>
      </c>
      <c r="P3104" t="str">
        <f>IFERROR(VLOOKUP(A3104,vlookup_table!$A:$G,5,FALSE),"")</f>
        <v>U1</v>
      </c>
      <c r="Q3104">
        <f>IFERROR(VLOOKUP(A3104,vlookup_table!$A:$G,7,FALSE),"")</f>
        <v>18</v>
      </c>
      <c r="R3104">
        <f t="shared" si="192"/>
        <v>72</v>
      </c>
      <c r="S3104" t="str" cm="1">
        <f t="array" ref="S3104">IF(P3104="","",_xlfn.SWITCH(LEFT(P3104,1),"C","Ciudad","T","Pueblo","R","Rural","S","Suburbano","U","Urbano",""))</f>
        <v>Urbano</v>
      </c>
      <c r="T3104" t="str">
        <f t="shared" si="193"/>
        <v>F</v>
      </c>
      <c r="U3104" t="str">
        <f t="shared" si="194"/>
        <v>FL</v>
      </c>
      <c r="V3104" t="str">
        <f t="shared" si="195"/>
        <v>24541</v>
      </c>
    </row>
    <row r="3105" spans="1:22" x14ac:dyDescent="0.35">
      <c r="A3105" s="3">
        <v>1959</v>
      </c>
      <c r="B3105" t="s">
        <v>22</v>
      </c>
      <c r="C3105" t="s">
        <v>17</v>
      </c>
      <c r="D3105">
        <v>2670</v>
      </c>
      <c r="E3105">
        <v>394</v>
      </c>
      <c r="F3105">
        <v>574</v>
      </c>
      <c r="G3105">
        <v>82</v>
      </c>
      <c r="H3105">
        <v>24896</v>
      </c>
      <c r="I3105">
        <v>18</v>
      </c>
      <c r="J3105">
        <v>29</v>
      </c>
      <c r="K3105">
        <v>493</v>
      </c>
      <c r="L3105">
        <v>461</v>
      </c>
      <c r="M3105">
        <v>35</v>
      </c>
      <c r="N3105">
        <f>IFERROR(VLOOKUP(A3105,vlookup_table!$A:$G,2,FALSE),"")</f>
        <v>28</v>
      </c>
      <c r="O3105">
        <f>IFERROR(VLOOKUP(A3105,vlookup_table!$A:$G,4,FALSE),"")</f>
        <v>5801</v>
      </c>
      <c r="P3105" t="str">
        <f>IFERROR(VLOOKUP(A3105,vlookup_table!$A:$G,5,FALSE),"")</f>
        <v>S1</v>
      </c>
      <c r="Q3105">
        <f>IFERROR(VLOOKUP(A3105,vlookup_table!$A:$G,7,FALSE),"")</f>
        <v>50</v>
      </c>
      <c r="R3105">
        <f t="shared" si="192"/>
        <v>39</v>
      </c>
      <c r="S3105" t="str" cm="1">
        <f t="array" ref="S3105">IF(P3105="","",_xlfn.SWITCH(LEFT(P3105,1),"C","Ciudad","T","Pueblo","R","Rural","S","Suburbano","U","Urbano",""))</f>
        <v>Suburbano</v>
      </c>
      <c r="T3105" t="str">
        <f t="shared" si="193"/>
        <v>F</v>
      </c>
      <c r="U3105" t="str">
        <f t="shared" si="194"/>
        <v>CA</v>
      </c>
      <c r="V3105" t="str">
        <f t="shared" si="195"/>
        <v>24896</v>
      </c>
    </row>
    <row r="3106" spans="1:22" x14ac:dyDescent="0.35">
      <c r="A3106" s="3">
        <v>182490</v>
      </c>
      <c r="B3106" t="s">
        <v>81</v>
      </c>
      <c r="C3106" t="s">
        <v>14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6.25</v>
      </c>
      <c r="N3106">
        <f>IFERROR(VLOOKUP(A3106,vlookup_table!$A:$G,2,FALSE),"")</f>
        <v>1002</v>
      </c>
      <c r="O3106">
        <f>IFERROR(VLOOKUP(A3106,vlookup_table!$A:$G,4,FALSE),"")</f>
        <v>6311</v>
      </c>
      <c r="P3106" t="str">
        <f>IFERROR(VLOOKUP(A3106,vlookup_table!$A:$G,5,FALSE),"")</f>
        <v>T2</v>
      </c>
      <c r="Q3106">
        <f>IFERROR(VLOOKUP(A3106,vlookup_table!$A:$G,7,FALSE),"")</f>
        <v>10</v>
      </c>
      <c r="R3106">
        <f t="shared" si="192"/>
        <v>34</v>
      </c>
      <c r="S3106" t="str" cm="1">
        <f t="array" ref="S3106">IF(P3106="","",_xlfn.SWITCH(LEFT(P3106,1),"C","Ciudad","T","Pueblo","R","Rural","S","Suburbano","U","Urbano",""))</f>
        <v>Pueblo</v>
      </c>
      <c r="T3106" t="str">
        <f t="shared" si="193"/>
        <v>M</v>
      </c>
      <c r="U3106" t="str">
        <f t="shared" si="194"/>
        <v>GU</v>
      </c>
      <c r="V3106" t="str">
        <f t="shared" si="195"/>
        <v>0</v>
      </c>
    </row>
    <row r="3107" spans="1:22" x14ac:dyDescent="0.35">
      <c r="A3107" s="3">
        <v>87680</v>
      </c>
      <c r="B3107" t="s">
        <v>34</v>
      </c>
      <c r="C3107" t="s">
        <v>20</v>
      </c>
      <c r="D3107">
        <v>828</v>
      </c>
      <c r="E3107">
        <v>236</v>
      </c>
      <c r="F3107">
        <v>329</v>
      </c>
      <c r="G3107">
        <v>10</v>
      </c>
      <c r="H3107">
        <v>12366</v>
      </c>
      <c r="I3107">
        <v>2</v>
      </c>
      <c r="J3107">
        <v>46</v>
      </c>
      <c r="K3107">
        <v>264</v>
      </c>
      <c r="L3107">
        <v>306</v>
      </c>
      <c r="M3107">
        <v>8.0434782610000006</v>
      </c>
      <c r="N3107">
        <f>IFERROR(VLOOKUP(A3107,vlookup_table!$A:$G,2,FALSE),"")</f>
        <v>0</v>
      </c>
      <c r="O3107">
        <f>IFERROR(VLOOKUP(A3107,vlookup_table!$A:$G,4,FALSE),"")</f>
        <v>0</v>
      </c>
      <c r="P3107" t="str">
        <f>IFERROR(VLOOKUP(A3107,vlookup_table!$A:$G,5,FALSE),"")</f>
        <v>R2</v>
      </c>
      <c r="Q3107">
        <f>IFERROR(VLOOKUP(A3107,vlookup_table!$A:$G,7,FALSE),"")</f>
        <v>12</v>
      </c>
      <c r="R3107">
        <f t="shared" si="192"/>
        <v>97</v>
      </c>
      <c r="S3107" t="str" cm="1">
        <f t="array" ref="S3107">IF(P3107="","",_xlfn.SWITCH(LEFT(P3107,1),"C","Ciudad","T","Pueblo","R","Rural","S","Suburbano","U","Urbano",""))</f>
        <v>Rural</v>
      </c>
      <c r="T3107" t="str">
        <f t="shared" si="193"/>
        <v>F</v>
      </c>
      <c r="U3107" t="str">
        <f t="shared" si="194"/>
        <v>MT</v>
      </c>
      <c r="V3107" t="str">
        <f t="shared" si="195"/>
        <v>12366</v>
      </c>
    </row>
    <row r="3108" spans="1:22" x14ac:dyDescent="0.35">
      <c r="A3108" s="3">
        <v>16643</v>
      </c>
      <c r="B3108" t="s">
        <v>18</v>
      </c>
      <c r="C3108" t="s">
        <v>20</v>
      </c>
      <c r="D3108">
        <v>895</v>
      </c>
      <c r="E3108">
        <v>422</v>
      </c>
      <c r="F3108">
        <v>492</v>
      </c>
      <c r="G3108">
        <v>1</v>
      </c>
      <c r="H3108">
        <v>18352</v>
      </c>
      <c r="I3108">
        <v>2</v>
      </c>
      <c r="J3108">
        <v>58</v>
      </c>
      <c r="K3108">
        <v>458</v>
      </c>
      <c r="L3108">
        <v>452</v>
      </c>
      <c r="M3108">
        <v>13.66666667</v>
      </c>
      <c r="N3108">
        <f>IFERROR(VLOOKUP(A3108,vlookup_table!$A:$G,2,FALSE),"")</f>
        <v>0</v>
      </c>
      <c r="O3108">
        <f>IFERROR(VLOOKUP(A3108,vlookup_table!$A:$G,4,FALSE),"")</f>
        <v>1401</v>
      </c>
      <c r="P3108" t="str">
        <f>IFERROR(VLOOKUP(A3108,vlookup_table!$A:$G,5,FALSE),"")</f>
        <v>C1</v>
      </c>
      <c r="Q3108" t="str">
        <f>IFERROR(VLOOKUP(A3108,vlookup_table!$A:$G,7,FALSE),"")</f>
        <v>12.5</v>
      </c>
      <c r="R3108">
        <f t="shared" si="192"/>
        <v>83</v>
      </c>
      <c r="S3108" t="str" cm="1">
        <f t="array" ref="S3108">IF(P3108="","",_xlfn.SWITCH(LEFT(P3108,1),"C","Ciudad","T","Pueblo","R","Rural","S","Suburbano","U","Urbano",""))</f>
        <v>Ciudad</v>
      </c>
      <c r="T3108" t="str">
        <f t="shared" si="193"/>
        <v>F</v>
      </c>
      <c r="U3108" t="str">
        <f t="shared" si="194"/>
        <v>NC</v>
      </c>
      <c r="V3108" t="str">
        <f t="shared" si="195"/>
        <v>18352</v>
      </c>
    </row>
    <row r="3109" spans="1:22" x14ac:dyDescent="0.35">
      <c r="A3109" s="3">
        <v>27338</v>
      </c>
      <c r="B3109" t="s">
        <v>39</v>
      </c>
      <c r="C3109" t="s">
        <v>30</v>
      </c>
      <c r="D3109">
        <v>456</v>
      </c>
      <c r="E3109">
        <v>223</v>
      </c>
      <c r="F3109">
        <v>325</v>
      </c>
      <c r="G3109">
        <v>0</v>
      </c>
      <c r="H3109">
        <v>10736</v>
      </c>
      <c r="I3109">
        <v>0</v>
      </c>
      <c r="J3109">
        <v>50</v>
      </c>
      <c r="K3109">
        <v>267</v>
      </c>
      <c r="L3109">
        <v>272</v>
      </c>
      <c r="M3109">
        <v>5.6666666670000003</v>
      </c>
      <c r="N3109">
        <f>IFERROR(VLOOKUP(A3109,vlookup_table!$A:$G,2,FALSE),"")</f>
        <v>2</v>
      </c>
      <c r="O3109">
        <f>IFERROR(VLOOKUP(A3109,vlookup_table!$A:$G,4,FALSE),"")</f>
        <v>0</v>
      </c>
      <c r="P3109" t="str">
        <f>IFERROR(VLOOKUP(A3109,vlookup_table!$A:$G,5,FALSE),"")</f>
        <v>R3</v>
      </c>
      <c r="Q3109">
        <f>IFERROR(VLOOKUP(A3109,vlookup_table!$A:$G,7,FALSE),"")</f>
        <v>7</v>
      </c>
      <c r="R3109">
        <f t="shared" si="192"/>
        <v>97</v>
      </c>
      <c r="S3109" t="str" cm="1">
        <f t="array" ref="S3109">IF(P3109="","",_xlfn.SWITCH(LEFT(P3109,1),"C","Ciudad","T","Pueblo","R","Rural","S","Suburbano","U","Urbano",""))</f>
        <v>Rural</v>
      </c>
      <c r="T3109" t="str">
        <f t="shared" si="193"/>
        <v>U</v>
      </c>
      <c r="U3109" t="str">
        <f t="shared" si="194"/>
        <v>GA</v>
      </c>
      <c r="V3109" t="str">
        <f t="shared" si="195"/>
        <v>10736</v>
      </c>
    </row>
    <row r="3110" spans="1:22" x14ac:dyDescent="0.35">
      <c r="A3110" s="3">
        <v>155907</v>
      </c>
      <c r="B3110" t="s">
        <v>22</v>
      </c>
      <c r="C3110" t="s">
        <v>17</v>
      </c>
      <c r="D3110">
        <v>713</v>
      </c>
      <c r="E3110">
        <v>212</v>
      </c>
      <c r="F3110">
        <v>276</v>
      </c>
      <c r="G3110">
        <v>2</v>
      </c>
      <c r="H3110">
        <v>11909</v>
      </c>
      <c r="I3110">
        <v>10</v>
      </c>
      <c r="J3110">
        <v>23</v>
      </c>
      <c r="K3110">
        <v>235</v>
      </c>
      <c r="L3110">
        <v>237</v>
      </c>
      <c r="M3110">
        <v>13</v>
      </c>
      <c r="N3110">
        <f>IFERROR(VLOOKUP(A3110,vlookup_table!$A:$G,2,FALSE),"")</f>
        <v>2</v>
      </c>
      <c r="O3110">
        <f>IFERROR(VLOOKUP(A3110,vlookup_table!$A:$G,4,FALSE),"")</f>
        <v>0</v>
      </c>
      <c r="P3110" t="str">
        <f>IFERROR(VLOOKUP(A3110,vlookup_table!$A:$G,5,FALSE),"")</f>
        <v>T3</v>
      </c>
      <c r="Q3110">
        <f>IFERROR(VLOOKUP(A3110,vlookup_table!$A:$G,7,FALSE),"")</f>
        <v>15</v>
      </c>
      <c r="R3110">
        <f t="shared" si="192"/>
        <v>97</v>
      </c>
      <c r="S3110" t="str" cm="1">
        <f t="array" ref="S3110">IF(P3110="","",_xlfn.SWITCH(LEFT(P3110,1),"C","Ciudad","T","Pueblo","R","Rural","S","Suburbano","U","Urbano",""))</f>
        <v>Pueblo</v>
      </c>
      <c r="T3110" t="str">
        <f t="shared" si="193"/>
        <v>F</v>
      </c>
      <c r="U3110" t="str">
        <f t="shared" si="194"/>
        <v>CA</v>
      </c>
      <c r="V3110" t="str">
        <f t="shared" si="195"/>
        <v>11909</v>
      </c>
    </row>
    <row r="3111" spans="1:22" x14ac:dyDescent="0.35">
      <c r="A3111" s="3">
        <v>144050</v>
      </c>
      <c r="B3111" t="s">
        <v>22</v>
      </c>
      <c r="C3111" t="s">
        <v>14</v>
      </c>
      <c r="D3111">
        <v>5982</v>
      </c>
      <c r="E3111">
        <v>1500</v>
      </c>
      <c r="F3111">
        <v>1228</v>
      </c>
      <c r="G3111">
        <v>99</v>
      </c>
      <c r="H3111">
        <v>106273</v>
      </c>
      <c r="I3111">
        <v>34</v>
      </c>
      <c r="J3111">
        <v>41</v>
      </c>
      <c r="K3111">
        <v>1500</v>
      </c>
      <c r="L3111">
        <v>1214</v>
      </c>
      <c r="M3111">
        <v>22.5</v>
      </c>
      <c r="N3111">
        <f>IFERROR(VLOOKUP(A3111,vlookup_table!$A:$G,2,FALSE),"")</f>
        <v>1</v>
      </c>
      <c r="O3111">
        <f>IFERROR(VLOOKUP(A3111,vlookup_table!$A:$G,4,FALSE),"")</f>
        <v>0</v>
      </c>
      <c r="P3111" t="str">
        <f>IFERROR(VLOOKUP(A3111,vlookup_table!$A:$G,5,FALSE),"")</f>
        <v>S1</v>
      </c>
      <c r="Q3111">
        <f>IFERROR(VLOOKUP(A3111,vlookup_table!$A:$G,7,FALSE),"")</f>
        <v>22</v>
      </c>
      <c r="R3111">
        <f t="shared" si="192"/>
        <v>97</v>
      </c>
      <c r="S3111" t="str" cm="1">
        <f t="array" ref="S3111">IF(P3111="","",_xlfn.SWITCH(LEFT(P3111,1),"C","Ciudad","T","Pueblo","R","Rural","S","Suburbano","U","Urbano",""))</f>
        <v>Suburbano</v>
      </c>
      <c r="T3111" t="str">
        <f t="shared" si="193"/>
        <v>M</v>
      </c>
      <c r="U3111" t="str">
        <f t="shared" si="194"/>
        <v>CA</v>
      </c>
      <c r="V3111" t="str">
        <f t="shared" si="195"/>
        <v>106273</v>
      </c>
    </row>
    <row r="3112" spans="1:22" x14ac:dyDescent="0.35">
      <c r="A3112" s="3">
        <v>108420</v>
      </c>
      <c r="B3112" t="s">
        <v>49</v>
      </c>
      <c r="C3112" t="s">
        <v>17</v>
      </c>
      <c r="D3112">
        <v>650</v>
      </c>
      <c r="E3112">
        <v>139</v>
      </c>
      <c r="F3112">
        <v>238</v>
      </c>
      <c r="G3112">
        <v>0</v>
      </c>
      <c r="H3112">
        <v>9698</v>
      </c>
      <c r="I3112">
        <v>6</v>
      </c>
      <c r="J3112">
        <v>75</v>
      </c>
      <c r="K3112">
        <v>131</v>
      </c>
      <c r="L3112">
        <v>243</v>
      </c>
      <c r="M3112">
        <v>8.9090909089999997</v>
      </c>
      <c r="N3112">
        <f>IFERROR(VLOOKUP(A3112,vlookup_table!$A:$G,2,FALSE),"")</f>
        <v>0</v>
      </c>
      <c r="O3112">
        <f>IFERROR(VLOOKUP(A3112,vlookup_table!$A:$G,4,FALSE),"")</f>
        <v>3306</v>
      </c>
      <c r="P3112" t="str">
        <f>IFERROR(VLOOKUP(A3112,vlookup_table!$A:$G,5,FALSE),"")</f>
        <v>C2</v>
      </c>
      <c r="Q3112">
        <f>IFERROR(VLOOKUP(A3112,vlookup_table!$A:$G,7,FALSE),"")</f>
        <v>13</v>
      </c>
      <c r="R3112">
        <f t="shared" si="192"/>
        <v>64</v>
      </c>
      <c r="S3112" t="str" cm="1">
        <f t="array" ref="S3112">IF(P3112="","",_xlfn.SWITCH(LEFT(P3112,1),"C","Ciudad","T","Pueblo","R","Rural","S","Suburbano","U","Urbano",""))</f>
        <v>Ciudad</v>
      </c>
      <c r="T3112" t="str">
        <f t="shared" si="193"/>
        <v>F</v>
      </c>
      <c r="U3112" t="str">
        <f t="shared" si="194"/>
        <v>LA</v>
      </c>
      <c r="V3112" t="str">
        <f t="shared" si="195"/>
        <v>9698</v>
      </c>
    </row>
    <row r="3113" spans="1:22" x14ac:dyDescent="0.35">
      <c r="A3113" s="3">
        <v>21373</v>
      </c>
      <c r="B3113" t="s">
        <v>18</v>
      </c>
      <c r="C3113" t="s">
        <v>20</v>
      </c>
      <c r="D3113">
        <v>498</v>
      </c>
      <c r="E3113">
        <v>243</v>
      </c>
      <c r="F3113">
        <v>326</v>
      </c>
      <c r="G3113">
        <v>1</v>
      </c>
      <c r="H3113">
        <v>11462</v>
      </c>
      <c r="I3113">
        <v>0</v>
      </c>
      <c r="J3113">
        <v>86</v>
      </c>
      <c r="K3113">
        <v>284</v>
      </c>
      <c r="L3113">
        <v>285</v>
      </c>
      <c r="M3113">
        <v>5.1666666670000003</v>
      </c>
      <c r="N3113">
        <f>IFERROR(VLOOKUP(A3113,vlookup_table!$A:$G,2,FALSE),"")</f>
        <v>0</v>
      </c>
      <c r="O3113">
        <f>IFERROR(VLOOKUP(A3113,vlookup_table!$A:$G,4,FALSE),"")</f>
        <v>5901</v>
      </c>
      <c r="P3113" t="str">
        <f>IFERROR(VLOOKUP(A3113,vlookup_table!$A:$G,5,FALSE),"")</f>
        <v>T2</v>
      </c>
      <c r="Q3113">
        <f>IFERROR(VLOOKUP(A3113,vlookup_table!$A:$G,7,FALSE),"")</f>
        <v>7</v>
      </c>
      <c r="R3113">
        <f t="shared" si="192"/>
        <v>38</v>
      </c>
      <c r="S3113" t="str" cm="1">
        <f t="array" ref="S3113">IF(P3113="","",_xlfn.SWITCH(LEFT(P3113,1),"C","Ciudad","T","Pueblo","R","Rural","S","Suburbano","U","Urbano",""))</f>
        <v>Pueblo</v>
      </c>
      <c r="T3113" t="str">
        <f t="shared" si="193"/>
        <v>F</v>
      </c>
      <c r="U3113" t="str">
        <f t="shared" si="194"/>
        <v>NC</v>
      </c>
      <c r="V3113" t="str">
        <f t="shared" si="195"/>
        <v>11462</v>
      </c>
    </row>
    <row r="3114" spans="1:22" x14ac:dyDescent="0.35">
      <c r="A3114" s="3">
        <v>61108</v>
      </c>
      <c r="B3114" t="s">
        <v>33</v>
      </c>
      <c r="C3114" t="s">
        <v>14</v>
      </c>
      <c r="D3114">
        <v>399</v>
      </c>
      <c r="E3114">
        <v>217</v>
      </c>
      <c r="F3114">
        <v>347</v>
      </c>
      <c r="G3114">
        <v>0</v>
      </c>
      <c r="H3114">
        <v>11919</v>
      </c>
      <c r="I3114">
        <v>2</v>
      </c>
      <c r="J3114">
        <v>78</v>
      </c>
      <c r="K3114">
        <v>309</v>
      </c>
      <c r="L3114">
        <v>279</v>
      </c>
      <c r="M3114">
        <v>7.2</v>
      </c>
      <c r="N3114">
        <f>IFERROR(VLOOKUP(A3114,vlookup_table!$A:$G,2,FALSE),"")</f>
        <v>0</v>
      </c>
      <c r="O3114">
        <f>IFERROR(VLOOKUP(A3114,vlookup_table!$A:$G,4,FALSE),"")</f>
        <v>3701</v>
      </c>
      <c r="P3114" t="str">
        <f>IFERROR(VLOOKUP(A3114,vlookup_table!$A:$G,5,FALSE),"")</f>
        <v>C3</v>
      </c>
      <c r="Q3114">
        <f>IFERROR(VLOOKUP(A3114,vlookup_table!$A:$G,7,FALSE),"")</f>
        <v>7</v>
      </c>
      <c r="R3114">
        <f t="shared" si="192"/>
        <v>60</v>
      </c>
      <c r="S3114" t="str" cm="1">
        <f t="array" ref="S3114">IF(P3114="","",_xlfn.SWITCH(LEFT(P3114,1),"C","Ciudad","T","Pueblo","R","Rural","S","Suburbano","U","Urbano",""))</f>
        <v>Ciudad</v>
      </c>
      <c r="T3114" t="str">
        <f t="shared" si="193"/>
        <v>M</v>
      </c>
      <c r="U3114" t="str">
        <f t="shared" si="194"/>
        <v>IN</v>
      </c>
      <c r="V3114" t="str">
        <f t="shared" si="195"/>
        <v>11919</v>
      </c>
    </row>
    <row r="3115" spans="1:22" x14ac:dyDescent="0.35">
      <c r="A3115" s="3">
        <v>87024</v>
      </c>
      <c r="B3115" t="s">
        <v>34</v>
      </c>
      <c r="C3115" t="s">
        <v>20</v>
      </c>
      <c r="D3115">
        <v>395</v>
      </c>
      <c r="E3115">
        <v>135</v>
      </c>
      <c r="F3115">
        <v>186</v>
      </c>
      <c r="G3115">
        <v>0</v>
      </c>
      <c r="H3115">
        <v>5225</v>
      </c>
      <c r="I3115">
        <v>1</v>
      </c>
      <c r="J3115">
        <v>88</v>
      </c>
      <c r="K3115">
        <v>137</v>
      </c>
      <c r="L3115">
        <v>181</v>
      </c>
      <c r="M3115">
        <v>21.741111109999999</v>
      </c>
      <c r="N3115">
        <f>IFERROR(VLOOKUP(A3115,vlookup_table!$A:$G,2,FALSE),"")</f>
        <v>0</v>
      </c>
      <c r="O3115">
        <f>IFERROR(VLOOKUP(A3115,vlookup_table!$A:$G,4,FALSE),"")</f>
        <v>0</v>
      </c>
      <c r="P3115" t="str">
        <f>IFERROR(VLOOKUP(A3115,vlookup_table!$A:$G,5,FALSE),"")</f>
        <v>R2</v>
      </c>
      <c r="Q3115">
        <f>IFERROR(VLOOKUP(A3115,vlookup_table!$A:$G,7,FALSE),"")</f>
        <v>5</v>
      </c>
      <c r="R3115">
        <f t="shared" si="192"/>
        <v>97</v>
      </c>
      <c r="S3115" t="str" cm="1">
        <f t="array" ref="S3115">IF(P3115="","",_xlfn.SWITCH(LEFT(P3115,1),"C","Ciudad","T","Pueblo","R","Rural","S","Suburbano","U","Urbano",""))</f>
        <v>Rural</v>
      </c>
      <c r="T3115" t="str">
        <f t="shared" si="193"/>
        <v>F</v>
      </c>
      <c r="U3115" t="str">
        <f t="shared" si="194"/>
        <v>MT</v>
      </c>
      <c r="V3115" t="str">
        <f t="shared" si="195"/>
        <v>5225</v>
      </c>
    </row>
    <row r="3116" spans="1:22" x14ac:dyDescent="0.35">
      <c r="A3116" s="3">
        <v>179673</v>
      </c>
      <c r="B3116" t="s">
        <v>40</v>
      </c>
      <c r="C3116" t="s">
        <v>51</v>
      </c>
      <c r="D3116">
        <v>1546</v>
      </c>
      <c r="E3116">
        <v>416</v>
      </c>
      <c r="F3116">
        <v>534</v>
      </c>
      <c r="G3116">
        <v>12</v>
      </c>
      <c r="H3116">
        <v>20632</v>
      </c>
      <c r="I3116">
        <v>9</v>
      </c>
      <c r="J3116">
        <v>43</v>
      </c>
      <c r="K3116">
        <v>508</v>
      </c>
      <c r="L3116">
        <v>489</v>
      </c>
      <c r="M3116">
        <v>3.6428571430000001</v>
      </c>
      <c r="N3116">
        <f>IFERROR(VLOOKUP(A3116,vlookup_table!$A:$G,2,FALSE),"")</f>
        <v>1</v>
      </c>
      <c r="O3116">
        <f>IFERROR(VLOOKUP(A3116,vlookup_table!$A:$G,4,FALSE),"")</f>
        <v>1701</v>
      </c>
      <c r="P3116" t="str">
        <f>IFERROR(VLOOKUP(A3116,vlookup_table!$A:$G,5,FALSE),"")</f>
        <v>U1</v>
      </c>
      <c r="Q3116">
        <f>IFERROR(VLOOKUP(A3116,vlookup_table!$A:$G,7,FALSE),"")</f>
        <v>5</v>
      </c>
      <c r="R3116">
        <f t="shared" si="192"/>
        <v>80</v>
      </c>
      <c r="S3116" t="str" cm="1">
        <f t="array" ref="S3116">IF(P3116="","",_xlfn.SWITCH(LEFT(P3116,1),"C","Ciudad","T","Pueblo","R","Rural","S","Suburbano","U","Urbano",""))</f>
        <v>Urbano</v>
      </c>
      <c r="T3116" t="str">
        <f t="shared" si="193"/>
        <v>M</v>
      </c>
      <c r="U3116" t="str">
        <f t="shared" si="194"/>
        <v>WA</v>
      </c>
      <c r="V3116" t="str">
        <f t="shared" si="195"/>
        <v>20632</v>
      </c>
    </row>
    <row r="3117" spans="1:22" x14ac:dyDescent="0.35">
      <c r="A3117" s="3">
        <v>179606</v>
      </c>
      <c r="B3117" t="s">
        <v>40</v>
      </c>
      <c r="C3117" t="s">
        <v>17</v>
      </c>
      <c r="D3117">
        <v>1326</v>
      </c>
      <c r="E3117">
        <v>269</v>
      </c>
      <c r="F3117">
        <v>476</v>
      </c>
      <c r="G3117">
        <v>14</v>
      </c>
      <c r="H3117">
        <v>22329</v>
      </c>
      <c r="I3117">
        <v>6</v>
      </c>
      <c r="J3117">
        <v>42</v>
      </c>
      <c r="K3117">
        <v>401</v>
      </c>
      <c r="L3117">
        <v>347</v>
      </c>
      <c r="M3117">
        <v>7.25</v>
      </c>
      <c r="N3117">
        <f>IFERROR(VLOOKUP(A3117,vlookup_table!$A:$G,2,FALSE),"")</f>
        <v>28</v>
      </c>
      <c r="O3117">
        <f>IFERROR(VLOOKUP(A3117,vlookup_table!$A:$G,4,FALSE),"")</f>
        <v>1910</v>
      </c>
      <c r="P3117" t="str">
        <f>IFERROR(VLOOKUP(A3117,vlookup_table!$A:$G,5,FALSE),"")</f>
        <v>T1</v>
      </c>
      <c r="Q3117">
        <f>IFERROR(VLOOKUP(A3117,vlookup_table!$A:$G,7,FALSE),"")</f>
        <v>15</v>
      </c>
      <c r="R3117">
        <f t="shared" si="192"/>
        <v>78</v>
      </c>
      <c r="S3117" t="str" cm="1">
        <f t="array" ref="S3117">IF(P3117="","",_xlfn.SWITCH(LEFT(P3117,1),"C","Ciudad","T","Pueblo","R","Rural","S","Suburbano","U","Urbano",""))</f>
        <v>Pueblo</v>
      </c>
      <c r="T3117" t="str">
        <f t="shared" si="193"/>
        <v>F</v>
      </c>
      <c r="U3117" t="str">
        <f t="shared" si="194"/>
        <v>WA</v>
      </c>
      <c r="V3117" t="str">
        <f t="shared" si="195"/>
        <v>22329</v>
      </c>
    </row>
    <row r="3118" spans="1:22" x14ac:dyDescent="0.35">
      <c r="A3118" s="3">
        <v>144038</v>
      </c>
      <c r="B3118" t="s">
        <v>22</v>
      </c>
      <c r="C3118" t="s">
        <v>17</v>
      </c>
      <c r="D3118">
        <v>5000</v>
      </c>
      <c r="E3118">
        <v>405</v>
      </c>
      <c r="F3118">
        <v>711</v>
      </c>
      <c r="G3118">
        <v>98</v>
      </c>
      <c r="H3118">
        <v>33566</v>
      </c>
      <c r="I3118">
        <v>40</v>
      </c>
      <c r="J3118">
        <v>21</v>
      </c>
      <c r="K3118">
        <v>618</v>
      </c>
      <c r="L3118">
        <v>541</v>
      </c>
      <c r="M3118">
        <v>20</v>
      </c>
      <c r="N3118">
        <f>IFERROR(VLOOKUP(A3118,vlookup_table!$A:$G,2,FALSE),"")</f>
        <v>0</v>
      </c>
      <c r="O3118">
        <f>IFERROR(VLOOKUP(A3118,vlookup_table!$A:$G,4,FALSE),"")</f>
        <v>0</v>
      </c>
      <c r="P3118" t="str">
        <f>IFERROR(VLOOKUP(A3118,vlookup_table!$A:$G,5,FALSE),"")</f>
        <v>U4</v>
      </c>
      <c r="Q3118">
        <f>IFERROR(VLOOKUP(A3118,vlookup_table!$A:$G,7,FALSE),"")</f>
        <v>50</v>
      </c>
      <c r="R3118">
        <f t="shared" si="192"/>
        <v>97</v>
      </c>
      <c r="S3118" t="str" cm="1">
        <f t="array" ref="S3118">IF(P3118="","",_xlfn.SWITCH(LEFT(P3118,1),"C","Ciudad","T","Pueblo","R","Rural","S","Suburbano","U","Urbano",""))</f>
        <v>Urbano</v>
      </c>
      <c r="T3118" t="str">
        <f t="shared" si="193"/>
        <v>F</v>
      </c>
      <c r="U3118" t="str">
        <f t="shared" si="194"/>
        <v>CA</v>
      </c>
      <c r="V3118" t="str">
        <f t="shared" si="195"/>
        <v>33566</v>
      </c>
    </row>
    <row r="3119" spans="1:22" x14ac:dyDescent="0.35">
      <c r="A3119" s="3">
        <v>5496</v>
      </c>
      <c r="B3119" t="s">
        <v>57</v>
      </c>
      <c r="C3119" t="s">
        <v>14</v>
      </c>
      <c r="D3119">
        <v>323</v>
      </c>
      <c r="E3119">
        <v>125</v>
      </c>
      <c r="F3119">
        <v>201</v>
      </c>
      <c r="G3119">
        <v>0</v>
      </c>
      <c r="H3119">
        <v>7798</v>
      </c>
      <c r="I3119">
        <v>0</v>
      </c>
      <c r="J3119">
        <v>82</v>
      </c>
      <c r="K3119">
        <v>149</v>
      </c>
      <c r="L3119">
        <v>157</v>
      </c>
      <c r="M3119">
        <v>11.5</v>
      </c>
      <c r="N3119">
        <f>IFERROR(VLOOKUP(A3119,vlookup_table!$A:$G,2,FALSE),"")</f>
        <v>1</v>
      </c>
      <c r="O3119">
        <f>IFERROR(VLOOKUP(A3119,vlookup_table!$A:$G,4,FALSE),"")</f>
        <v>1309</v>
      </c>
      <c r="P3119" t="str">
        <f>IFERROR(VLOOKUP(A3119,vlookup_table!$A:$G,5,FALSE),"")</f>
        <v>R3</v>
      </c>
      <c r="Q3119">
        <f>IFERROR(VLOOKUP(A3119,vlookup_table!$A:$G,7,FALSE),"")</f>
        <v>5</v>
      </c>
      <c r="R3119">
        <f t="shared" si="192"/>
        <v>84</v>
      </c>
      <c r="S3119" t="str" cm="1">
        <f t="array" ref="S3119">IF(P3119="","",_xlfn.SWITCH(LEFT(P3119,1),"C","Ciudad","T","Pueblo","R","Rural","S","Suburbano","U","Urbano",""))</f>
        <v>Rural</v>
      </c>
      <c r="T3119" t="str">
        <f t="shared" si="193"/>
        <v>M</v>
      </c>
      <c r="U3119" t="str">
        <f t="shared" si="194"/>
        <v>KY</v>
      </c>
      <c r="V3119" t="str">
        <f t="shared" si="195"/>
        <v>7798</v>
      </c>
    </row>
    <row r="3120" spans="1:22" x14ac:dyDescent="0.35">
      <c r="A3120" s="3">
        <v>118805</v>
      </c>
      <c r="B3120" t="s">
        <v>21</v>
      </c>
      <c r="C3120" t="s">
        <v>17</v>
      </c>
      <c r="D3120">
        <v>1095</v>
      </c>
      <c r="E3120">
        <v>520</v>
      </c>
      <c r="F3120">
        <v>648</v>
      </c>
      <c r="G3120">
        <v>1</v>
      </c>
      <c r="H3120">
        <v>20341</v>
      </c>
      <c r="I3120">
        <v>1</v>
      </c>
      <c r="J3120">
        <v>56</v>
      </c>
      <c r="K3120">
        <v>600</v>
      </c>
      <c r="L3120">
        <v>584</v>
      </c>
      <c r="M3120">
        <v>10</v>
      </c>
      <c r="N3120">
        <f>IFERROR(VLOOKUP(A3120,vlookup_table!$A:$G,2,FALSE),"")</f>
        <v>2</v>
      </c>
      <c r="O3120">
        <f>IFERROR(VLOOKUP(A3120,vlookup_table!$A:$G,4,FALSE),"")</f>
        <v>4304</v>
      </c>
      <c r="P3120" t="str">
        <f>IFERROR(VLOOKUP(A3120,vlookup_table!$A:$G,5,FALSE),"")</f>
        <v>C1</v>
      </c>
      <c r="Q3120">
        <f>IFERROR(VLOOKUP(A3120,vlookup_table!$A:$G,7,FALSE),"")</f>
        <v>20</v>
      </c>
      <c r="R3120">
        <f t="shared" si="192"/>
        <v>54</v>
      </c>
      <c r="S3120" t="str" cm="1">
        <f t="array" ref="S3120">IF(P3120="","",_xlfn.SWITCH(LEFT(P3120,1),"C","Ciudad","T","Pueblo","R","Rural","S","Suburbano","U","Urbano",""))</f>
        <v>Ciudad</v>
      </c>
      <c r="T3120" t="str">
        <f t="shared" si="193"/>
        <v>F</v>
      </c>
      <c r="U3120" t="str">
        <f t="shared" si="194"/>
        <v>TX</v>
      </c>
      <c r="V3120" t="str">
        <f t="shared" si="195"/>
        <v>20341</v>
      </c>
    </row>
    <row r="3121" spans="1:22" x14ac:dyDescent="0.35">
      <c r="A3121" s="3">
        <v>66300</v>
      </c>
      <c r="B3121" t="s">
        <v>29</v>
      </c>
      <c r="C3121" t="s">
        <v>14</v>
      </c>
      <c r="D3121">
        <v>675</v>
      </c>
      <c r="E3121">
        <v>178</v>
      </c>
      <c r="F3121">
        <v>303</v>
      </c>
      <c r="G3121">
        <v>0</v>
      </c>
      <c r="H3121">
        <v>13159</v>
      </c>
      <c r="I3121">
        <v>4</v>
      </c>
      <c r="J3121">
        <v>79</v>
      </c>
      <c r="K3121">
        <v>249</v>
      </c>
      <c r="L3121">
        <v>254</v>
      </c>
      <c r="M3121">
        <v>11.53846154</v>
      </c>
      <c r="N3121">
        <f>IFERROR(VLOOKUP(A3121,vlookup_table!$A:$G,2,FALSE),"")</f>
        <v>1</v>
      </c>
      <c r="O3121">
        <f>IFERROR(VLOOKUP(A3121,vlookup_table!$A:$G,4,FALSE),"")</f>
        <v>811</v>
      </c>
      <c r="P3121" t="str">
        <f>IFERROR(VLOOKUP(A3121,vlookup_table!$A:$G,5,FALSE),"")</f>
        <v>U1</v>
      </c>
      <c r="Q3121">
        <f>IFERROR(VLOOKUP(A3121,vlookup_table!$A:$G,7,FALSE),"")</f>
        <v>14</v>
      </c>
      <c r="R3121">
        <f t="shared" si="192"/>
        <v>89</v>
      </c>
      <c r="S3121" t="str" cm="1">
        <f t="array" ref="S3121">IF(P3121="","",_xlfn.SWITCH(LEFT(P3121,1),"C","Ciudad","T","Pueblo","R","Rural","S","Suburbano","U","Urbano",""))</f>
        <v>Urbano</v>
      </c>
      <c r="T3121" t="str">
        <f t="shared" si="193"/>
        <v>M</v>
      </c>
      <c r="U3121" t="str">
        <f t="shared" si="194"/>
        <v>MI</v>
      </c>
      <c r="V3121" t="str">
        <f t="shared" si="195"/>
        <v>13159</v>
      </c>
    </row>
    <row r="3122" spans="1:22" x14ac:dyDescent="0.35">
      <c r="A3122" s="3">
        <v>168648</v>
      </c>
      <c r="B3122" t="s">
        <v>22</v>
      </c>
      <c r="C3122" t="s">
        <v>14</v>
      </c>
      <c r="D3122">
        <v>1685</v>
      </c>
      <c r="E3122">
        <v>265</v>
      </c>
      <c r="F3122">
        <v>408</v>
      </c>
      <c r="G3122">
        <v>34</v>
      </c>
      <c r="H3122">
        <v>18752</v>
      </c>
      <c r="I3122">
        <v>7</v>
      </c>
      <c r="J3122">
        <v>41</v>
      </c>
      <c r="K3122">
        <v>340</v>
      </c>
      <c r="L3122">
        <v>325</v>
      </c>
      <c r="M3122">
        <v>7.5454545450000001</v>
      </c>
      <c r="N3122">
        <f>IFERROR(VLOOKUP(A3122,vlookup_table!$A:$G,2,FALSE),"")</f>
        <v>1002</v>
      </c>
      <c r="O3122">
        <f>IFERROR(VLOOKUP(A3122,vlookup_table!$A:$G,4,FALSE),"")</f>
        <v>4210</v>
      </c>
      <c r="P3122" t="str">
        <f>IFERROR(VLOOKUP(A3122,vlookup_table!$A:$G,5,FALSE),"")</f>
        <v>S1</v>
      </c>
      <c r="Q3122">
        <f>IFERROR(VLOOKUP(A3122,vlookup_table!$A:$G,7,FALSE),"")</f>
        <v>14</v>
      </c>
      <c r="R3122">
        <f t="shared" si="192"/>
        <v>55</v>
      </c>
      <c r="S3122" t="str" cm="1">
        <f t="array" ref="S3122">IF(P3122="","",_xlfn.SWITCH(LEFT(P3122,1),"C","Ciudad","T","Pueblo","R","Rural","S","Suburbano","U","Urbano",""))</f>
        <v>Suburbano</v>
      </c>
      <c r="T3122" t="str">
        <f t="shared" si="193"/>
        <v>M</v>
      </c>
      <c r="U3122" t="str">
        <f t="shared" si="194"/>
        <v>CA</v>
      </c>
      <c r="V3122" t="str">
        <f t="shared" si="195"/>
        <v>18752</v>
      </c>
    </row>
    <row r="3123" spans="1:22" x14ac:dyDescent="0.35">
      <c r="A3123" s="3">
        <v>33420</v>
      </c>
      <c r="B3123" t="s">
        <v>13</v>
      </c>
      <c r="C3123" t="s">
        <v>14</v>
      </c>
      <c r="D3123">
        <v>702</v>
      </c>
      <c r="E3123">
        <v>403</v>
      </c>
      <c r="F3123">
        <v>468</v>
      </c>
      <c r="G3123">
        <v>1</v>
      </c>
      <c r="H3123">
        <v>14780</v>
      </c>
      <c r="I3123">
        <v>8</v>
      </c>
      <c r="J3123">
        <v>45</v>
      </c>
      <c r="K3123">
        <v>423</v>
      </c>
      <c r="L3123">
        <v>419</v>
      </c>
      <c r="M3123">
        <v>12.2195122</v>
      </c>
      <c r="N3123">
        <f>IFERROR(VLOOKUP(A3123,vlookup_table!$A:$G,2,FALSE),"")</f>
        <v>1</v>
      </c>
      <c r="O3123">
        <f>IFERROR(VLOOKUP(A3123,vlookup_table!$A:$G,4,FALSE),"")</f>
        <v>4210</v>
      </c>
      <c r="P3123" t="str">
        <f>IFERROR(VLOOKUP(A3123,vlookup_table!$A:$G,5,FALSE),"")</f>
        <v>C1</v>
      </c>
      <c r="Q3123">
        <f>IFERROR(VLOOKUP(A3123,vlookup_table!$A:$G,7,FALSE),"")</f>
        <v>25</v>
      </c>
      <c r="R3123">
        <f t="shared" si="192"/>
        <v>55</v>
      </c>
      <c r="S3123" t="str" cm="1">
        <f t="array" ref="S3123">IF(P3123="","",_xlfn.SWITCH(LEFT(P3123,1),"C","Ciudad","T","Pueblo","R","Rural","S","Suburbano","U","Urbano",""))</f>
        <v>Ciudad</v>
      </c>
      <c r="T3123" t="str">
        <f t="shared" si="193"/>
        <v>M</v>
      </c>
      <c r="U3123" t="str">
        <f t="shared" si="194"/>
        <v>FL</v>
      </c>
      <c r="V3123" t="str">
        <f t="shared" si="195"/>
        <v>14780</v>
      </c>
    </row>
    <row r="3124" spans="1:22" x14ac:dyDescent="0.35">
      <c r="A3124" s="3">
        <v>139141</v>
      </c>
      <c r="B3124" t="s">
        <v>54</v>
      </c>
      <c r="C3124" t="s">
        <v>14</v>
      </c>
      <c r="D3124">
        <v>601</v>
      </c>
      <c r="E3124">
        <v>206</v>
      </c>
      <c r="F3124">
        <v>289</v>
      </c>
      <c r="G3124">
        <v>1</v>
      </c>
      <c r="H3124">
        <v>9801</v>
      </c>
      <c r="I3124">
        <v>1</v>
      </c>
      <c r="J3124">
        <v>69</v>
      </c>
      <c r="K3124">
        <v>225</v>
      </c>
      <c r="L3124">
        <v>251</v>
      </c>
      <c r="M3124">
        <v>13</v>
      </c>
      <c r="N3124">
        <f>IFERROR(VLOOKUP(A3124,vlookup_table!$A:$G,2,FALSE),"")</f>
        <v>1</v>
      </c>
      <c r="O3124">
        <f>IFERROR(VLOOKUP(A3124,vlookup_table!$A:$G,4,FALSE),"")</f>
        <v>5801</v>
      </c>
      <c r="P3124" t="str">
        <f>IFERROR(VLOOKUP(A3124,vlookup_table!$A:$G,5,FALSE),"")</f>
        <v>T2</v>
      </c>
      <c r="Q3124">
        <f>IFERROR(VLOOKUP(A3124,vlookup_table!$A:$G,7,FALSE),"")</f>
        <v>25</v>
      </c>
      <c r="R3124">
        <f t="shared" si="192"/>
        <v>39</v>
      </c>
      <c r="S3124" t="str" cm="1">
        <f t="array" ref="S3124">IF(P3124="","",_xlfn.SWITCH(LEFT(P3124,1),"C","Ciudad","T","Pueblo","R","Rural","S","Suburbano","U","Urbano",""))</f>
        <v>Pueblo</v>
      </c>
      <c r="T3124" t="str">
        <f t="shared" si="193"/>
        <v>M</v>
      </c>
      <c r="U3124" t="str">
        <f t="shared" si="194"/>
        <v>NM</v>
      </c>
      <c r="V3124" t="str">
        <f t="shared" si="195"/>
        <v>9801</v>
      </c>
    </row>
    <row r="3125" spans="1:22" x14ac:dyDescent="0.35">
      <c r="A3125" s="3">
        <v>182056</v>
      </c>
      <c r="B3125" t="s">
        <v>40</v>
      </c>
      <c r="C3125" t="s">
        <v>51</v>
      </c>
      <c r="D3125">
        <v>558</v>
      </c>
      <c r="E3125">
        <v>211</v>
      </c>
      <c r="F3125">
        <v>285</v>
      </c>
      <c r="G3125">
        <v>0</v>
      </c>
      <c r="H3125">
        <v>8733</v>
      </c>
      <c r="I3125">
        <v>6</v>
      </c>
      <c r="J3125">
        <v>56</v>
      </c>
      <c r="K3125">
        <v>227</v>
      </c>
      <c r="L3125">
        <v>247</v>
      </c>
      <c r="M3125">
        <v>2.4634146339999998</v>
      </c>
      <c r="N3125">
        <f>IFERROR(VLOOKUP(A3125,vlookup_table!$A:$G,2,FALSE),"")</f>
        <v>1</v>
      </c>
      <c r="O3125">
        <f>IFERROR(VLOOKUP(A3125,vlookup_table!$A:$G,4,FALSE),"")</f>
        <v>3002</v>
      </c>
      <c r="P3125" t="str">
        <f>IFERROR(VLOOKUP(A3125,vlookup_table!$A:$G,5,FALSE),"")</f>
        <v>U3</v>
      </c>
      <c r="Q3125">
        <f>IFERROR(VLOOKUP(A3125,vlookup_table!$A:$G,7,FALSE),"")</f>
        <v>5</v>
      </c>
      <c r="R3125">
        <f t="shared" si="192"/>
        <v>67</v>
      </c>
      <c r="S3125" t="str" cm="1">
        <f t="array" ref="S3125">IF(P3125="","",_xlfn.SWITCH(LEFT(P3125,1),"C","Ciudad","T","Pueblo","R","Rural","S","Suburbano","U","Urbano",""))</f>
        <v>Urbano</v>
      </c>
      <c r="T3125" t="str">
        <f t="shared" si="193"/>
        <v>M</v>
      </c>
      <c r="U3125" t="str">
        <f t="shared" si="194"/>
        <v>WA</v>
      </c>
      <c r="V3125" t="str">
        <f t="shared" si="195"/>
        <v>8733</v>
      </c>
    </row>
    <row r="3126" spans="1:22" x14ac:dyDescent="0.35">
      <c r="A3126" s="3">
        <v>15384</v>
      </c>
      <c r="B3126" t="s">
        <v>18</v>
      </c>
      <c r="C3126" t="s">
        <v>20</v>
      </c>
      <c r="D3126">
        <v>452</v>
      </c>
      <c r="E3126">
        <v>219</v>
      </c>
      <c r="F3126">
        <v>268</v>
      </c>
      <c r="G3126">
        <v>0</v>
      </c>
      <c r="H3126">
        <v>8728</v>
      </c>
      <c r="I3126">
        <v>0</v>
      </c>
      <c r="J3126">
        <v>88</v>
      </c>
      <c r="K3126">
        <v>246</v>
      </c>
      <c r="L3126">
        <v>261</v>
      </c>
      <c r="M3126">
        <v>10</v>
      </c>
      <c r="N3126">
        <f>IFERROR(VLOOKUP(A3126,vlookup_table!$A:$G,2,FALSE),"")</f>
        <v>28</v>
      </c>
      <c r="O3126">
        <f>IFERROR(VLOOKUP(A3126,vlookup_table!$A:$G,4,FALSE),"")</f>
        <v>3801</v>
      </c>
      <c r="P3126" t="str">
        <f>IFERROR(VLOOKUP(A3126,vlookup_table!$A:$G,5,FALSE),"")</f>
        <v>C2</v>
      </c>
      <c r="Q3126">
        <f>IFERROR(VLOOKUP(A3126,vlookup_table!$A:$G,7,FALSE),"")</f>
        <v>15</v>
      </c>
      <c r="R3126">
        <f t="shared" si="192"/>
        <v>59</v>
      </c>
      <c r="S3126" t="str" cm="1">
        <f t="array" ref="S3126">IF(P3126="","",_xlfn.SWITCH(LEFT(P3126,1),"C","Ciudad","T","Pueblo","R","Rural","S","Suburbano","U","Urbano",""))</f>
        <v>Ciudad</v>
      </c>
      <c r="T3126" t="str">
        <f t="shared" si="193"/>
        <v>F</v>
      </c>
      <c r="U3126" t="str">
        <f t="shared" si="194"/>
        <v>NC</v>
      </c>
      <c r="V3126" t="str">
        <f t="shared" si="195"/>
        <v>8728</v>
      </c>
    </row>
    <row r="3127" spans="1:22" x14ac:dyDescent="0.35">
      <c r="A3127" s="3">
        <v>171083</v>
      </c>
      <c r="B3127" t="s">
        <v>22</v>
      </c>
      <c r="C3127" t="s">
        <v>17</v>
      </c>
      <c r="D3127">
        <v>882</v>
      </c>
      <c r="E3127">
        <v>349</v>
      </c>
      <c r="F3127">
        <v>410</v>
      </c>
      <c r="G3127">
        <v>0</v>
      </c>
      <c r="H3127">
        <v>13153</v>
      </c>
      <c r="I3127">
        <v>9</v>
      </c>
      <c r="J3127">
        <v>45</v>
      </c>
      <c r="K3127">
        <v>373</v>
      </c>
      <c r="L3127">
        <v>372</v>
      </c>
      <c r="M3127">
        <v>16.518518520000001</v>
      </c>
      <c r="N3127">
        <f>IFERROR(VLOOKUP(A3127,vlookup_table!$A:$G,2,FALSE),"")</f>
        <v>0</v>
      </c>
      <c r="O3127">
        <f>IFERROR(VLOOKUP(A3127,vlookup_table!$A:$G,4,FALSE),"")</f>
        <v>4301</v>
      </c>
      <c r="P3127" t="str">
        <f>IFERROR(VLOOKUP(A3127,vlookup_table!$A:$G,5,FALSE),"")</f>
        <v>S2</v>
      </c>
      <c r="Q3127">
        <f>IFERROR(VLOOKUP(A3127,vlookup_table!$A:$G,7,FALSE),"")</f>
        <v>25</v>
      </c>
      <c r="R3127">
        <f t="shared" si="192"/>
        <v>54</v>
      </c>
      <c r="S3127" t="str" cm="1">
        <f t="array" ref="S3127">IF(P3127="","",_xlfn.SWITCH(LEFT(P3127,1),"C","Ciudad","T","Pueblo","R","Rural","S","Suburbano","U","Urbano",""))</f>
        <v>Suburbano</v>
      </c>
      <c r="T3127" t="str">
        <f t="shared" si="193"/>
        <v>F</v>
      </c>
      <c r="U3127" t="str">
        <f t="shared" si="194"/>
        <v>CA</v>
      </c>
      <c r="V3127" t="str">
        <f t="shared" si="195"/>
        <v>13153</v>
      </c>
    </row>
    <row r="3128" spans="1:22" x14ac:dyDescent="0.35">
      <c r="A3128" s="3">
        <v>171581</v>
      </c>
      <c r="B3128" t="s">
        <v>22</v>
      </c>
      <c r="C3128" t="s">
        <v>14</v>
      </c>
      <c r="D3128">
        <v>2644</v>
      </c>
      <c r="E3128">
        <v>440</v>
      </c>
      <c r="F3128">
        <v>566</v>
      </c>
      <c r="G3128">
        <v>56</v>
      </c>
      <c r="H3128">
        <v>18944</v>
      </c>
      <c r="I3128">
        <v>4</v>
      </c>
      <c r="J3128">
        <v>58</v>
      </c>
      <c r="K3128">
        <v>447</v>
      </c>
      <c r="L3128">
        <v>555</v>
      </c>
      <c r="M3128">
        <v>12.5</v>
      </c>
      <c r="N3128">
        <f>IFERROR(VLOOKUP(A3128,vlookup_table!$A:$G,2,FALSE),"")</f>
        <v>1</v>
      </c>
      <c r="O3128">
        <f>IFERROR(VLOOKUP(A3128,vlookup_table!$A:$G,4,FALSE),"")</f>
        <v>1001</v>
      </c>
      <c r="P3128" t="str">
        <f>IFERROR(VLOOKUP(A3128,vlookup_table!$A:$G,5,FALSE),"")</f>
        <v>S1</v>
      </c>
      <c r="Q3128">
        <f>IFERROR(VLOOKUP(A3128,vlookup_table!$A:$G,7,FALSE),"")</f>
        <v>5</v>
      </c>
      <c r="R3128">
        <f t="shared" si="192"/>
        <v>87</v>
      </c>
      <c r="S3128" t="str" cm="1">
        <f t="array" ref="S3128">IF(P3128="","",_xlfn.SWITCH(LEFT(P3128,1),"C","Ciudad","T","Pueblo","R","Rural","S","Suburbano","U","Urbano",""))</f>
        <v>Suburbano</v>
      </c>
      <c r="T3128" t="str">
        <f t="shared" si="193"/>
        <v>M</v>
      </c>
      <c r="U3128" t="str">
        <f t="shared" si="194"/>
        <v>CA</v>
      </c>
      <c r="V3128" t="str">
        <f t="shared" si="195"/>
        <v>18944</v>
      </c>
    </row>
    <row r="3129" spans="1:22" x14ac:dyDescent="0.35">
      <c r="A3129" s="3">
        <v>13288</v>
      </c>
      <c r="B3129" t="s">
        <v>13</v>
      </c>
      <c r="C3129" t="s">
        <v>17</v>
      </c>
      <c r="D3129">
        <v>896</v>
      </c>
      <c r="E3129">
        <v>392</v>
      </c>
      <c r="F3129">
        <v>520</v>
      </c>
      <c r="G3129">
        <v>7</v>
      </c>
      <c r="H3129">
        <v>21975</v>
      </c>
      <c r="I3129">
        <v>6</v>
      </c>
      <c r="J3129">
        <v>16</v>
      </c>
      <c r="K3129">
        <v>430</v>
      </c>
      <c r="L3129">
        <v>466</v>
      </c>
      <c r="M3129">
        <v>15.3</v>
      </c>
      <c r="N3129">
        <f>IFERROR(VLOOKUP(A3129,vlookup_table!$A:$G,2,FALSE),"")</f>
        <v>0</v>
      </c>
      <c r="O3129">
        <f>IFERROR(VLOOKUP(A3129,vlookup_table!$A:$G,4,FALSE),"")</f>
        <v>4901</v>
      </c>
      <c r="P3129" t="str">
        <f>IFERROR(VLOOKUP(A3129,vlookup_table!$A:$G,5,FALSE),"")</f>
        <v>C2</v>
      </c>
      <c r="Q3129">
        <f>IFERROR(VLOOKUP(A3129,vlookup_table!$A:$G,7,FALSE),"")</f>
        <v>20</v>
      </c>
      <c r="R3129">
        <f t="shared" si="192"/>
        <v>48</v>
      </c>
      <c r="S3129" t="str" cm="1">
        <f t="array" ref="S3129">IF(P3129="","",_xlfn.SWITCH(LEFT(P3129,1),"C","Ciudad","T","Pueblo","R","Rural","S","Suburbano","U","Urbano",""))</f>
        <v>Ciudad</v>
      </c>
      <c r="T3129" t="str">
        <f t="shared" si="193"/>
        <v>F</v>
      </c>
      <c r="U3129" t="str">
        <f t="shared" si="194"/>
        <v>FL</v>
      </c>
      <c r="V3129" t="str">
        <f t="shared" si="195"/>
        <v>21975</v>
      </c>
    </row>
    <row r="3130" spans="1:22" x14ac:dyDescent="0.35">
      <c r="A3130" s="3">
        <v>102589</v>
      </c>
      <c r="B3130" t="s">
        <v>36</v>
      </c>
      <c r="C3130" t="s">
        <v>14</v>
      </c>
      <c r="D3130">
        <v>465</v>
      </c>
      <c r="E3130">
        <v>266</v>
      </c>
      <c r="F3130">
        <v>313</v>
      </c>
      <c r="G3130">
        <v>0</v>
      </c>
      <c r="H3130">
        <v>10037</v>
      </c>
      <c r="I3130">
        <v>1</v>
      </c>
      <c r="J3130">
        <v>79</v>
      </c>
      <c r="K3130">
        <v>292</v>
      </c>
      <c r="L3130">
        <v>285</v>
      </c>
      <c r="M3130">
        <v>7.733333333</v>
      </c>
      <c r="N3130">
        <f>IFERROR(VLOOKUP(A3130,vlookup_table!$A:$G,2,FALSE),"")</f>
        <v>0</v>
      </c>
      <c r="O3130">
        <f>IFERROR(VLOOKUP(A3130,vlookup_table!$A:$G,4,FALSE),"")</f>
        <v>2607</v>
      </c>
      <c r="P3130" t="str">
        <f>IFERROR(VLOOKUP(A3130,vlookup_table!$A:$G,5,FALSE),"")</f>
        <v>R2</v>
      </c>
      <c r="Q3130">
        <f>IFERROR(VLOOKUP(A3130,vlookup_table!$A:$G,7,FALSE),"")</f>
        <v>100</v>
      </c>
      <c r="R3130">
        <f t="shared" si="192"/>
        <v>71</v>
      </c>
      <c r="S3130" t="str" cm="1">
        <f t="array" ref="S3130">IF(P3130="","",_xlfn.SWITCH(LEFT(P3130,1),"C","Ciudad","T","Pueblo","R","Rural","S","Suburbano","U","Urbano",""))</f>
        <v>Rural</v>
      </c>
      <c r="T3130" t="str">
        <f t="shared" si="193"/>
        <v>M</v>
      </c>
      <c r="U3130" t="str">
        <f t="shared" si="194"/>
        <v>MO</v>
      </c>
      <c r="V3130" t="str">
        <f t="shared" si="195"/>
        <v>10037</v>
      </c>
    </row>
    <row r="3131" spans="1:22" x14ac:dyDescent="0.35">
      <c r="A3131" s="3">
        <v>43119</v>
      </c>
      <c r="B3131" t="s">
        <v>13</v>
      </c>
      <c r="C3131" t="s">
        <v>17</v>
      </c>
      <c r="D3131">
        <v>845</v>
      </c>
      <c r="E3131">
        <v>334</v>
      </c>
      <c r="F3131">
        <v>511</v>
      </c>
      <c r="G3131">
        <v>13</v>
      </c>
      <c r="H3131">
        <v>25715</v>
      </c>
      <c r="I3131">
        <v>6</v>
      </c>
      <c r="J3131">
        <v>10</v>
      </c>
      <c r="K3131">
        <v>351</v>
      </c>
      <c r="L3131">
        <v>496</v>
      </c>
      <c r="M3131">
        <v>6.25</v>
      </c>
      <c r="N3131">
        <f>IFERROR(VLOOKUP(A3131,vlookup_table!$A:$G,2,FALSE),"")</f>
        <v>0</v>
      </c>
      <c r="O3131">
        <f>IFERROR(VLOOKUP(A3131,vlookup_table!$A:$G,4,FALSE),"")</f>
        <v>0</v>
      </c>
      <c r="P3131" t="str">
        <f>IFERROR(VLOOKUP(A3131,vlookup_table!$A:$G,5,FALSE),"")</f>
        <v>C2</v>
      </c>
      <c r="Q3131">
        <f>IFERROR(VLOOKUP(A3131,vlookup_table!$A:$G,7,FALSE),"")</f>
        <v>9</v>
      </c>
      <c r="R3131">
        <f t="shared" si="192"/>
        <v>97</v>
      </c>
      <c r="S3131" t="str" cm="1">
        <f t="array" ref="S3131">IF(P3131="","",_xlfn.SWITCH(LEFT(P3131,1),"C","Ciudad","T","Pueblo","R","Rural","S","Suburbano","U","Urbano",""))</f>
        <v>Ciudad</v>
      </c>
      <c r="T3131" t="str">
        <f t="shared" si="193"/>
        <v>F</v>
      </c>
      <c r="U3131" t="str">
        <f t="shared" si="194"/>
        <v>FL</v>
      </c>
      <c r="V3131" t="str">
        <f t="shared" si="195"/>
        <v>25715</v>
      </c>
    </row>
    <row r="3132" spans="1:22" x14ac:dyDescent="0.35">
      <c r="A3132" s="3">
        <v>167202</v>
      </c>
      <c r="B3132" t="s">
        <v>22</v>
      </c>
      <c r="C3132" t="s">
        <v>17</v>
      </c>
      <c r="D3132">
        <v>2907</v>
      </c>
      <c r="E3132">
        <v>420</v>
      </c>
      <c r="F3132">
        <v>547</v>
      </c>
      <c r="G3132">
        <v>88</v>
      </c>
      <c r="H3132">
        <v>18195</v>
      </c>
      <c r="I3132">
        <v>1</v>
      </c>
      <c r="J3132">
        <v>59</v>
      </c>
      <c r="K3132">
        <v>514</v>
      </c>
      <c r="L3132">
        <v>463</v>
      </c>
      <c r="M3132">
        <v>9</v>
      </c>
      <c r="N3132">
        <f>IFERROR(VLOOKUP(A3132,vlookup_table!$A:$G,2,FALSE),"")</f>
        <v>0</v>
      </c>
      <c r="O3132">
        <f>IFERROR(VLOOKUP(A3132,vlookup_table!$A:$G,4,FALSE),"")</f>
        <v>1101</v>
      </c>
      <c r="P3132" t="str">
        <f>IFERROR(VLOOKUP(A3132,vlookup_table!$A:$G,5,FALSE),"")</f>
        <v>S1</v>
      </c>
      <c r="Q3132">
        <f>IFERROR(VLOOKUP(A3132,vlookup_table!$A:$G,7,FALSE),"")</f>
        <v>15</v>
      </c>
      <c r="R3132">
        <f t="shared" si="192"/>
        <v>86</v>
      </c>
      <c r="S3132" t="str" cm="1">
        <f t="array" ref="S3132">IF(P3132="","",_xlfn.SWITCH(LEFT(P3132,1),"C","Ciudad","T","Pueblo","R","Rural","S","Suburbano","U","Urbano",""))</f>
        <v>Suburbano</v>
      </c>
      <c r="T3132" t="str">
        <f t="shared" si="193"/>
        <v>F</v>
      </c>
      <c r="U3132" t="str">
        <f t="shared" si="194"/>
        <v>CA</v>
      </c>
      <c r="V3132" t="str">
        <f t="shared" si="195"/>
        <v>18195</v>
      </c>
    </row>
    <row r="3133" spans="1:22" x14ac:dyDescent="0.35">
      <c r="A3133" s="3">
        <v>143332</v>
      </c>
      <c r="B3133" t="s">
        <v>22</v>
      </c>
      <c r="C3133" t="s">
        <v>14</v>
      </c>
      <c r="D3133">
        <v>1964</v>
      </c>
      <c r="E3133">
        <v>401</v>
      </c>
      <c r="F3133">
        <v>540</v>
      </c>
      <c r="G3133">
        <v>48</v>
      </c>
      <c r="H3133">
        <v>15640</v>
      </c>
      <c r="I3133">
        <v>22</v>
      </c>
      <c r="J3133">
        <v>47</v>
      </c>
      <c r="K3133">
        <v>487</v>
      </c>
      <c r="L3133">
        <v>419</v>
      </c>
      <c r="M3133">
        <v>10.16666667</v>
      </c>
      <c r="N3133">
        <f>IFERROR(VLOOKUP(A3133,vlookup_table!$A:$G,2,FALSE),"")</f>
        <v>1</v>
      </c>
      <c r="O3133">
        <f>IFERROR(VLOOKUP(A3133,vlookup_table!$A:$G,4,FALSE),"")</f>
        <v>3101</v>
      </c>
      <c r="P3133" t="str">
        <f>IFERROR(VLOOKUP(A3133,vlookup_table!$A:$G,5,FALSE),"")</f>
        <v>U1</v>
      </c>
      <c r="Q3133">
        <f>IFERROR(VLOOKUP(A3133,vlookup_table!$A:$G,7,FALSE),"")</f>
        <v>13</v>
      </c>
      <c r="R3133">
        <f t="shared" si="192"/>
        <v>66</v>
      </c>
      <c r="S3133" t="str" cm="1">
        <f t="array" ref="S3133">IF(P3133="","",_xlfn.SWITCH(LEFT(P3133,1),"C","Ciudad","T","Pueblo","R","Rural","S","Suburbano","U","Urbano",""))</f>
        <v>Urbano</v>
      </c>
      <c r="T3133" t="str">
        <f t="shared" si="193"/>
        <v>M</v>
      </c>
      <c r="U3133" t="str">
        <f t="shared" si="194"/>
        <v>CA</v>
      </c>
      <c r="V3133" t="str">
        <f t="shared" si="195"/>
        <v>15640</v>
      </c>
    </row>
    <row r="3134" spans="1:22" x14ac:dyDescent="0.35">
      <c r="A3134" s="3">
        <v>126945</v>
      </c>
      <c r="B3134" t="s">
        <v>21</v>
      </c>
      <c r="C3134" t="s">
        <v>14</v>
      </c>
      <c r="D3134">
        <v>783</v>
      </c>
      <c r="E3134">
        <v>319</v>
      </c>
      <c r="F3134">
        <v>350</v>
      </c>
      <c r="G3134">
        <v>0</v>
      </c>
      <c r="H3134">
        <v>10631</v>
      </c>
      <c r="I3134">
        <v>0</v>
      </c>
      <c r="J3134">
        <v>71</v>
      </c>
      <c r="K3134">
        <v>350</v>
      </c>
      <c r="L3134">
        <v>340</v>
      </c>
      <c r="M3134">
        <v>10.45454546</v>
      </c>
      <c r="N3134">
        <f>IFERROR(VLOOKUP(A3134,vlookup_table!$A:$G,2,FALSE),"")</f>
        <v>1</v>
      </c>
      <c r="O3134">
        <f>IFERROR(VLOOKUP(A3134,vlookup_table!$A:$G,4,FALSE),"")</f>
        <v>5504</v>
      </c>
      <c r="P3134" t="str">
        <f>IFERROR(VLOOKUP(A3134,vlookup_table!$A:$G,5,FALSE),"")</f>
        <v>T1</v>
      </c>
      <c r="Q3134">
        <f>IFERROR(VLOOKUP(A3134,vlookup_table!$A:$G,7,FALSE),"")</f>
        <v>10</v>
      </c>
      <c r="R3134">
        <f t="shared" si="192"/>
        <v>42</v>
      </c>
      <c r="S3134" t="str" cm="1">
        <f t="array" ref="S3134">IF(P3134="","",_xlfn.SWITCH(LEFT(P3134,1),"C","Ciudad","T","Pueblo","R","Rural","S","Suburbano","U","Urbano",""))</f>
        <v>Pueblo</v>
      </c>
      <c r="T3134" t="str">
        <f t="shared" si="193"/>
        <v>M</v>
      </c>
      <c r="U3134" t="str">
        <f t="shared" si="194"/>
        <v>TX</v>
      </c>
      <c r="V3134" t="str">
        <f t="shared" si="195"/>
        <v>10631</v>
      </c>
    </row>
    <row r="3135" spans="1:22" x14ac:dyDescent="0.35">
      <c r="A3135" s="3">
        <v>137900</v>
      </c>
      <c r="B3135" t="s">
        <v>55</v>
      </c>
      <c r="C3135" t="s">
        <v>14</v>
      </c>
      <c r="D3135">
        <v>483</v>
      </c>
      <c r="E3135">
        <v>198</v>
      </c>
      <c r="F3135">
        <v>283</v>
      </c>
      <c r="G3135">
        <v>0</v>
      </c>
      <c r="H3135">
        <v>9290</v>
      </c>
      <c r="I3135">
        <v>7</v>
      </c>
      <c r="J3135">
        <v>46</v>
      </c>
      <c r="K3135">
        <v>231</v>
      </c>
      <c r="L3135">
        <v>245</v>
      </c>
      <c r="M3135">
        <v>4.8333333329999997</v>
      </c>
      <c r="N3135">
        <f>IFERROR(VLOOKUP(A3135,vlookup_table!$A:$G,2,FALSE),"")</f>
        <v>2</v>
      </c>
      <c r="O3135">
        <f>IFERROR(VLOOKUP(A3135,vlookup_table!$A:$G,4,FALSE),"")</f>
        <v>3008</v>
      </c>
      <c r="P3135" t="str">
        <f>IFERROR(VLOOKUP(A3135,vlookup_table!$A:$G,5,FALSE),"")</f>
        <v>R2</v>
      </c>
      <c r="Q3135">
        <f>IFERROR(VLOOKUP(A3135,vlookup_table!$A:$G,7,FALSE),"")</f>
        <v>5</v>
      </c>
      <c r="R3135">
        <f t="shared" si="192"/>
        <v>67</v>
      </c>
      <c r="S3135" t="str" cm="1">
        <f t="array" ref="S3135">IF(P3135="","",_xlfn.SWITCH(LEFT(P3135,1),"C","Ciudad","T","Pueblo","R","Rural","S","Suburbano","U","Urbano",""))</f>
        <v>Rural</v>
      </c>
      <c r="T3135" t="str">
        <f t="shared" si="193"/>
        <v>M</v>
      </c>
      <c r="U3135" t="str">
        <f t="shared" si="194"/>
        <v>AZ</v>
      </c>
      <c r="V3135" t="str">
        <f t="shared" si="195"/>
        <v>9290</v>
      </c>
    </row>
    <row r="3136" spans="1:22" x14ac:dyDescent="0.35">
      <c r="A3136" s="3">
        <v>47161</v>
      </c>
      <c r="B3136" t="s">
        <v>43</v>
      </c>
      <c r="C3136" t="s">
        <v>27</v>
      </c>
      <c r="D3136">
        <v>661</v>
      </c>
      <c r="E3136">
        <v>332</v>
      </c>
      <c r="F3136">
        <v>415</v>
      </c>
      <c r="G3136">
        <v>0</v>
      </c>
      <c r="H3136">
        <v>15892</v>
      </c>
      <c r="I3136">
        <v>0</v>
      </c>
      <c r="J3136">
        <v>80</v>
      </c>
      <c r="K3136">
        <v>347</v>
      </c>
      <c r="L3136">
        <v>380</v>
      </c>
      <c r="M3136">
        <v>8.8000000000000007</v>
      </c>
      <c r="N3136">
        <f>IFERROR(VLOOKUP(A3136,vlookup_table!$A:$G,2,FALSE),"")</f>
        <v>1</v>
      </c>
      <c r="O3136">
        <f>IFERROR(VLOOKUP(A3136,vlookup_table!$A:$G,4,FALSE),"")</f>
        <v>1911</v>
      </c>
      <c r="P3136" t="str">
        <f>IFERROR(VLOOKUP(A3136,vlookup_table!$A:$G,5,FALSE),"")</f>
        <v>S1</v>
      </c>
      <c r="Q3136">
        <f>IFERROR(VLOOKUP(A3136,vlookup_table!$A:$G,7,FALSE),"")</f>
        <v>10</v>
      </c>
      <c r="R3136">
        <f t="shared" si="192"/>
        <v>78</v>
      </c>
      <c r="S3136" t="str" cm="1">
        <f t="array" ref="S3136">IF(P3136="","",_xlfn.SWITCH(LEFT(P3136,1),"C","Ciudad","T","Pueblo","R","Rural","S","Suburbano","U","Urbano",""))</f>
        <v>Suburbano</v>
      </c>
      <c r="T3136" t="str">
        <f t="shared" si="193"/>
        <v>M</v>
      </c>
      <c r="U3136" t="str">
        <f t="shared" si="194"/>
        <v>AL</v>
      </c>
      <c r="V3136" t="str">
        <f t="shared" si="195"/>
        <v>15892</v>
      </c>
    </row>
    <row r="3137" spans="1:22" x14ac:dyDescent="0.35">
      <c r="A3137" s="3">
        <v>48551</v>
      </c>
      <c r="B3137" t="s">
        <v>43</v>
      </c>
      <c r="C3137" t="s">
        <v>17</v>
      </c>
      <c r="D3137">
        <v>380</v>
      </c>
      <c r="E3137">
        <v>152</v>
      </c>
      <c r="F3137">
        <v>261</v>
      </c>
      <c r="G3137">
        <v>1</v>
      </c>
      <c r="H3137">
        <v>8807</v>
      </c>
      <c r="I3137">
        <v>2</v>
      </c>
      <c r="J3137">
        <v>88</v>
      </c>
      <c r="K3137">
        <v>179</v>
      </c>
      <c r="L3137">
        <v>227</v>
      </c>
      <c r="M3137">
        <v>15</v>
      </c>
      <c r="N3137">
        <f>IFERROR(VLOOKUP(A3137,vlookup_table!$A:$G,2,FALSE),"")</f>
        <v>0</v>
      </c>
      <c r="O3137">
        <f>IFERROR(VLOOKUP(A3137,vlookup_table!$A:$G,4,FALSE),"")</f>
        <v>4401</v>
      </c>
      <c r="P3137" t="str">
        <f>IFERROR(VLOOKUP(A3137,vlookup_table!$A:$G,5,FALSE),"")</f>
        <v>R3</v>
      </c>
      <c r="Q3137">
        <f>IFERROR(VLOOKUP(A3137,vlookup_table!$A:$G,7,FALSE),"")</f>
        <v>20</v>
      </c>
      <c r="R3137">
        <f t="shared" si="192"/>
        <v>53</v>
      </c>
      <c r="S3137" t="str" cm="1">
        <f t="array" ref="S3137">IF(P3137="","",_xlfn.SWITCH(LEFT(P3137,1),"C","Ciudad","T","Pueblo","R","Rural","S","Suburbano","U","Urbano",""))</f>
        <v>Rural</v>
      </c>
      <c r="T3137" t="str">
        <f t="shared" si="193"/>
        <v>F</v>
      </c>
      <c r="U3137" t="str">
        <f t="shared" si="194"/>
        <v>AL</v>
      </c>
      <c r="V3137" t="str">
        <f t="shared" si="195"/>
        <v>8807</v>
      </c>
    </row>
    <row r="3138" spans="1:22" x14ac:dyDescent="0.35">
      <c r="A3138" s="3">
        <v>186482</v>
      </c>
      <c r="B3138" t="s">
        <v>59</v>
      </c>
      <c r="C3138" t="s">
        <v>14</v>
      </c>
      <c r="D3138">
        <v>670</v>
      </c>
      <c r="E3138">
        <v>410</v>
      </c>
      <c r="F3138">
        <v>433</v>
      </c>
      <c r="G3138">
        <v>0</v>
      </c>
      <c r="H3138">
        <v>13151</v>
      </c>
      <c r="I3138">
        <v>0</v>
      </c>
      <c r="J3138">
        <v>65</v>
      </c>
      <c r="K3138">
        <v>413</v>
      </c>
      <c r="L3138">
        <v>432</v>
      </c>
      <c r="M3138">
        <v>7.8333333329999997</v>
      </c>
      <c r="N3138">
        <f>IFERROR(VLOOKUP(A3138,vlookup_table!$A:$G,2,FALSE),"")</f>
        <v>1</v>
      </c>
      <c r="O3138">
        <f>IFERROR(VLOOKUP(A3138,vlookup_table!$A:$G,4,FALSE),"")</f>
        <v>5101</v>
      </c>
      <c r="P3138" t="str">
        <f>IFERROR(VLOOKUP(A3138,vlookup_table!$A:$G,5,FALSE),"")</f>
        <v>S2</v>
      </c>
      <c r="Q3138">
        <f>IFERROR(VLOOKUP(A3138,vlookup_table!$A:$G,7,FALSE),"")</f>
        <v>15</v>
      </c>
      <c r="R3138">
        <f t="shared" ref="R3138:R3201" si="196">IF(O3138="","",97-INT(O3138/100))</f>
        <v>46</v>
      </c>
      <c r="S3138" t="str" cm="1">
        <f t="array" ref="S3138">IF(P3138="","",_xlfn.SWITCH(LEFT(P3138,1),"C","Ciudad","T","Pueblo","R","Rural","S","Suburbano","U","Urbano",""))</f>
        <v>Suburbano</v>
      </c>
      <c r="T3138" t="str">
        <f t="shared" ref="T3138:T3201" si="197">IF(C3138="","",IF(OR(UPPER(C3138)="M",UPPER(C3138)="MALE"),"M",IF(OR(UPPER(C3138)="F",UPPER(C3138)="FEMALE",UPPER(C3138)="FEAMALE"),"F",C3138)))</f>
        <v>M</v>
      </c>
      <c r="U3138" t="str">
        <f t="shared" ref="U3138:U3201" si="198">IF(OR(UPPER(B3138)="CALIFORNIA",UPPER(B3138)="CALI"),"CA",B3138)</f>
        <v>NE</v>
      </c>
      <c r="V3138" t="str">
        <f t="shared" ref="V3138:V3201" si="199">SUBSTITUTE(H3138,"@","")</f>
        <v>13151</v>
      </c>
    </row>
    <row r="3139" spans="1:22" x14ac:dyDescent="0.35">
      <c r="A3139" s="3">
        <v>97537</v>
      </c>
      <c r="B3139" t="s">
        <v>16</v>
      </c>
      <c r="C3139" t="s">
        <v>14</v>
      </c>
      <c r="D3139">
        <v>316</v>
      </c>
      <c r="E3139">
        <v>200</v>
      </c>
      <c r="F3139">
        <v>278</v>
      </c>
      <c r="G3139">
        <v>0</v>
      </c>
      <c r="H3139">
        <v>9619</v>
      </c>
      <c r="I3139">
        <v>1</v>
      </c>
      <c r="J3139">
        <v>86</v>
      </c>
      <c r="K3139">
        <v>256</v>
      </c>
      <c r="L3139">
        <v>237</v>
      </c>
      <c r="M3139">
        <v>4.1428571429999996</v>
      </c>
      <c r="N3139">
        <f>IFERROR(VLOOKUP(A3139,vlookup_table!$A:$G,2,FALSE),"")</f>
        <v>1</v>
      </c>
      <c r="O3139">
        <f>IFERROR(VLOOKUP(A3139,vlookup_table!$A:$G,4,FALSE),"")</f>
        <v>7001</v>
      </c>
      <c r="P3139" t="str">
        <f>IFERROR(VLOOKUP(A3139,vlookup_table!$A:$G,5,FALSE),"")</f>
        <v>T3</v>
      </c>
      <c r="Q3139">
        <f>IFERROR(VLOOKUP(A3139,vlookup_table!$A:$G,7,FALSE),"")</f>
        <v>4</v>
      </c>
      <c r="R3139">
        <f t="shared" si="196"/>
        <v>27</v>
      </c>
      <c r="S3139" t="str" cm="1">
        <f t="array" ref="S3139">IF(P3139="","",_xlfn.SWITCH(LEFT(P3139,1),"C","Ciudad","T","Pueblo","R","Rural","S","Suburbano","U","Urbano",""))</f>
        <v>Pueblo</v>
      </c>
      <c r="T3139" t="str">
        <f t="shared" si="197"/>
        <v>M</v>
      </c>
      <c r="U3139" t="str">
        <f t="shared" si="198"/>
        <v>IL</v>
      </c>
      <c r="V3139" t="str">
        <f t="shared" si="199"/>
        <v>9619</v>
      </c>
    </row>
    <row r="3140" spans="1:22" x14ac:dyDescent="0.35">
      <c r="A3140" s="3">
        <v>175782</v>
      </c>
      <c r="B3140" t="s">
        <v>50</v>
      </c>
      <c r="C3140" t="s">
        <v>17</v>
      </c>
      <c r="D3140">
        <v>953</v>
      </c>
      <c r="E3140">
        <v>319</v>
      </c>
      <c r="F3140">
        <v>455</v>
      </c>
      <c r="G3140">
        <v>1</v>
      </c>
      <c r="H3140">
        <v>15729</v>
      </c>
      <c r="I3140">
        <v>3</v>
      </c>
      <c r="J3140">
        <v>45</v>
      </c>
      <c r="K3140">
        <v>379</v>
      </c>
      <c r="L3140">
        <v>387</v>
      </c>
      <c r="M3140">
        <v>15</v>
      </c>
      <c r="N3140">
        <f>IFERROR(VLOOKUP(A3140,vlookup_table!$A:$G,2,FALSE),"")</f>
        <v>0</v>
      </c>
      <c r="O3140">
        <f>IFERROR(VLOOKUP(A3140,vlookup_table!$A:$G,4,FALSE),"")</f>
        <v>0</v>
      </c>
      <c r="P3140" t="str">
        <f>IFERROR(VLOOKUP(A3140,vlookup_table!$A:$G,5,FALSE),"")</f>
        <v>S2</v>
      </c>
      <c r="Q3140">
        <f>IFERROR(VLOOKUP(A3140,vlookup_table!$A:$G,7,FALSE),"")</f>
        <v>21</v>
      </c>
      <c r="R3140">
        <f t="shared" si="196"/>
        <v>97</v>
      </c>
      <c r="S3140" t="str" cm="1">
        <f t="array" ref="S3140">IF(P3140="","",_xlfn.SWITCH(LEFT(P3140,1),"C","Ciudad","T","Pueblo","R","Rural","S","Suburbano","U","Urbano",""))</f>
        <v>Suburbano</v>
      </c>
      <c r="T3140" t="str">
        <f t="shared" si="197"/>
        <v>F</v>
      </c>
      <c r="U3140" t="str">
        <f t="shared" si="198"/>
        <v>OR</v>
      </c>
      <c r="V3140" t="str">
        <f t="shared" si="199"/>
        <v>15729</v>
      </c>
    </row>
    <row r="3141" spans="1:22" x14ac:dyDescent="0.35">
      <c r="A3141" s="3">
        <v>2691</v>
      </c>
      <c r="B3141" t="s">
        <v>24</v>
      </c>
      <c r="D3141">
        <v>834</v>
      </c>
      <c r="E3141">
        <v>260</v>
      </c>
      <c r="F3141">
        <v>340</v>
      </c>
      <c r="G3141">
        <v>0</v>
      </c>
      <c r="H3141">
        <v>13687</v>
      </c>
      <c r="I3141">
        <v>9</v>
      </c>
      <c r="J3141">
        <v>26</v>
      </c>
      <c r="K3141">
        <v>311</v>
      </c>
      <c r="L3141">
        <v>297</v>
      </c>
      <c r="M3141">
        <v>10.25</v>
      </c>
      <c r="N3141">
        <f>IFERROR(VLOOKUP(A3141,vlookup_table!$A:$G,2,FALSE),"")</f>
        <v>1</v>
      </c>
      <c r="O3141">
        <f>IFERROR(VLOOKUP(A3141,vlookup_table!$A:$G,4,FALSE),"")</f>
        <v>0</v>
      </c>
      <c r="P3141" t="str">
        <f>IFERROR(VLOOKUP(A3141,vlookup_table!$A:$G,5,FALSE),"")</f>
        <v>C2</v>
      </c>
      <c r="Q3141">
        <f>IFERROR(VLOOKUP(A3141,vlookup_table!$A:$G,7,FALSE),"")</f>
        <v>16</v>
      </c>
      <c r="R3141">
        <f t="shared" si="196"/>
        <v>97</v>
      </c>
      <c r="S3141" t="str" cm="1">
        <f t="array" ref="S3141">IF(P3141="","",_xlfn.SWITCH(LEFT(P3141,1),"C","Ciudad","T","Pueblo","R","Rural","S","Suburbano","U","Urbano",""))</f>
        <v>Ciudad</v>
      </c>
      <c r="T3141" t="str">
        <f t="shared" si="197"/>
        <v/>
      </c>
      <c r="U3141" t="str">
        <f t="shared" si="198"/>
        <v>NV</v>
      </c>
      <c r="V3141" t="str">
        <f t="shared" si="199"/>
        <v>13687</v>
      </c>
    </row>
    <row r="3142" spans="1:22" x14ac:dyDescent="0.35">
      <c r="A3142" s="3">
        <v>39031</v>
      </c>
      <c r="B3142" t="s">
        <v>13</v>
      </c>
      <c r="C3142" t="s">
        <v>17</v>
      </c>
      <c r="D3142">
        <v>1200</v>
      </c>
      <c r="E3142">
        <v>537</v>
      </c>
      <c r="F3142">
        <v>643</v>
      </c>
      <c r="G3142">
        <v>4</v>
      </c>
      <c r="H3142">
        <v>22219</v>
      </c>
      <c r="I3142">
        <v>9</v>
      </c>
      <c r="J3142">
        <v>26</v>
      </c>
      <c r="K3142">
        <v>613</v>
      </c>
      <c r="L3142">
        <v>576</v>
      </c>
      <c r="M3142">
        <v>7.8571428570000004</v>
      </c>
      <c r="N3142">
        <f>IFERROR(VLOOKUP(A3142,vlookup_table!$A:$G,2,FALSE),"")</f>
        <v>0</v>
      </c>
      <c r="O3142">
        <f>IFERROR(VLOOKUP(A3142,vlookup_table!$A:$G,4,FALSE),"")</f>
        <v>5401</v>
      </c>
      <c r="P3142" t="str">
        <f>IFERROR(VLOOKUP(A3142,vlookup_table!$A:$G,5,FALSE),"")</f>
        <v>U1</v>
      </c>
      <c r="Q3142">
        <f>IFERROR(VLOOKUP(A3142,vlookup_table!$A:$G,7,FALSE),"")</f>
        <v>15</v>
      </c>
      <c r="R3142">
        <f t="shared" si="196"/>
        <v>43</v>
      </c>
      <c r="S3142" t="str" cm="1">
        <f t="array" ref="S3142">IF(P3142="","",_xlfn.SWITCH(LEFT(P3142,1),"C","Ciudad","T","Pueblo","R","Rural","S","Suburbano","U","Urbano",""))</f>
        <v>Urbano</v>
      </c>
      <c r="T3142" t="str">
        <f t="shared" si="197"/>
        <v>F</v>
      </c>
      <c r="U3142" t="str">
        <f t="shared" si="198"/>
        <v>FL</v>
      </c>
      <c r="V3142" t="str">
        <f t="shared" si="199"/>
        <v>22219</v>
      </c>
    </row>
    <row r="3143" spans="1:22" x14ac:dyDescent="0.35">
      <c r="A3143" s="3">
        <v>94902</v>
      </c>
      <c r="B3143" t="s">
        <v>16</v>
      </c>
      <c r="C3143" t="s">
        <v>14</v>
      </c>
      <c r="D3143">
        <v>1031</v>
      </c>
      <c r="E3143">
        <v>305</v>
      </c>
      <c r="F3143">
        <v>437</v>
      </c>
      <c r="G3143">
        <v>0</v>
      </c>
      <c r="H3143">
        <v>15146</v>
      </c>
      <c r="I3143">
        <v>34</v>
      </c>
      <c r="J3143">
        <v>56</v>
      </c>
      <c r="K3143">
        <v>390</v>
      </c>
      <c r="L3143">
        <v>383</v>
      </c>
      <c r="M3143">
        <v>30</v>
      </c>
      <c r="N3143">
        <f>IFERROR(VLOOKUP(A3143,vlookup_table!$A:$G,2,FALSE),"")</f>
        <v>1</v>
      </c>
      <c r="O3143">
        <f>IFERROR(VLOOKUP(A3143,vlookup_table!$A:$G,4,FALSE),"")</f>
        <v>0</v>
      </c>
      <c r="P3143" t="str">
        <f>IFERROR(VLOOKUP(A3143,vlookup_table!$A:$G,5,FALSE),"")</f>
        <v>U1</v>
      </c>
      <c r="Q3143">
        <f>IFERROR(VLOOKUP(A3143,vlookup_table!$A:$G,7,FALSE),"")</f>
        <v>30</v>
      </c>
      <c r="R3143">
        <f t="shared" si="196"/>
        <v>97</v>
      </c>
      <c r="S3143" t="str" cm="1">
        <f t="array" ref="S3143">IF(P3143="","",_xlfn.SWITCH(LEFT(P3143,1),"C","Ciudad","T","Pueblo","R","Rural","S","Suburbano","U","Urbano",""))</f>
        <v>Urbano</v>
      </c>
      <c r="T3143" t="str">
        <f t="shared" si="197"/>
        <v>M</v>
      </c>
      <c r="U3143" t="str">
        <f t="shared" si="198"/>
        <v>IL</v>
      </c>
      <c r="V3143" t="str">
        <f t="shared" si="199"/>
        <v>15146</v>
      </c>
    </row>
    <row r="3144" spans="1:22" x14ac:dyDescent="0.35">
      <c r="A3144" s="3">
        <v>60104</v>
      </c>
      <c r="B3144" t="s">
        <v>24</v>
      </c>
      <c r="C3144" t="s">
        <v>17</v>
      </c>
      <c r="D3144">
        <v>891</v>
      </c>
      <c r="E3144">
        <v>442</v>
      </c>
      <c r="F3144">
        <v>440</v>
      </c>
      <c r="G3144">
        <v>0</v>
      </c>
      <c r="H3144">
        <v>13070</v>
      </c>
      <c r="I3144">
        <v>3</v>
      </c>
      <c r="J3144">
        <v>18</v>
      </c>
      <c r="K3144">
        <v>446</v>
      </c>
      <c r="L3144">
        <v>439</v>
      </c>
      <c r="M3144">
        <v>8.7142857140000007</v>
      </c>
      <c r="N3144">
        <f>IFERROR(VLOOKUP(A3144,vlookup_table!$A:$G,2,FALSE),"")</f>
        <v>28</v>
      </c>
      <c r="O3144">
        <f>IFERROR(VLOOKUP(A3144,vlookup_table!$A:$G,4,FALSE),"")</f>
        <v>0</v>
      </c>
      <c r="P3144" t="str">
        <f>IFERROR(VLOOKUP(A3144,vlookup_table!$A:$G,5,FALSE),"")</f>
        <v>S2</v>
      </c>
      <c r="Q3144">
        <f>IFERROR(VLOOKUP(A3144,vlookup_table!$A:$G,7,FALSE),"")</f>
        <v>5</v>
      </c>
      <c r="R3144">
        <f t="shared" si="196"/>
        <v>97</v>
      </c>
      <c r="S3144" t="str" cm="1">
        <f t="array" ref="S3144">IF(P3144="","",_xlfn.SWITCH(LEFT(P3144,1),"C","Ciudad","T","Pueblo","R","Rural","S","Suburbano","U","Urbano",""))</f>
        <v>Suburbano</v>
      </c>
      <c r="T3144" t="str">
        <f t="shared" si="197"/>
        <v>F</v>
      </c>
      <c r="U3144" t="str">
        <f t="shared" si="198"/>
        <v>NV</v>
      </c>
      <c r="V3144" t="str">
        <f t="shared" si="199"/>
        <v>13070</v>
      </c>
    </row>
    <row r="3145" spans="1:22" x14ac:dyDescent="0.35">
      <c r="A3145" s="3">
        <v>163843</v>
      </c>
      <c r="B3145" t="s">
        <v>22</v>
      </c>
      <c r="C3145" t="s">
        <v>14</v>
      </c>
      <c r="D3145">
        <v>3543</v>
      </c>
      <c r="E3145">
        <v>484</v>
      </c>
      <c r="F3145">
        <v>624</v>
      </c>
      <c r="G3145">
        <v>92</v>
      </c>
      <c r="H3145">
        <v>21140</v>
      </c>
      <c r="I3145">
        <v>28</v>
      </c>
      <c r="J3145">
        <v>44</v>
      </c>
      <c r="K3145">
        <v>575</v>
      </c>
      <c r="L3145">
        <v>556</v>
      </c>
      <c r="M3145">
        <v>10.6</v>
      </c>
      <c r="N3145">
        <f>IFERROR(VLOOKUP(A3145,vlookup_table!$A:$G,2,FALSE),"")</f>
        <v>1</v>
      </c>
      <c r="O3145">
        <f>IFERROR(VLOOKUP(A3145,vlookup_table!$A:$G,4,FALSE),"")</f>
        <v>4609</v>
      </c>
      <c r="P3145" t="str">
        <f>IFERROR(VLOOKUP(A3145,vlookup_table!$A:$G,5,FALSE),"")</f>
        <v>S1</v>
      </c>
      <c r="Q3145">
        <f>IFERROR(VLOOKUP(A3145,vlookup_table!$A:$G,7,FALSE),"")</f>
        <v>16</v>
      </c>
      <c r="R3145">
        <f t="shared" si="196"/>
        <v>51</v>
      </c>
      <c r="S3145" t="str" cm="1">
        <f t="array" ref="S3145">IF(P3145="","",_xlfn.SWITCH(LEFT(P3145,1),"C","Ciudad","T","Pueblo","R","Rural","S","Suburbano","U","Urbano",""))</f>
        <v>Suburbano</v>
      </c>
      <c r="T3145" t="str">
        <f t="shared" si="197"/>
        <v>M</v>
      </c>
      <c r="U3145" t="str">
        <f t="shared" si="198"/>
        <v>CA</v>
      </c>
      <c r="V3145" t="str">
        <f t="shared" si="199"/>
        <v>21140</v>
      </c>
    </row>
    <row r="3146" spans="1:22" x14ac:dyDescent="0.35">
      <c r="A3146" s="3">
        <v>8768</v>
      </c>
      <c r="B3146" t="s">
        <v>22</v>
      </c>
      <c r="C3146" t="s">
        <v>14</v>
      </c>
      <c r="D3146">
        <v>1547</v>
      </c>
      <c r="E3146">
        <v>516</v>
      </c>
      <c r="F3146">
        <v>526</v>
      </c>
      <c r="G3146">
        <v>16</v>
      </c>
      <c r="H3146">
        <v>13896</v>
      </c>
      <c r="I3146">
        <v>15</v>
      </c>
      <c r="J3146">
        <v>60</v>
      </c>
      <c r="K3146">
        <v>522</v>
      </c>
      <c r="L3146">
        <v>529</v>
      </c>
      <c r="M3146">
        <v>12.6</v>
      </c>
      <c r="N3146">
        <f>IFERROR(VLOOKUP(A3146,vlookup_table!$A:$G,2,FALSE),"")</f>
        <v>2</v>
      </c>
      <c r="O3146">
        <f>IFERROR(VLOOKUP(A3146,vlookup_table!$A:$G,4,FALSE),"")</f>
        <v>1901</v>
      </c>
      <c r="P3146">
        <f>IFERROR(VLOOKUP(A3146,vlookup_table!$A:$G,5,FALSE),"")</f>
        <v>0</v>
      </c>
      <c r="Q3146">
        <f>IFERROR(VLOOKUP(A3146,vlookup_table!$A:$G,7,FALSE),"")</f>
        <v>15</v>
      </c>
      <c r="R3146">
        <f t="shared" si="196"/>
        <v>78</v>
      </c>
      <c r="S3146" t="str" cm="1">
        <f t="array" ref="S3146">IF(P3146="","",_xlfn.SWITCH(LEFT(P3146,1),"C","Ciudad","T","Pueblo","R","Rural","S","Suburbano","U","Urbano",""))</f>
        <v/>
      </c>
      <c r="T3146" t="str">
        <f t="shared" si="197"/>
        <v>M</v>
      </c>
      <c r="U3146" t="str">
        <f t="shared" si="198"/>
        <v>CA</v>
      </c>
      <c r="V3146" t="str">
        <f t="shared" si="199"/>
        <v>13896</v>
      </c>
    </row>
    <row r="3147" spans="1:22" x14ac:dyDescent="0.35">
      <c r="A3147" s="3">
        <v>190626</v>
      </c>
      <c r="B3147" t="s">
        <v>13</v>
      </c>
      <c r="C3147" t="s">
        <v>14</v>
      </c>
      <c r="D3147">
        <v>768</v>
      </c>
      <c r="E3147">
        <v>174</v>
      </c>
      <c r="F3147">
        <v>249</v>
      </c>
      <c r="G3147">
        <v>7</v>
      </c>
      <c r="H3147">
        <v>7802</v>
      </c>
      <c r="I3147">
        <v>6</v>
      </c>
      <c r="J3147">
        <v>41</v>
      </c>
      <c r="K3147">
        <v>201</v>
      </c>
      <c r="L3147">
        <v>220</v>
      </c>
      <c r="M3147">
        <v>8.7857142859999993</v>
      </c>
      <c r="N3147">
        <f>IFERROR(VLOOKUP(A3147,vlookup_table!$A:$G,2,FALSE),"")</f>
        <v>0</v>
      </c>
      <c r="O3147">
        <f>IFERROR(VLOOKUP(A3147,vlookup_table!$A:$G,4,FALSE),"")</f>
        <v>2904</v>
      </c>
      <c r="P3147" t="str">
        <f>IFERROR(VLOOKUP(A3147,vlookup_table!$A:$G,5,FALSE),"")</f>
        <v>C3</v>
      </c>
      <c r="Q3147">
        <f>IFERROR(VLOOKUP(A3147,vlookup_table!$A:$G,7,FALSE),"")</f>
        <v>10</v>
      </c>
      <c r="R3147">
        <f t="shared" si="196"/>
        <v>68</v>
      </c>
      <c r="S3147" t="str" cm="1">
        <f t="array" ref="S3147">IF(P3147="","",_xlfn.SWITCH(LEFT(P3147,1),"C","Ciudad","T","Pueblo","R","Rural","S","Suburbano","U","Urbano",""))</f>
        <v>Ciudad</v>
      </c>
      <c r="T3147" t="str">
        <f t="shared" si="197"/>
        <v>M</v>
      </c>
      <c r="U3147" t="str">
        <f t="shared" si="198"/>
        <v>FL</v>
      </c>
      <c r="V3147" t="str">
        <f t="shared" si="199"/>
        <v>7802</v>
      </c>
    </row>
    <row r="3148" spans="1:22" x14ac:dyDescent="0.35">
      <c r="A3148" s="3">
        <v>145786</v>
      </c>
      <c r="B3148" t="s">
        <v>22</v>
      </c>
      <c r="C3148" t="s">
        <v>14</v>
      </c>
      <c r="D3148">
        <v>2126</v>
      </c>
      <c r="E3148">
        <v>498</v>
      </c>
      <c r="F3148">
        <v>523</v>
      </c>
      <c r="G3148">
        <v>63</v>
      </c>
      <c r="H3148">
        <v>13783</v>
      </c>
      <c r="I3148">
        <v>7</v>
      </c>
      <c r="J3148">
        <v>61</v>
      </c>
      <c r="K3148">
        <v>510</v>
      </c>
      <c r="L3148">
        <v>489</v>
      </c>
      <c r="M3148">
        <v>7.3</v>
      </c>
      <c r="N3148">
        <f>IFERROR(VLOOKUP(A3148,vlookup_table!$A:$G,2,FALSE),"")</f>
        <v>1</v>
      </c>
      <c r="O3148">
        <f>IFERROR(VLOOKUP(A3148,vlookup_table!$A:$G,4,FALSE),"")</f>
        <v>1904</v>
      </c>
      <c r="P3148" t="str">
        <f>IFERROR(VLOOKUP(A3148,vlookup_table!$A:$G,5,FALSE),"")</f>
        <v>U2</v>
      </c>
      <c r="Q3148">
        <f>IFERROR(VLOOKUP(A3148,vlookup_table!$A:$G,7,FALSE),"")</f>
        <v>20</v>
      </c>
      <c r="R3148">
        <f t="shared" si="196"/>
        <v>78</v>
      </c>
      <c r="S3148" t="str" cm="1">
        <f t="array" ref="S3148">IF(P3148="","",_xlfn.SWITCH(LEFT(P3148,1),"C","Ciudad","T","Pueblo","R","Rural","S","Suburbano","U","Urbano",""))</f>
        <v>Urbano</v>
      </c>
      <c r="T3148" t="str">
        <f t="shared" si="197"/>
        <v>M</v>
      </c>
      <c r="U3148" t="str">
        <f t="shared" si="198"/>
        <v>CA</v>
      </c>
      <c r="V3148" t="str">
        <f t="shared" si="199"/>
        <v>13783</v>
      </c>
    </row>
    <row r="3149" spans="1:22" x14ac:dyDescent="0.35">
      <c r="A3149" s="3">
        <v>1927</v>
      </c>
      <c r="B3149" t="s">
        <v>40</v>
      </c>
      <c r="C3149" t="s">
        <v>17</v>
      </c>
      <c r="D3149">
        <v>1133</v>
      </c>
      <c r="E3149">
        <v>615</v>
      </c>
      <c r="F3149">
        <v>681</v>
      </c>
      <c r="G3149">
        <v>6</v>
      </c>
      <c r="H3149">
        <v>22163</v>
      </c>
      <c r="I3149">
        <v>3</v>
      </c>
      <c r="J3149">
        <v>36</v>
      </c>
      <c r="K3149">
        <v>626</v>
      </c>
      <c r="L3149">
        <v>651</v>
      </c>
      <c r="M3149">
        <v>13.33333333</v>
      </c>
      <c r="N3149">
        <f>IFERROR(VLOOKUP(A3149,vlookup_table!$A:$G,2,FALSE),"")</f>
        <v>0</v>
      </c>
      <c r="O3149">
        <f>IFERROR(VLOOKUP(A3149,vlookup_table!$A:$G,4,FALSE),"")</f>
        <v>5801</v>
      </c>
      <c r="P3149" t="str">
        <f>IFERROR(VLOOKUP(A3149,vlookup_table!$A:$G,5,FALSE),"")</f>
        <v>T1</v>
      </c>
      <c r="Q3149">
        <f>IFERROR(VLOOKUP(A3149,vlookup_table!$A:$G,7,FALSE),"")</f>
        <v>15</v>
      </c>
      <c r="R3149">
        <f t="shared" si="196"/>
        <v>39</v>
      </c>
      <c r="S3149" t="str" cm="1">
        <f t="array" ref="S3149">IF(P3149="","",_xlfn.SWITCH(LEFT(P3149,1),"C","Ciudad","T","Pueblo","R","Rural","S","Suburbano","U","Urbano",""))</f>
        <v>Pueblo</v>
      </c>
      <c r="T3149" t="str">
        <f t="shared" si="197"/>
        <v>F</v>
      </c>
      <c r="U3149" t="str">
        <f t="shared" si="198"/>
        <v>WA</v>
      </c>
      <c r="V3149" t="str">
        <f t="shared" si="199"/>
        <v>22163</v>
      </c>
    </row>
    <row r="3150" spans="1:22" x14ac:dyDescent="0.35">
      <c r="A3150" s="3">
        <v>157100</v>
      </c>
      <c r="B3150" t="s">
        <v>22</v>
      </c>
      <c r="C3150" t="s">
        <v>17</v>
      </c>
      <c r="D3150">
        <v>2556</v>
      </c>
      <c r="E3150">
        <v>490</v>
      </c>
      <c r="F3150">
        <v>744</v>
      </c>
      <c r="G3150">
        <v>88</v>
      </c>
      <c r="H3150">
        <v>40178</v>
      </c>
      <c r="I3150">
        <v>14</v>
      </c>
      <c r="J3150">
        <v>27</v>
      </c>
      <c r="K3150">
        <v>670</v>
      </c>
      <c r="L3150">
        <v>610</v>
      </c>
      <c r="M3150">
        <v>17.272727270000001</v>
      </c>
      <c r="N3150">
        <f>IFERROR(VLOOKUP(A3150,vlookup_table!$A:$G,2,FALSE),"")</f>
        <v>0</v>
      </c>
      <c r="O3150">
        <f>IFERROR(VLOOKUP(A3150,vlookup_table!$A:$G,4,FALSE),"")</f>
        <v>4703</v>
      </c>
      <c r="P3150" t="str">
        <f>IFERROR(VLOOKUP(A3150,vlookup_table!$A:$G,5,FALSE),"")</f>
        <v>T1</v>
      </c>
      <c r="Q3150">
        <f>IFERROR(VLOOKUP(A3150,vlookup_table!$A:$G,7,FALSE),"")</f>
        <v>27</v>
      </c>
      <c r="R3150">
        <f t="shared" si="196"/>
        <v>50</v>
      </c>
      <c r="S3150" t="str" cm="1">
        <f t="array" ref="S3150">IF(P3150="","",_xlfn.SWITCH(LEFT(P3150,1),"C","Ciudad","T","Pueblo","R","Rural","S","Suburbano","U","Urbano",""))</f>
        <v>Pueblo</v>
      </c>
      <c r="T3150" t="str">
        <f t="shared" si="197"/>
        <v>F</v>
      </c>
      <c r="U3150" t="str">
        <f t="shared" si="198"/>
        <v>CA</v>
      </c>
      <c r="V3150" t="str">
        <f t="shared" si="199"/>
        <v>40178</v>
      </c>
    </row>
    <row r="3151" spans="1:22" x14ac:dyDescent="0.35">
      <c r="A3151" s="3">
        <v>166870</v>
      </c>
      <c r="B3151" t="s">
        <v>22</v>
      </c>
      <c r="C3151" t="s">
        <v>17</v>
      </c>
      <c r="D3151">
        <v>3700</v>
      </c>
      <c r="E3151">
        <v>444</v>
      </c>
      <c r="F3151">
        <v>667</v>
      </c>
      <c r="G3151">
        <v>91</v>
      </c>
      <c r="H3151">
        <v>31003</v>
      </c>
      <c r="I3151">
        <v>14</v>
      </c>
      <c r="J3151">
        <v>58</v>
      </c>
      <c r="K3151">
        <v>583</v>
      </c>
      <c r="L3151">
        <v>559</v>
      </c>
      <c r="M3151">
        <v>12.5</v>
      </c>
      <c r="N3151">
        <f>IFERROR(VLOOKUP(A3151,vlookup_table!$A:$G,2,FALSE),"")</f>
        <v>28</v>
      </c>
      <c r="O3151">
        <f>IFERROR(VLOOKUP(A3151,vlookup_table!$A:$G,4,FALSE),"")</f>
        <v>0</v>
      </c>
      <c r="P3151" t="str">
        <f>IFERROR(VLOOKUP(A3151,vlookup_table!$A:$G,5,FALSE),"")</f>
        <v>S1</v>
      </c>
      <c r="Q3151">
        <f>IFERROR(VLOOKUP(A3151,vlookup_table!$A:$G,7,FALSE),"")</f>
        <v>14</v>
      </c>
      <c r="R3151">
        <f t="shared" si="196"/>
        <v>97</v>
      </c>
      <c r="S3151" t="str" cm="1">
        <f t="array" ref="S3151">IF(P3151="","",_xlfn.SWITCH(LEFT(P3151,1),"C","Ciudad","T","Pueblo","R","Rural","S","Suburbano","U","Urbano",""))</f>
        <v>Suburbano</v>
      </c>
      <c r="T3151" t="str">
        <f t="shared" si="197"/>
        <v>F</v>
      </c>
      <c r="U3151" t="str">
        <f t="shared" si="198"/>
        <v>CA</v>
      </c>
      <c r="V3151" t="str">
        <f t="shared" si="199"/>
        <v>31003</v>
      </c>
    </row>
    <row r="3152" spans="1:22" x14ac:dyDescent="0.35">
      <c r="A3152" s="3">
        <v>108724</v>
      </c>
      <c r="B3152" t="s">
        <v>49</v>
      </c>
      <c r="C3152" t="s">
        <v>14</v>
      </c>
      <c r="D3152">
        <v>565</v>
      </c>
      <c r="E3152">
        <v>259</v>
      </c>
      <c r="F3152">
        <v>339</v>
      </c>
      <c r="G3152">
        <v>4</v>
      </c>
      <c r="H3152">
        <v>11314</v>
      </c>
      <c r="I3152">
        <v>0</v>
      </c>
      <c r="J3152">
        <v>89</v>
      </c>
      <c r="K3152">
        <v>293</v>
      </c>
      <c r="L3152">
        <v>305</v>
      </c>
      <c r="M3152">
        <v>6.846153846</v>
      </c>
      <c r="N3152">
        <f>IFERROR(VLOOKUP(A3152,vlookup_table!$A:$G,2,FALSE),"")</f>
        <v>1002</v>
      </c>
      <c r="O3152">
        <f>IFERROR(VLOOKUP(A3152,vlookup_table!$A:$G,4,FALSE),"")</f>
        <v>4001</v>
      </c>
      <c r="P3152" t="str">
        <f>IFERROR(VLOOKUP(A3152,vlookup_table!$A:$G,5,FALSE),"")</f>
        <v>T2</v>
      </c>
      <c r="Q3152">
        <f>IFERROR(VLOOKUP(A3152,vlookup_table!$A:$G,7,FALSE),"")</f>
        <v>12</v>
      </c>
      <c r="R3152">
        <f t="shared" si="196"/>
        <v>57</v>
      </c>
      <c r="S3152" t="str" cm="1">
        <f t="array" ref="S3152">IF(P3152="","",_xlfn.SWITCH(LEFT(P3152,1),"C","Ciudad","T","Pueblo","R","Rural","S","Suburbano","U","Urbano",""))</f>
        <v>Pueblo</v>
      </c>
      <c r="T3152" t="str">
        <f t="shared" si="197"/>
        <v>M</v>
      </c>
      <c r="U3152" t="str">
        <f t="shared" si="198"/>
        <v>LA</v>
      </c>
      <c r="V3152" t="str">
        <f t="shared" si="199"/>
        <v>11314</v>
      </c>
    </row>
    <row r="3153" spans="1:22" x14ac:dyDescent="0.35">
      <c r="A3153" s="3">
        <v>62400</v>
      </c>
      <c r="B3153" t="s">
        <v>33</v>
      </c>
      <c r="C3153" t="s">
        <v>17</v>
      </c>
      <c r="D3153">
        <v>975</v>
      </c>
      <c r="E3153">
        <v>301</v>
      </c>
      <c r="F3153">
        <v>393</v>
      </c>
      <c r="G3153">
        <v>1</v>
      </c>
      <c r="H3153">
        <v>17572</v>
      </c>
      <c r="I3153">
        <v>4</v>
      </c>
      <c r="J3153">
        <v>51</v>
      </c>
      <c r="K3153">
        <v>366</v>
      </c>
      <c r="L3153">
        <v>322</v>
      </c>
      <c r="M3153">
        <v>3.407407407</v>
      </c>
      <c r="N3153">
        <f>IFERROR(VLOOKUP(A3153,vlookup_table!$A:$G,2,FALSE),"")</f>
        <v>0</v>
      </c>
      <c r="O3153">
        <f>IFERROR(VLOOKUP(A3153,vlookup_table!$A:$G,4,FALSE),"")</f>
        <v>1801</v>
      </c>
      <c r="P3153" t="str">
        <f>IFERROR(VLOOKUP(A3153,vlookup_table!$A:$G,5,FALSE),"")</f>
        <v>S2</v>
      </c>
      <c r="Q3153">
        <f>IFERROR(VLOOKUP(A3153,vlookup_table!$A:$G,7,FALSE),"")</f>
        <v>3</v>
      </c>
      <c r="R3153">
        <f t="shared" si="196"/>
        <v>79</v>
      </c>
      <c r="S3153" t="str" cm="1">
        <f t="array" ref="S3153">IF(P3153="","",_xlfn.SWITCH(LEFT(P3153,1),"C","Ciudad","T","Pueblo","R","Rural","S","Suburbano","U","Urbano",""))</f>
        <v>Suburbano</v>
      </c>
      <c r="T3153" t="str">
        <f t="shared" si="197"/>
        <v>F</v>
      </c>
      <c r="U3153" t="str">
        <f t="shared" si="198"/>
        <v>IN</v>
      </c>
      <c r="V3153" t="str">
        <f t="shared" si="199"/>
        <v>17572</v>
      </c>
    </row>
    <row r="3154" spans="1:22" x14ac:dyDescent="0.35">
      <c r="A3154" s="3">
        <v>19864</v>
      </c>
      <c r="B3154" t="s">
        <v>18</v>
      </c>
      <c r="C3154" t="s">
        <v>14</v>
      </c>
      <c r="D3154">
        <v>632</v>
      </c>
      <c r="E3154">
        <v>343</v>
      </c>
      <c r="F3154">
        <v>340</v>
      </c>
      <c r="G3154">
        <v>0</v>
      </c>
      <c r="H3154">
        <v>10586</v>
      </c>
      <c r="I3154">
        <v>11</v>
      </c>
      <c r="J3154">
        <v>36</v>
      </c>
      <c r="K3154">
        <v>316</v>
      </c>
      <c r="L3154">
        <v>344</v>
      </c>
      <c r="M3154">
        <v>5.2857142860000002</v>
      </c>
      <c r="N3154">
        <f>IFERROR(VLOOKUP(A3154,vlookup_table!$A:$G,2,FALSE),"")</f>
        <v>1</v>
      </c>
      <c r="O3154">
        <f>IFERROR(VLOOKUP(A3154,vlookup_table!$A:$G,4,FALSE),"")</f>
        <v>4001</v>
      </c>
      <c r="P3154" t="str">
        <f>IFERROR(VLOOKUP(A3154,vlookup_table!$A:$G,5,FALSE),"")</f>
        <v>C2</v>
      </c>
      <c r="Q3154">
        <f>IFERROR(VLOOKUP(A3154,vlookup_table!$A:$G,7,FALSE),"")</f>
        <v>5</v>
      </c>
      <c r="R3154">
        <f t="shared" si="196"/>
        <v>57</v>
      </c>
      <c r="S3154" t="str" cm="1">
        <f t="array" ref="S3154">IF(P3154="","",_xlfn.SWITCH(LEFT(P3154,1),"C","Ciudad","T","Pueblo","R","Rural","S","Suburbano","U","Urbano",""))</f>
        <v>Ciudad</v>
      </c>
      <c r="T3154" t="str">
        <f t="shared" si="197"/>
        <v>M</v>
      </c>
      <c r="U3154" t="str">
        <f t="shared" si="198"/>
        <v>NC</v>
      </c>
      <c r="V3154" t="str">
        <f t="shared" si="199"/>
        <v>10586</v>
      </c>
    </row>
    <row r="3155" spans="1:22" x14ac:dyDescent="0.35">
      <c r="A3155" s="3">
        <v>11961</v>
      </c>
      <c r="B3155" t="s">
        <v>22</v>
      </c>
      <c r="C3155" t="s">
        <v>17</v>
      </c>
      <c r="D3155">
        <v>2645</v>
      </c>
      <c r="E3155">
        <v>644</v>
      </c>
      <c r="F3155">
        <v>697</v>
      </c>
      <c r="G3155">
        <v>87</v>
      </c>
      <c r="H3155">
        <v>20782</v>
      </c>
      <c r="I3155">
        <v>26</v>
      </c>
      <c r="J3155">
        <v>46</v>
      </c>
      <c r="K3155">
        <v>655</v>
      </c>
      <c r="L3155">
        <v>682</v>
      </c>
      <c r="M3155">
        <v>21.6</v>
      </c>
      <c r="N3155">
        <f>IFERROR(VLOOKUP(A3155,vlookup_table!$A:$G,2,FALSE),"")</f>
        <v>0</v>
      </c>
      <c r="O3155">
        <f>IFERROR(VLOOKUP(A3155,vlookup_table!$A:$G,4,FALSE),"")</f>
        <v>5801</v>
      </c>
      <c r="P3155" t="str">
        <f>IFERROR(VLOOKUP(A3155,vlookup_table!$A:$G,5,FALSE),"")</f>
        <v>S1</v>
      </c>
      <c r="Q3155">
        <f>IFERROR(VLOOKUP(A3155,vlookup_table!$A:$G,7,FALSE),"")</f>
        <v>25</v>
      </c>
      <c r="R3155">
        <f t="shared" si="196"/>
        <v>39</v>
      </c>
      <c r="S3155" t="str" cm="1">
        <f t="array" ref="S3155">IF(P3155="","",_xlfn.SWITCH(LEFT(P3155,1),"C","Ciudad","T","Pueblo","R","Rural","S","Suburbano","U","Urbano",""))</f>
        <v>Suburbano</v>
      </c>
      <c r="T3155" t="str">
        <f t="shared" si="197"/>
        <v>F</v>
      </c>
      <c r="U3155" t="str">
        <f t="shared" si="198"/>
        <v>CA</v>
      </c>
      <c r="V3155" t="str">
        <f t="shared" si="199"/>
        <v>20782</v>
      </c>
    </row>
    <row r="3156" spans="1:22" x14ac:dyDescent="0.35">
      <c r="A3156" s="3">
        <v>20302</v>
      </c>
      <c r="B3156" t="s">
        <v>18</v>
      </c>
      <c r="C3156" t="s">
        <v>30</v>
      </c>
      <c r="D3156">
        <v>401</v>
      </c>
      <c r="E3156">
        <v>202</v>
      </c>
      <c r="F3156">
        <v>289</v>
      </c>
      <c r="G3156">
        <v>0</v>
      </c>
      <c r="H3156">
        <v>9283</v>
      </c>
      <c r="I3156">
        <v>1</v>
      </c>
      <c r="J3156">
        <v>89</v>
      </c>
      <c r="K3156">
        <v>259</v>
      </c>
      <c r="L3156">
        <v>243</v>
      </c>
      <c r="M3156">
        <v>3.8235294120000001</v>
      </c>
      <c r="N3156">
        <f>IFERROR(VLOOKUP(A3156,vlookup_table!$A:$G,2,FALSE),"")</f>
        <v>0</v>
      </c>
      <c r="O3156">
        <f>IFERROR(VLOOKUP(A3156,vlookup_table!$A:$G,4,FALSE),"")</f>
        <v>0</v>
      </c>
      <c r="P3156" t="str">
        <f>IFERROR(VLOOKUP(A3156,vlookup_table!$A:$G,5,FALSE),"")</f>
        <v>R3</v>
      </c>
      <c r="Q3156">
        <f>IFERROR(VLOOKUP(A3156,vlookup_table!$A:$G,7,FALSE),"")</f>
        <v>1</v>
      </c>
      <c r="R3156">
        <f t="shared" si="196"/>
        <v>97</v>
      </c>
      <c r="S3156" t="str" cm="1">
        <f t="array" ref="S3156">IF(P3156="","",_xlfn.SWITCH(LEFT(P3156,1),"C","Ciudad","T","Pueblo","R","Rural","S","Suburbano","U","Urbano",""))</f>
        <v>Rural</v>
      </c>
      <c r="T3156" t="str">
        <f t="shared" si="197"/>
        <v>U</v>
      </c>
      <c r="U3156" t="str">
        <f t="shared" si="198"/>
        <v>NC</v>
      </c>
      <c r="V3156" t="str">
        <f t="shared" si="199"/>
        <v>9283</v>
      </c>
    </row>
    <row r="3157" spans="1:22" x14ac:dyDescent="0.35">
      <c r="A3157" s="3">
        <v>188190</v>
      </c>
      <c r="B3157" t="s">
        <v>46</v>
      </c>
      <c r="C3157" t="s">
        <v>17</v>
      </c>
      <c r="D3157">
        <v>918</v>
      </c>
      <c r="E3157">
        <v>315</v>
      </c>
      <c r="F3157">
        <v>398</v>
      </c>
      <c r="G3157">
        <v>3</v>
      </c>
      <c r="H3157">
        <v>16983</v>
      </c>
      <c r="I3157">
        <v>1</v>
      </c>
      <c r="J3157">
        <v>26</v>
      </c>
      <c r="K3157">
        <v>335</v>
      </c>
      <c r="L3157">
        <v>349</v>
      </c>
      <c r="M3157">
        <v>5.766666667</v>
      </c>
      <c r="N3157">
        <f>IFERROR(VLOOKUP(A3157,vlookup_table!$A:$G,2,FALSE),"")</f>
        <v>0</v>
      </c>
      <c r="O3157">
        <f>IFERROR(VLOOKUP(A3157,vlookup_table!$A:$G,4,FALSE),"")</f>
        <v>2001</v>
      </c>
      <c r="P3157" t="str">
        <f>IFERROR(VLOOKUP(A3157,vlookup_table!$A:$G,5,FALSE),"")</f>
        <v>T3</v>
      </c>
      <c r="Q3157">
        <f>IFERROR(VLOOKUP(A3157,vlookup_table!$A:$G,7,FALSE),"")</f>
        <v>5</v>
      </c>
      <c r="R3157">
        <f t="shared" si="196"/>
        <v>77</v>
      </c>
      <c r="S3157" t="str" cm="1">
        <f t="array" ref="S3157">IF(P3157="","",_xlfn.SWITCH(LEFT(P3157,1),"C","Ciudad","T","Pueblo","R","Rural","S","Suburbano","U","Urbano",""))</f>
        <v>Pueblo</v>
      </c>
      <c r="T3157" t="str">
        <f t="shared" si="197"/>
        <v>F</v>
      </c>
      <c r="U3157" t="str">
        <f t="shared" si="198"/>
        <v>SC</v>
      </c>
      <c r="V3157" t="str">
        <f t="shared" si="199"/>
        <v>16983</v>
      </c>
    </row>
    <row r="3158" spans="1:22" x14ac:dyDescent="0.35">
      <c r="A3158" s="3">
        <v>174974</v>
      </c>
      <c r="B3158" t="s">
        <v>50</v>
      </c>
      <c r="C3158" t="s">
        <v>14</v>
      </c>
      <c r="D3158">
        <v>515</v>
      </c>
      <c r="E3158">
        <v>203</v>
      </c>
      <c r="F3158">
        <v>301</v>
      </c>
      <c r="G3158">
        <v>1</v>
      </c>
      <c r="H3158">
        <v>11169</v>
      </c>
      <c r="I3158">
        <v>2</v>
      </c>
      <c r="J3158">
        <v>56</v>
      </c>
      <c r="K3158">
        <v>256</v>
      </c>
      <c r="L3158">
        <v>265</v>
      </c>
      <c r="M3158">
        <v>7.2727272730000001</v>
      </c>
      <c r="N3158">
        <f>IFERROR(VLOOKUP(A3158,vlookup_table!$A:$G,2,FALSE),"")</f>
        <v>0</v>
      </c>
      <c r="O3158">
        <f>IFERROR(VLOOKUP(A3158,vlookup_table!$A:$G,4,FALSE),"")</f>
        <v>2603</v>
      </c>
      <c r="P3158" t="str">
        <f>IFERROR(VLOOKUP(A3158,vlookup_table!$A:$G,5,FALSE),"")</f>
        <v>R2</v>
      </c>
      <c r="Q3158">
        <f>IFERROR(VLOOKUP(A3158,vlookup_table!$A:$G,7,FALSE),"")</f>
        <v>10</v>
      </c>
      <c r="R3158">
        <f t="shared" si="196"/>
        <v>71</v>
      </c>
      <c r="S3158" t="str" cm="1">
        <f t="array" ref="S3158">IF(P3158="","",_xlfn.SWITCH(LEFT(P3158,1),"C","Ciudad","T","Pueblo","R","Rural","S","Suburbano","U","Urbano",""))</f>
        <v>Rural</v>
      </c>
      <c r="T3158" t="str">
        <f t="shared" si="197"/>
        <v>M</v>
      </c>
      <c r="U3158" t="str">
        <f t="shared" si="198"/>
        <v>OR</v>
      </c>
      <c r="V3158" t="str">
        <f t="shared" si="199"/>
        <v>11169</v>
      </c>
    </row>
    <row r="3159" spans="1:22" x14ac:dyDescent="0.35">
      <c r="A3159" s="3">
        <v>97315</v>
      </c>
      <c r="B3159" t="s">
        <v>16</v>
      </c>
      <c r="C3159" t="s">
        <v>14</v>
      </c>
      <c r="D3159">
        <v>875</v>
      </c>
      <c r="E3159">
        <v>221</v>
      </c>
      <c r="F3159">
        <v>241</v>
      </c>
      <c r="G3159">
        <v>0</v>
      </c>
      <c r="H3159">
        <v>8941</v>
      </c>
      <c r="I3159">
        <v>0</v>
      </c>
      <c r="J3159">
        <v>79</v>
      </c>
      <c r="K3159">
        <v>218</v>
      </c>
      <c r="L3159">
        <v>243</v>
      </c>
      <c r="M3159">
        <v>7.6</v>
      </c>
      <c r="N3159">
        <f>IFERROR(VLOOKUP(A3159,vlookup_table!$A:$G,2,FALSE),"")</f>
        <v>1</v>
      </c>
      <c r="O3159">
        <f>IFERROR(VLOOKUP(A3159,vlookup_table!$A:$G,4,FALSE),"")</f>
        <v>2801</v>
      </c>
      <c r="P3159" t="str">
        <f>IFERROR(VLOOKUP(A3159,vlookup_table!$A:$G,5,FALSE),"")</f>
        <v>C3</v>
      </c>
      <c r="Q3159">
        <f>IFERROR(VLOOKUP(A3159,vlookup_table!$A:$G,7,FALSE),"")</f>
        <v>14</v>
      </c>
      <c r="R3159">
        <f t="shared" si="196"/>
        <v>69</v>
      </c>
      <c r="S3159" t="str" cm="1">
        <f t="array" ref="S3159">IF(P3159="","",_xlfn.SWITCH(LEFT(P3159,1),"C","Ciudad","T","Pueblo","R","Rural","S","Suburbano","U","Urbano",""))</f>
        <v>Ciudad</v>
      </c>
      <c r="T3159" t="str">
        <f t="shared" si="197"/>
        <v>M</v>
      </c>
      <c r="U3159" t="str">
        <f t="shared" si="198"/>
        <v>IL</v>
      </c>
      <c r="V3159" t="str">
        <f t="shared" si="199"/>
        <v>8941</v>
      </c>
    </row>
    <row r="3160" spans="1:22" x14ac:dyDescent="0.35">
      <c r="A3160" s="3">
        <v>111981</v>
      </c>
      <c r="B3160" t="s">
        <v>32</v>
      </c>
      <c r="C3160" t="s">
        <v>60</v>
      </c>
      <c r="D3160">
        <v>439</v>
      </c>
      <c r="E3160">
        <v>192</v>
      </c>
      <c r="F3160">
        <v>249</v>
      </c>
      <c r="G3160">
        <v>0</v>
      </c>
      <c r="H3160">
        <v>10106</v>
      </c>
      <c r="I3160">
        <v>1</v>
      </c>
      <c r="J3160">
        <v>31</v>
      </c>
      <c r="K3160">
        <v>226</v>
      </c>
      <c r="L3160">
        <v>217</v>
      </c>
      <c r="M3160">
        <v>8</v>
      </c>
      <c r="N3160">
        <f>IFERROR(VLOOKUP(A3160,vlookup_table!$A:$G,2,FALSE),"")</f>
        <v>2</v>
      </c>
      <c r="O3160">
        <f>IFERROR(VLOOKUP(A3160,vlookup_table!$A:$G,4,FALSE),"")</f>
        <v>0</v>
      </c>
      <c r="P3160" t="str">
        <f>IFERROR(VLOOKUP(A3160,vlookup_table!$A:$G,5,FALSE),"")</f>
        <v>R2</v>
      </c>
      <c r="Q3160">
        <f>IFERROR(VLOOKUP(A3160,vlookup_table!$A:$G,7,FALSE),"")</f>
        <v>20</v>
      </c>
      <c r="R3160">
        <f t="shared" si="196"/>
        <v>97</v>
      </c>
      <c r="S3160" t="str" cm="1">
        <f t="array" ref="S3160">IF(P3160="","",_xlfn.SWITCH(LEFT(P3160,1),"C","Ciudad","T","Pueblo","R","Rural","S","Suburbano","U","Urbano",""))</f>
        <v>Rural</v>
      </c>
      <c r="T3160" t="str">
        <f t="shared" si="197"/>
        <v>F</v>
      </c>
      <c r="U3160" t="str">
        <f t="shared" si="198"/>
        <v>AR</v>
      </c>
      <c r="V3160" t="str">
        <f t="shared" si="199"/>
        <v>10106</v>
      </c>
    </row>
    <row r="3161" spans="1:22" x14ac:dyDescent="0.35">
      <c r="A3161" s="3">
        <v>118361</v>
      </c>
      <c r="B3161" t="s">
        <v>21</v>
      </c>
      <c r="C3161" t="s">
        <v>17</v>
      </c>
      <c r="D3161">
        <v>962</v>
      </c>
      <c r="E3161">
        <v>389</v>
      </c>
      <c r="F3161">
        <v>409</v>
      </c>
      <c r="G3161">
        <v>3</v>
      </c>
      <c r="H3161">
        <v>15980</v>
      </c>
      <c r="I3161">
        <v>0</v>
      </c>
      <c r="J3161">
        <v>45</v>
      </c>
      <c r="K3161">
        <v>369</v>
      </c>
      <c r="L3161">
        <v>415</v>
      </c>
      <c r="M3161">
        <v>9.2777777780000008</v>
      </c>
      <c r="N3161">
        <f>IFERROR(VLOOKUP(A3161,vlookup_table!$A:$G,2,FALSE),"")</f>
        <v>2</v>
      </c>
      <c r="O3161">
        <f>IFERROR(VLOOKUP(A3161,vlookup_table!$A:$G,4,FALSE),"")</f>
        <v>2209</v>
      </c>
      <c r="P3161" t="str">
        <f>IFERROR(VLOOKUP(A3161,vlookup_table!$A:$G,5,FALSE),"")</f>
        <v>R1</v>
      </c>
      <c r="Q3161">
        <f>IFERROR(VLOOKUP(A3161,vlookup_table!$A:$G,7,FALSE),"")</f>
        <v>10</v>
      </c>
      <c r="R3161">
        <f t="shared" si="196"/>
        <v>75</v>
      </c>
      <c r="S3161" t="str" cm="1">
        <f t="array" ref="S3161">IF(P3161="","",_xlfn.SWITCH(LEFT(P3161,1),"C","Ciudad","T","Pueblo","R","Rural","S","Suburbano","U","Urbano",""))</f>
        <v>Rural</v>
      </c>
      <c r="T3161" t="str">
        <f t="shared" si="197"/>
        <v>F</v>
      </c>
      <c r="U3161" t="str">
        <f t="shared" si="198"/>
        <v>TX</v>
      </c>
      <c r="V3161" t="str">
        <f t="shared" si="199"/>
        <v>15980</v>
      </c>
    </row>
    <row r="3162" spans="1:22" x14ac:dyDescent="0.35">
      <c r="A3162" s="3">
        <v>131434</v>
      </c>
      <c r="B3162" t="s">
        <v>48</v>
      </c>
      <c r="C3162" t="s">
        <v>17</v>
      </c>
      <c r="D3162">
        <v>862</v>
      </c>
      <c r="E3162">
        <v>247</v>
      </c>
      <c r="F3162">
        <v>316</v>
      </c>
      <c r="G3162">
        <v>1</v>
      </c>
      <c r="H3162">
        <v>11640</v>
      </c>
      <c r="I3162">
        <v>5</v>
      </c>
      <c r="J3162">
        <v>25</v>
      </c>
      <c r="K3162">
        <v>301</v>
      </c>
      <c r="L3162">
        <v>283</v>
      </c>
      <c r="M3162">
        <v>20</v>
      </c>
      <c r="N3162">
        <f>IFERROR(VLOOKUP(A3162,vlookup_table!$A:$G,2,FALSE),"")</f>
        <v>0</v>
      </c>
      <c r="O3162">
        <f>IFERROR(VLOOKUP(A3162,vlookup_table!$A:$G,4,FALSE),"")</f>
        <v>2601</v>
      </c>
      <c r="P3162" t="str">
        <f>IFERROR(VLOOKUP(A3162,vlookup_table!$A:$G,5,FALSE),"")</f>
        <v>R1</v>
      </c>
      <c r="Q3162">
        <f>IFERROR(VLOOKUP(A3162,vlookup_table!$A:$G,7,FALSE),"")</f>
        <v>20</v>
      </c>
      <c r="R3162">
        <f t="shared" si="196"/>
        <v>71</v>
      </c>
      <c r="S3162" t="str" cm="1">
        <f t="array" ref="S3162">IF(P3162="","",_xlfn.SWITCH(LEFT(P3162,1),"C","Ciudad","T","Pueblo","R","Rural","S","Suburbano","U","Urbano",""))</f>
        <v>Rural</v>
      </c>
      <c r="T3162" t="str">
        <f t="shared" si="197"/>
        <v>F</v>
      </c>
      <c r="U3162" t="str">
        <f t="shared" si="198"/>
        <v>CO</v>
      </c>
      <c r="V3162" t="str">
        <f t="shared" si="199"/>
        <v>11640</v>
      </c>
    </row>
    <row r="3163" spans="1:22" x14ac:dyDescent="0.35">
      <c r="A3163" s="3">
        <v>55503</v>
      </c>
      <c r="B3163" t="s">
        <v>62</v>
      </c>
      <c r="C3163" t="s">
        <v>14</v>
      </c>
      <c r="D3163">
        <v>506</v>
      </c>
      <c r="E3163">
        <v>155</v>
      </c>
      <c r="F3163">
        <v>289</v>
      </c>
      <c r="G3163">
        <v>1</v>
      </c>
      <c r="H3163">
        <v>7983</v>
      </c>
      <c r="I3163">
        <v>0</v>
      </c>
      <c r="J3163">
        <v>84</v>
      </c>
      <c r="K3163">
        <v>245</v>
      </c>
      <c r="L3163">
        <v>231</v>
      </c>
      <c r="M3163">
        <v>8.4</v>
      </c>
      <c r="N3163">
        <f>IFERROR(VLOOKUP(A3163,vlookup_table!$A:$G,2,FALSE),"")</f>
        <v>0</v>
      </c>
      <c r="O3163">
        <f>IFERROR(VLOOKUP(A3163,vlookup_table!$A:$G,4,FALSE),"")</f>
        <v>1401</v>
      </c>
      <c r="P3163" t="str">
        <f>IFERROR(VLOOKUP(A3163,vlookup_table!$A:$G,5,FALSE),"")</f>
        <v>R2</v>
      </c>
      <c r="Q3163">
        <f>IFERROR(VLOOKUP(A3163,vlookup_table!$A:$G,7,FALSE),"")</f>
        <v>10</v>
      </c>
      <c r="R3163">
        <f t="shared" si="196"/>
        <v>83</v>
      </c>
      <c r="S3163" t="str" cm="1">
        <f t="array" ref="S3163">IF(P3163="","",_xlfn.SWITCH(LEFT(P3163,1),"C","Ciudad","T","Pueblo","R","Rural","S","Suburbano","U","Urbano",""))</f>
        <v>Rural</v>
      </c>
      <c r="T3163" t="str">
        <f t="shared" si="197"/>
        <v>M</v>
      </c>
      <c r="U3163" t="str">
        <f t="shared" si="198"/>
        <v>MS</v>
      </c>
      <c r="V3163" t="str">
        <f t="shared" si="199"/>
        <v>7983</v>
      </c>
    </row>
    <row r="3164" spans="1:22" x14ac:dyDescent="0.35">
      <c r="A3164" s="3">
        <v>106862</v>
      </c>
      <c r="B3164" t="s">
        <v>59</v>
      </c>
      <c r="C3164" t="s">
        <v>17</v>
      </c>
      <c r="D3164">
        <v>600</v>
      </c>
      <c r="E3164">
        <v>362</v>
      </c>
      <c r="F3164">
        <v>426</v>
      </c>
      <c r="G3164">
        <v>1</v>
      </c>
      <c r="H3164">
        <v>13652</v>
      </c>
      <c r="I3164">
        <v>1</v>
      </c>
      <c r="J3164">
        <v>62</v>
      </c>
      <c r="K3164">
        <v>377</v>
      </c>
      <c r="L3164">
        <v>392</v>
      </c>
      <c r="M3164">
        <v>3.7619047619999999</v>
      </c>
      <c r="N3164">
        <f>IFERROR(VLOOKUP(A3164,vlookup_table!$A:$G,2,FALSE),"")</f>
        <v>0</v>
      </c>
      <c r="O3164">
        <f>IFERROR(VLOOKUP(A3164,vlookup_table!$A:$G,4,FALSE),"")</f>
        <v>5101</v>
      </c>
      <c r="P3164" t="str">
        <f>IFERROR(VLOOKUP(A3164,vlookup_table!$A:$G,5,FALSE),"")</f>
        <v>S2</v>
      </c>
      <c r="Q3164">
        <f>IFERROR(VLOOKUP(A3164,vlookup_table!$A:$G,7,FALSE),"")</f>
        <v>10</v>
      </c>
      <c r="R3164">
        <f t="shared" si="196"/>
        <v>46</v>
      </c>
      <c r="S3164" t="str" cm="1">
        <f t="array" ref="S3164">IF(P3164="","",_xlfn.SWITCH(LEFT(P3164,1),"C","Ciudad","T","Pueblo","R","Rural","S","Suburbano","U","Urbano",""))</f>
        <v>Suburbano</v>
      </c>
      <c r="T3164" t="str">
        <f t="shared" si="197"/>
        <v>F</v>
      </c>
      <c r="U3164" t="str">
        <f t="shared" si="198"/>
        <v>NE</v>
      </c>
      <c r="V3164" t="str">
        <f t="shared" si="199"/>
        <v>13652</v>
      </c>
    </row>
    <row r="3165" spans="1:22" x14ac:dyDescent="0.35">
      <c r="A3165" s="3">
        <v>119315</v>
      </c>
      <c r="B3165" t="s">
        <v>21</v>
      </c>
      <c r="C3165" t="s">
        <v>17</v>
      </c>
      <c r="D3165">
        <v>345</v>
      </c>
      <c r="E3165">
        <v>202</v>
      </c>
      <c r="F3165">
        <v>209</v>
      </c>
      <c r="G3165">
        <v>0</v>
      </c>
      <c r="H3165">
        <v>5623</v>
      </c>
      <c r="I3165">
        <v>28</v>
      </c>
      <c r="J3165">
        <v>62</v>
      </c>
      <c r="K3165">
        <v>206</v>
      </c>
      <c r="L3165">
        <v>208</v>
      </c>
      <c r="M3165">
        <v>8.8333333330000006</v>
      </c>
      <c r="N3165">
        <f>IFERROR(VLOOKUP(A3165,vlookup_table!$A:$G,2,FALSE),"")</f>
        <v>0</v>
      </c>
      <c r="O3165">
        <f>IFERROR(VLOOKUP(A3165,vlookup_table!$A:$G,4,FALSE),"")</f>
        <v>7301</v>
      </c>
      <c r="P3165" t="str">
        <f>IFERROR(VLOOKUP(A3165,vlookup_table!$A:$G,5,FALSE),"")</f>
        <v>C3</v>
      </c>
      <c r="Q3165">
        <f>IFERROR(VLOOKUP(A3165,vlookup_table!$A:$G,7,FALSE),"")</f>
        <v>13</v>
      </c>
      <c r="R3165">
        <f t="shared" si="196"/>
        <v>24</v>
      </c>
      <c r="S3165" t="str" cm="1">
        <f t="array" ref="S3165">IF(P3165="","",_xlfn.SWITCH(LEFT(P3165,1),"C","Ciudad","T","Pueblo","R","Rural","S","Suburbano","U","Urbano",""))</f>
        <v>Ciudad</v>
      </c>
      <c r="T3165" t="str">
        <f t="shared" si="197"/>
        <v>F</v>
      </c>
      <c r="U3165" t="str">
        <f t="shared" si="198"/>
        <v>TX</v>
      </c>
      <c r="V3165" t="str">
        <f t="shared" si="199"/>
        <v>5623</v>
      </c>
    </row>
    <row r="3166" spans="1:22" x14ac:dyDescent="0.35">
      <c r="A3166" s="3">
        <v>27010</v>
      </c>
      <c r="B3166" t="s">
        <v>39</v>
      </c>
      <c r="C3166" t="s">
        <v>30</v>
      </c>
      <c r="D3166">
        <v>952</v>
      </c>
      <c r="E3166">
        <v>468</v>
      </c>
      <c r="F3166">
        <v>565</v>
      </c>
      <c r="G3166">
        <v>1</v>
      </c>
      <c r="H3166">
        <v>18812</v>
      </c>
      <c r="I3166">
        <v>2</v>
      </c>
      <c r="J3166">
        <v>46</v>
      </c>
      <c r="K3166">
        <v>521</v>
      </c>
      <c r="L3166">
        <v>526</v>
      </c>
      <c r="M3166">
        <v>10.375</v>
      </c>
      <c r="N3166">
        <f>IFERROR(VLOOKUP(A3166,vlookup_table!$A:$G,2,FALSE),"")</f>
        <v>0</v>
      </c>
      <c r="O3166">
        <f>IFERROR(VLOOKUP(A3166,vlookup_table!$A:$G,4,FALSE),"")</f>
        <v>0</v>
      </c>
      <c r="P3166" t="str">
        <f>IFERROR(VLOOKUP(A3166,vlookup_table!$A:$G,5,FALSE),"")</f>
        <v>T2</v>
      </c>
      <c r="Q3166">
        <f>IFERROR(VLOOKUP(A3166,vlookup_table!$A:$G,7,FALSE),"")</f>
        <v>16</v>
      </c>
      <c r="R3166">
        <f t="shared" si="196"/>
        <v>97</v>
      </c>
      <c r="S3166" t="str" cm="1">
        <f t="array" ref="S3166">IF(P3166="","",_xlfn.SWITCH(LEFT(P3166,1),"C","Ciudad","T","Pueblo","R","Rural","S","Suburbano","U","Urbano",""))</f>
        <v>Pueblo</v>
      </c>
      <c r="T3166" t="str">
        <f t="shared" si="197"/>
        <v>U</v>
      </c>
      <c r="U3166" t="str">
        <f t="shared" si="198"/>
        <v>GA</v>
      </c>
      <c r="V3166" t="str">
        <f t="shared" si="199"/>
        <v>18812</v>
      </c>
    </row>
    <row r="3167" spans="1:22" x14ac:dyDescent="0.35">
      <c r="A3167" s="3">
        <v>186448</v>
      </c>
      <c r="B3167" t="s">
        <v>22</v>
      </c>
      <c r="C3167" t="s">
        <v>14</v>
      </c>
      <c r="D3167">
        <v>5725</v>
      </c>
      <c r="E3167">
        <v>610</v>
      </c>
      <c r="F3167">
        <v>807</v>
      </c>
      <c r="G3167">
        <v>97</v>
      </c>
      <c r="H3167">
        <v>53158</v>
      </c>
      <c r="I3167">
        <v>13</v>
      </c>
      <c r="J3167">
        <v>22</v>
      </c>
      <c r="K3167">
        <v>763</v>
      </c>
      <c r="L3167">
        <v>698</v>
      </c>
      <c r="M3167">
        <v>5.6060606059999998</v>
      </c>
      <c r="N3167">
        <f>IFERROR(VLOOKUP(A3167,vlookup_table!$A:$G,2,FALSE),"")</f>
        <v>2</v>
      </c>
      <c r="O3167">
        <f>IFERROR(VLOOKUP(A3167,vlookup_table!$A:$G,4,FALSE),"")</f>
        <v>0</v>
      </c>
      <c r="P3167" t="str">
        <f>IFERROR(VLOOKUP(A3167,vlookup_table!$A:$G,5,FALSE),"")</f>
        <v>S1</v>
      </c>
      <c r="Q3167">
        <f>IFERROR(VLOOKUP(A3167,vlookup_table!$A:$G,7,FALSE),"")</f>
        <v>10</v>
      </c>
      <c r="R3167">
        <f t="shared" si="196"/>
        <v>97</v>
      </c>
      <c r="S3167" t="str" cm="1">
        <f t="array" ref="S3167">IF(P3167="","",_xlfn.SWITCH(LEFT(P3167,1),"C","Ciudad","T","Pueblo","R","Rural","S","Suburbano","U","Urbano",""))</f>
        <v>Suburbano</v>
      </c>
      <c r="T3167" t="str">
        <f t="shared" si="197"/>
        <v>M</v>
      </c>
      <c r="U3167" t="str">
        <f t="shared" si="198"/>
        <v>CA</v>
      </c>
      <c r="V3167" t="str">
        <f t="shared" si="199"/>
        <v>53158</v>
      </c>
    </row>
    <row r="3168" spans="1:22" x14ac:dyDescent="0.35">
      <c r="A3168" s="3">
        <v>92348</v>
      </c>
      <c r="B3168" t="s">
        <v>16</v>
      </c>
      <c r="C3168" t="s">
        <v>17</v>
      </c>
      <c r="D3168">
        <v>2016</v>
      </c>
      <c r="E3168">
        <v>618</v>
      </c>
      <c r="F3168">
        <v>725</v>
      </c>
      <c r="G3168">
        <v>51</v>
      </c>
      <c r="H3168">
        <v>26626</v>
      </c>
      <c r="I3168">
        <v>5</v>
      </c>
      <c r="J3168">
        <v>79</v>
      </c>
      <c r="K3168">
        <v>633</v>
      </c>
      <c r="L3168">
        <v>700</v>
      </c>
      <c r="M3168">
        <v>8.6</v>
      </c>
      <c r="N3168">
        <f>IFERROR(VLOOKUP(A3168,vlookup_table!$A:$G,2,FALSE),"")</f>
        <v>0</v>
      </c>
      <c r="O3168">
        <f>IFERROR(VLOOKUP(A3168,vlookup_table!$A:$G,4,FALSE),"")</f>
        <v>4201</v>
      </c>
      <c r="P3168" t="str">
        <f>IFERROR(VLOOKUP(A3168,vlookup_table!$A:$G,5,FALSE),"")</f>
        <v>S1</v>
      </c>
      <c r="Q3168">
        <f>IFERROR(VLOOKUP(A3168,vlookup_table!$A:$G,7,FALSE),"")</f>
        <v>10</v>
      </c>
      <c r="R3168">
        <f t="shared" si="196"/>
        <v>55</v>
      </c>
      <c r="S3168" t="str" cm="1">
        <f t="array" ref="S3168">IF(P3168="","",_xlfn.SWITCH(LEFT(P3168,1),"C","Ciudad","T","Pueblo","R","Rural","S","Suburbano","U","Urbano",""))</f>
        <v>Suburbano</v>
      </c>
      <c r="T3168" t="str">
        <f t="shared" si="197"/>
        <v>F</v>
      </c>
      <c r="U3168" t="str">
        <f t="shared" si="198"/>
        <v>IL</v>
      </c>
      <c r="V3168" t="str">
        <f t="shared" si="199"/>
        <v>26626</v>
      </c>
    </row>
    <row r="3169" spans="1:22" x14ac:dyDescent="0.35">
      <c r="A3169" s="3">
        <v>115179</v>
      </c>
      <c r="B3169" t="s">
        <v>31</v>
      </c>
      <c r="C3169" t="s">
        <v>17</v>
      </c>
      <c r="D3169">
        <v>660</v>
      </c>
      <c r="E3169">
        <v>328</v>
      </c>
      <c r="F3169">
        <v>394</v>
      </c>
      <c r="G3169">
        <v>0</v>
      </c>
      <c r="H3169">
        <v>13846</v>
      </c>
      <c r="I3169">
        <v>2</v>
      </c>
      <c r="J3169">
        <v>59</v>
      </c>
      <c r="K3169">
        <v>405</v>
      </c>
      <c r="L3169">
        <v>375</v>
      </c>
      <c r="M3169">
        <v>15</v>
      </c>
      <c r="N3169">
        <f>IFERROR(VLOOKUP(A3169,vlookup_table!$A:$G,2,FALSE),"")</f>
        <v>0</v>
      </c>
      <c r="O3169">
        <f>IFERROR(VLOOKUP(A3169,vlookup_table!$A:$G,4,FALSE),"")</f>
        <v>6601</v>
      </c>
      <c r="P3169" t="str">
        <f>IFERROR(VLOOKUP(A3169,vlookup_table!$A:$G,5,FALSE),"")</f>
        <v>T2</v>
      </c>
      <c r="Q3169">
        <f>IFERROR(VLOOKUP(A3169,vlookup_table!$A:$G,7,FALSE),"")</f>
        <v>10</v>
      </c>
      <c r="R3169">
        <f t="shared" si="196"/>
        <v>31</v>
      </c>
      <c r="S3169" t="str" cm="1">
        <f t="array" ref="S3169">IF(P3169="","",_xlfn.SWITCH(LEFT(P3169,1),"C","Ciudad","T","Pueblo","R","Rural","S","Suburbano","U","Urbano",""))</f>
        <v>Pueblo</v>
      </c>
      <c r="T3169" t="str">
        <f t="shared" si="197"/>
        <v>F</v>
      </c>
      <c r="U3169" t="str">
        <f t="shared" si="198"/>
        <v>OK</v>
      </c>
      <c r="V3169" t="str">
        <f t="shared" si="199"/>
        <v>13846</v>
      </c>
    </row>
    <row r="3170" spans="1:22" x14ac:dyDescent="0.35">
      <c r="A3170" s="3">
        <v>27039</v>
      </c>
      <c r="B3170" t="s">
        <v>39</v>
      </c>
      <c r="C3170" t="s">
        <v>17</v>
      </c>
      <c r="D3170">
        <v>562</v>
      </c>
      <c r="E3170">
        <v>280</v>
      </c>
      <c r="F3170">
        <v>341</v>
      </c>
      <c r="G3170">
        <v>1</v>
      </c>
      <c r="H3170">
        <v>10622</v>
      </c>
      <c r="I3170">
        <v>0</v>
      </c>
      <c r="J3170">
        <v>75</v>
      </c>
      <c r="K3170">
        <v>300</v>
      </c>
      <c r="L3170">
        <v>311</v>
      </c>
      <c r="M3170">
        <v>15</v>
      </c>
      <c r="N3170">
        <f>IFERROR(VLOOKUP(A3170,vlookup_table!$A:$G,2,FALSE),"")</f>
        <v>2</v>
      </c>
      <c r="O3170">
        <f>IFERROR(VLOOKUP(A3170,vlookup_table!$A:$G,4,FALSE),"")</f>
        <v>0</v>
      </c>
      <c r="P3170" t="str">
        <f>IFERROR(VLOOKUP(A3170,vlookup_table!$A:$G,5,FALSE),"")</f>
        <v>R2</v>
      </c>
      <c r="Q3170">
        <f>IFERROR(VLOOKUP(A3170,vlookup_table!$A:$G,7,FALSE),"")</f>
        <v>15</v>
      </c>
      <c r="R3170">
        <f t="shared" si="196"/>
        <v>97</v>
      </c>
      <c r="S3170" t="str" cm="1">
        <f t="array" ref="S3170">IF(P3170="","",_xlfn.SWITCH(LEFT(P3170,1),"C","Ciudad","T","Pueblo","R","Rural","S","Suburbano","U","Urbano",""))</f>
        <v>Rural</v>
      </c>
      <c r="T3170" t="str">
        <f t="shared" si="197"/>
        <v>F</v>
      </c>
      <c r="U3170" t="str">
        <f t="shared" si="198"/>
        <v>GA</v>
      </c>
      <c r="V3170" t="str">
        <f t="shared" si="199"/>
        <v>10622</v>
      </c>
    </row>
    <row r="3171" spans="1:22" x14ac:dyDescent="0.35">
      <c r="A3171" s="3">
        <v>27968</v>
      </c>
      <c r="B3171" t="s">
        <v>39</v>
      </c>
      <c r="C3171" t="s">
        <v>17</v>
      </c>
      <c r="D3171">
        <v>3077</v>
      </c>
      <c r="E3171">
        <v>620</v>
      </c>
      <c r="F3171">
        <v>692</v>
      </c>
      <c r="G3171">
        <v>70</v>
      </c>
      <c r="H3171">
        <v>29524</v>
      </c>
      <c r="I3171">
        <v>8</v>
      </c>
      <c r="J3171">
        <v>10</v>
      </c>
      <c r="K3171">
        <v>754</v>
      </c>
      <c r="L3171">
        <v>617</v>
      </c>
      <c r="M3171">
        <v>5.2727272730000001</v>
      </c>
      <c r="N3171">
        <f>IFERROR(VLOOKUP(A3171,vlookup_table!$A:$G,2,FALSE),"")</f>
        <v>2</v>
      </c>
      <c r="O3171">
        <f>IFERROR(VLOOKUP(A3171,vlookup_table!$A:$G,4,FALSE),"")</f>
        <v>0</v>
      </c>
      <c r="P3171" t="str">
        <f>IFERROR(VLOOKUP(A3171,vlookup_table!$A:$G,5,FALSE),"")</f>
        <v>R2</v>
      </c>
      <c r="Q3171">
        <f>IFERROR(VLOOKUP(A3171,vlookup_table!$A:$G,7,FALSE),"")</f>
        <v>5</v>
      </c>
      <c r="R3171">
        <f t="shared" si="196"/>
        <v>97</v>
      </c>
      <c r="S3171" t="str" cm="1">
        <f t="array" ref="S3171">IF(P3171="","",_xlfn.SWITCH(LEFT(P3171,1),"C","Ciudad","T","Pueblo","R","Rural","S","Suburbano","U","Urbano",""))</f>
        <v>Rural</v>
      </c>
      <c r="T3171" t="str">
        <f t="shared" si="197"/>
        <v>F</v>
      </c>
      <c r="U3171" t="str">
        <f t="shared" si="198"/>
        <v>GA</v>
      </c>
      <c r="V3171" t="str">
        <f t="shared" si="199"/>
        <v>29524</v>
      </c>
    </row>
    <row r="3172" spans="1:22" x14ac:dyDescent="0.35">
      <c r="A3172" s="3">
        <v>86985</v>
      </c>
      <c r="B3172" t="s">
        <v>34</v>
      </c>
      <c r="C3172" t="s">
        <v>20</v>
      </c>
      <c r="D3172">
        <v>832</v>
      </c>
      <c r="E3172">
        <v>419</v>
      </c>
      <c r="F3172">
        <v>476</v>
      </c>
      <c r="G3172">
        <v>1</v>
      </c>
      <c r="H3172">
        <v>15659</v>
      </c>
      <c r="I3172">
        <v>0</v>
      </c>
      <c r="J3172">
        <v>57</v>
      </c>
      <c r="K3172">
        <v>433</v>
      </c>
      <c r="L3172">
        <v>480</v>
      </c>
      <c r="M3172">
        <v>9.153846154</v>
      </c>
      <c r="N3172">
        <f>IFERROR(VLOOKUP(A3172,vlookup_table!$A:$G,2,FALSE),"")</f>
        <v>0</v>
      </c>
      <c r="O3172">
        <f>IFERROR(VLOOKUP(A3172,vlookup_table!$A:$G,4,FALSE),"")</f>
        <v>4401</v>
      </c>
      <c r="P3172" t="str">
        <f>IFERROR(VLOOKUP(A3172,vlookup_table!$A:$G,5,FALSE),"")</f>
        <v>C2</v>
      </c>
      <c r="Q3172">
        <f>IFERROR(VLOOKUP(A3172,vlookup_table!$A:$G,7,FALSE),"")</f>
        <v>15</v>
      </c>
      <c r="R3172">
        <f t="shared" si="196"/>
        <v>53</v>
      </c>
      <c r="S3172" t="str" cm="1">
        <f t="array" ref="S3172">IF(P3172="","",_xlfn.SWITCH(LEFT(P3172,1),"C","Ciudad","T","Pueblo","R","Rural","S","Suburbano","U","Urbano",""))</f>
        <v>Ciudad</v>
      </c>
      <c r="T3172" t="str">
        <f t="shared" si="197"/>
        <v>F</v>
      </c>
      <c r="U3172" t="str">
        <f t="shared" si="198"/>
        <v>MT</v>
      </c>
      <c r="V3172" t="str">
        <f t="shared" si="199"/>
        <v>15659</v>
      </c>
    </row>
    <row r="3173" spans="1:22" x14ac:dyDescent="0.35">
      <c r="A3173" s="3">
        <v>23989</v>
      </c>
      <c r="B3173" t="s">
        <v>46</v>
      </c>
      <c r="C3173" t="s">
        <v>17</v>
      </c>
      <c r="D3173">
        <v>517</v>
      </c>
      <c r="E3173">
        <v>197</v>
      </c>
      <c r="F3173">
        <v>317</v>
      </c>
      <c r="G3173">
        <v>0</v>
      </c>
      <c r="H3173">
        <v>11616</v>
      </c>
      <c r="I3173">
        <v>0</v>
      </c>
      <c r="J3173">
        <v>83</v>
      </c>
      <c r="K3173">
        <v>266</v>
      </c>
      <c r="L3173">
        <v>243</v>
      </c>
      <c r="M3173">
        <v>8.3333333330000006</v>
      </c>
      <c r="N3173">
        <f>IFERROR(VLOOKUP(A3173,vlookup_table!$A:$G,2,FALSE),"")</f>
        <v>2</v>
      </c>
      <c r="O3173">
        <f>IFERROR(VLOOKUP(A3173,vlookup_table!$A:$G,4,FALSE),"")</f>
        <v>2501</v>
      </c>
      <c r="P3173" t="str">
        <f>IFERROR(VLOOKUP(A3173,vlookup_table!$A:$G,5,FALSE),"")</f>
        <v>T2</v>
      </c>
      <c r="Q3173">
        <f>IFERROR(VLOOKUP(A3173,vlookup_table!$A:$G,7,FALSE),"")</f>
        <v>15</v>
      </c>
      <c r="R3173">
        <f t="shared" si="196"/>
        <v>72</v>
      </c>
      <c r="S3173" t="str" cm="1">
        <f t="array" ref="S3173">IF(P3173="","",_xlfn.SWITCH(LEFT(P3173,1),"C","Ciudad","T","Pueblo","R","Rural","S","Suburbano","U","Urbano",""))</f>
        <v>Pueblo</v>
      </c>
      <c r="T3173" t="str">
        <f t="shared" si="197"/>
        <v>F</v>
      </c>
      <c r="U3173" t="str">
        <f t="shared" si="198"/>
        <v>SC</v>
      </c>
      <c r="V3173" t="str">
        <f t="shared" si="199"/>
        <v>11616</v>
      </c>
    </row>
    <row r="3174" spans="1:22" x14ac:dyDescent="0.35">
      <c r="A3174" s="3">
        <v>155114</v>
      </c>
      <c r="B3174" t="s">
        <v>22</v>
      </c>
      <c r="D3174">
        <v>1176</v>
      </c>
      <c r="E3174">
        <v>251</v>
      </c>
      <c r="F3174">
        <v>373</v>
      </c>
      <c r="G3174">
        <v>10</v>
      </c>
      <c r="H3174">
        <v>13924</v>
      </c>
      <c r="I3174">
        <v>2</v>
      </c>
      <c r="J3174">
        <v>54</v>
      </c>
      <c r="K3174">
        <v>314</v>
      </c>
      <c r="L3174">
        <v>308</v>
      </c>
      <c r="M3174">
        <v>9.1111111109999996</v>
      </c>
      <c r="N3174">
        <f>IFERROR(VLOOKUP(A3174,vlookup_table!$A:$G,2,FALSE),"")</f>
        <v>0</v>
      </c>
      <c r="O3174">
        <f>IFERROR(VLOOKUP(A3174,vlookup_table!$A:$G,4,FALSE),"")</f>
        <v>8108</v>
      </c>
      <c r="P3174" t="str">
        <f>IFERROR(VLOOKUP(A3174,vlookup_table!$A:$G,5,FALSE),"")</f>
        <v>S2</v>
      </c>
      <c r="Q3174">
        <f>IFERROR(VLOOKUP(A3174,vlookup_table!$A:$G,7,FALSE),"")</f>
        <v>14</v>
      </c>
      <c r="R3174">
        <f t="shared" si="196"/>
        <v>16</v>
      </c>
      <c r="S3174" t="str" cm="1">
        <f t="array" ref="S3174">IF(P3174="","",_xlfn.SWITCH(LEFT(P3174,1),"C","Ciudad","T","Pueblo","R","Rural","S","Suburbano","U","Urbano",""))</f>
        <v>Suburbano</v>
      </c>
      <c r="T3174" t="str">
        <f t="shared" si="197"/>
        <v/>
      </c>
      <c r="U3174" t="str">
        <f t="shared" si="198"/>
        <v>CA</v>
      </c>
      <c r="V3174" t="str">
        <f t="shared" si="199"/>
        <v>13924</v>
      </c>
    </row>
    <row r="3175" spans="1:22" x14ac:dyDescent="0.35">
      <c r="A3175" s="3">
        <v>35914</v>
      </c>
      <c r="B3175" t="s">
        <v>13</v>
      </c>
      <c r="C3175" t="s">
        <v>14</v>
      </c>
      <c r="D3175">
        <v>693</v>
      </c>
      <c r="E3175">
        <v>373</v>
      </c>
      <c r="F3175">
        <v>463</v>
      </c>
      <c r="G3175">
        <v>7</v>
      </c>
      <c r="H3175">
        <v>16854</v>
      </c>
      <c r="I3175">
        <v>1</v>
      </c>
      <c r="J3175">
        <v>24</v>
      </c>
      <c r="K3175">
        <v>457</v>
      </c>
      <c r="L3175">
        <v>413</v>
      </c>
      <c r="M3175">
        <v>4.3</v>
      </c>
      <c r="N3175">
        <f>IFERROR(VLOOKUP(A3175,vlookup_table!$A:$G,2,FALSE),"")</f>
        <v>1</v>
      </c>
      <c r="O3175">
        <f>IFERROR(VLOOKUP(A3175,vlookup_table!$A:$G,4,FALSE),"")</f>
        <v>2802</v>
      </c>
      <c r="P3175" t="str">
        <f>IFERROR(VLOOKUP(A3175,vlookup_table!$A:$G,5,FALSE),"")</f>
        <v>S2</v>
      </c>
      <c r="Q3175">
        <f>IFERROR(VLOOKUP(A3175,vlookup_table!$A:$G,7,FALSE),"")</f>
        <v>2</v>
      </c>
      <c r="R3175">
        <f t="shared" si="196"/>
        <v>69</v>
      </c>
      <c r="S3175" t="str" cm="1">
        <f t="array" ref="S3175">IF(P3175="","",_xlfn.SWITCH(LEFT(P3175,1),"C","Ciudad","T","Pueblo","R","Rural","S","Suburbano","U","Urbano",""))</f>
        <v>Suburbano</v>
      </c>
      <c r="T3175" t="str">
        <f t="shared" si="197"/>
        <v>M</v>
      </c>
      <c r="U3175" t="str">
        <f t="shared" si="198"/>
        <v>FL</v>
      </c>
      <c r="V3175" t="str">
        <f t="shared" si="199"/>
        <v>16854</v>
      </c>
    </row>
    <row r="3176" spans="1:22" x14ac:dyDescent="0.35">
      <c r="A3176" s="3">
        <v>92148</v>
      </c>
      <c r="B3176" t="s">
        <v>16</v>
      </c>
      <c r="C3176" t="s">
        <v>14</v>
      </c>
      <c r="D3176">
        <v>1418</v>
      </c>
      <c r="E3176">
        <v>415</v>
      </c>
      <c r="F3176">
        <v>551</v>
      </c>
      <c r="G3176">
        <v>23</v>
      </c>
      <c r="H3176">
        <v>26282</v>
      </c>
      <c r="I3176">
        <v>3</v>
      </c>
      <c r="J3176">
        <v>68</v>
      </c>
      <c r="K3176">
        <v>507</v>
      </c>
      <c r="L3176">
        <v>467</v>
      </c>
      <c r="M3176">
        <v>16.5</v>
      </c>
      <c r="N3176">
        <f>IFERROR(VLOOKUP(A3176,vlookup_table!$A:$G,2,FALSE),"")</f>
        <v>1</v>
      </c>
      <c r="O3176">
        <f>IFERROR(VLOOKUP(A3176,vlookup_table!$A:$G,4,FALSE),"")</f>
        <v>6001</v>
      </c>
      <c r="P3176" t="str">
        <f>IFERROR(VLOOKUP(A3176,vlookup_table!$A:$G,5,FALSE),"")</f>
        <v>C1</v>
      </c>
      <c r="Q3176">
        <f>IFERROR(VLOOKUP(A3176,vlookup_table!$A:$G,7,FALSE),"")</f>
        <v>25</v>
      </c>
      <c r="R3176">
        <f t="shared" si="196"/>
        <v>37</v>
      </c>
      <c r="S3176" t="str" cm="1">
        <f t="array" ref="S3176">IF(P3176="","",_xlfn.SWITCH(LEFT(P3176,1),"C","Ciudad","T","Pueblo","R","Rural","S","Suburbano","U","Urbano",""))</f>
        <v>Ciudad</v>
      </c>
      <c r="T3176" t="str">
        <f t="shared" si="197"/>
        <v>M</v>
      </c>
      <c r="U3176" t="str">
        <f t="shared" si="198"/>
        <v>IL</v>
      </c>
      <c r="V3176" t="str">
        <f t="shared" si="199"/>
        <v>26282</v>
      </c>
    </row>
    <row r="3177" spans="1:22" x14ac:dyDescent="0.35">
      <c r="A3177" s="3">
        <v>94177</v>
      </c>
      <c r="B3177" t="s">
        <v>16</v>
      </c>
      <c r="C3177" t="s">
        <v>17</v>
      </c>
      <c r="D3177">
        <v>904</v>
      </c>
      <c r="E3177">
        <v>339</v>
      </c>
      <c r="F3177">
        <v>435</v>
      </c>
      <c r="G3177">
        <v>0</v>
      </c>
      <c r="H3177">
        <v>16711</v>
      </c>
      <c r="I3177">
        <v>10</v>
      </c>
      <c r="J3177">
        <v>78</v>
      </c>
      <c r="K3177">
        <v>394</v>
      </c>
      <c r="L3177">
        <v>391</v>
      </c>
      <c r="M3177">
        <v>5.5625</v>
      </c>
      <c r="N3177">
        <f>IFERROR(VLOOKUP(A3177,vlookup_table!$A:$G,2,FALSE),"")</f>
        <v>28</v>
      </c>
      <c r="O3177">
        <f>IFERROR(VLOOKUP(A3177,vlookup_table!$A:$G,4,FALSE),"")</f>
        <v>3203</v>
      </c>
      <c r="P3177" t="str">
        <f>IFERROR(VLOOKUP(A3177,vlookup_table!$A:$G,5,FALSE),"")</f>
        <v>S2</v>
      </c>
      <c r="Q3177">
        <f>IFERROR(VLOOKUP(A3177,vlookup_table!$A:$G,7,FALSE),"")</f>
        <v>11</v>
      </c>
      <c r="R3177">
        <f t="shared" si="196"/>
        <v>65</v>
      </c>
      <c r="S3177" t="str" cm="1">
        <f t="array" ref="S3177">IF(P3177="","",_xlfn.SWITCH(LEFT(P3177,1),"C","Ciudad","T","Pueblo","R","Rural","S","Suburbano","U","Urbano",""))</f>
        <v>Suburbano</v>
      </c>
      <c r="T3177" t="str">
        <f t="shared" si="197"/>
        <v>F</v>
      </c>
      <c r="U3177" t="str">
        <f t="shared" si="198"/>
        <v>IL</v>
      </c>
      <c r="V3177" t="str">
        <f t="shared" si="199"/>
        <v>16711</v>
      </c>
    </row>
    <row r="3178" spans="1:22" x14ac:dyDescent="0.35">
      <c r="A3178" s="3">
        <v>24902</v>
      </c>
      <c r="B3178" t="s">
        <v>46</v>
      </c>
      <c r="C3178" t="s">
        <v>14</v>
      </c>
      <c r="D3178">
        <v>473</v>
      </c>
      <c r="E3178">
        <v>259</v>
      </c>
      <c r="F3178">
        <v>356</v>
      </c>
      <c r="G3178">
        <v>0</v>
      </c>
      <c r="H3178">
        <v>11727</v>
      </c>
      <c r="I3178">
        <v>0</v>
      </c>
      <c r="J3178">
        <v>83</v>
      </c>
      <c r="K3178">
        <v>296</v>
      </c>
      <c r="L3178">
        <v>287</v>
      </c>
      <c r="M3178">
        <v>7.1666666670000003</v>
      </c>
      <c r="N3178">
        <f>IFERROR(VLOOKUP(A3178,vlookup_table!$A:$G,2,FALSE),"")</f>
        <v>0</v>
      </c>
      <c r="O3178">
        <f>IFERROR(VLOOKUP(A3178,vlookup_table!$A:$G,4,FALSE),"")</f>
        <v>0</v>
      </c>
      <c r="P3178" t="str">
        <f>IFERROR(VLOOKUP(A3178,vlookup_table!$A:$G,5,FALSE),"")</f>
        <v>T2</v>
      </c>
      <c r="Q3178">
        <f>IFERROR(VLOOKUP(A3178,vlookup_table!$A:$G,7,FALSE),"")</f>
        <v>8</v>
      </c>
      <c r="R3178">
        <f t="shared" si="196"/>
        <v>97</v>
      </c>
      <c r="S3178" t="str" cm="1">
        <f t="array" ref="S3178">IF(P3178="","",_xlfn.SWITCH(LEFT(P3178,1),"C","Ciudad","T","Pueblo","R","Rural","S","Suburbano","U","Urbano",""))</f>
        <v>Pueblo</v>
      </c>
      <c r="T3178" t="str">
        <f t="shared" si="197"/>
        <v>M</v>
      </c>
      <c r="U3178" t="str">
        <f t="shared" si="198"/>
        <v>SC</v>
      </c>
      <c r="V3178" t="str">
        <f t="shared" si="199"/>
        <v>11727</v>
      </c>
    </row>
    <row r="3179" spans="1:22" x14ac:dyDescent="0.35">
      <c r="A3179" s="3">
        <v>178433</v>
      </c>
      <c r="B3179" t="s">
        <v>41</v>
      </c>
      <c r="C3179" t="s">
        <v>14</v>
      </c>
      <c r="D3179">
        <v>605</v>
      </c>
      <c r="E3179">
        <v>213</v>
      </c>
      <c r="F3179">
        <v>303</v>
      </c>
      <c r="G3179">
        <v>3</v>
      </c>
      <c r="H3179">
        <v>10788</v>
      </c>
      <c r="I3179">
        <v>2</v>
      </c>
      <c r="J3179">
        <v>38</v>
      </c>
      <c r="K3179">
        <v>241</v>
      </c>
      <c r="L3179">
        <v>269</v>
      </c>
      <c r="M3179">
        <v>19.600000000000001</v>
      </c>
      <c r="N3179">
        <f>IFERROR(VLOOKUP(A3179,vlookup_table!$A:$G,2,FALSE),"")</f>
        <v>2</v>
      </c>
      <c r="O3179">
        <f>IFERROR(VLOOKUP(A3179,vlookup_table!$A:$G,4,FALSE),"")</f>
        <v>3503</v>
      </c>
      <c r="P3179" t="str">
        <f>IFERROR(VLOOKUP(A3179,vlookup_table!$A:$G,5,FALSE),"")</f>
        <v>S1</v>
      </c>
      <c r="Q3179">
        <f>IFERROR(VLOOKUP(A3179,vlookup_table!$A:$G,7,FALSE),"")</f>
        <v>35</v>
      </c>
      <c r="R3179">
        <f t="shared" si="196"/>
        <v>62</v>
      </c>
      <c r="S3179" t="str" cm="1">
        <f t="array" ref="S3179">IF(P3179="","",_xlfn.SWITCH(LEFT(P3179,1),"C","Ciudad","T","Pueblo","R","Rural","S","Suburbano","U","Urbano",""))</f>
        <v>Suburbano</v>
      </c>
      <c r="T3179" t="str">
        <f t="shared" si="197"/>
        <v>M</v>
      </c>
      <c r="U3179" t="str">
        <f t="shared" si="198"/>
        <v>ID</v>
      </c>
      <c r="V3179" t="str">
        <f t="shared" si="199"/>
        <v>10788</v>
      </c>
    </row>
    <row r="3180" spans="1:22" x14ac:dyDescent="0.35">
      <c r="A3180" s="3">
        <v>18466</v>
      </c>
      <c r="B3180" t="s">
        <v>18</v>
      </c>
      <c r="C3180" t="s">
        <v>20</v>
      </c>
      <c r="D3180">
        <v>594</v>
      </c>
      <c r="E3180">
        <v>267</v>
      </c>
      <c r="F3180">
        <v>309</v>
      </c>
      <c r="G3180">
        <v>2</v>
      </c>
      <c r="H3180">
        <v>10466</v>
      </c>
      <c r="I3180">
        <v>1</v>
      </c>
      <c r="J3180">
        <v>71</v>
      </c>
      <c r="K3180">
        <v>287</v>
      </c>
      <c r="L3180">
        <v>287</v>
      </c>
      <c r="M3180">
        <v>3.9285714289999998</v>
      </c>
      <c r="N3180">
        <f>IFERROR(VLOOKUP(A3180,vlookup_table!$A:$G,2,FALSE),"")</f>
        <v>2</v>
      </c>
      <c r="O3180">
        <f>IFERROR(VLOOKUP(A3180,vlookup_table!$A:$G,4,FALSE),"")</f>
        <v>5801</v>
      </c>
      <c r="P3180" t="str">
        <f>IFERROR(VLOOKUP(A3180,vlookup_table!$A:$G,5,FALSE),"")</f>
        <v>R2</v>
      </c>
      <c r="Q3180">
        <f>IFERROR(VLOOKUP(A3180,vlookup_table!$A:$G,7,FALSE),"")</f>
        <v>6</v>
      </c>
      <c r="R3180">
        <f t="shared" si="196"/>
        <v>39</v>
      </c>
      <c r="S3180" t="str" cm="1">
        <f t="array" ref="S3180">IF(P3180="","",_xlfn.SWITCH(LEFT(P3180,1),"C","Ciudad","T","Pueblo","R","Rural","S","Suburbano","U","Urbano",""))</f>
        <v>Rural</v>
      </c>
      <c r="T3180" t="str">
        <f t="shared" si="197"/>
        <v>F</v>
      </c>
      <c r="U3180" t="str">
        <f t="shared" si="198"/>
        <v>NC</v>
      </c>
      <c r="V3180" t="str">
        <f t="shared" si="199"/>
        <v>10466</v>
      </c>
    </row>
    <row r="3181" spans="1:22" x14ac:dyDescent="0.35">
      <c r="A3181" s="3">
        <v>157425</v>
      </c>
      <c r="B3181" t="s">
        <v>22</v>
      </c>
      <c r="C3181" t="s">
        <v>14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22.5</v>
      </c>
      <c r="N3181">
        <f>IFERROR(VLOOKUP(A3181,vlookup_table!$A:$G,2,FALSE),"")</f>
        <v>1</v>
      </c>
      <c r="O3181">
        <f>IFERROR(VLOOKUP(A3181,vlookup_table!$A:$G,4,FALSE),"")</f>
        <v>4501</v>
      </c>
      <c r="P3181">
        <f>IFERROR(VLOOKUP(A3181,vlookup_table!$A:$G,5,FALSE),"")</f>
        <v>0</v>
      </c>
      <c r="Q3181">
        <f>IFERROR(VLOOKUP(A3181,vlookup_table!$A:$G,7,FALSE),"")</f>
        <v>25</v>
      </c>
      <c r="R3181">
        <f t="shared" si="196"/>
        <v>52</v>
      </c>
      <c r="S3181" t="str" cm="1">
        <f t="array" ref="S3181">IF(P3181="","",_xlfn.SWITCH(LEFT(P3181,1),"C","Ciudad","T","Pueblo","R","Rural","S","Suburbano","U","Urbano",""))</f>
        <v/>
      </c>
      <c r="T3181" t="str">
        <f t="shared" si="197"/>
        <v>M</v>
      </c>
      <c r="U3181" t="str">
        <f t="shared" si="198"/>
        <v>CA</v>
      </c>
      <c r="V3181" t="str">
        <f t="shared" si="199"/>
        <v>0</v>
      </c>
    </row>
    <row r="3182" spans="1:22" x14ac:dyDescent="0.35">
      <c r="A3182" s="3">
        <v>166891</v>
      </c>
      <c r="B3182" t="s">
        <v>22</v>
      </c>
      <c r="C3182" t="s">
        <v>14</v>
      </c>
      <c r="D3182">
        <v>4244</v>
      </c>
      <c r="E3182">
        <v>613</v>
      </c>
      <c r="F3182">
        <v>845</v>
      </c>
      <c r="G3182">
        <v>94</v>
      </c>
      <c r="H3182">
        <v>31903</v>
      </c>
      <c r="I3182">
        <v>4</v>
      </c>
      <c r="J3182">
        <v>49</v>
      </c>
      <c r="K3182">
        <v>818</v>
      </c>
      <c r="L3182">
        <v>708</v>
      </c>
      <c r="M3182">
        <v>7.3571428570000004</v>
      </c>
      <c r="N3182">
        <f>IFERROR(VLOOKUP(A3182,vlookup_table!$A:$G,2,FALSE),"")</f>
        <v>2</v>
      </c>
      <c r="O3182">
        <f>IFERROR(VLOOKUP(A3182,vlookup_table!$A:$G,4,FALSE),"")</f>
        <v>2906</v>
      </c>
      <c r="P3182" t="str">
        <f>IFERROR(VLOOKUP(A3182,vlookup_table!$A:$G,5,FALSE),"")</f>
        <v>S1</v>
      </c>
      <c r="Q3182">
        <f>IFERROR(VLOOKUP(A3182,vlookup_table!$A:$G,7,FALSE),"")</f>
        <v>10</v>
      </c>
      <c r="R3182">
        <f t="shared" si="196"/>
        <v>68</v>
      </c>
      <c r="S3182" t="str" cm="1">
        <f t="array" ref="S3182">IF(P3182="","",_xlfn.SWITCH(LEFT(P3182,1),"C","Ciudad","T","Pueblo","R","Rural","S","Suburbano","U","Urbano",""))</f>
        <v>Suburbano</v>
      </c>
      <c r="T3182" t="str">
        <f t="shared" si="197"/>
        <v>M</v>
      </c>
      <c r="U3182" t="str">
        <f t="shared" si="198"/>
        <v>CA</v>
      </c>
      <c r="V3182" t="str">
        <f t="shared" si="199"/>
        <v>31903</v>
      </c>
    </row>
    <row r="3183" spans="1:22" x14ac:dyDescent="0.35">
      <c r="A3183" s="3">
        <v>54530</v>
      </c>
      <c r="B3183" t="s">
        <v>62</v>
      </c>
      <c r="C3183" t="s">
        <v>14</v>
      </c>
      <c r="D3183">
        <v>448</v>
      </c>
      <c r="E3183">
        <v>195</v>
      </c>
      <c r="F3183">
        <v>286</v>
      </c>
      <c r="G3183">
        <v>0</v>
      </c>
      <c r="H3183">
        <v>8183</v>
      </c>
      <c r="I3183">
        <v>0</v>
      </c>
      <c r="J3183">
        <v>64</v>
      </c>
      <c r="K3183">
        <v>224</v>
      </c>
      <c r="L3183">
        <v>247</v>
      </c>
      <c r="M3183">
        <v>9.9166666669999994</v>
      </c>
      <c r="N3183">
        <f>IFERROR(VLOOKUP(A3183,vlookup_table!$A:$G,2,FALSE),"")</f>
        <v>1</v>
      </c>
      <c r="O3183">
        <f>IFERROR(VLOOKUP(A3183,vlookup_table!$A:$G,4,FALSE),"")</f>
        <v>0</v>
      </c>
      <c r="P3183" t="str">
        <f>IFERROR(VLOOKUP(A3183,vlookup_table!$A:$G,5,FALSE),"")</f>
        <v>R3</v>
      </c>
      <c r="Q3183">
        <f>IFERROR(VLOOKUP(A3183,vlookup_table!$A:$G,7,FALSE),"")</f>
        <v>10</v>
      </c>
      <c r="R3183">
        <f t="shared" si="196"/>
        <v>97</v>
      </c>
      <c r="S3183" t="str" cm="1">
        <f t="array" ref="S3183">IF(P3183="","",_xlfn.SWITCH(LEFT(P3183,1),"C","Ciudad","T","Pueblo","R","Rural","S","Suburbano","U","Urbano",""))</f>
        <v>Rural</v>
      </c>
      <c r="T3183" t="str">
        <f t="shared" si="197"/>
        <v>M</v>
      </c>
      <c r="U3183" t="str">
        <f t="shared" si="198"/>
        <v>MS</v>
      </c>
      <c r="V3183" t="str">
        <f t="shared" si="199"/>
        <v>8183</v>
      </c>
    </row>
    <row r="3184" spans="1:22" x14ac:dyDescent="0.35">
      <c r="A3184" s="3">
        <v>41819</v>
      </c>
      <c r="B3184" t="s">
        <v>13</v>
      </c>
      <c r="C3184" t="s">
        <v>14</v>
      </c>
      <c r="D3184">
        <v>467</v>
      </c>
      <c r="E3184">
        <v>192</v>
      </c>
      <c r="F3184">
        <v>323</v>
      </c>
      <c r="G3184">
        <v>0</v>
      </c>
      <c r="H3184">
        <v>10376</v>
      </c>
      <c r="I3184">
        <v>6</v>
      </c>
      <c r="J3184">
        <v>33</v>
      </c>
      <c r="K3184">
        <v>261</v>
      </c>
      <c r="L3184">
        <v>261</v>
      </c>
      <c r="M3184">
        <v>10</v>
      </c>
      <c r="N3184">
        <f>IFERROR(VLOOKUP(A3184,vlookup_table!$A:$G,2,FALSE),"")</f>
        <v>1</v>
      </c>
      <c r="O3184">
        <f>IFERROR(VLOOKUP(A3184,vlookup_table!$A:$G,4,FALSE),"")</f>
        <v>4801</v>
      </c>
      <c r="P3184" t="str">
        <f>IFERROR(VLOOKUP(A3184,vlookup_table!$A:$G,5,FALSE),"")</f>
        <v>U4</v>
      </c>
      <c r="Q3184">
        <f>IFERROR(VLOOKUP(A3184,vlookup_table!$A:$G,7,FALSE),"")</f>
        <v>15</v>
      </c>
      <c r="R3184">
        <f t="shared" si="196"/>
        <v>49</v>
      </c>
      <c r="S3184" t="str" cm="1">
        <f t="array" ref="S3184">IF(P3184="","",_xlfn.SWITCH(LEFT(P3184,1),"C","Ciudad","T","Pueblo","R","Rural","S","Suburbano","U","Urbano",""))</f>
        <v>Urbano</v>
      </c>
      <c r="T3184" t="str">
        <f t="shared" si="197"/>
        <v>M</v>
      </c>
      <c r="U3184" t="str">
        <f t="shared" si="198"/>
        <v>FL</v>
      </c>
      <c r="V3184" t="str">
        <f t="shared" si="199"/>
        <v>10376</v>
      </c>
    </row>
    <row r="3185" spans="1:22" x14ac:dyDescent="0.35">
      <c r="A3185" s="3">
        <v>148636</v>
      </c>
      <c r="B3185" t="s">
        <v>22</v>
      </c>
      <c r="C3185" t="s">
        <v>17</v>
      </c>
      <c r="D3185">
        <v>2392</v>
      </c>
      <c r="E3185">
        <v>257</v>
      </c>
      <c r="F3185">
        <v>406</v>
      </c>
      <c r="G3185">
        <v>74</v>
      </c>
      <c r="H3185">
        <v>13896</v>
      </c>
      <c r="I3185">
        <v>43</v>
      </c>
      <c r="J3185">
        <v>27</v>
      </c>
      <c r="K3185">
        <v>365</v>
      </c>
      <c r="L3185">
        <v>316</v>
      </c>
      <c r="M3185">
        <v>11</v>
      </c>
      <c r="N3185">
        <f>IFERROR(VLOOKUP(A3185,vlookup_table!$A:$G,2,FALSE),"")</f>
        <v>0</v>
      </c>
      <c r="O3185">
        <f>IFERROR(VLOOKUP(A3185,vlookup_table!$A:$G,4,FALSE),"")</f>
        <v>1201</v>
      </c>
      <c r="P3185" t="str">
        <f>IFERROR(VLOOKUP(A3185,vlookup_table!$A:$G,5,FALSE),"")</f>
        <v>U2</v>
      </c>
      <c r="Q3185">
        <f>IFERROR(VLOOKUP(A3185,vlookup_table!$A:$G,7,FALSE),"")</f>
        <v>10</v>
      </c>
      <c r="R3185">
        <f t="shared" si="196"/>
        <v>85</v>
      </c>
      <c r="S3185" t="str" cm="1">
        <f t="array" ref="S3185">IF(P3185="","",_xlfn.SWITCH(LEFT(P3185,1),"C","Ciudad","T","Pueblo","R","Rural","S","Suburbano","U","Urbano",""))</f>
        <v>Urbano</v>
      </c>
      <c r="T3185" t="str">
        <f t="shared" si="197"/>
        <v>F</v>
      </c>
      <c r="U3185" t="str">
        <f t="shared" si="198"/>
        <v>CA</v>
      </c>
      <c r="V3185" t="str">
        <f t="shared" si="199"/>
        <v>13896</v>
      </c>
    </row>
    <row r="3186" spans="1:22" x14ac:dyDescent="0.35">
      <c r="A3186" s="3">
        <v>70090</v>
      </c>
      <c r="B3186" t="s">
        <v>29</v>
      </c>
      <c r="C3186" t="s">
        <v>17</v>
      </c>
      <c r="D3186">
        <v>313</v>
      </c>
      <c r="E3186">
        <v>284</v>
      </c>
      <c r="F3186">
        <v>329</v>
      </c>
      <c r="G3186">
        <v>0</v>
      </c>
      <c r="H3186">
        <v>14328</v>
      </c>
      <c r="I3186">
        <v>0</v>
      </c>
      <c r="J3186">
        <v>68</v>
      </c>
      <c r="K3186">
        <v>281</v>
      </c>
      <c r="L3186">
        <v>292</v>
      </c>
      <c r="M3186">
        <v>11.5</v>
      </c>
      <c r="N3186">
        <f>IFERROR(VLOOKUP(A3186,vlookup_table!$A:$G,2,FALSE),"")</f>
        <v>0</v>
      </c>
      <c r="O3186">
        <f>IFERROR(VLOOKUP(A3186,vlookup_table!$A:$G,4,FALSE),"")</f>
        <v>4611</v>
      </c>
      <c r="P3186" t="str">
        <f>IFERROR(VLOOKUP(A3186,vlookup_table!$A:$G,5,FALSE),"")</f>
        <v>C3</v>
      </c>
      <c r="Q3186">
        <f>IFERROR(VLOOKUP(A3186,vlookup_table!$A:$G,7,FALSE),"")</f>
        <v>21</v>
      </c>
      <c r="R3186">
        <f t="shared" si="196"/>
        <v>51</v>
      </c>
      <c r="S3186" t="str" cm="1">
        <f t="array" ref="S3186">IF(P3186="","",_xlfn.SWITCH(LEFT(P3186,1),"C","Ciudad","T","Pueblo","R","Rural","S","Suburbano","U","Urbano",""))</f>
        <v>Ciudad</v>
      </c>
      <c r="T3186" t="str">
        <f t="shared" si="197"/>
        <v>F</v>
      </c>
      <c r="U3186" t="str">
        <f t="shared" si="198"/>
        <v>MI</v>
      </c>
      <c r="V3186" t="str">
        <f t="shared" si="199"/>
        <v>14328</v>
      </c>
    </row>
    <row r="3187" spans="1:22" x14ac:dyDescent="0.35">
      <c r="A3187" s="3">
        <v>11704</v>
      </c>
      <c r="B3187" t="s">
        <v>16</v>
      </c>
      <c r="C3187" t="s">
        <v>14</v>
      </c>
      <c r="D3187">
        <v>128</v>
      </c>
      <c r="E3187">
        <v>309</v>
      </c>
      <c r="F3187">
        <v>363</v>
      </c>
      <c r="G3187">
        <v>0</v>
      </c>
      <c r="H3187">
        <v>13164</v>
      </c>
      <c r="I3187">
        <v>7</v>
      </c>
      <c r="J3187">
        <v>76</v>
      </c>
      <c r="K3187">
        <v>345</v>
      </c>
      <c r="L3187">
        <v>340</v>
      </c>
      <c r="M3187">
        <v>8.615384615</v>
      </c>
      <c r="N3187">
        <f>IFERROR(VLOOKUP(A3187,vlookup_table!$A:$G,2,FALSE),"")</f>
        <v>1</v>
      </c>
      <c r="O3187">
        <f>IFERROR(VLOOKUP(A3187,vlookup_table!$A:$G,4,FALSE),"")</f>
        <v>2603</v>
      </c>
      <c r="P3187" t="str">
        <f>IFERROR(VLOOKUP(A3187,vlookup_table!$A:$G,5,FALSE),"")</f>
        <v>S2</v>
      </c>
      <c r="Q3187">
        <f>IFERROR(VLOOKUP(A3187,vlookup_table!$A:$G,7,FALSE),"")</f>
        <v>10</v>
      </c>
      <c r="R3187">
        <f t="shared" si="196"/>
        <v>71</v>
      </c>
      <c r="S3187" t="str" cm="1">
        <f t="array" ref="S3187">IF(P3187="","",_xlfn.SWITCH(LEFT(P3187,1),"C","Ciudad","T","Pueblo","R","Rural","S","Suburbano","U","Urbano",""))</f>
        <v>Suburbano</v>
      </c>
      <c r="T3187" t="str">
        <f t="shared" si="197"/>
        <v>M</v>
      </c>
      <c r="U3187" t="str">
        <f t="shared" si="198"/>
        <v>IL</v>
      </c>
      <c r="V3187" t="str">
        <f t="shared" si="199"/>
        <v>13164</v>
      </c>
    </row>
    <row r="3188" spans="1:22" x14ac:dyDescent="0.35">
      <c r="A3188" s="3">
        <v>86775</v>
      </c>
      <c r="B3188" t="s">
        <v>45</v>
      </c>
      <c r="C3188" t="s">
        <v>14</v>
      </c>
      <c r="D3188">
        <v>253</v>
      </c>
      <c r="E3188">
        <v>195</v>
      </c>
      <c r="F3188">
        <v>261</v>
      </c>
      <c r="G3188">
        <v>0</v>
      </c>
      <c r="H3188">
        <v>8988</v>
      </c>
      <c r="I3188">
        <v>1</v>
      </c>
      <c r="J3188">
        <v>89</v>
      </c>
      <c r="K3188">
        <v>215</v>
      </c>
      <c r="L3188">
        <v>234</v>
      </c>
      <c r="M3188">
        <v>4.230769231</v>
      </c>
      <c r="N3188">
        <f>IFERROR(VLOOKUP(A3188,vlookup_table!$A:$G,2,FALSE),"")</f>
        <v>1</v>
      </c>
      <c r="O3188">
        <f>IFERROR(VLOOKUP(A3188,vlookup_table!$A:$G,4,FALSE),"")</f>
        <v>0</v>
      </c>
      <c r="P3188" t="str">
        <f>IFERROR(VLOOKUP(A3188,vlookup_table!$A:$G,5,FALSE),"")</f>
        <v>R3</v>
      </c>
      <c r="Q3188">
        <f>IFERROR(VLOOKUP(A3188,vlookup_table!$A:$G,7,FALSE),"")</f>
        <v>10</v>
      </c>
      <c r="R3188">
        <f t="shared" si="196"/>
        <v>97</v>
      </c>
      <c r="S3188" t="str" cm="1">
        <f t="array" ref="S3188">IF(P3188="","",_xlfn.SWITCH(LEFT(P3188,1),"C","Ciudad","T","Pueblo","R","Rural","S","Suburbano","U","Urbano",""))</f>
        <v>Rural</v>
      </c>
      <c r="T3188" t="str">
        <f t="shared" si="197"/>
        <v>M</v>
      </c>
      <c r="U3188" t="str">
        <f t="shared" si="198"/>
        <v>ND</v>
      </c>
      <c r="V3188" t="str">
        <f t="shared" si="199"/>
        <v>8988</v>
      </c>
    </row>
    <row r="3189" spans="1:22" x14ac:dyDescent="0.35">
      <c r="A3189" s="3">
        <v>124935</v>
      </c>
      <c r="B3189" t="s">
        <v>21</v>
      </c>
      <c r="C3189" t="s">
        <v>14</v>
      </c>
      <c r="D3189">
        <v>689</v>
      </c>
      <c r="E3189">
        <v>324</v>
      </c>
      <c r="F3189">
        <v>394</v>
      </c>
      <c r="G3189">
        <v>1</v>
      </c>
      <c r="H3189">
        <v>12916</v>
      </c>
      <c r="I3189">
        <v>4</v>
      </c>
      <c r="J3189">
        <v>60</v>
      </c>
      <c r="K3189">
        <v>356</v>
      </c>
      <c r="L3189">
        <v>370</v>
      </c>
      <c r="M3189">
        <v>19.52380952</v>
      </c>
      <c r="N3189">
        <f>IFERROR(VLOOKUP(A3189,vlookup_table!$A:$G,2,FALSE),"")</f>
        <v>2</v>
      </c>
      <c r="O3189">
        <f>IFERROR(VLOOKUP(A3189,vlookup_table!$A:$G,4,FALSE),"")</f>
        <v>1701</v>
      </c>
      <c r="P3189" t="str">
        <f>IFERROR(VLOOKUP(A3189,vlookup_table!$A:$G,5,FALSE),"")</f>
        <v>R2</v>
      </c>
      <c r="Q3189">
        <f>IFERROR(VLOOKUP(A3189,vlookup_table!$A:$G,7,FALSE),"")</f>
        <v>25</v>
      </c>
      <c r="R3189">
        <f t="shared" si="196"/>
        <v>80</v>
      </c>
      <c r="S3189" t="str" cm="1">
        <f t="array" ref="S3189">IF(P3189="","",_xlfn.SWITCH(LEFT(P3189,1),"C","Ciudad","T","Pueblo","R","Rural","S","Suburbano","U","Urbano",""))</f>
        <v>Rural</v>
      </c>
      <c r="T3189" t="str">
        <f t="shared" si="197"/>
        <v>M</v>
      </c>
      <c r="U3189" t="str">
        <f t="shared" si="198"/>
        <v>TX</v>
      </c>
      <c r="V3189" t="str">
        <f t="shared" si="199"/>
        <v>12916</v>
      </c>
    </row>
    <row r="3190" spans="1:22" x14ac:dyDescent="0.35">
      <c r="A3190" s="3">
        <v>147600</v>
      </c>
      <c r="B3190" t="s">
        <v>22</v>
      </c>
      <c r="C3190" t="s">
        <v>17</v>
      </c>
      <c r="D3190">
        <v>3514</v>
      </c>
      <c r="E3190">
        <v>671</v>
      </c>
      <c r="F3190">
        <v>746</v>
      </c>
      <c r="G3190">
        <v>94</v>
      </c>
      <c r="H3190">
        <v>30696</v>
      </c>
      <c r="I3190">
        <v>23</v>
      </c>
      <c r="J3190">
        <v>53</v>
      </c>
      <c r="K3190">
        <v>732</v>
      </c>
      <c r="L3190">
        <v>717</v>
      </c>
      <c r="M3190">
        <v>5.2222222220000001</v>
      </c>
      <c r="N3190">
        <f>IFERROR(VLOOKUP(A3190,vlookup_table!$A:$G,2,FALSE),"")</f>
        <v>0</v>
      </c>
      <c r="O3190">
        <f>IFERROR(VLOOKUP(A3190,vlookup_table!$A:$G,4,FALSE),"")</f>
        <v>0</v>
      </c>
      <c r="P3190" t="str">
        <f>IFERROR(VLOOKUP(A3190,vlookup_table!$A:$G,5,FALSE),"")</f>
        <v>U1</v>
      </c>
      <c r="Q3190">
        <f>IFERROR(VLOOKUP(A3190,vlookup_table!$A:$G,7,FALSE),"")</f>
        <v>5</v>
      </c>
      <c r="R3190">
        <f t="shared" si="196"/>
        <v>97</v>
      </c>
      <c r="S3190" t="str" cm="1">
        <f t="array" ref="S3190">IF(P3190="","",_xlfn.SWITCH(LEFT(P3190,1),"C","Ciudad","T","Pueblo","R","Rural","S","Suburbano","U","Urbano",""))</f>
        <v>Urbano</v>
      </c>
      <c r="T3190" t="str">
        <f t="shared" si="197"/>
        <v>F</v>
      </c>
      <c r="U3190" t="str">
        <f t="shared" si="198"/>
        <v>CA</v>
      </c>
      <c r="V3190" t="str">
        <f t="shared" si="199"/>
        <v>30696</v>
      </c>
    </row>
    <row r="3191" spans="1:22" x14ac:dyDescent="0.35">
      <c r="A3191" s="3">
        <v>101596</v>
      </c>
      <c r="B3191" t="s">
        <v>36</v>
      </c>
      <c r="C3191" t="s">
        <v>17</v>
      </c>
      <c r="D3191">
        <v>313</v>
      </c>
      <c r="E3191">
        <v>138</v>
      </c>
      <c r="F3191">
        <v>216</v>
      </c>
      <c r="G3191">
        <v>0</v>
      </c>
      <c r="H3191">
        <v>7617</v>
      </c>
      <c r="I3191">
        <v>1</v>
      </c>
      <c r="J3191">
        <v>62</v>
      </c>
      <c r="K3191">
        <v>165</v>
      </c>
      <c r="L3191">
        <v>189</v>
      </c>
      <c r="M3191">
        <v>17.75</v>
      </c>
      <c r="N3191">
        <f>IFERROR(VLOOKUP(A3191,vlookup_table!$A:$G,2,FALSE),"")</f>
        <v>0</v>
      </c>
      <c r="O3191">
        <f>IFERROR(VLOOKUP(A3191,vlookup_table!$A:$G,4,FALSE),"")</f>
        <v>0</v>
      </c>
      <c r="P3191" t="str">
        <f>IFERROR(VLOOKUP(A3191,vlookup_table!$A:$G,5,FALSE),"")</f>
        <v>R3</v>
      </c>
      <c r="Q3191">
        <f>IFERROR(VLOOKUP(A3191,vlookup_table!$A:$G,7,FALSE),"")</f>
        <v>16</v>
      </c>
      <c r="R3191">
        <f t="shared" si="196"/>
        <v>97</v>
      </c>
      <c r="S3191" t="str" cm="1">
        <f t="array" ref="S3191">IF(P3191="","",_xlfn.SWITCH(LEFT(P3191,1),"C","Ciudad","T","Pueblo","R","Rural","S","Suburbano","U","Urbano",""))</f>
        <v>Rural</v>
      </c>
      <c r="T3191" t="str">
        <f t="shared" si="197"/>
        <v>F</v>
      </c>
      <c r="U3191" t="str">
        <f t="shared" si="198"/>
        <v>MO</v>
      </c>
      <c r="V3191" t="str">
        <f t="shared" si="199"/>
        <v>7617</v>
      </c>
    </row>
    <row r="3192" spans="1:22" x14ac:dyDescent="0.35">
      <c r="A3192" s="3">
        <v>175000</v>
      </c>
      <c r="B3192" t="s">
        <v>50</v>
      </c>
      <c r="C3192" t="s">
        <v>17</v>
      </c>
      <c r="D3192">
        <v>944</v>
      </c>
      <c r="E3192">
        <v>355</v>
      </c>
      <c r="F3192">
        <v>454</v>
      </c>
      <c r="G3192">
        <v>3</v>
      </c>
      <c r="H3192">
        <v>14928</v>
      </c>
      <c r="I3192">
        <v>2</v>
      </c>
      <c r="J3192">
        <v>45</v>
      </c>
      <c r="K3192">
        <v>350</v>
      </c>
      <c r="L3192">
        <v>430</v>
      </c>
      <c r="M3192">
        <v>13.09090909</v>
      </c>
      <c r="N3192">
        <f>IFERROR(VLOOKUP(A3192,vlookup_table!$A:$G,2,FALSE),"")</f>
        <v>2</v>
      </c>
      <c r="O3192">
        <f>IFERROR(VLOOKUP(A3192,vlookup_table!$A:$G,4,FALSE),"")</f>
        <v>3307</v>
      </c>
      <c r="P3192" t="str">
        <f>IFERROR(VLOOKUP(A3192,vlookup_table!$A:$G,5,FALSE),"")</f>
        <v>T2</v>
      </c>
      <c r="Q3192">
        <f>IFERROR(VLOOKUP(A3192,vlookup_table!$A:$G,7,FALSE),"")</f>
        <v>17</v>
      </c>
      <c r="R3192">
        <f t="shared" si="196"/>
        <v>64</v>
      </c>
      <c r="S3192" t="str" cm="1">
        <f t="array" ref="S3192">IF(P3192="","",_xlfn.SWITCH(LEFT(P3192,1),"C","Ciudad","T","Pueblo","R","Rural","S","Suburbano","U","Urbano",""))</f>
        <v>Pueblo</v>
      </c>
      <c r="T3192" t="str">
        <f t="shared" si="197"/>
        <v>F</v>
      </c>
      <c r="U3192" t="str">
        <f t="shared" si="198"/>
        <v>OR</v>
      </c>
      <c r="V3192" t="str">
        <f t="shared" si="199"/>
        <v>14928</v>
      </c>
    </row>
    <row r="3193" spans="1:22" x14ac:dyDescent="0.35">
      <c r="A3193" s="3">
        <v>14798</v>
      </c>
      <c r="B3193" t="s">
        <v>22</v>
      </c>
      <c r="C3193" t="s">
        <v>17</v>
      </c>
      <c r="D3193">
        <v>1089</v>
      </c>
      <c r="E3193">
        <v>296</v>
      </c>
      <c r="F3193">
        <v>352</v>
      </c>
      <c r="G3193">
        <v>3</v>
      </c>
      <c r="H3193">
        <v>12998</v>
      </c>
      <c r="I3193">
        <v>10</v>
      </c>
      <c r="J3193">
        <v>51</v>
      </c>
      <c r="K3193">
        <v>324</v>
      </c>
      <c r="L3193">
        <v>328</v>
      </c>
      <c r="M3193">
        <v>8.8260869569999993</v>
      </c>
      <c r="N3193">
        <f>IFERROR(VLOOKUP(A3193,vlookup_table!$A:$G,2,FALSE),"")</f>
        <v>0</v>
      </c>
      <c r="O3193">
        <f>IFERROR(VLOOKUP(A3193,vlookup_table!$A:$G,4,FALSE),"")</f>
        <v>1211</v>
      </c>
      <c r="P3193" t="str">
        <f>IFERROR(VLOOKUP(A3193,vlookup_table!$A:$G,5,FALSE),"")</f>
        <v>S2</v>
      </c>
      <c r="Q3193">
        <f>IFERROR(VLOOKUP(A3193,vlookup_table!$A:$G,7,FALSE),"")</f>
        <v>10</v>
      </c>
      <c r="R3193">
        <f t="shared" si="196"/>
        <v>85</v>
      </c>
      <c r="S3193" t="str" cm="1">
        <f t="array" ref="S3193">IF(P3193="","",_xlfn.SWITCH(LEFT(P3193,1),"C","Ciudad","T","Pueblo","R","Rural","S","Suburbano","U","Urbano",""))</f>
        <v>Suburbano</v>
      </c>
      <c r="T3193" t="str">
        <f t="shared" si="197"/>
        <v>F</v>
      </c>
      <c r="U3193" t="str">
        <f t="shared" si="198"/>
        <v>CA</v>
      </c>
      <c r="V3193" t="str">
        <f t="shared" si="199"/>
        <v>12998</v>
      </c>
    </row>
    <row r="3194" spans="1:22" x14ac:dyDescent="0.35">
      <c r="A3194" s="3">
        <v>120800</v>
      </c>
      <c r="B3194" t="s">
        <v>21</v>
      </c>
      <c r="C3194" t="s">
        <v>14</v>
      </c>
      <c r="D3194">
        <v>623</v>
      </c>
      <c r="E3194">
        <v>222</v>
      </c>
      <c r="F3194">
        <v>373</v>
      </c>
      <c r="G3194">
        <v>1</v>
      </c>
      <c r="H3194">
        <v>12743</v>
      </c>
      <c r="I3194">
        <v>2</v>
      </c>
      <c r="J3194">
        <v>70</v>
      </c>
      <c r="K3194">
        <v>348</v>
      </c>
      <c r="L3194">
        <v>301</v>
      </c>
      <c r="M3194">
        <v>9</v>
      </c>
      <c r="N3194">
        <f>IFERROR(VLOOKUP(A3194,vlookup_table!$A:$G,2,FALSE),"")</f>
        <v>1</v>
      </c>
      <c r="O3194">
        <f>IFERROR(VLOOKUP(A3194,vlookup_table!$A:$G,4,FALSE),"")</f>
        <v>3201</v>
      </c>
      <c r="P3194" t="str">
        <f>IFERROR(VLOOKUP(A3194,vlookup_table!$A:$G,5,FALSE),"")</f>
        <v>C2</v>
      </c>
      <c r="Q3194">
        <f>IFERROR(VLOOKUP(A3194,vlookup_table!$A:$G,7,FALSE),"")</f>
        <v>10</v>
      </c>
      <c r="R3194">
        <f t="shared" si="196"/>
        <v>65</v>
      </c>
      <c r="S3194" t="str" cm="1">
        <f t="array" ref="S3194">IF(P3194="","",_xlfn.SWITCH(LEFT(P3194,1),"C","Ciudad","T","Pueblo","R","Rural","S","Suburbano","U","Urbano",""))</f>
        <v>Ciudad</v>
      </c>
      <c r="T3194" t="str">
        <f t="shared" si="197"/>
        <v>M</v>
      </c>
      <c r="U3194" t="str">
        <f t="shared" si="198"/>
        <v>TX</v>
      </c>
      <c r="V3194" t="str">
        <f t="shared" si="199"/>
        <v>12743</v>
      </c>
    </row>
    <row r="3195" spans="1:22" x14ac:dyDescent="0.35">
      <c r="A3195" s="3">
        <v>187639</v>
      </c>
      <c r="B3195" t="s">
        <v>13</v>
      </c>
      <c r="C3195" t="s">
        <v>14</v>
      </c>
      <c r="D3195">
        <v>1327</v>
      </c>
      <c r="E3195">
        <v>527</v>
      </c>
      <c r="F3195">
        <v>649</v>
      </c>
      <c r="G3195">
        <v>6</v>
      </c>
      <c r="H3195">
        <v>23089</v>
      </c>
      <c r="I3195">
        <v>6</v>
      </c>
      <c r="J3195">
        <v>18</v>
      </c>
      <c r="K3195">
        <v>573</v>
      </c>
      <c r="L3195">
        <v>564</v>
      </c>
      <c r="M3195">
        <v>8.3333333330000006</v>
      </c>
      <c r="N3195">
        <f>IFERROR(VLOOKUP(A3195,vlookup_table!$A:$G,2,FALSE),"")</f>
        <v>1</v>
      </c>
      <c r="O3195">
        <f>IFERROR(VLOOKUP(A3195,vlookup_table!$A:$G,4,FALSE),"")</f>
        <v>0</v>
      </c>
      <c r="P3195" t="str">
        <f>IFERROR(VLOOKUP(A3195,vlookup_table!$A:$G,5,FALSE),"")</f>
        <v>C1</v>
      </c>
      <c r="Q3195">
        <f>IFERROR(VLOOKUP(A3195,vlookup_table!$A:$G,7,FALSE),"")</f>
        <v>10</v>
      </c>
      <c r="R3195">
        <f t="shared" si="196"/>
        <v>97</v>
      </c>
      <c r="S3195" t="str" cm="1">
        <f t="array" ref="S3195">IF(P3195="","",_xlfn.SWITCH(LEFT(P3195,1),"C","Ciudad","T","Pueblo","R","Rural","S","Suburbano","U","Urbano",""))</f>
        <v>Ciudad</v>
      </c>
      <c r="T3195" t="str">
        <f t="shared" si="197"/>
        <v>M</v>
      </c>
      <c r="U3195" t="str">
        <f t="shared" si="198"/>
        <v>FL</v>
      </c>
      <c r="V3195" t="str">
        <f t="shared" si="199"/>
        <v>23089</v>
      </c>
    </row>
    <row r="3196" spans="1:22" x14ac:dyDescent="0.35">
      <c r="A3196" s="3">
        <v>142487</v>
      </c>
      <c r="B3196" t="s">
        <v>22</v>
      </c>
      <c r="C3196" t="s">
        <v>17</v>
      </c>
      <c r="D3196">
        <v>5438</v>
      </c>
      <c r="E3196">
        <v>881</v>
      </c>
      <c r="F3196">
        <v>1051</v>
      </c>
      <c r="G3196">
        <v>95</v>
      </c>
      <c r="H3196">
        <v>40432</v>
      </c>
      <c r="I3196">
        <v>30</v>
      </c>
      <c r="J3196">
        <v>43</v>
      </c>
      <c r="K3196">
        <v>967</v>
      </c>
      <c r="L3196">
        <v>928</v>
      </c>
      <c r="M3196">
        <v>15</v>
      </c>
      <c r="N3196">
        <f>IFERROR(VLOOKUP(A3196,vlookup_table!$A:$G,2,FALSE),"")</f>
        <v>28</v>
      </c>
      <c r="O3196">
        <f>IFERROR(VLOOKUP(A3196,vlookup_table!$A:$G,4,FALSE),"")</f>
        <v>201</v>
      </c>
      <c r="P3196" t="str">
        <f>IFERROR(VLOOKUP(A3196,vlookup_table!$A:$G,5,FALSE),"")</f>
        <v>S1</v>
      </c>
      <c r="Q3196">
        <f>IFERROR(VLOOKUP(A3196,vlookup_table!$A:$G,7,FALSE),"")</f>
        <v>20</v>
      </c>
      <c r="R3196">
        <f t="shared" si="196"/>
        <v>95</v>
      </c>
      <c r="S3196" t="str" cm="1">
        <f t="array" ref="S3196">IF(P3196="","",_xlfn.SWITCH(LEFT(P3196,1),"C","Ciudad","T","Pueblo","R","Rural","S","Suburbano","U","Urbano",""))</f>
        <v>Suburbano</v>
      </c>
      <c r="T3196" t="str">
        <f t="shared" si="197"/>
        <v>F</v>
      </c>
      <c r="U3196" t="str">
        <f t="shared" si="198"/>
        <v>CA</v>
      </c>
      <c r="V3196" t="str">
        <f t="shared" si="199"/>
        <v>40432</v>
      </c>
    </row>
    <row r="3197" spans="1:22" x14ac:dyDescent="0.35">
      <c r="A3197" s="3">
        <v>134895</v>
      </c>
      <c r="B3197" t="s">
        <v>38</v>
      </c>
      <c r="C3197" t="s">
        <v>17</v>
      </c>
      <c r="D3197">
        <v>546</v>
      </c>
      <c r="E3197">
        <v>267</v>
      </c>
      <c r="F3197">
        <v>295</v>
      </c>
      <c r="G3197">
        <v>0</v>
      </c>
      <c r="H3197">
        <v>7072</v>
      </c>
      <c r="I3197">
        <v>1</v>
      </c>
      <c r="J3197">
        <v>67</v>
      </c>
      <c r="K3197">
        <v>278</v>
      </c>
      <c r="L3197">
        <v>283</v>
      </c>
      <c r="M3197">
        <v>5.434782609</v>
      </c>
      <c r="N3197">
        <f>IFERROR(VLOOKUP(A3197,vlookup_table!$A:$G,2,FALSE),"")</f>
        <v>0</v>
      </c>
      <c r="O3197">
        <f>IFERROR(VLOOKUP(A3197,vlookup_table!$A:$G,4,FALSE),"")</f>
        <v>0</v>
      </c>
      <c r="P3197" t="str">
        <f>IFERROR(VLOOKUP(A3197,vlookup_table!$A:$G,5,FALSE),"")</f>
        <v>R2</v>
      </c>
      <c r="Q3197">
        <f>IFERROR(VLOOKUP(A3197,vlookup_table!$A:$G,7,FALSE),"")</f>
        <v>10</v>
      </c>
      <c r="R3197">
        <f t="shared" si="196"/>
        <v>97</v>
      </c>
      <c r="S3197" t="str" cm="1">
        <f t="array" ref="S3197">IF(P3197="","",_xlfn.SWITCH(LEFT(P3197,1),"C","Ciudad","T","Pueblo","R","Rural","S","Suburbano","U","Urbano",""))</f>
        <v>Rural</v>
      </c>
      <c r="T3197" t="str">
        <f t="shared" si="197"/>
        <v>F</v>
      </c>
      <c r="U3197" t="str">
        <f t="shared" si="198"/>
        <v>UT</v>
      </c>
      <c r="V3197" t="str">
        <f t="shared" si="199"/>
        <v>7072</v>
      </c>
    </row>
    <row r="3198" spans="1:22" x14ac:dyDescent="0.35">
      <c r="A3198" s="3">
        <v>171205</v>
      </c>
      <c r="B3198" t="s">
        <v>22</v>
      </c>
      <c r="C3198" t="s">
        <v>17</v>
      </c>
      <c r="D3198" t="s">
        <v>82</v>
      </c>
      <c r="E3198">
        <v>205</v>
      </c>
      <c r="F3198">
        <v>388</v>
      </c>
      <c r="G3198">
        <v>4</v>
      </c>
      <c r="H3198">
        <v>22845</v>
      </c>
      <c r="I3198">
        <v>4</v>
      </c>
      <c r="J3198">
        <v>71</v>
      </c>
      <c r="K3198">
        <v>221</v>
      </c>
      <c r="L3198">
        <v>337</v>
      </c>
      <c r="M3198">
        <v>7.4545454549999999</v>
      </c>
      <c r="N3198">
        <f>IFERROR(VLOOKUP(A3198,vlookup_table!$A:$G,2,FALSE),"")</f>
        <v>228</v>
      </c>
      <c r="O3198">
        <f>IFERROR(VLOOKUP(A3198,vlookup_table!$A:$G,4,FALSE),"")</f>
        <v>0</v>
      </c>
      <c r="P3198" t="str">
        <f>IFERROR(VLOOKUP(A3198,vlookup_table!$A:$G,5,FALSE),"")</f>
        <v>R2</v>
      </c>
      <c r="Q3198">
        <f>IFERROR(VLOOKUP(A3198,vlookup_table!$A:$G,7,FALSE),"")</f>
        <v>12</v>
      </c>
      <c r="R3198">
        <f t="shared" si="196"/>
        <v>97</v>
      </c>
      <c r="S3198" t="str" cm="1">
        <f t="array" ref="S3198">IF(P3198="","",_xlfn.SWITCH(LEFT(P3198,1),"C","Ciudad","T","Pueblo","R","Rural","S","Suburbano","U","Urbano",""))</f>
        <v>Rural</v>
      </c>
      <c r="T3198" t="str">
        <f t="shared" si="197"/>
        <v>F</v>
      </c>
      <c r="U3198" t="str">
        <f t="shared" si="198"/>
        <v>CA</v>
      </c>
      <c r="V3198" t="str">
        <f t="shared" si="199"/>
        <v>22845</v>
      </c>
    </row>
    <row r="3199" spans="1:22" x14ac:dyDescent="0.35">
      <c r="A3199" s="3">
        <v>7451</v>
      </c>
      <c r="B3199" t="s">
        <v>46</v>
      </c>
      <c r="D3199">
        <v>608</v>
      </c>
      <c r="E3199">
        <v>229</v>
      </c>
      <c r="F3199">
        <v>362</v>
      </c>
      <c r="G3199">
        <v>1</v>
      </c>
      <c r="H3199">
        <v>13829</v>
      </c>
      <c r="I3199">
        <v>2</v>
      </c>
      <c r="J3199">
        <v>43</v>
      </c>
      <c r="K3199">
        <v>350</v>
      </c>
      <c r="L3199">
        <v>268</v>
      </c>
      <c r="M3199">
        <v>14.823529410000001</v>
      </c>
      <c r="N3199">
        <f>IFERROR(VLOOKUP(A3199,vlookup_table!$A:$G,2,FALSE),"")</f>
        <v>2</v>
      </c>
      <c r="O3199">
        <f>IFERROR(VLOOKUP(A3199,vlookup_table!$A:$G,4,FALSE),"")</f>
        <v>1401</v>
      </c>
      <c r="P3199" t="str">
        <f>IFERROR(VLOOKUP(A3199,vlookup_table!$A:$G,5,FALSE),"")</f>
        <v>C1</v>
      </c>
      <c r="Q3199">
        <f>IFERROR(VLOOKUP(A3199,vlookup_table!$A:$G,7,FALSE),"")</f>
        <v>22</v>
      </c>
      <c r="R3199">
        <f t="shared" si="196"/>
        <v>83</v>
      </c>
      <c r="S3199" t="str" cm="1">
        <f t="array" ref="S3199">IF(P3199="","",_xlfn.SWITCH(LEFT(P3199,1),"C","Ciudad","T","Pueblo","R","Rural","S","Suburbano","U","Urbano",""))</f>
        <v>Ciudad</v>
      </c>
      <c r="T3199" t="str">
        <f t="shared" si="197"/>
        <v/>
      </c>
      <c r="U3199" t="str">
        <f t="shared" si="198"/>
        <v>SC</v>
      </c>
      <c r="V3199" t="str">
        <f t="shared" si="199"/>
        <v>13829</v>
      </c>
    </row>
    <row r="3200" spans="1:22" x14ac:dyDescent="0.35">
      <c r="A3200" s="3">
        <v>95450</v>
      </c>
      <c r="B3200" t="s">
        <v>16</v>
      </c>
      <c r="C3200" t="s">
        <v>17</v>
      </c>
      <c r="D3200">
        <v>377</v>
      </c>
      <c r="E3200">
        <v>241</v>
      </c>
      <c r="F3200">
        <v>306</v>
      </c>
      <c r="G3200">
        <v>1</v>
      </c>
      <c r="H3200">
        <v>10701</v>
      </c>
      <c r="I3200">
        <v>2</v>
      </c>
      <c r="J3200">
        <v>80</v>
      </c>
      <c r="K3200">
        <v>283</v>
      </c>
      <c r="L3200">
        <v>281</v>
      </c>
      <c r="M3200">
        <v>10.16666667</v>
      </c>
      <c r="N3200">
        <f>IFERROR(VLOOKUP(A3200,vlookup_table!$A:$G,2,FALSE),"")</f>
        <v>0</v>
      </c>
      <c r="O3200">
        <f>IFERROR(VLOOKUP(A3200,vlookup_table!$A:$G,4,FALSE),"")</f>
        <v>5201</v>
      </c>
      <c r="P3200" t="str">
        <f>IFERROR(VLOOKUP(A3200,vlookup_table!$A:$G,5,FALSE),"")</f>
        <v>T3</v>
      </c>
      <c r="Q3200">
        <f>IFERROR(VLOOKUP(A3200,vlookup_table!$A:$G,7,FALSE),"")</f>
        <v>11</v>
      </c>
      <c r="R3200">
        <f t="shared" si="196"/>
        <v>45</v>
      </c>
      <c r="S3200" t="str" cm="1">
        <f t="array" ref="S3200">IF(P3200="","",_xlfn.SWITCH(LEFT(P3200,1),"C","Ciudad","T","Pueblo","R","Rural","S","Suburbano","U","Urbano",""))</f>
        <v>Pueblo</v>
      </c>
      <c r="T3200" t="str">
        <f t="shared" si="197"/>
        <v>F</v>
      </c>
      <c r="U3200" t="str">
        <f t="shared" si="198"/>
        <v>IL</v>
      </c>
      <c r="V3200" t="str">
        <f t="shared" si="199"/>
        <v>10701</v>
      </c>
    </row>
    <row r="3201" spans="1:22" x14ac:dyDescent="0.35">
      <c r="A3201" s="3">
        <v>129598</v>
      </c>
      <c r="B3201" t="s">
        <v>48</v>
      </c>
      <c r="C3201" t="s">
        <v>14</v>
      </c>
      <c r="D3201">
        <v>756</v>
      </c>
      <c r="E3201">
        <v>405</v>
      </c>
      <c r="F3201">
        <v>430</v>
      </c>
      <c r="G3201">
        <v>0</v>
      </c>
      <c r="H3201">
        <v>15709</v>
      </c>
      <c r="I3201">
        <v>2</v>
      </c>
      <c r="J3201">
        <v>45</v>
      </c>
      <c r="K3201">
        <v>423</v>
      </c>
      <c r="L3201">
        <v>394</v>
      </c>
      <c r="M3201">
        <v>23.85714286</v>
      </c>
      <c r="N3201">
        <f>IFERROR(VLOOKUP(A3201,vlookup_table!$A:$G,2,FALSE),"")</f>
        <v>1</v>
      </c>
      <c r="O3201">
        <f>IFERROR(VLOOKUP(A3201,vlookup_table!$A:$G,4,FALSE),"")</f>
        <v>5007</v>
      </c>
      <c r="P3201" t="str">
        <f>IFERROR(VLOOKUP(A3201,vlookup_table!$A:$G,5,FALSE),"")</f>
        <v>S3</v>
      </c>
      <c r="Q3201">
        <f>IFERROR(VLOOKUP(A3201,vlookup_table!$A:$G,7,FALSE),"")</f>
        <v>37</v>
      </c>
      <c r="R3201">
        <f t="shared" si="196"/>
        <v>47</v>
      </c>
      <c r="S3201" t="str" cm="1">
        <f t="array" ref="S3201">IF(P3201="","",_xlfn.SWITCH(LEFT(P3201,1),"C","Ciudad","T","Pueblo","R","Rural","S","Suburbano","U","Urbano",""))</f>
        <v>Suburbano</v>
      </c>
      <c r="T3201" t="str">
        <f t="shared" si="197"/>
        <v>M</v>
      </c>
      <c r="U3201" t="str">
        <f t="shared" si="198"/>
        <v>CO</v>
      </c>
      <c r="V3201" t="str">
        <f t="shared" si="199"/>
        <v>15709</v>
      </c>
    </row>
    <row r="3202" spans="1:22" x14ac:dyDescent="0.35">
      <c r="A3202" s="3">
        <v>99268</v>
      </c>
      <c r="B3202" t="s">
        <v>16</v>
      </c>
      <c r="C3202" t="s">
        <v>14</v>
      </c>
      <c r="D3202">
        <v>377</v>
      </c>
      <c r="E3202">
        <v>256</v>
      </c>
      <c r="F3202">
        <v>309</v>
      </c>
      <c r="G3202">
        <v>0</v>
      </c>
      <c r="H3202">
        <v>11657</v>
      </c>
      <c r="I3202">
        <v>0</v>
      </c>
      <c r="J3202">
        <v>71</v>
      </c>
      <c r="K3202">
        <v>304</v>
      </c>
      <c r="L3202">
        <v>275</v>
      </c>
      <c r="M3202">
        <v>9.8000000000000007</v>
      </c>
      <c r="N3202">
        <f>IFERROR(VLOOKUP(A3202,vlookup_table!$A:$G,2,FALSE),"")</f>
        <v>1</v>
      </c>
      <c r="O3202">
        <f>IFERROR(VLOOKUP(A3202,vlookup_table!$A:$G,4,FALSE),"")</f>
        <v>3905</v>
      </c>
      <c r="P3202" t="str">
        <f>IFERROR(VLOOKUP(A3202,vlookup_table!$A:$G,5,FALSE),"")</f>
        <v>R3</v>
      </c>
      <c r="Q3202">
        <f>IFERROR(VLOOKUP(A3202,vlookup_table!$A:$G,7,FALSE),"")</f>
        <v>15</v>
      </c>
      <c r="R3202">
        <f t="shared" ref="R3202:R3265" si="200">IF(O3202="","",97-INT(O3202/100))</f>
        <v>58</v>
      </c>
      <c r="S3202" t="str" cm="1">
        <f t="array" ref="S3202">IF(P3202="","",_xlfn.SWITCH(LEFT(P3202,1),"C","Ciudad","T","Pueblo","R","Rural","S","Suburbano","U","Urbano",""))</f>
        <v>Rural</v>
      </c>
      <c r="T3202" t="str">
        <f t="shared" ref="T3202:T3265" si="201">IF(C3202="","",IF(OR(UPPER(C3202)="M",UPPER(C3202)="MALE"),"M",IF(OR(UPPER(C3202)="F",UPPER(C3202)="FEMALE",UPPER(C3202)="FEAMALE"),"F",C3202)))</f>
        <v>M</v>
      </c>
      <c r="U3202" t="str">
        <f t="shared" ref="U3202:U3265" si="202">IF(OR(UPPER(B3202)="CALIFORNIA",UPPER(B3202)="CALI"),"CA",B3202)</f>
        <v>IL</v>
      </c>
      <c r="V3202" t="str">
        <f t="shared" ref="V3202:V3265" si="203">SUBSTITUTE(H3202,"@","")</f>
        <v>11657</v>
      </c>
    </row>
    <row r="3203" spans="1:22" x14ac:dyDescent="0.35">
      <c r="A3203" s="3">
        <v>82739</v>
      </c>
      <c r="B3203" t="s">
        <v>56</v>
      </c>
      <c r="C3203" t="s">
        <v>14</v>
      </c>
      <c r="D3203">
        <v>604</v>
      </c>
      <c r="E3203">
        <v>266</v>
      </c>
      <c r="F3203">
        <v>435</v>
      </c>
      <c r="G3203">
        <v>0</v>
      </c>
      <c r="H3203">
        <v>21127</v>
      </c>
      <c r="I3203">
        <v>10</v>
      </c>
      <c r="J3203">
        <v>64</v>
      </c>
      <c r="K3203">
        <v>372</v>
      </c>
      <c r="L3203">
        <v>302</v>
      </c>
      <c r="M3203">
        <v>11.66666667</v>
      </c>
      <c r="N3203">
        <f>IFERROR(VLOOKUP(A3203,vlookup_table!$A:$G,2,FALSE),"")</f>
        <v>1</v>
      </c>
      <c r="O3203">
        <f>IFERROR(VLOOKUP(A3203,vlookup_table!$A:$G,4,FALSE),"")</f>
        <v>6201</v>
      </c>
      <c r="P3203" t="str">
        <f>IFERROR(VLOOKUP(A3203,vlookup_table!$A:$G,5,FALSE),"")</f>
        <v>S2</v>
      </c>
      <c r="Q3203">
        <f>IFERROR(VLOOKUP(A3203,vlookup_table!$A:$G,7,FALSE),"")</f>
        <v>20</v>
      </c>
      <c r="R3203">
        <f t="shared" si="200"/>
        <v>35</v>
      </c>
      <c r="S3203" t="str" cm="1">
        <f t="array" ref="S3203">IF(P3203="","",_xlfn.SWITCH(LEFT(P3203,1),"C","Ciudad","T","Pueblo","R","Rural","S","Suburbano","U","Urbano",""))</f>
        <v>Suburbano</v>
      </c>
      <c r="T3203" t="str">
        <f t="shared" si="201"/>
        <v>M</v>
      </c>
      <c r="U3203" t="str">
        <f t="shared" si="202"/>
        <v>MN</v>
      </c>
      <c r="V3203" t="str">
        <f t="shared" si="203"/>
        <v>21127</v>
      </c>
    </row>
    <row r="3204" spans="1:22" x14ac:dyDescent="0.35">
      <c r="A3204" s="3">
        <v>81319</v>
      </c>
      <c r="B3204" t="s">
        <v>35</v>
      </c>
      <c r="C3204" t="s">
        <v>17</v>
      </c>
      <c r="D3204">
        <v>310</v>
      </c>
      <c r="E3204">
        <v>232</v>
      </c>
      <c r="F3204">
        <v>339</v>
      </c>
      <c r="G3204">
        <v>0</v>
      </c>
      <c r="H3204">
        <v>9741</v>
      </c>
      <c r="I3204">
        <v>1</v>
      </c>
      <c r="J3204">
        <v>90</v>
      </c>
      <c r="K3204">
        <v>258</v>
      </c>
      <c r="L3204">
        <v>309</v>
      </c>
      <c r="M3204">
        <v>9.8333333330000006</v>
      </c>
      <c r="N3204">
        <f>IFERROR(VLOOKUP(A3204,vlookup_table!$A:$G,2,FALSE),"")</f>
        <v>0</v>
      </c>
      <c r="O3204">
        <f>IFERROR(VLOOKUP(A3204,vlookup_table!$A:$G,4,FALSE),"")</f>
        <v>0</v>
      </c>
      <c r="P3204" t="str">
        <f>IFERROR(VLOOKUP(A3204,vlookup_table!$A:$G,5,FALSE),"")</f>
        <v>R3</v>
      </c>
      <c r="Q3204">
        <f>IFERROR(VLOOKUP(A3204,vlookup_table!$A:$G,7,FALSE),"")</f>
        <v>15</v>
      </c>
      <c r="R3204">
        <f t="shared" si="200"/>
        <v>97</v>
      </c>
      <c r="S3204" t="str" cm="1">
        <f t="array" ref="S3204">IF(P3204="","",_xlfn.SWITCH(LEFT(P3204,1),"C","Ciudad","T","Pueblo","R","Rural","S","Suburbano","U","Urbano",""))</f>
        <v>Rural</v>
      </c>
      <c r="T3204" t="str">
        <f t="shared" si="201"/>
        <v>F</v>
      </c>
      <c r="U3204" t="str">
        <f t="shared" si="202"/>
        <v>WI</v>
      </c>
      <c r="V3204" t="str">
        <f t="shared" si="203"/>
        <v>9741</v>
      </c>
    </row>
    <row r="3205" spans="1:22" x14ac:dyDescent="0.35">
      <c r="A3205" s="3">
        <v>1685</v>
      </c>
      <c r="B3205" t="s">
        <v>22</v>
      </c>
      <c r="D3205">
        <v>1130</v>
      </c>
      <c r="E3205">
        <v>333</v>
      </c>
      <c r="F3205">
        <v>431</v>
      </c>
      <c r="G3205">
        <v>9</v>
      </c>
      <c r="H3205">
        <v>15654</v>
      </c>
      <c r="I3205">
        <v>7</v>
      </c>
      <c r="J3205">
        <v>63</v>
      </c>
      <c r="K3205">
        <v>383</v>
      </c>
      <c r="L3205">
        <v>385</v>
      </c>
      <c r="M3205">
        <v>14</v>
      </c>
      <c r="N3205">
        <f>IFERROR(VLOOKUP(A3205,vlookup_table!$A:$G,2,FALSE),"")</f>
        <v>0</v>
      </c>
      <c r="O3205">
        <f>IFERROR(VLOOKUP(A3205,vlookup_table!$A:$G,4,FALSE),"")</f>
        <v>3001</v>
      </c>
      <c r="P3205" t="str">
        <f>IFERROR(VLOOKUP(A3205,vlookup_table!$A:$G,5,FALSE),"")</f>
        <v>R2</v>
      </c>
      <c r="Q3205">
        <f>IFERROR(VLOOKUP(A3205,vlookup_table!$A:$G,7,FALSE),"")</f>
        <v>20</v>
      </c>
      <c r="R3205">
        <f t="shared" si="200"/>
        <v>67</v>
      </c>
      <c r="S3205" t="str" cm="1">
        <f t="array" ref="S3205">IF(P3205="","",_xlfn.SWITCH(LEFT(P3205,1),"C","Ciudad","T","Pueblo","R","Rural","S","Suburbano","U","Urbano",""))</f>
        <v>Rural</v>
      </c>
      <c r="T3205" t="str">
        <f t="shared" si="201"/>
        <v/>
      </c>
      <c r="U3205" t="str">
        <f t="shared" si="202"/>
        <v>CA</v>
      </c>
      <c r="V3205" t="str">
        <f t="shared" si="203"/>
        <v>15654</v>
      </c>
    </row>
    <row r="3206" spans="1:22" x14ac:dyDescent="0.35">
      <c r="A3206" s="3">
        <v>108781</v>
      </c>
      <c r="B3206" t="s">
        <v>49</v>
      </c>
      <c r="C3206" t="s">
        <v>17</v>
      </c>
      <c r="D3206">
        <v>703</v>
      </c>
      <c r="E3206">
        <v>322</v>
      </c>
      <c r="F3206">
        <v>417</v>
      </c>
      <c r="G3206">
        <v>5</v>
      </c>
      <c r="H3206">
        <v>15510</v>
      </c>
      <c r="I3206">
        <v>4</v>
      </c>
      <c r="J3206">
        <v>65</v>
      </c>
      <c r="K3206">
        <v>394</v>
      </c>
      <c r="L3206">
        <v>353</v>
      </c>
      <c r="M3206">
        <v>15.25</v>
      </c>
      <c r="N3206">
        <f>IFERROR(VLOOKUP(A3206,vlookup_table!$A:$G,2,FALSE),"")</f>
        <v>0</v>
      </c>
      <c r="O3206">
        <f>IFERROR(VLOOKUP(A3206,vlookup_table!$A:$G,4,FALSE),"")</f>
        <v>2610</v>
      </c>
      <c r="P3206" t="str">
        <f>IFERROR(VLOOKUP(A3206,vlookup_table!$A:$G,5,FALSE),"")</f>
        <v>T1</v>
      </c>
      <c r="Q3206">
        <f>IFERROR(VLOOKUP(A3206,vlookup_table!$A:$G,7,FALSE),"")</f>
        <v>24</v>
      </c>
      <c r="R3206">
        <f t="shared" si="200"/>
        <v>71</v>
      </c>
      <c r="S3206" t="str" cm="1">
        <f t="array" ref="S3206">IF(P3206="","",_xlfn.SWITCH(LEFT(P3206,1),"C","Ciudad","T","Pueblo","R","Rural","S","Suburbano","U","Urbano",""))</f>
        <v>Pueblo</v>
      </c>
      <c r="T3206" t="str">
        <f t="shared" si="201"/>
        <v>F</v>
      </c>
      <c r="U3206" t="str">
        <f t="shared" si="202"/>
        <v>LA</v>
      </c>
      <c r="V3206" t="str">
        <f t="shared" si="203"/>
        <v>15510</v>
      </c>
    </row>
    <row r="3207" spans="1:22" x14ac:dyDescent="0.35">
      <c r="A3207" s="3">
        <v>188999</v>
      </c>
      <c r="B3207" t="s">
        <v>45</v>
      </c>
      <c r="C3207" t="s">
        <v>14</v>
      </c>
      <c r="D3207">
        <v>696</v>
      </c>
      <c r="E3207">
        <v>376</v>
      </c>
      <c r="F3207">
        <v>418</v>
      </c>
      <c r="G3207">
        <v>0</v>
      </c>
      <c r="H3207">
        <v>13495</v>
      </c>
      <c r="I3207">
        <v>2</v>
      </c>
      <c r="J3207">
        <v>84</v>
      </c>
      <c r="K3207">
        <v>407</v>
      </c>
      <c r="L3207">
        <v>377</v>
      </c>
      <c r="M3207">
        <v>5.46</v>
      </c>
      <c r="N3207">
        <f>IFERROR(VLOOKUP(A3207,vlookup_table!$A:$G,2,FALSE),"")</f>
        <v>0</v>
      </c>
      <c r="O3207">
        <f>IFERROR(VLOOKUP(A3207,vlookup_table!$A:$G,4,FALSE),"")</f>
        <v>0</v>
      </c>
      <c r="P3207" t="str">
        <f>IFERROR(VLOOKUP(A3207,vlookup_table!$A:$G,5,FALSE),"")</f>
        <v>C1</v>
      </c>
      <c r="Q3207">
        <f>IFERROR(VLOOKUP(A3207,vlookup_table!$A:$G,7,FALSE),"")</f>
        <v>5</v>
      </c>
      <c r="R3207">
        <f t="shared" si="200"/>
        <v>97</v>
      </c>
      <c r="S3207" t="str" cm="1">
        <f t="array" ref="S3207">IF(P3207="","",_xlfn.SWITCH(LEFT(P3207,1),"C","Ciudad","T","Pueblo","R","Rural","S","Suburbano","U","Urbano",""))</f>
        <v>Ciudad</v>
      </c>
      <c r="T3207" t="str">
        <f t="shared" si="201"/>
        <v>M</v>
      </c>
      <c r="U3207" t="str">
        <f t="shared" si="202"/>
        <v>ND</v>
      </c>
      <c r="V3207" t="str">
        <f t="shared" si="203"/>
        <v>13495</v>
      </c>
    </row>
    <row r="3208" spans="1:22" x14ac:dyDescent="0.35">
      <c r="A3208" s="3">
        <v>72936</v>
      </c>
      <c r="B3208" t="s">
        <v>29</v>
      </c>
      <c r="C3208" t="s">
        <v>14</v>
      </c>
      <c r="D3208">
        <v>457</v>
      </c>
      <c r="E3208">
        <v>244</v>
      </c>
      <c r="F3208">
        <v>306</v>
      </c>
      <c r="G3208">
        <v>0</v>
      </c>
      <c r="H3208">
        <v>9868</v>
      </c>
      <c r="I3208">
        <v>3</v>
      </c>
      <c r="J3208">
        <v>87</v>
      </c>
      <c r="K3208">
        <v>272</v>
      </c>
      <c r="L3208">
        <v>278</v>
      </c>
      <c r="M3208">
        <v>9.5925925929999991</v>
      </c>
      <c r="N3208">
        <f>IFERROR(VLOOKUP(A3208,vlookup_table!$A:$G,2,FALSE),"")</f>
        <v>1</v>
      </c>
      <c r="O3208">
        <f>IFERROR(VLOOKUP(A3208,vlookup_table!$A:$G,4,FALSE),"")</f>
        <v>6111</v>
      </c>
      <c r="P3208" t="str">
        <f>IFERROR(VLOOKUP(A3208,vlookup_table!$A:$G,5,FALSE),"")</f>
        <v>R3</v>
      </c>
      <c r="Q3208">
        <f>IFERROR(VLOOKUP(A3208,vlookup_table!$A:$G,7,FALSE),"")</f>
        <v>20</v>
      </c>
      <c r="R3208">
        <f t="shared" si="200"/>
        <v>36</v>
      </c>
      <c r="S3208" t="str" cm="1">
        <f t="array" ref="S3208">IF(P3208="","",_xlfn.SWITCH(LEFT(P3208,1),"C","Ciudad","T","Pueblo","R","Rural","S","Suburbano","U","Urbano",""))</f>
        <v>Rural</v>
      </c>
      <c r="T3208" t="str">
        <f t="shared" si="201"/>
        <v>M</v>
      </c>
      <c r="U3208" t="str">
        <f t="shared" si="202"/>
        <v>MI</v>
      </c>
      <c r="V3208" t="str">
        <f t="shared" si="203"/>
        <v>9868</v>
      </c>
    </row>
    <row r="3209" spans="1:22" x14ac:dyDescent="0.35">
      <c r="A3209" s="3">
        <v>143011</v>
      </c>
      <c r="B3209" t="s">
        <v>22</v>
      </c>
      <c r="D3209">
        <v>5727</v>
      </c>
      <c r="E3209">
        <v>694</v>
      </c>
      <c r="F3209">
        <v>981</v>
      </c>
      <c r="G3209">
        <v>99</v>
      </c>
      <c r="H3209">
        <v>47422</v>
      </c>
      <c r="I3209">
        <v>25</v>
      </c>
      <c r="J3209">
        <v>32</v>
      </c>
      <c r="K3209">
        <v>1051</v>
      </c>
      <c r="L3209">
        <v>826</v>
      </c>
      <c r="M3209">
        <v>5.346153846</v>
      </c>
      <c r="N3209">
        <f>IFERROR(VLOOKUP(A3209,vlookup_table!$A:$G,2,FALSE),"")</f>
        <v>0</v>
      </c>
      <c r="O3209">
        <f>IFERROR(VLOOKUP(A3209,vlookup_table!$A:$G,4,FALSE),"")</f>
        <v>0</v>
      </c>
      <c r="P3209" t="str">
        <f>IFERROR(VLOOKUP(A3209,vlookup_table!$A:$G,5,FALSE),"")</f>
        <v>U1</v>
      </c>
      <c r="Q3209">
        <f>IFERROR(VLOOKUP(A3209,vlookup_table!$A:$G,7,FALSE),"")</f>
        <v>5</v>
      </c>
      <c r="R3209">
        <f t="shared" si="200"/>
        <v>97</v>
      </c>
      <c r="S3209" t="str" cm="1">
        <f t="array" ref="S3209">IF(P3209="","",_xlfn.SWITCH(LEFT(P3209,1),"C","Ciudad","T","Pueblo","R","Rural","S","Suburbano","U","Urbano",""))</f>
        <v>Urbano</v>
      </c>
      <c r="T3209" t="str">
        <f t="shared" si="201"/>
        <v/>
      </c>
      <c r="U3209" t="str">
        <f t="shared" si="202"/>
        <v>CA</v>
      </c>
      <c r="V3209" t="str">
        <f t="shared" si="203"/>
        <v>47422</v>
      </c>
    </row>
    <row r="3210" spans="1:22" x14ac:dyDescent="0.35">
      <c r="A3210" s="3">
        <v>66219</v>
      </c>
      <c r="B3210" t="s">
        <v>29</v>
      </c>
      <c r="C3210" t="s">
        <v>14</v>
      </c>
      <c r="D3210">
        <v>1139</v>
      </c>
      <c r="E3210">
        <v>630</v>
      </c>
      <c r="F3210">
        <v>713</v>
      </c>
      <c r="G3210">
        <v>8</v>
      </c>
      <c r="H3210">
        <v>27594</v>
      </c>
      <c r="I3210">
        <v>3</v>
      </c>
      <c r="J3210">
        <v>72</v>
      </c>
      <c r="K3210">
        <v>676</v>
      </c>
      <c r="L3210">
        <v>670</v>
      </c>
      <c r="M3210">
        <v>35</v>
      </c>
      <c r="N3210">
        <f>IFERROR(VLOOKUP(A3210,vlookup_table!$A:$G,2,FALSE),"")</f>
        <v>1</v>
      </c>
      <c r="O3210">
        <f>IFERROR(VLOOKUP(A3210,vlookup_table!$A:$G,4,FALSE),"")</f>
        <v>5612</v>
      </c>
      <c r="P3210" t="str">
        <f>IFERROR(VLOOKUP(A3210,vlookup_table!$A:$G,5,FALSE),"")</f>
        <v>S1</v>
      </c>
      <c r="Q3210">
        <f>IFERROR(VLOOKUP(A3210,vlookup_table!$A:$G,7,FALSE),"")</f>
        <v>50</v>
      </c>
      <c r="R3210">
        <f t="shared" si="200"/>
        <v>41</v>
      </c>
      <c r="S3210" t="str" cm="1">
        <f t="array" ref="S3210">IF(P3210="","",_xlfn.SWITCH(LEFT(P3210,1),"C","Ciudad","T","Pueblo","R","Rural","S","Suburbano","U","Urbano",""))</f>
        <v>Suburbano</v>
      </c>
      <c r="T3210" t="str">
        <f t="shared" si="201"/>
        <v>M</v>
      </c>
      <c r="U3210" t="str">
        <f t="shared" si="202"/>
        <v>MI</v>
      </c>
      <c r="V3210" t="str">
        <f t="shared" si="203"/>
        <v>27594</v>
      </c>
    </row>
    <row r="3211" spans="1:22" x14ac:dyDescent="0.35">
      <c r="A3211" s="3">
        <v>159883</v>
      </c>
      <c r="B3211" t="s">
        <v>22</v>
      </c>
      <c r="C3211" t="s">
        <v>17</v>
      </c>
      <c r="D3211">
        <v>554</v>
      </c>
      <c r="E3211">
        <v>183</v>
      </c>
      <c r="F3211">
        <v>224</v>
      </c>
      <c r="G3211">
        <v>0</v>
      </c>
      <c r="H3211">
        <v>7394</v>
      </c>
      <c r="I3211">
        <v>4</v>
      </c>
      <c r="J3211">
        <v>74</v>
      </c>
      <c r="K3211">
        <v>186</v>
      </c>
      <c r="L3211">
        <v>211</v>
      </c>
      <c r="M3211">
        <v>5.4375</v>
      </c>
      <c r="N3211">
        <f>IFERROR(VLOOKUP(A3211,vlookup_table!$A:$G,2,FALSE),"")</f>
        <v>2</v>
      </c>
      <c r="O3211">
        <f>IFERROR(VLOOKUP(A3211,vlookup_table!$A:$G,4,FALSE),"")</f>
        <v>2207</v>
      </c>
      <c r="P3211" t="str">
        <f>IFERROR(VLOOKUP(A3211,vlookup_table!$A:$G,5,FALSE),"")</f>
        <v>C3</v>
      </c>
      <c r="Q3211">
        <f>IFERROR(VLOOKUP(A3211,vlookup_table!$A:$G,7,FALSE),"")</f>
        <v>10</v>
      </c>
      <c r="R3211">
        <f t="shared" si="200"/>
        <v>75</v>
      </c>
      <c r="S3211" t="str" cm="1">
        <f t="array" ref="S3211">IF(P3211="","",_xlfn.SWITCH(LEFT(P3211,1),"C","Ciudad","T","Pueblo","R","Rural","S","Suburbano","U","Urbano",""))</f>
        <v>Ciudad</v>
      </c>
      <c r="T3211" t="str">
        <f t="shared" si="201"/>
        <v>F</v>
      </c>
      <c r="U3211" t="str">
        <f t="shared" si="202"/>
        <v>CA</v>
      </c>
      <c r="V3211" t="str">
        <f t="shared" si="203"/>
        <v>7394</v>
      </c>
    </row>
    <row r="3212" spans="1:22" x14ac:dyDescent="0.35">
      <c r="A3212" s="3">
        <v>95525</v>
      </c>
      <c r="B3212" t="s">
        <v>16</v>
      </c>
      <c r="C3212" t="s">
        <v>14</v>
      </c>
      <c r="D3212">
        <v>606</v>
      </c>
      <c r="E3212">
        <v>304</v>
      </c>
      <c r="F3212">
        <v>350</v>
      </c>
      <c r="G3212">
        <v>1</v>
      </c>
      <c r="H3212">
        <v>13662</v>
      </c>
      <c r="I3212">
        <v>1</v>
      </c>
      <c r="J3212">
        <v>72</v>
      </c>
      <c r="K3212">
        <v>322</v>
      </c>
      <c r="L3212">
        <v>320</v>
      </c>
      <c r="M3212">
        <v>37.5</v>
      </c>
      <c r="N3212">
        <f>IFERROR(VLOOKUP(A3212,vlookup_table!$A:$G,2,FALSE),"")</f>
        <v>1</v>
      </c>
      <c r="O3212">
        <f>IFERROR(VLOOKUP(A3212,vlookup_table!$A:$G,4,FALSE),"")</f>
        <v>0</v>
      </c>
      <c r="P3212" t="str">
        <f>IFERROR(VLOOKUP(A3212,vlookup_table!$A:$G,5,FALSE),"")</f>
        <v>R2</v>
      </c>
      <c r="Q3212">
        <f>IFERROR(VLOOKUP(A3212,vlookup_table!$A:$G,7,FALSE),"")</f>
        <v>30</v>
      </c>
      <c r="R3212">
        <f t="shared" si="200"/>
        <v>97</v>
      </c>
      <c r="S3212" t="str" cm="1">
        <f t="array" ref="S3212">IF(P3212="","",_xlfn.SWITCH(LEFT(P3212,1),"C","Ciudad","T","Pueblo","R","Rural","S","Suburbano","U","Urbano",""))</f>
        <v>Rural</v>
      </c>
      <c r="T3212" t="str">
        <f t="shared" si="201"/>
        <v>M</v>
      </c>
      <c r="U3212" t="str">
        <f t="shared" si="202"/>
        <v>IL</v>
      </c>
      <c r="V3212" t="str">
        <f t="shared" si="203"/>
        <v>13662</v>
      </c>
    </row>
    <row r="3213" spans="1:22" x14ac:dyDescent="0.35">
      <c r="A3213" s="3">
        <v>188778</v>
      </c>
      <c r="B3213" t="s">
        <v>13</v>
      </c>
      <c r="D3213">
        <v>635</v>
      </c>
      <c r="E3213">
        <v>225</v>
      </c>
      <c r="F3213">
        <v>291</v>
      </c>
      <c r="G3213">
        <v>1</v>
      </c>
      <c r="H3213">
        <v>10611</v>
      </c>
      <c r="I3213">
        <v>5</v>
      </c>
      <c r="J3213">
        <v>31</v>
      </c>
      <c r="K3213">
        <v>248</v>
      </c>
      <c r="L3213">
        <v>269</v>
      </c>
      <c r="M3213">
        <v>13.25</v>
      </c>
      <c r="N3213">
        <f>IFERROR(VLOOKUP(A3213,vlookup_table!$A:$G,2,FALSE),"")</f>
        <v>0</v>
      </c>
      <c r="O3213">
        <f>IFERROR(VLOOKUP(A3213,vlookup_table!$A:$G,4,FALSE),"")</f>
        <v>5603</v>
      </c>
      <c r="P3213">
        <f>IFERROR(VLOOKUP(A3213,vlookup_table!$A:$G,5,FALSE),"")</f>
        <v>0</v>
      </c>
      <c r="Q3213">
        <f>IFERROR(VLOOKUP(A3213,vlookup_table!$A:$G,7,FALSE),"")</f>
        <v>20</v>
      </c>
      <c r="R3213">
        <f t="shared" si="200"/>
        <v>41</v>
      </c>
      <c r="S3213" t="str" cm="1">
        <f t="array" ref="S3213">IF(P3213="","",_xlfn.SWITCH(LEFT(P3213,1),"C","Ciudad","T","Pueblo","R","Rural","S","Suburbano","U","Urbano",""))</f>
        <v/>
      </c>
      <c r="T3213" t="str">
        <f t="shared" si="201"/>
        <v/>
      </c>
      <c r="U3213" t="str">
        <f t="shared" si="202"/>
        <v>FL</v>
      </c>
      <c r="V3213" t="str">
        <f t="shared" si="203"/>
        <v>10611</v>
      </c>
    </row>
    <row r="3214" spans="1:22" x14ac:dyDescent="0.35">
      <c r="A3214" s="3">
        <v>55527</v>
      </c>
      <c r="B3214" t="s">
        <v>62</v>
      </c>
      <c r="C3214" t="s">
        <v>20</v>
      </c>
      <c r="D3214">
        <v>393</v>
      </c>
      <c r="E3214">
        <v>189</v>
      </c>
      <c r="F3214">
        <v>357</v>
      </c>
      <c r="G3214">
        <v>0</v>
      </c>
      <c r="H3214">
        <v>11906</v>
      </c>
      <c r="I3214">
        <v>6</v>
      </c>
      <c r="J3214">
        <v>75</v>
      </c>
      <c r="K3214">
        <v>224</v>
      </c>
      <c r="L3214">
        <v>266</v>
      </c>
      <c r="M3214">
        <v>5.375</v>
      </c>
      <c r="N3214">
        <f>IFERROR(VLOOKUP(A3214,vlookup_table!$A:$G,2,FALSE),"")</f>
        <v>0</v>
      </c>
      <c r="O3214">
        <f>IFERROR(VLOOKUP(A3214,vlookup_table!$A:$G,4,FALSE),"")</f>
        <v>6409</v>
      </c>
      <c r="P3214" t="str">
        <f>IFERROR(VLOOKUP(A3214,vlookup_table!$A:$G,5,FALSE),"")</f>
        <v>C2</v>
      </c>
      <c r="Q3214">
        <f>IFERROR(VLOOKUP(A3214,vlookup_table!$A:$G,7,FALSE),"")</f>
        <v>4</v>
      </c>
      <c r="R3214">
        <f t="shared" si="200"/>
        <v>33</v>
      </c>
      <c r="S3214" t="str" cm="1">
        <f t="array" ref="S3214">IF(P3214="","",_xlfn.SWITCH(LEFT(P3214,1),"C","Ciudad","T","Pueblo","R","Rural","S","Suburbano","U","Urbano",""))</f>
        <v>Ciudad</v>
      </c>
      <c r="T3214" t="str">
        <f t="shared" si="201"/>
        <v>F</v>
      </c>
      <c r="U3214" t="str">
        <f t="shared" si="202"/>
        <v>MS</v>
      </c>
      <c r="V3214" t="str">
        <f t="shared" si="203"/>
        <v>11906</v>
      </c>
    </row>
    <row r="3215" spans="1:22" x14ac:dyDescent="0.35">
      <c r="A3215" s="3">
        <v>151788</v>
      </c>
      <c r="B3215" t="s">
        <v>22</v>
      </c>
      <c r="C3215" t="s">
        <v>17</v>
      </c>
      <c r="D3215">
        <v>1407</v>
      </c>
      <c r="E3215">
        <v>368</v>
      </c>
      <c r="F3215">
        <v>386</v>
      </c>
      <c r="G3215">
        <v>6</v>
      </c>
      <c r="H3215">
        <v>11969</v>
      </c>
      <c r="I3215">
        <v>8</v>
      </c>
      <c r="J3215">
        <v>59</v>
      </c>
      <c r="K3215">
        <v>407</v>
      </c>
      <c r="L3215">
        <v>369</v>
      </c>
      <c r="M3215">
        <v>10.199999999999999</v>
      </c>
      <c r="N3215">
        <f>IFERROR(VLOOKUP(A3215,vlookup_table!$A:$G,2,FALSE),"")</f>
        <v>0</v>
      </c>
      <c r="O3215">
        <f>IFERROR(VLOOKUP(A3215,vlookup_table!$A:$G,4,FALSE),"")</f>
        <v>3301</v>
      </c>
      <c r="P3215" t="str">
        <f>IFERROR(VLOOKUP(A3215,vlookup_table!$A:$G,5,FALSE),"")</f>
        <v>U3</v>
      </c>
      <c r="Q3215">
        <f>IFERROR(VLOOKUP(A3215,vlookup_table!$A:$G,7,FALSE),"")</f>
        <v>10</v>
      </c>
      <c r="R3215">
        <f t="shared" si="200"/>
        <v>64</v>
      </c>
      <c r="S3215" t="str" cm="1">
        <f t="array" ref="S3215">IF(P3215="","",_xlfn.SWITCH(LEFT(P3215,1),"C","Ciudad","T","Pueblo","R","Rural","S","Suburbano","U","Urbano",""))</f>
        <v>Urbano</v>
      </c>
      <c r="T3215" t="str">
        <f t="shared" si="201"/>
        <v>F</v>
      </c>
      <c r="U3215" t="str">
        <f t="shared" si="202"/>
        <v>CA</v>
      </c>
      <c r="V3215" t="str">
        <f t="shared" si="203"/>
        <v>11969</v>
      </c>
    </row>
    <row r="3216" spans="1:22" x14ac:dyDescent="0.35">
      <c r="A3216" s="3">
        <v>173997</v>
      </c>
      <c r="B3216" t="s">
        <v>37</v>
      </c>
      <c r="C3216" t="s">
        <v>14</v>
      </c>
      <c r="D3216">
        <v>3500</v>
      </c>
      <c r="E3216">
        <v>365</v>
      </c>
      <c r="F3216">
        <v>588</v>
      </c>
      <c r="G3216">
        <v>86</v>
      </c>
      <c r="H3216">
        <v>27042</v>
      </c>
      <c r="I3216">
        <v>24</v>
      </c>
      <c r="J3216">
        <v>50</v>
      </c>
      <c r="K3216">
        <v>521</v>
      </c>
      <c r="L3216">
        <v>486</v>
      </c>
      <c r="M3216">
        <v>20</v>
      </c>
      <c r="N3216">
        <f>IFERROR(VLOOKUP(A3216,vlookup_table!$A:$G,2,FALSE),"")</f>
        <v>1</v>
      </c>
      <c r="O3216">
        <f>IFERROR(VLOOKUP(A3216,vlookup_table!$A:$G,4,FALSE),"")</f>
        <v>3701</v>
      </c>
      <c r="P3216" t="str">
        <f>IFERROR(VLOOKUP(A3216,vlookup_table!$A:$G,5,FALSE),"")</f>
        <v>U1</v>
      </c>
      <c r="Q3216">
        <f>IFERROR(VLOOKUP(A3216,vlookup_table!$A:$G,7,FALSE),"")</f>
        <v>20</v>
      </c>
      <c r="R3216">
        <f t="shared" si="200"/>
        <v>60</v>
      </c>
      <c r="S3216" t="str" cm="1">
        <f t="array" ref="S3216">IF(P3216="","",_xlfn.SWITCH(LEFT(P3216,1),"C","Ciudad","T","Pueblo","R","Rural","S","Suburbano","U","Urbano",""))</f>
        <v>Urbano</v>
      </c>
      <c r="T3216" t="str">
        <f t="shared" si="201"/>
        <v>M</v>
      </c>
      <c r="U3216" t="str">
        <f t="shared" si="202"/>
        <v>HI</v>
      </c>
      <c r="V3216" t="str">
        <f t="shared" si="203"/>
        <v>27042</v>
      </c>
    </row>
    <row r="3217" spans="1:22" x14ac:dyDescent="0.35">
      <c r="A3217" s="3">
        <v>145383</v>
      </c>
      <c r="B3217" t="s">
        <v>22</v>
      </c>
      <c r="C3217" t="s">
        <v>14</v>
      </c>
      <c r="D3217">
        <v>3617</v>
      </c>
      <c r="E3217">
        <v>549</v>
      </c>
      <c r="F3217">
        <v>599</v>
      </c>
      <c r="G3217">
        <v>96</v>
      </c>
      <c r="H3217">
        <v>19464</v>
      </c>
      <c r="I3217">
        <v>15</v>
      </c>
      <c r="J3217">
        <v>52</v>
      </c>
      <c r="K3217">
        <v>558</v>
      </c>
      <c r="L3217">
        <v>614</v>
      </c>
      <c r="M3217">
        <v>6.6666666670000003</v>
      </c>
      <c r="N3217">
        <f>IFERROR(VLOOKUP(A3217,vlookup_table!$A:$G,2,FALSE),"")</f>
        <v>1</v>
      </c>
      <c r="O3217">
        <f>IFERROR(VLOOKUP(A3217,vlookup_table!$A:$G,4,FALSE),"")</f>
        <v>3801</v>
      </c>
      <c r="P3217" t="str">
        <f>IFERROR(VLOOKUP(A3217,vlookup_table!$A:$G,5,FALSE),"")</f>
        <v>S1</v>
      </c>
      <c r="Q3217">
        <f>IFERROR(VLOOKUP(A3217,vlookup_table!$A:$G,7,FALSE),"")</f>
        <v>10</v>
      </c>
      <c r="R3217">
        <f t="shared" si="200"/>
        <v>59</v>
      </c>
      <c r="S3217" t="str" cm="1">
        <f t="array" ref="S3217">IF(P3217="","",_xlfn.SWITCH(LEFT(P3217,1),"C","Ciudad","T","Pueblo","R","Rural","S","Suburbano","U","Urbano",""))</f>
        <v>Suburbano</v>
      </c>
      <c r="T3217" t="str">
        <f t="shared" si="201"/>
        <v>M</v>
      </c>
      <c r="U3217" t="str">
        <f t="shared" si="202"/>
        <v>CA</v>
      </c>
      <c r="V3217" t="str">
        <f t="shared" si="203"/>
        <v>19464</v>
      </c>
    </row>
    <row r="3218" spans="1:22" x14ac:dyDescent="0.35">
      <c r="A3218" s="3">
        <v>176221</v>
      </c>
      <c r="B3218" t="s">
        <v>50</v>
      </c>
      <c r="C3218" t="s">
        <v>17</v>
      </c>
      <c r="D3218">
        <v>625</v>
      </c>
      <c r="E3218">
        <v>247</v>
      </c>
      <c r="F3218">
        <v>343</v>
      </c>
      <c r="G3218">
        <v>0</v>
      </c>
      <c r="H3218">
        <v>13242</v>
      </c>
      <c r="I3218">
        <v>8</v>
      </c>
      <c r="J3218">
        <v>47</v>
      </c>
      <c r="K3218">
        <v>274</v>
      </c>
      <c r="L3218">
        <v>301</v>
      </c>
      <c r="M3218">
        <v>7.2222222220000001</v>
      </c>
      <c r="N3218">
        <f>IFERROR(VLOOKUP(A3218,vlookup_table!$A:$G,2,FALSE),"")</f>
        <v>0</v>
      </c>
      <c r="O3218">
        <f>IFERROR(VLOOKUP(A3218,vlookup_table!$A:$G,4,FALSE),"")</f>
        <v>0</v>
      </c>
      <c r="P3218" t="str">
        <f>IFERROR(VLOOKUP(A3218,vlookup_table!$A:$G,5,FALSE),"")</f>
        <v>S2</v>
      </c>
      <c r="Q3218">
        <f>IFERROR(VLOOKUP(A3218,vlookup_table!$A:$G,7,FALSE),"")</f>
        <v>13</v>
      </c>
      <c r="R3218">
        <f t="shared" si="200"/>
        <v>97</v>
      </c>
      <c r="S3218" t="str" cm="1">
        <f t="array" ref="S3218">IF(P3218="","",_xlfn.SWITCH(LEFT(P3218,1),"C","Ciudad","T","Pueblo","R","Rural","S","Suburbano","U","Urbano",""))</f>
        <v>Suburbano</v>
      </c>
      <c r="T3218" t="str">
        <f t="shared" si="201"/>
        <v>F</v>
      </c>
      <c r="U3218" t="str">
        <f t="shared" si="202"/>
        <v>OR</v>
      </c>
      <c r="V3218" t="str">
        <f t="shared" si="203"/>
        <v>13242</v>
      </c>
    </row>
    <row r="3219" spans="1:22" x14ac:dyDescent="0.35">
      <c r="A3219" s="3">
        <v>50688</v>
      </c>
      <c r="B3219" t="s">
        <v>53</v>
      </c>
      <c r="C3219" t="s">
        <v>17</v>
      </c>
      <c r="D3219">
        <v>640</v>
      </c>
      <c r="E3219">
        <v>284</v>
      </c>
      <c r="F3219">
        <v>377</v>
      </c>
      <c r="G3219">
        <v>0</v>
      </c>
      <c r="H3219">
        <v>13077</v>
      </c>
      <c r="I3219">
        <v>1</v>
      </c>
      <c r="J3219">
        <v>76</v>
      </c>
      <c r="K3219">
        <v>310</v>
      </c>
      <c r="L3219">
        <v>347</v>
      </c>
      <c r="M3219">
        <v>9.2352941180000006</v>
      </c>
      <c r="N3219">
        <f>IFERROR(VLOOKUP(A3219,vlookup_table!$A:$G,2,FALSE),"")</f>
        <v>28</v>
      </c>
      <c r="O3219">
        <f>IFERROR(VLOOKUP(A3219,vlookup_table!$A:$G,4,FALSE),"")</f>
        <v>3001</v>
      </c>
      <c r="P3219" t="str">
        <f>IFERROR(VLOOKUP(A3219,vlookup_table!$A:$G,5,FALSE),"")</f>
        <v>R2</v>
      </c>
      <c r="Q3219">
        <f>IFERROR(VLOOKUP(A3219,vlookup_table!$A:$G,7,FALSE),"")</f>
        <v>10</v>
      </c>
      <c r="R3219">
        <f t="shared" si="200"/>
        <v>67</v>
      </c>
      <c r="S3219" t="str" cm="1">
        <f t="array" ref="S3219">IF(P3219="","",_xlfn.SWITCH(LEFT(P3219,1),"C","Ciudad","T","Pueblo","R","Rural","S","Suburbano","U","Urbano",""))</f>
        <v>Rural</v>
      </c>
      <c r="T3219" t="str">
        <f t="shared" si="201"/>
        <v>F</v>
      </c>
      <c r="U3219" t="str">
        <f t="shared" si="202"/>
        <v>TN</v>
      </c>
      <c r="V3219" t="str">
        <f t="shared" si="203"/>
        <v>13077</v>
      </c>
    </row>
    <row r="3220" spans="1:22" x14ac:dyDescent="0.35">
      <c r="A3220" s="3">
        <v>69116</v>
      </c>
      <c r="B3220" t="s">
        <v>29</v>
      </c>
      <c r="C3220" t="s">
        <v>17</v>
      </c>
      <c r="D3220">
        <v>1151</v>
      </c>
      <c r="E3220">
        <v>483</v>
      </c>
      <c r="F3220">
        <v>595</v>
      </c>
      <c r="G3220">
        <v>2</v>
      </c>
      <c r="H3220">
        <v>18525</v>
      </c>
      <c r="I3220">
        <v>0</v>
      </c>
      <c r="J3220">
        <v>88</v>
      </c>
      <c r="K3220">
        <v>496</v>
      </c>
      <c r="L3220">
        <v>551</v>
      </c>
      <c r="M3220">
        <v>15.222222220000001</v>
      </c>
      <c r="N3220">
        <f>IFERROR(VLOOKUP(A3220,vlookup_table!$A:$G,2,FALSE),"")</f>
        <v>0</v>
      </c>
      <c r="O3220">
        <f>IFERROR(VLOOKUP(A3220,vlookup_table!$A:$G,4,FALSE),"")</f>
        <v>4503</v>
      </c>
      <c r="P3220" t="str">
        <f>IFERROR(VLOOKUP(A3220,vlookup_table!$A:$G,5,FALSE),"")</f>
        <v>S1</v>
      </c>
      <c r="Q3220">
        <f>IFERROR(VLOOKUP(A3220,vlookup_table!$A:$G,7,FALSE),"")</f>
        <v>20</v>
      </c>
      <c r="R3220">
        <f t="shared" si="200"/>
        <v>52</v>
      </c>
      <c r="S3220" t="str" cm="1">
        <f t="array" ref="S3220">IF(P3220="","",_xlfn.SWITCH(LEFT(P3220,1),"C","Ciudad","T","Pueblo","R","Rural","S","Suburbano","U","Urbano",""))</f>
        <v>Suburbano</v>
      </c>
      <c r="T3220" t="str">
        <f t="shared" si="201"/>
        <v>F</v>
      </c>
      <c r="U3220" t="str">
        <f t="shared" si="202"/>
        <v>MI</v>
      </c>
      <c r="V3220" t="str">
        <f t="shared" si="203"/>
        <v>18525</v>
      </c>
    </row>
    <row r="3221" spans="1:22" x14ac:dyDescent="0.35">
      <c r="A3221" s="3">
        <v>72193</v>
      </c>
      <c r="B3221" t="s">
        <v>29</v>
      </c>
      <c r="C3221" t="s">
        <v>17</v>
      </c>
      <c r="D3221">
        <v>918</v>
      </c>
      <c r="E3221">
        <v>388</v>
      </c>
      <c r="F3221">
        <v>525</v>
      </c>
      <c r="G3221">
        <v>17</v>
      </c>
      <c r="H3221">
        <v>18658</v>
      </c>
      <c r="I3221">
        <v>6</v>
      </c>
      <c r="J3221">
        <v>73</v>
      </c>
      <c r="K3221">
        <v>407</v>
      </c>
      <c r="L3221">
        <v>489</v>
      </c>
      <c r="M3221">
        <v>20</v>
      </c>
      <c r="N3221">
        <f>IFERROR(VLOOKUP(A3221,vlookup_table!$A:$G,2,FALSE),"")</f>
        <v>2</v>
      </c>
      <c r="O3221">
        <f>IFERROR(VLOOKUP(A3221,vlookup_table!$A:$G,4,FALSE),"")</f>
        <v>5101</v>
      </c>
      <c r="P3221" t="str">
        <f>IFERROR(VLOOKUP(A3221,vlookup_table!$A:$G,5,FALSE),"")</f>
        <v>T2</v>
      </c>
      <c r="Q3221">
        <f>IFERROR(VLOOKUP(A3221,vlookup_table!$A:$G,7,FALSE),"")</f>
        <v>10</v>
      </c>
      <c r="R3221">
        <f t="shared" si="200"/>
        <v>46</v>
      </c>
      <c r="S3221" t="str" cm="1">
        <f t="array" ref="S3221">IF(P3221="","",_xlfn.SWITCH(LEFT(P3221,1),"C","Ciudad","T","Pueblo","R","Rural","S","Suburbano","U","Urbano",""))</f>
        <v>Pueblo</v>
      </c>
      <c r="T3221" t="str">
        <f t="shared" si="201"/>
        <v>F</v>
      </c>
      <c r="U3221" t="str">
        <f t="shared" si="202"/>
        <v>MI</v>
      </c>
      <c r="V3221" t="str">
        <f t="shared" si="203"/>
        <v>18658</v>
      </c>
    </row>
    <row r="3222" spans="1:22" x14ac:dyDescent="0.35">
      <c r="A3222" s="3">
        <v>11611</v>
      </c>
      <c r="B3222" t="s">
        <v>22</v>
      </c>
      <c r="C3222" t="s">
        <v>14</v>
      </c>
      <c r="D3222">
        <v>1769</v>
      </c>
      <c r="E3222">
        <v>330</v>
      </c>
      <c r="F3222">
        <v>435</v>
      </c>
      <c r="G3222">
        <v>32</v>
      </c>
      <c r="H3222">
        <v>16587</v>
      </c>
      <c r="I3222">
        <v>1</v>
      </c>
      <c r="J3222">
        <v>56</v>
      </c>
      <c r="K3222">
        <v>382</v>
      </c>
      <c r="L3222">
        <v>410</v>
      </c>
      <c r="M3222">
        <v>17.5</v>
      </c>
      <c r="N3222">
        <f>IFERROR(VLOOKUP(A3222,vlookup_table!$A:$G,2,FALSE),"")</f>
        <v>1</v>
      </c>
      <c r="O3222">
        <f>IFERROR(VLOOKUP(A3222,vlookup_table!$A:$G,4,FALSE),"")</f>
        <v>0</v>
      </c>
      <c r="P3222" t="str">
        <f>IFERROR(VLOOKUP(A3222,vlookup_table!$A:$G,5,FALSE),"")</f>
        <v>T2</v>
      </c>
      <c r="Q3222">
        <f>IFERROR(VLOOKUP(A3222,vlookup_table!$A:$G,7,FALSE),"")</f>
        <v>10</v>
      </c>
      <c r="R3222">
        <f t="shared" si="200"/>
        <v>97</v>
      </c>
      <c r="S3222" t="str" cm="1">
        <f t="array" ref="S3222">IF(P3222="","",_xlfn.SWITCH(LEFT(P3222,1),"C","Ciudad","T","Pueblo","R","Rural","S","Suburbano","U","Urbano",""))</f>
        <v>Pueblo</v>
      </c>
      <c r="T3222" t="str">
        <f t="shared" si="201"/>
        <v>M</v>
      </c>
      <c r="U3222" t="str">
        <f t="shared" si="202"/>
        <v>CA</v>
      </c>
      <c r="V3222" t="str">
        <f t="shared" si="203"/>
        <v>16587</v>
      </c>
    </row>
    <row r="3223" spans="1:22" x14ac:dyDescent="0.35">
      <c r="A3223" s="3">
        <v>46129</v>
      </c>
      <c r="B3223" t="s">
        <v>13</v>
      </c>
      <c r="C3223" t="s">
        <v>14</v>
      </c>
      <c r="D3223">
        <v>973</v>
      </c>
      <c r="E3223">
        <v>323</v>
      </c>
      <c r="F3223">
        <v>396</v>
      </c>
      <c r="G3223">
        <v>7</v>
      </c>
      <c r="H3223">
        <v>12469</v>
      </c>
      <c r="I3223">
        <v>3</v>
      </c>
      <c r="J3223">
        <v>32</v>
      </c>
      <c r="K3223">
        <v>365</v>
      </c>
      <c r="L3223">
        <v>368</v>
      </c>
      <c r="M3223">
        <v>13.14285714</v>
      </c>
      <c r="N3223">
        <f>IFERROR(VLOOKUP(A3223,vlookup_table!$A:$G,2,FALSE),"")</f>
        <v>1</v>
      </c>
      <c r="O3223">
        <f>IFERROR(VLOOKUP(A3223,vlookup_table!$A:$G,4,FALSE),"")</f>
        <v>0</v>
      </c>
      <c r="P3223" t="str">
        <f>IFERROR(VLOOKUP(A3223,vlookup_table!$A:$G,5,FALSE),"")</f>
        <v>R2</v>
      </c>
      <c r="Q3223">
        <f>IFERROR(VLOOKUP(A3223,vlookup_table!$A:$G,7,FALSE),"")</f>
        <v>10</v>
      </c>
      <c r="R3223">
        <f t="shared" si="200"/>
        <v>97</v>
      </c>
      <c r="S3223" t="str" cm="1">
        <f t="array" ref="S3223">IF(P3223="","",_xlfn.SWITCH(LEFT(P3223,1),"C","Ciudad","T","Pueblo","R","Rural","S","Suburbano","U","Urbano",""))</f>
        <v>Rural</v>
      </c>
      <c r="T3223" t="str">
        <f t="shared" si="201"/>
        <v>M</v>
      </c>
      <c r="U3223" t="str">
        <f t="shared" si="202"/>
        <v>FL</v>
      </c>
      <c r="V3223" t="str">
        <f t="shared" si="203"/>
        <v>12469</v>
      </c>
    </row>
    <row r="3224" spans="1:22" x14ac:dyDescent="0.35">
      <c r="A3224" s="3">
        <v>52398</v>
      </c>
      <c r="B3224" t="s">
        <v>53</v>
      </c>
      <c r="C3224" t="s">
        <v>17</v>
      </c>
      <c r="D3224">
        <v>418</v>
      </c>
      <c r="E3224">
        <v>230</v>
      </c>
      <c r="F3224">
        <v>306</v>
      </c>
      <c r="G3224">
        <v>1</v>
      </c>
      <c r="H3224">
        <v>9690</v>
      </c>
      <c r="I3224">
        <v>0</v>
      </c>
      <c r="J3224">
        <v>84</v>
      </c>
      <c r="K3224">
        <v>238</v>
      </c>
      <c r="L3224">
        <v>293</v>
      </c>
      <c r="M3224">
        <v>11.14285714</v>
      </c>
      <c r="N3224">
        <f>IFERROR(VLOOKUP(A3224,vlookup_table!$A:$G,2,FALSE),"")</f>
        <v>0</v>
      </c>
      <c r="O3224">
        <f>IFERROR(VLOOKUP(A3224,vlookup_table!$A:$G,4,FALSE),"")</f>
        <v>5001</v>
      </c>
      <c r="P3224" t="str">
        <f>IFERROR(VLOOKUP(A3224,vlookup_table!$A:$G,5,FALSE),"")</f>
        <v>R2</v>
      </c>
      <c r="Q3224">
        <f>IFERROR(VLOOKUP(A3224,vlookup_table!$A:$G,7,FALSE),"")</f>
        <v>14</v>
      </c>
      <c r="R3224">
        <f t="shared" si="200"/>
        <v>47</v>
      </c>
      <c r="S3224" t="str" cm="1">
        <f t="array" ref="S3224">IF(P3224="","",_xlfn.SWITCH(LEFT(P3224,1),"C","Ciudad","T","Pueblo","R","Rural","S","Suburbano","U","Urbano",""))</f>
        <v>Rural</v>
      </c>
      <c r="T3224" t="str">
        <f t="shared" si="201"/>
        <v>F</v>
      </c>
      <c r="U3224" t="str">
        <f t="shared" si="202"/>
        <v>TN</v>
      </c>
      <c r="V3224" t="str">
        <f t="shared" si="203"/>
        <v>9690</v>
      </c>
    </row>
    <row r="3225" spans="1:22" x14ac:dyDescent="0.35">
      <c r="A3225" s="3">
        <v>190408</v>
      </c>
      <c r="B3225" t="s">
        <v>13</v>
      </c>
      <c r="D3225" t="s">
        <v>83</v>
      </c>
      <c r="E3225">
        <v>255</v>
      </c>
      <c r="F3225">
        <v>331</v>
      </c>
      <c r="G3225">
        <v>0</v>
      </c>
      <c r="H3225">
        <v>13727</v>
      </c>
      <c r="I3225">
        <v>13</v>
      </c>
      <c r="J3225">
        <v>7</v>
      </c>
      <c r="K3225">
        <v>273</v>
      </c>
      <c r="L3225">
        <v>294</v>
      </c>
      <c r="M3225">
        <v>6.6</v>
      </c>
      <c r="N3225">
        <f>IFERROR(VLOOKUP(A3225,vlookup_table!$A:$G,2,FALSE),"")</f>
        <v>0</v>
      </c>
      <c r="O3225">
        <f>IFERROR(VLOOKUP(A3225,vlookup_table!$A:$G,4,FALSE),"")</f>
        <v>3104</v>
      </c>
      <c r="P3225" t="str">
        <f>IFERROR(VLOOKUP(A3225,vlookup_table!$A:$G,5,FALSE),"")</f>
        <v>C2</v>
      </c>
      <c r="Q3225">
        <f>IFERROR(VLOOKUP(A3225,vlookup_table!$A:$G,7,FALSE),"")</f>
        <v>7</v>
      </c>
      <c r="R3225">
        <f t="shared" si="200"/>
        <v>66</v>
      </c>
      <c r="S3225" t="str" cm="1">
        <f t="array" ref="S3225">IF(P3225="","",_xlfn.SWITCH(LEFT(P3225,1),"C","Ciudad","T","Pueblo","R","Rural","S","Suburbano","U","Urbano",""))</f>
        <v>Ciudad</v>
      </c>
      <c r="T3225" t="str">
        <f t="shared" si="201"/>
        <v/>
      </c>
      <c r="U3225" t="str">
        <f t="shared" si="202"/>
        <v>FL</v>
      </c>
      <c r="V3225" t="str">
        <f t="shared" si="203"/>
        <v>13727</v>
      </c>
    </row>
    <row r="3226" spans="1:22" x14ac:dyDescent="0.35">
      <c r="A3226" s="3">
        <v>145214</v>
      </c>
      <c r="B3226" t="s">
        <v>22</v>
      </c>
      <c r="C3226" t="s">
        <v>17</v>
      </c>
      <c r="D3226">
        <v>1778</v>
      </c>
      <c r="E3226">
        <v>393</v>
      </c>
      <c r="F3226">
        <v>513</v>
      </c>
      <c r="G3226">
        <v>30</v>
      </c>
      <c r="H3226">
        <v>17324</v>
      </c>
      <c r="I3226">
        <v>7</v>
      </c>
      <c r="J3226">
        <v>45</v>
      </c>
      <c r="K3226">
        <v>502</v>
      </c>
      <c r="L3226">
        <v>445</v>
      </c>
      <c r="M3226">
        <v>13</v>
      </c>
      <c r="N3226">
        <f>IFERROR(VLOOKUP(A3226,vlookup_table!$A:$G,2,FALSE),"")</f>
        <v>28</v>
      </c>
      <c r="O3226">
        <f>IFERROR(VLOOKUP(A3226,vlookup_table!$A:$G,4,FALSE),"")</f>
        <v>4601</v>
      </c>
      <c r="P3226" t="str">
        <f>IFERROR(VLOOKUP(A3226,vlookup_table!$A:$G,5,FALSE),"")</f>
        <v>U2</v>
      </c>
      <c r="Q3226">
        <f>IFERROR(VLOOKUP(A3226,vlookup_table!$A:$G,7,FALSE),"")</f>
        <v>20</v>
      </c>
      <c r="R3226">
        <f t="shared" si="200"/>
        <v>51</v>
      </c>
      <c r="S3226" t="str" cm="1">
        <f t="array" ref="S3226">IF(P3226="","",_xlfn.SWITCH(LEFT(P3226,1),"C","Ciudad","T","Pueblo","R","Rural","S","Suburbano","U","Urbano",""))</f>
        <v>Urbano</v>
      </c>
      <c r="T3226" t="str">
        <f t="shared" si="201"/>
        <v>F</v>
      </c>
      <c r="U3226" t="str">
        <f t="shared" si="202"/>
        <v>CA</v>
      </c>
      <c r="V3226" t="str">
        <f t="shared" si="203"/>
        <v>17324</v>
      </c>
    </row>
    <row r="3227" spans="1:22" x14ac:dyDescent="0.35">
      <c r="A3227" s="3">
        <v>155528</v>
      </c>
      <c r="B3227" t="s">
        <v>22</v>
      </c>
      <c r="C3227" t="s">
        <v>17</v>
      </c>
      <c r="D3227">
        <v>1185</v>
      </c>
      <c r="E3227">
        <v>244</v>
      </c>
      <c r="F3227">
        <v>409</v>
      </c>
      <c r="G3227">
        <v>10</v>
      </c>
      <c r="H3227">
        <v>15753</v>
      </c>
      <c r="I3227">
        <v>6</v>
      </c>
      <c r="J3227">
        <v>47</v>
      </c>
      <c r="K3227">
        <v>384</v>
      </c>
      <c r="L3227">
        <v>311</v>
      </c>
      <c r="M3227">
        <v>9.6666666669999994</v>
      </c>
      <c r="N3227">
        <f>IFERROR(VLOOKUP(A3227,vlookup_table!$A:$G,2,FALSE),"")</f>
        <v>0</v>
      </c>
      <c r="O3227">
        <f>IFERROR(VLOOKUP(A3227,vlookup_table!$A:$G,4,FALSE),"")</f>
        <v>2101</v>
      </c>
      <c r="P3227" t="str">
        <f>IFERROR(VLOOKUP(A3227,vlookup_table!$A:$G,5,FALSE),"")</f>
        <v>C2</v>
      </c>
      <c r="Q3227">
        <f>IFERROR(VLOOKUP(A3227,vlookup_table!$A:$G,7,FALSE),"")</f>
        <v>10</v>
      </c>
      <c r="R3227">
        <f t="shared" si="200"/>
        <v>76</v>
      </c>
      <c r="S3227" t="str" cm="1">
        <f t="array" ref="S3227">IF(P3227="","",_xlfn.SWITCH(LEFT(P3227,1),"C","Ciudad","T","Pueblo","R","Rural","S","Suburbano","U","Urbano",""))</f>
        <v>Ciudad</v>
      </c>
      <c r="T3227" t="str">
        <f t="shared" si="201"/>
        <v>F</v>
      </c>
      <c r="U3227" t="str">
        <f t="shared" si="202"/>
        <v>CA</v>
      </c>
      <c r="V3227" t="str">
        <f t="shared" si="203"/>
        <v>15753</v>
      </c>
    </row>
    <row r="3228" spans="1:22" x14ac:dyDescent="0.35">
      <c r="A3228" s="3">
        <v>94239</v>
      </c>
      <c r="B3228" t="s">
        <v>16</v>
      </c>
      <c r="C3228" t="s">
        <v>17</v>
      </c>
      <c r="D3228">
        <v>4750</v>
      </c>
      <c r="E3228">
        <v>250</v>
      </c>
      <c r="F3228">
        <v>378</v>
      </c>
      <c r="G3228">
        <v>81</v>
      </c>
      <c r="H3228">
        <v>17013</v>
      </c>
      <c r="I3228">
        <v>27</v>
      </c>
      <c r="J3228">
        <v>40</v>
      </c>
      <c r="K3228">
        <v>285</v>
      </c>
      <c r="L3228">
        <v>314</v>
      </c>
      <c r="M3228">
        <v>10</v>
      </c>
      <c r="N3228">
        <f>IFERROR(VLOOKUP(A3228,vlookup_table!$A:$G,2,FALSE),"")</f>
        <v>0</v>
      </c>
      <c r="O3228">
        <f>IFERROR(VLOOKUP(A3228,vlookup_table!$A:$G,4,FALSE),"")</f>
        <v>0</v>
      </c>
      <c r="P3228" t="str">
        <f>IFERROR(VLOOKUP(A3228,vlookup_table!$A:$G,5,FALSE),"")</f>
        <v>U2</v>
      </c>
      <c r="Q3228">
        <f>IFERROR(VLOOKUP(A3228,vlookup_table!$A:$G,7,FALSE),"")</f>
        <v>15</v>
      </c>
      <c r="R3228">
        <f t="shared" si="200"/>
        <v>97</v>
      </c>
      <c r="S3228" t="str" cm="1">
        <f t="array" ref="S3228">IF(P3228="","",_xlfn.SWITCH(LEFT(P3228,1),"C","Ciudad","T","Pueblo","R","Rural","S","Suburbano","U","Urbano",""))</f>
        <v>Urbano</v>
      </c>
      <c r="T3228" t="str">
        <f t="shared" si="201"/>
        <v>F</v>
      </c>
      <c r="U3228" t="str">
        <f t="shared" si="202"/>
        <v>IL</v>
      </c>
      <c r="V3228" t="str">
        <f t="shared" si="203"/>
        <v>17013</v>
      </c>
    </row>
    <row r="3229" spans="1:22" x14ac:dyDescent="0.35">
      <c r="A3229" s="3">
        <v>188054</v>
      </c>
      <c r="B3229" t="s">
        <v>22</v>
      </c>
      <c r="D3229">
        <v>2176</v>
      </c>
      <c r="E3229">
        <v>419</v>
      </c>
      <c r="F3229">
        <v>483</v>
      </c>
      <c r="G3229">
        <v>65</v>
      </c>
      <c r="H3229">
        <v>14484</v>
      </c>
      <c r="I3229">
        <v>10</v>
      </c>
      <c r="J3229">
        <v>61</v>
      </c>
      <c r="K3229">
        <v>453</v>
      </c>
      <c r="L3229">
        <v>461</v>
      </c>
      <c r="M3229">
        <v>7.076923077</v>
      </c>
      <c r="N3229">
        <f>IFERROR(VLOOKUP(A3229,vlookup_table!$A:$G,2,FALSE),"")</f>
        <v>0</v>
      </c>
      <c r="O3229">
        <f>IFERROR(VLOOKUP(A3229,vlookup_table!$A:$G,4,FALSE),"")</f>
        <v>0</v>
      </c>
      <c r="P3229" t="str">
        <f>IFERROR(VLOOKUP(A3229,vlookup_table!$A:$G,5,FALSE),"")</f>
        <v>C1</v>
      </c>
      <c r="Q3229">
        <f>IFERROR(VLOOKUP(A3229,vlookup_table!$A:$G,7,FALSE),"")</f>
        <v>13</v>
      </c>
      <c r="R3229">
        <f t="shared" si="200"/>
        <v>97</v>
      </c>
      <c r="S3229" t="str" cm="1">
        <f t="array" ref="S3229">IF(P3229="","",_xlfn.SWITCH(LEFT(P3229,1),"C","Ciudad","T","Pueblo","R","Rural","S","Suburbano","U","Urbano",""))</f>
        <v>Ciudad</v>
      </c>
      <c r="T3229" t="str">
        <f t="shared" si="201"/>
        <v/>
      </c>
      <c r="U3229" t="str">
        <f t="shared" si="202"/>
        <v>CA</v>
      </c>
      <c r="V3229" t="str">
        <f t="shared" si="203"/>
        <v>14484</v>
      </c>
    </row>
    <row r="3230" spans="1:22" x14ac:dyDescent="0.35">
      <c r="A3230" s="3">
        <v>128642</v>
      </c>
      <c r="B3230" t="s">
        <v>21</v>
      </c>
      <c r="C3230" t="s">
        <v>17</v>
      </c>
      <c r="D3230">
        <v>363</v>
      </c>
      <c r="E3230">
        <v>274</v>
      </c>
      <c r="F3230">
        <v>331</v>
      </c>
      <c r="G3230">
        <v>1</v>
      </c>
      <c r="H3230">
        <v>10120</v>
      </c>
      <c r="I3230">
        <v>4</v>
      </c>
      <c r="J3230">
        <v>64</v>
      </c>
      <c r="K3230">
        <v>324</v>
      </c>
      <c r="L3230">
        <v>283</v>
      </c>
      <c r="M3230">
        <v>6.8</v>
      </c>
      <c r="N3230">
        <f>IFERROR(VLOOKUP(A3230,vlookup_table!$A:$G,2,FALSE),"")</f>
        <v>0</v>
      </c>
      <c r="O3230">
        <f>IFERROR(VLOOKUP(A3230,vlookup_table!$A:$G,4,FALSE),"")</f>
        <v>6401</v>
      </c>
      <c r="P3230" t="str">
        <f>IFERROR(VLOOKUP(A3230,vlookup_table!$A:$G,5,FALSE),"")</f>
        <v>T3</v>
      </c>
      <c r="Q3230">
        <f>IFERROR(VLOOKUP(A3230,vlookup_table!$A:$G,7,FALSE),"")</f>
        <v>10</v>
      </c>
      <c r="R3230">
        <f t="shared" si="200"/>
        <v>33</v>
      </c>
      <c r="S3230" t="str" cm="1">
        <f t="array" ref="S3230">IF(P3230="","",_xlfn.SWITCH(LEFT(P3230,1),"C","Ciudad","T","Pueblo","R","Rural","S","Suburbano","U","Urbano",""))</f>
        <v>Pueblo</v>
      </c>
      <c r="T3230" t="str">
        <f t="shared" si="201"/>
        <v>F</v>
      </c>
      <c r="U3230" t="str">
        <f t="shared" si="202"/>
        <v>TX</v>
      </c>
      <c r="V3230" t="str">
        <f t="shared" si="203"/>
        <v>10120</v>
      </c>
    </row>
    <row r="3231" spans="1:22" x14ac:dyDescent="0.35">
      <c r="A3231" s="3">
        <v>174422</v>
      </c>
      <c r="B3231" t="s">
        <v>50</v>
      </c>
      <c r="C3231" t="s">
        <v>17</v>
      </c>
      <c r="D3231">
        <v>1036</v>
      </c>
      <c r="E3231">
        <v>436</v>
      </c>
      <c r="F3231">
        <v>603</v>
      </c>
      <c r="G3231">
        <v>10</v>
      </c>
      <c r="H3231">
        <v>22334</v>
      </c>
      <c r="I3231">
        <v>7</v>
      </c>
      <c r="J3231">
        <v>42</v>
      </c>
      <c r="K3231">
        <v>524</v>
      </c>
      <c r="L3231">
        <v>520</v>
      </c>
      <c r="M3231">
        <v>4.1666666670000003</v>
      </c>
      <c r="N3231">
        <f>IFERROR(VLOOKUP(A3231,vlookup_table!$A:$G,2,FALSE),"")</f>
        <v>0</v>
      </c>
      <c r="O3231">
        <f>IFERROR(VLOOKUP(A3231,vlookup_table!$A:$G,4,FALSE),"")</f>
        <v>0</v>
      </c>
      <c r="P3231">
        <f>IFERROR(VLOOKUP(A3231,vlookup_table!$A:$G,5,FALSE),"")</f>
        <v>0</v>
      </c>
      <c r="Q3231">
        <f>IFERROR(VLOOKUP(A3231,vlookup_table!$A:$G,7,FALSE),"")</f>
        <v>5</v>
      </c>
      <c r="R3231">
        <f t="shared" si="200"/>
        <v>97</v>
      </c>
      <c r="S3231" t="str" cm="1">
        <f t="array" ref="S3231">IF(P3231="","",_xlfn.SWITCH(LEFT(P3231,1),"C","Ciudad","T","Pueblo","R","Rural","S","Suburbano","U","Urbano",""))</f>
        <v/>
      </c>
      <c r="T3231" t="str">
        <f t="shared" si="201"/>
        <v>F</v>
      </c>
      <c r="U3231" t="str">
        <f t="shared" si="202"/>
        <v>OR</v>
      </c>
      <c r="V3231" t="str">
        <f t="shared" si="203"/>
        <v>22334</v>
      </c>
    </row>
    <row r="3232" spans="1:22" x14ac:dyDescent="0.35">
      <c r="A3232" s="3">
        <v>190035</v>
      </c>
      <c r="B3232" t="s">
        <v>21</v>
      </c>
      <c r="C3232" t="s">
        <v>17</v>
      </c>
      <c r="D3232">
        <v>899</v>
      </c>
      <c r="E3232">
        <v>504</v>
      </c>
      <c r="F3232">
        <v>502</v>
      </c>
      <c r="G3232">
        <v>0</v>
      </c>
      <c r="H3232">
        <v>17300</v>
      </c>
      <c r="I3232">
        <v>2</v>
      </c>
      <c r="J3232">
        <v>53</v>
      </c>
      <c r="K3232">
        <v>500</v>
      </c>
      <c r="L3232">
        <v>510</v>
      </c>
      <c r="M3232">
        <v>10</v>
      </c>
      <c r="N3232">
        <f>IFERROR(VLOOKUP(A3232,vlookup_table!$A:$G,2,FALSE),"")</f>
        <v>2</v>
      </c>
      <c r="O3232">
        <f>IFERROR(VLOOKUP(A3232,vlookup_table!$A:$G,4,FALSE),"")</f>
        <v>0</v>
      </c>
      <c r="P3232" t="str">
        <f>IFERROR(VLOOKUP(A3232,vlookup_table!$A:$G,5,FALSE),"")</f>
        <v>S1</v>
      </c>
      <c r="Q3232">
        <f>IFERROR(VLOOKUP(A3232,vlookup_table!$A:$G,7,FALSE),"")</f>
        <v>10</v>
      </c>
      <c r="R3232">
        <f t="shared" si="200"/>
        <v>97</v>
      </c>
      <c r="S3232" t="str" cm="1">
        <f t="array" ref="S3232">IF(P3232="","",_xlfn.SWITCH(LEFT(P3232,1),"C","Ciudad","T","Pueblo","R","Rural","S","Suburbano","U","Urbano",""))</f>
        <v>Suburbano</v>
      </c>
      <c r="T3232" t="str">
        <f t="shared" si="201"/>
        <v>F</v>
      </c>
      <c r="U3232" t="str">
        <f t="shared" si="202"/>
        <v>TX</v>
      </c>
      <c r="V3232" t="str">
        <f t="shared" si="203"/>
        <v>17300</v>
      </c>
    </row>
    <row r="3233" spans="1:22" x14ac:dyDescent="0.35">
      <c r="A3233" s="3">
        <v>140429</v>
      </c>
      <c r="B3233" t="s">
        <v>54</v>
      </c>
      <c r="C3233" t="s">
        <v>14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21.722222219999999</v>
      </c>
      <c r="N3233">
        <f>IFERROR(VLOOKUP(A3233,vlookup_table!$A:$G,2,FALSE),"")</f>
        <v>1</v>
      </c>
      <c r="O3233">
        <f>IFERROR(VLOOKUP(A3233,vlookup_table!$A:$G,4,FALSE),"")</f>
        <v>0</v>
      </c>
      <c r="P3233" t="str">
        <f>IFERROR(VLOOKUP(A3233,vlookup_table!$A:$G,5,FALSE),"")</f>
        <v>T3</v>
      </c>
      <c r="Q3233">
        <f>IFERROR(VLOOKUP(A3233,vlookup_table!$A:$G,7,FALSE),"")</f>
        <v>25</v>
      </c>
      <c r="R3233">
        <f t="shared" si="200"/>
        <v>97</v>
      </c>
      <c r="S3233" t="str" cm="1">
        <f t="array" ref="S3233">IF(P3233="","",_xlfn.SWITCH(LEFT(P3233,1),"C","Ciudad","T","Pueblo","R","Rural","S","Suburbano","U","Urbano",""))</f>
        <v>Pueblo</v>
      </c>
      <c r="T3233" t="str">
        <f t="shared" si="201"/>
        <v>M</v>
      </c>
      <c r="U3233" t="str">
        <f t="shared" si="202"/>
        <v>NM</v>
      </c>
      <c r="V3233" t="str">
        <f t="shared" si="203"/>
        <v>0</v>
      </c>
    </row>
    <row r="3234" spans="1:22" x14ac:dyDescent="0.35">
      <c r="A3234" s="3">
        <v>168242</v>
      </c>
      <c r="B3234" t="s">
        <v>22</v>
      </c>
      <c r="C3234" t="s">
        <v>17</v>
      </c>
      <c r="D3234">
        <v>2741</v>
      </c>
      <c r="E3234">
        <v>414</v>
      </c>
      <c r="F3234">
        <v>461</v>
      </c>
      <c r="G3234">
        <v>87</v>
      </c>
      <c r="H3234">
        <v>18997</v>
      </c>
      <c r="I3234">
        <v>5</v>
      </c>
      <c r="J3234">
        <v>62</v>
      </c>
      <c r="K3234">
        <v>453</v>
      </c>
      <c r="L3234">
        <v>467</v>
      </c>
      <c r="M3234">
        <v>12.5</v>
      </c>
      <c r="N3234">
        <f>IFERROR(VLOOKUP(A3234,vlookup_table!$A:$G,2,FALSE),"")</f>
        <v>0</v>
      </c>
      <c r="O3234">
        <f>IFERROR(VLOOKUP(A3234,vlookup_table!$A:$G,4,FALSE),"")</f>
        <v>3001</v>
      </c>
      <c r="P3234" t="str">
        <f>IFERROR(VLOOKUP(A3234,vlookup_table!$A:$G,5,FALSE),"")</f>
        <v>U1</v>
      </c>
      <c r="Q3234">
        <f>IFERROR(VLOOKUP(A3234,vlookup_table!$A:$G,7,FALSE),"")</f>
        <v>12</v>
      </c>
      <c r="R3234">
        <f t="shared" si="200"/>
        <v>67</v>
      </c>
      <c r="S3234" t="str" cm="1">
        <f t="array" ref="S3234">IF(P3234="","",_xlfn.SWITCH(LEFT(P3234,1),"C","Ciudad","T","Pueblo","R","Rural","S","Suburbano","U","Urbano",""))</f>
        <v>Urbano</v>
      </c>
      <c r="T3234" t="str">
        <f t="shared" si="201"/>
        <v>F</v>
      </c>
      <c r="U3234" t="str">
        <f t="shared" si="202"/>
        <v>CA</v>
      </c>
      <c r="V3234" t="str">
        <f t="shared" si="203"/>
        <v>18997</v>
      </c>
    </row>
    <row r="3235" spans="1:22" x14ac:dyDescent="0.35">
      <c r="A3235" s="3">
        <v>73873</v>
      </c>
      <c r="B3235" t="s">
        <v>29</v>
      </c>
      <c r="C3235" t="s">
        <v>14</v>
      </c>
      <c r="D3235">
        <v>1114</v>
      </c>
      <c r="E3235">
        <v>377</v>
      </c>
      <c r="F3235">
        <v>618</v>
      </c>
      <c r="G3235">
        <v>5</v>
      </c>
      <c r="H3235">
        <v>21787</v>
      </c>
      <c r="I3235">
        <v>6</v>
      </c>
      <c r="J3235">
        <v>67</v>
      </c>
      <c r="K3235">
        <v>516</v>
      </c>
      <c r="L3235">
        <v>492</v>
      </c>
      <c r="M3235">
        <v>15.222222220000001</v>
      </c>
      <c r="N3235">
        <f>IFERROR(VLOOKUP(A3235,vlookup_table!$A:$G,2,FALSE),"")</f>
        <v>2</v>
      </c>
      <c r="O3235">
        <f>IFERROR(VLOOKUP(A3235,vlookup_table!$A:$G,4,FALSE),"")</f>
        <v>1604</v>
      </c>
      <c r="P3235" t="str">
        <f>IFERROR(VLOOKUP(A3235,vlookup_table!$A:$G,5,FALSE),"")</f>
        <v>S1</v>
      </c>
      <c r="Q3235">
        <f>IFERROR(VLOOKUP(A3235,vlookup_table!$A:$G,7,FALSE),"")</f>
        <v>32</v>
      </c>
      <c r="R3235">
        <f t="shared" si="200"/>
        <v>81</v>
      </c>
      <c r="S3235" t="str" cm="1">
        <f t="array" ref="S3235">IF(P3235="","",_xlfn.SWITCH(LEFT(P3235,1),"C","Ciudad","T","Pueblo","R","Rural","S","Suburbano","U","Urbano",""))</f>
        <v>Suburbano</v>
      </c>
      <c r="T3235" t="str">
        <f t="shared" si="201"/>
        <v>M</v>
      </c>
      <c r="U3235" t="str">
        <f t="shared" si="202"/>
        <v>MI</v>
      </c>
      <c r="V3235" t="str">
        <f t="shared" si="203"/>
        <v>21787</v>
      </c>
    </row>
    <row r="3236" spans="1:22" x14ac:dyDescent="0.35">
      <c r="A3236" s="3">
        <v>78270</v>
      </c>
      <c r="B3236" t="s">
        <v>35</v>
      </c>
      <c r="C3236" t="s">
        <v>51</v>
      </c>
      <c r="D3236">
        <v>277</v>
      </c>
      <c r="E3236">
        <v>169</v>
      </c>
      <c r="F3236">
        <v>221</v>
      </c>
      <c r="G3236">
        <v>0</v>
      </c>
      <c r="H3236">
        <v>6074</v>
      </c>
      <c r="I3236">
        <v>0</v>
      </c>
      <c r="J3236">
        <v>48</v>
      </c>
      <c r="K3236">
        <v>173</v>
      </c>
      <c r="L3236">
        <v>219</v>
      </c>
      <c r="M3236">
        <v>10</v>
      </c>
      <c r="N3236">
        <f>IFERROR(VLOOKUP(A3236,vlookup_table!$A:$G,2,FALSE),"")</f>
        <v>1</v>
      </c>
      <c r="O3236">
        <f>IFERROR(VLOOKUP(A3236,vlookup_table!$A:$G,4,FALSE),"")</f>
        <v>3401</v>
      </c>
      <c r="P3236" t="str">
        <f>IFERROR(VLOOKUP(A3236,vlookup_table!$A:$G,5,FALSE),"")</f>
        <v>U4</v>
      </c>
      <c r="Q3236">
        <f>IFERROR(VLOOKUP(A3236,vlookup_table!$A:$G,7,FALSE),"")</f>
        <v>15</v>
      </c>
      <c r="R3236">
        <f t="shared" si="200"/>
        <v>63</v>
      </c>
      <c r="S3236" t="str" cm="1">
        <f t="array" ref="S3236">IF(P3236="","",_xlfn.SWITCH(LEFT(P3236,1),"C","Ciudad","T","Pueblo","R","Rural","S","Suburbano","U","Urbano",""))</f>
        <v>Urbano</v>
      </c>
      <c r="T3236" t="str">
        <f t="shared" si="201"/>
        <v>M</v>
      </c>
      <c r="U3236" t="str">
        <f t="shared" si="202"/>
        <v>WI</v>
      </c>
      <c r="V3236" t="str">
        <f t="shared" si="203"/>
        <v>6074</v>
      </c>
    </row>
    <row r="3237" spans="1:22" x14ac:dyDescent="0.35">
      <c r="A3237" s="3">
        <v>108819</v>
      </c>
      <c r="B3237" t="s">
        <v>49</v>
      </c>
      <c r="C3237" t="s">
        <v>17</v>
      </c>
      <c r="D3237">
        <v>456</v>
      </c>
      <c r="E3237">
        <v>165</v>
      </c>
      <c r="F3237">
        <v>251</v>
      </c>
      <c r="G3237">
        <v>1</v>
      </c>
      <c r="H3237">
        <v>7768</v>
      </c>
      <c r="I3237">
        <v>0</v>
      </c>
      <c r="J3237">
        <v>87</v>
      </c>
      <c r="K3237">
        <v>208</v>
      </c>
      <c r="L3237">
        <v>216</v>
      </c>
      <c r="M3237">
        <v>4.3333333329999997</v>
      </c>
      <c r="N3237">
        <f>IFERROR(VLOOKUP(A3237,vlookup_table!$A:$G,2,FALSE),"")</f>
        <v>28</v>
      </c>
      <c r="O3237">
        <f>IFERROR(VLOOKUP(A3237,vlookup_table!$A:$G,4,FALSE),"")</f>
        <v>0</v>
      </c>
      <c r="P3237" t="str">
        <f>IFERROR(VLOOKUP(A3237,vlookup_table!$A:$G,5,FALSE),"")</f>
        <v>R3</v>
      </c>
      <c r="Q3237">
        <f>IFERROR(VLOOKUP(A3237,vlookup_table!$A:$G,7,FALSE),"")</f>
        <v>4</v>
      </c>
      <c r="R3237">
        <f t="shared" si="200"/>
        <v>97</v>
      </c>
      <c r="S3237" t="str" cm="1">
        <f t="array" ref="S3237">IF(P3237="","",_xlfn.SWITCH(LEFT(P3237,1),"C","Ciudad","T","Pueblo","R","Rural","S","Suburbano","U","Urbano",""))</f>
        <v>Rural</v>
      </c>
      <c r="T3237" t="str">
        <f t="shared" si="201"/>
        <v>F</v>
      </c>
      <c r="U3237" t="str">
        <f t="shared" si="202"/>
        <v>LA</v>
      </c>
      <c r="V3237" t="str">
        <f t="shared" si="203"/>
        <v>7768</v>
      </c>
    </row>
    <row r="3238" spans="1:22" x14ac:dyDescent="0.35">
      <c r="A3238" s="3">
        <v>4991</v>
      </c>
      <c r="B3238" t="s">
        <v>28</v>
      </c>
      <c r="C3238" t="s">
        <v>17</v>
      </c>
      <c r="D3238">
        <v>436</v>
      </c>
      <c r="E3238">
        <v>313</v>
      </c>
      <c r="F3238">
        <v>363</v>
      </c>
      <c r="G3238">
        <v>0</v>
      </c>
      <c r="H3238">
        <v>10419</v>
      </c>
      <c r="I3238">
        <v>1</v>
      </c>
      <c r="J3238">
        <v>67</v>
      </c>
      <c r="K3238">
        <v>321</v>
      </c>
      <c r="L3238">
        <v>351</v>
      </c>
      <c r="M3238">
        <v>16.785714290000001</v>
      </c>
      <c r="N3238">
        <f>IFERROR(VLOOKUP(A3238,vlookup_table!$A:$G,2,FALSE),"")</f>
        <v>2</v>
      </c>
      <c r="O3238">
        <f>IFERROR(VLOOKUP(A3238,vlookup_table!$A:$G,4,FALSE),"")</f>
        <v>2010</v>
      </c>
      <c r="P3238" t="str">
        <f>IFERROR(VLOOKUP(A3238,vlookup_table!$A:$G,5,FALSE),"")</f>
        <v>T2</v>
      </c>
      <c r="Q3238">
        <f>IFERROR(VLOOKUP(A3238,vlookup_table!$A:$G,7,FALSE),"")</f>
        <v>23</v>
      </c>
      <c r="R3238">
        <f t="shared" si="200"/>
        <v>77</v>
      </c>
      <c r="S3238" t="str" cm="1">
        <f t="array" ref="S3238">IF(P3238="","",_xlfn.SWITCH(LEFT(P3238,1),"C","Ciudad","T","Pueblo","R","Rural","S","Suburbano","U","Urbano",""))</f>
        <v>Pueblo</v>
      </c>
      <c r="T3238" t="str">
        <f t="shared" si="201"/>
        <v>F</v>
      </c>
      <c r="U3238" t="str">
        <f t="shared" si="202"/>
        <v>KS</v>
      </c>
      <c r="V3238" t="str">
        <f t="shared" si="203"/>
        <v>10419</v>
      </c>
    </row>
    <row r="3239" spans="1:22" x14ac:dyDescent="0.35">
      <c r="A3239" s="3">
        <v>86387</v>
      </c>
      <c r="B3239" t="s">
        <v>45</v>
      </c>
      <c r="C3239" t="s">
        <v>14</v>
      </c>
      <c r="D3239">
        <v>338</v>
      </c>
      <c r="E3239">
        <v>248</v>
      </c>
      <c r="F3239">
        <v>350</v>
      </c>
      <c r="G3239">
        <v>0</v>
      </c>
      <c r="H3239">
        <v>11687</v>
      </c>
      <c r="I3239">
        <v>1</v>
      </c>
      <c r="J3239">
        <v>82</v>
      </c>
      <c r="K3239">
        <v>274</v>
      </c>
      <c r="L3239">
        <v>318</v>
      </c>
      <c r="M3239">
        <v>10</v>
      </c>
      <c r="N3239">
        <f>IFERROR(VLOOKUP(A3239,vlookup_table!$A:$G,2,FALSE),"")</f>
        <v>1</v>
      </c>
      <c r="O3239">
        <f>IFERROR(VLOOKUP(A3239,vlookup_table!$A:$G,4,FALSE),"")</f>
        <v>1001</v>
      </c>
      <c r="P3239" t="str">
        <f>IFERROR(VLOOKUP(A3239,vlookup_table!$A:$G,5,FALSE),"")</f>
        <v>R2</v>
      </c>
      <c r="Q3239">
        <f>IFERROR(VLOOKUP(A3239,vlookup_table!$A:$G,7,FALSE),"")</f>
        <v>10</v>
      </c>
      <c r="R3239">
        <f t="shared" si="200"/>
        <v>87</v>
      </c>
      <c r="S3239" t="str" cm="1">
        <f t="array" ref="S3239">IF(P3239="","",_xlfn.SWITCH(LEFT(P3239,1),"C","Ciudad","T","Pueblo","R","Rural","S","Suburbano","U","Urbano",""))</f>
        <v>Rural</v>
      </c>
      <c r="T3239" t="str">
        <f t="shared" si="201"/>
        <v>M</v>
      </c>
      <c r="U3239" t="str">
        <f t="shared" si="202"/>
        <v>ND</v>
      </c>
      <c r="V3239" t="str">
        <f t="shared" si="203"/>
        <v>11687</v>
      </c>
    </row>
    <row r="3240" spans="1:22" x14ac:dyDescent="0.35">
      <c r="A3240" s="3">
        <v>24997</v>
      </c>
      <c r="B3240" t="s">
        <v>46</v>
      </c>
      <c r="C3240" t="s">
        <v>17</v>
      </c>
      <c r="D3240">
        <v>474</v>
      </c>
      <c r="E3240">
        <v>282</v>
      </c>
      <c r="F3240">
        <v>331</v>
      </c>
      <c r="G3240">
        <v>0</v>
      </c>
      <c r="H3240">
        <v>9849</v>
      </c>
      <c r="I3240">
        <v>2</v>
      </c>
      <c r="J3240">
        <v>72</v>
      </c>
      <c r="K3240">
        <v>332</v>
      </c>
      <c r="L3240">
        <v>316</v>
      </c>
      <c r="M3240">
        <v>20</v>
      </c>
      <c r="N3240">
        <f>IFERROR(VLOOKUP(A3240,vlookup_table!$A:$G,2,FALSE),"")</f>
        <v>0</v>
      </c>
      <c r="O3240">
        <f>IFERROR(VLOOKUP(A3240,vlookup_table!$A:$G,4,FALSE),"")</f>
        <v>4701</v>
      </c>
      <c r="P3240" t="str">
        <f>IFERROR(VLOOKUP(A3240,vlookup_table!$A:$G,5,FALSE),"")</f>
        <v>T2</v>
      </c>
      <c r="Q3240">
        <f>IFERROR(VLOOKUP(A3240,vlookup_table!$A:$G,7,FALSE),"")</f>
        <v>5</v>
      </c>
      <c r="R3240">
        <f t="shared" si="200"/>
        <v>50</v>
      </c>
      <c r="S3240" t="str" cm="1">
        <f t="array" ref="S3240">IF(P3240="","",_xlfn.SWITCH(LEFT(P3240,1),"C","Ciudad","T","Pueblo","R","Rural","S","Suburbano","U","Urbano",""))</f>
        <v>Pueblo</v>
      </c>
      <c r="T3240" t="str">
        <f t="shared" si="201"/>
        <v>F</v>
      </c>
      <c r="U3240" t="str">
        <f t="shared" si="202"/>
        <v>SC</v>
      </c>
      <c r="V3240" t="str">
        <f t="shared" si="203"/>
        <v>9849</v>
      </c>
    </row>
    <row r="3241" spans="1:22" x14ac:dyDescent="0.35">
      <c r="A3241" s="3">
        <v>189958</v>
      </c>
      <c r="B3241" t="s">
        <v>21</v>
      </c>
      <c r="C3241" t="s">
        <v>17</v>
      </c>
      <c r="D3241">
        <v>838</v>
      </c>
      <c r="E3241">
        <v>306</v>
      </c>
      <c r="F3241">
        <v>455</v>
      </c>
      <c r="G3241">
        <v>0</v>
      </c>
      <c r="H3241">
        <v>14811</v>
      </c>
      <c r="I3241">
        <v>0</v>
      </c>
      <c r="J3241">
        <v>77</v>
      </c>
      <c r="K3241">
        <v>403</v>
      </c>
      <c r="L3241">
        <v>394</v>
      </c>
      <c r="M3241">
        <v>3.9393939389999999</v>
      </c>
      <c r="N3241">
        <f>IFERROR(VLOOKUP(A3241,vlookup_table!$A:$G,2,FALSE),"")</f>
        <v>3</v>
      </c>
      <c r="O3241">
        <f>IFERROR(VLOOKUP(A3241,vlookup_table!$A:$G,4,FALSE),"")</f>
        <v>1610</v>
      </c>
      <c r="P3241" t="str">
        <f>IFERROR(VLOOKUP(A3241,vlookup_table!$A:$G,5,FALSE),"")</f>
        <v>T2</v>
      </c>
      <c r="Q3241">
        <f>IFERROR(VLOOKUP(A3241,vlookup_table!$A:$G,7,FALSE),"")</f>
        <v>5</v>
      </c>
      <c r="R3241">
        <f t="shared" si="200"/>
        <v>81</v>
      </c>
      <c r="S3241" t="str" cm="1">
        <f t="array" ref="S3241">IF(P3241="","",_xlfn.SWITCH(LEFT(P3241,1),"C","Ciudad","T","Pueblo","R","Rural","S","Suburbano","U","Urbano",""))</f>
        <v>Pueblo</v>
      </c>
      <c r="T3241" t="str">
        <f t="shared" si="201"/>
        <v>F</v>
      </c>
      <c r="U3241" t="str">
        <f t="shared" si="202"/>
        <v>TX</v>
      </c>
      <c r="V3241" t="str">
        <f t="shared" si="203"/>
        <v>14811</v>
      </c>
    </row>
    <row r="3242" spans="1:22" x14ac:dyDescent="0.35">
      <c r="A3242" s="3">
        <v>120022</v>
      </c>
      <c r="B3242" t="s">
        <v>21</v>
      </c>
      <c r="C3242" t="s">
        <v>17</v>
      </c>
      <c r="D3242">
        <v>825</v>
      </c>
      <c r="E3242">
        <v>564</v>
      </c>
      <c r="F3242">
        <v>611</v>
      </c>
      <c r="G3242">
        <v>1</v>
      </c>
      <c r="H3242">
        <v>19618</v>
      </c>
      <c r="I3242">
        <v>3</v>
      </c>
      <c r="J3242">
        <v>51</v>
      </c>
      <c r="K3242">
        <v>572</v>
      </c>
      <c r="L3242">
        <v>590</v>
      </c>
      <c r="M3242">
        <v>10</v>
      </c>
      <c r="N3242">
        <f>IFERROR(VLOOKUP(A3242,vlookup_table!$A:$G,2,FALSE),"")</f>
        <v>0</v>
      </c>
      <c r="O3242">
        <f>IFERROR(VLOOKUP(A3242,vlookup_table!$A:$G,4,FALSE),"")</f>
        <v>5401</v>
      </c>
      <c r="P3242" t="str">
        <f>IFERROR(VLOOKUP(A3242,vlookup_table!$A:$G,5,FALSE),"")</f>
        <v>T1</v>
      </c>
      <c r="Q3242">
        <f>IFERROR(VLOOKUP(A3242,vlookup_table!$A:$G,7,FALSE),"")</f>
        <v>20</v>
      </c>
      <c r="R3242">
        <f t="shared" si="200"/>
        <v>43</v>
      </c>
      <c r="S3242" t="str" cm="1">
        <f t="array" ref="S3242">IF(P3242="","",_xlfn.SWITCH(LEFT(P3242,1),"C","Ciudad","T","Pueblo","R","Rural","S","Suburbano","U","Urbano",""))</f>
        <v>Pueblo</v>
      </c>
      <c r="T3242" t="str">
        <f t="shared" si="201"/>
        <v>F</v>
      </c>
      <c r="U3242" t="str">
        <f t="shared" si="202"/>
        <v>TX</v>
      </c>
      <c r="V3242" t="str">
        <f t="shared" si="203"/>
        <v>19618</v>
      </c>
    </row>
    <row r="3243" spans="1:22" x14ac:dyDescent="0.35">
      <c r="A3243" s="3">
        <v>36809</v>
      </c>
      <c r="B3243" t="s">
        <v>21</v>
      </c>
      <c r="C3243" t="s">
        <v>14</v>
      </c>
      <c r="D3243">
        <v>876</v>
      </c>
      <c r="E3243">
        <v>515</v>
      </c>
      <c r="F3243">
        <v>574</v>
      </c>
      <c r="G3243">
        <v>0</v>
      </c>
      <c r="H3243">
        <v>18148</v>
      </c>
      <c r="I3243">
        <v>8</v>
      </c>
      <c r="J3243">
        <v>55</v>
      </c>
      <c r="K3243">
        <v>525</v>
      </c>
      <c r="L3243">
        <v>576</v>
      </c>
      <c r="M3243">
        <v>4.266666667</v>
      </c>
      <c r="N3243">
        <f>IFERROR(VLOOKUP(A3243,vlookup_table!$A:$G,2,FALSE),"")</f>
        <v>0</v>
      </c>
      <c r="O3243">
        <f>IFERROR(VLOOKUP(A3243,vlookup_table!$A:$G,4,FALSE),"")</f>
        <v>1201</v>
      </c>
      <c r="P3243" t="str">
        <f>IFERROR(VLOOKUP(A3243,vlookup_table!$A:$G,5,FALSE),"")</f>
        <v>S2</v>
      </c>
      <c r="Q3243">
        <f>IFERROR(VLOOKUP(A3243,vlookup_table!$A:$G,7,FALSE),"")</f>
        <v>5</v>
      </c>
      <c r="R3243">
        <f t="shared" si="200"/>
        <v>85</v>
      </c>
      <c r="S3243" t="str" cm="1">
        <f t="array" ref="S3243">IF(P3243="","",_xlfn.SWITCH(LEFT(P3243,1),"C","Ciudad","T","Pueblo","R","Rural","S","Suburbano","U","Urbano",""))</f>
        <v>Suburbano</v>
      </c>
      <c r="T3243" t="str">
        <f t="shared" si="201"/>
        <v>M</v>
      </c>
      <c r="U3243" t="str">
        <f t="shared" si="202"/>
        <v>TX</v>
      </c>
      <c r="V3243" t="str">
        <f t="shared" si="203"/>
        <v>18148</v>
      </c>
    </row>
    <row r="3244" spans="1:22" x14ac:dyDescent="0.35">
      <c r="A3244" s="3">
        <v>99761</v>
      </c>
      <c r="B3244" t="s">
        <v>36</v>
      </c>
      <c r="C3244" t="s">
        <v>14</v>
      </c>
      <c r="D3244">
        <v>631</v>
      </c>
      <c r="E3244">
        <v>370</v>
      </c>
      <c r="F3244">
        <v>398</v>
      </c>
      <c r="G3244">
        <v>0</v>
      </c>
      <c r="H3244">
        <v>12100</v>
      </c>
      <c r="I3244">
        <v>0</v>
      </c>
      <c r="J3244">
        <v>80</v>
      </c>
      <c r="K3244">
        <v>380</v>
      </c>
      <c r="L3244">
        <v>382</v>
      </c>
      <c r="M3244">
        <v>6.6</v>
      </c>
      <c r="N3244">
        <f>IFERROR(VLOOKUP(A3244,vlookup_table!$A:$G,2,FALSE),"")</f>
        <v>1</v>
      </c>
      <c r="O3244">
        <f>IFERROR(VLOOKUP(A3244,vlookup_table!$A:$G,4,FALSE),"")</f>
        <v>6801</v>
      </c>
      <c r="P3244" t="str">
        <f>IFERROR(VLOOKUP(A3244,vlookup_table!$A:$G,5,FALSE),"")</f>
        <v>T2</v>
      </c>
      <c r="Q3244">
        <f>IFERROR(VLOOKUP(A3244,vlookup_table!$A:$G,7,FALSE),"")</f>
        <v>6</v>
      </c>
      <c r="R3244">
        <f t="shared" si="200"/>
        <v>29</v>
      </c>
      <c r="S3244" t="str" cm="1">
        <f t="array" ref="S3244">IF(P3244="","",_xlfn.SWITCH(LEFT(P3244,1),"C","Ciudad","T","Pueblo","R","Rural","S","Suburbano","U","Urbano",""))</f>
        <v>Pueblo</v>
      </c>
      <c r="T3244" t="str">
        <f t="shared" si="201"/>
        <v>M</v>
      </c>
      <c r="U3244" t="str">
        <f t="shared" si="202"/>
        <v>MO</v>
      </c>
      <c r="V3244" t="str">
        <f t="shared" si="203"/>
        <v>12100</v>
      </c>
    </row>
    <row r="3245" spans="1:22" x14ac:dyDescent="0.35">
      <c r="A3245" s="3">
        <v>68120</v>
      </c>
      <c r="B3245" t="s">
        <v>29</v>
      </c>
      <c r="C3245" t="s">
        <v>17</v>
      </c>
      <c r="D3245">
        <v>698</v>
      </c>
      <c r="E3245">
        <v>340</v>
      </c>
      <c r="F3245">
        <v>436</v>
      </c>
      <c r="G3245">
        <v>0</v>
      </c>
      <c r="H3245">
        <v>15577</v>
      </c>
      <c r="I3245">
        <v>6</v>
      </c>
      <c r="J3245">
        <v>83</v>
      </c>
      <c r="K3245">
        <v>396</v>
      </c>
      <c r="L3245">
        <v>355</v>
      </c>
      <c r="M3245">
        <v>12.71428571</v>
      </c>
      <c r="N3245">
        <f>IFERROR(VLOOKUP(A3245,vlookup_table!$A:$G,2,FALSE),"")</f>
        <v>28</v>
      </c>
      <c r="O3245">
        <f>IFERROR(VLOOKUP(A3245,vlookup_table!$A:$G,4,FALSE),"")</f>
        <v>3908</v>
      </c>
      <c r="P3245" t="str">
        <f>IFERROR(VLOOKUP(A3245,vlookup_table!$A:$G,5,FALSE),"")</f>
        <v>U2</v>
      </c>
      <c r="Q3245">
        <f>IFERROR(VLOOKUP(A3245,vlookup_table!$A:$G,7,FALSE),"")</f>
        <v>20</v>
      </c>
      <c r="R3245">
        <f t="shared" si="200"/>
        <v>58</v>
      </c>
      <c r="S3245" t="str" cm="1">
        <f t="array" ref="S3245">IF(P3245="","",_xlfn.SWITCH(LEFT(P3245,1),"C","Ciudad","T","Pueblo","R","Rural","S","Suburbano","U","Urbano",""))</f>
        <v>Urbano</v>
      </c>
      <c r="T3245" t="str">
        <f t="shared" si="201"/>
        <v>F</v>
      </c>
      <c r="U3245" t="str">
        <f t="shared" si="202"/>
        <v>MI</v>
      </c>
      <c r="V3245" t="str">
        <f t="shared" si="203"/>
        <v>15577</v>
      </c>
    </row>
    <row r="3246" spans="1:22" x14ac:dyDescent="0.35">
      <c r="A3246" s="3">
        <v>102372</v>
      </c>
      <c r="B3246" t="s">
        <v>36</v>
      </c>
      <c r="C3246" t="s">
        <v>14</v>
      </c>
      <c r="D3246">
        <v>557</v>
      </c>
      <c r="E3246">
        <v>298</v>
      </c>
      <c r="F3246">
        <v>365</v>
      </c>
      <c r="G3246">
        <v>0</v>
      </c>
      <c r="H3246">
        <v>13056</v>
      </c>
      <c r="I3246">
        <v>4</v>
      </c>
      <c r="J3246">
        <v>61</v>
      </c>
      <c r="K3246">
        <v>364</v>
      </c>
      <c r="L3246">
        <v>326</v>
      </c>
      <c r="M3246">
        <v>13</v>
      </c>
      <c r="N3246">
        <f>IFERROR(VLOOKUP(A3246,vlookup_table!$A:$G,2,FALSE),"")</f>
        <v>1</v>
      </c>
      <c r="O3246">
        <f>IFERROR(VLOOKUP(A3246,vlookup_table!$A:$G,4,FALSE),"")</f>
        <v>0</v>
      </c>
      <c r="P3246" t="str">
        <f>IFERROR(VLOOKUP(A3246,vlookup_table!$A:$G,5,FALSE),"")</f>
        <v>S2</v>
      </c>
      <c r="Q3246">
        <f>IFERROR(VLOOKUP(A3246,vlookup_table!$A:$G,7,FALSE),"")</f>
        <v>23</v>
      </c>
      <c r="R3246">
        <f t="shared" si="200"/>
        <v>97</v>
      </c>
      <c r="S3246" t="str" cm="1">
        <f t="array" ref="S3246">IF(P3246="","",_xlfn.SWITCH(LEFT(P3246,1),"C","Ciudad","T","Pueblo","R","Rural","S","Suburbano","U","Urbano",""))</f>
        <v>Suburbano</v>
      </c>
      <c r="T3246" t="str">
        <f t="shared" si="201"/>
        <v>M</v>
      </c>
      <c r="U3246" t="str">
        <f t="shared" si="202"/>
        <v>MO</v>
      </c>
      <c r="V3246" t="str">
        <f t="shared" si="203"/>
        <v>13056</v>
      </c>
    </row>
    <row r="3247" spans="1:22" x14ac:dyDescent="0.35">
      <c r="A3247" s="3">
        <v>6050</v>
      </c>
      <c r="B3247" t="s">
        <v>36</v>
      </c>
      <c r="C3247" t="s">
        <v>17</v>
      </c>
      <c r="D3247">
        <v>691</v>
      </c>
      <c r="E3247">
        <v>311</v>
      </c>
      <c r="F3247">
        <v>411</v>
      </c>
      <c r="G3247">
        <v>1</v>
      </c>
      <c r="H3247">
        <v>12519</v>
      </c>
      <c r="I3247">
        <v>0</v>
      </c>
      <c r="J3247">
        <v>84</v>
      </c>
      <c r="K3247">
        <v>347</v>
      </c>
      <c r="L3247">
        <v>383</v>
      </c>
      <c r="M3247">
        <v>10.629213480000001</v>
      </c>
      <c r="N3247">
        <f>IFERROR(VLOOKUP(A3247,vlookup_table!$A:$G,2,FALSE),"")</f>
        <v>0</v>
      </c>
      <c r="O3247">
        <f>IFERROR(VLOOKUP(A3247,vlookup_table!$A:$G,4,FALSE),"")</f>
        <v>0</v>
      </c>
      <c r="P3247">
        <f>IFERROR(VLOOKUP(A3247,vlookup_table!$A:$G,5,FALSE),"")</f>
        <v>0</v>
      </c>
      <c r="Q3247">
        <f>IFERROR(VLOOKUP(A3247,vlookup_table!$A:$G,7,FALSE),"")</f>
        <v>32</v>
      </c>
      <c r="R3247">
        <f t="shared" si="200"/>
        <v>97</v>
      </c>
      <c r="S3247" t="str" cm="1">
        <f t="array" ref="S3247">IF(P3247="","",_xlfn.SWITCH(LEFT(P3247,1),"C","Ciudad","T","Pueblo","R","Rural","S","Suburbano","U","Urbano",""))</f>
        <v/>
      </c>
      <c r="T3247" t="str">
        <f t="shared" si="201"/>
        <v>F</v>
      </c>
      <c r="U3247" t="str">
        <f t="shared" si="202"/>
        <v>MO</v>
      </c>
      <c r="V3247" t="str">
        <f t="shared" si="203"/>
        <v>12519</v>
      </c>
    </row>
    <row r="3248" spans="1:22" x14ac:dyDescent="0.35">
      <c r="A3248" s="3">
        <v>118657</v>
      </c>
      <c r="B3248" t="s">
        <v>21</v>
      </c>
      <c r="C3248" t="s">
        <v>17</v>
      </c>
      <c r="D3248">
        <v>368</v>
      </c>
      <c r="E3248">
        <v>171</v>
      </c>
      <c r="F3248">
        <v>245</v>
      </c>
      <c r="G3248">
        <v>1</v>
      </c>
      <c r="H3248">
        <v>10255</v>
      </c>
      <c r="I3248">
        <v>1</v>
      </c>
      <c r="J3248">
        <v>80</v>
      </c>
      <c r="K3248">
        <v>200</v>
      </c>
      <c r="L3248">
        <v>227</v>
      </c>
      <c r="M3248">
        <v>7.75</v>
      </c>
      <c r="N3248">
        <f>IFERROR(VLOOKUP(A3248,vlookup_table!$A:$G,2,FALSE),"")</f>
        <v>28</v>
      </c>
      <c r="O3248">
        <f>IFERROR(VLOOKUP(A3248,vlookup_table!$A:$G,4,FALSE),"")</f>
        <v>0</v>
      </c>
      <c r="P3248" t="str">
        <f>IFERROR(VLOOKUP(A3248,vlookup_table!$A:$G,5,FALSE),"")</f>
        <v>R3</v>
      </c>
      <c r="Q3248">
        <f>IFERROR(VLOOKUP(A3248,vlookup_table!$A:$G,7,FALSE),"")</f>
        <v>11</v>
      </c>
      <c r="R3248">
        <f t="shared" si="200"/>
        <v>97</v>
      </c>
      <c r="S3248" t="str" cm="1">
        <f t="array" ref="S3248">IF(P3248="","",_xlfn.SWITCH(LEFT(P3248,1),"C","Ciudad","T","Pueblo","R","Rural","S","Suburbano","U","Urbano",""))</f>
        <v>Rural</v>
      </c>
      <c r="T3248" t="str">
        <f t="shared" si="201"/>
        <v>F</v>
      </c>
      <c r="U3248" t="str">
        <f t="shared" si="202"/>
        <v>TX</v>
      </c>
      <c r="V3248" t="str">
        <f t="shared" si="203"/>
        <v>10255</v>
      </c>
    </row>
    <row r="3249" spans="1:22" x14ac:dyDescent="0.35">
      <c r="A3249" s="3">
        <v>169135</v>
      </c>
      <c r="B3249" t="s">
        <v>22</v>
      </c>
      <c r="C3249" t="s">
        <v>17</v>
      </c>
      <c r="D3249">
        <v>1751</v>
      </c>
      <c r="E3249">
        <v>273</v>
      </c>
      <c r="F3249">
        <v>340</v>
      </c>
      <c r="G3249">
        <v>37</v>
      </c>
      <c r="H3249">
        <v>12557</v>
      </c>
      <c r="I3249">
        <v>4</v>
      </c>
      <c r="J3249">
        <v>63</v>
      </c>
      <c r="K3249">
        <v>282</v>
      </c>
      <c r="L3249">
        <v>328</v>
      </c>
      <c r="M3249">
        <v>25</v>
      </c>
      <c r="N3249">
        <f>IFERROR(VLOOKUP(A3249,vlookup_table!$A:$G,2,FALSE),"")</f>
        <v>0</v>
      </c>
      <c r="O3249">
        <f>IFERROR(VLOOKUP(A3249,vlookup_table!$A:$G,4,FALSE),"")</f>
        <v>0</v>
      </c>
      <c r="P3249" t="str">
        <f>IFERROR(VLOOKUP(A3249,vlookup_table!$A:$G,5,FALSE),"")</f>
        <v>C2</v>
      </c>
      <c r="Q3249">
        <f>IFERROR(VLOOKUP(A3249,vlookup_table!$A:$G,7,FALSE),"")</f>
        <v>10</v>
      </c>
      <c r="R3249">
        <f t="shared" si="200"/>
        <v>97</v>
      </c>
      <c r="S3249" t="str" cm="1">
        <f t="array" ref="S3249">IF(P3249="","",_xlfn.SWITCH(LEFT(P3249,1),"C","Ciudad","T","Pueblo","R","Rural","S","Suburbano","U","Urbano",""))</f>
        <v>Ciudad</v>
      </c>
      <c r="T3249" t="str">
        <f t="shared" si="201"/>
        <v>F</v>
      </c>
      <c r="U3249" t="str">
        <f t="shared" si="202"/>
        <v>CA</v>
      </c>
      <c r="V3249" t="str">
        <f t="shared" si="203"/>
        <v>12557</v>
      </c>
    </row>
    <row r="3250" spans="1:22" x14ac:dyDescent="0.35">
      <c r="A3250" s="3">
        <v>187748</v>
      </c>
      <c r="B3250" t="s">
        <v>13</v>
      </c>
      <c r="D3250">
        <v>865</v>
      </c>
      <c r="E3250">
        <v>341</v>
      </c>
      <c r="F3250">
        <v>432</v>
      </c>
      <c r="G3250">
        <v>3</v>
      </c>
      <c r="H3250">
        <v>15630</v>
      </c>
      <c r="I3250">
        <v>7</v>
      </c>
      <c r="J3250">
        <v>21</v>
      </c>
      <c r="K3250">
        <v>387</v>
      </c>
      <c r="L3250">
        <v>392</v>
      </c>
      <c r="M3250">
        <v>8.375</v>
      </c>
      <c r="N3250">
        <f>IFERROR(VLOOKUP(A3250,vlookup_table!$A:$G,2,FALSE),"")</f>
        <v>0</v>
      </c>
      <c r="O3250">
        <f>IFERROR(VLOOKUP(A3250,vlookup_table!$A:$G,4,FALSE),"")</f>
        <v>0</v>
      </c>
      <c r="P3250">
        <f>IFERROR(VLOOKUP(A3250,vlookup_table!$A:$G,5,FALSE),"")</f>
        <v>0</v>
      </c>
      <c r="Q3250">
        <f>IFERROR(VLOOKUP(A3250,vlookup_table!$A:$G,7,FALSE),"")</f>
        <v>7</v>
      </c>
      <c r="R3250">
        <f t="shared" si="200"/>
        <v>97</v>
      </c>
      <c r="S3250" t="str" cm="1">
        <f t="array" ref="S3250">IF(P3250="","",_xlfn.SWITCH(LEFT(P3250,1),"C","Ciudad","T","Pueblo","R","Rural","S","Suburbano","U","Urbano",""))</f>
        <v/>
      </c>
      <c r="T3250" t="str">
        <f t="shared" si="201"/>
        <v/>
      </c>
      <c r="U3250" t="str">
        <f t="shared" si="202"/>
        <v>FL</v>
      </c>
      <c r="V3250" t="str">
        <f t="shared" si="203"/>
        <v>15630</v>
      </c>
    </row>
    <row r="3251" spans="1:22" x14ac:dyDescent="0.35">
      <c r="A3251" s="3">
        <v>73786</v>
      </c>
      <c r="B3251" t="s">
        <v>29</v>
      </c>
      <c r="C3251" t="s">
        <v>14</v>
      </c>
      <c r="D3251">
        <v>1176</v>
      </c>
      <c r="E3251">
        <v>558</v>
      </c>
      <c r="F3251">
        <v>672</v>
      </c>
      <c r="G3251">
        <v>3</v>
      </c>
      <c r="H3251">
        <v>21886</v>
      </c>
      <c r="I3251">
        <v>1</v>
      </c>
      <c r="J3251">
        <v>80</v>
      </c>
      <c r="K3251">
        <v>608</v>
      </c>
      <c r="L3251">
        <v>609</v>
      </c>
      <c r="M3251">
        <v>8</v>
      </c>
      <c r="N3251">
        <f>IFERROR(VLOOKUP(A3251,vlookup_table!$A:$G,2,FALSE),"")</f>
        <v>1</v>
      </c>
      <c r="O3251">
        <f>IFERROR(VLOOKUP(A3251,vlookup_table!$A:$G,4,FALSE),"")</f>
        <v>2303</v>
      </c>
      <c r="P3251" t="str">
        <f>IFERROR(VLOOKUP(A3251,vlookup_table!$A:$G,5,FALSE),"")</f>
        <v>S1</v>
      </c>
      <c r="Q3251">
        <f>IFERROR(VLOOKUP(A3251,vlookup_table!$A:$G,7,FALSE),"")</f>
        <v>12</v>
      </c>
      <c r="R3251">
        <f t="shared" si="200"/>
        <v>74</v>
      </c>
      <c r="S3251" t="str" cm="1">
        <f t="array" ref="S3251">IF(P3251="","",_xlfn.SWITCH(LEFT(P3251,1),"C","Ciudad","T","Pueblo","R","Rural","S","Suburbano","U","Urbano",""))</f>
        <v>Suburbano</v>
      </c>
      <c r="T3251" t="str">
        <f t="shared" si="201"/>
        <v>M</v>
      </c>
      <c r="U3251" t="str">
        <f t="shared" si="202"/>
        <v>MI</v>
      </c>
      <c r="V3251" t="str">
        <f t="shared" si="203"/>
        <v>21886</v>
      </c>
    </row>
    <row r="3252" spans="1:22" x14ac:dyDescent="0.35">
      <c r="A3252" s="3">
        <v>47276</v>
      </c>
      <c r="B3252" t="s">
        <v>43</v>
      </c>
      <c r="C3252" t="s">
        <v>27</v>
      </c>
      <c r="D3252">
        <v>485</v>
      </c>
      <c r="E3252">
        <v>247</v>
      </c>
      <c r="F3252">
        <v>370</v>
      </c>
      <c r="G3252">
        <v>1</v>
      </c>
      <c r="H3252">
        <v>12619</v>
      </c>
      <c r="I3252">
        <v>1</v>
      </c>
      <c r="J3252">
        <v>92</v>
      </c>
      <c r="K3252">
        <v>378</v>
      </c>
      <c r="L3252">
        <v>305</v>
      </c>
      <c r="M3252">
        <v>7.1818181819999998</v>
      </c>
      <c r="N3252">
        <f>IFERROR(VLOOKUP(A3252,vlookup_table!$A:$G,2,FALSE),"")</f>
        <v>1</v>
      </c>
      <c r="O3252">
        <f>IFERROR(VLOOKUP(A3252,vlookup_table!$A:$G,4,FALSE),"")</f>
        <v>4001</v>
      </c>
      <c r="P3252" t="str">
        <f>IFERROR(VLOOKUP(A3252,vlookup_table!$A:$G,5,FALSE),"")</f>
        <v>T2</v>
      </c>
      <c r="Q3252">
        <f>IFERROR(VLOOKUP(A3252,vlookup_table!$A:$G,7,FALSE),"")</f>
        <v>6</v>
      </c>
      <c r="R3252">
        <f t="shared" si="200"/>
        <v>57</v>
      </c>
      <c r="S3252" t="str" cm="1">
        <f t="array" ref="S3252">IF(P3252="","",_xlfn.SWITCH(LEFT(P3252,1),"C","Ciudad","T","Pueblo","R","Rural","S","Suburbano","U","Urbano",""))</f>
        <v>Pueblo</v>
      </c>
      <c r="T3252" t="str">
        <f t="shared" si="201"/>
        <v>M</v>
      </c>
      <c r="U3252" t="str">
        <f t="shared" si="202"/>
        <v>AL</v>
      </c>
      <c r="V3252" t="str">
        <f t="shared" si="203"/>
        <v>12619</v>
      </c>
    </row>
    <row r="3253" spans="1:22" x14ac:dyDescent="0.35">
      <c r="A3253" s="3">
        <v>27329</v>
      </c>
      <c r="B3253" t="s">
        <v>39</v>
      </c>
      <c r="C3253" t="s">
        <v>14</v>
      </c>
      <c r="D3253">
        <v>684</v>
      </c>
      <c r="E3253">
        <v>282</v>
      </c>
      <c r="F3253">
        <v>375</v>
      </c>
      <c r="G3253">
        <v>1</v>
      </c>
      <c r="H3253">
        <v>13025</v>
      </c>
      <c r="I3253">
        <v>1</v>
      </c>
      <c r="J3253">
        <v>75</v>
      </c>
      <c r="K3253">
        <v>318</v>
      </c>
      <c r="L3253">
        <v>336</v>
      </c>
      <c r="M3253">
        <v>15</v>
      </c>
      <c r="N3253">
        <f>IFERROR(VLOOKUP(A3253,vlookup_table!$A:$G,2,FALSE),"")</f>
        <v>2</v>
      </c>
      <c r="O3253">
        <f>IFERROR(VLOOKUP(A3253,vlookup_table!$A:$G,4,FALSE),"")</f>
        <v>4601</v>
      </c>
      <c r="P3253" t="str">
        <f>IFERROR(VLOOKUP(A3253,vlookup_table!$A:$G,5,FALSE),"")</f>
        <v>T2</v>
      </c>
      <c r="Q3253">
        <f>IFERROR(VLOOKUP(A3253,vlookup_table!$A:$G,7,FALSE),"")</f>
        <v>15</v>
      </c>
      <c r="R3253">
        <f t="shared" si="200"/>
        <v>51</v>
      </c>
      <c r="S3253" t="str" cm="1">
        <f t="array" ref="S3253">IF(P3253="","",_xlfn.SWITCH(LEFT(P3253,1),"C","Ciudad","T","Pueblo","R","Rural","S","Suburbano","U","Urbano",""))</f>
        <v>Pueblo</v>
      </c>
      <c r="T3253" t="str">
        <f t="shared" si="201"/>
        <v>M</v>
      </c>
      <c r="U3253" t="str">
        <f t="shared" si="202"/>
        <v>GA</v>
      </c>
      <c r="V3253" t="str">
        <f t="shared" si="203"/>
        <v>13025</v>
      </c>
    </row>
    <row r="3254" spans="1:22" x14ac:dyDescent="0.35">
      <c r="A3254" s="3">
        <v>102579</v>
      </c>
      <c r="B3254" t="s">
        <v>36</v>
      </c>
      <c r="C3254" t="s">
        <v>30</v>
      </c>
      <c r="D3254">
        <v>300</v>
      </c>
      <c r="E3254">
        <v>240</v>
      </c>
      <c r="F3254">
        <v>322</v>
      </c>
      <c r="G3254">
        <v>0</v>
      </c>
      <c r="H3254">
        <v>10527</v>
      </c>
      <c r="I3254">
        <v>0</v>
      </c>
      <c r="J3254">
        <v>81</v>
      </c>
      <c r="K3254">
        <v>283</v>
      </c>
      <c r="L3254">
        <v>285</v>
      </c>
      <c r="M3254">
        <v>5</v>
      </c>
      <c r="N3254">
        <f>IFERROR(VLOOKUP(A3254,vlookup_table!$A:$G,2,FALSE),"")</f>
        <v>0</v>
      </c>
      <c r="O3254">
        <f>IFERROR(VLOOKUP(A3254,vlookup_table!$A:$G,4,FALSE),"")</f>
        <v>0</v>
      </c>
      <c r="P3254" t="str">
        <f>IFERROR(VLOOKUP(A3254,vlookup_table!$A:$G,5,FALSE),"")</f>
        <v>R2</v>
      </c>
      <c r="Q3254">
        <f>IFERROR(VLOOKUP(A3254,vlookup_table!$A:$G,7,FALSE),"")</f>
        <v>5</v>
      </c>
      <c r="R3254">
        <f t="shared" si="200"/>
        <v>97</v>
      </c>
      <c r="S3254" t="str" cm="1">
        <f t="array" ref="S3254">IF(P3254="","",_xlfn.SWITCH(LEFT(P3254,1),"C","Ciudad","T","Pueblo","R","Rural","S","Suburbano","U","Urbano",""))</f>
        <v>Rural</v>
      </c>
      <c r="T3254" t="str">
        <f t="shared" si="201"/>
        <v>U</v>
      </c>
      <c r="U3254" t="str">
        <f t="shared" si="202"/>
        <v>MO</v>
      </c>
      <c r="V3254" t="str">
        <f t="shared" si="203"/>
        <v>10527</v>
      </c>
    </row>
    <row r="3255" spans="1:22" x14ac:dyDescent="0.35">
      <c r="A3255" s="3">
        <v>145403</v>
      </c>
      <c r="B3255" t="s">
        <v>22</v>
      </c>
      <c r="C3255" t="s">
        <v>17</v>
      </c>
      <c r="D3255">
        <v>2730</v>
      </c>
      <c r="E3255">
        <v>294</v>
      </c>
      <c r="F3255">
        <v>447</v>
      </c>
      <c r="G3255">
        <v>89</v>
      </c>
      <c r="H3255">
        <v>15068</v>
      </c>
      <c r="I3255">
        <v>17</v>
      </c>
      <c r="J3255">
        <v>55</v>
      </c>
      <c r="K3255">
        <v>304</v>
      </c>
      <c r="L3255">
        <v>391</v>
      </c>
      <c r="M3255">
        <v>5.127659575</v>
      </c>
      <c r="N3255">
        <f>IFERROR(VLOOKUP(A3255,vlookup_table!$A:$G,2,FALSE),"")</f>
        <v>0</v>
      </c>
      <c r="O3255">
        <f>IFERROR(VLOOKUP(A3255,vlookup_table!$A:$G,4,FALSE),"")</f>
        <v>602</v>
      </c>
      <c r="P3255" t="str">
        <f>IFERROR(VLOOKUP(A3255,vlookup_table!$A:$G,5,FALSE),"")</f>
        <v>S2</v>
      </c>
      <c r="Q3255">
        <f>IFERROR(VLOOKUP(A3255,vlookup_table!$A:$G,7,FALSE),"")</f>
        <v>10</v>
      </c>
      <c r="R3255">
        <f t="shared" si="200"/>
        <v>91</v>
      </c>
      <c r="S3255" t="str" cm="1">
        <f t="array" ref="S3255">IF(P3255="","",_xlfn.SWITCH(LEFT(P3255,1),"C","Ciudad","T","Pueblo","R","Rural","S","Suburbano","U","Urbano",""))</f>
        <v>Suburbano</v>
      </c>
      <c r="T3255" t="str">
        <f t="shared" si="201"/>
        <v>F</v>
      </c>
      <c r="U3255" t="str">
        <f t="shared" si="202"/>
        <v>CA</v>
      </c>
      <c r="V3255" t="str">
        <f t="shared" si="203"/>
        <v>15068</v>
      </c>
    </row>
    <row r="3256" spans="1:22" x14ac:dyDescent="0.35">
      <c r="A3256" s="3">
        <v>59814</v>
      </c>
      <c r="B3256" t="s">
        <v>33</v>
      </c>
      <c r="C3256" t="s">
        <v>17</v>
      </c>
      <c r="D3256">
        <v>392</v>
      </c>
      <c r="E3256">
        <v>249</v>
      </c>
      <c r="F3256">
        <v>343</v>
      </c>
      <c r="G3256">
        <v>0</v>
      </c>
      <c r="H3256">
        <v>11274</v>
      </c>
      <c r="I3256">
        <v>0</v>
      </c>
      <c r="J3256">
        <v>85</v>
      </c>
      <c r="K3256">
        <v>301</v>
      </c>
      <c r="L3256">
        <v>295</v>
      </c>
      <c r="M3256">
        <v>5.4535</v>
      </c>
      <c r="N3256">
        <f>IFERROR(VLOOKUP(A3256,vlookup_table!$A:$G,2,FALSE),"")</f>
        <v>28</v>
      </c>
      <c r="O3256">
        <f>IFERROR(VLOOKUP(A3256,vlookup_table!$A:$G,4,FALSE),"")</f>
        <v>4001</v>
      </c>
      <c r="P3256" t="str">
        <f>IFERROR(VLOOKUP(A3256,vlookup_table!$A:$G,5,FALSE),"")</f>
        <v>R3</v>
      </c>
      <c r="Q3256">
        <f>IFERROR(VLOOKUP(A3256,vlookup_table!$A:$G,7,FALSE),"")</f>
        <v>5</v>
      </c>
      <c r="R3256">
        <f t="shared" si="200"/>
        <v>57</v>
      </c>
      <c r="S3256" t="str" cm="1">
        <f t="array" ref="S3256">IF(P3256="","",_xlfn.SWITCH(LEFT(P3256,1),"C","Ciudad","T","Pueblo","R","Rural","S","Suburbano","U","Urbano",""))</f>
        <v>Rural</v>
      </c>
      <c r="T3256" t="str">
        <f t="shared" si="201"/>
        <v>F</v>
      </c>
      <c r="U3256" t="str">
        <f t="shared" si="202"/>
        <v>IN</v>
      </c>
      <c r="V3256" t="str">
        <f t="shared" si="203"/>
        <v>11274</v>
      </c>
    </row>
    <row r="3257" spans="1:22" x14ac:dyDescent="0.35">
      <c r="A3257" s="3">
        <v>85059</v>
      </c>
      <c r="B3257" t="s">
        <v>56</v>
      </c>
      <c r="C3257" t="s">
        <v>14</v>
      </c>
      <c r="D3257">
        <v>303</v>
      </c>
      <c r="E3257">
        <v>254</v>
      </c>
      <c r="F3257">
        <v>337</v>
      </c>
      <c r="G3257">
        <v>0</v>
      </c>
      <c r="H3257">
        <v>12469</v>
      </c>
      <c r="I3257">
        <v>1</v>
      </c>
      <c r="J3257">
        <v>86</v>
      </c>
      <c r="K3257">
        <v>294</v>
      </c>
      <c r="L3257">
        <v>299</v>
      </c>
      <c r="M3257">
        <v>3.7222222220000001</v>
      </c>
      <c r="N3257">
        <f>IFERROR(VLOOKUP(A3257,vlookup_table!$A:$G,2,FALSE),"")</f>
        <v>1</v>
      </c>
      <c r="O3257">
        <f>IFERROR(VLOOKUP(A3257,vlookup_table!$A:$G,4,FALSE),"")</f>
        <v>1701</v>
      </c>
      <c r="P3257" t="str">
        <f>IFERROR(VLOOKUP(A3257,vlookup_table!$A:$G,5,FALSE),"")</f>
        <v>R2</v>
      </c>
      <c r="Q3257">
        <f>IFERROR(VLOOKUP(A3257,vlookup_table!$A:$G,7,FALSE),"")</f>
        <v>5</v>
      </c>
      <c r="R3257">
        <f t="shared" si="200"/>
        <v>80</v>
      </c>
      <c r="S3257" t="str" cm="1">
        <f t="array" ref="S3257">IF(P3257="","",_xlfn.SWITCH(LEFT(P3257,1),"C","Ciudad","T","Pueblo","R","Rural","S","Suburbano","U","Urbano",""))</f>
        <v>Rural</v>
      </c>
      <c r="T3257" t="str">
        <f t="shared" si="201"/>
        <v>M</v>
      </c>
      <c r="U3257" t="str">
        <f t="shared" si="202"/>
        <v>MN</v>
      </c>
      <c r="V3257" t="str">
        <f t="shared" si="203"/>
        <v>12469</v>
      </c>
    </row>
    <row r="3258" spans="1:22" x14ac:dyDescent="0.35">
      <c r="A3258" s="3">
        <v>168103</v>
      </c>
      <c r="B3258" t="s">
        <v>22</v>
      </c>
      <c r="C3258" t="s">
        <v>14</v>
      </c>
      <c r="D3258">
        <v>1279</v>
      </c>
      <c r="E3258">
        <v>280</v>
      </c>
      <c r="F3258">
        <v>276</v>
      </c>
      <c r="G3258">
        <v>5</v>
      </c>
      <c r="H3258">
        <v>6474</v>
      </c>
      <c r="I3258">
        <v>56</v>
      </c>
      <c r="J3258">
        <v>35</v>
      </c>
      <c r="K3258">
        <v>249</v>
      </c>
      <c r="L3258">
        <v>315</v>
      </c>
      <c r="M3258">
        <v>8</v>
      </c>
      <c r="N3258">
        <f>IFERROR(VLOOKUP(A3258,vlookup_table!$A:$G,2,FALSE),"")</f>
        <v>1</v>
      </c>
      <c r="O3258">
        <f>IFERROR(VLOOKUP(A3258,vlookup_table!$A:$G,4,FALSE),"")</f>
        <v>4201</v>
      </c>
      <c r="P3258" t="str">
        <f>IFERROR(VLOOKUP(A3258,vlookup_table!$A:$G,5,FALSE),"")</f>
        <v>U3</v>
      </c>
      <c r="Q3258">
        <f>IFERROR(VLOOKUP(A3258,vlookup_table!$A:$G,7,FALSE),"")</f>
        <v>10</v>
      </c>
      <c r="R3258">
        <f t="shared" si="200"/>
        <v>55</v>
      </c>
      <c r="S3258" t="str" cm="1">
        <f t="array" ref="S3258">IF(P3258="","",_xlfn.SWITCH(LEFT(P3258,1),"C","Ciudad","T","Pueblo","R","Rural","S","Suburbano","U","Urbano",""))</f>
        <v>Urbano</v>
      </c>
      <c r="T3258" t="str">
        <f t="shared" si="201"/>
        <v>M</v>
      </c>
      <c r="U3258" t="str">
        <f t="shared" si="202"/>
        <v>CA</v>
      </c>
      <c r="V3258" t="str">
        <f t="shared" si="203"/>
        <v>6474</v>
      </c>
    </row>
    <row r="3259" spans="1:22" x14ac:dyDescent="0.35">
      <c r="A3259" s="3">
        <v>13452</v>
      </c>
      <c r="B3259" t="s">
        <v>13</v>
      </c>
      <c r="C3259" t="s">
        <v>14</v>
      </c>
      <c r="D3259">
        <v>562</v>
      </c>
      <c r="E3259">
        <v>257</v>
      </c>
      <c r="F3259">
        <v>313</v>
      </c>
      <c r="G3259">
        <v>0</v>
      </c>
      <c r="H3259">
        <v>11595</v>
      </c>
      <c r="I3259">
        <v>6</v>
      </c>
      <c r="J3259">
        <v>21</v>
      </c>
      <c r="K3259">
        <v>268</v>
      </c>
      <c r="L3259">
        <v>312</v>
      </c>
      <c r="M3259">
        <v>7.625</v>
      </c>
      <c r="N3259">
        <f>IFERROR(VLOOKUP(A3259,vlookup_table!$A:$G,2,FALSE),"")</f>
        <v>1</v>
      </c>
      <c r="O3259">
        <f>IFERROR(VLOOKUP(A3259,vlookup_table!$A:$G,4,FALSE),"")</f>
        <v>2001</v>
      </c>
      <c r="P3259" t="str">
        <f>IFERROR(VLOOKUP(A3259,vlookup_table!$A:$G,5,FALSE),"")</f>
        <v>C3</v>
      </c>
      <c r="Q3259">
        <f>IFERROR(VLOOKUP(A3259,vlookup_table!$A:$G,7,FALSE),"")</f>
        <v>10</v>
      </c>
      <c r="R3259">
        <f t="shared" si="200"/>
        <v>77</v>
      </c>
      <c r="S3259" t="str" cm="1">
        <f t="array" ref="S3259">IF(P3259="","",_xlfn.SWITCH(LEFT(P3259,1),"C","Ciudad","T","Pueblo","R","Rural","S","Suburbano","U","Urbano",""))</f>
        <v>Ciudad</v>
      </c>
      <c r="T3259" t="str">
        <f t="shared" si="201"/>
        <v>M</v>
      </c>
      <c r="U3259" t="str">
        <f t="shared" si="202"/>
        <v>FL</v>
      </c>
      <c r="V3259" t="str">
        <f t="shared" si="203"/>
        <v>11595</v>
      </c>
    </row>
    <row r="3260" spans="1:22" x14ac:dyDescent="0.35">
      <c r="A3260" s="3">
        <v>183673</v>
      </c>
      <c r="B3260" t="s">
        <v>40</v>
      </c>
      <c r="C3260" t="s">
        <v>17</v>
      </c>
      <c r="D3260">
        <v>413</v>
      </c>
      <c r="E3260">
        <v>214</v>
      </c>
      <c r="F3260">
        <v>249</v>
      </c>
      <c r="G3260">
        <v>0</v>
      </c>
      <c r="H3260">
        <v>6780</v>
      </c>
      <c r="I3260">
        <v>29</v>
      </c>
      <c r="J3260">
        <v>43</v>
      </c>
      <c r="K3260">
        <v>227</v>
      </c>
      <c r="L3260">
        <v>229</v>
      </c>
      <c r="M3260">
        <v>9</v>
      </c>
      <c r="N3260">
        <f>IFERROR(VLOOKUP(A3260,vlookup_table!$A:$G,2,FALSE),"")</f>
        <v>0</v>
      </c>
      <c r="O3260">
        <f>IFERROR(VLOOKUP(A3260,vlookup_table!$A:$G,4,FALSE),"")</f>
        <v>1108</v>
      </c>
      <c r="P3260" t="str">
        <f>IFERROR(VLOOKUP(A3260,vlookup_table!$A:$G,5,FALSE),"")</f>
        <v>R2</v>
      </c>
      <c r="Q3260">
        <f>IFERROR(VLOOKUP(A3260,vlookup_table!$A:$G,7,FALSE),"")</f>
        <v>10</v>
      </c>
      <c r="R3260">
        <f t="shared" si="200"/>
        <v>86</v>
      </c>
      <c r="S3260" t="str" cm="1">
        <f t="array" ref="S3260">IF(P3260="","",_xlfn.SWITCH(LEFT(P3260,1),"C","Ciudad","T","Pueblo","R","Rural","S","Suburbano","U","Urbano",""))</f>
        <v>Rural</v>
      </c>
      <c r="T3260" t="str">
        <f t="shared" si="201"/>
        <v>F</v>
      </c>
      <c r="U3260" t="str">
        <f t="shared" si="202"/>
        <v>WA</v>
      </c>
      <c r="V3260" t="str">
        <f t="shared" si="203"/>
        <v>6780</v>
      </c>
    </row>
    <row r="3261" spans="1:22" x14ac:dyDescent="0.35">
      <c r="A3261" s="3">
        <v>160306</v>
      </c>
      <c r="B3261" t="s">
        <v>22</v>
      </c>
      <c r="C3261" t="s">
        <v>17</v>
      </c>
      <c r="D3261">
        <v>1283</v>
      </c>
      <c r="E3261">
        <v>360</v>
      </c>
      <c r="F3261">
        <v>380</v>
      </c>
      <c r="G3261">
        <v>0</v>
      </c>
      <c r="H3261">
        <v>12397</v>
      </c>
      <c r="I3261">
        <v>6</v>
      </c>
      <c r="J3261">
        <v>45</v>
      </c>
      <c r="K3261">
        <v>386</v>
      </c>
      <c r="L3261">
        <v>367</v>
      </c>
      <c r="M3261">
        <v>12.33333333</v>
      </c>
      <c r="N3261">
        <f>IFERROR(VLOOKUP(A3261,vlookup_table!$A:$G,2,FALSE),"")</f>
        <v>2</v>
      </c>
      <c r="O3261">
        <f>IFERROR(VLOOKUP(A3261,vlookup_table!$A:$G,4,FALSE),"")</f>
        <v>2601</v>
      </c>
      <c r="P3261" t="str">
        <f>IFERROR(VLOOKUP(A3261,vlookup_table!$A:$G,5,FALSE),"")</f>
        <v>T2</v>
      </c>
      <c r="Q3261">
        <f>IFERROR(VLOOKUP(A3261,vlookup_table!$A:$G,7,FALSE),"")</f>
        <v>10</v>
      </c>
      <c r="R3261">
        <f t="shared" si="200"/>
        <v>71</v>
      </c>
      <c r="S3261" t="str" cm="1">
        <f t="array" ref="S3261">IF(P3261="","",_xlfn.SWITCH(LEFT(P3261,1),"C","Ciudad","T","Pueblo","R","Rural","S","Suburbano","U","Urbano",""))</f>
        <v>Pueblo</v>
      </c>
      <c r="T3261" t="str">
        <f t="shared" si="201"/>
        <v>F</v>
      </c>
      <c r="U3261" t="str">
        <f t="shared" si="202"/>
        <v>CA</v>
      </c>
      <c r="V3261" t="str">
        <f t="shared" si="203"/>
        <v>12397</v>
      </c>
    </row>
    <row r="3262" spans="1:22" x14ac:dyDescent="0.35">
      <c r="A3262" s="3">
        <v>140347</v>
      </c>
      <c r="B3262" t="s">
        <v>54</v>
      </c>
      <c r="C3262" t="s">
        <v>14</v>
      </c>
      <c r="D3262">
        <v>911</v>
      </c>
      <c r="E3262">
        <v>224</v>
      </c>
      <c r="F3262">
        <v>378</v>
      </c>
      <c r="G3262">
        <v>8</v>
      </c>
      <c r="H3262">
        <v>12142</v>
      </c>
      <c r="I3262">
        <v>7</v>
      </c>
      <c r="J3262">
        <v>57</v>
      </c>
      <c r="K3262">
        <v>285</v>
      </c>
      <c r="L3262">
        <v>319</v>
      </c>
      <c r="M3262">
        <v>8</v>
      </c>
      <c r="N3262">
        <f>IFERROR(VLOOKUP(A3262,vlookup_table!$A:$G,2,FALSE),"")</f>
        <v>0</v>
      </c>
      <c r="O3262">
        <f>IFERROR(VLOOKUP(A3262,vlookup_table!$A:$G,4,FALSE),"")</f>
        <v>0</v>
      </c>
      <c r="P3262" t="str">
        <f>IFERROR(VLOOKUP(A3262,vlookup_table!$A:$G,5,FALSE),"")</f>
        <v>C2</v>
      </c>
      <c r="Q3262">
        <f>IFERROR(VLOOKUP(A3262,vlookup_table!$A:$G,7,FALSE),"")</f>
        <v>10</v>
      </c>
      <c r="R3262">
        <f t="shared" si="200"/>
        <v>97</v>
      </c>
      <c r="S3262" t="str" cm="1">
        <f t="array" ref="S3262">IF(P3262="","",_xlfn.SWITCH(LEFT(P3262,1),"C","Ciudad","T","Pueblo","R","Rural","S","Suburbano","U","Urbano",""))</f>
        <v>Ciudad</v>
      </c>
      <c r="T3262" t="str">
        <f t="shared" si="201"/>
        <v>M</v>
      </c>
      <c r="U3262" t="str">
        <f t="shared" si="202"/>
        <v>NM</v>
      </c>
      <c r="V3262" t="str">
        <f t="shared" si="203"/>
        <v>12142</v>
      </c>
    </row>
    <row r="3263" spans="1:22" x14ac:dyDescent="0.35">
      <c r="A3263" s="3">
        <v>57092</v>
      </c>
      <c r="B3263" t="s">
        <v>57</v>
      </c>
      <c r="C3263" t="s">
        <v>14</v>
      </c>
      <c r="D3263">
        <v>1110</v>
      </c>
      <c r="E3263">
        <v>452</v>
      </c>
      <c r="F3263">
        <v>542</v>
      </c>
      <c r="G3263">
        <v>6</v>
      </c>
      <c r="H3263">
        <v>17207</v>
      </c>
      <c r="I3263">
        <v>0</v>
      </c>
      <c r="J3263">
        <v>79</v>
      </c>
      <c r="K3263">
        <v>474</v>
      </c>
      <c r="L3263">
        <v>532</v>
      </c>
      <c r="M3263">
        <v>23.666666670000001</v>
      </c>
      <c r="N3263">
        <f>IFERROR(VLOOKUP(A3263,vlookup_table!$A:$G,2,FALSE),"")</f>
        <v>0</v>
      </c>
      <c r="O3263">
        <f>IFERROR(VLOOKUP(A3263,vlookup_table!$A:$G,4,FALSE),"")</f>
        <v>5308</v>
      </c>
      <c r="P3263" t="str">
        <f>IFERROR(VLOOKUP(A3263,vlookup_table!$A:$G,5,FALSE),"")</f>
        <v>T1</v>
      </c>
      <c r="Q3263">
        <f>IFERROR(VLOOKUP(A3263,vlookup_table!$A:$G,7,FALSE),"")</f>
        <v>36</v>
      </c>
      <c r="R3263">
        <f t="shared" si="200"/>
        <v>44</v>
      </c>
      <c r="S3263" t="str" cm="1">
        <f t="array" ref="S3263">IF(P3263="","",_xlfn.SWITCH(LEFT(P3263,1),"C","Ciudad","T","Pueblo","R","Rural","S","Suburbano","U","Urbano",""))</f>
        <v>Pueblo</v>
      </c>
      <c r="T3263" t="str">
        <f t="shared" si="201"/>
        <v>M</v>
      </c>
      <c r="U3263" t="str">
        <f t="shared" si="202"/>
        <v>KY</v>
      </c>
      <c r="V3263" t="str">
        <f t="shared" si="203"/>
        <v>17207</v>
      </c>
    </row>
    <row r="3264" spans="1:22" x14ac:dyDescent="0.35">
      <c r="A3264" s="3">
        <v>171216</v>
      </c>
      <c r="B3264" t="s">
        <v>22</v>
      </c>
      <c r="C3264" t="s">
        <v>17</v>
      </c>
      <c r="D3264">
        <v>1361</v>
      </c>
      <c r="E3264">
        <v>368</v>
      </c>
      <c r="F3264">
        <v>487</v>
      </c>
      <c r="G3264">
        <v>13</v>
      </c>
      <c r="H3264">
        <v>16200</v>
      </c>
      <c r="I3264">
        <v>9</v>
      </c>
      <c r="J3264">
        <v>43</v>
      </c>
      <c r="K3264">
        <v>409</v>
      </c>
      <c r="L3264">
        <v>441</v>
      </c>
      <c r="M3264">
        <v>5.8333333329999997</v>
      </c>
      <c r="N3264">
        <f>IFERROR(VLOOKUP(A3264,vlookup_table!$A:$G,2,FALSE),"")</f>
        <v>0</v>
      </c>
      <c r="O3264">
        <f>IFERROR(VLOOKUP(A3264,vlookup_table!$A:$G,4,FALSE),"")</f>
        <v>3601</v>
      </c>
      <c r="P3264" t="str">
        <f>IFERROR(VLOOKUP(A3264,vlookup_table!$A:$G,5,FALSE),"")</f>
        <v>S2</v>
      </c>
      <c r="Q3264">
        <f>IFERROR(VLOOKUP(A3264,vlookup_table!$A:$G,7,FALSE),"")</f>
        <v>5</v>
      </c>
      <c r="R3264">
        <f t="shared" si="200"/>
        <v>61</v>
      </c>
      <c r="S3264" t="str" cm="1">
        <f t="array" ref="S3264">IF(P3264="","",_xlfn.SWITCH(LEFT(P3264,1),"C","Ciudad","T","Pueblo","R","Rural","S","Suburbano","U","Urbano",""))</f>
        <v>Suburbano</v>
      </c>
      <c r="T3264" t="str">
        <f t="shared" si="201"/>
        <v>F</v>
      </c>
      <c r="U3264" t="str">
        <f t="shared" si="202"/>
        <v>CA</v>
      </c>
      <c r="V3264" t="str">
        <f t="shared" si="203"/>
        <v>16200</v>
      </c>
    </row>
    <row r="3265" spans="1:22" x14ac:dyDescent="0.35">
      <c r="A3265" s="3">
        <v>111861</v>
      </c>
      <c r="B3265" t="s">
        <v>32</v>
      </c>
      <c r="C3265" t="s">
        <v>14</v>
      </c>
      <c r="D3265">
        <v>340</v>
      </c>
      <c r="E3265">
        <v>136</v>
      </c>
      <c r="F3265">
        <v>196</v>
      </c>
      <c r="G3265">
        <v>0</v>
      </c>
      <c r="H3265">
        <v>7061</v>
      </c>
      <c r="I3265">
        <v>1</v>
      </c>
      <c r="J3265">
        <v>76</v>
      </c>
      <c r="K3265">
        <v>150</v>
      </c>
      <c r="L3265">
        <v>165</v>
      </c>
      <c r="M3265">
        <v>3.6</v>
      </c>
      <c r="N3265">
        <f>IFERROR(VLOOKUP(A3265,vlookup_table!$A:$G,2,FALSE),"")</f>
        <v>1</v>
      </c>
      <c r="O3265">
        <f>IFERROR(VLOOKUP(A3265,vlookup_table!$A:$G,4,FALSE),"")</f>
        <v>2212</v>
      </c>
      <c r="P3265" t="str">
        <f>IFERROR(VLOOKUP(A3265,vlookup_table!$A:$G,5,FALSE),"")</f>
        <v>T3</v>
      </c>
      <c r="Q3265">
        <f>IFERROR(VLOOKUP(A3265,vlookup_table!$A:$G,7,FALSE),"")</f>
        <v>5</v>
      </c>
      <c r="R3265">
        <f t="shared" si="200"/>
        <v>75</v>
      </c>
      <c r="S3265" t="str" cm="1">
        <f t="array" ref="S3265">IF(P3265="","",_xlfn.SWITCH(LEFT(P3265,1),"C","Ciudad","T","Pueblo","R","Rural","S","Suburbano","U","Urbano",""))</f>
        <v>Pueblo</v>
      </c>
      <c r="T3265" t="str">
        <f t="shared" si="201"/>
        <v>M</v>
      </c>
      <c r="U3265" t="str">
        <f t="shared" si="202"/>
        <v>AR</v>
      </c>
      <c r="V3265" t="str">
        <f t="shared" si="203"/>
        <v>7061</v>
      </c>
    </row>
    <row r="3266" spans="1:22" x14ac:dyDescent="0.35">
      <c r="A3266" s="3">
        <v>66393</v>
      </c>
      <c r="B3266" t="s">
        <v>29</v>
      </c>
      <c r="C3266" t="s">
        <v>14</v>
      </c>
      <c r="D3266">
        <v>605</v>
      </c>
      <c r="E3266">
        <v>369</v>
      </c>
      <c r="F3266">
        <v>441</v>
      </c>
      <c r="G3266">
        <v>1</v>
      </c>
      <c r="H3266">
        <v>14582</v>
      </c>
      <c r="I3266">
        <v>2</v>
      </c>
      <c r="J3266">
        <v>14</v>
      </c>
      <c r="K3266">
        <v>415</v>
      </c>
      <c r="L3266">
        <v>377</v>
      </c>
      <c r="M3266">
        <v>21</v>
      </c>
      <c r="N3266">
        <f>IFERROR(VLOOKUP(A3266,vlookup_table!$A:$G,2,FALSE),"")</f>
        <v>0</v>
      </c>
      <c r="O3266">
        <f>IFERROR(VLOOKUP(A3266,vlookup_table!$A:$G,4,FALSE),"")</f>
        <v>5412</v>
      </c>
      <c r="P3266" t="str">
        <f>IFERROR(VLOOKUP(A3266,vlookup_table!$A:$G,5,FALSE),"")</f>
        <v>T2</v>
      </c>
      <c r="Q3266">
        <f>IFERROR(VLOOKUP(A3266,vlookup_table!$A:$G,7,FALSE),"")</f>
        <v>50</v>
      </c>
      <c r="R3266">
        <f t="shared" ref="R3266:R3329" si="204">IF(O3266="","",97-INT(O3266/100))</f>
        <v>43</v>
      </c>
      <c r="S3266" t="str" cm="1">
        <f t="array" ref="S3266">IF(P3266="","",_xlfn.SWITCH(LEFT(P3266,1),"C","Ciudad","T","Pueblo","R","Rural","S","Suburbano","U","Urbano",""))</f>
        <v>Pueblo</v>
      </c>
      <c r="T3266" t="str">
        <f t="shared" ref="T3266:T3329" si="205">IF(C3266="","",IF(OR(UPPER(C3266)="M",UPPER(C3266)="MALE"),"M",IF(OR(UPPER(C3266)="F",UPPER(C3266)="FEMALE",UPPER(C3266)="FEAMALE"),"F",C3266)))</f>
        <v>M</v>
      </c>
      <c r="U3266" t="str">
        <f t="shared" ref="U3266:U3329" si="206">IF(OR(UPPER(B3266)="CALIFORNIA",UPPER(B3266)="CALI"),"CA",B3266)</f>
        <v>MI</v>
      </c>
      <c r="V3266" t="str">
        <f t="shared" ref="V3266:V3329" si="207">SUBSTITUTE(H3266,"@","")</f>
        <v>14582</v>
      </c>
    </row>
    <row r="3267" spans="1:22" x14ac:dyDescent="0.35">
      <c r="A3267" s="3">
        <v>189848</v>
      </c>
      <c r="B3267" t="s">
        <v>13</v>
      </c>
      <c r="C3267" t="s">
        <v>14</v>
      </c>
      <c r="D3267">
        <v>885</v>
      </c>
      <c r="E3267">
        <v>264</v>
      </c>
      <c r="F3267">
        <v>414</v>
      </c>
      <c r="G3267">
        <v>6</v>
      </c>
      <c r="H3267">
        <v>18769</v>
      </c>
      <c r="I3267">
        <v>18</v>
      </c>
      <c r="J3267">
        <v>11</v>
      </c>
      <c r="K3267">
        <v>331</v>
      </c>
      <c r="L3267">
        <v>343</v>
      </c>
      <c r="M3267">
        <v>9.7333333329999991</v>
      </c>
      <c r="N3267">
        <f>IFERROR(VLOOKUP(A3267,vlookup_table!$A:$G,2,FALSE),"")</f>
        <v>1</v>
      </c>
      <c r="O3267">
        <f>IFERROR(VLOOKUP(A3267,vlookup_table!$A:$G,4,FALSE),"")</f>
        <v>1801</v>
      </c>
      <c r="P3267" t="str">
        <f>IFERROR(VLOOKUP(A3267,vlookup_table!$A:$G,5,FALSE),"")</f>
        <v>C2</v>
      </c>
      <c r="Q3267">
        <f>IFERROR(VLOOKUP(A3267,vlookup_table!$A:$G,7,FALSE),"")</f>
        <v>12</v>
      </c>
      <c r="R3267">
        <f t="shared" si="204"/>
        <v>79</v>
      </c>
      <c r="S3267" t="str" cm="1">
        <f t="array" ref="S3267">IF(P3267="","",_xlfn.SWITCH(LEFT(P3267,1),"C","Ciudad","T","Pueblo","R","Rural","S","Suburbano","U","Urbano",""))</f>
        <v>Ciudad</v>
      </c>
      <c r="T3267" t="str">
        <f t="shared" si="205"/>
        <v>M</v>
      </c>
      <c r="U3267" t="str">
        <f t="shared" si="206"/>
        <v>FL</v>
      </c>
      <c r="V3267" t="str">
        <f t="shared" si="207"/>
        <v>18769</v>
      </c>
    </row>
    <row r="3268" spans="1:22" x14ac:dyDescent="0.35">
      <c r="A3268" s="3">
        <v>103298</v>
      </c>
      <c r="B3268" t="s">
        <v>36</v>
      </c>
      <c r="C3268" t="s">
        <v>17</v>
      </c>
      <c r="D3268">
        <v>588</v>
      </c>
      <c r="E3268">
        <v>258</v>
      </c>
      <c r="F3268">
        <v>340</v>
      </c>
      <c r="G3268">
        <v>0</v>
      </c>
      <c r="H3268">
        <v>11512</v>
      </c>
      <c r="I3268">
        <v>2</v>
      </c>
      <c r="J3268">
        <v>69</v>
      </c>
      <c r="K3268">
        <v>310</v>
      </c>
      <c r="L3268">
        <v>293</v>
      </c>
      <c r="M3268">
        <v>12.5</v>
      </c>
      <c r="N3268">
        <f>IFERROR(VLOOKUP(A3268,vlookup_table!$A:$G,2,FALSE),"")</f>
        <v>0</v>
      </c>
      <c r="O3268">
        <f>IFERROR(VLOOKUP(A3268,vlookup_table!$A:$G,4,FALSE),"")</f>
        <v>7101</v>
      </c>
      <c r="P3268" t="str">
        <f>IFERROR(VLOOKUP(A3268,vlookup_table!$A:$G,5,FALSE),"")</f>
        <v>R1</v>
      </c>
      <c r="Q3268">
        <f>IFERROR(VLOOKUP(A3268,vlookup_table!$A:$G,7,FALSE),"")</f>
        <v>15</v>
      </c>
      <c r="R3268">
        <f t="shared" si="204"/>
        <v>26</v>
      </c>
      <c r="S3268" t="str" cm="1">
        <f t="array" ref="S3268">IF(P3268="","",_xlfn.SWITCH(LEFT(P3268,1),"C","Ciudad","T","Pueblo","R","Rural","S","Suburbano","U","Urbano",""))</f>
        <v>Rural</v>
      </c>
      <c r="T3268" t="str">
        <f t="shared" si="205"/>
        <v>F</v>
      </c>
      <c r="U3268" t="str">
        <f t="shared" si="206"/>
        <v>MO</v>
      </c>
      <c r="V3268" t="str">
        <f t="shared" si="207"/>
        <v>11512</v>
      </c>
    </row>
    <row r="3269" spans="1:22" x14ac:dyDescent="0.35">
      <c r="A3269" s="3">
        <v>104442</v>
      </c>
      <c r="B3269" t="s">
        <v>28</v>
      </c>
      <c r="C3269" t="s">
        <v>17</v>
      </c>
      <c r="D3269">
        <v>2172</v>
      </c>
      <c r="E3269">
        <v>1033</v>
      </c>
      <c r="F3269">
        <v>1078</v>
      </c>
      <c r="G3269">
        <v>56</v>
      </c>
      <c r="H3269">
        <v>42625</v>
      </c>
      <c r="I3269">
        <v>4</v>
      </c>
      <c r="J3269">
        <v>45</v>
      </c>
      <c r="K3269">
        <v>1048</v>
      </c>
      <c r="L3269">
        <v>1031</v>
      </c>
      <c r="M3269">
        <v>23.333333329999999</v>
      </c>
      <c r="N3269">
        <f>IFERROR(VLOOKUP(A3269,vlookup_table!$A:$G,2,FALSE),"")</f>
        <v>28</v>
      </c>
      <c r="O3269">
        <f>IFERROR(VLOOKUP(A3269,vlookup_table!$A:$G,4,FALSE),"")</f>
        <v>4608</v>
      </c>
      <c r="P3269" t="str">
        <f>IFERROR(VLOOKUP(A3269,vlookup_table!$A:$G,5,FALSE),"")</f>
        <v>S1</v>
      </c>
      <c r="Q3269">
        <f>IFERROR(VLOOKUP(A3269,vlookup_table!$A:$G,7,FALSE),"")</f>
        <v>35</v>
      </c>
      <c r="R3269">
        <f t="shared" si="204"/>
        <v>51</v>
      </c>
      <c r="S3269" t="str" cm="1">
        <f t="array" ref="S3269">IF(P3269="","",_xlfn.SWITCH(LEFT(P3269,1),"C","Ciudad","T","Pueblo","R","Rural","S","Suburbano","U","Urbano",""))</f>
        <v>Suburbano</v>
      </c>
      <c r="T3269" t="str">
        <f t="shared" si="205"/>
        <v>F</v>
      </c>
      <c r="U3269" t="str">
        <f t="shared" si="206"/>
        <v>KS</v>
      </c>
      <c r="V3269" t="str">
        <f t="shared" si="207"/>
        <v>42625</v>
      </c>
    </row>
    <row r="3270" spans="1:22" x14ac:dyDescent="0.35">
      <c r="A3270" s="3">
        <v>83279</v>
      </c>
      <c r="B3270" t="s">
        <v>56</v>
      </c>
      <c r="C3270" t="s">
        <v>17</v>
      </c>
      <c r="D3270">
        <v>1300</v>
      </c>
      <c r="E3270">
        <v>596</v>
      </c>
      <c r="F3270">
        <v>772</v>
      </c>
      <c r="G3270">
        <v>3</v>
      </c>
      <c r="H3270">
        <v>28518</v>
      </c>
      <c r="I3270">
        <v>1</v>
      </c>
      <c r="J3270">
        <v>66</v>
      </c>
      <c r="K3270">
        <v>717</v>
      </c>
      <c r="L3270">
        <v>674</v>
      </c>
      <c r="M3270">
        <v>9</v>
      </c>
      <c r="N3270">
        <f>IFERROR(VLOOKUP(A3270,vlookup_table!$A:$G,2,FALSE),"")</f>
        <v>0</v>
      </c>
      <c r="O3270">
        <f>IFERROR(VLOOKUP(A3270,vlookup_table!$A:$G,4,FALSE),"")</f>
        <v>4501</v>
      </c>
      <c r="P3270" t="str">
        <f>IFERROR(VLOOKUP(A3270,vlookup_table!$A:$G,5,FALSE),"")</f>
        <v>S1</v>
      </c>
      <c r="Q3270">
        <f>IFERROR(VLOOKUP(A3270,vlookup_table!$A:$G,7,FALSE),"")</f>
        <v>19</v>
      </c>
      <c r="R3270">
        <f t="shared" si="204"/>
        <v>52</v>
      </c>
      <c r="S3270" t="str" cm="1">
        <f t="array" ref="S3270">IF(P3270="","",_xlfn.SWITCH(LEFT(P3270,1),"C","Ciudad","T","Pueblo","R","Rural","S","Suburbano","U","Urbano",""))</f>
        <v>Suburbano</v>
      </c>
      <c r="T3270" t="str">
        <f t="shared" si="205"/>
        <v>F</v>
      </c>
      <c r="U3270" t="str">
        <f t="shared" si="206"/>
        <v>MN</v>
      </c>
      <c r="V3270" t="str">
        <f t="shared" si="207"/>
        <v>28518</v>
      </c>
    </row>
    <row r="3271" spans="1:22" x14ac:dyDescent="0.35">
      <c r="A3271" s="3">
        <v>153026</v>
      </c>
      <c r="B3271" t="s">
        <v>22</v>
      </c>
      <c r="C3271" t="s">
        <v>17</v>
      </c>
      <c r="D3271">
        <v>1625</v>
      </c>
      <c r="E3271">
        <v>196</v>
      </c>
      <c r="F3271">
        <v>256</v>
      </c>
      <c r="G3271">
        <v>0</v>
      </c>
      <c r="H3271">
        <v>10679</v>
      </c>
      <c r="I3271">
        <v>7</v>
      </c>
      <c r="J3271">
        <v>23</v>
      </c>
      <c r="K3271">
        <v>197</v>
      </c>
      <c r="L3271">
        <v>238</v>
      </c>
      <c r="M3271">
        <v>6.2142857139999998</v>
      </c>
      <c r="N3271">
        <f>IFERROR(VLOOKUP(A3271,vlookup_table!$A:$G,2,FALSE),"")</f>
        <v>2</v>
      </c>
      <c r="O3271">
        <f>IFERROR(VLOOKUP(A3271,vlookup_table!$A:$G,4,FALSE),"")</f>
        <v>2601</v>
      </c>
      <c r="P3271" t="str">
        <f>IFERROR(VLOOKUP(A3271,vlookup_table!$A:$G,5,FALSE),"")</f>
        <v>C3</v>
      </c>
      <c r="Q3271">
        <f>IFERROR(VLOOKUP(A3271,vlookup_table!$A:$G,7,FALSE),"")</f>
        <v>10</v>
      </c>
      <c r="R3271">
        <f t="shared" si="204"/>
        <v>71</v>
      </c>
      <c r="S3271" t="str" cm="1">
        <f t="array" ref="S3271">IF(P3271="","",_xlfn.SWITCH(LEFT(P3271,1),"C","Ciudad","T","Pueblo","R","Rural","S","Suburbano","U","Urbano",""))</f>
        <v>Ciudad</v>
      </c>
      <c r="T3271" t="str">
        <f t="shared" si="205"/>
        <v>F</v>
      </c>
      <c r="U3271" t="str">
        <f t="shared" si="206"/>
        <v>CA</v>
      </c>
      <c r="V3271" t="str">
        <f t="shared" si="207"/>
        <v>10679</v>
      </c>
    </row>
    <row r="3272" spans="1:22" x14ac:dyDescent="0.35">
      <c r="A3272" s="3">
        <v>162687</v>
      </c>
      <c r="B3272" t="s">
        <v>22</v>
      </c>
      <c r="C3272" t="s">
        <v>17</v>
      </c>
      <c r="D3272">
        <v>3238</v>
      </c>
      <c r="E3272">
        <v>271</v>
      </c>
      <c r="F3272">
        <v>402</v>
      </c>
      <c r="G3272">
        <v>93</v>
      </c>
      <c r="H3272">
        <v>21383</v>
      </c>
      <c r="I3272">
        <v>17</v>
      </c>
      <c r="J3272">
        <v>45</v>
      </c>
      <c r="K3272">
        <v>389</v>
      </c>
      <c r="L3272">
        <v>325</v>
      </c>
      <c r="M3272">
        <v>15.4</v>
      </c>
      <c r="N3272">
        <f>IFERROR(VLOOKUP(A3272,vlookup_table!$A:$G,2,FALSE),"")</f>
        <v>0</v>
      </c>
      <c r="O3272">
        <f>IFERROR(VLOOKUP(A3272,vlookup_table!$A:$G,4,FALSE),"")</f>
        <v>4001</v>
      </c>
      <c r="P3272" t="str">
        <f>IFERROR(VLOOKUP(A3272,vlookup_table!$A:$G,5,FALSE),"")</f>
        <v>U1</v>
      </c>
      <c r="Q3272">
        <f>IFERROR(VLOOKUP(A3272,vlookup_table!$A:$G,7,FALSE),"")</f>
        <v>35</v>
      </c>
      <c r="R3272">
        <f t="shared" si="204"/>
        <v>57</v>
      </c>
      <c r="S3272" t="str" cm="1">
        <f t="array" ref="S3272">IF(P3272="","",_xlfn.SWITCH(LEFT(P3272,1),"C","Ciudad","T","Pueblo","R","Rural","S","Suburbano","U","Urbano",""))</f>
        <v>Urbano</v>
      </c>
      <c r="T3272" t="str">
        <f t="shared" si="205"/>
        <v>F</v>
      </c>
      <c r="U3272" t="str">
        <f t="shared" si="206"/>
        <v>CA</v>
      </c>
      <c r="V3272" t="str">
        <f t="shared" si="207"/>
        <v>21383</v>
      </c>
    </row>
    <row r="3273" spans="1:22" x14ac:dyDescent="0.35">
      <c r="A3273" s="3">
        <v>133283</v>
      </c>
      <c r="B3273" t="s">
        <v>41</v>
      </c>
      <c r="C3273" t="s">
        <v>14</v>
      </c>
      <c r="D3273">
        <v>595</v>
      </c>
      <c r="E3273">
        <v>276</v>
      </c>
      <c r="F3273">
        <v>323</v>
      </c>
      <c r="G3273">
        <v>1</v>
      </c>
      <c r="H3273">
        <v>9788</v>
      </c>
      <c r="I3273">
        <v>2</v>
      </c>
      <c r="J3273">
        <v>52</v>
      </c>
      <c r="K3273">
        <v>283</v>
      </c>
      <c r="L3273">
        <v>312</v>
      </c>
      <c r="M3273">
        <v>10.83333333</v>
      </c>
      <c r="N3273">
        <f>IFERROR(VLOOKUP(A3273,vlookup_table!$A:$G,2,FALSE),"")</f>
        <v>1002</v>
      </c>
      <c r="O3273">
        <f>IFERROR(VLOOKUP(A3273,vlookup_table!$A:$G,4,FALSE),"")</f>
        <v>0</v>
      </c>
      <c r="P3273" t="str">
        <f>IFERROR(VLOOKUP(A3273,vlookup_table!$A:$G,5,FALSE),"")</f>
        <v>R2</v>
      </c>
      <c r="Q3273">
        <f>IFERROR(VLOOKUP(A3273,vlookup_table!$A:$G,7,FALSE),"")</f>
        <v>15</v>
      </c>
      <c r="R3273">
        <f t="shared" si="204"/>
        <v>97</v>
      </c>
      <c r="S3273" t="str" cm="1">
        <f t="array" ref="S3273">IF(P3273="","",_xlfn.SWITCH(LEFT(P3273,1),"C","Ciudad","T","Pueblo","R","Rural","S","Suburbano","U","Urbano",""))</f>
        <v>Rural</v>
      </c>
      <c r="T3273" t="str">
        <f t="shared" si="205"/>
        <v>M</v>
      </c>
      <c r="U3273" t="str">
        <f t="shared" si="206"/>
        <v>ID</v>
      </c>
      <c r="V3273" t="str">
        <f t="shared" si="207"/>
        <v>9788</v>
      </c>
    </row>
    <row r="3274" spans="1:22" x14ac:dyDescent="0.35">
      <c r="A3274" s="3">
        <v>58934</v>
      </c>
      <c r="B3274" t="s">
        <v>57</v>
      </c>
      <c r="C3274" t="s">
        <v>17</v>
      </c>
      <c r="D3274">
        <v>282</v>
      </c>
      <c r="E3274">
        <v>169</v>
      </c>
      <c r="F3274">
        <v>225</v>
      </c>
      <c r="G3274">
        <v>1</v>
      </c>
      <c r="H3274">
        <v>7323</v>
      </c>
      <c r="I3274">
        <v>0</v>
      </c>
      <c r="J3274">
        <v>87</v>
      </c>
      <c r="K3274">
        <v>198</v>
      </c>
      <c r="L3274">
        <v>190</v>
      </c>
      <c r="M3274">
        <v>15</v>
      </c>
      <c r="N3274">
        <f>IFERROR(VLOOKUP(A3274,vlookup_table!$A:$G,2,FALSE),"")</f>
        <v>0</v>
      </c>
      <c r="O3274">
        <f>IFERROR(VLOOKUP(A3274,vlookup_table!$A:$G,4,FALSE),"")</f>
        <v>0</v>
      </c>
      <c r="P3274" t="str">
        <f>IFERROR(VLOOKUP(A3274,vlookup_table!$A:$G,5,FALSE),"")</f>
        <v>R3</v>
      </c>
      <c r="Q3274">
        <f>IFERROR(VLOOKUP(A3274,vlookup_table!$A:$G,7,FALSE),"")</f>
        <v>10</v>
      </c>
      <c r="R3274">
        <f t="shared" si="204"/>
        <v>97</v>
      </c>
      <c r="S3274" t="str" cm="1">
        <f t="array" ref="S3274">IF(P3274="","",_xlfn.SWITCH(LEFT(P3274,1),"C","Ciudad","T","Pueblo","R","Rural","S","Suburbano","U","Urbano",""))</f>
        <v>Rural</v>
      </c>
      <c r="T3274" t="str">
        <f t="shared" si="205"/>
        <v>F</v>
      </c>
      <c r="U3274" t="str">
        <f t="shared" si="206"/>
        <v>KY</v>
      </c>
      <c r="V3274" t="str">
        <f t="shared" si="207"/>
        <v>7323</v>
      </c>
    </row>
    <row r="3275" spans="1:22" x14ac:dyDescent="0.35">
      <c r="A3275" s="3">
        <v>151195</v>
      </c>
      <c r="B3275" t="s">
        <v>22</v>
      </c>
      <c r="C3275" t="s">
        <v>17</v>
      </c>
      <c r="D3275">
        <v>3905</v>
      </c>
      <c r="E3275">
        <v>882</v>
      </c>
      <c r="F3275">
        <v>989</v>
      </c>
      <c r="G3275">
        <v>95</v>
      </c>
      <c r="H3275">
        <v>35563</v>
      </c>
      <c r="I3275">
        <v>14</v>
      </c>
      <c r="J3275">
        <v>37</v>
      </c>
      <c r="K3275">
        <v>1022</v>
      </c>
      <c r="L3275">
        <v>923</v>
      </c>
      <c r="M3275">
        <v>8.25</v>
      </c>
      <c r="N3275">
        <f>IFERROR(VLOOKUP(A3275,vlookup_table!$A:$G,2,FALSE),"")</f>
        <v>0</v>
      </c>
      <c r="O3275">
        <f>IFERROR(VLOOKUP(A3275,vlookup_table!$A:$G,4,FALSE),"")</f>
        <v>1001</v>
      </c>
      <c r="P3275">
        <f>IFERROR(VLOOKUP(A3275,vlookup_table!$A:$G,5,FALSE),"")</f>
        <v>0</v>
      </c>
      <c r="Q3275">
        <f>IFERROR(VLOOKUP(A3275,vlookup_table!$A:$G,7,FALSE),"")</f>
        <v>10</v>
      </c>
      <c r="R3275">
        <f t="shared" si="204"/>
        <v>87</v>
      </c>
      <c r="S3275" t="str" cm="1">
        <f t="array" ref="S3275">IF(P3275="","",_xlfn.SWITCH(LEFT(P3275,1),"C","Ciudad","T","Pueblo","R","Rural","S","Suburbano","U","Urbano",""))</f>
        <v/>
      </c>
      <c r="T3275" t="str">
        <f t="shared" si="205"/>
        <v>F</v>
      </c>
      <c r="U3275" t="str">
        <f t="shared" si="206"/>
        <v>CA</v>
      </c>
      <c r="V3275" t="str">
        <f t="shared" si="207"/>
        <v>35563</v>
      </c>
    </row>
    <row r="3276" spans="1:22" x14ac:dyDescent="0.35">
      <c r="A3276" s="3">
        <v>1322</v>
      </c>
      <c r="B3276" t="s">
        <v>29</v>
      </c>
      <c r="C3276" t="s">
        <v>17</v>
      </c>
      <c r="D3276">
        <v>376</v>
      </c>
      <c r="E3276">
        <v>397</v>
      </c>
      <c r="F3276">
        <v>412</v>
      </c>
      <c r="G3276">
        <v>0</v>
      </c>
      <c r="H3276">
        <v>15260</v>
      </c>
      <c r="I3276">
        <v>3</v>
      </c>
      <c r="J3276">
        <v>77</v>
      </c>
      <c r="K3276">
        <v>401</v>
      </c>
      <c r="L3276">
        <v>405</v>
      </c>
      <c r="M3276">
        <v>12.42857143</v>
      </c>
      <c r="N3276">
        <f>IFERROR(VLOOKUP(A3276,vlookup_table!$A:$G,2,FALSE),"")</f>
        <v>28</v>
      </c>
      <c r="O3276">
        <f>IFERROR(VLOOKUP(A3276,vlookup_table!$A:$G,4,FALSE),"")</f>
        <v>4301</v>
      </c>
      <c r="P3276" t="str">
        <f>IFERROR(VLOOKUP(A3276,vlookup_table!$A:$G,5,FALSE),"")</f>
        <v>U2</v>
      </c>
      <c r="Q3276">
        <f>IFERROR(VLOOKUP(A3276,vlookup_table!$A:$G,7,FALSE),"")</f>
        <v>14</v>
      </c>
      <c r="R3276">
        <f t="shared" si="204"/>
        <v>54</v>
      </c>
      <c r="S3276" t="str" cm="1">
        <f t="array" ref="S3276">IF(P3276="","",_xlfn.SWITCH(LEFT(P3276,1),"C","Ciudad","T","Pueblo","R","Rural","S","Suburbano","U","Urbano",""))</f>
        <v>Urbano</v>
      </c>
      <c r="T3276" t="str">
        <f t="shared" si="205"/>
        <v>F</v>
      </c>
      <c r="U3276" t="str">
        <f t="shared" si="206"/>
        <v>MI</v>
      </c>
      <c r="V3276" t="str">
        <f t="shared" si="207"/>
        <v>15260</v>
      </c>
    </row>
    <row r="3277" spans="1:22" x14ac:dyDescent="0.35">
      <c r="A3277" s="3">
        <v>157307</v>
      </c>
      <c r="B3277" t="s">
        <v>22</v>
      </c>
      <c r="C3277" t="s">
        <v>14</v>
      </c>
      <c r="D3277">
        <v>3254</v>
      </c>
      <c r="E3277">
        <v>481</v>
      </c>
      <c r="F3277">
        <v>614</v>
      </c>
      <c r="G3277">
        <v>91</v>
      </c>
      <c r="H3277">
        <v>18646</v>
      </c>
      <c r="I3277">
        <v>16</v>
      </c>
      <c r="J3277">
        <v>44</v>
      </c>
      <c r="K3277">
        <v>607</v>
      </c>
      <c r="L3277">
        <v>485</v>
      </c>
      <c r="M3277">
        <v>25</v>
      </c>
      <c r="N3277">
        <f>IFERROR(VLOOKUP(A3277,vlookup_table!$A:$G,2,FALSE),"")</f>
        <v>1</v>
      </c>
      <c r="O3277">
        <f>IFERROR(VLOOKUP(A3277,vlookup_table!$A:$G,4,FALSE),"")</f>
        <v>6001</v>
      </c>
      <c r="P3277" t="str">
        <f>IFERROR(VLOOKUP(A3277,vlookup_table!$A:$G,5,FALSE),"")</f>
        <v>U1</v>
      </c>
      <c r="Q3277">
        <f>IFERROR(VLOOKUP(A3277,vlookup_table!$A:$G,7,FALSE),"")</f>
        <v>30</v>
      </c>
      <c r="R3277">
        <f t="shared" si="204"/>
        <v>37</v>
      </c>
      <c r="S3277" t="str" cm="1">
        <f t="array" ref="S3277">IF(P3277="","",_xlfn.SWITCH(LEFT(P3277,1),"C","Ciudad","T","Pueblo","R","Rural","S","Suburbano","U","Urbano",""))</f>
        <v>Urbano</v>
      </c>
      <c r="T3277" t="str">
        <f t="shared" si="205"/>
        <v>M</v>
      </c>
      <c r="U3277" t="str">
        <f t="shared" si="206"/>
        <v>CA</v>
      </c>
      <c r="V3277" t="str">
        <f t="shared" si="207"/>
        <v>18646</v>
      </c>
    </row>
    <row r="3278" spans="1:22" x14ac:dyDescent="0.35">
      <c r="A3278" s="3">
        <v>175582</v>
      </c>
      <c r="B3278" t="s">
        <v>50</v>
      </c>
      <c r="C3278" t="s">
        <v>17</v>
      </c>
      <c r="D3278">
        <v>411</v>
      </c>
      <c r="E3278">
        <v>198</v>
      </c>
      <c r="F3278">
        <v>240</v>
      </c>
      <c r="G3278">
        <v>0</v>
      </c>
      <c r="H3278">
        <v>9565</v>
      </c>
      <c r="I3278">
        <v>6</v>
      </c>
      <c r="J3278">
        <v>55</v>
      </c>
      <c r="K3278">
        <v>225</v>
      </c>
      <c r="L3278">
        <v>225</v>
      </c>
      <c r="M3278">
        <v>9.4285714289999998</v>
      </c>
      <c r="N3278">
        <f>IFERROR(VLOOKUP(A3278,vlookup_table!$A:$G,2,FALSE),"")</f>
        <v>28</v>
      </c>
      <c r="O3278">
        <f>IFERROR(VLOOKUP(A3278,vlookup_table!$A:$G,4,FALSE),"")</f>
        <v>6011</v>
      </c>
      <c r="P3278" t="str">
        <f>IFERROR(VLOOKUP(A3278,vlookup_table!$A:$G,5,FALSE),"")</f>
        <v>C3</v>
      </c>
      <c r="Q3278">
        <f>IFERROR(VLOOKUP(A3278,vlookup_table!$A:$G,7,FALSE),"")</f>
        <v>15</v>
      </c>
      <c r="R3278">
        <f t="shared" si="204"/>
        <v>37</v>
      </c>
      <c r="S3278" t="str" cm="1">
        <f t="array" ref="S3278">IF(P3278="","",_xlfn.SWITCH(LEFT(P3278,1),"C","Ciudad","T","Pueblo","R","Rural","S","Suburbano","U","Urbano",""))</f>
        <v>Ciudad</v>
      </c>
      <c r="T3278" t="str">
        <f t="shared" si="205"/>
        <v>F</v>
      </c>
      <c r="U3278" t="str">
        <f t="shared" si="206"/>
        <v>OR</v>
      </c>
      <c r="V3278" t="str">
        <f t="shared" si="207"/>
        <v>9565</v>
      </c>
    </row>
    <row r="3279" spans="1:22" x14ac:dyDescent="0.35">
      <c r="A3279" s="3">
        <v>78875</v>
      </c>
      <c r="B3279" t="s">
        <v>35</v>
      </c>
      <c r="C3279" t="s">
        <v>17</v>
      </c>
      <c r="D3279">
        <v>1043</v>
      </c>
      <c r="E3279">
        <v>519</v>
      </c>
      <c r="F3279">
        <v>604</v>
      </c>
      <c r="G3279">
        <v>3</v>
      </c>
      <c r="H3279">
        <v>22555</v>
      </c>
      <c r="I3279">
        <v>10</v>
      </c>
      <c r="J3279">
        <v>64</v>
      </c>
      <c r="K3279">
        <v>544</v>
      </c>
      <c r="L3279">
        <v>578</v>
      </c>
      <c r="M3279">
        <v>15</v>
      </c>
      <c r="N3279">
        <f>IFERROR(VLOOKUP(A3279,vlookup_table!$A:$G,2,FALSE),"")</f>
        <v>28</v>
      </c>
      <c r="O3279">
        <f>IFERROR(VLOOKUP(A3279,vlookup_table!$A:$G,4,FALSE),"")</f>
        <v>403</v>
      </c>
      <c r="P3279" t="str">
        <f>IFERROR(VLOOKUP(A3279,vlookup_table!$A:$G,5,FALSE),"")</f>
        <v>S1</v>
      </c>
      <c r="Q3279">
        <f>IFERROR(VLOOKUP(A3279,vlookup_table!$A:$G,7,FALSE),"")</f>
        <v>15</v>
      </c>
      <c r="R3279">
        <f t="shared" si="204"/>
        <v>93</v>
      </c>
      <c r="S3279" t="str" cm="1">
        <f t="array" ref="S3279">IF(P3279="","",_xlfn.SWITCH(LEFT(P3279,1),"C","Ciudad","T","Pueblo","R","Rural","S","Suburbano","U","Urbano",""))</f>
        <v>Suburbano</v>
      </c>
      <c r="T3279" t="str">
        <f t="shared" si="205"/>
        <v>F</v>
      </c>
      <c r="U3279" t="str">
        <f t="shared" si="206"/>
        <v>WI</v>
      </c>
      <c r="V3279" t="str">
        <f t="shared" si="207"/>
        <v>22555</v>
      </c>
    </row>
    <row r="3280" spans="1:22" x14ac:dyDescent="0.35">
      <c r="A3280" s="3">
        <v>57705</v>
      </c>
      <c r="B3280" t="s">
        <v>57</v>
      </c>
      <c r="C3280" t="s">
        <v>17</v>
      </c>
      <c r="D3280">
        <v>375</v>
      </c>
      <c r="E3280">
        <v>145</v>
      </c>
      <c r="F3280">
        <v>205</v>
      </c>
      <c r="G3280">
        <v>0</v>
      </c>
      <c r="H3280">
        <v>8278</v>
      </c>
      <c r="I3280">
        <v>0</v>
      </c>
      <c r="J3280">
        <v>72</v>
      </c>
      <c r="K3280">
        <v>138</v>
      </c>
      <c r="L3280">
        <v>189</v>
      </c>
      <c r="M3280">
        <v>3.576923077</v>
      </c>
      <c r="N3280">
        <f>IFERROR(VLOOKUP(A3280,vlookup_table!$A:$G,2,FALSE),"")</f>
        <v>0</v>
      </c>
      <c r="O3280">
        <f>IFERROR(VLOOKUP(A3280,vlookup_table!$A:$G,4,FALSE),"")</f>
        <v>0</v>
      </c>
      <c r="P3280" t="str">
        <f>IFERROR(VLOOKUP(A3280,vlookup_table!$A:$G,5,FALSE),"")</f>
        <v>U4</v>
      </c>
      <c r="Q3280">
        <f>IFERROR(VLOOKUP(A3280,vlookup_table!$A:$G,7,FALSE),"")</f>
        <v>5</v>
      </c>
      <c r="R3280">
        <f t="shared" si="204"/>
        <v>97</v>
      </c>
      <c r="S3280" t="str" cm="1">
        <f t="array" ref="S3280">IF(P3280="","",_xlfn.SWITCH(LEFT(P3280,1),"C","Ciudad","T","Pueblo","R","Rural","S","Suburbano","U","Urbano",""))</f>
        <v>Urbano</v>
      </c>
      <c r="T3280" t="str">
        <f t="shared" si="205"/>
        <v>F</v>
      </c>
      <c r="U3280" t="str">
        <f t="shared" si="206"/>
        <v>KY</v>
      </c>
      <c r="V3280" t="str">
        <f t="shared" si="207"/>
        <v>8278</v>
      </c>
    </row>
    <row r="3281" spans="1:22" x14ac:dyDescent="0.35">
      <c r="A3281" s="3">
        <v>70039</v>
      </c>
      <c r="B3281" t="s">
        <v>29</v>
      </c>
      <c r="C3281" t="s">
        <v>14</v>
      </c>
      <c r="D3281">
        <v>828</v>
      </c>
      <c r="E3281">
        <v>452</v>
      </c>
      <c r="F3281">
        <v>594</v>
      </c>
      <c r="G3281">
        <v>5</v>
      </c>
      <c r="H3281">
        <v>21946</v>
      </c>
      <c r="I3281">
        <v>6</v>
      </c>
      <c r="J3281">
        <v>76</v>
      </c>
      <c r="K3281">
        <v>495</v>
      </c>
      <c r="L3281">
        <v>515</v>
      </c>
      <c r="M3281">
        <v>10.133333329999999</v>
      </c>
      <c r="N3281">
        <f>IFERROR(VLOOKUP(A3281,vlookup_table!$A:$G,2,FALSE),"")</f>
        <v>1</v>
      </c>
      <c r="O3281">
        <f>IFERROR(VLOOKUP(A3281,vlookup_table!$A:$G,4,FALSE),"")</f>
        <v>5002</v>
      </c>
      <c r="P3281" t="str">
        <f>IFERROR(VLOOKUP(A3281,vlookup_table!$A:$G,5,FALSE),"")</f>
        <v>T2</v>
      </c>
      <c r="Q3281">
        <f>IFERROR(VLOOKUP(A3281,vlookup_table!$A:$G,7,FALSE),"")</f>
        <v>13</v>
      </c>
      <c r="R3281">
        <f t="shared" si="204"/>
        <v>47</v>
      </c>
      <c r="S3281" t="str" cm="1">
        <f t="array" ref="S3281">IF(P3281="","",_xlfn.SWITCH(LEFT(P3281,1),"C","Ciudad","T","Pueblo","R","Rural","S","Suburbano","U","Urbano",""))</f>
        <v>Pueblo</v>
      </c>
      <c r="T3281" t="str">
        <f t="shared" si="205"/>
        <v>M</v>
      </c>
      <c r="U3281" t="str">
        <f t="shared" si="206"/>
        <v>MI</v>
      </c>
      <c r="V3281" t="str">
        <f t="shared" si="207"/>
        <v>21946</v>
      </c>
    </row>
    <row r="3282" spans="1:22" x14ac:dyDescent="0.35">
      <c r="A3282" s="3">
        <v>138307</v>
      </c>
      <c r="B3282" t="s">
        <v>55</v>
      </c>
      <c r="C3282" t="s">
        <v>60</v>
      </c>
      <c r="D3282">
        <v>1711</v>
      </c>
      <c r="E3282">
        <v>401</v>
      </c>
      <c r="F3282">
        <v>608</v>
      </c>
      <c r="G3282">
        <v>33</v>
      </c>
      <c r="H3282">
        <v>23098</v>
      </c>
      <c r="I3282">
        <v>9</v>
      </c>
      <c r="J3282">
        <v>18</v>
      </c>
      <c r="K3282">
        <v>441</v>
      </c>
      <c r="L3282">
        <v>527</v>
      </c>
      <c r="M3282">
        <v>12.4</v>
      </c>
      <c r="N3282">
        <f>IFERROR(VLOOKUP(A3282,vlookup_table!$A:$G,2,FALSE),"")</f>
        <v>0</v>
      </c>
      <c r="O3282">
        <f>IFERROR(VLOOKUP(A3282,vlookup_table!$A:$G,4,FALSE),"")</f>
        <v>4310</v>
      </c>
      <c r="P3282" t="str">
        <f>IFERROR(VLOOKUP(A3282,vlookup_table!$A:$G,5,FALSE),"")</f>
        <v>S1</v>
      </c>
      <c r="Q3282">
        <f>IFERROR(VLOOKUP(A3282,vlookup_table!$A:$G,7,FALSE),"")</f>
        <v>18</v>
      </c>
      <c r="R3282">
        <f t="shared" si="204"/>
        <v>54</v>
      </c>
      <c r="S3282" t="str" cm="1">
        <f t="array" ref="S3282">IF(P3282="","",_xlfn.SWITCH(LEFT(P3282,1),"C","Ciudad","T","Pueblo","R","Rural","S","Suburbano","U","Urbano",""))</f>
        <v>Suburbano</v>
      </c>
      <c r="T3282" t="str">
        <f t="shared" si="205"/>
        <v>F</v>
      </c>
      <c r="U3282" t="str">
        <f t="shared" si="206"/>
        <v>AZ</v>
      </c>
      <c r="V3282" t="str">
        <f t="shared" si="207"/>
        <v>23098</v>
      </c>
    </row>
    <row r="3283" spans="1:22" x14ac:dyDescent="0.35">
      <c r="A3283" s="3">
        <v>163614</v>
      </c>
      <c r="B3283" t="s">
        <v>22</v>
      </c>
      <c r="C3283" t="s">
        <v>17</v>
      </c>
      <c r="D3283">
        <v>4051</v>
      </c>
      <c r="E3283">
        <v>588</v>
      </c>
      <c r="F3283">
        <v>630</v>
      </c>
      <c r="G3283">
        <v>97</v>
      </c>
      <c r="H3283">
        <v>21692</v>
      </c>
      <c r="I3283">
        <v>22</v>
      </c>
      <c r="J3283">
        <v>57</v>
      </c>
      <c r="K3283">
        <v>605</v>
      </c>
      <c r="L3283">
        <v>617</v>
      </c>
      <c r="M3283">
        <v>4.5714285710000002</v>
      </c>
      <c r="N3283">
        <f>IFERROR(VLOOKUP(A3283,vlookup_table!$A:$G,2,FALSE),"")</f>
        <v>0</v>
      </c>
      <c r="O3283">
        <f>IFERROR(VLOOKUP(A3283,vlookup_table!$A:$G,4,FALSE),"")</f>
        <v>0</v>
      </c>
      <c r="P3283" t="str">
        <f>IFERROR(VLOOKUP(A3283,vlookup_table!$A:$G,5,FALSE),"")</f>
        <v>U1</v>
      </c>
      <c r="Q3283">
        <f>IFERROR(VLOOKUP(A3283,vlookup_table!$A:$G,7,FALSE),"")</f>
        <v>10</v>
      </c>
      <c r="R3283">
        <f t="shared" si="204"/>
        <v>97</v>
      </c>
      <c r="S3283" t="str" cm="1">
        <f t="array" ref="S3283">IF(P3283="","",_xlfn.SWITCH(LEFT(P3283,1),"C","Ciudad","T","Pueblo","R","Rural","S","Suburbano","U","Urbano",""))</f>
        <v>Urbano</v>
      </c>
      <c r="T3283" t="str">
        <f t="shared" si="205"/>
        <v>F</v>
      </c>
      <c r="U3283" t="str">
        <f t="shared" si="206"/>
        <v>CA</v>
      </c>
      <c r="V3283" t="str">
        <f t="shared" si="207"/>
        <v>21692</v>
      </c>
    </row>
    <row r="3284" spans="1:22" x14ac:dyDescent="0.35">
      <c r="A3284" s="3">
        <v>21966</v>
      </c>
      <c r="B3284" t="s">
        <v>18</v>
      </c>
      <c r="C3284" t="s">
        <v>20</v>
      </c>
      <c r="D3284">
        <v>824</v>
      </c>
      <c r="E3284">
        <v>285</v>
      </c>
      <c r="F3284">
        <v>356</v>
      </c>
      <c r="G3284">
        <v>3</v>
      </c>
      <c r="H3284">
        <v>13339</v>
      </c>
      <c r="I3284">
        <v>2</v>
      </c>
      <c r="J3284">
        <v>59</v>
      </c>
      <c r="K3284">
        <v>305</v>
      </c>
      <c r="L3284">
        <v>333</v>
      </c>
      <c r="M3284">
        <v>5.92</v>
      </c>
      <c r="N3284">
        <f>IFERROR(VLOOKUP(A3284,vlookup_table!$A:$G,2,FALSE),"")</f>
        <v>2</v>
      </c>
      <c r="O3284">
        <f>IFERROR(VLOOKUP(A3284,vlookup_table!$A:$G,4,FALSE),"")</f>
        <v>0</v>
      </c>
      <c r="P3284" t="str">
        <f>IFERROR(VLOOKUP(A3284,vlookup_table!$A:$G,5,FALSE),"")</f>
        <v>R2</v>
      </c>
      <c r="Q3284">
        <f>IFERROR(VLOOKUP(A3284,vlookup_table!$A:$G,7,FALSE),"")</f>
        <v>6</v>
      </c>
      <c r="R3284">
        <f t="shared" si="204"/>
        <v>97</v>
      </c>
      <c r="S3284" t="str" cm="1">
        <f t="array" ref="S3284">IF(P3284="","",_xlfn.SWITCH(LEFT(P3284,1),"C","Ciudad","T","Pueblo","R","Rural","S","Suburbano","U","Urbano",""))</f>
        <v>Rural</v>
      </c>
      <c r="T3284" t="str">
        <f t="shared" si="205"/>
        <v>F</v>
      </c>
      <c r="U3284" t="str">
        <f t="shared" si="206"/>
        <v>NC</v>
      </c>
      <c r="V3284" t="str">
        <f t="shared" si="207"/>
        <v>13339</v>
      </c>
    </row>
    <row r="3285" spans="1:22" x14ac:dyDescent="0.35">
      <c r="A3285" s="3">
        <v>44433</v>
      </c>
      <c r="B3285" t="s">
        <v>13</v>
      </c>
      <c r="C3285" t="s">
        <v>14</v>
      </c>
      <c r="D3285">
        <v>606</v>
      </c>
      <c r="E3285">
        <v>220</v>
      </c>
      <c r="F3285">
        <v>290</v>
      </c>
      <c r="G3285">
        <v>2</v>
      </c>
      <c r="H3285">
        <v>11294</v>
      </c>
      <c r="I3285">
        <v>6</v>
      </c>
      <c r="J3285">
        <v>24</v>
      </c>
      <c r="K3285">
        <v>244</v>
      </c>
      <c r="L3285">
        <v>265</v>
      </c>
      <c r="M3285">
        <v>11</v>
      </c>
      <c r="N3285">
        <f>IFERROR(VLOOKUP(A3285,vlookup_table!$A:$G,2,FALSE),"")</f>
        <v>1</v>
      </c>
      <c r="O3285">
        <f>IFERROR(VLOOKUP(A3285,vlookup_table!$A:$G,4,FALSE),"")</f>
        <v>2308</v>
      </c>
      <c r="P3285" t="str">
        <f>IFERROR(VLOOKUP(A3285,vlookup_table!$A:$G,5,FALSE),"")</f>
        <v>C2</v>
      </c>
      <c r="Q3285">
        <f>IFERROR(VLOOKUP(A3285,vlookup_table!$A:$G,7,FALSE),"")</f>
        <v>10</v>
      </c>
      <c r="R3285">
        <f t="shared" si="204"/>
        <v>74</v>
      </c>
      <c r="S3285" t="str" cm="1">
        <f t="array" ref="S3285">IF(P3285="","",_xlfn.SWITCH(LEFT(P3285,1),"C","Ciudad","T","Pueblo","R","Rural","S","Suburbano","U","Urbano",""))</f>
        <v>Ciudad</v>
      </c>
      <c r="T3285" t="str">
        <f t="shared" si="205"/>
        <v>M</v>
      </c>
      <c r="U3285" t="str">
        <f t="shared" si="206"/>
        <v>FL</v>
      </c>
      <c r="V3285" t="str">
        <f t="shared" si="207"/>
        <v>11294</v>
      </c>
    </row>
    <row r="3286" spans="1:22" x14ac:dyDescent="0.35">
      <c r="A3286" s="3">
        <v>189234</v>
      </c>
      <c r="B3286" t="s">
        <v>24</v>
      </c>
      <c r="C3286" t="s">
        <v>17</v>
      </c>
      <c r="D3286">
        <v>781</v>
      </c>
      <c r="E3286">
        <v>221</v>
      </c>
      <c r="F3286">
        <v>321</v>
      </c>
      <c r="G3286">
        <v>1</v>
      </c>
      <c r="H3286">
        <v>13071</v>
      </c>
      <c r="I3286">
        <v>4</v>
      </c>
      <c r="J3286">
        <v>15</v>
      </c>
      <c r="K3286">
        <v>263</v>
      </c>
      <c r="L3286">
        <v>294</v>
      </c>
      <c r="M3286">
        <v>6.3333333329999997</v>
      </c>
      <c r="N3286">
        <f>IFERROR(VLOOKUP(A3286,vlookup_table!$A:$G,2,FALSE),"")</f>
        <v>28</v>
      </c>
      <c r="O3286">
        <f>IFERROR(VLOOKUP(A3286,vlookup_table!$A:$G,4,FALSE),"")</f>
        <v>0</v>
      </c>
      <c r="P3286" t="str">
        <f>IFERROR(VLOOKUP(A3286,vlookup_table!$A:$G,5,FALSE),"")</f>
        <v>U3</v>
      </c>
      <c r="Q3286">
        <f>IFERROR(VLOOKUP(A3286,vlookup_table!$A:$G,7,FALSE),"")</f>
        <v>5</v>
      </c>
      <c r="R3286">
        <f t="shared" si="204"/>
        <v>97</v>
      </c>
      <c r="S3286" t="str" cm="1">
        <f t="array" ref="S3286">IF(P3286="","",_xlfn.SWITCH(LEFT(P3286,1),"C","Ciudad","T","Pueblo","R","Rural","S","Suburbano","U","Urbano",""))</f>
        <v>Urbano</v>
      </c>
      <c r="T3286" t="str">
        <f t="shared" si="205"/>
        <v>F</v>
      </c>
      <c r="U3286" t="str">
        <f t="shared" si="206"/>
        <v>NV</v>
      </c>
      <c r="V3286" t="str">
        <f t="shared" si="207"/>
        <v>13071</v>
      </c>
    </row>
    <row r="3287" spans="1:22" x14ac:dyDescent="0.35">
      <c r="A3287" s="3">
        <v>37304</v>
      </c>
      <c r="B3287" t="s">
        <v>13</v>
      </c>
      <c r="C3287" t="s">
        <v>14</v>
      </c>
      <c r="D3287">
        <v>640</v>
      </c>
      <c r="E3287">
        <v>244</v>
      </c>
      <c r="F3287">
        <v>335</v>
      </c>
      <c r="G3287">
        <v>9</v>
      </c>
      <c r="H3287">
        <v>12992</v>
      </c>
      <c r="I3287">
        <v>4</v>
      </c>
      <c r="J3287">
        <v>40</v>
      </c>
      <c r="K3287">
        <v>266</v>
      </c>
      <c r="L3287">
        <v>303</v>
      </c>
      <c r="M3287">
        <v>7.6428571429999996</v>
      </c>
      <c r="N3287">
        <f>IFERROR(VLOOKUP(A3287,vlookup_table!$A:$G,2,FALSE),"")</f>
        <v>1</v>
      </c>
      <c r="O3287">
        <f>IFERROR(VLOOKUP(A3287,vlookup_table!$A:$G,4,FALSE),"")</f>
        <v>3911</v>
      </c>
      <c r="P3287" t="str">
        <f>IFERROR(VLOOKUP(A3287,vlookup_table!$A:$G,5,FALSE),"")</f>
        <v>S1</v>
      </c>
      <c r="Q3287">
        <f>IFERROR(VLOOKUP(A3287,vlookup_table!$A:$G,7,FALSE),"")</f>
        <v>5</v>
      </c>
      <c r="R3287">
        <f t="shared" si="204"/>
        <v>58</v>
      </c>
      <c r="S3287" t="str" cm="1">
        <f t="array" ref="S3287">IF(P3287="","",_xlfn.SWITCH(LEFT(P3287,1),"C","Ciudad","T","Pueblo","R","Rural","S","Suburbano","U","Urbano",""))</f>
        <v>Suburbano</v>
      </c>
      <c r="T3287" t="str">
        <f t="shared" si="205"/>
        <v>M</v>
      </c>
      <c r="U3287" t="str">
        <f t="shared" si="206"/>
        <v>FL</v>
      </c>
      <c r="V3287" t="str">
        <f t="shared" si="207"/>
        <v>12992</v>
      </c>
    </row>
    <row r="3288" spans="1:22" x14ac:dyDescent="0.35">
      <c r="A3288" s="3">
        <v>35728</v>
      </c>
      <c r="B3288" t="s">
        <v>13</v>
      </c>
      <c r="C3288" t="s">
        <v>14</v>
      </c>
      <c r="D3288">
        <v>786</v>
      </c>
      <c r="E3288">
        <v>339</v>
      </c>
      <c r="F3288">
        <v>361</v>
      </c>
      <c r="G3288">
        <v>1</v>
      </c>
      <c r="H3288">
        <v>11296</v>
      </c>
      <c r="I3288">
        <v>9</v>
      </c>
      <c r="J3288">
        <v>24</v>
      </c>
      <c r="K3288">
        <v>354</v>
      </c>
      <c r="L3288">
        <v>349</v>
      </c>
      <c r="M3288">
        <v>11.33333333</v>
      </c>
      <c r="N3288">
        <f>IFERROR(VLOOKUP(A3288,vlookup_table!$A:$G,2,FALSE),"")</f>
        <v>0</v>
      </c>
      <c r="O3288">
        <f>IFERROR(VLOOKUP(A3288,vlookup_table!$A:$G,4,FALSE),"")</f>
        <v>4801</v>
      </c>
      <c r="P3288" t="str">
        <f>IFERROR(VLOOKUP(A3288,vlookup_table!$A:$G,5,FALSE),"")</f>
        <v>T2</v>
      </c>
      <c r="Q3288">
        <f>IFERROR(VLOOKUP(A3288,vlookup_table!$A:$G,7,FALSE),"")</f>
        <v>10</v>
      </c>
      <c r="R3288">
        <f t="shared" si="204"/>
        <v>49</v>
      </c>
      <c r="S3288" t="str" cm="1">
        <f t="array" ref="S3288">IF(P3288="","",_xlfn.SWITCH(LEFT(P3288,1),"C","Ciudad","T","Pueblo","R","Rural","S","Suburbano","U","Urbano",""))</f>
        <v>Pueblo</v>
      </c>
      <c r="T3288" t="str">
        <f t="shared" si="205"/>
        <v>M</v>
      </c>
      <c r="U3288" t="str">
        <f t="shared" si="206"/>
        <v>FL</v>
      </c>
      <c r="V3288" t="str">
        <f t="shared" si="207"/>
        <v>11296</v>
      </c>
    </row>
    <row r="3289" spans="1:22" x14ac:dyDescent="0.35">
      <c r="A3289" s="3">
        <v>30640</v>
      </c>
      <c r="B3289" t="s">
        <v>39</v>
      </c>
      <c r="C3289" t="s">
        <v>17</v>
      </c>
      <c r="D3289">
        <v>629</v>
      </c>
      <c r="E3289">
        <v>256</v>
      </c>
      <c r="F3289">
        <v>420</v>
      </c>
      <c r="G3289">
        <v>0</v>
      </c>
      <c r="H3289">
        <v>15293</v>
      </c>
      <c r="I3289">
        <v>5</v>
      </c>
      <c r="J3289">
        <v>54</v>
      </c>
      <c r="K3289">
        <v>339</v>
      </c>
      <c r="L3289">
        <v>319</v>
      </c>
      <c r="M3289">
        <v>10.33333333</v>
      </c>
      <c r="N3289">
        <f>IFERROR(VLOOKUP(A3289,vlookup_table!$A:$G,2,FALSE),"")</f>
        <v>0</v>
      </c>
      <c r="O3289">
        <f>IFERROR(VLOOKUP(A3289,vlookup_table!$A:$G,4,FALSE),"")</f>
        <v>3311</v>
      </c>
      <c r="P3289" t="str">
        <f>IFERROR(VLOOKUP(A3289,vlookup_table!$A:$G,5,FALSE),"")</f>
        <v>C2</v>
      </c>
      <c r="Q3289">
        <f>IFERROR(VLOOKUP(A3289,vlookup_table!$A:$G,7,FALSE),"")</f>
        <v>15</v>
      </c>
      <c r="R3289">
        <f t="shared" si="204"/>
        <v>64</v>
      </c>
      <c r="S3289" t="str" cm="1">
        <f t="array" ref="S3289">IF(P3289="","",_xlfn.SWITCH(LEFT(P3289,1),"C","Ciudad","T","Pueblo","R","Rural","S","Suburbano","U","Urbano",""))</f>
        <v>Ciudad</v>
      </c>
      <c r="T3289" t="str">
        <f t="shared" si="205"/>
        <v>F</v>
      </c>
      <c r="U3289" t="str">
        <f t="shared" si="206"/>
        <v>GA</v>
      </c>
      <c r="V3289" t="str">
        <f t="shared" si="207"/>
        <v>15293</v>
      </c>
    </row>
    <row r="3290" spans="1:22" x14ac:dyDescent="0.35">
      <c r="A3290" s="3">
        <v>7734</v>
      </c>
      <c r="B3290" t="s">
        <v>35</v>
      </c>
      <c r="C3290" t="s">
        <v>51</v>
      </c>
      <c r="D3290">
        <v>683</v>
      </c>
      <c r="E3290">
        <v>331</v>
      </c>
      <c r="F3290">
        <v>397</v>
      </c>
      <c r="G3290">
        <v>1</v>
      </c>
      <c r="H3290">
        <v>13025</v>
      </c>
      <c r="I3290">
        <v>2</v>
      </c>
      <c r="J3290">
        <v>92</v>
      </c>
      <c r="K3290">
        <v>349</v>
      </c>
      <c r="L3290">
        <v>367</v>
      </c>
      <c r="M3290">
        <v>11.227272729999999</v>
      </c>
      <c r="N3290">
        <f>IFERROR(VLOOKUP(A3290,vlookup_table!$A:$G,2,FALSE),"")</f>
        <v>1</v>
      </c>
      <c r="O3290">
        <f>IFERROR(VLOOKUP(A3290,vlookup_table!$A:$G,4,FALSE),"")</f>
        <v>2512</v>
      </c>
      <c r="P3290" t="str">
        <f>IFERROR(VLOOKUP(A3290,vlookup_table!$A:$G,5,FALSE),"")</f>
        <v>T2</v>
      </c>
      <c r="Q3290">
        <f>IFERROR(VLOOKUP(A3290,vlookup_table!$A:$G,7,FALSE),"")</f>
        <v>20</v>
      </c>
      <c r="R3290">
        <f t="shared" si="204"/>
        <v>72</v>
      </c>
      <c r="S3290" t="str" cm="1">
        <f t="array" ref="S3290">IF(P3290="","",_xlfn.SWITCH(LEFT(P3290,1),"C","Ciudad","T","Pueblo","R","Rural","S","Suburbano","U","Urbano",""))</f>
        <v>Pueblo</v>
      </c>
      <c r="T3290" t="str">
        <f t="shared" si="205"/>
        <v>M</v>
      </c>
      <c r="U3290" t="str">
        <f t="shared" si="206"/>
        <v>WI</v>
      </c>
      <c r="V3290" t="str">
        <f t="shared" si="207"/>
        <v>13025</v>
      </c>
    </row>
    <row r="3291" spans="1:22" x14ac:dyDescent="0.35">
      <c r="A3291" s="3">
        <v>42776</v>
      </c>
      <c r="B3291" t="s">
        <v>13</v>
      </c>
      <c r="C3291" t="s">
        <v>14</v>
      </c>
      <c r="D3291">
        <v>1385</v>
      </c>
      <c r="E3291">
        <v>300</v>
      </c>
      <c r="F3291">
        <v>472</v>
      </c>
      <c r="G3291">
        <v>31</v>
      </c>
      <c r="H3291">
        <v>21226</v>
      </c>
      <c r="I3291">
        <v>5</v>
      </c>
      <c r="J3291">
        <v>13</v>
      </c>
      <c r="K3291">
        <v>358</v>
      </c>
      <c r="L3291">
        <v>391</v>
      </c>
      <c r="M3291">
        <v>14</v>
      </c>
      <c r="N3291">
        <f>IFERROR(VLOOKUP(A3291,vlookup_table!$A:$G,2,FALSE),"")</f>
        <v>2</v>
      </c>
      <c r="O3291">
        <f>IFERROR(VLOOKUP(A3291,vlookup_table!$A:$G,4,FALSE),"")</f>
        <v>0</v>
      </c>
      <c r="P3291" t="str">
        <f>IFERROR(VLOOKUP(A3291,vlookup_table!$A:$G,5,FALSE),"")</f>
        <v>C1</v>
      </c>
      <c r="Q3291">
        <f>IFERROR(VLOOKUP(A3291,vlookup_table!$A:$G,7,FALSE),"")</f>
        <v>16</v>
      </c>
      <c r="R3291">
        <f t="shared" si="204"/>
        <v>97</v>
      </c>
      <c r="S3291" t="str" cm="1">
        <f t="array" ref="S3291">IF(P3291="","",_xlfn.SWITCH(LEFT(P3291,1),"C","Ciudad","T","Pueblo","R","Rural","S","Suburbano","U","Urbano",""))</f>
        <v>Ciudad</v>
      </c>
      <c r="T3291" t="str">
        <f t="shared" si="205"/>
        <v>M</v>
      </c>
      <c r="U3291" t="str">
        <f t="shared" si="206"/>
        <v>FL</v>
      </c>
      <c r="V3291" t="str">
        <f t="shared" si="207"/>
        <v>21226</v>
      </c>
    </row>
    <row r="3292" spans="1:22" x14ac:dyDescent="0.35">
      <c r="A3292" s="3">
        <v>44817</v>
      </c>
      <c r="B3292" t="s">
        <v>13</v>
      </c>
      <c r="C3292" t="s">
        <v>17</v>
      </c>
      <c r="D3292">
        <v>534</v>
      </c>
      <c r="E3292">
        <v>197</v>
      </c>
      <c r="F3292">
        <v>254</v>
      </c>
      <c r="G3292">
        <v>0</v>
      </c>
      <c r="H3292">
        <v>9144</v>
      </c>
      <c r="I3292">
        <v>2</v>
      </c>
      <c r="J3292">
        <v>25</v>
      </c>
      <c r="K3292">
        <v>223</v>
      </c>
      <c r="L3292">
        <v>231</v>
      </c>
      <c r="M3292">
        <v>3.3571428569999999</v>
      </c>
      <c r="N3292">
        <f>IFERROR(VLOOKUP(A3292,vlookup_table!$A:$G,2,FALSE),"")</f>
        <v>2</v>
      </c>
      <c r="O3292">
        <f>IFERROR(VLOOKUP(A3292,vlookup_table!$A:$G,4,FALSE),"")</f>
        <v>1806</v>
      </c>
      <c r="P3292" t="str">
        <f>IFERROR(VLOOKUP(A3292,vlookup_table!$A:$G,5,FALSE),"")</f>
        <v>T3</v>
      </c>
      <c r="Q3292">
        <f>IFERROR(VLOOKUP(A3292,vlookup_table!$A:$G,7,FALSE),"")</f>
        <v>5</v>
      </c>
      <c r="R3292">
        <f t="shared" si="204"/>
        <v>79</v>
      </c>
      <c r="S3292" t="str" cm="1">
        <f t="array" ref="S3292">IF(P3292="","",_xlfn.SWITCH(LEFT(P3292,1),"C","Ciudad","T","Pueblo","R","Rural","S","Suburbano","U","Urbano",""))</f>
        <v>Pueblo</v>
      </c>
      <c r="T3292" t="str">
        <f t="shared" si="205"/>
        <v>F</v>
      </c>
      <c r="U3292" t="str">
        <f t="shared" si="206"/>
        <v>FL</v>
      </c>
      <c r="V3292" t="str">
        <f t="shared" si="207"/>
        <v>9144</v>
      </c>
    </row>
    <row r="3293" spans="1:22" x14ac:dyDescent="0.35">
      <c r="A3293" s="3">
        <v>165241</v>
      </c>
      <c r="B3293" t="s">
        <v>22</v>
      </c>
      <c r="C3293" t="s">
        <v>14</v>
      </c>
      <c r="D3293">
        <v>2589</v>
      </c>
      <c r="E3293">
        <v>620</v>
      </c>
      <c r="F3293">
        <v>733</v>
      </c>
      <c r="G3293">
        <v>81</v>
      </c>
      <c r="H3293">
        <v>28038</v>
      </c>
      <c r="I3293">
        <v>5</v>
      </c>
      <c r="J3293">
        <v>60</v>
      </c>
      <c r="K3293">
        <v>650</v>
      </c>
      <c r="L3293">
        <v>692</v>
      </c>
      <c r="M3293">
        <v>11.75</v>
      </c>
      <c r="N3293">
        <f>IFERROR(VLOOKUP(A3293,vlookup_table!$A:$G,2,FALSE),"")</f>
        <v>1</v>
      </c>
      <c r="O3293">
        <f>IFERROR(VLOOKUP(A3293,vlookup_table!$A:$G,4,FALSE),"")</f>
        <v>2602</v>
      </c>
      <c r="P3293" t="str">
        <f>IFERROR(VLOOKUP(A3293,vlookup_table!$A:$G,5,FALSE),"")</f>
        <v>C1</v>
      </c>
      <c r="Q3293">
        <f>IFERROR(VLOOKUP(A3293,vlookup_table!$A:$G,7,FALSE),"")</f>
        <v>15</v>
      </c>
      <c r="R3293">
        <f t="shared" si="204"/>
        <v>71</v>
      </c>
      <c r="S3293" t="str" cm="1">
        <f t="array" ref="S3293">IF(P3293="","",_xlfn.SWITCH(LEFT(P3293,1),"C","Ciudad","T","Pueblo","R","Rural","S","Suburbano","U","Urbano",""))</f>
        <v>Ciudad</v>
      </c>
      <c r="T3293" t="str">
        <f t="shared" si="205"/>
        <v>M</v>
      </c>
      <c r="U3293" t="str">
        <f t="shared" si="206"/>
        <v>CA</v>
      </c>
      <c r="V3293" t="str">
        <f t="shared" si="207"/>
        <v>28038</v>
      </c>
    </row>
    <row r="3294" spans="1:22" x14ac:dyDescent="0.35">
      <c r="A3294" s="3">
        <v>111371</v>
      </c>
      <c r="B3294" t="s">
        <v>32</v>
      </c>
      <c r="C3294" t="s">
        <v>30</v>
      </c>
      <c r="D3294">
        <v>655</v>
      </c>
      <c r="E3294">
        <v>356</v>
      </c>
      <c r="F3294">
        <v>412</v>
      </c>
      <c r="G3294">
        <v>0</v>
      </c>
      <c r="H3294">
        <v>13334</v>
      </c>
      <c r="I3294">
        <v>2</v>
      </c>
      <c r="J3294">
        <v>48</v>
      </c>
      <c r="K3294">
        <v>401</v>
      </c>
      <c r="L3294">
        <v>362</v>
      </c>
      <c r="M3294">
        <v>8.6</v>
      </c>
      <c r="N3294">
        <f>IFERROR(VLOOKUP(A3294,vlookup_table!$A:$G,2,FALSE),"")</f>
        <v>0</v>
      </c>
      <c r="O3294">
        <f>IFERROR(VLOOKUP(A3294,vlookup_table!$A:$G,4,FALSE),"")</f>
        <v>0</v>
      </c>
      <c r="P3294" t="str">
        <f>IFERROR(VLOOKUP(A3294,vlookup_table!$A:$G,5,FALSE),"")</f>
        <v>T2</v>
      </c>
      <c r="Q3294">
        <f>IFERROR(VLOOKUP(A3294,vlookup_table!$A:$G,7,FALSE),"")</f>
        <v>20</v>
      </c>
      <c r="R3294">
        <f t="shared" si="204"/>
        <v>97</v>
      </c>
      <c r="S3294" t="str" cm="1">
        <f t="array" ref="S3294">IF(P3294="","",_xlfn.SWITCH(LEFT(P3294,1),"C","Ciudad","T","Pueblo","R","Rural","S","Suburbano","U","Urbano",""))</f>
        <v>Pueblo</v>
      </c>
      <c r="T3294" t="str">
        <f t="shared" si="205"/>
        <v>U</v>
      </c>
      <c r="U3294" t="str">
        <f t="shared" si="206"/>
        <v>AR</v>
      </c>
      <c r="V3294" t="str">
        <f t="shared" si="207"/>
        <v>13334</v>
      </c>
    </row>
    <row r="3295" spans="1:22" x14ac:dyDescent="0.35">
      <c r="A3295" s="3">
        <v>134398</v>
      </c>
      <c r="B3295" t="s">
        <v>38</v>
      </c>
      <c r="C3295" t="s">
        <v>17</v>
      </c>
      <c r="D3295">
        <v>777</v>
      </c>
      <c r="E3295">
        <v>317</v>
      </c>
      <c r="F3295">
        <v>431</v>
      </c>
      <c r="G3295">
        <v>2</v>
      </c>
      <c r="H3295">
        <v>14867</v>
      </c>
      <c r="I3295">
        <v>4</v>
      </c>
      <c r="J3295">
        <v>59</v>
      </c>
      <c r="K3295">
        <v>408</v>
      </c>
      <c r="L3295">
        <v>346</v>
      </c>
      <c r="M3295">
        <v>7.5555555559999998</v>
      </c>
      <c r="N3295">
        <f>IFERROR(VLOOKUP(A3295,vlookup_table!$A:$G,2,FALSE),"")</f>
        <v>2</v>
      </c>
      <c r="O3295">
        <f>IFERROR(VLOOKUP(A3295,vlookup_table!$A:$G,4,FALSE),"")</f>
        <v>2501</v>
      </c>
      <c r="P3295" t="str">
        <f>IFERROR(VLOOKUP(A3295,vlookup_table!$A:$G,5,FALSE),"")</f>
        <v>U1</v>
      </c>
      <c r="Q3295">
        <f>IFERROR(VLOOKUP(A3295,vlookup_table!$A:$G,7,FALSE),"")</f>
        <v>10</v>
      </c>
      <c r="R3295">
        <f t="shared" si="204"/>
        <v>72</v>
      </c>
      <c r="S3295" t="str" cm="1">
        <f t="array" ref="S3295">IF(P3295="","",_xlfn.SWITCH(LEFT(P3295,1),"C","Ciudad","T","Pueblo","R","Rural","S","Suburbano","U","Urbano",""))</f>
        <v>Urbano</v>
      </c>
      <c r="T3295" t="str">
        <f t="shared" si="205"/>
        <v>F</v>
      </c>
      <c r="U3295" t="str">
        <f t="shared" si="206"/>
        <v>UT</v>
      </c>
      <c r="V3295" t="str">
        <f t="shared" si="207"/>
        <v>14867</v>
      </c>
    </row>
    <row r="3296" spans="1:22" x14ac:dyDescent="0.35">
      <c r="A3296" s="3">
        <v>88868</v>
      </c>
      <c r="B3296" t="s">
        <v>16</v>
      </c>
      <c r="C3296" t="s">
        <v>17</v>
      </c>
      <c r="D3296">
        <v>2313</v>
      </c>
      <c r="E3296">
        <v>502</v>
      </c>
      <c r="F3296">
        <v>725</v>
      </c>
      <c r="G3296">
        <v>65</v>
      </c>
      <c r="H3296">
        <v>28018</v>
      </c>
      <c r="I3296">
        <v>9</v>
      </c>
      <c r="J3296">
        <v>56</v>
      </c>
      <c r="K3296">
        <v>646</v>
      </c>
      <c r="L3296">
        <v>579</v>
      </c>
      <c r="M3296">
        <v>7.4285714289999998</v>
      </c>
      <c r="N3296">
        <f>IFERROR(VLOOKUP(A3296,vlookup_table!$A:$G,2,FALSE),"")</f>
        <v>0</v>
      </c>
      <c r="O3296">
        <f>IFERROR(VLOOKUP(A3296,vlookup_table!$A:$G,4,FALSE),"")</f>
        <v>2401</v>
      </c>
      <c r="P3296" t="str">
        <f>IFERROR(VLOOKUP(A3296,vlookup_table!$A:$G,5,FALSE),"")</f>
        <v>S1</v>
      </c>
      <c r="Q3296">
        <f>IFERROR(VLOOKUP(A3296,vlookup_table!$A:$G,7,FALSE),"")</f>
        <v>8</v>
      </c>
      <c r="R3296">
        <f t="shared" si="204"/>
        <v>73</v>
      </c>
      <c r="S3296" t="str" cm="1">
        <f t="array" ref="S3296">IF(P3296="","",_xlfn.SWITCH(LEFT(P3296,1),"C","Ciudad","T","Pueblo","R","Rural","S","Suburbano","U","Urbano",""))</f>
        <v>Suburbano</v>
      </c>
      <c r="T3296" t="str">
        <f t="shared" si="205"/>
        <v>F</v>
      </c>
      <c r="U3296" t="str">
        <f t="shared" si="206"/>
        <v>IL</v>
      </c>
      <c r="V3296" t="str">
        <f t="shared" si="207"/>
        <v>28018</v>
      </c>
    </row>
    <row r="3297" spans="1:22" x14ac:dyDescent="0.35">
      <c r="A3297" s="3">
        <v>183223</v>
      </c>
      <c r="B3297" t="s">
        <v>40</v>
      </c>
      <c r="C3297" t="s">
        <v>51</v>
      </c>
      <c r="D3297">
        <v>876</v>
      </c>
      <c r="E3297">
        <v>337</v>
      </c>
      <c r="F3297">
        <v>439</v>
      </c>
      <c r="G3297">
        <v>3</v>
      </c>
      <c r="H3297">
        <v>15017</v>
      </c>
      <c r="I3297">
        <v>4</v>
      </c>
      <c r="J3297">
        <v>37</v>
      </c>
      <c r="K3297">
        <v>353</v>
      </c>
      <c r="L3297">
        <v>403</v>
      </c>
      <c r="M3297">
        <v>15.25</v>
      </c>
      <c r="N3297">
        <f>IFERROR(VLOOKUP(A3297,vlookup_table!$A:$G,2,FALSE),"")</f>
        <v>1</v>
      </c>
      <c r="O3297">
        <f>IFERROR(VLOOKUP(A3297,vlookup_table!$A:$G,4,FALSE),"")</f>
        <v>5601</v>
      </c>
      <c r="P3297" t="str">
        <f>IFERROR(VLOOKUP(A3297,vlookup_table!$A:$G,5,FALSE),"")</f>
        <v>S2</v>
      </c>
      <c r="Q3297">
        <f>IFERROR(VLOOKUP(A3297,vlookup_table!$A:$G,7,FALSE),"")</f>
        <v>23</v>
      </c>
      <c r="R3297">
        <f t="shared" si="204"/>
        <v>41</v>
      </c>
      <c r="S3297" t="str" cm="1">
        <f t="array" ref="S3297">IF(P3297="","",_xlfn.SWITCH(LEFT(P3297,1),"C","Ciudad","T","Pueblo","R","Rural","S","Suburbano","U","Urbano",""))</f>
        <v>Suburbano</v>
      </c>
      <c r="T3297" t="str">
        <f t="shared" si="205"/>
        <v>M</v>
      </c>
      <c r="U3297" t="str">
        <f t="shared" si="206"/>
        <v>WA</v>
      </c>
      <c r="V3297" t="str">
        <f t="shared" si="207"/>
        <v>15017</v>
      </c>
    </row>
    <row r="3298" spans="1:22" x14ac:dyDescent="0.35">
      <c r="A3298" s="3">
        <v>186925</v>
      </c>
      <c r="B3298" t="s">
        <v>52</v>
      </c>
      <c r="C3298" t="s">
        <v>17</v>
      </c>
      <c r="D3298">
        <v>235</v>
      </c>
      <c r="E3298">
        <v>211</v>
      </c>
      <c r="F3298">
        <v>295</v>
      </c>
      <c r="G3298">
        <v>0</v>
      </c>
      <c r="H3298">
        <v>9870</v>
      </c>
      <c r="I3298">
        <v>1</v>
      </c>
      <c r="J3298">
        <v>84</v>
      </c>
      <c r="K3298">
        <v>257</v>
      </c>
      <c r="L3298">
        <v>250</v>
      </c>
      <c r="M3298">
        <v>10.91666667</v>
      </c>
      <c r="N3298">
        <f>IFERROR(VLOOKUP(A3298,vlookup_table!$A:$G,2,FALSE),"")</f>
        <v>0</v>
      </c>
      <c r="O3298">
        <f>IFERROR(VLOOKUP(A3298,vlookup_table!$A:$G,4,FALSE),"")</f>
        <v>3001</v>
      </c>
      <c r="P3298" t="str">
        <f>IFERROR(VLOOKUP(A3298,vlookup_table!$A:$G,5,FALSE),"")</f>
        <v>R2</v>
      </c>
      <c r="Q3298">
        <f>IFERROR(VLOOKUP(A3298,vlookup_table!$A:$G,7,FALSE),"")</f>
        <v>15</v>
      </c>
      <c r="R3298">
        <f t="shared" si="204"/>
        <v>67</v>
      </c>
      <c r="S3298" t="str" cm="1">
        <f t="array" ref="S3298">IF(P3298="","",_xlfn.SWITCH(LEFT(P3298,1),"C","Ciudad","T","Pueblo","R","Rural","S","Suburbano","U","Urbano",""))</f>
        <v>Rural</v>
      </c>
      <c r="T3298" t="str">
        <f t="shared" si="205"/>
        <v>F</v>
      </c>
      <c r="U3298" t="str">
        <f t="shared" si="206"/>
        <v>SD</v>
      </c>
      <c r="V3298" t="str">
        <f t="shared" si="207"/>
        <v>9870</v>
      </c>
    </row>
    <row r="3299" spans="1:22" x14ac:dyDescent="0.35">
      <c r="A3299" s="3">
        <v>132097</v>
      </c>
      <c r="B3299" t="s">
        <v>22</v>
      </c>
      <c r="C3299" t="s">
        <v>17</v>
      </c>
      <c r="D3299">
        <v>1988</v>
      </c>
      <c r="E3299">
        <v>364</v>
      </c>
      <c r="F3299">
        <v>494</v>
      </c>
      <c r="G3299">
        <v>49</v>
      </c>
      <c r="H3299">
        <v>17239</v>
      </c>
      <c r="I3299">
        <v>15</v>
      </c>
      <c r="J3299">
        <v>38</v>
      </c>
      <c r="K3299">
        <v>463</v>
      </c>
      <c r="L3299">
        <v>429</v>
      </c>
      <c r="M3299">
        <v>12.375</v>
      </c>
      <c r="N3299">
        <f>IFERROR(VLOOKUP(A3299,vlookup_table!$A:$G,2,FALSE),"")</f>
        <v>2</v>
      </c>
      <c r="O3299">
        <f>IFERROR(VLOOKUP(A3299,vlookup_table!$A:$G,4,FALSE),"")</f>
        <v>3801</v>
      </c>
      <c r="P3299" t="str">
        <f>IFERROR(VLOOKUP(A3299,vlookup_table!$A:$G,5,FALSE),"")</f>
        <v>T2</v>
      </c>
      <c r="Q3299">
        <f>IFERROR(VLOOKUP(A3299,vlookup_table!$A:$G,7,FALSE),"")</f>
        <v>13</v>
      </c>
      <c r="R3299">
        <f t="shared" si="204"/>
        <v>59</v>
      </c>
      <c r="S3299" t="str" cm="1">
        <f t="array" ref="S3299">IF(P3299="","",_xlfn.SWITCH(LEFT(P3299,1),"C","Ciudad","T","Pueblo","R","Rural","S","Suburbano","U","Urbano",""))</f>
        <v>Pueblo</v>
      </c>
      <c r="T3299" t="str">
        <f t="shared" si="205"/>
        <v>F</v>
      </c>
      <c r="U3299" t="str">
        <f t="shared" si="206"/>
        <v>CA</v>
      </c>
      <c r="V3299" t="str">
        <f t="shared" si="207"/>
        <v>17239</v>
      </c>
    </row>
    <row r="3300" spans="1:22" x14ac:dyDescent="0.35">
      <c r="A3300" s="3">
        <v>61962</v>
      </c>
      <c r="B3300" t="s">
        <v>33</v>
      </c>
      <c r="C3300" t="s">
        <v>17</v>
      </c>
      <c r="D3300">
        <v>970</v>
      </c>
      <c r="E3300">
        <v>314</v>
      </c>
      <c r="F3300">
        <v>455</v>
      </c>
      <c r="G3300">
        <v>11</v>
      </c>
      <c r="H3300">
        <v>15281</v>
      </c>
      <c r="I3300">
        <v>1</v>
      </c>
      <c r="J3300">
        <v>66</v>
      </c>
      <c r="K3300">
        <v>370</v>
      </c>
      <c r="L3300">
        <v>389</v>
      </c>
      <c r="M3300">
        <v>12.66666667</v>
      </c>
      <c r="N3300">
        <f>IFERROR(VLOOKUP(A3300,vlookup_table!$A:$G,2,FALSE),"")</f>
        <v>0</v>
      </c>
      <c r="O3300">
        <f>IFERROR(VLOOKUP(A3300,vlookup_table!$A:$G,4,FALSE),"")</f>
        <v>0</v>
      </c>
      <c r="P3300" t="str">
        <f>IFERROR(VLOOKUP(A3300,vlookup_table!$A:$G,5,FALSE),"")</f>
        <v>T2</v>
      </c>
      <c r="Q3300">
        <f>IFERROR(VLOOKUP(A3300,vlookup_table!$A:$G,7,FALSE),"")</f>
        <v>25</v>
      </c>
      <c r="R3300">
        <f t="shared" si="204"/>
        <v>97</v>
      </c>
      <c r="S3300" t="str" cm="1">
        <f t="array" ref="S3300">IF(P3300="","",_xlfn.SWITCH(LEFT(P3300,1),"C","Ciudad","T","Pueblo","R","Rural","S","Suburbano","U","Urbano",""))</f>
        <v>Pueblo</v>
      </c>
      <c r="T3300" t="str">
        <f t="shared" si="205"/>
        <v>F</v>
      </c>
      <c r="U3300" t="str">
        <f t="shared" si="206"/>
        <v>IN</v>
      </c>
      <c r="V3300" t="str">
        <f t="shared" si="207"/>
        <v>15281</v>
      </c>
    </row>
    <row r="3301" spans="1:22" x14ac:dyDescent="0.35">
      <c r="A3301" s="3">
        <v>162656</v>
      </c>
      <c r="B3301" t="s">
        <v>22</v>
      </c>
      <c r="C3301" t="s">
        <v>17</v>
      </c>
      <c r="D3301">
        <v>685</v>
      </c>
      <c r="E3301">
        <v>166</v>
      </c>
      <c r="F3301">
        <v>257</v>
      </c>
      <c r="G3301">
        <v>0</v>
      </c>
      <c r="H3301">
        <v>7945</v>
      </c>
      <c r="I3301">
        <v>3</v>
      </c>
      <c r="J3301">
        <v>60</v>
      </c>
      <c r="K3301">
        <v>205</v>
      </c>
      <c r="L3301">
        <v>227</v>
      </c>
      <c r="M3301">
        <v>17.399999999999999</v>
      </c>
      <c r="N3301">
        <f>IFERROR(VLOOKUP(A3301,vlookup_table!$A:$G,2,FALSE),"")</f>
        <v>0</v>
      </c>
      <c r="O3301">
        <f>IFERROR(VLOOKUP(A3301,vlookup_table!$A:$G,4,FALSE),"")</f>
        <v>0</v>
      </c>
      <c r="P3301" t="str">
        <f>IFERROR(VLOOKUP(A3301,vlookup_table!$A:$G,5,FALSE),"")</f>
        <v>T2</v>
      </c>
      <c r="Q3301">
        <f>IFERROR(VLOOKUP(A3301,vlookup_table!$A:$G,7,FALSE),"")</f>
        <v>20</v>
      </c>
      <c r="R3301">
        <f t="shared" si="204"/>
        <v>97</v>
      </c>
      <c r="S3301" t="str" cm="1">
        <f t="array" ref="S3301">IF(P3301="","",_xlfn.SWITCH(LEFT(P3301,1),"C","Ciudad","T","Pueblo","R","Rural","S","Suburbano","U","Urbano",""))</f>
        <v>Pueblo</v>
      </c>
      <c r="T3301" t="str">
        <f t="shared" si="205"/>
        <v>F</v>
      </c>
      <c r="U3301" t="str">
        <f t="shared" si="206"/>
        <v>CA</v>
      </c>
      <c r="V3301" t="str">
        <f t="shared" si="207"/>
        <v>7945</v>
      </c>
    </row>
    <row r="3302" spans="1:22" x14ac:dyDescent="0.35">
      <c r="A3302" s="3">
        <v>79602</v>
      </c>
      <c r="B3302" t="s">
        <v>35</v>
      </c>
      <c r="C3302" t="s">
        <v>51</v>
      </c>
      <c r="D3302">
        <v>937</v>
      </c>
      <c r="E3302">
        <v>321</v>
      </c>
      <c r="F3302">
        <v>545</v>
      </c>
      <c r="G3302">
        <v>7</v>
      </c>
      <c r="H3302">
        <v>18567</v>
      </c>
      <c r="I3302">
        <v>13</v>
      </c>
      <c r="J3302">
        <v>52</v>
      </c>
      <c r="K3302">
        <v>441</v>
      </c>
      <c r="L3302">
        <v>433</v>
      </c>
      <c r="M3302">
        <v>10.57692308</v>
      </c>
      <c r="N3302">
        <f>IFERROR(VLOOKUP(A3302,vlookup_table!$A:$G,2,FALSE),"")</f>
        <v>2</v>
      </c>
      <c r="O3302">
        <f>IFERROR(VLOOKUP(A3302,vlookup_table!$A:$G,4,FALSE),"")</f>
        <v>1102</v>
      </c>
      <c r="P3302" t="str">
        <f>IFERROR(VLOOKUP(A3302,vlookup_table!$A:$G,5,FALSE),"")</f>
        <v>S1</v>
      </c>
      <c r="Q3302">
        <f>IFERROR(VLOOKUP(A3302,vlookup_table!$A:$G,7,FALSE),"")</f>
        <v>15</v>
      </c>
      <c r="R3302">
        <f t="shared" si="204"/>
        <v>86</v>
      </c>
      <c r="S3302" t="str" cm="1">
        <f t="array" ref="S3302">IF(P3302="","",_xlfn.SWITCH(LEFT(P3302,1),"C","Ciudad","T","Pueblo","R","Rural","S","Suburbano","U","Urbano",""))</f>
        <v>Suburbano</v>
      </c>
      <c r="T3302" t="str">
        <f t="shared" si="205"/>
        <v>M</v>
      </c>
      <c r="U3302" t="str">
        <f t="shared" si="206"/>
        <v>WI</v>
      </c>
      <c r="V3302" t="str">
        <f t="shared" si="207"/>
        <v>18567</v>
      </c>
    </row>
    <row r="3303" spans="1:22" x14ac:dyDescent="0.35">
      <c r="A3303" s="3">
        <v>65578</v>
      </c>
      <c r="B3303" t="s">
        <v>29</v>
      </c>
      <c r="C3303" t="s">
        <v>17</v>
      </c>
      <c r="D3303">
        <v>693</v>
      </c>
      <c r="E3303">
        <v>399</v>
      </c>
      <c r="F3303">
        <v>481</v>
      </c>
      <c r="G3303">
        <v>0</v>
      </c>
      <c r="H3303">
        <v>15421</v>
      </c>
      <c r="I3303">
        <v>1</v>
      </c>
      <c r="J3303">
        <v>88</v>
      </c>
      <c r="K3303">
        <v>415</v>
      </c>
      <c r="L3303">
        <v>446</v>
      </c>
      <c r="M3303">
        <v>10.11111111</v>
      </c>
      <c r="N3303">
        <f>IFERROR(VLOOKUP(A3303,vlookup_table!$A:$G,2,FALSE),"")</f>
        <v>28</v>
      </c>
      <c r="O3303">
        <f>IFERROR(VLOOKUP(A3303,vlookup_table!$A:$G,4,FALSE),"")</f>
        <v>2102</v>
      </c>
      <c r="P3303" t="str">
        <f>IFERROR(VLOOKUP(A3303,vlookup_table!$A:$G,5,FALSE),"")</f>
        <v>U3</v>
      </c>
      <c r="Q3303">
        <f>IFERROR(VLOOKUP(A3303,vlookup_table!$A:$G,7,FALSE),"")</f>
        <v>21</v>
      </c>
      <c r="R3303">
        <f t="shared" si="204"/>
        <v>76</v>
      </c>
      <c r="S3303" t="str" cm="1">
        <f t="array" ref="S3303">IF(P3303="","",_xlfn.SWITCH(LEFT(P3303,1),"C","Ciudad","T","Pueblo","R","Rural","S","Suburbano","U","Urbano",""))</f>
        <v>Urbano</v>
      </c>
      <c r="T3303" t="str">
        <f t="shared" si="205"/>
        <v>F</v>
      </c>
      <c r="U3303" t="str">
        <f t="shared" si="206"/>
        <v>MI</v>
      </c>
      <c r="V3303" t="str">
        <f t="shared" si="207"/>
        <v>15421</v>
      </c>
    </row>
    <row r="3304" spans="1:22" x14ac:dyDescent="0.35">
      <c r="A3304" s="3">
        <v>169186</v>
      </c>
      <c r="B3304" t="s">
        <v>22</v>
      </c>
      <c r="C3304" t="s">
        <v>14</v>
      </c>
      <c r="D3304">
        <v>1050</v>
      </c>
      <c r="E3304">
        <v>256</v>
      </c>
      <c r="F3304">
        <v>339</v>
      </c>
      <c r="G3304">
        <v>6</v>
      </c>
      <c r="H3304">
        <v>11406</v>
      </c>
      <c r="I3304">
        <v>1</v>
      </c>
      <c r="J3304">
        <v>59</v>
      </c>
      <c r="K3304">
        <v>290</v>
      </c>
      <c r="L3304">
        <v>296</v>
      </c>
      <c r="M3304">
        <v>5.2</v>
      </c>
      <c r="N3304">
        <f>IFERROR(VLOOKUP(A3304,vlookup_table!$A:$G,2,FALSE),"")</f>
        <v>1</v>
      </c>
      <c r="O3304">
        <f>IFERROR(VLOOKUP(A3304,vlookup_table!$A:$G,4,FALSE),"")</f>
        <v>2801</v>
      </c>
      <c r="P3304" t="str">
        <f>IFERROR(VLOOKUP(A3304,vlookup_table!$A:$G,5,FALSE),"")</f>
        <v>R2</v>
      </c>
      <c r="Q3304">
        <f>IFERROR(VLOOKUP(A3304,vlookup_table!$A:$G,7,FALSE),"")</f>
        <v>9</v>
      </c>
      <c r="R3304">
        <f t="shared" si="204"/>
        <v>69</v>
      </c>
      <c r="S3304" t="str" cm="1">
        <f t="array" ref="S3304">IF(P3304="","",_xlfn.SWITCH(LEFT(P3304,1),"C","Ciudad","T","Pueblo","R","Rural","S","Suburbano","U","Urbano",""))</f>
        <v>Rural</v>
      </c>
      <c r="T3304" t="str">
        <f t="shared" si="205"/>
        <v>M</v>
      </c>
      <c r="U3304" t="str">
        <f t="shared" si="206"/>
        <v>CA</v>
      </c>
      <c r="V3304" t="str">
        <f t="shared" si="207"/>
        <v>11406</v>
      </c>
    </row>
    <row r="3305" spans="1:22" x14ac:dyDescent="0.35">
      <c r="A3305" s="3">
        <v>189438</v>
      </c>
      <c r="B3305" t="s">
        <v>37</v>
      </c>
      <c r="C3305" t="s">
        <v>14</v>
      </c>
      <c r="D3305">
        <v>1563</v>
      </c>
      <c r="E3305">
        <v>263</v>
      </c>
      <c r="F3305">
        <v>360</v>
      </c>
      <c r="G3305">
        <v>50</v>
      </c>
      <c r="H3305">
        <v>16647</v>
      </c>
      <c r="I3305">
        <v>28</v>
      </c>
      <c r="J3305">
        <v>15</v>
      </c>
      <c r="K3305">
        <v>349</v>
      </c>
      <c r="L3305">
        <v>275</v>
      </c>
      <c r="M3305">
        <v>7.6666666670000003</v>
      </c>
      <c r="N3305">
        <f>IFERROR(VLOOKUP(A3305,vlookup_table!$A:$G,2,FALSE),"")</f>
        <v>1</v>
      </c>
      <c r="O3305">
        <f>IFERROR(VLOOKUP(A3305,vlookup_table!$A:$G,4,FALSE),"")</f>
        <v>4101</v>
      </c>
      <c r="P3305" t="str">
        <f>IFERROR(VLOOKUP(A3305,vlookup_table!$A:$G,5,FALSE),"")</f>
        <v>U2</v>
      </c>
      <c r="Q3305">
        <f>IFERROR(VLOOKUP(A3305,vlookup_table!$A:$G,7,FALSE),"")</f>
        <v>9</v>
      </c>
      <c r="R3305">
        <f t="shared" si="204"/>
        <v>56</v>
      </c>
      <c r="S3305" t="str" cm="1">
        <f t="array" ref="S3305">IF(P3305="","",_xlfn.SWITCH(LEFT(P3305,1),"C","Ciudad","T","Pueblo","R","Rural","S","Suburbano","U","Urbano",""))</f>
        <v>Urbano</v>
      </c>
      <c r="T3305" t="str">
        <f t="shared" si="205"/>
        <v>M</v>
      </c>
      <c r="U3305" t="str">
        <f t="shared" si="206"/>
        <v>HI</v>
      </c>
      <c r="V3305" t="str">
        <f t="shared" si="207"/>
        <v>16647</v>
      </c>
    </row>
    <row r="3306" spans="1:22" x14ac:dyDescent="0.35">
      <c r="A3306" s="3">
        <v>110871</v>
      </c>
      <c r="B3306" t="s">
        <v>32</v>
      </c>
      <c r="C3306" t="s">
        <v>60</v>
      </c>
      <c r="D3306">
        <v>341</v>
      </c>
      <c r="E3306">
        <v>160</v>
      </c>
      <c r="F3306">
        <v>252</v>
      </c>
      <c r="G3306">
        <v>0</v>
      </c>
      <c r="H3306">
        <v>8707</v>
      </c>
      <c r="I3306">
        <v>1</v>
      </c>
      <c r="J3306">
        <v>80</v>
      </c>
      <c r="K3306">
        <v>215</v>
      </c>
      <c r="L3306">
        <v>215</v>
      </c>
      <c r="M3306">
        <v>4</v>
      </c>
      <c r="N3306">
        <f>IFERROR(VLOOKUP(A3306,vlookup_table!$A:$G,2,FALSE),"")</f>
        <v>2</v>
      </c>
      <c r="O3306">
        <f>IFERROR(VLOOKUP(A3306,vlookup_table!$A:$G,4,FALSE),"")</f>
        <v>1010</v>
      </c>
      <c r="P3306" t="str">
        <f>IFERROR(VLOOKUP(A3306,vlookup_table!$A:$G,5,FALSE),"")</f>
        <v>R2</v>
      </c>
      <c r="Q3306">
        <f>IFERROR(VLOOKUP(A3306,vlookup_table!$A:$G,7,FALSE),"")</f>
        <v>5</v>
      </c>
      <c r="R3306">
        <f t="shared" si="204"/>
        <v>87</v>
      </c>
      <c r="S3306" t="str" cm="1">
        <f t="array" ref="S3306">IF(P3306="","",_xlfn.SWITCH(LEFT(P3306,1),"C","Ciudad","T","Pueblo","R","Rural","S","Suburbano","U","Urbano",""))</f>
        <v>Rural</v>
      </c>
      <c r="T3306" t="str">
        <f t="shared" si="205"/>
        <v>F</v>
      </c>
      <c r="U3306" t="str">
        <f t="shared" si="206"/>
        <v>AR</v>
      </c>
      <c r="V3306" t="str">
        <f t="shared" si="207"/>
        <v>8707</v>
      </c>
    </row>
    <row r="3307" spans="1:22" x14ac:dyDescent="0.35">
      <c r="A3307" s="3">
        <v>168370</v>
      </c>
      <c r="B3307" t="s">
        <v>22</v>
      </c>
      <c r="C3307" t="s">
        <v>17</v>
      </c>
      <c r="D3307">
        <v>2798</v>
      </c>
      <c r="E3307">
        <v>425</v>
      </c>
      <c r="F3307">
        <v>474</v>
      </c>
      <c r="G3307">
        <v>76</v>
      </c>
      <c r="H3307">
        <v>21926</v>
      </c>
      <c r="I3307">
        <v>29</v>
      </c>
      <c r="J3307">
        <v>36</v>
      </c>
      <c r="K3307">
        <v>428</v>
      </c>
      <c r="L3307">
        <v>469</v>
      </c>
      <c r="M3307">
        <v>14.5</v>
      </c>
      <c r="N3307">
        <f>IFERROR(VLOOKUP(A3307,vlookup_table!$A:$G,2,FALSE),"")</f>
        <v>0</v>
      </c>
      <c r="O3307">
        <f>IFERROR(VLOOKUP(A3307,vlookup_table!$A:$G,4,FALSE),"")</f>
        <v>5804</v>
      </c>
      <c r="P3307" t="str">
        <f>IFERROR(VLOOKUP(A3307,vlookup_table!$A:$G,5,FALSE),"")</f>
        <v>S2</v>
      </c>
      <c r="Q3307">
        <f>IFERROR(VLOOKUP(A3307,vlookup_table!$A:$G,7,FALSE),"")</f>
        <v>15</v>
      </c>
      <c r="R3307">
        <f t="shared" si="204"/>
        <v>39</v>
      </c>
      <c r="S3307" t="str" cm="1">
        <f t="array" ref="S3307">IF(P3307="","",_xlfn.SWITCH(LEFT(P3307,1),"C","Ciudad","T","Pueblo","R","Rural","S","Suburbano","U","Urbano",""))</f>
        <v>Suburbano</v>
      </c>
      <c r="T3307" t="str">
        <f t="shared" si="205"/>
        <v>F</v>
      </c>
      <c r="U3307" t="str">
        <f t="shared" si="206"/>
        <v>CA</v>
      </c>
      <c r="V3307" t="str">
        <f t="shared" si="207"/>
        <v>21926</v>
      </c>
    </row>
    <row r="3308" spans="1:22" x14ac:dyDescent="0.35">
      <c r="A3308" s="3">
        <v>156618</v>
      </c>
      <c r="B3308" t="s">
        <v>22</v>
      </c>
      <c r="D3308">
        <v>2043</v>
      </c>
      <c r="E3308">
        <v>364</v>
      </c>
      <c r="F3308">
        <v>423</v>
      </c>
      <c r="G3308">
        <v>53</v>
      </c>
      <c r="H3308">
        <v>19087</v>
      </c>
      <c r="I3308">
        <v>19</v>
      </c>
      <c r="J3308">
        <v>56</v>
      </c>
      <c r="K3308">
        <v>385</v>
      </c>
      <c r="L3308">
        <v>412</v>
      </c>
      <c r="M3308">
        <v>9.6666666669999994</v>
      </c>
      <c r="N3308">
        <f>IFERROR(VLOOKUP(A3308,vlookup_table!$A:$G,2,FALSE),"")</f>
        <v>0</v>
      </c>
      <c r="O3308">
        <f>IFERROR(VLOOKUP(A3308,vlookup_table!$A:$G,4,FALSE),"")</f>
        <v>4401</v>
      </c>
      <c r="P3308" t="str">
        <f>IFERROR(VLOOKUP(A3308,vlookup_table!$A:$G,5,FALSE),"")</f>
        <v>S2</v>
      </c>
      <c r="Q3308">
        <f>IFERROR(VLOOKUP(A3308,vlookup_table!$A:$G,7,FALSE),"")</f>
        <v>25</v>
      </c>
      <c r="R3308">
        <f t="shared" si="204"/>
        <v>53</v>
      </c>
      <c r="S3308" t="str" cm="1">
        <f t="array" ref="S3308">IF(P3308="","",_xlfn.SWITCH(LEFT(P3308,1),"C","Ciudad","T","Pueblo","R","Rural","S","Suburbano","U","Urbano",""))</f>
        <v>Suburbano</v>
      </c>
      <c r="T3308" t="str">
        <f t="shared" si="205"/>
        <v/>
      </c>
      <c r="U3308" t="str">
        <f t="shared" si="206"/>
        <v>CA</v>
      </c>
      <c r="V3308" t="str">
        <f t="shared" si="207"/>
        <v>19087</v>
      </c>
    </row>
    <row r="3309" spans="1:22" x14ac:dyDescent="0.35">
      <c r="A3309" s="3">
        <v>109858</v>
      </c>
      <c r="B3309" t="s">
        <v>49</v>
      </c>
      <c r="C3309" t="s">
        <v>17</v>
      </c>
      <c r="D3309">
        <v>772</v>
      </c>
      <c r="E3309">
        <v>369</v>
      </c>
      <c r="F3309">
        <v>446</v>
      </c>
      <c r="G3309">
        <v>0</v>
      </c>
      <c r="H3309">
        <v>16215</v>
      </c>
      <c r="I3309">
        <v>0</v>
      </c>
      <c r="J3309">
        <v>70</v>
      </c>
      <c r="K3309">
        <v>365</v>
      </c>
      <c r="L3309">
        <v>447</v>
      </c>
      <c r="M3309">
        <v>9.6999999999999993</v>
      </c>
      <c r="N3309">
        <f>IFERROR(VLOOKUP(A3309,vlookup_table!$A:$G,2,FALSE),"")</f>
        <v>0</v>
      </c>
      <c r="O3309">
        <f>IFERROR(VLOOKUP(A3309,vlookup_table!$A:$G,4,FALSE),"")</f>
        <v>5512</v>
      </c>
      <c r="P3309" t="str">
        <f>IFERROR(VLOOKUP(A3309,vlookup_table!$A:$G,5,FALSE),"")</f>
        <v>S1</v>
      </c>
      <c r="Q3309">
        <f>IFERROR(VLOOKUP(A3309,vlookup_table!$A:$G,7,FALSE),"")</f>
        <v>15</v>
      </c>
      <c r="R3309">
        <f t="shared" si="204"/>
        <v>42</v>
      </c>
      <c r="S3309" t="str" cm="1">
        <f t="array" ref="S3309">IF(P3309="","",_xlfn.SWITCH(LEFT(P3309,1),"C","Ciudad","T","Pueblo","R","Rural","S","Suburbano","U","Urbano",""))</f>
        <v>Suburbano</v>
      </c>
      <c r="T3309" t="str">
        <f t="shared" si="205"/>
        <v>F</v>
      </c>
      <c r="U3309" t="str">
        <f t="shared" si="206"/>
        <v>LA</v>
      </c>
      <c r="V3309" t="str">
        <f t="shared" si="207"/>
        <v>16215</v>
      </c>
    </row>
    <row r="3310" spans="1:22" x14ac:dyDescent="0.35">
      <c r="A3310" s="3">
        <v>99501</v>
      </c>
      <c r="B3310" t="s">
        <v>36</v>
      </c>
      <c r="C3310" t="s">
        <v>17</v>
      </c>
      <c r="D3310">
        <v>988</v>
      </c>
      <c r="E3310">
        <v>509</v>
      </c>
      <c r="F3310">
        <v>529</v>
      </c>
      <c r="G3310">
        <v>2</v>
      </c>
      <c r="H3310">
        <v>15666</v>
      </c>
      <c r="I3310">
        <v>1</v>
      </c>
      <c r="J3310">
        <v>80</v>
      </c>
      <c r="K3310">
        <v>521</v>
      </c>
      <c r="L3310">
        <v>509</v>
      </c>
      <c r="M3310">
        <v>10</v>
      </c>
      <c r="N3310">
        <f>IFERROR(VLOOKUP(A3310,vlookup_table!$A:$G,2,FALSE),"")</f>
        <v>0</v>
      </c>
      <c r="O3310">
        <f>IFERROR(VLOOKUP(A3310,vlookup_table!$A:$G,4,FALSE),"")</f>
        <v>5701</v>
      </c>
      <c r="P3310" t="str">
        <f>IFERROR(VLOOKUP(A3310,vlookup_table!$A:$G,5,FALSE),"")</f>
        <v>S1</v>
      </c>
      <c r="Q3310">
        <f>IFERROR(VLOOKUP(A3310,vlookup_table!$A:$G,7,FALSE),"")</f>
        <v>10</v>
      </c>
      <c r="R3310">
        <f t="shared" si="204"/>
        <v>40</v>
      </c>
      <c r="S3310" t="str" cm="1">
        <f t="array" ref="S3310">IF(P3310="","",_xlfn.SWITCH(LEFT(P3310,1),"C","Ciudad","T","Pueblo","R","Rural","S","Suburbano","U","Urbano",""))</f>
        <v>Suburbano</v>
      </c>
      <c r="T3310" t="str">
        <f t="shared" si="205"/>
        <v>F</v>
      </c>
      <c r="U3310" t="str">
        <f t="shared" si="206"/>
        <v>MO</v>
      </c>
      <c r="V3310" t="str">
        <f t="shared" si="207"/>
        <v>15666</v>
      </c>
    </row>
    <row r="3311" spans="1:22" x14ac:dyDescent="0.35">
      <c r="A3311" s="3">
        <v>125467</v>
      </c>
      <c r="B3311" t="s">
        <v>21</v>
      </c>
      <c r="C3311" t="s">
        <v>17</v>
      </c>
      <c r="D3311">
        <v>431</v>
      </c>
      <c r="E3311">
        <v>194</v>
      </c>
      <c r="F3311">
        <v>223</v>
      </c>
      <c r="G3311">
        <v>0</v>
      </c>
      <c r="H3311">
        <v>8888</v>
      </c>
      <c r="I3311">
        <v>8</v>
      </c>
      <c r="J3311">
        <v>61</v>
      </c>
      <c r="K3311">
        <v>209</v>
      </c>
      <c r="L3311">
        <v>219</v>
      </c>
      <c r="M3311">
        <v>12.5</v>
      </c>
      <c r="N3311">
        <f>IFERROR(VLOOKUP(A3311,vlookup_table!$A:$G,2,FALSE),"")</f>
        <v>0</v>
      </c>
      <c r="O3311">
        <f>IFERROR(VLOOKUP(A3311,vlookup_table!$A:$G,4,FALSE),"")</f>
        <v>0</v>
      </c>
      <c r="P3311" t="str">
        <f>IFERROR(VLOOKUP(A3311,vlookup_table!$A:$G,5,FALSE),"")</f>
        <v>C3</v>
      </c>
      <c r="Q3311">
        <f>IFERROR(VLOOKUP(A3311,vlookup_table!$A:$G,7,FALSE),"")</f>
        <v>15</v>
      </c>
      <c r="R3311">
        <f t="shared" si="204"/>
        <v>97</v>
      </c>
      <c r="S3311" t="str" cm="1">
        <f t="array" ref="S3311">IF(P3311="","",_xlfn.SWITCH(LEFT(P3311,1),"C","Ciudad","T","Pueblo","R","Rural","S","Suburbano","U","Urbano",""))</f>
        <v>Ciudad</v>
      </c>
      <c r="T3311" t="str">
        <f t="shared" si="205"/>
        <v>F</v>
      </c>
      <c r="U3311" t="str">
        <f t="shared" si="206"/>
        <v>TX</v>
      </c>
      <c r="V3311" t="str">
        <f t="shared" si="207"/>
        <v>8888</v>
      </c>
    </row>
    <row r="3312" spans="1:22" x14ac:dyDescent="0.35">
      <c r="A3312" s="3">
        <v>55956</v>
      </c>
      <c r="B3312" t="s">
        <v>13</v>
      </c>
      <c r="C3312" t="s">
        <v>17</v>
      </c>
      <c r="D3312">
        <v>1625</v>
      </c>
      <c r="E3312">
        <v>450</v>
      </c>
      <c r="F3312">
        <v>660</v>
      </c>
      <c r="G3312">
        <v>35</v>
      </c>
      <c r="H3312">
        <v>33485</v>
      </c>
      <c r="I3312">
        <v>5</v>
      </c>
      <c r="J3312">
        <v>21</v>
      </c>
      <c r="K3312">
        <v>531</v>
      </c>
      <c r="L3312">
        <v>578</v>
      </c>
      <c r="M3312">
        <v>9.25</v>
      </c>
      <c r="N3312">
        <f>IFERROR(VLOOKUP(A3312,vlookup_table!$A:$G,2,FALSE),"")</f>
        <v>0</v>
      </c>
      <c r="O3312">
        <f>IFERROR(VLOOKUP(A3312,vlookup_table!$A:$G,4,FALSE),"")</f>
        <v>0</v>
      </c>
      <c r="P3312" t="str">
        <f>IFERROR(VLOOKUP(A3312,vlookup_table!$A:$G,5,FALSE),"")</f>
        <v>C1</v>
      </c>
      <c r="Q3312">
        <f>IFERROR(VLOOKUP(A3312,vlookup_table!$A:$G,7,FALSE),"")</f>
        <v>10</v>
      </c>
      <c r="R3312">
        <f t="shared" si="204"/>
        <v>97</v>
      </c>
      <c r="S3312" t="str" cm="1">
        <f t="array" ref="S3312">IF(P3312="","",_xlfn.SWITCH(LEFT(P3312,1),"C","Ciudad","T","Pueblo","R","Rural","S","Suburbano","U","Urbano",""))</f>
        <v>Ciudad</v>
      </c>
      <c r="T3312" t="str">
        <f t="shared" si="205"/>
        <v>F</v>
      </c>
      <c r="U3312" t="str">
        <f t="shared" si="206"/>
        <v>FL</v>
      </c>
      <c r="V3312" t="str">
        <f t="shared" si="207"/>
        <v>33485</v>
      </c>
    </row>
    <row r="3313" spans="1:22" x14ac:dyDescent="0.35">
      <c r="A3313" s="3">
        <v>103644</v>
      </c>
      <c r="B3313" t="s">
        <v>36</v>
      </c>
      <c r="C3313" t="s">
        <v>17</v>
      </c>
      <c r="D3313">
        <v>376</v>
      </c>
      <c r="E3313">
        <v>178</v>
      </c>
      <c r="F3313">
        <v>248</v>
      </c>
      <c r="G3313">
        <v>0</v>
      </c>
      <c r="H3313">
        <v>10244</v>
      </c>
      <c r="I3313">
        <v>0</v>
      </c>
      <c r="J3313">
        <v>71</v>
      </c>
      <c r="K3313">
        <v>233</v>
      </c>
      <c r="L3313">
        <v>219</v>
      </c>
      <c r="M3313">
        <v>6</v>
      </c>
      <c r="N3313">
        <f>IFERROR(VLOOKUP(A3313,vlookup_table!$A:$G,2,FALSE),"")</f>
        <v>0</v>
      </c>
      <c r="O3313">
        <f>IFERROR(VLOOKUP(A3313,vlookup_table!$A:$G,4,FALSE),"")</f>
        <v>0</v>
      </c>
      <c r="P3313" t="str">
        <f>IFERROR(VLOOKUP(A3313,vlookup_table!$A:$G,5,FALSE),"")</f>
        <v>T2</v>
      </c>
      <c r="Q3313">
        <f>IFERROR(VLOOKUP(A3313,vlookup_table!$A:$G,7,FALSE),"")</f>
        <v>10</v>
      </c>
      <c r="R3313">
        <f t="shared" si="204"/>
        <v>97</v>
      </c>
      <c r="S3313" t="str" cm="1">
        <f t="array" ref="S3313">IF(P3313="","",_xlfn.SWITCH(LEFT(P3313,1),"C","Ciudad","T","Pueblo","R","Rural","S","Suburbano","U","Urbano",""))</f>
        <v>Pueblo</v>
      </c>
      <c r="T3313" t="str">
        <f t="shared" si="205"/>
        <v>F</v>
      </c>
      <c r="U3313" t="str">
        <f t="shared" si="206"/>
        <v>MO</v>
      </c>
      <c r="V3313" t="str">
        <f t="shared" si="207"/>
        <v>10244</v>
      </c>
    </row>
    <row r="3314" spans="1:22" x14ac:dyDescent="0.35">
      <c r="A3314" s="3">
        <v>39613</v>
      </c>
      <c r="B3314" t="s">
        <v>13</v>
      </c>
      <c r="C3314" t="s">
        <v>17</v>
      </c>
      <c r="D3314">
        <v>701</v>
      </c>
      <c r="E3314">
        <v>332</v>
      </c>
      <c r="F3314">
        <v>403</v>
      </c>
      <c r="G3314">
        <v>1</v>
      </c>
      <c r="H3314">
        <v>13020</v>
      </c>
      <c r="I3314">
        <v>6</v>
      </c>
      <c r="J3314">
        <v>37</v>
      </c>
      <c r="K3314">
        <v>348</v>
      </c>
      <c r="L3314">
        <v>394</v>
      </c>
      <c r="M3314">
        <v>9.6850000000000005</v>
      </c>
      <c r="N3314">
        <f>IFERROR(VLOOKUP(A3314,vlookup_table!$A:$G,2,FALSE),"")</f>
        <v>2</v>
      </c>
      <c r="O3314">
        <f>IFERROR(VLOOKUP(A3314,vlookup_table!$A:$G,4,FALSE),"")</f>
        <v>5610</v>
      </c>
      <c r="P3314" t="str">
        <f>IFERROR(VLOOKUP(A3314,vlookup_table!$A:$G,5,FALSE),"")</f>
        <v>S3</v>
      </c>
      <c r="Q3314">
        <f>IFERROR(VLOOKUP(A3314,vlookup_table!$A:$G,7,FALSE),"")</f>
        <v>5</v>
      </c>
      <c r="R3314">
        <f t="shared" si="204"/>
        <v>41</v>
      </c>
      <c r="S3314" t="str" cm="1">
        <f t="array" ref="S3314">IF(P3314="","",_xlfn.SWITCH(LEFT(P3314,1),"C","Ciudad","T","Pueblo","R","Rural","S","Suburbano","U","Urbano",""))</f>
        <v>Suburbano</v>
      </c>
      <c r="T3314" t="str">
        <f t="shared" si="205"/>
        <v>F</v>
      </c>
      <c r="U3314" t="str">
        <f t="shared" si="206"/>
        <v>FL</v>
      </c>
      <c r="V3314" t="str">
        <f t="shared" si="207"/>
        <v>13020</v>
      </c>
    </row>
    <row r="3315" spans="1:22" x14ac:dyDescent="0.35">
      <c r="A3315" s="3">
        <v>159</v>
      </c>
      <c r="B3315" t="s">
        <v>56</v>
      </c>
      <c r="C3315" t="s">
        <v>14</v>
      </c>
      <c r="D3315">
        <v>530</v>
      </c>
      <c r="E3315">
        <v>236</v>
      </c>
      <c r="F3315">
        <v>359</v>
      </c>
      <c r="G3315">
        <v>1</v>
      </c>
      <c r="H3315">
        <v>12208</v>
      </c>
      <c r="I3315">
        <v>1</v>
      </c>
      <c r="J3315">
        <v>78</v>
      </c>
      <c r="K3315">
        <v>307</v>
      </c>
      <c r="L3315">
        <v>296</v>
      </c>
      <c r="M3315">
        <v>9.3103448279999999</v>
      </c>
      <c r="N3315">
        <f>IFERROR(VLOOKUP(A3315,vlookup_table!$A:$G,2,FALSE),"")</f>
        <v>2</v>
      </c>
      <c r="O3315">
        <f>IFERROR(VLOOKUP(A3315,vlookup_table!$A:$G,4,FALSE),"")</f>
        <v>1602</v>
      </c>
      <c r="P3315" t="str">
        <f>IFERROR(VLOOKUP(A3315,vlookup_table!$A:$G,5,FALSE),"")</f>
        <v>R2</v>
      </c>
      <c r="Q3315">
        <f>IFERROR(VLOOKUP(A3315,vlookup_table!$A:$G,7,FALSE),"")</f>
        <v>12</v>
      </c>
      <c r="R3315">
        <f t="shared" si="204"/>
        <v>81</v>
      </c>
      <c r="S3315" t="str" cm="1">
        <f t="array" ref="S3315">IF(P3315="","",_xlfn.SWITCH(LEFT(P3315,1),"C","Ciudad","T","Pueblo","R","Rural","S","Suburbano","U","Urbano",""))</f>
        <v>Rural</v>
      </c>
      <c r="T3315" t="str">
        <f t="shared" si="205"/>
        <v>M</v>
      </c>
      <c r="U3315" t="str">
        <f t="shared" si="206"/>
        <v>MN</v>
      </c>
      <c r="V3315" t="str">
        <f t="shared" si="207"/>
        <v>12208</v>
      </c>
    </row>
    <row r="3316" spans="1:22" x14ac:dyDescent="0.35">
      <c r="A3316" s="3">
        <v>129748</v>
      </c>
      <c r="B3316" t="s">
        <v>48</v>
      </c>
      <c r="C3316" t="s">
        <v>17</v>
      </c>
      <c r="D3316">
        <v>1208</v>
      </c>
      <c r="E3316">
        <v>560</v>
      </c>
      <c r="F3316">
        <v>612</v>
      </c>
      <c r="G3316">
        <v>0</v>
      </c>
      <c r="H3316">
        <v>18843</v>
      </c>
      <c r="I3316">
        <v>4</v>
      </c>
      <c r="J3316">
        <v>29</v>
      </c>
      <c r="K3316">
        <v>549</v>
      </c>
      <c r="L3316">
        <v>616</v>
      </c>
      <c r="M3316">
        <v>13.8</v>
      </c>
      <c r="N3316">
        <f>IFERROR(VLOOKUP(A3316,vlookup_table!$A:$G,2,FALSE),"")</f>
        <v>2</v>
      </c>
      <c r="O3316">
        <f>IFERROR(VLOOKUP(A3316,vlookup_table!$A:$G,4,FALSE),"")</f>
        <v>5701</v>
      </c>
      <c r="P3316" t="str">
        <f>IFERROR(VLOOKUP(A3316,vlookup_table!$A:$G,5,FALSE),"")</f>
        <v>S1</v>
      </c>
      <c r="Q3316">
        <f>IFERROR(VLOOKUP(A3316,vlookup_table!$A:$G,7,FALSE),"")</f>
        <v>16</v>
      </c>
      <c r="R3316">
        <f t="shared" si="204"/>
        <v>40</v>
      </c>
      <c r="S3316" t="str" cm="1">
        <f t="array" ref="S3316">IF(P3316="","",_xlfn.SWITCH(LEFT(P3316,1),"C","Ciudad","T","Pueblo","R","Rural","S","Suburbano","U","Urbano",""))</f>
        <v>Suburbano</v>
      </c>
      <c r="T3316" t="str">
        <f t="shared" si="205"/>
        <v>F</v>
      </c>
      <c r="U3316" t="str">
        <f t="shared" si="206"/>
        <v>CO</v>
      </c>
      <c r="V3316" t="str">
        <f t="shared" si="207"/>
        <v>18843</v>
      </c>
    </row>
    <row r="3317" spans="1:22" x14ac:dyDescent="0.35">
      <c r="A3317" s="3">
        <v>174576</v>
      </c>
      <c r="B3317" t="s">
        <v>50</v>
      </c>
      <c r="C3317" t="s">
        <v>17</v>
      </c>
      <c r="D3317">
        <v>681</v>
      </c>
      <c r="E3317">
        <v>335</v>
      </c>
      <c r="F3317">
        <v>419</v>
      </c>
      <c r="G3317">
        <v>0</v>
      </c>
      <c r="H3317">
        <v>14011</v>
      </c>
      <c r="I3317">
        <v>5</v>
      </c>
      <c r="J3317">
        <v>54</v>
      </c>
      <c r="K3317">
        <v>398</v>
      </c>
      <c r="L3317">
        <v>356</v>
      </c>
      <c r="M3317">
        <v>30.75</v>
      </c>
      <c r="N3317">
        <f>IFERROR(VLOOKUP(A3317,vlookup_table!$A:$G,2,FALSE),"")</f>
        <v>28</v>
      </c>
      <c r="O3317">
        <f>IFERROR(VLOOKUP(A3317,vlookup_table!$A:$G,4,FALSE),"")</f>
        <v>4801</v>
      </c>
      <c r="P3317" t="str">
        <f>IFERROR(VLOOKUP(A3317,vlookup_table!$A:$G,5,FALSE),"")</f>
        <v>S2</v>
      </c>
      <c r="Q3317">
        <f>IFERROR(VLOOKUP(A3317,vlookup_table!$A:$G,7,FALSE),"")</f>
        <v>51</v>
      </c>
      <c r="R3317">
        <f t="shared" si="204"/>
        <v>49</v>
      </c>
      <c r="S3317" t="str" cm="1">
        <f t="array" ref="S3317">IF(P3317="","",_xlfn.SWITCH(LEFT(P3317,1),"C","Ciudad","T","Pueblo","R","Rural","S","Suburbano","U","Urbano",""))</f>
        <v>Suburbano</v>
      </c>
      <c r="T3317" t="str">
        <f t="shared" si="205"/>
        <v>F</v>
      </c>
      <c r="U3317" t="str">
        <f t="shared" si="206"/>
        <v>OR</v>
      </c>
      <c r="V3317" t="str">
        <f t="shared" si="207"/>
        <v>14011</v>
      </c>
    </row>
    <row r="3318" spans="1:22" x14ac:dyDescent="0.35">
      <c r="A3318" s="3">
        <v>71639</v>
      </c>
      <c r="B3318" t="s">
        <v>29</v>
      </c>
      <c r="C3318" t="s">
        <v>14</v>
      </c>
      <c r="D3318">
        <v>755</v>
      </c>
      <c r="E3318">
        <v>496</v>
      </c>
      <c r="F3318">
        <v>578</v>
      </c>
      <c r="G3318">
        <v>0</v>
      </c>
      <c r="H3318">
        <v>16944</v>
      </c>
      <c r="I3318">
        <v>6</v>
      </c>
      <c r="J3318">
        <v>57</v>
      </c>
      <c r="K3318">
        <v>530</v>
      </c>
      <c r="L3318">
        <v>520</v>
      </c>
      <c r="M3318">
        <v>12.14285714</v>
      </c>
      <c r="N3318">
        <f>IFERROR(VLOOKUP(A3318,vlookup_table!$A:$G,2,FALSE),"")</f>
        <v>1</v>
      </c>
      <c r="O3318">
        <f>IFERROR(VLOOKUP(A3318,vlookup_table!$A:$G,4,FALSE),"")</f>
        <v>2301</v>
      </c>
      <c r="P3318" t="str">
        <f>IFERROR(VLOOKUP(A3318,vlookup_table!$A:$G,5,FALSE),"")</f>
        <v>S1</v>
      </c>
      <c r="Q3318">
        <f>IFERROR(VLOOKUP(A3318,vlookup_table!$A:$G,7,FALSE),"")</f>
        <v>17</v>
      </c>
      <c r="R3318">
        <f t="shared" si="204"/>
        <v>74</v>
      </c>
      <c r="S3318" t="str" cm="1">
        <f t="array" ref="S3318">IF(P3318="","",_xlfn.SWITCH(LEFT(P3318,1),"C","Ciudad","T","Pueblo","R","Rural","S","Suburbano","U","Urbano",""))</f>
        <v>Suburbano</v>
      </c>
      <c r="T3318" t="str">
        <f t="shared" si="205"/>
        <v>M</v>
      </c>
      <c r="U3318" t="str">
        <f t="shared" si="206"/>
        <v>MI</v>
      </c>
      <c r="V3318" t="str">
        <f t="shared" si="207"/>
        <v>16944</v>
      </c>
    </row>
    <row r="3319" spans="1:22" x14ac:dyDescent="0.35">
      <c r="A3319" s="3">
        <v>172851</v>
      </c>
      <c r="B3319" t="s">
        <v>22</v>
      </c>
      <c r="C3319" t="s">
        <v>14</v>
      </c>
      <c r="D3319">
        <v>1148</v>
      </c>
      <c r="E3319">
        <v>240</v>
      </c>
      <c r="F3319">
        <v>423</v>
      </c>
      <c r="G3319">
        <v>15</v>
      </c>
      <c r="H3319">
        <v>16188</v>
      </c>
      <c r="I3319">
        <v>5</v>
      </c>
      <c r="J3319">
        <v>49</v>
      </c>
      <c r="K3319">
        <v>311</v>
      </c>
      <c r="L3319">
        <v>321</v>
      </c>
      <c r="M3319">
        <v>13</v>
      </c>
      <c r="N3319">
        <f>IFERROR(VLOOKUP(A3319,vlookup_table!$A:$G,2,FALSE),"")</f>
        <v>1</v>
      </c>
      <c r="O3319">
        <f>IFERROR(VLOOKUP(A3319,vlookup_table!$A:$G,4,FALSE),"")</f>
        <v>5001</v>
      </c>
      <c r="P3319" t="str">
        <f>IFERROR(VLOOKUP(A3319,vlookup_table!$A:$G,5,FALSE),"")</f>
        <v>C2</v>
      </c>
      <c r="Q3319">
        <f>IFERROR(VLOOKUP(A3319,vlookup_table!$A:$G,7,FALSE),"")</f>
        <v>10</v>
      </c>
      <c r="R3319">
        <f t="shared" si="204"/>
        <v>47</v>
      </c>
      <c r="S3319" t="str" cm="1">
        <f t="array" ref="S3319">IF(P3319="","",_xlfn.SWITCH(LEFT(P3319,1),"C","Ciudad","T","Pueblo","R","Rural","S","Suburbano","U","Urbano",""))</f>
        <v>Ciudad</v>
      </c>
      <c r="T3319" t="str">
        <f t="shared" si="205"/>
        <v>M</v>
      </c>
      <c r="U3319" t="str">
        <f t="shared" si="206"/>
        <v>CA</v>
      </c>
      <c r="V3319" t="str">
        <f t="shared" si="207"/>
        <v>16188</v>
      </c>
    </row>
    <row r="3320" spans="1:22" x14ac:dyDescent="0.35">
      <c r="A3320" s="3">
        <v>164364</v>
      </c>
      <c r="B3320" t="s">
        <v>22</v>
      </c>
      <c r="C3320" t="s">
        <v>17</v>
      </c>
      <c r="D3320">
        <v>2332</v>
      </c>
      <c r="E3320">
        <v>508</v>
      </c>
      <c r="F3320">
        <v>574</v>
      </c>
      <c r="G3320">
        <v>71</v>
      </c>
      <c r="H3320">
        <v>19798</v>
      </c>
      <c r="I3320">
        <v>6</v>
      </c>
      <c r="J3320">
        <v>59</v>
      </c>
      <c r="K3320">
        <v>533</v>
      </c>
      <c r="L3320">
        <v>528</v>
      </c>
      <c r="M3320">
        <v>5.7142857139999998</v>
      </c>
      <c r="N3320">
        <f>IFERROR(VLOOKUP(A3320,vlookup_table!$A:$G,2,FALSE),"")</f>
        <v>0</v>
      </c>
      <c r="O3320">
        <f>IFERROR(VLOOKUP(A3320,vlookup_table!$A:$G,4,FALSE),"")</f>
        <v>5201</v>
      </c>
      <c r="P3320" t="str">
        <f>IFERROR(VLOOKUP(A3320,vlookup_table!$A:$G,5,FALSE),"")</f>
        <v>S1</v>
      </c>
      <c r="Q3320">
        <f>IFERROR(VLOOKUP(A3320,vlookup_table!$A:$G,7,FALSE),"")</f>
        <v>6</v>
      </c>
      <c r="R3320">
        <f t="shared" si="204"/>
        <v>45</v>
      </c>
      <c r="S3320" t="str" cm="1">
        <f t="array" ref="S3320">IF(P3320="","",_xlfn.SWITCH(LEFT(P3320,1),"C","Ciudad","T","Pueblo","R","Rural","S","Suburbano","U","Urbano",""))</f>
        <v>Suburbano</v>
      </c>
      <c r="T3320" t="str">
        <f t="shared" si="205"/>
        <v>F</v>
      </c>
      <c r="U3320" t="str">
        <f t="shared" si="206"/>
        <v>CA</v>
      </c>
      <c r="V3320" t="str">
        <f t="shared" si="207"/>
        <v>19798</v>
      </c>
    </row>
    <row r="3321" spans="1:22" x14ac:dyDescent="0.35">
      <c r="A3321" s="3">
        <v>176253</v>
      </c>
      <c r="B3321" t="s">
        <v>50</v>
      </c>
      <c r="C3321" t="s">
        <v>17</v>
      </c>
      <c r="D3321">
        <v>1506</v>
      </c>
      <c r="E3321">
        <v>517</v>
      </c>
      <c r="F3321">
        <v>711</v>
      </c>
      <c r="G3321">
        <v>20</v>
      </c>
      <c r="H3321">
        <v>39301</v>
      </c>
      <c r="I3321">
        <v>6</v>
      </c>
      <c r="J3321">
        <v>35</v>
      </c>
      <c r="K3321">
        <v>573</v>
      </c>
      <c r="L3321">
        <v>632</v>
      </c>
      <c r="M3321">
        <v>32.916666669999998</v>
      </c>
      <c r="N3321">
        <f>IFERROR(VLOOKUP(A3321,vlookup_table!$A:$G,2,FALSE),"")</f>
        <v>2</v>
      </c>
      <c r="O3321">
        <f>IFERROR(VLOOKUP(A3321,vlookup_table!$A:$G,4,FALSE),"")</f>
        <v>1309</v>
      </c>
      <c r="P3321" t="str">
        <f>IFERROR(VLOOKUP(A3321,vlookup_table!$A:$G,5,FALSE),"")</f>
        <v>R2</v>
      </c>
      <c r="Q3321">
        <f>IFERROR(VLOOKUP(A3321,vlookup_table!$A:$G,7,FALSE),"")</f>
        <v>50</v>
      </c>
      <c r="R3321">
        <f t="shared" si="204"/>
        <v>84</v>
      </c>
      <c r="S3321" t="str" cm="1">
        <f t="array" ref="S3321">IF(P3321="","",_xlfn.SWITCH(LEFT(P3321,1),"C","Ciudad","T","Pueblo","R","Rural","S","Suburbano","U","Urbano",""))</f>
        <v>Rural</v>
      </c>
      <c r="T3321" t="str">
        <f t="shared" si="205"/>
        <v>F</v>
      </c>
      <c r="U3321" t="str">
        <f t="shared" si="206"/>
        <v>OR</v>
      </c>
      <c r="V3321" t="str">
        <f t="shared" si="207"/>
        <v>39301</v>
      </c>
    </row>
    <row r="3322" spans="1:22" x14ac:dyDescent="0.35">
      <c r="A3322" s="3">
        <v>140181</v>
      </c>
      <c r="B3322" t="s">
        <v>48</v>
      </c>
      <c r="C3322" t="s">
        <v>17</v>
      </c>
      <c r="D3322">
        <v>487</v>
      </c>
      <c r="E3322">
        <v>117</v>
      </c>
      <c r="F3322">
        <v>197</v>
      </c>
      <c r="G3322">
        <v>1</v>
      </c>
      <c r="H3322">
        <v>9103</v>
      </c>
      <c r="I3322">
        <v>5</v>
      </c>
      <c r="J3322">
        <v>32</v>
      </c>
      <c r="K3322">
        <v>152</v>
      </c>
      <c r="L3322">
        <v>161</v>
      </c>
      <c r="M3322">
        <v>3.4444444440000002</v>
      </c>
      <c r="N3322">
        <f>IFERROR(VLOOKUP(A3322,vlookup_table!$A:$G,2,FALSE),"")</f>
        <v>28</v>
      </c>
      <c r="O3322">
        <f>IFERROR(VLOOKUP(A3322,vlookup_table!$A:$G,4,FALSE),"")</f>
        <v>2201</v>
      </c>
      <c r="P3322" t="str">
        <f>IFERROR(VLOOKUP(A3322,vlookup_table!$A:$G,5,FALSE),"")</f>
        <v>T2</v>
      </c>
      <c r="Q3322">
        <f>IFERROR(VLOOKUP(A3322,vlookup_table!$A:$G,7,FALSE),"")</f>
        <v>3</v>
      </c>
      <c r="R3322">
        <f t="shared" si="204"/>
        <v>75</v>
      </c>
      <c r="S3322" t="str" cm="1">
        <f t="array" ref="S3322">IF(P3322="","",_xlfn.SWITCH(LEFT(P3322,1),"C","Ciudad","T","Pueblo","R","Rural","S","Suburbano","U","Urbano",""))</f>
        <v>Pueblo</v>
      </c>
      <c r="T3322" t="str">
        <f t="shared" si="205"/>
        <v>F</v>
      </c>
      <c r="U3322" t="str">
        <f t="shared" si="206"/>
        <v>CO</v>
      </c>
      <c r="V3322" t="str">
        <f t="shared" si="207"/>
        <v>9103</v>
      </c>
    </row>
    <row r="3323" spans="1:22" x14ac:dyDescent="0.35">
      <c r="A3323" s="3">
        <v>5331</v>
      </c>
      <c r="B3323" t="s">
        <v>18</v>
      </c>
      <c r="C3323" t="s">
        <v>30</v>
      </c>
      <c r="D3323">
        <v>1618</v>
      </c>
      <c r="E3323">
        <v>508</v>
      </c>
      <c r="F3323">
        <v>635</v>
      </c>
      <c r="G3323">
        <v>12</v>
      </c>
      <c r="H3323">
        <v>22608</v>
      </c>
      <c r="I3323">
        <v>6</v>
      </c>
      <c r="J3323">
        <v>35</v>
      </c>
      <c r="K3323">
        <v>580</v>
      </c>
      <c r="L3323">
        <v>527</v>
      </c>
      <c r="M3323">
        <v>11.545454550000001</v>
      </c>
      <c r="N3323">
        <f>IFERROR(VLOOKUP(A3323,vlookup_table!$A:$G,2,FALSE),"")</f>
        <v>2</v>
      </c>
      <c r="O3323">
        <f>IFERROR(VLOOKUP(A3323,vlookup_table!$A:$G,4,FALSE),"")</f>
        <v>0</v>
      </c>
      <c r="P3323" t="str">
        <f>IFERROR(VLOOKUP(A3323,vlookup_table!$A:$G,5,FALSE),"")</f>
        <v>C1</v>
      </c>
      <c r="Q3323">
        <f>IFERROR(VLOOKUP(A3323,vlookup_table!$A:$G,7,FALSE),"")</f>
        <v>14</v>
      </c>
      <c r="R3323">
        <f t="shared" si="204"/>
        <v>97</v>
      </c>
      <c r="S3323" t="str" cm="1">
        <f t="array" ref="S3323">IF(P3323="","",_xlfn.SWITCH(LEFT(P3323,1),"C","Ciudad","T","Pueblo","R","Rural","S","Suburbano","U","Urbano",""))</f>
        <v>Ciudad</v>
      </c>
      <c r="T3323" t="str">
        <f t="shared" si="205"/>
        <v>U</v>
      </c>
      <c r="U3323" t="str">
        <f t="shared" si="206"/>
        <v>NC</v>
      </c>
      <c r="V3323" t="str">
        <f t="shared" si="207"/>
        <v>22608</v>
      </c>
    </row>
    <row r="3324" spans="1:22" x14ac:dyDescent="0.35">
      <c r="A3324" s="3">
        <v>31953</v>
      </c>
      <c r="B3324" t="s">
        <v>16</v>
      </c>
      <c r="C3324" t="s">
        <v>14</v>
      </c>
      <c r="D3324">
        <v>1210</v>
      </c>
      <c r="E3324">
        <v>471</v>
      </c>
      <c r="F3324">
        <v>553</v>
      </c>
      <c r="G3324">
        <v>3</v>
      </c>
      <c r="H3324">
        <v>17995</v>
      </c>
      <c r="I3324">
        <v>8</v>
      </c>
      <c r="J3324">
        <v>61</v>
      </c>
      <c r="K3324">
        <v>519</v>
      </c>
      <c r="L3324">
        <v>511</v>
      </c>
      <c r="M3324">
        <v>12.222222220000001</v>
      </c>
      <c r="N3324">
        <f>IFERROR(VLOOKUP(A3324,vlookup_table!$A:$G,2,FALSE),"")</f>
        <v>1</v>
      </c>
      <c r="O3324">
        <f>IFERROR(VLOOKUP(A3324,vlookup_table!$A:$G,4,FALSE),"")</f>
        <v>0</v>
      </c>
      <c r="P3324" t="str">
        <f>IFERROR(VLOOKUP(A3324,vlookup_table!$A:$G,5,FALSE),"")</f>
        <v>T1</v>
      </c>
      <c r="Q3324">
        <f>IFERROR(VLOOKUP(A3324,vlookup_table!$A:$G,7,FALSE),"")</f>
        <v>12</v>
      </c>
      <c r="R3324">
        <f t="shared" si="204"/>
        <v>97</v>
      </c>
      <c r="S3324" t="str" cm="1">
        <f t="array" ref="S3324">IF(P3324="","",_xlfn.SWITCH(LEFT(P3324,1),"C","Ciudad","T","Pueblo","R","Rural","S","Suburbano","U","Urbano",""))</f>
        <v>Pueblo</v>
      </c>
      <c r="T3324" t="str">
        <f t="shared" si="205"/>
        <v>M</v>
      </c>
      <c r="U3324" t="str">
        <f t="shared" si="206"/>
        <v>IL</v>
      </c>
      <c r="V3324" t="str">
        <f t="shared" si="207"/>
        <v>17995</v>
      </c>
    </row>
    <row r="3325" spans="1:22" x14ac:dyDescent="0.35">
      <c r="A3325" s="3">
        <v>79399</v>
      </c>
      <c r="B3325" t="s">
        <v>35</v>
      </c>
      <c r="C3325" t="s">
        <v>51</v>
      </c>
      <c r="D3325">
        <v>487</v>
      </c>
      <c r="E3325">
        <v>298</v>
      </c>
      <c r="F3325">
        <v>360</v>
      </c>
      <c r="G3325">
        <v>0</v>
      </c>
      <c r="H3325">
        <v>11498</v>
      </c>
      <c r="I3325">
        <v>1</v>
      </c>
      <c r="J3325">
        <v>82</v>
      </c>
      <c r="K3325">
        <v>322</v>
      </c>
      <c r="L3325">
        <v>328</v>
      </c>
      <c r="M3325">
        <v>17.5</v>
      </c>
      <c r="N3325">
        <f>IFERROR(VLOOKUP(A3325,vlookup_table!$A:$G,2,FALSE),"")</f>
        <v>0</v>
      </c>
      <c r="O3325">
        <f>IFERROR(VLOOKUP(A3325,vlookup_table!$A:$G,4,FALSE),"")</f>
        <v>5507</v>
      </c>
      <c r="P3325" t="str">
        <f>IFERROR(VLOOKUP(A3325,vlookup_table!$A:$G,5,FALSE),"")</f>
        <v>R2</v>
      </c>
      <c r="Q3325">
        <f>IFERROR(VLOOKUP(A3325,vlookup_table!$A:$G,7,FALSE),"")</f>
        <v>30</v>
      </c>
      <c r="R3325">
        <f t="shared" si="204"/>
        <v>42</v>
      </c>
      <c r="S3325" t="str" cm="1">
        <f t="array" ref="S3325">IF(P3325="","",_xlfn.SWITCH(LEFT(P3325,1),"C","Ciudad","T","Pueblo","R","Rural","S","Suburbano","U","Urbano",""))</f>
        <v>Rural</v>
      </c>
      <c r="T3325" t="str">
        <f t="shared" si="205"/>
        <v>M</v>
      </c>
      <c r="U3325" t="str">
        <f t="shared" si="206"/>
        <v>WI</v>
      </c>
      <c r="V3325" t="str">
        <f t="shared" si="207"/>
        <v>11498</v>
      </c>
    </row>
    <row r="3326" spans="1:22" x14ac:dyDescent="0.35">
      <c r="A3326" s="3">
        <v>74732</v>
      </c>
      <c r="B3326" t="s">
        <v>29</v>
      </c>
      <c r="C3326" t="s">
        <v>14</v>
      </c>
      <c r="D3326">
        <v>229</v>
      </c>
      <c r="E3326">
        <v>214</v>
      </c>
      <c r="F3326">
        <v>285</v>
      </c>
      <c r="G3326">
        <v>0</v>
      </c>
      <c r="H3326">
        <v>8985</v>
      </c>
      <c r="I3326">
        <v>2</v>
      </c>
      <c r="J3326">
        <v>69</v>
      </c>
      <c r="K3326">
        <v>260</v>
      </c>
      <c r="L3326">
        <v>246</v>
      </c>
      <c r="M3326">
        <v>15.91666667</v>
      </c>
      <c r="N3326">
        <f>IFERROR(VLOOKUP(A3326,vlookup_table!$A:$G,2,FALSE),"")</f>
        <v>1</v>
      </c>
      <c r="O3326">
        <f>IFERROR(VLOOKUP(A3326,vlookup_table!$A:$G,4,FALSE),"")</f>
        <v>0</v>
      </c>
      <c r="P3326" t="str">
        <f>IFERROR(VLOOKUP(A3326,vlookup_table!$A:$G,5,FALSE),"")</f>
        <v>R2</v>
      </c>
      <c r="Q3326">
        <f>IFERROR(VLOOKUP(A3326,vlookup_table!$A:$G,7,FALSE),"")</f>
        <v>15</v>
      </c>
      <c r="R3326">
        <f t="shared" si="204"/>
        <v>97</v>
      </c>
      <c r="S3326" t="str" cm="1">
        <f t="array" ref="S3326">IF(P3326="","",_xlfn.SWITCH(LEFT(P3326,1),"C","Ciudad","T","Pueblo","R","Rural","S","Suburbano","U","Urbano",""))</f>
        <v>Rural</v>
      </c>
      <c r="T3326" t="str">
        <f t="shared" si="205"/>
        <v>M</v>
      </c>
      <c r="U3326" t="str">
        <f t="shared" si="206"/>
        <v>MI</v>
      </c>
      <c r="V3326" t="str">
        <f t="shared" si="207"/>
        <v>8985</v>
      </c>
    </row>
    <row r="3327" spans="1:22" x14ac:dyDescent="0.35">
      <c r="A3327" s="3">
        <v>36395</v>
      </c>
      <c r="B3327" t="s">
        <v>13</v>
      </c>
      <c r="C3327" t="s">
        <v>14</v>
      </c>
      <c r="D3327">
        <v>885</v>
      </c>
      <c r="E3327">
        <v>345</v>
      </c>
      <c r="F3327">
        <v>595</v>
      </c>
      <c r="G3327">
        <v>1</v>
      </c>
      <c r="H3327">
        <v>30256</v>
      </c>
      <c r="I3327">
        <v>4</v>
      </c>
      <c r="J3327">
        <v>5</v>
      </c>
      <c r="K3327">
        <v>565</v>
      </c>
      <c r="L3327">
        <v>473</v>
      </c>
      <c r="M3327">
        <v>11.1</v>
      </c>
      <c r="N3327">
        <f>IFERROR(VLOOKUP(A3327,vlookup_table!$A:$G,2,FALSE),"")</f>
        <v>1</v>
      </c>
      <c r="O3327">
        <f>IFERROR(VLOOKUP(A3327,vlookup_table!$A:$G,4,FALSE),"")</f>
        <v>1601</v>
      </c>
      <c r="P3327" t="str">
        <f>IFERROR(VLOOKUP(A3327,vlookup_table!$A:$G,5,FALSE),"")</f>
        <v>C2</v>
      </c>
      <c r="Q3327">
        <f>IFERROR(VLOOKUP(A3327,vlookup_table!$A:$G,7,FALSE),"")</f>
        <v>15</v>
      </c>
      <c r="R3327">
        <f t="shared" si="204"/>
        <v>81</v>
      </c>
      <c r="S3327" t="str" cm="1">
        <f t="array" ref="S3327">IF(P3327="","",_xlfn.SWITCH(LEFT(P3327,1),"C","Ciudad","T","Pueblo","R","Rural","S","Suburbano","U","Urbano",""))</f>
        <v>Ciudad</v>
      </c>
      <c r="T3327" t="str">
        <f t="shared" si="205"/>
        <v>M</v>
      </c>
      <c r="U3327" t="str">
        <f t="shared" si="206"/>
        <v>FL</v>
      </c>
      <c r="V3327" t="str">
        <f t="shared" si="207"/>
        <v>30256</v>
      </c>
    </row>
    <row r="3328" spans="1:22" x14ac:dyDescent="0.35">
      <c r="A3328" s="3">
        <v>75835</v>
      </c>
      <c r="B3328" t="s">
        <v>47</v>
      </c>
      <c r="D3328">
        <v>298</v>
      </c>
      <c r="E3328">
        <v>234</v>
      </c>
      <c r="F3328">
        <v>279</v>
      </c>
      <c r="G3328">
        <v>0</v>
      </c>
      <c r="H3328">
        <v>9825</v>
      </c>
      <c r="I3328">
        <v>4</v>
      </c>
      <c r="J3328">
        <v>64</v>
      </c>
      <c r="K3328">
        <v>250</v>
      </c>
      <c r="L3328">
        <v>269</v>
      </c>
      <c r="M3328">
        <v>3.8571428569999999</v>
      </c>
      <c r="N3328">
        <f>IFERROR(VLOOKUP(A3328,vlookup_table!$A:$G,2,FALSE),"")</f>
        <v>0</v>
      </c>
      <c r="O3328">
        <f>IFERROR(VLOOKUP(A3328,vlookup_table!$A:$G,4,FALSE),"")</f>
        <v>4401</v>
      </c>
      <c r="P3328" t="str">
        <f>IFERROR(VLOOKUP(A3328,vlookup_table!$A:$G,5,FALSE),"")</f>
        <v>C3</v>
      </c>
      <c r="Q3328">
        <f>IFERROR(VLOOKUP(A3328,vlookup_table!$A:$G,7,FALSE),"")</f>
        <v>5</v>
      </c>
      <c r="R3328">
        <f t="shared" si="204"/>
        <v>53</v>
      </c>
      <c r="S3328" t="str" cm="1">
        <f t="array" ref="S3328">IF(P3328="","",_xlfn.SWITCH(LEFT(P3328,1),"C","Ciudad","T","Pueblo","R","Rural","S","Suburbano","U","Urbano",""))</f>
        <v>Ciudad</v>
      </c>
      <c r="T3328" t="str">
        <f t="shared" si="205"/>
        <v/>
      </c>
      <c r="U3328" t="str">
        <f t="shared" si="206"/>
        <v>IA</v>
      </c>
      <c r="V3328" t="str">
        <f t="shared" si="207"/>
        <v>9825</v>
      </c>
    </row>
    <row r="3329" spans="1:22" x14ac:dyDescent="0.35">
      <c r="A3329" s="3">
        <v>4606</v>
      </c>
      <c r="B3329" t="s">
        <v>16</v>
      </c>
      <c r="D3329">
        <v>1045</v>
      </c>
      <c r="E3329">
        <v>288</v>
      </c>
      <c r="F3329">
        <v>399</v>
      </c>
      <c r="G3329">
        <v>1</v>
      </c>
      <c r="H3329">
        <v>12829</v>
      </c>
      <c r="I3329">
        <v>33</v>
      </c>
      <c r="J3329">
        <v>56</v>
      </c>
      <c r="K3329">
        <v>347</v>
      </c>
      <c r="L3329">
        <v>337</v>
      </c>
      <c r="M3329">
        <v>24.75</v>
      </c>
      <c r="N3329">
        <f>IFERROR(VLOOKUP(A3329,vlookup_table!$A:$G,2,FALSE),"")</f>
        <v>0</v>
      </c>
      <c r="O3329">
        <f>IFERROR(VLOOKUP(A3329,vlookup_table!$A:$G,4,FALSE),"")</f>
        <v>2509</v>
      </c>
      <c r="P3329" t="str">
        <f>IFERROR(VLOOKUP(A3329,vlookup_table!$A:$G,5,FALSE),"")</f>
        <v>U3</v>
      </c>
      <c r="Q3329">
        <f>IFERROR(VLOOKUP(A3329,vlookup_table!$A:$G,7,FALSE),"")</f>
        <v>25</v>
      </c>
      <c r="R3329">
        <f t="shared" si="204"/>
        <v>72</v>
      </c>
      <c r="S3329" t="str" cm="1">
        <f t="array" ref="S3329">IF(P3329="","",_xlfn.SWITCH(LEFT(P3329,1),"C","Ciudad","T","Pueblo","R","Rural","S","Suburbano","U","Urbano",""))</f>
        <v>Urbano</v>
      </c>
      <c r="T3329" t="str">
        <f t="shared" si="205"/>
        <v/>
      </c>
      <c r="U3329" t="str">
        <f t="shared" si="206"/>
        <v>IL</v>
      </c>
      <c r="V3329" t="str">
        <f t="shared" si="207"/>
        <v>12829</v>
      </c>
    </row>
    <row r="3330" spans="1:22" x14ac:dyDescent="0.35">
      <c r="A3330" s="3">
        <v>51234</v>
      </c>
      <c r="B3330" t="s">
        <v>53</v>
      </c>
      <c r="C3330" t="s">
        <v>17</v>
      </c>
      <c r="D3330">
        <v>484</v>
      </c>
      <c r="E3330">
        <v>232</v>
      </c>
      <c r="F3330">
        <v>318</v>
      </c>
      <c r="G3330">
        <v>0</v>
      </c>
      <c r="H3330">
        <v>10806</v>
      </c>
      <c r="I3330">
        <v>4</v>
      </c>
      <c r="J3330">
        <v>62</v>
      </c>
      <c r="K3330">
        <v>324</v>
      </c>
      <c r="L3330">
        <v>265</v>
      </c>
      <c r="M3330">
        <v>9.5</v>
      </c>
      <c r="N3330">
        <f>IFERROR(VLOOKUP(A3330,vlookup_table!$A:$G,2,FALSE),"")</f>
        <v>28</v>
      </c>
      <c r="O3330">
        <f>IFERROR(VLOOKUP(A3330,vlookup_table!$A:$G,4,FALSE),"")</f>
        <v>2301</v>
      </c>
      <c r="P3330" t="str">
        <f>IFERROR(VLOOKUP(A3330,vlookup_table!$A:$G,5,FALSE),"")</f>
        <v>S3</v>
      </c>
      <c r="Q3330">
        <f>IFERROR(VLOOKUP(A3330,vlookup_table!$A:$G,7,FALSE),"")</f>
        <v>25</v>
      </c>
      <c r="R3330">
        <f t="shared" ref="R3330:R3393" si="208">IF(O3330="","",97-INT(O3330/100))</f>
        <v>74</v>
      </c>
      <c r="S3330" t="str" cm="1">
        <f t="array" ref="S3330">IF(P3330="","",_xlfn.SWITCH(LEFT(P3330,1),"C","Ciudad","T","Pueblo","R","Rural","S","Suburbano","U","Urbano",""))</f>
        <v>Suburbano</v>
      </c>
      <c r="T3330" t="str">
        <f t="shared" ref="T3330:T3393" si="209">IF(C3330="","",IF(OR(UPPER(C3330)="M",UPPER(C3330)="MALE"),"M",IF(OR(UPPER(C3330)="F",UPPER(C3330)="FEMALE",UPPER(C3330)="FEAMALE"),"F",C3330)))</f>
        <v>F</v>
      </c>
      <c r="U3330" t="str">
        <f t="shared" ref="U3330:U3393" si="210">IF(OR(UPPER(B3330)="CALIFORNIA",UPPER(B3330)="CALI"),"CA",B3330)</f>
        <v>TN</v>
      </c>
      <c r="V3330" t="str">
        <f t="shared" ref="V3330:V3393" si="211">SUBSTITUTE(H3330,"@","")</f>
        <v>10806</v>
      </c>
    </row>
    <row r="3331" spans="1:22" x14ac:dyDescent="0.35">
      <c r="A3331" s="3">
        <v>71616</v>
      </c>
      <c r="B3331" t="s">
        <v>29</v>
      </c>
      <c r="C3331" t="s">
        <v>14</v>
      </c>
      <c r="D3331">
        <v>501</v>
      </c>
      <c r="E3331">
        <v>397</v>
      </c>
      <c r="F3331">
        <v>434</v>
      </c>
      <c r="G3331">
        <v>0</v>
      </c>
      <c r="H3331">
        <v>12437</v>
      </c>
      <c r="I3331">
        <v>2</v>
      </c>
      <c r="J3331">
        <v>71</v>
      </c>
      <c r="K3331">
        <v>403</v>
      </c>
      <c r="L3331">
        <v>424</v>
      </c>
      <c r="M3331">
        <v>27.625</v>
      </c>
      <c r="N3331">
        <f>IFERROR(VLOOKUP(A3331,vlookup_table!$A:$G,2,FALSE),"")</f>
        <v>1</v>
      </c>
      <c r="O3331">
        <f>IFERROR(VLOOKUP(A3331,vlookup_table!$A:$G,4,FALSE),"")</f>
        <v>5601</v>
      </c>
      <c r="P3331" t="str">
        <f>IFERROR(VLOOKUP(A3331,vlookup_table!$A:$G,5,FALSE),"")</f>
        <v>S2</v>
      </c>
      <c r="Q3331">
        <f>IFERROR(VLOOKUP(A3331,vlookup_table!$A:$G,7,FALSE),"")</f>
        <v>50</v>
      </c>
      <c r="R3331">
        <f t="shared" si="208"/>
        <v>41</v>
      </c>
      <c r="S3331" t="str" cm="1">
        <f t="array" ref="S3331">IF(P3331="","",_xlfn.SWITCH(LEFT(P3331,1),"C","Ciudad","T","Pueblo","R","Rural","S","Suburbano","U","Urbano",""))</f>
        <v>Suburbano</v>
      </c>
      <c r="T3331" t="str">
        <f t="shared" si="209"/>
        <v>M</v>
      </c>
      <c r="U3331" t="str">
        <f t="shared" si="210"/>
        <v>MI</v>
      </c>
      <c r="V3331" t="str">
        <f t="shared" si="211"/>
        <v>12437</v>
      </c>
    </row>
    <row r="3332" spans="1:22" x14ac:dyDescent="0.35">
      <c r="A3332" s="3">
        <v>182697</v>
      </c>
      <c r="B3332" t="s">
        <v>40</v>
      </c>
      <c r="C3332" t="s">
        <v>30</v>
      </c>
      <c r="D3332">
        <v>613</v>
      </c>
      <c r="E3332">
        <v>246</v>
      </c>
      <c r="F3332">
        <v>335</v>
      </c>
      <c r="G3332">
        <v>2</v>
      </c>
      <c r="H3332">
        <v>11634</v>
      </c>
      <c r="I3332">
        <v>3</v>
      </c>
      <c r="J3332">
        <v>56</v>
      </c>
      <c r="K3332">
        <v>290</v>
      </c>
      <c r="L3332">
        <v>296</v>
      </c>
      <c r="M3332">
        <v>20</v>
      </c>
      <c r="N3332">
        <f>IFERROR(VLOOKUP(A3332,vlookup_table!$A:$G,2,FALSE),"")</f>
        <v>2</v>
      </c>
      <c r="O3332">
        <f>IFERROR(VLOOKUP(A3332,vlookup_table!$A:$G,4,FALSE),"")</f>
        <v>0</v>
      </c>
      <c r="P3332" t="str">
        <f>IFERROR(VLOOKUP(A3332,vlookup_table!$A:$G,5,FALSE),"")</f>
        <v>R1</v>
      </c>
      <c r="Q3332">
        <f>IFERROR(VLOOKUP(A3332,vlookup_table!$A:$G,7,FALSE),"")</f>
        <v>20</v>
      </c>
      <c r="R3332">
        <f t="shared" si="208"/>
        <v>97</v>
      </c>
      <c r="S3332" t="str" cm="1">
        <f t="array" ref="S3332">IF(P3332="","",_xlfn.SWITCH(LEFT(P3332,1),"C","Ciudad","T","Pueblo","R","Rural","S","Suburbano","U","Urbano",""))</f>
        <v>Rural</v>
      </c>
      <c r="T3332" t="str">
        <f t="shared" si="209"/>
        <v>U</v>
      </c>
      <c r="U3332" t="str">
        <f t="shared" si="210"/>
        <v>WA</v>
      </c>
      <c r="V3332" t="str">
        <f t="shared" si="211"/>
        <v>11634</v>
      </c>
    </row>
    <row r="3333" spans="1:22" x14ac:dyDescent="0.35">
      <c r="A3333" s="3">
        <v>173100</v>
      </c>
      <c r="B3333" t="s">
        <v>22</v>
      </c>
      <c r="C3333" t="s">
        <v>17</v>
      </c>
      <c r="D3333">
        <v>625</v>
      </c>
      <c r="E3333">
        <v>172</v>
      </c>
      <c r="F3333">
        <v>250</v>
      </c>
      <c r="G3333">
        <v>0</v>
      </c>
      <c r="H3333">
        <v>8875</v>
      </c>
      <c r="I3333">
        <v>1</v>
      </c>
      <c r="J3333">
        <v>63</v>
      </c>
      <c r="K3333">
        <v>190</v>
      </c>
      <c r="L3333">
        <v>226</v>
      </c>
      <c r="M3333">
        <v>13</v>
      </c>
      <c r="N3333">
        <f>IFERROR(VLOOKUP(A3333,vlookup_table!$A:$G,2,FALSE),"")</f>
        <v>0</v>
      </c>
      <c r="O3333">
        <f>IFERROR(VLOOKUP(A3333,vlookup_table!$A:$G,4,FALSE),"")</f>
        <v>0</v>
      </c>
      <c r="P3333" t="str">
        <f>IFERROR(VLOOKUP(A3333,vlookup_table!$A:$G,5,FALSE),"")</f>
        <v>R2</v>
      </c>
      <c r="Q3333">
        <f>IFERROR(VLOOKUP(A3333,vlookup_table!$A:$G,7,FALSE),"")</f>
        <v>21</v>
      </c>
      <c r="R3333">
        <f t="shared" si="208"/>
        <v>97</v>
      </c>
      <c r="S3333" t="str" cm="1">
        <f t="array" ref="S3333">IF(P3333="","",_xlfn.SWITCH(LEFT(P3333,1),"C","Ciudad","T","Pueblo","R","Rural","S","Suburbano","U","Urbano",""))</f>
        <v>Rural</v>
      </c>
      <c r="T3333" t="str">
        <f t="shared" si="209"/>
        <v>F</v>
      </c>
      <c r="U3333" t="str">
        <f t="shared" si="210"/>
        <v>CA</v>
      </c>
      <c r="V3333" t="str">
        <f t="shared" si="211"/>
        <v>8875</v>
      </c>
    </row>
    <row r="3334" spans="1:22" x14ac:dyDescent="0.35">
      <c r="A3334" s="3">
        <v>172784</v>
      </c>
      <c r="B3334" t="s">
        <v>22</v>
      </c>
      <c r="C3334" t="s">
        <v>17</v>
      </c>
      <c r="D3334">
        <v>688</v>
      </c>
      <c r="E3334">
        <v>175</v>
      </c>
      <c r="F3334">
        <v>292</v>
      </c>
      <c r="G3334">
        <v>0</v>
      </c>
      <c r="H3334">
        <v>9422</v>
      </c>
      <c r="I3334">
        <v>3</v>
      </c>
      <c r="J3334">
        <v>66</v>
      </c>
      <c r="K3334">
        <v>187</v>
      </c>
      <c r="L3334">
        <v>258</v>
      </c>
      <c r="M3334">
        <v>5.5714285710000002</v>
      </c>
      <c r="N3334">
        <f>IFERROR(VLOOKUP(A3334,vlookup_table!$A:$G,2,FALSE),"")</f>
        <v>0</v>
      </c>
      <c r="O3334">
        <f>IFERROR(VLOOKUP(A3334,vlookup_table!$A:$G,4,FALSE),"")</f>
        <v>3201</v>
      </c>
      <c r="P3334" t="str">
        <f>IFERROR(VLOOKUP(A3334,vlookup_table!$A:$G,5,FALSE),"")</f>
        <v>R2</v>
      </c>
      <c r="Q3334">
        <f>IFERROR(VLOOKUP(A3334,vlookup_table!$A:$G,7,FALSE),"")</f>
        <v>5</v>
      </c>
      <c r="R3334">
        <f t="shared" si="208"/>
        <v>65</v>
      </c>
      <c r="S3334" t="str" cm="1">
        <f t="array" ref="S3334">IF(P3334="","",_xlfn.SWITCH(LEFT(P3334,1),"C","Ciudad","T","Pueblo","R","Rural","S","Suburbano","U","Urbano",""))</f>
        <v>Rural</v>
      </c>
      <c r="T3334" t="str">
        <f t="shared" si="209"/>
        <v>F</v>
      </c>
      <c r="U3334" t="str">
        <f t="shared" si="210"/>
        <v>CA</v>
      </c>
      <c r="V3334" t="str">
        <f t="shared" si="211"/>
        <v>9422</v>
      </c>
    </row>
    <row r="3335" spans="1:22" x14ac:dyDescent="0.35">
      <c r="A3335" s="3">
        <v>145637</v>
      </c>
      <c r="B3335" t="s">
        <v>22</v>
      </c>
      <c r="C3335" t="s">
        <v>17</v>
      </c>
      <c r="D3335">
        <v>2908</v>
      </c>
      <c r="E3335">
        <v>606</v>
      </c>
      <c r="F3335">
        <v>717</v>
      </c>
      <c r="G3335">
        <v>87</v>
      </c>
      <c r="H3335">
        <v>23934</v>
      </c>
      <c r="I3335">
        <v>5</v>
      </c>
      <c r="J3335">
        <v>54</v>
      </c>
      <c r="K3335">
        <v>644</v>
      </c>
      <c r="L3335">
        <v>677</v>
      </c>
      <c r="M3335">
        <v>16.25</v>
      </c>
      <c r="N3335">
        <f>IFERROR(VLOOKUP(A3335,vlookup_table!$A:$G,2,FALSE),"")</f>
        <v>0</v>
      </c>
      <c r="O3335">
        <f>IFERROR(VLOOKUP(A3335,vlookup_table!$A:$G,4,FALSE),"")</f>
        <v>4801</v>
      </c>
      <c r="P3335" t="str">
        <f>IFERROR(VLOOKUP(A3335,vlookup_table!$A:$G,5,FALSE),"")</f>
        <v>S1</v>
      </c>
      <c r="Q3335">
        <f>IFERROR(VLOOKUP(A3335,vlookup_table!$A:$G,7,FALSE),"")</f>
        <v>25</v>
      </c>
      <c r="R3335">
        <f t="shared" si="208"/>
        <v>49</v>
      </c>
      <c r="S3335" t="str" cm="1">
        <f t="array" ref="S3335">IF(P3335="","",_xlfn.SWITCH(LEFT(P3335,1),"C","Ciudad","T","Pueblo","R","Rural","S","Suburbano","U","Urbano",""))</f>
        <v>Suburbano</v>
      </c>
      <c r="T3335" t="str">
        <f t="shared" si="209"/>
        <v>F</v>
      </c>
      <c r="U3335" t="str">
        <f t="shared" si="210"/>
        <v>CA</v>
      </c>
      <c r="V3335" t="str">
        <f t="shared" si="211"/>
        <v>23934</v>
      </c>
    </row>
    <row r="3336" spans="1:22" x14ac:dyDescent="0.35">
      <c r="A3336" s="3">
        <v>41445</v>
      </c>
      <c r="B3336" t="s">
        <v>13</v>
      </c>
      <c r="C3336" t="s">
        <v>14</v>
      </c>
      <c r="D3336">
        <v>1007</v>
      </c>
      <c r="E3336">
        <v>433</v>
      </c>
      <c r="F3336">
        <v>608</v>
      </c>
      <c r="G3336">
        <v>16</v>
      </c>
      <c r="H3336">
        <v>22698</v>
      </c>
      <c r="I3336">
        <v>5</v>
      </c>
      <c r="J3336">
        <v>30</v>
      </c>
      <c r="K3336">
        <v>498</v>
      </c>
      <c r="L3336">
        <v>543</v>
      </c>
      <c r="M3336">
        <v>17.5</v>
      </c>
      <c r="N3336">
        <f>IFERROR(VLOOKUP(A3336,vlookup_table!$A:$G,2,FALSE),"")</f>
        <v>1</v>
      </c>
      <c r="O3336">
        <f>IFERROR(VLOOKUP(A3336,vlookup_table!$A:$G,4,FALSE),"")</f>
        <v>5201</v>
      </c>
      <c r="P3336" t="str">
        <f>IFERROR(VLOOKUP(A3336,vlookup_table!$A:$G,5,FALSE),"")</f>
        <v>S1</v>
      </c>
      <c r="Q3336">
        <f>IFERROR(VLOOKUP(A3336,vlookup_table!$A:$G,7,FALSE),"")</f>
        <v>35</v>
      </c>
      <c r="R3336">
        <f t="shared" si="208"/>
        <v>45</v>
      </c>
      <c r="S3336" t="str" cm="1">
        <f t="array" ref="S3336">IF(P3336="","",_xlfn.SWITCH(LEFT(P3336,1),"C","Ciudad","T","Pueblo","R","Rural","S","Suburbano","U","Urbano",""))</f>
        <v>Suburbano</v>
      </c>
      <c r="T3336" t="str">
        <f t="shared" si="209"/>
        <v>M</v>
      </c>
      <c r="U3336" t="str">
        <f t="shared" si="210"/>
        <v>FL</v>
      </c>
      <c r="V3336" t="str">
        <f t="shared" si="211"/>
        <v>22698</v>
      </c>
    </row>
    <row r="3337" spans="1:22" x14ac:dyDescent="0.35">
      <c r="A3337" s="3">
        <v>22900</v>
      </c>
      <c r="B3337" t="s">
        <v>46</v>
      </c>
      <c r="C3337" t="s">
        <v>17</v>
      </c>
      <c r="D3337">
        <v>750</v>
      </c>
      <c r="E3337">
        <v>170</v>
      </c>
      <c r="F3337">
        <v>213</v>
      </c>
      <c r="G3337">
        <v>7</v>
      </c>
      <c r="H3337">
        <v>10765</v>
      </c>
      <c r="I3337">
        <v>3</v>
      </c>
      <c r="J3337">
        <v>74</v>
      </c>
      <c r="K3337">
        <v>171</v>
      </c>
      <c r="L3337">
        <v>223</v>
      </c>
      <c r="M3337">
        <v>21.333333329999999</v>
      </c>
      <c r="N3337">
        <f>IFERROR(VLOOKUP(A3337,vlookup_table!$A:$G,2,FALSE),"")</f>
        <v>2</v>
      </c>
      <c r="O3337">
        <f>IFERROR(VLOOKUP(A3337,vlookup_table!$A:$G,4,FALSE),"")</f>
        <v>0</v>
      </c>
      <c r="P3337" t="str">
        <f>IFERROR(VLOOKUP(A3337,vlookup_table!$A:$G,5,FALSE),"")</f>
        <v>C3</v>
      </c>
      <c r="Q3337">
        <f>IFERROR(VLOOKUP(A3337,vlookup_table!$A:$G,7,FALSE),"")</f>
        <v>10</v>
      </c>
      <c r="R3337">
        <f t="shared" si="208"/>
        <v>97</v>
      </c>
      <c r="S3337" t="str" cm="1">
        <f t="array" ref="S3337">IF(P3337="","",_xlfn.SWITCH(LEFT(P3337,1),"C","Ciudad","T","Pueblo","R","Rural","S","Suburbano","U","Urbano",""))</f>
        <v>Ciudad</v>
      </c>
      <c r="T3337" t="str">
        <f t="shared" si="209"/>
        <v>F</v>
      </c>
      <c r="U3337" t="str">
        <f t="shared" si="210"/>
        <v>SC</v>
      </c>
      <c r="V3337" t="str">
        <f t="shared" si="211"/>
        <v>10765</v>
      </c>
    </row>
    <row r="3338" spans="1:22" x14ac:dyDescent="0.35">
      <c r="A3338" s="3">
        <v>93086</v>
      </c>
      <c r="B3338" t="s">
        <v>16</v>
      </c>
      <c r="C3338" t="s">
        <v>17</v>
      </c>
      <c r="D3338">
        <v>1088</v>
      </c>
      <c r="E3338">
        <v>241</v>
      </c>
      <c r="F3338">
        <v>343</v>
      </c>
      <c r="G3338">
        <v>11</v>
      </c>
      <c r="H3338">
        <v>10050</v>
      </c>
      <c r="I3338">
        <v>48</v>
      </c>
      <c r="J3338">
        <v>32</v>
      </c>
      <c r="K3338">
        <v>288</v>
      </c>
      <c r="L3338">
        <v>308</v>
      </c>
      <c r="M3338">
        <v>20</v>
      </c>
      <c r="N3338">
        <f>IFERROR(VLOOKUP(A3338,vlookup_table!$A:$G,2,FALSE),"")</f>
        <v>0</v>
      </c>
      <c r="O3338">
        <f>IFERROR(VLOOKUP(A3338,vlookup_table!$A:$G,4,FALSE),"")</f>
        <v>6301</v>
      </c>
      <c r="P3338" t="str">
        <f>IFERROR(VLOOKUP(A3338,vlookup_table!$A:$G,5,FALSE),"")</f>
        <v>U1</v>
      </c>
      <c r="Q3338">
        <f>IFERROR(VLOOKUP(A3338,vlookup_table!$A:$G,7,FALSE),"")</f>
        <v>20</v>
      </c>
      <c r="R3338">
        <f t="shared" si="208"/>
        <v>34</v>
      </c>
      <c r="S3338" t="str" cm="1">
        <f t="array" ref="S3338">IF(P3338="","",_xlfn.SWITCH(LEFT(P3338,1),"C","Ciudad","T","Pueblo","R","Rural","S","Suburbano","U","Urbano",""))</f>
        <v>Urbano</v>
      </c>
      <c r="T3338" t="str">
        <f t="shared" si="209"/>
        <v>F</v>
      </c>
      <c r="U3338" t="str">
        <f t="shared" si="210"/>
        <v>IL</v>
      </c>
      <c r="V3338" t="str">
        <f t="shared" si="211"/>
        <v>10050</v>
      </c>
    </row>
    <row r="3339" spans="1:22" x14ac:dyDescent="0.35">
      <c r="A3339" s="3">
        <v>95727</v>
      </c>
      <c r="B3339" t="s">
        <v>16</v>
      </c>
      <c r="C3339" t="s">
        <v>30</v>
      </c>
      <c r="D3339">
        <v>364</v>
      </c>
      <c r="E3339">
        <v>305</v>
      </c>
      <c r="F3339">
        <v>383</v>
      </c>
      <c r="G3339">
        <v>0</v>
      </c>
      <c r="H3339">
        <v>12461</v>
      </c>
      <c r="I3339">
        <v>2</v>
      </c>
      <c r="J3339">
        <v>56</v>
      </c>
      <c r="K3339">
        <v>333</v>
      </c>
      <c r="L3339">
        <v>329</v>
      </c>
      <c r="M3339">
        <v>15.55555556</v>
      </c>
      <c r="N3339">
        <f>IFERROR(VLOOKUP(A3339,vlookup_table!$A:$G,2,FALSE),"")</f>
        <v>0</v>
      </c>
      <c r="O3339">
        <f>IFERROR(VLOOKUP(A3339,vlookup_table!$A:$G,4,FALSE),"")</f>
        <v>5208</v>
      </c>
      <c r="P3339" t="str">
        <f>IFERROR(VLOOKUP(A3339,vlookup_table!$A:$G,5,FALSE),"")</f>
        <v>S3</v>
      </c>
      <c r="Q3339">
        <f>IFERROR(VLOOKUP(A3339,vlookup_table!$A:$G,7,FALSE),"")</f>
        <v>18</v>
      </c>
      <c r="R3339">
        <f t="shared" si="208"/>
        <v>45</v>
      </c>
      <c r="S3339" t="str" cm="1">
        <f t="array" ref="S3339">IF(P3339="","",_xlfn.SWITCH(LEFT(P3339,1),"C","Ciudad","T","Pueblo","R","Rural","S","Suburbano","U","Urbano",""))</f>
        <v>Suburbano</v>
      </c>
      <c r="T3339" t="str">
        <f t="shared" si="209"/>
        <v>U</v>
      </c>
      <c r="U3339" t="str">
        <f t="shared" si="210"/>
        <v>IL</v>
      </c>
      <c r="V3339" t="str">
        <f t="shared" si="211"/>
        <v>12461</v>
      </c>
    </row>
    <row r="3340" spans="1:22" x14ac:dyDescent="0.35">
      <c r="A3340" s="3">
        <v>127759</v>
      </c>
      <c r="B3340" t="s">
        <v>21</v>
      </c>
      <c r="C3340" t="s">
        <v>14</v>
      </c>
      <c r="D3340">
        <v>304</v>
      </c>
      <c r="E3340">
        <v>249</v>
      </c>
      <c r="F3340">
        <v>297</v>
      </c>
      <c r="G3340">
        <v>0</v>
      </c>
      <c r="H3340">
        <v>9565</v>
      </c>
      <c r="I3340">
        <v>5</v>
      </c>
      <c r="J3340">
        <v>61</v>
      </c>
      <c r="K3340">
        <v>260</v>
      </c>
      <c r="L3340">
        <v>281</v>
      </c>
      <c r="M3340">
        <v>5.8</v>
      </c>
      <c r="N3340">
        <f>IFERROR(VLOOKUP(A3340,vlookup_table!$A:$G,2,FALSE),"")</f>
        <v>1</v>
      </c>
      <c r="O3340">
        <f>IFERROR(VLOOKUP(A3340,vlookup_table!$A:$G,4,FALSE),"")</f>
        <v>801</v>
      </c>
      <c r="P3340" t="str">
        <f>IFERROR(VLOOKUP(A3340,vlookup_table!$A:$G,5,FALSE),"")</f>
        <v>T2</v>
      </c>
      <c r="Q3340">
        <f>IFERROR(VLOOKUP(A3340,vlookup_table!$A:$G,7,FALSE),"")</f>
        <v>6</v>
      </c>
      <c r="R3340">
        <f t="shared" si="208"/>
        <v>89</v>
      </c>
      <c r="S3340" t="str" cm="1">
        <f t="array" ref="S3340">IF(P3340="","",_xlfn.SWITCH(LEFT(P3340,1),"C","Ciudad","T","Pueblo","R","Rural","S","Suburbano","U","Urbano",""))</f>
        <v>Pueblo</v>
      </c>
      <c r="T3340" t="str">
        <f t="shared" si="209"/>
        <v>M</v>
      </c>
      <c r="U3340" t="str">
        <f t="shared" si="210"/>
        <v>TX</v>
      </c>
      <c r="V3340" t="str">
        <f t="shared" si="211"/>
        <v>9565</v>
      </c>
    </row>
    <row r="3341" spans="1:22" x14ac:dyDescent="0.35">
      <c r="A3341" s="3">
        <v>190666</v>
      </c>
      <c r="B3341" t="s">
        <v>22</v>
      </c>
      <c r="C3341" t="s">
        <v>14</v>
      </c>
      <c r="D3341">
        <v>1202</v>
      </c>
      <c r="E3341">
        <v>256</v>
      </c>
      <c r="F3341">
        <v>325</v>
      </c>
      <c r="G3341">
        <v>4</v>
      </c>
      <c r="H3341">
        <v>14662</v>
      </c>
      <c r="I3341">
        <v>11</v>
      </c>
      <c r="J3341">
        <v>56</v>
      </c>
      <c r="K3341">
        <v>281</v>
      </c>
      <c r="L3341">
        <v>308</v>
      </c>
      <c r="M3341">
        <v>8.6111111109999996</v>
      </c>
      <c r="N3341">
        <f>IFERROR(VLOOKUP(A3341,vlookup_table!$A:$G,2,FALSE),"")</f>
        <v>1</v>
      </c>
      <c r="O3341">
        <f>IFERROR(VLOOKUP(A3341,vlookup_table!$A:$G,4,FALSE),"")</f>
        <v>4812</v>
      </c>
      <c r="P3341" t="str">
        <f>IFERROR(VLOOKUP(A3341,vlookup_table!$A:$G,5,FALSE),"")</f>
        <v>T2</v>
      </c>
      <c r="Q3341">
        <f>IFERROR(VLOOKUP(A3341,vlookup_table!$A:$G,7,FALSE),"")</f>
        <v>13</v>
      </c>
      <c r="R3341">
        <f t="shared" si="208"/>
        <v>49</v>
      </c>
      <c r="S3341" t="str" cm="1">
        <f t="array" ref="S3341">IF(P3341="","",_xlfn.SWITCH(LEFT(P3341,1),"C","Ciudad","T","Pueblo","R","Rural","S","Suburbano","U","Urbano",""))</f>
        <v>Pueblo</v>
      </c>
      <c r="T3341" t="str">
        <f t="shared" si="209"/>
        <v>M</v>
      </c>
      <c r="U3341" t="str">
        <f t="shared" si="210"/>
        <v>CA</v>
      </c>
      <c r="V3341" t="str">
        <f t="shared" si="211"/>
        <v>14662</v>
      </c>
    </row>
    <row r="3342" spans="1:22" x14ac:dyDescent="0.35">
      <c r="A3342" s="3">
        <v>90894</v>
      </c>
      <c r="B3342" t="s">
        <v>16</v>
      </c>
      <c r="D3342">
        <v>827</v>
      </c>
      <c r="E3342">
        <v>369</v>
      </c>
      <c r="F3342">
        <v>430</v>
      </c>
      <c r="G3342">
        <v>1</v>
      </c>
      <c r="H3342">
        <v>14536</v>
      </c>
      <c r="I3342">
        <v>1</v>
      </c>
      <c r="J3342">
        <v>79</v>
      </c>
      <c r="K3342">
        <v>415</v>
      </c>
      <c r="L3342">
        <v>386</v>
      </c>
      <c r="M3342">
        <v>4.4736842110000001</v>
      </c>
      <c r="N3342">
        <f>IFERROR(VLOOKUP(A3342,vlookup_table!$A:$G,2,FALSE),"")</f>
        <v>0</v>
      </c>
      <c r="O3342">
        <f>IFERROR(VLOOKUP(A3342,vlookup_table!$A:$G,4,FALSE),"")</f>
        <v>0</v>
      </c>
      <c r="P3342" t="str">
        <f>IFERROR(VLOOKUP(A3342,vlookup_table!$A:$G,5,FALSE),"")</f>
        <v>S2</v>
      </c>
      <c r="Q3342">
        <f>IFERROR(VLOOKUP(A3342,vlookup_table!$A:$G,7,FALSE),"")</f>
        <v>4</v>
      </c>
      <c r="R3342">
        <f t="shared" si="208"/>
        <v>97</v>
      </c>
      <c r="S3342" t="str" cm="1">
        <f t="array" ref="S3342">IF(P3342="","",_xlfn.SWITCH(LEFT(P3342,1),"C","Ciudad","T","Pueblo","R","Rural","S","Suburbano","U","Urbano",""))</f>
        <v>Suburbano</v>
      </c>
      <c r="T3342" t="str">
        <f t="shared" si="209"/>
        <v/>
      </c>
      <c r="U3342" t="str">
        <f t="shared" si="210"/>
        <v>IL</v>
      </c>
      <c r="V3342" t="str">
        <f t="shared" si="211"/>
        <v>14536</v>
      </c>
    </row>
    <row r="3343" spans="1:22" x14ac:dyDescent="0.35">
      <c r="A3343" s="3">
        <v>160275</v>
      </c>
      <c r="B3343" t="s">
        <v>22</v>
      </c>
      <c r="C3343" t="s">
        <v>17</v>
      </c>
      <c r="D3343">
        <v>1585</v>
      </c>
      <c r="E3343">
        <v>331</v>
      </c>
      <c r="F3343">
        <v>405</v>
      </c>
      <c r="G3343">
        <v>18</v>
      </c>
      <c r="H3343">
        <v>14925</v>
      </c>
      <c r="I3343">
        <v>11</v>
      </c>
      <c r="J3343">
        <v>50</v>
      </c>
      <c r="K3343">
        <v>358</v>
      </c>
      <c r="L3343">
        <v>373</v>
      </c>
      <c r="M3343">
        <v>20</v>
      </c>
      <c r="N3343">
        <f>IFERROR(VLOOKUP(A3343,vlookup_table!$A:$G,2,FALSE),"")</f>
        <v>28</v>
      </c>
      <c r="O3343">
        <f>IFERROR(VLOOKUP(A3343,vlookup_table!$A:$G,4,FALSE),"")</f>
        <v>6801</v>
      </c>
      <c r="P3343" t="str">
        <f>IFERROR(VLOOKUP(A3343,vlookup_table!$A:$G,5,FALSE),"")</f>
        <v>C2</v>
      </c>
      <c r="Q3343">
        <f>IFERROR(VLOOKUP(A3343,vlookup_table!$A:$G,7,FALSE),"")</f>
        <v>5</v>
      </c>
      <c r="R3343">
        <f t="shared" si="208"/>
        <v>29</v>
      </c>
      <c r="S3343" t="str" cm="1">
        <f t="array" ref="S3343">IF(P3343="","",_xlfn.SWITCH(LEFT(P3343,1),"C","Ciudad","T","Pueblo","R","Rural","S","Suburbano","U","Urbano",""))</f>
        <v>Ciudad</v>
      </c>
      <c r="T3343" t="str">
        <f t="shared" si="209"/>
        <v>F</v>
      </c>
      <c r="U3343" t="str">
        <f t="shared" si="210"/>
        <v>CA</v>
      </c>
      <c r="V3343" t="str">
        <f t="shared" si="211"/>
        <v>14925</v>
      </c>
    </row>
    <row r="3344" spans="1:22" x14ac:dyDescent="0.35">
      <c r="A3344" s="3">
        <v>184723</v>
      </c>
      <c r="B3344" t="s">
        <v>70</v>
      </c>
      <c r="C3344" t="s">
        <v>27</v>
      </c>
      <c r="D3344">
        <v>1037</v>
      </c>
      <c r="E3344">
        <v>472</v>
      </c>
      <c r="F3344">
        <v>568</v>
      </c>
      <c r="G3344">
        <v>3</v>
      </c>
      <c r="H3344">
        <v>17888</v>
      </c>
      <c r="I3344">
        <v>2</v>
      </c>
      <c r="J3344">
        <v>30</v>
      </c>
      <c r="K3344">
        <v>513</v>
      </c>
      <c r="L3344">
        <v>533</v>
      </c>
      <c r="M3344">
        <v>16.25</v>
      </c>
      <c r="N3344">
        <f>IFERROR(VLOOKUP(A3344,vlookup_table!$A:$G,2,FALSE),"")</f>
        <v>1</v>
      </c>
      <c r="O3344">
        <f>IFERROR(VLOOKUP(A3344,vlookup_table!$A:$G,4,FALSE),"")</f>
        <v>6901</v>
      </c>
      <c r="P3344" t="str">
        <f>IFERROR(VLOOKUP(A3344,vlookup_table!$A:$G,5,FALSE),"")</f>
        <v>T2</v>
      </c>
      <c r="Q3344">
        <f>IFERROR(VLOOKUP(A3344,vlookup_table!$A:$G,7,FALSE),"")</f>
        <v>10</v>
      </c>
      <c r="R3344">
        <f t="shared" si="208"/>
        <v>28</v>
      </c>
      <c r="S3344" t="str" cm="1">
        <f t="array" ref="S3344">IF(P3344="","",_xlfn.SWITCH(LEFT(P3344,1),"C","Ciudad","T","Pueblo","R","Rural","S","Suburbano","U","Urbano",""))</f>
        <v>Pueblo</v>
      </c>
      <c r="T3344" t="str">
        <f t="shared" si="209"/>
        <v>M</v>
      </c>
      <c r="U3344" t="str">
        <f t="shared" si="210"/>
        <v>AK</v>
      </c>
      <c r="V3344" t="str">
        <f t="shared" si="211"/>
        <v>17888</v>
      </c>
    </row>
    <row r="3345" spans="1:22" x14ac:dyDescent="0.35">
      <c r="A3345" s="3">
        <v>52548</v>
      </c>
      <c r="B3345" t="s">
        <v>53</v>
      </c>
      <c r="C3345" t="s">
        <v>14</v>
      </c>
      <c r="D3345">
        <v>457</v>
      </c>
      <c r="E3345">
        <v>203</v>
      </c>
      <c r="F3345">
        <v>316</v>
      </c>
      <c r="G3345">
        <v>1</v>
      </c>
      <c r="H3345">
        <v>10766</v>
      </c>
      <c r="I3345">
        <v>0</v>
      </c>
      <c r="J3345">
        <v>82</v>
      </c>
      <c r="K3345">
        <v>270</v>
      </c>
      <c r="L3345">
        <v>256</v>
      </c>
      <c r="M3345">
        <v>13.57142857</v>
      </c>
      <c r="N3345">
        <f>IFERROR(VLOOKUP(A3345,vlookup_table!$A:$G,2,FALSE),"")</f>
        <v>0</v>
      </c>
      <c r="O3345">
        <f>IFERROR(VLOOKUP(A3345,vlookup_table!$A:$G,4,FALSE),"")</f>
        <v>3703</v>
      </c>
      <c r="P3345" t="str">
        <f>IFERROR(VLOOKUP(A3345,vlookup_table!$A:$G,5,FALSE),"")</f>
        <v>R2</v>
      </c>
      <c r="Q3345">
        <f>IFERROR(VLOOKUP(A3345,vlookup_table!$A:$G,7,FALSE),"")</f>
        <v>14</v>
      </c>
      <c r="R3345">
        <f t="shared" si="208"/>
        <v>60</v>
      </c>
      <c r="S3345" t="str" cm="1">
        <f t="array" ref="S3345">IF(P3345="","",_xlfn.SWITCH(LEFT(P3345,1),"C","Ciudad","T","Pueblo","R","Rural","S","Suburbano","U","Urbano",""))</f>
        <v>Rural</v>
      </c>
      <c r="T3345" t="str">
        <f t="shared" si="209"/>
        <v>M</v>
      </c>
      <c r="U3345" t="str">
        <f t="shared" si="210"/>
        <v>TN</v>
      </c>
      <c r="V3345" t="str">
        <f t="shared" si="211"/>
        <v>10766</v>
      </c>
    </row>
    <row r="3346" spans="1:22" x14ac:dyDescent="0.35">
      <c r="A3346" s="3">
        <v>158813</v>
      </c>
      <c r="B3346" t="s">
        <v>22</v>
      </c>
      <c r="C3346" t="s">
        <v>14</v>
      </c>
      <c r="D3346">
        <v>2279</v>
      </c>
      <c r="E3346">
        <v>429</v>
      </c>
      <c r="F3346">
        <v>520</v>
      </c>
      <c r="G3346">
        <v>84</v>
      </c>
      <c r="H3346">
        <v>25286</v>
      </c>
      <c r="I3346">
        <v>8</v>
      </c>
      <c r="J3346">
        <v>34</v>
      </c>
      <c r="K3346">
        <v>463</v>
      </c>
      <c r="L3346">
        <v>491</v>
      </c>
      <c r="M3346">
        <v>9.5</v>
      </c>
      <c r="N3346">
        <f>IFERROR(VLOOKUP(A3346,vlookup_table!$A:$G,2,FALSE),"")</f>
        <v>1</v>
      </c>
      <c r="O3346">
        <f>IFERROR(VLOOKUP(A3346,vlookup_table!$A:$G,4,FALSE),"")</f>
        <v>1710</v>
      </c>
      <c r="P3346" t="str">
        <f>IFERROR(VLOOKUP(A3346,vlookup_table!$A:$G,5,FALSE),"")</f>
        <v>C1</v>
      </c>
      <c r="Q3346">
        <f>IFERROR(VLOOKUP(A3346,vlookup_table!$A:$G,7,FALSE),"")</f>
        <v>10</v>
      </c>
      <c r="R3346">
        <f t="shared" si="208"/>
        <v>80</v>
      </c>
      <c r="S3346" t="str" cm="1">
        <f t="array" ref="S3346">IF(P3346="","",_xlfn.SWITCH(LEFT(P3346,1),"C","Ciudad","T","Pueblo","R","Rural","S","Suburbano","U","Urbano",""))</f>
        <v>Ciudad</v>
      </c>
      <c r="T3346" t="str">
        <f t="shared" si="209"/>
        <v>M</v>
      </c>
      <c r="U3346" t="str">
        <f t="shared" si="210"/>
        <v>CA</v>
      </c>
      <c r="V3346" t="str">
        <f t="shared" si="211"/>
        <v>25286</v>
      </c>
    </row>
    <row r="3347" spans="1:22" x14ac:dyDescent="0.35">
      <c r="A3347" s="3">
        <v>73008</v>
      </c>
      <c r="B3347" t="s">
        <v>29</v>
      </c>
      <c r="C3347" t="s">
        <v>17</v>
      </c>
      <c r="D3347">
        <v>587</v>
      </c>
      <c r="E3347">
        <v>305</v>
      </c>
      <c r="F3347">
        <v>345</v>
      </c>
      <c r="G3347">
        <v>0</v>
      </c>
      <c r="H3347">
        <v>10907</v>
      </c>
      <c r="I3347">
        <v>1</v>
      </c>
      <c r="J3347">
        <v>91</v>
      </c>
      <c r="K3347">
        <v>325</v>
      </c>
      <c r="L3347">
        <v>316</v>
      </c>
      <c r="M3347">
        <v>8.2142857140000007</v>
      </c>
      <c r="N3347">
        <f>IFERROR(VLOOKUP(A3347,vlookup_table!$A:$G,2,FALSE),"")</f>
        <v>2</v>
      </c>
      <c r="O3347">
        <f>IFERROR(VLOOKUP(A3347,vlookup_table!$A:$G,4,FALSE),"")</f>
        <v>5205</v>
      </c>
      <c r="P3347" t="str">
        <f>IFERROR(VLOOKUP(A3347,vlookup_table!$A:$G,5,FALSE),"")</f>
        <v>R2</v>
      </c>
      <c r="Q3347">
        <f>IFERROR(VLOOKUP(A3347,vlookup_table!$A:$G,7,FALSE),"")</f>
        <v>12</v>
      </c>
      <c r="R3347">
        <f t="shared" si="208"/>
        <v>45</v>
      </c>
      <c r="S3347" t="str" cm="1">
        <f t="array" ref="S3347">IF(P3347="","",_xlfn.SWITCH(LEFT(P3347,1),"C","Ciudad","T","Pueblo","R","Rural","S","Suburbano","U","Urbano",""))</f>
        <v>Rural</v>
      </c>
      <c r="T3347" t="str">
        <f t="shared" si="209"/>
        <v>F</v>
      </c>
      <c r="U3347" t="str">
        <f t="shared" si="210"/>
        <v>MI</v>
      </c>
      <c r="V3347" t="str">
        <f t="shared" si="211"/>
        <v>10907</v>
      </c>
    </row>
    <row r="3348" spans="1:22" x14ac:dyDescent="0.35">
      <c r="A3348" s="3">
        <v>105144</v>
      </c>
      <c r="B3348" t="s">
        <v>28</v>
      </c>
      <c r="C3348" t="s">
        <v>17</v>
      </c>
      <c r="D3348">
        <v>424</v>
      </c>
      <c r="E3348">
        <v>192</v>
      </c>
      <c r="F3348">
        <v>298</v>
      </c>
      <c r="G3348">
        <v>0</v>
      </c>
      <c r="H3348">
        <v>9813</v>
      </c>
      <c r="I3348">
        <v>1</v>
      </c>
      <c r="J3348">
        <v>77</v>
      </c>
      <c r="K3348">
        <v>244</v>
      </c>
      <c r="L3348">
        <v>236</v>
      </c>
      <c r="M3348">
        <v>4</v>
      </c>
      <c r="N3348">
        <f>IFERROR(VLOOKUP(A3348,vlookup_table!$A:$G,2,FALSE),"")</f>
        <v>0</v>
      </c>
      <c r="O3348">
        <f>IFERROR(VLOOKUP(A3348,vlookup_table!$A:$G,4,FALSE),"")</f>
        <v>0</v>
      </c>
      <c r="P3348" t="str">
        <f>IFERROR(VLOOKUP(A3348,vlookup_table!$A:$G,5,FALSE),"")</f>
        <v>C3</v>
      </c>
      <c r="Q3348">
        <f>IFERROR(VLOOKUP(A3348,vlookup_table!$A:$G,7,FALSE),"")</f>
        <v>3</v>
      </c>
      <c r="R3348">
        <f t="shared" si="208"/>
        <v>97</v>
      </c>
      <c r="S3348" t="str" cm="1">
        <f t="array" ref="S3348">IF(P3348="","",_xlfn.SWITCH(LEFT(P3348,1),"C","Ciudad","T","Pueblo","R","Rural","S","Suburbano","U","Urbano",""))</f>
        <v>Ciudad</v>
      </c>
      <c r="T3348" t="str">
        <f t="shared" si="209"/>
        <v>F</v>
      </c>
      <c r="U3348" t="str">
        <f t="shared" si="210"/>
        <v>KS</v>
      </c>
      <c r="V3348" t="str">
        <f t="shared" si="211"/>
        <v>9813</v>
      </c>
    </row>
    <row r="3349" spans="1:22" x14ac:dyDescent="0.35">
      <c r="A3349" s="3">
        <v>52132</v>
      </c>
      <c r="B3349" t="s">
        <v>53</v>
      </c>
      <c r="C3349" t="s">
        <v>17</v>
      </c>
      <c r="D3349">
        <v>397</v>
      </c>
      <c r="E3349">
        <v>271</v>
      </c>
      <c r="F3349">
        <v>292</v>
      </c>
      <c r="G3349">
        <v>0</v>
      </c>
      <c r="H3349">
        <v>9937</v>
      </c>
      <c r="I3349">
        <v>0</v>
      </c>
      <c r="J3349">
        <v>89</v>
      </c>
      <c r="K3349">
        <v>293</v>
      </c>
      <c r="L3349">
        <v>270</v>
      </c>
      <c r="M3349">
        <v>6.8571428570000004</v>
      </c>
      <c r="N3349">
        <f>IFERROR(VLOOKUP(A3349,vlookup_table!$A:$G,2,FALSE),"")</f>
        <v>0</v>
      </c>
      <c r="O3349">
        <f>IFERROR(VLOOKUP(A3349,vlookup_table!$A:$G,4,FALSE),"")</f>
        <v>0</v>
      </c>
      <c r="P3349">
        <f>IFERROR(VLOOKUP(A3349,vlookup_table!$A:$G,5,FALSE),"")</f>
        <v>0</v>
      </c>
      <c r="Q3349">
        <f>IFERROR(VLOOKUP(A3349,vlookup_table!$A:$G,7,FALSE),"")</f>
        <v>7</v>
      </c>
      <c r="R3349">
        <f t="shared" si="208"/>
        <v>97</v>
      </c>
      <c r="S3349" t="str" cm="1">
        <f t="array" ref="S3349">IF(P3349="","",_xlfn.SWITCH(LEFT(P3349,1),"C","Ciudad","T","Pueblo","R","Rural","S","Suburbano","U","Urbano",""))</f>
        <v/>
      </c>
      <c r="T3349" t="str">
        <f t="shared" si="209"/>
        <v>F</v>
      </c>
      <c r="U3349" t="str">
        <f t="shared" si="210"/>
        <v>TN</v>
      </c>
      <c r="V3349" t="str">
        <f t="shared" si="211"/>
        <v>9937</v>
      </c>
    </row>
    <row r="3350" spans="1:22" x14ac:dyDescent="0.35">
      <c r="A3350" s="3">
        <v>12474</v>
      </c>
      <c r="B3350" t="s">
        <v>13</v>
      </c>
      <c r="C3350" t="s">
        <v>17</v>
      </c>
      <c r="D3350">
        <v>739</v>
      </c>
      <c r="E3350">
        <v>340</v>
      </c>
      <c r="F3350">
        <v>348</v>
      </c>
      <c r="G3350">
        <v>0</v>
      </c>
      <c r="H3350">
        <v>12436</v>
      </c>
      <c r="I3350">
        <v>2</v>
      </c>
      <c r="J3350">
        <v>34</v>
      </c>
      <c r="K3350">
        <v>347</v>
      </c>
      <c r="L3350">
        <v>339</v>
      </c>
      <c r="M3350">
        <v>8</v>
      </c>
      <c r="N3350">
        <f>IFERROR(VLOOKUP(A3350,vlookup_table!$A:$G,2,FALSE),"")</f>
        <v>1</v>
      </c>
      <c r="O3350">
        <f>IFERROR(VLOOKUP(A3350,vlookup_table!$A:$G,4,FALSE),"")</f>
        <v>2307</v>
      </c>
      <c r="P3350" t="str">
        <f>IFERROR(VLOOKUP(A3350,vlookup_table!$A:$G,5,FALSE),"")</f>
        <v>T2</v>
      </c>
      <c r="Q3350">
        <f>IFERROR(VLOOKUP(A3350,vlookup_table!$A:$G,7,FALSE),"")</f>
        <v>10</v>
      </c>
      <c r="R3350">
        <f t="shared" si="208"/>
        <v>74</v>
      </c>
      <c r="S3350" t="str" cm="1">
        <f t="array" ref="S3350">IF(P3350="","",_xlfn.SWITCH(LEFT(P3350,1),"C","Ciudad","T","Pueblo","R","Rural","S","Suburbano","U","Urbano",""))</f>
        <v>Pueblo</v>
      </c>
      <c r="T3350" t="str">
        <f t="shared" si="209"/>
        <v>F</v>
      </c>
      <c r="U3350" t="str">
        <f t="shared" si="210"/>
        <v>FL</v>
      </c>
      <c r="V3350" t="str">
        <f t="shared" si="211"/>
        <v>12436</v>
      </c>
    </row>
    <row r="3351" spans="1:22" x14ac:dyDescent="0.35">
      <c r="A3351" s="3">
        <v>160425</v>
      </c>
      <c r="B3351" t="s">
        <v>22</v>
      </c>
      <c r="C3351" t="s">
        <v>30</v>
      </c>
      <c r="D3351">
        <v>1135</v>
      </c>
      <c r="E3351">
        <v>265</v>
      </c>
      <c r="F3351">
        <v>324</v>
      </c>
      <c r="G3351">
        <v>5</v>
      </c>
      <c r="H3351">
        <v>11259</v>
      </c>
      <c r="I3351">
        <v>10</v>
      </c>
      <c r="J3351">
        <v>53</v>
      </c>
      <c r="K3351">
        <v>299</v>
      </c>
      <c r="L3351">
        <v>306</v>
      </c>
      <c r="M3351">
        <v>9.923076923</v>
      </c>
      <c r="N3351">
        <f>IFERROR(VLOOKUP(A3351,vlookup_table!$A:$G,2,FALSE),"")</f>
        <v>0</v>
      </c>
      <c r="O3351">
        <f>IFERROR(VLOOKUP(A3351,vlookup_table!$A:$G,4,FALSE),"")</f>
        <v>2601</v>
      </c>
      <c r="P3351" t="str">
        <f>IFERROR(VLOOKUP(A3351,vlookup_table!$A:$G,5,FALSE),"")</f>
        <v>T2</v>
      </c>
      <c r="Q3351">
        <f>IFERROR(VLOOKUP(A3351,vlookup_table!$A:$G,7,FALSE),"")</f>
        <v>12</v>
      </c>
      <c r="R3351">
        <f t="shared" si="208"/>
        <v>71</v>
      </c>
      <c r="S3351" t="str" cm="1">
        <f t="array" ref="S3351">IF(P3351="","",_xlfn.SWITCH(LEFT(P3351,1),"C","Ciudad","T","Pueblo","R","Rural","S","Suburbano","U","Urbano",""))</f>
        <v>Pueblo</v>
      </c>
      <c r="T3351" t="str">
        <f t="shared" si="209"/>
        <v>U</v>
      </c>
      <c r="U3351" t="str">
        <f t="shared" si="210"/>
        <v>CA</v>
      </c>
      <c r="V3351" t="str">
        <f t="shared" si="211"/>
        <v>11259</v>
      </c>
    </row>
    <row r="3352" spans="1:22" x14ac:dyDescent="0.35">
      <c r="A3352" s="3">
        <v>175112</v>
      </c>
      <c r="B3352" t="s">
        <v>22</v>
      </c>
      <c r="C3352" t="s">
        <v>17</v>
      </c>
      <c r="D3352">
        <v>3018</v>
      </c>
      <c r="E3352">
        <v>728</v>
      </c>
      <c r="F3352">
        <v>757</v>
      </c>
      <c r="G3352">
        <v>96</v>
      </c>
      <c r="H3352">
        <v>21525</v>
      </c>
      <c r="I3352">
        <v>20</v>
      </c>
      <c r="J3352">
        <v>45</v>
      </c>
      <c r="K3352">
        <v>749</v>
      </c>
      <c r="L3352">
        <v>749</v>
      </c>
      <c r="M3352">
        <v>20</v>
      </c>
      <c r="N3352">
        <f>IFERROR(VLOOKUP(A3352,vlookup_table!$A:$G,2,FALSE),"")</f>
        <v>0</v>
      </c>
      <c r="O3352">
        <f>IFERROR(VLOOKUP(A3352,vlookup_table!$A:$G,4,FALSE),"")</f>
        <v>5701</v>
      </c>
      <c r="P3352" t="str">
        <f>IFERROR(VLOOKUP(A3352,vlookup_table!$A:$G,5,FALSE),"")</f>
        <v>T2</v>
      </c>
      <c r="Q3352">
        <f>IFERROR(VLOOKUP(A3352,vlookup_table!$A:$G,7,FALSE),"")</f>
        <v>20</v>
      </c>
      <c r="R3352">
        <f t="shared" si="208"/>
        <v>40</v>
      </c>
      <c r="S3352" t="str" cm="1">
        <f t="array" ref="S3352">IF(P3352="","",_xlfn.SWITCH(LEFT(P3352,1),"C","Ciudad","T","Pueblo","R","Rural","S","Suburbano","U","Urbano",""))</f>
        <v>Pueblo</v>
      </c>
      <c r="T3352" t="str">
        <f t="shared" si="209"/>
        <v>F</v>
      </c>
      <c r="U3352" t="str">
        <f t="shared" si="210"/>
        <v>CA</v>
      </c>
      <c r="V3352" t="str">
        <f t="shared" si="211"/>
        <v>21525</v>
      </c>
    </row>
    <row r="3353" spans="1:22" x14ac:dyDescent="0.35">
      <c r="A3353" s="3">
        <v>51382</v>
      </c>
      <c r="B3353" t="s">
        <v>53</v>
      </c>
      <c r="C3353" t="s">
        <v>14</v>
      </c>
      <c r="D3353">
        <v>688</v>
      </c>
      <c r="E3353">
        <v>311</v>
      </c>
      <c r="F3353">
        <v>377</v>
      </c>
      <c r="G3353">
        <v>0</v>
      </c>
      <c r="H3353">
        <v>11395</v>
      </c>
      <c r="I3353">
        <v>1</v>
      </c>
      <c r="J3353">
        <v>69</v>
      </c>
      <c r="K3353">
        <v>364</v>
      </c>
      <c r="L3353">
        <v>335</v>
      </c>
      <c r="M3353">
        <v>10.66666667</v>
      </c>
      <c r="N3353">
        <f>IFERROR(VLOOKUP(A3353,vlookup_table!$A:$G,2,FALSE),"")</f>
        <v>1</v>
      </c>
      <c r="O3353">
        <f>IFERROR(VLOOKUP(A3353,vlookup_table!$A:$G,4,FALSE),"")</f>
        <v>0</v>
      </c>
      <c r="P3353" t="str">
        <f>IFERROR(VLOOKUP(A3353,vlookup_table!$A:$G,5,FALSE),"")</f>
        <v>T2</v>
      </c>
      <c r="Q3353">
        <f>IFERROR(VLOOKUP(A3353,vlookup_table!$A:$G,7,FALSE),"")</f>
        <v>25</v>
      </c>
      <c r="R3353">
        <f t="shared" si="208"/>
        <v>97</v>
      </c>
      <c r="S3353" t="str" cm="1">
        <f t="array" ref="S3353">IF(P3353="","",_xlfn.SWITCH(LEFT(P3353,1),"C","Ciudad","T","Pueblo","R","Rural","S","Suburbano","U","Urbano",""))</f>
        <v>Pueblo</v>
      </c>
      <c r="T3353" t="str">
        <f t="shared" si="209"/>
        <v>M</v>
      </c>
      <c r="U3353" t="str">
        <f t="shared" si="210"/>
        <v>TN</v>
      </c>
      <c r="V3353" t="str">
        <f t="shared" si="211"/>
        <v>11395</v>
      </c>
    </row>
    <row r="3354" spans="1:22" x14ac:dyDescent="0.35">
      <c r="A3354" s="3">
        <v>146153</v>
      </c>
      <c r="B3354" t="s">
        <v>22</v>
      </c>
      <c r="C3354" t="s">
        <v>17</v>
      </c>
      <c r="D3354">
        <v>1442</v>
      </c>
      <c r="E3354">
        <v>293</v>
      </c>
      <c r="F3354">
        <v>368</v>
      </c>
      <c r="G3354">
        <v>16</v>
      </c>
      <c r="H3354">
        <v>10759</v>
      </c>
      <c r="I3354">
        <v>36</v>
      </c>
      <c r="J3354">
        <v>46</v>
      </c>
      <c r="K3354">
        <v>321</v>
      </c>
      <c r="L3354">
        <v>333</v>
      </c>
      <c r="M3354">
        <v>18.25</v>
      </c>
      <c r="N3354">
        <f>IFERROR(VLOOKUP(A3354,vlookup_table!$A:$G,2,FALSE),"")</f>
        <v>0</v>
      </c>
      <c r="O3354">
        <f>IFERROR(VLOOKUP(A3354,vlookup_table!$A:$G,4,FALSE),"")</f>
        <v>3210</v>
      </c>
      <c r="P3354" t="str">
        <f>IFERROR(VLOOKUP(A3354,vlookup_table!$A:$G,5,FALSE),"")</f>
        <v>U3</v>
      </c>
      <c r="Q3354">
        <f>IFERROR(VLOOKUP(A3354,vlookup_table!$A:$G,7,FALSE),"")</f>
        <v>44</v>
      </c>
      <c r="R3354">
        <f t="shared" si="208"/>
        <v>65</v>
      </c>
      <c r="S3354" t="str" cm="1">
        <f t="array" ref="S3354">IF(P3354="","",_xlfn.SWITCH(LEFT(P3354,1),"C","Ciudad","T","Pueblo","R","Rural","S","Suburbano","U","Urbano",""))</f>
        <v>Urbano</v>
      </c>
      <c r="T3354" t="str">
        <f t="shared" si="209"/>
        <v>F</v>
      </c>
      <c r="U3354" t="str">
        <f t="shared" si="210"/>
        <v>CA</v>
      </c>
      <c r="V3354" t="str">
        <f t="shared" si="211"/>
        <v>10759</v>
      </c>
    </row>
    <row r="3355" spans="1:22" x14ac:dyDescent="0.35">
      <c r="A3355" s="3">
        <v>133743</v>
      </c>
      <c r="B3355" t="s">
        <v>41</v>
      </c>
      <c r="C3355" t="s">
        <v>14</v>
      </c>
      <c r="D3355">
        <v>491</v>
      </c>
      <c r="E3355">
        <v>218</v>
      </c>
      <c r="F3355">
        <v>283</v>
      </c>
      <c r="G3355">
        <v>0</v>
      </c>
      <c r="H3355">
        <v>9606</v>
      </c>
      <c r="I3355">
        <v>2</v>
      </c>
      <c r="J3355">
        <v>40</v>
      </c>
      <c r="K3355">
        <v>255</v>
      </c>
      <c r="L3355">
        <v>248</v>
      </c>
      <c r="M3355">
        <v>8.25</v>
      </c>
      <c r="N3355">
        <f>IFERROR(VLOOKUP(A3355,vlookup_table!$A:$G,2,FALSE),"")</f>
        <v>1002</v>
      </c>
      <c r="O3355">
        <f>IFERROR(VLOOKUP(A3355,vlookup_table!$A:$G,4,FALSE),"")</f>
        <v>4401</v>
      </c>
      <c r="P3355" t="str">
        <f>IFERROR(VLOOKUP(A3355,vlookup_table!$A:$G,5,FALSE),"")</f>
        <v>R2</v>
      </c>
      <c r="Q3355">
        <f>IFERROR(VLOOKUP(A3355,vlookup_table!$A:$G,7,FALSE),"")</f>
        <v>20</v>
      </c>
      <c r="R3355">
        <f t="shared" si="208"/>
        <v>53</v>
      </c>
      <c r="S3355" t="str" cm="1">
        <f t="array" ref="S3355">IF(P3355="","",_xlfn.SWITCH(LEFT(P3355,1),"C","Ciudad","T","Pueblo","R","Rural","S","Suburbano","U","Urbano",""))</f>
        <v>Rural</v>
      </c>
      <c r="T3355" t="str">
        <f t="shared" si="209"/>
        <v>M</v>
      </c>
      <c r="U3355" t="str">
        <f t="shared" si="210"/>
        <v>ID</v>
      </c>
      <c r="V3355" t="str">
        <f t="shared" si="211"/>
        <v>9606</v>
      </c>
    </row>
    <row r="3356" spans="1:22" x14ac:dyDescent="0.35">
      <c r="A3356" s="3">
        <v>155602</v>
      </c>
      <c r="B3356" t="s">
        <v>22</v>
      </c>
      <c r="C3356" t="s">
        <v>14</v>
      </c>
      <c r="D3356">
        <v>1426</v>
      </c>
      <c r="E3356">
        <v>435</v>
      </c>
      <c r="F3356">
        <v>577</v>
      </c>
      <c r="G3356">
        <v>2</v>
      </c>
      <c r="H3356">
        <v>21462</v>
      </c>
      <c r="I3356">
        <v>4</v>
      </c>
      <c r="J3356">
        <v>51</v>
      </c>
      <c r="K3356">
        <v>534</v>
      </c>
      <c r="L3356">
        <v>509</v>
      </c>
      <c r="M3356">
        <v>20.14285714</v>
      </c>
      <c r="N3356">
        <f>IFERROR(VLOOKUP(A3356,vlookup_table!$A:$G,2,FALSE),"")</f>
        <v>1</v>
      </c>
      <c r="O3356">
        <f>IFERROR(VLOOKUP(A3356,vlookup_table!$A:$G,4,FALSE),"")</f>
        <v>2006</v>
      </c>
      <c r="P3356" t="str">
        <f>IFERROR(VLOOKUP(A3356,vlookup_table!$A:$G,5,FALSE),"")</f>
        <v>C1</v>
      </c>
      <c r="Q3356">
        <f>IFERROR(VLOOKUP(A3356,vlookup_table!$A:$G,7,FALSE),"")</f>
        <v>25</v>
      </c>
      <c r="R3356">
        <f t="shared" si="208"/>
        <v>77</v>
      </c>
      <c r="S3356" t="str" cm="1">
        <f t="array" ref="S3356">IF(P3356="","",_xlfn.SWITCH(LEFT(P3356,1),"C","Ciudad","T","Pueblo","R","Rural","S","Suburbano","U","Urbano",""))</f>
        <v>Ciudad</v>
      </c>
      <c r="T3356" t="str">
        <f t="shared" si="209"/>
        <v>M</v>
      </c>
      <c r="U3356" t="str">
        <f t="shared" si="210"/>
        <v>CA</v>
      </c>
      <c r="V3356" t="str">
        <f t="shared" si="211"/>
        <v>21462</v>
      </c>
    </row>
    <row r="3357" spans="1:22" x14ac:dyDescent="0.35">
      <c r="A3357" s="3">
        <v>149199</v>
      </c>
      <c r="B3357" t="s">
        <v>22</v>
      </c>
      <c r="C3357" t="s">
        <v>14</v>
      </c>
      <c r="D3357">
        <v>2667</v>
      </c>
      <c r="E3357">
        <v>481</v>
      </c>
      <c r="F3357">
        <v>671</v>
      </c>
      <c r="G3357">
        <v>89</v>
      </c>
      <c r="H3357">
        <v>23903</v>
      </c>
      <c r="I3357">
        <v>28</v>
      </c>
      <c r="J3357">
        <v>36</v>
      </c>
      <c r="K3357">
        <v>577</v>
      </c>
      <c r="L3357">
        <v>579</v>
      </c>
      <c r="M3357">
        <v>7.6666666670000003</v>
      </c>
      <c r="N3357">
        <f>IFERROR(VLOOKUP(A3357,vlookup_table!$A:$G,2,FALSE),"")</f>
        <v>0</v>
      </c>
      <c r="O3357">
        <f>IFERROR(VLOOKUP(A3357,vlookup_table!$A:$G,4,FALSE),"")</f>
        <v>0</v>
      </c>
      <c r="P3357" t="str">
        <f>IFERROR(VLOOKUP(A3357,vlookup_table!$A:$G,5,FALSE),"")</f>
        <v>U1</v>
      </c>
      <c r="Q3357">
        <f>IFERROR(VLOOKUP(A3357,vlookup_table!$A:$G,7,FALSE),"")</f>
        <v>15</v>
      </c>
      <c r="R3357">
        <f t="shared" si="208"/>
        <v>97</v>
      </c>
      <c r="S3357" t="str" cm="1">
        <f t="array" ref="S3357">IF(P3357="","",_xlfn.SWITCH(LEFT(P3357,1),"C","Ciudad","T","Pueblo","R","Rural","S","Suburbano","U","Urbano",""))</f>
        <v>Urbano</v>
      </c>
      <c r="T3357" t="str">
        <f t="shared" si="209"/>
        <v>M</v>
      </c>
      <c r="U3357" t="str">
        <f t="shared" si="210"/>
        <v>CA</v>
      </c>
      <c r="V3357" t="str">
        <f t="shared" si="211"/>
        <v>23903</v>
      </c>
    </row>
    <row r="3358" spans="1:22" x14ac:dyDescent="0.35">
      <c r="A3358" s="3">
        <v>124514</v>
      </c>
      <c r="B3358" t="s">
        <v>21</v>
      </c>
      <c r="C3358" t="s">
        <v>17</v>
      </c>
      <c r="D3358">
        <v>575</v>
      </c>
      <c r="E3358">
        <v>425</v>
      </c>
      <c r="F3358">
        <v>451</v>
      </c>
      <c r="G3358">
        <v>0</v>
      </c>
      <c r="H3358">
        <v>12960</v>
      </c>
      <c r="I3358">
        <v>6</v>
      </c>
      <c r="J3358">
        <v>78</v>
      </c>
      <c r="K3358">
        <v>422</v>
      </c>
      <c r="L3358">
        <v>449</v>
      </c>
      <c r="M3358">
        <v>17.14285714</v>
      </c>
      <c r="N3358">
        <f>IFERROR(VLOOKUP(A3358,vlookup_table!$A:$G,2,FALSE),"")</f>
        <v>28</v>
      </c>
      <c r="O3358">
        <f>IFERROR(VLOOKUP(A3358,vlookup_table!$A:$G,4,FALSE),"")</f>
        <v>5702</v>
      </c>
      <c r="P3358" t="str">
        <f>IFERROR(VLOOKUP(A3358,vlookup_table!$A:$G,5,FALSE),"")</f>
        <v>C2</v>
      </c>
      <c r="Q3358">
        <f>IFERROR(VLOOKUP(A3358,vlookup_table!$A:$G,7,FALSE),"")</f>
        <v>26</v>
      </c>
      <c r="R3358">
        <f t="shared" si="208"/>
        <v>40</v>
      </c>
      <c r="S3358" t="str" cm="1">
        <f t="array" ref="S3358">IF(P3358="","",_xlfn.SWITCH(LEFT(P3358,1),"C","Ciudad","T","Pueblo","R","Rural","S","Suburbano","U","Urbano",""))</f>
        <v>Ciudad</v>
      </c>
      <c r="T3358" t="str">
        <f t="shared" si="209"/>
        <v>F</v>
      </c>
      <c r="U3358" t="str">
        <f t="shared" si="210"/>
        <v>TX</v>
      </c>
      <c r="V3358" t="str">
        <f t="shared" si="211"/>
        <v>12960</v>
      </c>
    </row>
    <row r="3359" spans="1:22" x14ac:dyDescent="0.35">
      <c r="A3359" s="3">
        <v>57407</v>
      </c>
      <c r="B3359" t="s">
        <v>57</v>
      </c>
      <c r="C3359" t="s">
        <v>14</v>
      </c>
      <c r="D3359">
        <v>1453</v>
      </c>
      <c r="E3359">
        <v>512</v>
      </c>
      <c r="F3359">
        <v>658</v>
      </c>
      <c r="G3359">
        <v>27</v>
      </c>
      <c r="H3359">
        <v>22926</v>
      </c>
      <c r="I3359">
        <v>5</v>
      </c>
      <c r="J3359">
        <v>77</v>
      </c>
      <c r="K3359">
        <v>607</v>
      </c>
      <c r="L3359">
        <v>590</v>
      </c>
      <c r="M3359">
        <v>15</v>
      </c>
      <c r="N3359">
        <f>IFERROR(VLOOKUP(A3359,vlookup_table!$A:$G,2,FALSE),"")</f>
        <v>1</v>
      </c>
      <c r="O3359">
        <f>IFERROR(VLOOKUP(A3359,vlookup_table!$A:$G,4,FALSE),"")</f>
        <v>4201</v>
      </c>
      <c r="P3359" t="str">
        <f>IFERROR(VLOOKUP(A3359,vlookup_table!$A:$G,5,FALSE),"")</f>
        <v>S1</v>
      </c>
      <c r="Q3359">
        <f>IFERROR(VLOOKUP(A3359,vlookup_table!$A:$G,7,FALSE),"")</f>
        <v>21</v>
      </c>
      <c r="R3359">
        <f t="shared" si="208"/>
        <v>55</v>
      </c>
      <c r="S3359" t="str" cm="1">
        <f t="array" ref="S3359">IF(P3359="","",_xlfn.SWITCH(LEFT(P3359,1),"C","Ciudad","T","Pueblo","R","Rural","S","Suburbano","U","Urbano",""))</f>
        <v>Suburbano</v>
      </c>
      <c r="T3359" t="str">
        <f t="shared" si="209"/>
        <v>M</v>
      </c>
      <c r="U3359" t="str">
        <f t="shared" si="210"/>
        <v>KY</v>
      </c>
      <c r="V3359" t="str">
        <f t="shared" si="211"/>
        <v>22926</v>
      </c>
    </row>
    <row r="3360" spans="1:22" x14ac:dyDescent="0.35">
      <c r="A3360" s="3">
        <v>185774</v>
      </c>
      <c r="B3360" t="s">
        <v>18</v>
      </c>
      <c r="C3360" t="s">
        <v>20</v>
      </c>
      <c r="D3360">
        <v>650</v>
      </c>
      <c r="E3360">
        <v>278</v>
      </c>
      <c r="F3360">
        <v>445</v>
      </c>
      <c r="G3360">
        <v>3</v>
      </c>
      <c r="H3360">
        <v>17843</v>
      </c>
      <c r="I3360">
        <v>1</v>
      </c>
      <c r="J3360">
        <v>59</v>
      </c>
      <c r="K3360">
        <v>372</v>
      </c>
      <c r="L3360">
        <v>339</v>
      </c>
      <c r="M3360">
        <v>15.477272729999999</v>
      </c>
      <c r="N3360">
        <f>IFERROR(VLOOKUP(A3360,vlookup_table!$A:$G,2,FALSE),"")</f>
        <v>0</v>
      </c>
      <c r="O3360">
        <f>IFERROR(VLOOKUP(A3360,vlookup_table!$A:$G,4,FALSE),"")</f>
        <v>0</v>
      </c>
      <c r="P3360">
        <f>IFERROR(VLOOKUP(A3360,vlookup_table!$A:$G,5,FALSE),"")</f>
        <v>0</v>
      </c>
      <c r="Q3360">
        <f>IFERROR(VLOOKUP(A3360,vlookup_table!$A:$G,7,FALSE),"")</f>
        <v>12</v>
      </c>
      <c r="R3360">
        <f t="shared" si="208"/>
        <v>97</v>
      </c>
      <c r="S3360" t="str" cm="1">
        <f t="array" ref="S3360">IF(P3360="","",_xlfn.SWITCH(LEFT(P3360,1),"C","Ciudad","T","Pueblo","R","Rural","S","Suburbano","U","Urbano",""))</f>
        <v/>
      </c>
      <c r="T3360" t="str">
        <f t="shared" si="209"/>
        <v>F</v>
      </c>
      <c r="U3360" t="str">
        <f t="shared" si="210"/>
        <v>NC</v>
      </c>
      <c r="V3360" t="str">
        <f t="shared" si="211"/>
        <v>17843</v>
      </c>
    </row>
    <row r="3361" spans="1:22" x14ac:dyDescent="0.35">
      <c r="A3361" s="3">
        <v>189962</v>
      </c>
      <c r="B3361" t="s">
        <v>22</v>
      </c>
      <c r="C3361" t="s">
        <v>14</v>
      </c>
      <c r="D3361">
        <v>833</v>
      </c>
      <c r="E3361">
        <v>295</v>
      </c>
      <c r="F3361">
        <v>403</v>
      </c>
      <c r="G3361">
        <v>6</v>
      </c>
      <c r="H3361">
        <v>13341</v>
      </c>
      <c r="I3361">
        <v>11</v>
      </c>
      <c r="J3361">
        <v>43</v>
      </c>
      <c r="K3361">
        <v>299</v>
      </c>
      <c r="L3361">
        <v>378</v>
      </c>
      <c r="M3361">
        <v>11.85714286</v>
      </c>
      <c r="N3361">
        <f>IFERROR(VLOOKUP(A3361,vlookup_table!$A:$G,2,FALSE),"")</f>
        <v>0</v>
      </c>
      <c r="O3361">
        <f>IFERROR(VLOOKUP(A3361,vlookup_table!$A:$G,4,FALSE),"")</f>
        <v>4601</v>
      </c>
      <c r="P3361" t="str">
        <f>IFERROR(VLOOKUP(A3361,vlookup_table!$A:$G,5,FALSE),"")</f>
        <v>T3</v>
      </c>
      <c r="Q3361">
        <f>IFERROR(VLOOKUP(A3361,vlookup_table!$A:$G,7,FALSE),"")</f>
        <v>10</v>
      </c>
      <c r="R3361">
        <f t="shared" si="208"/>
        <v>51</v>
      </c>
      <c r="S3361" t="str" cm="1">
        <f t="array" ref="S3361">IF(P3361="","",_xlfn.SWITCH(LEFT(P3361,1),"C","Ciudad","T","Pueblo","R","Rural","S","Suburbano","U","Urbano",""))</f>
        <v>Pueblo</v>
      </c>
      <c r="T3361" t="str">
        <f t="shared" si="209"/>
        <v>M</v>
      </c>
      <c r="U3361" t="str">
        <f t="shared" si="210"/>
        <v>CA</v>
      </c>
      <c r="V3361" t="str">
        <f t="shared" si="211"/>
        <v>13341</v>
      </c>
    </row>
    <row r="3362" spans="1:22" x14ac:dyDescent="0.35">
      <c r="A3362" s="3">
        <v>27045</v>
      </c>
      <c r="B3362" t="s">
        <v>35</v>
      </c>
      <c r="C3362" t="s">
        <v>17</v>
      </c>
      <c r="D3362">
        <v>571</v>
      </c>
      <c r="E3362">
        <v>217</v>
      </c>
      <c r="F3362">
        <v>327</v>
      </c>
      <c r="G3362">
        <v>2</v>
      </c>
      <c r="H3362">
        <v>12055</v>
      </c>
      <c r="I3362">
        <v>2</v>
      </c>
      <c r="J3362">
        <v>65</v>
      </c>
      <c r="K3362">
        <v>259</v>
      </c>
      <c r="L3362">
        <v>280</v>
      </c>
      <c r="M3362">
        <v>8.9375</v>
      </c>
      <c r="N3362">
        <f>IFERROR(VLOOKUP(A3362,vlookup_table!$A:$G,2,FALSE),"")</f>
        <v>28</v>
      </c>
      <c r="O3362">
        <f>IFERROR(VLOOKUP(A3362,vlookup_table!$A:$G,4,FALSE),"")</f>
        <v>0</v>
      </c>
      <c r="P3362" t="str">
        <f>IFERROR(VLOOKUP(A3362,vlookup_table!$A:$G,5,FALSE),"")</f>
        <v>R2</v>
      </c>
      <c r="Q3362">
        <f>IFERROR(VLOOKUP(A3362,vlookup_table!$A:$G,7,FALSE),"")</f>
        <v>16</v>
      </c>
      <c r="R3362">
        <f t="shared" si="208"/>
        <v>97</v>
      </c>
      <c r="S3362" t="str" cm="1">
        <f t="array" ref="S3362">IF(P3362="","",_xlfn.SWITCH(LEFT(P3362,1),"C","Ciudad","T","Pueblo","R","Rural","S","Suburbano","U","Urbano",""))</f>
        <v>Rural</v>
      </c>
      <c r="T3362" t="str">
        <f t="shared" si="209"/>
        <v>F</v>
      </c>
      <c r="U3362" t="str">
        <f t="shared" si="210"/>
        <v>WI</v>
      </c>
      <c r="V3362" t="str">
        <f t="shared" si="211"/>
        <v>12055</v>
      </c>
    </row>
    <row r="3363" spans="1:22" x14ac:dyDescent="0.35">
      <c r="A3363" s="3">
        <v>97424</v>
      </c>
      <c r="B3363" t="s">
        <v>16</v>
      </c>
      <c r="C3363" t="s">
        <v>14</v>
      </c>
      <c r="D3363">
        <v>413</v>
      </c>
      <c r="E3363">
        <v>166</v>
      </c>
      <c r="F3363">
        <v>323</v>
      </c>
      <c r="G3363">
        <v>1</v>
      </c>
      <c r="H3363">
        <v>11274</v>
      </c>
      <c r="I3363">
        <v>1</v>
      </c>
      <c r="J3363">
        <v>89</v>
      </c>
      <c r="K3363">
        <v>239</v>
      </c>
      <c r="L3363">
        <v>259</v>
      </c>
      <c r="M3363">
        <v>4.8484848490000001</v>
      </c>
      <c r="N3363">
        <f>IFERROR(VLOOKUP(A3363,vlookup_table!$A:$G,2,FALSE),"")</f>
        <v>2</v>
      </c>
      <c r="O3363">
        <f>IFERROR(VLOOKUP(A3363,vlookup_table!$A:$G,4,FALSE),"")</f>
        <v>0</v>
      </c>
      <c r="P3363" t="str">
        <f>IFERROR(VLOOKUP(A3363,vlookup_table!$A:$G,5,FALSE),"")</f>
        <v>R3</v>
      </c>
      <c r="Q3363">
        <f>IFERROR(VLOOKUP(A3363,vlookup_table!$A:$G,7,FALSE),"")</f>
        <v>5</v>
      </c>
      <c r="R3363">
        <f t="shared" si="208"/>
        <v>97</v>
      </c>
      <c r="S3363" t="str" cm="1">
        <f t="array" ref="S3363">IF(P3363="","",_xlfn.SWITCH(LEFT(P3363,1),"C","Ciudad","T","Pueblo","R","Rural","S","Suburbano","U","Urbano",""))</f>
        <v>Rural</v>
      </c>
      <c r="T3363" t="str">
        <f t="shared" si="209"/>
        <v>M</v>
      </c>
      <c r="U3363" t="str">
        <f t="shared" si="210"/>
        <v>IL</v>
      </c>
      <c r="V3363" t="str">
        <f t="shared" si="211"/>
        <v>11274</v>
      </c>
    </row>
    <row r="3364" spans="1:22" x14ac:dyDescent="0.35">
      <c r="A3364" s="3">
        <v>163591</v>
      </c>
      <c r="B3364" t="s">
        <v>22</v>
      </c>
      <c r="C3364" t="s">
        <v>14</v>
      </c>
      <c r="D3364">
        <v>3919</v>
      </c>
      <c r="E3364">
        <v>427</v>
      </c>
      <c r="F3364">
        <v>589</v>
      </c>
      <c r="G3364">
        <v>93</v>
      </c>
      <c r="H3364">
        <v>25828</v>
      </c>
      <c r="I3364">
        <v>17</v>
      </c>
      <c r="J3364">
        <v>48</v>
      </c>
      <c r="K3364">
        <v>453</v>
      </c>
      <c r="L3364">
        <v>552</v>
      </c>
      <c r="M3364">
        <v>23.14285714</v>
      </c>
      <c r="N3364">
        <f>IFERROR(VLOOKUP(A3364,vlookup_table!$A:$G,2,FALSE),"")</f>
        <v>0</v>
      </c>
      <c r="O3364">
        <f>IFERROR(VLOOKUP(A3364,vlookup_table!$A:$G,4,FALSE),"")</f>
        <v>2201</v>
      </c>
      <c r="P3364" t="str">
        <f>IFERROR(VLOOKUP(A3364,vlookup_table!$A:$G,5,FALSE),"")</f>
        <v>U1</v>
      </c>
      <c r="Q3364">
        <f>IFERROR(VLOOKUP(A3364,vlookup_table!$A:$G,7,FALSE),"")</f>
        <v>35</v>
      </c>
      <c r="R3364">
        <f t="shared" si="208"/>
        <v>75</v>
      </c>
      <c r="S3364" t="str" cm="1">
        <f t="array" ref="S3364">IF(P3364="","",_xlfn.SWITCH(LEFT(P3364,1),"C","Ciudad","T","Pueblo","R","Rural","S","Suburbano","U","Urbano",""))</f>
        <v>Urbano</v>
      </c>
      <c r="T3364" t="str">
        <f t="shared" si="209"/>
        <v>M</v>
      </c>
      <c r="U3364" t="str">
        <f t="shared" si="210"/>
        <v>CA</v>
      </c>
      <c r="V3364" t="str">
        <f t="shared" si="211"/>
        <v>25828</v>
      </c>
    </row>
    <row r="3365" spans="1:22" x14ac:dyDescent="0.35">
      <c r="A3365" s="3">
        <v>15772</v>
      </c>
      <c r="B3365" t="s">
        <v>18</v>
      </c>
      <c r="C3365" t="s">
        <v>20</v>
      </c>
      <c r="D3365">
        <v>439</v>
      </c>
      <c r="E3365">
        <v>134</v>
      </c>
      <c r="F3365">
        <v>212</v>
      </c>
      <c r="G3365">
        <v>0</v>
      </c>
      <c r="H3365">
        <v>7525</v>
      </c>
      <c r="I3365">
        <v>0</v>
      </c>
      <c r="J3365">
        <v>77</v>
      </c>
      <c r="K3365">
        <v>189</v>
      </c>
      <c r="L3365">
        <v>168</v>
      </c>
      <c r="M3365">
        <v>5.6666666670000003</v>
      </c>
      <c r="N3365">
        <f>IFERROR(VLOOKUP(A3365,vlookup_table!$A:$G,2,FALSE),"")</f>
        <v>2</v>
      </c>
      <c r="O3365">
        <f>IFERROR(VLOOKUP(A3365,vlookup_table!$A:$G,4,FALSE),"")</f>
        <v>0</v>
      </c>
      <c r="P3365" t="str">
        <f>IFERROR(VLOOKUP(A3365,vlookup_table!$A:$G,5,FALSE),"")</f>
        <v>C3</v>
      </c>
      <c r="Q3365">
        <f>IFERROR(VLOOKUP(A3365,vlookup_table!$A:$G,7,FALSE),"")</f>
        <v>10</v>
      </c>
      <c r="R3365">
        <f t="shared" si="208"/>
        <v>97</v>
      </c>
      <c r="S3365" t="str" cm="1">
        <f t="array" ref="S3365">IF(P3365="","",_xlfn.SWITCH(LEFT(P3365,1),"C","Ciudad","T","Pueblo","R","Rural","S","Suburbano","U","Urbano",""))</f>
        <v>Ciudad</v>
      </c>
      <c r="T3365" t="str">
        <f t="shared" si="209"/>
        <v>F</v>
      </c>
      <c r="U3365" t="str">
        <f t="shared" si="210"/>
        <v>NC</v>
      </c>
      <c r="V3365" t="str">
        <f t="shared" si="211"/>
        <v>7525</v>
      </c>
    </row>
    <row r="3366" spans="1:22" x14ac:dyDescent="0.35">
      <c r="A3366" s="3">
        <v>71427</v>
      </c>
      <c r="B3366" t="s">
        <v>29</v>
      </c>
      <c r="C3366" t="s">
        <v>14</v>
      </c>
      <c r="D3366">
        <v>914</v>
      </c>
      <c r="E3366">
        <v>421</v>
      </c>
      <c r="F3366">
        <v>543</v>
      </c>
      <c r="G3366">
        <v>2</v>
      </c>
      <c r="H3366">
        <v>20079</v>
      </c>
      <c r="I3366">
        <v>2</v>
      </c>
      <c r="J3366">
        <v>74</v>
      </c>
      <c r="K3366">
        <v>530</v>
      </c>
      <c r="L3366">
        <v>467</v>
      </c>
      <c r="M3366">
        <v>16.5</v>
      </c>
      <c r="N3366">
        <f>IFERROR(VLOOKUP(A3366,vlookup_table!$A:$G,2,FALSE),"")</f>
        <v>1</v>
      </c>
      <c r="O3366">
        <f>IFERROR(VLOOKUP(A3366,vlookup_table!$A:$G,4,FALSE),"")</f>
        <v>5510</v>
      </c>
      <c r="P3366" t="str">
        <f>IFERROR(VLOOKUP(A3366,vlookup_table!$A:$G,5,FALSE),"")</f>
        <v>T1</v>
      </c>
      <c r="Q3366">
        <f>IFERROR(VLOOKUP(A3366,vlookup_table!$A:$G,7,FALSE),"")</f>
        <v>30</v>
      </c>
      <c r="R3366">
        <f t="shared" si="208"/>
        <v>42</v>
      </c>
      <c r="S3366" t="str" cm="1">
        <f t="array" ref="S3366">IF(P3366="","",_xlfn.SWITCH(LEFT(P3366,1),"C","Ciudad","T","Pueblo","R","Rural","S","Suburbano","U","Urbano",""))</f>
        <v>Pueblo</v>
      </c>
      <c r="T3366" t="str">
        <f t="shared" si="209"/>
        <v>M</v>
      </c>
      <c r="U3366" t="str">
        <f t="shared" si="210"/>
        <v>MI</v>
      </c>
      <c r="V3366" t="str">
        <f t="shared" si="211"/>
        <v>20079</v>
      </c>
    </row>
    <row r="3367" spans="1:22" x14ac:dyDescent="0.35">
      <c r="A3367" s="3">
        <v>159039</v>
      </c>
      <c r="B3367" t="s">
        <v>22</v>
      </c>
      <c r="C3367" t="s">
        <v>17</v>
      </c>
      <c r="D3367">
        <v>1656</v>
      </c>
      <c r="E3367">
        <v>298</v>
      </c>
      <c r="F3367">
        <v>388</v>
      </c>
      <c r="G3367">
        <v>18</v>
      </c>
      <c r="H3367">
        <v>17943</v>
      </c>
      <c r="I3367">
        <v>10</v>
      </c>
      <c r="J3367">
        <v>36</v>
      </c>
      <c r="K3367">
        <v>350</v>
      </c>
      <c r="L3367">
        <v>356</v>
      </c>
      <c r="M3367">
        <v>15.35</v>
      </c>
      <c r="N3367">
        <f>IFERROR(VLOOKUP(A3367,vlookup_table!$A:$G,2,FALSE),"")</f>
        <v>0</v>
      </c>
      <c r="O3367">
        <f>IFERROR(VLOOKUP(A3367,vlookup_table!$A:$G,4,FALSE),"")</f>
        <v>2001</v>
      </c>
      <c r="P3367" t="str">
        <f>IFERROR(VLOOKUP(A3367,vlookup_table!$A:$G,5,FALSE),"")</f>
        <v>C2</v>
      </c>
      <c r="Q3367">
        <f>IFERROR(VLOOKUP(A3367,vlookup_table!$A:$G,7,FALSE),"")</f>
        <v>25</v>
      </c>
      <c r="R3367">
        <f t="shared" si="208"/>
        <v>77</v>
      </c>
      <c r="S3367" t="str" cm="1">
        <f t="array" ref="S3367">IF(P3367="","",_xlfn.SWITCH(LEFT(P3367,1),"C","Ciudad","T","Pueblo","R","Rural","S","Suburbano","U","Urbano",""))</f>
        <v>Ciudad</v>
      </c>
      <c r="T3367" t="str">
        <f t="shared" si="209"/>
        <v>F</v>
      </c>
      <c r="U3367" t="str">
        <f t="shared" si="210"/>
        <v>CA</v>
      </c>
      <c r="V3367" t="str">
        <f t="shared" si="211"/>
        <v>17943</v>
      </c>
    </row>
    <row r="3368" spans="1:22" x14ac:dyDescent="0.35">
      <c r="A3368" s="3">
        <v>22984</v>
      </c>
      <c r="B3368" t="s">
        <v>46</v>
      </c>
      <c r="C3368" t="s">
        <v>17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6</v>
      </c>
      <c r="N3368">
        <f>IFERROR(VLOOKUP(A3368,vlookup_table!$A:$G,2,FALSE),"")</f>
        <v>0</v>
      </c>
      <c r="O3368">
        <f>IFERROR(VLOOKUP(A3368,vlookup_table!$A:$G,4,FALSE),"")</f>
        <v>0</v>
      </c>
      <c r="P3368" t="str">
        <f>IFERROR(VLOOKUP(A3368,vlookup_table!$A:$G,5,FALSE),"")</f>
        <v>T2</v>
      </c>
      <c r="Q3368">
        <f>IFERROR(VLOOKUP(A3368,vlookup_table!$A:$G,7,FALSE),"")</f>
        <v>1</v>
      </c>
      <c r="R3368">
        <f t="shared" si="208"/>
        <v>97</v>
      </c>
      <c r="S3368" t="str" cm="1">
        <f t="array" ref="S3368">IF(P3368="","",_xlfn.SWITCH(LEFT(P3368,1),"C","Ciudad","T","Pueblo","R","Rural","S","Suburbano","U","Urbano",""))</f>
        <v>Pueblo</v>
      </c>
      <c r="T3368" t="str">
        <f t="shared" si="209"/>
        <v>F</v>
      </c>
      <c r="U3368" t="str">
        <f t="shared" si="210"/>
        <v>SC</v>
      </c>
      <c r="V3368" t="str">
        <f t="shared" si="211"/>
        <v>0</v>
      </c>
    </row>
    <row r="3369" spans="1:22" x14ac:dyDescent="0.35">
      <c r="A3369" s="3">
        <v>89210</v>
      </c>
      <c r="B3369" t="s">
        <v>32</v>
      </c>
      <c r="D3369">
        <v>493</v>
      </c>
      <c r="E3369">
        <v>188</v>
      </c>
      <c r="F3369">
        <v>259</v>
      </c>
      <c r="G3369">
        <v>1</v>
      </c>
      <c r="H3369">
        <v>9997</v>
      </c>
      <c r="I3369">
        <v>3</v>
      </c>
      <c r="J3369">
        <v>35</v>
      </c>
      <c r="K3369">
        <v>202</v>
      </c>
      <c r="L3369">
        <v>223</v>
      </c>
      <c r="M3369">
        <v>44.727272730000003</v>
      </c>
      <c r="N3369">
        <f>IFERROR(VLOOKUP(A3369,vlookup_table!$A:$G,2,FALSE),"")</f>
        <v>2</v>
      </c>
      <c r="O3369">
        <f>IFERROR(VLOOKUP(A3369,vlookup_table!$A:$G,4,FALSE),"")</f>
        <v>3801</v>
      </c>
      <c r="P3369" t="str">
        <f>IFERROR(VLOOKUP(A3369,vlookup_table!$A:$G,5,FALSE),"")</f>
        <v>S2</v>
      </c>
      <c r="Q3369">
        <f>IFERROR(VLOOKUP(A3369,vlookup_table!$A:$G,7,FALSE),"")</f>
        <v>25</v>
      </c>
      <c r="R3369">
        <f t="shared" si="208"/>
        <v>59</v>
      </c>
      <c r="S3369" t="str" cm="1">
        <f t="array" ref="S3369">IF(P3369="","",_xlfn.SWITCH(LEFT(P3369,1),"C","Ciudad","T","Pueblo","R","Rural","S","Suburbano","U","Urbano",""))</f>
        <v>Suburbano</v>
      </c>
      <c r="T3369" t="str">
        <f t="shared" si="209"/>
        <v/>
      </c>
      <c r="U3369" t="str">
        <f t="shared" si="210"/>
        <v>AR</v>
      </c>
      <c r="V3369" t="str">
        <f t="shared" si="211"/>
        <v>9997</v>
      </c>
    </row>
    <row r="3370" spans="1:22" x14ac:dyDescent="0.35">
      <c r="A3370" s="3">
        <v>6490</v>
      </c>
      <c r="B3370" t="s">
        <v>40</v>
      </c>
      <c r="C3370" t="s">
        <v>51</v>
      </c>
      <c r="D3370">
        <v>1118</v>
      </c>
      <c r="E3370">
        <v>354</v>
      </c>
      <c r="F3370">
        <v>466</v>
      </c>
      <c r="G3370">
        <v>7</v>
      </c>
      <c r="H3370">
        <v>13991</v>
      </c>
      <c r="I3370">
        <v>5</v>
      </c>
      <c r="J3370">
        <v>54</v>
      </c>
      <c r="K3370">
        <v>453</v>
      </c>
      <c r="L3370">
        <v>385</v>
      </c>
      <c r="M3370">
        <v>22</v>
      </c>
      <c r="N3370">
        <f>IFERROR(VLOOKUP(A3370,vlookup_table!$A:$G,2,FALSE),"")</f>
        <v>0</v>
      </c>
      <c r="O3370">
        <f>IFERROR(VLOOKUP(A3370,vlookup_table!$A:$G,4,FALSE),"")</f>
        <v>1201</v>
      </c>
      <c r="P3370" t="str">
        <f>IFERROR(VLOOKUP(A3370,vlookup_table!$A:$G,5,FALSE),"")</f>
        <v>T2</v>
      </c>
      <c r="Q3370">
        <f>IFERROR(VLOOKUP(A3370,vlookup_table!$A:$G,7,FALSE),"")</f>
        <v>25</v>
      </c>
      <c r="R3370">
        <f t="shared" si="208"/>
        <v>85</v>
      </c>
      <c r="S3370" t="str" cm="1">
        <f t="array" ref="S3370">IF(P3370="","",_xlfn.SWITCH(LEFT(P3370,1),"C","Ciudad","T","Pueblo","R","Rural","S","Suburbano","U","Urbano",""))</f>
        <v>Pueblo</v>
      </c>
      <c r="T3370" t="str">
        <f t="shared" si="209"/>
        <v>M</v>
      </c>
      <c r="U3370" t="str">
        <f t="shared" si="210"/>
        <v>WA</v>
      </c>
      <c r="V3370" t="str">
        <f t="shared" si="211"/>
        <v>13991</v>
      </c>
    </row>
    <row r="3371" spans="1:22" x14ac:dyDescent="0.35">
      <c r="A3371" s="3">
        <v>48003</v>
      </c>
      <c r="B3371" t="s">
        <v>43</v>
      </c>
      <c r="C3371" t="s">
        <v>30</v>
      </c>
      <c r="D3371">
        <v>765</v>
      </c>
      <c r="E3371">
        <v>408</v>
      </c>
      <c r="F3371">
        <v>472</v>
      </c>
      <c r="G3371">
        <v>1</v>
      </c>
      <c r="H3371">
        <v>15150</v>
      </c>
      <c r="I3371">
        <v>1</v>
      </c>
      <c r="J3371">
        <v>68</v>
      </c>
      <c r="K3371">
        <v>430</v>
      </c>
      <c r="L3371">
        <v>441</v>
      </c>
      <c r="M3371">
        <v>7.6111111109999996</v>
      </c>
      <c r="N3371">
        <f>IFERROR(VLOOKUP(A3371,vlookup_table!$A:$G,2,FALSE),"")</f>
        <v>0</v>
      </c>
      <c r="O3371">
        <f>IFERROR(VLOOKUP(A3371,vlookup_table!$A:$G,4,FALSE),"")</f>
        <v>0</v>
      </c>
      <c r="P3371" t="str">
        <f>IFERROR(VLOOKUP(A3371,vlookup_table!$A:$G,5,FALSE),"")</f>
        <v>T2</v>
      </c>
      <c r="Q3371">
        <f>IFERROR(VLOOKUP(A3371,vlookup_table!$A:$G,7,FALSE),"")</f>
        <v>10</v>
      </c>
      <c r="R3371">
        <f t="shared" si="208"/>
        <v>97</v>
      </c>
      <c r="S3371" t="str" cm="1">
        <f t="array" ref="S3371">IF(P3371="","",_xlfn.SWITCH(LEFT(P3371,1),"C","Ciudad","T","Pueblo","R","Rural","S","Suburbano","U","Urbano",""))</f>
        <v>Pueblo</v>
      </c>
      <c r="T3371" t="str">
        <f t="shared" si="209"/>
        <v>U</v>
      </c>
      <c r="U3371" t="str">
        <f t="shared" si="210"/>
        <v>AL</v>
      </c>
      <c r="V3371" t="str">
        <f t="shared" si="211"/>
        <v>15150</v>
      </c>
    </row>
    <row r="3372" spans="1:22" x14ac:dyDescent="0.35">
      <c r="A3372" s="3">
        <v>189199</v>
      </c>
      <c r="B3372" t="s">
        <v>28</v>
      </c>
      <c r="C3372" t="s">
        <v>17</v>
      </c>
      <c r="D3372">
        <v>636</v>
      </c>
      <c r="E3372">
        <v>311</v>
      </c>
      <c r="F3372">
        <v>495</v>
      </c>
      <c r="G3372">
        <v>0</v>
      </c>
      <c r="H3372">
        <v>16133</v>
      </c>
      <c r="I3372">
        <v>4</v>
      </c>
      <c r="J3372">
        <v>47</v>
      </c>
      <c r="K3372">
        <v>412</v>
      </c>
      <c r="L3372">
        <v>332</v>
      </c>
      <c r="M3372">
        <v>16.666666670000001</v>
      </c>
      <c r="N3372">
        <f>IFERROR(VLOOKUP(A3372,vlookup_table!$A:$G,2,FALSE),"")</f>
        <v>0</v>
      </c>
      <c r="O3372">
        <f>IFERROR(VLOOKUP(A3372,vlookup_table!$A:$G,4,FALSE),"")</f>
        <v>0</v>
      </c>
      <c r="P3372" t="str">
        <f>IFERROR(VLOOKUP(A3372,vlookup_table!$A:$G,5,FALSE),"")</f>
        <v>T2</v>
      </c>
      <c r="Q3372">
        <f>IFERROR(VLOOKUP(A3372,vlookup_table!$A:$G,7,FALSE),"")</f>
        <v>25</v>
      </c>
      <c r="R3372">
        <f t="shared" si="208"/>
        <v>97</v>
      </c>
      <c r="S3372" t="str" cm="1">
        <f t="array" ref="S3372">IF(P3372="","",_xlfn.SWITCH(LEFT(P3372,1),"C","Ciudad","T","Pueblo","R","Rural","S","Suburbano","U","Urbano",""))</f>
        <v>Pueblo</v>
      </c>
      <c r="T3372" t="str">
        <f t="shared" si="209"/>
        <v>F</v>
      </c>
      <c r="U3372" t="str">
        <f t="shared" si="210"/>
        <v>KS</v>
      </c>
      <c r="V3372" t="str">
        <f t="shared" si="211"/>
        <v>16133</v>
      </c>
    </row>
    <row r="3373" spans="1:22" x14ac:dyDescent="0.35">
      <c r="A3373" s="3">
        <v>117882</v>
      </c>
      <c r="B3373" t="s">
        <v>32</v>
      </c>
      <c r="C3373" t="s">
        <v>60</v>
      </c>
      <c r="D3373">
        <v>424</v>
      </c>
      <c r="E3373">
        <v>252</v>
      </c>
      <c r="F3373">
        <v>354</v>
      </c>
      <c r="G3373">
        <v>0</v>
      </c>
      <c r="H3373">
        <v>14198</v>
      </c>
      <c r="I3373">
        <v>0</v>
      </c>
      <c r="J3373">
        <v>44</v>
      </c>
      <c r="K3373">
        <v>303</v>
      </c>
      <c r="L3373">
        <v>299</v>
      </c>
      <c r="M3373">
        <v>11.66666667</v>
      </c>
      <c r="N3373">
        <f>IFERROR(VLOOKUP(A3373,vlookup_table!$A:$G,2,FALSE),"")</f>
        <v>0</v>
      </c>
      <c r="O3373">
        <f>IFERROR(VLOOKUP(A3373,vlookup_table!$A:$G,4,FALSE),"")</f>
        <v>2907</v>
      </c>
      <c r="P3373">
        <f>IFERROR(VLOOKUP(A3373,vlookup_table!$A:$G,5,FALSE),"")</f>
        <v>0</v>
      </c>
      <c r="Q3373">
        <f>IFERROR(VLOOKUP(A3373,vlookup_table!$A:$G,7,FALSE),"")</f>
        <v>20</v>
      </c>
      <c r="R3373">
        <f t="shared" si="208"/>
        <v>68</v>
      </c>
      <c r="S3373" t="str" cm="1">
        <f t="array" ref="S3373">IF(P3373="","",_xlfn.SWITCH(LEFT(P3373,1),"C","Ciudad","T","Pueblo","R","Rural","S","Suburbano","U","Urbano",""))</f>
        <v/>
      </c>
      <c r="T3373" t="str">
        <f t="shared" si="209"/>
        <v>F</v>
      </c>
      <c r="U3373" t="str">
        <f t="shared" si="210"/>
        <v>AR</v>
      </c>
      <c r="V3373" t="str">
        <f t="shared" si="211"/>
        <v>14198</v>
      </c>
    </row>
    <row r="3374" spans="1:22" x14ac:dyDescent="0.35">
      <c r="A3374" s="3">
        <v>174932</v>
      </c>
      <c r="B3374" t="s">
        <v>50</v>
      </c>
      <c r="C3374" t="s">
        <v>17</v>
      </c>
      <c r="D3374">
        <v>923</v>
      </c>
      <c r="E3374">
        <v>447</v>
      </c>
      <c r="F3374">
        <v>524</v>
      </c>
      <c r="G3374">
        <v>1</v>
      </c>
      <c r="H3374">
        <v>17104</v>
      </c>
      <c r="I3374">
        <v>2</v>
      </c>
      <c r="J3374">
        <v>50</v>
      </c>
      <c r="K3374">
        <v>481</v>
      </c>
      <c r="L3374">
        <v>493</v>
      </c>
      <c r="M3374">
        <v>12.9</v>
      </c>
      <c r="N3374">
        <f>IFERROR(VLOOKUP(A3374,vlookup_table!$A:$G,2,FALSE),"")</f>
        <v>28</v>
      </c>
      <c r="O3374">
        <f>IFERROR(VLOOKUP(A3374,vlookup_table!$A:$G,4,FALSE),"")</f>
        <v>0</v>
      </c>
      <c r="P3374" t="str">
        <f>IFERROR(VLOOKUP(A3374,vlookup_table!$A:$G,5,FALSE),"")</f>
        <v>T2</v>
      </c>
      <c r="Q3374">
        <f>IFERROR(VLOOKUP(A3374,vlookup_table!$A:$G,7,FALSE),"")</f>
        <v>20</v>
      </c>
      <c r="R3374">
        <f t="shared" si="208"/>
        <v>97</v>
      </c>
      <c r="S3374" t="str" cm="1">
        <f t="array" ref="S3374">IF(P3374="","",_xlfn.SWITCH(LEFT(P3374,1),"C","Ciudad","T","Pueblo","R","Rural","S","Suburbano","U","Urbano",""))</f>
        <v>Pueblo</v>
      </c>
      <c r="T3374" t="str">
        <f t="shared" si="209"/>
        <v>F</v>
      </c>
      <c r="U3374" t="str">
        <f t="shared" si="210"/>
        <v>OR</v>
      </c>
      <c r="V3374" t="str">
        <f t="shared" si="211"/>
        <v>17104</v>
      </c>
    </row>
    <row r="3375" spans="1:22" x14ac:dyDescent="0.35">
      <c r="A3375" s="3">
        <v>101033</v>
      </c>
      <c r="B3375" t="s">
        <v>36</v>
      </c>
      <c r="C3375" t="s">
        <v>14</v>
      </c>
      <c r="D3375">
        <v>696</v>
      </c>
      <c r="E3375">
        <v>387</v>
      </c>
      <c r="F3375">
        <v>430</v>
      </c>
      <c r="G3375">
        <v>0</v>
      </c>
      <c r="H3375">
        <v>12711</v>
      </c>
      <c r="I3375">
        <v>3</v>
      </c>
      <c r="J3375">
        <v>67</v>
      </c>
      <c r="K3375">
        <v>406</v>
      </c>
      <c r="L3375">
        <v>421</v>
      </c>
      <c r="M3375">
        <v>13.8</v>
      </c>
      <c r="N3375">
        <f>IFERROR(VLOOKUP(A3375,vlookup_table!$A:$G,2,FALSE),"")</f>
        <v>0</v>
      </c>
      <c r="O3375">
        <f>IFERROR(VLOOKUP(A3375,vlookup_table!$A:$G,4,FALSE),"")</f>
        <v>5711</v>
      </c>
      <c r="P3375" t="str">
        <f>IFERROR(VLOOKUP(A3375,vlookup_table!$A:$G,5,FALSE),"")</f>
        <v>T2</v>
      </c>
      <c r="Q3375">
        <f>IFERROR(VLOOKUP(A3375,vlookup_table!$A:$G,7,FALSE),"")</f>
        <v>21</v>
      </c>
      <c r="R3375">
        <f t="shared" si="208"/>
        <v>40</v>
      </c>
      <c r="S3375" t="str" cm="1">
        <f t="array" ref="S3375">IF(P3375="","",_xlfn.SWITCH(LEFT(P3375,1),"C","Ciudad","T","Pueblo","R","Rural","S","Suburbano","U","Urbano",""))</f>
        <v>Pueblo</v>
      </c>
      <c r="T3375" t="str">
        <f t="shared" si="209"/>
        <v>M</v>
      </c>
      <c r="U3375" t="str">
        <f t="shared" si="210"/>
        <v>MO</v>
      </c>
      <c r="V3375" t="str">
        <f t="shared" si="211"/>
        <v>12711</v>
      </c>
    </row>
    <row r="3376" spans="1:22" x14ac:dyDescent="0.35">
      <c r="A3376" s="3">
        <v>143299</v>
      </c>
      <c r="B3376" t="s">
        <v>22</v>
      </c>
      <c r="C3376" t="s">
        <v>14</v>
      </c>
      <c r="D3376">
        <v>2581</v>
      </c>
      <c r="E3376">
        <v>555</v>
      </c>
      <c r="F3376">
        <v>676</v>
      </c>
      <c r="G3376">
        <v>71</v>
      </c>
      <c r="H3376">
        <v>21182</v>
      </c>
      <c r="I3376">
        <v>34</v>
      </c>
      <c r="J3376">
        <v>41</v>
      </c>
      <c r="K3376">
        <v>641</v>
      </c>
      <c r="L3376">
        <v>561</v>
      </c>
      <c r="M3376">
        <v>14.44444444</v>
      </c>
      <c r="N3376">
        <f>IFERROR(VLOOKUP(A3376,vlookup_table!$A:$G,2,FALSE),"")</f>
        <v>0</v>
      </c>
      <c r="O3376">
        <f>IFERROR(VLOOKUP(A3376,vlookup_table!$A:$G,4,FALSE),"")</f>
        <v>2801</v>
      </c>
      <c r="P3376" t="str">
        <f>IFERROR(VLOOKUP(A3376,vlookup_table!$A:$G,5,FALSE),"")</f>
        <v>U1</v>
      </c>
      <c r="Q3376">
        <f>IFERROR(VLOOKUP(A3376,vlookup_table!$A:$G,7,FALSE),"")</f>
        <v>15</v>
      </c>
      <c r="R3376">
        <f t="shared" si="208"/>
        <v>69</v>
      </c>
      <c r="S3376" t="str" cm="1">
        <f t="array" ref="S3376">IF(P3376="","",_xlfn.SWITCH(LEFT(P3376,1),"C","Ciudad","T","Pueblo","R","Rural","S","Suburbano","U","Urbano",""))</f>
        <v>Urbano</v>
      </c>
      <c r="T3376" t="str">
        <f t="shared" si="209"/>
        <v>M</v>
      </c>
      <c r="U3376" t="str">
        <f t="shared" si="210"/>
        <v>CA</v>
      </c>
      <c r="V3376" t="str">
        <f t="shared" si="211"/>
        <v>21182</v>
      </c>
    </row>
    <row r="3377" spans="1:22" x14ac:dyDescent="0.35">
      <c r="A3377" s="3">
        <v>189749</v>
      </c>
      <c r="B3377" t="s">
        <v>13</v>
      </c>
      <c r="C3377" t="s">
        <v>14</v>
      </c>
      <c r="D3377">
        <v>1093</v>
      </c>
      <c r="E3377">
        <v>366</v>
      </c>
      <c r="F3377">
        <v>478</v>
      </c>
      <c r="G3377">
        <v>7</v>
      </c>
      <c r="H3377">
        <v>19287</v>
      </c>
      <c r="I3377">
        <v>9</v>
      </c>
      <c r="J3377">
        <v>15</v>
      </c>
      <c r="K3377">
        <v>413</v>
      </c>
      <c r="L3377">
        <v>434</v>
      </c>
      <c r="M3377">
        <v>9</v>
      </c>
      <c r="N3377">
        <f>IFERROR(VLOOKUP(A3377,vlookup_table!$A:$G,2,FALSE),"")</f>
        <v>1</v>
      </c>
      <c r="O3377">
        <f>IFERROR(VLOOKUP(A3377,vlookup_table!$A:$G,4,FALSE),"")</f>
        <v>2211</v>
      </c>
      <c r="P3377" t="str">
        <f>IFERROR(VLOOKUP(A3377,vlookup_table!$A:$G,5,FALSE),"")</f>
        <v>S2</v>
      </c>
      <c r="Q3377">
        <f>IFERROR(VLOOKUP(A3377,vlookup_table!$A:$G,7,FALSE),"")</f>
        <v>10</v>
      </c>
      <c r="R3377">
        <f t="shared" si="208"/>
        <v>75</v>
      </c>
      <c r="S3377" t="str" cm="1">
        <f t="array" ref="S3377">IF(P3377="","",_xlfn.SWITCH(LEFT(P3377,1),"C","Ciudad","T","Pueblo","R","Rural","S","Suburbano","U","Urbano",""))</f>
        <v>Suburbano</v>
      </c>
      <c r="T3377" t="str">
        <f t="shared" si="209"/>
        <v>M</v>
      </c>
      <c r="U3377" t="str">
        <f t="shared" si="210"/>
        <v>FL</v>
      </c>
      <c r="V3377" t="str">
        <f t="shared" si="211"/>
        <v>19287</v>
      </c>
    </row>
    <row r="3378" spans="1:22" x14ac:dyDescent="0.35">
      <c r="A3378" s="3">
        <v>127108</v>
      </c>
      <c r="B3378" t="s">
        <v>21</v>
      </c>
      <c r="D3378">
        <v>727</v>
      </c>
      <c r="E3378">
        <v>427</v>
      </c>
      <c r="F3378">
        <v>437</v>
      </c>
      <c r="G3378">
        <v>0</v>
      </c>
      <c r="H3378">
        <v>14147</v>
      </c>
      <c r="I3378">
        <v>2</v>
      </c>
      <c r="J3378">
        <v>53</v>
      </c>
      <c r="K3378">
        <v>421</v>
      </c>
      <c r="L3378">
        <v>431</v>
      </c>
      <c r="M3378">
        <v>13.75</v>
      </c>
      <c r="N3378">
        <f>IFERROR(VLOOKUP(A3378,vlookup_table!$A:$G,2,FALSE),"")</f>
        <v>28</v>
      </c>
      <c r="O3378">
        <f>IFERROR(VLOOKUP(A3378,vlookup_table!$A:$G,4,FALSE),"")</f>
        <v>0</v>
      </c>
      <c r="P3378" t="str">
        <f>IFERROR(VLOOKUP(A3378,vlookup_table!$A:$G,5,FALSE),"")</f>
        <v>T1</v>
      </c>
      <c r="Q3378">
        <f>IFERROR(VLOOKUP(A3378,vlookup_table!$A:$G,7,FALSE),"")</f>
        <v>10</v>
      </c>
      <c r="R3378">
        <f t="shared" si="208"/>
        <v>97</v>
      </c>
      <c r="S3378" t="str" cm="1">
        <f t="array" ref="S3378">IF(P3378="","",_xlfn.SWITCH(LEFT(P3378,1),"C","Ciudad","T","Pueblo","R","Rural","S","Suburbano","U","Urbano",""))</f>
        <v>Pueblo</v>
      </c>
      <c r="T3378" t="str">
        <f t="shared" si="209"/>
        <v/>
      </c>
      <c r="U3378" t="str">
        <f t="shared" si="210"/>
        <v>TX</v>
      </c>
      <c r="V3378" t="str">
        <f t="shared" si="211"/>
        <v>14147</v>
      </c>
    </row>
    <row r="3379" spans="1:22" x14ac:dyDescent="0.35">
      <c r="A3379" s="3">
        <v>74614</v>
      </c>
      <c r="B3379" t="s">
        <v>29</v>
      </c>
      <c r="C3379" t="s">
        <v>17</v>
      </c>
      <c r="D3379">
        <v>616</v>
      </c>
      <c r="E3379">
        <v>342</v>
      </c>
      <c r="F3379">
        <v>403</v>
      </c>
      <c r="G3379">
        <v>1</v>
      </c>
      <c r="H3379">
        <v>11510</v>
      </c>
      <c r="I3379">
        <v>1</v>
      </c>
      <c r="J3379">
        <v>80</v>
      </c>
      <c r="K3379">
        <v>373</v>
      </c>
      <c r="L3379">
        <v>375</v>
      </c>
      <c r="M3379">
        <v>4.4166666670000003</v>
      </c>
      <c r="N3379">
        <f>IFERROR(VLOOKUP(A3379,vlookup_table!$A:$G,2,FALSE),"")</f>
        <v>28</v>
      </c>
      <c r="O3379">
        <f>IFERROR(VLOOKUP(A3379,vlookup_table!$A:$G,4,FALSE),"")</f>
        <v>3501</v>
      </c>
      <c r="P3379" t="str">
        <f>IFERROR(VLOOKUP(A3379,vlookup_table!$A:$G,5,FALSE),"")</f>
        <v>R2</v>
      </c>
      <c r="Q3379">
        <f>IFERROR(VLOOKUP(A3379,vlookup_table!$A:$G,7,FALSE),"")</f>
        <v>5</v>
      </c>
      <c r="R3379">
        <f t="shared" si="208"/>
        <v>62</v>
      </c>
      <c r="S3379" t="str" cm="1">
        <f t="array" ref="S3379">IF(P3379="","",_xlfn.SWITCH(LEFT(P3379,1),"C","Ciudad","T","Pueblo","R","Rural","S","Suburbano","U","Urbano",""))</f>
        <v>Rural</v>
      </c>
      <c r="T3379" t="str">
        <f t="shared" si="209"/>
        <v>F</v>
      </c>
      <c r="U3379" t="str">
        <f t="shared" si="210"/>
        <v>MI</v>
      </c>
      <c r="V3379" t="str">
        <f t="shared" si="211"/>
        <v>11510</v>
      </c>
    </row>
    <row r="3380" spans="1:22" x14ac:dyDescent="0.35">
      <c r="A3380" s="3">
        <v>182519</v>
      </c>
      <c r="B3380" t="s">
        <v>40</v>
      </c>
      <c r="C3380" t="s">
        <v>51</v>
      </c>
      <c r="D3380">
        <v>635</v>
      </c>
      <c r="E3380">
        <v>236</v>
      </c>
      <c r="F3380">
        <v>307</v>
      </c>
      <c r="G3380">
        <v>1</v>
      </c>
      <c r="H3380">
        <v>11588</v>
      </c>
      <c r="I3380">
        <v>3</v>
      </c>
      <c r="J3380">
        <v>52</v>
      </c>
      <c r="K3380">
        <v>243</v>
      </c>
      <c r="L3380">
        <v>298</v>
      </c>
      <c r="M3380">
        <v>15</v>
      </c>
      <c r="N3380">
        <f>IFERROR(VLOOKUP(A3380,vlookup_table!$A:$G,2,FALSE),"")</f>
        <v>1</v>
      </c>
      <c r="O3380">
        <f>IFERROR(VLOOKUP(A3380,vlookup_table!$A:$G,4,FALSE),"")</f>
        <v>4701</v>
      </c>
      <c r="P3380" t="str">
        <f>IFERROR(VLOOKUP(A3380,vlookup_table!$A:$G,5,FALSE),"")</f>
        <v>T2</v>
      </c>
      <c r="Q3380">
        <f>IFERROR(VLOOKUP(A3380,vlookup_table!$A:$G,7,FALSE),"")</f>
        <v>5</v>
      </c>
      <c r="R3380">
        <f t="shared" si="208"/>
        <v>50</v>
      </c>
      <c r="S3380" t="str" cm="1">
        <f t="array" ref="S3380">IF(P3380="","",_xlfn.SWITCH(LEFT(P3380,1),"C","Ciudad","T","Pueblo","R","Rural","S","Suburbano","U","Urbano",""))</f>
        <v>Pueblo</v>
      </c>
      <c r="T3380" t="str">
        <f t="shared" si="209"/>
        <v>M</v>
      </c>
      <c r="U3380" t="str">
        <f t="shared" si="210"/>
        <v>WA</v>
      </c>
      <c r="V3380" t="str">
        <f t="shared" si="211"/>
        <v>11588</v>
      </c>
    </row>
    <row r="3381" spans="1:22" x14ac:dyDescent="0.35">
      <c r="A3381" s="3">
        <v>95467</v>
      </c>
      <c r="B3381" t="s">
        <v>16</v>
      </c>
      <c r="C3381" t="s">
        <v>17</v>
      </c>
      <c r="D3381">
        <v>765</v>
      </c>
      <c r="E3381">
        <v>352</v>
      </c>
      <c r="F3381">
        <v>456</v>
      </c>
      <c r="G3381">
        <v>2</v>
      </c>
      <c r="H3381">
        <v>18503</v>
      </c>
      <c r="I3381">
        <v>1</v>
      </c>
      <c r="J3381">
        <v>78</v>
      </c>
      <c r="K3381">
        <v>381</v>
      </c>
      <c r="L3381">
        <v>435</v>
      </c>
      <c r="M3381">
        <v>5.9375</v>
      </c>
      <c r="N3381">
        <f>IFERROR(VLOOKUP(A3381,vlookup_table!$A:$G,2,FALSE),"")</f>
        <v>0</v>
      </c>
      <c r="O3381">
        <f>IFERROR(VLOOKUP(A3381,vlookup_table!$A:$G,4,FALSE),"")</f>
        <v>2501</v>
      </c>
      <c r="P3381" t="str">
        <f>IFERROR(VLOOKUP(A3381,vlookup_table!$A:$G,5,FALSE),"")</f>
        <v>R2</v>
      </c>
      <c r="Q3381">
        <f>IFERROR(VLOOKUP(A3381,vlookup_table!$A:$G,7,FALSE),"")</f>
        <v>4</v>
      </c>
      <c r="R3381">
        <f t="shared" si="208"/>
        <v>72</v>
      </c>
      <c r="S3381" t="str" cm="1">
        <f t="array" ref="S3381">IF(P3381="","",_xlfn.SWITCH(LEFT(P3381,1),"C","Ciudad","T","Pueblo","R","Rural","S","Suburbano","U","Urbano",""))</f>
        <v>Rural</v>
      </c>
      <c r="T3381" t="str">
        <f t="shared" si="209"/>
        <v>F</v>
      </c>
      <c r="U3381" t="str">
        <f t="shared" si="210"/>
        <v>IL</v>
      </c>
      <c r="V3381" t="str">
        <f t="shared" si="211"/>
        <v>18503</v>
      </c>
    </row>
    <row r="3382" spans="1:22" x14ac:dyDescent="0.35">
      <c r="A3382" s="3">
        <v>126530</v>
      </c>
      <c r="B3382" t="s">
        <v>21</v>
      </c>
      <c r="C3382" t="s">
        <v>14</v>
      </c>
      <c r="D3382">
        <v>369</v>
      </c>
      <c r="E3382">
        <v>253</v>
      </c>
      <c r="F3382">
        <v>291</v>
      </c>
      <c r="G3382">
        <v>0</v>
      </c>
      <c r="H3382">
        <v>7909</v>
      </c>
      <c r="I3382">
        <v>7</v>
      </c>
      <c r="J3382">
        <v>82</v>
      </c>
      <c r="K3382">
        <v>269</v>
      </c>
      <c r="L3382">
        <v>266</v>
      </c>
      <c r="M3382">
        <v>25</v>
      </c>
      <c r="N3382">
        <f>IFERROR(VLOOKUP(A3382,vlookup_table!$A:$G,2,FALSE),"")</f>
        <v>0</v>
      </c>
      <c r="O3382">
        <f>IFERROR(VLOOKUP(A3382,vlookup_table!$A:$G,4,FALSE),"")</f>
        <v>4401</v>
      </c>
      <c r="P3382" t="str">
        <f>IFERROR(VLOOKUP(A3382,vlookup_table!$A:$G,5,FALSE),"")</f>
        <v>T2</v>
      </c>
      <c r="Q3382">
        <f>IFERROR(VLOOKUP(A3382,vlookup_table!$A:$G,7,FALSE),"")</f>
        <v>30</v>
      </c>
      <c r="R3382">
        <f t="shared" si="208"/>
        <v>53</v>
      </c>
      <c r="S3382" t="str" cm="1">
        <f t="array" ref="S3382">IF(P3382="","",_xlfn.SWITCH(LEFT(P3382,1),"C","Ciudad","T","Pueblo","R","Rural","S","Suburbano","U","Urbano",""))</f>
        <v>Pueblo</v>
      </c>
      <c r="T3382" t="str">
        <f t="shared" si="209"/>
        <v>M</v>
      </c>
      <c r="U3382" t="str">
        <f t="shared" si="210"/>
        <v>TX</v>
      </c>
      <c r="V3382" t="str">
        <f t="shared" si="211"/>
        <v>7909</v>
      </c>
    </row>
    <row r="3383" spans="1:22" x14ac:dyDescent="0.35">
      <c r="A3383" s="3">
        <v>9049</v>
      </c>
      <c r="B3383" t="s">
        <v>13</v>
      </c>
      <c r="C3383" t="s">
        <v>17</v>
      </c>
      <c r="D3383">
        <v>586</v>
      </c>
      <c r="E3383">
        <v>323</v>
      </c>
      <c r="F3383">
        <v>335</v>
      </c>
      <c r="G3383">
        <v>0</v>
      </c>
      <c r="H3383">
        <v>8833</v>
      </c>
      <c r="I3383">
        <v>37</v>
      </c>
      <c r="J3383">
        <v>27</v>
      </c>
      <c r="K3383">
        <v>327</v>
      </c>
      <c r="L3383">
        <v>334</v>
      </c>
      <c r="M3383">
        <v>8.8181818179999993</v>
      </c>
      <c r="N3383">
        <f>IFERROR(VLOOKUP(A3383,vlookup_table!$A:$G,2,FALSE),"")</f>
        <v>2</v>
      </c>
      <c r="O3383">
        <f>IFERROR(VLOOKUP(A3383,vlookup_table!$A:$G,4,FALSE),"")</f>
        <v>4601</v>
      </c>
      <c r="P3383" t="str">
        <f>IFERROR(VLOOKUP(A3383,vlookup_table!$A:$G,5,FALSE),"")</f>
        <v>C3</v>
      </c>
      <c r="Q3383">
        <f>IFERROR(VLOOKUP(A3383,vlookup_table!$A:$G,7,FALSE),"")</f>
        <v>15</v>
      </c>
      <c r="R3383">
        <f t="shared" si="208"/>
        <v>51</v>
      </c>
      <c r="S3383" t="str" cm="1">
        <f t="array" ref="S3383">IF(P3383="","",_xlfn.SWITCH(LEFT(P3383,1),"C","Ciudad","T","Pueblo","R","Rural","S","Suburbano","U","Urbano",""))</f>
        <v>Ciudad</v>
      </c>
      <c r="T3383" t="str">
        <f t="shared" si="209"/>
        <v>F</v>
      </c>
      <c r="U3383" t="str">
        <f t="shared" si="210"/>
        <v>FL</v>
      </c>
      <c r="V3383" t="str">
        <f t="shared" si="211"/>
        <v>8833</v>
      </c>
    </row>
    <row r="3384" spans="1:22" x14ac:dyDescent="0.35">
      <c r="A3384" s="3">
        <v>19986</v>
      </c>
      <c r="B3384" t="s">
        <v>18</v>
      </c>
      <c r="C3384" t="s">
        <v>14</v>
      </c>
      <c r="D3384">
        <v>397</v>
      </c>
      <c r="E3384">
        <v>183</v>
      </c>
      <c r="F3384">
        <v>255</v>
      </c>
      <c r="G3384">
        <v>0</v>
      </c>
      <c r="H3384">
        <v>7214</v>
      </c>
      <c r="I3384">
        <v>0</v>
      </c>
      <c r="J3384">
        <v>90</v>
      </c>
      <c r="K3384">
        <v>210</v>
      </c>
      <c r="L3384">
        <v>230</v>
      </c>
      <c r="M3384">
        <v>9</v>
      </c>
      <c r="N3384">
        <f>IFERROR(VLOOKUP(A3384,vlookup_table!$A:$G,2,FALSE),"")</f>
        <v>0</v>
      </c>
      <c r="O3384">
        <f>IFERROR(VLOOKUP(A3384,vlookup_table!$A:$G,4,FALSE),"")</f>
        <v>7001</v>
      </c>
      <c r="P3384" t="str">
        <f>IFERROR(VLOOKUP(A3384,vlookup_table!$A:$G,5,FALSE),"")</f>
        <v>T2</v>
      </c>
      <c r="Q3384">
        <f>IFERROR(VLOOKUP(A3384,vlookup_table!$A:$G,7,FALSE),"")</f>
        <v>10</v>
      </c>
      <c r="R3384">
        <f t="shared" si="208"/>
        <v>27</v>
      </c>
      <c r="S3384" t="str" cm="1">
        <f t="array" ref="S3384">IF(P3384="","",_xlfn.SWITCH(LEFT(P3384,1),"C","Ciudad","T","Pueblo","R","Rural","S","Suburbano","U","Urbano",""))</f>
        <v>Pueblo</v>
      </c>
      <c r="T3384" t="str">
        <f t="shared" si="209"/>
        <v>M</v>
      </c>
      <c r="U3384" t="str">
        <f t="shared" si="210"/>
        <v>NC</v>
      </c>
      <c r="V3384" t="str">
        <f t="shared" si="211"/>
        <v>7214</v>
      </c>
    </row>
    <row r="3385" spans="1:22" x14ac:dyDescent="0.35">
      <c r="A3385" s="3">
        <v>25731</v>
      </c>
      <c r="B3385" t="s">
        <v>39</v>
      </c>
      <c r="C3385" t="s">
        <v>14</v>
      </c>
      <c r="D3385">
        <v>804</v>
      </c>
      <c r="E3385">
        <v>366</v>
      </c>
      <c r="F3385">
        <v>441</v>
      </c>
      <c r="G3385">
        <v>7</v>
      </c>
      <c r="H3385">
        <v>15041</v>
      </c>
      <c r="I3385">
        <v>2</v>
      </c>
      <c r="J3385">
        <v>54</v>
      </c>
      <c r="K3385">
        <v>408</v>
      </c>
      <c r="L3385">
        <v>400</v>
      </c>
      <c r="M3385">
        <v>15</v>
      </c>
      <c r="N3385">
        <f>IFERROR(VLOOKUP(A3385,vlookup_table!$A:$G,2,FALSE),"")</f>
        <v>0</v>
      </c>
      <c r="O3385">
        <f>IFERROR(VLOOKUP(A3385,vlookup_table!$A:$G,4,FALSE),"")</f>
        <v>6801</v>
      </c>
      <c r="P3385" t="str">
        <f>IFERROR(VLOOKUP(A3385,vlookup_table!$A:$G,5,FALSE),"")</f>
        <v>T2</v>
      </c>
      <c r="Q3385">
        <f>IFERROR(VLOOKUP(A3385,vlookup_table!$A:$G,7,FALSE),"")</f>
        <v>21</v>
      </c>
      <c r="R3385">
        <f t="shared" si="208"/>
        <v>29</v>
      </c>
      <c r="S3385" t="str" cm="1">
        <f t="array" ref="S3385">IF(P3385="","",_xlfn.SWITCH(LEFT(P3385,1),"C","Ciudad","T","Pueblo","R","Rural","S","Suburbano","U","Urbano",""))</f>
        <v>Pueblo</v>
      </c>
      <c r="T3385" t="str">
        <f t="shared" si="209"/>
        <v>M</v>
      </c>
      <c r="U3385" t="str">
        <f t="shared" si="210"/>
        <v>GA</v>
      </c>
      <c r="V3385" t="str">
        <f t="shared" si="211"/>
        <v>15041</v>
      </c>
    </row>
    <row r="3386" spans="1:22" x14ac:dyDescent="0.35">
      <c r="A3386" s="3">
        <v>45258</v>
      </c>
      <c r="B3386" t="s">
        <v>13</v>
      </c>
      <c r="C3386" t="s">
        <v>17</v>
      </c>
      <c r="D3386">
        <v>518</v>
      </c>
      <c r="E3386">
        <v>184</v>
      </c>
      <c r="F3386">
        <v>264</v>
      </c>
      <c r="G3386">
        <v>0</v>
      </c>
      <c r="H3386">
        <v>11126</v>
      </c>
      <c r="I3386">
        <v>7</v>
      </c>
      <c r="J3386">
        <v>12</v>
      </c>
      <c r="K3386">
        <v>213</v>
      </c>
      <c r="L3386">
        <v>228</v>
      </c>
      <c r="M3386">
        <v>10</v>
      </c>
      <c r="N3386">
        <f>IFERROR(VLOOKUP(A3386,vlookup_table!$A:$G,2,FALSE),"")</f>
        <v>0</v>
      </c>
      <c r="O3386">
        <f>IFERROR(VLOOKUP(A3386,vlookup_table!$A:$G,4,FALSE),"")</f>
        <v>4501</v>
      </c>
      <c r="P3386" t="str">
        <f>IFERROR(VLOOKUP(A3386,vlookup_table!$A:$G,5,FALSE),"")</f>
        <v>U3</v>
      </c>
      <c r="Q3386">
        <f>IFERROR(VLOOKUP(A3386,vlookup_table!$A:$G,7,FALSE),"")</f>
        <v>5</v>
      </c>
      <c r="R3386">
        <f t="shared" si="208"/>
        <v>52</v>
      </c>
      <c r="S3386" t="str" cm="1">
        <f t="array" ref="S3386">IF(P3386="","",_xlfn.SWITCH(LEFT(P3386,1),"C","Ciudad","T","Pueblo","R","Rural","S","Suburbano","U","Urbano",""))</f>
        <v>Urbano</v>
      </c>
      <c r="T3386" t="str">
        <f t="shared" si="209"/>
        <v>F</v>
      </c>
      <c r="U3386" t="str">
        <f t="shared" si="210"/>
        <v>FL</v>
      </c>
      <c r="V3386" t="str">
        <f t="shared" si="211"/>
        <v>11126</v>
      </c>
    </row>
    <row r="3387" spans="1:22" x14ac:dyDescent="0.35">
      <c r="A3387" s="3">
        <v>175996</v>
      </c>
      <c r="B3387" t="s">
        <v>50</v>
      </c>
      <c r="C3387" t="s">
        <v>17</v>
      </c>
      <c r="D3387">
        <v>1149</v>
      </c>
      <c r="E3387">
        <v>504</v>
      </c>
      <c r="F3387">
        <v>580</v>
      </c>
      <c r="G3387">
        <v>6</v>
      </c>
      <c r="H3387">
        <v>19641</v>
      </c>
      <c r="I3387">
        <v>7</v>
      </c>
      <c r="J3387">
        <v>53</v>
      </c>
      <c r="K3387">
        <v>526</v>
      </c>
      <c r="L3387">
        <v>550</v>
      </c>
      <c r="M3387">
        <v>11.5</v>
      </c>
      <c r="N3387">
        <f>IFERROR(VLOOKUP(A3387,vlookup_table!$A:$G,2,FALSE),"")</f>
        <v>0</v>
      </c>
      <c r="O3387">
        <f>IFERROR(VLOOKUP(A3387,vlookup_table!$A:$G,4,FALSE),"")</f>
        <v>3501</v>
      </c>
      <c r="P3387" t="str">
        <f>IFERROR(VLOOKUP(A3387,vlookup_table!$A:$G,5,FALSE),"")</f>
        <v>S1</v>
      </c>
      <c r="Q3387">
        <f>IFERROR(VLOOKUP(A3387,vlookup_table!$A:$G,7,FALSE),"")</f>
        <v>10</v>
      </c>
      <c r="R3387">
        <f t="shared" si="208"/>
        <v>62</v>
      </c>
      <c r="S3387" t="str" cm="1">
        <f t="array" ref="S3387">IF(P3387="","",_xlfn.SWITCH(LEFT(P3387,1),"C","Ciudad","T","Pueblo","R","Rural","S","Suburbano","U","Urbano",""))</f>
        <v>Suburbano</v>
      </c>
      <c r="T3387" t="str">
        <f t="shared" si="209"/>
        <v>F</v>
      </c>
      <c r="U3387" t="str">
        <f t="shared" si="210"/>
        <v>OR</v>
      </c>
      <c r="V3387" t="str">
        <f t="shared" si="211"/>
        <v>19641</v>
      </c>
    </row>
    <row r="3388" spans="1:22" x14ac:dyDescent="0.35">
      <c r="A3388" s="3">
        <v>56113</v>
      </c>
      <c r="B3388" t="s">
        <v>62</v>
      </c>
      <c r="C3388" t="s">
        <v>14</v>
      </c>
      <c r="D3388">
        <v>494</v>
      </c>
      <c r="E3388">
        <v>259</v>
      </c>
      <c r="F3388">
        <v>333</v>
      </c>
      <c r="G3388">
        <v>0</v>
      </c>
      <c r="H3388">
        <v>10812</v>
      </c>
      <c r="I3388">
        <v>1</v>
      </c>
      <c r="J3388">
        <v>65</v>
      </c>
      <c r="K3388">
        <v>306</v>
      </c>
      <c r="L3388">
        <v>296</v>
      </c>
      <c r="M3388">
        <v>4.1025641029999997</v>
      </c>
      <c r="N3388">
        <f>IFERROR(VLOOKUP(A3388,vlookup_table!$A:$G,2,FALSE),"")</f>
        <v>1002</v>
      </c>
      <c r="O3388">
        <f>IFERROR(VLOOKUP(A3388,vlookup_table!$A:$G,4,FALSE),"")</f>
        <v>4504</v>
      </c>
      <c r="P3388" t="str">
        <f>IFERROR(VLOOKUP(A3388,vlookup_table!$A:$G,5,FALSE),"")</f>
        <v>T2</v>
      </c>
      <c r="Q3388">
        <f>IFERROR(VLOOKUP(A3388,vlookup_table!$A:$G,7,FALSE),"")</f>
        <v>5</v>
      </c>
      <c r="R3388">
        <f t="shared" si="208"/>
        <v>52</v>
      </c>
      <c r="S3388" t="str" cm="1">
        <f t="array" ref="S3388">IF(P3388="","",_xlfn.SWITCH(LEFT(P3388,1),"C","Ciudad","T","Pueblo","R","Rural","S","Suburbano","U","Urbano",""))</f>
        <v>Pueblo</v>
      </c>
      <c r="T3388" t="str">
        <f t="shared" si="209"/>
        <v>M</v>
      </c>
      <c r="U3388" t="str">
        <f t="shared" si="210"/>
        <v>MS</v>
      </c>
      <c r="V3388" t="str">
        <f t="shared" si="211"/>
        <v>10812</v>
      </c>
    </row>
    <row r="3389" spans="1:22" x14ac:dyDescent="0.35">
      <c r="A3389" s="3">
        <v>138945</v>
      </c>
      <c r="B3389" t="s">
        <v>55</v>
      </c>
      <c r="C3389" t="s">
        <v>60</v>
      </c>
      <c r="D3389">
        <v>1773</v>
      </c>
      <c r="E3389">
        <v>226</v>
      </c>
      <c r="F3389">
        <v>425</v>
      </c>
      <c r="G3389">
        <v>42</v>
      </c>
      <c r="H3389">
        <v>16919</v>
      </c>
      <c r="I3389">
        <v>7</v>
      </c>
      <c r="J3389">
        <v>15</v>
      </c>
      <c r="K3389">
        <v>354</v>
      </c>
      <c r="L3389">
        <v>342</v>
      </c>
      <c r="M3389">
        <v>11</v>
      </c>
      <c r="N3389">
        <f>IFERROR(VLOOKUP(A3389,vlookup_table!$A:$G,2,FALSE),"")</f>
        <v>28</v>
      </c>
      <c r="O3389">
        <f>IFERROR(VLOOKUP(A3389,vlookup_table!$A:$G,4,FALSE),"")</f>
        <v>2901</v>
      </c>
      <c r="P3389" t="str">
        <f>IFERROR(VLOOKUP(A3389,vlookup_table!$A:$G,5,FALSE),"")</f>
        <v>C2</v>
      </c>
      <c r="Q3389">
        <f>IFERROR(VLOOKUP(A3389,vlookup_table!$A:$G,7,FALSE),"")</f>
        <v>23</v>
      </c>
      <c r="R3389">
        <f t="shared" si="208"/>
        <v>68</v>
      </c>
      <c r="S3389" t="str" cm="1">
        <f t="array" ref="S3389">IF(P3389="","",_xlfn.SWITCH(LEFT(P3389,1),"C","Ciudad","T","Pueblo","R","Rural","S","Suburbano","U","Urbano",""))</f>
        <v>Ciudad</v>
      </c>
      <c r="T3389" t="str">
        <f t="shared" si="209"/>
        <v>F</v>
      </c>
      <c r="U3389" t="str">
        <f t="shared" si="210"/>
        <v>AZ</v>
      </c>
      <c r="V3389" t="str">
        <f t="shared" si="211"/>
        <v>16919</v>
      </c>
    </row>
    <row r="3390" spans="1:22" x14ac:dyDescent="0.35">
      <c r="A3390" s="3">
        <v>135098</v>
      </c>
      <c r="B3390" t="s">
        <v>55</v>
      </c>
      <c r="C3390" t="s">
        <v>60</v>
      </c>
      <c r="D3390">
        <v>699</v>
      </c>
      <c r="E3390">
        <v>250</v>
      </c>
      <c r="F3390">
        <v>299</v>
      </c>
      <c r="G3390">
        <v>0</v>
      </c>
      <c r="H3390">
        <v>15108</v>
      </c>
      <c r="I3390">
        <v>12</v>
      </c>
      <c r="J3390">
        <v>35</v>
      </c>
      <c r="K3390">
        <v>290</v>
      </c>
      <c r="L3390">
        <v>286</v>
      </c>
      <c r="M3390">
        <v>7.5833333329999997</v>
      </c>
      <c r="N3390">
        <f>IFERROR(VLOOKUP(A3390,vlookup_table!$A:$G,2,FALSE),"")</f>
        <v>28</v>
      </c>
      <c r="O3390">
        <f>IFERROR(VLOOKUP(A3390,vlookup_table!$A:$G,4,FALSE),"")</f>
        <v>3106</v>
      </c>
      <c r="P3390" t="str">
        <f>IFERROR(VLOOKUP(A3390,vlookup_table!$A:$G,5,FALSE),"")</f>
        <v>S2</v>
      </c>
      <c r="Q3390">
        <f>IFERROR(VLOOKUP(A3390,vlookup_table!$A:$G,7,FALSE),"")</f>
        <v>20</v>
      </c>
      <c r="R3390">
        <f t="shared" si="208"/>
        <v>66</v>
      </c>
      <c r="S3390" t="str" cm="1">
        <f t="array" ref="S3390">IF(P3390="","",_xlfn.SWITCH(LEFT(P3390,1),"C","Ciudad","T","Pueblo","R","Rural","S","Suburbano","U","Urbano",""))</f>
        <v>Suburbano</v>
      </c>
      <c r="T3390" t="str">
        <f t="shared" si="209"/>
        <v>F</v>
      </c>
      <c r="U3390" t="str">
        <f t="shared" si="210"/>
        <v>AZ</v>
      </c>
      <c r="V3390" t="str">
        <f t="shared" si="211"/>
        <v>15108</v>
      </c>
    </row>
    <row r="3391" spans="1:22" x14ac:dyDescent="0.35">
      <c r="A3391" s="3">
        <v>87074</v>
      </c>
      <c r="B3391" t="s">
        <v>34</v>
      </c>
      <c r="C3391" t="s">
        <v>20</v>
      </c>
      <c r="D3391">
        <v>320</v>
      </c>
      <c r="E3391">
        <v>172</v>
      </c>
      <c r="F3391">
        <v>285</v>
      </c>
      <c r="G3391">
        <v>0</v>
      </c>
      <c r="H3391">
        <v>9900</v>
      </c>
      <c r="I3391">
        <v>0</v>
      </c>
      <c r="J3391">
        <v>78</v>
      </c>
      <c r="K3391">
        <v>208</v>
      </c>
      <c r="L3391">
        <v>247</v>
      </c>
      <c r="M3391">
        <v>10.64</v>
      </c>
      <c r="N3391">
        <f>IFERROR(VLOOKUP(A3391,vlookup_table!$A:$G,2,FALSE),"")</f>
        <v>0</v>
      </c>
      <c r="O3391">
        <f>IFERROR(VLOOKUP(A3391,vlookup_table!$A:$G,4,FALSE),"")</f>
        <v>7801</v>
      </c>
      <c r="P3391" t="str">
        <f>IFERROR(VLOOKUP(A3391,vlookup_table!$A:$G,5,FALSE),"")</f>
        <v>R3</v>
      </c>
      <c r="Q3391">
        <f>IFERROR(VLOOKUP(A3391,vlookup_table!$A:$G,7,FALSE),"")</f>
        <v>5</v>
      </c>
      <c r="R3391">
        <f t="shared" si="208"/>
        <v>19</v>
      </c>
      <c r="S3391" t="str" cm="1">
        <f t="array" ref="S3391">IF(P3391="","",_xlfn.SWITCH(LEFT(P3391,1),"C","Ciudad","T","Pueblo","R","Rural","S","Suburbano","U","Urbano",""))</f>
        <v>Rural</v>
      </c>
      <c r="T3391" t="str">
        <f t="shared" si="209"/>
        <v>F</v>
      </c>
      <c r="U3391" t="str">
        <f t="shared" si="210"/>
        <v>MT</v>
      </c>
      <c r="V3391" t="str">
        <f t="shared" si="211"/>
        <v>9900</v>
      </c>
    </row>
    <row r="3392" spans="1:22" x14ac:dyDescent="0.35">
      <c r="A3392" s="3">
        <v>23723</v>
      </c>
      <c r="B3392" t="s">
        <v>46</v>
      </c>
      <c r="C3392" t="s">
        <v>14</v>
      </c>
      <c r="D3392">
        <v>880</v>
      </c>
      <c r="E3392">
        <v>412</v>
      </c>
      <c r="F3392">
        <v>505</v>
      </c>
      <c r="G3392">
        <v>2</v>
      </c>
      <c r="H3392">
        <v>18480</v>
      </c>
      <c r="I3392">
        <v>2</v>
      </c>
      <c r="J3392">
        <v>49</v>
      </c>
      <c r="K3392">
        <v>433</v>
      </c>
      <c r="L3392">
        <v>469</v>
      </c>
      <c r="M3392">
        <v>7.5555555559999998</v>
      </c>
      <c r="N3392">
        <f>IFERROR(VLOOKUP(A3392,vlookup_table!$A:$G,2,FALSE),"")</f>
        <v>1</v>
      </c>
      <c r="O3392">
        <f>IFERROR(VLOOKUP(A3392,vlookup_table!$A:$G,4,FALSE),"")</f>
        <v>6101</v>
      </c>
      <c r="P3392" t="str">
        <f>IFERROR(VLOOKUP(A3392,vlookup_table!$A:$G,5,FALSE),"")</f>
        <v>T1</v>
      </c>
      <c r="Q3392">
        <f>IFERROR(VLOOKUP(A3392,vlookup_table!$A:$G,7,FALSE),"")</f>
        <v>10</v>
      </c>
      <c r="R3392">
        <f t="shared" si="208"/>
        <v>36</v>
      </c>
      <c r="S3392" t="str" cm="1">
        <f t="array" ref="S3392">IF(P3392="","",_xlfn.SWITCH(LEFT(P3392,1),"C","Ciudad","T","Pueblo","R","Rural","S","Suburbano","U","Urbano",""))</f>
        <v>Pueblo</v>
      </c>
      <c r="T3392" t="str">
        <f t="shared" si="209"/>
        <v>M</v>
      </c>
      <c r="U3392" t="str">
        <f t="shared" si="210"/>
        <v>SC</v>
      </c>
      <c r="V3392" t="str">
        <f t="shared" si="211"/>
        <v>18480</v>
      </c>
    </row>
    <row r="3393" spans="1:22" x14ac:dyDescent="0.35">
      <c r="A3393" s="3">
        <v>116053</v>
      </c>
      <c r="B3393" t="s">
        <v>21</v>
      </c>
      <c r="C3393" t="s">
        <v>14</v>
      </c>
      <c r="D3393">
        <v>1112</v>
      </c>
      <c r="E3393">
        <v>594</v>
      </c>
      <c r="F3393">
        <v>639</v>
      </c>
      <c r="G3393">
        <v>4</v>
      </c>
      <c r="H3393">
        <v>26632</v>
      </c>
      <c r="I3393">
        <v>2</v>
      </c>
      <c r="J3393">
        <v>62</v>
      </c>
      <c r="K3393">
        <v>619</v>
      </c>
      <c r="L3393">
        <v>597</v>
      </c>
      <c r="M3393">
        <v>6</v>
      </c>
      <c r="N3393">
        <f>IFERROR(VLOOKUP(A3393,vlookup_table!$A:$G,2,FALSE),"")</f>
        <v>1</v>
      </c>
      <c r="O3393">
        <f>IFERROR(VLOOKUP(A3393,vlookup_table!$A:$G,4,FALSE),"")</f>
        <v>5201</v>
      </c>
      <c r="P3393" t="str">
        <f>IFERROR(VLOOKUP(A3393,vlookup_table!$A:$G,5,FALSE),"")</f>
        <v>C1</v>
      </c>
      <c r="Q3393">
        <f>IFERROR(VLOOKUP(A3393,vlookup_table!$A:$G,7,FALSE),"")</f>
        <v>6</v>
      </c>
      <c r="R3393">
        <f t="shared" si="208"/>
        <v>45</v>
      </c>
      <c r="S3393" t="str" cm="1">
        <f t="array" ref="S3393">IF(P3393="","",_xlfn.SWITCH(LEFT(P3393,1),"C","Ciudad","T","Pueblo","R","Rural","S","Suburbano","U","Urbano",""))</f>
        <v>Ciudad</v>
      </c>
      <c r="T3393" t="str">
        <f t="shared" si="209"/>
        <v>M</v>
      </c>
      <c r="U3393" t="str">
        <f t="shared" si="210"/>
        <v>TX</v>
      </c>
      <c r="V3393" t="str">
        <f t="shared" si="211"/>
        <v>26632</v>
      </c>
    </row>
    <row r="3394" spans="1:22" x14ac:dyDescent="0.35">
      <c r="A3394" s="3">
        <v>92021</v>
      </c>
      <c r="B3394" t="s">
        <v>16</v>
      </c>
      <c r="C3394" t="s">
        <v>14</v>
      </c>
      <c r="D3394">
        <v>960</v>
      </c>
      <c r="E3394">
        <v>344</v>
      </c>
      <c r="F3394">
        <v>459</v>
      </c>
      <c r="G3394">
        <v>0</v>
      </c>
      <c r="H3394">
        <v>16580</v>
      </c>
      <c r="I3394">
        <v>8</v>
      </c>
      <c r="J3394">
        <v>71</v>
      </c>
      <c r="K3394">
        <v>411</v>
      </c>
      <c r="L3394">
        <v>398</v>
      </c>
      <c r="M3394">
        <v>20</v>
      </c>
      <c r="N3394">
        <f>IFERROR(VLOOKUP(A3394,vlookup_table!$A:$G,2,FALSE),"")</f>
        <v>1</v>
      </c>
      <c r="O3394">
        <f>IFERROR(VLOOKUP(A3394,vlookup_table!$A:$G,4,FALSE),"")</f>
        <v>3201</v>
      </c>
      <c r="P3394" t="str">
        <f>IFERROR(VLOOKUP(A3394,vlookup_table!$A:$G,5,FALSE),"")</f>
        <v>C2</v>
      </c>
      <c r="Q3394">
        <f>IFERROR(VLOOKUP(A3394,vlookup_table!$A:$G,7,FALSE),"")</f>
        <v>20</v>
      </c>
      <c r="R3394">
        <f t="shared" ref="R3394:R3457" si="212">IF(O3394="","",97-INT(O3394/100))</f>
        <v>65</v>
      </c>
      <c r="S3394" t="str" cm="1">
        <f t="array" ref="S3394">IF(P3394="","",_xlfn.SWITCH(LEFT(P3394,1),"C","Ciudad","T","Pueblo","R","Rural","S","Suburbano","U","Urbano",""))</f>
        <v>Ciudad</v>
      </c>
      <c r="T3394" t="str">
        <f t="shared" ref="T3394:T3457" si="213">IF(C3394="","",IF(OR(UPPER(C3394)="M",UPPER(C3394)="MALE"),"M",IF(OR(UPPER(C3394)="F",UPPER(C3394)="FEMALE",UPPER(C3394)="FEAMALE"),"F",C3394)))</f>
        <v>M</v>
      </c>
      <c r="U3394" t="str">
        <f t="shared" ref="U3394:U3457" si="214">IF(OR(UPPER(B3394)="CALIFORNIA",UPPER(B3394)="CALI"),"CA",B3394)</f>
        <v>IL</v>
      </c>
      <c r="V3394" t="str">
        <f t="shared" ref="V3394:V3457" si="215">SUBSTITUTE(H3394,"@","")</f>
        <v>16580</v>
      </c>
    </row>
    <row r="3395" spans="1:22" x14ac:dyDescent="0.35">
      <c r="A3395" s="3">
        <v>164989</v>
      </c>
      <c r="B3395" t="s">
        <v>22</v>
      </c>
      <c r="C3395" t="s">
        <v>17</v>
      </c>
      <c r="D3395">
        <v>5287</v>
      </c>
      <c r="E3395">
        <v>1032</v>
      </c>
      <c r="F3395">
        <v>1002</v>
      </c>
      <c r="G3395">
        <v>98</v>
      </c>
      <c r="H3395">
        <v>43904</v>
      </c>
      <c r="I3395">
        <v>10</v>
      </c>
      <c r="J3395">
        <v>51</v>
      </c>
      <c r="K3395">
        <v>1105</v>
      </c>
      <c r="L3395">
        <v>949</v>
      </c>
      <c r="M3395">
        <v>13.375</v>
      </c>
      <c r="N3395">
        <f>IFERROR(VLOOKUP(A3395,vlookup_table!$A:$G,2,FALSE),"")</f>
        <v>0</v>
      </c>
      <c r="O3395">
        <f>IFERROR(VLOOKUP(A3395,vlookup_table!$A:$G,4,FALSE),"")</f>
        <v>3209</v>
      </c>
      <c r="P3395" t="str">
        <f>IFERROR(VLOOKUP(A3395,vlookup_table!$A:$G,5,FALSE),"")</f>
        <v>S1</v>
      </c>
      <c r="Q3395">
        <f>IFERROR(VLOOKUP(A3395,vlookup_table!$A:$G,7,FALSE),"")</f>
        <v>30</v>
      </c>
      <c r="R3395">
        <f t="shared" si="212"/>
        <v>65</v>
      </c>
      <c r="S3395" t="str" cm="1">
        <f t="array" ref="S3395">IF(P3395="","",_xlfn.SWITCH(LEFT(P3395,1),"C","Ciudad","T","Pueblo","R","Rural","S","Suburbano","U","Urbano",""))</f>
        <v>Suburbano</v>
      </c>
      <c r="T3395" t="str">
        <f t="shared" si="213"/>
        <v>F</v>
      </c>
      <c r="U3395" t="str">
        <f t="shared" si="214"/>
        <v>CA</v>
      </c>
      <c r="V3395" t="str">
        <f t="shared" si="215"/>
        <v>43904</v>
      </c>
    </row>
    <row r="3396" spans="1:22" x14ac:dyDescent="0.35">
      <c r="A3396" s="3">
        <v>126013</v>
      </c>
      <c r="B3396" t="s">
        <v>21</v>
      </c>
      <c r="C3396" t="s">
        <v>14</v>
      </c>
      <c r="D3396">
        <v>697</v>
      </c>
      <c r="E3396">
        <v>435</v>
      </c>
      <c r="F3396">
        <v>497</v>
      </c>
      <c r="G3396">
        <v>0</v>
      </c>
      <c r="H3396">
        <v>15966</v>
      </c>
      <c r="I3396">
        <v>2</v>
      </c>
      <c r="J3396">
        <v>64</v>
      </c>
      <c r="K3396">
        <v>488</v>
      </c>
      <c r="L3396">
        <v>457</v>
      </c>
      <c r="M3396">
        <v>15.33333333</v>
      </c>
      <c r="N3396">
        <f>IFERROR(VLOOKUP(A3396,vlookup_table!$A:$G,2,FALSE),"")</f>
        <v>0</v>
      </c>
      <c r="O3396">
        <f>IFERROR(VLOOKUP(A3396,vlookup_table!$A:$G,4,FALSE),"")</f>
        <v>4001</v>
      </c>
      <c r="P3396" t="str">
        <f>IFERROR(VLOOKUP(A3396,vlookup_table!$A:$G,5,FALSE),"")</f>
        <v>R2</v>
      </c>
      <c r="Q3396">
        <f>IFERROR(VLOOKUP(A3396,vlookup_table!$A:$G,7,FALSE),"")</f>
        <v>20</v>
      </c>
      <c r="R3396">
        <f t="shared" si="212"/>
        <v>57</v>
      </c>
      <c r="S3396" t="str" cm="1">
        <f t="array" ref="S3396">IF(P3396="","",_xlfn.SWITCH(LEFT(P3396,1),"C","Ciudad","T","Pueblo","R","Rural","S","Suburbano","U","Urbano",""))</f>
        <v>Rural</v>
      </c>
      <c r="T3396" t="str">
        <f t="shared" si="213"/>
        <v>M</v>
      </c>
      <c r="U3396" t="str">
        <f t="shared" si="214"/>
        <v>TX</v>
      </c>
      <c r="V3396" t="str">
        <f t="shared" si="215"/>
        <v>15966</v>
      </c>
    </row>
    <row r="3397" spans="1:22" x14ac:dyDescent="0.35">
      <c r="A3397" s="3">
        <v>117076</v>
      </c>
      <c r="B3397" t="s">
        <v>21</v>
      </c>
      <c r="C3397" t="s">
        <v>17</v>
      </c>
      <c r="D3397">
        <v>548</v>
      </c>
      <c r="E3397">
        <v>238</v>
      </c>
      <c r="F3397">
        <v>271</v>
      </c>
      <c r="G3397">
        <v>0</v>
      </c>
      <c r="H3397">
        <v>7325</v>
      </c>
      <c r="I3397">
        <v>11</v>
      </c>
      <c r="J3397">
        <v>79</v>
      </c>
      <c r="K3397">
        <v>236</v>
      </c>
      <c r="L3397">
        <v>261</v>
      </c>
      <c r="M3397">
        <v>7.9411764710000003</v>
      </c>
      <c r="N3397">
        <f>IFERROR(VLOOKUP(A3397,vlookup_table!$A:$G,2,FALSE),"")</f>
        <v>0</v>
      </c>
      <c r="O3397">
        <f>IFERROR(VLOOKUP(A3397,vlookup_table!$A:$G,4,FALSE),"")</f>
        <v>1808</v>
      </c>
      <c r="P3397" t="str">
        <f>IFERROR(VLOOKUP(A3397,vlookup_table!$A:$G,5,FALSE),"")</f>
        <v>S3</v>
      </c>
      <c r="Q3397">
        <f>IFERROR(VLOOKUP(A3397,vlookup_table!$A:$G,7,FALSE),"")</f>
        <v>10</v>
      </c>
      <c r="R3397">
        <f t="shared" si="212"/>
        <v>79</v>
      </c>
      <c r="S3397" t="str" cm="1">
        <f t="array" ref="S3397">IF(P3397="","",_xlfn.SWITCH(LEFT(P3397,1),"C","Ciudad","T","Pueblo","R","Rural","S","Suburbano","U","Urbano",""))</f>
        <v>Suburbano</v>
      </c>
      <c r="T3397" t="str">
        <f t="shared" si="213"/>
        <v>F</v>
      </c>
      <c r="U3397" t="str">
        <f t="shared" si="214"/>
        <v>TX</v>
      </c>
      <c r="V3397" t="str">
        <f t="shared" si="215"/>
        <v>7325</v>
      </c>
    </row>
    <row r="3398" spans="1:22" x14ac:dyDescent="0.35">
      <c r="A3398" s="3">
        <v>26680</v>
      </c>
      <c r="B3398" t="s">
        <v>39</v>
      </c>
      <c r="C3398" t="s">
        <v>17</v>
      </c>
      <c r="D3398">
        <v>794</v>
      </c>
      <c r="E3398">
        <v>323</v>
      </c>
      <c r="F3398">
        <v>507</v>
      </c>
      <c r="G3398">
        <v>2</v>
      </c>
      <c r="H3398">
        <v>21758</v>
      </c>
      <c r="I3398">
        <v>2</v>
      </c>
      <c r="J3398">
        <v>69</v>
      </c>
      <c r="K3398">
        <v>396</v>
      </c>
      <c r="L3398">
        <v>461</v>
      </c>
      <c r="M3398">
        <v>10.81818182</v>
      </c>
      <c r="N3398">
        <f>IFERROR(VLOOKUP(A3398,vlookup_table!$A:$G,2,FALSE),"")</f>
        <v>2</v>
      </c>
      <c r="O3398">
        <f>IFERROR(VLOOKUP(A3398,vlookup_table!$A:$G,4,FALSE),"")</f>
        <v>5608</v>
      </c>
      <c r="P3398" t="str">
        <f>IFERROR(VLOOKUP(A3398,vlookup_table!$A:$G,5,FALSE),"")</f>
        <v>T1</v>
      </c>
      <c r="Q3398">
        <f>IFERROR(VLOOKUP(A3398,vlookup_table!$A:$G,7,FALSE),"")</f>
        <v>15</v>
      </c>
      <c r="R3398">
        <f t="shared" si="212"/>
        <v>41</v>
      </c>
      <c r="S3398" t="str" cm="1">
        <f t="array" ref="S3398">IF(P3398="","",_xlfn.SWITCH(LEFT(P3398,1),"C","Ciudad","T","Pueblo","R","Rural","S","Suburbano","U","Urbano",""))</f>
        <v>Pueblo</v>
      </c>
      <c r="T3398" t="str">
        <f t="shared" si="213"/>
        <v>F</v>
      </c>
      <c r="U3398" t="str">
        <f t="shared" si="214"/>
        <v>GA</v>
      </c>
      <c r="V3398" t="str">
        <f t="shared" si="215"/>
        <v>21758</v>
      </c>
    </row>
    <row r="3399" spans="1:22" x14ac:dyDescent="0.35">
      <c r="A3399" s="3">
        <v>176252</v>
      </c>
      <c r="B3399" t="s">
        <v>50</v>
      </c>
      <c r="C3399" t="s">
        <v>14</v>
      </c>
      <c r="D3399">
        <v>716</v>
      </c>
      <c r="E3399">
        <v>371</v>
      </c>
      <c r="F3399">
        <v>421</v>
      </c>
      <c r="G3399">
        <v>2</v>
      </c>
      <c r="H3399">
        <v>15858</v>
      </c>
      <c r="I3399">
        <v>1</v>
      </c>
      <c r="J3399">
        <v>37</v>
      </c>
      <c r="K3399">
        <v>373</v>
      </c>
      <c r="L3399">
        <v>419</v>
      </c>
      <c r="M3399">
        <v>10.363636359999999</v>
      </c>
      <c r="N3399">
        <f>IFERROR(VLOOKUP(A3399,vlookup_table!$A:$G,2,FALSE),"")</f>
        <v>2</v>
      </c>
      <c r="O3399">
        <f>IFERROR(VLOOKUP(A3399,vlookup_table!$A:$G,4,FALSE),"")</f>
        <v>1101</v>
      </c>
      <c r="P3399" t="str">
        <f>IFERROR(VLOOKUP(A3399,vlookup_table!$A:$G,5,FALSE),"")</f>
        <v>S1</v>
      </c>
      <c r="Q3399">
        <f>IFERROR(VLOOKUP(A3399,vlookup_table!$A:$G,7,FALSE),"")</f>
        <v>15</v>
      </c>
      <c r="R3399">
        <f t="shared" si="212"/>
        <v>86</v>
      </c>
      <c r="S3399" t="str" cm="1">
        <f t="array" ref="S3399">IF(P3399="","",_xlfn.SWITCH(LEFT(P3399,1),"C","Ciudad","T","Pueblo","R","Rural","S","Suburbano","U","Urbano",""))</f>
        <v>Suburbano</v>
      </c>
      <c r="T3399" t="str">
        <f t="shared" si="213"/>
        <v>M</v>
      </c>
      <c r="U3399" t="str">
        <f t="shared" si="214"/>
        <v>OR</v>
      </c>
      <c r="V3399" t="str">
        <f t="shared" si="215"/>
        <v>15858</v>
      </c>
    </row>
    <row r="3400" spans="1:22" x14ac:dyDescent="0.35">
      <c r="A3400" s="3">
        <v>119154</v>
      </c>
      <c r="B3400" t="s">
        <v>21</v>
      </c>
      <c r="C3400" t="s">
        <v>44</v>
      </c>
      <c r="D3400">
        <v>595</v>
      </c>
      <c r="E3400">
        <v>400</v>
      </c>
      <c r="F3400">
        <v>426</v>
      </c>
      <c r="G3400">
        <v>0</v>
      </c>
      <c r="H3400">
        <v>14881</v>
      </c>
      <c r="I3400">
        <v>0</v>
      </c>
      <c r="J3400">
        <v>62</v>
      </c>
      <c r="K3400">
        <v>429</v>
      </c>
      <c r="L3400">
        <v>387</v>
      </c>
      <c r="M3400">
        <v>5.576923077</v>
      </c>
      <c r="N3400">
        <f>IFERROR(VLOOKUP(A3400,vlookup_table!$A:$G,2,FALSE),"")</f>
        <v>1002</v>
      </c>
      <c r="O3400">
        <f>IFERROR(VLOOKUP(A3400,vlookup_table!$A:$G,4,FALSE),"")</f>
        <v>2401</v>
      </c>
      <c r="P3400" t="str">
        <f>IFERROR(VLOOKUP(A3400,vlookup_table!$A:$G,5,FALSE),"")</f>
        <v>C2</v>
      </c>
      <c r="Q3400">
        <f>IFERROR(VLOOKUP(A3400,vlookup_table!$A:$G,7,FALSE),"")</f>
        <v>10</v>
      </c>
      <c r="R3400">
        <f t="shared" si="212"/>
        <v>73</v>
      </c>
      <c r="S3400" t="str" cm="1">
        <f t="array" ref="S3400">IF(P3400="","",_xlfn.SWITCH(LEFT(P3400,1),"C","Ciudad","T","Pueblo","R","Rural","S","Suburbano","U","Urbano",""))</f>
        <v>Ciudad</v>
      </c>
      <c r="T3400" t="str">
        <f t="shared" si="213"/>
        <v>J</v>
      </c>
      <c r="U3400" t="str">
        <f t="shared" si="214"/>
        <v>TX</v>
      </c>
      <c r="V3400" t="str">
        <f t="shared" si="215"/>
        <v>14881</v>
      </c>
    </row>
    <row r="3401" spans="1:22" x14ac:dyDescent="0.35">
      <c r="A3401" s="3">
        <v>141442</v>
      </c>
      <c r="B3401" t="s">
        <v>24</v>
      </c>
      <c r="C3401" t="s">
        <v>14</v>
      </c>
      <c r="D3401">
        <v>943</v>
      </c>
      <c r="E3401">
        <v>497</v>
      </c>
      <c r="F3401">
        <v>533</v>
      </c>
      <c r="G3401">
        <v>0</v>
      </c>
      <c r="H3401">
        <v>17961</v>
      </c>
      <c r="I3401">
        <v>11</v>
      </c>
      <c r="J3401">
        <v>25</v>
      </c>
      <c r="K3401">
        <v>509</v>
      </c>
      <c r="L3401">
        <v>523</v>
      </c>
      <c r="M3401">
        <v>17.09090909</v>
      </c>
      <c r="N3401">
        <f>IFERROR(VLOOKUP(A3401,vlookup_table!$A:$G,2,FALSE),"")</f>
        <v>1</v>
      </c>
      <c r="O3401">
        <f>IFERROR(VLOOKUP(A3401,vlookup_table!$A:$G,4,FALSE),"")</f>
        <v>4803</v>
      </c>
      <c r="P3401" t="str">
        <f>IFERROR(VLOOKUP(A3401,vlookup_table!$A:$G,5,FALSE),"")</f>
        <v>S2</v>
      </c>
      <c r="Q3401">
        <f>IFERROR(VLOOKUP(A3401,vlookup_table!$A:$G,7,FALSE),"")</f>
        <v>18</v>
      </c>
      <c r="R3401">
        <f t="shared" si="212"/>
        <v>49</v>
      </c>
      <c r="S3401" t="str" cm="1">
        <f t="array" ref="S3401">IF(P3401="","",_xlfn.SWITCH(LEFT(P3401,1),"C","Ciudad","T","Pueblo","R","Rural","S","Suburbano","U","Urbano",""))</f>
        <v>Suburbano</v>
      </c>
      <c r="T3401" t="str">
        <f t="shared" si="213"/>
        <v>M</v>
      </c>
      <c r="U3401" t="str">
        <f t="shared" si="214"/>
        <v>NV</v>
      </c>
      <c r="V3401" t="str">
        <f t="shared" si="215"/>
        <v>17961</v>
      </c>
    </row>
    <row r="3402" spans="1:22" x14ac:dyDescent="0.35">
      <c r="A3402" s="3">
        <v>1012</v>
      </c>
      <c r="B3402" t="s">
        <v>18</v>
      </c>
      <c r="C3402" t="s">
        <v>14</v>
      </c>
      <c r="D3402">
        <v>1133</v>
      </c>
      <c r="E3402">
        <v>430</v>
      </c>
      <c r="F3402">
        <v>621</v>
      </c>
      <c r="G3402">
        <v>22</v>
      </c>
      <c r="H3402">
        <v>26361</v>
      </c>
      <c r="I3402">
        <v>0</v>
      </c>
      <c r="J3402">
        <v>66</v>
      </c>
      <c r="K3402">
        <v>601</v>
      </c>
      <c r="L3402">
        <v>533</v>
      </c>
      <c r="M3402">
        <v>12.21428571</v>
      </c>
      <c r="N3402">
        <f>IFERROR(VLOOKUP(A3402,vlookup_table!$A:$G,2,FALSE),"")</f>
        <v>2</v>
      </c>
      <c r="O3402">
        <f>IFERROR(VLOOKUP(A3402,vlookup_table!$A:$G,4,FALSE),"")</f>
        <v>2201</v>
      </c>
      <c r="P3402" t="str">
        <f>IFERROR(VLOOKUP(A3402,vlookup_table!$A:$G,5,FALSE),"")</f>
        <v>T1</v>
      </c>
      <c r="Q3402">
        <f>IFERROR(VLOOKUP(A3402,vlookup_table!$A:$G,7,FALSE),"")</f>
        <v>15</v>
      </c>
      <c r="R3402">
        <f t="shared" si="212"/>
        <v>75</v>
      </c>
      <c r="S3402" t="str" cm="1">
        <f t="array" ref="S3402">IF(P3402="","",_xlfn.SWITCH(LEFT(P3402,1),"C","Ciudad","T","Pueblo","R","Rural","S","Suburbano","U","Urbano",""))</f>
        <v>Pueblo</v>
      </c>
      <c r="T3402" t="str">
        <f t="shared" si="213"/>
        <v>M</v>
      </c>
      <c r="U3402" t="str">
        <f t="shared" si="214"/>
        <v>NC</v>
      </c>
      <c r="V3402" t="str">
        <f t="shared" si="215"/>
        <v>26361</v>
      </c>
    </row>
    <row r="3403" spans="1:22" x14ac:dyDescent="0.35">
      <c r="A3403" s="3">
        <v>42878</v>
      </c>
      <c r="B3403" t="s">
        <v>13</v>
      </c>
      <c r="C3403" t="s">
        <v>17</v>
      </c>
      <c r="D3403">
        <v>595</v>
      </c>
      <c r="E3403">
        <v>248</v>
      </c>
      <c r="F3403">
        <v>313</v>
      </c>
      <c r="G3403">
        <v>0</v>
      </c>
      <c r="H3403">
        <v>15936</v>
      </c>
      <c r="I3403">
        <v>6</v>
      </c>
      <c r="J3403">
        <v>4</v>
      </c>
      <c r="K3403">
        <v>274</v>
      </c>
      <c r="L3403">
        <v>288</v>
      </c>
      <c r="M3403">
        <v>6.125</v>
      </c>
      <c r="N3403">
        <f>IFERROR(VLOOKUP(A3403,vlookup_table!$A:$G,2,FALSE),"")</f>
        <v>0</v>
      </c>
      <c r="O3403">
        <f>IFERROR(VLOOKUP(A3403,vlookup_table!$A:$G,4,FALSE),"")</f>
        <v>2201</v>
      </c>
      <c r="P3403" t="str">
        <f>IFERROR(VLOOKUP(A3403,vlookup_table!$A:$G,5,FALSE),"")</f>
        <v>C2</v>
      </c>
      <c r="Q3403">
        <f>IFERROR(VLOOKUP(A3403,vlookup_table!$A:$G,7,FALSE),"")</f>
        <v>10</v>
      </c>
      <c r="R3403">
        <f t="shared" si="212"/>
        <v>75</v>
      </c>
      <c r="S3403" t="str" cm="1">
        <f t="array" ref="S3403">IF(P3403="","",_xlfn.SWITCH(LEFT(P3403,1),"C","Ciudad","T","Pueblo","R","Rural","S","Suburbano","U","Urbano",""))</f>
        <v>Ciudad</v>
      </c>
      <c r="T3403" t="str">
        <f t="shared" si="213"/>
        <v>F</v>
      </c>
      <c r="U3403" t="str">
        <f t="shared" si="214"/>
        <v>FL</v>
      </c>
      <c r="V3403" t="str">
        <f t="shared" si="215"/>
        <v>15936</v>
      </c>
    </row>
    <row r="3404" spans="1:22" x14ac:dyDescent="0.35">
      <c r="A3404" s="3">
        <v>188896</v>
      </c>
      <c r="B3404" t="s">
        <v>55</v>
      </c>
      <c r="C3404" t="s">
        <v>14</v>
      </c>
      <c r="D3404">
        <v>705</v>
      </c>
      <c r="E3404">
        <v>286</v>
      </c>
      <c r="F3404">
        <v>298</v>
      </c>
      <c r="G3404">
        <v>1</v>
      </c>
      <c r="H3404">
        <v>10610</v>
      </c>
      <c r="I3404">
        <v>3</v>
      </c>
      <c r="J3404">
        <v>14</v>
      </c>
      <c r="K3404">
        <v>293</v>
      </c>
      <c r="L3404">
        <v>284</v>
      </c>
      <c r="M3404">
        <v>25</v>
      </c>
      <c r="N3404">
        <f>IFERROR(VLOOKUP(A3404,vlookup_table!$A:$G,2,FALSE),"")</f>
        <v>1</v>
      </c>
      <c r="O3404">
        <f>IFERROR(VLOOKUP(A3404,vlookup_table!$A:$G,4,FALSE),"")</f>
        <v>3201</v>
      </c>
      <c r="P3404" t="str">
        <f>IFERROR(VLOOKUP(A3404,vlookup_table!$A:$G,5,FALSE),"")</f>
        <v>T2</v>
      </c>
      <c r="Q3404">
        <f>IFERROR(VLOOKUP(A3404,vlookup_table!$A:$G,7,FALSE),"")</f>
        <v>40</v>
      </c>
      <c r="R3404">
        <f t="shared" si="212"/>
        <v>65</v>
      </c>
      <c r="S3404" t="str" cm="1">
        <f t="array" ref="S3404">IF(P3404="","",_xlfn.SWITCH(LEFT(P3404,1),"C","Ciudad","T","Pueblo","R","Rural","S","Suburbano","U","Urbano",""))</f>
        <v>Pueblo</v>
      </c>
      <c r="T3404" t="str">
        <f t="shared" si="213"/>
        <v>M</v>
      </c>
      <c r="U3404" t="str">
        <f t="shared" si="214"/>
        <v>AZ</v>
      </c>
      <c r="V3404" t="str">
        <f t="shared" si="215"/>
        <v>10610</v>
      </c>
    </row>
    <row r="3405" spans="1:22" x14ac:dyDescent="0.35">
      <c r="A3405" s="3">
        <v>99338</v>
      </c>
      <c r="B3405" t="s">
        <v>36</v>
      </c>
      <c r="C3405" t="s">
        <v>17</v>
      </c>
      <c r="D3405">
        <v>1844</v>
      </c>
      <c r="E3405">
        <v>676</v>
      </c>
      <c r="F3405">
        <v>786</v>
      </c>
      <c r="G3405">
        <v>43</v>
      </c>
      <c r="H3405">
        <v>25507</v>
      </c>
      <c r="I3405">
        <v>3</v>
      </c>
      <c r="J3405">
        <v>52</v>
      </c>
      <c r="K3405">
        <v>713</v>
      </c>
      <c r="L3405">
        <v>726</v>
      </c>
      <c r="M3405">
        <v>7.75</v>
      </c>
      <c r="N3405">
        <f>IFERROR(VLOOKUP(A3405,vlookup_table!$A:$G,2,FALSE),"")</f>
        <v>0</v>
      </c>
      <c r="O3405">
        <f>IFERROR(VLOOKUP(A3405,vlookup_table!$A:$G,4,FALSE),"")</f>
        <v>4711</v>
      </c>
      <c r="P3405" t="str">
        <f>IFERROR(VLOOKUP(A3405,vlookup_table!$A:$G,5,FALSE),"")</f>
        <v>T1</v>
      </c>
      <c r="Q3405">
        <f>IFERROR(VLOOKUP(A3405,vlookup_table!$A:$G,7,FALSE),"")</f>
        <v>10</v>
      </c>
      <c r="R3405">
        <f t="shared" si="212"/>
        <v>50</v>
      </c>
      <c r="S3405" t="str" cm="1">
        <f t="array" ref="S3405">IF(P3405="","",_xlfn.SWITCH(LEFT(P3405,1),"C","Ciudad","T","Pueblo","R","Rural","S","Suburbano","U","Urbano",""))</f>
        <v>Pueblo</v>
      </c>
      <c r="T3405" t="str">
        <f t="shared" si="213"/>
        <v>F</v>
      </c>
      <c r="U3405" t="str">
        <f t="shared" si="214"/>
        <v>MO</v>
      </c>
      <c r="V3405" t="str">
        <f t="shared" si="215"/>
        <v>25507</v>
      </c>
    </row>
    <row r="3406" spans="1:22" x14ac:dyDescent="0.35">
      <c r="A3406" s="3">
        <v>64563</v>
      </c>
      <c r="B3406" t="s">
        <v>33</v>
      </c>
      <c r="C3406" t="s">
        <v>17</v>
      </c>
      <c r="D3406">
        <v>334</v>
      </c>
      <c r="E3406">
        <v>227</v>
      </c>
      <c r="F3406">
        <v>307</v>
      </c>
      <c r="G3406">
        <v>0</v>
      </c>
      <c r="H3406">
        <v>10104</v>
      </c>
      <c r="I3406">
        <v>0</v>
      </c>
      <c r="J3406">
        <v>58</v>
      </c>
      <c r="K3406">
        <v>265</v>
      </c>
      <c r="L3406">
        <v>269</v>
      </c>
      <c r="M3406">
        <v>13.57142857</v>
      </c>
      <c r="N3406">
        <f>IFERROR(VLOOKUP(A3406,vlookup_table!$A:$G,2,FALSE),"")</f>
        <v>0</v>
      </c>
      <c r="O3406">
        <f>IFERROR(VLOOKUP(A3406,vlookup_table!$A:$G,4,FALSE),"")</f>
        <v>0</v>
      </c>
      <c r="P3406" t="str">
        <f>IFERROR(VLOOKUP(A3406,vlookup_table!$A:$G,5,FALSE),"")</f>
        <v>R3</v>
      </c>
      <c r="Q3406">
        <f>IFERROR(VLOOKUP(A3406,vlookup_table!$A:$G,7,FALSE),"")</f>
        <v>20</v>
      </c>
      <c r="R3406">
        <f t="shared" si="212"/>
        <v>97</v>
      </c>
      <c r="S3406" t="str" cm="1">
        <f t="array" ref="S3406">IF(P3406="","",_xlfn.SWITCH(LEFT(P3406,1),"C","Ciudad","T","Pueblo","R","Rural","S","Suburbano","U","Urbano",""))</f>
        <v>Rural</v>
      </c>
      <c r="T3406" t="str">
        <f t="shared" si="213"/>
        <v>F</v>
      </c>
      <c r="U3406" t="str">
        <f t="shared" si="214"/>
        <v>IN</v>
      </c>
      <c r="V3406" t="str">
        <f t="shared" si="215"/>
        <v>10104</v>
      </c>
    </row>
    <row r="3407" spans="1:22" x14ac:dyDescent="0.35">
      <c r="A3407" s="3">
        <v>5335</v>
      </c>
      <c r="B3407" t="s">
        <v>21</v>
      </c>
      <c r="C3407" t="s">
        <v>17</v>
      </c>
      <c r="D3407">
        <v>515</v>
      </c>
      <c r="E3407">
        <v>271</v>
      </c>
      <c r="F3407">
        <v>362</v>
      </c>
      <c r="G3407">
        <v>1</v>
      </c>
      <c r="H3407">
        <v>13012</v>
      </c>
      <c r="I3407">
        <v>2</v>
      </c>
      <c r="J3407">
        <v>56</v>
      </c>
      <c r="K3407">
        <v>361</v>
      </c>
      <c r="L3407">
        <v>315</v>
      </c>
      <c r="M3407">
        <v>10.6875</v>
      </c>
      <c r="N3407">
        <f>IFERROR(VLOOKUP(A3407,vlookup_table!$A:$G,2,FALSE),"")</f>
        <v>28</v>
      </c>
      <c r="O3407">
        <f>IFERROR(VLOOKUP(A3407,vlookup_table!$A:$G,4,FALSE),"")</f>
        <v>2208</v>
      </c>
      <c r="P3407" t="str">
        <f>IFERROR(VLOOKUP(A3407,vlookup_table!$A:$G,5,FALSE),"")</f>
        <v>R2</v>
      </c>
      <c r="Q3407">
        <f>IFERROR(VLOOKUP(A3407,vlookup_table!$A:$G,7,FALSE),"")</f>
        <v>10</v>
      </c>
      <c r="R3407">
        <f t="shared" si="212"/>
        <v>75</v>
      </c>
      <c r="S3407" t="str" cm="1">
        <f t="array" ref="S3407">IF(P3407="","",_xlfn.SWITCH(LEFT(P3407,1),"C","Ciudad","T","Pueblo","R","Rural","S","Suburbano","U","Urbano",""))</f>
        <v>Rural</v>
      </c>
      <c r="T3407" t="str">
        <f t="shared" si="213"/>
        <v>F</v>
      </c>
      <c r="U3407" t="str">
        <f t="shared" si="214"/>
        <v>TX</v>
      </c>
      <c r="V3407" t="str">
        <f t="shared" si="215"/>
        <v>13012</v>
      </c>
    </row>
    <row r="3408" spans="1:22" x14ac:dyDescent="0.35">
      <c r="A3408" s="3">
        <v>112703</v>
      </c>
      <c r="B3408" t="s">
        <v>31</v>
      </c>
      <c r="C3408" t="s">
        <v>17</v>
      </c>
      <c r="D3408">
        <v>318</v>
      </c>
      <c r="E3408">
        <v>148</v>
      </c>
      <c r="F3408">
        <v>236</v>
      </c>
      <c r="G3408">
        <v>0</v>
      </c>
      <c r="H3408">
        <v>7787</v>
      </c>
      <c r="I3408">
        <v>1</v>
      </c>
      <c r="J3408">
        <v>80</v>
      </c>
      <c r="K3408">
        <v>197</v>
      </c>
      <c r="L3408">
        <v>200</v>
      </c>
      <c r="M3408">
        <v>15</v>
      </c>
      <c r="N3408">
        <f>IFERROR(VLOOKUP(A3408,vlookup_table!$A:$G,2,FALSE),"")</f>
        <v>2</v>
      </c>
      <c r="O3408">
        <f>IFERROR(VLOOKUP(A3408,vlookup_table!$A:$G,4,FALSE),"")</f>
        <v>0</v>
      </c>
      <c r="P3408" t="str">
        <f>IFERROR(VLOOKUP(A3408,vlookup_table!$A:$G,5,FALSE),"")</f>
        <v>R3</v>
      </c>
      <c r="Q3408">
        <f>IFERROR(VLOOKUP(A3408,vlookup_table!$A:$G,7,FALSE),"")</f>
        <v>15</v>
      </c>
      <c r="R3408">
        <f t="shared" si="212"/>
        <v>97</v>
      </c>
      <c r="S3408" t="str" cm="1">
        <f t="array" ref="S3408">IF(P3408="","",_xlfn.SWITCH(LEFT(P3408,1),"C","Ciudad","T","Pueblo","R","Rural","S","Suburbano","U","Urbano",""))</f>
        <v>Rural</v>
      </c>
      <c r="T3408" t="str">
        <f t="shared" si="213"/>
        <v>F</v>
      </c>
      <c r="U3408" t="str">
        <f t="shared" si="214"/>
        <v>OK</v>
      </c>
      <c r="V3408" t="str">
        <f t="shared" si="215"/>
        <v>7787</v>
      </c>
    </row>
    <row r="3409" spans="1:22" x14ac:dyDescent="0.35">
      <c r="A3409" s="3">
        <v>32380</v>
      </c>
      <c r="B3409" t="s">
        <v>13</v>
      </c>
      <c r="C3409" t="s">
        <v>14</v>
      </c>
      <c r="D3409">
        <v>825</v>
      </c>
      <c r="E3409">
        <v>266</v>
      </c>
      <c r="F3409">
        <v>419</v>
      </c>
      <c r="G3409">
        <v>5</v>
      </c>
      <c r="H3409">
        <v>17633</v>
      </c>
      <c r="I3409">
        <v>7</v>
      </c>
      <c r="J3409">
        <v>5</v>
      </c>
      <c r="K3409">
        <v>263</v>
      </c>
      <c r="L3409">
        <v>405</v>
      </c>
      <c r="M3409">
        <v>4.7647058820000003</v>
      </c>
      <c r="N3409">
        <f>IFERROR(VLOOKUP(A3409,vlookup_table!$A:$G,2,FALSE),"")</f>
        <v>1</v>
      </c>
      <c r="O3409">
        <f>IFERROR(VLOOKUP(A3409,vlookup_table!$A:$G,4,FALSE),"")</f>
        <v>2301</v>
      </c>
      <c r="P3409" t="str">
        <f>IFERROR(VLOOKUP(A3409,vlookup_table!$A:$G,5,FALSE),"")</f>
        <v>C2</v>
      </c>
      <c r="Q3409">
        <f>IFERROR(VLOOKUP(A3409,vlookup_table!$A:$G,7,FALSE),"")</f>
        <v>5</v>
      </c>
      <c r="R3409">
        <f t="shared" si="212"/>
        <v>74</v>
      </c>
      <c r="S3409" t="str" cm="1">
        <f t="array" ref="S3409">IF(P3409="","",_xlfn.SWITCH(LEFT(P3409,1),"C","Ciudad","T","Pueblo","R","Rural","S","Suburbano","U","Urbano",""))</f>
        <v>Ciudad</v>
      </c>
      <c r="T3409" t="str">
        <f t="shared" si="213"/>
        <v>M</v>
      </c>
      <c r="U3409" t="str">
        <f t="shared" si="214"/>
        <v>FL</v>
      </c>
      <c r="V3409" t="str">
        <f t="shared" si="215"/>
        <v>17633</v>
      </c>
    </row>
    <row r="3410" spans="1:22" x14ac:dyDescent="0.35">
      <c r="A3410" s="3">
        <v>40566</v>
      </c>
      <c r="B3410" t="s">
        <v>13</v>
      </c>
      <c r="C3410" t="s">
        <v>17</v>
      </c>
      <c r="D3410">
        <v>1530</v>
      </c>
      <c r="E3410">
        <v>442</v>
      </c>
      <c r="F3410">
        <v>619</v>
      </c>
      <c r="G3410">
        <v>25</v>
      </c>
      <c r="H3410">
        <v>23340</v>
      </c>
      <c r="I3410">
        <v>15</v>
      </c>
      <c r="J3410">
        <v>16</v>
      </c>
      <c r="K3410">
        <v>545</v>
      </c>
      <c r="L3410">
        <v>535</v>
      </c>
      <c r="M3410">
        <v>10.85714286</v>
      </c>
      <c r="N3410">
        <f>IFERROR(VLOOKUP(A3410,vlookup_table!$A:$G,2,FALSE),"")</f>
        <v>28</v>
      </c>
      <c r="O3410">
        <f>IFERROR(VLOOKUP(A3410,vlookup_table!$A:$G,4,FALSE),"")</f>
        <v>4101</v>
      </c>
      <c r="P3410" t="str">
        <f>IFERROR(VLOOKUP(A3410,vlookup_table!$A:$G,5,FALSE),"")</f>
        <v>S2</v>
      </c>
      <c r="Q3410">
        <f>IFERROR(VLOOKUP(A3410,vlookup_table!$A:$G,7,FALSE),"")</f>
        <v>17</v>
      </c>
      <c r="R3410">
        <f t="shared" si="212"/>
        <v>56</v>
      </c>
      <c r="S3410" t="str" cm="1">
        <f t="array" ref="S3410">IF(P3410="","",_xlfn.SWITCH(LEFT(P3410,1),"C","Ciudad","T","Pueblo","R","Rural","S","Suburbano","U","Urbano",""))</f>
        <v>Suburbano</v>
      </c>
      <c r="T3410" t="str">
        <f t="shared" si="213"/>
        <v>F</v>
      </c>
      <c r="U3410" t="str">
        <f t="shared" si="214"/>
        <v>FL</v>
      </c>
      <c r="V3410" t="str">
        <f t="shared" si="215"/>
        <v>23340</v>
      </c>
    </row>
    <row r="3411" spans="1:22" x14ac:dyDescent="0.35">
      <c r="A3411" s="3">
        <v>32359</v>
      </c>
      <c r="B3411" t="s">
        <v>13</v>
      </c>
      <c r="C3411" t="s">
        <v>14</v>
      </c>
      <c r="D3411">
        <v>922</v>
      </c>
      <c r="E3411">
        <v>292</v>
      </c>
      <c r="F3411">
        <v>335</v>
      </c>
      <c r="G3411">
        <v>1</v>
      </c>
      <c r="H3411">
        <v>10541</v>
      </c>
      <c r="I3411">
        <v>6</v>
      </c>
      <c r="J3411">
        <v>18</v>
      </c>
      <c r="K3411">
        <v>304</v>
      </c>
      <c r="L3411">
        <v>319</v>
      </c>
      <c r="M3411">
        <v>4.2786885249999997</v>
      </c>
      <c r="N3411">
        <f>IFERROR(VLOOKUP(A3411,vlookup_table!$A:$G,2,FALSE),"")</f>
        <v>1</v>
      </c>
      <c r="O3411">
        <f>IFERROR(VLOOKUP(A3411,vlookup_table!$A:$G,4,FALSE),"")</f>
        <v>3012</v>
      </c>
      <c r="P3411" t="str">
        <f>IFERROR(VLOOKUP(A3411,vlookup_table!$A:$G,5,FALSE),"")</f>
        <v>C2</v>
      </c>
      <c r="Q3411">
        <f>IFERROR(VLOOKUP(A3411,vlookup_table!$A:$G,7,FALSE),"")</f>
        <v>3</v>
      </c>
      <c r="R3411">
        <f t="shared" si="212"/>
        <v>67</v>
      </c>
      <c r="S3411" t="str" cm="1">
        <f t="array" ref="S3411">IF(P3411="","",_xlfn.SWITCH(LEFT(P3411,1),"C","Ciudad","T","Pueblo","R","Rural","S","Suburbano","U","Urbano",""))</f>
        <v>Ciudad</v>
      </c>
      <c r="T3411" t="str">
        <f t="shared" si="213"/>
        <v>M</v>
      </c>
      <c r="U3411" t="str">
        <f t="shared" si="214"/>
        <v>FL</v>
      </c>
      <c r="V3411" t="str">
        <f t="shared" si="215"/>
        <v>10541</v>
      </c>
    </row>
    <row r="3412" spans="1:22" x14ac:dyDescent="0.35">
      <c r="A3412" s="3">
        <v>146628</v>
      </c>
      <c r="B3412" t="s">
        <v>22</v>
      </c>
      <c r="C3412" t="s">
        <v>17</v>
      </c>
      <c r="D3412">
        <v>1999</v>
      </c>
      <c r="E3412">
        <v>154</v>
      </c>
      <c r="F3412">
        <v>220</v>
      </c>
      <c r="G3412">
        <v>50</v>
      </c>
      <c r="H3412">
        <v>6449</v>
      </c>
      <c r="I3412">
        <v>41</v>
      </c>
      <c r="J3412">
        <v>41</v>
      </c>
      <c r="K3412">
        <v>163</v>
      </c>
      <c r="L3412">
        <v>215</v>
      </c>
      <c r="M3412">
        <v>13.85714286</v>
      </c>
      <c r="N3412">
        <f>IFERROR(VLOOKUP(A3412,vlookup_table!$A:$G,2,FALSE),"")</f>
        <v>28</v>
      </c>
      <c r="O3412">
        <f>IFERROR(VLOOKUP(A3412,vlookup_table!$A:$G,4,FALSE),"")</f>
        <v>3405</v>
      </c>
      <c r="P3412" t="str">
        <f>IFERROR(VLOOKUP(A3412,vlookup_table!$A:$G,5,FALSE),"")</f>
        <v>C3</v>
      </c>
      <c r="Q3412">
        <f>IFERROR(VLOOKUP(A3412,vlookup_table!$A:$G,7,FALSE),"")</f>
        <v>10</v>
      </c>
      <c r="R3412">
        <f t="shared" si="212"/>
        <v>63</v>
      </c>
      <c r="S3412" t="str" cm="1">
        <f t="array" ref="S3412">IF(P3412="","",_xlfn.SWITCH(LEFT(P3412,1),"C","Ciudad","T","Pueblo","R","Rural","S","Suburbano","U","Urbano",""))</f>
        <v>Ciudad</v>
      </c>
      <c r="T3412" t="str">
        <f t="shared" si="213"/>
        <v>F</v>
      </c>
      <c r="U3412" t="str">
        <f t="shared" si="214"/>
        <v>CA</v>
      </c>
      <c r="V3412" t="str">
        <f t="shared" si="215"/>
        <v>6449</v>
      </c>
    </row>
    <row r="3413" spans="1:22" x14ac:dyDescent="0.35">
      <c r="A3413" s="3">
        <v>113690</v>
      </c>
      <c r="B3413" t="s">
        <v>31</v>
      </c>
      <c r="C3413" t="s">
        <v>14</v>
      </c>
      <c r="D3413">
        <v>530</v>
      </c>
      <c r="E3413">
        <v>224</v>
      </c>
      <c r="F3413">
        <v>360</v>
      </c>
      <c r="G3413">
        <v>1</v>
      </c>
      <c r="H3413">
        <v>14188</v>
      </c>
      <c r="I3413">
        <v>10</v>
      </c>
      <c r="J3413">
        <v>42</v>
      </c>
      <c r="K3413">
        <v>242</v>
      </c>
      <c r="L3413">
        <v>316</v>
      </c>
      <c r="M3413">
        <v>20</v>
      </c>
      <c r="N3413">
        <f>IFERROR(VLOOKUP(A3413,vlookup_table!$A:$G,2,FALSE),"")</f>
        <v>1002</v>
      </c>
      <c r="O3413">
        <f>IFERROR(VLOOKUP(A3413,vlookup_table!$A:$G,4,FALSE),"")</f>
        <v>4301</v>
      </c>
      <c r="P3413" t="str">
        <f>IFERROR(VLOOKUP(A3413,vlookup_table!$A:$G,5,FALSE),"")</f>
        <v>C2</v>
      </c>
      <c r="Q3413">
        <f>IFERROR(VLOOKUP(A3413,vlookup_table!$A:$G,7,FALSE),"")</f>
        <v>10</v>
      </c>
      <c r="R3413">
        <f t="shared" si="212"/>
        <v>54</v>
      </c>
      <c r="S3413" t="str" cm="1">
        <f t="array" ref="S3413">IF(P3413="","",_xlfn.SWITCH(LEFT(P3413,1),"C","Ciudad","T","Pueblo","R","Rural","S","Suburbano","U","Urbano",""))</f>
        <v>Ciudad</v>
      </c>
      <c r="T3413" t="str">
        <f t="shared" si="213"/>
        <v>M</v>
      </c>
      <c r="U3413" t="str">
        <f t="shared" si="214"/>
        <v>OK</v>
      </c>
      <c r="V3413" t="str">
        <f t="shared" si="215"/>
        <v>14188</v>
      </c>
    </row>
    <row r="3414" spans="1:22" x14ac:dyDescent="0.35">
      <c r="A3414" s="3">
        <v>102011</v>
      </c>
      <c r="B3414" t="s">
        <v>36</v>
      </c>
      <c r="C3414" t="s">
        <v>17</v>
      </c>
      <c r="D3414">
        <v>576</v>
      </c>
      <c r="E3414">
        <v>243</v>
      </c>
      <c r="F3414">
        <v>354</v>
      </c>
      <c r="G3414">
        <v>0</v>
      </c>
      <c r="H3414">
        <v>12603</v>
      </c>
      <c r="I3414">
        <v>0</v>
      </c>
      <c r="J3414">
        <v>83</v>
      </c>
      <c r="K3414">
        <v>312</v>
      </c>
      <c r="L3414">
        <v>301</v>
      </c>
      <c r="M3414">
        <v>19.92307692</v>
      </c>
      <c r="N3414">
        <f>IFERROR(VLOOKUP(A3414,vlookup_table!$A:$G,2,FALSE),"")</f>
        <v>0</v>
      </c>
      <c r="O3414">
        <f>IFERROR(VLOOKUP(A3414,vlookup_table!$A:$G,4,FALSE),"")</f>
        <v>5404</v>
      </c>
      <c r="P3414" t="str">
        <f>IFERROR(VLOOKUP(A3414,vlookup_table!$A:$G,5,FALSE),"")</f>
        <v>R2</v>
      </c>
      <c r="Q3414">
        <f>IFERROR(VLOOKUP(A3414,vlookup_table!$A:$G,7,FALSE),"")</f>
        <v>30</v>
      </c>
      <c r="R3414">
        <f t="shared" si="212"/>
        <v>43</v>
      </c>
      <c r="S3414" t="str" cm="1">
        <f t="array" ref="S3414">IF(P3414="","",_xlfn.SWITCH(LEFT(P3414,1),"C","Ciudad","T","Pueblo","R","Rural","S","Suburbano","U","Urbano",""))</f>
        <v>Rural</v>
      </c>
      <c r="T3414" t="str">
        <f t="shared" si="213"/>
        <v>F</v>
      </c>
      <c r="U3414" t="str">
        <f t="shared" si="214"/>
        <v>MO</v>
      </c>
      <c r="V3414" t="str">
        <f t="shared" si="215"/>
        <v>12603</v>
      </c>
    </row>
    <row r="3415" spans="1:22" x14ac:dyDescent="0.35">
      <c r="A3415" s="3">
        <v>17714</v>
      </c>
      <c r="B3415" t="s">
        <v>18</v>
      </c>
      <c r="C3415" t="s">
        <v>20</v>
      </c>
      <c r="D3415">
        <v>770</v>
      </c>
      <c r="E3415">
        <v>350</v>
      </c>
      <c r="F3415">
        <v>436</v>
      </c>
      <c r="G3415">
        <v>0</v>
      </c>
      <c r="H3415">
        <v>11822</v>
      </c>
      <c r="I3415">
        <v>1</v>
      </c>
      <c r="J3415">
        <v>70</v>
      </c>
      <c r="K3415">
        <v>409</v>
      </c>
      <c r="L3415">
        <v>354</v>
      </c>
      <c r="M3415">
        <v>12.42857143</v>
      </c>
      <c r="N3415">
        <f>IFERROR(VLOOKUP(A3415,vlookup_table!$A:$G,2,FALSE),"")</f>
        <v>2</v>
      </c>
      <c r="O3415">
        <f>IFERROR(VLOOKUP(A3415,vlookup_table!$A:$G,4,FALSE),"")</f>
        <v>3103</v>
      </c>
      <c r="P3415" t="str">
        <f>IFERROR(VLOOKUP(A3415,vlookup_table!$A:$G,5,FALSE),"")</f>
        <v>S1</v>
      </c>
      <c r="Q3415">
        <f>IFERROR(VLOOKUP(A3415,vlookup_table!$A:$G,7,FALSE),"")</f>
        <v>26</v>
      </c>
      <c r="R3415">
        <f t="shared" si="212"/>
        <v>66</v>
      </c>
      <c r="S3415" t="str" cm="1">
        <f t="array" ref="S3415">IF(P3415="","",_xlfn.SWITCH(LEFT(P3415,1),"C","Ciudad","T","Pueblo","R","Rural","S","Suburbano","U","Urbano",""))</f>
        <v>Suburbano</v>
      </c>
      <c r="T3415" t="str">
        <f t="shared" si="213"/>
        <v>F</v>
      </c>
      <c r="U3415" t="str">
        <f t="shared" si="214"/>
        <v>NC</v>
      </c>
      <c r="V3415" t="str">
        <f t="shared" si="215"/>
        <v>11822</v>
      </c>
    </row>
    <row r="3416" spans="1:22" x14ac:dyDescent="0.35">
      <c r="A3416" s="3">
        <v>134619</v>
      </c>
      <c r="B3416" t="s">
        <v>38</v>
      </c>
      <c r="C3416" t="s">
        <v>14</v>
      </c>
      <c r="D3416">
        <v>925</v>
      </c>
      <c r="E3416">
        <v>456</v>
      </c>
      <c r="F3416">
        <v>458</v>
      </c>
      <c r="G3416">
        <v>2</v>
      </c>
      <c r="H3416">
        <v>12465</v>
      </c>
      <c r="I3416">
        <v>5</v>
      </c>
      <c r="J3416">
        <v>71</v>
      </c>
      <c r="K3416">
        <v>457</v>
      </c>
      <c r="L3416">
        <v>463</v>
      </c>
      <c r="M3416">
        <v>9.3000000000000007</v>
      </c>
      <c r="N3416">
        <f>IFERROR(VLOOKUP(A3416,vlookup_table!$A:$G,2,FALSE),"")</f>
        <v>2</v>
      </c>
      <c r="O3416">
        <f>IFERROR(VLOOKUP(A3416,vlookup_table!$A:$G,4,FALSE),"")</f>
        <v>5003</v>
      </c>
      <c r="P3416" t="str">
        <f>IFERROR(VLOOKUP(A3416,vlookup_table!$A:$G,5,FALSE),"")</f>
        <v>S2</v>
      </c>
      <c r="Q3416">
        <f>IFERROR(VLOOKUP(A3416,vlookup_table!$A:$G,7,FALSE),"")</f>
        <v>11</v>
      </c>
      <c r="R3416">
        <f t="shared" si="212"/>
        <v>47</v>
      </c>
      <c r="S3416" t="str" cm="1">
        <f t="array" ref="S3416">IF(P3416="","",_xlfn.SWITCH(LEFT(P3416,1),"C","Ciudad","T","Pueblo","R","Rural","S","Suburbano","U","Urbano",""))</f>
        <v>Suburbano</v>
      </c>
      <c r="T3416" t="str">
        <f t="shared" si="213"/>
        <v>M</v>
      </c>
      <c r="U3416" t="str">
        <f t="shared" si="214"/>
        <v>UT</v>
      </c>
      <c r="V3416" t="str">
        <f t="shared" si="215"/>
        <v>12465</v>
      </c>
    </row>
    <row r="3417" spans="1:22" x14ac:dyDescent="0.35">
      <c r="A3417" s="3">
        <v>106649</v>
      </c>
      <c r="B3417" t="s">
        <v>59</v>
      </c>
      <c r="C3417" t="s">
        <v>17</v>
      </c>
      <c r="D3417">
        <v>827</v>
      </c>
      <c r="E3417">
        <v>535</v>
      </c>
      <c r="F3417">
        <v>597</v>
      </c>
      <c r="G3417">
        <v>0</v>
      </c>
      <c r="H3417">
        <v>21162</v>
      </c>
      <c r="I3417">
        <v>3</v>
      </c>
      <c r="J3417">
        <v>38</v>
      </c>
      <c r="K3417">
        <v>542</v>
      </c>
      <c r="L3417">
        <v>598</v>
      </c>
      <c r="M3417">
        <v>19.600000000000001</v>
      </c>
      <c r="N3417">
        <f>IFERROR(VLOOKUP(A3417,vlookup_table!$A:$G,2,FALSE),"")</f>
        <v>2</v>
      </c>
      <c r="O3417">
        <f>IFERROR(VLOOKUP(A3417,vlookup_table!$A:$G,4,FALSE),"")</f>
        <v>6201</v>
      </c>
      <c r="P3417" t="str">
        <f>IFERROR(VLOOKUP(A3417,vlookup_table!$A:$G,5,FALSE),"")</f>
        <v>S1</v>
      </c>
      <c r="Q3417">
        <f>IFERROR(VLOOKUP(A3417,vlookup_table!$A:$G,7,FALSE),"")</f>
        <v>26</v>
      </c>
      <c r="R3417">
        <f t="shared" si="212"/>
        <v>35</v>
      </c>
      <c r="S3417" t="str" cm="1">
        <f t="array" ref="S3417">IF(P3417="","",_xlfn.SWITCH(LEFT(P3417,1),"C","Ciudad","T","Pueblo","R","Rural","S","Suburbano","U","Urbano",""))</f>
        <v>Suburbano</v>
      </c>
      <c r="T3417" t="str">
        <f t="shared" si="213"/>
        <v>F</v>
      </c>
      <c r="U3417" t="str">
        <f t="shared" si="214"/>
        <v>NE</v>
      </c>
      <c r="V3417" t="str">
        <f t="shared" si="215"/>
        <v>21162</v>
      </c>
    </row>
    <row r="3418" spans="1:22" x14ac:dyDescent="0.35">
      <c r="A3418" s="3">
        <v>147045</v>
      </c>
      <c r="B3418" t="s">
        <v>22</v>
      </c>
      <c r="C3418" t="s">
        <v>17</v>
      </c>
      <c r="D3418">
        <v>1989</v>
      </c>
      <c r="E3418">
        <v>526</v>
      </c>
      <c r="F3418">
        <v>572</v>
      </c>
      <c r="G3418">
        <v>49</v>
      </c>
      <c r="H3418">
        <v>19716</v>
      </c>
      <c r="I3418">
        <v>13</v>
      </c>
      <c r="J3418">
        <v>50</v>
      </c>
      <c r="K3418">
        <v>607</v>
      </c>
      <c r="L3418">
        <v>540</v>
      </c>
      <c r="M3418">
        <v>7.9</v>
      </c>
      <c r="N3418">
        <f>IFERROR(VLOOKUP(A3418,vlookup_table!$A:$G,2,FALSE),"")</f>
        <v>2</v>
      </c>
      <c r="O3418">
        <f>IFERROR(VLOOKUP(A3418,vlookup_table!$A:$G,4,FALSE),"")</f>
        <v>0</v>
      </c>
      <c r="P3418" t="str">
        <f>IFERROR(VLOOKUP(A3418,vlookup_table!$A:$G,5,FALSE),"")</f>
        <v>U1</v>
      </c>
      <c r="Q3418">
        <f>IFERROR(VLOOKUP(A3418,vlookup_table!$A:$G,7,FALSE),"")</f>
        <v>10</v>
      </c>
      <c r="R3418">
        <f t="shared" si="212"/>
        <v>97</v>
      </c>
      <c r="S3418" t="str" cm="1">
        <f t="array" ref="S3418">IF(P3418="","",_xlfn.SWITCH(LEFT(P3418,1),"C","Ciudad","T","Pueblo","R","Rural","S","Suburbano","U","Urbano",""))</f>
        <v>Urbano</v>
      </c>
      <c r="T3418" t="str">
        <f t="shared" si="213"/>
        <v>F</v>
      </c>
      <c r="U3418" t="str">
        <f t="shared" si="214"/>
        <v>CA</v>
      </c>
      <c r="V3418" t="str">
        <f t="shared" si="215"/>
        <v>19716</v>
      </c>
    </row>
    <row r="3419" spans="1:22" x14ac:dyDescent="0.35">
      <c r="A3419" s="3">
        <v>86420</v>
      </c>
      <c r="B3419" t="s">
        <v>45</v>
      </c>
      <c r="C3419" t="s">
        <v>17</v>
      </c>
      <c r="D3419">
        <v>734</v>
      </c>
      <c r="E3419">
        <v>408</v>
      </c>
      <c r="F3419">
        <v>402</v>
      </c>
      <c r="G3419">
        <v>0</v>
      </c>
      <c r="H3419">
        <v>11843</v>
      </c>
      <c r="I3419">
        <v>0</v>
      </c>
      <c r="J3419">
        <v>70</v>
      </c>
      <c r="K3419">
        <v>404</v>
      </c>
      <c r="L3419">
        <v>403</v>
      </c>
      <c r="M3419">
        <v>5.0833333329999997</v>
      </c>
      <c r="N3419">
        <f>IFERROR(VLOOKUP(A3419,vlookup_table!$A:$G,2,FALSE),"")</f>
        <v>0</v>
      </c>
      <c r="O3419">
        <f>IFERROR(VLOOKUP(A3419,vlookup_table!$A:$G,4,FALSE),"")</f>
        <v>4212</v>
      </c>
      <c r="P3419" t="str">
        <f>IFERROR(VLOOKUP(A3419,vlookup_table!$A:$G,5,FALSE),"")</f>
        <v>T2</v>
      </c>
      <c r="Q3419">
        <f>IFERROR(VLOOKUP(A3419,vlookup_table!$A:$G,7,FALSE),"")</f>
        <v>7</v>
      </c>
      <c r="R3419">
        <f t="shared" si="212"/>
        <v>55</v>
      </c>
      <c r="S3419" t="str" cm="1">
        <f t="array" ref="S3419">IF(P3419="","",_xlfn.SWITCH(LEFT(P3419,1),"C","Ciudad","T","Pueblo","R","Rural","S","Suburbano","U","Urbano",""))</f>
        <v>Pueblo</v>
      </c>
      <c r="T3419" t="str">
        <f t="shared" si="213"/>
        <v>F</v>
      </c>
      <c r="U3419" t="str">
        <f t="shared" si="214"/>
        <v>ND</v>
      </c>
      <c r="V3419" t="str">
        <f t="shared" si="215"/>
        <v>11843</v>
      </c>
    </row>
    <row r="3420" spans="1:22" x14ac:dyDescent="0.35">
      <c r="A3420" s="3">
        <v>20445</v>
      </c>
      <c r="B3420" t="s">
        <v>18</v>
      </c>
      <c r="C3420" t="s">
        <v>14</v>
      </c>
      <c r="D3420">
        <v>572</v>
      </c>
      <c r="E3420">
        <v>212</v>
      </c>
      <c r="F3420">
        <v>282</v>
      </c>
      <c r="G3420">
        <v>2</v>
      </c>
      <c r="H3420">
        <v>9728</v>
      </c>
      <c r="I3420">
        <v>4</v>
      </c>
      <c r="J3420">
        <v>48</v>
      </c>
      <c r="K3420">
        <v>227</v>
      </c>
      <c r="L3420">
        <v>263</v>
      </c>
      <c r="M3420">
        <v>17.600000000000001</v>
      </c>
      <c r="N3420">
        <f>IFERROR(VLOOKUP(A3420,vlookup_table!$A:$G,2,FALSE),"")</f>
        <v>1</v>
      </c>
      <c r="O3420">
        <f>IFERROR(VLOOKUP(A3420,vlookup_table!$A:$G,4,FALSE),"")</f>
        <v>3801</v>
      </c>
      <c r="P3420" t="str">
        <f>IFERROR(VLOOKUP(A3420,vlookup_table!$A:$G,5,FALSE),"")</f>
        <v>C3</v>
      </c>
      <c r="Q3420">
        <f>IFERROR(VLOOKUP(A3420,vlookup_table!$A:$G,7,FALSE),"")</f>
        <v>20</v>
      </c>
      <c r="R3420">
        <f t="shared" si="212"/>
        <v>59</v>
      </c>
      <c r="S3420" t="str" cm="1">
        <f t="array" ref="S3420">IF(P3420="","",_xlfn.SWITCH(LEFT(P3420,1),"C","Ciudad","T","Pueblo","R","Rural","S","Suburbano","U","Urbano",""))</f>
        <v>Ciudad</v>
      </c>
      <c r="T3420" t="str">
        <f t="shared" si="213"/>
        <v>M</v>
      </c>
      <c r="U3420" t="str">
        <f t="shared" si="214"/>
        <v>NC</v>
      </c>
      <c r="V3420" t="str">
        <f t="shared" si="215"/>
        <v>9728</v>
      </c>
    </row>
    <row r="3421" spans="1:22" x14ac:dyDescent="0.35">
      <c r="A3421" s="3">
        <v>89924</v>
      </c>
      <c r="B3421" t="s">
        <v>33</v>
      </c>
      <c r="C3421" t="s">
        <v>17</v>
      </c>
      <c r="D3421">
        <v>1152</v>
      </c>
      <c r="E3421">
        <v>521</v>
      </c>
      <c r="F3421">
        <v>561</v>
      </c>
      <c r="G3421">
        <v>9</v>
      </c>
      <c r="H3421">
        <v>17112</v>
      </c>
      <c r="I3421">
        <v>2</v>
      </c>
      <c r="J3421">
        <v>53</v>
      </c>
      <c r="K3421">
        <v>546</v>
      </c>
      <c r="L3421">
        <v>542</v>
      </c>
      <c r="M3421">
        <v>5.0909090910000003</v>
      </c>
      <c r="N3421">
        <f>IFERROR(VLOOKUP(A3421,vlookup_table!$A:$G,2,FALSE),"")</f>
        <v>2</v>
      </c>
      <c r="O3421">
        <f>IFERROR(VLOOKUP(A3421,vlookup_table!$A:$G,4,FALSE),"")</f>
        <v>0</v>
      </c>
      <c r="P3421" t="str">
        <f>IFERROR(VLOOKUP(A3421,vlookup_table!$A:$G,5,FALSE),"")</f>
        <v>S2</v>
      </c>
      <c r="Q3421">
        <f>IFERROR(VLOOKUP(A3421,vlookup_table!$A:$G,7,FALSE),"")</f>
        <v>5</v>
      </c>
      <c r="R3421">
        <f t="shared" si="212"/>
        <v>97</v>
      </c>
      <c r="S3421" t="str" cm="1">
        <f t="array" ref="S3421">IF(P3421="","",_xlfn.SWITCH(LEFT(P3421,1),"C","Ciudad","T","Pueblo","R","Rural","S","Suburbano","U","Urbano",""))</f>
        <v>Suburbano</v>
      </c>
      <c r="T3421" t="str">
        <f t="shared" si="213"/>
        <v>F</v>
      </c>
      <c r="U3421" t="str">
        <f t="shared" si="214"/>
        <v>IN</v>
      </c>
      <c r="V3421" t="str">
        <f t="shared" si="215"/>
        <v>17112</v>
      </c>
    </row>
    <row r="3422" spans="1:22" x14ac:dyDescent="0.35">
      <c r="A3422" s="3">
        <v>156937</v>
      </c>
      <c r="B3422" t="s">
        <v>22</v>
      </c>
      <c r="C3422" t="s">
        <v>14</v>
      </c>
      <c r="D3422">
        <v>1605</v>
      </c>
      <c r="E3422">
        <v>416</v>
      </c>
      <c r="F3422">
        <v>443</v>
      </c>
      <c r="G3422">
        <v>20</v>
      </c>
      <c r="H3422">
        <v>15534</v>
      </c>
      <c r="I3422">
        <v>27</v>
      </c>
      <c r="J3422">
        <v>41</v>
      </c>
      <c r="K3422">
        <v>420</v>
      </c>
      <c r="L3422">
        <v>442</v>
      </c>
      <c r="M3422">
        <v>15</v>
      </c>
      <c r="N3422">
        <f>IFERROR(VLOOKUP(A3422,vlookup_table!$A:$G,2,FALSE),"")</f>
        <v>1</v>
      </c>
      <c r="O3422">
        <f>IFERROR(VLOOKUP(A3422,vlookup_table!$A:$G,4,FALSE),"")</f>
        <v>5801</v>
      </c>
      <c r="P3422" t="str">
        <f>IFERROR(VLOOKUP(A3422,vlookup_table!$A:$G,5,FALSE),"")</f>
        <v>U1</v>
      </c>
      <c r="Q3422">
        <f>IFERROR(VLOOKUP(A3422,vlookup_table!$A:$G,7,FALSE),"")</f>
        <v>17</v>
      </c>
      <c r="R3422">
        <f t="shared" si="212"/>
        <v>39</v>
      </c>
      <c r="S3422" t="str" cm="1">
        <f t="array" ref="S3422">IF(P3422="","",_xlfn.SWITCH(LEFT(P3422,1),"C","Ciudad","T","Pueblo","R","Rural","S","Suburbano","U","Urbano",""))</f>
        <v>Urbano</v>
      </c>
      <c r="T3422" t="str">
        <f t="shared" si="213"/>
        <v>M</v>
      </c>
      <c r="U3422" t="str">
        <f t="shared" si="214"/>
        <v>CA</v>
      </c>
      <c r="V3422" t="str">
        <f t="shared" si="215"/>
        <v>15534</v>
      </c>
    </row>
    <row r="3423" spans="1:22" x14ac:dyDescent="0.35">
      <c r="A3423" s="3">
        <v>151986</v>
      </c>
      <c r="B3423" t="s">
        <v>22</v>
      </c>
      <c r="C3423" t="s">
        <v>17</v>
      </c>
      <c r="D3423">
        <v>2598</v>
      </c>
      <c r="E3423">
        <v>518</v>
      </c>
      <c r="F3423">
        <v>627</v>
      </c>
      <c r="G3423">
        <v>78</v>
      </c>
      <c r="H3423">
        <v>27570</v>
      </c>
      <c r="I3423">
        <v>8</v>
      </c>
      <c r="J3423">
        <v>38</v>
      </c>
      <c r="K3423">
        <v>570</v>
      </c>
      <c r="L3423">
        <v>576</v>
      </c>
      <c r="M3423">
        <v>9</v>
      </c>
      <c r="N3423">
        <f>IFERROR(VLOOKUP(A3423,vlookup_table!$A:$G,2,FALSE),"")</f>
        <v>2</v>
      </c>
      <c r="O3423">
        <f>IFERROR(VLOOKUP(A3423,vlookup_table!$A:$G,4,FALSE),"")</f>
        <v>2101</v>
      </c>
      <c r="P3423" t="str">
        <f>IFERROR(VLOOKUP(A3423,vlookup_table!$A:$G,5,FALSE),"")</f>
        <v>S1</v>
      </c>
      <c r="Q3423">
        <f>IFERROR(VLOOKUP(A3423,vlookup_table!$A:$G,7,FALSE),"")</f>
        <v>15</v>
      </c>
      <c r="R3423">
        <f t="shared" si="212"/>
        <v>76</v>
      </c>
      <c r="S3423" t="str" cm="1">
        <f t="array" ref="S3423">IF(P3423="","",_xlfn.SWITCH(LEFT(P3423,1),"C","Ciudad","T","Pueblo","R","Rural","S","Suburbano","U","Urbano",""))</f>
        <v>Suburbano</v>
      </c>
      <c r="T3423" t="str">
        <f t="shared" si="213"/>
        <v>F</v>
      </c>
      <c r="U3423" t="str">
        <f t="shared" si="214"/>
        <v>CA</v>
      </c>
      <c r="V3423" t="str">
        <f t="shared" si="215"/>
        <v>27570</v>
      </c>
    </row>
    <row r="3424" spans="1:22" x14ac:dyDescent="0.35">
      <c r="A3424" s="3">
        <v>139324</v>
      </c>
      <c r="B3424" t="s">
        <v>54</v>
      </c>
      <c r="C3424" t="s">
        <v>30</v>
      </c>
      <c r="D3424">
        <v>1017</v>
      </c>
      <c r="E3424">
        <v>322</v>
      </c>
      <c r="F3424">
        <v>590</v>
      </c>
      <c r="G3424">
        <v>3</v>
      </c>
      <c r="H3424">
        <v>22316</v>
      </c>
      <c r="I3424">
        <v>6</v>
      </c>
      <c r="J3424">
        <v>35</v>
      </c>
      <c r="K3424">
        <v>521</v>
      </c>
      <c r="L3424">
        <v>407</v>
      </c>
      <c r="M3424">
        <v>10.8</v>
      </c>
      <c r="N3424">
        <f>IFERROR(VLOOKUP(A3424,vlookup_table!$A:$G,2,FALSE),"")</f>
        <v>0</v>
      </c>
      <c r="O3424">
        <f>IFERROR(VLOOKUP(A3424,vlookup_table!$A:$G,4,FALSE),"")</f>
        <v>0</v>
      </c>
      <c r="P3424" t="str">
        <f>IFERROR(VLOOKUP(A3424,vlookup_table!$A:$G,5,FALSE),"")</f>
        <v>S1</v>
      </c>
      <c r="Q3424">
        <f>IFERROR(VLOOKUP(A3424,vlookup_table!$A:$G,7,FALSE),"")</f>
        <v>15</v>
      </c>
      <c r="R3424">
        <f t="shared" si="212"/>
        <v>97</v>
      </c>
      <c r="S3424" t="str" cm="1">
        <f t="array" ref="S3424">IF(P3424="","",_xlfn.SWITCH(LEFT(P3424,1),"C","Ciudad","T","Pueblo","R","Rural","S","Suburbano","U","Urbano",""))</f>
        <v>Suburbano</v>
      </c>
      <c r="T3424" t="str">
        <f t="shared" si="213"/>
        <v>U</v>
      </c>
      <c r="U3424" t="str">
        <f t="shared" si="214"/>
        <v>NM</v>
      </c>
      <c r="V3424" t="str">
        <f t="shared" si="215"/>
        <v>22316</v>
      </c>
    </row>
    <row r="3425" spans="1:22" x14ac:dyDescent="0.35">
      <c r="A3425" s="3">
        <v>154067</v>
      </c>
      <c r="B3425" t="s">
        <v>22</v>
      </c>
      <c r="C3425" t="s">
        <v>17</v>
      </c>
      <c r="D3425">
        <v>967</v>
      </c>
      <c r="E3425">
        <v>381</v>
      </c>
      <c r="F3425">
        <v>426</v>
      </c>
      <c r="G3425">
        <v>17</v>
      </c>
      <c r="H3425">
        <v>10138</v>
      </c>
      <c r="I3425">
        <v>8</v>
      </c>
      <c r="J3425">
        <v>69</v>
      </c>
      <c r="K3425">
        <v>391</v>
      </c>
      <c r="L3425">
        <v>392</v>
      </c>
      <c r="M3425">
        <v>8.4166666669999994</v>
      </c>
      <c r="N3425">
        <f>IFERROR(VLOOKUP(A3425,vlookup_table!$A:$G,2,FALSE),"")</f>
        <v>0</v>
      </c>
      <c r="O3425">
        <f>IFERROR(VLOOKUP(A3425,vlookup_table!$A:$G,4,FALSE),"")</f>
        <v>0</v>
      </c>
      <c r="P3425">
        <f>IFERROR(VLOOKUP(A3425,vlookup_table!$A:$G,5,FALSE),"")</f>
        <v>0</v>
      </c>
      <c r="Q3425">
        <f>IFERROR(VLOOKUP(A3425,vlookup_table!$A:$G,7,FALSE),"")</f>
        <v>10</v>
      </c>
      <c r="R3425">
        <f t="shared" si="212"/>
        <v>97</v>
      </c>
      <c r="S3425" t="str" cm="1">
        <f t="array" ref="S3425">IF(P3425="","",_xlfn.SWITCH(LEFT(P3425,1),"C","Ciudad","T","Pueblo","R","Rural","S","Suburbano","U","Urbano",""))</f>
        <v/>
      </c>
      <c r="T3425" t="str">
        <f t="shared" si="213"/>
        <v>F</v>
      </c>
      <c r="U3425" t="str">
        <f t="shared" si="214"/>
        <v>CA</v>
      </c>
      <c r="V3425" t="str">
        <f t="shared" si="215"/>
        <v>10138</v>
      </c>
    </row>
    <row r="3426" spans="1:22" x14ac:dyDescent="0.35">
      <c r="A3426" s="3">
        <v>74825</v>
      </c>
      <c r="B3426" t="s">
        <v>47</v>
      </c>
      <c r="C3426" t="s">
        <v>17</v>
      </c>
      <c r="D3426">
        <v>310</v>
      </c>
      <c r="E3426">
        <v>175</v>
      </c>
      <c r="F3426">
        <v>316</v>
      </c>
      <c r="G3426">
        <v>0</v>
      </c>
      <c r="H3426">
        <v>11934</v>
      </c>
      <c r="I3426">
        <v>0</v>
      </c>
      <c r="J3426">
        <v>84</v>
      </c>
      <c r="K3426">
        <v>288</v>
      </c>
      <c r="L3426">
        <v>244</v>
      </c>
      <c r="M3426">
        <v>4.6086956519999998</v>
      </c>
      <c r="N3426">
        <f>IFERROR(VLOOKUP(A3426,vlookup_table!$A:$G,2,FALSE),"")</f>
        <v>0</v>
      </c>
      <c r="O3426">
        <f>IFERROR(VLOOKUP(A3426,vlookup_table!$A:$G,4,FALSE),"")</f>
        <v>2007</v>
      </c>
      <c r="P3426" t="str">
        <f>IFERROR(VLOOKUP(A3426,vlookup_table!$A:$G,5,FALSE),"")</f>
        <v>T2</v>
      </c>
      <c r="Q3426">
        <f>IFERROR(VLOOKUP(A3426,vlookup_table!$A:$G,7,FALSE),"")</f>
        <v>5</v>
      </c>
      <c r="R3426">
        <f t="shared" si="212"/>
        <v>77</v>
      </c>
      <c r="S3426" t="str" cm="1">
        <f t="array" ref="S3426">IF(P3426="","",_xlfn.SWITCH(LEFT(P3426,1),"C","Ciudad","T","Pueblo","R","Rural","S","Suburbano","U","Urbano",""))</f>
        <v>Pueblo</v>
      </c>
      <c r="T3426" t="str">
        <f t="shared" si="213"/>
        <v>F</v>
      </c>
      <c r="U3426" t="str">
        <f t="shared" si="214"/>
        <v>IA</v>
      </c>
      <c r="V3426" t="str">
        <f t="shared" si="215"/>
        <v>11934</v>
      </c>
    </row>
    <row r="3427" spans="1:22" x14ac:dyDescent="0.35">
      <c r="A3427" s="3">
        <v>22425</v>
      </c>
      <c r="B3427" t="s">
        <v>46</v>
      </c>
      <c r="C3427" t="s">
        <v>17</v>
      </c>
      <c r="D3427">
        <v>454</v>
      </c>
      <c r="E3427">
        <v>238</v>
      </c>
      <c r="F3427">
        <v>304</v>
      </c>
      <c r="G3427">
        <v>0</v>
      </c>
      <c r="H3427">
        <v>9795</v>
      </c>
      <c r="I3427">
        <v>1</v>
      </c>
      <c r="J3427">
        <v>90</v>
      </c>
      <c r="K3427">
        <v>261</v>
      </c>
      <c r="L3427">
        <v>290</v>
      </c>
      <c r="M3427">
        <v>13.81818182</v>
      </c>
      <c r="N3427">
        <f>IFERROR(VLOOKUP(A3427,vlookup_table!$A:$G,2,FALSE),"")</f>
        <v>28028</v>
      </c>
      <c r="O3427">
        <f>IFERROR(VLOOKUP(A3427,vlookup_table!$A:$G,4,FALSE),"")</f>
        <v>3801</v>
      </c>
      <c r="P3427" t="str">
        <f>IFERROR(VLOOKUP(A3427,vlookup_table!$A:$G,5,FALSE),"")</f>
        <v>R2</v>
      </c>
      <c r="Q3427">
        <f>IFERROR(VLOOKUP(A3427,vlookup_table!$A:$G,7,FALSE),"")</f>
        <v>20</v>
      </c>
      <c r="R3427">
        <f t="shared" si="212"/>
        <v>59</v>
      </c>
      <c r="S3427" t="str" cm="1">
        <f t="array" ref="S3427">IF(P3427="","",_xlfn.SWITCH(LEFT(P3427,1),"C","Ciudad","T","Pueblo","R","Rural","S","Suburbano","U","Urbano",""))</f>
        <v>Rural</v>
      </c>
      <c r="T3427" t="str">
        <f t="shared" si="213"/>
        <v>F</v>
      </c>
      <c r="U3427" t="str">
        <f t="shared" si="214"/>
        <v>SC</v>
      </c>
      <c r="V3427" t="str">
        <f t="shared" si="215"/>
        <v>9795</v>
      </c>
    </row>
    <row r="3428" spans="1:22" x14ac:dyDescent="0.35">
      <c r="A3428" s="3">
        <v>55450</v>
      </c>
      <c r="B3428" t="s">
        <v>62</v>
      </c>
      <c r="C3428" t="s">
        <v>20</v>
      </c>
      <c r="D3428">
        <v>350</v>
      </c>
      <c r="E3428">
        <v>173</v>
      </c>
      <c r="F3428">
        <v>280</v>
      </c>
      <c r="G3428">
        <v>0</v>
      </c>
      <c r="H3428">
        <v>9613</v>
      </c>
      <c r="I3428">
        <v>0</v>
      </c>
      <c r="J3428">
        <v>89</v>
      </c>
      <c r="K3428">
        <v>220</v>
      </c>
      <c r="L3428">
        <v>241</v>
      </c>
      <c r="M3428">
        <v>3.52631579</v>
      </c>
      <c r="N3428">
        <f>IFERROR(VLOOKUP(A3428,vlookup_table!$A:$G,2,FALSE),"")</f>
        <v>0</v>
      </c>
      <c r="O3428">
        <f>IFERROR(VLOOKUP(A3428,vlookup_table!$A:$G,4,FALSE),"")</f>
        <v>0</v>
      </c>
      <c r="P3428" t="str">
        <f>IFERROR(VLOOKUP(A3428,vlookup_table!$A:$G,5,FALSE),"")</f>
        <v>R2</v>
      </c>
      <c r="Q3428">
        <f>IFERROR(VLOOKUP(A3428,vlookup_table!$A:$G,7,FALSE),"")</f>
        <v>5</v>
      </c>
      <c r="R3428">
        <f t="shared" si="212"/>
        <v>97</v>
      </c>
      <c r="S3428" t="str" cm="1">
        <f t="array" ref="S3428">IF(P3428="","",_xlfn.SWITCH(LEFT(P3428,1),"C","Ciudad","T","Pueblo","R","Rural","S","Suburbano","U","Urbano",""))</f>
        <v>Rural</v>
      </c>
      <c r="T3428" t="str">
        <f t="shared" si="213"/>
        <v>F</v>
      </c>
      <c r="U3428" t="str">
        <f t="shared" si="214"/>
        <v>MS</v>
      </c>
      <c r="V3428" t="str">
        <f t="shared" si="215"/>
        <v>9613</v>
      </c>
    </row>
    <row r="3429" spans="1:22" x14ac:dyDescent="0.35">
      <c r="A3429" s="3">
        <v>64650</v>
      </c>
      <c r="B3429" t="s">
        <v>29</v>
      </c>
      <c r="C3429" t="s">
        <v>14</v>
      </c>
      <c r="D3429">
        <v>587</v>
      </c>
      <c r="E3429">
        <v>304</v>
      </c>
      <c r="F3429">
        <v>400</v>
      </c>
      <c r="G3429">
        <v>0</v>
      </c>
      <c r="H3429">
        <v>15481</v>
      </c>
      <c r="I3429">
        <v>7</v>
      </c>
      <c r="J3429">
        <v>86</v>
      </c>
      <c r="K3429">
        <v>319</v>
      </c>
      <c r="L3429">
        <v>362</v>
      </c>
      <c r="M3429">
        <v>26.5</v>
      </c>
      <c r="N3429">
        <f>IFERROR(VLOOKUP(A3429,vlookup_table!$A:$G,2,FALSE),"")</f>
        <v>1</v>
      </c>
      <c r="O3429">
        <f>IFERROR(VLOOKUP(A3429,vlookup_table!$A:$G,4,FALSE),"")</f>
        <v>3301</v>
      </c>
      <c r="P3429" t="str">
        <f>IFERROR(VLOOKUP(A3429,vlookup_table!$A:$G,5,FALSE),"")</f>
        <v>S3</v>
      </c>
      <c r="Q3429">
        <f>IFERROR(VLOOKUP(A3429,vlookup_table!$A:$G,7,FALSE),"")</f>
        <v>40</v>
      </c>
      <c r="R3429">
        <f t="shared" si="212"/>
        <v>64</v>
      </c>
      <c r="S3429" t="str" cm="1">
        <f t="array" ref="S3429">IF(P3429="","",_xlfn.SWITCH(LEFT(P3429,1),"C","Ciudad","T","Pueblo","R","Rural","S","Suburbano","U","Urbano",""))</f>
        <v>Suburbano</v>
      </c>
      <c r="T3429" t="str">
        <f t="shared" si="213"/>
        <v>M</v>
      </c>
      <c r="U3429" t="str">
        <f t="shared" si="214"/>
        <v>MI</v>
      </c>
      <c r="V3429" t="str">
        <f t="shared" si="215"/>
        <v>15481</v>
      </c>
    </row>
    <row r="3430" spans="1:22" x14ac:dyDescent="0.35">
      <c r="A3430" s="3">
        <v>144974</v>
      </c>
      <c r="B3430" t="s">
        <v>22</v>
      </c>
      <c r="C3430" t="s">
        <v>14</v>
      </c>
      <c r="D3430">
        <v>3404</v>
      </c>
      <c r="E3430">
        <v>752</v>
      </c>
      <c r="F3430">
        <v>761</v>
      </c>
      <c r="G3430">
        <v>96</v>
      </c>
      <c r="H3430">
        <v>31850</v>
      </c>
      <c r="I3430">
        <v>7</v>
      </c>
      <c r="J3430">
        <v>44</v>
      </c>
      <c r="K3430">
        <v>750</v>
      </c>
      <c r="L3430">
        <v>770</v>
      </c>
      <c r="M3430">
        <v>10</v>
      </c>
      <c r="N3430">
        <f>IFERROR(VLOOKUP(A3430,vlookup_table!$A:$G,2,FALSE),"")</f>
        <v>1</v>
      </c>
      <c r="O3430">
        <f>IFERROR(VLOOKUP(A3430,vlookup_table!$A:$G,4,FALSE),"")</f>
        <v>4901</v>
      </c>
      <c r="P3430" t="str">
        <f>IFERROR(VLOOKUP(A3430,vlookup_table!$A:$G,5,FALSE),"")</f>
        <v>U1</v>
      </c>
      <c r="Q3430">
        <f>IFERROR(VLOOKUP(A3430,vlookup_table!$A:$G,7,FALSE),"")</f>
        <v>20</v>
      </c>
      <c r="R3430">
        <f t="shared" si="212"/>
        <v>48</v>
      </c>
      <c r="S3430" t="str" cm="1">
        <f t="array" ref="S3430">IF(P3430="","",_xlfn.SWITCH(LEFT(P3430,1),"C","Ciudad","T","Pueblo","R","Rural","S","Suburbano","U","Urbano",""))</f>
        <v>Urbano</v>
      </c>
      <c r="T3430" t="str">
        <f t="shared" si="213"/>
        <v>M</v>
      </c>
      <c r="U3430" t="str">
        <f t="shared" si="214"/>
        <v>CA</v>
      </c>
      <c r="V3430" t="str">
        <f t="shared" si="215"/>
        <v>31850</v>
      </c>
    </row>
    <row r="3431" spans="1:22" x14ac:dyDescent="0.35">
      <c r="A3431" s="3">
        <v>4254</v>
      </c>
      <c r="B3431" t="s">
        <v>22</v>
      </c>
      <c r="C3431" t="s">
        <v>14</v>
      </c>
      <c r="D3431">
        <v>1738</v>
      </c>
      <c r="E3431">
        <v>355</v>
      </c>
      <c r="F3431">
        <v>395</v>
      </c>
      <c r="G3431">
        <v>29</v>
      </c>
      <c r="H3431">
        <v>15779</v>
      </c>
      <c r="I3431">
        <v>24</v>
      </c>
      <c r="J3431">
        <v>43</v>
      </c>
      <c r="K3431">
        <v>375</v>
      </c>
      <c r="L3431">
        <v>387</v>
      </c>
      <c r="M3431">
        <v>17.100000000000001</v>
      </c>
      <c r="N3431">
        <f>IFERROR(VLOOKUP(A3431,vlookup_table!$A:$G,2,FALSE),"")</f>
        <v>1</v>
      </c>
      <c r="O3431">
        <f>IFERROR(VLOOKUP(A3431,vlookup_table!$A:$G,4,FALSE),"")</f>
        <v>4801</v>
      </c>
      <c r="P3431" t="str">
        <f>IFERROR(VLOOKUP(A3431,vlookup_table!$A:$G,5,FALSE),"")</f>
        <v>C2</v>
      </c>
      <c r="Q3431">
        <f>IFERROR(VLOOKUP(A3431,vlookup_table!$A:$G,7,FALSE),"")</f>
        <v>20</v>
      </c>
      <c r="R3431">
        <f t="shared" si="212"/>
        <v>49</v>
      </c>
      <c r="S3431" t="str" cm="1">
        <f t="array" ref="S3431">IF(P3431="","",_xlfn.SWITCH(LEFT(P3431,1),"C","Ciudad","T","Pueblo","R","Rural","S","Suburbano","U","Urbano",""))</f>
        <v>Ciudad</v>
      </c>
      <c r="T3431" t="str">
        <f t="shared" si="213"/>
        <v>M</v>
      </c>
      <c r="U3431" t="str">
        <f t="shared" si="214"/>
        <v>CA</v>
      </c>
      <c r="V3431" t="str">
        <f t="shared" si="215"/>
        <v>15779</v>
      </c>
    </row>
    <row r="3432" spans="1:22" x14ac:dyDescent="0.35">
      <c r="A3432" s="3">
        <v>171188</v>
      </c>
      <c r="B3432" t="s">
        <v>22</v>
      </c>
      <c r="C3432" t="s">
        <v>17</v>
      </c>
      <c r="D3432">
        <v>1283</v>
      </c>
      <c r="E3432">
        <v>223</v>
      </c>
      <c r="F3432">
        <v>359</v>
      </c>
      <c r="G3432">
        <v>18</v>
      </c>
      <c r="H3432">
        <v>13175</v>
      </c>
      <c r="I3432">
        <v>3</v>
      </c>
      <c r="J3432">
        <v>63</v>
      </c>
      <c r="K3432">
        <v>292</v>
      </c>
      <c r="L3432">
        <v>295</v>
      </c>
      <c r="M3432">
        <v>11.53333333</v>
      </c>
      <c r="N3432">
        <f>IFERROR(VLOOKUP(A3432,vlookup_table!$A:$G,2,FALSE),"")</f>
        <v>0</v>
      </c>
      <c r="O3432">
        <f>IFERROR(VLOOKUP(A3432,vlookup_table!$A:$G,4,FALSE),"")</f>
        <v>3308</v>
      </c>
      <c r="P3432" t="str">
        <f>IFERROR(VLOOKUP(A3432,vlookup_table!$A:$G,5,FALSE),"")</f>
        <v>T2</v>
      </c>
      <c r="Q3432">
        <f>IFERROR(VLOOKUP(A3432,vlookup_table!$A:$G,7,FALSE),"")</f>
        <v>14</v>
      </c>
      <c r="R3432">
        <f t="shared" si="212"/>
        <v>64</v>
      </c>
      <c r="S3432" t="str" cm="1">
        <f t="array" ref="S3432">IF(P3432="","",_xlfn.SWITCH(LEFT(P3432,1),"C","Ciudad","T","Pueblo","R","Rural","S","Suburbano","U","Urbano",""))</f>
        <v>Pueblo</v>
      </c>
      <c r="T3432" t="str">
        <f t="shared" si="213"/>
        <v>F</v>
      </c>
      <c r="U3432" t="str">
        <f t="shared" si="214"/>
        <v>CA</v>
      </c>
      <c r="V3432" t="str">
        <f t="shared" si="215"/>
        <v>13175</v>
      </c>
    </row>
    <row r="3433" spans="1:22" x14ac:dyDescent="0.35">
      <c r="A3433" s="3">
        <v>181569</v>
      </c>
      <c r="B3433" t="s">
        <v>40</v>
      </c>
      <c r="C3433" t="s">
        <v>17</v>
      </c>
      <c r="D3433">
        <v>886</v>
      </c>
      <c r="E3433">
        <v>293</v>
      </c>
      <c r="F3433">
        <v>433</v>
      </c>
      <c r="G3433">
        <v>8</v>
      </c>
      <c r="H3433">
        <v>16413</v>
      </c>
      <c r="I3433">
        <v>1</v>
      </c>
      <c r="J3433">
        <v>42</v>
      </c>
      <c r="K3433">
        <v>351</v>
      </c>
      <c r="L3433">
        <v>366</v>
      </c>
      <c r="M3433">
        <v>17.333333329999999</v>
      </c>
      <c r="N3433">
        <f>IFERROR(VLOOKUP(A3433,vlookup_table!$A:$G,2,FALSE),"")</f>
        <v>0</v>
      </c>
      <c r="O3433">
        <f>IFERROR(VLOOKUP(A3433,vlookup_table!$A:$G,4,FALSE),"")</f>
        <v>1909</v>
      </c>
      <c r="P3433" t="str">
        <f>IFERROR(VLOOKUP(A3433,vlookup_table!$A:$G,5,FALSE),"")</f>
        <v>T2</v>
      </c>
      <c r="Q3433">
        <f>IFERROR(VLOOKUP(A3433,vlookup_table!$A:$G,7,FALSE),"")</f>
        <v>21</v>
      </c>
      <c r="R3433">
        <f t="shared" si="212"/>
        <v>78</v>
      </c>
      <c r="S3433" t="str" cm="1">
        <f t="array" ref="S3433">IF(P3433="","",_xlfn.SWITCH(LEFT(P3433,1),"C","Ciudad","T","Pueblo","R","Rural","S","Suburbano","U","Urbano",""))</f>
        <v>Pueblo</v>
      </c>
      <c r="T3433" t="str">
        <f t="shared" si="213"/>
        <v>F</v>
      </c>
      <c r="U3433" t="str">
        <f t="shared" si="214"/>
        <v>WA</v>
      </c>
      <c r="V3433" t="str">
        <f t="shared" si="215"/>
        <v>16413</v>
      </c>
    </row>
    <row r="3434" spans="1:22" x14ac:dyDescent="0.35">
      <c r="A3434" s="3">
        <v>68797</v>
      </c>
      <c r="B3434" t="s">
        <v>29</v>
      </c>
      <c r="C3434" t="s">
        <v>17</v>
      </c>
      <c r="D3434">
        <v>927</v>
      </c>
      <c r="E3434">
        <v>323</v>
      </c>
      <c r="F3434">
        <v>371</v>
      </c>
      <c r="G3434">
        <v>2</v>
      </c>
      <c r="H3434">
        <v>18248</v>
      </c>
      <c r="I3434">
        <v>8</v>
      </c>
      <c r="J3434">
        <v>80</v>
      </c>
      <c r="K3434">
        <v>359</v>
      </c>
      <c r="L3434">
        <v>333</v>
      </c>
      <c r="M3434">
        <v>7.6666666670000003</v>
      </c>
      <c r="N3434">
        <f>IFERROR(VLOOKUP(A3434,vlookup_table!$A:$G,2,FALSE),"")</f>
        <v>0</v>
      </c>
      <c r="O3434">
        <f>IFERROR(VLOOKUP(A3434,vlookup_table!$A:$G,4,FALSE),"")</f>
        <v>0</v>
      </c>
      <c r="P3434" t="str">
        <f>IFERROR(VLOOKUP(A3434,vlookup_table!$A:$G,5,FALSE),"")</f>
        <v>S2</v>
      </c>
      <c r="Q3434">
        <f>IFERROR(VLOOKUP(A3434,vlookup_table!$A:$G,7,FALSE),"")</f>
        <v>10</v>
      </c>
      <c r="R3434">
        <f t="shared" si="212"/>
        <v>97</v>
      </c>
      <c r="S3434" t="str" cm="1">
        <f t="array" ref="S3434">IF(P3434="","",_xlfn.SWITCH(LEFT(P3434,1),"C","Ciudad","T","Pueblo","R","Rural","S","Suburbano","U","Urbano",""))</f>
        <v>Suburbano</v>
      </c>
      <c r="T3434" t="str">
        <f t="shared" si="213"/>
        <v>F</v>
      </c>
      <c r="U3434" t="str">
        <f t="shared" si="214"/>
        <v>MI</v>
      </c>
      <c r="V3434" t="str">
        <f t="shared" si="215"/>
        <v>18248</v>
      </c>
    </row>
    <row r="3435" spans="1:22" x14ac:dyDescent="0.35">
      <c r="A3435" s="3">
        <v>99602</v>
      </c>
      <c r="B3435" t="s">
        <v>36</v>
      </c>
      <c r="C3435" t="s">
        <v>17</v>
      </c>
      <c r="D3435">
        <v>649</v>
      </c>
      <c r="E3435">
        <v>317</v>
      </c>
      <c r="F3435">
        <v>410</v>
      </c>
      <c r="G3435">
        <v>0</v>
      </c>
      <c r="H3435">
        <v>16063</v>
      </c>
      <c r="I3435">
        <v>1</v>
      </c>
      <c r="J3435">
        <v>71</v>
      </c>
      <c r="K3435">
        <v>399</v>
      </c>
      <c r="L3435">
        <v>350</v>
      </c>
      <c r="M3435">
        <v>7.9411764710000003</v>
      </c>
      <c r="N3435">
        <f>IFERROR(VLOOKUP(A3435,vlookup_table!$A:$G,2,FALSE),"")</f>
        <v>3</v>
      </c>
      <c r="O3435">
        <f>IFERROR(VLOOKUP(A3435,vlookup_table!$A:$G,4,FALSE),"")</f>
        <v>2704</v>
      </c>
      <c r="P3435" t="str">
        <f>IFERROR(VLOOKUP(A3435,vlookup_table!$A:$G,5,FALSE),"")</f>
        <v>S2</v>
      </c>
      <c r="Q3435">
        <f>IFERROR(VLOOKUP(A3435,vlookup_table!$A:$G,7,FALSE),"")</f>
        <v>10</v>
      </c>
      <c r="R3435">
        <f t="shared" si="212"/>
        <v>70</v>
      </c>
      <c r="S3435" t="str" cm="1">
        <f t="array" ref="S3435">IF(P3435="","",_xlfn.SWITCH(LEFT(P3435,1),"C","Ciudad","T","Pueblo","R","Rural","S","Suburbano","U","Urbano",""))</f>
        <v>Suburbano</v>
      </c>
      <c r="T3435" t="str">
        <f t="shared" si="213"/>
        <v>F</v>
      </c>
      <c r="U3435" t="str">
        <f t="shared" si="214"/>
        <v>MO</v>
      </c>
      <c r="V3435" t="str">
        <f t="shared" si="215"/>
        <v>16063</v>
      </c>
    </row>
    <row r="3436" spans="1:22" x14ac:dyDescent="0.35">
      <c r="A3436" s="3">
        <v>182586</v>
      </c>
      <c r="B3436" t="s">
        <v>40</v>
      </c>
      <c r="C3436" t="s">
        <v>51</v>
      </c>
      <c r="D3436">
        <v>429</v>
      </c>
      <c r="E3436">
        <v>192</v>
      </c>
      <c r="F3436">
        <v>259</v>
      </c>
      <c r="G3436">
        <v>0</v>
      </c>
      <c r="H3436">
        <v>8712</v>
      </c>
      <c r="I3436">
        <v>1</v>
      </c>
      <c r="J3436">
        <v>49</v>
      </c>
      <c r="K3436">
        <v>215</v>
      </c>
      <c r="L3436">
        <v>224</v>
      </c>
      <c r="M3436">
        <v>6.8666666669999996</v>
      </c>
      <c r="N3436">
        <f>IFERROR(VLOOKUP(A3436,vlookup_table!$A:$G,2,FALSE),"")</f>
        <v>1</v>
      </c>
      <c r="O3436">
        <f>IFERROR(VLOOKUP(A3436,vlookup_table!$A:$G,4,FALSE),"")</f>
        <v>1901</v>
      </c>
      <c r="P3436" t="str">
        <f>IFERROR(VLOOKUP(A3436,vlookup_table!$A:$G,5,FALSE),"")</f>
        <v>R3</v>
      </c>
      <c r="Q3436">
        <f>IFERROR(VLOOKUP(A3436,vlookup_table!$A:$G,7,FALSE),"")</f>
        <v>8</v>
      </c>
      <c r="R3436">
        <f t="shared" si="212"/>
        <v>78</v>
      </c>
      <c r="S3436" t="str" cm="1">
        <f t="array" ref="S3436">IF(P3436="","",_xlfn.SWITCH(LEFT(P3436,1),"C","Ciudad","T","Pueblo","R","Rural","S","Suburbano","U","Urbano",""))</f>
        <v>Rural</v>
      </c>
      <c r="T3436" t="str">
        <f t="shared" si="213"/>
        <v>M</v>
      </c>
      <c r="U3436" t="str">
        <f t="shared" si="214"/>
        <v>WA</v>
      </c>
      <c r="V3436" t="str">
        <f t="shared" si="215"/>
        <v>8712</v>
      </c>
    </row>
    <row r="3437" spans="1:22" x14ac:dyDescent="0.35">
      <c r="A3437" s="3">
        <v>11023</v>
      </c>
      <c r="B3437" t="s">
        <v>22</v>
      </c>
      <c r="C3437" t="s">
        <v>14</v>
      </c>
      <c r="D3437">
        <v>1869</v>
      </c>
      <c r="E3437">
        <v>559</v>
      </c>
      <c r="F3437">
        <v>600</v>
      </c>
      <c r="G3437">
        <v>38</v>
      </c>
      <c r="H3437">
        <v>20539</v>
      </c>
      <c r="I3437">
        <v>5</v>
      </c>
      <c r="J3437">
        <v>61</v>
      </c>
      <c r="K3437">
        <v>560</v>
      </c>
      <c r="L3437">
        <v>577</v>
      </c>
      <c r="M3437">
        <v>6.4</v>
      </c>
      <c r="N3437">
        <f>IFERROR(VLOOKUP(A3437,vlookup_table!$A:$G,2,FALSE),"")</f>
        <v>1</v>
      </c>
      <c r="O3437">
        <f>IFERROR(VLOOKUP(A3437,vlookup_table!$A:$G,4,FALSE),"")</f>
        <v>2001</v>
      </c>
      <c r="P3437" t="str">
        <f>IFERROR(VLOOKUP(A3437,vlookup_table!$A:$G,5,FALSE),"")</f>
        <v>T2</v>
      </c>
      <c r="Q3437">
        <f>IFERROR(VLOOKUP(A3437,vlookup_table!$A:$G,7,FALSE),"")</f>
        <v>5</v>
      </c>
      <c r="R3437">
        <f t="shared" si="212"/>
        <v>77</v>
      </c>
      <c r="S3437" t="str" cm="1">
        <f t="array" ref="S3437">IF(P3437="","",_xlfn.SWITCH(LEFT(P3437,1),"C","Ciudad","T","Pueblo","R","Rural","S","Suburbano","U","Urbano",""))</f>
        <v>Pueblo</v>
      </c>
      <c r="T3437" t="str">
        <f t="shared" si="213"/>
        <v>M</v>
      </c>
      <c r="U3437" t="str">
        <f t="shared" si="214"/>
        <v>CA</v>
      </c>
      <c r="V3437" t="str">
        <f t="shared" si="215"/>
        <v>20539</v>
      </c>
    </row>
    <row r="3438" spans="1:22" x14ac:dyDescent="0.35">
      <c r="A3438" s="3">
        <v>176409</v>
      </c>
      <c r="B3438" t="s">
        <v>50</v>
      </c>
      <c r="C3438" t="s">
        <v>14</v>
      </c>
      <c r="D3438">
        <v>709</v>
      </c>
      <c r="E3438">
        <v>361</v>
      </c>
      <c r="F3438">
        <v>494</v>
      </c>
      <c r="G3438">
        <v>0</v>
      </c>
      <c r="H3438">
        <v>15076</v>
      </c>
      <c r="I3438">
        <v>2</v>
      </c>
      <c r="J3438">
        <v>53</v>
      </c>
      <c r="K3438">
        <v>442</v>
      </c>
      <c r="L3438">
        <v>440</v>
      </c>
      <c r="M3438">
        <v>12.4</v>
      </c>
      <c r="N3438">
        <f>IFERROR(VLOOKUP(A3438,vlookup_table!$A:$G,2,FALSE),"")</f>
        <v>1</v>
      </c>
      <c r="O3438">
        <f>IFERROR(VLOOKUP(A3438,vlookup_table!$A:$G,4,FALSE),"")</f>
        <v>4106</v>
      </c>
      <c r="P3438" t="str">
        <f>IFERROR(VLOOKUP(A3438,vlookup_table!$A:$G,5,FALSE),"")</f>
        <v>T2</v>
      </c>
      <c r="Q3438">
        <f>IFERROR(VLOOKUP(A3438,vlookup_table!$A:$G,7,FALSE),"")</f>
        <v>30</v>
      </c>
      <c r="R3438">
        <f t="shared" si="212"/>
        <v>56</v>
      </c>
      <c r="S3438" t="str" cm="1">
        <f t="array" ref="S3438">IF(P3438="","",_xlfn.SWITCH(LEFT(P3438,1),"C","Ciudad","T","Pueblo","R","Rural","S","Suburbano","U","Urbano",""))</f>
        <v>Pueblo</v>
      </c>
      <c r="T3438" t="str">
        <f t="shared" si="213"/>
        <v>M</v>
      </c>
      <c r="U3438" t="str">
        <f t="shared" si="214"/>
        <v>OR</v>
      </c>
      <c r="V3438" t="str">
        <f t="shared" si="215"/>
        <v>15076</v>
      </c>
    </row>
    <row r="3439" spans="1:22" x14ac:dyDescent="0.35">
      <c r="A3439" s="3">
        <v>72452</v>
      </c>
      <c r="B3439" t="s">
        <v>29</v>
      </c>
      <c r="C3439" t="s">
        <v>17</v>
      </c>
      <c r="D3439">
        <v>951</v>
      </c>
      <c r="E3439">
        <v>601</v>
      </c>
      <c r="F3439">
        <v>648</v>
      </c>
      <c r="G3439">
        <v>2</v>
      </c>
      <c r="H3439">
        <v>20169</v>
      </c>
      <c r="I3439">
        <v>1</v>
      </c>
      <c r="J3439">
        <v>74</v>
      </c>
      <c r="K3439">
        <v>611</v>
      </c>
      <c r="L3439">
        <v>639</v>
      </c>
      <c r="M3439">
        <v>3.3333333330000001</v>
      </c>
      <c r="N3439">
        <f>IFERROR(VLOOKUP(A3439,vlookup_table!$A:$G,2,FALSE),"")</f>
        <v>0</v>
      </c>
      <c r="O3439">
        <f>IFERROR(VLOOKUP(A3439,vlookup_table!$A:$G,4,FALSE),"")</f>
        <v>6110</v>
      </c>
      <c r="P3439" t="str">
        <f>IFERROR(VLOOKUP(A3439,vlookup_table!$A:$G,5,FALSE),"")</f>
        <v>T2</v>
      </c>
      <c r="Q3439">
        <f>IFERROR(VLOOKUP(A3439,vlookup_table!$A:$G,7,FALSE),"")</f>
        <v>4</v>
      </c>
      <c r="R3439">
        <f t="shared" si="212"/>
        <v>36</v>
      </c>
      <c r="S3439" t="str" cm="1">
        <f t="array" ref="S3439">IF(P3439="","",_xlfn.SWITCH(LEFT(P3439,1),"C","Ciudad","T","Pueblo","R","Rural","S","Suburbano","U","Urbano",""))</f>
        <v>Pueblo</v>
      </c>
      <c r="T3439" t="str">
        <f t="shared" si="213"/>
        <v>F</v>
      </c>
      <c r="U3439" t="str">
        <f t="shared" si="214"/>
        <v>MI</v>
      </c>
      <c r="V3439" t="str">
        <f t="shared" si="215"/>
        <v>20169</v>
      </c>
    </row>
    <row r="3440" spans="1:22" x14ac:dyDescent="0.35">
      <c r="A3440" s="3">
        <v>77523</v>
      </c>
      <c r="B3440" t="s">
        <v>35</v>
      </c>
      <c r="C3440" t="s">
        <v>17</v>
      </c>
      <c r="D3440">
        <v>856</v>
      </c>
      <c r="E3440">
        <v>458</v>
      </c>
      <c r="F3440">
        <v>536</v>
      </c>
      <c r="G3440">
        <v>0</v>
      </c>
      <c r="H3440">
        <v>18209</v>
      </c>
      <c r="I3440">
        <v>3</v>
      </c>
      <c r="J3440">
        <v>81</v>
      </c>
      <c r="K3440">
        <v>478</v>
      </c>
      <c r="L3440">
        <v>497</v>
      </c>
      <c r="M3440">
        <v>8.3571428569999995</v>
      </c>
      <c r="N3440">
        <f>IFERROR(VLOOKUP(A3440,vlookup_table!$A:$G,2,FALSE),"")</f>
        <v>0</v>
      </c>
      <c r="O3440">
        <f>IFERROR(VLOOKUP(A3440,vlookup_table!$A:$G,4,FALSE),"")</f>
        <v>0</v>
      </c>
      <c r="P3440" t="str">
        <f>IFERROR(VLOOKUP(A3440,vlookup_table!$A:$G,5,FALSE),"")</f>
        <v>T2</v>
      </c>
      <c r="Q3440">
        <f>IFERROR(VLOOKUP(A3440,vlookup_table!$A:$G,7,FALSE),"")</f>
        <v>15</v>
      </c>
      <c r="R3440">
        <f t="shared" si="212"/>
        <v>97</v>
      </c>
      <c r="S3440" t="str" cm="1">
        <f t="array" ref="S3440">IF(P3440="","",_xlfn.SWITCH(LEFT(P3440,1),"C","Ciudad","T","Pueblo","R","Rural","S","Suburbano","U","Urbano",""))</f>
        <v>Pueblo</v>
      </c>
      <c r="T3440" t="str">
        <f t="shared" si="213"/>
        <v>F</v>
      </c>
      <c r="U3440" t="str">
        <f t="shared" si="214"/>
        <v>WI</v>
      </c>
      <c r="V3440" t="str">
        <f t="shared" si="215"/>
        <v>18209</v>
      </c>
    </row>
    <row r="3441" spans="1:22" x14ac:dyDescent="0.35">
      <c r="A3441" s="3">
        <v>29130</v>
      </c>
      <c r="B3441" t="s">
        <v>39</v>
      </c>
      <c r="C3441" t="s">
        <v>14</v>
      </c>
      <c r="D3441">
        <v>664</v>
      </c>
      <c r="E3441">
        <v>357</v>
      </c>
      <c r="F3441">
        <v>414</v>
      </c>
      <c r="G3441">
        <v>1</v>
      </c>
      <c r="H3441">
        <v>11747</v>
      </c>
      <c r="I3441">
        <v>0</v>
      </c>
      <c r="J3441">
        <v>86</v>
      </c>
      <c r="K3441">
        <v>363</v>
      </c>
      <c r="L3441">
        <v>389</v>
      </c>
      <c r="M3441">
        <v>9.6</v>
      </c>
      <c r="N3441">
        <f>IFERROR(VLOOKUP(A3441,vlookup_table!$A:$G,2,FALSE),"")</f>
        <v>1</v>
      </c>
      <c r="O3441">
        <f>IFERROR(VLOOKUP(A3441,vlookup_table!$A:$G,4,FALSE),"")</f>
        <v>6701</v>
      </c>
      <c r="P3441" t="str">
        <f>IFERROR(VLOOKUP(A3441,vlookup_table!$A:$G,5,FALSE),"")</f>
        <v>R2</v>
      </c>
      <c r="Q3441">
        <f>IFERROR(VLOOKUP(A3441,vlookup_table!$A:$G,7,FALSE),"")</f>
        <v>10</v>
      </c>
      <c r="R3441">
        <f t="shared" si="212"/>
        <v>30</v>
      </c>
      <c r="S3441" t="str" cm="1">
        <f t="array" ref="S3441">IF(P3441="","",_xlfn.SWITCH(LEFT(P3441,1),"C","Ciudad","T","Pueblo","R","Rural","S","Suburbano","U","Urbano",""))</f>
        <v>Rural</v>
      </c>
      <c r="T3441" t="str">
        <f t="shared" si="213"/>
        <v>M</v>
      </c>
      <c r="U3441" t="str">
        <f t="shared" si="214"/>
        <v>GA</v>
      </c>
      <c r="V3441" t="str">
        <f t="shared" si="215"/>
        <v>11747</v>
      </c>
    </row>
    <row r="3442" spans="1:22" x14ac:dyDescent="0.35">
      <c r="A3442" s="3">
        <v>141308</v>
      </c>
      <c r="B3442" t="s">
        <v>38</v>
      </c>
      <c r="C3442" t="s">
        <v>17</v>
      </c>
      <c r="D3442">
        <v>695</v>
      </c>
      <c r="E3442">
        <v>288</v>
      </c>
      <c r="F3442">
        <v>412</v>
      </c>
      <c r="G3442">
        <v>0</v>
      </c>
      <c r="H3442">
        <v>11994</v>
      </c>
      <c r="I3442">
        <v>1</v>
      </c>
      <c r="J3442">
        <v>81</v>
      </c>
      <c r="K3442">
        <v>371</v>
      </c>
      <c r="L3442">
        <v>338</v>
      </c>
      <c r="M3442">
        <v>4.692307692</v>
      </c>
      <c r="N3442">
        <f>IFERROR(VLOOKUP(A3442,vlookup_table!$A:$G,2,FALSE),"")</f>
        <v>0</v>
      </c>
      <c r="O3442">
        <f>IFERROR(VLOOKUP(A3442,vlookup_table!$A:$G,4,FALSE),"")</f>
        <v>5601</v>
      </c>
      <c r="P3442" t="str">
        <f>IFERROR(VLOOKUP(A3442,vlookup_table!$A:$G,5,FALSE),"")</f>
        <v>S2</v>
      </c>
      <c r="Q3442">
        <f>IFERROR(VLOOKUP(A3442,vlookup_table!$A:$G,7,FALSE),"")</f>
        <v>4</v>
      </c>
      <c r="R3442">
        <f t="shared" si="212"/>
        <v>41</v>
      </c>
      <c r="S3442" t="str" cm="1">
        <f t="array" ref="S3442">IF(P3442="","",_xlfn.SWITCH(LEFT(P3442,1),"C","Ciudad","T","Pueblo","R","Rural","S","Suburbano","U","Urbano",""))</f>
        <v>Suburbano</v>
      </c>
      <c r="T3442" t="str">
        <f t="shared" si="213"/>
        <v>F</v>
      </c>
      <c r="U3442" t="str">
        <f t="shared" si="214"/>
        <v>UT</v>
      </c>
      <c r="V3442" t="str">
        <f t="shared" si="215"/>
        <v>11994</v>
      </c>
    </row>
    <row r="3443" spans="1:22" x14ac:dyDescent="0.35">
      <c r="A3443" s="3">
        <v>15349</v>
      </c>
      <c r="B3443" t="s">
        <v>18</v>
      </c>
      <c r="C3443" t="s">
        <v>14</v>
      </c>
      <c r="D3443">
        <v>651</v>
      </c>
      <c r="E3443">
        <v>201</v>
      </c>
      <c r="F3443">
        <v>472</v>
      </c>
      <c r="G3443">
        <v>14</v>
      </c>
      <c r="H3443">
        <v>30052</v>
      </c>
      <c r="I3443">
        <v>1</v>
      </c>
      <c r="J3443">
        <v>62</v>
      </c>
      <c r="K3443">
        <v>367</v>
      </c>
      <c r="L3443">
        <v>336</v>
      </c>
      <c r="M3443">
        <v>20</v>
      </c>
      <c r="N3443">
        <f>IFERROR(VLOOKUP(A3443,vlookup_table!$A:$G,2,FALSE),"")</f>
        <v>1</v>
      </c>
      <c r="O3443">
        <f>IFERROR(VLOOKUP(A3443,vlookup_table!$A:$G,4,FALSE),"")</f>
        <v>2201</v>
      </c>
      <c r="P3443" t="str">
        <f>IFERROR(VLOOKUP(A3443,vlookup_table!$A:$G,5,FALSE),"")</f>
        <v>C2</v>
      </c>
      <c r="Q3443">
        <f>IFERROR(VLOOKUP(A3443,vlookup_table!$A:$G,7,FALSE),"")</f>
        <v>30</v>
      </c>
      <c r="R3443">
        <f t="shared" si="212"/>
        <v>75</v>
      </c>
      <c r="S3443" t="str" cm="1">
        <f t="array" ref="S3443">IF(P3443="","",_xlfn.SWITCH(LEFT(P3443,1),"C","Ciudad","T","Pueblo","R","Rural","S","Suburbano","U","Urbano",""))</f>
        <v>Ciudad</v>
      </c>
      <c r="T3443" t="str">
        <f t="shared" si="213"/>
        <v>M</v>
      </c>
      <c r="U3443" t="str">
        <f t="shared" si="214"/>
        <v>NC</v>
      </c>
      <c r="V3443" t="str">
        <f t="shared" si="215"/>
        <v>30052</v>
      </c>
    </row>
    <row r="3444" spans="1:22" x14ac:dyDescent="0.35">
      <c r="A3444" s="3">
        <v>124095</v>
      </c>
      <c r="B3444" t="s">
        <v>21</v>
      </c>
      <c r="C3444" t="s">
        <v>17</v>
      </c>
      <c r="D3444">
        <v>328</v>
      </c>
      <c r="E3444">
        <v>268</v>
      </c>
      <c r="F3444">
        <v>317</v>
      </c>
      <c r="G3444">
        <v>0</v>
      </c>
      <c r="H3444">
        <v>10558</v>
      </c>
      <c r="I3444">
        <v>16</v>
      </c>
      <c r="J3444">
        <v>65</v>
      </c>
      <c r="K3444">
        <v>308</v>
      </c>
      <c r="L3444">
        <v>300</v>
      </c>
      <c r="M3444">
        <v>15</v>
      </c>
      <c r="N3444">
        <f>IFERROR(VLOOKUP(A3444,vlookup_table!$A:$G,2,FALSE),"")</f>
        <v>2</v>
      </c>
      <c r="O3444">
        <f>IFERROR(VLOOKUP(A3444,vlookup_table!$A:$G,4,FALSE),"")</f>
        <v>2901</v>
      </c>
      <c r="P3444" t="str">
        <f>IFERROR(VLOOKUP(A3444,vlookup_table!$A:$G,5,FALSE),"")</f>
        <v>C3</v>
      </c>
      <c r="Q3444">
        <f>IFERROR(VLOOKUP(A3444,vlookup_table!$A:$G,7,FALSE),"")</f>
        <v>21</v>
      </c>
      <c r="R3444">
        <f t="shared" si="212"/>
        <v>68</v>
      </c>
      <c r="S3444" t="str" cm="1">
        <f t="array" ref="S3444">IF(P3444="","",_xlfn.SWITCH(LEFT(P3444,1),"C","Ciudad","T","Pueblo","R","Rural","S","Suburbano","U","Urbano",""))</f>
        <v>Ciudad</v>
      </c>
      <c r="T3444" t="str">
        <f t="shared" si="213"/>
        <v>F</v>
      </c>
      <c r="U3444" t="str">
        <f t="shared" si="214"/>
        <v>TX</v>
      </c>
      <c r="V3444" t="str">
        <f t="shared" si="215"/>
        <v>10558</v>
      </c>
    </row>
    <row r="3445" spans="1:22" x14ac:dyDescent="0.35">
      <c r="A3445" s="3">
        <v>106583</v>
      </c>
      <c r="B3445" t="s">
        <v>59</v>
      </c>
      <c r="C3445" t="s">
        <v>14</v>
      </c>
      <c r="D3445">
        <v>337</v>
      </c>
      <c r="E3445">
        <v>296</v>
      </c>
      <c r="F3445">
        <v>415</v>
      </c>
      <c r="G3445">
        <v>0</v>
      </c>
      <c r="H3445">
        <v>14902</v>
      </c>
      <c r="I3445">
        <v>1</v>
      </c>
      <c r="J3445">
        <v>83</v>
      </c>
      <c r="K3445">
        <v>344</v>
      </c>
      <c r="L3445">
        <v>350</v>
      </c>
      <c r="M3445">
        <v>5.5476190479999996</v>
      </c>
      <c r="N3445">
        <f>IFERROR(VLOOKUP(A3445,vlookup_table!$A:$G,2,FALSE),"")</f>
        <v>0</v>
      </c>
      <c r="O3445">
        <f>IFERROR(VLOOKUP(A3445,vlookup_table!$A:$G,4,FALSE),"")</f>
        <v>2002</v>
      </c>
      <c r="P3445" t="str">
        <f>IFERROR(VLOOKUP(A3445,vlookup_table!$A:$G,5,FALSE),"")</f>
        <v>R2</v>
      </c>
      <c r="Q3445">
        <f>IFERROR(VLOOKUP(A3445,vlookup_table!$A:$G,7,FALSE),"")</f>
        <v>5</v>
      </c>
      <c r="R3445">
        <f t="shared" si="212"/>
        <v>77</v>
      </c>
      <c r="S3445" t="str" cm="1">
        <f t="array" ref="S3445">IF(P3445="","",_xlfn.SWITCH(LEFT(P3445,1),"C","Ciudad","T","Pueblo","R","Rural","S","Suburbano","U","Urbano",""))</f>
        <v>Rural</v>
      </c>
      <c r="T3445" t="str">
        <f t="shared" si="213"/>
        <v>M</v>
      </c>
      <c r="U3445" t="str">
        <f t="shared" si="214"/>
        <v>NE</v>
      </c>
      <c r="V3445" t="str">
        <f t="shared" si="215"/>
        <v>14902</v>
      </c>
    </row>
    <row r="3446" spans="1:22" x14ac:dyDescent="0.35">
      <c r="A3446" s="3">
        <v>131263</v>
      </c>
      <c r="B3446" t="s">
        <v>48</v>
      </c>
      <c r="C3446" t="s">
        <v>17</v>
      </c>
      <c r="D3446">
        <v>475</v>
      </c>
      <c r="E3446">
        <v>82</v>
      </c>
      <c r="F3446">
        <v>125</v>
      </c>
      <c r="G3446">
        <v>9</v>
      </c>
      <c r="H3446">
        <v>7813</v>
      </c>
      <c r="I3446">
        <v>5</v>
      </c>
      <c r="J3446">
        <v>46</v>
      </c>
      <c r="K3446">
        <v>90</v>
      </c>
      <c r="L3446">
        <v>150</v>
      </c>
      <c r="M3446">
        <v>9.5333333329999999</v>
      </c>
      <c r="N3446">
        <f>IFERROR(VLOOKUP(A3446,vlookup_table!$A:$G,2,FALSE),"")</f>
        <v>0</v>
      </c>
      <c r="O3446">
        <f>IFERROR(VLOOKUP(A3446,vlookup_table!$A:$G,4,FALSE),"")</f>
        <v>701</v>
      </c>
      <c r="P3446" t="str">
        <f>IFERROR(VLOOKUP(A3446,vlookup_table!$A:$G,5,FALSE),"")</f>
        <v>C3</v>
      </c>
      <c r="Q3446">
        <f>IFERROR(VLOOKUP(A3446,vlookup_table!$A:$G,7,FALSE),"")</f>
        <v>12</v>
      </c>
      <c r="R3446">
        <f t="shared" si="212"/>
        <v>90</v>
      </c>
      <c r="S3446" t="str" cm="1">
        <f t="array" ref="S3446">IF(P3446="","",_xlfn.SWITCH(LEFT(P3446,1),"C","Ciudad","T","Pueblo","R","Rural","S","Suburbano","U","Urbano",""))</f>
        <v>Ciudad</v>
      </c>
      <c r="T3446" t="str">
        <f t="shared" si="213"/>
        <v>F</v>
      </c>
      <c r="U3446" t="str">
        <f t="shared" si="214"/>
        <v>CO</v>
      </c>
      <c r="V3446" t="str">
        <f t="shared" si="215"/>
        <v>7813</v>
      </c>
    </row>
    <row r="3447" spans="1:22" x14ac:dyDescent="0.35">
      <c r="A3447" s="3">
        <v>14376</v>
      </c>
      <c r="B3447" t="s">
        <v>57</v>
      </c>
      <c r="C3447" t="s">
        <v>17</v>
      </c>
      <c r="D3447">
        <v>295</v>
      </c>
      <c r="E3447">
        <v>182</v>
      </c>
      <c r="F3447">
        <v>285</v>
      </c>
      <c r="G3447">
        <v>0</v>
      </c>
      <c r="H3447">
        <v>10151</v>
      </c>
      <c r="I3447">
        <v>0</v>
      </c>
      <c r="J3447">
        <v>73</v>
      </c>
      <c r="K3447">
        <v>219</v>
      </c>
      <c r="L3447">
        <v>242</v>
      </c>
      <c r="M3447">
        <v>9.4545454549999999</v>
      </c>
      <c r="N3447">
        <f>IFERROR(VLOOKUP(A3447,vlookup_table!$A:$G,2,FALSE),"")</f>
        <v>0</v>
      </c>
      <c r="O3447">
        <f>IFERROR(VLOOKUP(A3447,vlookup_table!$A:$G,4,FALSE),"")</f>
        <v>6611</v>
      </c>
      <c r="P3447" t="str">
        <f>IFERROR(VLOOKUP(A3447,vlookup_table!$A:$G,5,FALSE),"")</f>
        <v>R2</v>
      </c>
      <c r="Q3447">
        <f>IFERROR(VLOOKUP(A3447,vlookup_table!$A:$G,7,FALSE),"")</f>
        <v>15</v>
      </c>
      <c r="R3447">
        <f t="shared" si="212"/>
        <v>31</v>
      </c>
      <c r="S3447" t="str" cm="1">
        <f t="array" ref="S3447">IF(P3447="","",_xlfn.SWITCH(LEFT(P3447,1),"C","Ciudad","T","Pueblo","R","Rural","S","Suburbano","U","Urbano",""))</f>
        <v>Rural</v>
      </c>
      <c r="T3447" t="str">
        <f t="shared" si="213"/>
        <v>F</v>
      </c>
      <c r="U3447" t="str">
        <f t="shared" si="214"/>
        <v>KY</v>
      </c>
      <c r="V3447" t="str">
        <f t="shared" si="215"/>
        <v>10151</v>
      </c>
    </row>
    <row r="3448" spans="1:22" x14ac:dyDescent="0.35">
      <c r="A3448" s="3">
        <v>147641</v>
      </c>
      <c r="B3448" t="s">
        <v>22</v>
      </c>
      <c r="C3448" t="s">
        <v>17</v>
      </c>
      <c r="D3448">
        <v>2302</v>
      </c>
      <c r="E3448">
        <v>313</v>
      </c>
      <c r="F3448">
        <v>521</v>
      </c>
      <c r="G3448">
        <v>67</v>
      </c>
      <c r="H3448">
        <v>18199</v>
      </c>
      <c r="I3448">
        <v>15</v>
      </c>
      <c r="J3448">
        <v>48</v>
      </c>
      <c r="K3448">
        <v>390</v>
      </c>
      <c r="L3448">
        <v>411</v>
      </c>
      <c r="M3448">
        <v>7.1333333330000004</v>
      </c>
      <c r="N3448">
        <f>IFERROR(VLOOKUP(A3448,vlookup_table!$A:$G,2,FALSE),"")</f>
        <v>2</v>
      </c>
      <c r="O3448">
        <f>IFERROR(VLOOKUP(A3448,vlookup_table!$A:$G,4,FALSE),"")</f>
        <v>1306</v>
      </c>
      <c r="P3448" t="str">
        <f>IFERROR(VLOOKUP(A3448,vlookup_table!$A:$G,5,FALSE),"")</f>
        <v>S2</v>
      </c>
      <c r="Q3448">
        <f>IFERROR(VLOOKUP(A3448,vlookup_table!$A:$G,7,FALSE),"")</f>
        <v>10</v>
      </c>
      <c r="R3448">
        <f t="shared" si="212"/>
        <v>84</v>
      </c>
      <c r="S3448" t="str" cm="1">
        <f t="array" ref="S3448">IF(P3448="","",_xlfn.SWITCH(LEFT(P3448,1),"C","Ciudad","T","Pueblo","R","Rural","S","Suburbano","U","Urbano",""))</f>
        <v>Suburbano</v>
      </c>
      <c r="T3448" t="str">
        <f t="shared" si="213"/>
        <v>F</v>
      </c>
      <c r="U3448" t="str">
        <f t="shared" si="214"/>
        <v>CA</v>
      </c>
      <c r="V3448" t="str">
        <f t="shared" si="215"/>
        <v>18199</v>
      </c>
    </row>
    <row r="3449" spans="1:22" x14ac:dyDescent="0.35">
      <c r="A3449" s="3">
        <v>131972</v>
      </c>
      <c r="B3449" t="s">
        <v>48</v>
      </c>
      <c r="C3449" t="s">
        <v>17</v>
      </c>
      <c r="D3449">
        <v>513</v>
      </c>
      <c r="E3449">
        <v>250</v>
      </c>
      <c r="F3449">
        <v>347</v>
      </c>
      <c r="G3449">
        <v>0</v>
      </c>
      <c r="H3449">
        <v>11462</v>
      </c>
      <c r="I3449">
        <v>3</v>
      </c>
      <c r="J3449">
        <v>59</v>
      </c>
      <c r="K3449">
        <v>288</v>
      </c>
      <c r="L3449">
        <v>313</v>
      </c>
      <c r="M3449">
        <v>5.7777777779999999</v>
      </c>
      <c r="N3449">
        <f>IFERROR(VLOOKUP(A3449,vlookup_table!$A:$G,2,FALSE),"")</f>
        <v>28</v>
      </c>
      <c r="O3449">
        <f>IFERROR(VLOOKUP(A3449,vlookup_table!$A:$G,4,FALSE),"")</f>
        <v>0</v>
      </c>
      <c r="P3449" t="str">
        <f>IFERROR(VLOOKUP(A3449,vlookup_table!$A:$G,5,FALSE),"")</f>
        <v>R2</v>
      </c>
      <c r="Q3449">
        <f>IFERROR(VLOOKUP(A3449,vlookup_table!$A:$G,7,FALSE),"")</f>
        <v>6</v>
      </c>
      <c r="R3449">
        <f t="shared" si="212"/>
        <v>97</v>
      </c>
      <c r="S3449" t="str" cm="1">
        <f t="array" ref="S3449">IF(P3449="","",_xlfn.SWITCH(LEFT(P3449,1),"C","Ciudad","T","Pueblo","R","Rural","S","Suburbano","U","Urbano",""))</f>
        <v>Rural</v>
      </c>
      <c r="T3449" t="str">
        <f t="shared" si="213"/>
        <v>F</v>
      </c>
      <c r="U3449" t="str">
        <f t="shared" si="214"/>
        <v>CO</v>
      </c>
      <c r="V3449" t="str">
        <f t="shared" si="215"/>
        <v>11462</v>
      </c>
    </row>
    <row r="3450" spans="1:22" x14ac:dyDescent="0.35">
      <c r="A3450" s="3">
        <v>170714</v>
      </c>
      <c r="B3450" t="s">
        <v>22</v>
      </c>
      <c r="D3450">
        <v>1452</v>
      </c>
      <c r="E3450">
        <v>286</v>
      </c>
      <c r="F3450">
        <v>363</v>
      </c>
      <c r="G3450">
        <v>4</v>
      </c>
      <c r="H3450">
        <v>13126</v>
      </c>
      <c r="I3450">
        <v>9</v>
      </c>
      <c r="J3450">
        <v>61</v>
      </c>
      <c r="K3450">
        <v>279</v>
      </c>
      <c r="L3450">
        <v>346</v>
      </c>
      <c r="M3450">
        <v>12.61538462</v>
      </c>
      <c r="N3450">
        <f>IFERROR(VLOOKUP(A3450,vlookup_table!$A:$G,2,FALSE),"")</f>
        <v>0</v>
      </c>
      <c r="O3450">
        <f>IFERROR(VLOOKUP(A3450,vlookup_table!$A:$G,4,FALSE),"")</f>
        <v>4106</v>
      </c>
      <c r="P3450" t="str">
        <f>IFERROR(VLOOKUP(A3450,vlookup_table!$A:$G,5,FALSE),"")</f>
        <v>C1</v>
      </c>
      <c r="Q3450">
        <f>IFERROR(VLOOKUP(A3450,vlookup_table!$A:$G,7,FALSE),"")</f>
        <v>20</v>
      </c>
      <c r="R3450">
        <f t="shared" si="212"/>
        <v>56</v>
      </c>
      <c r="S3450" t="str" cm="1">
        <f t="array" ref="S3450">IF(P3450="","",_xlfn.SWITCH(LEFT(P3450,1),"C","Ciudad","T","Pueblo","R","Rural","S","Suburbano","U","Urbano",""))</f>
        <v>Ciudad</v>
      </c>
      <c r="T3450" t="str">
        <f t="shared" si="213"/>
        <v/>
      </c>
      <c r="U3450" t="str">
        <f t="shared" si="214"/>
        <v>CA</v>
      </c>
      <c r="V3450" t="str">
        <f t="shared" si="215"/>
        <v>13126</v>
      </c>
    </row>
    <row r="3451" spans="1:22" x14ac:dyDescent="0.35">
      <c r="A3451" s="3">
        <v>167755</v>
      </c>
      <c r="B3451" t="s">
        <v>22</v>
      </c>
      <c r="C3451" t="s">
        <v>14</v>
      </c>
      <c r="D3451">
        <v>5940</v>
      </c>
      <c r="E3451">
        <v>761</v>
      </c>
      <c r="F3451">
        <v>1004</v>
      </c>
      <c r="G3451">
        <v>99</v>
      </c>
      <c r="H3451">
        <v>43571</v>
      </c>
      <c r="I3451">
        <v>18</v>
      </c>
      <c r="J3451">
        <v>41</v>
      </c>
      <c r="K3451">
        <v>1114</v>
      </c>
      <c r="L3451">
        <v>721</v>
      </c>
      <c r="M3451">
        <v>13</v>
      </c>
      <c r="N3451">
        <f>IFERROR(VLOOKUP(A3451,vlookup_table!$A:$G,2,FALSE),"")</f>
        <v>1</v>
      </c>
      <c r="O3451">
        <f>IFERROR(VLOOKUP(A3451,vlookup_table!$A:$G,4,FALSE),"")</f>
        <v>4101</v>
      </c>
      <c r="P3451" t="str">
        <f>IFERROR(VLOOKUP(A3451,vlookup_table!$A:$G,5,FALSE),"")</f>
        <v>S1</v>
      </c>
      <c r="Q3451">
        <f>IFERROR(VLOOKUP(A3451,vlookup_table!$A:$G,7,FALSE),"")</f>
        <v>18</v>
      </c>
      <c r="R3451">
        <f t="shared" si="212"/>
        <v>56</v>
      </c>
      <c r="S3451" t="str" cm="1">
        <f t="array" ref="S3451">IF(P3451="","",_xlfn.SWITCH(LEFT(P3451,1),"C","Ciudad","T","Pueblo","R","Rural","S","Suburbano","U","Urbano",""))</f>
        <v>Suburbano</v>
      </c>
      <c r="T3451" t="str">
        <f t="shared" si="213"/>
        <v>M</v>
      </c>
      <c r="U3451" t="str">
        <f t="shared" si="214"/>
        <v>CA</v>
      </c>
      <c r="V3451" t="str">
        <f t="shared" si="215"/>
        <v>43571</v>
      </c>
    </row>
    <row r="3452" spans="1:22" x14ac:dyDescent="0.35">
      <c r="A3452" s="3">
        <v>188721</v>
      </c>
      <c r="B3452" t="s">
        <v>16</v>
      </c>
      <c r="C3452" t="s">
        <v>17</v>
      </c>
      <c r="D3452">
        <v>1159</v>
      </c>
      <c r="E3452">
        <v>505</v>
      </c>
      <c r="F3452">
        <v>541</v>
      </c>
      <c r="G3452">
        <v>3</v>
      </c>
      <c r="H3452">
        <v>16156</v>
      </c>
      <c r="I3452">
        <v>3</v>
      </c>
      <c r="J3452">
        <v>68</v>
      </c>
      <c r="K3452">
        <v>511</v>
      </c>
      <c r="L3452">
        <v>529</v>
      </c>
      <c r="M3452">
        <v>12.45454546</v>
      </c>
      <c r="N3452">
        <f>IFERROR(VLOOKUP(A3452,vlookup_table!$A:$G,2,FALSE),"")</f>
        <v>0</v>
      </c>
      <c r="O3452">
        <f>IFERROR(VLOOKUP(A3452,vlookup_table!$A:$G,4,FALSE),"")</f>
        <v>2410</v>
      </c>
      <c r="P3452" t="str">
        <f>IFERROR(VLOOKUP(A3452,vlookup_table!$A:$G,5,FALSE),"")</f>
        <v>S1</v>
      </c>
      <c r="Q3452">
        <f>IFERROR(VLOOKUP(A3452,vlookup_table!$A:$G,7,FALSE),"")</f>
        <v>20</v>
      </c>
      <c r="R3452">
        <f t="shared" si="212"/>
        <v>73</v>
      </c>
      <c r="S3452" t="str" cm="1">
        <f t="array" ref="S3452">IF(P3452="","",_xlfn.SWITCH(LEFT(P3452,1),"C","Ciudad","T","Pueblo","R","Rural","S","Suburbano","U","Urbano",""))</f>
        <v>Suburbano</v>
      </c>
      <c r="T3452" t="str">
        <f t="shared" si="213"/>
        <v>F</v>
      </c>
      <c r="U3452" t="str">
        <f t="shared" si="214"/>
        <v>IL</v>
      </c>
      <c r="V3452" t="str">
        <f t="shared" si="215"/>
        <v>16156</v>
      </c>
    </row>
    <row r="3453" spans="1:22" x14ac:dyDescent="0.35">
      <c r="A3453" s="3">
        <v>4026</v>
      </c>
      <c r="B3453" t="s">
        <v>33</v>
      </c>
      <c r="C3453" t="s">
        <v>17</v>
      </c>
      <c r="D3453">
        <v>748</v>
      </c>
      <c r="E3453">
        <v>444</v>
      </c>
      <c r="F3453">
        <v>571</v>
      </c>
      <c r="G3453">
        <v>6</v>
      </c>
      <c r="H3453">
        <v>20264</v>
      </c>
      <c r="I3453">
        <v>2</v>
      </c>
      <c r="J3453">
        <v>62</v>
      </c>
      <c r="K3453">
        <v>495</v>
      </c>
      <c r="L3453">
        <v>515</v>
      </c>
      <c r="M3453">
        <v>3.2222222220000001</v>
      </c>
      <c r="N3453">
        <f>IFERROR(VLOOKUP(A3453,vlookup_table!$A:$G,2,FALSE),"")</f>
        <v>0</v>
      </c>
      <c r="O3453">
        <f>IFERROR(VLOOKUP(A3453,vlookup_table!$A:$G,4,FALSE),"")</f>
        <v>2812</v>
      </c>
      <c r="P3453" t="str">
        <f>IFERROR(VLOOKUP(A3453,vlookup_table!$A:$G,5,FALSE),"")</f>
        <v>C1</v>
      </c>
      <c r="Q3453">
        <f>IFERROR(VLOOKUP(A3453,vlookup_table!$A:$G,7,FALSE),"")</f>
        <v>2</v>
      </c>
      <c r="R3453">
        <f t="shared" si="212"/>
        <v>69</v>
      </c>
      <c r="S3453" t="str" cm="1">
        <f t="array" ref="S3453">IF(P3453="","",_xlfn.SWITCH(LEFT(P3453,1),"C","Ciudad","T","Pueblo","R","Rural","S","Suburbano","U","Urbano",""))</f>
        <v>Ciudad</v>
      </c>
      <c r="T3453" t="str">
        <f t="shared" si="213"/>
        <v>F</v>
      </c>
      <c r="U3453" t="str">
        <f t="shared" si="214"/>
        <v>IN</v>
      </c>
      <c r="V3453" t="str">
        <f t="shared" si="215"/>
        <v>20264</v>
      </c>
    </row>
    <row r="3454" spans="1:22" x14ac:dyDescent="0.35">
      <c r="A3454" s="3">
        <v>151679</v>
      </c>
      <c r="B3454" t="s">
        <v>22</v>
      </c>
      <c r="C3454" t="s">
        <v>17</v>
      </c>
      <c r="D3454">
        <v>1478</v>
      </c>
      <c r="E3454">
        <v>339</v>
      </c>
      <c r="F3454">
        <v>354</v>
      </c>
      <c r="G3454">
        <v>14</v>
      </c>
      <c r="H3454">
        <v>11745</v>
      </c>
      <c r="I3454">
        <v>12</v>
      </c>
      <c r="J3454">
        <v>52</v>
      </c>
      <c r="K3454">
        <v>383</v>
      </c>
      <c r="L3454">
        <v>334</v>
      </c>
      <c r="M3454">
        <v>21</v>
      </c>
      <c r="N3454">
        <f>IFERROR(VLOOKUP(A3454,vlookup_table!$A:$G,2,FALSE),"")</f>
        <v>28</v>
      </c>
      <c r="O3454">
        <f>IFERROR(VLOOKUP(A3454,vlookup_table!$A:$G,4,FALSE),"")</f>
        <v>4001</v>
      </c>
      <c r="P3454" t="str">
        <f>IFERROR(VLOOKUP(A3454,vlookup_table!$A:$G,5,FALSE),"")</f>
        <v>S3</v>
      </c>
      <c r="Q3454">
        <f>IFERROR(VLOOKUP(A3454,vlookup_table!$A:$G,7,FALSE),"")</f>
        <v>23</v>
      </c>
      <c r="R3454">
        <f t="shared" si="212"/>
        <v>57</v>
      </c>
      <c r="S3454" t="str" cm="1">
        <f t="array" ref="S3454">IF(P3454="","",_xlfn.SWITCH(LEFT(P3454,1),"C","Ciudad","T","Pueblo","R","Rural","S","Suburbano","U","Urbano",""))</f>
        <v>Suburbano</v>
      </c>
      <c r="T3454" t="str">
        <f t="shared" si="213"/>
        <v>F</v>
      </c>
      <c r="U3454" t="str">
        <f t="shared" si="214"/>
        <v>CA</v>
      </c>
      <c r="V3454" t="str">
        <f t="shared" si="215"/>
        <v>11745</v>
      </c>
    </row>
    <row r="3455" spans="1:22" x14ac:dyDescent="0.35">
      <c r="A3455" s="3">
        <v>155963</v>
      </c>
      <c r="B3455" t="s">
        <v>22</v>
      </c>
      <c r="C3455" t="s">
        <v>17</v>
      </c>
      <c r="D3455">
        <v>1272</v>
      </c>
      <c r="E3455">
        <v>405</v>
      </c>
      <c r="F3455">
        <v>433</v>
      </c>
      <c r="G3455">
        <v>0</v>
      </c>
      <c r="H3455">
        <v>11674</v>
      </c>
      <c r="I3455">
        <v>11</v>
      </c>
      <c r="J3455">
        <v>53</v>
      </c>
      <c r="K3455">
        <v>410</v>
      </c>
      <c r="L3455">
        <v>421</v>
      </c>
      <c r="M3455">
        <v>6.923076923</v>
      </c>
      <c r="N3455">
        <f>IFERROR(VLOOKUP(A3455,vlookup_table!$A:$G,2,FALSE),"")</f>
        <v>0</v>
      </c>
      <c r="O3455">
        <f>IFERROR(VLOOKUP(A3455,vlookup_table!$A:$G,4,FALSE),"")</f>
        <v>2301</v>
      </c>
      <c r="P3455" t="str">
        <f>IFERROR(VLOOKUP(A3455,vlookup_table!$A:$G,5,FALSE),"")</f>
        <v>C2</v>
      </c>
      <c r="Q3455">
        <f>IFERROR(VLOOKUP(A3455,vlookup_table!$A:$G,7,FALSE),"")</f>
        <v>10</v>
      </c>
      <c r="R3455">
        <f t="shared" si="212"/>
        <v>74</v>
      </c>
      <c r="S3455" t="str" cm="1">
        <f t="array" ref="S3455">IF(P3455="","",_xlfn.SWITCH(LEFT(P3455,1),"C","Ciudad","T","Pueblo","R","Rural","S","Suburbano","U","Urbano",""))</f>
        <v>Ciudad</v>
      </c>
      <c r="T3455" t="str">
        <f t="shared" si="213"/>
        <v>F</v>
      </c>
      <c r="U3455" t="str">
        <f t="shared" si="214"/>
        <v>CA</v>
      </c>
      <c r="V3455" t="str">
        <f t="shared" si="215"/>
        <v>11674</v>
      </c>
    </row>
    <row r="3456" spans="1:22" x14ac:dyDescent="0.35">
      <c r="A3456" s="3">
        <v>70881</v>
      </c>
      <c r="B3456" t="s">
        <v>29</v>
      </c>
      <c r="C3456" t="s">
        <v>14</v>
      </c>
      <c r="D3456">
        <v>331</v>
      </c>
      <c r="E3456">
        <v>182</v>
      </c>
      <c r="F3456">
        <v>235</v>
      </c>
      <c r="G3456">
        <v>0</v>
      </c>
      <c r="H3456">
        <v>7226</v>
      </c>
      <c r="I3456">
        <v>0</v>
      </c>
      <c r="J3456">
        <v>88</v>
      </c>
      <c r="K3456">
        <v>206</v>
      </c>
      <c r="L3456">
        <v>219</v>
      </c>
      <c r="M3456">
        <v>13</v>
      </c>
      <c r="N3456">
        <f>IFERROR(VLOOKUP(A3456,vlookup_table!$A:$G,2,FALSE),"")</f>
        <v>1</v>
      </c>
      <c r="O3456">
        <f>IFERROR(VLOOKUP(A3456,vlookup_table!$A:$G,4,FALSE),"")</f>
        <v>5706</v>
      </c>
      <c r="P3456" t="str">
        <f>IFERROR(VLOOKUP(A3456,vlookup_table!$A:$G,5,FALSE),"")</f>
        <v>R3</v>
      </c>
      <c r="Q3456">
        <f>IFERROR(VLOOKUP(A3456,vlookup_table!$A:$G,7,FALSE),"")</f>
        <v>15</v>
      </c>
      <c r="R3456">
        <f t="shared" si="212"/>
        <v>40</v>
      </c>
      <c r="S3456" t="str" cm="1">
        <f t="array" ref="S3456">IF(P3456="","",_xlfn.SWITCH(LEFT(P3456,1),"C","Ciudad","T","Pueblo","R","Rural","S","Suburbano","U","Urbano",""))</f>
        <v>Rural</v>
      </c>
      <c r="T3456" t="str">
        <f t="shared" si="213"/>
        <v>M</v>
      </c>
      <c r="U3456" t="str">
        <f t="shared" si="214"/>
        <v>MI</v>
      </c>
      <c r="V3456" t="str">
        <f t="shared" si="215"/>
        <v>7226</v>
      </c>
    </row>
    <row r="3457" spans="1:22" x14ac:dyDescent="0.35">
      <c r="A3457" s="3">
        <v>2153</v>
      </c>
      <c r="B3457" t="s">
        <v>21</v>
      </c>
      <c r="C3457" t="s">
        <v>14</v>
      </c>
      <c r="D3457">
        <v>839</v>
      </c>
      <c r="E3457">
        <v>363</v>
      </c>
      <c r="F3457">
        <v>484</v>
      </c>
      <c r="G3457">
        <v>0</v>
      </c>
      <c r="H3457">
        <v>15463</v>
      </c>
      <c r="I3457">
        <v>1</v>
      </c>
      <c r="J3457">
        <v>66</v>
      </c>
      <c r="K3457">
        <v>419</v>
      </c>
      <c r="L3457">
        <v>445</v>
      </c>
      <c r="M3457">
        <v>7.548387097</v>
      </c>
      <c r="N3457">
        <f>IFERROR(VLOOKUP(A3457,vlookup_table!$A:$G,2,FALSE),"")</f>
        <v>1002</v>
      </c>
      <c r="O3457">
        <f>IFERROR(VLOOKUP(A3457,vlookup_table!$A:$G,4,FALSE),"")</f>
        <v>2408</v>
      </c>
      <c r="P3457" t="str">
        <f>IFERROR(VLOOKUP(A3457,vlookup_table!$A:$G,5,FALSE),"")</f>
        <v>S2</v>
      </c>
      <c r="Q3457">
        <f>IFERROR(VLOOKUP(A3457,vlookup_table!$A:$G,7,FALSE),"")</f>
        <v>8</v>
      </c>
      <c r="R3457">
        <f t="shared" si="212"/>
        <v>73</v>
      </c>
      <c r="S3457" t="str" cm="1">
        <f t="array" ref="S3457">IF(P3457="","",_xlfn.SWITCH(LEFT(P3457,1),"C","Ciudad","T","Pueblo","R","Rural","S","Suburbano","U","Urbano",""))</f>
        <v>Suburbano</v>
      </c>
      <c r="T3457" t="str">
        <f t="shared" si="213"/>
        <v>M</v>
      </c>
      <c r="U3457" t="str">
        <f t="shared" si="214"/>
        <v>TX</v>
      </c>
      <c r="V3457" t="str">
        <f t="shared" si="215"/>
        <v>15463</v>
      </c>
    </row>
    <row r="3458" spans="1:22" x14ac:dyDescent="0.35">
      <c r="A3458" s="3">
        <v>173192</v>
      </c>
      <c r="B3458" t="s">
        <v>22</v>
      </c>
      <c r="C3458" t="s">
        <v>17</v>
      </c>
      <c r="D3458">
        <v>608</v>
      </c>
      <c r="E3458">
        <v>165</v>
      </c>
      <c r="F3458">
        <v>254</v>
      </c>
      <c r="G3458">
        <v>2</v>
      </c>
      <c r="H3458">
        <v>10193</v>
      </c>
      <c r="I3458">
        <v>11</v>
      </c>
      <c r="J3458">
        <v>58</v>
      </c>
      <c r="K3458">
        <v>173</v>
      </c>
      <c r="L3458">
        <v>219</v>
      </c>
      <c r="M3458">
        <v>9.375</v>
      </c>
      <c r="N3458">
        <f>IFERROR(VLOOKUP(A3458,vlookup_table!$A:$G,2,FALSE),"")</f>
        <v>2</v>
      </c>
      <c r="O3458">
        <f>IFERROR(VLOOKUP(A3458,vlookup_table!$A:$G,4,FALSE),"")</f>
        <v>1203</v>
      </c>
      <c r="P3458" t="str">
        <f>IFERROR(VLOOKUP(A3458,vlookup_table!$A:$G,5,FALSE),"")</f>
        <v>T2</v>
      </c>
      <c r="Q3458">
        <f>IFERROR(VLOOKUP(A3458,vlookup_table!$A:$G,7,FALSE),"")</f>
        <v>10</v>
      </c>
      <c r="R3458">
        <f t="shared" ref="R3458:R3521" si="216">IF(O3458="","",97-INT(O3458/100))</f>
        <v>85</v>
      </c>
      <c r="S3458" t="str" cm="1">
        <f t="array" ref="S3458">IF(P3458="","",_xlfn.SWITCH(LEFT(P3458,1),"C","Ciudad","T","Pueblo","R","Rural","S","Suburbano","U","Urbano",""))</f>
        <v>Pueblo</v>
      </c>
      <c r="T3458" t="str">
        <f t="shared" ref="T3458:T3521" si="217">IF(C3458="","",IF(OR(UPPER(C3458)="M",UPPER(C3458)="MALE"),"M",IF(OR(UPPER(C3458)="F",UPPER(C3458)="FEMALE",UPPER(C3458)="FEAMALE"),"F",C3458)))</f>
        <v>F</v>
      </c>
      <c r="U3458" t="str">
        <f t="shared" ref="U3458:U3521" si="218">IF(OR(UPPER(B3458)="CALIFORNIA",UPPER(B3458)="CALI"),"CA",B3458)</f>
        <v>CA</v>
      </c>
      <c r="V3458" t="str">
        <f t="shared" ref="V3458:V3521" si="219">SUBSTITUTE(H3458,"@","")</f>
        <v>10193</v>
      </c>
    </row>
    <row r="3459" spans="1:22" x14ac:dyDescent="0.35">
      <c r="A3459" s="3">
        <v>4390</v>
      </c>
      <c r="B3459" t="s">
        <v>40</v>
      </c>
      <c r="C3459" t="s">
        <v>17</v>
      </c>
      <c r="D3459">
        <v>727</v>
      </c>
      <c r="E3459">
        <v>345</v>
      </c>
      <c r="F3459">
        <v>449</v>
      </c>
      <c r="G3459">
        <v>5</v>
      </c>
      <c r="H3459">
        <v>16422</v>
      </c>
      <c r="I3459">
        <v>6</v>
      </c>
      <c r="J3459">
        <v>33</v>
      </c>
      <c r="K3459">
        <v>395</v>
      </c>
      <c r="L3459">
        <v>401</v>
      </c>
      <c r="M3459">
        <v>8.7857142859999993</v>
      </c>
      <c r="N3459">
        <f>IFERROR(VLOOKUP(A3459,vlookup_table!$A:$G,2,FALSE),"")</f>
        <v>0</v>
      </c>
      <c r="O3459">
        <f>IFERROR(VLOOKUP(A3459,vlookup_table!$A:$G,4,FALSE),"")</f>
        <v>1009</v>
      </c>
      <c r="P3459" t="str">
        <f>IFERROR(VLOOKUP(A3459,vlookup_table!$A:$G,5,FALSE),"")</f>
        <v>S3</v>
      </c>
      <c r="Q3459">
        <f>IFERROR(VLOOKUP(A3459,vlookup_table!$A:$G,7,FALSE),"")</f>
        <v>10</v>
      </c>
      <c r="R3459">
        <f t="shared" si="216"/>
        <v>87</v>
      </c>
      <c r="S3459" t="str" cm="1">
        <f t="array" ref="S3459">IF(P3459="","",_xlfn.SWITCH(LEFT(P3459,1),"C","Ciudad","T","Pueblo","R","Rural","S","Suburbano","U","Urbano",""))</f>
        <v>Suburbano</v>
      </c>
      <c r="T3459" t="str">
        <f t="shared" si="217"/>
        <v>F</v>
      </c>
      <c r="U3459" t="str">
        <f t="shared" si="218"/>
        <v>WA</v>
      </c>
      <c r="V3459" t="str">
        <f t="shared" si="219"/>
        <v>16422</v>
      </c>
    </row>
    <row r="3460" spans="1:22" x14ac:dyDescent="0.35">
      <c r="A3460" s="3">
        <v>178789</v>
      </c>
      <c r="B3460" t="s">
        <v>40</v>
      </c>
      <c r="C3460" t="s">
        <v>17</v>
      </c>
      <c r="D3460">
        <v>1364</v>
      </c>
      <c r="E3460">
        <v>411</v>
      </c>
      <c r="F3460">
        <v>564</v>
      </c>
      <c r="G3460">
        <v>6</v>
      </c>
      <c r="H3460">
        <v>18678</v>
      </c>
      <c r="I3460">
        <v>4</v>
      </c>
      <c r="J3460">
        <v>50</v>
      </c>
      <c r="K3460">
        <v>477</v>
      </c>
      <c r="L3460">
        <v>483</v>
      </c>
      <c r="M3460">
        <v>20.875</v>
      </c>
      <c r="N3460">
        <f>IFERROR(VLOOKUP(A3460,vlookup_table!$A:$G,2,FALSE),"")</f>
        <v>28</v>
      </c>
      <c r="O3460">
        <f>IFERROR(VLOOKUP(A3460,vlookup_table!$A:$G,4,FALSE),"")</f>
        <v>2606</v>
      </c>
      <c r="P3460" t="str">
        <f>IFERROR(VLOOKUP(A3460,vlookup_table!$A:$G,5,FALSE),"")</f>
        <v>S1</v>
      </c>
      <c r="Q3460">
        <f>IFERROR(VLOOKUP(A3460,vlookup_table!$A:$G,7,FALSE),"")</f>
        <v>10</v>
      </c>
      <c r="R3460">
        <f t="shared" si="216"/>
        <v>71</v>
      </c>
      <c r="S3460" t="str" cm="1">
        <f t="array" ref="S3460">IF(P3460="","",_xlfn.SWITCH(LEFT(P3460,1),"C","Ciudad","T","Pueblo","R","Rural","S","Suburbano","U","Urbano",""))</f>
        <v>Suburbano</v>
      </c>
      <c r="T3460" t="str">
        <f t="shared" si="217"/>
        <v>F</v>
      </c>
      <c r="U3460" t="str">
        <f t="shared" si="218"/>
        <v>WA</v>
      </c>
      <c r="V3460" t="str">
        <f t="shared" si="219"/>
        <v>18678</v>
      </c>
    </row>
    <row r="3461" spans="1:22" x14ac:dyDescent="0.35">
      <c r="A3461" s="3">
        <v>79650</v>
      </c>
      <c r="B3461" t="s">
        <v>35</v>
      </c>
      <c r="C3461" t="s">
        <v>17</v>
      </c>
      <c r="D3461">
        <v>731</v>
      </c>
      <c r="E3461">
        <v>359</v>
      </c>
      <c r="F3461">
        <v>447</v>
      </c>
      <c r="G3461">
        <v>4</v>
      </c>
      <c r="H3461">
        <v>14412</v>
      </c>
      <c r="I3461">
        <v>2</v>
      </c>
      <c r="J3461">
        <v>80</v>
      </c>
      <c r="K3461">
        <v>402</v>
      </c>
      <c r="L3461">
        <v>410</v>
      </c>
      <c r="M3461">
        <v>8.8333333330000006</v>
      </c>
      <c r="N3461">
        <f>IFERROR(VLOOKUP(A3461,vlookup_table!$A:$G,2,FALSE),"")</f>
        <v>0</v>
      </c>
      <c r="O3461">
        <f>IFERROR(VLOOKUP(A3461,vlookup_table!$A:$G,4,FALSE),"")</f>
        <v>0</v>
      </c>
      <c r="P3461" t="str">
        <f>IFERROR(VLOOKUP(A3461,vlookup_table!$A:$G,5,FALSE),"")</f>
        <v>S2</v>
      </c>
      <c r="Q3461">
        <f>IFERROR(VLOOKUP(A3461,vlookup_table!$A:$G,7,FALSE),"")</f>
        <v>10</v>
      </c>
      <c r="R3461">
        <f t="shared" si="216"/>
        <v>97</v>
      </c>
      <c r="S3461" t="str" cm="1">
        <f t="array" ref="S3461">IF(P3461="","",_xlfn.SWITCH(LEFT(P3461,1),"C","Ciudad","T","Pueblo","R","Rural","S","Suburbano","U","Urbano",""))</f>
        <v>Suburbano</v>
      </c>
      <c r="T3461" t="str">
        <f t="shared" si="217"/>
        <v>F</v>
      </c>
      <c r="U3461" t="str">
        <f t="shared" si="218"/>
        <v>WI</v>
      </c>
      <c r="V3461" t="str">
        <f t="shared" si="219"/>
        <v>14412</v>
      </c>
    </row>
    <row r="3462" spans="1:22" x14ac:dyDescent="0.35">
      <c r="A3462" s="3">
        <v>163316</v>
      </c>
      <c r="B3462" t="s">
        <v>22</v>
      </c>
      <c r="C3462" t="s">
        <v>14</v>
      </c>
      <c r="D3462">
        <v>4769</v>
      </c>
      <c r="E3462">
        <v>518</v>
      </c>
      <c r="F3462">
        <v>757</v>
      </c>
      <c r="G3462">
        <v>90</v>
      </c>
      <c r="H3462">
        <v>38507</v>
      </c>
      <c r="I3462">
        <v>9</v>
      </c>
      <c r="J3462">
        <v>23</v>
      </c>
      <c r="K3462">
        <v>660</v>
      </c>
      <c r="L3462">
        <v>607</v>
      </c>
      <c r="M3462">
        <v>28.75</v>
      </c>
      <c r="N3462">
        <f>IFERROR(VLOOKUP(A3462,vlookup_table!$A:$G,2,FALSE),"")</f>
        <v>1</v>
      </c>
      <c r="O3462">
        <f>IFERROR(VLOOKUP(A3462,vlookup_table!$A:$G,4,FALSE),"")</f>
        <v>3401</v>
      </c>
      <c r="P3462" t="str">
        <f>IFERROR(VLOOKUP(A3462,vlookup_table!$A:$G,5,FALSE),"")</f>
        <v>U1</v>
      </c>
      <c r="Q3462">
        <f>IFERROR(VLOOKUP(A3462,vlookup_table!$A:$G,7,FALSE),"")</f>
        <v>40</v>
      </c>
      <c r="R3462">
        <f t="shared" si="216"/>
        <v>63</v>
      </c>
      <c r="S3462" t="str" cm="1">
        <f t="array" ref="S3462">IF(P3462="","",_xlfn.SWITCH(LEFT(P3462,1),"C","Ciudad","T","Pueblo","R","Rural","S","Suburbano","U","Urbano",""))</f>
        <v>Urbano</v>
      </c>
      <c r="T3462" t="str">
        <f t="shared" si="217"/>
        <v>M</v>
      </c>
      <c r="U3462" t="str">
        <f t="shared" si="218"/>
        <v>CA</v>
      </c>
      <c r="V3462" t="str">
        <f t="shared" si="219"/>
        <v>38507</v>
      </c>
    </row>
    <row r="3463" spans="1:22" x14ac:dyDescent="0.35">
      <c r="A3463" s="3">
        <v>93824</v>
      </c>
      <c r="B3463" t="s">
        <v>16</v>
      </c>
      <c r="C3463" t="s">
        <v>17</v>
      </c>
      <c r="D3463">
        <v>1105</v>
      </c>
      <c r="E3463">
        <v>351</v>
      </c>
      <c r="F3463">
        <v>468</v>
      </c>
      <c r="G3463">
        <v>2</v>
      </c>
      <c r="H3463">
        <v>13805</v>
      </c>
      <c r="I3463">
        <v>21</v>
      </c>
      <c r="J3463">
        <v>62</v>
      </c>
      <c r="K3463">
        <v>461</v>
      </c>
      <c r="L3463">
        <v>362</v>
      </c>
      <c r="M3463">
        <v>4.576923077</v>
      </c>
      <c r="N3463">
        <f>IFERROR(VLOOKUP(A3463,vlookup_table!$A:$G,2,FALSE),"")</f>
        <v>2</v>
      </c>
      <c r="O3463">
        <f>IFERROR(VLOOKUP(A3463,vlookup_table!$A:$G,4,FALSE),"")</f>
        <v>1807</v>
      </c>
      <c r="P3463" t="str">
        <f>IFERROR(VLOOKUP(A3463,vlookup_table!$A:$G,5,FALSE),"")</f>
        <v>U2</v>
      </c>
      <c r="Q3463">
        <f>IFERROR(VLOOKUP(A3463,vlookup_table!$A:$G,7,FALSE),"")</f>
        <v>10</v>
      </c>
      <c r="R3463">
        <f t="shared" si="216"/>
        <v>79</v>
      </c>
      <c r="S3463" t="str" cm="1">
        <f t="array" ref="S3463">IF(P3463="","",_xlfn.SWITCH(LEFT(P3463,1),"C","Ciudad","T","Pueblo","R","Rural","S","Suburbano","U","Urbano",""))</f>
        <v>Urbano</v>
      </c>
      <c r="T3463" t="str">
        <f t="shared" si="217"/>
        <v>F</v>
      </c>
      <c r="U3463" t="str">
        <f t="shared" si="218"/>
        <v>IL</v>
      </c>
      <c r="V3463" t="str">
        <f t="shared" si="219"/>
        <v>13805</v>
      </c>
    </row>
    <row r="3464" spans="1:22" x14ac:dyDescent="0.35">
      <c r="A3464" s="3">
        <v>33190</v>
      </c>
      <c r="B3464" t="s">
        <v>13</v>
      </c>
      <c r="C3464" t="s">
        <v>17</v>
      </c>
      <c r="D3464">
        <v>1010</v>
      </c>
      <c r="E3464">
        <v>407</v>
      </c>
      <c r="F3464">
        <v>632</v>
      </c>
      <c r="G3464">
        <v>24</v>
      </c>
      <c r="H3464">
        <v>23774</v>
      </c>
      <c r="I3464">
        <v>5</v>
      </c>
      <c r="J3464">
        <v>32</v>
      </c>
      <c r="K3464">
        <v>519</v>
      </c>
      <c r="L3464">
        <v>560</v>
      </c>
      <c r="M3464">
        <v>7.16</v>
      </c>
      <c r="N3464">
        <f>IFERROR(VLOOKUP(A3464,vlookup_table!$A:$G,2,FALSE),"")</f>
        <v>0</v>
      </c>
      <c r="O3464">
        <f>IFERROR(VLOOKUP(A3464,vlookup_table!$A:$G,4,FALSE),"")</f>
        <v>5302</v>
      </c>
      <c r="P3464" t="str">
        <f>IFERROR(VLOOKUP(A3464,vlookup_table!$A:$G,5,FALSE),"")</f>
        <v>C1</v>
      </c>
      <c r="Q3464">
        <f>IFERROR(VLOOKUP(A3464,vlookup_table!$A:$G,7,FALSE),"")</f>
        <v>11</v>
      </c>
      <c r="R3464">
        <f t="shared" si="216"/>
        <v>44</v>
      </c>
      <c r="S3464" t="str" cm="1">
        <f t="array" ref="S3464">IF(P3464="","",_xlfn.SWITCH(LEFT(P3464,1),"C","Ciudad","T","Pueblo","R","Rural","S","Suburbano","U","Urbano",""))</f>
        <v>Ciudad</v>
      </c>
      <c r="T3464" t="str">
        <f t="shared" si="217"/>
        <v>F</v>
      </c>
      <c r="U3464" t="str">
        <f t="shared" si="218"/>
        <v>FL</v>
      </c>
      <c r="V3464" t="str">
        <f t="shared" si="219"/>
        <v>23774</v>
      </c>
    </row>
    <row r="3465" spans="1:22" x14ac:dyDescent="0.35">
      <c r="A3465" s="3">
        <v>4017</v>
      </c>
      <c r="B3465" t="s">
        <v>22</v>
      </c>
      <c r="C3465" t="s">
        <v>17</v>
      </c>
      <c r="D3465">
        <v>5725</v>
      </c>
      <c r="E3465">
        <v>610</v>
      </c>
      <c r="F3465">
        <v>807</v>
      </c>
      <c r="G3465">
        <v>97</v>
      </c>
      <c r="H3465">
        <v>53158</v>
      </c>
      <c r="I3465">
        <v>13</v>
      </c>
      <c r="J3465">
        <v>22</v>
      </c>
      <c r="K3465">
        <v>763</v>
      </c>
      <c r="L3465">
        <v>698</v>
      </c>
      <c r="M3465">
        <v>9.923076923</v>
      </c>
      <c r="N3465">
        <f>IFERROR(VLOOKUP(A3465,vlookup_table!$A:$G,2,FALSE),"")</f>
        <v>1</v>
      </c>
      <c r="O3465">
        <f>IFERROR(VLOOKUP(A3465,vlookup_table!$A:$G,4,FALSE),"")</f>
        <v>3201</v>
      </c>
      <c r="P3465" t="str">
        <f>IFERROR(VLOOKUP(A3465,vlookup_table!$A:$G,5,FALSE),"")</f>
        <v>S1</v>
      </c>
      <c r="Q3465">
        <f>IFERROR(VLOOKUP(A3465,vlookup_table!$A:$G,7,FALSE),"")</f>
        <v>15</v>
      </c>
      <c r="R3465">
        <f t="shared" si="216"/>
        <v>65</v>
      </c>
      <c r="S3465" t="str" cm="1">
        <f t="array" ref="S3465">IF(P3465="","",_xlfn.SWITCH(LEFT(P3465,1),"C","Ciudad","T","Pueblo","R","Rural","S","Suburbano","U","Urbano",""))</f>
        <v>Suburbano</v>
      </c>
      <c r="T3465" t="str">
        <f t="shared" si="217"/>
        <v>F</v>
      </c>
      <c r="U3465" t="str">
        <f t="shared" si="218"/>
        <v>CA</v>
      </c>
      <c r="V3465" t="str">
        <f t="shared" si="219"/>
        <v>53158</v>
      </c>
    </row>
    <row r="3466" spans="1:22" x14ac:dyDescent="0.35">
      <c r="A3466" s="3">
        <v>176140</v>
      </c>
      <c r="B3466" t="s">
        <v>50</v>
      </c>
      <c r="C3466" t="s">
        <v>14</v>
      </c>
      <c r="D3466">
        <v>709</v>
      </c>
      <c r="E3466">
        <v>349</v>
      </c>
      <c r="F3466">
        <v>512</v>
      </c>
      <c r="G3466">
        <v>0</v>
      </c>
      <c r="H3466">
        <v>18938</v>
      </c>
      <c r="I3466">
        <v>4</v>
      </c>
      <c r="J3466">
        <v>49</v>
      </c>
      <c r="K3466">
        <v>431</v>
      </c>
      <c r="L3466">
        <v>420</v>
      </c>
      <c r="M3466">
        <v>8.75</v>
      </c>
      <c r="N3466">
        <f>IFERROR(VLOOKUP(A3466,vlookup_table!$A:$G,2,FALSE),"")</f>
        <v>1002</v>
      </c>
      <c r="O3466">
        <f>IFERROR(VLOOKUP(A3466,vlookup_table!$A:$G,4,FALSE),"")</f>
        <v>3407</v>
      </c>
      <c r="P3466" t="str">
        <f>IFERROR(VLOOKUP(A3466,vlookup_table!$A:$G,5,FALSE),"")</f>
        <v>C1</v>
      </c>
      <c r="Q3466">
        <f>IFERROR(VLOOKUP(A3466,vlookup_table!$A:$G,7,FALSE),"")</f>
        <v>8</v>
      </c>
      <c r="R3466">
        <f t="shared" si="216"/>
        <v>63</v>
      </c>
      <c r="S3466" t="str" cm="1">
        <f t="array" ref="S3466">IF(P3466="","",_xlfn.SWITCH(LEFT(P3466,1),"C","Ciudad","T","Pueblo","R","Rural","S","Suburbano","U","Urbano",""))</f>
        <v>Ciudad</v>
      </c>
      <c r="T3466" t="str">
        <f t="shared" si="217"/>
        <v>M</v>
      </c>
      <c r="U3466" t="str">
        <f t="shared" si="218"/>
        <v>OR</v>
      </c>
      <c r="V3466" t="str">
        <f t="shared" si="219"/>
        <v>18938</v>
      </c>
    </row>
    <row r="3467" spans="1:22" x14ac:dyDescent="0.35">
      <c r="A3467" s="3">
        <v>120720</v>
      </c>
      <c r="B3467" t="s">
        <v>21</v>
      </c>
      <c r="C3467" t="s">
        <v>14</v>
      </c>
      <c r="D3467">
        <v>214</v>
      </c>
      <c r="E3467">
        <v>151</v>
      </c>
      <c r="F3467">
        <v>240</v>
      </c>
      <c r="G3467">
        <v>1</v>
      </c>
      <c r="H3467">
        <v>8210</v>
      </c>
      <c r="I3467">
        <v>4</v>
      </c>
      <c r="J3467">
        <v>87</v>
      </c>
      <c r="K3467">
        <v>176</v>
      </c>
      <c r="L3467">
        <v>203</v>
      </c>
      <c r="M3467">
        <v>17</v>
      </c>
      <c r="N3467">
        <f>IFERROR(VLOOKUP(A3467,vlookup_table!$A:$G,2,FALSE),"")</f>
        <v>2</v>
      </c>
      <c r="O3467">
        <f>IFERROR(VLOOKUP(A3467,vlookup_table!$A:$G,4,FALSE),"")</f>
        <v>0</v>
      </c>
      <c r="P3467" t="str">
        <f>IFERROR(VLOOKUP(A3467,vlookup_table!$A:$G,5,FALSE),"")</f>
        <v>R3</v>
      </c>
      <c r="Q3467">
        <f>IFERROR(VLOOKUP(A3467,vlookup_table!$A:$G,7,FALSE),"")</f>
        <v>23</v>
      </c>
      <c r="R3467">
        <f t="shared" si="216"/>
        <v>97</v>
      </c>
      <c r="S3467" t="str" cm="1">
        <f t="array" ref="S3467">IF(P3467="","",_xlfn.SWITCH(LEFT(P3467,1),"C","Ciudad","T","Pueblo","R","Rural","S","Suburbano","U","Urbano",""))</f>
        <v>Rural</v>
      </c>
      <c r="T3467" t="str">
        <f t="shared" si="217"/>
        <v>M</v>
      </c>
      <c r="U3467" t="str">
        <f t="shared" si="218"/>
        <v>TX</v>
      </c>
      <c r="V3467" t="str">
        <f t="shared" si="219"/>
        <v>8210</v>
      </c>
    </row>
    <row r="3468" spans="1:22" x14ac:dyDescent="0.35">
      <c r="A3468" s="3">
        <v>80733</v>
      </c>
      <c r="B3468" t="s">
        <v>35</v>
      </c>
      <c r="C3468" t="s">
        <v>17</v>
      </c>
      <c r="D3468">
        <v>491</v>
      </c>
      <c r="E3468">
        <v>255</v>
      </c>
      <c r="F3468">
        <v>349</v>
      </c>
      <c r="G3468">
        <v>0</v>
      </c>
      <c r="H3468">
        <v>12302</v>
      </c>
      <c r="I3468">
        <v>1</v>
      </c>
      <c r="J3468">
        <v>79</v>
      </c>
      <c r="K3468">
        <v>331</v>
      </c>
      <c r="L3468">
        <v>314</v>
      </c>
      <c r="M3468">
        <v>7.5</v>
      </c>
      <c r="N3468">
        <f>IFERROR(VLOOKUP(A3468,vlookup_table!$A:$G,2,FALSE),"")</f>
        <v>0</v>
      </c>
      <c r="O3468">
        <f>IFERROR(VLOOKUP(A3468,vlookup_table!$A:$G,4,FALSE),"")</f>
        <v>3101</v>
      </c>
      <c r="P3468" t="str">
        <f>IFERROR(VLOOKUP(A3468,vlookup_table!$A:$G,5,FALSE),"")</f>
        <v>R2</v>
      </c>
      <c r="Q3468">
        <f>IFERROR(VLOOKUP(A3468,vlookup_table!$A:$G,7,FALSE),"")</f>
        <v>15</v>
      </c>
      <c r="R3468">
        <f t="shared" si="216"/>
        <v>66</v>
      </c>
      <c r="S3468" t="str" cm="1">
        <f t="array" ref="S3468">IF(P3468="","",_xlfn.SWITCH(LEFT(P3468,1),"C","Ciudad","T","Pueblo","R","Rural","S","Suburbano","U","Urbano",""))</f>
        <v>Rural</v>
      </c>
      <c r="T3468" t="str">
        <f t="shared" si="217"/>
        <v>F</v>
      </c>
      <c r="U3468" t="str">
        <f t="shared" si="218"/>
        <v>WI</v>
      </c>
      <c r="V3468" t="str">
        <f t="shared" si="219"/>
        <v>12302</v>
      </c>
    </row>
    <row r="3469" spans="1:22" x14ac:dyDescent="0.35">
      <c r="A3469" s="3">
        <v>131468</v>
      </c>
      <c r="B3469" t="s">
        <v>48</v>
      </c>
      <c r="D3469">
        <v>726</v>
      </c>
      <c r="E3469">
        <v>303</v>
      </c>
      <c r="F3469">
        <v>400</v>
      </c>
      <c r="G3469">
        <v>0</v>
      </c>
      <c r="H3469">
        <v>15904</v>
      </c>
      <c r="I3469">
        <v>2</v>
      </c>
      <c r="J3469">
        <v>56</v>
      </c>
      <c r="K3469">
        <v>321</v>
      </c>
      <c r="L3469">
        <v>362</v>
      </c>
      <c r="M3469">
        <v>7.3636363640000004</v>
      </c>
      <c r="N3469">
        <f>IFERROR(VLOOKUP(A3469,vlookup_table!$A:$G,2,FALSE),"")</f>
        <v>1</v>
      </c>
      <c r="O3469">
        <f>IFERROR(VLOOKUP(A3469,vlookup_table!$A:$G,4,FALSE),"")</f>
        <v>807</v>
      </c>
      <c r="P3469" t="str">
        <f>IFERROR(VLOOKUP(A3469,vlookup_table!$A:$G,5,FALSE),"")</f>
        <v>S2</v>
      </c>
      <c r="Q3469">
        <f>IFERROR(VLOOKUP(A3469,vlookup_table!$A:$G,7,FALSE),"")</f>
        <v>8</v>
      </c>
      <c r="R3469">
        <f t="shared" si="216"/>
        <v>89</v>
      </c>
      <c r="S3469" t="str" cm="1">
        <f t="array" ref="S3469">IF(P3469="","",_xlfn.SWITCH(LEFT(P3469,1),"C","Ciudad","T","Pueblo","R","Rural","S","Suburbano","U","Urbano",""))</f>
        <v>Suburbano</v>
      </c>
      <c r="T3469" t="str">
        <f t="shared" si="217"/>
        <v/>
      </c>
      <c r="U3469" t="str">
        <f t="shared" si="218"/>
        <v>CO</v>
      </c>
      <c r="V3469" t="str">
        <f t="shared" si="219"/>
        <v>15904</v>
      </c>
    </row>
    <row r="3470" spans="1:22" x14ac:dyDescent="0.35">
      <c r="A3470" s="3">
        <v>124298</v>
      </c>
      <c r="B3470" t="s">
        <v>21</v>
      </c>
      <c r="C3470" t="s">
        <v>17</v>
      </c>
      <c r="D3470">
        <v>816</v>
      </c>
      <c r="E3470">
        <v>360</v>
      </c>
      <c r="F3470">
        <v>635</v>
      </c>
      <c r="G3470">
        <v>3</v>
      </c>
      <c r="H3470">
        <v>28807</v>
      </c>
      <c r="I3470">
        <v>0</v>
      </c>
      <c r="J3470">
        <v>70</v>
      </c>
      <c r="K3470">
        <v>515</v>
      </c>
      <c r="L3470">
        <v>509</v>
      </c>
      <c r="M3470">
        <v>3.703703704</v>
      </c>
      <c r="N3470">
        <f>IFERROR(VLOOKUP(A3470,vlookup_table!$A:$G,2,FALSE),"")</f>
        <v>28</v>
      </c>
      <c r="O3470">
        <f>IFERROR(VLOOKUP(A3470,vlookup_table!$A:$G,4,FALSE),"")</f>
        <v>1301</v>
      </c>
      <c r="P3470" t="str">
        <f>IFERROR(VLOOKUP(A3470,vlookup_table!$A:$G,5,FALSE),"")</f>
        <v>C1</v>
      </c>
      <c r="Q3470">
        <f>IFERROR(VLOOKUP(A3470,vlookup_table!$A:$G,7,FALSE),"")</f>
        <v>4</v>
      </c>
      <c r="R3470">
        <f t="shared" si="216"/>
        <v>84</v>
      </c>
      <c r="S3470" t="str" cm="1">
        <f t="array" ref="S3470">IF(P3470="","",_xlfn.SWITCH(LEFT(P3470,1),"C","Ciudad","T","Pueblo","R","Rural","S","Suburbano","U","Urbano",""))</f>
        <v>Ciudad</v>
      </c>
      <c r="T3470" t="str">
        <f t="shared" si="217"/>
        <v>F</v>
      </c>
      <c r="U3470" t="str">
        <f t="shared" si="218"/>
        <v>TX</v>
      </c>
      <c r="V3470" t="str">
        <f t="shared" si="219"/>
        <v>28807</v>
      </c>
    </row>
    <row r="3471" spans="1:22" x14ac:dyDescent="0.35">
      <c r="A3471" s="3">
        <v>21133</v>
      </c>
      <c r="B3471" t="s">
        <v>18</v>
      </c>
      <c r="C3471" t="s">
        <v>20</v>
      </c>
      <c r="D3471">
        <v>863</v>
      </c>
      <c r="E3471">
        <v>238</v>
      </c>
      <c r="F3471">
        <v>404</v>
      </c>
      <c r="G3471">
        <v>10</v>
      </c>
      <c r="H3471">
        <v>14415</v>
      </c>
      <c r="I3471">
        <v>1</v>
      </c>
      <c r="J3471">
        <v>69</v>
      </c>
      <c r="K3471">
        <v>311</v>
      </c>
      <c r="L3471">
        <v>319</v>
      </c>
      <c r="M3471">
        <v>7</v>
      </c>
      <c r="N3471">
        <f>IFERROR(VLOOKUP(A3471,vlookup_table!$A:$G,2,FALSE),"")</f>
        <v>0</v>
      </c>
      <c r="O3471">
        <f>IFERROR(VLOOKUP(A3471,vlookup_table!$A:$G,4,FALSE),"")</f>
        <v>0</v>
      </c>
      <c r="P3471" t="str">
        <f>IFERROR(VLOOKUP(A3471,vlookup_table!$A:$G,5,FALSE),"")</f>
        <v>R2</v>
      </c>
      <c r="Q3471">
        <f>IFERROR(VLOOKUP(A3471,vlookup_table!$A:$G,7,FALSE),"")</f>
        <v>13</v>
      </c>
      <c r="R3471">
        <f t="shared" si="216"/>
        <v>97</v>
      </c>
      <c r="S3471" t="str" cm="1">
        <f t="array" ref="S3471">IF(P3471="","",_xlfn.SWITCH(LEFT(P3471,1),"C","Ciudad","T","Pueblo","R","Rural","S","Suburbano","U","Urbano",""))</f>
        <v>Rural</v>
      </c>
      <c r="T3471" t="str">
        <f t="shared" si="217"/>
        <v>F</v>
      </c>
      <c r="U3471" t="str">
        <f t="shared" si="218"/>
        <v>NC</v>
      </c>
      <c r="V3471" t="str">
        <f t="shared" si="219"/>
        <v>14415</v>
      </c>
    </row>
    <row r="3472" spans="1:22" x14ac:dyDescent="0.35">
      <c r="A3472" s="3">
        <v>23732</v>
      </c>
      <c r="B3472" t="s">
        <v>46</v>
      </c>
      <c r="C3472" t="s">
        <v>17</v>
      </c>
      <c r="D3472">
        <v>1060</v>
      </c>
      <c r="E3472">
        <v>313</v>
      </c>
      <c r="F3472">
        <v>465</v>
      </c>
      <c r="G3472">
        <v>30</v>
      </c>
      <c r="H3472">
        <v>17255</v>
      </c>
      <c r="I3472">
        <v>1</v>
      </c>
      <c r="J3472">
        <v>62</v>
      </c>
      <c r="K3472">
        <v>370</v>
      </c>
      <c r="L3472">
        <v>422</v>
      </c>
      <c r="M3472">
        <v>4.95</v>
      </c>
      <c r="N3472">
        <f>IFERROR(VLOOKUP(A3472,vlookup_table!$A:$G,2,FALSE),"")</f>
        <v>0</v>
      </c>
      <c r="O3472">
        <f>IFERROR(VLOOKUP(A3472,vlookup_table!$A:$G,4,FALSE),"")</f>
        <v>0</v>
      </c>
      <c r="P3472" t="str">
        <f>IFERROR(VLOOKUP(A3472,vlookup_table!$A:$G,5,FALSE),"")</f>
        <v>R1</v>
      </c>
      <c r="Q3472">
        <f>IFERROR(VLOOKUP(A3472,vlookup_table!$A:$G,7,FALSE),"")</f>
        <v>4</v>
      </c>
      <c r="R3472">
        <f t="shared" si="216"/>
        <v>97</v>
      </c>
      <c r="S3472" t="str" cm="1">
        <f t="array" ref="S3472">IF(P3472="","",_xlfn.SWITCH(LEFT(P3472,1),"C","Ciudad","T","Pueblo","R","Rural","S","Suburbano","U","Urbano",""))</f>
        <v>Rural</v>
      </c>
      <c r="T3472" t="str">
        <f t="shared" si="217"/>
        <v>F</v>
      </c>
      <c r="U3472" t="str">
        <f t="shared" si="218"/>
        <v>SC</v>
      </c>
      <c r="V3472" t="str">
        <f t="shared" si="219"/>
        <v>17255</v>
      </c>
    </row>
    <row r="3473" spans="1:22" x14ac:dyDescent="0.35">
      <c r="A3473" s="3">
        <v>188133</v>
      </c>
      <c r="B3473" t="s">
        <v>43</v>
      </c>
      <c r="C3473" t="s">
        <v>17</v>
      </c>
      <c r="D3473">
        <v>828</v>
      </c>
      <c r="E3473">
        <v>478</v>
      </c>
      <c r="F3473">
        <v>540</v>
      </c>
      <c r="G3473">
        <v>2</v>
      </c>
      <c r="H3473">
        <v>16643</v>
      </c>
      <c r="I3473">
        <v>4</v>
      </c>
      <c r="J3473">
        <v>54</v>
      </c>
      <c r="K3473">
        <v>506</v>
      </c>
      <c r="L3473">
        <v>487</v>
      </c>
      <c r="M3473">
        <v>4.75</v>
      </c>
      <c r="N3473">
        <f>IFERROR(VLOOKUP(A3473,vlookup_table!$A:$G,2,FALSE),"")</f>
        <v>0</v>
      </c>
      <c r="O3473">
        <f>IFERROR(VLOOKUP(A3473,vlookup_table!$A:$G,4,FALSE),"")</f>
        <v>0</v>
      </c>
      <c r="P3473" t="str">
        <f>IFERROR(VLOOKUP(A3473,vlookup_table!$A:$G,5,FALSE),"")</f>
        <v>T3</v>
      </c>
      <c r="Q3473">
        <f>IFERROR(VLOOKUP(A3473,vlookup_table!$A:$G,7,FALSE),"")</f>
        <v>5</v>
      </c>
      <c r="R3473">
        <f t="shared" si="216"/>
        <v>97</v>
      </c>
      <c r="S3473" t="str" cm="1">
        <f t="array" ref="S3473">IF(P3473="","",_xlfn.SWITCH(LEFT(P3473,1),"C","Ciudad","T","Pueblo","R","Rural","S","Suburbano","U","Urbano",""))</f>
        <v>Pueblo</v>
      </c>
      <c r="T3473" t="str">
        <f t="shared" si="217"/>
        <v>F</v>
      </c>
      <c r="U3473" t="str">
        <f t="shared" si="218"/>
        <v>AL</v>
      </c>
      <c r="V3473" t="str">
        <f t="shared" si="219"/>
        <v>16643</v>
      </c>
    </row>
    <row r="3474" spans="1:22" x14ac:dyDescent="0.35">
      <c r="A3474" s="3">
        <v>167838</v>
      </c>
      <c r="B3474" t="s">
        <v>22</v>
      </c>
      <c r="C3474" t="s">
        <v>14</v>
      </c>
      <c r="D3474">
        <v>2291</v>
      </c>
      <c r="E3474">
        <v>353</v>
      </c>
      <c r="F3474">
        <v>440</v>
      </c>
      <c r="G3474">
        <v>68</v>
      </c>
      <c r="H3474">
        <v>13687</v>
      </c>
      <c r="I3474">
        <v>14</v>
      </c>
      <c r="J3474">
        <v>58</v>
      </c>
      <c r="K3474">
        <v>407</v>
      </c>
      <c r="L3474">
        <v>402</v>
      </c>
      <c r="M3474">
        <v>8.875</v>
      </c>
      <c r="N3474">
        <f>IFERROR(VLOOKUP(A3474,vlookup_table!$A:$G,2,FALSE),"")</f>
        <v>1</v>
      </c>
      <c r="O3474">
        <f>IFERROR(VLOOKUP(A3474,vlookup_table!$A:$G,4,FALSE),"")</f>
        <v>3402</v>
      </c>
      <c r="P3474" t="str">
        <f>IFERROR(VLOOKUP(A3474,vlookup_table!$A:$G,5,FALSE),"")</f>
        <v>C2</v>
      </c>
      <c r="Q3474">
        <f>IFERROR(VLOOKUP(A3474,vlookup_table!$A:$G,7,FALSE),"")</f>
        <v>15</v>
      </c>
      <c r="R3474">
        <f t="shared" si="216"/>
        <v>63</v>
      </c>
      <c r="S3474" t="str" cm="1">
        <f t="array" ref="S3474">IF(P3474="","",_xlfn.SWITCH(LEFT(P3474,1),"C","Ciudad","T","Pueblo","R","Rural","S","Suburbano","U","Urbano",""))</f>
        <v>Ciudad</v>
      </c>
      <c r="T3474" t="str">
        <f t="shared" si="217"/>
        <v>M</v>
      </c>
      <c r="U3474" t="str">
        <f t="shared" si="218"/>
        <v>CA</v>
      </c>
      <c r="V3474" t="str">
        <f t="shared" si="219"/>
        <v>13687</v>
      </c>
    </row>
    <row r="3475" spans="1:22" x14ac:dyDescent="0.35">
      <c r="A3475" s="3">
        <v>113186</v>
      </c>
      <c r="B3475" t="s">
        <v>31</v>
      </c>
      <c r="C3475" t="s">
        <v>14</v>
      </c>
      <c r="D3475">
        <v>1385</v>
      </c>
      <c r="E3475">
        <v>249</v>
      </c>
      <c r="F3475">
        <v>554</v>
      </c>
      <c r="G3475">
        <v>8</v>
      </c>
      <c r="H3475">
        <v>22877</v>
      </c>
      <c r="I3475">
        <v>2</v>
      </c>
      <c r="J3475">
        <v>58</v>
      </c>
      <c r="K3475">
        <v>409</v>
      </c>
      <c r="L3475">
        <v>419</v>
      </c>
      <c r="M3475">
        <v>5.3214285710000002</v>
      </c>
      <c r="N3475">
        <f>IFERROR(VLOOKUP(A3475,vlookup_table!$A:$G,2,FALSE),"")</f>
        <v>1002</v>
      </c>
      <c r="O3475">
        <f>IFERROR(VLOOKUP(A3475,vlookup_table!$A:$G,4,FALSE),"")</f>
        <v>2001</v>
      </c>
      <c r="P3475" t="str">
        <f>IFERROR(VLOOKUP(A3475,vlookup_table!$A:$G,5,FALSE),"")</f>
        <v>C2</v>
      </c>
      <c r="Q3475">
        <f>IFERROR(VLOOKUP(A3475,vlookup_table!$A:$G,7,FALSE),"")</f>
        <v>5</v>
      </c>
      <c r="R3475">
        <f t="shared" si="216"/>
        <v>77</v>
      </c>
      <c r="S3475" t="str" cm="1">
        <f t="array" ref="S3475">IF(P3475="","",_xlfn.SWITCH(LEFT(P3475,1),"C","Ciudad","T","Pueblo","R","Rural","S","Suburbano","U","Urbano",""))</f>
        <v>Ciudad</v>
      </c>
      <c r="T3475" t="str">
        <f t="shared" si="217"/>
        <v>M</v>
      </c>
      <c r="U3475" t="str">
        <f t="shared" si="218"/>
        <v>OK</v>
      </c>
      <c r="V3475" t="str">
        <f t="shared" si="219"/>
        <v>22877</v>
      </c>
    </row>
    <row r="3476" spans="1:22" x14ac:dyDescent="0.35">
      <c r="A3476" s="3">
        <v>154114</v>
      </c>
      <c r="B3476" t="s">
        <v>24</v>
      </c>
      <c r="C3476" t="s">
        <v>17</v>
      </c>
      <c r="D3476">
        <v>775</v>
      </c>
      <c r="E3476">
        <v>218</v>
      </c>
      <c r="F3476">
        <v>312</v>
      </c>
      <c r="G3476">
        <v>0</v>
      </c>
      <c r="H3476">
        <v>15459</v>
      </c>
      <c r="I3476">
        <v>9</v>
      </c>
      <c r="J3476">
        <v>0</v>
      </c>
      <c r="K3476">
        <v>266</v>
      </c>
      <c r="L3476">
        <v>272</v>
      </c>
      <c r="M3476">
        <v>12.66666667</v>
      </c>
      <c r="N3476">
        <f>IFERROR(VLOOKUP(A3476,vlookup_table!$A:$G,2,FALSE),"")</f>
        <v>2</v>
      </c>
      <c r="O3476">
        <f>IFERROR(VLOOKUP(A3476,vlookup_table!$A:$G,4,FALSE),"")</f>
        <v>3707</v>
      </c>
      <c r="P3476" t="str">
        <f>IFERROR(VLOOKUP(A3476,vlookup_table!$A:$G,5,FALSE),"")</f>
        <v>T2</v>
      </c>
      <c r="Q3476">
        <f>IFERROR(VLOOKUP(A3476,vlookup_table!$A:$G,7,FALSE),"")</f>
        <v>20</v>
      </c>
      <c r="R3476">
        <f t="shared" si="216"/>
        <v>60</v>
      </c>
      <c r="S3476" t="str" cm="1">
        <f t="array" ref="S3476">IF(P3476="","",_xlfn.SWITCH(LEFT(P3476,1),"C","Ciudad","T","Pueblo","R","Rural","S","Suburbano","U","Urbano",""))</f>
        <v>Pueblo</v>
      </c>
      <c r="T3476" t="str">
        <f t="shared" si="217"/>
        <v>F</v>
      </c>
      <c r="U3476" t="str">
        <f t="shared" si="218"/>
        <v>NV</v>
      </c>
      <c r="V3476" t="str">
        <f t="shared" si="219"/>
        <v>15459</v>
      </c>
    </row>
    <row r="3477" spans="1:22" x14ac:dyDescent="0.35">
      <c r="A3477" s="3">
        <v>171738</v>
      </c>
      <c r="B3477" t="s">
        <v>22</v>
      </c>
      <c r="C3477" t="s">
        <v>14</v>
      </c>
      <c r="D3477">
        <v>2098</v>
      </c>
      <c r="E3477">
        <v>564</v>
      </c>
      <c r="F3477">
        <v>730</v>
      </c>
      <c r="G3477">
        <v>55</v>
      </c>
      <c r="H3477">
        <v>34394</v>
      </c>
      <c r="I3477">
        <v>4</v>
      </c>
      <c r="J3477">
        <v>62</v>
      </c>
      <c r="K3477">
        <v>752</v>
      </c>
      <c r="L3477">
        <v>611</v>
      </c>
      <c r="M3477">
        <v>9.75</v>
      </c>
      <c r="N3477">
        <f>IFERROR(VLOOKUP(A3477,vlookup_table!$A:$G,2,FALSE),"")</f>
        <v>2</v>
      </c>
      <c r="O3477">
        <f>IFERROR(VLOOKUP(A3477,vlookup_table!$A:$G,4,FALSE),"")</f>
        <v>701</v>
      </c>
      <c r="P3477" t="str">
        <f>IFERROR(VLOOKUP(A3477,vlookup_table!$A:$G,5,FALSE),"")</f>
        <v>U1</v>
      </c>
      <c r="Q3477">
        <f>IFERROR(VLOOKUP(A3477,vlookup_table!$A:$G,7,FALSE),"")</f>
        <v>12</v>
      </c>
      <c r="R3477">
        <f t="shared" si="216"/>
        <v>90</v>
      </c>
      <c r="S3477" t="str" cm="1">
        <f t="array" ref="S3477">IF(P3477="","",_xlfn.SWITCH(LEFT(P3477,1),"C","Ciudad","T","Pueblo","R","Rural","S","Suburbano","U","Urbano",""))</f>
        <v>Urbano</v>
      </c>
      <c r="T3477" t="str">
        <f t="shared" si="217"/>
        <v>M</v>
      </c>
      <c r="U3477" t="str">
        <f t="shared" si="218"/>
        <v>CA</v>
      </c>
      <c r="V3477" t="str">
        <f t="shared" si="219"/>
        <v>34394</v>
      </c>
    </row>
    <row r="3478" spans="1:22" x14ac:dyDescent="0.35">
      <c r="A3478" s="3">
        <v>20401</v>
      </c>
      <c r="B3478" t="s">
        <v>18</v>
      </c>
      <c r="C3478" t="s">
        <v>20</v>
      </c>
      <c r="D3478">
        <v>476</v>
      </c>
      <c r="E3478">
        <v>193</v>
      </c>
      <c r="F3478">
        <v>282</v>
      </c>
      <c r="G3478">
        <v>0</v>
      </c>
      <c r="H3478">
        <v>9066</v>
      </c>
      <c r="I3478">
        <v>0</v>
      </c>
      <c r="J3478">
        <v>90</v>
      </c>
      <c r="K3478">
        <v>244</v>
      </c>
      <c r="L3478">
        <v>243</v>
      </c>
      <c r="M3478">
        <v>16.166666670000001</v>
      </c>
      <c r="N3478">
        <f>IFERROR(VLOOKUP(A3478,vlookup_table!$A:$G,2,FALSE),"")</f>
        <v>0</v>
      </c>
      <c r="O3478">
        <f>IFERROR(VLOOKUP(A3478,vlookup_table!$A:$G,4,FALSE),"")</f>
        <v>3201</v>
      </c>
      <c r="P3478" t="str">
        <f>IFERROR(VLOOKUP(A3478,vlookup_table!$A:$G,5,FALSE),"")</f>
        <v>R3</v>
      </c>
      <c r="Q3478">
        <f>IFERROR(VLOOKUP(A3478,vlookup_table!$A:$G,7,FALSE),"")</f>
        <v>30</v>
      </c>
      <c r="R3478">
        <f t="shared" si="216"/>
        <v>65</v>
      </c>
      <c r="S3478" t="str" cm="1">
        <f t="array" ref="S3478">IF(P3478="","",_xlfn.SWITCH(LEFT(P3478,1),"C","Ciudad","T","Pueblo","R","Rural","S","Suburbano","U","Urbano",""))</f>
        <v>Rural</v>
      </c>
      <c r="T3478" t="str">
        <f t="shared" si="217"/>
        <v>F</v>
      </c>
      <c r="U3478" t="str">
        <f t="shared" si="218"/>
        <v>NC</v>
      </c>
      <c r="V3478" t="str">
        <f t="shared" si="219"/>
        <v>9066</v>
      </c>
    </row>
    <row r="3479" spans="1:22" x14ac:dyDescent="0.35">
      <c r="A3479" s="3">
        <v>69878</v>
      </c>
      <c r="B3479" t="s">
        <v>29</v>
      </c>
      <c r="C3479" t="s">
        <v>14</v>
      </c>
      <c r="D3479">
        <v>568</v>
      </c>
      <c r="E3479">
        <v>375</v>
      </c>
      <c r="F3479">
        <v>459</v>
      </c>
      <c r="G3479">
        <v>0</v>
      </c>
      <c r="H3479">
        <v>15234</v>
      </c>
      <c r="I3479">
        <v>1</v>
      </c>
      <c r="J3479">
        <v>92</v>
      </c>
      <c r="K3479">
        <v>406</v>
      </c>
      <c r="L3479">
        <v>429</v>
      </c>
      <c r="M3479">
        <v>7.80952381</v>
      </c>
      <c r="N3479">
        <f>IFERROR(VLOOKUP(A3479,vlookup_table!$A:$G,2,FALSE),"")</f>
        <v>1</v>
      </c>
      <c r="O3479">
        <f>IFERROR(VLOOKUP(A3479,vlookup_table!$A:$G,4,FALSE),"")</f>
        <v>2907</v>
      </c>
      <c r="P3479" t="str">
        <f>IFERROR(VLOOKUP(A3479,vlookup_table!$A:$G,5,FALSE),"")</f>
        <v>R2</v>
      </c>
      <c r="Q3479">
        <f>IFERROR(VLOOKUP(A3479,vlookup_table!$A:$G,7,FALSE),"")</f>
        <v>12</v>
      </c>
      <c r="R3479">
        <f t="shared" si="216"/>
        <v>68</v>
      </c>
      <c r="S3479" t="str" cm="1">
        <f t="array" ref="S3479">IF(P3479="","",_xlfn.SWITCH(LEFT(P3479,1),"C","Ciudad","T","Pueblo","R","Rural","S","Suburbano","U","Urbano",""))</f>
        <v>Rural</v>
      </c>
      <c r="T3479" t="str">
        <f t="shared" si="217"/>
        <v>M</v>
      </c>
      <c r="U3479" t="str">
        <f t="shared" si="218"/>
        <v>MI</v>
      </c>
      <c r="V3479" t="str">
        <f t="shared" si="219"/>
        <v>15234</v>
      </c>
    </row>
    <row r="3480" spans="1:22" x14ac:dyDescent="0.35">
      <c r="A3480" s="3">
        <v>138443</v>
      </c>
      <c r="B3480" t="s">
        <v>55</v>
      </c>
      <c r="C3480" t="s">
        <v>60</v>
      </c>
      <c r="D3480">
        <v>650</v>
      </c>
      <c r="E3480">
        <v>174</v>
      </c>
      <c r="F3480">
        <v>251</v>
      </c>
      <c r="G3480">
        <v>2</v>
      </c>
      <c r="H3480">
        <v>9170</v>
      </c>
      <c r="I3480">
        <v>6</v>
      </c>
      <c r="J3480">
        <v>28</v>
      </c>
      <c r="K3480">
        <v>203</v>
      </c>
      <c r="L3480">
        <v>216</v>
      </c>
      <c r="M3480">
        <v>15</v>
      </c>
      <c r="N3480">
        <f>IFERROR(VLOOKUP(A3480,vlookup_table!$A:$G,2,FALSE),"")</f>
        <v>0</v>
      </c>
      <c r="O3480">
        <f>IFERROR(VLOOKUP(A3480,vlookup_table!$A:$G,4,FALSE),"")</f>
        <v>5001</v>
      </c>
      <c r="P3480">
        <f>IFERROR(VLOOKUP(A3480,vlookup_table!$A:$G,5,FALSE),"")</f>
        <v>0</v>
      </c>
      <c r="Q3480">
        <f>IFERROR(VLOOKUP(A3480,vlookup_table!$A:$G,7,FALSE),"")</f>
        <v>15</v>
      </c>
      <c r="R3480">
        <f t="shared" si="216"/>
        <v>47</v>
      </c>
      <c r="S3480" t="str" cm="1">
        <f t="array" ref="S3480">IF(P3480="","",_xlfn.SWITCH(LEFT(P3480,1),"C","Ciudad","T","Pueblo","R","Rural","S","Suburbano","U","Urbano",""))</f>
        <v/>
      </c>
      <c r="T3480" t="str">
        <f t="shared" si="217"/>
        <v>F</v>
      </c>
      <c r="U3480" t="str">
        <f t="shared" si="218"/>
        <v>AZ</v>
      </c>
      <c r="V3480" t="str">
        <f t="shared" si="219"/>
        <v>9170</v>
      </c>
    </row>
    <row r="3481" spans="1:22" x14ac:dyDescent="0.35">
      <c r="A3481" s="3">
        <v>13806</v>
      </c>
      <c r="B3481" t="s">
        <v>35</v>
      </c>
      <c r="C3481" t="s">
        <v>17</v>
      </c>
      <c r="D3481">
        <v>409</v>
      </c>
      <c r="E3481">
        <v>216</v>
      </c>
      <c r="F3481">
        <v>317</v>
      </c>
      <c r="G3481">
        <v>0</v>
      </c>
      <c r="H3481">
        <v>10381</v>
      </c>
      <c r="I3481">
        <v>1</v>
      </c>
      <c r="J3481">
        <v>80</v>
      </c>
      <c r="K3481">
        <v>268</v>
      </c>
      <c r="L3481">
        <v>266</v>
      </c>
      <c r="M3481">
        <v>5.6029411769999999</v>
      </c>
      <c r="N3481">
        <f>IFERROR(VLOOKUP(A3481,vlookup_table!$A:$G,2,FALSE),"")</f>
        <v>2</v>
      </c>
      <c r="O3481">
        <f>IFERROR(VLOOKUP(A3481,vlookup_table!$A:$G,4,FALSE),"")</f>
        <v>0</v>
      </c>
      <c r="P3481" t="str">
        <f>IFERROR(VLOOKUP(A3481,vlookup_table!$A:$G,5,FALSE),"")</f>
        <v>R2</v>
      </c>
      <c r="Q3481">
        <f>IFERROR(VLOOKUP(A3481,vlookup_table!$A:$G,7,FALSE),"")</f>
        <v>7</v>
      </c>
      <c r="R3481">
        <f t="shared" si="216"/>
        <v>97</v>
      </c>
      <c r="S3481" t="str" cm="1">
        <f t="array" ref="S3481">IF(P3481="","",_xlfn.SWITCH(LEFT(P3481,1),"C","Ciudad","T","Pueblo","R","Rural","S","Suburbano","U","Urbano",""))</f>
        <v>Rural</v>
      </c>
      <c r="T3481" t="str">
        <f t="shared" si="217"/>
        <v>F</v>
      </c>
      <c r="U3481" t="str">
        <f t="shared" si="218"/>
        <v>WI</v>
      </c>
      <c r="V3481" t="str">
        <f t="shared" si="219"/>
        <v>10381</v>
      </c>
    </row>
    <row r="3482" spans="1:22" x14ac:dyDescent="0.35">
      <c r="A3482" s="3">
        <v>119801</v>
      </c>
      <c r="B3482" t="s">
        <v>21</v>
      </c>
      <c r="C3482" t="s">
        <v>17</v>
      </c>
      <c r="D3482">
        <v>873</v>
      </c>
      <c r="E3482">
        <v>422</v>
      </c>
      <c r="F3482">
        <v>499</v>
      </c>
      <c r="G3482">
        <v>0</v>
      </c>
      <c r="H3482">
        <v>15800</v>
      </c>
      <c r="I3482">
        <v>1</v>
      </c>
      <c r="J3482">
        <v>54</v>
      </c>
      <c r="K3482">
        <v>486</v>
      </c>
      <c r="L3482">
        <v>459</v>
      </c>
      <c r="M3482">
        <v>14.66666667</v>
      </c>
      <c r="N3482">
        <f>IFERROR(VLOOKUP(A3482,vlookup_table!$A:$G,2,FALSE),"")</f>
        <v>28</v>
      </c>
      <c r="O3482">
        <f>IFERROR(VLOOKUP(A3482,vlookup_table!$A:$G,4,FALSE),"")</f>
        <v>603</v>
      </c>
      <c r="P3482" t="str">
        <f>IFERROR(VLOOKUP(A3482,vlookup_table!$A:$G,5,FALSE),"")</f>
        <v>T2</v>
      </c>
      <c r="Q3482">
        <f>IFERROR(VLOOKUP(A3482,vlookup_table!$A:$G,7,FALSE),"")</f>
        <v>25</v>
      </c>
      <c r="R3482">
        <f t="shared" si="216"/>
        <v>91</v>
      </c>
      <c r="S3482" t="str" cm="1">
        <f t="array" ref="S3482">IF(P3482="","",_xlfn.SWITCH(LEFT(P3482,1),"C","Ciudad","T","Pueblo","R","Rural","S","Suburbano","U","Urbano",""))</f>
        <v>Pueblo</v>
      </c>
      <c r="T3482" t="str">
        <f t="shared" si="217"/>
        <v>F</v>
      </c>
      <c r="U3482" t="str">
        <f t="shared" si="218"/>
        <v>TX</v>
      </c>
      <c r="V3482" t="str">
        <f t="shared" si="219"/>
        <v>15800</v>
      </c>
    </row>
    <row r="3483" spans="1:22" x14ac:dyDescent="0.35">
      <c r="A3483" s="3">
        <v>56339</v>
      </c>
      <c r="B3483" t="s">
        <v>57</v>
      </c>
      <c r="C3483" t="s">
        <v>17</v>
      </c>
      <c r="D3483">
        <v>397</v>
      </c>
      <c r="E3483">
        <v>170</v>
      </c>
      <c r="F3483">
        <v>290</v>
      </c>
      <c r="G3483">
        <v>0</v>
      </c>
      <c r="H3483">
        <v>10204</v>
      </c>
      <c r="I3483">
        <v>0</v>
      </c>
      <c r="J3483">
        <v>93</v>
      </c>
      <c r="K3483">
        <v>209</v>
      </c>
      <c r="L3483">
        <v>235</v>
      </c>
      <c r="M3483">
        <v>3.6296296300000002</v>
      </c>
      <c r="N3483">
        <f>IFERROR(VLOOKUP(A3483,vlookup_table!$A:$G,2,FALSE),"")</f>
        <v>2</v>
      </c>
      <c r="O3483">
        <f>IFERROR(VLOOKUP(A3483,vlookup_table!$A:$G,4,FALSE),"")</f>
        <v>1505</v>
      </c>
      <c r="P3483" t="str">
        <f>IFERROR(VLOOKUP(A3483,vlookup_table!$A:$G,5,FALSE),"")</f>
        <v>T2</v>
      </c>
      <c r="Q3483">
        <f>IFERROR(VLOOKUP(A3483,vlookup_table!$A:$G,7,FALSE),"")</f>
        <v>5</v>
      </c>
      <c r="R3483">
        <f t="shared" si="216"/>
        <v>82</v>
      </c>
      <c r="S3483" t="str" cm="1">
        <f t="array" ref="S3483">IF(P3483="","",_xlfn.SWITCH(LEFT(P3483,1),"C","Ciudad","T","Pueblo","R","Rural","S","Suburbano","U","Urbano",""))</f>
        <v>Pueblo</v>
      </c>
      <c r="T3483" t="str">
        <f t="shared" si="217"/>
        <v>F</v>
      </c>
      <c r="U3483" t="str">
        <f t="shared" si="218"/>
        <v>KY</v>
      </c>
      <c r="V3483" t="str">
        <f t="shared" si="219"/>
        <v>10204</v>
      </c>
    </row>
    <row r="3484" spans="1:22" x14ac:dyDescent="0.35">
      <c r="A3484" s="3">
        <v>125506</v>
      </c>
      <c r="B3484" t="s">
        <v>21</v>
      </c>
      <c r="C3484" t="s">
        <v>17</v>
      </c>
      <c r="D3484">
        <v>384</v>
      </c>
      <c r="E3484">
        <v>161</v>
      </c>
      <c r="F3484">
        <v>206</v>
      </c>
      <c r="G3484">
        <v>0</v>
      </c>
      <c r="H3484">
        <v>5691</v>
      </c>
      <c r="I3484">
        <v>8</v>
      </c>
      <c r="J3484">
        <v>88</v>
      </c>
      <c r="K3484">
        <v>166</v>
      </c>
      <c r="L3484">
        <v>187</v>
      </c>
      <c r="M3484">
        <v>12.2</v>
      </c>
      <c r="N3484">
        <f>IFERROR(VLOOKUP(A3484,vlookup_table!$A:$G,2,FALSE),"")</f>
        <v>28</v>
      </c>
      <c r="O3484">
        <f>IFERROR(VLOOKUP(A3484,vlookup_table!$A:$G,4,FALSE),"")</f>
        <v>5501</v>
      </c>
      <c r="P3484" t="str">
        <f>IFERROR(VLOOKUP(A3484,vlookup_table!$A:$G,5,FALSE),"")</f>
        <v>U4</v>
      </c>
      <c r="Q3484">
        <f>IFERROR(VLOOKUP(A3484,vlookup_table!$A:$G,7,FALSE),"")</f>
        <v>20</v>
      </c>
      <c r="R3484">
        <f t="shared" si="216"/>
        <v>42</v>
      </c>
      <c r="S3484" t="str" cm="1">
        <f t="array" ref="S3484">IF(P3484="","",_xlfn.SWITCH(LEFT(P3484,1),"C","Ciudad","T","Pueblo","R","Rural","S","Suburbano","U","Urbano",""))</f>
        <v>Urbano</v>
      </c>
      <c r="T3484" t="str">
        <f t="shared" si="217"/>
        <v>F</v>
      </c>
      <c r="U3484" t="str">
        <f t="shared" si="218"/>
        <v>TX</v>
      </c>
      <c r="V3484" t="str">
        <f t="shared" si="219"/>
        <v>5691</v>
      </c>
    </row>
    <row r="3485" spans="1:22" x14ac:dyDescent="0.35">
      <c r="A3485" s="3">
        <v>190635</v>
      </c>
      <c r="B3485" t="s">
        <v>46</v>
      </c>
      <c r="C3485" t="s">
        <v>30</v>
      </c>
      <c r="D3485">
        <v>389</v>
      </c>
      <c r="E3485">
        <v>206</v>
      </c>
      <c r="F3485">
        <v>319</v>
      </c>
      <c r="G3485">
        <v>1</v>
      </c>
      <c r="H3485">
        <v>9837</v>
      </c>
      <c r="I3485">
        <v>0</v>
      </c>
      <c r="J3485">
        <v>78</v>
      </c>
      <c r="K3485">
        <v>289</v>
      </c>
      <c r="L3485">
        <v>269</v>
      </c>
      <c r="M3485">
        <v>8.6666666669999994</v>
      </c>
      <c r="N3485">
        <f>IFERROR(VLOOKUP(A3485,vlookup_table!$A:$G,2,FALSE),"")</f>
        <v>0</v>
      </c>
      <c r="O3485">
        <f>IFERROR(VLOOKUP(A3485,vlookup_table!$A:$G,4,FALSE),"")</f>
        <v>0</v>
      </c>
      <c r="P3485">
        <f>IFERROR(VLOOKUP(A3485,vlookup_table!$A:$G,5,FALSE),"")</f>
        <v>0</v>
      </c>
      <c r="Q3485">
        <f>IFERROR(VLOOKUP(A3485,vlookup_table!$A:$G,7,FALSE),"")</f>
        <v>32</v>
      </c>
      <c r="R3485">
        <f t="shared" si="216"/>
        <v>97</v>
      </c>
      <c r="S3485" t="str" cm="1">
        <f t="array" ref="S3485">IF(P3485="","",_xlfn.SWITCH(LEFT(P3485,1),"C","Ciudad","T","Pueblo","R","Rural","S","Suburbano","U","Urbano",""))</f>
        <v/>
      </c>
      <c r="T3485" t="str">
        <f t="shared" si="217"/>
        <v>U</v>
      </c>
      <c r="U3485" t="str">
        <f t="shared" si="218"/>
        <v>SC</v>
      </c>
      <c r="V3485" t="str">
        <f t="shared" si="219"/>
        <v>9837</v>
      </c>
    </row>
    <row r="3486" spans="1:22" x14ac:dyDescent="0.35">
      <c r="A3486" s="3">
        <v>12361</v>
      </c>
      <c r="B3486" t="s">
        <v>16</v>
      </c>
      <c r="C3486" t="s">
        <v>17</v>
      </c>
      <c r="D3486">
        <v>5778</v>
      </c>
      <c r="E3486">
        <v>517</v>
      </c>
      <c r="F3486">
        <v>996</v>
      </c>
      <c r="G3486">
        <v>99</v>
      </c>
      <c r="H3486">
        <v>57644</v>
      </c>
      <c r="I3486">
        <v>6</v>
      </c>
      <c r="J3486">
        <v>53</v>
      </c>
      <c r="K3486">
        <v>1068</v>
      </c>
      <c r="L3486">
        <v>668</v>
      </c>
      <c r="M3486">
        <v>62.5</v>
      </c>
      <c r="N3486">
        <f>IFERROR(VLOOKUP(A3486,vlookup_table!$A:$G,2,FALSE),"")</f>
        <v>28</v>
      </c>
      <c r="O3486">
        <f>IFERROR(VLOOKUP(A3486,vlookup_table!$A:$G,4,FALSE),"")</f>
        <v>4204</v>
      </c>
      <c r="P3486" t="str">
        <f>IFERROR(VLOOKUP(A3486,vlookup_table!$A:$G,5,FALSE),"")</f>
        <v>U1</v>
      </c>
      <c r="Q3486">
        <f>IFERROR(VLOOKUP(A3486,vlookup_table!$A:$G,7,FALSE),"")</f>
        <v>100</v>
      </c>
      <c r="R3486">
        <f t="shared" si="216"/>
        <v>55</v>
      </c>
      <c r="S3486" t="str" cm="1">
        <f t="array" ref="S3486">IF(P3486="","",_xlfn.SWITCH(LEFT(P3486,1),"C","Ciudad","T","Pueblo","R","Rural","S","Suburbano","U","Urbano",""))</f>
        <v>Urbano</v>
      </c>
      <c r="T3486" t="str">
        <f t="shared" si="217"/>
        <v>F</v>
      </c>
      <c r="U3486" t="str">
        <f t="shared" si="218"/>
        <v>IL</v>
      </c>
      <c r="V3486" t="str">
        <f t="shared" si="219"/>
        <v>57644</v>
      </c>
    </row>
    <row r="3487" spans="1:22" x14ac:dyDescent="0.35">
      <c r="A3487" s="3">
        <v>136428</v>
      </c>
      <c r="B3487" t="s">
        <v>55</v>
      </c>
      <c r="C3487" t="s">
        <v>60</v>
      </c>
      <c r="D3487">
        <v>1887</v>
      </c>
      <c r="E3487">
        <v>591</v>
      </c>
      <c r="F3487">
        <v>829</v>
      </c>
      <c r="G3487">
        <v>42</v>
      </c>
      <c r="H3487">
        <v>47673</v>
      </c>
      <c r="I3487">
        <v>1</v>
      </c>
      <c r="J3487">
        <v>12</v>
      </c>
      <c r="K3487">
        <v>801</v>
      </c>
      <c r="L3487">
        <v>672</v>
      </c>
      <c r="M3487">
        <v>15</v>
      </c>
      <c r="N3487">
        <f>IFERROR(VLOOKUP(A3487,vlookup_table!$A:$G,2,FALSE),"")</f>
        <v>0</v>
      </c>
      <c r="O3487">
        <f>IFERROR(VLOOKUP(A3487,vlookup_table!$A:$G,4,FALSE),"")</f>
        <v>4701</v>
      </c>
      <c r="P3487" t="str">
        <f>IFERROR(VLOOKUP(A3487,vlookup_table!$A:$G,5,FALSE),"")</f>
        <v>S1</v>
      </c>
      <c r="Q3487">
        <f>IFERROR(VLOOKUP(A3487,vlookup_table!$A:$G,7,FALSE),"")</f>
        <v>25</v>
      </c>
      <c r="R3487">
        <f t="shared" si="216"/>
        <v>50</v>
      </c>
      <c r="S3487" t="str" cm="1">
        <f t="array" ref="S3487">IF(P3487="","",_xlfn.SWITCH(LEFT(P3487,1),"C","Ciudad","T","Pueblo","R","Rural","S","Suburbano","U","Urbano",""))</f>
        <v>Suburbano</v>
      </c>
      <c r="T3487" t="str">
        <f t="shared" si="217"/>
        <v>F</v>
      </c>
      <c r="U3487" t="str">
        <f t="shared" si="218"/>
        <v>AZ</v>
      </c>
      <c r="V3487" t="str">
        <f t="shared" si="219"/>
        <v>47673</v>
      </c>
    </row>
    <row r="3488" spans="1:22" x14ac:dyDescent="0.35">
      <c r="A3488" s="3">
        <v>184478</v>
      </c>
      <c r="B3488" t="s">
        <v>40</v>
      </c>
      <c r="C3488" t="s">
        <v>51</v>
      </c>
      <c r="D3488">
        <v>439</v>
      </c>
      <c r="E3488">
        <v>143</v>
      </c>
      <c r="F3488">
        <v>230</v>
      </c>
      <c r="G3488">
        <v>0</v>
      </c>
      <c r="H3488">
        <v>10453</v>
      </c>
      <c r="I3488">
        <v>4</v>
      </c>
      <c r="J3488">
        <v>45</v>
      </c>
      <c r="K3488">
        <v>187</v>
      </c>
      <c r="L3488">
        <v>189</v>
      </c>
      <c r="M3488">
        <v>7.3333333329999997</v>
      </c>
      <c r="N3488">
        <f>IFERROR(VLOOKUP(A3488,vlookup_table!$A:$G,2,FALSE),"")</f>
        <v>1</v>
      </c>
      <c r="O3488">
        <f>IFERROR(VLOOKUP(A3488,vlookup_table!$A:$G,4,FALSE),"")</f>
        <v>2001</v>
      </c>
      <c r="P3488" t="str">
        <f>IFERROR(VLOOKUP(A3488,vlookup_table!$A:$G,5,FALSE),"")</f>
        <v>C3</v>
      </c>
      <c r="Q3488">
        <f>IFERROR(VLOOKUP(A3488,vlookup_table!$A:$G,7,FALSE),"")</f>
        <v>15</v>
      </c>
      <c r="R3488">
        <f t="shared" si="216"/>
        <v>77</v>
      </c>
      <c r="S3488" t="str" cm="1">
        <f t="array" ref="S3488">IF(P3488="","",_xlfn.SWITCH(LEFT(P3488,1),"C","Ciudad","T","Pueblo","R","Rural","S","Suburbano","U","Urbano",""))</f>
        <v>Ciudad</v>
      </c>
      <c r="T3488" t="str">
        <f t="shared" si="217"/>
        <v>M</v>
      </c>
      <c r="U3488" t="str">
        <f t="shared" si="218"/>
        <v>WA</v>
      </c>
      <c r="V3488" t="str">
        <f t="shared" si="219"/>
        <v>10453</v>
      </c>
    </row>
    <row r="3489" spans="1:22" x14ac:dyDescent="0.35">
      <c r="A3489" s="3">
        <v>55105</v>
      </c>
      <c r="B3489" t="s">
        <v>62</v>
      </c>
      <c r="C3489" t="s">
        <v>20</v>
      </c>
      <c r="D3489">
        <v>407</v>
      </c>
      <c r="E3489">
        <v>182</v>
      </c>
      <c r="F3489">
        <v>282</v>
      </c>
      <c r="G3489">
        <v>0</v>
      </c>
      <c r="H3489">
        <v>8199</v>
      </c>
      <c r="I3489">
        <v>0</v>
      </c>
      <c r="J3489">
        <v>85</v>
      </c>
      <c r="K3489">
        <v>231</v>
      </c>
      <c r="L3489">
        <v>236</v>
      </c>
      <c r="M3489">
        <v>5.8</v>
      </c>
      <c r="N3489">
        <f>IFERROR(VLOOKUP(A3489,vlookup_table!$A:$G,2,FALSE),"")</f>
        <v>0</v>
      </c>
      <c r="O3489">
        <f>IFERROR(VLOOKUP(A3489,vlookup_table!$A:$G,4,FALSE),"")</f>
        <v>0</v>
      </c>
      <c r="P3489" t="str">
        <f>IFERROR(VLOOKUP(A3489,vlookup_table!$A:$G,5,FALSE),"")</f>
        <v>R2</v>
      </c>
      <c r="Q3489">
        <f>IFERROR(VLOOKUP(A3489,vlookup_table!$A:$G,7,FALSE),"")</f>
        <v>4</v>
      </c>
      <c r="R3489">
        <f t="shared" si="216"/>
        <v>97</v>
      </c>
      <c r="S3489" t="str" cm="1">
        <f t="array" ref="S3489">IF(P3489="","",_xlfn.SWITCH(LEFT(P3489,1),"C","Ciudad","T","Pueblo","R","Rural","S","Suburbano","U","Urbano",""))</f>
        <v>Rural</v>
      </c>
      <c r="T3489" t="str">
        <f t="shared" si="217"/>
        <v>F</v>
      </c>
      <c r="U3489" t="str">
        <f t="shared" si="218"/>
        <v>MS</v>
      </c>
      <c r="V3489" t="str">
        <f t="shared" si="219"/>
        <v>8199</v>
      </c>
    </row>
    <row r="3490" spans="1:22" x14ac:dyDescent="0.35">
      <c r="A3490" s="3">
        <v>188170</v>
      </c>
      <c r="B3490" t="s">
        <v>13</v>
      </c>
      <c r="C3490" t="s">
        <v>14</v>
      </c>
      <c r="D3490">
        <v>1098</v>
      </c>
      <c r="E3490">
        <v>374</v>
      </c>
      <c r="F3490">
        <v>432</v>
      </c>
      <c r="G3490">
        <v>2</v>
      </c>
      <c r="H3490">
        <v>16263</v>
      </c>
      <c r="I3490">
        <v>9</v>
      </c>
      <c r="J3490">
        <v>11</v>
      </c>
      <c r="K3490">
        <v>386</v>
      </c>
      <c r="L3490">
        <v>427</v>
      </c>
      <c r="M3490">
        <v>22.785714290000001</v>
      </c>
      <c r="N3490">
        <f>IFERROR(VLOOKUP(A3490,vlookup_table!$A:$G,2,FALSE),"")</f>
        <v>2</v>
      </c>
      <c r="O3490">
        <f>IFERROR(VLOOKUP(A3490,vlookup_table!$A:$G,4,FALSE),"")</f>
        <v>0</v>
      </c>
      <c r="P3490">
        <f>IFERROR(VLOOKUP(A3490,vlookup_table!$A:$G,5,FALSE),"")</f>
        <v>0</v>
      </c>
      <c r="Q3490">
        <f>IFERROR(VLOOKUP(A3490,vlookup_table!$A:$G,7,FALSE),"")</f>
        <v>50</v>
      </c>
      <c r="R3490">
        <f t="shared" si="216"/>
        <v>97</v>
      </c>
      <c r="S3490" t="str" cm="1">
        <f t="array" ref="S3490">IF(P3490="","",_xlfn.SWITCH(LEFT(P3490,1),"C","Ciudad","T","Pueblo","R","Rural","S","Suburbano","U","Urbano",""))</f>
        <v/>
      </c>
      <c r="T3490" t="str">
        <f t="shared" si="217"/>
        <v>M</v>
      </c>
      <c r="U3490" t="str">
        <f t="shared" si="218"/>
        <v>FL</v>
      </c>
      <c r="V3490" t="str">
        <f t="shared" si="219"/>
        <v>16263</v>
      </c>
    </row>
    <row r="3491" spans="1:22" x14ac:dyDescent="0.35">
      <c r="A3491" s="3">
        <v>171397</v>
      </c>
      <c r="B3491" t="s">
        <v>33</v>
      </c>
      <c r="C3491" t="s">
        <v>14</v>
      </c>
      <c r="D3491">
        <v>709</v>
      </c>
      <c r="E3491">
        <v>403</v>
      </c>
      <c r="F3491">
        <v>549</v>
      </c>
      <c r="G3491">
        <v>4</v>
      </c>
      <c r="H3491">
        <v>21035</v>
      </c>
      <c r="I3491">
        <v>4</v>
      </c>
      <c r="J3491">
        <v>64</v>
      </c>
      <c r="K3491">
        <v>459</v>
      </c>
      <c r="L3491">
        <v>485</v>
      </c>
      <c r="M3491">
        <v>29</v>
      </c>
      <c r="N3491">
        <f>IFERROR(VLOOKUP(A3491,vlookup_table!$A:$G,2,FALSE),"")</f>
        <v>4</v>
      </c>
      <c r="O3491">
        <f>IFERROR(VLOOKUP(A3491,vlookup_table!$A:$G,4,FALSE),"")</f>
        <v>6201</v>
      </c>
      <c r="P3491" t="str">
        <f>IFERROR(VLOOKUP(A3491,vlookup_table!$A:$G,5,FALSE),"")</f>
        <v>C2</v>
      </c>
      <c r="Q3491">
        <f>IFERROR(VLOOKUP(A3491,vlookup_table!$A:$G,7,FALSE),"")</f>
        <v>25</v>
      </c>
      <c r="R3491">
        <f t="shared" si="216"/>
        <v>35</v>
      </c>
      <c r="S3491" t="str" cm="1">
        <f t="array" ref="S3491">IF(P3491="","",_xlfn.SWITCH(LEFT(P3491,1),"C","Ciudad","T","Pueblo","R","Rural","S","Suburbano","U","Urbano",""))</f>
        <v>Ciudad</v>
      </c>
      <c r="T3491" t="str">
        <f t="shared" si="217"/>
        <v>M</v>
      </c>
      <c r="U3491" t="str">
        <f t="shared" si="218"/>
        <v>IN</v>
      </c>
      <c r="V3491" t="str">
        <f t="shared" si="219"/>
        <v>21035</v>
      </c>
    </row>
    <row r="3492" spans="1:22" x14ac:dyDescent="0.35">
      <c r="A3492" s="3">
        <v>159562</v>
      </c>
      <c r="B3492" t="s">
        <v>22</v>
      </c>
      <c r="C3492" t="s">
        <v>17</v>
      </c>
      <c r="D3492">
        <v>546</v>
      </c>
      <c r="E3492">
        <v>191</v>
      </c>
      <c r="F3492">
        <v>234</v>
      </c>
      <c r="G3492">
        <v>0</v>
      </c>
      <c r="H3492">
        <v>5846</v>
      </c>
      <c r="I3492">
        <v>36</v>
      </c>
      <c r="J3492">
        <v>44</v>
      </c>
      <c r="K3492">
        <v>208</v>
      </c>
      <c r="L3492">
        <v>219</v>
      </c>
      <c r="M3492">
        <v>14.8</v>
      </c>
      <c r="N3492">
        <f>IFERROR(VLOOKUP(A3492,vlookup_table!$A:$G,2,FALSE),"")</f>
        <v>0</v>
      </c>
      <c r="O3492">
        <f>IFERROR(VLOOKUP(A3492,vlookup_table!$A:$G,4,FALSE),"")</f>
        <v>0</v>
      </c>
      <c r="P3492" t="str">
        <f>IFERROR(VLOOKUP(A3492,vlookup_table!$A:$G,5,FALSE),"")</f>
        <v>R3</v>
      </c>
      <c r="Q3492">
        <f>IFERROR(VLOOKUP(A3492,vlookup_table!$A:$G,7,FALSE),"")</f>
        <v>2</v>
      </c>
      <c r="R3492">
        <f t="shared" si="216"/>
        <v>97</v>
      </c>
      <c r="S3492" t="str" cm="1">
        <f t="array" ref="S3492">IF(P3492="","",_xlfn.SWITCH(LEFT(P3492,1),"C","Ciudad","T","Pueblo","R","Rural","S","Suburbano","U","Urbano",""))</f>
        <v>Rural</v>
      </c>
      <c r="T3492" t="str">
        <f t="shared" si="217"/>
        <v>F</v>
      </c>
      <c r="U3492" t="str">
        <f t="shared" si="218"/>
        <v>CA</v>
      </c>
      <c r="V3492" t="str">
        <f t="shared" si="219"/>
        <v>5846</v>
      </c>
    </row>
    <row r="3493" spans="1:22" x14ac:dyDescent="0.35">
      <c r="A3493" s="3">
        <v>32523</v>
      </c>
      <c r="B3493" t="s">
        <v>13</v>
      </c>
      <c r="C3493" t="s">
        <v>17</v>
      </c>
      <c r="D3493">
        <v>1073</v>
      </c>
      <c r="E3493">
        <v>377</v>
      </c>
      <c r="F3493">
        <v>456</v>
      </c>
      <c r="G3493">
        <v>7</v>
      </c>
      <c r="H3493">
        <v>15296</v>
      </c>
      <c r="I3493">
        <v>4</v>
      </c>
      <c r="J3493">
        <v>27</v>
      </c>
      <c r="K3493">
        <v>407</v>
      </c>
      <c r="L3493">
        <v>411</v>
      </c>
      <c r="M3493">
        <v>11.66666667</v>
      </c>
      <c r="N3493">
        <f>IFERROR(VLOOKUP(A3493,vlookup_table!$A:$G,2,FALSE),"")</f>
        <v>28</v>
      </c>
      <c r="O3493">
        <f>IFERROR(VLOOKUP(A3493,vlookup_table!$A:$G,4,FALSE),"")</f>
        <v>4001</v>
      </c>
      <c r="P3493" t="str">
        <f>IFERROR(VLOOKUP(A3493,vlookup_table!$A:$G,5,FALSE),"")</f>
        <v>T2</v>
      </c>
      <c r="Q3493">
        <f>IFERROR(VLOOKUP(A3493,vlookup_table!$A:$G,7,FALSE),"")</f>
        <v>10</v>
      </c>
      <c r="R3493">
        <f t="shared" si="216"/>
        <v>57</v>
      </c>
      <c r="S3493" t="str" cm="1">
        <f t="array" ref="S3493">IF(P3493="","",_xlfn.SWITCH(LEFT(P3493,1),"C","Ciudad","T","Pueblo","R","Rural","S","Suburbano","U","Urbano",""))</f>
        <v>Pueblo</v>
      </c>
      <c r="T3493" t="str">
        <f t="shared" si="217"/>
        <v>F</v>
      </c>
      <c r="U3493" t="str">
        <f t="shared" si="218"/>
        <v>FL</v>
      </c>
      <c r="V3493" t="str">
        <f t="shared" si="219"/>
        <v>15296</v>
      </c>
    </row>
    <row r="3494" spans="1:22" x14ac:dyDescent="0.35">
      <c r="A3494" s="3">
        <v>115311</v>
      </c>
      <c r="B3494" t="s">
        <v>31</v>
      </c>
      <c r="C3494" t="s">
        <v>17</v>
      </c>
      <c r="D3494">
        <v>303</v>
      </c>
      <c r="E3494">
        <v>177</v>
      </c>
      <c r="F3494">
        <v>245</v>
      </c>
      <c r="G3494">
        <v>0</v>
      </c>
      <c r="H3494">
        <v>8573</v>
      </c>
      <c r="I3494">
        <v>0</v>
      </c>
      <c r="J3494">
        <v>77</v>
      </c>
      <c r="K3494">
        <v>204</v>
      </c>
      <c r="L3494">
        <v>225</v>
      </c>
      <c r="M3494">
        <v>3.75</v>
      </c>
      <c r="N3494">
        <f>IFERROR(VLOOKUP(A3494,vlookup_table!$A:$G,2,FALSE),"")</f>
        <v>0</v>
      </c>
      <c r="O3494">
        <f>IFERROR(VLOOKUP(A3494,vlookup_table!$A:$G,4,FALSE),"")</f>
        <v>6701</v>
      </c>
      <c r="P3494" t="str">
        <f>IFERROR(VLOOKUP(A3494,vlookup_table!$A:$G,5,FALSE),"")</f>
        <v>R3</v>
      </c>
      <c r="Q3494">
        <f>IFERROR(VLOOKUP(A3494,vlookup_table!$A:$G,7,FALSE),"")</f>
        <v>4</v>
      </c>
      <c r="R3494">
        <f t="shared" si="216"/>
        <v>30</v>
      </c>
      <c r="S3494" t="str" cm="1">
        <f t="array" ref="S3494">IF(P3494="","",_xlfn.SWITCH(LEFT(P3494,1),"C","Ciudad","T","Pueblo","R","Rural","S","Suburbano","U","Urbano",""))</f>
        <v>Rural</v>
      </c>
      <c r="T3494" t="str">
        <f t="shared" si="217"/>
        <v>F</v>
      </c>
      <c r="U3494" t="str">
        <f t="shared" si="218"/>
        <v>OK</v>
      </c>
      <c r="V3494" t="str">
        <f t="shared" si="219"/>
        <v>8573</v>
      </c>
    </row>
    <row r="3495" spans="1:22" x14ac:dyDescent="0.35">
      <c r="A3495" s="3">
        <v>154668</v>
      </c>
      <c r="B3495" t="s">
        <v>22</v>
      </c>
      <c r="C3495" t="s">
        <v>17</v>
      </c>
      <c r="D3495">
        <v>690</v>
      </c>
      <c r="E3495">
        <v>315</v>
      </c>
      <c r="F3495">
        <v>367</v>
      </c>
      <c r="G3495">
        <v>0</v>
      </c>
      <c r="H3495">
        <v>12427</v>
      </c>
      <c r="I3495">
        <v>4</v>
      </c>
      <c r="J3495">
        <v>41</v>
      </c>
      <c r="K3495">
        <v>353</v>
      </c>
      <c r="L3495">
        <v>330</v>
      </c>
      <c r="M3495">
        <v>11.52631579</v>
      </c>
      <c r="N3495">
        <f>IFERROR(VLOOKUP(A3495,vlookup_table!$A:$G,2,FALSE),"")</f>
        <v>0</v>
      </c>
      <c r="O3495">
        <f>IFERROR(VLOOKUP(A3495,vlookup_table!$A:$G,4,FALSE),"")</f>
        <v>2604</v>
      </c>
      <c r="P3495" t="str">
        <f>IFERROR(VLOOKUP(A3495,vlookup_table!$A:$G,5,FALSE),"")</f>
        <v>T2</v>
      </c>
      <c r="Q3495">
        <f>IFERROR(VLOOKUP(A3495,vlookup_table!$A:$G,7,FALSE),"")</f>
        <v>15</v>
      </c>
      <c r="R3495">
        <f t="shared" si="216"/>
        <v>71</v>
      </c>
      <c r="S3495" t="str" cm="1">
        <f t="array" ref="S3495">IF(P3495="","",_xlfn.SWITCH(LEFT(P3495,1),"C","Ciudad","T","Pueblo","R","Rural","S","Suburbano","U","Urbano",""))</f>
        <v>Pueblo</v>
      </c>
      <c r="T3495" t="str">
        <f t="shared" si="217"/>
        <v>F</v>
      </c>
      <c r="U3495" t="str">
        <f t="shared" si="218"/>
        <v>CA</v>
      </c>
      <c r="V3495" t="str">
        <f t="shared" si="219"/>
        <v>12427</v>
      </c>
    </row>
    <row r="3496" spans="1:22" x14ac:dyDescent="0.35">
      <c r="A3496" s="3">
        <v>103260</v>
      </c>
      <c r="B3496" t="s">
        <v>36</v>
      </c>
      <c r="C3496" t="s">
        <v>14</v>
      </c>
      <c r="D3496">
        <v>589</v>
      </c>
      <c r="E3496">
        <v>353</v>
      </c>
      <c r="F3496">
        <v>433</v>
      </c>
      <c r="G3496">
        <v>0</v>
      </c>
      <c r="H3496">
        <v>12376</v>
      </c>
      <c r="I3496">
        <v>0</v>
      </c>
      <c r="J3496">
        <v>93</v>
      </c>
      <c r="K3496">
        <v>388</v>
      </c>
      <c r="L3496">
        <v>398</v>
      </c>
      <c r="M3496">
        <v>8.7777777780000008</v>
      </c>
      <c r="N3496">
        <f>IFERROR(VLOOKUP(A3496,vlookup_table!$A:$G,2,FALSE),"")</f>
        <v>0</v>
      </c>
      <c r="O3496">
        <f>IFERROR(VLOOKUP(A3496,vlookup_table!$A:$G,4,FALSE),"")</f>
        <v>6609</v>
      </c>
      <c r="P3496" t="str">
        <f>IFERROR(VLOOKUP(A3496,vlookup_table!$A:$G,5,FALSE),"")</f>
        <v>T2</v>
      </c>
      <c r="Q3496">
        <f>IFERROR(VLOOKUP(A3496,vlookup_table!$A:$G,7,FALSE),"")</f>
        <v>10</v>
      </c>
      <c r="R3496">
        <f t="shared" si="216"/>
        <v>31</v>
      </c>
      <c r="S3496" t="str" cm="1">
        <f t="array" ref="S3496">IF(P3496="","",_xlfn.SWITCH(LEFT(P3496,1),"C","Ciudad","T","Pueblo","R","Rural","S","Suburbano","U","Urbano",""))</f>
        <v>Pueblo</v>
      </c>
      <c r="T3496" t="str">
        <f t="shared" si="217"/>
        <v>M</v>
      </c>
      <c r="U3496" t="str">
        <f t="shared" si="218"/>
        <v>MO</v>
      </c>
      <c r="V3496" t="str">
        <f t="shared" si="219"/>
        <v>12376</v>
      </c>
    </row>
    <row r="3497" spans="1:22" x14ac:dyDescent="0.35">
      <c r="A3497" s="3">
        <v>19260</v>
      </c>
      <c r="B3497" t="s">
        <v>18</v>
      </c>
      <c r="C3497" t="s">
        <v>20</v>
      </c>
      <c r="D3497">
        <v>610</v>
      </c>
      <c r="E3497">
        <v>376</v>
      </c>
      <c r="F3497">
        <v>392</v>
      </c>
      <c r="G3497">
        <v>2</v>
      </c>
      <c r="H3497">
        <v>13105</v>
      </c>
      <c r="I3497">
        <v>0</v>
      </c>
      <c r="J3497">
        <v>72</v>
      </c>
      <c r="K3497">
        <v>427</v>
      </c>
      <c r="L3497">
        <v>347</v>
      </c>
      <c r="M3497">
        <v>8</v>
      </c>
      <c r="N3497">
        <f>IFERROR(VLOOKUP(A3497,vlookup_table!$A:$G,2,FALSE),"")</f>
        <v>28</v>
      </c>
      <c r="O3497">
        <f>IFERROR(VLOOKUP(A3497,vlookup_table!$A:$G,4,FALSE),"")</f>
        <v>4401</v>
      </c>
      <c r="P3497" t="str">
        <f>IFERROR(VLOOKUP(A3497,vlookup_table!$A:$G,5,FALSE),"")</f>
        <v>T2</v>
      </c>
      <c r="Q3497" t="str">
        <f>IFERROR(VLOOKUP(A3497,vlookup_table!$A:$G,7,FALSE),"")</f>
        <v>17.5</v>
      </c>
      <c r="R3497">
        <f t="shared" si="216"/>
        <v>53</v>
      </c>
      <c r="S3497" t="str" cm="1">
        <f t="array" ref="S3497">IF(P3497="","",_xlfn.SWITCH(LEFT(P3497,1),"C","Ciudad","T","Pueblo","R","Rural","S","Suburbano","U","Urbano",""))</f>
        <v>Pueblo</v>
      </c>
      <c r="T3497" t="str">
        <f t="shared" si="217"/>
        <v>F</v>
      </c>
      <c r="U3497" t="str">
        <f t="shared" si="218"/>
        <v>NC</v>
      </c>
      <c r="V3497" t="str">
        <f t="shared" si="219"/>
        <v>13105</v>
      </c>
    </row>
    <row r="3498" spans="1:22" x14ac:dyDescent="0.35">
      <c r="A3498" s="3">
        <v>111023</v>
      </c>
      <c r="B3498" t="s">
        <v>32</v>
      </c>
      <c r="C3498" t="s">
        <v>60</v>
      </c>
      <c r="D3498">
        <v>332</v>
      </c>
      <c r="E3498">
        <v>170</v>
      </c>
      <c r="F3498">
        <v>269</v>
      </c>
      <c r="G3498">
        <v>0</v>
      </c>
      <c r="H3498">
        <v>8725</v>
      </c>
      <c r="I3498">
        <v>1</v>
      </c>
      <c r="J3498">
        <v>57</v>
      </c>
      <c r="K3498">
        <v>222</v>
      </c>
      <c r="L3498">
        <v>233</v>
      </c>
      <c r="M3498">
        <v>15</v>
      </c>
      <c r="N3498">
        <f>IFERROR(VLOOKUP(A3498,vlookup_table!$A:$G,2,FALSE),"")</f>
        <v>0</v>
      </c>
      <c r="O3498">
        <f>IFERROR(VLOOKUP(A3498,vlookup_table!$A:$G,4,FALSE),"")</f>
        <v>4401</v>
      </c>
      <c r="P3498" t="str">
        <f>IFERROR(VLOOKUP(A3498,vlookup_table!$A:$G,5,FALSE),"")</f>
        <v>R3</v>
      </c>
      <c r="Q3498">
        <f>IFERROR(VLOOKUP(A3498,vlookup_table!$A:$G,7,FALSE),"")</f>
        <v>20</v>
      </c>
      <c r="R3498">
        <f t="shared" si="216"/>
        <v>53</v>
      </c>
      <c r="S3498" t="str" cm="1">
        <f t="array" ref="S3498">IF(P3498="","",_xlfn.SWITCH(LEFT(P3498,1),"C","Ciudad","T","Pueblo","R","Rural","S","Suburbano","U","Urbano",""))</f>
        <v>Rural</v>
      </c>
      <c r="T3498" t="str">
        <f t="shared" si="217"/>
        <v>F</v>
      </c>
      <c r="U3498" t="str">
        <f t="shared" si="218"/>
        <v>AR</v>
      </c>
      <c r="V3498" t="str">
        <f t="shared" si="219"/>
        <v>8725</v>
      </c>
    </row>
    <row r="3499" spans="1:22" x14ac:dyDescent="0.35">
      <c r="A3499" s="3">
        <v>67961</v>
      </c>
      <c r="B3499" t="s">
        <v>29</v>
      </c>
      <c r="D3499">
        <v>355</v>
      </c>
      <c r="E3499">
        <v>293</v>
      </c>
      <c r="F3499">
        <v>320</v>
      </c>
      <c r="G3499">
        <v>0</v>
      </c>
      <c r="H3499">
        <v>11403</v>
      </c>
      <c r="I3499">
        <v>9</v>
      </c>
      <c r="J3499">
        <v>76</v>
      </c>
      <c r="K3499">
        <v>312</v>
      </c>
      <c r="L3499">
        <v>312</v>
      </c>
      <c r="M3499">
        <v>15</v>
      </c>
      <c r="N3499">
        <f>IFERROR(VLOOKUP(A3499,vlookup_table!$A:$G,2,FALSE),"")</f>
        <v>0</v>
      </c>
      <c r="O3499">
        <f>IFERROR(VLOOKUP(A3499,vlookup_table!$A:$G,4,FALSE),"")</f>
        <v>5208</v>
      </c>
      <c r="P3499" t="str">
        <f>IFERROR(VLOOKUP(A3499,vlookup_table!$A:$G,5,FALSE),"")</f>
        <v>U3</v>
      </c>
      <c r="Q3499">
        <f>IFERROR(VLOOKUP(A3499,vlookup_table!$A:$G,7,FALSE),"")</f>
        <v>21</v>
      </c>
      <c r="R3499">
        <f t="shared" si="216"/>
        <v>45</v>
      </c>
      <c r="S3499" t="str" cm="1">
        <f t="array" ref="S3499">IF(P3499="","",_xlfn.SWITCH(LEFT(P3499,1),"C","Ciudad","T","Pueblo","R","Rural","S","Suburbano","U","Urbano",""))</f>
        <v>Urbano</v>
      </c>
      <c r="T3499" t="str">
        <f t="shared" si="217"/>
        <v/>
      </c>
      <c r="U3499" t="str">
        <f t="shared" si="218"/>
        <v>MI</v>
      </c>
      <c r="V3499" t="str">
        <f t="shared" si="219"/>
        <v>11403</v>
      </c>
    </row>
    <row r="3500" spans="1:22" x14ac:dyDescent="0.35">
      <c r="A3500" s="3">
        <v>92272</v>
      </c>
      <c r="B3500" t="s">
        <v>16</v>
      </c>
      <c r="C3500" t="s">
        <v>14</v>
      </c>
      <c r="D3500">
        <v>549</v>
      </c>
      <c r="E3500">
        <v>292</v>
      </c>
      <c r="F3500">
        <v>352</v>
      </c>
      <c r="G3500">
        <v>1</v>
      </c>
      <c r="H3500">
        <v>11100</v>
      </c>
      <c r="I3500">
        <v>1</v>
      </c>
      <c r="J3500">
        <v>85</v>
      </c>
      <c r="K3500">
        <v>327</v>
      </c>
      <c r="L3500">
        <v>313</v>
      </c>
      <c r="M3500">
        <v>16.428571430000002</v>
      </c>
      <c r="N3500">
        <f>IFERROR(VLOOKUP(A3500,vlookup_table!$A:$G,2,FALSE),"")</f>
        <v>0</v>
      </c>
      <c r="O3500">
        <f>IFERROR(VLOOKUP(A3500,vlookup_table!$A:$G,4,FALSE),"")</f>
        <v>0</v>
      </c>
      <c r="P3500" t="str">
        <f>IFERROR(VLOOKUP(A3500,vlookup_table!$A:$G,5,FALSE),"")</f>
        <v>R2</v>
      </c>
      <c r="Q3500">
        <f>IFERROR(VLOOKUP(A3500,vlookup_table!$A:$G,7,FALSE),"")</f>
        <v>20</v>
      </c>
      <c r="R3500">
        <f t="shared" si="216"/>
        <v>97</v>
      </c>
      <c r="S3500" t="str" cm="1">
        <f t="array" ref="S3500">IF(P3500="","",_xlfn.SWITCH(LEFT(P3500,1),"C","Ciudad","T","Pueblo","R","Rural","S","Suburbano","U","Urbano",""))</f>
        <v>Rural</v>
      </c>
      <c r="T3500" t="str">
        <f t="shared" si="217"/>
        <v>M</v>
      </c>
      <c r="U3500" t="str">
        <f t="shared" si="218"/>
        <v>IL</v>
      </c>
      <c r="V3500" t="str">
        <f t="shared" si="219"/>
        <v>11100</v>
      </c>
    </row>
    <row r="3501" spans="1:22" x14ac:dyDescent="0.35">
      <c r="A3501" s="3">
        <v>157311</v>
      </c>
      <c r="B3501" t="s">
        <v>22</v>
      </c>
      <c r="C3501" t="s">
        <v>14</v>
      </c>
      <c r="D3501">
        <v>5344</v>
      </c>
      <c r="E3501">
        <v>705</v>
      </c>
      <c r="F3501">
        <v>945</v>
      </c>
      <c r="G3501">
        <v>97</v>
      </c>
      <c r="H3501">
        <v>55857</v>
      </c>
      <c r="I3501">
        <v>4</v>
      </c>
      <c r="J3501">
        <v>54</v>
      </c>
      <c r="K3501">
        <v>943</v>
      </c>
      <c r="L3501">
        <v>787</v>
      </c>
      <c r="M3501">
        <v>17.5</v>
      </c>
      <c r="N3501">
        <f>IFERROR(VLOOKUP(A3501,vlookup_table!$A:$G,2,FALSE),"")</f>
        <v>1</v>
      </c>
      <c r="O3501">
        <f>IFERROR(VLOOKUP(A3501,vlookup_table!$A:$G,4,FALSE),"")</f>
        <v>2001</v>
      </c>
      <c r="P3501" t="str">
        <f>IFERROR(VLOOKUP(A3501,vlookup_table!$A:$G,5,FALSE),"")</f>
        <v>U1</v>
      </c>
      <c r="Q3501">
        <f>IFERROR(VLOOKUP(A3501,vlookup_table!$A:$G,7,FALSE),"")</f>
        <v>25</v>
      </c>
      <c r="R3501">
        <f t="shared" si="216"/>
        <v>77</v>
      </c>
      <c r="S3501" t="str" cm="1">
        <f t="array" ref="S3501">IF(P3501="","",_xlfn.SWITCH(LEFT(P3501,1),"C","Ciudad","T","Pueblo","R","Rural","S","Suburbano","U","Urbano",""))</f>
        <v>Urbano</v>
      </c>
      <c r="T3501" t="str">
        <f t="shared" si="217"/>
        <v>M</v>
      </c>
      <c r="U3501" t="str">
        <f t="shared" si="218"/>
        <v>CA</v>
      </c>
      <c r="V3501" t="str">
        <f t="shared" si="219"/>
        <v>55857</v>
      </c>
    </row>
    <row r="3502" spans="1:22" x14ac:dyDescent="0.35">
      <c r="A3502" s="3">
        <v>190616</v>
      </c>
      <c r="B3502" t="s">
        <v>35</v>
      </c>
      <c r="C3502" t="s">
        <v>51</v>
      </c>
      <c r="D3502">
        <v>483</v>
      </c>
      <c r="E3502">
        <v>241</v>
      </c>
      <c r="F3502">
        <v>330</v>
      </c>
      <c r="G3502">
        <v>1</v>
      </c>
      <c r="H3502">
        <v>11527</v>
      </c>
      <c r="I3502">
        <v>1</v>
      </c>
      <c r="J3502">
        <v>76</v>
      </c>
      <c r="K3502">
        <v>281</v>
      </c>
      <c r="L3502">
        <v>286</v>
      </c>
      <c r="M3502">
        <v>7.5</v>
      </c>
      <c r="N3502">
        <f>IFERROR(VLOOKUP(A3502,vlookup_table!$A:$G,2,FALSE),"")</f>
        <v>1</v>
      </c>
      <c r="O3502">
        <f>IFERROR(VLOOKUP(A3502,vlookup_table!$A:$G,4,FALSE),"")</f>
        <v>0</v>
      </c>
      <c r="P3502" t="str">
        <f>IFERROR(VLOOKUP(A3502,vlookup_table!$A:$G,5,FALSE),"")</f>
        <v>R2</v>
      </c>
      <c r="Q3502">
        <f>IFERROR(VLOOKUP(A3502,vlookup_table!$A:$G,7,FALSE),"")</f>
        <v>5</v>
      </c>
      <c r="R3502">
        <f t="shared" si="216"/>
        <v>97</v>
      </c>
      <c r="S3502" t="str" cm="1">
        <f t="array" ref="S3502">IF(P3502="","",_xlfn.SWITCH(LEFT(P3502,1),"C","Ciudad","T","Pueblo","R","Rural","S","Suburbano","U","Urbano",""))</f>
        <v>Rural</v>
      </c>
      <c r="T3502" t="str">
        <f t="shared" si="217"/>
        <v>M</v>
      </c>
      <c r="U3502" t="str">
        <f t="shared" si="218"/>
        <v>WI</v>
      </c>
      <c r="V3502" t="str">
        <f t="shared" si="219"/>
        <v>11527</v>
      </c>
    </row>
    <row r="3503" spans="1:22" x14ac:dyDescent="0.35">
      <c r="A3503" s="3">
        <v>121153</v>
      </c>
      <c r="B3503" t="s">
        <v>21</v>
      </c>
      <c r="C3503" t="s">
        <v>14</v>
      </c>
      <c r="D3503">
        <v>1438</v>
      </c>
      <c r="E3503">
        <v>366</v>
      </c>
      <c r="F3503">
        <v>622</v>
      </c>
      <c r="G3503">
        <v>15</v>
      </c>
      <c r="H3503">
        <v>21758</v>
      </c>
      <c r="I3503">
        <v>7</v>
      </c>
      <c r="J3503">
        <v>41</v>
      </c>
      <c r="K3503">
        <v>570</v>
      </c>
      <c r="L3503">
        <v>534</v>
      </c>
      <c r="M3503">
        <v>12.57142857</v>
      </c>
      <c r="N3503">
        <f>IFERROR(VLOOKUP(A3503,vlookup_table!$A:$G,2,FALSE),"")</f>
        <v>2</v>
      </c>
      <c r="O3503">
        <f>IFERROR(VLOOKUP(A3503,vlookup_table!$A:$G,4,FALSE),"")</f>
        <v>3901</v>
      </c>
      <c r="P3503" t="str">
        <f>IFERROR(VLOOKUP(A3503,vlookup_table!$A:$G,5,FALSE),"")</f>
        <v>U1</v>
      </c>
      <c r="Q3503">
        <f>IFERROR(VLOOKUP(A3503,vlookup_table!$A:$G,7,FALSE),"")</f>
        <v>25</v>
      </c>
      <c r="R3503">
        <f t="shared" si="216"/>
        <v>58</v>
      </c>
      <c r="S3503" t="str" cm="1">
        <f t="array" ref="S3503">IF(P3503="","",_xlfn.SWITCH(LEFT(P3503,1),"C","Ciudad","T","Pueblo","R","Rural","S","Suburbano","U","Urbano",""))</f>
        <v>Urbano</v>
      </c>
      <c r="T3503" t="str">
        <f t="shared" si="217"/>
        <v>M</v>
      </c>
      <c r="U3503" t="str">
        <f t="shared" si="218"/>
        <v>TX</v>
      </c>
      <c r="V3503" t="str">
        <f t="shared" si="219"/>
        <v>21758</v>
      </c>
    </row>
    <row r="3504" spans="1:22" x14ac:dyDescent="0.35">
      <c r="A3504" s="3">
        <v>91431</v>
      </c>
      <c r="B3504" t="s">
        <v>16</v>
      </c>
      <c r="C3504" t="s">
        <v>17</v>
      </c>
      <c r="D3504">
        <v>1191</v>
      </c>
      <c r="E3504">
        <v>357</v>
      </c>
      <c r="F3504">
        <v>466</v>
      </c>
      <c r="G3504">
        <v>8</v>
      </c>
      <c r="H3504">
        <v>14436</v>
      </c>
      <c r="I3504">
        <v>2</v>
      </c>
      <c r="J3504">
        <v>92</v>
      </c>
      <c r="K3504">
        <v>362</v>
      </c>
      <c r="L3504">
        <v>455</v>
      </c>
      <c r="M3504">
        <v>25</v>
      </c>
      <c r="N3504">
        <f>IFERROR(VLOOKUP(A3504,vlookup_table!$A:$G,2,FALSE),"")</f>
        <v>2</v>
      </c>
      <c r="O3504">
        <f>IFERROR(VLOOKUP(A3504,vlookup_table!$A:$G,4,FALSE),"")</f>
        <v>2901</v>
      </c>
      <c r="P3504" t="str">
        <f>IFERROR(VLOOKUP(A3504,vlookup_table!$A:$G,5,FALSE),"")</f>
        <v>R2</v>
      </c>
      <c r="Q3504">
        <f>IFERROR(VLOOKUP(A3504,vlookup_table!$A:$G,7,FALSE),"")</f>
        <v>50</v>
      </c>
      <c r="R3504">
        <f t="shared" si="216"/>
        <v>68</v>
      </c>
      <c r="S3504" t="str" cm="1">
        <f t="array" ref="S3504">IF(P3504="","",_xlfn.SWITCH(LEFT(P3504,1),"C","Ciudad","T","Pueblo","R","Rural","S","Suburbano","U","Urbano",""))</f>
        <v>Rural</v>
      </c>
      <c r="T3504" t="str">
        <f t="shared" si="217"/>
        <v>F</v>
      </c>
      <c r="U3504" t="str">
        <f t="shared" si="218"/>
        <v>IL</v>
      </c>
      <c r="V3504" t="str">
        <f t="shared" si="219"/>
        <v>14436</v>
      </c>
    </row>
    <row r="3505" spans="1:22" x14ac:dyDescent="0.35">
      <c r="A3505" s="3">
        <v>4917</v>
      </c>
      <c r="B3505" t="s">
        <v>49</v>
      </c>
      <c r="C3505" t="s">
        <v>17</v>
      </c>
      <c r="D3505">
        <v>801</v>
      </c>
      <c r="E3505">
        <v>425</v>
      </c>
      <c r="F3505">
        <v>498</v>
      </c>
      <c r="G3505">
        <v>1</v>
      </c>
      <c r="H3505">
        <v>18631</v>
      </c>
      <c r="I3505">
        <v>2</v>
      </c>
      <c r="J3505">
        <v>78</v>
      </c>
      <c r="K3505">
        <v>441</v>
      </c>
      <c r="L3505">
        <v>469</v>
      </c>
      <c r="M3505">
        <v>9.7894736840000007</v>
      </c>
      <c r="N3505">
        <f>IFERROR(VLOOKUP(A3505,vlookup_table!$A:$G,2,FALSE),"")</f>
        <v>2</v>
      </c>
      <c r="O3505">
        <f>IFERROR(VLOOKUP(A3505,vlookup_table!$A:$G,4,FALSE),"")</f>
        <v>3901</v>
      </c>
      <c r="P3505" t="str">
        <f>IFERROR(VLOOKUP(A3505,vlookup_table!$A:$G,5,FALSE),"")</f>
        <v>S1</v>
      </c>
      <c r="Q3505">
        <f>IFERROR(VLOOKUP(A3505,vlookup_table!$A:$G,7,FALSE),"")</f>
        <v>15</v>
      </c>
      <c r="R3505">
        <f t="shared" si="216"/>
        <v>58</v>
      </c>
      <c r="S3505" t="str" cm="1">
        <f t="array" ref="S3505">IF(P3505="","",_xlfn.SWITCH(LEFT(P3505,1),"C","Ciudad","T","Pueblo","R","Rural","S","Suburbano","U","Urbano",""))</f>
        <v>Suburbano</v>
      </c>
      <c r="T3505" t="str">
        <f t="shared" si="217"/>
        <v>F</v>
      </c>
      <c r="U3505" t="str">
        <f t="shared" si="218"/>
        <v>LA</v>
      </c>
      <c r="V3505" t="str">
        <f t="shared" si="219"/>
        <v>18631</v>
      </c>
    </row>
    <row r="3506" spans="1:22" x14ac:dyDescent="0.35">
      <c r="A3506" s="3">
        <v>63436</v>
      </c>
      <c r="B3506" t="s">
        <v>33</v>
      </c>
      <c r="C3506" t="s">
        <v>17</v>
      </c>
      <c r="D3506">
        <v>333</v>
      </c>
      <c r="E3506">
        <v>224</v>
      </c>
      <c r="F3506">
        <v>322</v>
      </c>
      <c r="G3506">
        <v>0</v>
      </c>
      <c r="H3506">
        <v>11513</v>
      </c>
      <c r="I3506">
        <v>0</v>
      </c>
      <c r="J3506">
        <v>73</v>
      </c>
      <c r="K3506">
        <v>273</v>
      </c>
      <c r="L3506">
        <v>281</v>
      </c>
      <c r="M3506">
        <v>11.66666667</v>
      </c>
      <c r="N3506">
        <f>IFERROR(VLOOKUP(A3506,vlookup_table!$A:$G,2,FALSE),"")</f>
        <v>0</v>
      </c>
      <c r="O3506">
        <f>IFERROR(VLOOKUP(A3506,vlookup_table!$A:$G,4,FALSE),"")</f>
        <v>2912</v>
      </c>
      <c r="P3506" t="str">
        <f>IFERROR(VLOOKUP(A3506,vlookup_table!$A:$G,5,FALSE),"")</f>
        <v>T2</v>
      </c>
      <c r="Q3506">
        <f>IFERROR(VLOOKUP(A3506,vlookup_table!$A:$G,7,FALSE),"")</f>
        <v>51</v>
      </c>
      <c r="R3506">
        <f t="shared" si="216"/>
        <v>68</v>
      </c>
      <c r="S3506" t="str" cm="1">
        <f t="array" ref="S3506">IF(P3506="","",_xlfn.SWITCH(LEFT(P3506,1),"C","Ciudad","T","Pueblo","R","Rural","S","Suburbano","U","Urbano",""))</f>
        <v>Pueblo</v>
      </c>
      <c r="T3506" t="str">
        <f t="shared" si="217"/>
        <v>F</v>
      </c>
      <c r="U3506" t="str">
        <f t="shared" si="218"/>
        <v>IN</v>
      </c>
      <c r="V3506" t="str">
        <f t="shared" si="219"/>
        <v>11513</v>
      </c>
    </row>
    <row r="3507" spans="1:22" x14ac:dyDescent="0.35">
      <c r="A3507" s="3">
        <v>20853</v>
      </c>
      <c r="B3507" t="s">
        <v>18</v>
      </c>
      <c r="C3507" t="s">
        <v>20</v>
      </c>
      <c r="D3507">
        <v>1521</v>
      </c>
      <c r="E3507">
        <v>405</v>
      </c>
      <c r="F3507">
        <v>508</v>
      </c>
      <c r="G3507">
        <v>22</v>
      </c>
      <c r="H3507">
        <v>21761</v>
      </c>
      <c r="I3507">
        <v>5</v>
      </c>
      <c r="J3507">
        <v>27</v>
      </c>
      <c r="K3507">
        <v>419</v>
      </c>
      <c r="L3507">
        <v>464</v>
      </c>
      <c r="M3507">
        <v>6.875</v>
      </c>
      <c r="N3507">
        <f>IFERROR(VLOOKUP(A3507,vlookup_table!$A:$G,2,FALSE),"")</f>
        <v>0</v>
      </c>
      <c r="O3507">
        <f>IFERROR(VLOOKUP(A3507,vlookup_table!$A:$G,4,FALSE),"")</f>
        <v>0</v>
      </c>
      <c r="P3507" t="str">
        <f>IFERROR(VLOOKUP(A3507,vlookup_table!$A:$G,5,FALSE),"")</f>
        <v>C1</v>
      </c>
      <c r="Q3507">
        <f>IFERROR(VLOOKUP(A3507,vlookup_table!$A:$G,7,FALSE),"")</f>
        <v>10</v>
      </c>
      <c r="R3507">
        <f t="shared" si="216"/>
        <v>97</v>
      </c>
      <c r="S3507" t="str" cm="1">
        <f t="array" ref="S3507">IF(P3507="","",_xlfn.SWITCH(LEFT(P3507,1),"C","Ciudad","T","Pueblo","R","Rural","S","Suburbano","U","Urbano",""))</f>
        <v>Ciudad</v>
      </c>
      <c r="T3507" t="str">
        <f t="shared" si="217"/>
        <v>F</v>
      </c>
      <c r="U3507" t="str">
        <f t="shared" si="218"/>
        <v>NC</v>
      </c>
      <c r="V3507" t="str">
        <f t="shared" si="219"/>
        <v>21761</v>
      </c>
    </row>
    <row r="3508" spans="1:22" x14ac:dyDescent="0.35">
      <c r="A3508" s="3">
        <v>44351</v>
      </c>
      <c r="B3508" t="s">
        <v>13</v>
      </c>
      <c r="C3508" t="s">
        <v>14</v>
      </c>
      <c r="D3508">
        <v>948</v>
      </c>
      <c r="E3508">
        <v>330</v>
      </c>
      <c r="F3508">
        <v>411</v>
      </c>
      <c r="G3508">
        <v>4</v>
      </c>
      <c r="H3508">
        <v>17728</v>
      </c>
      <c r="I3508">
        <v>6</v>
      </c>
      <c r="J3508">
        <v>8</v>
      </c>
      <c r="K3508">
        <v>365</v>
      </c>
      <c r="L3508">
        <v>368</v>
      </c>
      <c r="M3508">
        <v>9.4</v>
      </c>
      <c r="N3508">
        <f>IFERROR(VLOOKUP(A3508,vlookup_table!$A:$G,2,FALSE),"")</f>
        <v>1</v>
      </c>
      <c r="O3508">
        <f>IFERROR(VLOOKUP(A3508,vlookup_table!$A:$G,4,FALSE),"")</f>
        <v>1801</v>
      </c>
      <c r="P3508" t="str">
        <f>IFERROR(VLOOKUP(A3508,vlookup_table!$A:$G,5,FALSE),"")</f>
        <v>C2</v>
      </c>
      <c r="Q3508">
        <f>IFERROR(VLOOKUP(A3508,vlookup_table!$A:$G,7,FALSE),"")</f>
        <v>35</v>
      </c>
      <c r="R3508">
        <f t="shared" si="216"/>
        <v>79</v>
      </c>
      <c r="S3508" t="str" cm="1">
        <f t="array" ref="S3508">IF(P3508="","",_xlfn.SWITCH(LEFT(P3508,1),"C","Ciudad","T","Pueblo","R","Rural","S","Suburbano","U","Urbano",""))</f>
        <v>Ciudad</v>
      </c>
      <c r="T3508" t="str">
        <f t="shared" si="217"/>
        <v>M</v>
      </c>
      <c r="U3508" t="str">
        <f t="shared" si="218"/>
        <v>FL</v>
      </c>
      <c r="V3508" t="str">
        <f t="shared" si="219"/>
        <v>17728</v>
      </c>
    </row>
    <row r="3509" spans="1:22" x14ac:dyDescent="0.35">
      <c r="A3509" s="3">
        <v>130530</v>
      </c>
      <c r="B3509" t="s">
        <v>48</v>
      </c>
      <c r="C3509" t="s">
        <v>17</v>
      </c>
      <c r="D3509">
        <v>698</v>
      </c>
      <c r="E3509">
        <v>377</v>
      </c>
      <c r="F3509">
        <v>407</v>
      </c>
      <c r="G3509">
        <v>0</v>
      </c>
      <c r="H3509">
        <v>13327</v>
      </c>
      <c r="I3509">
        <v>1</v>
      </c>
      <c r="J3509">
        <v>49</v>
      </c>
      <c r="K3509">
        <v>395</v>
      </c>
      <c r="L3509">
        <v>382</v>
      </c>
      <c r="M3509">
        <v>20</v>
      </c>
      <c r="N3509">
        <f>IFERROR(VLOOKUP(A3509,vlookup_table!$A:$G,2,FALSE),"")</f>
        <v>2</v>
      </c>
      <c r="O3509">
        <f>IFERROR(VLOOKUP(A3509,vlookup_table!$A:$G,4,FALSE),"")</f>
        <v>4001</v>
      </c>
      <c r="P3509" t="str">
        <f>IFERROR(VLOOKUP(A3509,vlookup_table!$A:$G,5,FALSE),"")</f>
        <v>S2</v>
      </c>
      <c r="Q3509">
        <f>IFERROR(VLOOKUP(A3509,vlookup_table!$A:$G,7,FALSE),"")</f>
        <v>20</v>
      </c>
      <c r="R3509">
        <f t="shared" si="216"/>
        <v>57</v>
      </c>
      <c r="S3509" t="str" cm="1">
        <f t="array" ref="S3509">IF(P3509="","",_xlfn.SWITCH(LEFT(P3509,1),"C","Ciudad","T","Pueblo","R","Rural","S","Suburbano","U","Urbano",""))</f>
        <v>Suburbano</v>
      </c>
      <c r="T3509" t="str">
        <f t="shared" si="217"/>
        <v>F</v>
      </c>
      <c r="U3509" t="str">
        <f t="shared" si="218"/>
        <v>CO</v>
      </c>
      <c r="V3509" t="str">
        <f t="shared" si="219"/>
        <v>13327</v>
      </c>
    </row>
    <row r="3510" spans="1:22" x14ac:dyDescent="0.35">
      <c r="A3510" s="3">
        <v>181550</v>
      </c>
      <c r="B3510" t="s">
        <v>40</v>
      </c>
      <c r="C3510" t="s">
        <v>17</v>
      </c>
      <c r="D3510">
        <v>735</v>
      </c>
      <c r="E3510">
        <v>192</v>
      </c>
      <c r="F3510">
        <v>300</v>
      </c>
      <c r="G3510">
        <v>0</v>
      </c>
      <c r="H3510">
        <v>10690</v>
      </c>
      <c r="I3510">
        <v>2</v>
      </c>
      <c r="J3510">
        <v>39</v>
      </c>
      <c r="K3510">
        <v>235</v>
      </c>
      <c r="L3510">
        <v>256</v>
      </c>
      <c r="M3510">
        <v>13.28571429</v>
      </c>
      <c r="N3510">
        <f>IFERROR(VLOOKUP(A3510,vlookup_table!$A:$G,2,FALSE),"")</f>
        <v>0</v>
      </c>
      <c r="O3510">
        <f>IFERROR(VLOOKUP(A3510,vlookup_table!$A:$G,4,FALSE),"")</f>
        <v>4803</v>
      </c>
      <c r="P3510" t="str">
        <f>IFERROR(VLOOKUP(A3510,vlookup_table!$A:$G,5,FALSE),"")</f>
        <v>C3</v>
      </c>
      <c r="Q3510">
        <f>IFERROR(VLOOKUP(A3510,vlookup_table!$A:$G,7,FALSE),"")</f>
        <v>20</v>
      </c>
      <c r="R3510">
        <f t="shared" si="216"/>
        <v>49</v>
      </c>
      <c r="S3510" t="str" cm="1">
        <f t="array" ref="S3510">IF(P3510="","",_xlfn.SWITCH(LEFT(P3510,1),"C","Ciudad","T","Pueblo","R","Rural","S","Suburbano","U","Urbano",""))</f>
        <v>Ciudad</v>
      </c>
      <c r="T3510" t="str">
        <f t="shared" si="217"/>
        <v>F</v>
      </c>
      <c r="U3510" t="str">
        <f t="shared" si="218"/>
        <v>WA</v>
      </c>
      <c r="V3510" t="str">
        <f t="shared" si="219"/>
        <v>10690</v>
      </c>
    </row>
    <row r="3511" spans="1:22" x14ac:dyDescent="0.35">
      <c r="A3511" s="3">
        <v>108158</v>
      </c>
      <c r="B3511" t="s">
        <v>49</v>
      </c>
      <c r="C3511" t="s">
        <v>17</v>
      </c>
      <c r="D3511">
        <v>565</v>
      </c>
      <c r="E3511">
        <v>284</v>
      </c>
      <c r="F3511">
        <v>309</v>
      </c>
      <c r="G3511">
        <v>0</v>
      </c>
      <c r="H3511">
        <v>8302</v>
      </c>
      <c r="I3511">
        <v>7</v>
      </c>
      <c r="J3511">
        <v>76</v>
      </c>
      <c r="K3511">
        <v>297</v>
      </c>
      <c r="L3511">
        <v>304</v>
      </c>
      <c r="M3511">
        <v>3.95</v>
      </c>
      <c r="N3511">
        <f>IFERROR(VLOOKUP(A3511,vlookup_table!$A:$G,2,FALSE),"")</f>
        <v>0</v>
      </c>
      <c r="O3511">
        <f>IFERROR(VLOOKUP(A3511,vlookup_table!$A:$G,4,FALSE),"")</f>
        <v>3410</v>
      </c>
      <c r="P3511" t="str">
        <f>IFERROR(VLOOKUP(A3511,vlookup_table!$A:$G,5,FALSE),"")</f>
        <v>S2</v>
      </c>
      <c r="Q3511">
        <f>IFERROR(VLOOKUP(A3511,vlookup_table!$A:$G,7,FALSE),"")</f>
        <v>5</v>
      </c>
      <c r="R3511">
        <f t="shared" si="216"/>
        <v>63</v>
      </c>
      <c r="S3511" t="str" cm="1">
        <f t="array" ref="S3511">IF(P3511="","",_xlfn.SWITCH(LEFT(P3511,1),"C","Ciudad","T","Pueblo","R","Rural","S","Suburbano","U","Urbano",""))</f>
        <v>Suburbano</v>
      </c>
      <c r="T3511" t="str">
        <f t="shared" si="217"/>
        <v>F</v>
      </c>
      <c r="U3511" t="str">
        <f t="shared" si="218"/>
        <v>LA</v>
      </c>
      <c r="V3511" t="str">
        <f t="shared" si="219"/>
        <v>8302</v>
      </c>
    </row>
    <row r="3512" spans="1:22" x14ac:dyDescent="0.35">
      <c r="A3512" s="3">
        <v>149164</v>
      </c>
      <c r="B3512" t="s">
        <v>22</v>
      </c>
      <c r="C3512" t="s">
        <v>14</v>
      </c>
      <c r="D3512">
        <v>3385</v>
      </c>
      <c r="E3512">
        <v>608</v>
      </c>
      <c r="F3512">
        <v>784</v>
      </c>
      <c r="G3512">
        <v>93</v>
      </c>
      <c r="H3512">
        <v>35534</v>
      </c>
      <c r="I3512">
        <v>13</v>
      </c>
      <c r="J3512">
        <v>42</v>
      </c>
      <c r="K3512">
        <v>731</v>
      </c>
      <c r="L3512">
        <v>705</v>
      </c>
      <c r="M3512">
        <v>14.2</v>
      </c>
      <c r="N3512">
        <f>IFERROR(VLOOKUP(A3512,vlookup_table!$A:$G,2,FALSE),"")</f>
        <v>4</v>
      </c>
      <c r="O3512">
        <f>IFERROR(VLOOKUP(A3512,vlookup_table!$A:$G,4,FALSE),"")</f>
        <v>0</v>
      </c>
      <c r="P3512" t="str">
        <f>IFERROR(VLOOKUP(A3512,vlookup_table!$A:$G,5,FALSE),"")</f>
        <v>S1</v>
      </c>
      <c r="Q3512">
        <f>IFERROR(VLOOKUP(A3512,vlookup_table!$A:$G,7,FALSE),"")</f>
        <v>25</v>
      </c>
      <c r="R3512">
        <f t="shared" si="216"/>
        <v>97</v>
      </c>
      <c r="S3512" t="str" cm="1">
        <f t="array" ref="S3512">IF(P3512="","",_xlfn.SWITCH(LEFT(P3512,1),"C","Ciudad","T","Pueblo","R","Rural","S","Suburbano","U","Urbano",""))</f>
        <v>Suburbano</v>
      </c>
      <c r="T3512" t="str">
        <f t="shared" si="217"/>
        <v>M</v>
      </c>
      <c r="U3512" t="str">
        <f t="shared" si="218"/>
        <v>CA</v>
      </c>
      <c r="V3512" t="str">
        <f t="shared" si="219"/>
        <v>35534</v>
      </c>
    </row>
    <row r="3513" spans="1:22" x14ac:dyDescent="0.35">
      <c r="A3513" s="3">
        <v>186358</v>
      </c>
      <c r="B3513" t="s">
        <v>57</v>
      </c>
      <c r="C3513" t="s">
        <v>30</v>
      </c>
      <c r="D3513">
        <v>448</v>
      </c>
      <c r="E3513">
        <v>139</v>
      </c>
      <c r="F3513">
        <v>330</v>
      </c>
      <c r="G3513">
        <v>0</v>
      </c>
      <c r="H3513">
        <v>10164</v>
      </c>
      <c r="I3513">
        <v>1</v>
      </c>
      <c r="J3513">
        <v>43</v>
      </c>
      <c r="K3513">
        <v>303</v>
      </c>
      <c r="L3513">
        <v>197</v>
      </c>
      <c r="M3513">
        <v>5.1428571429999996</v>
      </c>
      <c r="N3513">
        <f>IFERROR(VLOOKUP(A3513,vlookup_table!$A:$G,2,FALSE),"")</f>
        <v>28</v>
      </c>
      <c r="O3513">
        <f>IFERROR(VLOOKUP(A3513,vlookup_table!$A:$G,4,FALSE),"")</f>
        <v>0</v>
      </c>
      <c r="P3513" t="str">
        <f>IFERROR(VLOOKUP(A3513,vlookup_table!$A:$G,5,FALSE),"")</f>
        <v>C2</v>
      </c>
      <c r="Q3513">
        <f>IFERROR(VLOOKUP(A3513,vlookup_table!$A:$G,7,FALSE),"")</f>
        <v>5</v>
      </c>
      <c r="R3513">
        <f t="shared" si="216"/>
        <v>97</v>
      </c>
      <c r="S3513" t="str" cm="1">
        <f t="array" ref="S3513">IF(P3513="","",_xlfn.SWITCH(LEFT(P3513,1),"C","Ciudad","T","Pueblo","R","Rural","S","Suburbano","U","Urbano",""))</f>
        <v>Ciudad</v>
      </c>
      <c r="T3513" t="str">
        <f t="shared" si="217"/>
        <v>U</v>
      </c>
      <c r="U3513" t="str">
        <f t="shared" si="218"/>
        <v>KY</v>
      </c>
      <c r="V3513" t="str">
        <f t="shared" si="219"/>
        <v>10164</v>
      </c>
    </row>
    <row r="3514" spans="1:22" x14ac:dyDescent="0.35">
      <c r="A3514" s="3">
        <v>136629</v>
      </c>
      <c r="B3514" t="s">
        <v>55</v>
      </c>
      <c r="C3514" t="s">
        <v>14</v>
      </c>
      <c r="D3514">
        <v>1137</v>
      </c>
      <c r="E3514">
        <v>451</v>
      </c>
      <c r="F3514">
        <v>564</v>
      </c>
      <c r="G3514">
        <v>4</v>
      </c>
      <c r="H3514">
        <v>25510</v>
      </c>
      <c r="I3514">
        <v>5</v>
      </c>
      <c r="J3514">
        <v>8</v>
      </c>
      <c r="K3514">
        <v>490</v>
      </c>
      <c r="L3514">
        <v>503</v>
      </c>
      <c r="M3514">
        <v>20</v>
      </c>
      <c r="N3514">
        <f>IFERROR(VLOOKUP(A3514,vlookup_table!$A:$G,2,FALSE),"")</f>
        <v>1</v>
      </c>
      <c r="O3514">
        <f>IFERROR(VLOOKUP(A3514,vlookup_table!$A:$G,4,FALSE),"")</f>
        <v>0</v>
      </c>
      <c r="P3514" t="str">
        <f>IFERROR(VLOOKUP(A3514,vlookup_table!$A:$G,5,FALSE),"")</f>
        <v>T1</v>
      </c>
      <c r="Q3514">
        <f>IFERROR(VLOOKUP(A3514,vlookup_table!$A:$G,7,FALSE),"")</f>
        <v>10</v>
      </c>
      <c r="R3514">
        <f t="shared" si="216"/>
        <v>97</v>
      </c>
      <c r="S3514" t="str" cm="1">
        <f t="array" ref="S3514">IF(P3514="","",_xlfn.SWITCH(LEFT(P3514,1),"C","Ciudad","T","Pueblo","R","Rural","S","Suburbano","U","Urbano",""))</f>
        <v>Pueblo</v>
      </c>
      <c r="T3514" t="str">
        <f t="shared" si="217"/>
        <v>M</v>
      </c>
      <c r="U3514" t="str">
        <f t="shared" si="218"/>
        <v>AZ</v>
      </c>
      <c r="V3514" t="str">
        <f t="shared" si="219"/>
        <v>25510</v>
      </c>
    </row>
    <row r="3515" spans="1:22" x14ac:dyDescent="0.35">
      <c r="A3515" s="3">
        <v>12330</v>
      </c>
      <c r="B3515" t="s">
        <v>16</v>
      </c>
      <c r="C3515" t="s">
        <v>14</v>
      </c>
      <c r="D3515">
        <v>1326</v>
      </c>
      <c r="E3515">
        <v>550</v>
      </c>
      <c r="F3515">
        <v>644</v>
      </c>
      <c r="G3515">
        <v>27</v>
      </c>
      <c r="H3515">
        <v>17543</v>
      </c>
      <c r="I3515">
        <v>6</v>
      </c>
      <c r="J3515">
        <v>87</v>
      </c>
      <c r="K3515">
        <v>503</v>
      </c>
      <c r="L3515">
        <v>675</v>
      </c>
      <c r="M3515">
        <v>41.833333330000002</v>
      </c>
      <c r="N3515">
        <f>IFERROR(VLOOKUP(A3515,vlookup_table!$A:$G,2,FALSE),"")</f>
        <v>1</v>
      </c>
      <c r="O3515">
        <f>IFERROR(VLOOKUP(A3515,vlookup_table!$A:$G,4,FALSE),"")</f>
        <v>0</v>
      </c>
      <c r="P3515">
        <f>IFERROR(VLOOKUP(A3515,vlookup_table!$A:$G,5,FALSE),"")</f>
        <v>0</v>
      </c>
      <c r="Q3515">
        <f>IFERROR(VLOOKUP(A3515,vlookup_table!$A:$G,7,FALSE),"")</f>
        <v>100</v>
      </c>
      <c r="R3515">
        <f t="shared" si="216"/>
        <v>97</v>
      </c>
      <c r="S3515" t="str" cm="1">
        <f t="array" ref="S3515">IF(P3515="","",_xlfn.SWITCH(LEFT(P3515,1),"C","Ciudad","T","Pueblo","R","Rural","S","Suburbano","U","Urbano",""))</f>
        <v/>
      </c>
      <c r="T3515" t="str">
        <f t="shared" si="217"/>
        <v>M</v>
      </c>
      <c r="U3515" t="str">
        <f t="shared" si="218"/>
        <v>IL</v>
      </c>
      <c r="V3515" t="str">
        <f t="shared" si="219"/>
        <v>17543</v>
      </c>
    </row>
    <row r="3516" spans="1:22" x14ac:dyDescent="0.35">
      <c r="A3516" s="3">
        <v>98941</v>
      </c>
      <c r="B3516" t="s">
        <v>16</v>
      </c>
      <c r="C3516" t="s">
        <v>17</v>
      </c>
      <c r="D3516">
        <v>423</v>
      </c>
      <c r="E3516">
        <v>213</v>
      </c>
      <c r="F3516">
        <v>330</v>
      </c>
      <c r="G3516">
        <v>1</v>
      </c>
      <c r="H3516">
        <v>11676</v>
      </c>
      <c r="I3516">
        <v>1</v>
      </c>
      <c r="J3516">
        <v>79</v>
      </c>
      <c r="K3516">
        <v>280</v>
      </c>
      <c r="L3516">
        <v>276</v>
      </c>
      <c r="M3516">
        <v>8.1666666669999994</v>
      </c>
      <c r="N3516">
        <f>IFERROR(VLOOKUP(A3516,vlookup_table!$A:$G,2,FALSE),"")</f>
        <v>0</v>
      </c>
      <c r="O3516">
        <f>IFERROR(VLOOKUP(A3516,vlookup_table!$A:$G,4,FALSE),"")</f>
        <v>4701</v>
      </c>
      <c r="P3516" t="str">
        <f>IFERROR(VLOOKUP(A3516,vlookup_table!$A:$G,5,FALSE),"")</f>
        <v>T2</v>
      </c>
      <c r="Q3516">
        <f>IFERROR(VLOOKUP(A3516,vlookup_table!$A:$G,7,FALSE),"")</f>
        <v>9</v>
      </c>
      <c r="R3516">
        <f t="shared" si="216"/>
        <v>50</v>
      </c>
      <c r="S3516" t="str" cm="1">
        <f t="array" ref="S3516">IF(P3516="","",_xlfn.SWITCH(LEFT(P3516,1),"C","Ciudad","T","Pueblo","R","Rural","S","Suburbano","U","Urbano",""))</f>
        <v>Pueblo</v>
      </c>
      <c r="T3516" t="str">
        <f t="shared" si="217"/>
        <v>F</v>
      </c>
      <c r="U3516" t="str">
        <f t="shared" si="218"/>
        <v>IL</v>
      </c>
      <c r="V3516" t="str">
        <f t="shared" si="219"/>
        <v>11676</v>
      </c>
    </row>
    <row r="3517" spans="1:22" x14ac:dyDescent="0.35">
      <c r="A3517" s="3">
        <v>172597</v>
      </c>
      <c r="B3517" t="s">
        <v>22</v>
      </c>
      <c r="C3517" t="s">
        <v>17</v>
      </c>
      <c r="D3517">
        <v>1431</v>
      </c>
      <c r="E3517">
        <v>243</v>
      </c>
      <c r="F3517">
        <v>331</v>
      </c>
      <c r="G3517">
        <v>27</v>
      </c>
      <c r="H3517">
        <v>12639</v>
      </c>
      <c r="I3517">
        <v>2</v>
      </c>
      <c r="J3517">
        <v>69</v>
      </c>
      <c r="K3517">
        <v>289</v>
      </c>
      <c r="L3517">
        <v>289</v>
      </c>
      <c r="M3517">
        <v>7.153846154</v>
      </c>
      <c r="N3517">
        <f>IFERROR(VLOOKUP(A3517,vlookup_table!$A:$G,2,FALSE),"")</f>
        <v>2</v>
      </c>
      <c r="O3517">
        <f>IFERROR(VLOOKUP(A3517,vlookup_table!$A:$G,4,FALSE),"")</f>
        <v>2601</v>
      </c>
      <c r="P3517" t="str">
        <f>IFERROR(VLOOKUP(A3517,vlookup_table!$A:$G,5,FALSE),"")</f>
        <v>T1</v>
      </c>
      <c r="Q3517">
        <f>IFERROR(VLOOKUP(A3517,vlookup_table!$A:$G,7,FALSE),"")</f>
        <v>3</v>
      </c>
      <c r="R3517">
        <f t="shared" si="216"/>
        <v>71</v>
      </c>
      <c r="S3517" t="str" cm="1">
        <f t="array" ref="S3517">IF(P3517="","",_xlfn.SWITCH(LEFT(P3517,1),"C","Ciudad","T","Pueblo","R","Rural","S","Suburbano","U","Urbano",""))</f>
        <v>Pueblo</v>
      </c>
      <c r="T3517" t="str">
        <f t="shared" si="217"/>
        <v>F</v>
      </c>
      <c r="U3517" t="str">
        <f t="shared" si="218"/>
        <v>CA</v>
      </c>
      <c r="V3517" t="str">
        <f t="shared" si="219"/>
        <v>12639</v>
      </c>
    </row>
    <row r="3518" spans="1:22" x14ac:dyDescent="0.35">
      <c r="A3518" s="3">
        <v>147956</v>
      </c>
      <c r="B3518" t="s">
        <v>22</v>
      </c>
      <c r="C3518" t="s">
        <v>17</v>
      </c>
      <c r="D3518">
        <v>2481</v>
      </c>
      <c r="E3518">
        <v>226</v>
      </c>
      <c r="F3518">
        <v>283</v>
      </c>
      <c r="G3518">
        <v>71</v>
      </c>
      <c r="H3518">
        <v>8369</v>
      </c>
      <c r="I3518">
        <v>59</v>
      </c>
      <c r="J3518">
        <v>28</v>
      </c>
      <c r="K3518">
        <v>248</v>
      </c>
      <c r="L3518">
        <v>270</v>
      </c>
      <c r="M3518">
        <v>9.1666666669999994</v>
      </c>
      <c r="N3518">
        <f>IFERROR(VLOOKUP(A3518,vlookup_table!$A:$G,2,FALSE),"")</f>
        <v>0</v>
      </c>
      <c r="O3518">
        <f>IFERROR(VLOOKUP(A3518,vlookup_table!$A:$G,4,FALSE),"")</f>
        <v>4401</v>
      </c>
      <c r="P3518" t="str">
        <f>IFERROR(VLOOKUP(A3518,vlookup_table!$A:$G,5,FALSE),"")</f>
        <v>U3</v>
      </c>
      <c r="Q3518">
        <f>IFERROR(VLOOKUP(A3518,vlookup_table!$A:$G,7,FALSE),"")</f>
        <v>5</v>
      </c>
      <c r="R3518">
        <f t="shared" si="216"/>
        <v>53</v>
      </c>
      <c r="S3518" t="str" cm="1">
        <f t="array" ref="S3518">IF(P3518="","",_xlfn.SWITCH(LEFT(P3518,1),"C","Ciudad","T","Pueblo","R","Rural","S","Suburbano","U","Urbano",""))</f>
        <v>Urbano</v>
      </c>
      <c r="T3518" t="str">
        <f t="shared" si="217"/>
        <v>F</v>
      </c>
      <c r="U3518" t="str">
        <f t="shared" si="218"/>
        <v>CA</v>
      </c>
      <c r="V3518" t="str">
        <f t="shared" si="219"/>
        <v>8369</v>
      </c>
    </row>
    <row r="3519" spans="1:22" x14ac:dyDescent="0.35">
      <c r="A3519" s="3">
        <v>47819</v>
      </c>
      <c r="B3519" t="s">
        <v>43</v>
      </c>
      <c r="C3519" t="s">
        <v>27</v>
      </c>
      <c r="D3519">
        <v>682</v>
      </c>
      <c r="E3519">
        <v>451</v>
      </c>
      <c r="F3519">
        <v>485</v>
      </c>
      <c r="G3519">
        <v>0</v>
      </c>
      <c r="H3519">
        <v>17756</v>
      </c>
      <c r="I3519">
        <v>0</v>
      </c>
      <c r="J3519">
        <v>65</v>
      </c>
      <c r="K3519">
        <v>462</v>
      </c>
      <c r="L3519">
        <v>443</v>
      </c>
      <c r="M3519">
        <v>12.7</v>
      </c>
      <c r="N3519">
        <f>IFERROR(VLOOKUP(A3519,vlookup_table!$A:$G,2,FALSE),"")</f>
        <v>1002</v>
      </c>
      <c r="O3519">
        <f>IFERROR(VLOOKUP(A3519,vlookup_table!$A:$G,4,FALSE),"")</f>
        <v>3801</v>
      </c>
      <c r="P3519" t="str">
        <f>IFERROR(VLOOKUP(A3519,vlookup_table!$A:$G,5,FALSE),"")</f>
        <v>T1</v>
      </c>
      <c r="Q3519">
        <f>IFERROR(VLOOKUP(A3519,vlookup_table!$A:$G,7,FALSE),"")</f>
        <v>10</v>
      </c>
      <c r="R3519">
        <f t="shared" si="216"/>
        <v>59</v>
      </c>
      <c r="S3519" t="str" cm="1">
        <f t="array" ref="S3519">IF(P3519="","",_xlfn.SWITCH(LEFT(P3519,1),"C","Ciudad","T","Pueblo","R","Rural","S","Suburbano","U","Urbano",""))</f>
        <v>Pueblo</v>
      </c>
      <c r="T3519" t="str">
        <f t="shared" si="217"/>
        <v>M</v>
      </c>
      <c r="U3519" t="str">
        <f t="shared" si="218"/>
        <v>AL</v>
      </c>
      <c r="V3519" t="str">
        <f t="shared" si="219"/>
        <v>17756</v>
      </c>
    </row>
    <row r="3520" spans="1:22" x14ac:dyDescent="0.35">
      <c r="A3520" s="3">
        <v>130554</v>
      </c>
      <c r="B3520" t="s">
        <v>48</v>
      </c>
      <c r="C3520" t="s">
        <v>17</v>
      </c>
      <c r="D3520">
        <v>663</v>
      </c>
      <c r="E3520">
        <v>375</v>
      </c>
      <c r="F3520">
        <v>425</v>
      </c>
      <c r="G3520">
        <v>0</v>
      </c>
      <c r="H3520">
        <v>12667</v>
      </c>
      <c r="I3520">
        <v>5</v>
      </c>
      <c r="J3520">
        <v>51</v>
      </c>
      <c r="K3520">
        <v>406</v>
      </c>
      <c r="L3520">
        <v>399</v>
      </c>
      <c r="M3520">
        <v>12.7</v>
      </c>
      <c r="N3520">
        <f>IFERROR(VLOOKUP(A3520,vlookup_table!$A:$G,2,FALSE),"")</f>
        <v>0</v>
      </c>
      <c r="O3520">
        <f>IFERROR(VLOOKUP(A3520,vlookup_table!$A:$G,4,FALSE),"")</f>
        <v>5407</v>
      </c>
      <c r="P3520" t="str">
        <f>IFERROR(VLOOKUP(A3520,vlookup_table!$A:$G,5,FALSE),"")</f>
        <v>S2</v>
      </c>
      <c r="Q3520">
        <f>IFERROR(VLOOKUP(A3520,vlookup_table!$A:$G,7,FALSE),"")</f>
        <v>20</v>
      </c>
      <c r="R3520">
        <f t="shared" si="216"/>
        <v>43</v>
      </c>
      <c r="S3520" t="str" cm="1">
        <f t="array" ref="S3520">IF(P3520="","",_xlfn.SWITCH(LEFT(P3520,1),"C","Ciudad","T","Pueblo","R","Rural","S","Suburbano","U","Urbano",""))</f>
        <v>Suburbano</v>
      </c>
      <c r="T3520" t="str">
        <f t="shared" si="217"/>
        <v>F</v>
      </c>
      <c r="U3520" t="str">
        <f t="shared" si="218"/>
        <v>CO</v>
      </c>
      <c r="V3520" t="str">
        <f t="shared" si="219"/>
        <v>12667</v>
      </c>
    </row>
    <row r="3521" spans="1:22" x14ac:dyDescent="0.35">
      <c r="A3521" s="3">
        <v>157213</v>
      </c>
      <c r="B3521" t="s">
        <v>22</v>
      </c>
      <c r="C3521" t="s">
        <v>17</v>
      </c>
      <c r="D3521">
        <v>1909</v>
      </c>
      <c r="E3521">
        <v>417</v>
      </c>
      <c r="F3521">
        <v>550</v>
      </c>
      <c r="G3521">
        <v>45</v>
      </c>
      <c r="H3521">
        <v>23187</v>
      </c>
      <c r="I3521">
        <v>16</v>
      </c>
      <c r="J3521">
        <v>34</v>
      </c>
      <c r="K3521">
        <v>510</v>
      </c>
      <c r="L3521">
        <v>468</v>
      </c>
      <c r="M3521">
        <v>12.5</v>
      </c>
      <c r="N3521">
        <f>IFERROR(VLOOKUP(A3521,vlookup_table!$A:$G,2,FALSE),"")</f>
        <v>0</v>
      </c>
      <c r="O3521">
        <f>IFERROR(VLOOKUP(A3521,vlookup_table!$A:$G,4,FALSE),"")</f>
        <v>0</v>
      </c>
      <c r="P3521" t="str">
        <f>IFERROR(VLOOKUP(A3521,vlookup_table!$A:$G,5,FALSE),"")</f>
        <v>S1</v>
      </c>
      <c r="Q3521">
        <f>IFERROR(VLOOKUP(A3521,vlookup_table!$A:$G,7,FALSE),"")</f>
        <v>20</v>
      </c>
      <c r="R3521">
        <f t="shared" si="216"/>
        <v>97</v>
      </c>
      <c r="S3521" t="str" cm="1">
        <f t="array" ref="S3521">IF(P3521="","",_xlfn.SWITCH(LEFT(P3521,1),"C","Ciudad","T","Pueblo","R","Rural","S","Suburbano","U","Urbano",""))</f>
        <v>Suburbano</v>
      </c>
      <c r="T3521" t="str">
        <f t="shared" si="217"/>
        <v>F</v>
      </c>
      <c r="U3521" t="str">
        <f t="shared" si="218"/>
        <v>CA</v>
      </c>
      <c r="V3521" t="str">
        <f t="shared" si="219"/>
        <v>23187</v>
      </c>
    </row>
    <row r="3522" spans="1:22" x14ac:dyDescent="0.35">
      <c r="A3522" s="3">
        <v>90532</v>
      </c>
      <c r="B3522" t="s">
        <v>55</v>
      </c>
      <c r="C3522" t="s">
        <v>14</v>
      </c>
      <c r="D3522">
        <v>727</v>
      </c>
      <c r="E3522">
        <v>350</v>
      </c>
      <c r="F3522">
        <v>426</v>
      </c>
      <c r="G3522">
        <v>0</v>
      </c>
      <c r="H3522">
        <v>20399</v>
      </c>
      <c r="I3522">
        <v>5</v>
      </c>
      <c r="J3522">
        <v>13</v>
      </c>
      <c r="K3522">
        <v>381</v>
      </c>
      <c r="L3522">
        <v>399</v>
      </c>
      <c r="M3522">
        <v>11.2</v>
      </c>
      <c r="N3522">
        <f>IFERROR(VLOOKUP(A3522,vlookup_table!$A:$G,2,FALSE),"")</f>
        <v>1002</v>
      </c>
      <c r="O3522">
        <f>IFERROR(VLOOKUP(A3522,vlookup_table!$A:$G,4,FALSE),"")</f>
        <v>6910</v>
      </c>
      <c r="P3522" t="str">
        <f>IFERROR(VLOOKUP(A3522,vlookup_table!$A:$G,5,FALSE),"")</f>
        <v>S1</v>
      </c>
      <c r="Q3522">
        <f>IFERROR(VLOOKUP(A3522,vlookup_table!$A:$G,7,FALSE),"")</f>
        <v>20</v>
      </c>
      <c r="R3522">
        <f t="shared" ref="R3522:R3585" si="220">IF(O3522="","",97-INT(O3522/100))</f>
        <v>28</v>
      </c>
      <c r="S3522" t="str" cm="1">
        <f t="array" ref="S3522">IF(P3522="","",_xlfn.SWITCH(LEFT(P3522,1),"C","Ciudad","T","Pueblo","R","Rural","S","Suburbano","U","Urbano",""))</f>
        <v>Suburbano</v>
      </c>
      <c r="T3522" t="str">
        <f t="shared" ref="T3522:T3585" si="221">IF(C3522="","",IF(OR(UPPER(C3522)="M",UPPER(C3522)="MALE"),"M",IF(OR(UPPER(C3522)="F",UPPER(C3522)="FEMALE",UPPER(C3522)="FEAMALE"),"F",C3522)))</f>
        <v>M</v>
      </c>
      <c r="U3522" t="str">
        <f t="shared" ref="U3522:U3585" si="222">IF(OR(UPPER(B3522)="CALIFORNIA",UPPER(B3522)="CALI"),"CA",B3522)</f>
        <v>AZ</v>
      </c>
      <c r="V3522" t="str">
        <f t="shared" ref="V3522:V3585" si="223">SUBSTITUTE(H3522,"@","")</f>
        <v>20399</v>
      </c>
    </row>
    <row r="3523" spans="1:22" x14ac:dyDescent="0.35">
      <c r="A3523" s="3">
        <v>187744</v>
      </c>
      <c r="B3523" t="s">
        <v>48</v>
      </c>
      <c r="C3523" t="s">
        <v>17</v>
      </c>
      <c r="D3523">
        <v>729</v>
      </c>
      <c r="E3523">
        <v>324</v>
      </c>
      <c r="F3523">
        <v>447</v>
      </c>
      <c r="G3523">
        <v>0</v>
      </c>
      <c r="H3523">
        <v>16479</v>
      </c>
      <c r="I3523">
        <v>2</v>
      </c>
      <c r="J3523">
        <v>37</v>
      </c>
      <c r="K3523">
        <v>343</v>
      </c>
      <c r="L3523">
        <v>400</v>
      </c>
      <c r="M3523">
        <v>4.8947368420000004</v>
      </c>
      <c r="N3523">
        <f>IFERROR(VLOOKUP(A3523,vlookup_table!$A:$G,2,FALSE),"")</f>
        <v>0</v>
      </c>
      <c r="O3523">
        <f>IFERROR(VLOOKUP(A3523,vlookup_table!$A:$G,4,FALSE),"")</f>
        <v>0</v>
      </c>
      <c r="P3523" t="str">
        <f>IFERROR(VLOOKUP(A3523,vlookup_table!$A:$G,5,FALSE),"")</f>
        <v>U1</v>
      </c>
      <c r="Q3523">
        <f>IFERROR(VLOOKUP(A3523,vlookup_table!$A:$G,7,FALSE),"")</f>
        <v>7</v>
      </c>
      <c r="R3523">
        <f t="shared" si="220"/>
        <v>97</v>
      </c>
      <c r="S3523" t="str" cm="1">
        <f t="array" ref="S3523">IF(P3523="","",_xlfn.SWITCH(LEFT(P3523,1),"C","Ciudad","T","Pueblo","R","Rural","S","Suburbano","U","Urbano",""))</f>
        <v>Urbano</v>
      </c>
      <c r="T3523" t="str">
        <f t="shared" si="221"/>
        <v>F</v>
      </c>
      <c r="U3523" t="str">
        <f t="shared" si="222"/>
        <v>CO</v>
      </c>
      <c r="V3523" t="str">
        <f t="shared" si="223"/>
        <v>16479</v>
      </c>
    </row>
    <row r="3524" spans="1:22" x14ac:dyDescent="0.35">
      <c r="A3524" s="3">
        <v>11143</v>
      </c>
      <c r="B3524" t="s">
        <v>47</v>
      </c>
      <c r="C3524" t="s">
        <v>14</v>
      </c>
      <c r="D3524">
        <v>424</v>
      </c>
      <c r="E3524">
        <v>294</v>
      </c>
      <c r="F3524">
        <v>368</v>
      </c>
      <c r="G3524">
        <v>0</v>
      </c>
      <c r="H3524">
        <v>11315</v>
      </c>
      <c r="I3524">
        <v>2</v>
      </c>
      <c r="J3524">
        <v>68</v>
      </c>
      <c r="K3524">
        <v>332</v>
      </c>
      <c r="L3524">
        <v>310</v>
      </c>
      <c r="M3524">
        <v>39</v>
      </c>
      <c r="N3524">
        <f>IFERROR(VLOOKUP(A3524,vlookup_table!$A:$G,2,FALSE),"")</f>
        <v>1</v>
      </c>
      <c r="O3524">
        <f>IFERROR(VLOOKUP(A3524,vlookup_table!$A:$G,4,FALSE),"")</f>
        <v>2812</v>
      </c>
      <c r="P3524" t="str">
        <f>IFERROR(VLOOKUP(A3524,vlookup_table!$A:$G,5,FALSE),"")</f>
        <v>C2</v>
      </c>
      <c r="Q3524">
        <f>IFERROR(VLOOKUP(A3524,vlookup_table!$A:$G,7,FALSE),"")</f>
        <v>44</v>
      </c>
      <c r="R3524">
        <f t="shared" si="220"/>
        <v>69</v>
      </c>
      <c r="S3524" t="str" cm="1">
        <f t="array" ref="S3524">IF(P3524="","",_xlfn.SWITCH(LEFT(P3524,1),"C","Ciudad","T","Pueblo","R","Rural","S","Suburbano","U","Urbano",""))</f>
        <v>Ciudad</v>
      </c>
      <c r="T3524" t="str">
        <f t="shared" si="221"/>
        <v>M</v>
      </c>
      <c r="U3524" t="str">
        <f t="shared" si="222"/>
        <v>IA</v>
      </c>
      <c r="V3524" t="str">
        <f t="shared" si="223"/>
        <v>11315</v>
      </c>
    </row>
    <row r="3525" spans="1:22" x14ac:dyDescent="0.35">
      <c r="A3525" s="3">
        <v>121978</v>
      </c>
      <c r="B3525" t="s">
        <v>21</v>
      </c>
      <c r="C3525" t="s">
        <v>14</v>
      </c>
      <c r="D3525">
        <v>693</v>
      </c>
      <c r="E3525">
        <v>292</v>
      </c>
      <c r="F3525">
        <v>377</v>
      </c>
      <c r="G3525">
        <v>0</v>
      </c>
      <c r="H3525">
        <v>10971</v>
      </c>
      <c r="I3525">
        <v>15</v>
      </c>
      <c r="J3525">
        <v>60</v>
      </c>
      <c r="K3525">
        <v>325</v>
      </c>
      <c r="L3525">
        <v>352</v>
      </c>
      <c r="M3525">
        <v>24.444444440000002</v>
      </c>
      <c r="N3525">
        <f>IFERROR(VLOOKUP(A3525,vlookup_table!$A:$G,2,FALSE),"")</f>
        <v>1</v>
      </c>
      <c r="O3525">
        <f>IFERROR(VLOOKUP(A3525,vlookup_table!$A:$G,4,FALSE),"")</f>
        <v>1907</v>
      </c>
      <c r="P3525" t="str">
        <f>IFERROR(VLOOKUP(A3525,vlookup_table!$A:$G,5,FALSE),"")</f>
        <v>S2</v>
      </c>
      <c r="Q3525">
        <f>IFERROR(VLOOKUP(A3525,vlookup_table!$A:$G,7,FALSE),"")</f>
        <v>50</v>
      </c>
      <c r="R3525">
        <f t="shared" si="220"/>
        <v>78</v>
      </c>
      <c r="S3525" t="str" cm="1">
        <f t="array" ref="S3525">IF(P3525="","",_xlfn.SWITCH(LEFT(P3525,1),"C","Ciudad","T","Pueblo","R","Rural","S","Suburbano","U","Urbano",""))</f>
        <v>Suburbano</v>
      </c>
      <c r="T3525" t="str">
        <f t="shared" si="221"/>
        <v>M</v>
      </c>
      <c r="U3525" t="str">
        <f t="shared" si="222"/>
        <v>TX</v>
      </c>
      <c r="V3525" t="str">
        <f t="shared" si="223"/>
        <v>10971</v>
      </c>
    </row>
    <row r="3526" spans="1:22" x14ac:dyDescent="0.35">
      <c r="A3526" s="3">
        <v>190597</v>
      </c>
      <c r="B3526" t="s">
        <v>13</v>
      </c>
      <c r="C3526" t="s">
        <v>17</v>
      </c>
      <c r="D3526">
        <v>737</v>
      </c>
      <c r="E3526">
        <v>273</v>
      </c>
      <c r="F3526">
        <v>383</v>
      </c>
      <c r="G3526">
        <v>5</v>
      </c>
      <c r="H3526">
        <v>15847</v>
      </c>
      <c r="I3526">
        <v>2</v>
      </c>
      <c r="J3526">
        <v>22</v>
      </c>
      <c r="K3526">
        <v>363</v>
      </c>
      <c r="L3526">
        <v>338</v>
      </c>
      <c r="M3526">
        <v>7.038461539</v>
      </c>
      <c r="N3526">
        <f>IFERROR(VLOOKUP(A3526,vlookup_table!$A:$G,2,FALSE),"")</f>
        <v>28</v>
      </c>
      <c r="O3526">
        <f>IFERROR(VLOOKUP(A3526,vlookup_table!$A:$G,4,FALSE),"")</f>
        <v>4701</v>
      </c>
      <c r="P3526" t="str">
        <f>IFERROR(VLOOKUP(A3526,vlookup_table!$A:$G,5,FALSE),"")</f>
        <v>C2</v>
      </c>
      <c r="Q3526">
        <f>IFERROR(VLOOKUP(A3526,vlookup_table!$A:$G,7,FALSE),"")</f>
        <v>12</v>
      </c>
      <c r="R3526">
        <f t="shared" si="220"/>
        <v>50</v>
      </c>
      <c r="S3526" t="str" cm="1">
        <f t="array" ref="S3526">IF(P3526="","",_xlfn.SWITCH(LEFT(P3526,1),"C","Ciudad","T","Pueblo","R","Rural","S","Suburbano","U","Urbano",""))</f>
        <v>Ciudad</v>
      </c>
      <c r="T3526" t="str">
        <f t="shared" si="221"/>
        <v>F</v>
      </c>
      <c r="U3526" t="str">
        <f t="shared" si="222"/>
        <v>FL</v>
      </c>
      <c r="V3526" t="str">
        <f t="shared" si="223"/>
        <v>15847</v>
      </c>
    </row>
    <row r="3527" spans="1:22" x14ac:dyDescent="0.35">
      <c r="A3527" s="3">
        <v>6325</v>
      </c>
      <c r="B3527" t="s">
        <v>33</v>
      </c>
      <c r="C3527" t="s">
        <v>17</v>
      </c>
      <c r="D3527">
        <v>331</v>
      </c>
      <c r="E3527">
        <v>322</v>
      </c>
      <c r="F3527">
        <v>368</v>
      </c>
      <c r="G3527">
        <v>0</v>
      </c>
      <c r="H3527">
        <v>13193</v>
      </c>
      <c r="I3527">
        <v>1</v>
      </c>
      <c r="J3527">
        <v>70</v>
      </c>
      <c r="K3527">
        <v>370</v>
      </c>
      <c r="L3527">
        <v>320</v>
      </c>
      <c r="M3527">
        <v>14</v>
      </c>
      <c r="N3527">
        <f>IFERROR(VLOOKUP(A3527,vlookup_table!$A:$G,2,FALSE),"")</f>
        <v>0</v>
      </c>
      <c r="O3527">
        <f>IFERROR(VLOOKUP(A3527,vlookup_table!$A:$G,4,FALSE),"")</f>
        <v>3001</v>
      </c>
      <c r="P3527" t="str">
        <f>IFERROR(VLOOKUP(A3527,vlookup_table!$A:$G,5,FALSE),"")</f>
        <v>C2</v>
      </c>
      <c r="Q3527">
        <f>IFERROR(VLOOKUP(A3527,vlookup_table!$A:$G,7,FALSE),"")</f>
        <v>15</v>
      </c>
      <c r="R3527">
        <f t="shared" si="220"/>
        <v>67</v>
      </c>
      <c r="S3527" t="str" cm="1">
        <f t="array" ref="S3527">IF(P3527="","",_xlfn.SWITCH(LEFT(P3527,1),"C","Ciudad","T","Pueblo","R","Rural","S","Suburbano","U","Urbano",""))</f>
        <v>Ciudad</v>
      </c>
      <c r="T3527" t="str">
        <f t="shared" si="221"/>
        <v>F</v>
      </c>
      <c r="U3527" t="str">
        <f t="shared" si="222"/>
        <v>IN</v>
      </c>
      <c r="V3527" t="str">
        <f t="shared" si="223"/>
        <v>13193</v>
      </c>
    </row>
    <row r="3528" spans="1:22" x14ac:dyDescent="0.35">
      <c r="A3528" s="3">
        <v>11943</v>
      </c>
      <c r="B3528" t="s">
        <v>22</v>
      </c>
      <c r="C3528" t="s">
        <v>17</v>
      </c>
      <c r="D3528">
        <v>3447</v>
      </c>
      <c r="E3528">
        <v>357</v>
      </c>
      <c r="F3528">
        <v>503</v>
      </c>
      <c r="G3528">
        <v>68</v>
      </c>
      <c r="H3528">
        <v>19465</v>
      </c>
      <c r="I3528">
        <v>12</v>
      </c>
      <c r="J3528">
        <v>32</v>
      </c>
      <c r="K3528">
        <v>400</v>
      </c>
      <c r="L3528">
        <v>451</v>
      </c>
      <c r="M3528">
        <v>13.44444444</v>
      </c>
      <c r="N3528">
        <f>IFERROR(VLOOKUP(A3528,vlookup_table!$A:$G,2,FALSE),"")</f>
        <v>2</v>
      </c>
      <c r="O3528">
        <f>IFERROR(VLOOKUP(A3528,vlookup_table!$A:$G,4,FALSE),"")</f>
        <v>2101</v>
      </c>
      <c r="P3528" t="str">
        <f>IFERROR(VLOOKUP(A3528,vlookup_table!$A:$G,5,FALSE),"")</f>
        <v>S1</v>
      </c>
      <c r="Q3528">
        <f>IFERROR(VLOOKUP(A3528,vlookup_table!$A:$G,7,FALSE),"")</f>
        <v>10</v>
      </c>
      <c r="R3528">
        <f t="shared" si="220"/>
        <v>76</v>
      </c>
      <c r="S3528" t="str" cm="1">
        <f t="array" ref="S3528">IF(P3528="","",_xlfn.SWITCH(LEFT(P3528,1),"C","Ciudad","T","Pueblo","R","Rural","S","Suburbano","U","Urbano",""))</f>
        <v>Suburbano</v>
      </c>
      <c r="T3528" t="str">
        <f t="shared" si="221"/>
        <v>F</v>
      </c>
      <c r="U3528" t="str">
        <f t="shared" si="222"/>
        <v>CA</v>
      </c>
      <c r="V3528" t="str">
        <f t="shared" si="223"/>
        <v>19465</v>
      </c>
    </row>
    <row r="3529" spans="1:22" x14ac:dyDescent="0.35">
      <c r="A3529" s="3">
        <v>19789</v>
      </c>
      <c r="B3529" t="s">
        <v>18</v>
      </c>
      <c r="C3529" t="s">
        <v>14</v>
      </c>
      <c r="D3529">
        <v>355</v>
      </c>
      <c r="E3529">
        <v>219</v>
      </c>
      <c r="F3529">
        <v>285</v>
      </c>
      <c r="G3529">
        <v>0</v>
      </c>
      <c r="H3529">
        <v>9550</v>
      </c>
      <c r="I3529">
        <v>1</v>
      </c>
      <c r="J3529">
        <v>81</v>
      </c>
      <c r="K3529">
        <v>283</v>
      </c>
      <c r="L3529">
        <v>250</v>
      </c>
      <c r="M3529">
        <v>10</v>
      </c>
      <c r="N3529">
        <f>IFERROR(VLOOKUP(A3529,vlookup_table!$A:$G,2,FALSE),"")</f>
        <v>1</v>
      </c>
      <c r="O3529">
        <f>IFERROR(VLOOKUP(A3529,vlookup_table!$A:$G,4,FALSE),"")</f>
        <v>4401</v>
      </c>
      <c r="P3529" t="str">
        <f>IFERROR(VLOOKUP(A3529,vlookup_table!$A:$G,5,FALSE),"")</f>
        <v>T2</v>
      </c>
      <c r="Q3529">
        <f>IFERROR(VLOOKUP(A3529,vlookup_table!$A:$G,7,FALSE),"")</f>
        <v>10</v>
      </c>
      <c r="R3529">
        <f t="shared" si="220"/>
        <v>53</v>
      </c>
      <c r="S3529" t="str" cm="1">
        <f t="array" ref="S3529">IF(P3529="","",_xlfn.SWITCH(LEFT(P3529,1),"C","Ciudad","T","Pueblo","R","Rural","S","Suburbano","U","Urbano",""))</f>
        <v>Pueblo</v>
      </c>
      <c r="T3529" t="str">
        <f t="shared" si="221"/>
        <v>M</v>
      </c>
      <c r="U3529" t="str">
        <f t="shared" si="222"/>
        <v>NC</v>
      </c>
      <c r="V3529" t="str">
        <f t="shared" si="223"/>
        <v>9550</v>
      </c>
    </row>
    <row r="3530" spans="1:22" x14ac:dyDescent="0.35">
      <c r="A3530" s="3">
        <v>41288</v>
      </c>
      <c r="B3530" t="s">
        <v>13</v>
      </c>
      <c r="C3530" t="s">
        <v>14</v>
      </c>
      <c r="D3530">
        <v>466</v>
      </c>
      <c r="E3530">
        <v>271</v>
      </c>
      <c r="F3530">
        <v>325</v>
      </c>
      <c r="G3530">
        <v>0</v>
      </c>
      <c r="H3530">
        <v>11148</v>
      </c>
      <c r="I3530">
        <v>11</v>
      </c>
      <c r="J3530">
        <v>28</v>
      </c>
      <c r="K3530">
        <v>292</v>
      </c>
      <c r="L3530">
        <v>291</v>
      </c>
      <c r="M3530">
        <v>5</v>
      </c>
      <c r="N3530">
        <f>IFERROR(VLOOKUP(A3530,vlookup_table!$A:$G,2,FALSE),"")</f>
        <v>1</v>
      </c>
      <c r="O3530">
        <f>IFERROR(VLOOKUP(A3530,vlookup_table!$A:$G,4,FALSE),"")</f>
        <v>1301</v>
      </c>
      <c r="P3530" t="str">
        <f>IFERROR(VLOOKUP(A3530,vlookup_table!$A:$G,5,FALSE),"")</f>
        <v>U3</v>
      </c>
      <c r="Q3530">
        <f>IFERROR(VLOOKUP(A3530,vlookup_table!$A:$G,7,FALSE),"")</f>
        <v>9</v>
      </c>
      <c r="R3530">
        <f t="shared" si="220"/>
        <v>84</v>
      </c>
      <c r="S3530" t="str" cm="1">
        <f t="array" ref="S3530">IF(P3530="","",_xlfn.SWITCH(LEFT(P3530,1),"C","Ciudad","T","Pueblo","R","Rural","S","Suburbano","U","Urbano",""))</f>
        <v>Urbano</v>
      </c>
      <c r="T3530" t="str">
        <f t="shared" si="221"/>
        <v>M</v>
      </c>
      <c r="U3530" t="str">
        <f t="shared" si="222"/>
        <v>FL</v>
      </c>
      <c r="V3530" t="str">
        <f t="shared" si="223"/>
        <v>11148</v>
      </c>
    </row>
    <row r="3531" spans="1:22" x14ac:dyDescent="0.35">
      <c r="A3531" s="3">
        <v>102706</v>
      </c>
      <c r="B3531" t="s">
        <v>36</v>
      </c>
      <c r="C3531" t="s">
        <v>17</v>
      </c>
      <c r="D3531">
        <v>835</v>
      </c>
      <c r="E3531">
        <v>401</v>
      </c>
      <c r="F3531">
        <v>537</v>
      </c>
      <c r="G3531">
        <v>3</v>
      </c>
      <c r="H3531">
        <v>20242</v>
      </c>
      <c r="I3531">
        <v>1</v>
      </c>
      <c r="J3531">
        <v>69</v>
      </c>
      <c r="K3531">
        <v>423</v>
      </c>
      <c r="L3531">
        <v>487</v>
      </c>
      <c r="M3531">
        <v>3.375</v>
      </c>
      <c r="N3531">
        <f>IFERROR(VLOOKUP(A3531,vlookup_table!$A:$G,2,FALSE),"")</f>
        <v>28</v>
      </c>
      <c r="O3531">
        <f>IFERROR(VLOOKUP(A3531,vlookup_table!$A:$G,4,FALSE),"")</f>
        <v>5511</v>
      </c>
      <c r="P3531" t="str">
        <f>IFERROR(VLOOKUP(A3531,vlookup_table!$A:$G,5,FALSE),"")</f>
        <v>C1</v>
      </c>
      <c r="Q3531">
        <f>IFERROR(VLOOKUP(A3531,vlookup_table!$A:$G,7,FALSE),"")</f>
        <v>3</v>
      </c>
      <c r="R3531">
        <f t="shared" si="220"/>
        <v>42</v>
      </c>
      <c r="S3531" t="str" cm="1">
        <f t="array" ref="S3531">IF(P3531="","",_xlfn.SWITCH(LEFT(P3531,1),"C","Ciudad","T","Pueblo","R","Rural","S","Suburbano","U","Urbano",""))</f>
        <v>Ciudad</v>
      </c>
      <c r="T3531" t="str">
        <f t="shared" si="221"/>
        <v>F</v>
      </c>
      <c r="U3531" t="str">
        <f t="shared" si="222"/>
        <v>MO</v>
      </c>
      <c r="V3531" t="str">
        <f t="shared" si="223"/>
        <v>20242</v>
      </c>
    </row>
    <row r="3532" spans="1:22" x14ac:dyDescent="0.35">
      <c r="A3532" s="3">
        <v>10287</v>
      </c>
      <c r="B3532" t="s">
        <v>13</v>
      </c>
      <c r="C3532" t="s">
        <v>17</v>
      </c>
      <c r="D3532">
        <v>1258</v>
      </c>
      <c r="E3532">
        <v>599</v>
      </c>
      <c r="F3532">
        <v>692</v>
      </c>
      <c r="G3532">
        <v>7</v>
      </c>
      <c r="H3532">
        <v>21114</v>
      </c>
      <c r="I3532">
        <v>27</v>
      </c>
      <c r="J3532">
        <v>37</v>
      </c>
      <c r="K3532">
        <v>634</v>
      </c>
      <c r="L3532">
        <v>649</v>
      </c>
      <c r="M3532">
        <v>8.2962962959999995</v>
      </c>
      <c r="N3532">
        <f>IFERROR(VLOOKUP(A3532,vlookup_table!$A:$G,2,FALSE),"")</f>
        <v>2</v>
      </c>
      <c r="O3532">
        <f>IFERROR(VLOOKUP(A3532,vlookup_table!$A:$G,4,FALSE),"")</f>
        <v>1401</v>
      </c>
      <c r="P3532" t="str">
        <f>IFERROR(VLOOKUP(A3532,vlookup_table!$A:$G,5,FALSE),"")</f>
        <v>S1</v>
      </c>
      <c r="Q3532">
        <f>IFERROR(VLOOKUP(A3532,vlookup_table!$A:$G,7,FALSE),"")</f>
        <v>15</v>
      </c>
      <c r="R3532">
        <f t="shared" si="220"/>
        <v>83</v>
      </c>
      <c r="S3532" t="str" cm="1">
        <f t="array" ref="S3532">IF(P3532="","",_xlfn.SWITCH(LEFT(P3532,1),"C","Ciudad","T","Pueblo","R","Rural","S","Suburbano","U","Urbano",""))</f>
        <v>Suburbano</v>
      </c>
      <c r="T3532" t="str">
        <f t="shared" si="221"/>
        <v>F</v>
      </c>
      <c r="U3532" t="str">
        <f t="shared" si="222"/>
        <v>FL</v>
      </c>
      <c r="V3532" t="str">
        <f t="shared" si="223"/>
        <v>21114</v>
      </c>
    </row>
    <row r="3533" spans="1:22" x14ac:dyDescent="0.35">
      <c r="A3533" s="3">
        <v>34429</v>
      </c>
      <c r="B3533" t="s">
        <v>13</v>
      </c>
      <c r="C3533" t="s">
        <v>14</v>
      </c>
      <c r="D3533">
        <v>482</v>
      </c>
      <c r="E3533">
        <v>119</v>
      </c>
      <c r="F3533">
        <v>294</v>
      </c>
      <c r="G3533">
        <v>0</v>
      </c>
      <c r="H3533">
        <v>8265</v>
      </c>
      <c r="I3533">
        <v>1</v>
      </c>
      <c r="J3533">
        <v>69</v>
      </c>
      <c r="K3533">
        <v>226</v>
      </c>
      <c r="L3533">
        <v>234</v>
      </c>
      <c r="M3533">
        <v>12.53846154</v>
      </c>
      <c r="N3533">
        <f>IFERROR(VLOOKUP(A3533,vlookup_table!$A:$G,2,FALSE),"")</f>
        <v>1</v>
      </c>
      <c r="O3533">
        <f>IFERROR(VLOOKUP(A3533,vlookup_table!$A:$G,4,FALSE),"")</f>
        <v>4501</v>
      </c>
      <c r="P3533" t="str">
        <f>IFERROR(VLOOKUP(A3533,vlookup_table!$A:$G,5,FALSE),"")</f>
        <v>R2</v>
      </c>
      <c r="Q3533">
        <f>IFERROR(VLOOKUP(A3533,vlookup_table!$A:$G,7,FALSE),"")</f>
        <v>15</v>
      </c>
      <c r="R3533">
        <f t="shared" si="220"/>
        <v>52</v>
      </c>
      <c r="S3533" t="str" cm="1">
        <f t="array" ref="S3533">IF(P3533="","",_xlfn.SWITCH(LEFT(P3533,1),"C","Ciudad","T","Pueblo","R","Rural","S","Suburbano","U","Urbano",""))</f>
        <v>Rural</v>
      </c>
      <c r="T3533" t="str">
        <f t="shared" si="221"/>
        <v>M</v>
      </c>
      <c r="U3533" t="str">
        <f t="shared" si="222"/>
        <v>FL</v>
      </c>
      <c r="V3533" t="str">
        <f t="shared" si="223"/>
        <v>8265</v>
      </c>
    </row>
    <row r="3534" spans="1:22" x14ac:dyDescent="0.35">
      <c r="A3534" s="3">
        <v>106190</v>
      </c>
      <c r="B3534" t="s">
        <v>28</v>
      </c>
      <c r="C3534" t="s">
        <v>14</v>
      </c>
      <c r="D3534">
        <v>404</v>
      </c>
      <c r="E3534">
        <v>277</v>
      </c>
      <c r="F3534">
        <v>339</v>
      </c>
      <c r="G3534">
        <v>0</v>
      </c>
      <c r="H3534">
        <v>10275</v>
      </c>
      <c r="I3534">
        <v>0</v>
      </c>
      <c r="J3534">
        <v>68</v>
      </c>
      <c r="K3534">
        <v>279</v>
      </c>
      <c r="L3534">
        <v>322</v>
      </c>
      <c r="M3534">
        <v>7.307692308</v>
      </c>
      <c r="N3534">
        <f>IFERROR(VLOOKUP(A3534,vlookup_table!$A:$G,2,FALSE),"")</f>
        <v>2</v>
      </c>
      <c r="O3534">
        <f>IFERROR(VLOOKUP(A3534,vlookup_table!$A:$G,4,FALSE),"")</f>
        <v>2801</v>
      </c>
      <c r="P3534" t="str">
        <f>IFERROR(VLOOKUP(A3534,vlookup_table!$A:$G,5,FALSE),"")</f>
        <v>R2</v>
      </c>
      <c r="Q3534">
        <f>IFERROR(VLOOKUP(A3534,vlookup_table!$A:$G,7,FALSE),"")</f>
        <v>20</v>
      </c>
      <c r="R3534">
        <f t="shared" si="220"/>
        <v>69</v>
      </c>
      <c r="S3534" t="str" cm="1">
        <f t="array" ref="S3534">IF(P3534="","",_xlfn.SWITCH(LEFT(P3534,1),"C","Ciudad","T","Pueblo","R","Rural","S","Suburbano","U","Urbano",""))</f>
        <v>Rural</v>
      </c>
      <c r="T3534" t="str">
        <f t="shared" si="221"/>
        <v>M</v>
      </c>
      <c r="U3534" t="str">
        <f t="shared" si="222"/>
        <v>KS</v>
      </c>
      <c r="V3534" t="str">
        <f t="shared" si="223"/>
        <v>10275</v>
      </c>
    </row>
    <row r="3535" spans="1:22" x14ac:dyDescent="0.35">
      <c r="A3535" s="3">
        <v>16973</v>
      </c>
      <c r="B3535" t="s">
        <v>18</v>
      </c>
      <c r="C3535" t="s">
        <v>20</v>
      </c>
      <c r="D3535">
        <v>1024</v>
      </c>
      <c r="E3535">
        <v>303</v>
      </c>
      <c r="F3535">
        <v>404</v>
      </c>
      <c r="G3535">
        <v>9</v>
      </c>
      <c r="H3535">
        <v>16209</v>
      </c>
      <c r="I3535">
        <v>0</v>
      </c>
      <c r="J3535">
        <v>63</v>
      </c>
      <c r="K3535">
        <v>344</v>
      </c>
      <c r="L3535">
        <v>364</v>
      </c>
      <c r="M3535">
        <v>6.3947368420000004</v>
      </c>
      <c r="N3535">
        <f>IFERROR(VLOOKUP(A3535,vlookup_table!$A:$G,2,FALSE),"")</f>
        <v>0</v>
      </c>
      <c r="O3535">
        <f>IFERROR(VLOOKUP(A3535,vlookup_table!$A:$G,4,FALSE),"")</f>
        <v>0</v>
      </c>
      <c r="P3535" t="str">
        <f>IFERROR(VLOOKUP(A3535,vlookup_table!$A:$G,5,FALSE),"")</f>
        <v>T2</v>
      </c>
      <c r="Q3535">
        <f>IFERROR(VLOOKUP(A3535,vlookup_table!$A:$G,7,FALSE),"")</f>
        <v>8</v>
      </c>
      <c r="R3535">
        <f t="shared" si="220"/>
        <v>97</v>
      </c>
      <c r="S3535" t="str" cm="1">
        <f t="array" ref="S3535">IF(P3535="","",_xlfn.SWITCH(LEFT(P3535,1),"C","Ciudad","T","Pueblo","R","Rural","S","Suburbano","U","Urbano",""))</f>
        <v>Pueblo</v>
      </c>
      <c r="T3535" t="str">
        <f t="shared" si="221"/>
        <v>F</v>
      </c>
      <c r="U3535" t="str">
        <f t="shared" si="222"/>
        <v>NC</v>
      </c>
      <c r="V3535" t="str">
        <f t="shared" si="223"/>
        <v>16209</v>
      </c>
    </row>
    <row r="3536" spans="1:22" x14ac:dyDescent="0.35">
      <c r="A3536" s="3">
        <v>2853</v>
      </c>
      <c r="B3536" t="s">
        <v>33</v>
      </c>
      <c r="C3536" t="s">
        <v>17</v>
      </c>
      <c r="D3536">
        <v>682</v>
      </c>
      <c r="E3536">
        <v>265</v>
      </c>
      <c r="F3536">
        <v>426</v>
      </c>
      <c r="G3536">
        <v>16</v>
      </c>
      <c r="H3536">
        <v>16860</v>
      </c>
      <c r="I3536">
        <v>1</v>
      </c>
      <c r="J3536">
        <v>55</v>
      </c>
      <c r="K3536">
        <v>342</v>
      </c>
      <c r="L3536">
        <v>364</v>
      </c>
      <c r="M3536">
        <v>7.7727272730000001</v>
      </c>
      <c r="N3536">
        <f>IFERROR(VLOOKUP(A3536,vlookup_table!$A:$G,2,FALSE),"")</f>
        <v>0</v>
      </c>
      <c r="O3536">
        <f>IFERROR(VLOOKUP(A3536,vlookup_table!$A:$G,4,FALSE),"")</f>
        <v>0</v>
      </c>
      <c r="P3536">
        <f>IFERROR(VLOOKUP(A3536,vlookup_table!$A:$G,5,FALSE),"")</f>
        <v>0</v>
      </c>
      <c r="Q3536">
        <f>IFERROR(VLOOKUP(A3536,vlookup_table!$A:$G,7,FALSE),"")</f>
        <v>10</v>
      </c>
      <c r="R3536">
        <f t="shared" si="220"/>
        <v>97</v>
      </c>
      <c r="S3536" t="str" cm="1">
        <f t="array" ref="S3536">IF(P3536="","",_xlfn.SWITCH(LEFT(P3536,1),"C","Ciudad","T","Pueblo","R","Rural","S","Suburbano","U","Urbano",""))</f>
        <v/>
      </c>
      <c r="T3536" t="str">
        <f t="shared" si="221"/>
        <v>F</v>
      </c>
      <c r="U3536" t="str">
        <f t="shared" si="222"/>
        <v>IN</v>
      </c>
      <c r="V3536" t="str">
        <f t="shared" si="223"/>
        <v>16860</v>
      </c>
    </row>
    <row r="3537" spans="1:22" x14ac:dyDescent="0.35">
      <c r="A3537" s="3">
        <v>131064</v>
      </c>
      <c r="B3537" t="s">
        <v>48</v>
      </c>
      <c r="C3537" t="s">
        <v>17</v>
      </c>
      <c r="D3537">
        <v>989</v>
      </c>
      <c r="E3537">
        <v>472</v>
      </c>
      <c r="F3537">
        <v>507</v>
      </c>
      <c r="G3537">
        <v>9</v>
      </c>
      <c r="H3537">
        <v>16856</v>
      </c>
      <c r="I3537">
        <v>1</v>
      </c>
      <c r="J3537">
        <v>40</v>
      </c>
      <c r="K3537">
        <v>477</v>
      </c>
      <c r="L3537">
        <v>507</v>
      </c>
      <c r="M3537">
        <v>12.08333333</v>
      </c>
      <c r="N3537">
        <f>IFERROR(VLOOKUP(A3537,vlookup_table!$A:$G,2,FALSE),"")</f>
        <v>0</v>
      </c>
      <c r="O3537">
        <f>IFERROR(VLOOKUP(A3537,vlookup_table!$A:$G,4,FALSE),"")</f>
        <v>0</v>
      </c>
      <c r="P3537" t="str">
        <f>IFERROR(VLOOKUP(A3537,vlookup_table!$A:$G,5,FALSE),"")</f>
        <v>T1</v>
      </c>
      <c r="Q3537">
        <f>IFERROR(VLOOKUP(A3537,vlookup_table!$A:$G,7,FALSE),"")</f>
        <v>12</v>
      </c>
      <c r="R3537">
        <f t="shared" si="220"/>
        <v>97</v>
      </c>
      <c r="S3537" t="str" cm="1">
        <f t="array" ref="S3537">IF(P3537="","",_xlfn.SWITCH(LEFT(P3537,1),"C","Ciudad","T","Pueblo","R","Rural","S","Suburbano","U","Urbano",""))</f>
        <v>Pueblo</v>
      </c>
      <c r="T3537" t="str">
        <f t="shared" si="221"/>
        <v>F</v>
      </c>
      <c r="U3537" t="str">
        <f t="shared" si="222"/>
        <v>CO</v>
      </c>
      <c r="V3537" t="str">
        <f t="shared" si="223"/>
        <v>16856</v>
      </c>
    </row>
    <row r="3538" spans="1:22" x14ac:dyDescent="0.35">
      <c r="A3538" s="3">
        <v>136494</v>
      </c>
      <c r="B3538" t="s">
        <v>55</v>
      </c>
      <c r="C3538" t="s">
        <v>60</v>
      </c>
      <c r="D3538">
        <v>1390</v>
      </c>
      <c r="E3538">
        <v>441</v>
      </c>
      <c r="F3538">
        <v>547</v>
      </c>
      <c r="G3538">
        <v>6</v>
      </c>
      <c r="H3538">
        <v>19141</v>
      </c>
      <c r="I3538">
        <v>9</v>
      </c>
      <c r="J3538">
        <v>25</v>
      </c>
      <c r="K3538">
        <v>469</v>
      </c>
      <c r="L3538">
        <v>524</v>
      </c>
      <c r="M3538">
        <v>15</v>
      </c>
      <c r="N3538">
        <f>IFERROR(VLOOKUP(A3538,vlookup_table!$A:$G,2,FALSE),"")</f>
        <v>2</v>
      </c>
      <c r="O3538">
        <f>IFERROR(VLOOKUP(A3538,vlookup_table!$A:$G,4,FALSE),"")</f>
        <v>5201</v>
      </c>
      <c r="P3538" t="str">
        <f>IFERROR(VLOOKUP(A3538,vlookup_table!$A:$G,5,FALSE),"")</f>
        <v>S1</v>
      </c>
      <c r="Q3538">
        <f>IFERROR(VLOOKUP(A3538,vlookup_table!$A:$G,7,FALSE),"")</f>
        <v>15</v>
      </c>
      <c r="R3538">
        <f t="shared" si="220"/>
        <v>45</v>
      </c>
      <c r="S3538" t="str" cm="1">
        <f t="array" ref="S3538">IF(P3538="","",_xlfn.SWITCH(LEFT(P3538,1),"C","Ciudad","T","Pueblo","R","Rural","S","Suburbano","U","Urbano",""))</f>
        <v>Suburbano</v>
      </c>
      <c r="T3538" t="str">
        <f t="shared" si="221"/>
        <v>F</v>
      </c>
      <c r="U3538" t="str">
        <f t="shared" si="222"/>
        <v>AZ</v>
      </c>
      <c r="V3538" t="str">
        <f t="shared" si="223"/>
        <v>19141</v>
      </c>
    </row>
    <row r="3539" spans="1:22" x14ac:dyDescent="0.35">
      <c r="A3539" s="3">
        <v>77848</v>
      </c>
      <c r="B3539" t="s">
        <v>35</v>
      </c>
      <c r="C3539" t="s">
        <v>17</v>
      </c>
      <c r="D3539">
        <v>691</v>
      </c>
      <c r="E3539">
        <v>249</v>
      </c>
      <c r="F3539">
        <v>436</v>
      </c>
      <c r="G3539">
        <v>0</v>
      </c>
      <c r="H3539">
        <v>13489</v>
      </c>
      <c r="I3539">
        <v>12</v>
      </c>
      <c r="J3539">
        <v>57</v>
      </c>
      <c r="K3539">
        <v>406</v>
      </c>
      <c r="L3539">
        <v>311</v>
      </c>
      <c r="M3539">
        <v>5</v>
      </c>
      <c r="N3539">
        <f>IFERROR(VLOOKUP(A3539,vlookup_table!$A:$G,2,FALSE),"")</f>
        <v>2</v>
      </c>
      <c r="O3539">
        <f>IFERROR(VLOOKUP(A3539,vlookup_table!$A:$G,4,FALSE),"")</f>
        <v>2801</v>
      </c>
      <c r="P3539" t="str">
        <f>IFERROR(VLOOKUP(A3539,vlookup_table!$A:$G,5,FALSE),"")</f>
        <v>S2</v>
      </c>
      <c r="Q3539">
        <f>IFERROR(VLOOKUP(A3539,vlookup_table!$A:$G,7,FALSE),"")</f>
        <v>5</v>
      </c>
      <c r="R3539">
        <f t="shared" si="220"/>
        <v>69</v>
      </c>
      <c r="S3539" t="str" cm="1">
        <f t="array" ref="S3539">IF(P3539="","",_xlfn.SWITCH(LEFT(P3539,1),"C","Ciudad","T","Pueblo","R","Rural","S","Suburbano","U","Urbano",""))</f>
        <v>Suburbano</v>
      </c>
      <c r="T3539" t="str">
        <f t="shared" si="221"/>
        <v>F</v>
      </c>
      <c r="U3539" t="str">
        <f t="shared" si="222"/>
        <v>WI</v>
      </c>
      <c r="V3539" t="str">
        <f t="shared" si="223"/>
        <v>13489</v>
      </c>
    </row>
    <row r="3540" spans="1:22" x14ac:dyDescent="0.35">
      <c r="A3540" s="3">
        <v>43010</v>
      </c>
      <c r="B3540" t="s">
        <v>13</v>
      </c>
      <c r="C3540" t="s">
        <v>17</v>
      </c>
      <c r="D3540">
        <v>560</v>
      </c>
      <c r="E3540">
        <v>220</v>
      </c>
      <c r="F3540">
        <v>286</v>
      </c>
      <c r="G3540">
        <v>1</v>
      </c>
      <c r="H3540">
        <v>9385</v>
      </c>
      <c r="I3540">
        <v>21</v>
      </c>
      <c r="J3540">
        <v>37</v>
      </c>
      <c r="K3540">
        <v>227</v>
      </c>
      <c r="L3540">
        <v>270</v>
      </c>
      <c r="M3540">
        <v>17</v>
      </c>
      <c r="N3540">
        <f>IFERROR(VLOOKUP(A3540,vlookup_table!$A:$G,2,FALSE),"")</f>
        <v>28</v>
      </c>
      <c r="O3540">
        <f>IFERROR(VLOOKUP(A3540,vlookup_table!$A:$G,4,FALSE),"")</f>
        <v>4501</v>
      </c>
      <c r="P3540" t="str">
        <f>IFERROR(VLOOKUP(A3540,vlookup_table!$A:$G,5,FALSE),"")</f>
        <v>R1</v>
      </c>
      <c r="Q3540">
        <f>IFERROR(VLOOKUP(A3540,vlookup_table!$A:$G,7,FALSE),"")</f>
        <v>25</v>
      </c>
      <c r="R3540">
        <f t="shared" si="220"/>
        <v>52</v>
      </c>
      <c r="S3540" t="str" cm="1">
        <f t="array" ref="S3540">IF(P3540="","",_xlfn.SWITCH(LEFT(P3540,1),"C","Ciudad","T","Pueblo","R","Rural","S","Suburbano","U","Urbano",""))</f>
        <v>Rural</v>
      </c>
      <c r="T3540" t="str">
        <f t="shared" si="221"/>
        <v>F</v>
      </c>
      <c r="U3540" t="str">
        <f t="shared" si="222"/>
        <v>FL</v>
      </c>
      <c r="V3540" t="str">
        <f t="shared" si="223"/>
        <v>9385</v>
      </c>
    </row>
    <row r="3541" spans="1:22" x14ac:dyDescent="0.35">
      <c r="A3541" s="3">
        <v>82518</v>
      </c>
      <c r="B3541" t="s">
        <v>56</v>
      </c>
      <c r="C3541" t="s">
        <v>14</v>
      </c>
      <c r="D3541">
        <v>906</v>
      </c>
      <c r="E3541">
        <v>476</v>
      </c>
      <c r="F3541">
        <v>668</v>
      </c>
      <c r="G3541">
        <v>0</v>
      </c>
      <c r="H3541">
        <v>22377</v>
      </c>
      <c r="I3541">
        <v>2</v>
      </c>
      <c r="J3541">
        <v>78</v>
      </c>
      <c r="K3541">
        <v>617</v>
      </c>
      <c r="L3541">
        <v>563</v>
      </c>
      <c r="M3541">
        <v>30.285714290000001</v>
      </c>
      <c r="N3541">
        <f>IFERROR(VLOOKUP(A3541,vlookup_table!$A:$G,2,FALSE),"")</f>
        <v>2</v>
      </c>
      <c r="O3541">
        <f>IFERROR(VLOOKUP(A3541,vlookup_table!$A:$G,4,FALSE),"")</f>
        <v>1006</v>
      </c>
      <c r="P3541" t="str">
        <f>IFERROR(VLOOKUP(A3541,vlookup_table!$A:$G,5,FALSE),"")</f>
        <v>S1</v>
      </c>
      <c r="Q3541">
        <f>IFERROR(VLOOKUP(A3541,vlookup_table!$A:$G,7,FALSE),"")</f>
        <v>42</v>
      </c>
      <c r="R3541">
        <f t="shared" si="220"/>
        <v>87</v>
      </c>
      <c r="S3541" t="str" cm="1">
        <f t="array" ref="S3541">IF(P3541="","",_xlfn.SWITCH(LEFT(P3541,1),"C","Ciudad","T","Pueblo","R","Rural","S","Suburbano","U","Urbano",""))</f>
        <v>Suburbano</v>
      </c>
      <c r="T3541" t="str">
        <f t="shared" si="221"/>
        <v>M</v>
      </c>
      <c r="U3541" t="str">
        <f t="shared" si="222"/>
        <v>MN</v>
      </c>
      <c r="V3541" t="str">
        <f t="shared" si="223"/>
        <v>22377</v>
      </c>
    </row>
    <row r="3542" spans="1:22" x14ac:dyDescent="0.35">
      <c r="A3542" s="3">
        <v>130426</v>
      </c>
      <c r="B3542" t="s">
        <v>48</v>
      </c>
      <c r="C3542" t="s">
        <v>17</v>
      </c>
      <c r="D3542">
        <v>831</v>
      </c>
      <c r="E3542">
        <v>408</v>
      </c>
      <c r="F3542">
        <v>445</v>
      </c>
      <c r="G3542">
        <v>0</v>
      </c>
      <c r="H3542">
        <v>12932</v>
      </c>
      <c r="I3542">
        <v>4</v>
      </c>
      <c r="J3542">
        <v>54</v>
      </c>
      <c r="K3542">
        <v>415</v>
      </c>
      <c r="L3542">
        <v>426</v>
      </c>
      <c r="M3542">
        <v>25</v>
      </c>
      <c r="N3542">
        <f>IFERROR(VLOOKUP(A3542,vlookup_table!$A:$G,2,FALSE),"")</f>
        <v>0</v>
      </c>
      <c r="O3542">
        <f>IFERROR(VLOOKUP(A3542,vlookup_table!$A:$G,4,FALSE),"")</f>
        <v>7101</v>
      </c>
      <c r="P3542" t="str">
        <f>IFERROR(VLOOKUP(A3542,vlookup_table!$A:$G,5,FALSE),"")</f>
        <v>S2</v>
      </c>
      <c r="Q3542">
        <f>IFERROR(VLOOKUP(A3542,vlookup_table!$A:$G,7,FALSE),"")</f>
        <v>30</v>
      </c>
      <c r="R3542">
        <f t="shared" si="220"/>
        <v>26</v>
      </c>
      <c r="S3542" t="str" cm="1">
        <f t="array" ref="S3542">IF(P3542="","",_xlfn.SWITCH(LEFT(P3542,1),"C","Ciudad","T","Pueblo","R","Rural","S","Suburbano","U","Urbano",""))</f>
        <v>Suburbano</v>
      </c>
      <c r="T3542" t="str">
        <f t="shared" si="221"/>
        <v>F</v>
      </c>
      <c r="U3542" t="str">
        <f t="shared" si="222"/>
        <v>CO</v>
      </c>
      <c r="V3542" t="str">
        <f t="shared" si="223"/>
        <v>12932</v>
      </c>
    </row>
    <row r="3543" spans="1:22" x14ac:dyDescent="0.35">
      <c r="A3543" s="3">
        <v>186807</v>
      </c>
      <c r="B3543" t="s">
        <v>22</v>
      </c>
      <c r="C3543" t="s">
        <v>17</v>
      </c>
      <c r="D3543">
        <v>5544</v>
      </c>
      <c r="E3543">
        <v>701</v>
      </c>
      <c r="F3543">
        <v>815</v>
      </c>
      <c r="G3543">
        <v>98</v>
      </c>
      <c r="H3543">
        <v>32332</v>
      </c>
      <c r="I3543">
        <v>17</v>
      </c>
      <c r="J3543">
        <v>38</v>
      </c>
      <c r="K3543">
        <v>761</v>
      </c>
      <c r="L3543">
        <v>769</v>
      </c>
      <c r="M3543">
        <v>24</v>
      </c>
      <c r="N3543">
        <f>IFERROR(VLOOKUP(A3543,vlookup_table!$A:$G,2,FALSE),"")</f>
        <v>2</v>
      </c>
      <c r="O3543">
        <f>IFERROR(VLOOKUP(A3543,vlookup_table!$A:$G,4,FALSE),"")</f>
        <v>4701</v>
      </c>
      <c r="P3543" t="str">
        <f>IFERROR(VLOOKUP(A3543,vlookup_table!$A:$G,5,FALSE),"")</f>
        <v>S1</v>
      </c>
      <c r="Q3543">
        <f>IFERROR(VLOOKUP(A3543,vlookup_table!$A:$G,7,FALSE),"")</f>
        <v>33</v>
      </c>
      <c r="R3543">
        <f t="shared" si="220"/>
        <v>50</v>
      </c>
      <c r="S3543" t="str" cm="1">
        <f t="array" ref="S3543">IF(P3543="","",_xlfn.SWITCH(LEFT(P3543,1),"C","Ciudad","T","Pueblo","R","Rural","S","Suburbano","U","Urbano",""))</f>
        <v>Suburbano</v>
      </c>
      <c r="T3543" t="str">
        <f t="shared" si="221"/>
        <v>F</v>
      </c>
      <c r="U3543" t="str">
        <f t="shared" si="222"/>
        <v>CA</v>
      </c>
      <c r="V3543" t="str">
        <f t="shared" si="223"/>
        <v>32332</v>
      </c>
    </row>
    <row r="3544" spans="1:22" x14ac:dyDescent="0.35">
      <c r="A3544" s="3">
        <v>76891</v>
      </c>
      <c r="B3544" t="s">
        <v>47</v>
      </c>
      <c r="C3544" t="s">
        <v>14</v>
      </c>
      <c r="D3544">
        <v>740</v>
      </c>
      <c r="E3544">
        <v>555</v>
      </c>
      <c r="F3544">
        <v>669</v>
      </c>
      <c r="G3544">
        <v>1</v>
      </c>
      <c r="H3544">
        <v>20144</v>
      </c>
      <c r="I3544">
        <v>0</v>
      </c>
      <c r="J3544">
        <v>52</v>
      </c>
      <c r="K3544">
        <v>585</v>
      </c>
      <c r="L3544">
        <v>616</v>
      </c>
      <c r="M3544">
        <v>14.222222220000001</v>
      </c>
      <c r="N3544">
        <f>IFERROR(VLOOKUP(A3544,vlookup_table!$A:$G,2,FALSE),"")</f>
        <v>1</v>
      </c>
      <c r="O3544">
        <f>IFERROR(VLOOKUP(A3544,vlookup_table!$A:$G,4,FALSE),"")</f>
        <v>6601</v>
      </c>
      <c r="P3544" t="str">
        <f>IFERROR(VLOOKUP(A3544,vlookup_table!$A:$G,5,FALSE),"")</f>
        <v>S1</v>
      </c>
      <c r="Q3544">
        <f>IFERROR(VLOOKUP(A3544,vlookup_table!$A:$G,7,FALSE),"")</f>
        <v>10</v>
      </c>
      <c r="R3544">
        <f t="shared" si="220"/>
        <v>31</v>
      </c>
      <c r="S3544" t="str" cm="1">
        <f t="array" ref="S3544">IF(P3544="","",_xlfn.SWITCH(LEFT(P3544,1),"C","Ciudad","T","Pueblo","R","Rural","S","Suburbano","U","Urbano",""))</f>
        <v>Suburbano</v>
      </c>
      <c r="T3544" t="str">
        <f t="shared" si="221"/>
        <v>M</v>
      </c>
      <c r="U3544" t="str">
        <f t="shared" si="222"/>
        <v>IA</v>
      </c>
      <c r="V3544" t="str">
        <f t="shared" si="223"/>
        <v>20144</v>
      </c>
    </row>
    <row r="3545" spans="1:22" x14ac:dyDescent="0.35">
      <c r="A3545" s="3">
        <v>114197</v>
      </c>
      <c r="B3545" t="s">
        <v>31</v>
      </c>
      <c r="C3545" t="s">
        <v>14</v>
      </c>
      <c r="D3545">
        <v>566</v>
      </c>
      <c r="E3545">
        <v>216</v>
      </c>
      <c r="F3545">
        <v>307</v>
      </c>
      <c r="G3545">
        <v>0</v>
      </c>
      <c r="H3545">
        <v>11117</v>
      </c>
      <c r="I3545">
        <v>2</v>
      </c>
      <c r="J3545">
        <v>57</v>
      </c>
      <c r="K3545">
        <v>277</v>
      </c>
      <c r="L3545">
        <v>279</v>
      </c>
      <c r="M3545">
        <v>11.33333333</v>
      </c>
      <c r="N3545">
        <f>IFERROR(VLOOKUP(A3545,vlookup_table!$A:$G,2,FALSE),"")</f>
        <v>1</v>
      </c>
      <c r="O3545">
        <f>IFERROR(VLOOKUP(A3545,vlookup_table!$A:$G,4,FALSE),"")</f>
        <v>2901</v>
      </c>
      <c r="P3545" t="str">
        <f>IFERROR(VLOOKUP(A3545,vlookup_table!$A:$G,5,FALSE),"")</f>
        <v>T2</v>
      </c>
      <c r="Q3545">
        <f>IFERROR(VLOOKUP(A3545,vlookup_table!$A:$G,7,FALSE),"")</f>
        <v>11</v>
      </c>
      <c r="R3545">
        <f t="shared" si="220"/>
        <v>68</v>
      </c>
      <c r="S3545" t="str" cm="1">
        <f t="array" ref="S3545">IF(P3545="","",_xlfn.SWITCH(LEFT(P3545,1),"C","Ciudad","T","Pueblo","R","Rural","S","Suburbano","U","Urbano",""))</f>
        <v>Pueblo</v>
      </c>
      <c r="T3545" t="str">
        <f t="shared" si="221"/>
        <v>M</v>
      </c>
      <c r="U3545" t="str">
        <f t="shared" si="222"/>
        <v>OK</v>
      </c>
      <c r="V3545" t="str">
        <f t="shared" si="223"/>
        <v>11117</v>
      </c>
    </row>
    <row r="3546" spans="1:22" x14ac:dyDescent="0.35">
      <c r="A3546" s="3">
        <v>164894</v>
      </c>
      <c r="B3546" t="s">
        <v>22</v>
      </c>
      <c r="C3546" t="s">
        <v>17</v>
      </c>
      <c r="D3546">
        <v>1872</v>
      </c>
      <c r="E3546">
        <v>382</v>
      </c>
      <c r="F3546">
        <v>483</v>
      </c>
      <c r="G3546">
        <v>44</v>
      </c>
      <c r="H3546">
        <v>14606</v>
      </c>
      <c r="I3546">
        <v>31</v>
      </c>
      <c r="J3546">
        <v>41</v>
      </c>
      <c r="K3546">
        <v>445</v>
      </c>
      <c r="L3546">
        <v>421</v>
      </c>
      <c r="M3546">
        <v>3.8571428569999999</v>
      </c>
      <c r="N3546">
        <f>IFERROR(VLOOKUP(A3546,vlookup_table!$A:$G,2,FALSE),"")</f>
        <v>0</v>
      </c>
      <c r="O3546">
        <f>IFERROR(VLOOKUP(A3546,vlookup_table!$A:$G,4,FALSE),"")</f>
        <v>2801</v>
      </c>
      <c r="P3546" t="str">
        <f>IFERROR(VLOOKUP(A3546,vlookup_table!$A:$G,5,FALSE),"")</f>
        <v>S2</v>
      </c>
      <c r="Q3546">
        <f>IFERROR(VLOOKUP(A3546,vlookup_table!$A:$G,7,FALSE),"")</f>
        <v>10</v>
      </c>
      <c r="R3546">
        <f t="shared" si="220"/>
        <v>69</v>
      </c>
      <c r="S3546" t="str" cm="1">
        <f t="array" ref="S3546">IF(P3546="","",_xlfn.SWITCH(LEFT(P3546,1),"C","Ciudad","T","Pueblo","R","Rural","S","Suburbano","U","Urbano",""))</f>
        <v>Suburbano</v>
      </c>
      <c r="T3546" t="str">
        <f t="shared" si="221"/>
        <v>F</v>
      </c>
      <c r="U3546" t="str">
        <f t="shared" si="222"/>
        <v>CA</v>
      </c>
      <c r="V3546" t="str">
        <f t="shared" si="223"/>
        <v>14606</v>
      </c>
    </row>
    <row r="3547" spans="1:22" x14ac:dyDescent="0.35">
      <c r="A3547" s="3">
        <v>23351</v>
      </c>
      <c r="B3547" t="s">
        <v>46</v>
      </c>
      <c r="C3547" t="s">
        <v>17</v>
      </c>
      <c r="D3547">
        <v>381</v>
      </c>
      <c r="E3547">
        <v>219</v>
      </c>
      <c r="F3547">
        <v>282</v>
      </c>
      <c r="G3547">
        <v>0</v>
      </c>
      <c r="H3547">
        <v>8259</v>
      </c>
      <c r="I3547">
        <v>0</v>
      </c>
      <c r="J3547">
        <v>93</v>
      </c>
      <c r="K3547">
        <v>267</v>
      </c>
      <c r="L3547">
        <v>257</v>
      </c>
      <c r="M3547">
        <v>9.0625</v>
      </c>
      <c r="N3547">
        <f>IFERROR(VLOOKUP(A3547,vlookup_table!$A:$G,2,FALSE),"")</f>
        <v>28</v>
      </c>
      <c r="O3547">
        <f>IFERROR(VLOOKUP(A3547,vlookup_table!$A:$G,4,FALSE),"")</f>
        <v>2402</v>
      </c>
      <c r="P3547" t="str">
        <f>IFERROR(VLOOKUP(A3547,vlookup_table!$A:$G,5,FALSE),"")</f>
        <v>R3</v>
      </c>
      <c r="Q3547">
        <f>IFERROR(VLOOKUP(A3547,vlookup_table!$A:$G,7,FALSE),"")</f>
        <v>10</v>
      </c>
      <c r="R3547">
        <f t="shared" si="220"/>
        <v>73</v>
      </c>
      <c r="S3547" t="str" cm="1">
        <f t="array" ref="S3547">IF(P3547="","",_xlfn.SWITCH(LEFT(P3547,1),"C","Ciudad","T","Pueblo","R","Rural","S","Suburbano","U","Urbano",""))</f>
        <v>Rural</v>
      </c>
      <c r="T3547" t="str">
        <f t="shared" si="221"/>
        <v>F</v>
      </c>
      <c r="U3547" t="str">
        <f t="shared" si="222"/>
        <v>SC</v>
      </c>
      <c r="V3547" t="str">
        <f t="shared" si="223"/>
        <v>8259</v>
      </c>
    </row>
    <row r="3548" spans="1:22" x14ac:dyDescent="0.35">
      <c r="A3548" s="3">
        <v>37205</v>
      </c>
      <c r="B3548" t="s">
        <v>13</v>
      </c>
      <c r="C3548" t="s">
        <v>17</v>
      </c>
      <c r="D3548">
        <v>914</v>
      </c>
      <c r="E3548">
        <v>321</v>
      </c>
      <c r="F3548">
        <v>409</v>
      </c>
      <c r="G3548">
        <v>0</v>
      </c>
      <c r="H3548">
        <v>17804</v>
      </c>
      <c r="I3548">
        <v>11</v>
      </c>
      <c r="J3548">
        <v>16</v>
      </c>
      <c r="K3548">
        <v>363</v>
      </c>
      <c r="L3548">
        <v>371</v>
      </c>
      <c r="M3548">
        <v>10.33333333</v>
      </c>
      <c r="N3548">
        <f>IFERROR(VLOOKUP(A3548,vlookup_table!$A:$G,2,FALSE),"")</f>
        <v>0</v>
      </c>
      <c r="O3548">
        <f>IFERROR(VLOOKUP(A3548,vlookup_table!$A:$G,4,FALSE),"")</f>
        <v>3009</v>
      </c>
      <c r="P3548" t="str">
        <f>IFERROR(VLOOKUP(A3548,vlookup_table!$A:$G,5,FALSE),"")</f>
        <v>S2</v>
      </c>
      <c r="Q3548">
        <f>IFERROR(VLOOKUP(A3548,vlookup_table!$A:$G,7,FALSE),"")</f>
        <v>10</v>
      </c>
      <c r="R3548">
        <f t="shared" si="220"/>
        <v>67</v>
      </c>
      <c r="S3548" t="str" cm="1">
        <f t="array" ref="S3548">IF(P3548="","",_xlfn.SWITCH(LEFT(P3548,1),"C","Ciudad","T","Pueblo","R","Rural","S","Suburbano","U","Urbano",""))</f>
        <v>Suburbano</v>
      </c>
      <c r="T3548" t="str">
        <f t="shared" si="221"/>
        <v>F</v>
      </c>
      <c r="U3548" t="str">
        <f t="shared" si="222"/>
        <v>FL</v>
      </c>
      <c r="V3548" t="str">
        <f t="shared" si="223"/>
        <v>17804</v>
      </c>
    </row>
    <row r="3549" spans="1:22" x14ac:dyDescent="0.35">
      <c r="A3549" s="3">
        <v>174453</v>
      </c>
      <c r="B3549" t="s">
        <v>50</v>
      </c>
      <c r="C3549" t="s">
        <v>14</v>
      </c>
      <c r="D3549">
        <v>765</v>
      </c>
      <c r="E3549">
        <v>313</v>
      </c>
      <c r="F3549">
        <v>386</v>
      </c>
      <c r="G3549">
        <v>1</v>
      </c>
      <c r="H3549">
        <v>18180</v>
      </c>
      <c r="I3549">
        <v>3</v>
      </c>
      <c r="J3549">
        <v>56</v>
      </c>
      <c r="K3549">
        <v>332</v>
      </c>
      <c r="L3549">
        <v>373</v>
      </c>
      <c r="M3549">
        <v>9.875</v>
      </c>
      <c r="N3549">
        <f>IFERROR(VLOOKUP(A3549,vlookup_table!$A:$G,2,FALSE),"")</f>
        <v>1</v>
      </c>
      <c r="O3549">
        <f>IFERROR(VLOOKUP(A3549,vlookup_table!$A:$G,4,FALSE),"")</f>
        <v>2009</v>
      </c>
      <c r="P3549" t="str">
        <f>IFERROR(VLOOKUP(A3549,vlookup_table!$A:$G,5,FALSE),"")</f>
        <v>R2</v>
      </c>
      <c r="Q3549">
        <f>IFERROR(VLOOKUP(A3549,vlookup_table!$A:$G,7,FALSE),"")</f>
        <v>15</v>
      </c>
      <c r="R3549">
        <f t="shared" si="220"/>
        <v>77</v>
      </c>
      <c r="S3549" t="str" cm="1">
        <f t="array" ref="S3549">IF(P3549="","",_xlfn.SWITCH(LEFT(P3549,1),"C","Ciudad","T","Pueblo","R","Rural","S","Suburbano","U","Urbano",""))</f>
        <v>Rural</v>
      </c>
      <c r="T3549" t="str">
        <f t="shared" si="221"/>
        <v>M</v>
      </c>
      <c r="U3549" t="str">
        <f t="shared" si="222"/>
        <v>OR</v>
      </c>
      <c r="V3549" t="str">
        <f t="shared" si="223"/>
        <v>18180</v>
      </c>
    </row>
    <row r="3550" spans="1:22" x14ac:dyDescent="0.35">
      <c r="A3550" s="3">
        <v>150060</v>
      </c>
      <c r="B3550" t="s">
        <v>22</v>
      </c>
      <c r="C3550" t="s">
        <v>17</v>
      </c>
      <c r="D3550">
        <v>2773</v>
      </c>
      <c r="E3550">
        <v>357</v>
      </c>
      <c r="F3550">
        <v>455</v>
      </c>
      <c r="G3550">
        <v>82</v>
      </c>
      <c r="H3550">
        <v>16115</v>
      </c>
      <c r="I3550">
        <v>5</v>
      </c>
      <c r="J3550">
        <v>56</v>
      </c>
      <c r="K3550">
        <v>385</v>
      </c>
      <c r="L3550">
        <v>431</v>
      </c>
      <c r="M3550">
        <v>17.916666670000001</v>
      </c>
      <c r="N3550">
        <f>IFERROR(VLOOKUP(A3550,vlookup_table!$A:$G,2,FALSE),"")</f>
        <v>2</v>
      </c>
      <c r="O3550">
        <f>IFERROR(VLOOKUP(A3550,vlookup_table!$A:$G,4,FALSE),"")</f>
        <v>0</v>
      </c>
      <c r="P3550" t="str">
        <f>IFERROR(VLOOKUP(A3550,vlookup_table!$A:$G,5,FALSE),"")</f>
        <v>U1</v>
      </c>
      <c r="Q3550">
        <f>IFERROR(VLOOKUP(A3550,vlookup_table!$A:$G,7,FALSE),"")</f>
        <v>20</v>
      </c>
      <c r="R3550">
        <f t="shared" si="220"/>
        <v>97</v>
      </c>
      <c r="S3550" t="str" cm="1">
        <f t="array" ref="S3550">IF(P3550="","",_xlfn.SWITCH(LEFT(P3550,1),"C","Ciudad","T","Pueblo","R","Rural","S","Suburbano","U","Urbano",""))</f>
        <v>Urbano</v>
      </c>
      <c r="T3550" t="str">
        <f t="shared" si="221"/>
        <v>F</v>
      </c>
      <c r="U3550" t="str">
        <f t="shared" si="222"/>
        <v>CA</v>
      </c>
      <c r="V3550" t="str">
        <f t="shared" si="223"/>
        <v>16115</v>
      </c>
    </row>
    <row r="3551" spans="1:22" x14ac:dyDescent="0.35">
      <c r="A3551" s="3">
        <v>6851</v>
      </c>
      <c r="B3551" t="s">
        <v>22</v>
      </c>
      <c r="D3551">
        <v>1400</v>
      </c>
      <c r="E3551">
        <v>246</v>
      </c>
      <c r="F3551">
        <v>331</v>
      </c>
      <c r="G3551">
        <v>18</v>
      </c>
      <c r="H3551">
        <v>11924</v>
      </c>
      <c r="I3551">
        <v>2</v>
      </c>
      <c r="J3551">
        <v>66</v>
      </c>
      <c r="K3551">
        <v>304</v>
      </c>
      <c r="L3551">
        <v>281</v>
      </c>
      <c r="M3551">
        <v>10</v>
      </c>
      <c r="N3551">
        <f>IFERROR(VLOOKUP(A3551,vlookup_table!$A:$G,2,FALSE),"")</f>
        <v>0</v>
      </c>
      <c r="O3551">
        <f>IFERROR(VLOOKUP(A3551,vlookup_table!$A:$G,4,FALSE),"")</f>
        <v>3104</v>
      </c>
      <c r="P3551" t="str">
        <f>IFERROR(VLOOKUP(A3551,vlookup_table!$A:$G,5,FALSE),"")</f>
        <v>T2</v>
      </c>
      <c r="Q3551">
        <f>IFERROR(VLOOKUP(A3551,vlookup_table!$A:$G,7,FALSE),"")</f>
        <v>7</v>
      </c>
      <c r="R3551">
        <f t="shared" si="220"/>
        <v>66</v>
      </c>
      <c r="S3551" t="str" cm="1">
        <f t="array" ref="S3551">IF(P3551="","",_xlfn.SWITCH(LEFT(P3551,1),"C","Ciudad","T","Pueblo","R","Rural","S","Suburbano","U","Urbano",""))</f>
        <v>Pueblo</v>
      </c>
      <c r="T3551" t="str">
        <f t="shared" si="221"/>
        <v/>
      </c>
      <c r="U3551" t="str">
        <f t="shared" si="222"/>
        <v>CA</v>
      </c>
      <c r="V3551" t="str">
        <f t="shared" si="223"/>
        <v>11924</v>
      </c>
    </row>
    <row r="3552" spans="1:22" x14ac:dyDescent="0.35">
      <c r="A3552" s="3">
        <v>152094</v>
      </c>
      <c r="B3552" t="s">
        <v>22</v>
      </c>
      <c r="C3552" t="s">
        <v>17</v>
      </c>
      <c r="D3552">
        <v>1546</v>
      </c>
      <c r="E3552">
        <v>320</v>
      </c>
      <c r="F3552">
        <v>421</v>
      </c>
      <c r="G3552">
        <v>21</v>
      </c>
      <c r="H3552">
        <v>13648</v>
      </c>
      <c r="I3552">
        <v>6</v>
      </c>
      <c r="J3552">
        <v>44</v>
      </c>
      <c r="K3552">
        <v>388</v>
      </c>
      <c r="L3552">
        <v>379</v>
      </c>
      <c r="M3552">
        <v>7</v>
      </c>
      <c r="N3552">
        <f>IFERROR(VLOOKUP(A3552,vlookup_table!$A:$G,2,FALSE),"")</f>
        <v>0</v>
      </c>
      <c r="O3552">
        <f>IFERROR(VLOOKUP(A3552,vlookup_table!$A:$G,4,FALSE),"")</f>
        <v>5201</v>
      </c>
      <c r="P3552" t="str">
        <f>IFERROR(VLOOKUP(A3552,vlookup_table!$A:$G,5,FALSE),"")</f>
        <v>S2</v>
      </c>
      <c r="Q3552">
        <f>IFERROR(VLOOKUP(A3552,vlookup_table!$A:$G,7,FALSE),"")</f>
        <v>10</v>
      </c>
      <c r="R3552">
        <f t="shared" si="220"/>
        <v>45</v>
      </c>
      <c r="S3552" t="str" cm="1">
        <f t="array" ref="S3552">IF(P3552="","",_xlfn.SWITCH(LEFT(P3552,1),"C","Ciudad","T","Pueblo","R","Rural","S","Suburbano","U","Urbano",""))</f>
        <v>Suburbano</v>
      </c>
      <c r="T3552" t="str">
        <f t="shared" si="221"/>
        <v>F</v>
      </c>
      <c r="U3552" t="str">
        <f t="shared" si="222"/>
        <v>CA</v>
      </c>
      <c r="V3552" t="str">
        <f t="shared" si="223"/>
        <v>13648</v>
      </c>
    </row>
    <row r="3553" spans="1:22" x14ac:dyDescent="0.35">
      <c r="A3553" s="3">
        <v>154892</v>
      </c>
      <c r="B3553" t="s">
        <v>22</v>
      </c>
      <c r="C3553" t="s">
        <v>17</v>
      </c>
      <c r="D3553">
        <v>1353</v>
      </c>
      <c r="E3553">
        <v>218</v>
      </c>
      <c r="F3553">
        <v>371</v>
      </c>
      <c r="G3553">
        <v>1</v>
      </c>
      <c r="H3553">
        <v>14010</v>
      </c>
      <c r="I3553">
        <v>7</v>
      </c>
      <c r="J3553">
        <v>40</v>
      </c>
      <c r="K3553">
        <v>349</v>
      </c>
      <c r="L3553">
        <v>290</v>
      </c>
      <c r="M3553">
        <v>7.05</v>
      </c>
      <c r="N3553">
        <f>IFERROR(VLOOKUP(A3553,vlookup_table!$A:$G,2,FALSE),"")</f>
        <v>0</v>
      </c>
      <c r="O3553">
        <f>IFERROR(VLOOKUP(A3553,vlookup_table!$A:$G,4,FALSE),"")</f>
        <v>3801</v>
      </c>
      <c r="P3553" t="str">
        <f>IFERROR(VLOOKUP(A3553,vlookup_table!$A:$G,5,FALSE),"")</f>
        <v>C3</v>
      </c>
      <c r="Q3553">
        <f>IFERROR(VLOOKUP(A3553,vlookup_table!$A:$G,7,FALSE),"")</f>
        <v>9</v>
      </c>
      <c r="R3553">
        <f t="shared" si="220"/>
        <v>59</v>
      </c>
      <c r="S3553" t="str" cm="1">
        <f t="array" ref="S3553">IF(P3553="","",_xlfn.SWITCH(LEFT(P3553,1),"C","Ciudad","T","Pueblo","R","Rural","S","Suburbano","U","Urbano",""))</f>
        <v>Ciudad</v>
      </c>
      <c r="T3553" t="str">
        <f t="shared" si="221"/>
        <v>F</v>
      </c>
      <c r="U3553" t="str">
        <f t="shared" si="222"/>
        <v>CA</v>
      </c>
      <c r="V3553" t="str">
        <f t="shared" si="223"/>
        <v>14010</v>
      </c>
    </row>
    <row r="3554" spans="1:22" x14ac:dyDescent="0.35">
      <c r="A3554" s="3">
        <v>186204</v>
      </c>
      <c r="B3554" t="s">
        <v>55</v>
      </c>
      <c r="C3554" t="s">
        <v>14</v>
      </c>
      <c r="D3554">
        <v>1117</v>
      </c>
      <c r="E3554">
        <v>475</v>
      </c>
      <c r="F3554">
        <v>551</v>
      </c>
      <c r="G3554">
        <v>10</v>
      </c>
      <c r="H3554">
        <v>16341</v>
      </c>
      <c r="I3554">
        <v>3</v>
      </c>
      <c r="J3554">
        <v>33</v>
      </c>
      <c r="K3554">
        <v>501</v>
      </c>
      <c r="L3554">
        <v>527</v>
      </c>
      <c r="M3554">
        <v>7.5</v>
      </c>
      <c r="N3554">
        <f>IFERROR(VLOOKUP(A3554,vlookup_table!$A:$G,2,FALSE),"")</f>
        <v>1</v>
      </c>
      <c r="O3554">
        <f>IFERROR(VLOOKUP(A3554,vlookup_table!$A:$G,4,FALSE),"")</f>
        <v>4201</v>
      </c>
      <c r="P3554">
        <f>IFERROR(VLOOKUP(A3554,vlookup_table!$A:$G,5,FALSE),"")</f>
        <v>0</v>
      </c>
      <c r="Q3554">
        <f>IFERROR(VLOOKUP(A3554,vlookup_table!$A:$G,7,FALSE),"")</f>
        <v>5</v>
      </c>
      <c r="R3554">
        <f t="shared" si="220"/>
        <v>55</v>
      </c>
      <c r="S3554" t="str" cm="1">
        <f t="array" ref="S3554">IF(P3554="","",_xlfn.SWITCH(LEFT(P3554,1),"C","Ciudad","T","Pueblo","R","Rural","S","Suburbano","U","Urbano",""))</f>
        <v/>
      </c>
      <c r="T3554" t="str">
        <f t="shared" si="221"/>
        <v>M</v>
      </c>
      <c r="U3554" t="str">
        <f t="shared" si="222"/>
        <v>AZ</v>
      </c>
      <c r="V3554" t="str">
        <f t="shared" si="223"/>
        <v>16341</v>
      </c>
    </row>
    <row r="3555" spans="1:22" x14ac:dyDescent="0.35">
      <c r="A3555" s="3">
        <v>47860</v>
      </c>
      <c r="B3555" t="s">
        <v>43</v>
      </c>
      <c r="C3555" t="s">
        <v>27</v>
      </c>
      <c r="D3555">
        <v>549</v>
      </c>
      <c r="E3555">
        <v>401</v>
      </c>
      <c r="F3555">
        <v>475</v>
      </c>
      <c r="G3555">
        <v>1</v>
      </c>
      <c r="H3555">
        <v>16638</v>
      </c>
      <c r="I3555">
        <v>0</v>
      </c>
      <c r="J3555">
        <v>74</v>
      </c>
      <c r="K3555">
        <v>459</v>
      </c>
      <c r="L3555">
        <v>435</v>
      </c>
      <c r="M3555">
        <v>6.75</v>
      </c>
      <c r="N3555">
        <f>IFERROR(VLOOKUP(A3555,vlookup_table!$A:$G,2,FALSE),"")</f>
        <v>1</v>
      </c>
      <c r="O3555">
        <f>IFERROR(VLOOKUP(A3555,vlookup_table!$A:$G,4,FALSE),"")</f>
        <v>3301</v>
      </c>
      <c r="P3555" t="str">
        <f>IFERROR(VLOOKUP(A3555,vlookup_table!$A:$G,5,FALSE),"")</f>
        <v>T2</v>
      </c>
      <c r="Q3555">
        <f>IFERROR(VLOOKUP(A3555,vlookup_table!$A:$G,7,FALSE),"")</f>
        <v>7</v>
      </c>
      <c r="R3555">
        <f t="shared" si="220"/>
        <v>64</v>
      </c>
      <c r="S3555" t="str" cm="1">
        <f t="array" ref="S3555">IF(P3555="","",_xlfn.SWITCH(LEFT(P3555,1),"C","Ciudad","T","Pueblo","R","Rural","S","Suburbano","U","Urbano",""))</f>
        <v>Pueblo</v>
      </c>
      <c r="T3555" t="str">
        <f t="shared" si="221"/>
        <v>M</v>
      </c>
      <c r="U3555" t="str">
        <f t="shared" si="222"/>
        <v>AL</v>
      </c>
      <c r="V3555" t="str">
        <f t="shared" si="223"/>
        <v>16638</v>
      </c>
    </row>
    <row r="3556" spans="1:22" x14ac:dyDescent="0.35">
      <c r="A3556" s="3">
        <v>120574</v>
      </c>
      <c r="B3556" t="s">
        <v>21</v>
      </c>
      <c r="C3556" t="s">
        <v>14</v>
      </c>
      <c r="D3556">
        <v>391</v>
      </c>
      <c r="E3556">
        <v>243</v>
      </c>
      <c r="F3556">
        <v>302</v>
      </c>
      <c r="G3556">
        <v>0</v>
      </c>
      <c r="H3556">
        <v>10702</v>
      </c>
      <c r="I3556">
        <v>0</v>
      </c>
      <c r="J3556">
        <v>79</v>
      </c>
      <c r="K3556">
        <v>263</v>
      </c>
      <c r="L3556">
        <v>255</v>
      </c>
      <c r="M3556">
        <v>16</v>
      </c>
      <c r="N3556">
        <f>IFERROR(VLOOKUP(A3556,vlookup_table!$A:$G,2,FALSE),"")</f>
        <v>1</v>
      </c>
      <c r="O3556">
        <f>IFERROR(VLOOKUP(A3556,vlookup_table!$A:$G,4,FALSE),"")</f>
        <v>7101</v>
      </c>
      <c r="P3556" t="str">
        <f>IFERROR(VLOOKUP(A3556,vlookup_table!$A:$G,5,FALSE),"")</f>
        <v>C2</v>
      </c>
      <c r="Q3556">
        <f>IFERROR(VLOOKUP(A3556,vlookup_table!$A:$G,7,FALSE),"")</f>
        <v>17</v>
      </c>
      <c r="R3556">
        <f t="shared" si="220"/>
        <v>26</v>
      </c>
      <c r="S3556" t="str" cm="1">
        <f t="array" ref="S3556">IF(P3556="","",_xlfn.SWITCH(LEFT(P3556,1),"C","Ciudad","T","Pueblo","R","Rural","S","Suburbano","U","Urbano",""))</f>
        <v>Ciudad</v>
      </c>
      <c r="T3556" t="str">
        <f t="shared" si="221"/>
        <v>M</v>
      </c>
      <c r="U3556" t="str">
        <f t="shared" si="222"/>
        <v>TX</v>
      </c>
      <c r="V3556" t="str">
        <f t="shared" si="223"/>
        <v>10702</v>
      </c>
    </row>
    <row r="3557" spans="1:22" x14ac:dyDescent="0.35">
      <c r="A3557" s="3">
        <v>65746</v>
      </c>
      <c r="B3557" t="s">
        <v>29</v>
      </c>
      <c r="C3557" t="s">
        <v>14</v>
      </c>
      <c r="D3557">
        <v>780</v>
      </c>
      <c r="E3557">
        <v>395</v>
      </c>
      <c r="F3557">
        <v>548</v>
      </c>
      <c r="G3557">
        <v>0</v>
      </c>
      <c r="H3557">
        <v>18605</v>
      </c>
      <c r="I3557">
        <v>10</v>
      </c>
      <c r="J3557">
        <v>79</v>
      </c>
      <c r="K3557">
        <v>434</v>
      </c>
      <c r="L3557">
        <v>494</v>
      </c>
      <c r="M3557">
        <v>10</v>
      </c>
      <c r="N3557">
        <f>IFERROR(VLOOKUP(A3557,vlookup_table!$A:$G,2,FALSE),"")</f>
        <v>1</v>
      </c>
      <c r="O3557">
        <f>IFERROR(VLOOKUP(A3557,vlookup_table!$A:$G,4,FALSE),"")</f>
        <v>6511</v>
      </c>
      <c r="P3557" t="str">
        <f>IFERROR(VLOOKUP(A3557,vlookup_table!$A:$G,5,FALSE),"")</f>
        <v>S2</v>
      </c>
      <c r="Q3557">
        <f>IFERROR(VLOOKUP(A3557,vlookup_table!$A:$G,7,FALSE),"")</f>
        <v>20</v>
      </c>
      <c r="R3557">
        <f t="shared" si="220"/>
        <v>32</v>
      </c>
      <c r="S3557" t="str" cm="1">
        <f t="array" ref="S3557">IF(P3557="","",_xlfn.SWITCH(LEFT(P3557,1),"C","Ciudad","T","Pueblo","R","Rural","S","Suburbano","U","Urbano",""))</f>
        <v>Suburbano</v>
      </c>
      <c r="T3557" t="str">
        <f t="shared" si="221"/>
        <v>M</v>
      </c>
      <c r="U3557" t="str">
        <f t="shared" si="222"/>
        <v>MI</v>
      </c>
      <c r="V3557" t="str">
        <f t="shared" si="223"/>
        <v>18605</v>
      </c>
    </row>
    <row r="3558" spans="1:22" x14ac:dyDescent="0.35">
      <c r="A3558" s="3">
        <v>172167</v>
      </c>
      <c r="B3558" t="s">
        <v>22</v>
      </c>
      <c r="C3558" t="s">
        <v>17</v>
      </c>
      <c r="D3558">
        <v>680</v>
      </c>
      <c r="E3558">
        <v>235</v>
      </c>
      <c r="F3558">
        <v>287</v>
      </c>
      <c r="G3558">
        <v>0</v>
      </c>
      <c r="H3558">
        <v>7362</v>
      </c>
      <c r="I3558">
        <v>12</v>
      </c>
      <c r="J3558">
        <v>60</v>
      </c>
      <c r="K3558">
        <v>243</v>
      </c>
      <c r="L3558">
        <v>282</v>
      </c>
      <c r="M3558">
        <v>13</v>
      </c>
      <c r="N3558">
        <f>IFERROR(VLOOKUP(A3558,vlookup_table!$A:$G,2,FALSE),"")</f>
        <v>0</v>
      </c>
      <c r="O3558">
        <f>IFERROR(VLOOKUP(A3558,vlookup_table!$A:$G,4,FALSE),"")</f>
        <v>3901</v>
      </c>
      <c r="P3558" t="str">
        <f>IFERROR(VLOOKUP(A3558,vlookup_table!$A:$G,5,FALSE),"")</f>
        <v>S3</v>
      </c>
      <c r="Q3558">
        <f>IFERROR(VLOOKUP(A3558,vlookup_table!$A:$G,7,FALSE),"")</f>
        <v>20</v>
      </c>
      <c r="R3558">
        <f t="shared" si="220"/>
        <v>58</v>
      </c>
      <c r="S3558" t="str" cm="1">
        <f t="array" ref="S3558">IF(P3558="","",_xlfn.SWITCH(LEFT(P3558,1),"C","Ciudad","T","Pueblo","R","Rural","S","Suburbano","U","Urbano",""))</f>
        <v>Suburbano</v>
      </c>
      <c r="T3558" t="str">
        <f t="shared" si="221"/>
        <v>F</v>
      </c>
      <c r="U3558" t="str">
        <f t="shared" si="222"/>
        <v>CA</v>
      </c>
      <c r="V3558" t="str">
        <f t="shared" si="223"/>
        <v>7362</v>
      </c>
    </row>
    <row r="3559" spans="1:22" x14ac:dyDescent="0.35">
      <c r="A3559" s="3">
        <v>91580</v>
      </c>
      <c r="B3559" t="s">
        <v>16</v>
      </c>
      <c r="C3559" t="s">
        <v>17</v>
      </c>
      <c r="D3559">
        <v>852</v>
      </c>
      <c r="E3559">
        <v>377</v>
      </c>
      <c r="F3559">
        <v>417</v>
      </c>
      <c r="G3559">
        <v>1</v>
      </c>
      <c r="H3559">
        <v>13398</v>
      </c>
      <c r="I3559">
        <v>6</v>
      </c>
      <c r="J3559">
        <v>86</v>
      </c>
      <c r="K3559">
        <v>401</v>
      </c>
      <c r="L3559">
        <v>383</v>
      </c>
      <c r="M3559">
        <v>4.076923077</v>
      </c>
      <c r="N3559">
        <f>IFERROR(VLOOKUP(A3559,vlookup_table!$A:$G,2,FALSE),"")</f>
        <v>0</v>
      </c>
      <c r="O3559">
        <f>IFERROR(VLOOKUP(A3559,vlookup_table!$A:$G,4,FALSE),"")</f>
        <v>0</v>
      </c>
      <c r="P3559" t="str">
        <f>IFERROR(VLOOKUP(A3559,vlookup_table!$A:$G,5,FALSE),"")</f>
        <v>S2</v>
      </c>
      <c r="Q3559">
        <f>IFERROR(VLOOKUP(A3559,vlookup_table!$A:$G,7,FALSE),"")</f>
        <v>4</v>
      </c>
      <c r="R3559">
        <f t="shared" si="220"/>
        <v>97</v>
      </c>
      <c r="S3559" t="str" cm="1">
        <f t="array" ref="S3559">IF(P3559="","",_xlfn.SWITCH(LEFT(P3559,1),"C","Ciudad","T","Pueblo","R","Rural","S","Suburbano","U","Urbano",""))</f>
        <v>Suburbano</v>
      </c>
      <c r="T3559" t="str">
        <f t="shared" si="221"/>
        <v>F</v>
      </c>
      <c r="U3559" t="str">
        <f t="shared" si="222"/>
        <v>IL</v>
      </c>
      <c r="V3559" t="str">
        <f t="shared" si="223"/>
        <v>13398</v>
      </c>
    </row>
    <row r="3560" spans="1:22" x14ac:dyDescent="0.35">
      <c r="A3560" s="3">
        <v>97015</v>
      </c>
      <c r="B3560" t="s">
        <v>21</v>
      </c>
      <c r="C3560" t="s">
        <v>17</v>
      </c>
      <c r="D3560">
        <v>992</v>
      </c>
      <c r="E3560">
        <v>551</v>
      </c>
      <c r="F3560">
        <v>602</v>
      </c>
      <c r="G3560">
        <v>0</v>
      </c>
      <c r="H3560">
        <v>17993</v>
      </c>
      <c r="I3560">
        <v>9</v>
      </c>
      <c r="J3560">
        <v>34</v>
      </c>
      <c r="K3560">
        <v>568</v>
      </c>
      <c r="L3560">
        <v>573</v>
      </c>
      <c r="M3560">
        <v>6.5454545450000001</v>
      </c>
      <c r="N3560">
        <f>IFERROR(VLOOKUP(A3560,vlookup_table!$A:$G,2,FALSE),"")</f>
        <v>28</v>
      </c>
      <c r="O3560">
        <f>IFERROR(VLOOKUP(A3560,vlookup_table!$A:$G,4,FALSE),"")</f>
        <v>5801</v>
      </c>
      <c r="P3560" t="str">
        <f>IFERROR(VLOOKUP(A3560,vlookup_table!$A:$G,5,FALSE),"")</f>
        <v>C1</v>
      </c>
      <c r="Q3560">
        <f>IFERROR(VLOOKUP(A3560,vlookup_table!$A:$G,7,FALSE),"")</f>
        <v>4</v>
      </c>
      <c r="R3560">
        <f t="shared" si="220"/>
        <v>39</v>
      </c>
      <c r="S3560" t="str" cm="1">
        <f t="array" ref="S3560">IF(P3560="","",_xlfn.SWITCH(LEFT(P3560,1),"C","Ciudad","T","Pueblo","R","Rural","S","Suburbano","U","Urbano",""))</f>
        <v>Ciudad</v>
      </c>
      <c r="T3560" t="str">
        <f t="shared" si="221"/>
        <v>F</v>
      </c>
      <c r="U3560" t="str">
        <f t="shared" si="222"/>
        <v>TX</v>
      </c>
      <c r="V3560" t="str">
        <f t="shared" si="223"/>
        <v>17993</v>
      </c>
    </row>
    <row r="3561" spans="1:22" x14ac:dyDescent="0.35">
      <c r="A3561" s="3">
        <v>171383</v>
      </c>
      <c r="B3561" t="s">
        <v>22</v>
      </c>
      <c r="C3561" t="s">
        <v>14</v>
      </c>
      <c r="D3561">
        <v>2051</v>
      </c>
      <c r="E3561">
        <v>503</v>
      </c>
      <c r="F3561">
        <v>568</v>
      </c>
      <c r="G3561">
        <v>55</v>
      </c>
      <c r="H3561">
        <v>17646</v>
      </c>
      <c r="I3561">
        <v>2</v>
      </c>
      <c r="J3561">
        <v>62</v>
      </c>
      <c r="K3561">
        <v>519</v>
      </c>
      <c r="L3561">
        <v>547</v>
      </c>
      <c r="M3561">
        <v>7.6666666670000003</v>
      </c>
      <c r="N3561">
        <f>IFERROR(VLOOKUP(A3561,vlookup_table!$A:$G,2,FALSE),"")</f>
        <v>1002</v>
      </c>
      <c r="O3561">
        <f>IFERROR(VLOOKUP(A3561,vlookup_table!$A:$G,4,FALSE),"")</f>
        <v>3101</v>
      </c>
      <c r="P3561" t="str">
        <f>IFERROR(VLOOKUP(A3561,vlookup_table!$A:$G,5,FALSE),"")</f>
        <v>C1</v>
      </c>
      <c r="Q3561">
        <f>IFERROR(VLOOKUP(A3561,vlookup_table!$A:$G,7,FALSE),"")</f>
        <v>7</v>
      </c>
      <c r="R3561">
        <f t="shared" si="220"/>
        <v>66</v>
      </c>
      <c r="S3561" t="str" cm="1">
        <f t="array" ref="S3561">IF(P3561="","",_xlfn.SWITCH(LEFT(P3561,1),"C","Ciudad","T","Pueblo","R","Rural","S","Suburbano","U","Urbano",""))</f>
        <v>Ciudad</v>
      </c>
      <c r="T3561" t="str">
        <f t="shared" si="221"/>
        <v>M</v>
      </c>
      <c r="U3561" t="str">
        <f t="shared" si="222"/>
        <v>CA</v>
      </c>
      <c r="V3561" t="str">
        <f t="shared" si="223"/>
        <v>17646</v>
      </c>
    </row>
    <row r="3562" spans="1:22" x14ac:dyDescent="0.35">
      <c r="A3562" s="3">
        <v>52161</v>
      </c>
      <c r="B3562" t="s">
        <v>53</v>
      </c>
      <c r="C3562" t="s">
        <v>17</v>
      </c>
      <c r="D3562">
        <v>325</v>
      </c>
      <c r="E3562">
        <v>148</v>
      </c>
      <c r="F3562">
        <v>209</v>
      </c>
      <c r="G3562">
        <v>0</v>
      </c>
      <c r="H3562">
        <v>6334</v>
      </c>
      <c r="I3562">
        <v>0</v>
      </c>
      <c r="J3562">
        <v>86</v>
      </c>
      <c r="K3562">
        <v>181</v>
      </c>
      <c r="L3562">
        <v>171</v>
      </c>
      <c r="M3562">
        <v>6.7</v>
      </c>
      <c r="N3562">
        <f>IFERROR(VLOOKUP(A3562,vlookup_table!$A:$G,2,FALSE),"")</f>
        <v>0</v>
      </c>
      <c r="O3562">
        <f>IFERROR(VLOOKUP(A3562,vlookup_table!$A:$G,4,FALSE),"")</f>
        <v>3001</v>
      </c>
      <c r="P3562" t="str">
        <f>IFERROR(VLOOKUP(A3562,vlookup_table!$A:$G,5,FALSE),"")</f>
        <v>R3</v>
      </c>
      <c r="Q3562">
        <f>IFERROR(VLOOKUP(A3562,vlookup_table!$A:$G,7,FALSE),"")</f>
        <v>5</v>
      </c>
      <c r="R3562">
        <f t="shared" si="220"/>
        <v>67</v>
      </c>
      <c r="S3562" t="str" cm="1">
        <f t="array" ref="S3562">IF(P3562="","",_xlfn.SWITCH(LEFT(P3562,1),"C","Ciudad","T","Pueblo","R","Rural","S","Suburbano","U","Urbano",""))</f>
        <v>Rural</v>
      </c>
      <c r="T3562" t="str">
        <f t="shared" si="221"/>
        <v>F</v>
      </c>
      <c r="U3562" t="str">
        <f t="shared" si="222"/>
        <v>TN</v>
      </c>
      <c r="V3562" t="str">
        <f t="shared" si="223"/>
        <v>6334</v>
      </c>
    </row>
    <row r="3563" spans="1:22" x14ac:dyDescent="0.35">
      <c r="A3563" s="3">
        <v>153301</v>
      </c>
      <c r="B3563" t="s">
        <v>22</v>
      </c>
      <c r="C3563" t="s">
        <v>14</v>
      </c>
      <c r="D3563">
        <v>3438</v>
      </c>
      <c r="E3563">
        <v>106</v>
      </c>
      <c r="F3563">
        <v>211</v>
      </c>
      <c r="G3563">
        <v>50</v>
      </c>
      <c r="H3563">
        <v>11112</v>
      </c>
      <c r="I3563">
        <v>13</v>
      </c>
      <c r="J3563">
        <v>16</v>
      </c>
      <c r="K3563">
        <v>166</v>
      </c>
      <c r="L3563">
        <v>142</v>
      </c>
      <c r="M3563">
        <v>8.5789473679999997</v>
      </c>
      <c r="N3563">
        <f>IFERROR(VLOOKUP(A3563,vlookup_table!$A:$G,2,FALSE),"")</f>
        <v>1</v>
      </c>
      <c r="O3563">
        <f>IFERROR(VLOOKUP(A3563,vlookup_table!$A:$G,4,FALSE),"")</f>
        <v>0</v>
      </c>
      <c r="P3563" t="str">
        <f>IFERROR(VLOOKUP(A3563,vlookup_table!$A:$G,5,FALSE),"")</f>
        <v>U3</v>
      </c>
      <c r="Q3563">
        <f>IFERROR(VLOOKUP(A3563,vlookup_table!$A:$G,7,FALSE),"")</f>
        <v>15</v>
      </c>
      <c r="R3563">
        <f t="shared" si="220"/>
        <v>97</v>
      </c>
      <c r="S3563" t="str" cm="1">
        <f t="array" ref="S3563">IF(P3563="","",_xlfn.SWITCH(LEFT(P3563,1),"C","Ciudad","T","Pueblo","R","Rural","S","Suburbano","U","Urbano",""))</f>
        <v>Urbano</v>
      </c>
      <c r="T3563" t="str">
        <f t="shared" si="221"/>
        <v>M</v>
      </c>
      <c r="U3563" t="str">
        <f t="shared" si="222"/>
        <v>CA</v>
      </c>
      <c r="V3563" t="str">
        <f t="shared" si="223"/>
        <v>11112</v>
      </c>
    </row>
    <row r="3564" spans="1:22" x14ac:dyDescent="0.35">
      <c r="A3564" s="3">
        <v>51520</v>
      </c>
      <c r="B3564" t="s">
        <v>53</v>
      </c>
      <c r="C3564" t="s">
        <v>30</v>
      </c>
      <c r="D3564">
        <v>672</v>
      </c>
      <c r="E3564">
        <v>179</v>
      </c>
      <c r="F3564">
        <v>373</v>
      </c>
      <c r="G3564">
        <v>0</v>
      </c>
      <c r="H3564">
        <v>15936</v>
      </c>
      <c r="I3564">
        <v>4</v>
      </c>
      <c r="J3564">
        <v>53</v>
      </c>
      <c r="K3564">
        <v>356</v>
      </c>
      <c r="L3564">
        <v>260</v>
      </c>
      <c r="M3564">
        <v>11.5</v>
      </c>
      <c r="N3564">
        <f>IFERROR(VLOOKUP(A3564,vlookup_table!$A:$G,2,FALSE),"")</f>
        <v>0</v>
      </c>
      <c r="O3564">
        <f>IFERROR(VLOOKUP(A3564,vlookup_table!$A:$G,4,FALSE),"")</f>
        <v>0</v>
      </c>
      <c r="P3564" t="str">
        <f>IFERROR(VLOOKUP(A3564,vlookup_table!$A:$G,5,FALSE),"")</f>
        <v>C2</v>
      </c>
      <c r="Q3564">
        <f>IFERROR(VLOOKUP(A3564,vlookup_table!$A:$G,7,FALSE),"")</f>
        <v>10</v>
      </c>
      <c r="R3564">
        <f t="shared" si="220"/>
        <v>97</v>
      </c>
      <c r="S3564" t="str" cm="1">
        <f t="array" ref="S3564">IF(P3564="","",_xlfn.SWITCH(LEFT(P3564,1),"C","Ciudad","T","Pueblo","R","Rural","S","Suburbano","U","Urbano",""))</f>
        <v>Ciudad</v>
      </c>
      <c r="T3564" t="str">
        <f t="shared" si="221"/>
        <v>U</v>
      </c>
      <c r="U3564" t="str">
        <f t="shared" si="222"/>
        <v>TN</v>
      </c>
      <c r="V3564" t="str">
        <f t="shared" si="223"/>
        <v>15936</v>
      </c>
    </row>
    <row r="3565" spans="1:22" x14ac:dyDescent="0.35">
      <c r="A3565" s="3">
        <v>187755</v>
      </c>
      <c r="B3565" t="s">
        <v>16</v>
      </c>
      <c r="C3565" t="s">
        <v>14</v>
      </c>
      <c r="D3565">
        <v>1977</v>
      </c>
      <c r="E3565">
        <v>676</v>
      </c>
      <c r="F3565">
        <v>768</v>
      </c>
      <c r="G3565">
        <v>49</v>
      </c>
      <c r="H3565">
        <v>22666</v>
      </c>
      <c r="I3565">
        <v>6</v>
      </c>
      <c r="J3565">
        <v>44</v>
      </c>
      <c r="K3565">
        <v>693</v>
      </c>
      <c r="L3565">
        <v>751</v>
      </c>
      <c r="M3565">
        <v>10</v>
      </c>
      <c r="N3565">
        <f>IFERROR(VLOOKUP(A3565,vlookup_table!$A:$G,2,FALSE),"")</f>
        <v>1</v>
      </c>
      <c r="O3565">
        <f>IFERROR(VLOOKUP(A3565,vlookup_table!$A:$G,4,FALSE),"")</f>
        <v>0</v>
      </c>
      <c r="P3565" t="str">
        <f>IFERROR(VLOOKUP(A3565,vlookup_table!$A:$G,5,FALSE),"")</f>
        <v>S1</v>
      </c>
      <c r="Q3565">
        <f>IFERROR(VLOOKUP(A3565,vlookup_table!$A:$G,7,FALSE),"")</f>
        <v>10</v>
      </c>
      <c r="R3565">
        <f t="shared" si="220"/>
        <v>97</v>
      </c>
      <c r="S3565" t="str" cm="1">
        <f t="array" ref="S3565">IF(P3565="","",_xlfn.SWITCH(LEFT(P3565,1),"C","Ciudad","T","Pueblo","R","Rural","S","Suburbano","U","Urbano",""))</f>
        <v>Suburbano</v>
      </c>
      <c r="T3565" t="str">
        <f t="shared" si="221"/>
        <v>M</v>
      </c>
      <c r="U3565" t="str">
        <f t="shared" si="222"/>
        <v>IL</v>
      </c>
      <c r="V3565" t="str">
        <f t="shared" si="223"/>
        <v>22666</v>
      </c>
    </row>
    <row r="3566" spans="1:22" x14ac:dyDescent="0.35">
      <c r="A3566" s="3">
        <v>189943</v>
      </c>
      <c r="B3566" t="s">
        <v>13</v>
      </c>
      <c r="C3566" t="s">
        <v>14</v>
      </c>
      <c r="D3566">
        <v>1437</v>
      </c>
      <c r="E3566">
        <v>385</v>
      </c>
      <c r="F3566">
        <v>551</v>
      </c>
      <c r="G3566">
        <v>29</v>
      </c>
      <c r="H3566">
        <v>23079</v>
      </c>
      <c r="I3566">
        <v>5</v>
      </c>
      <c r="J3566">
        <v>19</v>
      </c>
      <c r="K3566">
        <v>444</v>
      </c>
      <c r="L3566">
        <v>480</v>
      </c>
      <c r="M3566">
        <v>12.76</v>
      </c>
      <c r="N3566">
        <f>IFERROR(VLOOKUP(A3566,vlookup_table!$A:$G,2,FALSE),"")</f>
        <v>1</v>
      </c>
      <c r="O3566">
        <f>IFERROR(VLOOKUP(A3566,vlookup_table!$A:$G,4,FALSE),"")</f>
        <v>1601</v>
      </c>
      <c r="P3566">
        <f>IFERROR(VLOOKUP(A3566,vlookup_table!$A:$G,5,FALSE),"")</f>
        <v>0</v>
      </c>
      <c r="Q3566">
        <f>IFERROR(VLOOKUP(A3566,vlookup_table!$A:$G,7,FALSE),"")</f>
        <v>200</v>
      </c>
      <c r="R3566">
        <f t="shared" si="220"/>
        <v>81</v>
      </c>
      <c r="S3566" t="str" cm="1">
        <f t="array" ref="S3566">IF(P3566="","",_xlfn.SWITCH(LEFT(P3566,1),"C","Ciudad","T","Pueblo","R","Rural","S","Suburbano","U","Urbano",""))</f>
        <v/>
      </c>
      <c r="T3566" t="str">
        <f t="shared" si="221"/>
        <v>M</v>
      </c>
      <c r="U3566" t="str">
        <f t="shared" si="222"/>
        <v>FL</v>
      </c>
      <c r="V3566" t="str">
        <f t="shared" si="223"/>
        <v>23079</v>
      </c>
    </row>
    <row r="3567" spans="1:22" x14ac:dyDescent="0.35">
      <c r="A3567" s="3">
        <v>182895</v>
      </c>
      <c r="B3567" t="s">
        <v>40</v>
      </c>
      <c r="D3567">
        <v>563</v>
      </c>
      <c r="E3567">
        <v>340</v>
      </c>
      <c r="F3567">
        <v>414</v>
      </c>
      <c r="G3567">
        <v>1</v>
      </c>
      <c r="H3567">
        <v>13688</v>
      </c>
      <c r="I3567">
        <v>2</v>
      </c>
      <c r="J3567">
        <v>44</v>
      </c>
      <c r="K3567">
        <v>430</v>
      </c>
      <c r="L3567">
        <v>366</v>
      </c>
      <c r="M3567">
        <v>4.9411764710000003</v>
      </c>
      <c r="N3567">
        <f>IFERROR(VLOOKUP(A3567,vlookup_table!$A:$G,2,FALSE),"")</f>
        <v>2</v>
      </c>
      <c r="O3567">
        <f>IFERROR(VLOOKUP(A3567,vlookup_table!$A:$G,4,FALSE),"")</f>
        <v>2304</v>
      </c>
      <c r="P3567" t="str">
        <f>IFERROR(VLOOKUP(A3567,vlookup_table!$A:$G,5,FALSE),"")</f>
        <v>C2</v>
      </c>
      <c r="Q3567">
        <f>IFERROR(VLOOKUP(A3567,vlookup_table!$A:$G,7,FALSE),"")</f>
        <v>10</v>
      </c>
      <c r="R3567">
        <f t="shared" si="220"/>
        <v>74</v>
      </c>
      <c r="S3567" t="str" cm="1">
        <f t="array" ref="S3567">IF(P3567="","",_xlfn.SWITCH(LEFT(P3567,1),"C","Ciudad","T","Pueblo","R","Rural","S","Suburbano","U","Urbano",""))</f>
        <v>Ciudad</v>
      </c>
      <c r="T3567" t="str">
        <f t="shared" si="221"/>
        <v/>
      </c>
      <c r="U3567" t="str">
        <f t="shared" si="222"/>
        <v>WA</v>
      </c>
      <c r="V3567" t="str">
        <f t="shared" si="223"/>
        <v>13688</v>
      </c>
    </row>
    <row r="3568" spans="1:22" x14ac:dyDescent="0.35">
      <c r="A3568" s="3">
        <v>135230</v>
      </c>
      <c r="B3568" t="s">
        <v>55</v>
      </c>
      <c r="C3568" t="s">
        <v>60</v>
      </c>
      <c r="D3568">
        <v>1099</v>
      </c>
      <c r="E3568">
        <v>351</v>
      </c>
      <c r="F3568">
        <v>564</v>
      </c>
      <c r="G3568">
        <v>2</v>
      </c>
      <c r="H3568">
        <v>22396</v>
      </c>
      <c r="I3568">
        <v>3</v>
      </c>
      <c r="J3568">
        <v>29</v>
      </c>
      <c r="K3568">
        <v>513</v>
      </c>
      <c r="L3568">
        <v>421</v>
      </c>
      <c r="M3568">
        <v>9.375</v>
      </c>
      <c r="N3568">
        <f>IFERROR(VLOOKUP(A3568,vlookup_table!$A:$G,2,FALSE),"")</f>
        <v>0</v>
      </c>
      <c r="O3568">
        <f>IFERROR(VLOOKUP(A3568,vlookup_table!$A:$G,4,FALSE),"")</f>
        <v>2602</v>
      </c>
      <c r="P3568" t="str">
        <f>IFERROR(VLOOKUP(A3568,vlookup_table!$A:$G,5,FALSE),"")</f>
        <v>S1</v>
      </c>
      <c r="Q3568">
        <f>IFERROR(VLOOKUP(A3568,vlookup_table!$A:$G,7,FALSE),"")</f>
        <v>12</v>
      </c>
      <c r="R3568">
        <f t="shared" si="220"/>
        <v>71</v>
      </c>
      <c r="S3568" t="str" cm="1">
        <f t="array" ref="S3568">IF(P3568="","",_xlfn.SWITCH(LEFT(P3568,1),"C","Ciudad","T","Pueblo","R","Rural","S","Suburbano","U","Urbano",""))</f>
        <v>Suburbano</v>
      </c>
      <c r="T3568" t="str">
        <f t="shared" si="221"/>
        <v>F</v>
      </c>
      <c r="U3568" t="str">
        <f t="shared" si="222"/>
        <v>AZ</v>
      </c>
      <c r="V3568" t="str">
        <f t="shared" si="223"/>
        <v>22396</v>
      </c>
    </row>
    <row r="3569" spans="1:22" x14ac:dyDescent="0.35">
      <c r="A3569" s="3">
        <v>111081</v>
      </c>
      <c r="B3569" t="s">
        <v>55</v>
      </c>
      <c r="C3569" t="s">
        <v>60</v>
      </c>
      <c r="D3569">
        <v>707</v>
      </c>
      <c r="E3569">
        <v>211</v>
      </c>
      <c r="F3569">
        <v>323</v>
      </c>
      <c r="G3569">
        <v>0</v>
      </c>
      <c r="H3569">
        <v>14226</v>
      </c>
      <c r="I3569">
        <v>4</v>
      </c>
      <c r="J3569">
        <v>11</v>
      </c>
      <c r="K3569">
        <v>312</v>
      </c>
      <c r="L3569">
        <v>258</v>
      </c>
      <c r="M3569">
        <v>6.75</v>
      </c>
      <c r="N3569">
        <f>IFERROR(VLOOKUP(A3569,vlookup_table!$A:$G,2,FALSE),"")</f>
        <v>0</v>
      </c>
      <c r="O3569">
        <f>IFERROR(VLOOKUP(A3569,vlookup_table!$A:$G,4,FALSE),"")</f>
        <v>2801</v>
      </c>
      <c r="P3569" t="str">
        <f>IFERROR(VLOOKUP(A3569,vlookup_table!$A:$G,5,FALSE),"")</f>
        <v>C2</v>
      </c>
      <c r="Q3569">
        <f>IFERROR(VLOOKUP(A3569,vlookup_table!$A:$G,7,FALSE),"")</f>
        <v>9</v>
      </c>
      <c r="R3569">
        <f t="shared" si="220"/>
        <v>69</v>
      </c>
      <c r="S3569" t="str" cm="1">
        <f t="array" ref="S3569">IF(P3569="","",_xlfn.SWITCH(LEFT(P3569,1),"C","Ciudad","T","Pueblo","R","Rural","S","Suburbano","U","Urbano",""))</f>
        <v>Ciudad</v>
      </c>
      <c r="T3569" t="str">
        <f t="shared" si="221"/>
        <v>F</v>
      </c>
      <c r="U3569" t="str">
        <f t="shared" si="222"/>
        <v>AZ</v>
      </c>
      <c r="V3569" t="str">
        <f t="shared" si="223"/>
        <v>14226</v>
      </c>
    </row>
    <row r="3570" spans="1:22" x14ac:dyDescent="0.35">
      <c r="A3570" s="3">
        <v>34632</v>
      </c>
      <c r="B3570" t="s">
        <v>13</v>
      </c>
      <c r="C3570" t="s">
        <v>17</v>
      </c>
      <c r="D3570">
        <v>842</v>
      </c>
      <c r="E3570">
        <v>377</v>
      </c>
      <c r="F3570">
        <v>461</v>
      </c>
      <c r="G3570">
        <v>0</v>
      </c>
      <c r="H3570">
        <v>15608</v>
      </c>
      <c r="I3570">
        <v>6</v>
      </c>
      <c r="J3570">
        <v>18</v>
      </c>
      <c r="K3570">
        <v>375</v>
      </c>
      <c r="L3570">
        <v>446</v>
      </c>
      <c r="M3570">
        <v>7.5</v>
      </c>
      <c r="N3570">
        <f>IFERROR(VLOOKUP(A3570,vlookup_table!$A:$G,2,FALSE),"")</f>
        <v>0</v>
      </c>
      <c r="O3570">
        <f>IFERROR(VLOOKUP(A3570,vlookup_table!$A:$G,4,FALSE),"")</f>
        <v>3501</v>
      </c>
      <c r="P3570" t="str">
        <f>IFERROR(VLOOKUP(A3570,vlookup_table!$A:$G,5,FALSE),"")</f>
        <v>S1</v>
      </c>
      <c r="Q3570">
        <f>IFERROR(VLOOKUP(A3570,vlookup_table!$A:$G,7,FALSE),"")</f>
        <v>15</v>
      </c>
      <c r="R3570">
        <f t="shared" si="220"/>
        <v>62</v>
      </c>
      <c r="S3570" t="str" cm="1">
        <f t="array" ref="S3570">IF(P3570="","",_xlfn.SWITCH(LEFT(P3570,1),"C","Ciudad","T","Pueblo","R","Rural","S","Suburbano","U","Urbano",""))</f>
        <v>Suburbano</v>
      </c>
      <c r="T3570" t="str">
        <f t="shared" si="221"/>
        <v>F</v>
      </c>
      <c r="U3570" t="str">
        <f t="shared" si="222"/>
        <v>FL</v>
      </c>
      <c r="V3570" t="str">
        <f t="shared" si="223"/>
        <v>15608</v>
      </c>
    </row>
    <row r="3571" spans="1:22" x14ac:dyDescent="0.35">
      <c r="A3571" s="3">
        <v>56697</v>
      </c>
      <c r="B3571" t="s">
        <v>57</v>
      </c>
      <c r="C3571" t="s">
        <v>17</v>
      </c>
      <c r="D3571">
        <v>354</v>
      </c>
      <c r="E3571">
        <v>250</v>
      </c>
      <c r="F3571">
        <v>289</v>
      </c>
      <c r="G3571">
        <v>0</v>
      </c>
      <c r="H3571">
        <v>9288</v>
      </c>
      <c r="I3571">
        <v>1</v>
      </c>
      <c r="J3571">
        <v>90</v>
      </c>
      <c r="K3571">
        <v>256</v>
      </c>
      <c r="L3571">
        <v>277</v>
      </c>
      <c r="M3571">
        <v>7.7</v>
      </c>
      <c r="N3571">
        <f>IFERROR(VLOOKUP(A3571,vlookup_table!$A:$G,2,FALSE),"")</f>
        <v>2</v>
      </c>
      <c r="O3571">
        <f>IFERROR(VLOOKUP(A3571,vlookup_table!$A:$G,4,FALSE),"")</f>
        <v>4601</v>
      </c>
      <c r="P3571" t="str">
        <f>IFERROR(VLOOKUP(A3571,vlookup_table!$A:$G,5,FALSE),"")</f>
        <v>S3</v>
      </c>
      <c r="Q3571">
        <f>IFERROR(VLOOKUP(A3571,vlookup_table!$A:$G,7,FALSE),"")</f>
        <v>10</v>
      </c>
      <c r="R3571">
        <f t="shared" si="220"/>
        <v>51</v>
      </c>
      <c r="S3571" t="str" cm="1">
        <f t="array" ref="S3571">IF(P3571="","",_xlfn.SWITCH(LEFT(P3571,1),"C","Ciudad","T","Pueblo","R","Rural","S","Suburbano","U","Urbano",""))</f>
        <v>Suburbano</v>
      </c>
      <c r="T3571" t="str">
        <f t="shared" si="221"/>
        <v>F</v>
      </c>
      <c r="U3571" t="str">
        <f t="shared" si="222"/>
        <v>KY</v>
      </c>
      <c r="V3571" t="str">
        <f t="shared" si="223"/>
        <v>9288</v>
      </c>
    </row>
    <row r="3572" spans="1:22" x14ac:dyDescent="0.35">
      <c r="A3572" s="3">
        <v>78116</v>
      </c>
      <c r="B3572" t="s">
        <v>35</v>
      </c>
      <c r="C3572" t="s">
        <v>17</v>
      </c>
      <c r="D3572">
        <v>720</v>
      </c>
      <c r="E3572">
        <v>399</v>
      </c>
      <c r="F3572">
        <v>446</v>
      </c>
      <c r="G3572">
        <v>0</v>
      </c>
      <c r="H3572">
        <v>14215</v>
      </c>
      <c r="I3572">
        <v>0</v>
      </c>
      <c r="J3572">
        <v>85</v>
      </c>
      <c r="K3572">
        <v>432</v>
      </c>
      <c r="L3572">
        <v>406</v>
      </c>
      <c r="M3572">
        <v>8.8000000000000007</v>
      </c>
      <c r="N3572">
        <f>IFERROR(VLOOKUP(A3572,vlookup_table!$A:$G,2,FALSE),"")</f>
        <v>0</v>
      </c>
      <c r="O3572">
        <f>IFERROR(VLOOKUP(A3572,vlookup_table!$A:$G,4,FALSE),"")</f>
        <v>0</v>
      </c>
      <c r="P3572" t="str">
        <f>IFERROR(VLOOKUP(A3572,vlookup_table!$A:$G,5,FALSE),"")</f>
        <v>R1</v>
      </c>
      <c r="Q3572">
        <f>IFERROR(VLOOKUP(A3572,vlookup_table!$A:$G,7,FALSE),"")</f>
        <v>10</v>
      </c>
      <c r="R3572">
        <f t="shared" si="220"/>
        <v>97</v>
      </c>
      <c r="S3572" t="str" cm="1">
        <f t="array" ref="S3572">IF(P3572="","",_xlfn.SWITCH(LEFT(P3572,1),"C","Ciudad","T","Pueblo","R","Rural","S","Suburbano","U","Urbano",""))</f>
        <v>Rural</v>
      </c>
      <c r="T3572" t="str">
        <f t="shared" si="221"/>
        <v>F</v>
      </c>
      <c r="U3572" t="str">
        <f t="shared" si="222"/>
        <v>WI</v>
      </c>
      <c r="V3572" t="str">
        <f t="shared" si="223"/>
        <v>14215</v>
      </c>
    </row>
    <row r="3573" spans="1:22" x14ac:dyDescent="0.35">
      <c r="A3573" s="3">
        <v>110847</v>
      </c>
      <c r="B3573" t="s">
        <v>32</v>
      </c>
      <c r="C3573" t="s">
        <v>14</v>
      </c>
      <c r="D3573">
        <v>419</v>
      </c>
      <c r="E3573">
        <v>235</v>
      </c>
      <c r="F3573">
        <v>317</v>
      </c>
      <c r="G3573">
        <v>0</v>
      </c>
      <c r="H3573">
        <v>10482</v>
      </c>
      <c r="I3573">
        <v>1</v>
      </c>
      <c r="J3573">
        <v>69</v>
      </c>
      <c r="K3573">
        <v>277</v>
      </c>
      <c r="L3573">
        <v>284</v>
      </c>
      <c r="M3573">
        <v>5.2272727269999999</v>
      </c>
      <c r="N3573">
        <f>IFERROR(VLOOKUP(A3573,vlookup_table!$A:$G,2,FALSE),"")</f>
        <v>1002</v>
      </c>
      <c r="O3573">
        <f>IFERROR(VLOOKUP(A3573,vlookup_table!$A:$G,4,FALSE),"")</f>
        <v>0</v>
      </c>
      <c r="P3573" t="str">
        <f>IFERROR(VLOOKUP(A3573,vlookup_table!$A:$G,5,FALSE),"")</f>
        <v>R2</v>
      </c>
      <c r="Q3573">
        <f>IFERROR(VLOOKUP(A3573,vlookup_table!$A:$G,7,FALSE),"")</f>
        <v>5</v>
      </c>
      <c r="R3573">
        <f t="shared" si="220"/>
        <v>97</v>
      </c>
      <c r="S3573" t="str" cm="1">
        <f t="array" ref="S3573">IF(P3573="","",_xlfn.SWITCH(LEFT(P3573,1),"C","Ciudad","T","Pueblo","R","Rural","S","Suburbano","U","Urbano",""))</f>
        <v>Rural</v>
      </c>
      <c r="T3573" t="str">
        <f t="shared" si="221"/>
        <v>M</v>
      </c>
      <c r="U3573" t="str">
        <f t="shared" si="222"/>
        <v>AR</v>
      </c>
      <c r="V3573" t="str">
        <f t="shared" si="223"/>
        <v>10482</v>
      </c>
    </row>
    <row r="3574" spans="1:22" x14ac:dyDescent="0.35">
      <c r="A3574" s="3">
        <v>152149</v>
      </c>
      <c r="B3574" t="s">
        <v>22</v>
      </c>
      <c r="C3574" t="s">
        <v>14</v>
      </c>
      <c r="D3574">
        <v>1538</v>
      </c>
      <c r="E3574">
        <v>303</v>
      </c>
      <c r="F3574">
        <v>389</v>
      </c>
      <c r="G3574">
        <v>19</v>
      </c>
      <c r="H3574">
        <v>13191</v>
      </c>
      <c r="I3574">
        <v>8</v>
      </c>
      <c r="J3574">
        <v>49</v>
      </c>
      <c r="K3574">
        <v>343</v>
      </c>
      <c r="L3574">
        <v>355</v>
      </c>
      <c r="M3574">
        <v>6.2</v>
      </c>
      <c r="N3574">
        <f>IFERROR(VLOOKUP(A3574,vlookup_table!$A:$G,2,FALSE),"")</f>
        <v>1</v>
      </c>
      <c r="O3574">
        <f>IFERROR(VLOOKUP(A3574,vlookup_table!$A:$G,4,FALSE),"")</f>
        <v>3801</v>
      </c>
      <c r="P3574" t="str">
        <f>IFERROR(VLOOKUP(A3574,vlookup_table!$A:$G,5,FALSE),"")</f>
        <v>S2</v>
      </c>
      <c r="Q3574">
        <f>IFERROR(VLOOKUP(A3574,vlookup_table!$A:$G,7,FALSE),"")</f>
        <v>10</v>
      </c>
      <c r="R3574">
        <f t="shared" si="220"/>
        <v>59</v>
      </c>
      <c r="S3574" t="str" cm="1">
        <f t="array" ref="S3574">IF(P3574="","",_xlfn.SWITCH(LEFT(P3574,1),"C","Ciudad","T","Pueblo","R","Rural","S","Suburbano","U","Urbano",""))</f>
        <v>Suburbano</v>
      </c>
      <c r="T3574" t="str">
        <f t="shared" si="221"/>
        <v>M</v>
      </c>
      <c r="U3574" t="str">
        <f t="shared" si="222"/>
        <v>CA</v>
      </c>
      <c r="V3574" t="str">
        <f t="shared" si="223"/>
        <v>13191</v>
      </c>
    </row>
    <row r="3575" spans="1:22" x14ac:dyDescent="0.35">
      <c r="A3575" s="3">
        <v>169489</v>
      </c>
      <c r="B3575" t="s">
        <v>22</v>
      </c>
      <c r="C3575" t="s">
        <v>17</v>
      </c>
      <c r="D3575">
        <v>1281</v>
      </c>
      <c r="E3575">
        <v>370</v>
      </c>
      <c r="F3575">
        <v>403</v>
      </c>
      <c r="G3575">
        <v>3</v>
      </c>
      <c r="H3575">
        <v>11428</v>
      </c>
      <c r="I3575">
        <v>7</v>
      </c>
      <c r="J3575">
        <v>61</v>
      </c>
      <c r="K3575">
        <v>386</v>
      </c>
      <c r="L3575">
        <v>372</v>
      </c>
      <c r="M3575">
        <v>8.3333333330000006</v>
      </c>
      <c r="N3575">
        <f>IFERROR(VLOOKUP(A3575,vlookup_table!$A:$G,2,FALSE),"")</f>
        <v>0</v>
      </c>
      <c r="O3575">
        <f>IFERROR(VLOOKUP(A3575,vlookup_table!$A:$G,4,FALSE),"")</f>
        <v>4001</v>
      </c>
      <c r="P3575" t="str">
        <f>IFERROR(VLOOKUP(A3575,vlookup_table!$A:$G,5,FALSE),"")</f>
        <v>T2</v>
      </c>
      <c r="Q3575">
        <f>IFERROR(VLOOKUP(A3575,vlookup_table!$A:$G,7,FALSE),"")</f>
        <v>8</v>
      </c>
      <c r="R3575">
        <f t="shared" si="220"/>
        <v>57</v>
      </c>
      <c r="S3575" t="str" cm="1">
        <f t="array" ref="S3575">IF(P3575="","",_xlfn.SWITCH(LEFT(P3575,1),"C","Ciudad","T","Pueblo","R","Rural","S","Suburbano","U","Urbano",""))</f>
        <v>Pueblo</v>
      </c>
      <c r="T3575" t="str">
        <f t="shared" si="221"/>
        <v>F</v>
      </c>
      <c r="U3575" t="str">
        <f t="shared" si="222"/>
        <v>CA</v>
      </c>
      <c r="V3575" t="str">
        <f t="shared" si="223"/>
        <v>11428</v>
      </c>
    </row>
    <row r="3576" spans="1:22" x14ac:dyDescent="0.35">
      <c r="A3576" s="3">
        <v>116063</v>
      </c>
      <c r="B3576" t="s">
        <v>21</v>
      </c>
      <c r="C3576" t="s">
        <v>17</v>
      </c>
      <c r="D3576">
        <v>680</v>
      </c>
      <c r="E3576">
        <v>339</v>
      </c>
      <c r="F3576">
        <v>382</v>
      </c>
      <c r="G3576">
        <v>0</v>
      </c>
      <c r="H3576">
        <v>10577</v>
      </c>
      <c r="I3576">
        <v>1</v>
      </c>
      <c r="J3576">
        <v>70</v>
      </c>
      <c r="K3576">
        <v>387</v>
      </c>
      <c r="L3576">
        <v>352</v>
      </c>
      <c r="M3576">
        <v>10</v>
      </c>
      <c r="N3576">
        <f>IFERROR(VLOOKUP(A3576,vlookup_table!$A:$G,2,FALSE),"")</f>
        <v>0</v>
      </c>
      <c r="O3576">
        <f>IFERROR(VLOOKUP(A3576,vlookup_table!$A:$G,4,FALSE),"")</f>
        <v>3001</v>
      </c>
      <c r="P3576" t="str">
        <f>IFERROR(VLOOKUP(A3576,vlookup_table!$A:$G,5,FALSE),"")</f>
        <v>C2</v>
      </c>
      <c r="Q3576">
        <f>IFERROR(VLOOKUP(A3576,vlookup_table!$A:$G,7,FALSE),"")</f>
        <v>5</v>
      </c>
      <c r="R3576">
        <f t="shared" si="220"/>
        <v>67</v>
      </c>
      <c r="S3576" t="str" cm="1">
        <f t="array" ref="S3576">IF(P3576="","",_xlfn.SWITCH(LEFT(P3576,1),"C","Ciudad","T","Pueblo","R","Rural","S","Suburbano","U","Urbano",""))</f>
        <v>Ciudad</v>
      </c>
      <c r="T3576" t="str">
        <f t="shared" si="221"/>
        <v>F</v>
      </c>
      <c r="U3576" t="str">
        <f t="shared" si="222"/>
        <v>TX</v>
      </c>
      <c r="V3576" t="str">
        <f t="shared" si="223"/>
        <v>10577</v>
      </c>
    </row>
    <row r="3577" spans="1:22" x14ac:dyDescent="0.35">
      <c r="A3577" s="3">
        <v>81241</v>
      </c>
      <c r="B3577" t="s">
        <v>35</v>
      </c>
      <c r="C3577" t="s">
        <v>51</v>
      </c>
      <c r="D3577">
        <v>419</v>
      </c>
      <c r="E3577">
        <v>219</v>
      </c>
      <c r="F3577">
        <v>299</v>
      </c>
      <c r="G3577">
        <v>0</v>
      </c>
      <c r="H3577">
        <v>10050</v>
      </c>
      <c r="I3577">
        <v>1</v>
      </c>
      <c r="J3577">
        <v>83</v>
      </c>
      <c r="K3577">
        <v>243</v>
      </c>
      <c r="L3577">
        <v>266</v>
      </c>
      <c r="M3577">
        <v>10.5</v>
      </c>
      <c r="N3577">
        <f>IFERROR(VLOOKUP(A3577,vlookup_table!$A:$G,2,FALSE),"")</f>
        <v>1</v>
      </c>
      <c r="O3577">
        <f>IFERROR(VLOOKUP(A3577,vlookup_table!$A:$G,4,FALSE),"")</f>
        <v>4507</v>
      </c>
      <c r="P3577" t="str">
        <f>IFERROR(VLOOKUP(A3577,vlookup_table!$A:$G,5,FALSE),"")</f>
        <v>R2</v>
      </c>
      <c r="Q3577">
        <f>IFERROR(VLOOKUP(A3577,vlookup_table!$A:$G,7,FALSE),"")</f>
        <v>20</v>
      </c>
      <c r="R3577">
        <f t="shared" si="220"/>
        <v>52</v>
      </c>
      <c r="S3577" t="str" cm="1">
        <f t="array" ref="S3577">IF(P3577="","",_xlfn.SWITCH(LEFT(P3577,1),"C","Ciudad","T","Pueblo","R","Rural","S","Suburbano","U","Urbano",""))</f>
        <v>Rural</v>
      </c>
      <c r="T3577" t="str">
        <f t="shared" si="221"/>
        <v>M</v>
      </c>
      <c r="U3577" t="str">
        <f t="shared" si="222"/>
        <v>WI</v>
      </c>
      <c r="V3577" t="str">
        <f t="shared" si="223"/>
        <v>10050</v>
      </c>
    </row>
    <row r="3578" spans="1:22" x14ac:dyDescent="0.35">
      <c r="A3578" s="3">
        <v>5642</v>
      </c>
      <c r="B3578" t="s">
        <v>16</v>
      </c>
      <c r="C3578" t="s">
        <v>17</v>
      </c>
      <c r="D3578">
        <v>1000</v>
      </c>
      <c r="E3578">
        <v>271</v>
      </c>
      <c r="F3578">
        <v>479</v>
      </c>
      <c r="G3578">
        <v>0</v>
      </c>
      <c r="H3578">
        <v>16266</v>
      </c>
      <c r="I3578">
        <v>30</v>
      </c>
      <c r="J3578">
        <v>64</v>
      </c>
      <c r="K3578">
        <v>458</v>
      </c>
      <c r="L3578">
        <v>377</v>
      </c>
      <c r="M3578">
        <v>17.333333329999999</v>
      </c>
      <c r="N3578">
        <f>IFERROR(VLOOKUP(A3578,vlookup_table!$A:$G,2,FALSE),"")</f>
        <v>0</v>
      </c>
      <c r="O3578">
        <f>IFERROR(VLOOKUP(A3578,vlookup_table!$A:$G,4,FALSE),"")</f>
        <v>0</v>
      </c>
      <c r="P3578" t="str">
        <f>IFERROR(VLOOKUP(A3578,vlookup_table!$A:$G,5,FALSE),"")</f>
        <v>U2</v>
      </c>
      <c r="Q3578">
        <f>IFERROR(VLOOKUP(A3578,vlookup_table!$A:$G,7,FALSE),"")</f>
        <v>48</v>
      </c>
      <c r="R3578">
        <f t="shared" si="220"/>
        <v>97</v>
      </c>
      <c r="S3578" t="str" cm="1">
        <f t="array" ref="S3578">IF(P3578="","",_xlfn.SWITCH(LEFT(P3578,1),"C","Ciudad","T","Pueblo","R","Rural","S","Suburbano","U","Urbano",""))</f>
        <v>Urbano</v>
      </c>
      <c r="T3578" t="str">
        <f t="shared" si="221"/>
        <v>F</v>
      </c>
      <c r="U3578" t="str">
        <f t="shared" si="222"/>
        <v>IL</v>
      </c>
      <c r="V3578" t="str">
        <f t="shared" si="223"/>
        <v>16266</v>
      </c>
    </row>
    <row r="3579" spans="1:22" x14ac:dyDescent="0.35">
      <c r="A3579" s="3">
        <v>70493</v>
      </c>
      <c r="B3579" t="s">
        <v>29</v>
      </c>
      <c r="C3579" t="s">
        <v>14</v>
      </c>
      <c r="D3579">
        <v>279</v>
      </c>
      <c r="E3579">
        <v>119</v>
      </c>
      <c r="F3579">
        <v>207</v>
      </c>
      <c r="G3579">
        <v>0</v>
      </c>
      <c r="H3579">
        <v>6680</v>
      </c>
      <c r="I3579">
        <v>2</v>
      </c>
      <c r="J3579">
        <v>78</v>
      </c>
      <c r="K3579">
        <v>165</v>
      </c>
      <c r="L3579">
        <v>170</v>
      </c>
      <c r="M3579">
        <v>12</v>
      </c>
      <c r="N3579">
        <f>IFERROR(VLOOKUP(A3579,vlookup_table!$A:$G,2,FALSE),"")</f>
        <v>0</v>
      </c>
      <c r="O3579">
        <f>IFERROR(VLOOKUP(A3579,vlookup_table!$A:$G,4,FALSE),"")</f>
        <v>1008</v>
      </c>
      <c r="P3579" t="str">
        <f>IFERROR(VLOOKUP(A3579,vlookup_table!$A:$G,5,FALSE),"")</f>
        <v>R3</v>
      </c>
      <c r="Q3579">
        <f>IFERROR(VLOOKUP(A3579,vlookup_table!$A:$G,7,FALSE),"")</f>
        <v>25</v>
      </c>
      <c r="R3579">
        <f t="shared" si="220"/>
        <v>87</v>
      </c>
      <c r="S3579" t="str" cm="1">
        <f t="array" ref="S3579">IF(P3579="","",_xlfn.SWITCH(LEFT(P3579,1),"C","Ciudad","T","Pueblo","R","Rural","S","Suburbano","U","Urbano",""))</f>
        <v>Rural</v>
      </c>
      <c r="T3579" t="str">
        <f t="shared" si="221"/>
        <v>M</v>
      </c>
      <c r="U3579" t="str">
        <f t="shared" si="222"/>
        <v>MI</v>
      </c>
      <c r="V3579" t="str">
        <f t="shared" si="223"/>
        <v>6680</v>
      </c>
    </row>
    <row r="3580" spans="1:22" x14ac:dyDescent="0.35">
      <c r="A3580" s="3">
        <v>147175</v>
      </c>
      <c r="B3580" t="s">
        <v>22</v>
      </c>
      <c r="C3580" t="s">
        <v>14</v>
      </c>
      <c r="D3580">
        <v>2074</v>
      </c>
      <c r="E3580">
        <v>495</v>
      </c>
      <c r="F3580">
        <v>586</v>
      </c>
      <c r="G3580">
        <v>52</v>
      </c>
      <c r="H3580">
        <v>20386</v>
      </c>
      <c r="I3580">
        <v>5</v>
      </c>
      <c r="J3580">
        <v>53</v>
      </c>
      <c r="K3580">
        <v>515</v>
      </c>
      <c r="L3580">
        <v>560</v>
      </c>
      <c r="M3580">
        <v>6.5</v>
      </c>
      <c r="N3580">
        <f>IFERROR(VLOOKUP(A3580,vlookup_table!$A:$G,2,FALSE),"")</f>
        <v>0</v>
      </c>
      <c r="O3580">
        <f>IFERROR(VLOOKUP(A3580,vlookup_table!$A:$G,4,FALSE),"")</f>
        <v>0</v>
      </c>
      <c r="P3580" t="str">
        <f>IFERROR(VLOOKUP(A3580,vlookup_table!$A:$G,5,FALSE),"")</f>
        <v>U4</v>
      </c>
      <c r="Q3580">
        <f>IFERROR(VLOOKUP(A3580,vlookup_table!$A:$G,7,FALSE),"")</f>
        <v>7</v>
      </c>
      <c r="R3580">
        <f t="shared" si="220"/>
        <v>97</v>
      </c>
      <c r="S3580" t="str" cm="1">
        <f t="array" ref="S3580">IF(P3580="","",_xlfn.SWITCH(LEFT(P3580,1),"C","Ciudad","T","Pueblo","R","Rural","S","Suburbano","U","Urbano",""))</f>
        <v>Urbano</v>
      </c>
      <c r="T3580" t="str">
        <f t="shared" si="221"/>
        <v>M</v>
      </c>
      <c r="U3580" t="str">
        <f t="shared" si="222"/>
        <v>CA</v>
      </c>
      <c r="V3580" t="str">
        <f t="shared" si="223"/>
        <v>20386</v>
      </c>
    </row>
    <row r="3581" spans="1:22" x14ac:dyDescent="0.35">
      <c r="A3581" s="3">
        <v>145823</v>
      </c>
      <c r="B3581" t="s">
        <v>22</v>
      </c>
      <c r="C3581" t="s">
        <v>17</v>
      </c>
      <c r="D3581">
        <v>3297</v>
      </c>
      <c r="E3581">
        <v>698</v>
      </c>
      <c r="F3581">
        <v>789</v>
      </c>
      <c r="G3581">
        <v>94</v>
      </c>
      <c r="H3581">
        <v>21977</v>
      </c>
      <c r="I3581">
        <v>19</v>
      </c>
      <c r="J3581">
        <v>52</v>
      </c>
      <c r="K3581">
        <v>719</v>
      </c>
      <c r="L3581">
        <v>762</v>
      </c>
      <c r="M3581">
        <v>25</v>
      </c>
      <c r="N3581">
        <f>IFERROR(VLOOKUP(A3581,vlookup_table!$A:$G,2,FALSE),"")</f>
        <v>28</v>
      </c>
      <c r="O3581">
        <f>IFERROR(VLOOKUP(A3581,vlookup_table!$A:$G,4,FALSE),"")</f>
        <v>0</v>
      </c>
      <c r="P3581" t="str">
        <f>IFERROR(VLOOKUP(A3581,vlookup_table!$A:$G,5,FALSE),"")</f>
        <v>U1</v>
      </c>
      <c r="Q3581">
        <f>IFERROR(VLOOKUP(A3581,vlookup_table!$A:$G,7,FALSE),"")</f>
        <v>50</v>
      </c>
      <c r="R3581">
        <f t="shared" si="220"/>
        <v>97</v>
      </c>
      <c r="S3581" t="str" cm="1">
        <f t="array" ref="S3581">IF(P3581="","",_xlfn.SWITCH(LEFT(P3581,1),"C","Ciudad","T","Pueblo","R","Rural","S","Suburbano","U","Urbano",""))</f>
        <v>Urbano</v>
      </c>
      <c r="T3581" t="str">
        <f t="shared" si="221"/>
        <v>F</v>
      </c>
      <c r="U3581" t="str">
        <f t="shared" si="222"/>
        <v>CA</v>
      </c>
      <c r="V3581" t="str">
        <f t="shared" si="223"/>
        <v>21977</v>
      </c>
    </row>
    <row r="3582" spans="1:22" x14ac:dyDescent="0.35">
      <c r="A3582" s="3">
        <v>76655</v>
      </c>
      <c r="B3582" t="s">
        <v>47</v>
      </c>
      <c r="C3582" t="s">
        <v>17</v>
      </c>
      <c r="D3582">
        <v>478</v>
      </c>
      <c r="E3582">
        <v>313</v>
      </c>
      <c r="F3582">
        <v>388</v>
      </c>
      <c r="G3582">
        <v>0</v>
      </c>
      <c r="H3582">
        <v>12606</v>
      </c>
      <c r="I3582">
        <v>2</v>
      </c>
      <c r="J3582">
        <v>78</v>
      </c>
      <c r="K3582">
        <v>397</v>
      </c>
      <c r="L3582">
        <v>331</v>
      </c>
      <c r="M3582">
        <v>11.7</v>
      </c>
      <c r="N3582">
        <f>IFERROR(VLOOKUP(A3582,vlookup_table!$A:$G,2,FALSE),"")</f>
        <v>28</v>
      </c>
      <c r="O3582">
        <f>IFERROR(VLOOKUP(A3582,vlookup_table!$A:$G,4,FALSE),"")</f>
        <v>4309</v>
      </c>
      <c r="P3582" t="str">
        <f>IFERROR(VLOOKUP(A3582,vlookup_table!$A:$G,5,FALSE),"")</f>
        <v>C2</v>
      </c>
      <c r="Q3582">
        <f>IFERROR(VLOOKUP(A3582,vlookup_table!$A:$G,7,FALSE),"")</f>
        <v>10</v>
      </c>
      <c r="R3582">
        <f t="shared" si="220"/>
        <v>54</v>
      </c>
      <c r="S3582" t="str" cm="1">
        <f t="array" ref="S3582">IF(P3582="","",_xlfn.SWITCH(LEFT(P3582,1),"C","Ciudad","T","Pueblo","R","Rural","S","Suburbano","U","Urbano",""))</f>
        <v>Ciudad</v>
      </c>
      <c r="T3582" t="str">
        <f t="shared" si="221"/>
        <v>F</v>
      </c>
      <c r="U3582" t="str">
        <f t="shared" si="222"/>
        <v>IA</v>
      </c>
      <c r="V3582" t="str">
        <f t="shared" si="223"/>
        <v>12606</v>
      </c>
    </row>
    <row r="3583" spans="1:22" x14ac:dyDescent="0.35">
      <c r="A3583" s="3">
        <v>167538</v>
      </c>
      <c r="B3583" t="s">
        <v>24</v>
      </c>
      <c r="C3583" t="s">
        <v>17</v>
      </c>
      <c r="D3583">
        <v>948</v>
      </c>
      <c r="E3583">
        <v>325</v>
      </c>
      <c r="F3583">
        <v>398</v>
      </c>
      <c r="G3583">
        <v>3</v>
      </c>
      <c r="H3583">
        <v>15038</v>
      </c>
      <c r="I3583">
        <v>9</v>
      </c>
      <c r="J3583">
        <v>19</v>
      </c>
      <c r="K3583">
        <v>353</v>
      </c>
      <c r="L3583">
        <v>367</v>
      </c>
      <c r="M3583">
        <v>11.5</v>
      </c>
      <c r="N3583">
        <f>IFERROR(VLOOKUP(A3583,vlookup_table!$A:$G,2,FALSE),"")</f>
        <v>0</v>
      </c>
      <c r="O3583">
        <f>IFERROR(VLOOKUP(A3583,vlookup_table!$A:$G,4,FALSE),"")</f>
        <v>3201</v>
      </c>
      <c r="P3583" t="str">
        <f>IFERROR(VLOOKUP(A3583,vlookup_table!$A:$G,5,FALSE),"")</f>
        <v>U2</v>
      </c>
      <c r="Q3583">
        <f>IFERROR(VLOOKUP(A3583,vlookup_table!$A:$G,7,FALSE),"")</f>
        <v>15</v>
      </c>
      <c r="R3583">
        <f t="shared" si="220"/>
        <v>65</v>
      </c>
      <c r="S3583" t="str" cm="1">
        <f t="array" ref="S3583">IF(P3583="","",_xlfn.SWITCH(LEFT(P3583,1),"C","Ciudad","T","Pueblo","R","Rural","S","Suburbano","U","Urbano",""))</f>
        <v>Urbano</v>
      </c>
      <c r="T3583" t="str">
        <f t="shared" si="221"/>
        <v>F</v>
      </c>
      <c r="U3583" t="str">
        <f t="shared" si="222"/>
        <v>NV</v>
      </c>
      <c r="V3583" t="str">
        <f t="shared" si="223"/>
        <v>15038</v>
      </c>
    </row>
    <row r="3584" spans="1:22" x14ac:dyDescent="0.35">
      <c r="A3584" s="3">
        <v>108976</v>
      </c>
      <c r="B3584" t="s">
        <v>49</v>
      </c>
      <c r="C3584" t="s">
        <v>14</v>
      </c>
      <c r="D3584">
        <v>1730</v>
      </c>
      <c r="E3584">
        <v>794</v>
      </c>
      <c r="F3584">
        <v>899</v>
      </c>
      <c r="G3584">
        <v>34</v>
      </c>
      <c r="H3584">
        <v>35252</v>
      </c>
      <c r="I3584">
        <v>1</v>
      </c>
      <c r="J3584">
        <v>49</v>
      </c>
      <c r="K3584">
        <v>843</v>
      </c>
      <c r="L3584">
        <v>833</v>
      </c>
      <c r="M3584">
        <v>13.75</v>
      </c>
      <c r="N3584">
        <f>IFERROR(VLOOKUP(A3584,vlookup_table!$A:$G,2,FALSE),"")</f>
        <v>1</v>
      </c>
      <c r="O3584">
        <f>IFERROR(VLOOKUP(A3584,vlookup_table!$A:$G,4,FALSE),"")</f>
        <v>3801</v>
      </c>
      <c r="P3584">
        <f>IFERROR(VLOOKUP(A3584,vlookup_table!$A:$G,5,FALSE),"")</f>
        <v>0</v>
      </c>
      <c r="Q3584">
        <f>IFERROR(VLOOKUP(A3584,vlookup_table!$A:$G,7,FALSE),"")</f>
        <v>25</v>
      </c>
      <c r="R3584">
        <f t="shared" si="220"/>
        <v>59</v>
      </c>
      <c r="S3584" t="str" cm="1">
        <f t="array" ref="S3584">IF(P3584="","",_xlfn.SWITCH(LEFT(P3584,1),"C","Ciudad","T","Pueblo","R","Rural","S","Suburbano","U","Urbano",""))</f>
        <v/>
      </c>
      <c r="T3584" t="str">
        <f t="shared" si="221"/>
        <v>M</v>
      </c>
      <c r="U3584" t="str">
        <f t="shared" si="222"/>
        <v>LA</v>
      </c>
      <c r="V3584" t="str">
        <f t="shared" si="223"/>
        <v>35252</v>
      </c>
    </row>
    <row r="3585" spans="1:22" x14ac:dyDescent="0.35">
      <c r="A3585" s="3">
        <v>79022</v>
      </c>
      <c r="B3585" t="s">
        <v>35</v>
      </c>
      <c r="C3585" t="s">
        <v>51</v>
      </c>
      <c r="D3585">
        <v>1375</v>
      </c>
      <c r="E3585">
        <v>79</v>
      </c>
      <c r="F3585">
        <v>221</v>
      </c>
      <c r="G3585">
        <v>0</v>
      </c>
      <c r="H3585">
        <v>8931</v>
      </c>
      <c r="I3585">
        <v>8</v>
      </c>
      <c r="J3585">
        <v>60</v>
      </c>
      <c r="K3585">
        <v>171</v>
      </c>
      <c r="L3585">
        <v>125</v>
      </c>
      <c r="M3585">
        <v>7</v>
      </c>
      <c r="N3585">
        <f>IFERROR(VLOOKUP(A3585,vlookup_table!$A:$G,2,FALSE),"")</f>
        <v>1</v>
      </c>
      <c r="O3585">
        <f>IFERROR(VLOOKUP(A3585,vlookup_table!$A:$G,4,FALSE),"")</f>
        <v>5001</v>
      </c>
      <c r="P3585" t="str">
        <f>IFERROR(VLOOKUP(A3585,vlookup_table!$A:$G,5,FALSE),"")</f>
        <v>U3</v>
      </c>
      <c r="Q3585">
        <f>IFERROR(VLOOKUP(A3585,vlookup_table!$A:$G,7,FALSE),"")</f>
        <v>9</v>
      </c>
      <c r="R3585">
        <f t="shared" si="220"/>
        <v>47</v>
      </c>
      <c r="S3585" t="str" cm="1">
        <f t="array" ref="S3585">IF(P3585="","",_xlfn.SWITCH(LEFT(P3585,1),"C","Ciudad","T","Pueblo","R","Rural","S","Suburbano","U","Urbano",""))</f>
        <v>Urbano</v>
      </c>
      <c r="T3585" t="str">
        <f t="shared" si="221"/>
        <v>M</v>
      </c>
      <c r="U3585" t="str">
        <f t="shared" si="222"/>
        <v>WI</v>
      </c>
      <c r="V3585" t="str">
        <f t="shared" si="223"/>
        <v>8931</v>
      </c>
    </row>
    <row r="3586" spans="1:22" x14ac:dyDescent="0.35">
      <c r="A3586" s="3">
        <v>118097</v>
      </c>
      <c r="B3586" t="s">
        <v>21</v>
      </c>
      <c r="C3586" t="s">
        <v>17</v>
      </c>
      <c r="D3586">
        <v>398</v>
      </c>
      <c r="E3586">
        <v>216</v>
      </c>
      <c r="F3586">
        <v>308</v>
      </c>
      <c r="G3586">
        <v>0</v>
      </c>
      <c r="H3586">
        <v>11289</v>
      </c>
      <c r="I3586">
        <v>1</v>
      </c>
      <c r="J3586">
        <v>72</v>
      </c>
      <c r="K3586">
        <v>258</v>
      </c>
      <c r="L3586">
        <v>275</v>
      </c>
      <c r="M3586">
        <v>15</v>
      </c>
      <c r="N3586">
        <f>IFERROR(VLOOKUP(A3586,vlookup_table!$A:$G,2,FALSE),"")</f>
        <v>0</v>
      </c>
      <c r="O3586">
        <f>IFERROR(VLOOKUP(A3586,vlookup_table!$A:$G,4,FALSE),"")</f>
        <v>5701</v>
      </c>
      <c r="P3586" t="str">
        <f>IFERROR(VLOOKUP(A3586,vlookup_table!$A:$G,5,FALSE),"")</f>
        <v>R2</v>
      </c>
      <c r="Q3586">
        <f>IFERROR(VLOOKUP(A3586,vlookup_table!$A:$G,7,FALSE),"")</f>
        <v>5</v>
      </c>
      <c r="R3586">
        <f t="shared" ref="R3586:R3649" si="224">IF(O3586="","",97-INT(O3586/100))</f>
        <v>40</v>
      </c>
      <c r="S3586" t="str" cm="1">
        <f t="array" ref="S3586">IF(P3586="","",_xlfn.SWITCH(LEFT(P3586,1),"C","Ciudad","T","Pueblo","R","Rural","S","Suburbano","U","Urbano",""))</f>
        <v>Rural</v>
      </c>
      <c r="T3586" t="str">
        <f t="shared" ref="T3586:T3649" si="225">IF(C3586="","",IF(OR(UPPER(C3586)="M",UPPER(C3586)="MALE"),"M",IF(OR(UPPER(C3586)="F",UPPER(C3586)="FEMALE",UPPER(C3586)="FEAMALE"),"F",C3586)))</f>
        <v>F</v>
      </c>
      <c r="U3586" t="str">
        <f t="shared" ref="U3586:U3649" si="226">IF(OR(UPPER(B3586)="CALIFORNIA",UPPER(B3586)="CALI"),"CA",B3586)</f>
        <v>TX</v>
      </c>
      <c r="V3586" t="str">
        <f t="shared" ref="V3586:V3649" si="227">SUBSTITUTE(H3586,"@","")</f>
        <v>11289</v>
      </c>
    </row>
    <row r="3587" spans="1:22" x14ac:dyDescent="0.35">
      <c r="A3587" s="3">
        <v>58566</v>
      </c>
      <c r="B3587" t="s">
        <v>57</v>
      </c>
      <c r="C3587" t="s">
        <v>14</v>
      </c>
      <c r="D3587">
        <v>633</v>
      </c>
      <c r="E3587">
        <v>309</v>
      </c>
      <c r="F3587">
        <v>391</v>
      </c>
      <c r="G3587">
        <v>1</v>
      </c>
      <c r="H3587">
        <v>13407</v>
      </c>
      <c r="I3587">
        <v>1</v>
      </c>
      <c r="J3587">
        <v>63</v>
      </c>
      <c r="K3587">
        <v>326</v>
      </c>
      <c r="L3587">
        <v>351</v>
      </c>
      <c r="M3587">
        <v>12.33333333</v>
      </c>
      <c r="N3587">
        <f>IFERROR(VLOOKUP(A3587,vlookup_table!$A:$G,2,FALSE),"")</f>
        <v>0</v>
      </c>
      <c r="O3587">
        <f>IFERROR(VLOOKUP(A3587,vlookup_table!$A:$G,4,FALSE),"")</f>
        <v>2301</v>
      </c>
      <c r="P3587" t="str">
        <f>IFERROR(VLOOKUP(A3587,vlookup_table!$A:$G,5,FALSE),"")</f>
        <v>T2</v>
      </c>
      <c r="Q3587">
        <f>IFERROR(VLOOKUP(A3587,vlookup_table!$A:$G,7,FALSE),"")</f>
        <v>16</v>
      </c>
      <c r="R3587">
        <f t="shared" si="224"/>
        <v>74</v>
      </c>
      <c r="S3587" t="str" cm="1">
        <f t="array" ref="S3587">IF(P3587="","",_xlfn.SWITCH(LEFT(P3587,1),"C","Ciudad","T","Pueblo","R","Rural","S","Suburbano","U","Urbano",""))</f>
        <v>Pueblo</v>
      </c>
      <c r="T3587" t="str">
        <f t="shared" si="225"/>
        <v>M</v>
      </c>
      <c r="U3587" t="str">
        <f t="shared" si="226"/>
        <v>KY</v>
      </c>
      <c r="V3587" t="str">
        <f t="shared" si="227"/>
        <v>13407</v>
      </c>
    </row>
    <row r="3588" spans="1:22" x14ac:dyDescent="0.35">
      <c r="A3588" s="3">
        <v>167784</v>
      </c>
      <c r="B3588" t="s">
        <v>22</v>
      </c>
      <c r="C3588" t="s">
        <v>17</v>
      </c>
      <c r="D3588">
        <v>2380</v>
      </c>
      <c r="E3588">
        <v>274</v>
      </c>
      <c r="F3588">
        <v>417</v>
      </c>
      <c r="G3588">
        <v>64</v>
      </c>
      <c r="H3588">
        <v>16569</v>
      </c>
      <c r="I3588">
        <v>12</v>
      </c>
      <c r="J3588">
        <v>56</v>
      </c>
      <c r="K3588">
        <v>348</v>
      </c>
      <c r="L3588">
        <v>315</v>
      </c>
      <c r="M3588">
        <v>14.18181818</v>
      </c>
      <c r="N3588">
        <f>IFERROR(VLOOKUP(A3588,vlookup_table!$A:$G,2,FALSE),"")</f>
        <v>28</v>
      </c>
      <c r="O3588">
        <f>IFERROR(VLOOKUP(A3588,vlookup_table!$A:$G,4,FALSE),"")</f>
        <v>1801</v>
      </c>
      <c r="P3588" t="str">
        <f>IFERROR(VLOOKUP(A3588,vlookup_table!$A:$G,5,FALSE),"")</f>
        <v>S2</v>
      </c>
      <c r="Q3588">
        <f>IFERROR(VLOOKUP(A3588,vlookup_table!$A:$G,7,FALSE),"")</f>
        <v>15</v>
      </c>
      <c r="R3588">
        <f t="shared" si="224"/>
        <v>79</v>
      </c>
      <c r="S3588" t="str" cm="1">
        <f t="array" ref="S3588">IF(P3588="","",_xlfn.SWITCH(LEFT(P3588,1),"C","Ciudad","T","Pueblo","R","Rural","S","Suburbano","U","Urbano",""))</f>
        <v>Suburbano</v>
      </c>
      <c r="T3588" t="str">
        <f t="shared" si="225"/>
        <v>F</v>
      </c>
      <c r="U3588" t="str">
        <f t="shared" si="226"/>
        <v>CA</v>
      </c>
      <c r="V3588" t="str">
        <f t="shared" si="227"/>
        <v>16569</v>
      </c>
    </row>
    <row r="3589" spans="1:22" x14ac:dyDescent="0.35">
      <c r="A3589" s="3">
        <v>37202</v>
      </c>
      <c r="B3589" t="s">
        <v>13</v>
      </c>
      <c r="C3589" t="s">
        <v>17</v>
      </c>
      <c r="D3589">
        <v>914</v>
      </c>
      <c r="E3589">
        <v>321</v>
      </c>
      <c r="F3589">
        <v>409</v>
      </c>
      <c r="G3589">
        <v>0</v>
      </c>
      <c r="H3589">
        <v>17804</v>
      </c>
      <c r="I3589">
        <v>11</v>
      </c>
      <c r="J3589">
        <v>16</v>
      </c>
      <c r="K3589">
        <v>363</v>
      </c>
      <c r="L3589">
        <v>371</v>
      </c>
      <c r="M3589">
        <v>11</v>
      </c>
      <c r="N3589">
        <f>IFERROR(VLOOKUP(A3589,vlookup_table!$A:$G,2,FALSE),"")</f>
        <v>0</v>
      </c>
      <c r="O3589">
        <f>IFERROR(VLOOKUP(A3589,vlookup_table!$A:$G,4,FALSE),"")</f>
        <v>1201</v>
      </c>
      <c r="P3589" t="str">
        <f>IFERROR(VLOOKUP(A3589,vlookup_table!$A:$G,5,FALSE),"")</f>
        <v>S2</v>
      </c>
      <c r="Q3589">
        <f>IFERROR(VLOOKUP(A3589,vlookup_table!$A:$G,7,FALSE),"")</f>
        <v>25</v>
      </c>
      <c r="R3589">
        <f t="shared" si="224"/>
        <v>85</v>
      </c>
      <c r="S3589" t="str" cm="1">
        <f t="array" ref="S3589">IF(P3589="","",_xlfn.SWITCH(LEFT(P3589,1),"C","Ciudad","T","Pueblo","R","Rural","S","Suburbano","U","Urbano",""))</f>
        <v>Suburbano</v>
      </c>
      <c r="T3589" t="str">
        <f t="shared" si="225"/>
        <v>F</v>
      </c>
      <c r="U3589" t="str">
        <f t="shared" si="226"/>
        <v>FL</v>
      </c>
      <c r="V3589" t="str">
        <f t="shared" si="227"/>
        <v>17804</v>
      </c>
    </row>
    <row r="3590" spans="1:22" x14ac:dyDescent="0.35">
      <c r="A3590" s="3">
        <v>5510</v>
      </c>
      <c r="B3590" t="s">
        <v>40</v>
      </c>
      <c r="C3590" t="s">
        <v>17</v>
      </c>
      <c r="D3590">
        <v>705</v>
      </c>
      <c r="E3590">
        <v>250</v>
      </c>
      <c r="F3590">
        <v>330</v>
      </c>
      <c r="G3590">
        <v>0</v>
      </c>
      <c r="H3590">
        <v>13764</v>
      </c>
      <c r="I3590">
        <v>3</v>
      </c>
      <c r="J3590">
        <v>55</v>
      </c>
      <c r="K3590">
        <v>304</v>
      </c>
      <c r="L3590">
        <v>308</v>
      </c>
      <c r="M3590">
        <v>10.54054054</v>
      </c>
      <c r="N3590">
        <f>IFERROR(VLOOKUP(A3590,vlookup_table!$A:$G,2,FALSE),"")</f>
        <v>0</v>
      </c>
      <c r="O3590">
        <f>IFERROR(VLOOKUP(A3590,vlookup_table!$A:$G,4,FALSE),"")</f>
        <v>1209</v>
      </c>
      <c r="P3590">
        <f>IFERROR(VLOOKUP(A3590,vlookup_table!$A:$G,5,FALSE),"")</f>
        <v>0</v>
      </c>
      <c r="Q3590">
        <f>IFERROR(VLOOKUP(A3590,vlookup_table!$A:$G,7,FALSE),"")</f>
        <v>20</v>
      </c>
      <c r="R3590">
        <f t="shared" si="224"/>
        <v>85</v>
      </c>
      <c r="S3590" t="str" cm="1">
        <f t="array" ref="S3590">IF(P3590="","",_xlfn.SWITCH(LEFT(P3590,1),"C","Ciudad","T","Pueblo","R","Rural","S","Suburbano","U","Urbano",""))</f>
        <v/>
      </c>
      <c r="T3590" t="str">
        <f t="shared" si="225"/>
        <v>F</v>
      </c>
      <c r="U3590" t="str">
        <f t="shared" si="226"/>
        <v>WA</v>
      </c>
      <c r="V3590" t="str">
        <f t="shared" si="227"/>
        <v>13764</v>
      </c>
    </row>
    <row r="3591" spans="1:22" x14ac:dyDescent="0.35">
      <c r="A3591" s="3">
        <v>16771</v>
      </c>
      <c r="B3591" t="s">
        <v>18</v>
      </c>
      <c r="C3591" t="s">
        <v>20</v>
      </c>
      <c r="D3591">
        <v>2018</v>
      </c>
      <c r="E3591">
        <v>709</v>
      </c>
      <c r="F3591">
        <v>797</v>
      </c>
      <c r="G3591">
        <v>51</v>
      </c>
      <c r="H3591">
        <v>26070</v>
      </c>
      <c r="I3591">
        <v>9</v>
      </c>
      <c r="J3591">
        <v>45</v>
      </c>
      <c r="K3591">
        <v>755</v>
      </c>
      <c r="L3591">
        <v>752</v>
      </c>
      <c r="M3591">
        <v>4.7222222220000001</v>
      </c>
      <c r="N3591">
        <f>IFERROR(VLOOKUP(A3591,vlookup_table!$A:$G,2,FALSE),"")</f>
        <v>2</v>
      </c>
      <c r="O3591">
        <f>IFERROR(VLOOKUP(A3591,vlookup_table!$A:$G,4,FALSE),"")</f>
        <v>201</v>
      </c>
      <c r="P3591" t="str">
        <f>IFERROR(VLOOKUP(A3591,vlookup_table!$A:$G,5,FALSE),"")</f>
        <v>T1</v>
      </c>
      <c r="Q3591">
        <f>IFERROR(VLOOKUP(A3591,vlookup_table!$A:$G,7,FALSE),"")</f>
        <v>5</v>
      </c>
      <c r="R3591">
        <f t="shared" si="224"/>
        <v>95</v>
      </c>
      <c r="S3591" t="str" cm="1">
        <f t="array" ref="S3591">IF(P3591="","",_xlfn.SWITCH(LEFT(P3591,1),"C","Ciudad","T","Pueblo","R","Rural","S","Suburbano","U","Urbano",""))</f>
        <v>Pueblo</v>
      </c>
      <c r="T3591" t="str">
        <f t="shared" si="225"/>
        <v>F</v>
      </c>
      <c r="U3591" t="str">
        <f t="shared" si="226"/>
        <v>NC</v>
      </c>
      <c r="V3591" t="str">
        <f t="shared" si="227"/>
        <v>26070</v>
      </c>
    </row>
    <row r="3592" spans="1:22" x14ac:dyDescent="0.35">
      <c r="A3592" s="3">
        <v>69997</v>
      </c>
      <c r="B3592" t="s">
        <v>29</v>
      </c>
      <c r="C3592" t="s">
        <v>14</v>
      </c>
      <c r="D3592">
        <v>1072</v>
      </c>
      <c r="E3592">
        <v>545</v>
      </c>
      <c r="F3592">
        <v>602</v>
      </c>
      <c r="G3592">
        <v>3</v>
      </c>
      <c r="H3592">
        <v>18492</v>
      </c>
      <c r="I3592">
        <v>2</v>
      </c>
      <c r="J3592">
        <v>82</v>
      </c>
      <c r="K3592">
        <v>597</v>
      </c>
      <c r="L3592">
        <v>600</v>
      </c>
      <c r="M3592">
        <v>15.53846154</v>
      </c>
      <c r="N3592">
        <f>IFERROR(VLOOKUP(A3592,vlookup_table!$A:$G,2,FALSE),"")</f>
        <v>0</v>
      </c>
      <c r="O3592">
        <f>IFERROR(VLOOKUP(A3592,vlookup_table!$A:$G,4,FALSE),"")</f>
        <v>0</v>
      </c>
      <c r="P3592" t="str">
        <f>IFERROR(VLOOKUP(A3592,vlookup_table!$A:$G,5,FALSE),"")</f>
        <v>T2</v>
      </c>
      <c r="Q3592">
        <f>IFERROR(VLOOKUP(A3592,vlookup_table!$A:$G,7,FALSE),"")</f>
        <v>26</v>
      </c>
      <c r="R3592">
        <f t="shared" si="224"/>
        <v>97</v>
      </c>
      <c r="S3592" t="str" cm="1">
        <f t="array" ref="S3592">IF(P3592="","",_xlfn.SWITCH(LEFT(P3592,1),"C","Ciudad","T","Pueblo","R","Rural","S","Suburbano","U","Urbano",""))</f>
        <v>Pueblo</v>
      </c>
      <c r="T3592" t="str">
        <f t="shared" si="225"/>
        <v>M</v>
      </c>
      <c r="U3592" t="str">
        <f t="shared" si="226"/>
        <v>MI</v>
      </c>
      <c r="V3592" t="str">
        <f t="shared" si="227"/>
        <v>18492</v>
      </c>
    </row>
    <row r="3593" spans="1:22" x14ac:dyDescent="0.35">
      <c r="A3593" s="3">
        <v>190558</v>
      </c>
      <c r="B3593" t="s">
        <v>37</v>
      </c>
      <c r="C3593" t="s">
        <v>14</v>
      </c>
      <c r="D3593">
        <v>4572</v>
      </c>
      <c r="E3593">
        <v>400</v>
      </c>
      <c r="F3593">
        <v>613</v>
      </c>
      <c r="G3593">
        <v>94</v>
      </c>
      <c r="H3593">
        <v>23300</v>
      </c>
      <c r="I3593">
        <v>17</v>
      </c>
      <c r="J3593">
        <v>56</v>
      </c>
      <c r="K3593">
        <v>525</v>
      </c>
      <c r="L3593">
        <v>499</v>
      </c>
      <c r="M3593">
        <v>8.48</v>
      </c>
      <c r="N3593">
        <f>IFERROR(VLOOKUP(A3593,vlookup_table!$A:$G,2,FALSE),"")</f>
        <v>0</v>
      </c>
      <c r="O3593">
        <f>IFERROR(VLOOKUP(A3593,vlookup_table!$A:$G,4,FALSE),"")</f>
        <v>1601</v>
      </c>
      <c r="P3593" t="str">
        <f>IFERROR(VLOOKUP(A3593,vlookup_table!$A:$G,5,FALSE),"")</f>
        <v>U1</v>
      </c>
      <c r="Q3593">
        <f>IFERROR(VLOOKUP(A3593,vlookup_table!$A:$G,7,FALSE),"")</f>
        <v>10</v>
      </c>
      <c r="R3593">
        <f t="shared" si="224"/>
        <v>81</v>
      </c>
      <c r="S3593" t="str" cm="1">
        <f t="array" ref="S3593">IF(P3593="","",_xlfn.SWITCH(LEFT(P3593,1),"C","Ciudad","T","Pueblo","R","Rural","S","Suburbano","U","Urbano",""))</f>
        <v>Urbano</v>
      </c>
      <c r="T3593" t="str">
        <f t="shared" si="225"/>
        <v>M</v>
      </c>
      <c r="U3593" t="str">
        <f t="shared" si="226"/>
        <v>HI</v>
      </c>
      <c r="V3593" t="str">
        <f t="shared" si="227"/>
        <v>23300</v>
      </c>
    </row>
    <row r="3594" spans="1:22" x14ac:dyDescent="0.35">
      <c r="A3594" s="3">
        <v>34608</v>
      </c>
      <c r="B3594" t="s">
        <v>13</v>
      </c>
      <c r="C3594" t="s">
        <v>14</v>
      </c>
      <c r="D3594">
        <v>967</v>
      </c>
      <c r="E3594">
        <v>434</v>
      </c>
      <c r="F3594">
        <v>501</v>
      </c>
      <c r="G3594">
        <v>3</v>
      </c>
      <c r="H3594">
        <v>17052</v>
      </c>
      <c r="I3594">
        <v>9</v>
      </c>
      <c r="J3594">
        <v>20</v>
      </c>
      <c r="K3594">
        <v>463</v>
      </c>
      <c r="L3594">
        <v>478</v>
      </c>
      <c r="M3594">
        <v>9.3333333330000006</v>
      </c>
      <c r="N3594">
        <f>IFERROR(VLOOKUP(A3594,vlookup_table!$A:$G,2,FALSE),"")</f>
        <v>1</v>
      </c>
      <c r="O3594">
        <f>IFERROR(VLOOKUP(A3594,vlookup_table!$A:$G,4,FALSE),"")</f>
        <v>4210</v>
      </c>
      <c r="P3594" t="str">
        <f>IFERROR(VLOOKUP(A3594,vlookup_table!$A:$G,5,FALSE),"")</f>
        <v>S1</v>
      </c>
      <c r="Q3594">
        <f>IFERROR(VLOOKUP(A3594,vlookup_table!$A:$G,7,FALSE),"")</f>
        <v>12</v>
      </c>
      <c r="R3594">
        <f t="shared" si="224"/>
        <v>55</v>
      </c>
      <c r="S3594" t="str" cm="1">
        <f t="array" ref="S3594">IF(P3594="","",_xlfn.SWITCH(LEFT(P3594,1),"C","Ciudad","T","Pueblo","R","Rural","S","Suburbano","U","Urbano",""))</f>
        <v>Suburbano</v>
      </c>
      <c r="T3594" t="str">
        <f t="shared" si="225"/>
        <v>M</v>
      </c>
      <c r="U3594" t="str">
        <f t="shared" si="226"/>
        <v>FL</v>
      </c>
      <c r="V3594" t="str">
        <f t="shared" si="227"/>
        <v>17052</v>
      </c>
    </row>
    <row r="3595" spans="1:22" x14ac:dyDescent="0.35">
      <c r="A3595" s="3">
        <v>171357</v>
      </c>
      <c r="B3595" t="s">
        <v>22</v>
      </c>
      <c r="C3595" t="s">
        <v>17</v>
      </c>
      <c r="D3595">
        <v>2631</v>
      </c>
      <c r="E3595">
        <v>689</v>
      </c>
      <c r="F3595">
        <v>816</v>
      </c>
      <c r="G3595">
        <v>80</v>
      </c>
      <c r="H3595">
        <v>38138</v>
      </c>
      <c r="I3595">
        <v>4</v>
      </c>
      <c r="J3595">
        <v>50</v>
      </c>
      <c r="K3595">
        <v>753</v>
      </c>
      <c r="L3595">
        <v>772</v>
      </c>
      <c r="M3595">
        <v>25</v>
      </c>
      <c r="N3595">
        <f>IFERROR(VLOOKUP(A3595,vlookup_table!$A:$G,2,FALSE),"")</f>
        <v>0</v>
      </c>
      <c r="O3595">
        <f>IFERROR(VLOOKUP(A3595,vlookup_table!$A:$G,4,FALSE),"")</f>
        <v>0</v>
      </c>
      <c r="P3595" t="str">
        <f>IFERROR(VLOOKUP(A3595,vlookup_table!$A:$G,5,FALSE),"")</f>
        <v>T1</v>
      </c>
      <c r="Q3595">
        <f>IFERROR(VLOOKUP(A3595,vlookup_table!$A:$G,7,FALSE),"")</f>
        <v>25</v>
      </c>
      <c r="R3595">
        <f t="shared" si="224"/>
        <v>97</v>
      </c>
      <c r="S3595" t="str" cm="1">
        <f t="array" ref="S3595">IF(P3595="","",_xlfn.SWITCH(LEFT(P3595,1),"C","Ciudad","T","Pueblo","R","Rural","S","Suburbano","U","Urbano",""))</f>
        <v>Pueblo</v>
      </c>
      <c r="T3595" t="str">
        <f t="shared" si="225"/>
        <v>F</v>
      </c>
      <c r="U3595" t="str">
        <f t="shared" si="226"/>
        <v>CA</v>
      </c>
      <c r="V3595" t="str">
        <f t="shared" si="227"/>
        <v>38138</v>
      </c>
    </row>
    <row r="3596" spans="1:22" x14ac:dyDescent="0.35">
      <c r="A3596" s="3">
        <v>190040</v>
      </c>
      <c r="B3596" t="s">
        <v>18</v>
      </c>
      <c r="C3596" t="s">
        <v>14</v>
      </c>
      <c r="D3596">
        <v>1610</v>
      </c>
      <c r="E3596">
        <v>413</v>
      </c>
      <c r="F3596">
        <v>721</v>
      </c>
      <c r="G3596">
        <v>33</v>
      </c>
      <c r="H3596">
        <v>24479</v>
      </c>
      <c r="I3596">
        <v>9</v>
      </c>
      <c r="J3596">
        <v>31</v>
      </c>
      <c r="K3596">
        <v>644</v>
      </c>
      <c r="L3596">
        <v>551</v>
      </c>
      <c r="M3596">
        <v>12.5</v>
      </c>
      <c r="N3596">
        <f>IFERROR(VLOOKUP(A3596,vlookup_table!$A:$G,2,FALSE),"")</f>
        <v>1</v>
      </c>
      <c r="O3596">
        <f>IFERROR(VLOOKUP(A3596,vlookup_table!$A:$G,4,FALSE),"")</f>
        <v>0</v>
      </c>
      <c r="P3596" t="str">
        <f>IFERROR(VLOOKUP(A3596,vlookup_table!$A:$G,5,FALSE),"")</f>
        <v>C1</v>
      </c>
      <c r="Q3596">
        <f>IFERROR(VLOOKUP(A3596,vlookup_table!$A:$G,7,FALSE),"")</f>
        <v>12</v>
      </c>
      <c r="R3596">
        <f t="shared" si="224"/>
        <v>97</v>
      </c>
      <c r="S3596" t="str" cm="1">
        <f t="array" ref="S3596">IF(P3596="","",_xlfn.SWITCH(LEFT(P3596,1),"C","Ciudad","T","Pueblo","R","Rural","S","Suburbano","U","Urbano",""))</f>
        <v>Ciudad</v>
      </c>
      <c r="T3596" t="str">
        <f t="shared" si="225"/>
        <v>M</v>
      </c>
      <c r="U3596" t="str">
        <f t="shared" si="226"/>
        <v>NC</v>
      </c>
      <c r="V3596" t="str">
        <f t="shared" si="227"/>
        <v>24479</v>
      </c>
    </row>
    <row r="3597" spans="1:22" x14ac:dyDescent="0.35">
      <c r="A3597" s="3">
        <v>149956</v>
      </c>
      <c r="B3597" t="s">
        <v>22</v>
      </c>
      <c r="C3597" t="s">
        <v>17</v>
      </c>
      <c r="D3597">
        <v>1613</v>
      </c>
      <c r="E3597">
        <v>350</v>
      </c>
      <c r="F3597">
        <v>408</v>
      </c>
      <c r="G3597">
        <v>12</v>
      </c>
      <c r="H3597">
        <v>8897</v>
      </c>
      <c r="I3597">
        <v>39</v>
      </c>
      <c r="J3597">
        <v>49</v>
      </c>
      <c r="K3597">
        <v>352</v>
      </c>
      <c r="L3597">
        <v>403</v>
      </c>
      <c r="M3597">
        <v>6.548387097</v>
      </c>
      <c r="N3597">
        <f>IFERROR(VLOOKUP(A3597,vlookup_table!$A:$G,2,FALSE),"")</f>
        <v>0</v>
      </c>
      <c r="O3597">
        <f>IFERROR(VLOOKUP(A3597,vlookup_table!$A:$G,4,FALSE),"")</f>
        <v>5001</v>
      </c>
      <c r="P3597" t="str">
        <f>IFERROR(VLOOKUP(A3597,vlookup_table!$A:$G,5,FALSE),"")</f>
        <v>U3</v>
      </c>
      <c r="Q3597">
        <f>IFERROR(VLOOKUP(A3597,vlookup_table!$A:$G,7,FALSE),"")</f>
        <v>15</v>
      </c>
      <c r="R3597">
        <f t="shared" si="224"/>
        <v>47</v>
      </c>
      <c r="S3597" t="str" cm="1">
        <f t="array" ref="S3597">IF(P3597="","",_xlfn.SWITCH(LEFT(P3597,1),"C","Ciudad","T","Pueblo","R","Rural","S","Suburbano","U","Urbano",""))</f>
        <v>Urbano</v>
      </c>
      <c r="T3597" t="str">
        <f t="shared" si="225"/>
        <v>F</v>
      </c>
      <c r="U3597" t="str">
        <f t="shared" si="226"/>
        <v>CA</v>
      </c>
      <c r="V3597" t="str">
        <f t="shared" si="227"/>
        <v>8897</v>
      </c>
    </row>
    <row r="3598" spans="1:22" x14ac:dyDescent="0.35">
      <c r="A3598" s="3">
        <v>37861</v>
      </c>
      <c r="B3598" t="s">
        <v>13</v>
      </c>
      <c r="C3598" t="s">
        <v>14</v>
      </c>
      <c r="D3598">
        <v>934</v>
      </c>
      <c r="E3598">
        <v>273</v>
      </c>
      <c r="F3598">
        <v>392</v>
      </c>
      <c r="G3598">
        <v>2</v>
      </c>
      <c r="H3598">
        <v>10327</v>
      </c>
      <c r="I3598">
        <v>69</v>
      </c>
      <c r="J3598">
        <v>14</v>
      </c>
      <c r="K3598">
        <v>353</v>
      </c>
      <c r="L3598">
        <v>334</v>
      </c>
      <c r="M3598">
        <v>12.222222220000001</v>
      </c>
      <c r="N3598">
        <f>IFERROR(VLOOKUP(A3598,vlookup_table!$A:$G,2,FALSE),"")</f>
        <v>1</v>
      </c>
      <c r="O3598">
        <f>IFERROR(VLOOKUP(A3598,vlookup_table!$A:$G,4,FALSE),"")</f>
        <v>2808</v>
      </c>
      <c r="P3598" t="str">
        <f>IFERROR(VLOOKUP(A3598,vlookup_table!$A:$G,5,FALSE),"")</f>
        <v>U2</v>
      </c>
      <c r="Q3598">
        <f>IFERROR(VLOOKUP(A3598,vlookup_table!$A:$G,7,FALSE),"")</f>
        <v>15</v>
      </c>
      <c r="R3598">
        <f t="shared" si="224"/>
        <v>69</v>
      </c>
      <c r="S3598" t="str" cm="1">
        <f t="array" ref="S3598">IF(P3598="","",_xlfn.SWITCH(LEFT(P3598,1),"C","Ciudad","T","Pueblo","R","Rural","S","Suburbano","U","Urbano",""))</f>
        <v>Urbano</v>
      </c>
      <c r="T3598" t="str">
        <f t="shared" si="225"/>
        <v>M</v>
      </c>
      <c r="U3598" t="str">
        <f t="shared" si="226"/>
        <v>FL</v>
      </c>
      <c r="V3598" t="str">
        <f t="shared" si="227"/>
        <v>10327</v>
      </c>
    </row>
    <row r="3599" spans="1:22" x14ac:dyDescent="0.35">
      <c r="A3599" s="3">
        <v>168644</v>
      </c>
      <c r="B3599" t="s">
        <v>22</v>
      </c>
      <c r="C3599" t="s">
        <v>44</v>
      </c>
      <c r="D3599">
        <v>3156</v>
      </c>
      <c r="E3599">
        <v>645</v>
      </c>
      <c r="F3599">
        <v>664</v>
      </c>
      <c r="G3599">
        <v>97</v>
      </c>
      <c r="H3599">
        <v>19043</v>
      </c>
      <c r="I3599">
        <v>27</v>
      </c>
      <c r="J3599">
        <v>50</v>
      </c>
      <c r="K3599">
        <v>650</v>
      </c>
      <c r="L3599">
        <v>653</v>
      </c>
      <c r="M3599">
        <v>6.75</v>
      </c>
      <c r="N3599">
        <f>IFERROR(VLOOKUP(A3599,vlookup_table!$A:$G,2,FALSE),"")</f>
        <v>1002</v>
      </c>
      <c r="O3599">
        <f>IFERROR(VLOOKUP(A3599,vlookup_table!$A:$G,4,FALSE),"")</f>
        <v>0</v>
      </c>
      <c r="P3599" t="str">
        <f>IFERROR(VLOOKUP(A3599,vlookup_table!$A:$G,5,FALSE),"")</f>
        <v>S1</v>
      </c>
      <c r="Q3599">
        <f>IFERROR(VLOOKUP(A3599,vlookup_table!$A:$G,7,FALSE),"")</f>
        <v>9</v>
      </c>
      <c r="R3599">
        <f t="shared" si="224"/>
        <v>97</v>
      </c>
      <c r="S3599" t="str" cm="1">
        <f t="array" ref="S3599">IF(P3599="","",_xlfn.SWITCH(LEFT(P3599,1),"C","Ciudad","T","Pueblo","R","Rural","S","Suburbano","U","Urbano",""))</f>
        <v>Suburbano</v>
      </c>
      <c r="T3599" t="str">
        <f t="shared" si="225"/>
        <v>J</v>
      </c>
      <c r="U3599" t="str">
        <f t="shared" si="226"/>
        <v>CA</v>
      </c>
      <c r="V3599" t="str">
        <f t="shared" si="227"/>
        <v>19043</v>
      </c>
    </row>
    <row r="3600" spans="1:22" x14ac:dyDescent="0.35">
      <c r="A3600" s="3">
        <v>18534</v>
      </c>
      <c r="B3600" t="s">
        <v>18</v>
      </c>
      <c r="C3600" t="s">
        <v>20</v>
      </c>
      <c r="D3600">
        <v>576</v>
      </c>
      <c r="E3600">
        <v>244</v>
      </c>
      <c r="F3600">
        <v>345</v>
      </c>
      <c r="G3600">
        <v>1</v>
      </c>
      <c r="H3600">
        <v>13192</v>
      </c>
      <c r="I3600">
        <v>2</v>
      </c>
      <c r="J3600">
        <v>95</v>
      </c>
      <c r="K3600">
        <v>335</v>
      </c>
      <c r="L3600">
        <v>293</v>
      </c>
      <c r="M3600">
        <v>25</v>
      </c>
      <c r="N3600">
        <f>IFERROR(VLOOKUP(A3600,vlookup_table!$A:$G,2,FALSE),"")</f>
        <v>28</v>
      </c>
      <c r="O3600">
        <f>IFERROR(VLOOKUP(A3600,vlookup_table!$A:$G,4,FALSE),"")</f>
        <v>5101</v>
      </c>
      <c r="P3600" t="str">
        <f>IFERROR(VLOOKUP(A3600,vlookup_table!$A:$G,5,FALSE),"")</f>
        <v>T2</v>
      </c>
      <c r="Q3600">
        <f>IFERROR(VLOOKUP(A3600,vlookup_table!$A:$G,7,FALSE),"")</f>
        <v>15</v>
      </c>
      <c r="R3600">
        <f t="shared" si="224"/>
        <v>46</v>
      </c>
      <c r="S3600" t="str" cm="1">
        <f t="array" ref="S3600">IF(P3600="","",_xlfn.SWITCH(LEFT(P3600,1),"C","Ciudad","T","Pueblo","R","Rural","S","Suburbano","U","Urbano",""))</f>
        <v>Pueblo</v>
      </c>
      <c r="T3600" t="str">
        <f t="shared" si="225"/>
        <v>F</v>
      </c>
      <c r="U3600" t="str">
        <f t="shared" si="226"/>
        <v>NC</v>
      </c>
      <c r="V3600" t="str">
        <f t="shared" si="227"/>
        <v>13192</v>
      </c>
    </row>
    <row r="3601" spans="1:22" x14ac:dyDescent="0.35">
      <c r="A3601" s="3">
        <v>166106</v>
      </c>
      <c r="B3601" t="s">
        <v>22</v>
      </c>
      <c r="C3601" t="s">
        <v>17</v>
      </c>
      <c r="D3601">
        <v>1143</v>
      </c>
      <c r="E3601">
        <v>310</v>
      </c>
      <c r="F3601">
        <v>376</v>
      </c>
      <c r="G3601">
        <v>19</v>
      </c>
      <c r="H3601">
        <v>20576</v>
      </c>
      <c r="I3601">
        <v>14</v>
      </c>
      <c r="J3601">
        <v>47</v>
      </c>
      <c r="K3601">
        <v>374</v>
      </c>
      <c r="L3601">
        <v>356</v>
      </c>
      <c r="M3601">
        <v>6.266666667</v>
      </c>
      <c r="N3601">
        <f>IFERROR(VLOOKUP(A3601,vlookup_table!$A:$G,2,FALSE),"")</f>
        <v>0</v>
      </c>
      <c r="O3601">
        <f>IFERROR(VLOOKUP(A3601,vlookup_table!$A:$G,4,FALSE),"")</f>
        <v>6301</v>
      </c>
      <c r="P3601" t="str">
        <f>IFERROR(VLOOKUP(A3601,vlookup_table!$A:$G,5,FALSE),"")</f>
        <v>U1</v>
      </c>
      <c r="Q3601">
        <f>IFERROR(VLOOKUP(A3601,vlookup_table!$A:$G,7,FALSE),"")</f>
        <v>10</v>
      </c>
      <c r="R3601">
        <f t="shared" si="224"/>
        <v>34</v>
      </c>
      <c r="S3601" t="str" cm="1">
        <f t="array" ref="S3601">IF(P3601="","",_xlfn.SWITCH(LEFT(P3601,1),"C","Ciudad","T","Pueblo","R","Rural","S","Suburbano","U","Urbano",""))</f>
        <v>Urbano</v>
      </c>
      <c r="T3601" t="str">
        <f t="shared" si="225"/>
        <v>F</v>
      </c>
      <c r="U3601" t="str">
        <f t="shared" si="226"/>
        <v>CA</v>
      </c>
      <c r="V3601" t="str">
        <f t="shared" si="227"/>
        <v>20576</v>
      </c>
    </row>
    <row r="3602" spans="1:22" x14ac:dyDescent="0.35">
      <c r="A3602" s="3">
        <v>96960</v>
      </c>
      <c r="B3602" t="s">
        <v>16</v>
      </c>
      <c r="C3602" t="s">
        <v>14</v>
      </c>
      <c r="D3602">
        <v>927</v>
      </c>
      <c r="E3602">
        <v>231</v>
      </c>
      <c r="F3602">
        <v>299</v>
      </c>
      <c r="G3602">
        <v>5</v>
      </c>
      <c r="H3602">
        <v>15037</v>
      </c>
      <c r="I3602">
        <v>0</v>
      </c>
      <c r="J3602">
        <v>82</v>
      </c>
      <c r="K3602">
        <v>250</v>
      </c>
      <c r="L3602">
        <v>280</v>
      </c>
      <c r="M3602">
        <v>6.6470588240000001</v>
      </c>
      <c r="N3602">
        <f>IFERROR(VLOOKUP(A3602,vlookup_table!$A:$G,2,FALSE),"")</f>
        <v>1002</v>
      </c>
      <c r="O3602">
        <f>IFERROR(VLOOKUP(A3602,vlookup_table!$A:$G,4,FALSE),"")</f>
        <v>4001</v>
      </c>
      <c r="P3602" t="str">
        <f>IFERROR(VLOOKUP(A3602,vlookup_table!$A:$G,5,FALSE),"")</f>
        <v>R2</v>
      </c>
      <c r="Q3602">
        <f>IFERROR(VLOOKUP(A3602,vlookup_table!$A:$G,7,FALSE),"")</f>
        <v>8</v>
      </c>
      <c r="R3602">
        <f t="shared" si="224"/>
        <v>57</v>
      </c>
      <c r="S3602" t="str" cm="1">
        <f t="array" ref="S3602">IF(P3602="","",_xlfn.SWITCH(LEFT(P3602,1),"C","Ciudad","T","Pueblo","R","Rural","S","Suburbano","U","Urbano",""))</f>
        <v>Rural</v>
      </c>
      <c r="T3602" t="str">
        <f t="shared" si="225"/>
        <v>M</v>
      </c>
      <c r="U3602" t="str">
        <f t="shared" si="226"/>
        <v>IL</v>
      </c>
      <c r="V3602" t="str">
        <f t="shared" si="227"/>
        <v>15037</v>
      </c>
    </row>
    <row r="3603" spans="1:22" x14ac:dyDescent="0.35">
      <c r="A3603" s="3">
        <v>92972</v>
      </c>
      <c r="B3603" t="s">
        <v>16</v>
      </c>
      <c r="C3603" t="s">
        <v>17</v>
      </c>
      <c r="D3603">
        <v>5846</v>
      </c>
      <c r="E3603">
        <v>644</v>
      </c>
      <c r="F3603">
        <v>1041</v>
      </c>
      <c r="G3603">
        <v>98</v>
      </c>
      <c r="H3603">
        <v>100528</v>
      </c>
      <c r="I3603">
        <v>9</v>
      </c>
      <c r="J3603">
        <v>50</v>
      </c>
      <c r="K3603">
        <v>1177</v>
      </c>
      <c r="L3603">
        <v>785</v>
      </c>
      <c r="M3603">
        <v>30.666666670000001</v>
      </c>
      <c r="N3603">
        <f>IFERROR(VLOOKUP(A3603,vlookup_table!$A:$G,2,FALSE),"")</f>
        <v>2</v>
      </c>
      <c r="O3603">
        <f>IFERROR(VLOOKUP(A3603,vlookup_table!$A:$G,4,FALSE),"")</f>
        <v>0</v>
      </c>
      <c r="P3603" t="str">
        <f>IFERROR(VLOOKUP(A3603,vlookup_table!$A:$G,5,FALSE),"")</f>
        <v>U1</v>
      </c>
      <c r="Q3603">
        <f>IFERROR(VLOOKUP(A3603,vlookup_table!$A:$G,7,FALSE),"")</f>
        <v>30</v>
      </c>
      <c r="R3603">
        <f t="shared" si="224"/>
        <v>97</v>
      </c>
      <c r="S3603" t="str" cm="1">
        <f t="array" ref="S3603">IF(P3603="","",_xlfn.SWITCH(LEFT(P3603,1),"C","Ciudad","T","Pueblo","R","Rural","S","Suburbano","U","Urbano",""))</f>
        <v>Urbano</v>
      </c>
      <c r="T3603" t="str">
        <f t="shared" si="225"/>
        <v>F</v>
      </c>
      <c r="U3603" t="str">
        <f t="shared" si="226"/>
        <v>IL</v>
      </c>
      <c r="V3603" t="str">
        <f t="shared" si="227"/>
        <v>100528</v>
      </c>
    </row>
    <row r="3604" spans="1:22" x14ac:dyDescent="0.35">
      <c r="A3604" s="3">
        <v>115341</v>
      </c>
      <c r="B3604" t="s">
        <v>31</v>
      </c>
      <c r="C3604" t="s">
        <v>17</v>
      </c>
      <c r="D3604">
        <v>218</v>
      </c>
      <c r="E3604">
        <v>172</v>
      </c>
      <c r="F3604">
        <v>258</v>
      </c>
      <c r="G3604">
        <v>0</v>
      </c>
      <c r="H3604">
        <v>8660</v>
      </c>
      <c r="I3604">
        <v>0</v>
      </c>
      <c r="J3604">
        <v>78</v>
      </c>
      <c r="K3604">
        <v>208</v>
      </c>
      <c r="L3604">
        <v>226</v>
      </c>
      <c r="M3604">
        <v>11.66666667</v>
      </c>
      <c r="N3604">
        <f>IFERROR(VLOOKUP(A3604,vlookup_table!$A:$G,2,FALSE),"")</f>
        <v>2</v>
      </c>
      <c r="O3604">
        <f>IFERROR(VLOOKUP(A3604,vlookup_table!$A:$G,4,FALSE),"")</f>
        <v>2801</v>
      </c>
      <c r="P3604" t="str">
        <f>IFERROR(VLOOKUP(A3604,vlookup_table!$A:$G,5,FALSE),"")</f>
        <v>R3</v>
      </c>
      <c r="Q3604">
        <f>IFERROR(VLOOKUP(A3604,vlookup_table!$A:$G,7,FALSE),"")</f>
        <v>20</v>
      </c>
      <c r="R3604">
        <f t="shared" si="224"/>
        <v>69</v>
      </c>
      <c r="S3604" t="str" cm="1">
        <f t="array" ref="S3604">IF(P3604="","",_xlfn.SWITCH(LEFT(P3604,1),"C","Ciudad","T","Pueblo","R","Rural","S","Suburbano","U","Urbano",""))</f>
        <v>Rural</v>
      </c>
      <c r="T3604" t="str">
        <f t="shared" si="225"/>
        <v>F</v>
      </c>
      <c r="U3604" t="str">
        <f t="shared" si="226"/>
        <v>OK</v>
      </c>
      <c r="V3604" t="str">
        <f t="shared" si="227"/>
        <v>8660</v>
      </c>
    </row>
    <row r="3605" spans="1:22" x14ac:dyDescent="0.35">
      <c r="A3605" s="3">
        <v>63216</v>
      </c>
      <c r="B3605" t="s">
        <v>33</v>
      </c>
      <c r="C3605" t="s">
        <v>14</v>
      </c>
      <c r="D3605">
        <v>431</v>
      </c>
      <c r="E3605">
        <v>269</v>
      </c>
      <c r="F3605">
        <v>338</v>
      </c>
      <c r="G3605">
        <v>0</v>
      </c>
      <c r="H3605">
        <v>10493</v>
      </c>
      <c r="I3605">
        <v>0</v>
      </c>
      <c r="J3605">
        <v>79</v>
      </c>
      <c r="K3605">
        <v>307</v>
      </c>
      <c r="L3605">
        <v>309</v>
      </c>
      <c r="M3605">
        <v>5.8</v>
      </c>
      <c r="N3605">
        <f>IFERROR(VLOOKUP(A3605,vlookup_table!$A:$G,2,FALSE),"")</f>
        <v>1</v>
      </c>
      <c r="O3605">
        <f>IFERROR(VLOOKUP(A3605,vlookup_table!$A:$G,4,FALSE),"")</f>
        <v>0</v>
      </c>
      <c r="P3605" t="str">
        <f>IFERROR(VLOOKUP(A3605,vlookup_table!$A:$G,5,FALSE),"")</f>
        <v>T3</v>
      </c>
      <c r="Q3605">
        <f>IFERROR(VLOOKUP(A3605,vlookup_table!$A:$G,7,FALSE),"")</f>
        <v>5</v>
      </c>
      <c r="R3605">
        <f t="shared" si="224"/>
        <v>97</v>
      </c>
      <c r="S3605" t="str" cm="1">
        <f t="array" ref="S3605">IF(P3605="","",_xlfn.SWITCH(LEFT(P3605,1),"C","Ciudad","T","Pueblo","R","Rural","S","Suburbano","U","Urbano",""))</f>
        <v>Pueblo</v>
      </c>
      <c r="T3605" t="str">
        <f t="shared" si="225"/>
        <v>M</v>
      </c>
      <c r="U3605" t="str">
        <f t="shared" si="226"/>
        <v>IN</v>
      </c>
      <c r="V3605" t="str">
        <f t="shared" si="227"/>
        <v>10493</v>
      </c>
    </row>
    <row r="3606" spans="1:22" x14ac:dyDescent="0.35">
      <c r="A3606" s="3">
        <v>87459</v>
      </c>
      <c r="B3606" t="s">
        <v>34</v>
      </c>
      <c r="C3606" t="s">
        <v>20</v>
      </c>
      <c r="D3606">
        <v>446</v>
      </c>
      <c r="E3606">
        <v>184</v>
      </c>
      <c r="F3606">
        <v>218</v>
      </c>
      <c r="G3606">
        <v>0</v>
      </c>
      <c r="H3606">
        <v>8395</v>
      </c>
      <c r="I3606">
        <v>0</v>
      </c>
      <c r="J3606">
        <v>61</v>
      </c>
      <c r="K3606">
        <v>195</v>
      </c>
      <c r="L3606">
        <v>203</v>
      </c>
      <c r="M3606">
        <v>3.2222222220000001</v>
      </c>
      <c r="N3606">
        <f>IFERROR(VLOOKUP(A3606,vlookup_table!$A:$G,2,FALSE),"")</f>
        <v>0</v>
      </c>
      <c r="O3606">
        <f>IFERROR(VLOOKUP(A3606,vlookup_table!$A:$G,4,FALSE),"")</f>
        <v>0</v>
      </c>
      <c r="P3606" t="str">
        <f>IFERROR(VLOOKUP(A3606,vlookup_table!$A:$G,5,FALSE),"")</f>
        <v>C2</v>
      </c>
      <c r="Q3606">
        <f>IFERROR(VLOOKUP(A3606,vlookup_table!$A:$G,7,FALSE),"")</f>
        <v>4</v>
      </c>
      <c r="R3606">
        <f t="shared" si="224"/>
        <v>97</v>
      </c>
      <c r="S3606" t="str" cm="1">
        <f t="array" ref="S3606">IF(P3606="","",_xlfn.SWITCH(LEFT(P3606,1),"C","Ciudad","T","Pueblo","R","Rural","S","Suburbano","U","Urbano",""))</f>
        <v>Ciudad</v>
      </c>
      <c r="T3606" t="str">
        <f t="shared" si="225"/>
        <v>F</v>
      </c>
      <c r="U3606" t="str">
        <f t="shared" si="226"/>
        <v>MT</v>
      </c>
      <c r="V3606" t="str">
        <f t="shared" si="227"/>
        <v>8395</v>
      </c>
    </row>
    <row r="3607" spans="1:22" x14ac:dyDescent="0.35">
      <c r="A3607" s="3">
        <v>41325</v>
      </c>
      <c r="B3607" t="s">
        <v>13</v>
      </c>
      <c r="C3607" t="s">
        <v>17</v>
      </c>
      <c r="D3607">
        <v>803</v>
      </c>
      <c r="E3607">
        <v>290</v>
      </c>
      <c r="F3607">
        <v>382</v>
      </c>
      <c r="G3607">
        <v>0</v>
      </c>
      <c r="H3607">
        <v>14138</v>
      </c>
      <c r="I3607">
        <v>5</v>
      </c>
      <c r="J3607">
        <v>35</v>
      </c>
      <c r="K3607">
        <v>361</v>
      </c>
      <c r="L3607">
        <v>350</v>
      </c>
      <c r="M3607">
        <v>5.6666666670000003</v>
      </c>
      <c r="N3607">
        <f>IFERROR(VLOOKUP(A3607,vlookup_table!$A:$G,2,FALSE),"")</f>
        <v>0</v>
      </c>
      <c r="O3607">
        <f>IFERROR(VLOOKUP(A3607,vlookup_table!$A:$G,4,FALSE),"")</f>
        <v>6301</v>
      </c>
      <c r="P3607" t="str">
        <f>IFERROR(VLOOKUP(A3607,vlookup_table!$A:$G,5,FALSE),"")</f>
        <v>S2</v>
      </c>
      <c r="Q3607">
        <f>IFERROR(VLOOKUP(A3607,vlookup_table!$A:$G,7,FALSE),"")</f>
        <v>12</v>
      </c>
      <c r="R3607">
        <f t="shared" si="224"/>
        <v>34</v>
      </c>
      <c r="S3607" t="str" cm="1">
        <f t="array" ref="S3607">IF(P3607="","",_xlfn.SWITCH(LEFT(P3607,1),"C","Ciudad","T","Pueblo","R","Rural","S","Suburbano","U","Urbano",""))</f>
        <v>Suburbano</v>
      </c>
      <c r="T3607" t="str">
        <f t="shared" si="225"/>
        <v>F</v>
      </c>
      <c r="U3607" t="str">
        <f t="shared" si="226"/>
        <v>FL</v>
      </c>
      <c r="V3607" t="str">
        <f t="shared" si="227"/>
        <v>14138</v>
      </c>
    </row>
    <row r="3608" spans="1:22" x14ac:dyDescent="0.35">
      <c r="A3608" s="3">
        <v>187472</v>
      </c>
      <c r="B3608" t="s">
        <v>16</v>
      </c>
      <c r="C3608" t="s">
        <v>17</v>
      </c>
      <c r="D3608">
        <v>753</v>
      </c>
      <c r="E3608">
        <v>333</v>
      </c>
      <c r="F3608">
        <v>425</v>
      </c>
      <c r="G3608">
        <v>0</v>
      </c>
      <c r="H3608">
        <v>14164</v>
      </c>
      <c r="I3608">
        <v>4</v>
      </c>
      <c r="J3608">
        <v>68</v>
      </c>
      <c r="K3608">
        <v>393</v>
      </c>
      <c r="L3608">
        <v>371</v>
      </c>
      <c r="M3608">
        <v>12.57142857</v>
      </c>
      <c r="N3608">
        <f>IFERROR(VLOOKUP(A3608,vlookup_table!$A:$G,2,FALSE),"")</f>
        <v>0</v>
      </c>
      <c r="O3608">
        <f>IFERROR(VLOOKUP(A3608,vlookup_table!$A:$G,4,FALSE),"")</f>
        <v>0</v>
      </c>
      <c r="P3608" t="str">
        <f>IFERROR(VLOOKUP(A3608,vlookup_table!$A:$G,5,FALSE),"")</f>
        <v>C1</v>
      </c>
      <c r="Q3608">
        <f>IFERROR(VLOOKUP(A3608,vlookup_table!$A:$G,7,FALSE),"")</f>
        <v>15</v>
      </c>
      <c r="R3608">
        <f t="shared" si="224"/>
        <v>97</v>
      </c>
      <c r="S3608" t="str" cm="1">
        <f t="array" ref="S3608">IF(P3608="","",_xlfn.SWITCH(LEFT(P3608,1),"C","Ciudad","T","Pueblo","R","Rural","S","Suburbano","U","Urbano",""))</f>
        <v>Ciudad</v>
      </c>
      <c r="T3608" t="str">
        <f t="shared" si="225"/>
        <v>F</v>
      </c>
      <c r="U3608" t="str">
        <f t="shared" si="226"/>
        <v>IL</v>
      </c>
      <c r="V3608" t="str">
        <f t="shared" si="227"/>
        <v>14164</v>
      </c>
    </row>
    <row r="3609" spans="1:22" x14ac:dyDescent="0.35">
      <c r="A3609" s="3">
        <v>148572</v>
      </c>
      <c r="B3609" t="s">
        <v>22</v>
      </c>
      <c r="C3609" t="s">
        <v>14</v>
      </c>
      <c r="D3609">
        <v>1838</v>
      </c>
      <c r="E3609">
        <v>468</v>
      </c>
      <c r="F3609">
        <v>493</v>
      </c>
      <c r="G3609">
        <v>24</v>
      </c>
      <c r="H3609">
        <v>13500</v>
      </c>
      <c r="I3609">
        <v>29</v>
      </c>
      <c r="J3609">
        <v>50</v>
      </c>
      <c r="K3609">
        <v>465</v>
      </c>
      <c r="L3609">
        <v>536</v>
      </c>
      <c r="M3609">
        <v>5.1428571429999996</v>
      </c>
      <c r="N3609">
        <f>IFERROR(VLOOKUP(A3609,vlookup_table!$A:$G,2,FALSE),"")</f>
        <v>1</v>
      </c>
      <c r="O3609">
        <f>IFERROR(VLOOKUP(A3609,vlookup_table!$A:$G,4,FALSE),"")</f>
        <v>2701</v>
      </c>
      <c r="P3609" t="str">
        <f>IFERROR(VLOOKUP(A3609,vlookup_table!$A:$G,5,FALSE),"")</f>
        <v>U2</v>
      </c>
      <c r="Q3609">
        <f>IFERROR(VLOOKUP(A3609,vlookup_table!$A:$G,7,FALSE),"")</f>
        <v>5</v>
      </c>
      <c r="R3609">
        <f t="shared" si="224"/>
        <v>70</v>
      </c>
      <c r="S3609" t="str" cm="1">
        <f t="array" ref="S3609">IF(P3609="","",_xlfn.SWITCH(LEFT(P3609,1),"C","Ciudad","T","Pueblo","R","Rural","S","Suburbano","U","Urbano",""))</f>
        <v>Urbano</v>
      </c>
      <c r="T3609" t="str">
        <f t="shared" si="225"/>
        <v>M</v>
      </c>
      <c r="U3609" t="str">
        <f t="shared" si="226"/>
        <v>CA</v>
      </c>
      <c r="V3609" t="str">
        <f t="shared" si="227"/>
        <v>13500</v>
      </c>
    </row>
    <row r="3610" spans="1:22" x14ac:dyDescent="0.35">
      <c r="A3610" s="3">
        <v>137256</v>
      </c>
      <c r="B3610" t="s">
        <v>55</v>
      </c>
      <c r="C3610" t="s">
        <v>60</v>
      </c>
      <c r="D3610">
        <v>619</v>
      </c>
      <c r="E3610">
        <v>187</v>
      </c>
      <c r="F3610">
        <v>242</v>
      </c>
      <c r="G3610">
        <v>0</v>
      </c>
      <c r="H3610">
        <v>13361</v>
      </c>
      <c r="I3610">
        <v>13</v>
      </c>
      <c r="J3610">
        <v>0</v>
      </c>
      <c r="K3610">
        <v>215</v>
      </c>
      <c r="L3610">
        <v>197</v>
      </c>
      <c r="M3610">
        <v>14.1</v>
      </c>
      <c r="N3610">
        <f>IFERROR(VLOOKUP(A3610,vlookup_table!$A:$G,2,FALSE),"")</f>
        <v>2</v>
      </c>
      <c r="O3610">
        <f>IFERROR(VLOOKUP(A3610,vlookup_table!$A:$G,4,FALSE),"")</f>
        <v>1309</v>
      </c>
      <c r="P3610" t="str">
        <f>IFERROR(VLOOKUP(A3610,vlookup_table!$A:$G,5,FALSE),"")</f>
        <v>C3</v>
      </c>
      <c r="Q3610">
        <f>IFERROR(VLOOKUP(A3610,vlookup_table!$A:$G,7,FALSE),"")</f>
        <v>25</v>
      </c>
      <c r="R3610">
        <f t="shared" si="224"/>
        <v>84</v>
      </c>
      <c r="S3610" t="str" cm="1">
        <f t="array" ref="S3610">IF(P3610="","",_xlfn.SWITCH(LEFT(P3610,1),"C","Ciudad","T","Pueblo","R","Rural","S","Suburbano","U","Urbano",""))</f>
        <v>Ciudad</v>
      </c>
      <c r="T3610" t="str">
        <f t="shared" si="225"/>
        <v>F</v>
      </c>
      <c r="U3610" t="str">
        <f t="shared" si="226"/>
        <v>AZ</v>
      </c>
      <c r="V3610" t="str">
        <f t="shared" si="227"/>
        <v>13361</v>
      </c>
    </row>
    <row r="3611" spans="1:22" x14ac:dyDescent="0.35">
      <c r="A3611" s="3">
        <v>175731</v>
      </c>
      <c r="B3611" t="s">
        <v>50</v>
      </c>
      <c r="C3611" t="s">
        <v>14</v>
      </c>
      <c r="D3611">
        <v>864</v>
      </c>
      <c r="E3611">
        <v>358</v>
      </c>
      <c r="F3611">
        <v>464</v>
      </c>
      <c r="G3611">
        <v>2</v>
      </c>
      <c r="H3611">
        <v>16065</v>
      </c>
      <c r="I3611">
        <v>5</v>
      </c>
      <c r="J3611">
        <v>52</v>
      </c>
      <c r="K3611">
        <v>409</v>
      </c>
      <c r="L3611">
        <v>410</v>
      </c>
      <c r="M3611">
        <v>11</v>
      </c>
      <c r="N3611">
        <f>IFERROR(VLOOKUP(A3611,vlookup_table!$A:$G,2,FALSE),"")</f>
        <v>0</v>
      </c>
      <c r="O3611">
        <f>IFERROR(VLOOKUP(A3611,vlookup_table!$A:$G,4,FALSE),"")</f>
        <v>1709</v>
      </c>
      <c r="P3611" t="str">
        <f>IFERROR(VLOOKUP(A3611,vlookup_table!$A:$G,5,FALSE),"")</f>
        <v>S2</v>
      </c>
      <c r="Q3611">
        <f>IFERROR(VLOOKUP(A3611,vlookup_table!$A:$G,7,FALSE),"")</f>
        <v>10</v>
      </c>
      <c r="R3611">
        <f t="shared" si="224"/>
        <v>80</v>
      </c>
      <c r="S3611" t="str" cm="1">
        <f t="array" ref="S3611">IF(P3611="","",_xlfn.SWITCH(LEFT(P3611,1),"C","Ciudad","T","Pueblo","R","Rural","S","Suburbano","U","Urbano",""))</f>
        <v>Suburbano</v>
      </c>
      <c r="T3611" t="str">
        <f t="shared" si="225"/>
        <v>M</v>
      </c>
      <c r="U3611" t="str">
        <f t="shared" si="226"/>
        <v>OR</v>
      </c>
      <c r="V3611" t="str">
        <f t="shared" si="227"/>
        <v>16065</v>
      </c>
    </row>
    <row r="3612" spans="1:22" x14ac:dyDescent="0.35">
      <c r="A3612" s="3">
        <v>94757</v>
      </c>
      <c r="B3612" t="s">
        <v>16</v>
      </c>
      <c r="C3612" t="s">
        <v>14</v>
      </c>
      <c r="D3612">
        <v>1279</v>
      </c>
      <c r="E3612">
        <v>410</v>
      </c>
      <c r="F3612">
        <v>466</v>
      </c>
      <c r="G3612">
        <v>3</v>
      </c>
      <c r="H3612">
        <v>15287</v>
      </c>
      <c r="I3612">
        <v>28</v>
      </c>
      <c r="J3612">
        <v>60</v>
      </c>
      <c r="K3612">
        <v>456</v>
      </c>
      <c r="L3612">
        <v>403</v>
      </c>
      <c r="M3612">
        <v>11.25</v>
      </c>
      <c r="N3612">
        <f>IFERROR(VLOOKUP(A3612,vlookup_table!$A:$G,2,FALSE),"")</f>
        <v>0</v>
      </c>
      <c r="O3612">
        <f>IFERROR(VLOOKUP(A3612,vlookup_table!$A:$G,4,FALSE),"")</f>
        <v>4603</v>
      </c>
      <c r="P3612" t="str">
        <f>IFERROR(VLOOKUP(A3612,vlookup_table!$A:$G,5,FALSE),"")</f>
        <v>S2</v>
      </c>
      <c r="Q3612">
        <f>IFERROR(VLOOKUP(A3612,vlookup_table!$A:$G,7,FALSE),"")</f>
        <v>12</v>
      </c>
      <c r="R3612">
        <f t="shared" si="224"/>
        <v>51</v>
      </c>
      <c r="S3612" t="str" cm="1">
        <f t="array" ref="S3612">IF(P3612="","",_xlfn.SWITCH(LEFT(P3612,1),"C","Ciudad","T","Pueblo","R","Rural","S","Suburbano","U","Urbano",""))</f>
        <v>Suburbano</v>
      </c>
      <c r="T3612" t="str">
        <f t="shared" si="225"/>
        <v>M</v>
      </c>
      <c r="U3612" t="str">
        <f t="shared" si="226"/>
        <v>IL</v>
      </c>
      <c r="V3612" t="str">
        <f t="shared" si="227"/>
        <v>15287</v>
      </c>
    </row>
    <row r="3613" spans="1:22" x14ac:dyDescent="0.35">
      <c r="A3613" s="3">
        <v>136130</v>
      </c>
      <c r="B3613" t="s">
        <v>55</v>
      </c>
      <c r="C3613" t="s">
        <v>60</v>
      </c>
      <c r="D3613">
        <v>613</v>
      </c>
      <c r="E3613">
        <v>183</v>
      </c>
      <c r="F3613">
        <v>271</v>
      </c>
      <c r="G3613">
        <v>1</v>
      </c>
      <c r="H3613">
        <v>9700</v>
      </c>
      <c r="I3613">
        <v>3</v>
      </c>
      <c r="J3613">
        <v>21</v>
      </c>
      <c r="K3613">
        <v>236</v>
      </c>
      <c r="L3613">
        <v>226</v>
      </c>
      <c r="M3613">
        <v>7.15</v>
      </c>
      <c r="N3613">
        <f>IFERROR(VLOOKUP(A3613,vlookup_table!$A:$G,2,FALSE),"")</f>
        <v>0</v>
      </c>
      <c r="O3613">
        <f>IFERROR(VLOOKUP(A3613,vlookup_table!$A:$G,4,FALSE),"")</f>
        <v>0</v>
      </c>
      <c r="P3613" t="str">
        <f>IFERROR(VLOOKUP(A3613,vlookup_table!$A:$G,5,FALSE),"")</f>
        <v>R2</v>
      </c>
      <c r="Q3613">
        <f>IFERROR(VLOOKUP(A3613,vlookup_table!$A:$G,7,FALSE),"")</f>
        <v>10</v>
      </c>
      <c r="R3613">
        <f t="shared" si="224"/>
        <v>97</v>
      </c>
      <c r="S3613" t="str" cm="1">
        <f t="array" ref="S3613">IF(P3613="","",_xlfn.SWITCH(LEFT(P3613,1),"C","Ciudad","T","Pueblo","R","Rural","S","Suburbano","U","Urbano",""))</f>
        <v>Rural</v>
      </c>
      <c r="T3613" t="str">
        <f t="shared" si="225"/>
        <v>F</v>
      </c>
      <c r="U3613" t="str">
        <f t="shared" si="226"/>
        <v>AZ</v>
      </c>
      <c r="V3613" t="str">
        <f t="shared" si="227"/>
        <v>9700</v>
      </c>
    </row>
    <row r="3614" spans="1:22" x14ac:dyDescent="0.35">
      <c r="A3614" s="3">
        <v>56816</v>
      </c>
      <c r="B3614" t="s">
        <v>57</v>
      </c>
      <c r="C3614" t="s">
        <v>17</v>
      </c>
      <c r="D3614">
        <v>870</v>
      </c>
      <c r="E3614">
        <v>481</v>
      </c>
      <c r="F3614">
        <v>555</v>
      </c>
      <c r="G3614">
        <v>1</v>
      </c>
      <c r="H3614">
        <v>22886</v>
      </c>
      <c r="I3614">
        <v>1</v>
      </c>
      <c r="J3614">
        <v>67</v>
      </c>
      <c r="K3614">
        <v>514</v>
      </c>
      <c r="L3614">
        <v>515</v>
      </c>
      <c r="M3614">
        <v>7.3</v>
      </c>
      <c r="N3614">
        <f>IFERROR(VLOOKUP(A3614,vlookup_table!$A:$G,2,FALSE),"")</f>
        <v>2</v>
      </c>
      <c r="O3614">
        <f>IFERROR(VLOOKUP(A3614,vlookup_table!$A:$G,4,FALSE),"")</f>
        <v>2002</v>
      </c>
      <c r="P3614" t="str">
        <f>IFERROR(VLOOKUP(A3614,vlookup_table!$A:$G,5,FALSE),"")</f>
        <v>S1</v>
      </c>
      <c r="Q3614">
        <f>IFERROR(VLOOKUP(A3614,vlookup_table!$A:$G,7,FALSE),"")</f>
        <v>10</v>
      </c>
      <c r="R3614">
        <f t="shared" si="224"/>
        <v>77</v>
      </c>
      <c r="S3614" t="str" cm="1">
        <f t="array" ref="S3614">IF(P3614="","",_xlfn.SWITCH(LEFT(P3614,1),"C","Ciudad","T","Pueblo","R","Rural","S","Suburbano","U","Urbano",""))</f>
        <v>Suburbano</v>
      </c>
      <c r="T3614" t="str">
        <f t="shared" si="225"/>
        <v>F</v>
      </c>
      <c r="U3614" t="str">
        <f t="shared" si="226"/>
        <v>KY</v>
      </c>
      <c r="V3614" t="str">
        <f t="shared" si="227"/>
        <v>22886</v>
      </c>
    </row>
    <row r="3615" spans="1:22" x14ac:dyDescent="0.35">
      <c r="A3615" s="3">
        <v>148840</v>
      </c>
      <c r="B3615" t="s">
        <v>22</v>
      </c>
      <c r="C3615" t="s">
        <v>17</v>
      </c>
      <c r="D3615">
        <v>2171</v>
      </c>
      <c r="E3615">
        <v>495</v>
      </c>
      <c r="F3615">
        <v>519</v>
      </c>
      <c r="G3615">
        <v>67</v>
      </c>
      <c r="H3615">
        <v>17382</v>
      </c>
      <c r="I3615">
        <v>25</v>
      </c>
      <c r="J3615">
        <v>51</v>
      </c>
      <c r="K3615">
        <v>508</v>
      </c>
      <c r="L3615">
        <v>492</v>
      </c>
      <c r="M3615">
        <v>10.81818182</v>
      </c>
      <c r="N3615">
        <f>IFERROR(VLOOKUP(A3615,vlookup_table!$A:$G,2,FALSE),"")</f>
        <v>0</v>
      </c>
      <c r="O3615">
        <f>IFERROR(VLOOKUP(A3615,vlookup_table!$A:$G,4,FALSE),"")</f>
        <v>201</v>
      </c>
      <c r="P3615" t="str">
        <f>IFERROR(VLOOKUP(A3615,vlookup_table!$A:$G,5,FALSE),"")</f>
        <v>U1</v>
      </c>
      <c r="Q3615">
        <f>IFERROR(VLOOKUP(A3615,vlookup_table!$A:$G,7,FALSE),"")</f>
        <v>11</v>
      </c>
      <c r="R3615">
        <f t="shared" si="224"/>
        <v>95</v>
      </c>
      <c r="S3615" t="str" cm="1">
        <f t="array" ref="S3615">IF(P3615="","",_xlfn.SWITCH(LEFT(P3615,1),"C","Ciudad","T","Pueblo","R","Rural","S","Suburbano","U","Urbano",""))</f>
        <v>Urbano</v>
      </c>
      <c r="T3615" t="str">
        <f t="shared" si="225"/>
        <v>F</v>
      </c>
      <c r="U3615" t="str">
        <f t="shared" si="226"/>
        <v>CA</v>
      </c>
      <c r="V3615" t="str">
        <f t="shared" si="227"/>
        <v>17382</v>
      </c>
    </row>
    <row r="3616" spans="1:22" x14ac:dyDescent="0.35">
      <c r="A3616" s="3">
        <v>79478</v>
      </c>
      <c r="B3616" t="s">
        <v>35</v>
      </c>
      <c r="C3616" t="s">
        <v>51</v>
      </c>
      <c r="D3616">
        <v>668</v>
      </c>
      <c r="E3616">
        <v>351</v>
      </c>
      <c r="F3616">
        <v>376</v>
      </c>
      <c r="G3616">
        <v>0</v>
      </c>
      <c r="H3616">
        <v>13340</v>
      </c>
      <c r="I3616">
        <v>2</v>
      </c>
      <c r="J3616">
        <v>85</v>
      </c>
      <c r="K3616">
        <v>386</v>
      </c>
      <c r="L3616">
        <v>352</v>
      </c>
      <c r="M3616">
        <v>13.25</v>
      </c>
      <c r="N3616">
        <f>IFERROR(VLOOKUP(A3616,vlookup_table!$A:$G,2,FALSE),"")</f>
        <v>1</v>
      </c>
      <c r="O3616">
        <f>IFERROR(VLOOKUP(A3616,vlookup_table!$A:$G,4,FALSE),"")</f>
        <v>2101</v>
      </c>
      <c r="P3616" t="str">
        <f>IFERROR(VLOOKUP(A3616,vlookup_table!$A:$G,5,FALSE),"")</f>
        <v>T2</v>
      </c>
      <c r="Q3616">
        <f>IFERROR(VLOOKUP(A3616,vlookup_table!$A:$G,7,FALSE),"")</f>
        <v>25</v>
      </c>
      <c r="R3616">
        <f t="shared" si="224"/>
        <v>76</v>
      </c>
      <c r="S3616" t="str" cm="1">
        <f t="array" ref="S3616">IF(P3616="","",_xlfn.SWITCH(LEFT(P3616,1),"C","Ciudad","T","Pueblo","R","Rural","S","Suburbano","U","Urbano",""))</f>
        <v>Pueblo</v>
      </c>
      <c r="T3616" t="str">
        <f t="shared" si="225"/>
        <v>M</v>
      </c>
      <c r="U3616" t="str">
        <f t="shared" si="226"/>
        <v>WI</v>
      </c>
      <c r="V3616" t="str">
        <f t="shared" si="227"/>
        <v>13340</v>
      </c>
    </row>
    <row r="3617" spans="1:22" x14ac:dyDescent="0.35">
      <c r="A3617" s="3">
        <v>116008</v>
      </c>
      <c r="B3617" t="s">
        <v>21</v>
      </c>
      <c r="C3617" t="s">
        <v>17</v>
      </c>
      <c r="D3617">
        <v>813</v>
      </c>
      <c r="E3617">
        <v>465</v>
      </c>
      <c r="F3617">
        <v>511</v>
      </c>
      <c r="G3617">
        <v>0</v>
      </c>
      <c r="H3617">
        <v>15458</v>
      </c>
      <c r="I3617">
        <v>6</v>
      </c>
      <c r="J3617">
        <v>48</v>
      </c>
      <c r="K3617">
        <v>485</v>
      </c>
      <c r="L3617">
        <v>489</v>
      </c>
      <c r="M3617">
        <v>9.307692308</v>
      </c>
      <c r="N3617">
        <f>IFERROR(VLOOKUP(A3617,vlookup_table!$A:$G,2,FALSE),"")</f>
        <v>0</v>
      </c>
      <c r="O3617">
        <f>IFERROR(VLOOKUP(A3617,vlookup_table!$A:$G,4,FALSE),"")</f>
        <v>3401</v>
      </c>
      <c r="P3617" t="str">
        <f>IFERROR(VLOOKUP(A3617,vlookup_table!$A:$G,5,FALSE),"")</f>
        <v>T1</v>
      </c>
      <c r="Q3617">
        <f>IFERROR(VLOOKUP(A3617,vlookup_table!$A:$G,7,FALSE),"")</f>
        <v>5</v>
      </c>
      <c r="R3617">
        <f t="shared" si="224"/>
        <v>63</v>
      </c>
      <c r="S3617" t="str" cm="1">
        <f t="array" ref="S3617">IF(P3617="","",_xlfn.SWITCH(LEFT(P3617,1),"C","Ciudad","T","Pueblo","R","Rural","S","Suburbano","U","Urbano",""))</f>
        <v>Pueblo</v>
      </c>
      <c r="T3617" t="str">
        <f t="shared" si="225"/>
        <v>F</v>
      </c>
      <c r="U3617" t="str">
        <f t="shared" si="226"/>
        <v>TX</v>
      </c>
      <c r="V3617" t="str">
        <f t="shared" si="227"/>
        <v>15458</v>
      </c>
    </row>
    <row r="3618" spans="1:22" x14ac:dyDescent="0.35">
      <c r="A3618" s="3">
        <v>150061</v>
      </c>
      <c r="B3618" t="s">
        <v>22</v>
      </c>
      <c r="C3618" t="s">
        <v>17</v>
      </c>
      <c r="D3618">
        <v>2618</v>
      </c>
      <c r="E3618">
        <v>621</v>
      </c>
      <c r="F3618">
        <v>704</v>
      </c>
      <c r="G3618">
        <v>85</v>
      </c>
      <c r="H3618">
        <v>27432</v>
      </c>
      <c r="I3618">
        <v>8</v>
      </c>
      <c r="J3618">
        <v>44</v>
      </c>
      <c r="K3618">
        <v>657</v>
      </c>
      <c r="L3618">
        <v>664</v>
      </c>
      <c r="M3618">
        <v>22.5</v>
      </c>
      <c r="N3618">
        <f>IFERROR(VLOOKUP(A3618,vlookup_table!$A:$G,2,FALSE),"")</f>
        <v>28</v>
      </c>
      <c r="O3618">
        <f>IFERROR(VLOOKUP(A3618,vlookup_table!$A:$G,4,FALSE),"")</f>
        <v>5801</v>
      </c>
      <c r="P3618" t="str">
        <f>IFERROR(VLOOKUP(A3618,vlookup_table!$A:$G,5,FALSE),"")</f>
        <v>S1</v>
      </c>
      <c r="Q3618">
        <f>IFERROR(VLOOKUP(A3618,vlookup_table!$A:$G,7,FALSE),"")</f>
        <v>25</v>
      </c>
      <c r="R3618">
        <f t="shared" si="224"/>
        <v>39</v>
      </c>
      <c r="S3618" t="str" cm="1">
        <f t="array" ref="S3618">IF(P3618="","",_xlfn.SWITCH(LEFT(P3618,1),"C","Ciudad","T","Pueblo","R","Rural","S","Suburbano","U","Urbano",""))</f>
        <v>Suburbano</v>
      </c>
      <c r="T3618" t="str">
        <f t="shared" si="225"/>
        <v>F</v>
      </c>
      <c r="U3618" t="str">
        <f t="shared" si="226"/>
        <v>CA</v>
      </c>
      <c r="V3618" t="str">
        <f t="shared" si="227"/>
        <v>27432</v>
      </c>
    </row>
    <row r="3619" spans="1:22" x14ac:dyDescent="0.35">
      <c r="A3619" s="3">
        <v>6789</v>
      </c>
      <c r="B3619" t="s">
        <v>74</v>
      </c>
      <c r="C3619" t="s">
        <v>14</v>
      </c>
      <c r="D3619">
        <v>515</v>
      </c>
      <c r="E3619">
        <v>269</v>
      </c>
      <c r="F3619">
        <v>362</v>
      </c>
      <c r="G3619">
        <v>1</v>
      </c>
      <c r="H3619">
        <v>13550</v>
      </c>
      <c r="I3619">
        <v>1</v>
      </c>
      <c r="J3619">
        <v>92</v>
      </c>
      <c r="K3619">
        <v>284</v>
      </c>
      <c r="L3619">
        <v>336</v>
      </c>
      <c r="M3619">
        <v>26.95</v>
      </c>
      <c r="N3619">
        <f>IFERROR(VLOOKUP(A3619,vlookup_table!$A:$G,2,FALSE),"")</f>
        <v>1</v>
      </c>
      <c r="O3619">
        <f>IFERROR(VLOOKUP(A3619,vlookup_table!$A:$G,4,FALSE),"")</f>
        <v>1703</v>
      </c>
      <c r="P3619" t="str">
        <f>IFERROR(VLOOKUP(A3619,vlookup_table!$A:$G,5,FALSE),"")</f>
        <v>R3</v>
      </c>
      <c r="Q3619">
        <f>IFERROR(VLOOKUP(A3619,vlookup_table!$A:$G,7,FALSE),"")</f>
        <v>10</v>
      </c>
      <c r="R3619">
        <f t="shared" si="224"/>
        <v>80</v>
      </c>
      <c r="S3619" t="str" cm="1">
        <f t="array" ref="S3619">IF(P3619="","",_xlfn.SWITCH(LEFT(P3619,1),"C","Ciudad","T","Pueblo","R","Rural","S","Suburbano","U","Urbano",""))</f>
        <v>Rural</v>
      </c>
      <c r="T3619" t="str">
        <f t="shared" si="225"/>
        <v>M</v>
      </c>
      <c r="U3619" t="str">
        <f t="shared" si="226"/>
        <v>PA</v>
      </c>
      <c r="V3619" t="str">
        <f t="shared" si="227"/>
        <v>13550</v>
      </c>
    </row>
    <row r="3620" spans="1:22" x14ac:dyDescent="0.35">
      <c r="A3620" s="3">
        <v>13196</v>
      </c>
      <c r="B3620" t="s">
        <v>22</v>
      </c>
      <c r="C3620" t="s">
        <v>17</v>
      </c>
      <c r="D3620">
        <v>5377</v>
      </c>
      <c r="E3620">
        <v>671</v>
      </c>
      <c r="F3620">
        <v>922</v>
      </c>
      <c r="G3620">
        <v>99</v>
      </c>
      <c r="H3620">
        <v>37647</v>
      </c>
      <c r="I3620">
        <v>29</v>
      </c>
      <c r="J3620">
        <v>40</v>
      </c>
      <c r="K3620">
        <v>949</v>
      </c>
      <c r="L3620">
        <v>811</v>
      </c>
      <c r="M3620">
        <v>100</v>
      </c>
      <c r="N3620">
        <f>IFERROR(VLOOKUP(A3620,vlookup_table!$A:$G,2,FALSE),"")</f>
        <v>28</v>
      </c>
      <c r="O3620">
        <f>IFERROR(VLOOKUP(A3620,vlookup_table!$A:$G,4,FALSE),"")</f>
        <v>201</v>
      </c>
      <c r="P3620" t="str">
        <f>IFERROR(VLOOKUP(A3620,vlookup_table!$A:$G,5,FALSE),"")</f>
        <v>S1</v>
      </c>
      <c r="Q3620">
        <f>IFERROR(VLOOKUP(A3620,vlookup_table!$A:$G,7,FALSE),"")</f>
        <v>10</v>
      </c>
      <c r="R3620">
        <f t="shared" si="224"/>
        <v>95</v>
      </c>
      <c r="S3620" t="str" cm="1">
        <f t="array" ref="S3620">IF(P3620="","",_xlfn.SWITCH(LEFT(P3620,1),"C","Ciudad","T","Pueblo","R","Rural","S","Suburbano","U","Urbano",""))</f>
        <v>Suburbano</v>
      </c>
      <c r="T3620" t="str">
        <f t="shared" si="225"/>
        <v>F</v>
      </c>
      <c r="U3620" t="str">
        <f t="shared" si="226"/>
        <v>CA</v>
      </c>
      <c r="V3620" t="str">
        <f t="shared" si="227"/>
        <v>37647</v>
      </c>
    </row>
    <row r="3621" spans="1:22" x14ac:dyDescent="0.35">
      <c r="A3621" s="3">
        <v>26169</v>
      </c>
      <c r="B3621" t="s">
        <v>39</v>
      </c>
      <c r="C3621" t="s">
        <v>17</v>
      </c>
      <c r="D3621">
        <v>1034</v>
      </c>
      <c r="E3621">
        <v>511</v>
      </c>
      <c r="F3621">
        <v>574</v>
      </c>
      <c r="G3621">
        <v>7</v>
      </c>
      <c r="H3621">
        <v>19422</v>
      </c>
      <c r="I3621">
        <v>6</v>
      </c>
      <c r="J3621">
        <v>48</v>
      </c>
      <c r="K3621">
        <v>534</v>
      </c>
      <c r="L3621">
        <v>558</v>
      </c>
      <c r="M3621">
        <v>9</v>
      </c>
      <c r="N3621">
        <f>IFERROR(VLOOKUP(A3621,vlookup_table!$A:$G,2,FALSE),"")</f>
        <v>28</v>
      </c>
      <c r="O3621">
        <f>IFERROR(VLOOKUP(A3621,vlookup_table!$A:$G,4,FALSE),"")</f>
        <v>0</v>
      </c>
      <c r="P3621" t="str">
        <f>IFERROR(VLOOKUP(A3621,vlookup_table!$A:$G,5,FALSE),"")</f>
        <v>T1</v>
      </c>
      <c r="Q3621">
        <f>IFERROR(VLOOKUP(A3621,vlookup_table!$A:$G,7,FALSE),"")</f>
        <v>12</v>
      </c>
      <c r="R3621">
        <f t="shared" si="224"/>
        <v>97</v>
      </c>
      <c r="S3621" t="str" cm="1">
        <f t="array" ref="S3621">IF(P3621="","",_xlfn.SWITCH(LEFT(P3621,1),"C","Ciudad","T","Pueblo","R","Rural","S","Suburbano","U","Urbano",""))</f>
        <v>Pueblo</v>
      </c>
      <c r="T3621" t="str">
        <f t="shared" si="225"/>
        <v>F</v>
      </c>
      <c r="U3621" t="str">
        <f t="shared" si="226"/>
        <v>GA</v>
      </c>
      <c r="V3621" t="str">
        <f t="shared" si="227"/>
        <v>19422</v>
      </c>
    </row>
    <row r="3622" spans="1:22" x14ac:dyDescent="0.35">
      <c r="A3622" s="3">
        <v>3691</v>
      </c>
      <c r="B3622" t="s">
        <v>29</v>
      </c>
      <c r="C3622" t="s">
        <v>17</v>
      </c>
      <c r="D3622">
        <v>605</v>
      </c>
      <c r="E3622">
        <v>396</v>
      </c>
      <c r="F3622">
        <v>486</v>
      </c>
      <c r="G3622">
        <v>0</v>
      </c>
      <c r="H3622">
        <v>15062</v>
      </c>
      <c r="I3622">
        <v>4</v>
      </c>
      <c r="J3622">
        <v>78</v>
      </c>
      <c r="K3622">
        <v>454</v>
      </c>
      <c r="L3622">
        <v>426</v>
      </c>
      <c r="M3622">
        <v>20</v>
      </c>
      <c r="N3622">
        <f>IFERROR(VLOOKUP(A3622,vlookup_table!$A:$G,2,FALSE),"")</f>
        <v>0</v>
      </c>
      <c r="O3622">
        <f>IFERROR(VLOOKUP(A3622,vlookup_table!$A:$G,4,FALSE),"")</f>
        <v>3301</v>
      </c>
      <c r="P3622" t="str">
        <f>IFERROR(VLOOKUP(A3622,vlookup_table!$A:$G,5,FALSE),"")</f>
        <v>U4</v>
      </c>
      <c r="Q3622">
        <f>IFERROR(VLOOKUP(A3622,vlookup_table!$A:$G,7,FALSE),"")</f>
        <v>20</v>
      </c>
      <c r="R3622">
        <f t="shared" si="224"/>
        <v>64</v>
      </c>
      <c r="S3622" t="str" cm="1">
        <f t="array" ref="S3622">IF(P3622="","",_xlfn.SWITCH(LEFT(P3622,1),"C","Ciudad","T","Pueblo","R","Rural","S","Suburbano","U","Urbano",""))</f>
        <v>Urbano</v>
      </c>
      <c r="T3622" t="str">
        <f t="shared" si="225"/>
        <v>F</v>
      </c>
      <c r="U3622" t="str">
        <f t="shared" si="226"/>
        <v>MI</v>
      </c>
      <c r="V3622" t="str">
        <f t="shared" si="227"/>
        <v>15062</v>
      </c>
    </row>
    <row r="3623" spans="1:22" x14ac:dyDescent="0.35">
      <c r="A3623" s="3">
        <v>101432</v>
      </c>
      <c r="B3623" t="s">
        <v>36</v>
      </c>
      <c r="C3623" t="s">
        <v>14</v>
      </c>
      <c r="D3623">
        <v>240</v>
      </c>
      <c r="E3623">
        <v>202</v>
      </c>
      <c r="F3623">
        <v>267</v>
      </c>
      <c r="G3623">
        <v>0</v>
      </c>
      <c r="H3623">
        <v>9288</v>
      </c>
      <c r="I3623">
        <v>0</v>
      </c>
      <c r="J3623">
        <v>79</v>
      </c>
      <c r="K3623">
        <v>232</v>
      </c>
      <c r="L3623">
        <v>243</v>
      </c>
      <c r="M3623">
        <v>7.9090909089999997</v>
      </c>
      <c r="N3623">
        <f>IFERROR(VLOOKUP(A3623,vlookup_table!$A:$G,2,FALSE),"")</f>
        <v>1</v>
      </c>
      <c r="O3623">
        <f>IFERROR(VLOOKUP(A3623,vlookup_table!$A:$G,4,FALSE),"")</f>
        <v>2401</v>
      </c>
      <c r="P3623" t="str">
        <f>IFERROR(VLOOKUP(A3623,vlookup_table!$A:$G,5,FALSE),"")</f>
        <v>R3</v>
      </c>
      <c r="Q3623">
        <f>IFERROR(VLOOKUP(A3623,vlookup_table!$A:$G,7,FALSE),"")</f>
        <v>8</v>
      </c>
      <c r="R3623">
        <f t="shared" si="224"/>
        <v>73</v>
      </c>
      <c r="S3623" t="str" cm="1">
        <f t="array" ref="S3623">IF(P3623="","",_xlfn.SWITCH(LEFT(P3623,1),"C","Ciudad","T","Pueblo","R","Rural","S","Suburbano","U","Urbano",""))</f>
        <v>Rural</v>
      </c>
      <c r="T3623" t="str">
        <f t="shared" si="225"/>
        <v>M</v>
      </c>
      <c r="U3623" t="str">
        <f t="shared" si="226"/>
        <v>MO</v>
      </c>
      <c r="V3623" t="str">
        <f t="shared" si="227"/>
        <v>9288</v>
      </c>
    </row>
    <row r="3624" spans="1:22" x14ac:dyDescent="0.35">
      <c r="A3624" s="3">
        <v>176379</v>
      </c>
      <c r="B3624" t="s">
        <v>50</v>
      </c>
      <c r="C3624" t="s">
        <v>14</v>
      </c>
      <c r="D3624">
        <v>829</v>
      </c>
      <c r="E3624">
        <v>397</v>
      </c>
      <c r="F3624">
        <v>456</v>
      </c>
      <c r="G3624">
        <v>1</v>
      </c>
      <c r="H3624">
        <v>14994</v>
      </c>
      <c r="I3624">
        <v>1</v>
      </c>
      <c r="J3624">
        <v>47</v>
      </c>
      <c r="K3624">
        <v>485</v>
      </c>
      <c r="L3624">
        <v>379</v>
      </c>
      <c r="M3624">
        <v>20</v>
      </c>
      <c r="N3624">
        <f>IFERROR(VLOOKUP(A3624,vlookup_table!$A:$G,2,FALSE),"")</f>
        <v>0</v>
      </c>
      <c r="O3624">
        <f>IFERROR(VLOOKUP(A3624,vlookup_table!$A:$G,4,FALSE),"")</f>
        <v>2001</v>
      </c>
      <c r="P3624" t="str">
        <f>IFERROR(VLOOKUP(A3624,vlookup_table!$A:$G,5,FALSE),"")</f>
        <v>C2</v>
      </c>
      <c r="Q3624">
        <f>IFERROR(VLOOKUP(A3624,vlookup_table!$A:$G,7,FALSE),"")</f>
        <v>10</v>
      </c>
      <c r="R3624">
        <f t="shared" si="224"/>
        <v>77</v>
      </c>
      <c r="S3624" t="str" cm="1">
        <f t="array" ref="S3624">IF(P3624="","",_xlfn.SWITCH(LEFT(P3624,1),"C","Ciudad","T","Pueblo","R","Rural","S","Suburbano","U","Urbano",""))</f>
        <v>Ciudad</v>
      </c>
      <c r="T3624" t="str">
        <f t="shared" si="225"/>
        <v>M</v>
      </c>
      <c r="U3624" t="str">
        <f t="shared" si="226"/>
        <v>OR</v>
      </c>
      <c r="V3624" t="str">
        <f t="shared" si="227"/>
        <v>14994</v>
      </c>
    </row>
    <row r="3625" spans="1:22" x14ac:dyDescent="0.35">
      <c r="A3625" s="3">
        <v>171854</v>
      </c>
      <c r="B3625" t="s">
        <v>22</v>
      </c>
      <c r="C3625" t="s">
        <v>17</v>
      </c>
      <c r="D3625">
        <v>1189</v>
      </c>
      <c r="E3625">
        <v>278</v>
      </c>
      <c r="F3625">
        <v>343</v>
      </c>
      <c r="G3625">
        <v>4</v>
      </c>
      <c r="H3625">
        <v>13051</v>
      </c>
      <c r="I3625">
        <v>10</v>
      </c>
      <c r="J3625">
        <v>46</v>
      </c>
      <c r="K3625">
        <v>310</v>
      </c>
      <c r="L3625">
        <v>325</v>
      </c>
      <c r="M3625">
        <v>13.5</v>
      </c>
      <c r="N3625">
        <f>IFERROR(VLOOKUP(A3625,vlookup_table!$A:$G,2,FALSE),"")</f>
        <v>2</v>
      </c>
      <c r="O3625">
        <f>IFERROR(VLOOKUP(A3625,vlookup_table!$A:$G,4,FALSE),"")</f>
        <v>2409</v>
      </c>
      <c r="P3625" t="str">
        <f>IFERROR(VLOOKUP(A3625,vlookup_table!$A:$G,5,FALSE),"")</f>
        <v>S2</v>
      </c>
      <c r="Q3625">
        <f>IFERROR(VLOOKUP(A3625,vlookup_table!$A:$G,7,FALSE),"")</f>
        <v>15</v>
      </c>
      <c r="R3625">
        <f t="shared" si="224"/>
        <v>73</v>
      </c>
      <c r="S3625" t="str" cm="1">
        <f t="array" ref="S3625">IF(P3625="","",_xlfn.SWITCH(LEFT(P3625,1),"C","Ciudad","T","Pueblo","R","Rural","S","Suburbano","U","Urbano",""))</f>
        <v>Suburbano</v>
      </c>
      <c r="T3625" t="str">
        <f t="shared" si="225"/>
        <v>F</v>
      </c>
      <c r="U3625" t="str">
        <f t="shared" si="226"/>
        <v>CA</v>
      </c>
      <c r="V3625" t="str">
        <f t="shared" si="227"/>
        <v>13051</v>
      </c>
    </row>
    <row r="3626" spans="1:22" x14ac:dyDescent="0.35">
      <c r="A3626" s="3">
        <v>159319</v>
      </c>
      <c r="B3626" t="s">
        <v>22</v>
      </c>
      <c r="C3626" t="s">
        <v>14</v>
      </c>
      <c r="D3626">
        <v>5828</v>
      </c>
      <c r="E3626">
        <v>856</v>
      </c>
      <c r="F3626">
        <v>976</v>
      </c>
      <c r="G3626">
        <v>98</v>
      </c>
      <c r="H3626">
        <v>40064</v>
      </c>
      <c r="I3626">
        <v>5</v>
      </c>
      <c r="J3626">
        <v>40</v>
      </c>
      <c r="K3626">
        <v>1043</v>
      </c>
      <c r="L3626">
        <v>854</v>
      </c>
      <c r="M3626">
        <v>10.66666667</v>
      </c>
      <c r="N3626">
        <f>IFERROR(VLOOKUP(A3626,vlookup_table!$A:$G,2,FALSE),"")</f>
        <v>2</v>
      </c>
      <c r="O3626">
        <f>IFERROR(VLOOKUP(A3626,vlookup_table!$A:$G,4,FALSE),"")</f>
        <v>4506</v>
      </c>
      <c r="P3626" t="str">
        <f>IFERROR(VLOOKUP(A3626,vlookup_table!$A:$G,5,FALSE),"")</f>
        <v>S1</v>
      </c>
      <c r="Q3626">
        <f>IFERROR(VLOOKUP(A3626,vlookup_table!$A:$G,7,FALSE),"")</f>
        <v>20</v>
      </c>
      <c r="R3626">
        <f t="shared" si="224"/>
        <v>52</v>
      </c>
      <c r="S3626" t="str" cm="1">
        <f t="array" ref="S3626">IF(P3626="","",_xlfn.SWITCH(LEFT(P3626,1),"C","Ciudad","T","Pueblo","R","Rural","S","Suburbano","U","Urbano",""))</f>
        <v>Suburbano</v>
      </c>
      <c r="T3626" t="str">
        <f t="shared" si="225"/>
        <v>M</v>
      </c>
      <c r="U3626" t="str">
        <f t="shared" si="226"/>
        <v>CA</v>
      </c>
      <c r="V3626" t="str">
        <f t="shared" si="227"/>
        <v>40064</v>
      </c>
    </row>
    <row r="3627" spans="1:22" x14ac:dyDescent="0.35">
      <c r="A3627" s="3">
        <v>171338</v>
      </c>
      <c r="B3627" t="s">
        <v>22</v>
      </c>
      <c r="C3627" t="s">
        <v>17</v>
      </c>
      <c r="D3627">
        <v>2076</v>
      </c>
      <c r="E3627">
        <v>418</v>
      </c>
      <c r="F3627">
        <v>505</v>
      </c>
      <c r="G3627">
        <v>54</v>
      </c>
      <c r="H3627">
        <v>16340</v>
      </c>
      <c r="I3627">
        <v>3</v>
      </c>
      <c r="J3627">
        <v>63</v>
      </c>
      <c r="K3627">
        <v>443</v>
      </c>
      <c r="L3627">
        <v>479</v>
      </c>
      <c r="M3627">
        <v>6.6666666670000003</v>
      </c>
      <c r="N3627">
        <f>IFERROR(VLOOKUP(A3627,vlookup_table!$A:$G,2,FALSE),"")</f>
        <v>0</v>
      </c>
      <c r="O3627">
        <f>IFERROR(VLOOKUP(A3627,vlookup_table!$A:$G,4,FALSE),"")</f>
        <v>4601</v>
      </c>
      <c r="P3627" t="str">
        <f>IFERROR(VLOOKUP(A3627,vlookup_table!$A:$G,5,FALSE),"")</f>
        <v>T1</v>
      </c>
      <c r="Q3627">
        <f>IFERROR(VLOOKUP(A3627,vlookup_table!$A:$G,7,FALSE),"")</f>
        <v>10</v>
      </c>
      <c r="R3627">
        <f t="shared" si="224"/>
        <v>51</v>
      </c>
      <c r="S3627" t="str" cm="1">
        <f t="array" ref="S3627">IF(P3627="","",_xlfn.SWITCH(LEFT(P3627,1),"C","Ciudad","T","Pueblo","R","Rural","S","Suburbano","U","Urbano",""))</f>
        <v>Pueblo</v>
      </c>
      <c r="T3627" t="str">
        <f t="shared" si="225"/>
        <v>F</v>
      </c>
      <c r="U3627" t="str">
        <f t="shared" si="226"/>
        <v>CA</v>
      </c>
      <c r="V3627" t="str">
        <f t="shared" si="227"/>
        <v>16340</v>
      </c>
    </row>
    <row r="3628" spans="1:22" x14ac:dyDescent="0.35">
      <c r="A3628" s="3">
        <v>160773</v>
      </c>
      <c r="B3628" t="s">
        <v>22</v>
      </c>
      <c r="C3628" t="s">
        <v>14</v>
      </c>
      <c r="D3628">
        <v>1679</v>
      </c>
      <c r="E3628">
        <v>503</v>
      </c>
      <c r="F3628">
        <v>560</v>
      </c>
      <c r="G3628">
        <v>34</v>
      </c>
      <c r="H3628">
        <v>16142</v>
      </c>
      <c r="I3628">
        <v>9</v>
      </c>
      <c r="J3628">
        <v>51</v>
      </c>
      <c r="K3628">
        <v>519</v>
      </c>
      <c r="L3628">
        <v>553</v>
      </c>
      <c r="M3628">
        <v>7.6</v>
      </c>
      <c r="N3628">
        <f>IFERROR(VLOOKUP(A3628,vlookup_table!$A:$G,2,FALSE),"")</f>
        <v>1</v>
      </c>
      <c r="O3628">
        <f>IFERROR(VLOOKUP(A3628,vlookup_table!$A:$G,4,FALSE),"")</f>
        <v>4001</v>
      </c>
      <c r="P3628" t="str">
        <f>IFERROR(VLOOKUP(A3628,vlookup_table!$A:$G,5,FALSE),"")</f>
        <v>C2</v>
      </c>
      <c r="Q3628">
        <f>IFERROR(VLOOKUP(A3628,vlookup_table!$A:$G,7,FALSE),"")</f>
        <v>10</v>
      </c>
      <c r="R3628">
        <f t="shared" si="224"/>
        <v>57</v>
      </c>
      <c r="S3628" t="str" cm="1">
        <f t="array" ref="S3628">IF(P3628="","",_xlfn.SWITCH(LEFT(P3628,1),"C","Ciudad","T","Pueblo","R","Rural","S","Suburbano","U","Urbano",""))</f>
        <v>Ciudad</v>
      </c>
      <c r="T3628" t="str">
        <f t="shared" si="225"/>
        <v>M</v>
      </c>
      <c r="U3628" t="str">
        <f t="shared" si="226"/>
        <v>CA</v>
      </c>
      <c r="V3628" t="str">
        <f t="shared" si="227"/>
        <v>16142</v>
      </c>
    </row>
    <row r="3629" spans="1:22" x14ac:dyDescent="0.35">
      <c r="A3629" s="3">
        <v>21539</v>
      </c>
      <c r="B3629" t="s">
        <v>18</v>
      </c>
      <c r="C3629" t="s">
        <v>14</v>
      </c>
      <c r="D3629">
        <v>996</v>
      </c>
      <c r="E3629">
        <v>334</v>
      </c>
      <c r="F3629">
        <v>405</v>
      </c>
      <c r="G3629">
        <v>15</v>
      </c>
      <c r="H3629">
        <v>15432</v>
      </c>
      <c r="I3629">
        <v>1</v>
      </c>
      <c r="J3629">
        <v>73</v>
      </c>
      <c r="K3629">
        <v>370</v>
      </c>
      <c r="L3629">
        <v>391</v>
      </c>
      <c r="M3629">
        <v>3.6551724139999999</v>
      </c>
      <c r="N3629">
        <f>IFERROR(VLOOKUP(A3629,vlookup_table!$A:$G,2,FALSE),"")</f>
        <v>1</v>
      </c>
      <c r="O3629">
        <f>IFERROR(VLOOKUP(A3629,vlookup_table!$A:$G,4,FALSE),"")</f>
        <v>4001</v>
      </c>
      <c r="P3629" t="str">
        <f>IFERROR(VLOOKUP(A3629,vlookup_table!$A:$G,5,FALSE),"")</f>
        <v>R2</v>
      </c>
      <c r="Q3629">
        <f>IFERROR(VLOOKUP(A3629,vlookup_table!$A:$G,7,FALSE),"")</f>
        <v>3</v>
      </c>
      <c r="R3629">
        <f t="shared" si="224"/>
        <v>57</v>
      </c>
      <c r="S3629" t="str" cm="1">
        <f t="array" ref="S3629">IF(P3629="","",_xlfn.SWITCH(LEFT(P3629,1),"C","Ciudad","T","Pueblo","R","Rural","S","Suburbano","U","Urbano",""))</f>
        <v>Rural</v>
      </c>
      <c r="T3629" t="str">
        <f t="shared" si="225"/>
        <v>M</v>
      </c>
      <c r="U3629" t="str">
        <f t="shared" si="226"/>
        <v>NC</v>
      </c>
      <c r="V3629" t="str">
        <f t="shared" si="227"/>
        <v>15432</v>
      </c>
    </row>
    <row r="3630" spans="1:22" x14ac:dyDescent="0.35">
      <c r="A3630" s="3">
        <v>125277</v>
      </c>
      <c r="B3630" t="s">
        <v>21</v>
      </c>
      <c r="C3630" t="s">
        <v>14</v>
      </c>
      <c r="D3630">
        <v>1136</v>
      </c>
      <c r="E3630">
        <v>505</v>
      </c>
      <c r="F3630">
        <v>590</v>
      </c>
      <c r="G3630">
        <v>11</v>
      </c>
      <c r="H3630">
        <v>24454</v>
      </c>
      <c r="I3630">
        <v>4</v>
      </c>
      <c r="J3630">
        <v>47</v>
      </c>
      <c r="K3630">
        <v>531</v>
      </c>
      <c r="L3630">
        <v>578</v>
      </c>
      <c r="M3630">
        <v>36.363636360000001</v>
      </c>
      <c r="N3630">
        <f>IFERROR(VLOOKUP(A3630,vlookup_table!$A:$G,2,FALSE),"")</f>
        <v>1</v>
      </c>
      <c r="O3630">
        <f>IFERROR(VLOOKUP(A3630,vlookup_table!$A:$G,4,FALSE),"")</f>
        <v>3401</v>
      </c>
      <c r="P3630" t="str">
        <f>IFERROR(VLOOKUP(A3630,vlookup_table!$A:$G,5,FALSE),"")</f>
        <v>S1</v>
      </c>
      <c r="Q3630">
        <f>IFERROR(VLOOKUP(A3630,vlookup_table!$A:$G,7,FALSE),"")</f>
        <v>53</v>
      </c>
      <c r="R3630">
        <f t="shared" si="224"/>
        <v>63</v>
      </c>
      <c r="S3630" t="str" cm="1">
        <f t="array" ref="S3630">IF(P3630="","",_xlfn.SWITCH(LEFT(P3630,1),"C","Ciudad","T","Pueblo","R","Rural","S","Suburbano","U","Urbano",""))</f>
        <v>Suburbano</v>
      </c>
      <c r="T3630" t="str">
        <f t="shared" si="225"/>
        <v>M</v>
      </c>
      <c r="U3630" t="str">
        <f t="shared" si="226"/>
        <v>TX</v>
      </c>
      <c r="V3630" t="str">
        <f t="shared" si="227"/>
        <v>24454</v>
      </c>
    </row>
    <row r="3631" spans="1:22" x14ac:dyDescent="0.35">
      <c r="A3631" s="3">
        <v>116329</v>
      </c>
      <c r="B3631" t="s">
        <v>21</v>
      </c>
      <c r="C3631" t="s">
        <v>14</v>
      </c>
      <c r="D3631">
        <v>2196</v>
      </c>
      <c r="E3631">
        <v>606</v>
      </c>
      <c r="F3631">
        <v>875</v>
      </c>
      <c r="G3631">
        <v>66</v>
      </c>
      <c r="H3631">
        <v>34050</v>
      </c>
      <c r="I3631">
        <v>12</v>
      </c>
      <c r="J3631">
        <v>34</v>
      </c>
      <c r="K3631">
        <v>797</v>
      </c>
      <c r="L3631">
        <v>700</v>
      </c>
      <c r="M3631">
        <v>10.625</v>
      </c>
      <c r="N3631">
        <f>IFERROR(VLOOKUP(A3631,vlookup_table!$A:$G,2,FALSE),"")</f>
        <v>0</v>
      </c>
      <c r="O3631">
        <f>IFERROR(VLOOKUP(A3631,vlookup_table!$A:$G,4,FALSE),"")</f>
        <v>5508</v>
      </c>
      <c r="P3631" t="str">
        <f>IFERROR(VLOOKUP(A3631,vlookup_table!$A:$G,5,FALSE),"")</f>
        <v>S1</v>
      </c>
      <c r="Q3631">
        <f>IFERROR(VLOOKUP(A3631,vlookup_table!$A:$G,7,FALSE),"")</f>
        <v>15</v>
      </c>
      <c r="R3631">
        <f t="shared" si="224"/>
        <v>42</v>
      </c>
      <c r="S3631" t="str" cm="1">
        <f t="array" ref="S3631">IF(P3631="","",_xlfn.SWITCH(LEFT(P3631,1),"C","Ciudad","T","Pueblo","R","Rural","S","Suburbano","U","Urbano",""))</f>
        <v>Suburbano</v>
      </c>
      <c r="T3631" t="str">
        <f t="shared" si="225"/>
        <v>M</v>
      </c>
      <c r="U3631" t="str">
        <f t="shared" si="226"/>
        <v>TX</v>
      </c>
      <c r="V3631" t="str">
        <f t="shared" si="227"/>
        <v>34050</v>
      </c>
    </row>
    <row r="3632" spans="1:22" x14ac:dyDescent="0.35">
      <c r="A3632" s="3">
        <v>126091</v>
      </c>
      <c r="B3632" t="s">
        <v>21</v>
      </c>
      <c r="C3632" t="s">
        <v>17</v>
      </c>
      <c r="D3632">
        <v>395</v>
      </c>
      <c r="E3632">
        <v>115</v>
      </c>
      <c r="F3632">
        <v>199</v>
      </c>
      <c r="G3632">
        <v>0</v>
      </c>
      <c r="H3632">
        <v>5058</v>
      </c>
      <c r="I3632">
        <v>10</v>
      </c>
      <c r="J3632">
        <v>89</v>
      </c>
      <c r="K3632">
        <v>154</v>
      </c>
      <c r="L3632">
        <v>177</v>
      </c>
      <c r="M3632">
        <v>6.2142857139999998</v>
      </c>
      <c r="N3632">
        <f>IFERROR(VLOOKUP(A3632,vlookup_table!$A:$G,2,FALSE),"")</f>
        <v>28</v>
      </c>
      <c r="O3632">
        <f>IFERROR(VLOOKUP(A3632,vlookup_table!$A:$G,4,FALSE),"")</f>
        <v>4202</v>
      </c>
      <c r="P3632" t="str">
        <f>IFERROR(VLOOKUP(A3632,vlookup_table!$A:$G,5,FALSE),"")</f>
        <v>C3</v>
      </c>
      <c r="Q3632">
        <f>IFERROR(VLOOKUP(A3632,vlookup_table!$A:$G,7,FALSE),"")</f>
        <v>6</v>
      </c>
      <c r="R3632">
        <f t="shared" si="224"/>
        <v>55</v>
      </c>
      <c r="S3632" t="str" cm="1">
        <f t="array" ref="S3632">IF(P3632="","",_xlfn.SWITCH(LEFT(P3632,1),"C","Ciudad","T","Pueblo","R","Rural","S","Suburbano","U","Urbano",""))</f>
        <v>Ciudad</v>
      </c>
      <c r="T3632" t="str">
        <f t="shared" si="225"/>
        <v>F</v>
      </c>
      <c r="U3632" t="str">
        <f t="shared" si="226"/>
        <v>TX</v>
      </c>
      <c r="V3632" t="str">
        <f t="shared" si="227"/>
        <v>5058</v>
      </c>
    </row>
    <row r="3633" spans="1:22" x14ac:dyDescent="0.35">
      <c r="A3633" s="3">
        <v>22206</v>
      </c>
      <c r="B3633" t="s">
        <v>18</v>
      </c>
      <c r="C3633" t="s">
        <v>20</v>
      </c>
      <c r="D3633">
        <v>897</v>
      </c>
      <c r="E3633">
        <v>309</v>
      </c>
      <c r="F3633">
        <v>417</v>
      </c>
      <c r="G3633">
        <v>3</v>
      </c>
      <c r="H3633">
        <v>16489</v>
      </c>
      <c r="I3633">
        <v>3</v>
      </c>
      <c r="J3633">
        <v>45</v>
      </c>
      <c r="K3633">
        <v>360</v>
      </c>
      <c r="L3633">
        <v>366</v>
      </c>
      <c r="M3633">
        <v>14.5</v>
      </c>
      <c r="N3633">
        <f>IFERROR(VLOOKUP(A3633,vlookup_table!$A:$G,2,FALSE),"")</f>
        <v>0</v>
      </c>
      <c r="O3633">
        <f>IFERROR(VLOOKUP(A3633,vlookup_table!$A:$G,4,FALSE),"")</f>
        <v>3510</v>
      </c>
      <c r="P3633">
        <f>IFERROR(VLOOKUP(A3633,vlookup_table!$A:$G,5,FALSE),"")</f>
        <v>0</v>
      </c>
      <c r="Q3633">
        <f>IFERROR(VLOOKUP(A3633,vlookup_table!$A:$G,7,FALSE),"")</f>
        <v>25</v>
      </c>
      <c r="R3633">
        <f t="shared" si="224"/>
        <v>62</v>
      </c>
      <c r="S3633" t="str" cm="1">
        <f t="array" ref="S3633">IF(P3633="","",_xlfn.SWITCH(LEFT(P3633,1),"C","Ciudad","T","Pueblo","R","Rural","S","Suburbano","U","Urbano",""))</f>
        <v/>
      </c>
      <c r="T3633" t="str">
        <f t="shared" si="225"/>
        <v>F</v>
      </c>
      <c r="U3633" t="str">
        <f t="shared" si="226"/>
        <v>NC</v>
      </c>
      <c r="V3633" t="str">
        <f t="shared" si="227"/>
        <v>16489</v>
      </c>
    </row>
    <row r="3634" spans="1:22" x14ac:dyDescent="0.35">
      <c r="A3634" s="3">
        <v>9537</v>
      </c>
      <c r="B3634" t="s">
        <v>53</v>
      </c>
      <c r="C3634" t="s">
        <v>17</v>
      </c>
      <c r="D3634">
        <v>753</v>
      </c>
      <c r="E3634">
        <v>370</v>
      </c>
      <c r="F3634">
        <v>437</v>
      </c>
      <c r="G3634">
        <v>1</v>
      </c>
      <c r="H3634">
        <v>13078</v>
      </c>
      <c r="I3634">
        <v>1</v>
      </c>
      <c r="J3634">
        <v>53</v>
      </c>
      <c r="K3634">
        <v>383</v>
      </c>
      <c r="L3634">
        <v>412</v>
      </c>
      <c r="M3634">
        <v>19.222222219999999</v>
      </c>
      <c r="N3634">
        <f>IFERROR(VLOOKUP(A3634,vlookup_table!$A:$G,2,FALSE),"")</f>
        <v>0</v>
      </c>
      <c r="O3634">
        <f>IFERROR(VLOOKUP(A3634,vlookup_table!$A:$G,4,FALSE),"")</f>
        <v>4301</v>
      </c>
      <c r="P3634" t="str">
        <f>IFERROR(VLOOKUP(A3634,vlookup_table!$A:$G,5,FALSE),"")</f>
        <v>T2</v>
      </c>
      <c r="Q3634">
        <f>IFERROR(VLOOKUP(A3634,vlookup_table!$A:$G,7,FALSE),"")</f>
        <v>35</v>
      </c>
      <c r="R3634">
        <f t="shared" si="224"/>
        <v>54</v>
      </c>
      <c r="S3634" t="str" cm="1">
        <f t="array" ref="S3634">IF(P3634="","",_xlfn.SWITCH(LEFT(P3634,1),"C","Ciudad","T","Pueblo","R","Rural","S","Suburbano","U","Urbano",""))</f>
        <v>Pueblo</v>
      </c>
      <c r="T3634" t="str">
        <f t="shared" si="225"/>
        <v>F</v>
      </c>
      <c r="U3634" t="str">
        <f t="shared" si="226"/>
        <v>TN</v>
      </c>
      <c r="V3634" t="str">
        <f t="shared" si="227"/>
        <v>13078</v>
      </c>
    </row>
    <row r="3635" spans="1:22" x14ac:dyDescent="0.35">
      <c r="A3635" s="3">
        <v>103857</v>
      </c>
      <c r="B3635" t="s">
        <v>36</v>
      </c>
      <c r="C3635" t="s">
        <v>14</v>
      </c>
      <c r="D3635">
        <v>278</v>
      </c>
      <c r="E3635">
        <v>158</v>
      </c>
      <c r="F3635">
        <v>234</v>
      </c>
      <c r="G3635">
        <v>1</v>
      </c>
      <c r="H3635">
        <v>8347</v>
      </c>
      <c r="I3635">
        <v>0</v>
      </c>
      <c r="J3635">
        <v>67</v>
      </c>
      <c r="K3635">
        <v>190</v>
      </c>
      <c r="L3635">
        <v>204</v>
      </c>
      <c r="M3635">
        <v>17.5</v>
      </c>
      <c r="N3635">
        <f>IFERROR(VLOOKUP(A3635,vlookup_table!$A:$G,2,FALSE),"")</f>
        <v>0</v>
      </c>
      <c r="O3635">
        <f>IFERROR(VLOOKUP(A3635,vlookup_table!$A:$G,4,FALSE),"")</f>
        <v>0</v>
      </c>
      <c r="P3635" t="str">
        <f>IFERROR(VLOOKUP(A3635,vlookup_table!$A:$G,5,FALSE),"")</f>
        <v>R3</v>
      </c>
      <c r="Q3635">
        <f>IFERROR(VLOOKUP(A3635,vlookup_table!$A:$G,7,FALSE),"")</f>
        <v>15</v>
      </c>
      <c r="R3635">
        <f t="shared" si="224"/>
        <v>97</v>
      </c>
      <c r="S3635" t="str" cm="1">
        <f t="array" ref="S3635">IF(P3635="","",_xlfn.SWITCH(LEFT(P3635,1),"C","Ciudad","T","Pueblo","R","Rural","S","Suburbano","U","Urbano",""))</f>
        <v>Rural</v>
      </c>
      <c r="T3635" t="str">
        <f t="shared" si="225"/>
        <v>M</v>
      </c>
      <c r="U3635" t="str">
        <f t="shared" si="226"/>
        <v>MO</v>
      </c>
      <c r="V3635" t="str">
        <f t="shared" si="227"/>
        <v>8347</v>
      </c>
    </row>
    <row r="3636" spans="1:22" x14ac:dyDescent="0.35">
      <c r="A3636" s="3">
        <v>146940</v>
      </c>
      <c r="B3636" t="s">
        <v>22</v>
      </c>
      <c r="C3636" t="s">
        <v>14</v>
      </c>
      <c r="D3636">
        <v>5679</v>
      </c>
      <c r="E3636">
        <v>518</v>
      </c>
      <c r="F3636">
        <v>781</v>
      </c>
      <c r="G3636">
        <v>97</v>
      </c>
      <c r="H3636">
        <v>47163</v>
      </c>
      <c r="I3636">
        <v>4</v>
      </c>
      <c r="J3636">
        <v>44</v>
      </c>
      <c r="K3636">
        <v>787</v>
      </c>
      <c r="L3636">
        <v>629</v>
      </c>
      <c r="M3636">
        <v>8.5</v>
      </c>
      <c r="N3636">
        <f>IFERROR(VLOOKUP(A3636,vlookup_table!$A:$G,2,FALSE),"")</f>
        <v>2</v>
      </c>
      <c r="O3636">
        <f>IFERROR(VLOOKUP(A3636,vlookup_table!$A:$G,4,FALSE),"")</f>
        <v>1001</v>
      </c>
      <c r="P3636" t="str">
        <f>IFERROR(VLOOKUP(A3636,vlookup_table!$A:$G,5,FALSE),"")</f>
        <v>U1</v>
      </c>
      <c r="Q3636">
        <f>IFERROR(VLOOKUP(A3636,vlookup_table!$A:$G,7,FALSE),"")</f>
        <v>15</v>
      </c>
      <c r="R3636">
        <f t="shared" si="224"/>
        <v>87</v>
      </c>
      <c r="S3636" t="str" cm="1">
        <f t="array" ref="S3636">IF(P3636="","",_xlfn.SWITCH(LEFT(P3636,1),"C","Ciudad","T","Pueblo","R","Rural","S","Suburbano","U","Urbano",""))</f>
        <v>Urbano</v>
      </c>
      <c r="T3636" t="str">
        <f t="shared" si="225"/>
        <v>M</v>
      </c>
      <c r="U3636" t="str">
        <f t="shared" si="226"/>
        <v>CA</v>
      </c>
      <c r="V3636" t="str">
        <f t="shared" si="227"/>
        <v>47163</v>
      </c>
    </row>
    <row r="3637" spans="1:22" x14ac:dyDescent="0.35">
      <c r="A3637" s="3">
        <v>129136</v>
      </c>
      <c r="B3637" t="s">
        <v>48</v>
      </c>
      <c r="C3637" t="s">
        <v>17</v>
      </c>
      <c r="D3637">
        <v>494</v>
      </c>
      <c r="E3637">
        <v>140</v>
      </c>
      <c r="F3637">
        <v>245</v>
      </c>
      <c r="G3637">
        <v>0</v>
      </c>
      <c r="H3637">
        <v>13810</v>
      </c>
      <c r="I3637">
        <v>0</v>
      </c>
      <c r="J3637">
        <v>50</v>
      </c>
      <c r="K3637">
        <v>161</v>
      </c>
      <c r="L3637">
        <v>175</v>
      </c>
      <c r="M3637">
        <v>25</v>
      </c>
      <c r="N3637">
        <f>IFERROR(VLOOKUP(A3637,vlookup_table!$A:$G,2,FALSE),"")</f>
        <v>28</v>
      </c>
      <c r="O3637">
        <f>IFERROR(VLOOKUP(A3637,vlookup_table!$A:$G,4,FALSE),"")</f>
        <v>0</v>
      </c>
      <c r="P3637" t="str">
        <f>IFERROR(VLOOKUP(A3637,vlookup_table!$A:$G,5,FALSE),"")</f>
        <v>C3</v>
      </c>
      <c r="Q3637">
        <f>IFERROR(VLOOKUP(A3637,vlookup_table!$A:$G,7,FALSE),"")</f>
        <v>25</v>
      </c>
      <c r="R3637">
        <f t="shared" si="224"/>
        <v>97</v>
      </c>
      <c r="S3637" t="str" cm="1">
        <f t="array" ref="S3637">IF(P3637="","",_xlfn.SWITCH(LEFT(P3637,1),"C","Ciudad","T","Pueblo","R","Rural","S","Suburbano","U","Urbano",""))</f>
        <v>Ciudad</v>
      </c>
      <c r="T3637" t="str">
        <f t="shared" si="225"/>
        <v>F</v>
      </c>
      <c r="U3637" t="str">
        <f t="shared" si="226"/>
        <v>CO</v>
      </c>
      <c r="V3637" t="str">
        <f t="shared" si="227"/>
        <v>13810</v>
      </c>
    </row>
    <row r="3638" spans="1:22" x14ac:dyDescent="0.35">
      <c r="A3638" s="3">
        <v>170649</v>
      </c>
      <c r="B3638" t="s">
        <v>22</v>
      </c>
      <c r="C3638" t="s">
        <v>14</v>
      </c>
      <c r="D3638">
        <v>1600</v>
      </c>
      <c r="E3638">
        <v>548</v>
      </c>
      <c r="F3638">
        <v>608</v>
      </c>
      <c r="G3638">
        <v>15</v>
      </c>
      <c r="H3638">
        <v>21369</v>
      </c>
      <c r="I3638">
        <v>3</v>
      </c>
      <c r="J3638">
        <v>53</v>
      </c>
      <c r="K3638">
        <v>551</v>
      </c>
      <c r="L3638">
        <v>603</v>
      </c>
      <c r="M3638">
        <v>17</v>
      </c>
      <c r="N3638">
        <f>IFERROR(VLOOKUP(A3638,vlookup_table!$A:$G,2,FALSE),"")</f>
        <v>0</v>
      </c>
      <c r="O3638">
        <f>IFERROR(VLOOKUP(A3638,vlookup_table!$A:$G,4,FALSE),"")</f>
        <v>3301</v>
      </c>
      <c r="P3638" t="str">
        <f>IFERROR(VLOOKUP(A3638,vlookup_table!$A:$G,5,FALSE),"")</f>
        <v>U1</v>
      </c>
      <c r="Q3638">
        <f>IFERROR(VLOOKUP(A3638,vlookup_table!$A:$G,7,FALSE),"")</f>
        <v>25</v>
      </c>
      <c r="R3638">
        <f t="shared" si="224"/>
        <v>64</v>
      </c>
      <c r="S3638" t="str" cm="1">
        <f t="array" ref="S3638">IF(P3638="","",_xlfn.SWITCH(LEFT(P3638,1),"C","Ciudad","T","Pueblo","R","Rural","S","Suburbano","U","Urbano",""))</f>
        <v>Urbano</v>
      </c>
      <c r="T3638" t="str">
        <f t="shared" si="225"/>
        <v>M</v>
      </c>
      <c r="U3638" t="str">
        <f t="shared" si="226"/>
        <v>CA</v>
      </c>
      <c r="V3638" t="str">
        <f t="shared" si="227"/>
        <v>21369</v>
      </c>
    </row>
    <row r="3639" spans="1:22" x14ac:dyDescent="0.35">
      <c r="A3639" s="3">
        <v>78256</v>
      </c>
      <c r="B3639" t="s">
        <v>35</v>
      </c>
      <c r="C3639" t="s">
        <v>17</v>
      </c>
      <c r="D3639">
        <v>273</v>
      </c>
      <c r="E3639">
        <v>207</v>
      </c>
      <c r="F3639">
        <v>255</v>
      </c>
      <c r="G3639">
        <v>0</v>
      </c>
      <c r="H3639">
        <v>6104</v>
      </c>
      <c r="I3639">
        <v>29</v>
      </c>
      <c r="J3639">
        <v>52</v>
      </c>
      <c r="K3639">
        <v>231</v>
      </c>
      <c r="L3639">
        <v>220</v>
      </c>
      <c r="M3639">
        <v>10.07692308</v>
      </c>
      <c r="N3639">
        <f>IFERROR(VLOOKUP(A3639,vlookup_table!$A:$G,2,FALSE),"")</f>
        <v>0</v>
      </c>
      <c r="O3639">
        <f>IFERROR(VLOOKUP(A3639,vlookup_table!$A:$G,4,FALSE),"")</f>
        <v>3205</v>
      </c>
      <c r="P3639" t="str">
        <f>IFERROR(VLOOKUP(A3639,vlookup_table!$A:$G,5,FALSE),"")</f>
        <v>U4</v>
      </c>
      <c r="Q3639">
        <f>IFERROR(VLOOKUP(A3639,vlookup_table!$A:$G,7,FALSE),"")</f>
        <v>11</v>
      </c>
      <c r="R3639">
        <f t="shared" si="224"/>
        <v>65</v>
      </c>
      <c r="S3639" t="str" cm="1">
        <f t="array" ref="S3639">IF(P3639="","",_xlfn.SWITCH(LEFT(P3639,1),"C","Ciudad","T","Pueblo","R","Rural","S","Suburbano","U","Urbano",""))</f>
        <v>Urbano</v>
      </c>
      <c r="T3639" t="str">
        <f t="shared" si="225"/>
        <v>F</v>
      </c>
      <c r="U3639" t="str">
        <f t="shared" si="226"/>
        <v>WI</v>
      </c>
      <c r="V3639" t="str">
        <f t="shared" si="227"/>
        <v>6104</v>
      </c>
    </row>
    <row r="3640" spans="1:22" x14ac:dyDescent="0.35">
      <c r="A3640" s="3">
        <v>160736</v>
      </c>
      <c r="B3640" t="s">
        <v>22</v>
      </c>
      <c r="C3640" t="s">
        <v>17</v>
      </c>
      <c r="D3640">
        <v>1500</v>
      </c>
      <c r="E3640">
        <v>258</v>
      </c>
      <c r="F3640">
        <v>414</v>
      </c>
      <c r="G3640">
        <v>19</v>
      </c>
      <c r="H3640">
        <v>15518</v>
      </c>
      <c r="I3640">
        <v>0</v>
      </c>
      <c r="J3640">
        <v>57</v>
      </c>
      <c r="K3640">
        <v>346</v>
      </c>
      <c r="L3640">
        <v>331</v>
      </c>
      <c r="M3640">
        <v>10.44444444</v>
      </c>
      <c r="N3640">
        <f>IFERROR(VLOOKUP(A3640,vlookup_table!$A:$G,2,FALSE),"")</f>
        <v>28</v>
      </c>
      <c r="O3640">
        <f>IFERROR(VLOOKUP(A3640,vlookup_table!$A:$G,4,FALSE),"")</f>
        <v>3401</v>
      </c>
      <c r="P3640" t="str">
        <f>IFERROR(VLOOKUP(A3640,vlookup_table!$A:$G,5,FALSE),"")</f>
        <v>T3</v>
      </c>
      <c r="Q3640">
        <f>IFERROR(VLOOKUP(A3640,vlookup_table!$A:$G,7,FALSE),"")</f>
        <v>12</v>
      </c>
      <c r="R3640">
        <f t="shared" si="224"/>
        <v>63</v>
      </c>
      <c r="S3640" t="str" cm="1">
        <f t="array" ref="S3640">IF(P3640="","",_xlfn.SWITCH(LEFT(P3640,1),"C","Ciudad","T","Pueblo","R","Rural","S","Suburbano","U","Urbano",""))</f>
        <v>Pueblo</v>
      </c>
      <c r="T3640" t="str">
        <f t="shared" si="225"/>
        <v>F</v>
      </c>
      <c r="U3640" t="str">
        <f t="shared" si="226"/>
        <v>CA</v>
      </c>
      <c r="V3640" t="str">
        <f t="shared" si="227"/>
        <v>15518</v>
      </c>
    </row>
    <row r="3641" spans="1:22" x14ac:dyDescent="0.35">
      <c r="A3641" s="3">
        <v>6198</v>
      </c>
      <c r="B3641" t="s">
        <v>22</v>
      </c>
      <c r="C3641" t="s">
        <v>17</v>
      </c>
      <c r="D3641">
        <v>1941</v>
      </c>
      <c r="E3641">
        <v>433</v>
      </c>
      <c r="F3641">
        <v>450</v>
      </c>
      <c r="G3641">
        <v>42</v>
      </c>
      <c r="H3641">
        <v>12296</v>
      </c>
      <c r="I3641">
        <v>13</v>
      </c>
      <c r="J3641">
        <v>58</v>
      </c>
      <c r="K3641">
        <v>412</v>
      </c>
      <c r="L3641">
        <v>474</v>
      </c>
      <c r="M3641">
        <v>13.65217391</v>
      </c>
      <c r="N3641">
        <f>IFERROR(VLOOKUP(A3641,vlookup_table!$A:$G,2,FALSE),"")</f>
        <v>2</v>
      </c>
      <c r="O3641">
        <f>IFERROR(VLOOKUP(A3641,vlookup_table!$A:$G,4,FALSE),"")</f>
        <v>1102</v>
      </c>
      <c r="P3641" t="str">
        <f>IFERROR(VLOOKUP(A3641,vlookup_table!$A:$G,5,FALSE),"")</f>
        <v>S1</v>
      </c>
      <c r="Q3641">
        <f>IFERROR(VLOOKUP(A3641,vlookup_table!$A:$G,7,FALSE),"")</f>
        <v>20</v>
      </c>
      <c r="R3641">
        <f t="shared" si="224"/>
        <v>86</v>
      </c>
      <c r="S3641" t="str" cm="1">
        <f t="array" ref="S3641">IF(P3641="","",_xlfn.SWITCH(LEFT(P3641,1),"C","Ciudad","T","Pueblo","R","Rural","S","Suburbano","U","Urbano",""))</f>
        <v>Suburbano</v>
      </c>
      <c r="T3641" t="str">
        <f t="shared" si="225"/>
        <v>F</v>
      </c>
      <c r="U3641" t="str">
        <f t="shared" si="226"/>
        <v>CA</v>
      </c>
      <c r="V3641" t="str">
        <f t="shared" si="227"/>
        <v>12296</v>
      </c>
    </row>
    <row r="3642" spans="1:22" x14ac:dyDescent="0.35">
      <c r="A3642" s="3">
        <v>146695</v>
      </c>
      <c r="B3642" t="s">
        <v>22</v>
      </c>
      <c r="C3642" t="s">
        <v>17</v>
      </c>
      <c r="D3642">
        <v>3909</v>
      </c>
      <c r="E3642">
        <v>870</v>
      </c>
      <c r="F3642">
        <v>901</v>
      </c>
      <c r="G3642">
        <v>98</v>
      </c>
      <c r="H3642">
        <v>34835</v>
      </c>
      <c r="I3642">
        <v>16</v>
      </c>
      <c r="J3642">
        <v>45</v>
      </c>
      <c r="K3642">
        <v>886</v>
      </c>
      <c r="L3642">
        <v>878</v>
      </c>
      <c r="M3642">
        <v>20</v>
      </c>
      <c r="N3642">
        <f>IFERROR(VLOOKUP(A3642,vlookup_table!$A:$G,2,FALSE),"")</f>
        <v>2</v>
      </c>
      <c r="O3642">
        <f>IFERROR(VLOOKUP(A3642,vlookup_table!$A:$G,4,FALSE),"")</f>
        <v>5501</v>
      </c>
      <c r="P3642" t="str">
        <f>IFERROR(VLOOKUP(A3642,vlookup_table!$A:$G,5,FALSE),"")</f>
        <v>S1</v>
      </c>
      <c r="Q3642">
        <f>IFERROR(VLOOKUP(A3642,vlookup_table!$A:$G,7,FALSE),"")</f>
        <v>20</v>
      </c>
      <c r="R3642">
        <f t="shared" si="224"/>
        <v>42</v>
      </c>
      <c r="S3642" t="str" cm="1">
        <f t="array" ref="S3642">IF(P3642="","",_xlfn.SWITCH(LEFT(P3642,1),"C","Ciudad","T","Pueblo","R","Rural","S","Suburbano","U","Urbano",""))</f>
        <v>Suburbano</v>
      </c>
      <c r="T3642" t="str">
        <f t="shared" si="225"/>
        <v>F</v>
      </c>
      <c r="U3642" t="str">
        <f t="shared" si="226"/>
        <v>CA</v>
      </c>
      <c r="V3642" t="str">
        <f t="shared" si="227"/>
        <v>34835</v>
      </c>
    </row>
    <row r="3643" spans="1:22" x14ac:dyDescent="0.35">
      <c r="A3643" s="3">
        <v>20631</v>
      </c>
      <c r="B3643" t="s">
        <v>18</v>
      </c>
      <c r="C3643" t="s">
        <v>17</v>
      </c>
      <c r="D3643">
        <v>615</v>
      </c>
      <c r="E3643">
        <v>311</v>
      </c>
      <c r="F3643">
        <v>369</v>
      </c>
      <c r="G3643">
        <v>1</v>
      </c>
      <c r="H3643">
        <v>12294</v>
      </c>
      <c r="I3643">
        <v>1</v>
      </c>
      <c r="J3643">
        <v>74</v>
      </c>
      <c r="K3643">
        <v>348</v>
      </c>
      <c r="L3643">
        <v>336</v>
      </c>
      <c r="M3643">
        <v>7.3636363640000004</v>
      </c>
      <c r="N3643">
        <f>IFERROR(VLOOKUP(A3643,vlookup_table!$A:$G,2,FALSE),"")</f>
        <v>0</v>
      </c>
      <c r="O3643">
        <f>IFERROR(VLOOKUP(A3643,vlookup_table!$A:$G,4,FALSE),"")</f>
        <v>5501</v>
      </c>
      <c r="P3643" t="str">
        <f>IFERROR(VLOOKUP(A3643,vlookup_table!$A:$G,5,FALSE),"")</f>
        <v>T2</v>
      </c>
      <c r="Q3643">
        <f>IFERROR(VLOOKUP(A3643,vlookup_table!$A:$G,7,FALSE),"")</f>
        <v>20</v>
      </c>
      <c r="R3643">
        <f t="shared" si="224"/>
        <v>42</v>
      </c>
      <c r="S3643" t="str" cm="1">
        <f t="array" ref="S3643">IF(P3643="","",_xlfn.SWITCH(LEFT(P3643,1),"C","Ciudad","T","Pueblo","R","Rural","S","Suburbano","U","Urbano",""))</f>
        <v>Pueblo</v>
      </c>
      <c r="T3643" t="str">
        <f t="shared" si="225"/>
        <v>F</v>
      </c>
      <c r="U3643" t="str">
        <f t="shared" si="226"/>
        <v>NC</v>
      </c>
      <c r="V3643" t="str">
        <f t="shared" si="227"/>
        <v>12294</v>
      </c>
    </row>
    <row r="3644" spans="1:22" x14ac:dyDescent="0.35">
      <c r="A3644" s="3">
        <v>15006</v>
      </c>
      <c r="B3644" t="s">
        <v>22</v>
      </c>
      <c r="C3644" t="s">
        <v>17</v>
      </c>
      <c r="D3644">
        <v>5000</v>
      </c>
      <c r="E3644">
        <v>303</v>
      </c>
      <c r="F3644">
        <v>546</v>
      </c>
      <c r="G3644">
        <v>93</v>
      </c>
      <c r="H3644">
        <v>29754</v>
      </c>
      <c r="I3644">
        <v>36</v>
      </c>
      <c r="J3644">
        <v>23</v>
      </c>
      <c r="K3644">
        <v>400</v>
      </c>
      <c r="L3644">
        <v>427</v>
      </c>
      <c r="M3644">
        <v>11.25</v>
      </c>
      <c r="N3644">
        <f>IFERROR(VLOOKUP(A3644,vlookup_table!$A:$G,2,FALSE),"")</f>
        <v>0</v>
      </c>
      <c r="O3644">
        <f>IFERROR(VLOOKUP(A3644,vlookup_table!$A:$G,4,FALSE),"")</f>
        <v>6601</v>
      </c>
      <c r="P3644" t="str">
        <f>IFERROR(VLOOKUP(A3644,vlookup_table!$A:$G,5,FALSE),"")</f>
        <v>U1</v>
      </c>
      <c r="Q3644">
        <f>IFERROR(VLOOKUP(A3644,vlookup_table!$A:$G,7,FALSE),"")</f>
        <v>10</v>
      </c>
      <c r="R3644">
        <f t="shared" si="224"/>
        <v>31</v>
      </c>
      <c r="S3644" t="str" cm="1">
        <f t="array" ref="S3644">IF(P3644="","",_xlfn.SWITCH(LEFT(P3644,1),"C","Ciudad","T","Pueblo","R","Rural","S","Suburbano","U","Urbano",""))</f>
        <v>Urbano</v>
      </c>
      <c r="T3644" t="str">
        <f t="shared" si="225"/>
        <v>F</v>
      </c>
      <c r="U3644" t="str">
        <f t="shared" si="226"/>
        <v>CA</v>
      </c>
      <c r="V3644" t="str">
        <f t="shared" si="227"/>
        <v>29754</v>
      </c>
    </row>
    <row r="3645" spans="1:22" x14ac:dyDescent="0.35">
      <c r="A3645" s="3">
        <v>1293</v>
      </c>
      <c r="B3645" t="s">
        <v>16</v>
      </c>
      <c r="C3645" t="s">
        <v>17</v>
      </c>
      <c r="D3645">
        <v>917</v>
      </c>
      <c r="E3645">
        <v>462</v>
      </c>
      <c r="F3645">
        <v>474</v>
      </c>
      <c r="G3645">
        <v>0</v>
      </c>
      <c r="H3645">
        <v>14229</v>
      </c>
      <c r="I3645">
        <v>1</v>
      </c>
      <c r="J3645">
        <v>85</v>
      </c>
      <c r="K3645">
        <v>480</v>
      </c>
      <c r="L3645">
        <v>434</v>
      </c>
      <c r="M3645">
        <v>5.2857142860000002</v>
      </c>
      <c r="N3645">
        <f>IFERROR(VLOOKUP(A3645,vlookup_table!$A:$G,2,FALSE),"")</f>
        <v>0</v>
      </c>
      <c r="O3645">
        <f>IFERROR(VLOOKUP(A3645,vlookup_table!$A:$G,4,FALSE),"")</f>
        <v>2201</v>
      </c>
      <c r="P3645" t="str">
        <f>IFERROR(VLOOKUP(A3645,vlookup_table!$A:$G,5,FALSE),"")</f>
        <v>S2</v>
      </c>
      <c r="Q3645">
        <f>IFERROR(VLOOKUP(A3645,vlookup_table!$A:$G,7,FALSE),"")</f>
        <v>2</v>
      </c>
      <c r="R3645">
        <f t="shared" si="224"/>
        <v>75</v>
      </c>
      <c r="S3645" t="str" cm="1">
        <f t="array" ref="S3645">IF(P3645="","",_xlfn.SWITCH(LEFT(P3645,1),"C","Ciudad","T","Pueblo","R","Rural","S","Suburbano","U","Urbano",""))</f>
        <v>Suburbano</v>
      </c>
      <c r="T3645" t="str">
        <f t="shared" si="225"/>
        <v>F</v>
      </c>
      <c r="U3645" t="str">
        <f t="shared" si="226"/>
        <v>IL</v>
      </c>
      <c r="V3645" t="str">
        <f t="shared" si="227"/>
        <v>14229</v>
      </c>
    </row>
    <row r="3646" spans="1:22" x14ac:dyDescent="0.35">
      <c r="A3646" s="3">
        <v>139626</v>
      </c>
      <c r="B3646" t="s">
        <v>54</v>
      </c>
      <c r="C3646" t="s">
        <v>14</v>
      </c>
      <c r="D3646">
        <v>1590</v>
      </c>
      <c r="E3646">
        <v>524</v>
      </c>
      <c r="F3646">
        <v>682</v>
      </c>
      <c r="G3646">
        <v>33</v>
      </c>
      <c r="H3646">
        <v>27625</v>
      </c>
      <c r="I3646">
        <v>4</v>
      </c>
      <c r="J3646">
        <v>39</v>
      </c>
      <c r="K3646">
        <v>575</v>
      </c>
      <c r="L3646">
        <v>647</v>
      </c>
      <c r="M3646">
        <v>10.21428571</v>
      </c>
      <c r="N3646">
        <f>IFERROR(VLOOKUP(A3646,vlookup_table!$A:$G,2,FALSE),"")</f>
        <v>2</v>
      </c>
      <c r="O3646">
        <f>IFERROR(VLOOKUP(A3646,vlookup_table!$A:$G,4,FALSE),"")</f>
        <v>2406</v>
      </c>
      <c r="P3646" t="str">
        <f>IFERROR(VLOOKUP(A3646,vlookup_table!$A:$G,5,FALSE),"")</f>
        <v>U1</v>
      </c>
      <c r="Q3646">
        <f>IFERROR(VLOOKUP(A3646,vlookup_table!$A:$G,7,FALSE),"")</f>
        <v>10</v>
      </c>
      <c r="R3646">
        <f t="shared" si="224"/>
        <v>73</v>
      </c>
      <c r="S3646" t="str" cm="1">
        <f t="array" ref="S3646">IF(P3646="","",_xlfn.SWITCH(LEFT(P3646,1),"C","Ciudad","T","Pueblo","R","Rural","S","Suburbano","U","Urbano",""))</f>
        <v>Urbano</v>
      </c>
      <c r="T3646" t="str">
        <f t="shared" si="225"/>
        <v>M</v>
      </c>
      <c r="U3646" t="str">
        <f t="shared" si="226"/>
        <v>NM</v>
      </c>
      <c r="V3646" t="str">
        <f t="shared" si="227"/>
        <v>27625</v>
      </c>
    </row>
    <row r="3647" spans="1:22" x14ac:dyDescent="0.35">
      <c r="A3647" s="3">
        <v>25760</v>
      </c>
      <c r="B3647" t="s">
        <v>39</v>
      </c>
      <c r="C3647" t="s">
        <v>14</v>
      </c>
      <c r="D3647">
        <v>554</v>
      </c>
      <c r="E3647">
        <v>275</v>
      </c>
      <c r="F3647">
        <v>444</v>
      </c>
      <c r="G3647">
        <v>0</v>
      </c>
      <c r="H3647">
        <v>13618</v>
      </c>
      <c r="I3647">
        <v>1</v>
      </c>
      <c r="J3647">
        <v>74</v>
      </c>
      <c r="K3647">
        <v>345</v>
      </c>
      <c r="L3647">
        <v>324</v>
      </c>
      <c r="M3647">
        <v>20</v>
      </c>
      <c r="N3647">
        <f>IFERROR(VLOOKUP(A3647,vlookup_table!$A:$G,2,FALSE),"")</f>
        <v>1</v>
      </c>
      <c r="O3647">
        <f>IFERROR(VLOOKUP(A3647,vlookup_table!$A:$G,4,FALSE),"")</f>
        <v>0</v>
      </c>
      <c r="P3647" t="str">
        <f>IFERROR(VLOOKUP(A3647,vlookup_table!$A:$G,5,FALSE),"")</f>
        <v>S3</v>
      </c>
      <c r="Q3647">
        <f>IFERROR(VLOOKUP(A3647,vlookup_table!$A:$G,7,FALSE),"")</f>
        <v>20</v>
      </c>
      <c r="R3647">
        <f t="shared" si="224"/>
        <v>97</v>
      </c>
      <c r="S3647" t="str" cm="1">
        <f t="array" ref="S3647">IF(P3647="","",_xlfn.SWITCH(LEFT(P3647,1),"C","Ciudad","T","Pueblo","R","Rural","S","Suburbano","U","Urbano",""))</f>
        <v>Suburbano</v>
      </c>
      <c r="T3647" t="str">
        <f t="shared" si="225"/>
        <v>M</v>
      </c>
      <c r="U3647" t="str">
        <f t="shared" si="226"/>
        <v>GA</v>
      </c>
      <c r="V3647" t="str">
        <f t="shared" si="227"/>
        <v>13618</v>
      </c>
    </row>
    <row r="3648" spans="1:22" x14ac:dyDescent="0.35">
      <c r="A3648" s="3">
        <v>170486</v>
      </c>
      <c r="B3648" t="s">
        <v>22</v>
      </c>
      <c r="C3648" t="s">
        <v>14</v>
      </c>
      <c r="D3648">
        <v>993</v>
      </c>
      <c r="E3648">
        <v>347</v>
      </c>
      <c r="F3648">
        <v>443</v>
      </c>
      <c r="G3648">
        <v>1</v>
      </c>
      <c r="H3648">
        <v>13734</v>
      </c>
      <c r="I3648">
        <v>10</v>
      </c>
      <c r="J3648">
        <v>57</v>
      </c>
      <c r="K3648">
        <v>417</v>
      </c>
      <c r="L3648">
        <v>386</v>
      </c>
      <c r="M3648">
        <v>12.5</v>
      </c>
      <c r="N3648">
        <f>IFERROR(VLOOKUP(A3648,vlookup_table!$A:$G,2,FALSE),"")</f>
        <v>1</v>
      </c>
      <c r="O3648">
        <f>IFERROR(VLOOKUP(A3648,vlookup_table!$A:$G,4,FALSE),"")</f>
        <v>0</v>
      </c>
      <c r="P3648" t="str">
        <f>IFERROR(VLOOKUP(A3648,vlookup_table!$A:$G,5,FALSE),"")</f>
        <v>T1</v>
      </c>
      <c r="Q3648">
        <f>IFERROR(VLOOKUP(A3648,vlookup_table!$A:$G,7,FALSE),"")</f>
        <v>12</v>
      </c>
      <c r="R3648">
        <f t="shared" si="224"/>
        <v>97</v>
      </c>
      <c r="S3648" t="str" cm="1">
        <f t="array" ref="S3648">IF(P3648="","",_xlfn.SWITCH(LEFT(P3648,1),"C","Ciudad","T","Pueblo","R","Rural","S","Suburbano","U","Urbano",""))</f>
        <v>Pueblo</v>
      </c>
      <c r="T3648" t="str">
        <f t="shared" si="225"/>
        <v>M</v>
      </c>
      <c r="U3648" t="str">
        <f t="shared" si="226"/>
        <v>CA</v>
      </c>
      <c r="V3648" t="str">
        <f t="shared" si="227"/>
        <v>13734</v>
      </c>
    </row>
    <row r="3649" spans="1:22" x14ac:dyDescent="0.35">
      <c r="A3649" s="3">
        <v>24172</v>
      </c>
      <c r="B3649" t="s">
        <v>46</v>
      </c>
      <c r="C3649" t="s">
        <v>17</v>
      </c>
      <c r="D3649">
        <v>714</v>
      </c>
      <c r="E3649">
        <v>191</v>
      </c>
      <c r="F3649">
        <v>333</v>
      </c>
      <c r="G3649">
        <v>1</v>
      </c>
      <c r="H3649">
        <v>9798</v>
      </c>
      <c r="I3649">
        <v>1</v>
      </c>
      <c r="J3649">
        <v>92</v>
      </c>
      <c r="K3649">
        <v>302</v>
      </c>
      <c r="L3649">
        <v>256</v>
      </c>
      <c r="M3649">
        <v>5</v>
      </c>
      <c r="N3649">
        <f>IFERROR(VLOOKUP(A3649,vlookup_table!$A:$G,2,FALSE),"")</f>
        <v>0</v>
      </c>
      <c r="O3649">
        <f>IFERROR(VLOOKUP(A3649,vlookup_table!$A:$G,4,FALSE),"")</f>
        <v>2501</v>
      </c>
      <c r="P3649" t="str">
        <f>IFERROR(VLOOKUP(A3649,vlookup_table!$A:$G,5,FALSE),"")</f>
        <v>R2</v>
      </c>
      <c r="Q3649">
        <f>IFERROR(VLOOKUP(A3649,vlookup_table!$A:$G,7,FALSE),"")</f>
        <v>5</v>
      </c>
      <c r="R3649">
        <f t="shared" si="224"/>
        <v>72</v>
      </c>
      <c r="S3649" t="str" cm="1">
        <f t="array" ref="S3649">IF(P3649="","",_xlfn.SWITCH(LEFT(P3649,1),"C","Ciudad","T","Pueblo","R","Rural","S","Suburbano","U","Urbano",""))</f>
        <v>Rural</v>
      </c>
      <c r="T3649" t="str">
        <f t="shared" si="225"/>
        <v>F</v>
      </c>
      <c r="U3649" t="str">
        <f t="shared" si="226"/>
        <v>SC</v>
      </c>
      <c r="V3649" t="str">
        <f t="shared" si="227"/>
        <v>9798</v>
      </c>
    </row>
    <row r="3650" spans="1:22" x14ac:dyDescent="0.35">
      <c r="A3650" s="3">
        <v>174317</v>
      </c>
      <c r="B3650" t="s">
        <v>50</v>
      </c>
      <c r="C3650" t="s">
        <v>14</v>
      </c>
      <c r="D3650">
        <v>690</v>
      </c>
      <c r="E3650">
        <v>374</v>
      </c>
      <c r="F3650">
        <v>420</v>
      </c>
      <c r="G3650">
        <v>0</v>
      </c>
      <c r="H3650">
        <v>13265</v>
      </c>
      <c r="I3650">
        <v>9</v>
      </c>
      <c r="J3650">
        <v>48</v>
      </c>
      <c r="K3650">
        <v>392</v>
      </c>
      <c r="L3650">
        <v>412</v>
      </c>
      <c r="M3650">
        <v>10.125</v>
      </c>
      <c r="N3650">
        <f>IFERROR(VLOOKUP(A3650,vlookup_table!$A:$G,2,FALSE),"")</f>
        <v>1</v>
      </c>
      <c r="O3650">
        <f>IFERROR(VLOOKUP(A3650,vlookup_table!$A:$G,4,FALSE),"")</f>
        <v>3008</v>
      </c>
      <c r="P3650" t="str">
        <f>IFERROR(VLOOKUP(A3650,vlookup_table!$A:$G,5,FALSE),"")</f>
        <v>C2</v>
      </c>
      <c r="Q3650">
        <f>IFERROR(VLOOKUP(A3650,vlookup_table!$A:$G,7,FALSE),"")</f>
        <v>14</v>
      </c>
      <c r="R3650">
        <f t="shared" ref="R3650:R3713" si="228">IF(O3650="","",97-INT(O3650/100))</f>
        <v>67</v>
      </c>
      <c r="S3650" t="str" cm="1">
        <f t="array" ref="S3650">IF(P3650="","",_xlfn.SWITCH(LEFT(P3650,1),"C","Ciudad","T","Pueblo","R","Rural","S","Suburbano","U","Urbano",""))</f>
        <v>Ciudad</v>
      </c>
      <c r="T3650" t="str">
        <f t="shared" ref="T3650:T3713" si="229">IF(C3650="","",IF(OR(UPPER(C3650)="M",UPPER(C3650)="MALE"),"M",IF(OR(UPPER(C3650)="F",UPPER(C3650)="FEMALE",UPPER(C3650)="FEAMALE"),"F",C3650)))</f>
        <v>M</v>
      </c>
      <c r="U3650" t="str">
        <f t="shared" ref="U3650:U3713" si="230">IF(OR(UPPER(B3650)="CALIFORNIA",UPPER(B3650)="CALI"),"CA",B3650)</f>
        <v>OR</v>
      </c>
      <c r="V3650" t="str">
        <f t="shared" ref="V3650:V3713" si="231">SUBSTITUTE(H3650,"@","")</f>
        <v>13265</v>
      </c>
    </row>
    <row r="3651" spans="1:22" x14ac:dyDescent="0.35">
      <c r="A3651" s="3">
        <v>99849</v>
      </c>
      <c r="B3651" t="s">
        <v>36</v>
      </c>
      <c r="C3651" t="s">
        <v>14</v>
      </c>
      <c r="D3651">
        <v>566</v>
      </c>
      <c r="E3651">
        <v>352</v>
      </c>
      <c r="F3651">
        <v>380</v>
      </c>
      <c r="G3651">
        <v>0</v>
      </c>
      <c r="H3651">
        <v>13762</v>
      </c>
      <c r="I3651">
        <v>0</v>
      </c>
      <c r="J3651">
        <v>80</v>
      </c>
      <c r="K3651">
        <v>378</v>
      </c>
      <c r="L3651">
        <v>363</v>
      </c>
      <c r="M3651">
        <v>3.5714285710000002</v>
      </c>
      <c r="N3651">
        <f>IFERROR(VLOOKUP(A3651,vlookup_table!$A:$G,2,FALSE),"")</f>
        <v>1</v>
      </c>
      <c r="O3651">
        <f>IFERROR(VLOOKUP(A3651,vlookup_table!$A:$G,4,FALSE),"")</f>
        <v>0</v>
      </c>
      <c r="P3651" t="str">
        <f>IFERROR(VLOOKUP(A3651,vlookup_table!$A:$G,5,FALSE),"")</f>
        <v>S2</v>
      </c>
      <c r="Q3651">
        <f>IFERROR(VLOOKUP(A3651,vlookup_table!$A:$G,7,FALSE),"")</f>
        <v>6</v>
      </c>
      <c r="R3651">
        <f t="shared" si="228"/>
        <v>97</v>
      </c>
      <c r="S3651" t="str" cm="1">
        <f t="array" ref="S3651">IF(P3651="","",_xlfn.SWITCH(LEFT(P3651,1),"C","Ciudad","T","Pueblo","R","Rural","S","Suburbano","U","Urbano",""))</f>
        <v>Suburbano</v>
      </c>
      <c r="T3651" t="str">
        <f t="shared" si="229"/>
        <v>M</v>
      </c>
      <c r="U3651" t="str">
        <f t="shared" si="230"/>
        <v>MO</v>
      </c>
      <c r="V3651" t="str">
        <f t="shared" si="231"/>
        <v>13762</v>
      </c>
    </row>
    <row r="3652" spans="1:22" x14ac:dyDescent="0.35">
      <c r="A3652" s="3">
        <v>139282</v>
      </c>
      <c r="B3652" t="s">
        <v>54</v>
      </c>
      <c r="C3652" t="s">
        <v>14</v>
      </c>
      <c r="D3652">
        <v>1208</v>
      </c>
      <c r="E3652">
        <v>497</v>
      </c>
      <c r="F3652">
        <v>670</v>
      </c>
      <c r="G3652">
        <v>13</v>
      </c>
      <c r="H3652">
        <v>33095</v>
      </c>
      <c r="I3652">
        <v>4</v>
      </c>
      <c r="J3652">
        <v>45</v>
      </c>
      <c r="K3652">
        <v>603</v>
      </c>
      <c r="L3652">
        <v>574</v>
      </c>
      <c r="M3652">
        <v>13</v>
      </c>
      <c r="N3652">
        <f>IFERROR(VLOOKUP(A3652,vlookup_table!$A:$G,2,FALSE),"")</f>
        <v>1</v>
      </c>
      <c r="O3652">
        <f>IFERROR(VLOOKUP(A3652,vlookup_table!$A:$G,4,FALSE),"")</f>
        <v>4901</v>
      </c>
      <c r="P3652" t="str">
        <f>IFERROR(VLOOKUP(A3652,vlookup_table!$A:$G,5,FALSE),"")</f>
        <v>S1</v>
      </c>
      <c r="Q3652">
        <f>IFERROR(VLOOKUP(A3652,vlookup_table!$A:$G,7,FALSE),"")</f>
        <v>23</v>
      </c>
      <c r="R3652">
        <f t="shared" si="228"/>
        <v>48</v>
      </c>
      <c r="S3652" t="str" cm="1">
        <f t="array" ref="S3652">IF(P3652="","",_xlfn.SWITCH(LEFT(P3652,1),"C","Ciudad","T","Pueblo","R","Rural","S","Suburbano","U","Urbano",""))</f>
        <v>Suburbano</v>
      </c>
      <c r="T3652" t="str">
        <f t="shared" si="229"/>
        <v>M</v>
      </c>
      <c r="U3652" t="str">
        <f t="shared" si="230"/>
        <v>NM</v>
      </c>
      <c r="V3652" t="str">
        <f t="shared" si="231"/>
        <v>33095</v>
      </c>
    </row>
    <row r="3653" spans="1:22" x14ac:dyDescent="0.35">
      <c r="A3653" s="3">
        <v>79562</v>
      </c>
      <c r="B3653" t="s">
        <v>35</v>
      </c>
      <c r="C3653" t="s">
        <v>51</v>
      </c>
      <c r="D3653">
        <v>677</v>
      </c>
      <c r="E3653">
        <v>272</v>
      </c>
      <c r="F3653">
        <v>387</v>
      </c>
      <c r="G3653">
        <v>0</v>
      </c>
      <c r="H3653">
        <v>15924</v>
      </c>
      <c r="I3653">
        <v>3</v>
      </c>
      <c r="J3653">
        <v>77</v>
      </c>
      <c r="K3653">
        <v>372</v>
      </c>
      <c r="L3653">
        <v>331</v>
      </c>
      <c r="M3653">
        <v>11.25</v>
      </c>
      <c r="N3653">
        <f>IFERROR(VLOOKUP(A3653,vlookup_table!$A:$G,2,FALSE),"")</f>
        <v>2</v>
      </c>
      <c r="O3653">
        <f>IFERROR(VLOOKUP(A3653,vlookup_table!$A:$G,4,FALSE),"")</f>
        <v>7006</v>
      </c>
      <c r="P3653" t="str">
        <f>IFERROR(VLOOKUP(A3653,vlookup_table!$A:$G,5,FALSE),"")</f>
        <v>S2</v>
      </c>
      <c r="Q3653">
        <f>IFERROR(VLOOKUP(A3653,vlookup_table!$A:$G,7,FALSE),"")</f>
        <v>19</v>
      </c>
      <c r="R3653">
        <f t="shared" si="228"/>
        <v>27</v>
      </c>
      <c r="S3653" t="str" cm="1">
        <f t="array" ref="S3653">IF(P3653="","",_xlfn.SWITCH(LEFT(P3653,1),"C","Ciudad","T","Pueblo","R","Rural","S","Suburbano","U","Urbano",""))</f>
        <v>Suburbano</v>
      </c>
      <c r="T3653" t="str">
        <f t="shared" si="229"/>
        <v>M</v>
      </c>
      <c r="U3653" t="str">
        <f t="shared" si="230"/>
        <v>WI</v>
      </c>
      <c r="V3653" t="str">
        <f t="shared" si="231"/>
        <v>15924</v>
      </c>
    </row>
    <row r="3654" spans="1:22" x14ac:dyDescent="0.35">
      <c r="A3654" s="3">
        <v>136466</v>
      </c>
      <c r="B3654" t="s">
        <v>55</v>
      </c>
      <c r="C3654" t="s">
        <v>14</v>
      </c>
      <c r="D3654">
        <v>1079</v>
      </c>
      <c r="E3654">
        <v>623</v>
      </c>
      <c r="F3654">
        <v>648</v>
      </c>
      <c r="G3654">
        <v>0</v>
      </c>
      <c r="H3654">
        <v>20170</v>
      </c>
      <c r="I3654">
        <v>9</v>
      </c>
      <c r="J3654">
        <v>18</v>
      </c>
      <c r="K3654">
        <v>614</v>
      </c>
      <c r="L3654">
        <v>650</v>
      </c>
      <c r="M3654">
        <v>27</v>
      </c>
      <c r="N3654">
        <f>IFERROR(VLOOKUP(A3654,vlookup_table!$A:$G,2,FALSE),"")</f>
        <v>1</v>
      </c>
      <c r="O3654">
        <f>IFERROR(VLOOKUP(A3654,vlookup_table!$A:$G,4,FALSE),"")</f>
        <v>5108</v>
      </c>
      <c r="P3654" t="str">
        <f>IFERROR(VLOOKUP(A3654,vlookup_table!$A:$G,5,FALSE),"")</f>
        <v>C2</v>
      </c>
      <c r="Q3654">
        <f>IFERROR(VLOOKUP(A3654,vlookup_table!$A:$G,7,FALSE),"")</f>
        <v>10</v>
      </c>
      <c r="R3654">
        <f t="shared" si="228"/>
        <v>46</v>
      </c>
      <c r="S3654" t="str" cm="1">
        <f t="array" ref="S3654">IF(P3654="","",_xlfn.SWITCH(LEFT(P3654,1),"C","Ciudad","T","Pueblo","R","Rural","S","Suburbano","U","Urbano",""))</f>
        <v>Ciudad</v>
      </c>
      <c r="T3654" t="str">
        <f t="shared" si="229"/>
        <v>M</v>
      </c>
      <c r="U3654" t="str">
        <f t="shared" si="230"/>
        <v>AZ</v>
      </c>
      <c r="V3654" t="str">
        <f t="shared" si="231"/>
        <v>20170</v>
      </c>
    </row>
    <row r="3655" spans="1:22" x14ac:dyDescent="0.35">
      <c r="A3655" s="3">
        <v>70835</v>
      </c>
      <c r="B3655" t="s">
        <v>29</v>
      </c>
      <c r="C3655" t="s">
        <v>17</v>
      </c>
      <c r="D3655">
        <v>354</v>
      </c>
      <c r="E3655">
        <v>207</v>
      </c>
      <c r="F3655">
        <v>295</v>
      </c>
      <c r="G3655">
        <v>0</v>
      </c>
      <c r="H3655">
        <v>9393</v>
      </c>
      <c r="I3655">
        <v>2</v>
      </c>
      <c r="J3655">
        <v>91</v>
      </c>
      <c r="K3655">
        <v>234</v>
      </c>
      <c r="L3655">
        <v>266</v>
      </c>
      <c r="M3655">
        <v>6.1111111109999996</v>
      </c>
      <c r="N3655">
        <f>IFERROR(VLOOKUP(A3655,vlookup_table!$A:$G,2,FALSE),"")</f>
        <v>0</v>
      </c>
      <c r="O3655">
        <f>IFERROR(VLOOKUP(A3655,vlookup_table!$A:$G,4,FALSE),"")</f>
        <v>1912</v>
      </c>
      <c r="P3655" t="str">
        <f>IFERROR(VLOOKUP(A3655,vlookup_table!$A:$G,5,FALSE),"")</f>
        <v>R3</v>
      </c>
      <c r="Q3655">
        <f>IFERROR(VLOOKUP(A3655,vlookup_table!$A:$G,7,FALSE),"")</f>
        <v>9</v>
      </c>
      <c r="R3655">
        <f t="shared" si="228"/>
        <v>78</v>
      </c>
      <c r="S3655" t="str" cm="1">
        <f t="array" ref="S3655">IF(P3655="","",_xlfn.SWITCH(LEFT(P3655,1),"C","Ciudad","T","Pueblo","R","Rural","S","Suburbano","U","Urbano",""))</f>
        <v>Rural</v>
      </c>
      <c r="T3655" t="str">
        <f t="shared" si="229"/>
        <v>F</v>
      </c>
      <c r="U3655" t="str">
        <f t="shared" si="230"/>
        <v>MI</v>
      </c>
      <c r="V3655" t="str">
        <f t="shared" si="231"/>
        <v>9393</v>
      </c>
    </row>
    <row r="3656" spans="1:22" x14ac:dyDescent="0.35">
      <c r="A3656" s="3">
        <v>8195</v>
      </c>
      <c r="B3656" t="s">
        <v>16</v>
      </c>
      <c r="C3656" t="s">
        <v>14</v>
      </c>
      <c r="D3656">
        <v>354</v>
      </c>
      <c r="E3656">
        <v>188</v>
      </c>
      <c r="F3656">
        <v>292</v>
      </c>
      <c r="G3656">
        <v>0</v>
      </c>
      <c r="H3656">
        <v>10233</v>
      </c>
      <c r="I3656">
        <v>1</v>
      </c>
      <c r="J3656">
        <v>88</v>
      </c>
      <c r="K3656">
        <v>258</v>
      </c>
      <c r="L3656">
        <v>231</v>
      </c>
      <c r="M3656">
        <v>7.733333333</v>
      </c>
      <c r="N3656">
        <f>IFERROR(VLOOKUP(A3656,vlookup_table!$A:$G,2,FALSE),"")</f>
        <v>2</v>
      </c>
      <c r="O3656">
        <f>IFERROR(VLOOKUP(A3656,vlookup_table!$A:$G,4,FALSE),"")</f>
        <v>3910</v>
      </c>
      <c r="P3656" t="str">
        <f>IFERROR(VLOOKUP(A3656,vlookup_table!$A:$G,5,FALSE),"")</f>
        <v>R3</v>
      </c>
      <c r="Q3656">
        <f>IFERROR(VLOOKUP(A3656,vlookup_table!$A:$G,7,FALSE),"")</f>
        <v>6</v>
      </c>
      <c r="R3656">
        <f t="shared" si="228"/>
        <v>58</v>
      </c>
      <c r="S3656" t="str" cm="1">
        <f t="array" ref="S3656">IF(P3656="","",_xlfn.SWITCH(LEFT(P3656,1),"C","Ciudad","T","Pueblo","R","Rural","S","Suburbano","U","Urbano",""))</f>
        <v>Rural</v>
      </c>
      <c r="T3656" t="str">
        <f t="shared" si="229"/>
        <v>M</v>
      </c>
      <c r="U3656" t="str">
        <f t="shared" si="230"/>
        <v>IL</v>
      </c>
      <c r="V3656" t="str">
        <f t="shared" si="231"/>
        <v>10233</v>
      </c>
    </row>
    <row r="3657" spans="1:22" x14ac:dyDescent="0.35">
      <c r="A3657" s="3">
        <v>28340</v>
      </c>
      <c r="B3657" t="s">
        <v>39</v>
      </c>
      <c r="C3657" t="s">
        <v>17</v>
      </c>
      <c r="D3657">
        <v>1216</v>
      </c>
      <c r="E3657">
        <v>541</v>
      </c>
      <c r="F3657">
        <v>687</v>
      </c>
      <c r="G3657">
        <v>2</v>
      </c>
      <c r="H3657">
        <v>29297</v>
      </c>
      <c r="I3657">
        <v>0</v>
      </c>
      <c r="J3657">
        <v>49</v>
      </c>
      <c r="K3657">
        <v>621</v>
      </c>
      <c r="L3657">
        <v>527</v>
      </c>
      <c r="M3657">
        <v>5.9090909089999997</v>
      </c>
      <c r="N3657">
        <f>IFERROR(VLOOKUP(A3657,vlookup_table!$A:$G,2,FALSE),"")</f>
        <v>0</v>
      </c>
      <c r="O3657">
        <f>IFERROR(VLOOKUP(A3657,vlookup_table!$A:$G,4,FALSE),"")</f>
        <v>4401</v>
      </c>
      <c r="P3657" t="str">
        <f>IFERROR(VLOOKUP(A3657,vlookup_table!$A:$G,5,FALSE),"")</f>
        <v>S1</v>
      </c>
      <c r="Q3657">
        <f>IFERROR(VLOOKUP(A3657,vlookup_table!$A:$G,7,FALSE),"")</f>
        <v>10</v>
      </c>
      <c r="R3657">
        <f t="shared" si="228"/>
        <v>53</v>
      </c>
      <c r="S3657" t="str" cm="1">
        <f t="array" ref="S3657">IF(P3657="","",_xlfn.SWITCH(LEFT(P3657,1),"C","Ciudad","T","Pueblo","R","Rural","S","Suburbano","U","Urbano",""))</f>
        <v>Suburbano</v>
      </c>
      <c r="T3657" t="str">
        <f t="shared" si="229"/>
        <v>F</v>
      </c>
      <c r="U3657" t="str">
        <f t="shared" si="230"/>
        <v>GA</v>
      </c>
      <c r="V3657" t="str">
        <f t="shared" si="231"/>
        <v>29297</v>
      </c>
    </row>
    <row r="3658" spans="1:22" x14ac:dyDescent="0.35">
      <c r="A3658" s="3">
        <v>19235</v>
      </c>
      <c r="B3658" t="s">
        <v>18</v>
      </c>
      <c r="C3658" t="s">
        <v>14</v>
      </c>
      <c r="D3658">
        <v>538</v>
      </c>
      <c r="E3658">
        <v>238</v>
      </c>
      <c r="F3658">
        <v>331</v>
      </c>
      <c r="G3658">
        <v>1</v>
      </c>
      <c r="H3658">
        <v>12431</v>
      </c>
      <c r="I3658">
        <v>5</v>
      </c>
      <c r="J3658">
        <v>71</v>
      </c>
      <c r="K3658">
        <v>313</v>
      </c>
      <c r="L3658">
        <v>269</v>
      </c>
      <c r="M3658">
        <v>15.33333333</v>
      </c>
      <c r="N3658">
        <f>IFERROR(VLOOKUP(A3658,vlookup_table!$A:$G,2,FALSE),"")</f>
        <v>2</v>
      </c>
      <c r="O3658">
        <f>IFERROR(VLOOKUP(A3658,vlookup_table!$A:$G,4,FALSE),"")</f>
        <v>2108</v>
      </c>
      <c r="P3658" t="str">
        <f>IFERROR(VLOOKUP(A3658,vlookup_table!$A:$G,5,FALSE),"")</f>
        <v>T2</v>
      </c>
      <c r="Q3658">
        <f>IFERROR(VLOOKUP(A3658,vlookup_table!$A:$G,7,FALSE),"")</f>
        <v>25</v>
      </c>
      <c r="R3658">
        <f t="shared" si="228"/>
        <v>76</v>
      </c>
      <c r="S3658" t="str" cm="1">
        <f t="array" ref="S3658">IF(P3658="","",_xlfn.SWITCH(LEFT(P3658,1),"C","Ciudad","T","Pueblo","R","Rural","S","Suburbano","U","Urbano",""))</f>
        <v>Pueblo</v>
      </c>
      <c r="T3658" t="str">
        <f t="shared" si="229"/>
        <v>M</v>
      </c>
      <c r="U3658" t="str">
        <f t="shared" si="230"/>
        <v>NC</v>
      </c>
      <c r="V3658" t="str">
        <f t="shared" si="231"/>
        <v>12431</v>
      </c>
    </row>
    <row r="3659" spans="1:22" x14ac:dyDescent="0.35">
      <c r="A3659" s="3">
        <v>29345</v>
      </c>
      <c r="B3659" t="s">
        <v>39</v>
      </c>
      <c r="C3659" t="s">
        <v>17</v>
      </c>
      <c r="D3659">
        <v>618</v>
      </c>
      <c r="E3659">
        <v>325</v>
      </c>
      <c r="F3659">
        <v>412</v>
      </c>
      <c r="G3659">
        <v>0</v>
      </c>
      <c r="H3659">
        <v>12727</v>
      </c>
      <c r="I3659">
        <v>0</v>
      </c>
      <c r="J3659">
        <v>85</v>
      </c>
      <c r="K3659">
        <v>363</v>
      </c>
      <c r="L3659">
        <v>375</v>
      </c>
      <c r="M3659">
        <v>7.25</v>
      </c>
      <c r="N3659">
        <f>IFERROR(VLOOKUP(A3659,vlookup_table!$A:$G,2,FALSE),"")</f>
        <v>0</v>
      </c>
      <c r="O3659">
        <f>IFERROR(VLOOKUP(A3659,vlookup_table!$A:$G,4,FALSE),"")</f>
        <v>5001</v>
      </c>
      <c r="P3659">
        <f>IFERROR(VLOOKUP(A3659,vlookup_table!$A:$G,5,FALSE),"")</f>
        <v>0</v>
      </c>
      <c r="Q3659">
        <f>IFERROR(VLOOKUP(A3659,vlookup_table!$A:$G,7,FALSE),"")</f>
        <v>17</v>
      </c>
      <c r="R3659">
        <f t="shared" si="228"/>
        <v>47</v>
      </c>
      <c r="S3659" t="str" cm="1">
        <f t="array" ref="S3659">IF(P3659="","",_xlfn.SWITCH(LEFT(P3659,1),"C","Ciudad","T","Pueblo","R","Rural","S","Suburbano","U","Urbano",""))</f>
        <v/>
      </c>
      <c r="T3659" t="str">
        <f t="shared" si="229"/>
        <v>F</v>
      </c>
      <c r="U3659" t="str">
        <f t="shared" si="230"/>
        <v>GA</v>
      </c>
      <c r="V3659" t="str">
        <f t="shared" si="231"/>
        <v>12727</v>
      </c>
    </row>
    <row r="3660" spans="1:22" x14ac:dyDescent="0.35">
      <c r="A3660" s="3">
        <v>58728</v>
      </c>
      <c r="B3660" t="s">
        <v>57</v>
      </c>
      <c r="C3660" t="s">
        <v>14</v>
      </c>
      <c r="D3660">
        <v>184</v>
      </c>
      <c r="E3660">
        <v>129</v>
      </c>
      <c r="F3660">
        <v>221</v>
      </c>
      <c r="G3660">
        <v>0</v>
      </c>
      <c r="H3660">
        <v>6801</v>
      </c>
      <c r="I3660">
        <v>0</v>
      </c>
      <c r="J3660">
        <v>77</v>
      </c>
      <c r="K3660">
        <v>152</v>
      </c>
      <c r="L3660">
        <v>192</v>
      </c>
      <c r="M3660">
        <v>10.4</v>
      </c>
      <c r="N3660">
        <f>IFERROR(VLOOKUP(A3660,vlookup_table!$A:$G,2,FALSE),"")</f>
        <v>0</v>
      </c>
      <c r="O3660">
        <f>IFERROR(VLOOKUP(A3660,vlookup_table!$A:$G,4,FALSE),"")</f>
        <v>4811</v>
      </c>
      <c r="P3660" t="str">
        <f>IFERROR(VLOOKUP(A3660,vlookup_table!$A:$G,5,FALSE),"")</f>
        <v>R3</v>
      </c>
      <c r="Q3660">
        <f>IFERROR(VLOOKUP(A3660,vlookup_table!$A:$G,7,FALSE),"")</f>
        <v>20</v>
      </c>
      <c r="R3660">
        <f t="shared" si="228"/>
        <v>49</v>
      </c>
      <c r="S3660" t="str" cm="1">
        <f t="array" ref="S3660">IF(P3660="","",_xlfn.SWITCH(LEFT(P3660,1),"C","Ciudad","T","Pueblo","R","Rural","S","Suburbano","U","Urbano",""))</f>
        <v>Rural</v>
      </c>
      <c r="T3660" t="str">
        <f t="shared" si="229"/>
        <v>M</v>
      </c>
      <c r="U3660" t="str">
        <f t="shared" si="230"/>
        <v>KY</v>
      </c>
      <c r="V3660" t="str">
        <f t="shared" si="231"/>
        <v>6801</v>
      </c>
    </row>
    <row r="3661" spans="1:22" x14ac:dyDescent="0.35">
      <c r="A3661" s="3">
        <v>158390</v>
      </c>
      <c r="B3661" t="s">
        <v>24</v>
      </c>
      <c r="C3661" t="s">
        <v>17</v>
      </c>
      <c r="D3661">
        <v>950</v>
      </c>
      <c r="E3661">
        <v>365</v>
      </c>
      <c r="F3661">
        <v>427</v>
      </c>
      <c r="G3661">
        <v>0</v>
      </c>
      <c r="H3661">
        <v>15436</v>
      </c>
      <c r="I3661">
        <v>4</v>
      </c>
      <c r="J3661">
        <v>22</v>
      </c>
      <c r="K3661">
        <v>402</v>
      </c>
      <c r="L3661">
        <v>390</v>
      </c>
      <c r="M3661">
        <v>9.5</v>
      </c>
      <c r="N3661">
        <f>IFERROR(VLOOKUP(A3661,vlookup_table!$A:$G,2,FALSE),"")</f>
        <v>28</v>
      </c>
      <c r="O3661">
        <f>IFERROR(VLOOKUP(A3661,vlookup_table!$A:$G,4,FALSE),"")</f>
        <v>3709</v>
      </c>
      <c r="P3661" t="str">
        <f>IFERROR(VLOOKUP(A3661,vlookup_table!$A:$G,5,FALSE),"")</f>
        <v>U2</v>
      </c>
      <c r="Q3661">
        <f>IFERROR(VLOOKUP(A3661,vlookup_table!$A:$G,7,FALSE),"")</f>
        <v>10</v>
      </c>
      <c r="R3661">
        <f t="shared" si="228"/>
        <v>60</v>
      </c>
      <c r="S3661" t="str" cm="1">
        <f t="array" ref="S3661">IF(P3661="","",_xlfn.SWITCH(LEFT(P3661,1),"C","Ciudad","T","Pueblo","R","Rural","S","Suburbano","U","Urbano",""))</f>
        <v>Urbano</v>
      </c>
      <c r="T3661" t="str">
        <f t="shared" si="229"/>
        <v>F</v>
      </c>
      <c r="U3661" t="str">
        <f t="shared" si="230"/>
        <v>NV</v>
      </c>
      <c r="V3661" t="str">
        <f t="shared" si="231"/>
        <v>15436</v>
      </c>
    </row>
    <row r="3662" spans="1:22" x14ac:dyDescent="0.35">
      <c r="A3662" s="3">
        <v>31400</v>
      </c>
      <c r="B3662" t="s">
        <v>39</v>
      </c>
      <c r="C3662" t="s">
        <v>17</v>
      </c>
      <c r="D3662">
        <v>650</v>
      </c>
      <c r="E3662">
        <v>267</v>
      </c>
      <c r="F3662">
        <v>355</v>
      </c>
      <c r="G3662">
        <v>3</v>
      </c>
      <c r="H3662">
        <v>11773</v>
      </c>
      <c r="I3662">
        <v>0</v>
      </c>
      <c r="J3662">
        <v>74</v>
      </c>
      <c r="K3662">
        <v>304</v>
      </c>
      <c r="L3662">
        <v>322</v>
      </c>
      <c r="M3662">
        <v>6.5</v>
      </c>
      <c r="N3662">
        <f>IFERROR(VLOOKUP(A3662,vlookup_table!$A:$G,2,FALSE),"")</f>
        <v>2</v>
      </c>
      <c r="O3662">
        <f>IFERROR(VLOOKUP(A3662,vlookup_table!$A:$G,4,FALSE),"")</f>
        <v>0</v>
      </c>
      <c r="P3662" t="str">
        <f>IFERROR(VLOOKUP(A3662,vlookup_table!$A:$G,5,FALSE),"")</f>
        <v>T2</v>
      </c>
      <c r="Q3662">
        <f>IFERROR(VLOOKUP(A3662,vlookup_table!$A:$G,7,FALSE),"")</f>
        <v>10</v>
      </c>
      <c r="R3662">
        <f t="shared" si="228"/>
        <v>97</v>
      </c>
      <c r="S3662" t="str" cm="1">
        <f t="array" ref="S3662">IF(P3662="","",_xlfn.SWITCH(LEFT(P3662,1),"C","Ciudad","T","Pueblo","R","Rural","S","Suburbano","U","Urbano",""))</f>
        <v>Pueblo</v>
      </c>
      <c r="T3662" t="str">
        <f t="shared" si="229"/>
        <v>F</v>
      </c>
      <c r="U3662" t="str">
        <f t="shared" si="230"/>
        <v>GA</v>
      </c>
      <c r="V3662" t="str">
        <f t="shared" si="231"/>
        <v>11773</v>
      </c>
    </row>
    <row r="3663" spans="1:22" x14ac:dyDescent="0.35">
      <c r="A3663" s="3">
        <v>124872</v>
      </c>
      <c r="B3663" t="s">
        <v>21</v>
      </c>
      <c r="C3663" t="s">
        <v>14</v>
      </c>
      <c r="D3663">
        <v>550</v>
      </c>
      <c r="E3663">
        <v>282</v>
      </c>
      <c r="F3663">
        <v>433</v>
      </c>
      <c r="G3663">
        <v>2</v>
      </c>
      <c r="H3663">
        <v>15296</v>
      </c>
      <c r="I3663">
        <v>3</v>
      </c>
      <c r="J3663">
        <v>83</v>
      </c>
      <c r="K3663">
        <v>401</v>
      </c>
      <c r="L3663">
        <v>365</v>
      </c>
      <c r="M3663">
        <v>5.5185185189999997</v>
      </c>
      <c r="N3663">
        <f>IFERROR(VLOOKUP(A3663,vlookup_table!$A:$G,2,FALSE),"")</f>
        <v>1002</v>
      </c>
      <c r="O3663">
        <f>IFERROR(VLOOKUP(A3663,vlookup_table!$A:$G,4,FALSE),"")</f>
        <v>1908</v>
      </c>
      <c r="P3663" t="str">
        <f>IFERROR(VLOOKUP(A3663,vlookup_table!$A:$G,5,FALSE),"")</f>
        <v>C2</v>
      </c>
      <c r="Q3663">
        <f>IFERROR(VLOOKUP(A3663,vlookup_table!$A:$G,7,FALSE),"")</f>
        <v>5</v>
      </c>
      <c r="R3663">
        <f t="shared" si="228"/>
        <v>78</v>
      </c>
      <c r="S3663" t="str" cm="1">
        <f t="array" ref="S3663">IF(P3663="","",_xlfn.SWITCH(LEFT(P3663,1),"C","Ciudad","T","Pueblo","R","Rural","S","Suburbano","U","Urbano",""))</f>
        <v>Ciudad</v>
      </c>
      <c r="T3663" t="str">
        <f t="shared" si="229"/>
        <v>M</v>
      </c>
      <c r="U3663" t="str">
        <f t="shared" si="230"/>
        <v>TX</v>
      </c>
      <c r="V3663" t="str">
        <f t="shared" si="231"/>
        <v>15296</v>
      </c>
    </row>
    <row r="3664" spans="1:22" x14ac:dyDescent="0.35">
      <c r="A3664" s="3">
        <v>175917</v>
      </c>
      <c r="B3664" t="s">
        <v>50</v>
      </c>
      <c r="C3664" t="s">
        <v>17</v>
      </c>
      <c r="D3664">
        <v>866</v>
      </c>
      <c r="E3664">
        <v>308</v>
      </c>
      <c r="F3664">
        <v>465</v>
      </c>
      <c r="G3664">
        <v>5</v>
      </c>
      <c r="H3664">
        <v>16560</v>
      </c>
      <c r="I3664">
        <v>5</v>
      </c>
      <c r="J3664">
        <v>54</v>
      </c>
      <c r="K3664">
        <v>375</v>
      </c>
      <c r="L3664">
        <v>410</v>
      </c>
      <c r="M3664">
        <v>13.33333333</v>
      </c>
      <c r="N3664">
        <f>IFERROR(VLOOKUP(A3664,vlookup_table!$A:$G,2,FALSE),"")</f>
        <v>0</v>
      </c>
      <c r="O3664">
        <f>IFERROR(VLOOKUP(A3664,vlookup_table!$A:$G,4,FALSE),"")</f>
        <v>2510</v>
      </c>
      <c r="P3664" t="str">
        <f>IFERROR(VLOOKUP(A3664,vlookup_table!$A:$G,5,FALSE),"")</f>
        <v>R2</v>
      </c>
      <c r="Q3664">
        <f>IFERROR(VLOOKUP(A3664,vlookup_table!$A:$G,7,FALSE),"")</f>
        <v>15</v>
      </c>
      <c r="R3664">
        <f t="shared" si="228"/>
        <v>72</v>
      </c>
      <c r="S3664" t="str" cm="1">
        <f t="array" ref="S3664">IF(P3664="","",_xlfn.SWITCH(LEFT(P3664,1),"C","Ciudad","T","Pueblo","R","Rural","S","Suburbano","U","Urbano",""))</f>
        <v>Rural</v>
      </c>
      <c r="T3664" t="str">
        <f t="shared" si="229"/>
        <v>F</v>
      </c>
      <c r="U3664" t="str">
        <f t="shared" si="230"/>
        <v>OR</v>
      </c>
      <c r="V3664" t="str">
        <f t="shared" si="231"/>
        <v>16560</v>
      </c>
    </row>
    <row r="3665" spans="1:22" x14ac:dyDescent="0.35">
      <c r="A3665" s="3">
        <v>156473</v>
      </c>
      <c r="B3665" t="s">
        <v>22</v>
      </c>
      <c r="C3665" t="s">
        <v>17</v>
      </c>
      <c r="D3665">
        <v>2130</v>
      </c>
      <c r="E3665">
        <v>315</v>
      </c>
      <c r="F3665">
        <v>380</v>
      </c>
      <c r="G3665">
        <v>63</v>
      </c>
      <c r="H3665">
        <v>11583</v>
      </c>
      <c r="I3665">
        <v>40</v>
      </c>
      <c r="J3665">
        <v>35</v>
      </c>
      <c r="K3665">
        <v>309</v>
      </c>
      <c r="L3665">
        <v>380</v>
      </c>
      <c r="M3665">
        <v>5.7058823529999998</v>
      </c>
      <c r="N3665">
        <f>IFERROR(VLOOKUP(A3665,vlookup_table!$A:$G,2,FALSE),"")</f>
        <v>2</v>
      </c>
      <c r="O3665">
        <f>IFERROR(VLOOKUP(A3665,vlookup_table!$A:$G,4,FALSE),"")</f>
        <v>1601</v>
      </c>
      <c r="P3665" t="str">
        <f>IFERROR(VLOOKUP(A3665,vlookup_table!$A:$G,5,FALSE),"")</f>
        <v>U2</v>
      </c>
      <c r="Q3665">
        <f>IFERROR(VLOOKUP(A3665,vlookup_table!$A:$G,7,FALSE),"")</f>
        <v>6</v>
      </c>
      <c r="R3665">
        <f t="shared" si="228"/>
        <v>81</v>
      </c>
      <c r="S3665" t="str" cm="1">
        <f t="array" ref="S3665">IF(P3665="","",_xlfn.SWITCH(LEFT(P3665,1),"C","Ciudad","T","Pueblo","R","Rural","S","Suburbano","U","Urbano",""))</f>
        <v>Urbano</v>
      </c>
      <c r="T3665" t="str">
        <f t="shared" si="229"/>
        <v>F</v>
      </c>
      <c r="U3665" t="str">
        <f t="shared" si="230"/>
        <v>CA</v>
      </c>
      <c r="V3665" t="str">
        <f t="shared" si="231"/>
        <v>11583</v>
      </c>
    </row>
    <row r="3666" spans="1:22" x14ac:dyDescent="0.35">
      <c r="A3666" s="3">
        <v>91835</v>
      </c>
      <c r="B3666" t="s">
        <v>16</v>
      </c>
      <c r="C3666" t="s">
        <v>17</v>
      </c>
      <c r="D3666">
        <v>978</v>
      </c>
      <c r="E3666">
        <v>301</v>
      </c>
      <c r="F3666">
        <v>467</v>
      </c>
      <c r="G3666">
        <v>0</v>
      </c>
      <c r="H3666">
        <v>14771</v>
      </c>
      <c r="I3666">
        <v>4</v>
      </c>
      <c r="J3666">
        <v>86</v>
      </c>
      <c r="K3666">
        <v>434</v>
      </c>
      <c r="L3666">
        <v>355</v>
      </c>
      <c r="M3666">
        <v>5</v>
      </c>
      <c r="N3666">
        <f>IFERROR(VLOOKUP(A3666,vlookup_table!$A:$G,2,FALSE),"")</f>
        <v>2</v>
      </c>
      <c r="O3666">
        <f>IFERROR(VLOOKUP(A3666,vlookup_table!$A:$G,4,FALSE),"")</f>
        <v>501</v>
      </c>
      <c r="P3666" t="str">
        <f>IFERROR(VLOOKUP(A3666,vlookup_table!$A:$G,5,FALSE),"")</f>
        <v>S2</v>
      </c>
      <c r="Q3666">
        <f>IFERROR(VLOOKUP(A3666,vlookup_table!$A:$G,7,FALSE),"")</f>
        <v>5</v>
      </c>
      <c r="R3666">
        <f t="shared" si="228"/>
        <v>92</v>
      </c>
      <c r="S3666" t="str" cm="1">
        <f t="array" ref="S3666">IF(P3666="","",_xlfn.SWITCH(LEFT(P3666,1),"C","Ciudad","T","Pueblo","R","Rural","S","Suburbano","U","Urbano",""))</f>
        <v>Suburbano</v>
      </c>
      <c r="T3666" t="str">
        <f t="shared" si="229"/>
        <v>F</v>
      </c>
      <c r="U3666" t="str">
        <f t="shared" si="230"/>
        <v>IL</v>
      </c>
      <c r="V3666" t="str">
        <f t="shared" si="231"/>
        <v>14771</v>
      </c>
    </row>
    <row r="3667" spans="1:22" x14ac:dyDescent="0.35">
      <c r="A3667" s="3">
        <v>29348</v>
      </c>
      <c r="B3667" t="s">
        <v>39</v>
      </c>
      <c r="C3667" t="s">
        <v>14</v>
      </c>
      <c r="D3667">
        <v>598</v>
      </c>
      <c r="E3667">
        <v>283</v>
      </c>
      <c r="F3667">
        <v>362</v>
      </c>
      <c r="G3667">
        <v>1</v>
      </c>
      <c r="H3667">
        <v>12093</v>
      </c>
      <c r="I3667">
        <v>0</v>
      </c>
      <c r="J3667">
        <v>77</v>
      </c>
      <c r="K3667">
        <v>318</v>
      </c>
      <c r="L3667">
        <v>327</v>
      </c>
      <c r="M3667">
        <v>5.0555555559999998</v>
      </c>
      <c r="N3667">
        <f>IFERROR(VLOOKUP(A3667,vlookup_table!$A:$G,2,FALSE),"")</f>
        <v>1</v>
      </c>
      <c r="O3667">
        <f>IFERROR(VLOOKUP(A3667,vlookup_table!$A:$G,4,FALSE),"")</f>
        <v>0</v>
      </c>
      <c r="P3667" t="str">
        <f>IFERROR(VLOOKUP(A3667,vlookup_table!$A:$G,5,FALSE),"")</f>
        <v>R2</v>
      </c>
      <c r="Q3667">
        <f>IFERROR(VLOOKUP(A3667,vlookup_table!$A:$G,7,FALSE),"")</f>
        <v>5</v>
      </c>
      <c r="R3667">
        <f t="shared" si="228"/>
        <v>97</v>
      </c>
      <c r="S3667" t="str" cm="1">
        <f t="array" ref="S3667">IF(P3667="","",_xlfn.SWITCH(LEFT(P3667,1),"C","Ciudad","T","Pueblo","R","Rural","S","Suburbano","U","Urbano",""))</f>
        <v>Rural</v>
      </c>
      <c r="T3667" t="str">
        <f t="shared" si="229"/>
        <v>M</v>
      </c>
      <c r="U3667" t="str">
        <f t="shared" si="230"/>
        <v>GA</v>
      </c>
      <c r="V3667" t="str">
        <f t="shared" si="231"/>
        <v>12093</v>
      </c>
    </row>
    <row r="3668" spans="1:22" x14ac:dyDescent="0.35">
      <c r="A3668" s="3">
        <v>18257</v>
      </c>
      <c r="B3668" t="s">
        <v>18</v>
      </c>
      <c r="C3668" t="s">
        <v>14</v>
      </c>
      <c r="D3668">
        <v>487</v>
      </c>
      <c r="E3668">
        <v>273</v>
      </c>
      <c r="F3668">
        <v>314</v>
      </c>
      <c r="G3668">
        <v>0</v>
      </c>
      <c r="H3668">
        <v>13272</v>
      </c>
      <c r="I3668">
        <v>1</v>
      </c>
      <c r="J3668">
        <v>76</v>
      </c>
      <c r="K3668">
        <v>308</v>
      </c>
      <c r="L3668">
        <v>275</v>
      </c>
      <c r="M3668">
        <v>4</v>
      </c>
      <c r="N3668">
        <f>IFERROR(VLOOKUP(A3668,vlookup_table!$A:$G,2,FALSE),"")</f>
        <v>0</v>
      </c>
      <c r="O3668">
        <f>IFERROR(VLOOKUP(A3668,vlookup_table!$A:$G,4,FALSE),"")</f>
        <v>0</v>
      </c>
      <c r="P3668" t="str">
        <f>IFERROR(VLOOKUP(A3668,vlookup_table!$A:$G,5,FALSE),"")</f>
        <v>T2</v>
      </c>
      <c r="Q3668">
        <f>IFERROR(VLOOKUP(A3668,vlookup_table!$A:$G,7,FALSE),"")</f>
        <v>5</v>
      </c>
      <c r="R3668">
        <f t="shared" si="228"/>
        <v>97</v>
      </c>
      <c r="S3668" t="str" cm="1">
        <f t="array" ref="S3668">IF(P3668="","",_xlfn.SWITCH(LEFT(P3668,1),"C","Ciudad","T","Pueblo","R","Rural","S","Suburbano","U","Urbano",""))</f>
        <v>Pueblo</v>
      </c>
      <c r="T3668" t="str">
        <f t="shared" si="229"/>
        <v>M</v>
      </c>
      <c r="U3668" t="str">
        <f t="shared" si="230"/>
        <v>NC</v>
      </c>
      <c r="V3668" t="str">
        <f t="shared" si="231"/>
        <v>13272</v>
      </c>
    </row>
    <row r="3669" spans="1:22" x14ac:dyDescent="0.35">
      <c r="A3669" s="3">
        <v>69822</v>
      </c>
      <c r="B3669" t="s">
        <v>29</v>
      </c>
      <c r="C3669" t="s">
        <v>17</v>
      </c>
      <c r="D3669">
        <v>859</v>
      </c>
      <c r="E3669">
        <v>473</v>
      </c>
      <c r="F3669">
        <v>529</v>
      </c>
      <c r="G3669">
        <v>2</v>
      </c>
      <c r="H3669">
        <v>16331</v>
      </c>
      <c r="I3669">
        <v>2</v>
      </c>
      <c r="J3669">
        <v>86</v>
      </c>
      <c r="K3669">
        <v>499</v>
      </c>
      <c r="L3669">
        <v>503</v>
      </c>
      <c r="M3669">
        <v>10.33333333</v>
      </c>
      <c r="N3669">
        <f>IFERROR(VLOOKUP(A3669,vlookup_table!$A:$G,2,FALSE),"")</f>
        <v>0</v>
      </c>
      <c r="O3669">
        <f>IFERROR(VLOOKUP(A3669,vlookup_table!$A:$G,4,FALSE),"")</f>
        <v>4601</v>
      </c>
      <c r="P3669" t="str">
        <f>IFERROR(VLOOKUP(A3669,vlookup_table!$A:$G,5,FALSE),"")</f>
        <v>T2</v>
      </c>
      <c r="Q3669">
        <f>IFERROR(VLOOKUP(A3669,vlookup_table!$A:$G,7,FALSE),"")</f>
        <v>15</v>
      </c>
      <c r="R3669">
        <f t="shared" si="228"/>
        <v>51</v>
      </c>
      <c r="S3669" t="str" cm="1">
        <f t="array" ref="S3669">IF(P3669="","",_xlfn.SWITCH(LEFT(P3669,1),"C","Ciudad","T","Pueblo","R","Rural","S","Suburbano","U","Urbano",""))</f>
        <v>Pueblo</v>
      </c>
      <c r="T3669" t="str">
        <f t="shared" si="229"/>
        <v>F</v>
      </c>
      <c r="U3669" t="str">
        <f t="shared" si="230"/>
        <v>MI</v>
      </c>
      <c r="V3669" t="str">
        <f t="shared" si="231"/>
        <v>16331</v>
      </c>
    </row>
    <row r="3670" spans="1:22" x14ac:dyDescent="0.35">
      <c r="A3670" s="3">
        <v>139180</v>
      </c>
      <c r="B3670" t="s">
        <v>54</v>
      </c>
      <c r="C3670" t="s">
        <v>17</v>
      </c>
      <c r="D3670">
        <v>359</v>
      </c>
      <c r="E3670">
        <v>164</v>
      </c>
      <c r="F3670">
        <v>242</v>
      </c>
      <c r="G3670">
        <v>0</v>
      </c>
      <c r="H3670">
        <v>7312</v>
      </c>
      <c r="I3670">
        <v>2</v>
      </c>
      <c r="J3670">
        <v>70</v>
      </c>
      <c r="K3670">
        <v>186</v>
      </c>
      <c r="L3670">
        <v>223</v>
      </c>
      <c r="M3670">
        <v>8.2222222219999992</v>
      </c>
      <c r="N3670">
        <f>IFERROR(VLOOKUP(A3670,vlookup_table!$A:$G,2,FALSE),"")</f>
        <v>28</v>
      </c>
      <c r="O3670">
        <f>IFERROR(VLOOKUP(A3670,vlookup_table!$A:$G,4,FALSE),"")</f>
        <v>2001</v>
      </c>
      <c r="P3670" t="str">
        <f>IFERROR(VLOOKUP(A3670,vlookup_table!$A:$G,5,FALSE),"")</f>
        <v>R3</v>
      </c>
      <c r="Q3670">
        <f>IFERROR(VLOOKUP(A3670,vlookup_table!$A:$G,7,FALSE),"")</f>
        <v>15</v>
      </c>
      <c r="R3670">
        <f t="shared" si="228"/>
        <v>77</v>
      </c>
      <c r="S3670" t="str" cm="1">
        <f t="array" ref="S3670">IF(P3670="","",_xlfn.SWITCH(LEFT(P3670,1),"C","Ciudad","T","Pueblo","R","Rural","S","Suburbano","U","Urbano",""))</f>
        <v>Rural</v>
      </c>
      <c r="T3670" t="str">
        <f t="shared" si="229"/>
        <v>F</v>
      </c>
      <c r="U3670" t="str">
        <f t="shared" si="230"/>
        <v>NM</v>
      </c>
      <c r="V3670" t="str">
        <f t="shared" si="231"/>
        <v>7312</v>
      </c>
    </row>
    <row r="3671" spans="1:22" x14ac:dyDescent="0.35">
      <c r="A3671" s="3">
        <v>185080</v>
      </c>
      <c r="B3671" t="s">
        <v>22</v>
      </c>
      <c r="C3671" t="s">
        <v>17</v>
      </c>
      <c r="D3671">
        <v>2298</v>
      </c>
      <c r="E3671">
        <v>374</v>
      </c>
      <c r="F3671">
        <v>604</v>
      </c>
      <c r="G3671">
        <v>64</v>
      </c>
      <c r="H3671">
        <v>31281</v>
      </c>
      <c r="I3671">
        <v>12</v>
      </c>
      <c r="J3671">
        <v>12</v>
      </c>
      <c r="K3671">
        <v>514</v>
      </c>
      <c r="L3671">
        <v>473</v>
      </c>
      <c r="M3671">
        <v>98.785714290000001</v>
      </c>
      <c r="N3671">
        <f>IFERROR(VLOOKUP(A3671,vlookup_table!$A:$G,2,FALSE),"")</f>
        <v>0</v>
      </c>
      <c r="O3671">
        <f>IFERROR(VLOOKUP(A3671,vlookup_table!$A:$G,4,FALSE),"")</f>
        <v>0</v>
      </c>
      <c r="P3671" t="str">
        <f>IFERROR(VLOOKUP(A3671,vlookup_table!$A:$G,5,FALSE),"")</f>
        <v>C2</v>
      </c>
      <c r="Q3671">
        <f>IFERROR(VLOOKUP(A3671,vlookup_table!$A:$G,7,FALSE),"")</f>
        <v>200</v>
      </c>
      <c r="R3671">
        <f t="shared" si="228"/>
        <v>97</v>
      </c>
      <c r="S3671" t="str" cm="1">
        <f t="array" ref="S3671">IF(P3671="","",_xlfn.SWITCH(LEFT(P3671,1),"C","Ciudad","T","Pueblo","R","Rural","S","Suburbano","U","Urbano",""))</f>
        <v>Ciudad</v>
      </c>
      <c r="T3671" t="str">
        <f t="shared" si="229"/>
        <v>F</v>
      </c>
      <c r="U3671" t="str">
        <f t="shared" si="230"/>
        <v>CA</v>
      </c>
      <c r="V3671" t="str">
        <f t="shared" si="231"/>
        <v>31281</v>
      </c>
    </row>
    <row r="3672" spans="1:22" x14ac:dyDescent="0.35">
      <c r="A3672" s="3">
        <v>151904</v>
      </c>
      <c r="B3672" t="s">
        <v>22</v>
      </c>
      <c r="C3672" t="s">
        <v>14</v>
      </c>
      <c r="D3672">
        <v>1088</v>
      </c>
      <c r="E3672">
        <v>278</v>
      </c>
      <c r="F3672">
        <v>380</v>
      </c>
      <c r="G3672">
        <v>19</v>
      </c>
      <c r="H3672">
        <v>15011</v>
      </c>
      <c r="I3672">
        <v>18</v>
      </c>
      <c r="J3672">
        <v>35</v>
      </c>
      <c r="K3672">
        <v>308</v>
      </c>
      <c r="L3672">
        <v>335</v>
      </c>
      <c r="M3672">
        <v>10.83333333</v>
      </c>
      <c r="N3672">
        <f>IFERROR(VLOOKUP(A3672,vlookup_table!$A:$G,2,FALSE),"")</f>
        <v>0</v>
      </c>
      <c r="O3672">
        <f>IFERROR(VLOOKUP(A3672,vlookup_table!$A:$G,4,FALSE),"")</f>
        <v>1601</v>
      </c>
      <c r="P3672" t="str">
        <f>IFERROR(VLOOKUP(A3672,vlookup_table!$A:$G,5,FALSE),"")</f>
        <v>C2</v>
      </c>
      <c r="Q3672">
        <f>IFERROR(VLOOKUP(A3672,vlookup_table!$A:$G,7,FALSE),"")</f>
        <v>15</v>
      </c>
      <c r="R3672">
        <f t="shared" si="228"/>
        <v>81</v>
      </c>
      <c r="S3672" t="str" cm="1">
        <f t="array" ref="S3672">IF(P3672="","",_xlfn.SWITCH(LEFT(P3672,1),"C","Ciudad","T","Pueblo","R","Rural","S","Suburbano","U","Urbano",""))</f>
        <v>Ciudad</v>
      </c>
      <c r="T3672" t="str">
        <f t="shared" si="229"/>
        <v>M</v>
      </c>
      <c r="U3672" t="str">
        <f t="shared" si="230"/>
        <v>CA</v>
      </c>
      <c r="V3672" t="str">
        <f t="shared" si="231"/>
        <v>15011</v>
      </c>
    </row>
    <row r="3673" spans="1:22" x14ac:dyDescent="0.35">
      <c r="A3673" s="3">
        <v>107895</v>
      </c>
      <c r="B3673" t="s">
        <v>49</v>
      </c>
      <c r="C3673" t="s">
        <v>14</v>
      </c>
      <c r="D3673">
        <v>646</v>
      </c>
      <c r="E3673">
        <v>228</v>
      </c>
      <c r="F3673">
        <v>291</v>
      </c>
      <c r="G3673">
        <v>0</v>
      </c>
      <c r="H3673">
        <v>10918</v>
      </c>
      <c r="I3673">
        <v>3</v>
      </c>
      <c r="J3673">
        <v>72</v>
      </c>
      <c r="K3673">
        <v>237</v>
      </c>
      <c r="L3673">
        <v>299</v>
      </c>
      <c r="M3673">
        <v>3.1904761910000001</v>
      </c>
      <c r="N3673">
        <f>IFERROR(VLOOKUP(A3673,vlookup_table!$A:$G,2,FALSE),"")</f>
        <v>1</v>
      </c>
      <c r="O3673">
        <f>IFERROR(VLOOKUP(A3673,vlookup_table!$A:$G,4,FALSE),"")</f>
        <v>4711</v>
      </c>
      <c r="P3673" t="str">
        <f>IFERROR(VLOOKUP(A3673,vlookup_table!$A:$G,5,FALSE),"")</f>
        <v>U3</v>
      </c>
      <c r="Q3673">
        <f>IFERROR(VLOOKUP(A3673,vlookup_table!$A:$G,7,FALSE),"")</f>
        <v>3</v>
      </c>
      <c r="R3673">
        <f t="shared" si="228"/>
        <v>50</v>
      </c>
      <c r="S3673" t="str" cm="1">
        <f t="array" ref="S3673">IF(P3673="","",_xlfn.SWITCH(LEFT(P3673,1),"C","Ciudad","T","Pueblo","R","Rural","S","Suburbano","U","Urbano",""))</f>
        <v>Urbano</v>
      </c>
      <c r="T3673" t="str">
        <f t="shared" si="229"/>
        <v>M</v>
      </c>
      <c r="U3673" t="str">
        <f t="shared" si="230"/>
        <v>LA</v>
      </c>
      <c r="V3673" t="str">
        <f t="shared" si="231"/>
        <v>10918</v>
      </c>
    </row>
    <row r="3674" spans="1:22" x14ac:dyDescent="0.35">
      <c r="A3674" s="3">
        <v>72844</v>
      </c>
      <c r="B3674" t="s">
        <v>29</v>
      </c>
      <c r="C3674" t="s">
        <v>17</v>
      </c>
      <c r="D3674">
        <v>740</v>
      </c>
      <c r="E3674">
        <v>401</v>
      </c>
      <c r="F3674">
        <v>491</v>
      </c>
      <c r="G3674">
        <v>1</v>
      </c>
      <c r="H3674">
        <v>15718</v>
      </c>
      <c r="I3674">
        <v>3</v>
      </c>
      <c r="J3674">
        <v>84</v>
      </c>
      <c r="K3674">
        <v>450</v>
      </c>
      <c r="L3674">
        <v>446</v>
      </c>
      <c r="M3674">
        <v>5.7647058820000003</v>
      </c>
      <c r="N3674">
        <f>IFERROR(VLOOKUP(A3674,vlookup_table!$A:$G,2,FALSE),"")</f>
        <v>0</v>
      </c>
      <c r="O3674">
        <f>IFERROR(VLOOKUP(A3674,vlookup_table!$A:$G,4,FALSE),"")</f>
        <v>2005</v>
      </c>
      <c r="P3674" t="str">
        <f>IFERROR(VLOOKUP(A3674,vlookup_table!$A:$G,5,FALSE),"")</f>
        <v>T1</v>
      </c>
      <c r="Q3674">
        <f>IFERROR(VLOOKUP(A3674,vlookup_table!$A:$G,7,FALSE),"")</f>
        <v>10</v>
      </c>
      <c r="R3674">
        <f t="shared" si="228"/>
        <v>77</v>
      </c>
      <c r="S3674" t="str" cm="1">
        <f t="array" ref="S3674">IF(P3674="","",_xlfn.SWITCH(LEFT(P3674,1),"C","Ciudad","T","Pueblo","R","Rural","S","Suburbano","U","Urbano",""))</f>
        <v>Pueblo</v>
      </c>
      <c r="T3674" t="str">
        <f t="shared" si="229"/>
        <v>F</v>
      </c>
      <c r="U3674" t="str">
        <f t="shared" si="230"/>
        <v>MI</v>
      </c>
      <c r="V3674" t="str">
        <f t="shared" si="231"/>
        <v>15718</v>
      </c>
    </row>
    <row r="3675" spans="1:22" x14ac:dyDescent="0.35">
      <c r="A3675" s="3">
        <v>55756</v>
      </c>
      <c r="B3675" t="s">
        <v>62</v>
      </c>
      <c r="C3675" t="s">
        <v>17</v>
      </c>
      <c r="D3675">
        <v>743</v>
      </c>
      <c r="E3675">
        <v>465</v>
      </c>
      <c r="F3675">
        <v>540</v>
      </c>
      <c r="G3675">
        <v>5</v>
      </c>
      <c r="H3675">
        <v>22415</v>
      </c>
      <c r="I3675">
        <v>2</v>
      </c>
      <c r="J3675">
        <v>26</v>
      </c>
      <c r="K3675">
        <v>483</v>
      </c>
      <c r="L3675">
        <v>495</v>
      </c>
      <c r="M3675">
        <v>7.5555555559999998</v>
      </c>
      <c r="N3675">
        <f>IFERROR(VLOOKUP(A3675,vlookup_table!$A:$G,2,FALSE),"")</f>
        <v>28</v>
      </c>
      <c r="O3675">
        <f>IFERROR(VLOOKUP(A3675,vlookup_table!$A:$G,4,FALSE),"")</f>
        <v>0</v>
      </c>
      <c r="P3675" t="str">
        <f>IFERROR(VLOOKUP(A3675,vlookup_table!$A:$G,5,FALSE),"")</f>
        <v>C1</v>
      </c>
      <c r="Q3675">
        <f>IFERROR(VLOOKUP(A3675,vlookup_table!$A:$G,7,FALSE),"")</f>
        <v>10</v>
      </c>
      <c r="R3675">
        <f t="shared" si="228"/>
        <v>97</v>
      </c>
      <c r="S3675" t="str" cm="1">
        <f t="array" ref="S3675">IF(P3675="","",_xlfn.SWITCH(LEFT(P3675,1),"C","Ciudad","T","Pueblo","R","Rural","S","Suburbano","U","Urbano",""))</f>
        <v>Ciudad</v>
      </c>
      <c r="T3675" t="str">
        <f t="shared" si="229"/>
        <v>F</v>
      </c>
      <c r="U3675" t="str">
        <f t="shared" si="230"/>
        <v>MS</v>
      </c>
      <c r="V3675" t="str">
        <f t="shared" si="231"/>
        <v>22415</v>
      </c>
    </row>
    <row r="3676" spans="1:22" x14ac:dyDescent="0.35">
      <c r="A3676" s="3">
        <v>59249</v>
      </c>
      <c r="B3676" t="s">
        <v>33</v>
      </c>
      <c r="C3676" t="s">
        <v>14</v>
      </c>
      <c r="D3676">
        <v>1781</v>
      </c>
      <c r="E3676">
        <v>762</v>
      </c>
      <c r="F3676">
        <v>853</v>
      </c>
      <c r="G3676">
        <v>38</v>
      </c>
      <c r="H3676">
        <v>27556</v>
      </c>
      <c r="I3676">
        <v>3</v>
      </c>
      <c r="J3676">
        <v>44</v>
      </c>
      <c r="K3676">
        <v>776</v>
      </c>
      <c r="L3676">
        <v>835</v>
      </c>
      <c r="M3676">
        <v>15</v>
      </c>
      <c r="N3676">
        <f>IFERROR(VLOOKUP(A3676,vlookup_table!$A:$G,2,FALSE),"")</f>
        <v>1</v>
      </c>
      <c r="O3676">
        <f>IFERROR(VLOOKUP(A3676,vlookup_table!$A:$G,4,FALSE),"")</f>
        <v>7501</v>
      </c>
      <c r="P3676" t="str">
        <f>IFERROR(VLOOKUP(A3676,vlookup_table!$A:$G,5,FALSE),"")</f>
        <v>S1</v>
      </c>
      <c r="Q3676">
        <f>IFERROR(VLOOKUP(A3676,vlookup_table!$A:$G,7,FALSE),"")</f>
        <v>15</v>
      </c>
      <c r="R3676">
        <f t="shared" si="228"/>
        <v>22</v>
      </c>
      <c r="S3676" t="str" cm="1">
        <f t="array" ref="S3676">IF(P3676="","",_xlfn.SWITCH(LEFT(P3676,1),"C","Ciudad","T","Pueblo","R","Rural","S","Suburbano","U","Urbano",""))</f>
        <v>Suburbano</v>
      </c>
      <c r="T3676" t="str">
        <f t="shared" si="229"/>
        <v>M</v>
      </c>
      <c r="U3676" t="str">
        <f t="shared" si="230"/>
        <v>IN</v>
      </c>
      <c r="V3676" t="str">
        <f t="shared" si="231"/>
        <v>27556</v>
      </c>
    </row>
    <row r="3677" spans="1:22" x14ac:dyDescent="0.35">
      <c r="A3677" s="3">
        <v>132844</v>
      </c>
      <c r="B3677" t="s">
        <v>66</v>
      </c>
      <c r="C3677" t="s">
        <v>51</v>
      </c>
      <c r="D3677">
        <v>518</v>
      </c>
      <c r="E3677">
        <v>303</v>
      </c>
      <c r="F3677">
        <v>346</v>
      </c>
      <c r="G3677">
        <v>0</v>
      </c>
      <c r="H3677">
        <v>11266</v>
      </c>
      <c r="I3677">
        <v>0</v>
      </c>
      <c r="J3677">
        <v>35</v>
      </c>
      <c r="K3677">
        <v>318</v>
      </c>
      <c r="L3677">
        <v>313</v>
      </c>
      <c r="M3677">
        <v>13.275862070000001</v>
      </c>
      <c r="N3677">
        <f>IFERROR(VLOOKUP(A3677,vlookup_table!$A:$G,2,FALSE),"")</f>
        <v>0</v>
      </c>
      <c r="O3677">
        <f>IFERROR(VLOOKUP(A3677,vlookup_table!$A:$G,4,FALSE),"")</f>
        <v>0</v>
      </c>
      <c r="P3677" t="str">
        <f>IFERROR(VLOOKUP(A3677,vlookup_table!$A:$G,5,FALSE),"")</f>
        <v>T2</v>
      </c>
      <c r="Q3677">
        <f>IFERROR(VLOOKUP(A3677,vlookup_table!$A:$G,7,FALSE),"")</f>
        <v>11</v>
      </c>
      <c r="R3677">
        <f t="shared" si="228"/>
        <v>97</v>
      </c>
      <c r="S3677" t="str" cm="1">
        <f t="array" ref="S3677">IF(P3677="","",_xlfn.SWITCH(LEFT(P3677,1),"C","Ciudad","T","Pueblo","R","Rural","S","Suburbano","U","Urbano",""))</f>
        <v>Pueblo</v>
      </c>
      <c r="T3677" t="str">
        <f t="shared" si="229"/>
        <v>M</v>
      </c>
      <c r="U3677" t="str">
        <f t="shared" si="230"/>
        <v>WY</v>
      </c>
      <c r="V3677" t="str">
        <f t="shared" si="231"/>
        <v>11266</v>
      </c>
    </row>
    <row r="3678" spans="1:22" x14ac:dyDescent="0.35">
      <c r="A3678" s="3">
        <v>4225</v>
      </c>
      <c r="B3678" t="s">
        <v>24</v>
      </c>
      <c r="C3678" t="s">
        <v>14</v>
      </c>
      <c r="D3678">
        <v>1003</v>
      </c>
      <c r="E3678">
        <v>258</v>
      </c>
      <c r="F3678">
        <v>386</v>
      </c>
      <c r="G3678">
        <v>5</v>
      </c>
      <c r="H3678">
        <v>15748</v>
      </c>
      <c r="I3678">
        <v>12</v>
      </c>
      <c r="J3678">
        <v>13</v>
      </c>
      <c r="K3678">
        <v>322</v>
      </c>
      <c r="L3678">
        <v>318</v>
      </c>
      <c r="M3678">
        <v>7.038461539</v>
      </c>
      <c r="N3678">
        <f>IFERROR(VLOOKUP(A3678,vlookup_table!$A:$G,2,FALSE),"")</f>
        <v>1</v>
      </c>
      <c r="O3678">
        <f>IFERROR(VLOOKUP(A3678,vlookup_table!$A:$G,4,FALSE),"")</f>
        <v>907</v>
      </c>
      <c r="P3678">
        <f>IFERROR(VLOOKUP(A3678,vlookup_table!$A:$G,5,FALSE),"")</f>
        <v>0</v>
      </c>
      <c r="Q3678">
        <f>IFERROR(VLOOKUP(A3678,vlookup_table!$A:$G,7,FALSE),"")</f>
        <v>10</v>
      </c>
      <c r="R3678">
        <f t="shared" si="228"/>
        <v>88</v>
      </c>
      <c r="S3678" t="str" cm="1">
        <f t="array" ref="S3678">IF(P3678="","",_xlfn.SWITCH(LEFT(P3678,1),"C","Ciudad","T","Pueblo","R","Rural","S","Suburbano","U","Urbano",""))</f>
        <v/>
      </c>
      <c r="T3678" t="str">
        <f t="shared" si="229"/>
        <v>M</v>
      </c>
      <c r="U3678" t="str">
        <f t="shared" si="230"/>
        <v>NV</v>
      </c>
      <c r="V3678" t="str">
        <f t="shared" si="231"/>
        <v>15748</v>
      </c>
    </row>
    <row r="3679" spans="1:22" x14ac:dyDescent="0.35">
      <c r="A3679" s="3">
        <v>136150</v>
      </c>
      <c r="B3679" t="s">
        <v>55</v>
      </c>
      <c r="C3679" t="s">
        <v>60</v>
      </c>
      <c r="D3679">
        <v>988</v>
      </c>
      <c r="E3679">
        <v>310</v>
      </c>
      <c r="F3679">
        <v>372</v>
      </c>
      <c r="G3679">
        <v>3</v>
      </c>
      <c r="H3679">
        <v>14315</v>
      </c>
      <c r="I3679">
        <v>3</v>
      </c>
      <c r="J3679">
        <v>26</v>
      </c>
      <c r="K3679">
        <v>327</v>
      </c>
      <c r="L3679">
        <v>372</v>
      </c>
      <c r="M3679">
        <v>23.38888889</v>
      </c>
      <c r="N3679">
        <f>IFERROR(VLOOKUP(A3679,vlookup_table!$A:$G,2,FALSE),"")</f>
        <v>0</v>
      </c>
      <c r="O3679">
        <f>IFERROR(VLOOKUP(A3679,vlookup_table!$A:$G,4,FALSE),"")</f>
        <v>1508</v>
      </c>
      <c r="P3679" t="str">
        <f>IFERROR(VLOOKUP(A3679,vlookup_table!$A:$G,5,FALSE),"")</f>
        <v>R2</v>
      </c>
      <c r="Q3679">
        <f>IFERROR(VLOOKUP(A3679,vlookup_table!$A:$G,7,FALSE),"")</f>
        <v>50</v>
      </c>
      <c r="R3679">
        <f t="shared" si="228"/>
        <v>82</v>
      </c>
      <c r="S3679" t="str" cm="1">
        <f t="array" ref="S3679">IF(P3679="","",_xlfn.SWITCH(LEFT(P3679,1),"C","Ciudad","T","Pueblo","R","Rural","S","Suburbano","U","Urbano",""))</f>
        <v>Rural</v>
      </c>
      <c r="T3679" t="str">
        <f t="shared" si="229"/>
        <v>F</v>
      </c>
      <c r="U3679" t="str">
        <f t="shared" si="230"/>
        <v>AZ</v>
      </c>
      <c r="V3679" t="str">
        <f t="shared" si="231"/>
        <v>14315</v>
      </c>
    </row>
    <row r="3680" spans="1:22" x14ac:dyDescent="0.35">
      <c r="A3680" s="3">
        <v>66037</v>
      </c>
      <c r="B3680" t="s">
        <v>29</v>
      </c>
      <c r="C3680" t="s">
        <v>14</v>
      </c>
      <c r="D3680">
        <v>1478</v>
      </c>
      <c r="E3680">
        <v>576</v>
      </c>
      <c r="F3680">
        <v>606</v>
      </c>
      <c r="G3680">
        <v>14</v>
      </c>
      <c r="H3680">
        <v>19378</v>
      </c>
      <c r="I3680">
        <v>5</v>
      </c>
      <c r="J3680">
        <v>63</v>
      </c>
      <c r="K3680">
        <v>605</v>
      </c>
      <c r="L3680">
        <v>575</v>
      </c>
      <c r="M3680">
        <v>15.125</v>
      </c>
      <c r="N3680">
        <f>IFERROR(VLOOKUP(A3680,vlookup_table!$A:$G,2,FALSE),"")</f>
        <v>1</v>
      </c>
      <c r="O3680">
        <f>IFERROR(VLOOKUP(A3680,vlookup_table!$A:$G,4,FALSE),"")</f>
        <v>4802</v>
      </c>
      <c r="P3680" t="str">
        <f>IFERROR(VLOOKUP(A3680,vlookup_table!$A:$G,5,FALSE),"")</f>
        <v>T1</v>
      </c>
      <c r="Q3680">
        <f>IFERROR(VLOOKUP(A3680,vlookup_table!$A:$G,7,FALSE),"")</f>
        <v>21</v>
      </c>
      <c r="R3680">
        <f t="shared" si="228"/>
        <v>49</v>
      </c>
      <c r="S3680" t="str" cm="1">
        <f t="array" ref="S3680">IF(P3680="","",_xlfn.SWITCH(LEFT(P3680,1),"C","Ciudad","T","Pueblo","R","Rural","S","Suburbano","U","Urbano",""))</f>
        <v>Pueblo</v>
      </c>
      <c r="T3680" t="str">
        <f t="shared" si="229"/>
        <v>M</v>
      </c>
      <c r="U3680" t="str">
        <f t="shared" si="230"/>
        <v>MI</v>
      </c>
      <c r="V3680" t="str">
        <f t="shared" si="231"/>
        <v>19378</v>
      </c>
    </row>
    <row r="3681" spans="1:22" x14ac:dyDescent="0.35">
      <c r="A3681" s="3">
        <v>95728</v>
      </c>
      <c r="B3681" t="s">
        <v>16</v>
      </c>
      <c r="C3681" t="s">
        <v>17</v>
      </c>
      <c r="D3681">
        <v>687</v>
      </c>
      <c r="E3681">
        <v>405</v>
      </c>
      <c r="F3681">
        <v>452</v>
      </c>
      <c r="G3681">
        <v>0</v>
      </c>
      <c r="H3681">
        <v>14237</v>
      </c>
      <c r="I3681">
        <v>4</v>
      </c>
      <c r="J3681">
        <v>69</v>
      </c>
      <c r="K3681">
        <v>410</v>
      </c>
      <c r="L3681">
        <v>431</v>
      </c>
      <c r="M3681">
        <v>12.83333333</v>
      </c>
      <c r="N3681">
        <f>IFERROR(VLOOKUP(A3681,vlookup_table!$A:$G,2,FALSE),"")</f>
        <v>0</v>
      </c>
      <c r="O3681">
        <f>IFERROR(VLOOKUP(A3681,vlookup_table!$A:$G,4,FALSE),"")</f>
        <v>2806</v>
      </c>
      <c r="P3681" t="str">
        <f>IFERROR(VLOOKUP(A3681,vlookup_table!$A:$G,5,FALSE),"")</f>
        <v>S2</v>
      </c>
      <c r="Q3681">
        <f>IFERROR(VLOOKUP(A3681,vlookup_table!$A:$G,7,FALSE),"")</f>
        <v>15</v>
      </c>
      <c r="R3681">
        <f t="shared" si="228"/>
        <v>69</v>
      </c>
      <c r="S3681" t="str" cm="1">
        <f t="array" ref="S3681">IF(P3681="","",_xlfn.SWITCH(LEFT(P3681,1),"C","Ciudad","T","Pueblo","R","Rural","S","Suburbano","U","Urbano",""))</f>
        <v>Suburbano</v>
      </c>
      <c r="T3681" t="str">
        <f t="shared" si="229"/>
        <v>F</v>
      </c>
      <c r="U3681" t="str">
        <f t="shared" si="230"/>
        <v>IL</v>
      </c>
      <c r="V3681" t="str">
        <f t="shared" si="231"/>
        <v>14237</v>
      </c>
    </row>
    <row r="3682" spans="1:22" x14ac:dyDescent="0.35">
      <c r="A3682" s="3">
        <v>174895</v>
      </c>
      <c r="B3682" t="s">
        <v>50</v>
      </c>
      <c r="C3682" t="s">
        <v>17</v>
      </c>
      <c r="D3682">
        <v>457</v>
      </c>
      <c r="E3682">
        <v>187</v>
      </c>
      <c r="F3682">
        <v>267</v>
      </c>
      <c r="G3682">
        <v>0</v>
      </c>
      <c r="H3682">
        <v>12886</v>
      </c>
      <c r="I3682">
        <v>8</v>
      </c>
      <c r="J3682">
        <v>15</v>
      </c>
      <c r="K3682">
        <v>256</v>
      </c>
      <c r="L3682">
        <v>197</v>
      </c>
      <c r="M3682">
        <v>15</v>
      </c>
      <c r="N3682">
        <f>IFERROR(VLOOKUP(A3682,vlookup_table!$A:$G,2,FALSE),"")</f>
        <v>0</v>
      </c>
      <c r="O3682">
        <f>IFERROR(VLOOKUP(A3682,vlookup_table!$A:$G,4,FALSE),"")</f>
        <v>2501</v>
      </c>
      <c r="P3682" t="str">
        <f>IFERROR(VLOOKUP(A3682,vlookup_table!$A:$G,5,FALSE),"")</f>
        <v>T3</v>
      </c>
      <c r="Q3682">
        <f>IFERROR(VLOOKUP(A3682,vlookup_table!$A:$G,7,FALSE),"")</f>
        <v>21</v>
      </c>
      <c r="R3682">
        <f t="shared" si="228"/>
        <v>72</v>
      </c>
      <c r="S3682" t="str" cm="1">
        <f t="array" ref="S3682">IF(P3682="","",_xlfn.SWITCH(LEFT(P3682,1),"C","Ciudad","T","Pueblo","R","Rural","S","Suburbano","U","Urbano",""))</f>
        <v>Pueblo</v>
      </c>
      <c r="T3682" t="str">
        <f t="shared" si="229"/>
        <v>F</v>
      </c>
      <c r="U3682" t="str">
        <f t="shared" si="230"/>
        <v>OR</v>
      </c>
      <c r="V3682" t="str">
        <f t="shared" si="231"/>
        <v>12886</v>
      </c>
    </row>
    <row r="3683" spans="1:22" x14ac:dyDescent="0.35">
      <c r="A3683" s="3">
        <v>165056</v>
      </c>
      <c r="B3683" t="s">
        <v>22</v>
      </c>
      <c r="C3683" t="s">
        <v>17</v>
      </c>
      <c r="D3683">
        <v>1884</v>
      </c>
      <c r="E3683">
        <v>454</v>
      </c>
      <c r="F3683">
        <v>490</v>
      </c>
      <c r="G3683">
        <v>33</v>
      </c>
      <c r="H3683">
        <v>14776</v>
      </c>
      <c r="I3683">
        <v>5</v>
      </c>
      <c r="J3683">
        <v>64</v>
      </c>
      <c r="K3683">
        <v>458</v>
      </c>
      <c r="L3683">
        <v>490</v>
      </c>
      <c r="M3683">
        <v>7.6875</v>
      </c>
      <c r="N3683">
        <f>IFERROR(VLOOKUP(A3683,vlookup_table!$A:$G,2,FALSE),"")</f>
        <v>0</v>
      </c>
      <c r="O3683">
        <f>IFERROR(VLOOKUP(A3683,vlookup_table!$A:$G,4,FALSE),"")</f>
        <v>5405</v>
      </c>
      <c r="P3683" t="str">
        <f>IFERROR(VLOOKUP(A3683,vlookup_table!$A:$G,5,FALSE),"")</f>
        <v>C2</v>
      </c>
      <c r="Q3683">
        <f>IFERROR(VLOOKUP(A3683,vlookup_table!$A:$G,7,FALSE),"")</f>
        <v>5</v>
      </c>
      <c r="R3683">
        <f t="shared" si="228"/>
        <v>43</v>
      </c>
      <c r="S3683" t="str" cm="1">
        <f t="array" ref="S3683">IF(P3683="","",_xlfn.SWITCH(LEFT(P3683,1),"C","Ciudad","T","Pueblo","R","Rural","S","Suburbano","U","Urbano",""))</f>
        <v>Ciudad</v>
      </c>
      <c r="T3683" t="str">
        <f t="shared" si="229"/>
        <v>F</v>
      </c>
      <c r="U3683" t="str">
        <f t="shared" si="230"/>
        <v>CA</v>
      </c>
      <c r="V3683" t="str">
        <f t="shared" si="231"/>
        <v>14776</v>
      </c>
    </row>
    <row r="3684" spans="1:22" x14ac:dyDescent="0.35">
      <c r="A3684" s="3">
        <v>112367</v>
      </c>
      <c r="B3684" t="s">
        <v>32</v>
      </c>
      <c r="C3684" t="s">
        <v>60</v>
      </c>
      <c r="D3684">
        <v>516</v>
      </c>
      <c r="E3684">
        <v>272</v>
      </c>
      <c r="F3684">
        <v>344</v>
      </c>
      <c r="G3684">
        <v>0</v>
      </c>
      <c r="H3684">
        <v>11682</v>
      </c>
      <c r="I3684">
        <v>1</v>
      </c>
      <c r="J3684">
        <v>60</v>
      </c>
      <c r="K3684">
        <v>337</v>
      </c>
      <c r="L3684">
        <v>303</v>
      </c>
      <c r="M3684">
        <v>5.5789473679999997</v>
      </c>
      <c r="N3684">
        <f>IFERROR(VLOOKUP(A3684,vlookup_table!$A:$G,2,FALSE),"")</f>
        <v>2</v>
      </c>
      <c r="O3684">
        <f>IFERROR(VLOOKUP(A3684,vlookup_table!$A:$G,4,FALSE),"")</f>
        <v>2101</v>
      </c>
      <c r="P3684" t="str">
        <f>IFERROR(VLOOKUP(A3684,vlookup_table!$A:$G,5,FALSE),"")</f>
        <v>T2</v>
      </c>
      <c r="Q3684">
        <f>IFERROR(VLOOKUP(A3684,vlookup_table!$A:$G,7,FALSE),"")</f>
        <v>10</v>
      </c>
      <c r="R3684">
        <f t="shared" si="228"/>
        <v>76</v>
      </c>
      <c r="S3684" t="str" cm="1">
        <f t="array" ref="S3684">IF(P3684="","",_xlfn.SWITCH(LEFT(P3684,1),"C","Ciudad","T","Pueblo","R","Rural","S","Suburbano","U","Urbano",""))</f>
        <v>Pueblo</v>
      </c>
      <c r="T3684" t="str">
        <f t="shared" si="229"/>
        <v>F</v>
      </c>
      <c r="U3684" t="str">
        <f t="shared" si="230"/>
        <v>AR</v>
      </c>
      <c r="V3684" t="str">
        <f t="shared" si="231"/>
        <v>11682</v>
      </c>
    </row>
    <row r="3685" spans="1:22" x14ac:dyDescent="0.35">
      <c r="A3685" s="3">
        <v>147190</v>
      </c>
      <c r="B3685" t="s">
        <v>22</v>
      </c>
      <c r="C3685" t="s">
        <v>17</v>
      </c>
      <c r="D3685">
        <v>1545</v>
      </c>
      <c r="E3685">
        <v>305</v>
      </c>
      <c r="F3685">
        <v>376</v>
      </c>
      <c r="G3685">
        <v>12</v>
      </c>
      <c r="H3685">
        <v>10242</v>
      </c>
      <c r="I3685">
        <v>31</v>
      </c>
      <c r="J3685">
        <v>40</v>
      </c>
      <c r="K3685">
        <v>326</v>
      </c>
      <c r="L3685">
        <v>360</v>
      </c>
      <c r="M3685">
        <v>16.25</v>
      </c>
      <c r="N3685">
        <f>IFERROR(VLOOKUP(A3685,vlookup_table!$A:$G,2,FALSE),"")</f>
        <v>28</v>
      </c>
      <c r="O3685">
        <f>IFERROR(VLOOKUP(A3685,vlookup_table!$A:$G,4,FALSE),"")</f>
        <v>4801</v>
      </c>
      <c r="P3685" t="str">
        <f>IFERROR(VLOOKUP(A3685,vlookup_table!$A:$G,5,FALSE),"")</f>
        <v>U3</v>
      </c>
      <c r="Q3685">
        <f>IFERROR(VLOOKUP(A3685,vlookup_table!$A:$G,7,FALSE),"")</f>
        <v>10</v>
      </c>
      <c r="R3685">
        <f t="shared" si="228"/>
        <v>49</v>
      </c>
      <c r="S3685" t="str" cm="1">
        <f t="array" ref="S3685">IF(P3685="","",_xlfn.SWITCH(LEFT(P3685,1),"C","Ciudad","T","Pueblo","R","Rural","S","Suburbano","U","Urbano",""))</f>
        <v>Urbano</v>
      </c>
      <c r="T3685" t="str">
        <f t="shared" si="229"/>
        <v>F</v>
      </c>
      <c r="U3685" t="str">
        <f t="shared" si="230"/>
        <v>CA</v>
      </c>
      <c r="V3685" t="str">
        <f t="shared" si="231"/>
        <v>10242</v>
      </c>
    </row>
    <row r="3686" spans="1:22" x14ac:dyDescent="0.35">
      <c r="A3686" s="3">
        <v>5613</v>
      </c>
      <c r="B3686" t="s">
        <v>22</v>
      </c>
      <c r="C3686" t="s">
        <v>17</v>
      </c>
      <c r="D3686">
        <v>2880</v>
      </c>
      <c r="E3686">
        <v>511</v>
      </c>
      <c r="F3686">
        <v>587</v>
      </c>
      <c r="G3686">
        <v>91</v>
      </c>
      <c r="H3686">
        <v>25314</v>
      </c>
      <c r="I3686">
        <v>9</v>
      </c>
      <c r="J3686">
        <v>55</v>
      </c>
      <c r="K3686">
        <v>539</v>
      </c>
      <c r="L3686">
        <v>566</v>
      </c>
      <c r="M3686">
        <v>8.3157894740000007</v>
      </c>
      <c r="N3686">
        <f>IFERROR(VLOOKUP(A3686,vlookup_table!$A:$G,2,FALSE),"")</f>
        <v>2</v>
      </c>
      <c r="O3686">
        <f>IFERROR(VLOOKUP(A3686,vlookup_table!$A:$G,4,FALSE),"")</f>
        <v>3501</v>
      </c>
      <c r="P3686">
        <f>IFERROR(VLOOKUP(A3686,vlookup_table!$A:$G,5,FALSE),"")</f>
        <v>0</v>
      </c>
      <c r="Q3686">
        <f>IFERROR(VLOOKUP(A3686,vlookup_table!$A:$G,7,FALSE),"")</f>
        <v>12</v>
      </c>
      <c r="R3686">
        <f t="shared" si="228"/>
        <v>62</v>
      </c>
      <c r="S3686" t="str" cm="1">
        <f t="array" ref="S3686">IF(P3686="","",_xlfn.SWITCH(LEFT(P3686,1),"C","Ciudad","T","Pueblo","R","Rural","S","Suburbano","U","Urbano",""))</f>
        <v/>
      </c>
      <c r="T3686" t="str">
        <f t="shared" si="229"/>
        <v>F</v>
      </c>
      <c r="U3686" t="str">
        <f t="shared" si="230"/>
        <v>CA</v>
      </c>
      <c r="V3686" t="str">
        <f t="shared" si="231"/>
        <v>25314</v>
      </c>
    </row>
    <row r="3687" spans="1:22" x14ac:dyDescent="0.35">
      <c r="A3687" s="3">
        <v>43126</v>
      </c>
      <c r="B3687" t="s">
        <v>13</v>
      </c>
      <c r="C3687" t="s">
        <v>17</v>
      </c>
      <c r="D3687">
        <v>845</v>
      </c>
      <c r="E3687">
        <v>334</v>
      </c>
      <c r="F3687">
        <v>511</v>
      </c>
      <c r="G3687">
        <v>13</v>
      </c>
      <c r="H3687">
        <v>25715</v>
      </c>
      <c r="I3687">
        <v>6</v>
      </c>
      <c r="J3687">
        <v>10</v>
      </c>
      <c r="K3687">
        <v>351</v>
      </c>
      <c r="L3687">
        <v>496</v>
      </c>
      <c r="M3687">
        <v>4.875</v>
      </c>
      <c r="N3687">
        <f>IFERROR(VLOOKUP(A3687,vlookup_table!$A:$G,2,FALSE),"")</f>
        <v>0</v>
      </c>
      <c r="O3687">
        <f>IFERROR(VLOOKUP(A3687,vlookup_table!$A:$G,4,FALSE),"")</f>
        <v>4901</v>
      </c>
      <c r="P3687" t="str">
        <f>IFERROR(VLOOKUP(A3687,vlookup_table!$A:$G,5,FALSE),"")</f>
        <v>C2</v>
      </c>
      <c r="Q3687">
        <f>IFERROR(VLOOKUP(A3687,vlookup_table!$A:$G,7,FALSE),"")</f>
        <v>5</v>
      </c>
      <c r="R3687">
        <f t="shared" si="228"/>
        <v>48</v>
      </c>
      <c r="S3687" t="str" cm="1">
        <f t="array" ref="S3687">IF(P3687="","",_xlfn.SWITCH(LEFT(P3687,1),"C","Ciudad","T","Pueblo","R","Rural","S","Suburbano","U","Urbano",""))</f>
        <v>Ciudad</v>
      </c>
      <c r="T3687" t="str">
        <f t="shared" si="229"/>
        <v>F</v>
      </c>
      <c r="U3687" t="str">
        <f t="shared" si="230"/>
        <v>FL</v>
      </c>
      <c r="V3687" t="str">
        <f t="shared" si="231"/>
        <v>25715</v>
      </c>
    </row>
    <row r="3688" spans="1:22" x14ac:dyDescent="0.35">
      <c r="A3688" s="3">
        <v>53753</v>
      </c>
      <c r="B3688" t="s">
        <v>53</v>
      </c>
      <c r="C3688" t="s">
        <v>17</v>
      </c>
      <c r="D3688">
        <v>1239</v>
      </c>
      <c r="E3688">
        <v>534</v>
      </c>
      <c r="F3688">
        <v>653</v>
      </c>
      <c r="G3688">
        <v>11</v>
      </c>
      <c r="H3688">
        <v>23901</v>
      </c>
      <c r="I3688">
        <v>4</v>
      </c>
      <c r="J3688">
        <v>42</v>
      </c>
      <c r="K3688">
        <v>571</v>
      </c>
      <c r="L3688">
        <v>624</v>
      </c>
      <c r="M3688">
        <v>15.84615385</v>
      </c>
      <c r="N3688">
        <f>IFERROR(VLOOKUP(A3688,vlookup_table!$A:$G,2,FALSE),"")</f>
        <v>0</v>
      </c>
      <c r="O3688">
        <f>IFERROR(VLOOKUP(A3688,vlookup_table!$A:$G,4,FALSE),"")</f>
        <v>5307</v>
      </c>
      <c r="P3688" t="str">
        <f>IFERROR(VLOOKUP(A3688,vlookup_table!$A:$G,5,FALSE),"")</f>
        <v>S1</v>
      </c>
      <c r="Q3688">
        <f>IFERROR(VLOOKUP(A3688,vlookup_table!$A:$G,7,FALSE),"")</f>
        <v>30</v>
      </c>
      <c r="R3688">
        <f t="shared" si="228"/>
        <v>44</v>
      </c>
      <c r="S3688" t="str" cm="1">
        <f t="array" ref="S3688">IF(P3688="","",_xlfn.SWITCH(LEFT(P3688,1),"C","Ciudad","T","Pueblo","R","Rural","S","Suburbano","U","Urbano",""))</f>
        <v>Suburbano</v>
      </c>
      <c r="T3688" t="str">
        <f t="shared" si="229"/>
        <v>F</v>
      </c>
      <c r="U3688" t="str">
        <f t="shared" si="230"/>
        <v>TN</v>
      </c>
      <c r="V3688" t="str">
        <f t="shared" si="231"/>
        <v>23901</v>
      </c>
    </row>
    <row r="3689" spans="1:22" x14ac:dyDescent="0.35">
      <c r="A3689" s="3">
        <v>190651</v>
      </c>
      <c r="B3689" t="s">
        <v>16</v>
      </c>
      <c r="C3689" t="s">
        <v>17</v>
      </c>
      <c r="D3689">
        <v>753</v>
      </c>
      <c r="E3689">
        <v>387</v>
      </c>
      <c r="F3689">
        <v>452</v>
      </c>
      <c r="G3689">
        <v>0</v>
      </c>
      <c r="H3689">
        <v>17356</v>
      </c>
      <c r="I3689">
        <v>6</v>
      </c>
      <c r="J3689">
        <v>61</v>
      </c>
      <c r="K3689">
        <v>432</v>
      </c>
      <c r="L3689">
        <v>417</v>
      </c>
      <c r="M3689">
        <v>25</v>
      </c>
      <c r="N3689">
        <f>IFERROR(VLOOKUP(A3689,vlookup_table!$A:$G,2,FALSE),"")</f>
        <v>28</v>
      </c>
      <c r="O3689">
        <f>IFERROR(VLOOKUP(A3689,vlookup_table!$A:$G,4,FALSE),"")</f>
        <v>5201</v>
      </c>
      <c r="P3689" t="str">
        <f>IFERROR(VLOOKUP(A3689,vlookup_table!$A:$G,5,FALSE),"")</f>
        <v>C1</v>
      </c>
      <c r="Q3689">
        <f>IFERROR(VLOOKUP(A3689,vlookup_table!$A:$G,7,FALSE),"")</f>
        <v>10</v>
      </c>
      <c r="R3689">
        <f t="shared" si="228"/>
        <v>45</v>
      </c>
      <c r="S3689" t="str" cm="1">
        <f t="array" ref="S3689">IF(P3689="","",_xlfn.SWITCH(LEFT(P3689,1),"C","Ciudad","T","Pueblo","R","Rural","S","Suburbano","U","Urbano",""))</f>
        <v>Ciudad</v>
      </c>
      <c r="T3689" t="str">
        <f t="shared" si="229"/>
        <v>F</v>
      </c>
      <c r="U3689" t="str">
        <f t="shared" si="230"/>
        <v>IL</v>
      </c>
      <c r="V3689" t="str">
        <f t="shared" si="231"/>
        <v>17356</v>
      </c>
    </row>
    <row r="3690" spans="1:22" x14ac:dyDescent="0.35">
      <c r="A3690" s="3">
        <v>12597</v>
      </c>
      <c r="B3690" t="s">
        <v>22</v>
      </c>
      <c r="C3690" t="s">
        <v>17</v>
      </c>
      <c r="D3690">
        <v>2885</v>
      </c>
      <c r="E3690">
        <v>737</v>
      </c>
      <c r="F3690">
        <v>824</v>
      </c>
      <c r="G3690">
        <v>94</v>
      </c>
      <c r="H3690">
        <v>28134</v>
      </c>
      <c r="I3690">
        <v>12</v>
      </c>
      <c r="J3690">
        <v>48</v>
      </c>
      <c r="K3690">
        <v>773</v>
      </c>
      <c r="L3690">
        <v>798</v>
      </c>
      <c r="M3690">
        <v>53.857142860000003</v>
      </c>
      <c r="N3690">
        <f>IFERROR(VLOOKUP(A3690,vlookup_table!$A:$G,2,FALSE),"")</f>
        <v>28</v>
      </c>
      <c r="O3690">
        <f>IFERROR(VLOOKUP(A3690,vlookup_table!$A:$G,4,FALSE),"")</f>
        <v>0</v>
      </c>
      <c r="P3690" t="str">
        <f>IFERROR(VLOOKUP(A3690,vlookup_table!$A:$G,5,FALSE),"")</f>
        <v>S1</v>
      </c>
      <c r="Q3690">
        <f>IFERROR(VLOOKUP(A3690,vlookup_table!$A:$G,7,FALSE),"")</f>
        <v>101</v>
      </c>
      <c r="R3690">
        <f t="shared" si="228"/>
        <v>97</v>
      </c>
      <c r="S3690" t="str" cm="1">
        <f t="array" ref="S3690">IF(P3690="","",_xlfn.SWITCH(LEFT(P3690,1),"C","Ciudad","T","Pueblo","R","Rural","S","Suburbano","U","Urbano",""))</f>
        <v>Suburbano</v>
      </c>
      <c r="T3690" t="str">
        <f t="shared" si="229"/>
        <v>F</v>
      </c>
      <c r="U3690" t="str">
        <f t="shared" si="230"/>
        <v>CA</v>
      </c>
      <c r="V3690" t="str">
        <f t="shared" si="231"/>
        <v>28134</v>
      </c>
    </row>
    <row r="3691" spans="1:22" x14ac:dyDescent="0.35">
      <c r="A3691" s="3">
        <v>164169</v>
      </c>
      <c r="B3691" t="s">
        <v>22</v>
      </c>
      <c r="C3691" t="s">
        <v>14</v>
      </c>
      <c r="D3691">
        <v>2292</v>
      </c>
      <c r="E3691">
        <v>642</v>
      </c>
      <c r="F3691">
        <v>710</v>
      </c>
      <c r="G3691">
        <v>70</v>
      </c>
      <c r="H3691">
        <v>22186</v>
      </c>
      <c r="I3691">
        <v>13</v>
      </c>
      <c r="J3691">
        <v>52</v>
      </c>
      <c r="K3691">
        <v>670</v>
      </c>
      <c r="L3691">
        <v>680</v>
      </c>
      <c r="M3691">
        <v>10</v>
      </c>
      <c r="N3691">
        <f>IFERROR(VLOOKUP(A3691,vlookup_table!$A:$G,2,FALSE),"")</f>
        <v>0</v>
      </c>
      <c r="O3691">
        <f>IFERROR(VLOOKUP(A3691,vlookup_table!$A:$G,4,FALSE),"")</f>
        <v>6201</v>
      </c>
      <c r="P3691" t="str">
        <f>IFERROR(VLOOKUP(A3691,vlookup_table!$A:$G,5,FALSE),"")</f>
        <v>S1</v>
      </c>
      <c r="Q3691">
        <f>IFERROR(VLOOKUP(A3691,vlookup_table!$A:$G,7,FALSE),"")</f>
        <v>15</v>
      </c>
      <c r="R3691">
        <f t="shared" si="228"/>
        <v>35</v>
      </c>
      <c r="S3691" t="str" cm="1">
        <f t="array" ref="S3691">IF(P3691="","",_xlfn.SWITCH(LEFT(P3691,1),"C","Ciudad","T","Pueblo","R","Rural","S","Suburbano","U","Urbano",""))</f>
        <v>Suburbano</v>
      </c>
      <c r="T3691" t="str">
        <f t="shared" si="229"/>
        <v>M</v>
      </c>
      <c r="U3691" t="str">
        <f t="shared" si="230"/>
        <v>CA</v>
      </c>
      <c r="V3691" t="str">
        <f t="shared" si="231"/>
        <v>22186</v>
      </c>
    </row>
    <row r="3692" spans="1:22" x14ac:dyDescent="0.35">
      <c r="A3692" s="3">
        <v>20106</v>
      </c>
      <c r="B3692" t="s">
        <v>18</v>
      </c>
      <c r="C3692" t="s">
        <v>14</v>
      </c>
      <c r="D3692">
        <v>949</v>
      </c>
      <c r="E3692">
        <v>303</v>
      </c>
      <c r="F3692">
        <v>390</v>
      </c>
      <c r="G3692">
        <v>6</v>
      </c>
      <c r="H3692">
        <v>14449</v>
      </c>
      <c r="I3692">
        <v>1</v>
      </c>
      <c r="J3692">
        <v>65</v>
      </c>
      <c r="K3692">
        <v>347</v>
      </c>
      <c r="L3692">
        <v>347</v>
      </c>
      <c r="M3692">
        <v>12</v>
      </c>
      <c r="N3692">
        <f>IFERROR(VLOOKUP(A3692,vlookup_table!$A:$G,2,FALSE),"")</f>
        <v>1</v>
      </c>
      <c r="O3692">
        <f>IFERROR(VLOOKUP(A3692,vlookup_table!$A:$G,4,FALSE),"")</f>
        <v>2601</v>
      </c>
      <c r="P3692" t="str">
        <f>IFERROR(VLOOKUP(A3692,vlookup_table!$A:$G,5,FALSE),"")</f>
        <v>R2</v>
      </c>
      <c r="Q3692">
        <f>IFERROR(VLOOKUP(A3692,vlookup_table!$A:$G,7,FALSE),"")</f>
        <v>12</v>
      </c>
      <c r="R3692">
        <f t="shared" si="228"/>
        <v>71</v>
      </c>
      <c r="S3692" t="str" cm="1">
        <f t="array" ref="S3692">IF(P3692="","",_xlfn.SWITCH(LEFT(P3692,1),"C","Ciudad","T","Pueblo","R","Rural","S","Suburbano","U","Urbano",""))</f>
        <v>Rural</v>
      </c>
      <c r="T3692" t="str">
        <f t="shared" si="229"/>
        <v>M</v>
      </c>
      <c r="U3692" t="str">
        <f t="shared" si="230"/>
        <v>NC</v>
      </c>
      <c r="V3692" t="str">
        <f t="shared" si="231"/>
        <v>14449</v>
      </c>
    </row>
    <row r="3693" spans="1:22" x14ac:dyDescent="0.35">
      <c r="A3693" s="3">
        <v>143565</v>
      </c>
      <c r="B3693" t="s">
        <v>22</v>
      </c>
      <c r="C3693" t="s">
        <v>17</v>
      </c>
      <c r="D3693">
        <v>1387</v>
      </c>
      <c r="E3693">
        <v>406</v>
      </c>
      <c r="F3693">
        <v>442</v>
      </c>
      <c r="G3693">
        <v>4</v>
      </c>
      <c r="H3693">
        <v>12732</v>
      </c>
      <c r="I3693">
        <v>5</v>
      </c>
      <c r="J3693">
        <v>40</v>
      </c>
      <c r="K3693">
        <v>464</v>
      </c>
      <c r="L3693">
        <v>403</v>
      </c>
      <c r="M3693">
        <v>11.4</v>
      </c>
      <c r="N3693">
        <f>IFERROR(VLOOKUP(A3693,vlookup_table!$A:$G,2,FALSE),"")</f>
        <v>28</v>
      </c>
      <c r="O3693">
        <f>IFERROR(VLOOKUP(A3693,vlookup_table!$A:$G,4,FALSE),"")</f>
        <v>3001</v>
      </c>
      <c r="P3693" t="str">
        <f>IFERROR(VLOOKUP(A3693,vlookup_table!$A:$G,5,FALSE),"")</f>
        <v>U2</v>
      </c>
      <c r="Q3693">
        <f>IFERROR(VLOOKUP(A3693,vlookup_table!$A:$G,7,FALSE),"")</f>
        <v>17</v>
      </c>
      <c r="R3693">
        <f t="shared" si="228"/>
        <v>67</v>
      </c>
      <c r="S3693" t="str" cm="1">
        <f t="array" ref="S3693">IF(P3693="","",_xlfn.SWITCH(LEFT(P3693,1),"C","Ciudad","T","Pueblo","R","Rural","S","Suburbano","U","Urbano",""))</f>
        <v>Urbano</v>
      </c>
      <c r="T3693" t="str">
        <f t="shared" si="229"/>
        <v>F</v>
      </c>
      <c r="U3693" t="str">
        <f t="shared" si="230"/>
        <v>CA</v>
      </c>
      <c r="V3693" t="str">
        <f t="shared" si="231"/>
        <v>12732</v>
      </c>
    </row>
    <row r="3694" spans="1:22" x14ac:dyDescent="0.35">
      <c r="A3694" s="3">
        <v>96080</v>
      </c>
      <c r="B3694" t="s">
        <v>16</v>
      </c>
      <c r="C3694" t="s">
        <v>17</v>
      </c>
      <c r="D3694">
        <v>568</v>
      </c>
      <c r="E3694">
        <v>220</v>
      </c>
      <c r="F3694">
        <v>353</v>
      </c>
      <c r="G3694">
        <v>0</v>
      </c>
      <c r="H3694">
        <v>12599</v>
      </c>
      <c r="I3694">
        <v>0</v>
      </c>
      <c r="J3694">
        <v>84</v>
      </c>
      <c r="K3694">
        <v>279</v>
      </c>
      <c r="L3694">
        <v>282</v>
      </c>
      <c r="M3694">
        <v>3.4444444440000002</v>
      </c>
      <c r="N3694">
        <f>IFERROR(VLOOKUP(A3694,vlookup_table!$A:$G,2,FALSE),"")</f>
        <v>2</v>
      </c>
      <c r="O3694">
        <f>IFERROR(VLOOKUP(A3694,vlookup_table!$A:$G,4,FALSE),"")</f>
        <v>2001</v>
      </c>
      <c r="P3694" t="str">
        <f>IFERROR(VLOOKUP(A3694,vlookup_table!$A:$G,5,FALSE),"")</f>
        <v>T2</v>
      </c>
      <c r="Q3694">
        <f>IFERROR(VLOOKUP(A3694,vlookup_table!$A:$G,7,FALSE),"")</f>
        <v>5</v>
      </c>
      <c r="R3694">
        <f t="shared" si="228"/>
        <v>77</v>
      </c>
      <c r="S3694" t="str" cm="1">
        <f t="array" ref="S3694">IF(P3694="","",_xlfn.SWITCH(LEFT(P3694,1),"C","Ciudad","T","Pueblo","R","Rural","S","Suburbano","U","Urbano",""))</f>
        <v>Pueblo</v>
      </c>
      <c r="T3694" t="str">
        <f t="shared" si="229"/>
        <v>F</v>
      </c>
      <c r="U3694" t="str">
        <f t="shared" si="230"/>
        <v>IL</v>
      </c>
      <c r="V3694" t="str">
        <f t="shared" si="231"/>
        <v>12599</v>
      </c>
    </row>
    <row r="3695" spans="1:22" x14ac:dyDescent="0.35">
      <c r="A3695" s="3">
        <v>184492</v>
      </c>
      <c r="B3695" t="s">
        <v>40</v>
      </c>
      <c r="D3695">
        <v>917</v>
      </c>
      <c r="E3695">
        <v>391</v>
      </c>
      <c r="F3695">
        <v>519</v>
      </c>
      <c r="G3695">
        <v>4</v>
      </c>
      <c r="H3695">
        <v>16290</v>
      </c>
      <c r="I3695">
        <v>0</v>
      </c>
      <c r="J3695">
        <v>63</v>
      </c>
      <c r="K3695">
        <v>463</v>
      </c>
      <c r="L3695">
        <v>476</v>
      </c>
      <c r="M3695">
        <v>8.5714285710000002</v>
      </c>
      <c r="N3695">
        <f>IFERROR(VLOOKUP(A3695,vlookup_table!$A:$G,2,FALSE),"")</f>
        <v>0</v>
      </c>
      <c r="O3695">
        <f>IFERROR(VLOOKUP(A3695,vlookup_table!$A:$G,4,FALSE),"")</f>
        <v>2801</v>
      </c>
      <c r="P3695" t="str">
        <f>IFERROR(VLOOKUP(A3695,vlookup_table!$A:$G,5,FALSE),"")</f>
        <v>T1</v>
      </c>
      <c r="Q3695">
        <f>IFERROR(VLOOKUP(A3695,vlookup_table!$A:$G,7,FALSE),"")</f>
        <v>9</v>
      </c>
      <c r="R3695">
        <f t="shared" si="228"/>
        <v>69</v>
      </c>
      <c r="S3695" t="str" cm="1">
        <f t="array" ref="S3695">IF(P3695="","",_xlfn.SWITCH(LEFT(P3695,1),"C","Ciudad","T","Pueblo","R","Rural","S","Suburbano","U","Urbano",""))</f>
        <v>Pueblo</v>
      </c>
      <c r="T3695" t="str">
        <f t="shared" si="229"/>
        <v/>
      </c>
      <c r="U3695" t="str">
        <f t="shared" si="230"/>
        <v>WA</v>
      </c>
      <c r="V3695" t="str">
        <f t="shared" si="231"/>
        <v>16290</v>
      </c>
    </row>
    <row r="3696" spans="1:22" x14ac:dyDescent="0.35">
      <c r="A3696" s="3">
        <v>128522</v>
      </c>
      <c r="B3696" t="s">
        <v>21</v>
      </c>
      <c r="C3696" t="s">
        <v>17</v>
      </c>
      <c r="D3696">
        <v>243</v>
      </c>
      <c r="E3696">
        <v>132</v>
      </c>
      <c r="F3696">
        <v>160</v>
      </c>
      <c r="G3696">
        <v>0</v>
      </c>
      <c r="H3696">
        <v>4960</v>
      </c>
      <c r="I3696">
        <v>5</v>
      </c>
      <c r="J3696">
        <v>84</v>
      </c>
      <c r="K3696">
        <v>147</v>
      </c>
      <c r="L3696">
        <v>154</v>
      </c>
      <c r="M3696">
        <v>9.0625</v>
      </c>
      <c r="N3696">
        <f>IFERROR(VLOOKUP(A3696,vlookup_table!$A:$G,2,FALSE),"")</f>
        <v>0</v>
      </c>
      <c r="O3696">
        <f>IFERROR(VLOOKUP(A3696,vlookup_table!$A:$G,4,FALSE),"")</f>
        <v>0</v>
      </c>
      <c r="P3696" t="str">
        <f>IFERROR(VLOOKUP(A3696,vlookup_table!$A:$G,5,FALSE),"")</f>
        <v>T1</v>
      </c>
      <c r="Q3696">
        <f>IFERROR(VLOOKUP(A3696,vlookup_table!$A:$G,7,FALSE),"")</f>
        <v>20</v>
      </c>
      <c r="R3696">
        <f t="shared" si="228"/>
        <v>97</v>
      </c>
      <c r="S3696" t="str" cm="1">
        <f t="array" ref="S3696">IF(P3696="","",_xlfn.SWITCH(LEFT(P3696,1),"C","Ciudad","T","Pueblo","R","Rural","S","Suburbano","U","Urbano",""))</f>
        <v>Pueblo</v>
      </c>
      <c r="T3696" t="str">
        <f t="shared" si="229"/>
        <v>F</v>
      </c>
      <c r="U3696" t="str">
        <f t="shared" si="230"/>
        <v>TX</v>
      </c>
      <c r="V3696" t="str">
        <f t="shared" si="231"/>
        <v>4960</v>
      </c>
    </row>
    <row r="3697" spans="1:22" x14ac:dyDescent="0.35">
      <c r="A3697" s="3">
        <v>167551</v>
      </c>
      <c r="B3697" t="s">
        <v>22</v>
      </c>
      <c r="C3697" t="s">
        <v>17</v>
      </c>
      <c r="D3697">
        <v>2356</v>
      </c>
      <c r="E3697">
        <v>277</v>
      </c>
      <c r="F3697">
        <v>401</v>
      </c>
      <c r="G3697">
        <v>78</v>
      </c>
      <c r="H3697">
        <v>15245</v>
      </c>
      <c r="I3697">
        <v>34</v>
      </c>
      <c r="J3697">
        <v>38</v>
      </c>
      <c r="K3697">
        <v>359</v>
      </c>
      <c r="L3697">
        <v>359</v>
      </c>
      <c r="M3697">
        <v>15.83333333</v>
      </c>
      <c r="N3697">
        <f>IFERROR(VLOOKUP(A3697,vlookup_table!$A:$G,2,FALSE),"")</f>
        <v>0</v>
      </c>
      <c r="O3697">
        <f>IFERROR(VLOOKUP(A3697,vlookup_table!$A:$G,4,FALSE),"")</f>
        <v>4401</v>
      </c>
      <c r="P3697" t="str">
        <f>IFERROR(VLOOKUP(A3697,vlookup_table!$A:$G,5,FALSE),"")</f>
        <v>U1</v>
      </c>
      <c r="Q3697">
        <f>IFERROR(VLOOKUP(A3697,vlookup_table!$A:$G,7,FALSE),"")</f>
        <v>20</v>
      </c>
      <c r="R3697">
        <f t="shared" si="228"/>
        <v>53</v>
      </c>
      <c r="S3697" t="str" cm="1">
        <f t="array" ref="S3697">IF(P3697="","",_xlfn.SWITCH(LEFT(P3697,1),"C","Ciudad","T","Pueblo","R","Rural","S","Suburbano","U","Urbano",""))</f>
        <v>Urbano</v>
      </c>
      <c r="T3697" t="str">
        <f t="shared" si="229"/>
        <v>F</v>
      </c>
      <c r="U3697" t="str">
        <f t="shared" si="230"/>
        <v>CA</v>
      </c>
      <c r="V3697" t="str">
        <f t="shared" si="231"/>
        <v>15245</v>
      </c>
    </row>
    <row r="3698" spans="1:22" x14ac:dyDescent="0.35">
      <c r="A3698" s="3">
        <v>101972</v>
      </c>
      <c r="B3698" t="s">
        <v>36</v>
      </c>
      <c r="C3698" t="s">
        <v>17</v>
      </c>
      <c r="D3698">
        <v>844</v>
      </c>
      <c r="E3698">
        <v>340</v>
      </c>
      <c r="F3698">
        <v>358</v>
      </c>
      <c r="G3698">
        <v>0</v>
      </c>
      <c r="H3698">
        <v>12280</v>
      </c>
      <c r="I3698">
        <v>0</v>
      </c>
      <c r="J3698">
        <v>69</v>
      </c>
      <c r="K3698">
        <v>373</v>
      </c>
      <c r="L3698">
        <v>356</v>
      </c>
      <c r="M3698">
        <v>20</v>
      </c>
      <c r="N3698">
        <f>IFERROR(VLOOKUP(A3698,vlookup_table!$A:$G,2,FALSE),"")</f>
        <v>0</v>
      </c>
      <c r="O3698">
        <f>IFERROR(VLOOKUP(A3698,vlookup_table!$A:$G,4,FALSE),"")</f>
        <v>0</v>
      </c>
      <c r="P3698" t="str">
        <f>IFERROR(VLOOKUP(A3698,vlookup_table!$A:$G,5,FALSE),"")</f>
        <v>T2</v>
      </c>
      <c r="Q3698">
        <f>IFERROR(VLOOKUP(A3698,vlookup_table!$A:$G,7,FALSE),"")</f>
        <v>25</v>
      </c>
      <c r="R3698">
        <f t="shared" si="228"/>
        <v>97</v>
      </c>
      <c r="S3698" t="str" cm="1">
        <f t="array" ref="S3698">IF(P3698="","",_xlfn.SWITCH(LEFT(P3698,1),"C","Ciudad","T","Pueblo","R","Rural","S","Suburbano","U","Urbano",""))</f>
        <v>Pueblo</v>
      </c>
      <c r="T3698" t="str">
        <f t="shared" si="229"/>
        <v>F</v>
      </c>
      <c r="U3698" t="str">
        <f t="shared" si="230"/>
        <v>MO</v>
      </c>
      <c r="V3698" t="str">
        <f t="shared" si="231"/>
        <v>12280</v>
      </c>
    </row>
    <row r="3699" spans="1:22" x14ac:dyDescent="0.35">
      <c r="A3699" s="3">
        <v>75609</v>
      </c>
      <c r="B3699" t="s">
        <v>47</v>
      </c>
      <c r="C3699" t="s">
        <v>14</v>
      </c>
      <c r="D3699">
        <v>338</v>
      </c>
      <c r="E3699">
        <v>260</v>
      </c>
      <c r="F3699">
        <v>386</v>
      </c>
      <c r="G3699">
        <v>1</v>
      </c>
      <c r="H3699">
        <v>14351</v>
      </c>
      <c r="I3699">
        <v>1</v>
      </c>
      <c r="J3699">
        <v>92</v>
      </c>
      <c r="K3699">
        <v>315</v>
      </c>
      <c r="L3699">
        <v>336</v>
      </c>
      <c r="M3699">
        <v>4</v>
      </c>
      <c r="N3699">
        <f>IFERROR(VLOOKUP(A3699,vlookup_table!$A:$G,2,FALSE),"")</f>
        <v>0</v>
      </c>
      <c r="O3699">
        <f>IFERROR(VLOOKUP(A3699,vlookup_table!$A:$G,4,FALSE),"")</f>
        <v>1107</v>
      </c>
      <c r="P3699" t="str">
        <f>IFERROR(VLOOKUP(A3699,vlookup_table!$A:$G,5,FALSE),"")</f>
        <v>R2</v>
      </c>
      <c r="Q3699">
        <f>IFERROR(VLOOKUP(A3699,vlookup_table!$A:$G,7,FALSE),"")</f>
        <v>10</v>
      </c>
      <c r="R3699">
        <f t="shared" si="228"/>
        <v>86</v>
      </c>
      <c r="S3699" t="str" cm="1">
        <f t="array" ref="S3699">IF(P3699="","",_xlfn.SWITCH(LEFT(P3699,1),"C","Ciudad","T","Pueblo","R","Rural","S","Suburbano","U","Urbano",""))</f>
        <v>Rural</v>
      </c>
      <c r="T3699" t="str">
        <f t="shared" si="229"/>
        <v>M</v>
      </c>
      <c r="U3699" t="str">
        <f t="shared" si="230"/>
        <v>IA</v>
      </c>
      <c r="V3699" t="str">
        <f t="shared" si="231"/>
        <v>14351</v>
      </c>
    </row>
    <row r="3700" spans="1:22" x14ac:dyDescent="0.35">
      <c r="A3700" s="3">
        <v>89863</v>
      </c>
      <c r="B3700" t="s">
        <v>16</v>
      </c>
      <c r="C3700" t="s">
        <v>17</v>
      </c>
      <c r="D3700">
        <v>1118</v>
      </c>
      <c r="E3700">
        <v>510</v>
      </c>
      <c r="F3700">
        <v>607</v>
      </c>
      <c r="G3700">
        <v>0</v>
      </c>
      <c r="H3700">
        <v>22026</v>
      </c>
      <c r="I3700">
        <v>12</v>
      </c>
      <c r="J3700">
        <v>57</v>
      </c>
      <c r="K3700">
        <v>563</v>
      </c>
      <c r="L3700">
        <v>562</v>
      </c>
      <c r="M3700">
        <v>14.38461539</v>
      </c>
      <c r="N3700">
        <f>IFERROR(VLOOKUP(A3700,vlookup_table!$A:$G,2,FALSE),"")</f>
        <v>0</v>
      </c>
      <c r="O3700">
        <f>IFERROR(VLOOKUP(A3700,vlookup_table!$A:$G,4,FALSE),"")</f>
        <v>4711</v>
      </c>
      <c r="P3700" t="str">
        <f>IFERROR(VLOOKUP(A3700,vlookup_table!$A:$G,5,FALSE),"")</f>
        <v>S1</v>
      </c>
      <c r="Q3700">
        <f>IFERROR(VLOOKUP(A3700,vlookup_table!$A:$G,7,FALSE),"")</f>
        <v>23</v>
      </c>
      <c r="R3700">
        <f t="shared" si="228"/>
        <v>50</v>
      </c>
      <c r="S3700" t="str" cm="1">
        <f t="array" ref="S3700">IF(P3700="","",_xlfn.SWITCH(LEFT(P3700,1),"C","Ciudad","T","Pueblo","R","Rural","S","Suburbano","U","Urbano",""))</f>
        <v>Suburbano</v>
      </c>
      <c r="T3700" t="str">
        <f t="shared" si="229"/>
        <v>F</v>
      </c>
      <c r="U3700" t="str">
        <f t="shared" si="230"/>
        <v>IL</v>
      </c>
      <c r="V3700" t="str">
        <f t="shared" si="231"/>
        <v>22026</v>
      </c>
    </row>
    <row r="3701" spans="1:22" x14ac:dyDescent="0.35">
      <c r="A3701" s="3">
        <v>80310</v>
      </c>
      <c r="B3701" t="s">
        <v>35</v>
      </c>
      <c r="C3701" t="s">
        <v>51</v>
      </c>
      <c r="D3701">
        <v>640</v>
      </c>
      <c r="E3701">
        <v>376</v>
      </c>
      <c r="F3701">
        <v>411</v>
      </c>
      <c r="G3701">
        <v>0</v>
      </c>
      <c r="H3701">
        <v>12455</v>
      </c>
      <c r="I3701">
        <v>2</v>
      </c>
      <c r="J3701">
        <v>91</v>
      </c>
      <c r="K3701">
        <v>404</v>
      </c>
      <c r="L3701">
        <v>384</v>
      </c>
      <c r="M3701">
        <v>14</v>
      </c>
      <c r="N3701">
        <f>IFERROR(VLOOKUP(A3701,vlookup_table!$A:$G,2,FALSE),"")</f>
        <v>1</v>
      </c>
      <c r="O3701">
        <f>IFERROR(VLOOKUP(A3701,vlookup_table!$A:$G,4,FALSE),"")</f>
        <v>4401</v>
      </c>
      <c r="P3701" t="str">
        <f>IFERROR(VLOOKUP(A3701,vlookup_table!$A:$G,5,FALSE),"")</f>
        <v>C2</v>
      </c>
      <c r="Q3701">
        <f>IFERROR(VLOOKUP(A3701,vlookup_table!$A:$G,7,FALSE),"")</f>
        <v>20</v>
      </c>
      <c r="R3701">
        <f t="shared" si="228"/>
        <v>53</v>
      </c>
      <c r="S3701" t="str" cm="1">
        <f t="array" ref="S3701">IF(P3701="","",_xlfn.SWITCH(LEFT(P3701,1),"C","Ciudad","T","Pueblo","R","Rural","S","Suburbano","U","Urbano",""))</f>
        <v>Ciudad</v>
      </c>
      <c r="T3701" t="str">
        <f t="shared" si="229"/>
        <v>M</v>
      </c>
      <c r="U3701" t="str">
        <f t="shared" si="230"/>
        <v>WI</v>
      </c>
      <c r="V3701" t="str">
        <f t="shared" si="231"/>
        <v>12455</v>
      </c>
    </row>
    <row r="3702" spans="1:22" x14ac:dyDescent="0.35">
      <c r="A3702" s="3">
        <v>2757</v>
      </c>
      <c r="B3702" t="s">
        <v>36</v>
      </c>
      <c r="C3702" t="s">
        <v>17</v>
      </c>
      <c r="D3702">
        <v>770</v>
      </c>
      <c r="E3702">
        <v>103</v>
      </c>
      <c r="F3702">
        <v>278</v>
      </c>
      <c r="G3702">
        <v>7</v>
      </c>
      <c r="H3702">
        <v>10556</v>
      </c>
      <c r="I3702">
        <v>2</v>
      </c>
      <c r="J3702">
        <v>48</v>
      </c>
      <c r="K3702">
        <v>239</v>
      </c>
      <c r="L3702">
        <v>161</v>
      </c>
      <c r="M3702">
        <v>8.3529411769999999</v>
      </c>
      <c r="N3702">
        <f>IFERROR(VLOOKUP(A3702,vlookup_table!$A:$G,2,FALSE),"")</f>
        <v>28</v>
      </c>
      <c r="O3702">
        <f>IFERROR(VLOOKUP(A3702,vlookup_table!$A:$G,4,FALSE),"")</f>
        <v>6112</v>
      </c>
      <c r="P3702" t="str">
        <f>IFERROR(VLOOKUP(A3702,vlookup_table!$A:$G,5,FALSE),"")</f>
        <v>U3</v>
      </c>
      <c r="Q3702">
        <f>IFERROR(VLOOKUP(A3702,vlookup_table!$A:$G,7,FALSE),"")</f>
        <v>10</v>
      </c>
      <c r="R3702">
        <f t="shared" si="228"/>
        <v>36</v>
      </c>
      <c r="S3702" t="str" cm="1">
        <f t="array" ref="S3702">IF(P3702="","",_xlfn.SWITCH(LEFT(P3702,1),"C","Ciudad","T","Pueblo","R","Rural","S","Suburbano","U","Urbano",""))</f>
        <v>Urbano</v>
      </c>
      <c r="T3702" t="str">
        <f t="shared" si="229"/>
        <v>F</v>
      </c>
      <c r="U3702" t="str">
        <f t="shared" si="230"/>
        <v>MO</v>
      </c>
      <c r="V3702" t="str">
        <f t="shared" si="231"/>
        <v>10556</v>
      </c>
    </row>
    <row r="3703" spans="1:22" x14ac:dyDescent="0.35">
      <c r="A3703" s="3">
        <v>56169</v>
      </c>
      <c r="B3703" t="s">
        <v>62</v>
      </c>
      <c r="C3703" t="s">
        <v>17</v>
      </c>
      <c r="D3703">
        <v>557</v>
      </c>
      <c r="E3703">
        <v>190</v>
      </c>
      <c r="F3703">
        <v>346</v>
      </c>
      <c r="G3703">
        <v>1</v>
      </c>
      <c r="H3703">
        <v>9593</v>
      </c>
      <c r="I3703">
        <v>3</v>
      </c>
      <c r="J3703">
        <v>71</v>
      </c>
      <c r="K3703">
        <v>302</v>
      </c>
      <c r="L3703">
        <v>267</v>
      </c>
      <c r="M3703">
        <v>20</v>
      </c>
      <c r="N3703">
        <f>IFERROR(VLOOKUP(A3703,vlookup_table!$A:$G,2,FALSE),"")</f>
        <v>2</v>
      </c>
      <c r="O3703">
        <f>IFERROR(VLOOKUP(A3703,vlookup_table!$A:$G,4,FALSE),"")</f>
        <v>0</v>
      </c>
      <c r="P3703" t="str">
        <f>IFERROR(VLOOKUP(A3703,vlookup_table!$A:$G,5,FALSE),"")</f>
        <v>T2</v>
      </c>
      <c r="Q3703">
        <f>IFERROR(VLOOKUP(A3703,vlookup_table!$A:$G,7,FALSE),"")</f>
        <v>20</v>
      </c>
      <c r="R3703">
        <f t="shared" si="228"/>
        <v>97</v>
      </c>
      <c r="S3703" t="str" cm="1">
        <f t="array" ref="S3703">IF(P3703="","",_xlfn.SWITCH(LEFT(P3703,1),"C","Ciudad","T","Pueblo","R","Rural","S","Suburbano","U","Urbano",""))</f>
        <v>Pueblo</v>
      </c>
      <c r="T3703" t="str">
        <f t="shared" si="229"/>
        <v>F</v>
      </c>
      <c r="U3703" t="str">
        <f t="shared" si="230"/>
        <v>MS</v>
      </c>
      <c r="V3703" t="str">
        <f t="shared" si="231"/>
        <v>9593</v>
      </c>
    </row>
    <row r="3704" spans="1:22" x14ac:dyDescent="0.35">
      <c r="A3704" s="3">
        <v>104259</v>
      </c>
      <c r="B3704" t="s">
        <v>28</v>
      </c>
      <c r="C3704" t="s">
        <v>17</v>
      </c>
      <c r="D3704">
        <v>477</v>
      </c>
      <c r="E3704">
        <v>219</v>
      </c>
      <c r="F3704">
        <v>314</v>
      </c>
      <c r="G3704">
        <v>0</v>
      </c>
      <c r="H3704">
        <v>10490</v>
      </c>
      <c r="I3704">
        <v>0</v>
      </c>
      <c r="J3704">
        <v>55</v>
      </c>
      <c r="K3704">
        <v>221</v>
      </c>
      <c r="L3704">
        <v>274</v>
      </c>
      <c r="M3704">
        <v>9.1</v>
      </c>
      <c r="N3704">
        <f>IFERROR(VLOOKUP(A3704,vlookup_table!$A:$G,2,FALSE),"")</f>
        <v>0</v>
      </c>
      <c r="O3704">
        <f>IFERROR(VLOOKUP(A3704,vlookup_table!$A:$G,4,FALSE),"")</f>
        <v>4811</v>
      </c>
      <c r="P3704" t="str">
        <f>IFERROR(VLOOKUP(A3704,vlookup_table!$A:$G,5,FALSE),"")</f>
        <v>T2</v>
      </c>
      <c r="Q3704">
        <f>IFERROR(VLOOKUP(A3704,vlookup_table!$A:$G,7,FALSE),"")</f>
        <v>15</v>
      </c>
      <c r="R3704">
        <f t="shared" si="228"/>
        <v>49</v>
      </c>
      <c r="S3704" t="str" cm="1">
        <f t="array" ref="S3704">IF(P3704="","",_xlfn.SWITCH(LEFT(P3704,1),"C","Ciudad","T","Pueblo","R","Rural","S","Suburbano","U","Urbano",""))</f>
        <v>Pueblo</v>
      </c>
      <c r="T3704" t="str">
        <f t="shared" si="229"/>
        <v>F</v>
      </c>
      <c r="U3704" t="str">
        <f t="shared" si="230"/>
        <v>KS</v>
      </c>
      <c r="V3704" t="str">
        <f t="shared" si="231"/>
        <v>10490</v>
      </c>
    </row>
    <row r="3705" spans="1:22" x14ac:dyDescent="0.35">
      <c r="A3705" s="3">
        <v>10467</v>
      </c>
      <c r="B3705" t="s">
        <v>29</v>
      </c>
      <c r="C3705" t="s">
        <v>14</v>
      </c>
      <c r="D3705">
        <v>1089</v>
      </c>
      <c r="E3705">
        <v>541</v>
      </c>
      <c r="F3705">
        <v>626</v>
      </c>
      <c r="G3705">
        <v>3</v>
      </c>
      <c r="H3705">
        <v>19313</v>
      </c>
      <c r="I3705">
        <v>3</v>
      </c>
      <c r="J3705">
        <v>75</v>
      </c>
      <c r="K3705">
        <v>580</v>
      </c>
      <c r="L3705">
        <v>581</v>
      </c>
      <c r="M3705">
        <v>12.33333333</v>
      </c>
      <c r="N3705">
        <f>IFERROR(VLOOKUP(A3705,vlookup_table!$A:$G,2,FALSE),"")</f>
        <v>1</v>
      </c>
      <c r="O3705">
        <f>IFERROR(VLOOKUP(A3705,vlookup_table!$A:$G,4,FALSE),"")</f>
        <v>2306</v>
      </c>
      <c r="P3705" t="str">
        <f>IFERROR(VLOOKUP(A3705,vlookup_table!$A:$G,5,FALSE),"")</f>
        <v>T1</v>
      </c>
      <c r="Q3705">
        <f>IFERROR(VLOOKUP(A3705,vlookup_table!$A:$G,7,FALSE),"")</f>
        <v>20</v>
      </c>
      <c r="R3705">
        <f t="shared" si="228"/>
        <v>74</v>
      </c>
      <c r="S3705" t="str" cm="1">
        <f t="array" ref="S3705">IF(P3705="","",_xlfn.SWITCH(LEFT(P3705,1),"C","Ciudad","T","Pueblo","R","Rural","S","Suburbano","U","Urbano",""))</f>
        <v>Pueblo</v>
      </c>
      <c r="T3705" t="str">
        <f t="shared" si="229"/>
        <v>M</v>
      </c>
      <c r="U3705" t="str">
        <f t="shared" si="230"/>
        <v>MI</v>
      </c>
      <c r="V3705" t="str">
        <f t="shared" si="231"/>
        <v>19313</v>
      </c>
    </row>
    <row r="3706" spans="1:22" x14ac:dyDescent="0.35">
      <c r="A3706" s="3">
        <v>165494</v>
      </c>
      <c r="B3706" t="s">
        <v>22</v>
      </c>
      <c r="C3706" t="s">
        <v>17</v>
      </c>
      <c r="D3706">
        <v>3898</v>
      </c>
      <c r="E3706">
        <v>744</v>
      </c>
      <c r="F3706">
        <v>816</v>
      </c>
      <c r="G3706">
        <v>96</v>
      </c>
      <c r="H3706">
        <v>26483</v>
      </c>
      <c r="I3706">
        <v>10</v>
      </c>
      <c r="J3706">
        <v>51</v>
      </c>
      <c r="K3706">
        <v>754</v>
      </c>
      <c r="L3706">
        <v>785</v>
      </c>
      <c r="M3706">
        <v>15.55555556</v>
      </c>
      <c r="N3706">
        <f>IFERROR(VLOOKUP(A3706,vlookup_table!$A:$G,2,FALSE),"")</f>
        <v>0</v>
      </c>
      <c r="O3706">
        <f>IFERROR(VLOOKUP(A3706,vlookup_table!$A:$G,4,FALSE),"")</f>
        <v>4507</v>
      </c>
      <c r="P3706" t="str">
        <f>IFERROR(VLOOKUP(A3706,vlookup_table!$A:$G,5,FALSE),"")</f>
        <v>C1</v>
      </c>
      <c r="Q3706">
        <f>IFERROR(VLOOKUP(A3706,vlookup_table!$A:$G,7,FALSE),"")</f>
        <v>15</v>
      </c>
      <c r="R3706">
        <f t="shared" si="228"/>
        <v>52</v>
      </c>
      <c r="S3706" t="str" cm="1">
        <f t="array" ref="S3706">IF(P3706="","",_xlfn.SWITCH(LEFT(P3706,1),"C","Ciudad","T","Pueblo","R","Rural","S","Suburbano","U","Urbano",""))</f>
        <v>Ciudad</v>
      </c>
      <c r="T3706" t="str">
        <f t="shared" si="229"/>
        <v>F</v>
      </c>
      <c r="U3706" t="str">
        <f t="shared" si="230"/>
        <v>CA</v>
      </c>
      <c r="V3706" t="str">
        <f t="shared" si="231"/>
        <v>26483</v>
      </c>
    </row>
    <row r="3707" spans="1:22" x14ac:dyDescent="0.35">
      <c r="A3707" s="3">
        <v>124817</v>
      </c>
      <c r="B3707" t="s">
        <v>21</v>
      </c>
      <c r="C3707" t="s">
        <v>14</v>
      </c>
      <c r="D3707">
        <v>639</v>
      </c>
      <c r="E3707">
        <v>242</v>
      </c>
      <c r="F3707">
        <v>269</v>
      </c>
      <c r="G3707">
        <v>1</v>
      </c>
      <c r="H3707">
        <v>5612</v>
      </c>
      <c r="I3707">
        <v>21</v>
      </c>
      <c r="J3707">
        <v>73</v>
      </c>
      <c r="K3707">
        <v>236</v>
      </c>
      <c r="L3707">
        <v>274</v>
      </c>
      <c r="M3707">
        <v>6.55</v>
      </c>
      <c r="N3707">
        <f>IFERROR(VLOOKUP(A3707,vlookup_table!$A:$G,2,FALSE),"")</f>
        <v>1</v>
      </c>
      <c r="O3707">
        <f>IFERROR(VLOOKUP(A3707,vlookup_table!$A:$G,4,FALSE),"")</f>
        <v>6210</v>
      </c>
      <c r="P3707">
        <f>IFERROR(VLOOKUP(A3707,vlookup_table!$A:$G,5,FALSE),"")</f>
        <v>0</v>
      </c>
      <c r="Q3707">
        <f>IFERROR(VLOOKUP(A3707,vlookup_table!$A:$G,7,FALSE),"")</f>
        <v>10</v>
      </c>
      <c r="R3707">
        <f t="shared" si="228"/>
        <v>35</v>
      </c>
      <c r="S3707" t="str" cm="1">
        <f t="array" ref="S3707">IF(P3707="","",_xlfn.SWITCH(LEFT(P3707,1),"C","Ciudad","T","Pueblo","R","Rural","S","Suburbano","U","Urbano",""))</f>
        <v/>
      </c>
      <c r="T3707" t="str">
        <f t="shared" si="229"/>
        <v>M</v>
      </c>
      <c r="U3707" t="str">
        <f t="shared" si="230"/>
        <v>TX</v>
      </c>
      <c r="V3707" t="str">
        <f t="shared" si="231"/>
        <v>5612</v>
      </c>
    </row>
    <row r="3708" spans="1:22" x14ac:dyDescent="0.35">
      <c r="A3708" s="3">
        <v>149777</v>
      </c>
      <c r="B3708" t="s">
        <v>22</v>
      </c>
      <c r="C3708" t="s">
        <v>17</v>
      </c>
      <c r="D3708">
        <v>2215</v>
      </c>
      <c r="E3708">
        <v>195</v>
      </c>
      <c r="F3708">
        <v>292</v>
      </c>
      <c r="G3708">
        <v>68</v>
      </c>
      <c r="H3708">
        <v>7978</v>
      </c>
      <c r="I3708">
        <v>59</v>
      </c>
      <c r="J3708">
        <v>26</v>
      </c>
      <c r="K3708">
        <v>260</v>
      </c>
      <c r="L3708">
        <v>263</v>
      </c>
      <c r="M3708">
        <v>15</v>
      </c>
      <c r="N3708">
        <f>IFERROR(VLOOKUP(A3708,vlookup_table!$A:$G,2,FALSE),"")</f>
        <v>0</v>
      </c>
      <c r="O3708">
        <f>IFERROR(VLOOKUP(A3708,vlookup_table!$A:$G,4,FALSE),"")</f>
        <v>5201</v>
      </c>
      <c r="P3708" t="str">
        <f>IFERROR(VLOOKUP(A3708,vlookup_table!$A:$G,5,FALSE),"")</f>
        <v>U2</v>
      </c>
      <c r="Q3708">
        <f>IFERROR(VLOOKUP(A3708,vlookup_table!$A:$G,7,FALSE),"")</f>
        <v>20</v>
      </c>
      <c r="R3708">
        <f t="shared" si="228"/>
        <v>45</v>
      </c>
      <c r="S3708" t="str" cm="1">
        <f t="array" ref="S3708">IF(P3708="","",_xlfn.SWITCH(LEFT(P3708,1),"C","Ciudad","T","Pueblo","R","Rural","S","Suburbano","U","Urbano",""))</f>
        <v>Urbano</v>
      </c>
      <c r="T3708" t="str">
        <f t="shared" si="229"/>
        <v>F</v>
      </c>
      <c r="U3708" t="str">
        <f t="shared" si="230"/>
        <v>CA</v>
      </c>
      <c r="V3708" t="str">
        <f t="shared" si="231"/>
        <v>7978</v>
      </c>
    </row>
    <row r="3709" spans="1:22" x14ac:dyDescent="0.35">
      <c r="A3709" s="3">
        <v>24272</v>
      </c>
      <c r="B3709" t="s">
        <v>46</v>
      </c>
      <c r="C3709" t="s">
        <v>17</v>
      </c>
      <c r="D3709">
        <v>664</v>
      </c>
      <c r="E3709">
        <v>219</v>
      </c>
      <c r="F3709">
        <v>334</v>
      </c>
      <c r="G3709">
        <v>0</v>
      </c>
      <c r="H3709">
        <v>18368</v>
      </c>
      <c r="I3709">
        <v>3</v>
      </c>
      <c r="J3709">
        <v>33</v>
      </c>
      <c r="K3709">
        <v>283</v>
      </c>
      <c r="L3709">
        <v>286</v>
      </c>
      <c r="M3709">
        <v>12.4</v>
      </c>
      <c r="N3709">
        <f>IFERROR(VLOOKUP(A3709,vlookup_table!$A:$G,2,FALSE),"")</f>
        <v>0</v>
      </c>
      <c r="O3709">
        <f>IFERROR(VLOOKUP(A3709,vlookup_table!$A:$G,4,FALSE),"")</f>
        <v>2307</v>
      </c>
      <c r="P3709" t="str">
        <f>IFERROR(VLOOKUP(A3709,vlookup_table!$A:$G,5,FALSE),"")</f>
        <v>T2</v>
      </c>
      <c r="Q3709">
        <f>IFERROR(VLOOKUP(A3709,vlookup_table!$A:$G,7,FALSE),"")</f>
        <v>20</v>
      </c>
      <c r="R3709">
        <f t="shared" si="228"/>
        <v>74</v>
      </c>
      <c r="S3709" t="str" cm="1">
        <f t="array" ref="S3709">IF(P3709="","",_xlfn.SWITCH(LEFT(P3709,1),"C","Ciudad","T","Pueblo","R","Rural","S","Suburbano","U","Urbano",""))</f>
        <v>Pueblo</v>
      </c>
      <c r="T3709" t="str">
        <f t="shared" si="229"/>
        <v>F</v>
      </c>
      <c r="U3709" t="str">
        <f t="shared" si="230"/>
        <v>SC</v>
      </c>
      <c r="V3709" t="str">
        <f t="shared" si="231"/>
        <v>18368</v>
      </c>
    </row>
    <row r="3710" spans="1:22" x14ac:dyDescent="0.35">
      <c r="A3710" s="3">
        <v>147855</v>
      </c>
      <c r="B3710" t="s">
        <v>22</v>
      </c>
      <c r="C3710" t="s">
        <v>14</v>
      </c>
      <c r="D3710">
        <v>4548</v>
      </c>
      <c r="E3710">
        <v>786</v>
      </c>
      <c r="F3710">
        <v>878</v>
      </c>
      <c r="G3710">
        <v>96</v>
      </c>
      <c r="H3710">
        <v>33442</v>
      </c>
      <c r="I3710">
        <v>28</v>
      </c>
      <c r="J3710">
        <v>40</v>
      </c>
      <c r="K3710">
        <v>848</v>
      </c>
      <c r="L3710">
        <v>831</v>
      </c>
      <c r="M3710">
        <v>10</v>
      </c>
      <c r="N3710">
        <f>IFERROR(VLOOKUP(A3710,vlookup_table!$A:$G,2,FALSE),"")</f>
        <v>2</v>
      </c>
      <c r="O3710">
        <f>IFERROR(VLOOKUP(A3710,vlookup_table!$A:$G,4,FALSE),"")</f>
        <v>1707</v>
      </c>
      <c r="P3710" t="str">
        <f>IFERROR(VLOOKUP(A3710,vlookup_table!$A:$G,5,FALSE),"")</f>
        <v>S1</v>
      </c>
      <c r="Q3710">
        <f>IFERROR(VLOOKUP(A3710,vlookup_table!$A:$G,7,FALSE),"")</f>
        <v>15</v>
      </c>
      <c r="R3710">
        <f t="shared" si="228"/>
        <v>80</v>
      </c>
      <c r="S3710" t="str" cm="1">
        <f t="array" ref="S3710">IF(P3710="","",_xlfn.SWITCH(LEFT(P3710,1),"C","Ciudad","T","Pueblo","R","Rural","S","Suburbano","U","Urbano",""))</f>
        <v>Suburbano</v>
      </c>
      <c r="T3710" t="str">
        <f t="shared" si="229"/>
        <v>M</v>
      </c>
      <c r="U3710" t="str">
        <f t="shared" si="230"/>
        <v>CA</v>
      </c>
      <c r="V3710" t="str">
        <f t="shared" si="231"/>
        <v>33442</v>
      </c>
    </row>
    <row r="3711" spans="1:22" x14ac:dyDescent="0.35">
      <c r="A3711" s="3">
        <v>73144</v>
      </c>
      <c r="B3711" t="s">
        <v>29</v>
      </c>
      <c r="C3711" t="s">
        <v>17</v>
      </c>
      <c r="D3711">
        <v>690</v>
      </c>
      <c r="E3711">
        <v>304</v>
      </c>
      <c r="F3711">
        <v>383</v>
      </c>
      <c r="G3711">
        <v>1</v>
      </c>
      <c r="H3711">
        <v>12933</v>
      </c>
      <c r="I3711">
        <v>2</v>
      </c>
      <c r="J3711">
        <v>81</v>
      </c>
      <c r="K3711">
        <v>334</v>
      </c>
      <c r="L3711">
        <v>353</v>
      </c>
      <c r="M3711">
        <v>22.222222219999999</v>
      </c>
      <c r="N3711">
        <f>IFERROR(VLOOKUP(A3711,vlookup_table!$A:$G,2,FALSE),"")</f>
        <v>2</v>
      </c>
      <c r="O3711">
        <f>IFERROR(VLOOKUP(A3711,vlookup_table!$A:$G,4,FALSE),"")</f>
        <v>2312</v>
      </c>
      <c r="P3711" t="str">
        <f>IFERROR(VLOOKUP(A3711,vlookup_table!$A:$G,5,FALSE),"")</f>
        <v>T2</v>
      </c>
      <c r="Q3711">
        <f>IFERROR(VLOOKUP(A3711,vlookup_table!$A:$G,7,FALSE),"")</f>
        <v>25</v>
      </c>
      <c r="R3711">
        <f t="shared" si="228"/>
        <v>74</v>
      </c>
      <c r="S3711" t="str" cm="1">
        <f t="array" ref="S3711">IF(P3711="","",_xlfn.SWITCH(LEFT(P3711,1),"C","Ciudad","T","Pueblo","R","Rural","S","Suburbano","U","Urbano",""))</f>
        <v>Pueblo</v>
      </c>
      <c r="T3711" t="str">
        <f t="shared" si="229"/>
        <v>F</v>
      </c>
      <c r="U3711" t="str">
        <f t="shared" si="230"/>
        <v>MI</v>
      </c>
      <c r="V3711" t="str">
        <f t="shared" si="231"/>
        <v>12933</v>
      </c>
    </row>
    <row r="3712" spans="1:22" x14ac:dyDescent="0.35">
      <c r="A3712" s="3">
        <v>83220</v>
      </c>
      <c r="B3712" t="s">
        <v>56</v>
      </c>
      <c r="C3712" t="s">
        <v>17</v>
      </c>
      <c r="D3712">
        <v>391</v>
      </c>
      <c r="E3712">
        <v>280</v>
      </c>
      <c r="F3712">
        <v>375</v>
      </c>
      <c r="G3712">
        <v>0</v>
      </c>
      <c r="H3712">
        <v>12693</v>
      </c>
      <c r="I3712">
        <v>0</v>
      </c>
      <c r="J3712">
        <v>89</v>
      </c>
      <c r="K3712">
        <v>323</v>
      </c>
      <c r="L3712">
        <v>326</v>
      </c>
      <c r="M3712">
        <v>15</v>
      </c>
      <c r="N3712">
        <f>IFERROR(VLOOKUP(A3712,vlookup_table!$A:$G,2,FALSE),"")</f>
        <v>28</v>
      </c>
      <c r="O3712">
        <f>IFERROR(VLOOKUP(A3712,vlookup_table!$A:$G,4,FALSE),"")</f>
        <v>5401</v>
      </c>
      <c r="P3712" t="str">
        <f>IFERROR(VLOOKUP(A3712,vlookup_table!$A:$G,5,FALSE),"")</f>
        <v>R2</v>
      </c>
      <c r="Q3712">
        <f>IFERROR(VLOOKUP(A3712,vlookup_table!$A:$G,7,FALSE),"")</f>
        <v>5</v>
      </c>
      <c r="R3712">
        <f t="shared" si="228"/>
        <v>43</v>
      </c>
      <c r="S3712" t="str" cm="1">
        <f t="array" ref="S3712">IF(P3712="","",_xlfn.SWITCH(LEFT(P3712,1),"C","Ciudad","T","Pueblo","R","Rural","S","Suburbano","U","Urbano",""))</f>
        <v>Rural</v>
      </c>
      <c r="T3712" t="str">
        <f t="shared" si="229"/>
        <v>F</v>
      </c>
      <c r="U3712" t="str">
        <f t="shared" si="230"/>
        <v>MN</v>
      </c>
      <c r="V3712" t="str">
        <f t="shared" si="231"/>
        <v>12693</v>
      </c>
    </row>
    <row r="3713" spans="1:22" x14ac:dyDescent="0.35">
      <c r="A3713" s="3">
        <v>17921</v>
      </c>
      <c r="B3713" t="s">
        <v>18</v>
      </c>
      <c r="C3713" t="s">
        <v>17</v>
      </c>
      <c r="D3713">
        <v>732</v>
      </c>
      <c r="E3713">
        <v>347</v>
      </c>
      <c r="F3713">
        <v>462</v>
      </c>
      <c r="G3713">
        <v>0</v>
      </c>
      <c r="H3713">
        <v>17541</v>
      </c>
      <c r="I3713">
        <v>4</v>
      </c>
      <c r="J3713">
        <v>75</v>
      </c>
      <c r="K3713">
        <v>414</v>
      </c>
      <c r="L3713">
        <v>400</v>
      </c>
      <c r="M3713">
        <v>7.2857142860000002</v>
      </c>
      <c r="N3713">
        <f>IFERROR(VLOOKUP(A3713,vlookup_table!$A:$G,2,FALSE),"")</f>
        <v>28</v>
      </c>
      <c r="O3713">
        <f>IFERROR(VLOOKUP(A3713,vlookup_table!$A:$G,4,FALSE),"")</f>
        <v>2801</v>
      </c>
      <c r="P3713" t="str">
        <f>IFERROR(VLOOKUP(A3713,vlookup_table!$A:$G,5,FALSE),"")</f>
        <v>C2</v>
      </c>
      <c r="Q3713">
        <f>IFERROR(VLOOKUP(A3713,vlookup_table!$A:$G,7,FALSE),"")</f>
        <v>8</v>
      </c>
      <c r="R3713">
        <f t="shared" si="228"/>
        <v>69</v>
      </c>
      <c r="S3713" t="str" cm="1">
        <f t="array" ref="S3713">IF(P3713="","",_xlfn.SWITCH(LEFT(P3713,1),"C","Ciudad","T","Pueblo","R","Rural","S","Suburbano","U","Urbano",""))</f>
        <v>Ciudad</v>
      </c>
      <c r="T3713" t="str">
        <f t="shared" si="229"/>
        <v>F</v>
      </c>
      <c r="U3713" t="str">
        <f t="shared" si="230"/>
        <v>NC</v>
      </c>
      <c r="V3713" t="str">
        <f t="shared" si="231"/>
        <v>17541</v>
      </c>
    </row>
    <row r="3714" spans="1:22" x14ac:dyDescent="0.35">
      <c r="A3714" s="3">
        <v>184237</v>
      </c>
      <c r="B3714" t="s">
        <v>40</v>
      </c>
      <c r="C3714" t="s">
        <v>51</v>
      </c>
      <c r="D3714">
        <v>976</v>
      </c>
      <c r="E3714">
        <v>479</v>
      </c>
      <c r="F3714">
        <v>571</v>
      </c>
      <c r="G3714">
        <v>8</v>
      </c>
      <c r="H3714">
        <v>20488</v>
      </c>
      <c r="I3714">
        <v>2</v>
      </c>
      <c r="J3714">
        <v>47</v>
      </c>
      <c r="K3714">
        <v>515</v>
      </c>
      <c r="L3714">
        <v>536</v>
      </c>
      <c r="M3714">
        <v>8.1111111109999996</v>
      </c>
      <c r="N3714">
        <f>IFERROR(VLOOKUP(A3714,vlookup_table!$A:$G,2,FALSE),"")</f>
        <v>0</v>
      </c>
      <c r="O3714">
        <f>IFERROR(VLOOKUP(A3714,vlookup_table!$A:$G,4,FALSE),"")</f>
        <v>6201</v>
      </c>
      <c r="P3714" t="str">
        <f>IFERROR(VLOOKUP(A3714,vlookup_table!$A:$G,5,FALSE),"")</f>
        <v>S1</v>
      </c>
      <c r="Q3714">
        <f>IFERROR(VLOOKUP(A3714,vlookup_table!$A:$G,7,FALSE),"")</f>
        <v>14</v>
      </c>
      <c r="R3714">
        <f t="shared" ref="R3714:R3777" si="232">IF(O3714="","",97-INT(O3714/100))</f>
        <v>35</v>
      </c>
      <c r="S3714" t="str" cm="1">
        <f t="array" ref="S3714">IF(P3714="","",_xlfn.SWITCH(LEFT(P3714,1),"C","Ciudad","T","Pueblo","R","Rural","S","Suburbano","U","Urbano",""))</f>
        <v>Suburbano</v>
      </c>
      <c r="T3714" t="str">
        <f t="shared" ref="T3714:T3777" si="233">IF(C3714="","",IF(OR(UPPER(C3714)="M",UPPER(C3714)="MALE"),"M",IF(OR(UPPER(C3714)="F",UPPER(C3714)="FEMALE",UPPER(C3714)="FEAMALE"),"F",C3714)))</f>
        <v>M</v>
      </c>
      <c r="U3714" t="str">
        <f t="shared" ref="U3714:U3777" si="234">IF(OR(UPPER(B3714)="CALIFORNIA",UPPER(B3714)="CALI"),"CA",B3714)</f>
        <v>WA</v>
      </c>
      <c r="V3714" t="str">
        <f t="shared" ref="V3714:V3777" si="235">SUBSTITUTE(H3714,"@","")</f>
        <v>20488</v>
      </c>
    </row>
    <row r="3715" spans="1:22" x14ac:dyDescent="0.35">
      <c r="A3715" s="3">
        <v>132179</v>
      </c>
      <c r="B3715" t="s">
        <v>48</v>
      </c>
      <c r="C3715" t="s">
        <v>17</v>
      </c>
      <c r="D3715">
        <v>728</v>
      </c>
      <c r="E3715">
        <v>306</v>
      </c>
      <c r="F3715">
        <v>330</v>
      </c>
      <c r="G3715">
        <v>1</v>
      </c>
      <c r="H3715">
        <v>10468</v>
      </c>
      <c r="I3715">
        <v>0</v>
      </c>
      <c r="J3715">
        <v>50</v>
      </c>
      <c r="K3715">
        <v>335</v>
      </c>
      <c r="L3715">
        <v>297</v>
      </c>
      <c r="M3715">
        <v>11.222222220000001</v>
      </c>
      <c r="N3715">
        <f>IFERROR(VLOOKUP(A3715,vlookup_table!$A:$G,2,FALSE),"")</f>
        <v>0</v>
      </c>
      <c r="O3715">
        <f>IFERROR(VLOOKUP(A3715,vlookup_table!$A:$G,4,FALSE),"")</f>
        <v>0</v>
      </c>
      <c r="P3715" t="str">
        <f>IFERROR(VLOOKUP(A3715,vlookup_table!$A:$G,5,FALSE),"")</f>
        <v>R2</v>
      </c>
      <c r="Q3715">
        <f>IFERROR(VLOOKUP(A3715,vlookup_table!$A:$G,7,FALSE),"")</f>
        <v>14</v>
      </c>
      <c r="R3715">
        <f t="shared" si="232"/>
        <v>97</v>
      </c>
      <c r="S3715" t="str" cm="1">
        <f t="array" ref="S3715">IF(P3715="","",_xlfn.SWITCH(LEFT(P3715,1),"C","Ciudad","T","Pueblo","R","Rural","S","Suburbano","U","Urbano",""))</f>
        <v>Rural</v>
      </c>
      <c r="T3715" t="str">
        <f t="shared" si="233"/>
        <v>F</v>
      </c>
      <c r="U3715" t="str">
        <f t="shared" si="234"/>
        <v>CO</v>
      </c>
      <c r="V3715" t="str">
        <f t="shared" si="235"/>
        <v>10468</v>
      </c>
    </row>
    <row r="3716" spans="1:22" x14ac:dyDescent="0.35">
      <c r="A3716" s="3">
        <v>117922</v>
      </c>
      <c r="B3716" t="s">
        <v>21</v>
      </c>
      <c r="C3716" t="s">
        <v>14</v>
      </c>
      <c r="D3716">
        <v>376</v>
      </c>
      <c r="E3716">
        <v>179</v>
      </c>
      <c r="F3716">
        <v>287</v>
      </c>
      <c r="G3716">
        <v>1</v>
      </c>
      <c r="H3716">
        <v>10225</v>
      </c>
      <c r="I3716">
        <v>0</v>
      </c>
      <c r="J3716">
        <v>76</v>
      </c>
      <c r="K3716">
        <v>234</v>
      </c>
      <c r="L3716">
        <v>234</v>
      </c>
      <c r="M3716">
        <v>8.0850000000000009</v>
      </c>
      <c r="N3716">
        <f>IFERROR(VLOOKUP(A3716,vlookup_table!$A:$G,2,FALSE),"")</f>
        <v>1</v>
      </c>
      <c r="O3716">
        <f>IFERROR(VLOOKUP(A3716,vlookup_table!$A:$G,4,FALSE),"")</f>
        <v>2307</v>
      </c>
      <c r="P3716" t="str">
        <f>IFERROR(VLOOKUP(A3716,vlookup_table!$A:$G,5,FALSE),"")</f>
        <v>R2</v>
      </c>
      <c r="Q3716">
        <f>IFERROR(VLOOKUP(A3716,vlookup_table!$A:$G,7,FALSE),"")</f>
        <v>15</v>
      </c>
      <c r="R3716">
        <f t="shared" si="232"/>
        <v>74</v>
      </c>
      <c r="S3716" t="str" cm="1">
        <f t="array" ref="S3716">IF(P3716="","",_xlfn.SWITCH(LEFT(P3716,1),"C","Ciudad","T","Pueblo","R","Rural","S","Suburbano","U","Urbano",""))</f>
        <v>Rural</v>
      </c>
      <c r="T3716" t="str">
        <f t="shared" si="233"/>
        <v>M</v>
      </c>
      <c r="U3716" t="str">
        <f t="shared" si="234"/>
        <v>TX</v>
      </c>
      <c r="V3716" t="str">
        <f t="shared" si="235"/>
        <v>10225</v>
      </c>
    </row>
    <row r="3717" spans="1:22" x14ac:dyDescent="0.35">
      <c r="A3717" s="3">
        <v>76851</v>
      </c>
      <c r="B3717" t="s">
        <v>47</v>
      </c>
      <c r="C3717" t="s">
        <v>14</v>
      </c>
      <c r="D3717">
        <v>466</v>
      </c>
      <c r="E3717">
        <v>224</v>
      </c>
      <c r="F3717">
        <v>311</v>
      </c>
      <c r="G3717">
        <v>0</v>
      </c>
      <c r="H3717">
        <v>11257</v>
      </c>
      <c r="I3717">
        <v>0</v>
      </c>
      <c r="J3717">
        <v>84</v>
      </c>
      <c r="K3717">
        <v>266</v>
      </c>
      <c r="L3717">
        <v>258</v>
      </c>
      <c r="M3717">
        <v>16.25</v>
      </c>
      <c r="N3717">
        <f>IFERROR(VLOOKUP(A3717,vlookup_table!$A:$G,2,FALSE),"")</f>
        <v>2</v>
      </c>
      <c r="O3717">
        <f>IFERROR(VLOOKUP(A3717,vlookup_table!$A:$G,4,FALSE),"")</f>
        <v>1501</v>
      </c>
      <c r="P3717" t="str">
        <f>IFERROR(VLOOKUP(A3717,vlookup_table!$A:$G,5,FALSE),"")</f>
        <v>R2</v>
      </c>
      <c r="Q3717">
        <f>IFERROR(VLOOKUP(A3717,vlookup_table!$A:$G,7,FALSE),"")</f>
        <v>20</v>
      </c>
      <c r="R3717">
        <f t="shared" si="232"/>
        <v>82</v>
      </c>
      <c r="S3717" t="str" cm="1">
        <f t="array" ref="S3717">IF(P3717="","",_xlfn.SWITCH(LEFT(P3717,1),"C","Ciudad","T","Pueblo","R","Rural","S","Suburbano","U","Urbano",""))</f>
        <v>Rural</v>
      </c>
      <c r="T3717" t="str">
        <f t="shared" si="233"/>
        <v>M</v>
      </c>
      <c r="U3717" t="str">
        <f t="shared" si="234"/>
        <v>IA</v>
      </c>
      <c r="V3717" t="str">
        <f t="shared" si="235"/>
        <v>11257</v>
      </c>
    </row>
    <row r="3718" spans="1:22" x14ac:dyDescent="0.35">
      <c r="A3718" s="3">
        <v>38098</v>
      </c>
      <c r="B3718" t="s">
        <v>13</v>
      </c>
      <c r="C3718" t="s">
        <v>17</v>
      </c>
      <c r="D3718">
        <v>1657</v>
      </c>
      <c r="E3718">
        <v>264</v>
      </c>
      <c r="F3718">
        <v>491</v>
      </c>
      <c r="G3718">
        <v>45</v>
      </c>
      <c r="H3718">
        <v>23026</v>
      </c>
      <c r="I3718">
        <v>29</v>
      </c>
      <c r="J3718">
        <v>13</v>
      </c>
      <c r="K3718">
        <v>360</v>
      </c>
      <c r="L3718">
        <v>388</v>
      </c>
      <c r="M3718">
        <v>4.0999999999999996</v>
      </c>
      <c r="N3718">
        <f>IFERROR(VLOOKUP(A3718,vlookup_table!$A:$G,2,FALSE),"")</f>
        <v>0</v>
      </c>
      <c r="O3718">
        <f>IFERROR(VLOOKUP(A3718,vlookup_table!$A:$G,4,FALSE),"")</f>
        <v>2701</v>
      </c>
      <c r="P3718" t="str">
        <f>IFERROR(VLOOKUP(A3718,vlookup_table!$A:$G,5,FALSE),"")</f>
        <v>U2</v>
      </c>
      <c r="Q3718">
        <f>IFERROR(VLOOKUP(A3718,vlookup_table!$A:$G,7,FALSE),"")</f>
        <v>3</v>
      </c>
      <c r="R3718">
        <f t="shared" si="232"/>
        <v>70</v>
      </c>
      <c r="S3718" t="str" cm="1">
        <f t="array" ref="S3718">IF(P3718="","",_xlfn.SWITCH(LEFT(P3718,1),"C","Ciudad","T","Pueblo","R","Rural","S","Suburbano","U","Urbano",""))</f>
        <v>Urbano</v>
      </c>
      <c r="T3718" t="str">
        <f t="shared" si="233"/>
        <v>F</v>
      </c>
      <c r="U3718" t="str">
        <f t="shared" si="234"/>
        <v>FL</v>
      </c>
      <c r="V3718" t="str">
        <f t="shared" si="235"/>
        <v>23026</v>
      </c>
    </row>
    <row r="3719" spans="1:22" x14ac:dyDescent="0.35">
      <c r="A3719" s="3">
        <v>138173</v>
      </c>
      <c r="B3719" t="s">
        <v>55</v>
      </c>
      <c r="C3719" t="s">
        <v>60</v>
      </c>
      <c r="D3719">
        <v>785</v>
      </c>
      <c r="E3719">
        <v>390</v>
      </c>
      <c r="F3719">
        <v>530</v>
      </c>
      <c r="G3719">
        <v>7</v>
      </c>
      <c r="H3719">
        <v>20699</v>
      </c>
      <c r="I3719">
        <v>8</v>
      </c>
      <c r="J3719">
        <v>24</v>
      </c>
      <c r="K3719">
        <v>487</v>
      </c>
      <c r="L3719">
        <v>465</v>
      </c>
      <c r="M3719">
        <v>9.4</v>
      </c>
      <c r="N3719">
        <f>IFERROR(VLOOKUP(A3719,vlookup_table!$A:$G,2,FALSE),"")</f>
        <v>28</v>
      </c>
      <c r="O3719">
        <f>IFERROR(VLOOKUP(A3719,vlookup_table!$A:$G,4,FALSE),"")</f>
        <v>5401</v>
      </c>
      <c r="P3719" t="str">
        <f>IFERROR(VLOOKUP(A3719,vlookup_table!$A:$G,5,FALSE),"")</f>
        <v>S1</v>
      </c>
      <c r="Q3719">
        <f>IFERROR(VLOOKUP(A3719,vlookup_table!$A:$G,7,FALSE),"")</f>
        <v>10</v>
      </c>
      <c r="R3719">
        <f t="shared" si="232"/>
        <v>43</v>
      </c>
      <c r="S3719" t="str" cm="1">
        <f t="array" ref="S3719">IF(P3719="","",_xlfn.SWITCH(LEFT(P3719,1),"C","Ciudad","T","Pueblo","R","Rural","S","Suburbano","U","Urbano",""))</f>
        <v>Suburbano</v>
      </c>
      <c r="T3719" t="str">
        <f t="shared" si="233"/>
        <v>F</v>
      </c>
      <c r="U3719" t="str">
        <f t="shared" si="234"/>
        <v>AZ</v>
      </c>
      <c r="V3719" t="str">
        <f t="shared" si="235"/>
        <v>20699</v>
      </c>
    </row>
    <row r="3720" spans="1:22" x14ac:dyDescent="0.35">
      <c r="A3720" s="3">
        <v>161760</v>
      </c>
      <c r="B3720" t="s">
        <v>22</v>
      </c>
      <c r="C3720" t="s">
        <v>17</v>
      </c>
      <c r="D3720">
        <v>4058</v>
      </c>
      <c r="E3720">
        <v>578</v>
      </c>
      <c r="F3720">
        <v>797</v>
      </c>
      <c r="G3720">
        <v>92</v>
      </c>
      <c r="H3720">
        <v>37190</v>
      </c>
      <c r="I3720">
        <v>10</v>
      </c>
      <c r="J3720">
        <v>38</v>
      </c>
      <c r="K3720">
        <v>701</v>
      </c>
      <c r="L3720">
        <v>671</v>
      </c>
      <c r="M3720">
        <v>35</v>
      </c>
      <c r="N3720">
        <f>IFERROR(VLOOKUP(A3720,vlookup_table!$A:$G,2,FALSE),"")</f>
        <v>0</v>
      </c>
      <c r="O3720">
        <f>IFERROR(VLOOKUP(A3720,vlookup_table!$A:$G,4,FALSE),"")</f>
        <v>0</v>
      </c>
      <c r="P3720" t="str">
        <f>IFERROR(VLOOKUP(A3720,vlookup_table!$A:$G,5,FALSE),"")</f>
        <v>T3</v>
      </c>
      <c r="Q3720">
        <f>IFERROR(VLOOKUP(A3720,vlookup_table!$A:$G,7,FALSE),"")</f>
        <v>35</v>
      </c>
      <c r="R3720">
        <f t="shared" si="232"/>
        <v>97</v>
      </c>
      <c r="S3720" t="str" cm="1">
        <f t="array" ref="S3720">IF(P3720="","",_xlfn.SWITCH(LEFT(P3720,1),"C","Ciudad","T","Pueblo","R","Rural","S","Suburbano","U","Urbano",""))</f>
        <v>Pueblo</v>
      </c>
      <c r="T3720" t="str">
        <f t="shared" si="233"/>
        <v>F</v>
      </c>
      <c r="U3720" t="str">
        <f t="shared" si="234"/>
        <v>CA</v>
      </c>
      <c r="V3720" t="str">
        <f t="shared" si="235"/>
        <v>37190</v>
      </c>
    </row>
    <row r="3721" spans="1:22" x14ac:dyDescent="0.35">
      <c r="A3721" s="3">
        <v>94884</v>
      </c>
      <c r="B3721" t="s">
        <v>16</v>
      </c>
      <c r="C3721" t="s">
        <v>14</v>
      </c>
      <c r="D3721">
        <v>927</v>
      </c>
      <c r="E3721">
        <v>388</v>
      </c>
      <c r="F3721">
        <v>431</v>
      </c>
      <c r="G3721">
        <v>0</v>
      </c>
      <c r="H3721">
        <v>15328</v>
      </c>
      <c r="I3721">
        <v>4</v>
      </c>
      <c r="J3721">
        <v>88</v>
      </c>
      <c r="K3721">
        <v>464</v>
      </c>
      <c r="L3721">
        <v>391</v>
      </c>
      <c r="M3721">
        <v>30</v>
      </c>
      <c r="N3721">
        <f>IFERROR(VLOOKUP(A3721,vlookup_table!$A:$G,2,FALSE),"")</f>
        <v>0</v>
      </c>
      <c r="O3721">
        <f>IFERROR(VLOOKUP(A3721,vlookup_table!$A:$G,4,FALSE),"")</f>
        <v>4310</v>
      </c>
      <c r="P3721" t="str">
        <f>IFERROR(VLOOKUP(A3721,vlookup_table!$A:$G,5,FALSE),"")</f>
        <v>S2</v>
      </c>
      <c r="Q3721">
        <f>IFERROR(VLOOKUP(A3721,vlookup_table!$A:$G,7,FALSE),"")</f>
        <v>40</v>
      </c>
      <c r="R3721">
        <f t="shared" si="232"/>
        <v>54</v>
      </c>
      <c r="S3721" t="str" cm="1">
        <f t="array" ref="S3721">IF(P3721="","",_xlfn.SWITCH(LEFT(P3721,1),"C","Ciudad","T","Pueblo","R","Rural","S","Suburbano","U","Urbano",""))</f>
        <v>Suburbano</v>
      </c>
      <c r="T3721" t="str">
        <f t="shared" si="233"/>
        <v>M</v>
      </c>
      <c r="U3721" t="str">
        <f t="shared" si="234"/>
        <v>IL</v>
      </c>
      <c r="V3721" t="str">
        <f t="shared" si="235"/>
        <v>15328</v>
      </c>
    </row>
    <row r="3722" spans="1:22" x14ac:dyDescent="0.35">
      <c r="A3722" s="3">
        <v>162820</v>
      </c>
      <c r="B3722" t="s">
        <v>22</v>
      </c>
      <c r="C3722" t="s">
        <v>14</v>
      </c>
      <c r="D3722">
        <v>3365</v>
      </c>
      <c r="E3722">
        <v>544</v>
      </c>
      <c r="F3722">
        <v>621</v>
      </c>
      <c r="G3722">
        <v>94</v>
      </c>
      <c r="H3722">
        <v>27608</v>
      </c>
      <c r="I3722">
        <v>8</v>
      </c>
      <c r="J3722">
        <v>59</v>
      </c>
      <c r="K3722">
        <v>525</v>
      </c>
      <c r="L3722">
        <v>655</v>
      </c>
      <c r="M3722">
        <v>17.5</v>
      </c>
      <c r="N3722">
        <f>IFERROR(VLOOKUP(A3722,vlookup_table!$A:$G,2,FALSE),"")</f>
        <v>1</v>
      </c>
      <c r="O3722">
        <f>IFERROR(VLOOKUP(A3722,vlookup_table!$A:$G,4,FALSE),"")</f>
        <v>5701</v>
      </c>
      <c r="P3722" t="str">
        <f>IFERROR(VLOOKUP(A3722,vlookup_table!$A:$G,5,FALSE),"")</f>
        <v>U1</v>
      </c>
      <c r="Q3722">
        <f>IFERROR(VLOOKUP(A3722,vlookup_table!$A:$G,7,FALSE),"")</f>
        <v>25</v>
      </c>
      <c r="R3722">
        <f t="shared" si="232"/>
        <v>40</v>
      </c>
      <c r="S3722" t="str" cm="1">
        <f t="array" ref="S3722">IF(P3722="","",_xlfn.SWITCH(LEFT(P3722,1),"C","Ciudad","T","Pueblo","R","Rural","S","Suburbano","U","Urbano",""))</f>
        <v>Urbano</v>
      </c>
      <c r="T3722" t="str">
        <f t="shared" si="233"/>
        <v>M</v>
      </c>
      <c r="U3722" t="str">
        <f t="shared" si="234"/>
        <v>CA</v>
      </c>
      <c r="V3722" t="str">
        <f t="shared" si="235"/>
        <v>27608</v>
      </c>
    </row>
    <row r="3723" spans="1:22" x14ac:dyDescent="0.35">
      <c r="A3723" s="3">
        <v>156437</v>
      </c>
      <c r="B3723" t="s">
        <v>22</v>
      </c>
      <c r="C3723" t="s">
        <v>14</v>
      </c>
      <c r="D3723">
        <v>2130</v>
      </c>
      <c r="E3723">
        <v>315</v>
      </c>
      <c r="F3723">
        <v>380</v>
      </c>
      <c r="G3723">
        <v>63</v>
      </c>
      <c r="H3723">
        <v>11583</v>
      </c>
      <c r="I3723">
        <v>40</v>
      </c>
      <c r="J3723">
        <v>35</v>
      </c>
      <c r="K3723">
        <v>309</v>
      </c>
      <c r="L3723">
        <v>380</v>
      </c>
      <c r="M3723">
        <v>15</v>
      </c>
      <c r="N3723">
        <f>IFERROR(VLOOKUP(A3723,vlookup_table!$A:$G,2,FALSE),"")</f>
        <v>0</v>
      </c>
      <c r="O3723">
        <f>IFERROR(VLOOKUP(A3723,vlookup_table!$A:$G,4,FALSE),"")</f>
        <v>3401</v>
      </c>
      <c r="P3723" t="str">
        <f>IFERROR(VLOOKUP(A3723,vlookup_table!$A:$G,5,FALSE),"")</f>
        <v>U2</v>
      </c>
      <c r="Q3723">
        <f>IFERROR(VLOOKUP(A3723,vlookup_table!$A:$G,7,FALSE),"")</f>
        <v>27</v>
      </c>
      <c r="R3723">
        <f t="shared" si="232"/>
        <v>63</v>
      </c>
      <c r="S3723" t="str" cm="1">
        <f t="array" ref="S3723">IF(P3723="","",_xlfn.SWITCH(LEFT(P3723,1),"C","Ciudad","T","Pueblo","R","Rural","S","Suburbano","U","Urbano",""))</f>
        <v>Urbano</v>
      </c>
      <c r="T3723" t="str">
        <f t="shared" si="233"/>
        <v>M</v>
      </c>
      <c r="U3723" t="str">
        <f t="shared" si="234"/>
        <v>CA</v>
      </c>
      <c r="V3723" t="str">
        <f t="shared" si="235"/>
        <v>11583</v>
      </c>
    </row>
    <row r="3724" spans="1:22" x14ac:dyDescent="0.35">
      <c r="A3724" s="3">
        <v>141645</v>
      </c>
      <c r="B3724" t="s">
        <v>24</v>
      </c>
      <c r="C3724" t="s">
        <v>17</v>
      </c>
      <c r="D3724">
        <v>1446</v>
      </c>
      <c r="E3724">
        <v>509</v>
      </c>
      <c r="F3724">
        <v>556</v>
      </c>
      <c r="G3724">
        <v>14</v>
      </c>
      <c r="H3724">
        <v>22085</v>
      </c>
      <c r="I3724">
        <v>5</v>
      </c>
      <c r="J3724">
        <v>26</v>
      </c>
      <c r="K3724">
        <v>520</v>
      </c>
      <c r="L3724">
        <v>544</v>
      </c>
      <c r="M3724">
        <v>14.8</v>
      </c>
      <c r="N3724">
        <f>IFERROR(VLOOKUP(A3724,vlookup_table!$A:$G,2,FALSE),"")</f>
        <v>0</v>
      </c>
      <c r="O3724">
        <f>IFERROR(VLOOKUP(A3724,vlookup_table!$A:$G,4,FALSE),"")</f>
        <v>0</v>
      </c>
      <c r="P3724" t="str">
        <f>IFERROR(VLOOKUP(A3724,vlookup_table!$A:$G,5,FALSE),"")</f>
        <v>S1</v>
      </c>
      <c r="Q3724">
        <f>IFERROR(VLOOKUP(A3724,vlookup_table!$A:$G,7,FALSE),"")</f>
        <v>35</v>
      </c>
      <c r="R3724">
        <f t="shared" si="232"/>
        <v>97</v>
      </c>
      <c r="S3724" t="str" cm="1">
        <f t="array" ref="S3724">IF(P3724="","",_xlfn.SWITCH(LEFT(P3724,1),"C","Ciudad","T","Pueblo","R","Rural","S","Suburbano","U","Urbano",""))</f>
        <v>Suburbano</v>
      </c>
      <c r="T3724" t="str">
        <f t="shared" si="233"/>
        <v>F</v>
      </c>
      <c r="U3724" t="str">
        <f t="shared" si="234"/>
        <v>NV</v>
      </c>
      <c r="V3724" t="str">
        <f t="shared" si="235"/>
        <v>22085</v>
      </c>
    </row>
    <row r="3725" spans="1:22" x14ac:dyDescent="0.35">
      <c r="A3725" s="3">
        <v>152494</v>
      </c>
      <c r="B3725" t="s">
        <v>22</v>
      </c>
      <c r="C3725" t="s">
        <v>14</v>
      </c>
      <c r="D3725">
        <v>2278</v>
      </c>
      <c r="E3725">
        <v>525</v>
      </c>
      <c r="F3725">
        <v>589</v>
      </c>
      <c r="G3725">
        <v>65</v>
      </c>
      <c r="H3725">
        <v>18780</v>
      </c>
      <c r="I3725">
        <v>1</v>
      </c>
      <c r="J3725">
        <v>55</v>
      </c>
      <c r="K3725">
        <v>604</v>
      </c>
      <c r="L3725">
        <v>571</v>
      </c>
      <c r="M3725">
        <v>15.55555556</v>
      </c>
      <c r="N3725">
        <f>IFERROR(VLOOKUP(A3725,vlookup_table!$A:$G,2,FALSE),"")</f>
        <v>0</v>
      </c>
      <c r="O3725">
        <f>IFERROR(VLOOKUP(A3725,vlookup_table!$A:$G,4,FALSE),"")</f>
        <v>2205</v>
      </c>
      <c r="P3725" t="str">
        <f>IFERROR(VLOOKUP(A3725,vlookup_table!$A:$G,5,FALSE),"")</f>
        <v>S1</v>
      </c>
      <c r="Q3725">
        <f>IFERROR(VLOOKUP(A3725,vlookup_table!$A:$G,7,FALSE),"")</f>
        <v>5</v>
      </c>
      <c r="R3725">
        <f t="shared" si="232"/>
        <v>75</v>
      </c>
      <c r="S3725" t="str" cm="1">
        <f t="array" ref="S3725">IF(P3725="","",_xlfn.SWITCH(LEFT(P3725,1),"C","Ciudad","T","Pueblo","R","Rural","S","Suburbano","U","Urbano",""))</f>
        <v>Suburbano</v>
      </c>
      <c r="T3725" t="str">
        <f t="shared" si="233"/>
        <v>M</v>
      </c>
      <c r="U3725" t="str">
        <f t="shared" si="234"/>
        <v>CA</v>
      </c>
      <c r="V3725" t="str">
        <f t="shared" si="235"/>
        <v>18780</v>
      </c>
    </row>
    <row r="3726" spans="1:22" x14ac:dyDescent="0.35">
      <c r="A3726" s="3">
        <v>188492</v>
      </c>
      <c r="B3726" t="s">
        <v>48</v>
      </c>
      <c r="C3726" t="s">
        <v>17</v>
      </c>
      <c r="D3726">
        <v>493</v>
      </c>
      <c r="E3726">
        <v>220</v>
      </c>
      <c r="F3726">
        <v>324</v>
      </c>
      <c r="G3726">
        <v>0</v>
      </c>
      <c r="H3726">
        <v>12802</v>
      </c>
      <c r="I3726">
        <v>3</v>
      </c>
      <c r="J3726">
        <v>64</v>
      </c>
      <c r="K3726">
        <v>252</v>
      </c>
      <c r="L3726">
        <v>264</v>
      </c>
      <c r="M3726">
        <v>13.3</v>
      </c>
      <c r="N3726">
        <f>IFERROR(VLOOKUP(A3726,vlookup_table!$A:$G,2,FALSE),"")</f>
        <v>2</v>
      </c>
      <c r="O3726">
        <f>IFERROR(VLOOKUP(A3726,vlookup_table!$A:$G,4,FALSE),"")</f>
        <v>1303</v>
      </c>
      <c r="P3726" t="str">
        <f>IFERROR(VLOOKUP(A3726,vlookup_table!$A:$G,5,FALSE),"")</f>
        <v>C2</v>
      </c>
      <c r="Q3726">
        <f>IFERROR(VLOOKUP(A3726,vlookup_table!$A:$G,7,FALSE),"")</f>
        <v>20</v>
      </c>
      <c r="R3726">
        <f t="shared" si="232"/>
        <v>84</v>
      </c>
      <c r="S3726" t="str" cm="1">
        <f t="array" ref="S3726">IF(P3726="","",_xlfn.SWITCH(LEFT(P3726,1),"C","Ciudad","T","Pueblo","R","Rural","S","Suburbano","U","Urbano",""))</f>
        <v>Ciudad</v>
      </c>
      <c r="T3726" t="str">
        <f t="shared" si="233"/>
        <v>F</v>
      </c>
      <c r="U3726" t="str">
        <f t="shared" si="234"/>
        <v>CO</v>
      </c>
      <c r="V3726" t="str">
        <f t="shared" si="235"/>
        <v>12802</v>
      </c>
    </row>
    <row r="3727" spans="1:22" x14ac:dyDescent="0.35">
      <c r="A3727" s="3">
        <v>177824</v>
      </c>
      <c r="B3727" t="s">
        <v>50</v>
      </c>
      <c r="C3727" t="s">
        <v>17</v>
      </c>
      <c r="D3727">
        <v>450</v>
      </c>
      <c r="E3727">
        <v>217</v>
      </c>
      <c r="F3727">
        <v>269</v>
      </c>
      <c r="G3727">
        <v>0</v>
      </c>
      <c r="H3727">
        <v>8816</v>
      </c>
      <c r="I3727">
        <v>7</v>
      </c>
      <c r="J3727">
        <v>53</v>
      </c>
      <c r="K3727">
        <v>208</v>
      </c>
      <c r="L3727">
        <v>270</v>
      </c>
      <c r="M3727">
        <v>7.625</v>
      </c>
      <c r="N3727">
        <f>IFERROR(VLOOKUP(A3727,vlookup_table!$A:$G,2,FALSE),"")</f>
        <v>28</v>
      </c>
      <c r="O3727">
        <f>IFERROR(VLOOKUP(A3727,vlookup_table!$A:$G,4,FALSE),"")</f>
        <v>4201</v>
      </c>
      <c r="P3727" t="str">
        <f>IFERROR(VLOOKUP(A3727,vlookup_table!$A:$G,5,FALSE),"")</f>
        <v>R2</v>
      </c>
      <c r="Q3727">
        <f>IFERROR(VLOOKUP(A3727,vlookup_table!$A:$G,7,FALSE),"")</f>
        <v>9</v>
      </c>
      <c r="R3727">
        <f t="shared" si="232"/>
        <v>55</v>
      </c>
      <c r="S3727" t="str" cm="1">
        <f t="array" ref="S3727">IF(P3727="","",_xlfn.SWITCH(LEFT(P3727,1),"C","Ciudad","T","Pueblo","R","Rural","S","Suburbano","U","Urbano",""))</f>
        <v>Rural</v>
      </c>
      <c r="T3727" t="str">
        <f t="shared" si="233"/>
        <v>F</v>
      </c>
      <c r="U3727" t="str">
        <f t="shared" si="234"/>
        <v>OR</v>
      </c>
      <c r="V3727" t="str">
        <f t="shared" si="235"/>
        <v>8816</v>
      </c>
    </row>
    <row r="3728" spans="1:22" x14ac:dyDescent="0.35">
      <c r="A3728" s="3">
        <v>139030</v>
      </c>
      <c r="B3728" t="s">
        <v>55</v>
      </c>
      <c r="C3728" t="s">
        <v>60</v>
      </c>
      <c r="D3728">
        <v>778</v>
      </c>
      <c r="E3728">
        <v>280</v>
      </c>
      <c r="F3728">
        <v>313</v>
      </c>
      <c r="G3728">
        <v>4</v>
      </c>
      <c r="H3728">
        <v>11652</v>
      </c>
      <c r="I3728">
        <v>3</v>
      </c>
      <c r="J3728">
        <v>12</v>
      </c>
      <c r="K3728">
        <v>298</v>
      </c>
      <c r="L3728">
        <v>290</v>
      </c>
      <c r="M3728">
        <v>6.4285714289999998</v>
      </c>
      <c r="N3728">
        <f>IFERROR(VLOOKUP(A3728,vlookup_table!$A:$G,2,FALSE),"")</f>
        <v>0</v>
      </c>
      <c r="O3728">
        <f>IFERROR(VLOOKUP(A3728,vlookup_table!$A:$G,4,FALSE),"")</f>
        <v>3701</v>
      </c>
      <c r="P3728">
        <f>IFERROR(VLOOKUP(A3728,vlookup_table!$A:$G,5,FALSE),"")</f>
        <v>0</v>
      </c>
      <c r="Q3728">
        <f>IFERROR(VLOOKUP(A3728,vlookup_table!$A:$G,7,FALSE),"")</f>
        <v>5</v>
      </c>
      <c r="R3728">
        <f t="shared" si="232"/>
        <v>60</v>
      </c>
      <c r="S3728" t="str" cm="1">
        <f t="array" ref="S3728">IF(P3728="","",_xlfn.SWITCH(LEFT(P3728,1),"C","Ciudad","T","Pueblo","R","Rural","S","Suburbano","U","Urbano",""))</f>
        <v/>
      </c>
      <c r="T3728" t="str">
        <f t="shared" si="233"/>
        <v>F</v>
      </c>
      <c r="U3728" t="str">
        <f t="shared" si="234"/>
        <v>AZ</v>
      </c>
      <c r="V3728" t="str">
        <f t="shared" si="235"/>
        <v>11652</v>
      </c>
    </row>
    <row r="3729" spans="1:22" x14ac:dyDescent="0.35">
      <c r="A3729" s="3">
        <v>89500</v>
      </c>
      <c r="B3729" t="s">
        <v>55</v>
      </c>
      <c r="C3729" t="s">
        <v>60</v>
      </c>
      <c r="D3729">
        <v>1250</v>
      </c>
      <c r="E3729">
        <v>218</v>
      </c>
      <c r="F3729">
        <v>441</v>
      </c>
      <c r="G3729">
        <v>0</v>
      </c>
      <c r="H3729">
        <v>13293</v>
      </c>
      <c r="I3729">
        <v>2</v>
      </c>
      <c r="J3729">
        <v>19</v>
      </c>
      <c r="K3729">
        <v>459</v>
      </c>
      <c r="L3729">
        <v>328</v>
      </c>
      <c r="M3729">
        <v>8.65</v>
      </c>
      <c r="N3729">
        <f>IFERROR(VLOOKUP(A3729,vlookup_table!$A:$G,2,FALSE),"")</f>
        <v>0</v>
      </c>
      <c r="O3729">
        <f>IFERROR(VLOOKUP(A3729,vlookup_table!$A:$G,4,FALSE),"")</f>
        <v>3301</v>
      </c>
      <c r="P3729" t="str">
        <f>IFERROR(VLOOKUP(A3729,vlookup_table!$A:$G,5,FALSE),"")</f>
        <v>S3</v>
      </c>
      <c r="Q3729">
        <f>IFERROR(VLOOKUP(A3729,vlookup_table!$A:$G,7,FALSE),"")</f>
        <v>10</v>
      </c>
      <c r="R3729">
        <f t="shared" si="232"/>
        <v>64</v>
      </c>
      <c r="S3729" t="str" cm="1">
        <f t="array" ref="S3729">IF(P3729="","",_xlfn.SWITCH(LEFT(P3729,1),"C","Ciudad","T","Pueblo","R","Rural","S","Suburbano","U","Urbano",""))</f>
        <v>Suburbano</v>
      </c>
      <c r="T3729" t="str">
        <f t="shared" si="233"/>
        <v>F</v>
      </c>
      <c r="U3729" t="str">
        <f t="shared" si="234"/>
        <v>AZ</v>
      </c>
      <c r="V3729" t="str">
        <f t="shared" si="235"/>
        <v>13293</v>
      </c>
    </row>
    <row r="3730" spans="1:22" x14ac:dyDescent="0.35">
      <c r="A3730" s="3">
        <v>48587</v>
      </c>
      <c r="B3730" t="s">
        <v>43</v>
      </c>
      <c r="C3730" t="s">
        <v>27</v>
      </c>
      <c r="D3730">
        <v>425</v>
      </c>
      <c r="E3730">
        <v>264</v>
      </c>
      <c r="F3730">
        <v>320</v>
      </c>
      <c r="G3730">
        <v>0</v>
      </c>
      <c r="H3730">
        <v>9998</v>
      </c>
      <c r="I3730">
        <v>0</v>
      </c>
      <c r="J3730">
        <v>78</v>
      </c>
      <c r="K3730">
        <v>245</v>
      </c>
      <c r="L3730">
        <v>311</v>
      </c>
      <c r="M3730">
        <v>12.33333333</v>
      </c>
      <c r="N3730">
        <f>IFERROR(VLOOKUP(A3730,vlookup_table!$A:$G,2,FALSE),"")</f>
        <v>1</v>
      </c>
      <c r="O3730">
        <f>IFERROR(VLOOKUP(A3730,vlookup_table!$A:$G,4,FALSE),"")</f>
        <v>2301</v>
      </c>
      <c r="P3730" t="str">
        <f>IFERROR(VLOOKUP(A3730,vlookup_table!$A:$G,5,FALSE),"")</f>
        <v>R2</v>
      </c>
      <c r="Q3730">
        <f>IFERROR(VLOOKUP(A3730,vlookup_table!$A:$G,7,FALSE),"")</f>
        <v>15</v>
      </c>
      <c r="R3730">
        <f t="shared" si="232"/>
        <v>74</v>
      </c>
      <c r="S3730" t="str" cm="1">
        <f t="array" ref="S3730">IF(P3730="","",_xlfn.SWITCH(LEFT(P3730,1),"C","Ciudad","T","Pueblo","R","Rural","S","Suburbano","U","Urbano",""))</f>
        <v>Rural</v>
      </c>
      <c r="T3730" t="str">
        <f t="shared" si="233"/>
        <v>M</v>
      </c>
      <c r="U3730" t="str">
        <f t="shared" si="234"/>
        <v>AL</v>
      </c>
      <c r="V3730" t="str">
        <f t="shared" si="235"/>
        <v>9998</v>
      </c>
    </row>
    <row r="3731" spans="1:22" x14ac:dyDescent="0.35">
      <c r="A3731" s="3">
        <v>187501</v>
      </c>
      <c r="B3731" t="s">
        <v>37</v>
      </c>
      <c r="C3731" t="s">
        <v>17</v>
      </c>
      <c r="D3731">
        <v>4250</v>
      </c>
      <c r="E3731">
        <v>299</v>
      </c>
      <c r="F3731">
        <v>364</v>
      </c>
      <c r="G3731">
        <v>99</v>
      </c>
      <c r="H3731">
        <v>12365</v>
      </c>
      <c r="I3731">
        <v>4</v>
      </c>
      <c r="J3731">
        <v>12</v>
      </c>
      <c r="K3731">
        <v>301</v>
      </c>
      <c r="L3731">
        <v>363</v>
      </c>
      <c r="M3731">
        <v>5.75</v>
      </c>
      <c r="N3731">
        <f>IFERROR(VLOOKUP(A3731,vlookup_table!$A:$G,2,FALSE),"")</f>
        <v>0</v>
      </c>
      <c r="O3731">
        <f>IFERROR(VLOOKUP(A3731,vlookup_table!$A:$G,4,FALSE),"")</f>
        <v>0</v>
      </c>
      <c r="P3731" t="str">
        <f>IFERROR(VLOOKUP(A3731,vlookup_table!$A:$G,5,FALSE),"")</f>
        <v>T1</v>
      </c>
      <c r="Q3731">
        <f>IFERROR(VLOOKUP(A3731,vlookup_table!$A:$G,7,FALSE),"")</f>
        <v>10</v>
      </c>
      <c r="R3731">
        <f t="shared" si="232"/>
        <v>97</v>
      </c>
      <c r="S3731" t="str" cm="1">
        <f t="array" ref="S3731">IF(P3731="","",_xlfn.SWITCH(LEFT(P3731,1),"C","Ciudad","T","Pueblo","R","Rural","S","Suburbano","U","Urbano",""))</f>
        <v>Pueblo</v>
      </c>
      <c r="T3731" t="str">
        <f t="shared" si="233"/>
        <v>F</v>
      </c>
      <c r="U3731" t="str">
        <f t="shared" si="234"/>
        <v>HI</v>
      </c>
      <c r="V3731" t="str">
        <f t="shared" si="235"/>
        <v>12365</v>
      </c>
    </row>
    <row r="3732" spans="1:22" x14ac:dyDescent="0.35">
      <c r="A3732" s="3">
        <v>135888</v>
      </c>
      <c r="B3732" t="s">
        <v>55</v>
      </c>
      <c r="C3732" t="s">
        <v>14</v>
      </c>
      <c r="D3732">
        <v>842</v>
      </c>
      <c r="E3732">
        <v>247</v>
      </c>
      <c r="F3732">
        <v>321</v>
      </c>
      <c r="G3732">
        <v>0</v>
      </c>
      <c r="H3732">
        <v>16269</v>
      </c>
      <c r="I3732">
        <v>3</v>
      </c>
      <c r="J3732">
        <v>4</v>
      </c>
      <c r="K3732">
        <v>266</v>
      </c>
      <c r="L3732">
        <v>277</v>
      </c>
      <c r="M3732">
        <v>12.5</v>
      </c>
      <c r="N3732">
        <f>IFERROR(VLOOKUP(A3732,vlookup_table!$A:$G,2,FALSE),"")</f>
        <v>2</v>
      </c>
      <c r="O3732">
        <f>IFERROR(VLOOKUP(A3732,vlookup_table!$A:$G,4,FALSE),"")</f>
        <v>0</v>
      </c>
      <c r="P3732" t="str">
        <f>IFERROR(VLOOKUP(A3732,vlookup_table!$A:$G,5,FALSE),"")</f>
        <v>C3</v>
      </c>
      <c r="Q3732">
        <f>IFERROR(VLOOKUP(A3732,vlookup_table!$A:$G,7,FALSE),"")</f>
        <v>16</v>
      </c>
      <c r="R3732">
        <f t="shared" si="232"/>
        <v>97</v>
      </c>
      <c r="S3732" t="str" cm="1">
        <f t="array" ref="S3732">IF(P3732="","",_xlfn.SWITCH(LEFT(P3732,1),"C","Ciudad","T","Pueblo","R","Rural","S","Suburbano","U","Urbano",""))</f>
        <v>Ciudad</v>
      </c>
      <c r="T3732" t="str">
        <f t="shared" si="233"/>
        <v>M</v>
      </c>
      <c r="U3732" t="str">
        <f t="shared" si="234"/>
        <v>AZ</v>
      </c>
      <c r="V3732" t="str">
        <f t="shared" si="235"/>
        <v>16269</v>
      </c>
    </row>
    <row r="3733" spans="1:22" x14ac:dyDescent="0.35">
      <c r="A3733" s="3">
        <v>67333</v>
      </c>
      <c r="B3733" t="s">
        <v>29</v>
      </c>
      <c r="C3733" t="s">
        <v>17</v>
      </c>
      <c r="D3733">
        <v>1092</v>
      </c>
      <c r="E3733">
        <v>580</v>
      </c>
      <c r="F3733">
        <v>631</v>
      </c>
      <c r="G3733">
        <v>0</v>
      </c>
      <c r="H3733">
        <v>17240</v>
      </c>
      <c r="I3733">
        <v>8</v>
      </c>
      <c r="J3733">
        <v>70</v>
      </c>
      <c r="K3733">
        <v>587</v>
      </c>
      <c r="L3733">
        <v>620</v>
      </c>
      <c r="M3733">
        <v>8.3333333330000006</v>
      </c>
      <c r="N3733">
        <f>IFERROR(VLOOKUP(A3733,vlookup_table!$A:$G,2,FALSE),"")</f>
        <v>0</v>
      </c>
      <c r="O3733">
        <f>IFERROR(VLOOKUP(A3733,vlookup_table!$A:$G,4,FALSE),"")</f>
        <v>5401</v>
      </c>
      <c r="P3733" t="str">
        <f>IFERROR(VLOOKUP(A3733,vlookup_table!$A:$G,5,FALSE),"")</f>
        <v>S1</v>
      </c>
      <c r="Q3733">
        <f>IFERROR(VLOOKUP(A3733,vlookup_table!$A:$G,7,FALSE),"")</f>
        <v>8</v>
      </c>
      <c r="R3733">
        <f t="shared" si="232"/>
        <v>43</v>
      </c>
      <c r="S3733" t="str" cm="1">
        <f t="array" ref="S3733">IF(P3733="","",_xlfn.SWITCH(LEFT(P3733,1),"C","Ciudad","T","Pueblo","R","Rural","S","Suburbano","U","Urbano",""))</f>
        <v>Suburbano</v>
      </c>
      <c r="T3733" t="str">
        <f t="shared" si="233"/>
        <v>F</v>
      </c>
      <c r="U3733" t="str">
        <f t="shared" si="234"/>
        <v>MI</v>
      </c>
      <c r="V3733" t="str">
        <f t="shared" si="235"/>
        <v>17240</v>
      </c>
    </row>
    <row r="3734" spans="1:22" x14ac:dyDescent="0.35">
      <c r="A3734" s="3">
        <v>62741</v>
      </c>
      <c r="B3734" t="s">
        <v>33</v>
      </c>
      <c r="C3734" t="s">
        <v>14</v>
      </c>
      <c r="D3734">
        <v>625</v>
      </c>
      <c r="E3734">
        <v>319</v>
      </c>
      <c r="F3734">
        <v>411</v>
      </c>
      <c r="G3734">
        <v>2</v>
      </c>
      <c r="H3734">
        <v>13847</v>
      </c>
      <c r="I3734">
        <v>0</v>
      </c>
      <c r="J3734">
        <v>73</v>
      </c>
      <c r="K3734">
        <v>362</v>
      </c>
      <c r="L3734">
        <v>362</v>
      </c>
      <c r="M3734">
        <v>8.5</v>
      </c>
      <c r="N3734">
        <f>IFERROR(VLOOKUP(A3734,vlookup_table!$A:$G,2,FALSE),"")</f>
        <v>2</v>
      </c>
      <c r="O3734">
        <f>IFERROR(VLOOKUP(A3734,vlookup_table!$A:$G,4,FALSE),"")</f>
        <v>0</v>
      </c>
      <c r="P3734" t="str">
        <f>IFERROR(VLOOKUP(A3734,vlookup_table!$A:$G,5,FALSE),"")</f>
        <v>R2</v>
      </c>
      <c r="Q3734">
        <f>IFERROR(VLOOKUP(A3734,vlookup_table!$A:$G,7,FALSE),"")</f>
        <v>11</v>
      </c>
      <c r="R3734">
        <f t="shared" si="232"/>
        <v>97</v>
      </c>
      <c r="S3734" t="str" cm="1">
        <f t="array" ref="S3734">IF(P3734="","",_xlfn.SWITCH(LEFT(P3734,1),"C","Ciudad","T","Pueblo","R","Rural","S","Suburbano","U","Urbano",""))</f>
        <v>Rural</v>
      </c>
      <c r="T3734" t="str">
        <f t="shared" si="233"/>
        <v>M</v>
      </c>
      <c r="U3734" t="str">
        <f t="shared" si="234"/>
        <v>IN</v>
      </c>
      <c r="V3734" t="str">
        <f t="shared" si="235"/>
        <v>13847</v>
      </c>
    </row>
    <row r="3735" spans="1:22" x14ac:dyDescent="0.35">
      <c r="A3735" s="3">
        <v>112247</v>
      </c>
      <c r="B3735" t="s">
        <v>36</v>
      </c>
      <c r="C3735" t="s">
        <v>17</v>
      </c>
      <c r="D3735">
        <v>643</v>
      </c>
      <c r="E3735">
        <v>257</v>
      </c>
      <c r="F3735">
        <v>321</v>
      </c>
      <c r="G3735">
        <v>0</v>
      </c>
      <c r="H3735">
        <v>11257</v>
      </c>
      <c r="I3735">
        <v>5</v>
      </c>
      <c r="J3735">
        <v>44</v>
      </c>
      <c r="K3735">
        <v>272</v>
      </c>
      <c r="L3735">
        <v>296</v>
      </c>
      <c r="M3735">
        <v>23.333333329999999</v>
      </c>
      <c r="N3735">
        <f>IFERROR(VLOOKUP(A3735,vlookup_table!$A:$G,2,FALSE),"")</f>
        <v>0</v>
      </c>
      <c r="O3735">
        <f>IFERROR(VLOOKUP(A3735,vlookup_table!$A:$G,4,FALSE),"")</f>
        <v>4906</v>
      </c>
      <c r="P3735" t="str">
        <f>IFERROR(VLOOKUP(A3735,vlookup_table!$A:$G,5,FALSE),"")</f>
        <v>C2</v>
      </c>
      <c r="Q3735">
        <f>IFERROR(VLOOKUP(A3735,vlookup_table!$A:$G,7,FALSE),"")</f>
        <v>25</v>
      </c>
      <c r="R3735">
        <f t="shared" si="232"/>
        <v>48</v>
      </c>
      <c r="S3735" t="str" cm="1">
        <f t="array" ref="S3735">IF(P3735="","",_xlfn.SWITCH(LEFT(P3735,1),"C","Ciudad","T","Pueblo","R","Rural","S","Suburbano","U","Urbano",""))</f>
        <v>Ciudad</v>
      </c>
      <c r="T3735" t="str">
        <f t="shared" si="233"/>
        <v>F</v>
      </c>
      <c r="U3735" t="str">
        <f t="shared" si="234"/>
        <v>MO</v>
      </c>
      <c r="V3735" t="str">
        <f t="shared" si="235"/>
        <v>11257</v>
      </c>
    </row>
    <row r="3736" spans="1:22" x14ac:dyDescent="0.35">
      <c r="A3736" s="3">
        <v>137845</v>
      </c>
      <c r="B3736" t="s">
        <v>55</v>
      </c>
      <c r="C3736" t="s">
        <v>14</v>
      </c>
      <c r="D3736">
        <v>676</v>
      </c>
      <c r="E3736">
        <v>379</v>
      </c>
      <c r="F3736">
        <v>433</v>
      </c>
      <c r="G3736">
        <v>0</v>
      </c>
      <c r="H3736">
        <v>13487</v>
      </c>
      <c r="I3736">
        <v>3</v>
      </c>
      <c r="J3736">
        <v>22</v>
      </c>
      <c r="K3736">
        <v>409</v>
      </c>
      <c r="L3736">
        <v>380</v>
      </c>
      <c r="M3736">
        <v>6.75</v>
      </c>
      <c r="N3736">
        <f>IFERROR(VLOOKUP(A3736,vlookup_table!$A:$G,2,FALSE),"")</f>
        <v>1</v>
      </c>
      <c r="O3736">
        <f>IFERROR(VLOOKUP(A3736,vlookup_table!$A:$G,4,FALSE),"")</f>
        <v>4601</v>
      </c>
      <c r="P3736" t="str">
        <f>IFERROR(VLOOKUP(A3736,vlookup_table!$A:$G,5,FALSE),"")</f>
        <v>C1</v>
      </c>
      <c r="Q3736">
        <f>IFERROR(VLOOKUP(A3736,vlookup_table!$A:$G,7,FALSE),"")</f>
        <v>15</v>
      </c>
      <c r="R3736">
        <f t="shared" si="232"/>
        <v>51</v>
      </c>
      <c r="S3736" t="str" cm="1">
        <f t="array" ref="S3736">IF(P3736="","",_xlfn.SWITCH(LEFT(P3736,1),"C","Ciudad","T","Pueblo","R","Rural","S","Suburbano","U","Urbano",""))</f>
        <v>Ciudad</v>
      </c>
      <c r="T3736" t="str">
        <f t="shared" si="233"/>
        <v>M</v>
      </c>
      <c r="U3736" t="str">
        <f t="shared" si="234"/>
        <v>AZ</v>
      </c>
      <c r="V3736" t="str">
        <f t="shared" si="235"/>
        <v>13487</v>
      </c>
    </row>
    <row r="3737" spans="1:22" x14ac:dyDescent="0.35">
      <c r="A3737" s="3">
        <v>59984</v>
      </c>
      <c r="B3737" t="s">
        <v>33</v>
      </c>
      <c r="C3737" t="s">
        <v>17</v>
      </c>
      <c r="D3737">
        <v>1101</v>
      </c>
      <c r="E3737">
        <v>518</v>
      </c>
      <c r="F3737">
        <v>701</v>
      </c>
      <c r="G3737">
        <v>10</v>
      </c>
      <c r="H3737">
        <v>35560</v>
      </c>
      <c r="I3737">
        <v>2</v>
      </c>
      <c r="J3737">
        <v>57</v>
      </c>
      <c r="K3737">
        <v>631</v>
      </c>
      <c r="L3737">
        <v>615</v>
      </c>
      <c r="M3737">
        <v>11.66666667</v>
      </c>
      <c r="N3737">
        <f>IFERROR(VLOOKUP(A3737,vlookup_table!$A:$G,2,FALSE),"")</f>
        <v>28</v>
      </c>
      <c r="O3737">
        <f>IFERROR(VLOOKUP(A3737,vlookup_table!$A:$G,4,FALSE),"")</f>
        <v>1601</v>
      </c>
      <c r="P3737" t="str">
        <f>IFERROR(VLOOKUP(A3737,vlookup_table!$A:$G,5,FALSE),"")</f>
        <v>S1</v>
      </c>
      <c r="Q3737">
        <f>IFERROR(VLOOKUP(A3737,vlookup_table!$A:$G,7,FALSE),"")</f>
        <v>17</v>
      </c>
      <c r="R3737">
        <f t="shared" si="232"/>
        <v>81</v>
      </c>
      <c r="S3737" t="str" cm="1">
        <f t="array" ref="S3737">IF(P3737="","",_xlfn.SWITCH(LEFT(P3737,1),"C","Ciudad","T","Pueblo","R","Rural","S","Suburbano","U","Urbano",""))</f>
        <v>Suburbano</v>
      </c>
      <c r="T3737" t="str">
        <f t="shared" si="233"/>
        <v>F</v>
      </c>
      <c r="U3737" t="str">
        <f t="shared" si="234"/>
        <v>IN</v>
      </c>
      <c r="V3737" t="str">
        <f t="shared" si="235"/>
        <v>35560</v>
      </c>
    </row>
    <row r="3738" spans="1:22" x14ac:dyDescent="0.35">
      <c r="A3738" s="3">
        <v>141186</v>
      </c>
      <c r="B3738" t="s">
        <v>24</v>
      </c>
      <c r="C3738" t="s">
        <v>17</v>
      </c>
      <c r="D3738">
        <v>706</v>
      </c>
      <c r="E3738">
        <v>283</v>
      </c>
      <c r="F3738">
        <v>371</v>
      </c>
      <c r="G3738">
        <v>0</v>
      </c>
      <c r="H3738">
        <v>14352</v>
      </c>
      <c r="I3738">
        <v>10</v>
      </c>
      <c r="J3738">
        <v>23</v>
      </c>
      <c r="K3738">
        <v>316</v>
      </c>
      <c r="L3738">
        <v>339</v>
      </c>
      <c r="M3738">
        <v>6.4782608699999997</v>
      </c>
      <c r="N3738">
        <f>IFERROR(VLOOKUP(A3738,vlookup_table!$A:$G,2,FALSE),"")</f>
        <v>0</v>
      </c>
      <c r="O3738">
        <f>IFERROR(VLOOKUP(A3738,vlookup_table!$A:$G,4,FALSE),"")</f>
        <v>3107</v>
      </c>
      <c r="P3738" t="str">
        <f>IFERROR(VLOOKUP(A3738,vlookup_table!$A:$G,5,FALSE),"")</f>
        <v>S2</v>
      </c>
      <c r="Q3738">
        <f>IFERROR(VLOOKUP(A3738,vlookup_table!$A:$G,7,FALSE),"")</f>
        <v>12</v>
      </c>
      <c r="R3738">
        <f t="shared" si="232"/>
        <v>66</v>
      </c>
      <c r="S3738" t="str" cm="1">
        <f t="array" ref="S3738">IF(P3738="","",_xlfn.SWITCH(LEFT(P3738,1),"C","Ciudad","T","Pueblo","R","Rural","S","Suburbano","U","Urbano",""))</f>
        <v>Suburbano</v>
      </c>
      <c r="T3738" t="str">
        <f t="shared" si="233"/>
        <v>F</v>
      </c>
      <c r="U3738" t="str">
        <f t="shared" si="234"/>
        <v>NV</v>
      </c>
      <c r="V3738" t="str">
        <f t="shared" si="235"/>
        <v>14352</v>
      </c>
    </row>
    <row r="3739" spans="1:22" x14ac:dyDescent="0.35">
      <c r="A3739" s="3">
        <v>138597</v>
      </c>
      <c r="B3739" t="s">
        <v>55</v>
      </c>
      <c r="C3739" t="s">
        <v>60</v>
      </c>
      <c r="D3739">
        <v>1573</v>
      </c>
      <c r="E3739">
        <v>569</v>
      </c>
      <c r="F3739">
        <v>702</v>
      </c>
      <c r="G3739">
        <v>33</v>
      </c>
      <c r="H3739">
        <v>28844</v>
      </c>
      <c r="I3739">
        <v>1</v>
      </c>
      <c r="J3739">
        <v>24</v>
      </c>
      <c r="K3739">
        <v>572</v>
      </c>
      <c r="L3739">
        <v>709</v>
      </c>
      <c r="M3739">
        <v>7.2352941179999997</v>
      </c>
      <c r="N3739">
        <f>IFERROR(VLOOKUP(A3739,vlookup_table!$A:$G,2,FALSE),"")</f>
        <v>2</v>
      </c>
      <c r="O3739">
        <f>IFERROR(VLOOKUP(A3739,vlookup_table!$A:$G,4,FALSE),"")</f>
        <v>3009</v>
      </c>
      <c r="P3739" t="str">
        <f>IFERROR(VLOOKUP(A3739,vlookup_table!$A:$G,5,FALSE),"")</f>
        <v>T1</v>
      </c>
      <c r="Q3739">
        <f>IFERROR(VLOOKUP(A3739,vlookup_table!$A:$G,7,FALSE),"")</f>
        <v>11</v>
      </c>
      <c r="R3739">
        <f t="shared" si="232"/>
        <v>67</v>
      </c>
      <c r="S3739" t="str" cm="1">
        <f t="array" ref="S3739">IF(P3739="","",_xlfn.SWITCH(LEFT(P3739,1),"C","Ciudad","T","Pueblo","R","Rural","S","Suburbano","U","Urbano",""))</f>
        <v>Pueblo</v>
      </c>
      <c r="T3739" t="str">
        <f t="shared" si="233"/>
        <v>F</v>
      </c>
      <c r="U3739" t="str">
        <f t="shared" si="234"/>
        <v>AZ</v>
      </c>
      <c r="V3739" t="str">
        <f t="shared" si="235"/>
        <v>28844</v>
      </c>
    </row>
    <row r="3740" spans="1:22" x14ac:dyDescent="0.35">
      <c r="A3740" s="3">
        <v>150404</v>
      </c>
      <c r="B3740" t="s">
        <v>22</v>
      </c>
      <c r="C3740" t="s">
        <v>17</v>
      </c>
      <c r="D3740">
        <v>1745</v>
      </c>
      <c r="E3740">
        <v>386</v>
      </c>
      <c r="F3740">
        <v>357</v>
      </c>
      <c r="G3740">
        <v>16</v>
      </c>
      <c r="H3740">
        <v>10891</v>
      </c>
      <c r="I3740">
        <v>23</v>
      </c>
      <c r="J3740">
        <v>45</v>
      </c>
      <c r="K3740">
        <v>348</v>
      </c>
      <c r="L3740">
        <v>398</v>
      </c>
      <c r="M3740">
        <v>10.414634149999999</v>
      </c>
      <c r="N3740">
        <f>IFERROR(VLOOKUP(A3740,vlookup_table!$A:$G,2,FALSE),"")</f>
        <v>0</v>
      </c>
      <c r="O3740">
        <f>IFERROR(VLOOKUP(A3740,vlookup_table!$A:$G,4,FALSE),"")</f>
        <v>4801</v>
      </c>
      <c r="P3740" t="str">
        <f>IFERROR(VLOOKUP(A3740,vlookup_table!$A:$G,5,FALSE),"")</f>
        <v>S2</v>
      </c>
      <c r="Q3740">
        <f>IFERROR(VLOOKUP(A3740,vlookup_table!$A:$G,7,FALSE),"")</f>
        <v>10</v>
      </c>
      <c r="R3740">
        <f t="shared" si="232"/>
        <v>49</v>
      </c>
      <c r="S3740" t="str" cm="1">
        <f t="array" ref="S3740">IF(P3740="","",_xlfn.SWITCH(LEFT(P3740,1),"C","Ciudad","T","Pueblo","R","Rural","S","Suburbano","U","Urbano",""))</f>
        <v>Suburbano</v>
      </c>
      <c r="T3740" t="str">
        <f t="shared" si="233"/>
        <v>F</v>
      </c>
      <c r="U3740" t="str">
        <f t="shared" si="234"/>
        <v>CA</v>
      </c>
      <c r="V3740" t="str">
        <f t="shared" si="235"/>
        <v>10891</v>
      </c>
    </row>
    <row r="3741" spans="1:22" x14ac:dyDescent="0.35">
      <c r="A3741" s="3">
        <v>166521</v>
      </c>
      <c r="B3741" t="s">
        <v>22</v>
      </c>
      <c r="C3741" t="s">
        <v>17</v>
      </c>
      <c r="D3741">
        <v>3422</v>
      </c>
      <c r="E3741">
        <v>638</v>
      </c>
      <c r="F3741">
        <v>807</v>
      </c>
      <c r="G3741">
        <v>91</v>
      </c>
      <c r="H3741">
        <v>33068</v>
      </c>
      <c r="I3741">
        <v>10</v>
      </c>
      <c r="J3741">
        <v>52</v>
      </c>
      <c r="K3741">
        <v>775</v>
      </c>
      <c r="L3741">
        <v>693</v>
      </c>
      <c r="M3741">
        <v>18.2</v>
      </c>
      <c r="N3741">
        <f>IFERROR(VLOOKUP(A3741,vlookup_table!$A:$G,2,FALSE),"")</f>
        <v>28</v>
      </c>
      <c r="O3741">
        <f>IFERROR(VLOOKUP(A3741,vlookup_table!$A:$G,4,FALSE),"")</f>
        <v>4612</v>
      </c>
      <c r="P3741" t="str">
        <f>IFERROR(VLOOKUP(A3741,vlookup_table!$A:$G,5,FALSE),"")</f>
        <v>S1</v>
      </c>
      <c r="Q3741">
        <f>IFERROR(VLOOKUP(A3741,vlookup_table!$A:$G,7,FALSE),"")</f>
        <v>27</v>
      </c>
      <c r="R3741">
        <f t="shared" si="232"/>
        <v>51</v>
      </c>
      <c r="S3741" t="str" cm="1">
        <f t="array" ref="S3741">IF(P3741="","",_xlfn.SWITCH(LEFT(P3741,1),"C","Ciudad","T","Pueblo","R","Rural","S","Suburbano","U","Urbano",""))</f>
        <v>Suburbano</v>
      </c>
      <c r="T3741" t="str">
        <f t="shared" si="233"/>
        <v>F</v>
      </c>
      <c r="U3741" t="str">
        <f t="shared" si="234"/>
        <v>CA</v>
      </c>
      <c r="V3741" t="str">
        <f t="shared" si="235"/>
        <v>33068</v>
      </c>
    </row>
    <row r="3742" spans="1:22" x14ac:dyDescent="0.35">
      <c r="A3742" s="3">
        <v>148153</v>
      </c>
      <c r="B3742" t="s">
        <v>22</v>
      </c>
      <c r="C3742" t="s">
        <v>17</v>
      </c>
      <c r="D3742">
        <v>3576</v>
      </c>
      <c r="E3742">
        <v>661</v>
      </c>
      <c r="F3742">
        <v>826</v>
      </c>
      <c r="G3742">
        <v>96</v>
      </c>
      <c r="H3742">
        <v>29413</v>
      </c>
      <c r="I3742">
        <v>14</v>
      </c>
      <c r="J3742">
        <v>50</v>
      </c>
      <c r="K3742">
        <v>768</v>
      </c>
      <c r="L3742">
        <v>729</v>
      </c>
      <c r="M3742">
        <v>8.8877142859999996</v>
      </c>
      <c r="N3742">
        <f>IFERROR(VLOOKUP(A3742,vlookup_table!$A:$G,2,FALSE),"")</f>
        <v>2</v>
      </c>
      <c r="O3742">
        <f>IFERROR(VLOOKUP(A3742,vlookup_table!$A:$G,4,FALSE),"")</f>
        <v>6201</v>
      </c>
      <c r="P3742" t="str">
        <f>IFERROR(VLOOKUP(A3742,vlookup_table!$A:$G,5,FALSE),"")</f>
        <v>C1</v>
      </c>
      <c r="Q3742">
        <f>IFERROR(VLOOKUP(A3742,vlookup_table!$A:$G,7,FALSE),"")</f>
        <v>11</v>
      </c>
      <c r="R3742">
        <f t="shared" si="232"/>
        <v>35</v>
      </c>
      <c r="S3742" t="str" cm="1">
        <f t="array" ref="S3742">IF(P3742="","",_xlfn.SWITCH(LEFT(P3742,1),"C","Ciudad","T","Pueblo","R","Rural","S","Suburbano","U","Urbano",""))</f>
        <v>Ciudad</v>
      </c>
      <c r="T3742" t="str">
        <f t="shared" si="233"/>
        <v>F</v>
      </c>
      <c r="U3742" t="str">
        <f t="shared" si="234"/>
        <v>CA</v>
      </c>
      <c r="V3742" t="str">
        <f t="shared" si="235"/>
        <v>29413</v>
      </c>
    </row>
    <row r="3743" spans="1:22" x14ac:dyDescent="0.35">
      <c r="A3743" s="3">
        <v>38266</v>
      </c>
      <c r="B3743" t="s">
        <v>13</v>
      </c>
      <c r="C3743" t="s">
        <v>17</v>
      </c>
      <c r="D3743">
        <v>590</v>
      </c>
      <c r="E3743">
        <v>267</v>
      </c>
      <c r="F3743">
        <v>322</v>
      </c>
      <c r="G3743">
        <v>0</v>
      </c>
      <c r="H3743">
        <v>8625</v>
      </c>
      <c r="I3743">
        <v>40</v>
      </c>
      <c r="J3743">
        <v>29</v>
      </c>
      <c r="K3743">
        <v>319</v>
      </c>
      <c r="L3743">
        <v>304</v>
      </c>
      <c r="M3743">
        <v>15</v>
      </c>
      <c r="N3743">
        <f>IFERROR(VLOOKUP(A3743,vlookup_table!$A:$G,2,FALSE),"")</f>
        <v>0</v>
      </c>
      <c r="O3743">
        <f>IFERROR(VLOOKUP(A3743,vlookup_table!$A:$G,4,FALSE),"")</f>
        <v>2201</v>
      </c>
      <c r="P3743" t="str">
        <f>IFERROR(VLOOKUP(A3743,vlookup_table!$A:$G,5,FALSE),"")</f>
        <v>U3</v>
      </c>
      <c r="Q3743">
        <f>IFERROR(VLOOKUP(A3743,vlookup_table!$A:$G,7,FALSE),"")</f>
        <v>10</v>
      </c>
      <c r="R3743">
        <f t="shared" si="232"/>
        <v>75</v>
      </c>
      <c r="S3743" t="str" cm="1">
        <f t="array" ref="S3743">IF(P3743="","",_xlfn.SWITCH(LEFT(P3743,1),"C","Ciudad","T","Pueblo","R","Rural","S","Suburbano","U","Urbano",""))</f>
        <v>Urbano</v>
      </c>
      <c r="T3743" t="str">
        <f t="shared" si="233"/>
        <v>F</v>
      </c>
      <c r="U3743" t="str">
        <f t="shared" si="234"/>
        <v>FL</v>
      </c>
      <c r="V3743" t="str">
        <f t="shared" si="235"/>
        <v>8625</v>
      </c>
    </row>
    <row r="3744" spans="1:22" x14ac:dyDescent="0.35">
      <c r="A3744" s="3">
        <v>161108</v>
      </c>
      <c r="B3744" t="s">
        <v>22</v>
      </c>
      <c r="C3744" t="s">
        <v>14</v>
      </c>
      <c r="D3744">
        <v>996</v>
      </c>
      <c r="E3744">
        <v>277</v>
      </c>
      <c r="F3744">
        <v>330</v>
      </c>
      <c r="G3744">
        <v>10</v>
      </c>
      <c r="H3744">
        <v>8189</v>
      </c>
      <c r="I3744">
        <v>14</v>
      </c>
      <c r="J3744">
        <v>61</v>
      </c>
      <c r="K3744">
        <v>284</v>
      </c>
      <c r="L3744">
        <v>300</v>
      </c>
      <c r="M3744">
        <v>5.25</v>
      </c>
      <c r="N3744">
        <f>IFERROR(VLOOKUP(A3744,vlookup_table!$A:$G,2,FALSE),"")</f>
        <v>1</v>
      </c>
      <c r="O3744">
        <f>IFERROR(VLOOKUP(A3744,vlookup_table!$A:$G,4,FALSE),"")</f>
        <v>0</v>
      </c>
      <c r="P3744" t="str">
        <f>IFERROR(VLOOKUP(A3744,vlookup_table!$A:$G,5,FALSE),"")</f>
        <v>U2</v>
      </c>
      <c r="Q3744">
        <f>IFERROR(VLOOKUP(A3744,vlookup_table!$A:$G,7,FALSE),"")</f>
        <v>5</v>
      </c>
      <c r="R3744">
        <f t="shared" si="232"/>
        <v>97</v>
      </c>
      <c r="S3744" t="str" cm="1">
        <f t="array" ref="S3744">IF(P3744="","",_xlfn.SWITCH(LEFT(P3744,1),"C","Ciudad","T","Pueblo","R","Rural","S","Suburbano","U","Urbano",""))</f>
        <v>Urbano</v>
      </c>
      <c r="T3744" t="str">
        <f t="shared" si="233"/>
        <v>M</v>
      </c>
      <c r="U3744" t="str">
        <f t="shared" si="234"/>
        <v>CA</v>
      </c>
      <c r="V3744" t="str">
        <f t="shared" si="235"/>
        <v>8189</v>
      </c>
    </row>
    <row r="3745" spans="1:22" x14ac:dyDescent="0.35">
      <c r="A3745" s="3">
        <v>44406</v>
      </c>
      <c r="B3745" t="s">
        <v>13</v>
      </c>
      <c r="C3745" t="s">
        <v>17</v>
      </c>
      <c r="D3745">
        <v>945</v>
      </c>
      <c r="E3745">
        <v>292</v>
      </c>
      <c r="F3745">
        <v>456</v>
      </c>
      <c r="G3745">
        <v>7</v>
      </c>
      <c r="H3745">
        <v>17575</v>
      </c>
      <c r="I3745">
        <v>2</v>
      </c>
      <c r="J3745">
        <v>29</v>
      </c>
      <c r="K3745">
        <v>317</v>
      </c>
      <c r="L3745">
        <v>376</v>
      </c>
      <c r="M3745">
        <v>4.625</v>
      </c>
      <c r="N3745">
        <f>IFERROR(VLOOKUP(A3745,vlookup_table!$A:$G,2,FALSE),"")</f>
        <v>0</v>
      </c>
      <c r="O3745">
        <f>IFERROR(VLOOKUP(A3745,vlookup_table!$A:$G,4,FALSE),"")</f>
        <v>3901</v>
      </c>
      <c r="P3745" t="str">
        <f>IFERROR(VLOOKUP(A3745,vlookup_table!$A:$G,5,FALSE),"")</f>
        <v>C2</v>
      </c>
      <c r="Q3745">
        <f>IFERROR(VLOOKUP(A3745,vlookup_table!$A:$G,7,FALSE),"")</f>
        <v>10</v>
      </c>
      <c r="R3745">
        <f t="shared" si="232"/>
        <v>58</v>
      </c>
      <c r="S3745" t="str" cm="1">
        <f t="array" ref="S3745">IF(P3745="","",_xlfn.SWITCH(LEFT(P3745,1),"C","Ciudad","T","Pueblo","R","Rural","S","Suburbano","U","Urbano",""))</f>
        <v>Ciudad</v>
      </c>
      <c r="T3745" t="str">
        <f t="shared" si="233"/>
        <v>F</v>
      </c>
      <c r="U3745" t="str">
        <f t="shared" si="234"/>
        <v>FL</v>
      </c>
      <c r="V3745" t="str">
        <f t="shared" si="235"/>
        <v>17575</v>
      </c>
    </row>
    <row r="3746" spans="1:22" x14ac:dyDescent="0.35">
      <c r="A3746" s="3">
        <v>8669</v>
      </c>
      <c r="B3746" t="s">
        <v>16</v>
      </c>
      <c r="C3746" t="s">
        <v>17</v>
      </c>
      <c r="D3746">
        <v>1757</v>
      </c>
      <c r="E3746">
        <v>472</v>
      </c>
      <c r="F3746">
        <v>588</v>
      </c>
      <c r="G3746">
        <v>28</v>
      </c>
      <c r="H3746">
        <v>20587</v>
      </c>
      <c r="I3746">
        <v>15</v>
      </c>
      <c r="J3746">
        <v>60</v>
      </c>
      <c r="K3746">
        <v>488</v>
      </c>
      <c r="L3746">
        <v>560</v>
      </c>
      <c r="M3746">
        <v>8.3888888890000004</v>
      </c>
      <c r="N3746">
        <f>IFERROR(VLOOKUP(A3746,vlookup_table!$A:$G,2,FALSE),"")</f>
        <v>2</v>
      </c>
      <c r="O3746">
        <f>IFERROR(VLOOKUP(A3746,vlookup_table!$A:$G,4,FALSE),"")</f>
        <v>5206</v>
      </c>
      <c r="P3746" t="str">
        <f>IFERROR(VLOOKUP(A3746,vlookup_table!$A:$G,5,FALSE),"")</f>
        <v>S1</v>
      </c>
      <c r="Q3746">
        <f>IFERROR(VLOOKUP(A3746,vlookup_table!$A:$G,7,FALSE),"")</f>
        <v>10</v>
      </c>
      <c r="R3746">
        <f t="shared" si="232"/>
        <v>45</v>
      </c>
      <c r="S3746" t="str" cm="1">
        <f t="array" ref="S3746">IF(P3746="","",_xlfn.SWITCH(LEFT(P3746,1),"C","Ciudad","T","Pueblo","R","Rural","S","Suburbano","U","Urbano",""))</f>
        <v>Suburbano</v>
      </c>
      <c r="T3746" t="str">
        <f t="shared" si="233"/>
        <v>F</v>
      </c>
      <c r="U3746" t="str">
        <f t="shared" si="234"/>
        <v>IL</v>
      </c>
      <c r="V3746" t="str">
        <f t="shared" si="235"/>
        <v>20587</v>
      </c>
    </row>
    <row r="3747" spans="1:22" x14ac:dyDescent="0.35">
      <c r="A3747" s="3">
        <v>173702</v>
      </c>
      <c r="B3747" t="s">
        <v>37</v>
      </c>
      <c r="C3747" t="s">
        <v>14</v>
      </c>
      <c r="D3747">
        <v>2609</v>
      </c>
      <c r="E3747">
        <v>486</v>
      </c>
      <c r="F3747">
        <v>555</v>
      </c>
      <c r="G3747">
        <v>73</v>
      </c>
      <c r="H3747">
        <v>16626</v>
      </c>
      <c r="I3747">
        <v>6</v>
      </c>
      <c r="J3747">
        <v>59</v>
      </c>
      <c r="K3747">
        <v>497</v>
      </c>
      <c r="L3747">
        <v>542</v>
      </c>
      <c r="M3747">
        <v>4.5</v>
      </c>
      <c r="N3747">
        <f>IFERROR(VLOOKUP(A3747,vlookup_table!$A:$G,2,FALSE),"")</f>
        <v>0</v>
      </c>
      <c r="O3747">
        <f>IFERROR(VLOOKUP(A3747,vlookup_table!$A:$G,4,FALSE),"")</f>
        <v>2401</v>
      </c>
      <c r="P3747" t="str">
        <f>IFERROR(VLOOKUP(A3747,vlookup_table!$A:$G,5,FALSE),"")</f>
        <v>S1</v>
      </c>
      <c r="Q3747">
        <f>IFERROR(VLOOKUP(A3747,vlookup_table!$A:$G,7,FALSE),"")</f>
        <v>25</v>
      </c>
      <c r="R3747">
        <f t="shared" si="232"/>
        <v>73</v>
      </c>
      <c r="S3747" t="str" cm="1">
        <f t="array" ref="S3747">IF(P3747="","",_xlfn.SWITCH(LEFT(P3747,1),"C","Ciudad","T","Pueblo","R","Rural","S","Suburbano","U","Urbano",""))</f>
        <v>Suburbano</v>
      </c>
      <c r="T3747" t="str">
        <f t="shared" si="233"/>
        <v>M</v>
      </c>
      <c r="U3747" t="str">
        <f t="shared" si="234"/>
        <v>HI</v>
      </c>
      <c r="V3747" t="str">
        <f t="shared" si="235"/>
        <v>16626</v>
      </c>
    </row>
    <row r="3748" spans="1:22" x14ac:dyDescent="0.35">
      <c r="A3748" s="3">
        <v>174956</v>
      </c>
      <c r="B3748" t="s">
        <v>50</v>
      </c>
      <c r="C3748" t="s">
        <v>17</v>
      </c>
      <c r="D3748">
        <v>598</v>
      </c>
      <c r="E3748">
        <v>276</v>
      </c>
      <c r="F3748">
        <v>374</v>
      </c>
      <c r="G3748">
        <v>2</v>
      </c>
      <c r="H3748">
        <v>12592</v>
      </c>
      <c r="I3748">
        <v>4</v>
      </c>
      <c r="J3748">
        <v>49</v>
      </c>
      <c r="K3748">
        <v>333</v>
      </c>
      <c r="L3748">
        <v>322</v>
      </c>
      <c r="M3748">
        <v>7.25</v>
      </c>
      <c r="N3748">
        <f>IFERROR(VLOOKUP(A3748,vlookup_table!$A:$G,2,FALSE),"")</f>
        <v>2</v>
      </c>
      <c r="O3748">
        <f>IFERROR(VLOOKUP(A3748,vlookup_table!$A:$G,4,FALSE),"")</f>
        <v>1101</v>
      </c>
      <c r="P3748" t="str">
        <f>IFERROR(VLOOKUP(A3748,vlookup_table!$A:$G,5,FALSE),"")</f>
        <v>T2</v>
      </c>
      <c r="Q3748">
        <f>IFERROR(VLOOKUP(A3748,vlookup_table!$A:$G,7,FALSE),"")</f>
        <v>10</v>
      </c>
      <c r="R3748">
        <f t="shared" si="232"/>
        <v>86</v>
      </c>
      <c r="S3748" t="str" cm="1">
        <f t="array" ref="S3748">IF(P3748="","",_xlfn.SWITCH(LEFT(P3748,1),"C","Ciudad","T","Pueblo","R","Rural","S","Suburbano","U","Urbano",""))</f>
        <v>Pueblo</v>
      </c>
      <c r="T3748" t="str">
        <f t="shared" si="233"/>
        <v>F</v>
      </c>
      <c r="U3748" t="str">
        <f t="shared" si="234"/>
        <v>OR</v>
      </c>
      <c r="V3748" t="str">
        <f t="shared" si="235"/>
        <v>12592</v>
      </c>
    </row>
    <row r="3749" spans="1:22" x14ac:dyDescent="0.35">
      <c r="A3749" s="3">
        <v>52592</v>
      </c>
      <c r="B3749" t="s">
        <v>53</v>
      </c>
      <c r="C3749" t="s">
        <v>17</v>
      </c>
      <c r="D3749">
        <v>667</v>
      </c>
      <c r="E3749">
        <v>313</v>
      </c>
      <c r="F3749">
        <v>370</v>
      </c>
      <c r="G3749">
        <v>0</v>
      </c>
      <c r="H3749">
        <v>11897</v>
      </c>
      <c r="I3749">
        <v>0</v>
      </c>
      <c r="J3749">
        <v>79</v>
      </c>
      <c r="K3749">
        <v>325</v>
      </c>
      <c r="L3749">
        <v>352</v>
      </c>
      <c r="M3749">
        <v>9.0909090910000003</v>
      </c>
      <c r="N3749">
        <f>IFERROR(VLOOKUP(A3749,vlookup_table!$A:$G,2,FALSE),"")</f>
        <v>0</v>
      </c>
      <c r="O3749">
        <f>IFERROR(VLOOKUP(A3749,vlookup_table!$A:$G,4,FALSE),"")</f>
        <v>4206</v>
      </c>
      <c r="P3749" t="str">
        <f>IFERROR(VLOOKUP(A3749,vlookup_table!$A:$G,5,FALSE),"")</f>
        <v>T2</v>
      </c>
      <c r="Q3749">
        <f>IFERROR(VLOOKUP(A3749,vlookup_table!$A:$G,7,FALSE),"")</f>
        <v>10</v>
      </c>
      <c r="R3749">
        <f t="shared" si="232"/>
        <v>55</v>
      </c>
      <c r="S3749" t="str" cm="1">
        <f t="array" ref="S3749">IF(P3749="","",_xlfn.SWITCH(LEFT(P3749,1),"C","Ciudad","T","Pueblo","R","Rural","S","Suburbano","U","Urbano",""))</f>
        <v>Pueblo</v>
      </c>
      <c r="T3749" t="str">
        <f t="shared" si="233"/>
        <v>F</v>
      </c>
      <c r="U3749" t="str">
        <f t="shared" si="234"/>
        <v>TN</v>
      </c>
      <c r="V3749" t="str">
        <f t="shared" si="235"/>
        <v>11897</v>
      </c>
    </row>
    <row r="3750" spans="1:22" x14ac:dyDescent="0.35">
      <c r="A3750" s="3">
        <v>80505</v>
      </c>
      <c r="B3750" t="s">
        <v>35</v>
      </c>
      <c r="C3750" t="s">
        <v>17</v>
      </c>
      <c r="D3750">
        <v>673</v>
      </c>
      <c r="E3750">
        <v>358</v>
      </c>
      <c r="F3750">
        <v>416</v>
      </c>
      <c r="G3750">
        <v>0</v>
      </c>
      <c r="H3750">
        <v>13043</v>
      </c>
      <c r="I3750">
        <v>1</v>
      </c>
      <c r="J3750">
        <v>78</v>
      </c>
      <c r="K3750">
        <v>383</v>
      </c>
      <c r="L3750">
        <v>381</v>
      </c>
      <c r="M3750">
        <v>12.11111111</v>
      </c>
      <c r="N3750">
        <f>IFERROR(VLOOKUP(A3750,vlookup_table!$A:$G,2,FALSE),"")</f>
        <v>0</v>
      </c>
      <c r="O3750">
        <f>IFERROR(VLOOKUP(A3750,vlookup_table!$A:$G,4,FALSE),"")</f>
        <v>3608</v>
      </c>
      <c r="P3750" t="str">
        <f>IFERROR(VLOOKUP(A3750,vlookup_table!$A:$G,5,FALSE),"")</f>
        <v>S2</v>
      </c>
      <c r="Q3750">
        <f>IFERROR(VLOOKUP(A3750,vlookup_table!$A:$G,7,FALSE),"")</f>
        <v>20</v>
      </c>
      <c r="R3750">
        <f t="shared" si="232"/>
        <v>61</v>
      </c>
      <c r="S3750" t="str" cm="1">
        <f t="array" ref="S3750">IF(P3750="","",_xlfn.SWITCH(LEFT(P3750,1),"C","Ciudad","T","Pueblo","R","Rural","S","Suburbano","U","Urbano",""))</f>
        <v>Suburbano</v>
      </c>
      <c r="T3750" t="str">
        <f t="shared" si="233"/>
        <v>F</v>
      </c>
      <c r="U3750" t="str">
        <f t="shared" si="234"/>
        <v>WI</v>
      </c>
      <c r="V3750" t="str">
        <f t="shared" si="235"/>
        <v>13043</v>
      </c>
    </row>
    <row r="3751" spans="1:22" x14ac:dyDescent="0.35">
      <c r="A3751" s="3">
        <v>188734</v>
      </c>
      <c r="B3751" t="s">
        <v>37</v>
      </c>
      <c r="C3751" t="s">
        <v>44</v>
      </c>
      <c r="D3751">
        <v>3500</v>
      </c>
      <c r="E3751">
        <v>269</v>
      </c>
      <c r="F3751">
        <v>285</v>
      </c>
      <c r="G3751">
        <v>99</v>
      </c>
      <c r="H3751">
        <v>8815</v>
      </c>
      <c r="I3751">
        <v>5</v>
      </c>
      <c r="J3751">
        <v>8</v>
      </c>
      <c r="K3751">
        <v>264</v>
      </c>
      <c r="L3751">
        <v>292</v>
      </c>
      <c r="M3751">
        <v>5.375</v>
      </c>
      <c r="N3751">
        <f>IFERROR(VLOOKUP(A3751,vlookup_table!$A:$G,2,FALSE),"")</f>
        <v>14002</v>
      </c>
      <c r="O3751">
        <f>IFERROR(VLOOKUP(A3751,vlookup_table!$A:$G,4,FALSE),"")</f>
        <v>0</v>
      </c>
      <c r="P3751" t="str">
        <f>IFERROR(VLOOKUP(A3751,vlookup_table!$A:$G,5,FALSE),"")</f>
        <v>T2</v>
      </c>
      <c r="Q3751">
        <f>IFERROR(VLOOKUP(A3751,vlookup_table!$A:$G,7,FALSE),"")</f>
        <v>5</v>
      </c>
      <c r="R3751">
        <f t="shared" si="232"/>
        <v>97</v>
      </c>
      <c r="S3751" t="str" cm="1">
        <f t="array" ref="S3751">IF(P3751="","",_xlfn.SWITCH(LEFT(P3751,1),"C","Ciudad","T","Pueblo","R","Rural","S","Suburbano","U","Urbano",""))</f>
        <v>Pueblo</v>
      </c>
      <c r="T3751" t="str">
        <f t="shared" si="233"/>
        <v>J</v>
      </c>
      <c r="U3751" t="str">
        <f t="shared" si="234"/>
        <v>HI</v>
      </c>
      <c r="V3751" t="str">
        <f t="shared" si="235"/>
        <v>8815</v>
      </c>
    </row>
    <row r="3752" spans="1:22" x14ac:dyDescent="0.35">
      <c r="A3752" s="3">
        <v>148569</v>
      </c>
      <c r="B3752" t="s">
        <v>22</v>
      </c>
      <c r="C3752" t="s">
        <v>14</v>
      </c>
      <c r="D3752">
        <v>1443</v>
      </c>
      <c r="E3752">
        <v>280</v>
      </c>
      <c r="F3752">
        <v>328</v>
      </c>
      <c r="G3752">
        <v>4</v>
      </c>
      <c r="H3752">
        <v>6221</v>
      </c>
      <c r="I3752">
        <v>45</v>
      </c>
      <c r="J3752">
        <v>39</v>
      </c>
      <c r="K3752">
        <v>272</v>
      </c>
      <c r="L3752">
        <v>329</v>
      </c>
      <c r="M3752">
        <v>10.4</v>
      </c>
      <c r="N3752">
        <f>IFERROR(VLOOKUP(A3752,vlookup_table!$A:$G,2,FALSE),"")</f>
        <v>1</v>
      </c>
      <c r="O3752">
        <f>IFERROR(VLOOKUP(A3752,vlookup_table!$A:$G,4,FALSE),"")</f>
        <v>3901</v>
      </c>
      <c r="P3752" t="str">
        <f>IFERROR(VLOOKUP(A3752,vlookup_table!$A:$G,5,FALSE),"")</f>
        <v>U4</v>
      </c>
      <c r="Q3752">
        <f>IFERROR(VLOOKUP(A3752,vlookup_table!$A:$G,7,FALSE),"")</f>
        <v>19</v>
      </c>
      <c r="R3752">
        <f t="shared" si="232"/>
        <v>58</v>
      </c>
      <c r="S3752" t="str" cm="1">
        <f t="array" ref="S3752">IF(P3752="","",_xlfn.SWITCH(LEFT(P3752,1),"C","Ciudad","T","Pueblo","R","Rural","S","Suburbano","U","Urbano",""))</f>
        <v>Urbano</v>
      </c>
      <c r="T3752" t="str">
        <f t="shared" si="233"/>
        <v>M</v>
      </c>
      <c r="U3752" t="str">
        <f t="shared" si="234"/>
        <v>CA</v>
      </c>
      <c r="V3752" t="str">
        <f t="shared" si="235"/>
        <v>6221</v>
      </c>
    </row>
    <row r="3753" spans="1:22" x14ac:dyDescent="0.35">
      <c r="A3753" s="3">
        <v>2262</v>
      </c>
      <c r="B3753" t="s">
        <v>22</v>
      </c>
      <c r="C3753" t="s">
        <v>17</v>
      </c>
      <c r="D3753">
        <v>1778</v>
      </c>
      <c r="E3753">
        <v>411</v>
      </c>
      <c r="F3753">
        <v>503</v>
      </c>
      <c r="G3753">
        <v>27</v>
      </c>
      <c r="H3753">
        <v>18236</v>
      </c>
      <c r="I3753">
        <v>21</v>
      </c>
      <c r="J3753">
        <v>41</v>
      </c>
      <c r="K3753">
        <v>480</v>
      </c>
      <c r="L3753">
        <v>439</v>
      </c>
      <c r="M3753">
        <v>6.5277777779999999</v>
      </c>
      <c r="N3753">
        <f>IFERROR(VLOOKUP(A3753,vlookup_table!$A:$G,2,FALSE),"")</f>
        <v>0</v>
      </c>
      <c r="O3753">
        <f>IFERROR(VLOOKUP(A3753,vlookup_table!$A:$G,4,FALSE),"")</f>
        <v>4003</v>
      </c>
      <c r="P3753" t="str">
        <f>IFERROR(VLOOKUP(A3753,vlookup_table!$A:$G,5,FALSE),"")</f>
        <v>U1</v>
      </c>
      <c r="Q3753" t="str">
        <f>IFERROR(VLOOKUP(A3753,vlookup_table!$A:$G,7,FALSE),"")</f>
        <v>12.5</v>
      </c>
      <c r="R3753">
        <f t="shared" si="232"/>
        <v>57</v>
      </c>
      <c r="S3753" t="str" cm="1">
        <f t="array" ref="S3753">IF(P3753="","",_xlfn.SWITCH(LEFT(P3753,1),"C","Ciudad","T","Pueblo","R","Rural","S","Suburbano","U","Urbano",""))</f>
        <v>Urbano</v>
      </c>
      <c r="T3753" t="str">
        <f t="shared" si="233"/>
        <v>F</v>
      </c>
      <c r="U3753" t="str">
        <f t="shared" si="234"/>
        <v>CA</v>
      </c>
      <c r="V3753" t="str">
        <f t="shared" si="235"/>
        <v>18236</v>
      </c>
    </row>
    <row r="3754" spans="1:22" x14ac:dyDescent="0.35">
      <c r="A3754" s="3">
        <v>41091</v>
      </c>
      <c r="B3754" t="s">
        <v>13</v>
      </c>
      <c r="C3754" t="s">
        <v>17</v>
      </c>
      <c r="D3754">
        <v>661</v>
      </c>
      <c r="E3754">
        <v>211</v>
      </c>
      <c r="F3754">
        <v>251</v>
      </c>
      <c r="G3754">
        <v>0</v>
      </c>
      <c r="H3754">
        <v>12774</v>
      </c>
      <c r="I3754">
        <v>3</v>
      </c>
      <c r="J3754">
        <v>14</v>
      </c>
      <c r="K3754">
        <v>236</v>
      </c>
      <c r="L3754">
        <v>247</v>
      </c>
      <c r="M3754">
        <v>7.2142857139999998</v>
      </c>
      <c r="N3754">
        <f>IFERROR(VLOOKUP(A3754,vlookup_table!$A:$G,2,FALSE),"")</f>
        <v>2</v>
      </c>
      <c r="O3754">
        <f>IFERROR(VLOOKUP(A3754,vlookup_table!$A:$G,4,FALSE),"")</f>
        <v>2607</v>
      </c>
      <c r="P3754" t="str">
        <f>IFERROR(VLOOKUP(A3754,vlookup_table!$A:$G,5,FALSE),"")</f>
        <v>C2</v>
      </c>
      <c r="Q3754">
        <f>IFERROR(VLOOKUP(A3754,vlookup_table!$A:$G,7,FALSE),"")</f>
        <v>10</v>
      </c>
      <c r="R3754">
        <f t="shared" si="232"/>
        <v>71</v>
      </c>
      <c r="S3754" t="str" cm="1">
        <f t="array" ref="S3754">IF(P3754="","",_xlfn.SWITCH(LEFT(P3754,1),"C","Ciudad","T","Pueblo","R","Rural","S","Suburbano","U","Urbano",""))</f>
        <v>Ciudad</v>
      </c>
      <c r="T3754" t="str">
        <f t="shared" si="233"/>
        <v>F</v>
      </c>
      <c r="U3754" t="str">
        <f t="shared" si="234"/>
        <v>FL</v>
      </c>
      <c r="V3754" t="str">
        <f t="shared" si="235"/>
        <v>12774</v>
      </c>
    </row>
    <row r="3755" spans="1:22" x14ac:dyDescent="0.35">
      <c r="A3755" s="3">
        <v>30047</v>
      </c>
      <c r="B3755" t="s">
        <v>39</v>
      </c>
      <c r="C3755" t="s">
        <v>17</v>
      </c>
      <c r="D3755">
        <v>436</v>
      </c>
      <c r="E3755">
        <v>279</v>
      </c>
      <c r="F3755">
        <v>383</v>
      </c>
      <c r="G3755">
        <v>2</v>
      </c>
      <c r="H3755">
        <v>12382</v>
      </c>
      <c r="I3755">
        <v>2</v>
      </c>
      <c r="J3755">
        <v>81</v>
      </c>
      <c r="K3755">
        <v>302</v>
      </c>
      <c r="L3755">
        <v>351</v>
      </c>
      <c r="M3755">
        <v>7.0526315789999998</v>
      </c>
      <c r="N3755">
        <f>IFERROR(VLOOKUP(A3755,vlookup_table!$A:$G,2,FALSE),"")</f>
        <v>2</v>
      </c>
      <c r="O3755">
        <f>IFERROR(VLOOKUP(A3755,vlookup_table!$A:$G,4,FALSE),"")</f>
        <v>5201</v>
      </c>
      <c r="P3755" t="str">
        <f>IFERROR(VLOOKUP(A3755,vlookup_table!$A:$G,5,FALSE),"")</f>
        <v>R2</v>
      </c>
      <c r="Q3755">
        <f>IFERROR(VLOOKUP(A3755,vlookup_table!$A:$G,7,FALSE),"")</f>
        <v>10</v>
      </c>
      <c r="R3755">
        <f t="shared" si="232"/>
        <v>45</v>
      </c>
      <c r="S3755" t="str" cm="1">
        <f t="array" ref="S3755">IF(P3755="","",_xlfn.SWITCH(LEFT(P3755,1),"C","Ciudad","T","Pueblo","R","Rural","S","Suburbano","U","Urbano",""))</f>
        <v>Rural</v>
      </c>
      <c r="T3755" t="str">
        <f t="shared" si="233"/>
        <v>F</v>
      </c>
      <c r="U3755" t="str">
        <f t="shared" si="234"/>
        <v>GA</v>
      </c>
      <c r="V3755" t="str">
        <f t="shared" si="235"/>
        <v>12382</v>
      </c>
    </row>
    <row r="3756" spans="1:22" x14ac:dyDescent="0.35">
      <c r="A3756" s="3">
        <v>167580</v>
      </c>
      <c r="B3756" t="s">
        <v>22</v>
      </c>
      <c r="C3756" t="s">
        <v>14</v>
      </c>
      <c r="D3756">
        <v>2394</v>
      </c>
      <c r="E3756">
        <v>385</v>
      </c>
      <c r="F3756">
        <v>444</v>
      </c>
      <c r="G3756">
        <v>70</v>
      </c>
      <c r="H3756">
        <v>21417</v>
      </c>
      <c r="I3756">
        <v>29</v>
      </c>
      <c r="J3756">
        <v>36</v>
      </c>
      <c r="K3756">
        <v>382</v>
      </c>
      <c r="L3756">
        <v>439</v>
      </c>
      <c r="M3756">
        <v>10</v>
      </c>
      <c r="N3756">
        <f>IFERROR(VLOOKUP(A3756,vlookup_table!$A:$G,2,FALSE),"")</f>
        <v>1</v>
      </c>
      <c r="O3756">
        <f>IFERROR(VLOOKUP(A3756,vlookup_table!$A:$G,4,FALSE),"")</f>
        <v>0</v>
      </c>
      <c r="P3756" t="str">
        <f>IFERROR(VLOOKUP(A3756,vlookup_table!$A:$G,5,FALSE),"")</f>
        <v>U1</v>
      </c>
      <c r="Q3756">
        <f>IFERROR(VLOOKUP(A3756,vlookup_table!$A:$G,7,FALSE),"")</f>
        <v>21</v>
      </c>
      <c r="R3756">
        <f t="shared" si="232"/>
        <v>97</v>
      </c>
      <c r="S3756" t="str" cm="1">
        <f t="array" ref="S3756">IF(P3756="","",_xlfn.SWITCH(LEFT(P3756,1),"C","Ciudad","T","Pueblo","R","Rural","S","Suburbano","U","Urbano",""))</f>
        <v>Urbano</v>
      </c>
      <c r="T3756" t="str">
        <f t="shared" si="233"/>
        <v>M</v>
      </c>
      <c r="U3756" t="str">
        <f t="shared" si="234"/>
        <v>CA</v>
      </c>
      <c r="V3756" t="str">
        <f t="shared" si="235"/>
        <v>21417</v>
      </c>
    </row>
    <row r="3757" spans="1:22" x14ac:dyDescent="0.35">
      <c r="A3757" s="3">
        <v>76030</v>
      </c>
      <c r="B3757" t="s">
        <v>47</v>
      </c>
      <c r="C3757" t="s">
        <v>14</v>
      </c>
      <c r="D3757">
        <v>551</v>
      </c>
      <c r="E3757">
        <v>304</v>
      </c>
      <c r="F3757">
        <v>378</v>
      </c>
      <c r="G3757">
        <v>0</v>
      </c>
      <c r="H3757">
        <v>14020</v>
      </c>
      <c r="I3757">
        <v>1</v>
      </c>
      <c r="J3757">
        <v>70</v>
      </c>
      <c r="K3757">
        <v>322</v>
      </c>
      <c r="L3757">
        <v>338</v>
      </c>
      <c r="M3757">
        <v>6.7272727269999999</v>
      </c>
      <c r="N3757">
        <f>IFERROR(VLOOKUP(A3757,vlookup_table!$A:$G,2,FALSE),"")</f>
        <v>1</v>
      </c>
      <c r="O3757">
        <f>IFERROR(VLOOKUP(A3757,vlookup_table!$A:$G,4,FALSE),"")</f>
        <v>5401</v>
      </c>
      <c r="P3757" t="str">
        <f>IFERROR(VLOOKUP(A3757,vlookup_table!$A:$G,5,FALSE),"")</f>
        <v>S2</v>
      </c>
      <c r="Q3757">
        <f>IFERROR(VLOOKUP(A3757,vlookup_table!$A:$G,7,FALSE),"")</f>
        <v>14</v>
      </c>
      <c r="R3757">
        <f t="shared" si="232"/>
        <v>43</v>
      </c>
      <c r="S3757" t="str" cm="1">
        <f t="array" ref="S3757">IF(P3757="","",_xlfn.SWITCH(LEFT(P3757,1),"C","Ciudad","T","Pueblo","R","Rural","S","Suburbano","U","Urbano",""))</f>
        <v>Suburbano</v>
      </c>
      <c r="T3757" t="str">
        <f t="shared" si="233"/>
        <v>M</v>
      </c>
      <c r="U3757" t="str">
        <f t="shared" si="234"/>
        <v>IA</v>
      </c>
      <c r="V3757" t="str">
        <f t="shared" si="235"/>
        <v>14020</v>
      </c>
    </row>
    <row r="3758" spans="1:22" x14ac:dyDescent="0.35">
      <c r="A3758" s="3">
        <v>21003</v>
      </c>
      <c r="B3758" t="s">
        <v>18</v>
      </c>
      <c r="C3758" t="s">
        <v>17</v>
      </c>
      <c r="D3758">
        <v>517</v>
      </c>
      <c r="E3758">
        <v>213</v>
      </c>
      <c r="F3758">
        <v>269</v>
      </c>
      <c r="G3758">
        <v>0</v>
      </c>
      <c r="H3758">
        <v>8518</v>
      </c>
      <c r="I3758">
        <v>2</v>
      </c>
      <c r="J3758">
        <v>70</v>
      </c>
      <c r="K3758">
        <v>256</v>
      </c>
      <c r="L3758">
        <v>240</v>
      </c>
      <c r="M3758">
        <v>12.222222220000001</v>
      </c>
      <c r="N3758">
        <f>IFERROR(VLOOKUP(A3758,vlookup_table!$A:$G,2,FALSE),"")</f>
        <v>2</v>
      </c>
      <c r="O3758">
        <f>IFERROR(VLOOKUP(A3758,vlookup_table!$A:$G,4,FALSE),"")</f>
        <v>0</v>
      </c>
      <c r="P3758" t="str">
        <f>IFERROR(VLOOKUP(A3758,vlookup_table!$A:$G,5,FALSE),"")</f>
        <v>R3</v>
      </c>
      <c r="Q3758">
        <f>IFERROR(VLOOKUP(A3758,vlookup_table!$A:$G,7,FALSE),"")</f>
        <v>10</v>
      </c>
      <c r="R3758">
        <f t="shared" si="232"/>
        <v>97</v>
      </c>
      <c r="S3758" t="str" cm="1">
        <f t="array" ref="S3758">IF(P3758="","",_xlfn.SWITCH(LEFT(P3758,1),"C","Ciudad","T","Pueblo","R","Rural","S","Suburbano","U","Urbano",""))</f>
        <v>Rural</v>
      </c>
      <c r="T3758" t="str">
        <f t="shared" si="233"/>
        <v>F</v>
      </c>
      <c r="U3758" t="str">
        <f t="shared" si="234"/>
        <v>NC</v>
      </c>
      <c r="V3758" t="str">
        <f t="shared" si="235"/>
        <v>8518</v>
      </c>
    </row>
    <row r="3759" spans="1:22" x14ac:dyDescent="0.35">
      <c r="A3759" s="3">
        <v>149117</v>
      </c>
      <c r="B3759" t="s">
        <v>22</v>
      </c>
      <c r="C3759" t="s">
        <v>17</v>
      </c>
      <c r="D3759">
        <v>2549</v>
      </c>
      <c r="E3759">
        <v>610</v>
      </c>
      <c r="F3759">
        <v>621</v>
      </c>
      <c r="G3759">
        <v>92</v>
      </c>
      <c r="H3759">
        <v>19524</v>
      </c>
      <c r="I3759">
        <v>11</v>
      </c>
      <c r="J3759">
        <v>51</v>
      </c>
      <c r="K3759">
        <v>616</v>
      </c>
      <c r="L3759">
        <v>590</v>
      </c>
      <c r="M3759">
        <v>15</v>
      </c>
      <c r="N3759">
        <f>IFERROR(VLOOKUP(A3759,vlookup_table!$A:$G,2,FALSE),"")</f>
        <v>0</v>
      </c>
      <c r="O3759">
        <f>IFERROR(VLOOKUP(A3759,vlookup_table!$A:$G,4,FALSE),"")</f>
        <v>0</v>
      </c>
      <c r="P3759" t="str">
        <f>IFERROR(VLOOKUP(A3759,vlookup_table!$A:$G,5,FALSE),"")</f>
        <v>C2</v>
      </c>
      <c r="Q3759">
        <f>IFERROR(VLOOKUP(A3759,vlookup_table!$A:$G,7,FALSE),"")</f>
        <v>30</v>
      </c>
      <c r="R3759">
        <f t="shared" si="232"/>
        <v>97</v>
      </c>
      <c r="S3759" t="str" cm="1">
        <f t="array" ref="S3759">IF(P3759="","",_xlfn.SWITCH(LEFT(P3759,1),"C","Ciudad","T","Pueblo","R","Rural","S","Suburbano","U","Urbano",""))</f>
        <v>Ciudad</v>
      </c>
      <c r="T3759" t="str">
        <f t="shared" si="233"/>
        <v>F</v>
      </c>
      <c r="U3759" t="str">
        <f t="shared" si="234"/>
        <v>CA</v>
      </c>
      <c r="V3759" t="str">
        <f t="shared" si="235"/>
        <v>19524</v>
      </c>
    </row>
    <row r="3760" spans="1:22" x14ac:dyDescent="0.35">
      <c r="A3760" s="3">
        <v>47810</v>
      </c>
      <c r="B3760" t="s">
        <v>43</v>
      </c>
      <c r="C3760" t="s">
        <v>17</v>
      </c>
      <c r="D3760">
        <v>465</v>
      </c>
      <c r="E3760">
        <v>271</v>
      </c>
      <c r="F3760">
        <v>336</v>
      </c>
      <c r="G3760">
        <v>0</v>
      </c>
      <c r="H3760">
        <v>9970</v>
      </c>
      <c r="I3760">
        <v>1</v>
      </c>
      <c r="J3760">
        <v>79</v>
      </c>
      <c r="K3760">
        <v>313</v>
      </c>
      <c r="L3760">
        <v>312</v>
      </c>
      <c r="M3760">
        <v>4.5</v>
      </c>
      <c r="N3760">
        <f>IFERROR(VLOOKUP(A3760,vlookup_table!$A:$G,2,FALSE),"")</f>
        <v>0</v>
      </c>
      <c r="O3760">
        <f>IFERROR(VLOOKUP(A3760,vlookup_table!$A:$G,4,FALSE),"")</f>
        <v>0</v>
      </c>
      <c r="P3760" t="str">
        <f>IFERROR(VLOOKUP(A3760,vlookup_table!$A:$G,5,FALSE),"")</f>
        <v>R2</v>
      </c>
      <c r="Q3760">
        <f>IFERROR(VLOOKUP(A3760,vlookup_table!$A:$G,7,FALSE),"")</f>
        <v>7</v>
      </c>
      <c r="R3760">
        <f t="shared" si="232"/>
        <v>97</v>
      </c>
      <c r="S3760" t="str" cm="1">
        <f t="array" ref="S3760">IF(P3760="","",_xlfn.SWITCH(LEFT(P3760,1),"C","Ciudad","T","Pueblo","R","Rural","S","Suburbano","U","Urbano",""))</f>
        <v>Rural</v>
      </c>
      <c r="T3760" t="str">
        <f t="shared" si="233"/>
        <v>F</v>
      </c>
      <c r="U3760" t="str">
        <f t="shared" si="234"/>
        <v>AL</v>
      </c>
      <c r="V3760" t="str">
        <f t="shared" si="235"/>
        <v>9970</v>
      </c>
    </row>
    <row r="3761" spans="1:22" x14ac:dyDescent="0.35">
      <c r="A3761" s="3">
        <v>112301</v>
      </c>
      <c r="B3761" t="s">
        <v>21</v>
      </c>
      <c r="D3761">
        <v>435</v>
      </c>
      <c r="E3761">
        <v>314</v>
      </c>
      <c r="F3761">
        <v>431</v>
      </c>
      <c r="G3761">
        <v>0</v>
      </c>
      <c r="H3761">
        <v>13352</v>
      </c>
      <c r="I3761">
        <v>2</v>
      </c>
      <c r="J3761">
        <v>72</v>
      </c>
      <c r="K3761">
        <v>357</v>
      </c>
      <c r="L3761">
        <v>378</v>
      </c>
      <c r="M3761">
        <v>7.4</v>
      </c>
      <c r="N3761">
        <f>IFERROR(VLOOKUP(A3761,vlookup_table!$A:$G,2,FALSE),"")</f>
        <v>0</v>
      </c>
      <c r="O3761">
        <f>IFERROR(VLOOKUP(A3761,vlookup_table!$A:$G,4,FALSE),"")</f>
        <v>0</v>
      </c>
      <c r="P3761" t="str">
        <f>IFERROR(VLOOKUP(A3761,vlookup_table!$A:$G,5,FALSE),"")</f>
        <v>R3</v>
      </c>
      <c r="Q3761">
        <f>IFERROR(VLOOKUP(A3761,vlookup_table!$A:$G,7,FALSE),"")</f>
        <v>10</v>
      </c>
      <c r="R3761">
        <f t="shared" si="232"/>
        <v>97</v>
      </c>
      <c r="S3761" t="str" cm="1">
        <f t="array" ref="S3761">IF(P3761="","",_xlfn.SWITCH(LEFT(P3761,1),"C","Ciudad","T","Pueblo","R","Rural","S","Suburbano","U","Urbano",""))</f>
        <v>Rural</v>
      </c>
      <c r="T3761" t="str">
        <f t="shared" si="233"/>
        <v/>
      </c>
      <c r="U3761" t="str">
        <f t="shared" si="234"/>
        <v>TX</v>
      </c>
      <c r="V3761" t="str">
        <f t="shared" si="235"/>
        <v>13352</v>
      </c>
    </row>
    <row r="3762" spans="1:22" x14ac:dyDescent="0.35">
      <c r="A3762" s="3">
        <v>100218</v>
      </c>
      <c r="B3762" t="s">
        <v>36</v>
      </c>
      <c r="C3762" t="s">
        <v>17</v>
      </c>
      <c r="D3762">
        <v>665</v>
      </c>
      <c r="E3762">
        <v>224</v>
      </c>
      <c r="F3762">
        <v>323</v>
      </c>
      <c r="G3762">
        <v>0</v>
      </c>
      <c r="H3762">
        <v>12187</v>
      </c>
      <c r="I3762">
        <v>1</v>
      </c>
      <c r="J3762">
        <v>90</v>
      </c>
      <c r="K3762">
        <v>246</v>
      </c>
      <c r="L3762">
        <v>276</v>
      </c>
      <c r="M3762">
        <v>5.4666666670000001</v>
      </c>
      <c r="N3762">
        <f>IFERROR(VLOOKUP(A3762,vlookup_table!$A:$G,2,FALSE),"")</f>
        <v>2</v>
      </c>
      <c r="O3762">
        <f>IFERROR(VLOOKUP(A3762,vlookup_table!$A:$G,4,FALSE),"")</f>
        <v>1701</v>
      </c>
      <c r="P3762" t="str">
        <f>IFERROR(VLOOKUP(A3762,vlookup_table!$A:$G,5,FALSE),"")</f>
        <v>U3</v>
      </c>
      <c r="Q3762">
        <f>IFERROR(VLOOKUP(A3762,vlookup_table!$A:$G,7,FALSE),"")</f>
        <v>8</v>
      </c>
      <c r="R3762">
        <f t="shared" si="232"/>
        <v>80</v>
      </c>
      <c r="S3762" t="str" cm="1">
        <f t="array" ref="S3762">IF(P3762="","",_xlfn.SWITCH(LEFT(P3762,1),"C","Ciudad","T","Pueblo","R","Rural","S","Suburbano","U","Urbano",""))</f>
        <v>Urbano</v>
      </c>
      <c r="T3762" t="str">
        <f t="shared" si="233"/>
        <v>F</v>
      </c>
      <c r="U3762" t="str">
        <f t="shared" si="234"/>
        <v>MO</v>
      </c>
      <c r="V3762" t="str">
        <f t="shared" si="235"/>
        <v>12187</v>
      </c>
    </row>
    <row r="3763" spans="1:22" x14ac:dyDescent="0.35">
      <c r="A3763" s="3">
        <v>14154</v>
      </c>
      <c r="B3763" t="s">
        <v>43</v>
      </c>
      <c r="C3763" t="s">
        <v>17</v>
      </c>
      <c r="D3763">
        <v>801</v>
      </c>
      <c r="E3763">
        <v>393</v>
      </c>
      <c r="F3763">
        <v>473</v>
      </c>
      <c r="G3763">
        <v>0</v>
      </c>
      <c r="H3763">
        <v>16846</v>
      </c>
      <c r="I3763">
        <v>0</v>
      </c>
      <c r="J3763">
        <v>42</v>
      </c>
      <c r="K3763">
        <v>488</v>
      </c>
      <c r="L3763">
        <v>409</v>
      </c>
      <c r="M3763">
        <v>16.5</v>
      </c>
      <c r="N3763">
        <f>IFERROR(VLOOKUP(A3763,vlookup_table!$A:$G,2,FALSE),"")</f>
        <v>0</v>
      </c>
      <c r="O3763">
        <f>IFERROR(VLOOKUP(A3763,vlookup_table!$A:$G,4,FALSE),"")</f>
        <v>2201</v>
      </c>
      <c r="P3763" t="str">
        <f>IFERROR(VLOOKUP(A3763,vlookup_table!$A:$G,5,FALSE),"")</f>
        <v>T1</v>
      </c>
      <c r="Q3763">
        <f>IFERROR(VLOOKUP(A3763,vlookup_table!$A:$G,7,FALSE),"")</f>
        <v>15</v>
      </c>
      <c r="R3763">
        <f t="shared" si="232"/>
        <v>75</v>
      </c>
      <c r="S3763" t="str" cm="1">
        <f t="array" ref="S3763">IF(P3763="","",_xlfn.SWITCH(LEFT(P3763,1),"C","Ciudad","T","Pueblo","R","Rural","S","Suburbano","U","Urbano",""))</f>
        <v>Pueblo</v>
      </c>
      <c r="T3763" t="str">
        <f t="shared" si="233"/>
        <v>F</v>
      </c>
      <c r="U3763" t="str">
        <f t="shared" si="234"/>
        <v>AL</v>
      </c>
      <c r="V3763" t="str">
        <f t="shared" si="235"/>
        <v>16846</v>
      </c>
    </row>
    <row r="3764" spans="1:22" x14ac:dyDescent="0.35">
      <c r="A3764" s="3">
        <v>16014</v>
      </c>
      <c r="B3764" t="s">
        <v>18</v>
      </c>
      <c r="C3764" t="s">
        <v>14</v>
      </c>
      <c r="D3764">
        <v>628</v>
      </c>
      <c r="E3764">
        <v>322</v>
      </c>
      <c r="F3764">
        <v>399</v>
      </c>
      <c r="G3764">
        <v>1</v>
      </c>
      <c r="H3764">
        <v>13033</v>
      </c>
      <c r="I3764">
        <v>0</v>
      </c>
      <c r="J3764">
        <v>85</v>
      </c>
      <c r="K3764">
        <v>363</v>
      </c>
      <c r="L3764">
        <v>362</v>
      </c>
      <c r="M3764">
        <v>10.53846154</v>
      </c>
      <c r="N3764">
        <f>IFERROR(VLOOKUP(A3764,vlookup_table!$A:$G,2,FALSE),"")</f>
        <v>1</v>
      </c>
      <c r="O3764">
        <f>IFERROR(VLOOKUP(A3764,vlookup_table!$A:$G,4,FALSE),"")</f>
        <v>0</v>
      </c>
      <c r="P3764" t="str">
        <f>IFERROR(VLOOKUP(A3764,vlookup_table!$A:$G,5,FALSE),"")</f>
        <v>T2</v>
      </c>
      <c r="Q3764">
        <f>IFERROR(VLOOKUP(A3764,vlookup_table!$A:$G,7,FALSE),"")</f>
        <v>10</v>
      </c>
      <c r="R3764">
        <f t="shared" si="232"/>
        <v>97</v>
      </c>
      <c r="S3764" t="str" cm="1">
        <f t="array" ref="S3764">IF(P3764="","",_xlfn.SWITCH(LEFT(P3764,1),"C","Ciudad","T","Pueblo","R","Rural","S","Suburbano","U","Urbano",""))</f>
        <v>Pueblo</v>
      </c>
      <c r="T3764" t="str">
        <f t="shared" si="233"/>
        <v>M</v>
      </c>
      <c r="U3764" t="str">
        <f t="shared" si="234"/>
        <v>NC</v>
      </c>
      <c r="V3764" t="str">
        <f t="shared" si="235"/>
        <v>13033</v>
      </c>
    </row>
    <row r="3765" spans="1:22" x14ac:dyDescent="0.35">
      <c r="A3765" s="3">
        <v>140723</v>
      </c>
      <c r="B3765" t="s">
        <v>21</v>
      </c>
      <c r="C3765" t="s">
        <v>14</v>
      </c>
      <c r="D3765">
        <v>729</v>
      </c>
      <c r="E3765">
        <v>402</v>
      </c>
      <c r="F3765">
        <v>500</v>
      </c>
      <c r="G3765">
        <v>0</v>
      </c>
      <c r="H3765">
        <v>18754</v>
      </c>
      <c r="I3765">
        <v>2</v>
      </c>
      <c r="J3765">
        <v>43</v>
      </c>
      <c r="K3765">
        <v>434</v>
      </c>
      <c r="L3765">
        <v>442</v>
      </c>
      <c r="M3765">
        <v>17.666666670000001</v>
      </c>
      <c r="N3765">
        <f>IFERROR(VLOOKUP(A3765,vlookup_table!$A:$G,2,FALSE),"")</f>
        <v>1</v>
      </c>
      <c r="O3765">
        <f>IFERROR(VLOOKUP(A3765,vlookup_table!$A:$G,4,FALSE),"")</f>
        <v>2009</v>
      </c>
      <c r="P3765" t="str">
        <f>IFERROR(VLOOKUP(A3765,vlookup_table!$A:$G,5,FALSE),"")</f>
        <v>C1</v>
      </c>
      <c r="Q3765">
        <f>IFERROR(VLOOKUP(A3765,vlookup_table!$A:$G,7,FALSE),"")</f>
        <v>40</v>
      </c>
      <c r="R3765">
        <f t="shared" si="232"/>
        <v>77</v>
      </c>
      <c r="S3765" t="str" cm="1">
        <f t="array" ref="S3765">IF(P3765="","",_xlfn.SWITCH(LEFT(P3765,1),"C","Ciudad","T","Pueblo","R","Rural","S","Suburbano","U","Urbano",""))</f>
        <v>Ciudad</v>
      </c>
      <c r="T3765" t="str">
        <f t="shared" si="233"/>
        <v>M</v>
      </c>
      <c r="U3765" t="str">
        <f t="shared" si="234"/>
        <v>TX</v>
      </c>
      <c r="V3765" t="str">
        <f t="shared" si="235"/>
        <v>18754</v>
      </c>
    </row>
    <row r="3766" spans="1:22" x14ac:dyDescent="0.35">
      <c r="A3766" s="3">
        <v>169346</v>
      </c>
      <c r="B3766" t="s">
        <v>22</v>
      </c>
      <c r="C3766" t="s">
        <v>17</v>
      </c>
      <c r="D3766">
        <v>818</v>
      </c>
      <c r="E3766">
        <v>156</v>
      </c>
      <c r="F3766">
        <v>192</v>
      </c>
      <c r="G3766">
        <v>1</v>
      </c>
      <c r="H3766">
        <v>5422</v>
      </c>
      <c r="I3766">
        <v>16</v>
      </c>
      <c r="J3766">
        <v>65</v>
      </c>
      <c r="K3766">
        <v>155</v>
      </c>
      <c r="L3766">
        <v>195</v>
      </c>
      <c r="M3766">
        <v>7.6428571429999996</v>
      </c>
      <c r="N3766">
        <f>IFERROR(VLOOKUP(A3766,vlookup_table!$A:$G,2,FALSE),"")</f>
        <v>0</v>
      </c>
      <c r="O3766">
        <f>IFERROR(VLOOKUP(A3766,vlookup_table!$A:$G,4,FALSE),"")</f>
        <v>5101</v>
      </c>
      <c r="P3766" t="str">
        <f>IFERROR(VLOOKUP(A3766,vlookup_table!$A:$G,5,FALSE),"")</f>
        <v>C3</v>
      </c>
      <c r="Q3766">
        <f>IFERROR(VLOOKUP(A3766,vlookup_table!$A:$G,7,FALSE),"")</f>
        <v>10</v>
      </c>
      <c r="R3766">
        <f t="shared" si="232"/>
        <v>46</v>
      </c>
      <c r="S3766" t="str" cm="1">
        <f t="array" ref="S3766">IF(P3766="","",_xlfn.SWITCH(LEFT(P3766,1),"C","Ciudad","T","Pueblo","R","Rural","S","Suburbano","U","Urbano",""))</f>
        <v>Ciudad</v>
      </c>
      <c r="T3766" t="str">
        <f t="shared" si="233"/>
        <v>F</v>
      </c>
      <c r="U3766" t="str">
        <f t="shared" si="234"/>
        <v>CA</v>
      </c>
      <c r="V3766" t="str">
        <f t="shared" si="235"/>
        <v>5422</v>
      </c>
    </row>
    <row r="3767" spans="1:22" x14ac:dyDescent="0.35">
      <c r="A3767" s="3">
        <v>61536</v>
      </c>
      <c r="B3767" t="s">
        <v>33</v>
      </c>
      <c r="C3767" t="s">
        <v>14</v>
      </c>
      <c r="D3767">
        <v>561</v>
      </c>
      <c r="E3767">
        <v>363</v>
      </c>
      <c r="F3767">
        <v>422</v>
      </c>
      <c r="G3767">
        <v>0</v>
      </c>
      <c r="H3767">
        <v>15208</v>
      </c>
      <c r="I3767">
        <v>4</v>
      </c>
      <c r="J3767">
        <v>73</v>
      </c>
      <c r="K3767">
        <v>376</v>
      </c>
      <c r="L3767">
        <v>386</v>
      </c>
      <c r="M3767">
        <v>12.5</v>
      </c>
      <c r="N3767">
        <f>IFERROR(VLOOKUP(A3767,vlookup_table!$A:$G,2,FALSE),"")</f>
        <v>0</v>
      </c>
      <c r="O3767">
        <f>IFERROR(VLOOKUP(A3767,vlookup_table!$A:$G,4,FALSE),"")</f>
        <v>0</v>
      </c>
      <c r="P3767" t="str">
        <f>IFERROR(VLOOKUP(A3767,vlookup_table!$A:$G,5,FALSE),"")</f>
        <v>C3</v>
      </c>
      <c r="Q3767">
        <f>IFERROR(VLOOKUP(A3767,vlookup_table!$A:$G,7,FALSE),"")</f>
        <v>25</v>
      </c>
      <c r="R3767">
        <f t="shared" si="232"/>
        <v>97</v>
      </c>
      <c r="S3767" t="str" cm="1">
        <f t="array" ref="S3767">IF(P3767="","",_xlfn.SWITCH(LEFT(P3767,1),"C","Ciudad","T","Pueblo","R","Rural","S","Suburbano","U","Urbano",""))</f>
        <v>Ciudad</v>
      </c>
      <c r="T3767" t="str">
        <f t="shared" si="233"/>
        <v>M</v>
      </c>
      <c r="U3767" t="str">
        <f t="shared" si="234"/>
        <v>IN</v>
      </c>
      <c r="V3767" t="str">
        <f t="shared" si="235"/>
        <v>15208</v>
      </c>
    </row>
    <row r="3768" spans="1:22" x14ac:dyDescent="0.35">
      <c r="A3768" s="3">
        <v>154544</v>
      </c>
      <c r="B3768" t="s">
        <v>22</v>
      </c>
      <c r="C3768" t="s">
        <v>17</v>
      </c>
      <c r="D3768">
        <v>653</v>
      </c>
      <c r="E3768">
        <v>194</v>
      </c>
      <c r="F3768">
        <v>292</v>
      </c>
      <c r="G3768">
        <v>2</v>
      </c>
      <c r="H3768">
        <v>12177</v>
      </c>
      <c r="I3768">
        <v>5</v>
      </c>
      <c r="J3768">
        <v>35</v>
      </c>
      <c r="K3768">
        <v>218</v>
      </c>
      <c r="L3768">
        <v>252</v>
      </c>
      <c r="M3768">
        <v>7.9356666669999996</v>
      </c>
      <c r="N3768">
        <f>IFERROR(VLOOKUP(A3768,vlookup_table!$A:$G,2,FALSE),"")</f>
        <v>2</v>
      </c>
      <c r="O3768">
        <f>IFERROR(VLOOKUP(A3768,vlookup_table!$A:$G,4,FALSE),"")</f>
        <v>5304</v>
      </c>
      <c r="P3768" t="str">
        <f>IFERROR(VLOOKUP(A3768,vlookup_table!$A:$G,5,FALSE),"")</f>
        <v>T2</v>
      </c>
      <c r="Q3768">
        <f>IFERROR(VLOOKUP(A3768,vlookup_table!$A:$G,7,FALSE),"")</f>
        <v>20</v>
      </c>
      <c r="R3768">
        <f t="shared" si="232"/>
        <v>44</v>
      </c>
      <c r="S3768" t="str" cm="1">
        <f t="array" ref="S3768">IF(P3768="","",_xlfn.SWITCH(LEFT(P3768,1),"C","Ciudad","T","Pueblo","R","Rural","S","Suburbano","U","Urbano",""))</f>
        <v>Pueblo</v>
      </c>
      <c r="T3768" t="str">
        <f t="shared" si="233"/>
        <v>F</v>
      </c>
      <c r="U3768" t="str">
        <f t="shared" si="234"/>
        <v>CA</v>
      </c>
      <c r="V3768" t="str">
        <f t="shared" si="235"/>
        <v>12177</v>
      </c>
    </row>
    <row r="3769" spans="1:22" x14ac:dyDescent="0.35">
      <c r="A3769" s="3">
        <v>185149</v>
      </c>
      <c r="B3769" t="s">
        <v>16</v>
      </c>
      <c r="C3769" t="s">
        <v>14</v>
      </c>
      <c r="D3769">
        <v>396</v>
      </c>
      <c r="E3769">
        <v>280</v>
      </c>
      <c r="F3769">
        <v>368</v>
      </c>
      <c r="G3769">
        <v>0</v>
      </c>
      <c r="H3769">
        <v>12044</v>
      </c>
      <c r="I3769">
        <v>1</v>
      </c>
      <c r="J3769">
        <v>78</v>
      </c>
      <c r="K3769">
        <v>318</v>
      </c>
      <c r="L3769">
        <v>335</v>
      </c>
      <c r="M3769">
        <v>8.6470588240000001</v>
      </c>
      <c r="N3769">
        <f>IFERROR(VLOOKUP(A3769,vlookup_table!$A:$G,2,FALSE),"")</f>
        <v>2</v>
      </c>
      <c r="O3769">
        <f>IFERROR(VLOOKUP(A3769,vlookup_table!$A:$G,4,FALSE),"")</f>
        <v>2103</v>
      </c>
      <c r="P3769" t="str">
        <f>IFERROR(VLOOKUP(A3769,vlookup_table!$A:$G,5,FALSE),"")</f>
        <v>T3</v>
      </c>
      <c r="Q3769">
        <f>IFERROR(VLOOKUP(A3769,vlookup_table!$A:$G,7,FALSE),"")</f>
        <v>5</v>
      </c>
      <c r="R3769">
        <f t="shared" si="232"/>
        <v>76</v>
      </c>
      <c r="S3769" t="str" cm="1">
        <f t="array" ref="S3769">IF(P3769="","",_xlfn.SWITCH(LEFT(P3769,1),"C","Ciudad","T","Pueblo","R","Rural","S","Suburbano","U","Urbano",""))</f>
        <v>Pueblo</v>
      </c>
      <c r="T3769" t="str">
        <f t="shared" si="233"/>
        <v>M</v>
      </c>
      <c r="U3769" t="str">
        <f t="shared" si="234"/>
        <v>IL</v>
      </c>
      <c r="V3769" t="str">
        <f t="shared" si="235"/>
        <v>12044</v>
      </c>
    </row>
    <row r="3770" spans="1:22" x14ac:dyDescent="0.35">
      <c r="A3770" s="3">
        <v>186251</v>
      </c>
      <c r="B3770" t="s">
        <v>22</v>
      </c>
      <c r="C3770" t="s">
        <v>17</v>
      </c>
      <c r="D3770">
        <v>3836</v>
      </c>
      <c r="E3770">
        <v>491</v>
      </c>
      <c r="F3770">
        <v>706</v>
      </c>
      <c r="G3770">
        <v>95</v>
      </c>
      <c r="H3770">
        <v>32838</v>
      </c>
      <c r="I3770">
        <v>4</v>
      </c>
      <c r="J3770">
        <v>41</v>
      </c>
      <c r="K3770">
        <v>616</v>
      </c>
      <c r="L3770">
        <v>579</v>
      </c>
      <c r="M3770">
        <v>13.06666667</v>
      </c>
      <c r="N3770">
        <f>IFERROR(VLOOKUP(A3770,vlookup_table!$A:$G,2,FALSE),"")</f>
        <v>0</v>
      </c>
      <c r="O3770">
        <f>IFERROR(VLOOKUP(A3770,vlookup_table!$A:$G,4,FALSE),"")</f>
        <v>1002</v>
      </c>
      <c r="P3770" t="str">
        <f>IFERROR(VLOOKUP(A3770,vlookup_table!$A:$G,5,FALSE),"")</f>
        <v>U1</v>
      </c>
      <c r="Q3770">
        <f>IFERROR(VLOOKUP(A3770,vlookup_table!$A:$G,7,FALSE),"")</f>
        <v>17</v>
      </c>
      <c r="R3770">
        <f t="shared" si="232"/>
        <v>87</v>
      </c>
      <c r="S3770" t="str" cm="1">
        <f t="array" ref="S3770">IF(P3770="","",_xlfn.SWITCH(LEFT(P3770,1),"C","Ciudad","T","Pueblo","R","Rural","S","Suburbano","U","Urbano",""))</f>
        <v>Urbano</v>
      </c>
      <c r="T3770" t="str">
        <f t="shared" si="233"/>
        <v>F</v>
      </c>
      <c r="U3770" t="str">
        <f t="shared" si="234"/>
        <v>CA</v>
      </c>
      <c r="V3770" t="str">
        <f t="shared" si="235"/>
        <v>32838</v>
      </c>
    </row>
    <row r="3771" spans="1:22" x14ac:dyDescent="0.35">
      <c r="A3771" s="3">
        <v>44582</v>
      </c>
      <c r="B3771" t="s">
        <v>13</v>
      </c>
      <c r="C3771" t="s">
        <v>14</v>
      </c>
      <c r="D3771">
        <v>427</v>
      </c>
      <c r="E3771">
        <v>162</v>
      </c>
      <c r="F3771">
        <v>215</v>
      </c>
      <c r="G3771">
        <v>0</v>
      </c>
      <c r="H3771">
        <v>10083</v>
      </c>
      <c r="I3771">
        <v>7</v>
      </c>
      <c r="J3771">
        <v>8</v>
      </c>
      <c r="K3771">
        <v>194</v>
      </c>
      <c r="L3771">
        <v>168</v>
      </c>
      <c r="M3771">
        <v>3.3571428569999999</v>
      </c>
      <c r="N3771">
        <f>IFERROR(VLOOKUP(A3771,vlookup_table!$A:$G,2,FALSE),"")</f>
        <v>1</v>
      </c>
      <c r="O3771">
        <f>IFERROR(VLOOKUP(A3771,vlookup_table!$A:$G,4,FALSE),"")</f>
        <v>1901</v>
      </c>
      <c r="P3771" t="str">
        <f>IFERROR(VLOOKUP(A3771,vlookup_table!$A:$G,5,FALSE),"")</f>
        <v>T3</v>
      </c>
      <c r="Q3771">
        <f>IFERROR(VLOOKUP(A3771,vlookup_table!$A:$G,7,FALSE),"")</f>
        <v>5</v>
      </c>
      <c r="R3771">
        <f t="shared" si="232"/>
        <v>78</v>
      </c>
      <c r="S3771" t="str" cm="1">
        <f t="array" ref="S3771">IF(P3771="","",_xlfn.SWITCH(LEFT(P3771,1),"C","Ciudad","T","Pueblo","R","Rural","S","Suburbano","U","Urbano",""))</f>
        <v>Pueblo</v>
      </c>
      <c r="T3771" t="str">
        <f t="shared" si="233"/>
        <v>M</v>
      </c>
      <c r="U3771" t="str">
        <f t="shared" si="234"/>
        <v>FL</v>
      </c>
      <c r="V3771" t="str">
        <f t="shared" si="235"/>
        <v>10083</v>
      </c>
    </row>
    <row r="3772" spans="1:22" x14ac:dyDescent="0.35">
      <c r="A3772" s="3">
        <v>177516</v>
      </c>
      <c r="B3772" t="s">
        <v>50</v>
      </c>
      <c r="C3772" t="s">
        <v>14</v>
      </c>
      <c r="D3772">
        <v>718</v>
      </c>
      <c r="E3772">
        <v>193</v>
      </c>
      <c r="F3772">
        <v>311</v>
      </c>
      <c r="G3772">
        <v>1</v>
      </c>
      <c r="H3772">
        <v>11481</v>
      </c>
      <c r="I3772">
        <v>3</v>
      </c>
      <c r="J3772">
        <v>36</v>
      </c>
      <c r="K3772">
        <v>243</v>
      </c>
      <c r="L3772">
        <v>274</v>
      </c>
      <c r="M3772">
        <v>13.42857143</v>
      </c>
      <c r="N3772">
        <f>IFERROR(VLOOKUP(A3772,vlookup_table!$A:$G,2,FALSE),"")</f>
        <v>1</v>
      </c>
      <c r="O3772">
        <f>IFERROR(VLOOKUP(A3772,vlookup_table!$A:$G,4,FALSE),"")</f>
        <v>2102</v>
      </c>
      <c r="P3772" t="str">
        <f>IFERROR(VLOOKUP(A3772,vlookup_table!$A:$G,5,FALSE),"")</f>
        <v>R2</v>
      </c>
      <c r="Q3772">
        <f>IFERROR(VLOOKUP(A3772,vlookup_table!$A:$G,7,FALSE),"")</f>
        <v>37</v>
      </c>
      <c r="R3772">
        <f t="shared" si="232"/>
        <v>76</v>
      </c>
      <c r="S3772" t="str" cm="1">
        <f t="array" ref="S3772">IF(P3772="","",_xlfn.SWITCH(LEFT(P3772,1),"C","Ciudad","T","Pueblo","R","Rural","S","Suburbano","U","Urbano",""))</f>
        <v>Rural</v>
      </c>
      <c r="T3772" t="str">
        <f t="shared" si="233"/>
        <v>M</v>
      </c>
      <c r="U3772" t="str">
        <f t="shared" si="234"/>
        <v>OR</v>
      </c>
      <c r="V3772" t="str">
        <f t="shared" si="235"/>
        <v>11481</v>
      </c>
    </row>
    <row r="3773" spans="1:22" x14ac:dyDescent="0.35">
      <c r="A3773" s="3">
        <v>107693</v>
      </c>
      <c r="B3773" t="s">
        <v>59</v>
      </c>
      <c r="C3773" t="s">
        <v>17</v>
      </c>
      <c r="D3773">
        <v>259</v>
      </c>
      <c r="E3773">
        <v>265</v>
      </c>
      <c r="F3773">
        <v>349</v>
      </c>
      <c r="G3773">
        <v>0</v>
      </c>
      <c r="H3773">
        <v>11187</v>
      </c>
      <c r="I3773">
        <v>0</v>
      </c>
      <c r="J3773">
        <v>85</v>
      </c>
      <c r="K3773">
        <v>311</v>
      </c>
      <c r="L3773">
        <v>316</v>
      </c>
      <c r="M3773">
        <v>7.346153846</v>
      </c>
      <c r="N3773">
        <f>IFERROR(VLOOKUP(A3773,vlookup_table!$A:$G,2,FALSE),"")</f>
        <v>0</v>
      </c>
      <c r="O3773">
        <f>IFERROR(VLOOKUP(A3773,vlookup_table!$A:$G,4,FALSE),"")</f>
        <v>4401</v>
      </c>
      <c r="P3773" t="str">
        <f>IFERROR(VLOOKUP(A3773,vlookup_table!$A:$G,5,FALSE),"")</f>
        <v>R2</v>
      </c>
      <c r="Q3773">
        <f>IFERROR(VLOOKUP(A3773,vlookup_table!$A:$G,7,FALSE),"")</f>
        <v>10</v>
      </c>
      <c r="R3773">
        <f t="shared" si="232"/>
        <v>53</v>
      </c>
      <c r="S3773" t="str" cm="1">
        <f t="array" ref="S3773">IF(P3773="","",_xlfn.SWITCH(LEFT(P3773,1),"C","Ciudad","T","Pueblo","R","Rural","S","Suburbano","U","Urbano",""))</f>
        <v>Rural</v>
      </c>
      <c r="T3773" t="str">
        <f t="shared" si="233"/>
        <v>F</v>
      </c>
      <c r="U3773" t="str">
        <f t="shared" si="234"/>
        <v>NE</v>
      </c>
      <c r="V3773" t="str">
        <f t="shared" si="235"/>
        <v>11187</v>
      </c>
    </row>
    <row r="3774" spans="1:22" x14ac:dyDescent="0.35">
      <c r="A3774" s="3">
        <v>33512</v>
      </c>
      <c r="B3774" t="s">
        <v>13</v>
      </c>
      <c r="C3774" t="s">
        <v>17</v>
      </c>
      <c r="D3774">
        <v>397</v>
      </c>
      <c r="E3774">
        <v>138</v>
      </c>
      <c r="F3774">
        <v>245</v>
      </c>
      <c r="G3774">
        <v>1</v>
      </c>
      <c r="H3774">
        <v>7456</v>
      </c>
      <c r="I3774">
        <v>1</v>
      </c>
      <c r="J3774">
        <v>71</v>
      </c>
      <c r="K3774">
        <v>168</v>
      </c>
      <c r="L3774">
        <v>216</v>
      </c>
      <c r="M3774">
        <v>13</v>
      </c>
      <c r="N3774">
        <f>IFERROR(VLOOKUP(A3774,vlookup_table!$A:$G,2,FALSE),"")</f>
        <v>0</v>
      </c>
      <c r="O3774">
        <f>IFERROR(VLOOKUP(A3774,vlookup_table!$A:$G,4,FALSE),"")</f>
        <v>3401</v>
      </c>
      <c r="P3774" t="str">
        <f>IFERROR(VLOOKUP(A3774,vlookup_table!$A:$G,5,FALSE),"")</f>
        <v>R3</v>
      </c>
      <c r="Q3774">
        <f>IFERROR(VLOOKUP(A3774,vlookup_table!$A:$G,7,FALSE),"")</f>
        <v>19</v>
      </c>
      <c r="R3774">
        <f t="shared" si="232"/>
        <v>63</v>
      </c>
      <c r="S3774" t="str" cm="1">
        <f t="array" ref="S3774">IF(P3774="","",_xlfn.SWITCH(LEFT(P3774,1),"C","Ciudad","T","Pueblo","R","Rural","S","Suburbano","U","Urbano",""))</f>
        <v>Rural</v>
      </c>
      <c r="T3774" t="str">
        <f t="shared" si="233"/>
        <v>F</v>
      </c>
      <c r="U3774" t="str">
        <f t="shared" si="234"/>
        <v>FL</v>
      </c>
      <c r="V3774" t="str">
        <f t="shared" si="235"/>
        <v>7456</v>
      </c>
    </row>
    <row r="3775" spans="1:22" x14ac:dyDescent="0.35">
      <c r="A3775" s="3">
        <v>105431</v>
      </c>
      <c r="B3775" t="s">
        <v>28</v>
      </c>
      <c r="C3775" t="s">
        <v>14</v>
      </c>
      <c r="D3775">
        <v>332</v>
      </c>
      <c r="E3775">
        <v>218</v>
      </c>
      <c r="F3775">
        <v>330</v>
      </c>
      <c r="G3775">
        <v>0</v>
      </c>
      <c r="H3775">
        <v>11739</v>
      </c>
      <c r="I3775">
        <v>1</v>
      </c>
      <c r="J3775">
        <v>81</v>
      </c>
      <c r="K3775">
        <v>278</v>
      </c>
      <c r="L3775">
        <v>269</v>
      </c>
      <c r="M3775">
        <v>11.4</v>
      </c>
      <c r="N3775">
        <f>IFERROR(VLOOKUP(A3775,vlookup_table!$A:$G,2,FALSE),"")</f>
        <v>1</v>
      </c>
      <c r="O3775">
        <f>IFERROR(VLOOKUP(A3775,vlookup_table!$A:$G,4,FALSE),"")</f>
        <v>4301</v>
      </c>
      <c r="P3775" t="str">
        <f>IFERROR(VLOOKUP(A3775,vlookup_table!$A:$G,5,FALSE),"")</f>
        <v>R2</v>
      </c>
      <c r="Q3775">
        <f>IFERROR(VLOOKUP(A3775,vlookup_table!$A:$G,7,FALSE),"")</f>
        <v>25</v>
      </c>
      <c r="R3775">
        <f t="shared" si="232"/>
        <v>54</v>
      </c>
      <c r="S3775" t="str" cm="1">
        <f t="array" ref="S3775">IF(P3775="","",_xlfn.SWITCH(LEFT(P3775,1),"C","Ciudad","T","Pueblo","R","Rural","S","Suburbano","U","Urbano",""))</f>
        <v>Rural</v>
      </c>
      <c r="T3775" t="str">
        <f t="shared" si="233"/>
        <v>M</v>
      </c>
      <c r="U3775" t="str">
        <f t="shared" si="234"/>
        <v>KS</v>
      </c>
      <c r="V3775" t="str">
        <f t="shared" si="235"/>
        <v>11739</v>
      </c>
    </row>
    <row r="3776" spans="1:22" x14ac:dyDescent="0.35">
      <c r="A3776" s="3">
        <v>188639</v>
      </c>
      <c r="B3776" t="s">
        <v>50</v>
      </c>
      <c r="C3776" t="s">
        <v>14</v>
      </c>
      <c r="D3776">
        <v>932</v>
      </c>
      <c r="E3776">
        <v>442</v>
      </c>
      <c r="F3776">
        <v>558</v>
      </c>
      <c r="G3776">
        <v>2</v>
      </c>
      <c r="H3776">
        <v>22287</v>
      </c>
      <c r="I3776">
        <v>4</v>
      </c>
      <c r="J3776">
        <v>43</v>
      </c>
      <c r="K3776">
        <v>506</v>
      </c>
      <c r="L3776">
        <v>519</v>
      </c>
      <c r="M3776">
        <v>18.266666669999999</v>
      </c>
      <c r="N3776">
        <f>IFERROR(VLOOKUP(A3776,vlookup_table!$A:$G,2,FALSE),"")</f>
        <v>1</v>
      </c>
      <c r="O3776">
        <f>IFERROR(VLOOKUP(A3776,vlookup_table!$A:$G,4,FALSE),"")</f>
        <v>2401</v>
      </c>
      <c r="P3776" t="str">
        <f>IFERROR(VLOOKUP(A3776,vlookup_table!$A:$G,5,FALSE),"")</f>
        <v>C1</v>
      </c>
      <c r="Q3776">
        <f>IFERROR(VLOOKUP(A3776,vlookup_table!$A:$G,7,FALSE),"")</f>
        <v>24</v>
      </c>
      <c r="R3776">
        <f t="shared" si="232"/>
        <v>73</v>
      </c>
      <c r="S3776" t="str" cm="1">
        <f t="array" ref="S3776">IF(P3776="","",_xlfn.SWITCH(LEFT(P3776,1),"C","Ciudad","T","Pueblo","R","Rural","S","Suburbano","U","Urbano",""))</f>
        <v>Ciudad</v>
      </c>
      <c r="T3776" t="str">
        <f t="shared" si="233"/>
        <v>M</v>
      </c>
      <c r="U3776" t="str">
        <f t="shared" si="234"/>
        <v>OR</v>
      </c>
      <c r="V3776" t="str">
        <f t="shared" si="235"/>
        <v>22287</v>
      </c>
    </row>
    <row r="3777" spans="1:22" x14ac:dyDescent="0.35">
      <c r="A3777" s="3">
        <v>36472</v>
      </c>
      <c r="B3777" t="s">
        <v>13</v>
      </c>
      <c r="C3777" t="s">
        <v>17</v>
      </c>
      <c r="D3777">
        <v>2250</v>
      </c>
      <c r="E3777">
        <v>254</v>
      </c>
      <c r="F3777">
        <v>415</v>
      </c>
      <c r="G3777">
        <v>55</v>
      </c>
      <c r="H3777">
        <v>24752</v>
      </c>
      <c r="I3777">
        <v>28</v>
      </c>
      <c r="J3777">
        <v>1</v>
      </c>
      <c r="K3777">
        <v>319</v>
      </c>
      <c r="L3777">
        <v>333</v>
      </c>
      <c r="M3777">
        <v>7.1428571429999996</v>
      </c>
      <c r="N3777">
        <f>IFERROR(VLOOKUP(A3777,vlookup_table!$A:$G,2,FALSE),"")</f>
        <v>0</v>
      </c>
      <c r="O3777">
        <f>IFERROR(VLOOKUP(A3777,vlookup_table!$A:$G,4,FALSE),"")</f>
        <v>4001</v>
      </c>
      <c r="P3777" t="str">
        <f>IFERROR(VLOOKUP(A3777,vlookup_table!$A:$G,5,FALSE),"")</f>
        <v>C1</v>
      </c>
      <c r="Q3777">
        <f>IFERROR(VLOOKUP(A3777,vlookup_table!$A:$G,7,FALSE),"")</f>
        <v>13</v>
      </c>
      <c r="R3777">
        <f t="shared" si="232"/>
        <v>57</v>
      </c>
      <c r="S3777" t="str" cm="1">
        <f t="array" ref="S3777">IF(P3777="","",_xlfn.SWITCH(LEFT(P3777,1),"C","Ciudad","T","Pueblo","R","Rural","S","Suburbano","U","Urbano",""))</f>
        <v>Ciudad</v>
      </c>
      <c r="T3777" t="str">
        <f t="shared" si="233"/>
        <v>F</v>
      </c>
      <c r="U3777" t="str">
        <f t="shared" si="234"/>
        <v>FL</v>
      </c>
      <c r="V3777" t="str">
        <f t="shared" si="235"/>
        <v>24752</v>
      </c>
    </row>
    <row r="3778" spans="1:22" x14ac:dyDescent="0.35">
      <c r="A3778" s="3">
        <v>166864</v>
      </c>
      <c r="B3778" t="s">
        <v>22</v>
      </c>
      <c r="C3778" t="s">
        <v>17</v>
      </c>
      <c r="D3778">
        <v>5222</v>
      </c>
      <c r="E3778">
        <v>799</v>
      </c>
      <c r="F3778">
        <v>966</v>
      </c>
      <c r="G3778">
        <v>98</v>
      </c>
      <c r="H3778">
        <v>40664</v>
      </c>
      <c r="I3778">
        <v>3</v>
      </c>
      <c r="J3778">
        <v>58</v>
      </c>
      <c r="K3778">
        <v>906</v>
      </c>
      <c r="L3778">
        <v>843</v>
      </c>
      <c r="M3778">
        <v>15</v>
      </c>
      <c r="N3778">
        <f>IFERROR(VLOOKUP(A3778,vlookup_table!$A:$G,2,FALSE),"")</f>
        <v>0</v>
      </c>
      <c r="O3778">
        <f>IFERROR(VLOOKUP(A3778,vlookup_table!$A:$G,4,FALSE),"")</f>
        <v>2001</v>
      </c>
      <c r="P3778" t="str">
        <f>IFERROR(VLOOKUP(A3778,vlookup_table!$A:$G,5,FALSE),"")</f>
        <v>S1</v>
      </c>
      <c r="Q3778">
        <f>IFERROR(VLOOKUP(A3778,vlookup_table!$A:$G,7,FALSE),"")</f>
        <v>25</v>
      </c>
      <c r="R3778">
        <f t="shared" ref="R3778:R3841" si="236">IF(O3778="","",97-INT(O3778/100))</f>
        <v>77</v>
      </c>
      <c r="S3778" t="str" cm="1">
        <f t="array" ref="S3778">IF(P3778="","",_xlfn.SWITCH(LEFT(P3778,1),"C","Ciudad","T","Pueblo","R","Rural","S","Suburbano","U","Urbano",""))</f>
        <v>Suburbano</v>
      </c>
      <c r="T3778" t="str">
        <f t="shared" ref="T3778:T3841" si="237">IF(C3778="","",IF(OR(UPPER(C3778)="M",UPPER(C3778)="MALE"),"M",IF(OR(UPPER(C3778)="F",UPPER(C3778)="FEMALE",UPPER(C3778)="FEAMALE"),"F",C3778)))</f>
        <v>F</v>
      </c>
      <c r="U3778" t="str">
        <f t="shared" ref="U3778:U3841" si="238">IF(OR(UPPER(B3778)="CALIFORNIA",UPPER(B3778)="CALI"),"CA",B3778)</f>
        <v>CA</v>
      </c>
      <c r="V3778" t="str">
        <f t="shared" ref="V3778:V3841" si="239">SUBSTITUTE(H3778,"@","")</f>
        <v>40664</v>
      </c>
    </row>
    <row r="3779" spans="1:22" x14ac:dyDescent="0.35">
      <c r="A3779" s="3">
        <v>176680</v>
      </c>
      <c r="B3779" t="s">
        <v>50</v>
      </c>
      <c r="C3779" t="s">
        <v>17</v>
      </c>
      <c r="D3779">
        <v>834</v>
      </c>
      <c r="E3779">
        <v>222</v>
      </c>
      <c r="F3779">
        <v>448</v>
      </c>
      <c r="G3779">
        <v>5</v>
      </c>
      <c r="H3779">
        <v>15044</v>
      </c>
      <c r="I3779">
        <v>5</v>
      </c>
      <c r="J3779">
        <v>39</v>
      </c>
      <c r="K3779">
        <v>377</v>
      </c>
      <c r="L3779">
        <v>306</v>
      </c>
      <c r="M3779">
        <v>7.9166666670000003</v>
      </c>
      <c r="N3779">
        <f>IFERROR(VLOOKUP(A3779,vlookup_table!$A:$G,2,FALSE),"")</f>
        <v>0</v>
      </c>
      <c r="O3779">
        <f>IFERROR(VLOOKUP(A3779,vlookup_table!$A:$G,4,FALSE),"")</f>
        <v>4702</v>
      </c>
      <c r="P3779" t="str">
        <f>IFERROR(VLOOKUP(A3779,vlookup_table!$A:$G,5,FALSE),"")</f>
        <v>C1</v>
      </c>
      <c r="Q3779">
        <f>IFERROR(VLOOKUP(A3779,vlookup_table!$A:$G,7,FALSE),"")</f>
        <v>5</v>
      </c>
      <c r="R3779">
        <f t="shared" si="236"/>
        <v>50</v>
      </c>
      <c r="S3779" t="str" cm="1">
        <f t="array" ref="S3779">IF(P3779="","",_xlfn.SWITCH(LEFT(P3779,1),"C","Ciudad","T","Pueblo","R","Rural","S","Suburbano","U","Urbano",""))</f>
        <v>Ciudad</v>
      </c>
      <c r="T3779" t="str">
        <f t="shared" si="237"/>
        <v>F</v>
      </c>
      <c r="U3779" t="str">
        <f t="shared" si="238"/>
        <v>OR</v>
      </c>
      <c r="V3779" t="str">
        <f t="shared" si="239"/>
        <v>15044</v>
      </c>
    </row>
    <row r="3780" spans="1:22" x14ac:dyDescent="0.35">
      <c r="A3780" s="3">
        <v>49722</v>
      </c>
      <c r="B3780" t="s">
        <v>43</v>
      </c>
      <c r="C3780" t="s">
        <v>17</v>
      </c>
      <c r="D3780">
        <v>1332</v>
      </c>
      <c r="E3780">
        <v>553</v>
      </c>
      <c r="F3780">
        <v>648</v>
      </c>
      <c r="G3780">
        <v>4</v>
      </c>
      <c r="H3780">
        <v>21032</v>
      </c>
      <c r="I3780">
        <v>6</v>
      </c>
      <c r="J3780">
        <v>53</v>
      </c>
      <c r="K3780">
        <v>547</v>
      </c>
      <c r="L3780">
        <v>645</v>
      </c>
      <c r="M3780">
        <v>3.5</v>
      </c>
      <c r="N3780">
        <f>IFERROR(VLOOKUP(A3780,vlookup_table!$A:$G,2,FALSE),"")</f>
        <v>0</v>
      </c>
      <c r="O3780">
        <f>IFERROR(VLOOKUP(A3780,vlookup_table!$A:$G,4,FALSE),"")</f>
        <v>0</v>
      </c>
      <c r="P3780" t="str">
        <f>IFERROR(VLOOKUP(A3780,vlookup_table!$A:$G,5,FALSE),"")</f>
        <v>R2</v>
      </c>
      <c r="Q3780">
        <f>IFERROR(VLOOKUP(A3780,vlookup_table!$A:$G,7,FALSE),"")</f>
        <v>3</v>
      </c>
      <c r="R3780">
        <f t="shared" si="236"/>
        <v>97</v>
      </c>
      <c r="S3780" t="str" cm="1">
        <f t="array" ref="S3780">IF(P3780="","",_xlfn.SWITCH(LEFT(P3780,1),"C","Ciudad","T","Pueblo","R","Rural","S","Suburbano","U","Urbano",""))</f>
        <v>Rural</v>
      </c>
      <c r="T3780" t="str">
        <f t="shared" si="237"/>
        <v>F</v>
      </c>
      <c r="U3780" t="str">
        <f t="shared" si="238"/>
        <v>AL</v>
      </c>
      <c r="V3780" t="str">
        <f t="shared" si="239"/>
        <v>21032</v>
      </c>
    </row>
    <row r="3781" spans="1:22" x14ac:dyDescent="0.35">
      <c r="A3781" s="3">
        <v>191528</v>
      </c>
      <c r="B3781" t="s">
        <v>21</v>
      </c>
      <c r="C3781" t="s">
        <v>17</v>
      </c>
      <c r="D3781">
        <v>814</v>
      </c>
      <c r="E3781">
        <v>498</v>
      </c>
      <c r="F3781">
        <v>550</v>
      </c>
      <c r="G3781">
        <v>0</v>
      </c>
      <c r="H3781">
        <v>16756</v>
      </c>
      <c r="I3781">
        <v>5</v>
      </c>
      <c r="J3781">
        <v>64</v>
      </c>
      <c r="K3781">
        <v>518</v>
      </c>
      <c r="L3781">
        <v>532</v>
      </c>
      <c r="M3781">
        <v>8.5</v>
      </c>
      <c r="N3781">
        <f>IFERROR(VLOOKUP(A3781,vlookup_table!$A:$G,2,FALSE),"")</f>
        <v>28</v>
      </c>
      <c r="O3781">
        <f>IFERROR(VLOOKUP(A3781,vlookup_table!$A:$G,4,FALSE),"")</f>
        <v>4101</v>
      </c>
      <c r="P3781">
        <f>IFERROR(VLOOKUP(A3781,vlookup_table!$A:$G,5,FALSE),"")</f>
        <v>0</v>
      </c>
      <c r="Q3781">
        <f>IFERROR(VLOOKUP(A3781,vlookup_table!$A:$G,7,FALSE),"")</f>
        <v>20</v>
      </c>
      <c r="R3781">
        <f t="shared" si="236"/>
        <v>56</v>
      </c>
      <c r="S3781" t="str" cm="1">
        <f t="array" ref="S3781">IF(P3781="","",_xlfn.SWITCH(LEFT(P3781,1),"C","Ciudad","T","Pueblo","R","Rural","S","Suburbano","U","Urbano",""))</f>
        <v/>
      </c>
      <c r="T3781" t="str">
        <f t="shared" si="237"/>
        <v>F</v>
      </c>
      <c r="U3781" t="str">
        <f t="shared" si="238"/>
        <v>TX</v>
      </c>
      <c r="V3781" t="str">
        <f t="shared" si="239"/>
        <v>16756</v>
      </c>
    </row>
    <row r="3782" spans="1:22" x14ac:dyDescent="0.35">
      <c r="A3782" s="3">
        <v>10631</v>
      </c>
      <c r="B3782" t="s">
        <v>43</v>
      </c>
      <c r="D3782">
        <v>550</v>
      </c>
      <c r="E3782">
        <v>752</v>
      </c>
      <c r="F3782">
        <v>0</v>
      </c>
      <c r="G3782">
        <v>0</v>
      </c>
      <c r="H3782">
        <v>14633</v>
      </c>
      <c r="I3782">
        <v>0</v>
      </c>
      <c r="J3782">
        <v>69</v>
      </c>
      <c r="K3782">
        <v>0</v>
      </c>
      <c r="L3782">
        <v>601</v>
      </c>
      <c r="M3782">
        <v>10.96296296</v>
      </c>
      <c r="N3782">
        <f>IFERROR(VLOOKUP(A3782,vlookup_table!$A:$G,2,FALSE),"")</f>
        <v>0</v>
      </c>
      <c r="O3782">
        <f>IFERROR(VLOOKUP(A3782,vlookup_table!$A:$G,4,FALSE),"")</f>
        <v>0</v>
      </c>
      <c r="P3782" t="str">
        <f>IFERROR(VLOOKUP(A3782,vlookup_table!$A:$G,5,FALSE),"")</f>
        <v>C3</v>
      </c>
      <c r="Q3782">
        <f>IFERROR(VLOOKUP(A3782,vlookup_table!$A:$G,7,FALSE),"")</f>
        <v>15</v>
      </c>
      <c r="R3782">
        <f t="shared" si="236"/>
        <v>97</v>
      </c>
      <c r="S3782" t="str" cm="1">
        <f t="array" ref="S3782">IF(P3782="","",_xlfn.SWITCH(LEFT(P3782,1),"C","Ciudad","T","Pueblo","R","Rural","S","Suburbano","U","Urbano",""))</f>
        <v>Ciudad</v>
      </c>
      <c r="T3782" t="str">
        <f t="shared" si="237"/>
        <v/>
      </c>
      <c r="U3782" t="str">
        <f t="shared" si="238"/>
        <v>AL</v>
      </c>
      <c r="V3782" t="str">
        <f t="shared" si="239"/>
        <v>14633</v>
      </c>
    </row>
    <row r="3783" spans="1:22" x14ac:dyDescent="0.35">
      <c r="A3783" s="3">
        <v>118736</v>
      </c>
      <c r="B3783" t="s">
        <v>21</v>
      </c>
      <c r="C3783" t="s">
        <v>14</v>
      </c>
      <c r="D3783">
        <v>550</v>
      </c>
      <c r="E3783">
        <v>238</v>
      </c>
      <c r="F3783">
        <v>255</v>
      </c>
      <c r="G3783">
        <v>0</v>
      </c>
      <c r="H3783">
        <v>11519</v>
      </c>
      <c r="I3783">
        <v>4</v>
      </c>
      <c r="J3783">
        <v>64</v>
      </c>
      <c r="K3783">
        <v>251</v>
      </c>
      <c r="L3783">
        <v>255</v>
      </c>
      <c r="M3783">
        <v>25</v>
      </c>
      <c r="N3783">
        <f>IFERROR(VLOOKUP(A3783,vlookup_table!$A:$G,2,FALSE),"")</f>
        <v>1</v>
      </c>
      <c r="O3783">
        <f>IFERROR(VLOOKUP(A3783,vlookup_table!$A:$G,4,FALSE),"")</f>
        <v>3001</v>
      </c>
      <c r="P3783" t="str">
        <f>IFERROR(VLOOKUP(A3783,vlookup_table!$A:$G,5,FALSE),"")</f>
        <v>C2</v>
      </c>
      <c r="Q3783">
        <f>IFERROR(VLOOKUP(A3783,vlookup_table!$A:$G,7,FALSE),"")</f>
        <v>25</v>
      </c>
      <c r="R3783">
        <f t="shared" si="236"/>
        <v>67</v>
      </c>
      <c r="S3783" t="str" cm="1">
        <f t="array" ref="S3783">IF(P3783="","",_xlfn.SWITCH(LEFT(P3783,1),"C","Ciudad","T","Pueblo","R","Rural","S","Suburbano","U","Urbano",""))</f>
        <v>Ciudad</v>
      </c>
      <c r="T3783" t="str">
        <f t="shared" si="237"/>
        <v>M</v>
      </c>
      <c r="U3783" t="str">
        <f t="shared" si="238"/>
        <v>TX</v>
      </c>
      <c r="V3783" t="str">
        <f t="shared" si="239"/>
        <v>11519</v>
      </c>
    </row>
    <row r="3784" spans="1:22" x14ac:dyDescent="0.35">
      <c r="A3784" s="3">
        <v>36479</v>
      </c>
      <c r="B3784" t="s">
        <v>13</v>
      </c>
      <c r="C3784" t="s">
        <v>14</v>
      </c>
      <c r="D3784">
        <v>1227</v>
      </c>
      <c r="E3784">
        <v>249</v>
      </c>
      <c r="F3784">
        <v>457</v>
      </c>
      <c r="G3784">
        <v>8</v>
      </c>
      <c r="H3784">
        <v>22670</v>
      </c>
      <c r="I3784">
        <v>24</v>
      </c>
      <c r="J3784">
        <v>4</v>
      </c>
      <c r="K3784">
        <v>336</v>
      </c>
      <c r="L3784">
        <v>346</v>
      </c>
      <c r="M3784">
        <v>7.4285714289999998</v>
      </c>
      <c r="N3784">
        <f>IFERROR(VLOOKUP(A3784,vlookup_table!$A:$G,2,FALSE),"")</f>
        <v>1</v>
      </c>
      <c r="O3784">
        <f>IFERROR(VLOOKUP(A3784,vlookup_table!$A:$G,4,FALSE),"")</f>
        <v>1502</v>
      </c>
      <c r="P3784" t="str">
        <f>IFERROR(VLOOKUP(A3784,vlookup_table!$A:$G,5,FALSE),"")</f>
        <v>C2</v>
      </c>
      <c r="Q3784">
        <f>IFERROR(VLOOKUP(A3784,vlookup_table!$A:$G,7,FALSE),"")</f>
        <v>10</v>
      </c>
      <c r="R3784">
        <f t="shared" si="236"/>
        <v>82</v>
      </c>
      <c r="S3784" t="str" cm="1">
        <f t="array" ref="S3784">IF(P3784="","",_xlfn.SWITCH(LEFT(P3784,1),"C","Ciudad","T","Pueblo","R","Rural","S","Suburbano","U","Urbano",""))</f>
        <v>Ciudad</v>
      </c>
      <c r="T3784" t="str">
        <f t="shared" si="237"/>
        <v>M</v>
      </c>
      <c r="U3784" t="str">
        <f t="shared" si="238"/>
        <v>FL</v>
      </c>
      <c r="V3784" t="str">
        <f t="shared" si="239"/>
        <v>22670</v>
      </c>
    </row>
    <row r="3785" spans="1:22" x14ac:dyDescent="0.35">
      <c r="A3785" s="3">
        <v>182800</v>
      </c>
      <c r="B3785" t="s">
        <v>40</v>
      </c>
      <c r="C3785" t="s">
        <v>51</v>
      </c>
      <c r="D3785">
        <v>1006</v>
      </c>
      <c r="E3785">
        <v>427</v>
      </c>
      <c r="F3785">
        <v>458</v>
      </c>
      <c r="G3785">
        <v>5</v>
      </c>
      <c r="H3785">
        <v>16068</v>
      </c>
      <c r="I3785">
        <v>4</v>
      </c>
      <c r="J3785">
        <v>35</v>
      </c>
      <c r="K3785">
        <v>411</v>
      </c>
      <c r="L3785">
        <v>464</v>
      </c>
      <c r="M3785">
        <v>14.0952381</v>
      </c>
      <c r="N3785">
        <f>IFERROR(VLOOKUP(A3785,vlookup_table!$A:$G,2,FALSE),"")</f>
        <v>2</v>
      </c>
      <c r="O3785">
        <f>IFERROR(VLOOKUP(A3785,vlookup_table!$A:$G,4,FALSE),"")</f>
        <v>0</v>
      </c>
      <c r="P3785" t="str">
        <f>IFERROR(VLOOKUP(A3785,vlookup_table!$A:$G,5,FALSE),"")</f>
        <v>T2</v>
      </c>
      <c r="Q3785">
        <f>IFERROR(VLOOKUP(A3785,vlookup_table!$A:$G,7,FALSE),"")</f>
        <v>21</v>
      </c>
      <c r="R3785">
        <f t="shared" si="236"/>
        <v>97</v>
      </c>
      <c r="S3785" t="str" cm="1">
        <f t="array" ref="S3785">IF(P3785="","",_xlfn.SWITCH(LEFT(P3785,1),"C","Ciudad","T","Pueblo","R","Rural","S","Suburbano","U","Urbano",""))</f>
        <v>Pueblo</v>
      </c>
      <c r="T3785" t="str">
        <f t="shared" si="237"/>
        <v>M</v>
      </c>
      <c r="U3785" t="str">
        <f t="shared" si="238"/>
        <v>WA</v>
      </c>
      <c r="V3785" t="str">
        <f t="shared" si="239"/>
        <v>16068</v>
      </c>
    </row>
    <row r="3786" spans="1:22" x14ac:dyDescent="0.35">
      <c r="A3786" s="3">
        <v>36165</v>
      </c>
      <c r="B3786" t="s">
        <v>13</v>
      </c>
      <c r="C3786" t="s">
        <v>14</v>
      </c>
      <c r="D3786">
        <v>1569</v>
      </c>
      <c r="E3786">
        <v>553</v>
      </c>
      <c r="F3786">
        <v>684</v>
      </c>
      <c r="G3786">
        <v>24</v>
      </c>
      <c r="H3786">
        <v>27532</v>
      </c>
      <c r="I3786">
        <v>4</v>
      </c>
      <c r="J3786">
        <v>15</v>
      </c>
      <c r="K3786">
        <v>605</v>
      </c>
      <c r="L3786">
        <v>626</v>
      </c>
      <c r="M3786">
        <v>18.333333329999999</v>
      </c>
      <c r="N3786">
        <f>IFERROR(VLOOKUP(A3786,vlookup_table!$A:$G,2,FALSE),"")</f>
        <v>0</v>
      </c>
      <c r="O3786">
        <f>IFERROR(VLOOKUP(A3786,vlookup_table!$A:$G,4,FALSE),"")</f>
        <v>2501</v>
      </c>
      <c r="P3786" t="str">
        <f>IFERROR(VLOOKUP(A3786,vlookup_table!$A:$G,5,FALSE),"")</f>
        <v>C1</v>
      </c>
      <c r="Q3786">
        <f>IFERROR(VLOOKUP(A3786,vlookup_table!$A:$G,7,FALSE),"")</f>
        <v>20</v>
      </c>
      <c r="R3786">
        <f t="shared" si="236"/>
        <v>72</v>
      </c>
      <c r="S3786" t="str" cm="1">
        <f t="array" ref="S3786">IF(P3786="","",_xlfn.SWITCH(LEFT(P3786,1),"C","Ciudad","T","Pueblo","R","Rural","S","Suburbano","U","Urbano",""))</f>
        <v>Ciudad</v>
      </c>
      <c r="T3786" t="str">
        <f t="shared" si="237"/>
        <v>M</v>
      </c>
      <c r="U3786" t="str">
        <f t="shared" si="238"/>
        <v>FL</v>
      </c>
      <c r="V3786" t="str">
        <f t="shared" si="239"/>
        <v>27532</v>
      </c>
    </row>
    <row r="3787" spans="1:22" x14ac:dyDescent="0.35">
      <c r="A3787" s="3">
        <v>66187</v>
      </c>
      <c r="B3787" t="s">
        <v>29</v>
      </c>
      <c r="C3787" t="s">
        <v>17</v>
      </c>
      <c r="D3787">
        <v>701</v>
      </c>
      <c r="E3787">
        <v>490</v>
      </c>
      <c r="F3787">
        <v>587</v>
      </c>
      <c r="G3787">
        <v>0</v>
      </c>
      <c r="H3787">
        <v>18230</v>
      </c>
      <c r="I3787">
        <v>1</v>
      </c>
      <c r="J3787">
        <v>93</v>
      </c>
      <c r="K3787">
        <v>578</v>
      </c>
      <c r="L3787">
        <v>521</v>
      </c>
      <c r="M3787">
        <v>15</v>
      </c>
      <c r="N3787">
        <f>IFERROR(VLOOKUP(A3787,vlookup_table!$A:$G,2,FALSE),"")</f>
        <v>28</v>
      </c>
      <c r="O3787">
        <f>IFERROR(VLOOKUP(A3787,vlookup_table!$A:$G,4,FALSE),"")</f>
        <v>0</v>
      </c>
      <c r="P3787" t="str">
        <f>IFERROR(VLOOKUP(A3787,vlookup_table!$A:$G,5,FALSE),"")</f>
        <v>S2</v>
      </c>
      <c r="Q3787">
        <f>IFERROR(VLOOKUP(A3787,vlookup_table!$A:$G,7,FALSE),"")</f>
        <v>15</v>
      </c>
      <c r="R3787">
        <f t="shared" si="236"/>
        <v>97</v>
      </c>
      <c r="S3787" t="str" cm="1">
        <f t="array" ref="S3787">IF(P3787="","",_xlfn.SWITCH(LEFT(P3787,1),"C","Ciudad","T","Pueblo","R","Rural","S","Suburbano","U","Urbano",""))</f>
        <v>Suburbano</v>
      </c>
      <c r="T3787" t="str">
        <f t="shared" si="237"/>
        <v>F</v>
      </c>
      <c r="U3787" t="str">
        <f t="shared" si="238"/>
        <v>MI</v>
      </c>
      <c r="V3787" t="str">
        <f t="shared" si="239"/>
        <v>18230</v>
      </c>
    </row>
    <row r="3788" spans="1:22" x14ac:dyDescent="0.35">
      <c r="A3788" s="3">
        <v>189258</v>
      </c>
      <c r="B3788" t="s">
        <v>69</v>
      </c>
      <c r="C3788" t="s">
        <v>17</v>
      </c>
      <c r="D3788">
        <v>1354</v>
      </c>
      <c r="E3788">
        <v>515</v>
      </c>
      <c r="F3788">
        <v>540</v>
      </c>
      <c r="G3788">
        <v>14</v>
      </c>
      <c r="H3788">
        <v>22028</v>
      </c>
      <c r="I3788">
        <v>1</v>
      </c>
      <c r="J3788">
        <v>61</v>
      </c>
      <c r="K3788">
        <v>506</v>
      </c>
      <c r="L3788">
        <v>530</v>
      </c>
      <c r="M3788">
        <v>8.6363636360000005</v>
      </c>
      <c r="N3788">
        <f>IFERROR(VLOOKUP(A3788,vlookup_table!$A:$G,2,FALSE),"")</f>
        <v>0</v>
      </c>
      <c r="O3788">
        <f>IFERROR(VLOOKUP(A3788,vlookup_table!$A:$G,4,FALSE),"")</f>
        <v>0</v>
      </c>
      <c r="P3788" t="str">
        <f>IFERROR(VLOOKUP(A3788,vlookup_table!$A:$G,5,FALSE),"")</f>
        <v>T1</v>
      </c>
      <c r="Q3788">
        <f>IFERROR(VLOOKUP(A3788,vlookup_table!$A:$G,7,FALSE),"")</f>
        <v>15</v>
      </c>
      <c r="R3788">
        <f t="shared" si="236"/>
        <v>97</v>
      </c>
      <c r="S3788" t="str" cm="1">
        <f t="array" ref="S3788">IF(P3788="","",_xlfn.SWITCH(LEFT(P3788,1),"C","Ciudad","T","Pueblo","R","Rural","S","Suburbano","U","Urbano",""))</f>
        <v>Pueblo</v>
      </c>
      <c r="T3788" t="str">
        <f t="shared" si="237"/>
        <v>F</v>
      </c>
      <c r="U3788" t="str">
        <f t="shared" si="238"/>
        <v>MD</v>
      </c>
      <c r="V3788" t="str">
        <f t="shared" si="239"/>
        <v>22028</v>
      </c>
    </row>
    <row r="3789" spans="1:22" x14ac:dyDescent="0.35">
      <c r="A3789" s="3">
        <v>12853</v>
      </c>
      <c r="B3789" t="s">
        <v>24</v>
      </c>
      <c r="C3789" t="s">
        <v>17</v>
      </c>
      <c r="D3789">
        <v>614</v>
      </c>
      <c r="E3789">
        <v>196</v>
      </c>
      <c r="F3789">
        <v>256</v>
      </c>
      <c r="G3789">
        <v>0</v>
      </c>
      <c r="H3789">
        <v>9308</v>
      </c>
      <c r="I3789">
        <v>2</v>
      </c>
      <c r="J3789">
        <v>25</v>
      </c>
      <c r="K3789">
        <v>272</v>
      </c>
      <c r="L3789">
        <v>227</v>
      </c>
      <c r="M3789">
        <v>8.0389610390000001</v>
      </c>
      <c r="N3789">
        <f>IFERROR(VLOOKUP(A3789,vlookup_table!$A:$G,2,FALSE),"")</f>
        <v>2</v>
      </c>
      <c r="O3789">
        <f>IFERROR(VLOOKUP(A3789,vlookup_table!$A:$G,4,FALSE),"")</f>
        <v>2710</v>
      </c>
      <c r="P3789" t="str">
        <f>IFERROR(VLOOKUP(A3789,vlookup_table!$A:$G,5,FALSE),"")</f>
        <v>T3</v>
      </c>
      <c r="Q3789">
        <f>IFERROR(VLOOKUP(A3789,vlookup_table!$A:$G,7,FALSE),"")</f>
        <v>12</v>
      </c>
      <c r="R3789">
        <f t="shared" si="236"/>
        <v>70</v>
      </c>
      <c r="S3789" t="str" cm="1">
        <f t="array" ref="S3789">IF(P3789="","",_xlfn.SWITCH(LEFT(P3789,1),"C","Ciudad","T","Pueblo","R","Rural","S","Suburbano","U","Urbano",""))</f>
        <v>Pueblo</v>
      </c>
      <c r="T3789" t="str">
        <f t="shared" si="237"/>
        <v>F</v>
      </c>
      <c r="U3789" t="str">
        <f t="shared" si="238"/>
        <v>NV</v>
      </c>
      <c r="V3789" t="str">
        <f t="shared" si="239"/>
        <v>9308</v>
      </c>
    </row>
    <row r="3790" spans="1:22" x14ac:dyDescent="0.35">
      <c r="A3790" s="3">
        <v>188377</v>
      </c>
      <c r="B3790" t="s">
        <v>16</v>
      </c>
      <c r="C3790" t="s">
        <v>17</v>
      </c>
      <c r="D3790">
        <v>940</v>
      </c>
      <c r="E3790">
        <v>285</v>
      </c>
      <c r="F3790">
        <v>406</v>
      </c>
      <c r="G3790">
        <v>1</v>
      </c>
      <c r="H3790">
        <v>13571</v>
      </c>
      <c r="I3790">
        <v>16</v>
      </c>
      <c r="J3790">
        <v>68</v>
      </c>
      <c r="K3790">
        <v>339</v>
      </c>
      <c r="L3790">
        <v>333</v>
      </c>
      <c r="M3790">
        <v>7.8571428570000004</v>
      </c>
      <c r="N3790">
        <f>IFERROR(VLOOKUP(A3790,vlookup_table!$A:$G,2,FALSE),"")</f>
        <v>0</v>
      </c>
      <c r="O3790">
        <f>IFERROR(VLOOKUP(A3790,vlookup_table!$A:$G,4,FALSE),"")</f>
        <v>1909</v>
      </c>
      <c r="P3790">
        <f>IFERROR(VLOOKUP(A3790,vlookup_table!$A:$G,5,FALSE),"")</f>
        <v>0</v>
      </c>
      <c r="Q3790">
        <f>IFERROR(VLOOKUP(A3790,vlookup_table!$A:$G,7,FALSE),"")</f>
        <v>5</v>
      </c>
      <c r="R3790">
        <f t="shared" si="236"/>
        <v>78</v>
      </c>
      <c r="S3790" t="str" cm="1">
        <f t="array" ref="S3790">IF(P3790="","",_xlfn.SWITCH(LEFT(P3790,1),"C","Ciudad","T","Pueblo","R","Rural","S","Suburbano","U","Urbano",""))</f>
        <v/>
      </c>
      <c r="T3790" t="str">
        <f t="shared" si="237"/>
        <v>F</v>
      </c>
      <c r="U3790" t="str">
        <f t="shared" si="238"/>
        <v>IL</v>
      </c>
      <c r="V3790" t="str">
        <f t="shared" si="239"/>
        <v>13571</v>
      </c>
    </row>
    <row r="3791" spans="1:22" x14ac:dyDescent="0.35">
      <c r="A3791" s="3">
        <v>139926</v>
      </c>
      <c r="B3791" t="s">
        <v>54</v>
      </c>
      <c r="C3791" t="s">
        <v>17</v>
      </c>
      <c r="D3791">
        <v>2056</v>
      </c>
      <c r="E3791">
        <v>545</v>
      </c>
      <c r="F3791">
        <v>756</v>
      </c>
      <c r="G3791">
        <v>51</v>
      </c>
      <c r="H3791">
        <v>26183</v>
      </c>
      <c r="I3791">
        <v>4</v>
      </c>
      <c r="J3791">
        <v>49</v>
      </c>
      <c r="K3791">
        <v>597</v>
      </c>
      <c r="L3791">
        <v>658</v>
      </c>
      <c r="M3791">
        <v>17.666666670000001</v>
      </c>
      <c r="N3791">
        <f>IFERROR(VLOOKUP(A3791,vlookup_table!$A:$G,2,FALSE),"")</f>
        <v>28</v>
      </c>
      <c r="O3791">
        <f>IFERROR(VLOOKUP(A3791,vlookup_table!$A:$G,4,FALSE),"")</f>
        <v>0</v>
      </c>
      <c r="P3791" t="str">
        <f>IFERROR(VLOOKUP(A3791,vlookup_table!$A:$G,5,FALSE),"")</f>
        <v>T1</v>
      </c>
      <c r="Q3791">
        <f>IFERROR(VLOOKUP(A3791,vlookup_table!$A:$G,7,FALSE),"")</f>
        <v>20</v>
      </c>
      <c r="R3791">
        <f t="shared" si="236"/>
        <v>97</v>
      </c>
      <c r="S3791" t="str" cm="1">
        <f t="array" ref="S3791">IF(P3791="","",_xlfn.SWITCH(LEFT(P3791,1),"C","Ciudad","T","Pueblo","R","Rural","S","Suburbano","U","Urbano",""))</f>
        <v>Pueblo</v>
      </c>
      <c r="T3791" t="str">
        <f t="shared" si="237"/>
        <v>F</v>
      </c>
      <c r="U3791" t="str">
        <f t="shared" si="238"/>
        <v>NM</v>
      </c>
      <c r="V3791" t="str">
        <f t="shared" si="239"/>
        <v>26183</v>
      </c>
    </row>
    <row r="3792" spans="1:22" x14ac:dyDescent="0.35">
      <c r="A3792" s="3">
        <v>10851</v>
      </c>
      <c r="B3792" t="s">
        <v>22</v>
      </c>
      <c r="C3792" t="s">
        <v>14</v>
      </c>
      <c r="D3792">
        <v>800</v>
      </c>
      <c r="E3792">
        <v>303</v>
      </c>
      <c r="F3792">
        <v>288</v>
      </c>
      <c r="G3792">
        <v>0</v>
      </c>
      <c r="H3792">
        <v>9847</v>
      </c>
      <c r="I3792">
        <v>13</v>
      </c>
      <c r="J3792">
        <v>45</v>
      </c>
      <c r="K3792">
        <v>249</v>
      </c>
      <c r="L3792">
        <v>298</v>
      </c>
      <c r="M3792">
        <v>12.10869565</v>
      </c>
      <c r="N3792">
        <f>IFERROR(VLOOKUP(A3792,vlookup_table!$A:$G,2,FALSE),"")</f>
        <v>0</v>
      </c>
      <c r="O3792">
        <f>IFERROR(VLOOKUP(A3792,vlookup_table!$A:$G,4,FALSE),"")</f>
        <v>0</v>
      </c>
      <c r="P3792" t="str">
        <f>IFERROR(VLOOKUP(A3792,vlookup_table!$A:$G,5,FALSE),"")</f>
        <v>T2</v>
      </c>
      <c r="Q3792">
        <f>IFERROR(VLOOKUP(A3792,vlookup_table!$A:$G,7,FALSE),"")</f>
        <v>35</v>
      </c>
      <c r="R3792">
        <f t="shared" si="236"/>
        <v>97</v>
      </c>
      <c r="S3792" t="str" cm="1">
        <f t="array" ref="S3792">IF(P3792="","",_xlfn.SWITCH(LEFT(P3792,1),"C","Ciudad","T","Pueblo","R","Rural","S","Suburbano","U","Urbano",""))</f>
        <v>Pueblo</v>
      </c>
      <c r="T3792" t="str">
        <f t="shared" si="237"/>
        <v>M</v>
      </c>
      <c r="U3792" t="str">
        <f t="shared" si="238"/>
        <v>CA</v>
      </c>
      <c r="V3792" t="str">
        <f t="shared" si="239"/>
        <v>9847</v>
      </c>
    </row>
    <row r="3793" spans="1:22" x14ac:dyDescent="0.35">
      <c r="A3793" s="3">
        <v>119366</v>
      </c>
      <c r="B3793" t="s">
        <v>21</v>
      </c>
      <c r="C3793" t="s">
        <v>14</v>
      </c>
      <c r="D3793">
        <v>554</v>
      </c>
      <c r="E3793">
        <v>312</v>
      </c>
      <c r="F3793">
        <v>356</v>
      </c>
      <c r="G3793">
        <v>0</v>
      </c>
      <c r="H3793">
        <v>15583</v>
      </c>
      <c r="I3793">
        <v>4</v>
      </c>
      <c r="J3793">
        <v>61</v>
      </c>
      <c r="K3793">
        <v>346</v>
      </c>
      <c r="L3793">
        <v>333</v>
      </c>
      <c r="M3793">
        <v>4.5789473679999997</v>
      </c>
      <c r="N3793">
        <f>IFERROR(VLOOKUP(A3793,vlookup_table!$A:$G,2,FALSE),"")</f>
        <v>1</v>
      </c>
      <c r="O3793">
        <f>IFERROR(VLOOKUP(A3793,vlookup_table!$A:$G,4,FALSE),"")</f>
        <v>6212</v>
      </c>
      <c r="P3793" t="str">
        <f>IFERROR(VLOOKUP(A3793,vlookup_table!$A:$G,5,FALSE),"")</f>
        <v>C1</v>
      </c>
      <c r="Q3793">
        <f>IFERROR(VLOOKUP(A3793,vlookup_table!$A:$G,7,FALSE),"")</f>
        <v>6</v>
      </c>
      <c r="R3793">
        <f t="shared" si="236"/>
        <v>35</v>
      </c>
      <c r="S3793" t="str" cm="1">
        <f t="array" ref="S3793">IF(P3793="","",_xlfn.SWITCH(LEFT(P3793,1),"C","Ciudad","T","Pueblo","R","Rural","S","Suburbano","U","Urbano",""))</f>
        <v>Ciudad</v>
      </c>
      <c r="T3793" t="str">
        <f t="shared" si="237"/>
        <v>M</v>
      </c>
      <c r="U3793" t="str">
        <f t="shared" si="238"/>
        <v>TX</v>
      </c>
      <c r="V3793" t="str">
        <f t="shared" si="239"/>
        <v>15583</v>
      </c>
    </row>
    <row r="3794" spans="1:22" x14ac:dyDescent="0.35">
      <c r="A3794" s="3">
        <v>150260</v>
      </c>
      <c r="B3794" t="s">
        <v>22</v>
      </c>
      <c r="C3794" t="s">
        <v>17</v>
      </c>
      <c r="D3794">
        <v>2182</v>
      </c>
      <c r="E3794">
        <v>555</v>
      </c>
      <c r="F3794">
        <v>569</v>
      </c>
      <c r="G3794">
        <v>67</v>
      </c>
      <c r="H3794">
        <v>17516</v>
      </c>
      <c r="I3794">
        <v>13</v>
      </c>
      <c r="J3794">
        <v>57</v>
      </c>
      <c r="K3794">
        <v>561</v>
      </c>
      <c r="L3794">
        <v>559</v>
      </c>
      <c r="M3794">
        <v>6.5909090910000003</v>
      </c>
      <c r="N3794">
        <f>IFERROR(VLOOKUP(A3794,vlookup_table!$A:$G,2,FALSE),"")</f>
        <v>0</v>
      </c>
      <c r="O3794">
        <f>IFERROR(VLOOKUP(A3794,vlookup_table!$A:$G,4,FALSE),"")</f>
        <v>2009</v>
      </c>
      <c r="P3794" t="str">
        <f>IFERROR(VLOOKUP(A3794,vlookup_table!$A:$G,5,FALSE),"")</f>
        <v>S2</v>
      </c>
      <c r="Q3794">
        <f>IFERROR(VLOOKUP(A3794,vlookup_table!$A:$G,7,FALSE),"")</f>
        <v>10</v>
      </c>
      <c r="R3794">
        <f t="shared" si="236"/>
        <v>77</v>
      </c>
      <c r="S3794" t="str" cm="1">
        <f t="array" ref="S3794">IF(P3794="","",_xlfn.SWITCH(LEFT(P3794,1),"C","Ciudad","T","Pueblo","R","Rural","S","Suburbano","U","Urbano",""))</f>
        <v>Suburbano</v>
      </c>
      <c r="T3794" t="str">
        <f t="shared" si="237"/>
        <v>F</v>
      </c>
      <c r="U3794" t="str">
        <f t="shared" si="238"/>
        <v>CA</v>
      </c>
      <c r="V3794" t="str">
        <f t="shared" si="239"/>
        <v>17516</v>
      </c>
    </row>
    <row r="3795" spans="1:22" x14ac:dyDescent="0.35">
      <c r="A3795" s="3">
        <v>73272</v>
      </c>
      <c r="B3795" t="s">
        <v>29</v>
      </c>
      <c r="C3795" t="s">
        <v>17</v>
      </c>
      <c r="D3795">
        <v>929</v>
      </c>
      <c r="E3795">
        <v>437</v>
      </c>
      <c r="F3795">
        <v>481</v>
      </c>
      <c r="G3795">
        <v>1</v>
      </c>
      <c r="H3795">
        <v>13814</v>
      </c>
      <c r="I3795">
        <v>1</v>
      </c>
      <c r="J3795">
        <v>88</v>
      </c>
      <c r="K3795">
        <v>446</v>
      </c>
      <c r="L3795">
        <v>465</v>
      </c>
      <c r="M3795">
        <v>12.875</v>
      </c>
      <c r="N3795">
        <f>IFERROR(VLOOKUP(A3795,vlookup_table!$A:$G,2,FALSE),"")</f>
        <v>0</v>
      </c>
      <c r="O3795">
        <f>IFERROR(VLOOKUP(A3795,vlookup_table!$A:$G,4,FALSE),"")</f>
        <v>2302</v>
      </c>
      <c r="P3795" t="str">
        <f>IFERROR(VLOOKUP(A3795,vlookup_table!$A:$G,5,FALSE),"")</f>
        <v>T2</v>
      </c>
      <c r="Q3795">
        <f>IFERROR(VLOOKUP(A3795,vlookup_table!$A:$G,7,FALSE),"")</f>
        <v>15</v>
      </c>
      <c r="R3795">
        <f t="shared" si="236"/>
        <v>74</v>
      </c>
      <c r="S3795" t="str" cm="1">
        <f t="array" ref="S3795">IF(P3795="","",_xlfn.SWITCH(LEFT(P3795,1),"C","Ciudad","T","Pueblo","R","Rural","S","Suburbano","U","Urbano",""))</f>
        <v>Pueblo</v>
      </c>
      <c r="T3795" t="str">
        <f t="shared" si="237"/>
        <v>F</v>
      </c>
      <c r="U3795" t="str">
        <f t="shared" si="238"/>
        <v>MI</v>
      </c>
      <c r="V3795" t="str">
        <f t="shared" si="239"/>
        <v>13814</v>
      </c>
    </row>
    <row r="3796" spans="1:22" x14ac:dyDescent="0.35">
      <c r="A3796" s="3">
        <v>43101</v>
      </c>
      <c r="B3796" t="s">
        <v>13</v>
      </c>
      <c r="C3796" t="s">
        <v>17</v>
      </c>
      <c r="D3796">
        <v>2379</v>
      </c>
      <c r="E3796">
        <v>464</v>
      </c>
      <c r="F3796">
        <v>755</v>
      </c>
      <c r="G3796">
        <v>66</v>
      </c>
      <c r="H3796">
        <v>31616</v>
      </c>
      <c r="I3796">
        <v>8</v>
      </c>
      <c r="J3796">
        <v>18</v>
      </c>
      <c r="K3796">
        <v>651</v>
      </c>
      <c r="L3796">
        <v>596</v>
      </c>
      <c r="M3796">
        <v>19</v>
      </c>
      <c r="N3796">
        <f>IFERROR(VLOOKUP(A3796,vlookup_table!$A:$G,2,FALSE),"")</f>
        <v>0</v>
      </c>
      <c r="O3796">
        <f>IFERROR(VLOOKUP(A3796,vlookup_table!$A:$G,4,FALSE),"")</f>
        <v>4903</v>
      </c>
      <c r="P3796" t="str">
        <f>IFERROR(VLOOKUP(A3796,vlookup_table!$A:$G,5,FALSE),"")</f>
        <v>C1</v>
      </c>
      <c r="Q3796">
        <f>IFERROR(VLOOKUP(A3796,vlookup_table!$A:$G,7,FALSE),"")</f>
        <v>10</v>
      </c>
      <c r="R3796">
        <f t="shared" si="236"/>
        <v>48</v>
      </c>
      <c r="S3796" t="str" cm="1">
        <f t="array" ref="S3796">IF(P3796="","",_xlfn.SWITCH(LEFT(P3796,1),"C","Ciudad","T","Pueblo","R","Rural","S","Suburbano","U","Urbano",""))</f>
        <v>Ciudad</v>
      </c>
      <c r="T3796" t="str">
        <f t="shared" si="237"/>
        <v>F</v>
      </c>
      <c r="U3796" t="str">
        <f t="shared" si="238"/>
        <v>FL</v>
      </c>
      <c r="V3796" t="str">
        <f t="shared" si="239"/>
        <v>31616</v>
      </c>
    </row>
    <row r="3797" spans="1:22" x14ac:dyDescent="0.35">
      <c r="A3797" s="3">
        <v>50640</v>
      </c>
      <c r="B3797" t="s">
        <v>13</v>
      </c>
      <c r="C3797" t="s">
        <v>14</v>
      </c>
      <c r="D3797">
        <v>908</v>
      </c>
      <c r="E3797">
        <v>415</v>
      </c>
      <c r="F3797">
        <v>471</v>
      </c>
      <c r="G3797">
        <v>5</v>
      </c>
      <c r="H3797">
        <v>15683</v>
      </c>
      <c r="I3797">
        <v>11</v>
      </c>
      <c r="J3797">
        <v>31</v>
      </c>
      <c r="K3797">
        <v>422</v>
      </c>
      <c r="L3797">
        <v>465</v>
      </c>
      <c r="M3797">
        <v>6.0555555559999998</v>
      </c>
      <c r="N3797">
        <f>IFERROR(VLOOKUP(A3797,vlookup_table!$A:$G,2,FALSE),"")</f>
        <v>2</v>
      </c>
      <c r="O3797">
        <f>IFERROR(VLOOKUP(A3797,vlookup_table!$A:$G,4,FALSE),"")</f>
        <v>2101</v>
      </c>
      <c r="P3797" t="str">
        <f>IFERROR(VLOOKUP(A3797,vlookup_table!$A:$G,5,FALSE),"")</f>
        <v>T2</v>
      </c>
      <c r="Q3797">
        <f>IFERROR(VLOOKUP(A3797,vlookup_table!$A:$G,7,FALSE),"")</f>
        <v>5</v>
      </c>
      <c r="R3797">
        <f t="shared" si="236"/>
        <v>76</v>
      </c>
      <c r="S3797" t="str" cm="1">
        <f t="array" ref="S3797">IF(P3797="","",_xlfn.SWITCH(LEFT(P3797,1),"C","Ciudad","T","Pueblo","R","Rural","S","Suburbano","U","Urbano",""))</f>
        <v>Pueblo</v>
      </c>
      <c r="T3797" t="str">
        <f t="shared" si="237"/>
        <v>M</v>
      </c>
      <c r="U3797" t="str">
        <f t="shared" si="238"/>
        <v>FL</v>
      </c>
      <c r="V3797" t="str">
        <f t="shared" si="239"/>
        <v>15683</v>
      </c>
    </row>
    <row r="3798" spans="1:22" x14ac:dyDescent="0.35">
      <c r="A3798" s="3">
        <v>190577</v>
      </c>
      <c r="B3798" t="s">
        <v>21</v>
      </c>
      <c r="C3798" t="s">
        <v>17</v>
      </c>
      <c r="D3798">
        <v>786</v>
      </c>
      <c r="E3798">
        <v>385</v>
      </c>
      <c r="F3798">
        <v>466</v>
      </c>
      <c r="G3798">
        <v>0</v>
      </c>
      <c r="H3798">
        <v>16433</v>
      </c>
      <c r="I3798">
        <v>5</v>
      </c>
      <c r="J3798">
        <v>67</v>
      </c>
      <c r="K3798">
        <v>493</v>
      </c>
      <c r="L3798">
        <v>391</v>
      </c>
      <c r="M3798">
        <v>11.71428571</v>
      </c>
      <c r="N3798">
        <f>IFERROR(VLOOKUP(A3798,vlookup_table!$A:$G,2,FALSE),"")</f>
        <v>2</v>
      </c>
      <c r="O3798">
        <f>IFERROR(VLOOKUP(A3798,vlookup_table!$A:$G,4,FALSE),"")</f>
        <v>5601</v>
      </c>
      <c r="P3798" t="str">
        <f>IFERROR(VLOOKUP(A3798,vlookup_table!$A:$G,5,FALSE),"")</f>
        <v>T1</v>
      </c>
      <c r="Q3798">
        <f>IFERROR(VLOOKUP(A3798,vlookup_table!$A:$G,7,FALSE),"")</f>
        <v>30</v>
      </c>
      <c r="R3798">
        <f t="shared" si="236"/>
        <v>41</v>
      </c>
      <c r="S3798" t="str" cm="1">
        <f t="array" ref="S3798">IF(P3798="","",_xlfn.SWITCH(LEFT(P3798,1),"C","Ciudad","T","Pueblo","R","Rural","S","Suburbano","U","Urbano",""))</f>
        <v>Pueblo</v>
      </c>
      <c r="T3798" t="str">
        <f t="shared" si="237"/>
        <v>F</v>
      </c>
      <c r="U3798" t="str">
        <f t="shared" si="238"/>
        <v>TX</v>
      </c>
      <c r="V3798" t="str">
        <f t="shared" si="239"/>
        <v>16433</v>
      </c>
    </row>
    <row r="3799" spans="1:22" x14ac:dyDescent="0.35">
      <c r="A3799" s="3">
        <v>96003</v>
      </c>
      <c r="B3799" t="s">
        <v>16</v>
      </c>
      <c r="C3799" t="s">
        <v>17</v>
      </c>
      <c r="D3799">
        <v>450</v>
      </c>
      <c r="E3799">
        <v>258</v>
      </c>
      <c r="F3799">
        <v>339</v>
      </c>
      <c r="G3799">
        <v>0</v>
      </c>
      <c r="H3799">
        <v>11241</v>
      </c>
      <c r="I3799">
        <v>0</v>
      </c>
      <c r="J3799">
        <v>61</v>
      </c>
      <c r="K3799">
        <v>310</v>
      </c>
      <c r="L3799">
        <v>301</v>
      </c>
      <c r="M3799">
        <v>4.8</v>
      </c>
      <c r="N3799">
        <f>IFERROR(VLOOKUP(A3799,vlookup_table!$A:$G,2,FALSE),"")</f>
        <v>0</v>
      </c>
      <c r="O3799">
        <f>IFERROR(VLOOKUP(A3799,vlookup_table!$A:$G,4,FALSE),"")</f>
        <v>2201</v>
      </c>
      <c r="P3799" t="str">
        <f>IFERROR(VLOOKUP(A3799,vlookup_table!$A:$G,5,FALSE),"")</f>
        <v>R2</v>
      </c>
      <c r="Q3799">
        <f>IFERROR(VLOOKUP(A3799,vlookup_table!$A:$G,7,FALSE),"")</f>
        <v>6</v>
      </c>
      <c r="R3799">
        <f t="shared" si="236"/>
        <v>75</v>
      </c>
      <c r="S3799" t="str" cm="1">
        <f t="array" ref="S3799">IF(P3799="","",_xlfn.SWITCH(LEFT(P3799,1),"C","Ciudad","T","Pueblo","R","Rural","S","Suburbano","U","Urbano",""))</f>
        <v>Rural</v>
      </c>
      <c r="T3799" t="str">
        <f t="shared" si="237"/>
        <v>F</v>
      </c>
      <c r="U3799" t="str">
        <f t="shared" si="238"/>
        <v>IL</v>
      </c>
      <c r="V3799" t="str">
        <f t="shared" si="239"/>
        <v>11241</v>
      </c>
    </row>
    <row r="3800" spans="1:22" x14ac:dyDescent="0.35">
      <c r="A3800" s="3">
        <v>185913</v>
      </c>
      <c r="B3800" t="s">
        <v>22</v>
      </c>
      <c r="C3800" t="s">
        <v>14</v>
      </c>
      <c r="D3800">
        <v>2223</v>
      </c>
      <c r="E3800">
        <v>413</v>
      </c>
      <c r="F3800">
        <v>415</v>
      </c>
      <c r="G3800">
        <v>67</v>
      </c>
      <c r="H3800">
        <v>10217</v>
      </c>
      <c r="I3800">
        <v>70</v>
      </c>
      <c r="J3800">
        <v>22</v>
      </c>
      <c r="K3800">
        <v>331</v>
      </c>
      <c r="L3800">
        <v>492</v>
      </c>
      <c r="M3800">
        <v>5.6666666670000003</v>
      </c>
      <c r="N3800">
        <f>IFERROR(VLOOKUP(A3800,vlookup_table!$A:$G,2,FALSE),"")</f>
        <v>0</v>
      </c>
      <c r="O3800">
        <f>IFERROR(VLOOKUP(A3800,vlookup_table!$A:$G,4,FALSE),"")</f>
        <v>0</v>
      </c>
      <c r="P3800" t="str">
        <f>IFERROR(VLOOKUP(A3800,vlookup_table!$A:$G,5,FALSE),"")</f>
        <v>S2</v>
      </c>
      <c r="Q3800">
        <f>IFERROR(VLOOKUP(A3800,vlookup_table!$A:$G,7,FALSE),"")</f>
        <v>10</v>
      </c>
      <c r="R3800">
        <f t="shared" si="236"/>
        <v>97</v>
      </c>
      <c r="S3800" t="str" cm="1">
        <f t="array" ref="S3800">IF(P3800="","",_xlfn.SWITCH(LEFT(P3800,1),"C","Ciudad","T","Pueblo","R","Rural","S","Suburbano","U","Urbano",""))</f>
        <v>Suburbano</v>
      </c>
      <c r="T3800" t="str">
        <f t="shared" si="237"/>
        <v>M</v>
      </c>
      <c r="U3800" t="str">
        <f t="shared" si="238"/>
        <v>CA</v>
      </c>
      <c r="V3800" t="str">
        <f t="shared" si="239"/>
        <v>10217</v>
      </c>
    </row>
    <row r="3801" spans="1:22" x14ac:dyDescent="0.35">
      <c r="A3801" s="3">
        <v>54259</v>
      </c>
      <c r="B3801" t="s">
        <v>53</v>
      </c>
      <c r="C3801" t="s">
        <v>14</v>
      </c>
      <c r="D3801">
        <v>553</v>
      </c>
      <c r="E3801">
        <v>219</v>
      </c>
      <c r="F3801">
        <v>319</v>
      </c>
      <c r="G3801">
        <v>1</v>
      </c>
      <c r="H3801">
        <v>11263</v>
      </c>
      <c r="I3801">
        <v>2</v>
      </c>
      <c r="J3801">
        <v>76</v>
      </c>
      <c r="K3801">
        <v>249</v>
      </c>
      <c r="L3801">
        <v>275</v>
      </c>
      <c r="M3801">
        <v>10</v>
      </c>
      <c r="N3801">
        <f>IFERROR(VLOOKUP(A3801,vlookup_table!$A:$G,2,FALSE),"")</f>
        <v>0</v>
      </c>
      <c r="O3801">
        <f>IFERROR(VLOOKUP(A3801,vlookup_table!$A:$G,4,FALSE),"")</f>
        <v>3201</v>
      </c>
      <c r="P3801">
        <f>IFERROR(VLOOKUP(A3801,vlookup_table!$A:$G,5,FALSE),"")</f>
        <v>0</v>
      </c>
      <c r="Q3801">
        <f>IFERROR(VLOOKUP(A3801,vlookup_table!$A:$G,7,FALSE),"")</f>
        <v>15</v>
      </c>
      <c r="R3801">
        <f t="shared" si="236"/>
        <v>65</v>
      </c>
      <c r="S3801" t="str" cm="1">
        <f t="array" ref="S3801">IF(P3801="","",_xlfn.SWITCH(LEFT(P3801,1),"C","Ciudad","T","Pueblo","R","Rural","S","Suburbano","U","Urbano",""))</f>
        <v/>
      </c>
      <c r="T3801" t="str">
        <f t="shared" si="237"/>
        <v>M</v>
      </c>
      <c r="U3801" t="str">
        <f t="shared" si="238"/>
        <v>TN</v>
      </c>
      <c r="V3801" t="str">
        <f t="shared" si="239"/>
        <v>11263</v>
      </c>
    </row>
    <row r="3802" spans="1:22" x14ac:dyDescent="0.35">
      <c r="A3802" s="3">
        <v>85003</v>
      </c>
      <c r="B3802" t="s">
        <v>56</v>
      </c>
      <c r="C3802" t="s">
        <v>14</v>
      </c>
      <c r="D3802">
        <v>331</v>
      </c>
      <c r="E3802">
        <v>248</v>
      </c>
      <c r="F3802">
        <v>326</v>
      </c>
      <c r="G3802">
        <v>0</v>
      </c>
      <c r="H3802">
        <v>10969</v>
      </c>
      <c r="I3802">
        <v>1</v>
      </c>
      <c r="J3802">
        <v>83</v>
      </c>
      <c r="K3802">
        <v>291</v>
      </c>
      <c r="L3802">
        <v>276</v>
      </c>
      <c r="M3802">
        <v>5.4705882350000001</v>
      </c>
      <c r="N3802">
        <f>IFERROR(VLOOKUP(A3802,vlookup_table!$A:$G,2,FALSE),"")</f>
        <v>0</v>
      </c>
      <c r="O3802">
        <f>IFERROR(VLOOKUP(A3802,vlookup_table!$A:$G,4,FALSE),"")</f>
        <v>0</v>
      </c>
      <c r="P3802" t="str">
        <f>IFERROR(VLOOKUP(A3802,vlookup_table!$A:$G,5,FALSE),"")</f>
        <v>R2</v>
      </c>
      <c r="Q3802">
        <f>IFERROR(VLOOKUP(A3802,vlookup_table!$A:$G,7,FALSE),"")</f>
        <v>8</v>
      </c>
      <c r="R3802">
        <f t="shared" si="236"/>
        <v>97</v>
      </c>
      <c r="S3802" t="str" cm="1">
        <f t="array" ref="S3802">IF(P3802="","",_xlfn.SWITCH(LEFT(P3802,1),"C","Ciudad","T","Pueblo","R","Rural","S","Suburbano","U","Urbano",""))</f>
        <v>Rural</v>
      </c>
      <c r="T3802" t="str">
        <f t="shared" si="237"/>
        <v>M</v>
      </c>
      <c r="U3802" t="str">
        <f t="shared" si="238"/>
        <v>MN</v>
      </c>
      <c r="V3802" t="str">
        <f t="shared" si="239"/>
        <v>10969</v>
      </c>
    </row>
    <row r="3803" spans="1:22" x14ac:dyDescent="0.35">
      <c r="A3803" s="3">
        <v>5074</v>
      </c>
      <c r="B3803" t="s">
        <v>22</v>
      </c>
      <c r="C3803" t="s">
        <v>14</v>
      </c>
      <c r="D3803">
        <v>1089</v>
      </c>
      <c r="E3803">
        <v>296</v>
      </c>
      <c r="F3803">
        <v>352</v>
      </c>
      <c r="G3803">
        <v>3</v>
      </c>
      <c r="H3803">
        <v>12998</v>
      </c>
      <c r="I3803">
        <v>10</v>
      </c>
      <c r="J3803">
        <v>51</v>
      </c>
      <c r="K3803">
        <v>324</v>
      </c>
      <c r="L3803">
        <v>328</v>
      </c>
      <c r="M3803">
        <v>22.882352940000001</v>
      </c>
      <c r="N3803">
        <f>IFERROR(VLOOKUP(A3803,vlookup_table!$A:$G,2,FALSE),"")</f>
        <v>1</v>
      </c>
      <c r="O3803">
        <f>IFERROR(VLOOKUP(A3803,vlookup_table!$A:$G,4,FALSE),"")</f>
        <v>1705</v>
      </c>
      <c r="P3803" t="str">
        <f>IFERROR(VLOOKUP(A3803,vlookup_table!$A:$G,5,FALSE),"")</f>
        <v>S2</v>
      </c>
      <c r="Q3803">
        <f>IFERROR(VLOOKUP(A3803,vlookup_table!$A:$G,7,FALSE),"")</f>
        <v>31</v>
      </c>
      <c r="R3803">
        <f t="shared" si="236"/>
        <v>80</v>
      </c>
      <c r="S3803" t="str" cm="1">
        <f t="array" ref="S3803">IF(P3803="","",_xlfn.SWITCH(LEFT(P3803,1),"C","Ciudad","T","Pueblo","R","Rural","S","Suburbano","U","Urbano",""))</f>
        <v>Suburbano</v>
      </c>
      <c r="T3803" t="str">
        <f t="shared" si="237"/>
        <v>M</v>
      </c>
      <c r="U3803" t="str">
        <f t="shared" si="238"/>
        <v>CA</v>
      </c>
      <c r="V3803" t="str">
        <f t="shared" si="239"/>
        <v>12998</v>
      </c>
    </row>
    <row r="3804" spans="1:22" x14ac:dyDescent="0.35">
      <c r="A3804" s="3">
        <v>33359</v>
      </c>
      <c r="B3804" t="s">
        <v>13</v>
      </c>
      <c r="C3804" t="s">
        <v>17</v>
      </c>
      <c r="D3804">
        <v>737</v>
      </c>
      <c r="E3804">
        <v>357</v>
      </c>
      <c r="F3804">
        <v>441</v>
      </c>
      <c r="G3804">
        <v>0</v>
      </c>
      <c r="H3804">
        <v>16190</v>
      </c>
      <c r="I3804">
        <v>4</v>
      </c>
      <c r="J3804">
        <v>29</v>
      </c>
      <c r="K3804">
        <v>382</v>
      </c>
      <c r="L3804">
        <v>395</v>
      </c>
      <c r="M3804">
        <v>8.4285714289999998</v>
      </c>
      <c r="N3804">
        <f>IFERROR(VLOOKUP(A3804,vlookup_table!$A:$G,2,FALSE),"")</f>
        <v>28</v>
      </c>
      <c r="O3804">
        <f>IFERROR(VLOOKUP(A3804,vlookup_table!$A:$G,4,FALSE),"")</f>
        <v>3606</v>
      </c>
      <c r="P3804" t="str">
        <f>IFERROR(VLOOKUP(A3804,vlookup_table!$A:$G,5,FALSE),"")</f>
        <v>S2</v>
      </c>
      <c r="Q3804">
        <f>IFERROR(VLOOKUP(A3804,vlookup_table!$A:$G,7,FALSE),"")</f>
        <v>10</v>
      </c>
      <c r="R3804">
        <f t="shared" si="236"/>
        <v>61</v>
      </c>
      <c r="S3804" t="str" cm="1">
        <f t="array" ref="S3804">IF(P3804="","",_xlfn.SWITCH(LEFT(P3804,1),"C","Ciudad","T","Pueblo","R","Rural","S","Suburbano","U","Urbano",""))</f>
        <v>Suburbano</v>
      </c>
      <c r="T3804" t="str">
        <f t="shared" si="237"/>
        <v>F</v>
      </c>
      <c r="U3804" t="str">
        <f t="shared" si="238"/>
        <v>FL</v>
      </c>
      <c r="V3804" t="str">
        <f t="shared" si="239"/>
        <v>16190</v>
      </c>
    </row>
    <row r="3805" spans="1:22" x14ac:dyDescent="0.35">
      <c r="A3805" s="3">
        <v>103982</v>
      </c>
      <c r="B3805" t="s">
        <v>36</v>
      </c>
      <c r="C3805" t="s">
        <v>14</v>
      </c>
      <c r="D3805">
        <v>486</v>
      </c>
      <c r="E3805">
        <v>237</v>
      </c>
      <c r="F3805">
        <v>301</v>
      </c>
      <c r="G3805">
        <v>0</v>
      </c>
      <c r="H3805">
        <v>10474</v>
      </c>
      <c r="I3805">
        <v>1</v>
      </c>
      <c r="J3805">
        <v>68</v>
      </c>
      <c r="K3805">
        <v>261</v>
      </c>
      <c r="L3805">
        <v>274</v>
      </c>
      <c r="M3805">
        <v>11.823529410000001</v>
      </c>
      <c r="N3805">
        <f>IFERROR(VLOOKUP(A3805,vlookup_table!$A:$G,2,FALSE),"")</f>
        <v>1</v>
      </c>
      <c r="O3805">
        <f>IFERROR(VLOOKUP(A3805,vlookup_table!$A:$G,4,FALSE),"")</f>
        <v>3310</v>
      </c>
      <c r="P3805" t="str">
        <f>IFERROR(VLOOKUP(A3805,vlookup_table!$A:$G,5,FALSE),"")</f>
        <v>R2</v>
      </c>
      <c r="Q3805">
        <f>IFERROR(VLOOKUP(A3805,vlookup_table!$A:$G,7,FALSE),"")</f>
        <v>15</v>
      </c>
      <c r="R3805">
        <f t="shared" si="236"/>
        <v>64</v>
      </c>
      <c r="S3805" t="str" cm="1">
        <f t="array" ref="S3805">IF(P3805="","",_xlfn.SWITCH(LEFT(P3805,1),"C","Ciudad","T","Pueblo","R","Rural","S","Suburbano","U","Urbano",""))</f>
        <v>Rural</v>
      </c>
      <c r="T3805" t="str">
        <f t="shared" si="237"/>
        <v>M</v>
      </c>
      <c r="U3805" t="str">
        <f t="shared" si="238"/>
        <v>MO</v>
      </c>
      <c r="V3805" t="str">
        <f t="shared" si="239"/>
        <v>10474</v>
      </c>
    </row>
    <row r="3806" spans="1:22" x14ac:dyDescent="0.35">
      <c r="A3806" s="3">
        <v>118564</v>
      </c>
      <c r="B3806" t="s">
        <v>21</v>
      </c>
      <c r="C3806" t="s">
        <v>17</v>
      </c>
      <c r="D3806">
        <v>376</v>
      </c>
      <c r="E3806">
        <v>180</v>
      </c>
      <c r="F3806">
        <v>281</v>
      </c>
      <c r="G3806">
        <v>1</v>
      </c>
      <c r="H3806">
        <v>10145</v>
      </c>
      <c r="I3806">
        <v>2</v>
      </c>
      <c r="J3806">
        <v>83</v>
      </c>
      <c r="K3806">
        <v>214</v>
      </c>
      <c r="L3806">
        <v>244</v>
      </c>
      <c r="M3806">
        <v>3.5</v>
      </c>
      <c r="N3806">
        <f>IFERROR(VLOOKUP(A3806,vlookup_table!$A:$G,2,FALSE),"")</f>
        <v>0</v>
      </c>
      <c r="O3806">
        <f>IFERROR(VLOOKUP(A3806,vlookup_table!$A:$G,4,FALSE),"")</f>
        <v>3611</v>
      </c>
      <c r="P3806" t="str">
        <f>IFERROR(VLOOKUP(A3806,vlookup_table!$A:$G,5,FALSE),"")</f>
        <v>R3</v>
      </c>
      <c r="Q3806">
        <f>IFERROR(VLOOKUP(A3806,vlookup_table!$A:$G,7,FALSE),"")</f>
        <v>5</v>
      </c>
      <c r="R3806">
        <f t="shared" si="236"/>
        <v>61</v>
      </c>
      <c r="S3806" t="str" cm="1">
        <f t="array" ref="S3806">IF(P3806="","",_xlfn.SWITCH(LEFT(P3806,1),"C","Ciudad","T","Pueblo","R","Rural","S","Suburbano","U","Urbano",""))</f>
        <v>Rural</v>
      </c>
      <c r="T3806" t="str">
        <f t="shared" si="237"/>
        <v>F</v>
      </c>
      <c r="U3806" t="str">
        <f t="shared" si="238"/>
        <v>TX</v>
      </c>
      <c r="V3806" t="str">
        <f t="shared" si="239"/>
        <v>10145</v>
      </c>
    </row>
    <row r="3807" spans="1:22" x14ac:dyDescent="0.35">
      <c r="A3807" s="3">
        <v>136991</v>
      </c>
      <c r="B3807" t="s">
        <v>55</v>
      </c>
      <c r="C3807" t="s">
        <v>14</v>
      </c>
      <c r="D3807">
        <v>1074</v>
      </c>
      <c r="E3807">
        <v>469</v>
      </c>
      <c r="F3807">
        <v>516</v>
      </c>
      <c r="G3807">
        <v>11</v>
      </c>
      <c r="H3807">
        <v>18042</v>
      </c>
      <c r="I3807">
        <v>2</v>
      </c>
      <c r="J3807">
        <v>34</v>
      </c>
      <c r="K3807">
        <v>472</v>
      </c>
      <c r="L3807">
        <v>510</v>
      </c>
      <c r="M3807">
        <v>9.3636363639999995</v>
      </c>
      <c r="N3807">
        <f>IFERROR(VLOOKUP(A3807,vlookup_table!$A:$G,2,FALSE),"")</f>
        <v>0</v>
      </c>
      <c r="O3807">
        <f>IFERROR(VLOOKUP(A3807,vlookup_table!$A:$G,4,FALSE),"")</f>
        <v>4207</v>
      </c>
      <c r="P3807" t="str">
        <f>IFERROR(VLOOKUP(A3807,vlookup_table!$A:$G,5,FALSE),"")</f>
        <v>T1</v>
      </c>
      <c r="Q3807">
        <f>IFERROR(VLOOKUP(A3807,vlookup_table!$A:$G,7,FALSE),"")</f>
        <v>15</v>
      </c>
      <c r="R3807">
        <f t="shared" si="236"/>
        <v>55</v>
      </c>
      <c r="S3807" t="str" cm="1">
        <f t="array" ref="S3807">IF(P3807="","",_xlfn.SWITCH(LEFT(P3807,1),"C","Ciudad","T","Pueblo","R","Rural","S","Suburbano","U","Urbano",""))</f>
        <v>Pueblo</v>
      </c>
      <c r="T3807" t="str">
        <f t="shared" si="237"/>
        <v>M</v>
      </c>
      <c r="U3807" t="str">
        <f t="shared" si="238"/>
        <v>AZ</v>
      </c>
      <c r="V3807" t="str">
        <f t="shared" si="239"/>
        <v>18042</v>
      </c>
    </row>
    <row r="3808" spans="1:22" x14ac:dyDescent="0.35">
      <c r="A3808" s="3">
        <v>133305</v>
      </c>
      <c r="B3808" t="s">
        <v>41</v>
      </c>
      <c r="C3808" t="s">
        <v>14</v>
      </c>
      <c r="D3808">
        <v>717</v>
      </c>
      <c r="E3808">
        <v>267</v>
      </c>
      <c r="F3808">
        <v>410</v>
      </c>
      <c r="G3808">
        <v>4</v>
      </c>
      <c r="H3808">
        <v>12937</v>
      </c>
      <c r="I3808">
        <v>0</v>
      </c>
      <c r="J3808">
        <v>53</v>
      </c>
      <c r="K3808">
        <v>304</v>
      </c>
      <c r="L3808">
        <v>381</v>
      </c>
      <c r="M3808">
        <v>8.75</v>
      </c>
      <c r="N3808">
        <f>IFERROR(VLOOKUP(A3808,vlookup_table!$A:$G,2,FALSE),"")</f>
        <v>0</v>
      </c>
      <c r="O3808">
        <f>IFERROR(VLOOKUP(A3808,vlookup_table!$A:$G,4,FALSE),"")</f>
        <v>2801</v>
      </c>
      <c r="P3808" t="str">
        <f>IFERROR(VLOOKUP(A3808,vlookup_table!$A:$G,5,FALSE),"")</f>
        <v>R2</v>
      </c>
      <c r="Q3808">
        <f>IFERROR(VLOOKUP(A3808,vlookup_table!$A:$G,7,FALSE),"")</f>
        <v>5</v>
      </c>
      <c r="R3808">
        <f t="shared" si="236"/>
        <v>69</v>
      </c>
      <c r="S3808" t="str" cm="1">
        <f t="array" ref="S3808">IF(P3808="","",_xlfn.SWITCH(LEFT(P3808,1),"C","Ciudad","T","Pueblo","R","Rural","S","Suburbano","U","Urbano",""))</f>
        <v>Rural</v>
      </c>
      <c r="T3808" t="str">
        <f t="shared" si="237"/>
        <v>M</v>
      </c>
      <c r="U3808" t="str">
        <f t="shared" si="238"/>
        <v>ID</v>
      </c>
      <c r="V3808" t="str">
        <f t="shared" si="239"/>
        <v>12937</v>
      </c>
    </row>
    <row r="3809" spans="1:22" x14ac:dyDescent="0.35">
      <c r="A3809" s="3">
        <v>112148</v>
      </c>
      <c r="B3809" t="s">
        <v>32</v>
      </c>
      <c r="C3809" t="s">
        <v>14</v>
      </c>
      <c r="D3809">
        <v>543</v>
      </c>
      <c r="E3809">
        <v>198</v>
      </c>
      <c r="F3809">
        <v>285</v>
      </c>
      <c r="G3809">
        <v>1</v>
      </c>
      <c r="H3809">
        <v>11363</v>
      </c>
      <c r="I3809">
        <v>2</v>
      </c>
      <c r="J3809">
        <v>33</v>
      </c>
      <c r="K3809">
        <v>224</v>
      </c>
      <c r="L3809">
        <v>252</v>
      </c>
      <c r="M3809">
        <v>14.42857143</v>
      </c>
      <c r="N3809">
        <f>IFERROR(VLOOKUP(A3809,vlookup_table!$A:$G,2,FALSE),"")</f>
        <v>1</v>
      </c>
      <c r="O3809">
        <f>IFERROR(VLOOKUP(A3809,vlookup_table!$A:$G,4,FALSE),"")</f>
        <v>1511</v>
      </c>
      <c r="P3809" t="str">
        <f>IFERROR(VLOOKUP(A3809,vlookup_table!$A:$G,5,FALSE),"")</f>
        <v>T2</v>
      </c>
      <c r="Q3809">
        <f>IFERROR(VLOOKUP(A3809,vlookup_table!$A:$G,7,FALSE),"")</f>
        <v>25</v>
      </c>
      <c r="R3809">
        <f t="shared" si="236"/>
        <v>82</v>
      </c>
      <c r="S3809" t="str" cm="1">
        <f t="array" ref="S3809">IF(P3809="","",_xlfn.SWITCH(LEFT(P3809,1),"C","Ciudad","T","Pueblo","R","Rural","S","Suburbano","U","Urbano",""))</f>
        <v>Pueblo</v>
      </c>
      <c r="T3809" t="str">
        <f t="shared" si="237"/>
        <v>M</v>
      </c>
      <c r="U3809" t="str">
        <f t="shared" si="238"/>
        <v>AR</v>
      </c>
      <c r="V3809" t="str">
        <f t="shared" si="239"/>
        <v>11363</v>
      </c>
    </row>
    <row r="3810" spans="1:22" x14ac:dyDescent="0.35">
      <c r="A3810" s="3">
        <v>25804</v>
      </c>
      <c r="B3810" t="s">
        <v>39</v>
      </c>
      <c r="C3810" t="s">
        <v>14</v>
      </c>
      <c r="D3810">
        <v>1276</v>
      </c>
      <c r="E3810">
        <v>523</v>
      </c>
      <c r="F3810">
        <v>572</v>
      </c>
      <c r="G3810">
        <v>29</v>
      </c>
      <c r="H3810">
        <v>16775</v>
      </c>
      <c r="I3810">
        <v>2</v>
      </c>
      <c r="J3810">
        <v>53</v>
      </c>
      <c r="K3810">
        <v>516</v>
      </c>
      <c r="L3810">
        <v>571</v>
      </c>
      <c r="M3810">
        <v>32.333333330000002</v>
      </c>
      <c r="N3810">
        <f>IFERROR(VLOOKUP(A3810,vlookup_table!$A:$G,2,FALSE),"")</f>
        <v>1</v>
      </c>
      <c r="O3810">
        <f>IFERROR(VLOOKUP(A3810,vlookup_table!$A:$G,4,FALSE),"")</f>
        <v>5601</v>
      </c>
      <c r="P3810" t="str">
        <f>IFERROR(VLOOKUP(A3810,vlookup_table!$A:$G,5,FALSE),"")</f>
        <v>T1</v>
      </c>
      <c r="Q3810">
        <f>IFERROR(VLOOKUP(A3810,vlookup_table!$A:$G,7,FALSE),"")</f>
        <v>41</v>
      </c>
      <c r="R3810">
        <f t="shared" si="236"/>
        <v>41</v>
      </c>
      <c r="S3810" t="str" cm="1">
        <f t="array" ref="S3810">IF(P3810="","",_xlfn.SWITCH(LEFT(P3810,1),"C","Ciudad","T","Pueblo","R","Rural","S","Suburbano","U","Urbano",""))</f>
        <v>Pueblo</v>
      </c>
      <c r="T3810" t="str">
        <f t="shared" si="237"/>
        <v>M</v>
      </c>
      <c r="U3810" t="str">
        <f t="shared" si="238"/>
        <v>GA</v>
      </c>
      <c r="V3810" t="str">
        <f t="shared" si="239"/>
        <v>16775</v>
      </c>
    </row>
    <row r="3811" spans="1:22" x14ac:dyDescent="0.35">
      <c r="A3811" s="3">
        <v>20167</v>
      </c>
      <c r="B3811" t="s">
        <v>18</v>
      </c>
      <c r="C3811" t="s">
        <v>14</v>
      </c>
      <c r="D3811">
        <v>451</v>
      </c>
      <c r="E3811">
        <v>183</v>
      </c>
      <c r="F3811">
        <v>274</v>
      </c>
      <c r="G3811">
        <v>1</v>
      </c>
      <c r="H3811">
        <v>11232</v>
      </c>
      <c r="I3811">
        <v>1</v>
      </c>
      <c r="J3811">
        <v>84</v>
      </c>
      <c r="K3811">
        <v>226</v>
      </c>
      <c r="L3811">
        <v>236</v>
      </c>
      <c r="M3811">
        <v>18.333333329999999</v>
      </c>
      <c r="N3811">
        <f>IFERROR(VLOOKUP(A3811,vlookup_table!$A:$G,2,FALSE),"")</f>
        <v>1002</v>
      </c>
      <c r="O3811">
        <f>IFERROR(VLOOKUP(A3811,vlookup_table!$A:$G,4,FALSE),"")</f>
        <v>0</v>
      </c>
      <c r="P3811" t="str">
        <f>IFERROR(VLOOKUP(A3811,vlookup_table!$A:$G,5,FALSE),"")</f>
        <v>R2</v>
      </c>
      <c r="Q3811">
        <f>IFERROR(VLOOKUP(A3811,vlookup_table!$A:$G,7,FALSE),"")</f>
        <v>25</v>
      </c>
      <c r="R3811">
        <f t="shared" si="236"/>
        <v>97</v>
      </c>
      <c r="S3811" t="str" cm="1">
        <f t="array" ref="S3811">IF(P3811="","",_xlfn.SWITCH(LEFT(P3811,1),"C","Ciudad","T","Pueblo","R","Rural","S","Suburbano","U","Urbano",""))</f>
        <v>Rural</v>
      </c>
      <c r="T3811" t="str">
        <f t="shared" si="237"/>
        <v>M</v>
      </c>
      <c r="U3811" t="str">
        <f t="shared" si="238"/>
        <v>NC</v>
      </c>
      <c r="V3811" t="str">
        <f t="shared" si="239"/>
        <v>11232</v>
      </c>
    </row>
    <row r="3812" spans="1:22" x14ac:dyDescent="0.35">
      <c r="A3812" s="3">
        <v>79717</v>
      </c>
      <c r="B3812" t="s">
        <v>35</v>
      </c>
      <c r="C3812" t="s">
        <v>51</v>
      </c>
      <c r="D3812">
        <v>860</v>
      </c>
      <c r="E3812">
        <v>409</v>
      </c>
      <c r="F3812">
        <v>479</v>
      </c>
      <c r="G3812">
        <v>0</v>
      </c>
      <c r="H3812">
        <v>16458</v>
      </c>
      <c r="I3812">
        <v>3</v>
      </c>
      <c r="J3812">
        <v>64</v>
      </c>
      <c r="K3812">
        <v>469</v>
      </c>
      <c r="L3812">
        <v>442</v>
      </c>
      <c r="M3812">
        <v>12.5</v>
      </c>
      <c r="N3812">
        <f>IFERROR(VLOOKUP(A3812,vlookup_table!$A:$G,2,FALSE),"")</f>
        <v>1</v>
      </c>
      <c r="O3812">
        <f>IFERROR(VLOOKUP(A3812,vlookup_table!$A:$G,4,FALSE),"")</f>
        <v>5701</v>
      </c>
      <c r="P3812" t="str">
        <f>IFERROR(VLOOKUP(A3812,vlookup_table!$A:$G,5,FALSE),"")</f>
        <v>S1</v>
      </c>
      <c r="Q3812">
        <f>IFERROR(VLOOKUP(A3812,vlookup_table!$A:$G,7,FALSE),"")</f>
        <v>15</v>
      </c>
      <c r="R3812">
        <f t="shared" si="236"/>
        <v>40</v>
      </c>
      <c r="S3812" t="str" cm="1">
        <f t="array" ref="S3812">IF(P3812="","",_xlfn.SWITCH(LEFT(P3812,1),"C","Ciudad","T","Pueblo","R","Rural","S","Suburbano","U","Urbano",""))</f>
        <v>Suburbano</v>
      </c>
      <c r="T3812" t="str">
        <f t="shared" si="237"/>
        <v>M</v>
      </c>
      <c r="U3812" t="str">
        <f t="shared" si="238"/>
        <v>WI</v>
      </c>
      <c r="V3812" t="str">
        <f t="shared" si="239"/>
        <v>16458</v>
      </c>
    </row>
    <row r="3813" spans="1:22" x14ac:dyDescent="0.35">
      <c r="A3813" s="3">
        <v>32950</v>
      </c>
      <c r="B3813" t="s">
        <v>13</v>
      </c>
      <c r="C3813" t="s">
        <v>17</v>
      </c>
      <c r="D3813">
        <v>465</v>
      </c>
      <c r="E3813">
        <v>271</v>
      </c>
      <c r="F3813">
        <v>338</v>
      </c>
      <c r="G3813">
        <v>0</v>
      </c>
      <c r="H3813">
        <v>11843</v>
      </c>
      <c r="I3813">
        <v>2</v>
      </c>
      <c r="J3813">
        <v>49</v>
      </c>
      <c r="K3813">
        <v>295</v>
      </c>
      <c r="L3813">
        <v>298</v>
      </c>
      <c r="M3813">
        <v>5.2857142860000002</v>
      </c>
      <c r="N3813">
        <f>IFERROR(VLOOKUP(A3813,vlookup_table!$A:$G,2,FALSE),"")</f>
        <v>2</v>
      </c>
      <c r="O3813">
        <f>IFERROR(VLOOKUP(A3813,vlookup_table!$A:$G,4,FALSE),"")</f>
        <v>4208</v>
      </c>
      <c r="P3813" t="str">
        <f>IFERROR(VLOOKUP(A3813,vlookup_table!$A:$G,5,FALSE),"")</f>
        <v>S2</v>
      </c>
      <c r="Q3813">
        <f>IFERROR(VLOOKUP(A3813,vlookup_table!$A:$G,7,FALSE),"")</f>
        <v>5</v>
      </c>
      <c r="R3813">
        <f t="shared" si="236"/>
        <v>55</v>
      </c>
      <c r="S3813" t="str" cm="1">
        <f t="array" ref="S3813">IF(P3813="","",_xlfn.SWITCH(LEFT(P3813,1),"C","Ciudad","T","Pueblo","R","Rural","S","Suburbano","U","Urbano",""))</f>
        <v>Suburbano</v>
      </c>
      <c r="T3813" t="str">
        <f t="shared" si="237"/>
        <v>F</v>
      </c>
      <c r="U3813" t="str">
        <f t="shared" si="238"/>
        <v>FL</v>
      </c>
      <c r="V3813" t="str">
        <f t="shared" si="239"/>
        <v>11843</v>
      </c>
    </row>
    <row r="3814" spans="1:22" x14ac:dyDescent="0.35">
      <c r="A3814" s="3">
        <v>187604</v>
      </c>
      <c r="B3814" t="s">
        <v>53</v>
      </c>
      <c r="D3814">
        <v>1349</v>
      </c>
      <c r="E3814">
        <v>481</v>
      </c>
      <c r="F3814">
        <v>628</v>
      </c>
      <c r="G3814">
        <v>21</v>
      </c>
      <c r="H3814">
        <v>22094</v>
      </c>
      <c r="I3814">
        <v>4</v>
      </c>
      <c r="J3814">
        <v>45</v>
      </c>
      <c r="K3814">
        <v>593</v>
      </c>
      <c r="L3814">
        <v>521</v>
      </c>
      <c r="M3814">
        <v>5.3</v>
      </c>
      <c r="N3814">
        <f>IFERROR(VLOOKUP(A3814,vlookup_table!$A:$G,2,FALSE),"")</f>
        <v>0</v>
      </c>
      <c r="O3814">
        <f>IFERROR(VLOOKUP(A3814,vlookup_table!$A:$G,4,FALSE),"")</f>
        <v>0</v>
      </c>
      <c r="P3814" t="str">
        <f>IFERROR(VLOOKUP(A3814,vlookup_table!$A:$G,5,FALSE),"")</f>
        <v>T1</v>
      </c>
      <c r="Q3814">
        <f>IFERROR(VLOOKUP(A3814,vlookup_table!$A:$G,7,FALSE),"")</f>
        <v>11</v>
      </c>
      <c r="R3814">
        <f t="shared" si="236"/>
        <v>97</v>
      </c>
      <c r="S3814" t="str" cm="1">
        <f t="array" ref="S3814">IF(P3814="","",_xlfn.SWITCH(LEFT(P3814,1),"C","Ciudad","T","Pueblo","R","Rural","S","Suburbano","U","Urbano",""))</f>
        <v>Pueblo</v>
      </c>
      <c r="T3814" t="str">
        <f t="shared" si="237"/>
        <v/>
      </c>
      <c r="U3814" t="str">
        <f t="shared" si="238"/>
        <v>TN</v>
      </c>
      <c r="V3814" t="str">
        <f t="shared" si="239"/>
        <v>22094</v>
      </c>
    </row>
    <row r="3815" spans="1:22" x14ac:dyDescent="0.35">
      <c r="A3815" s="3">
        <v>45158</v>
      </c>
      <c r="B3815" t="s">
        <v>13</v>
      </c>
      <c r="C3815" t="s">
        <v>17</v>
      </c>
      <c r="D3815">
        <v>917</v>
      </c>
      <c r="E3815">
        <v>250</v>
      </c>
      <c r="F3815">
        <v>374</v>
      </c>
      <c r="G3815">
        <v>0</v>
      </c>
      <c r="H3815">
        <v>14202</v>
      </c>
      <c r="I3815">
        <v>11</v>
      </c>
      <c r="J3815">
        <v>16</v>
      </c>
      <c r="K3815">
        <v>286</v>
      </c>
      <c r="L3815">
        <v>318</v>
      </c>
      <c r="M3815">
        <v>8.5</v>
      </c>
      <c r="N3815">
        <f>IFERROR(VLOOKUP(A3815,vlookup_table!$A:$G,2,FALSE),"")</f>
        <v>0</v>
      </c>
      <c r="O3815">
        <f>IFERROR(VLOOKUP(A3815,vlookup_table!$A:$G,4,FALSE),"")</f>
        <v>3408</v>
      </c>
      <c r="P3815" t="str">
        <f>IFERROR(VLOOKUP(A3815,vlookup_table!$A:$G,5,FALSE),"")</f>
        <v>C2</v>
      </c>
      <c r="Q3815">
        <f>IFERROR(VLOOKUP(A3815,vlookup_table!$A:$G,7,FALSE),"")</f>
        <v>10</v>
      </c>
      <c r="R3815">
        <f t="shared" si="236"/>
        <v>63</v>
      </c>
      <c r="S3815" t="str" cm="1">
        <f t="array" ref="S3815">IF(P3815="","",_xlfn.SWITCH(LEFT(P3815,1),"C","Ciudad","T","Pueblo","R","Rural","S","Suburbano","U","Urbano",""))</f>
        <v>Ciudad</v>
      </c>
      <c r="T3815" t="str">
        <f t="shared" si="237"/>
        <v>F</v>
      </c>
      <c r="U3815" t="str">
        <f t="shared" si="238"/>
        <v>FL</v>
      </c>
      <c r="V3815" t="str">
        <f t="shared" si="239"/>
        <v>14202</v>
      </c>
    </row>
    <row r="3816" spans="1:22" x14ac:dyDescent="0.35">
      <c r="A3816" s="3">
        <v>145885</v>
      </c>
      <c r="B3816" t="s">
        <v>22</v>
      </c>
      <c r="C3816" t="s">
        <v>17</v>
      </c>
      <c r="D3816">
        <v>3130</v>
      </c>
      <c r="E3816">
        <v>564</v>
      </c>
      <c r="F3816">
        <v>682</v>
      </c>
      <c r="G3816">
        <v>79</v>
      </c>
      <c r="H3816">
        <v>25384</v>
      </c>
      <c r="I3816">
        <v>18</v>
      </c>
      <c r="J3816">
        <v>47</v>
      </c>
      <c r="K3816">
        <v>624</v>
      </c>
      <c r="L3816">
        <v>631</v>
      </c>
      <c r="M3816">
        <v>20</v>
      </c>
      <c r="N3816">
        <f>IFERROR(VLOOKUP(A3816,vlookup_table!$A:$G,2,FALSE),"")</f>
        <v>0</v>
      </c>
      <c r="O3816">
        <f>IFERROR(VLOOKUP(A3816,vlookup_table!$A:$G,4,FALSE),"")</f>
        <v>3801</v>
      </c>
      <c r="P3816" t="str">
        <f>IFERROR(VLOOKUP(A3816,vlookup_table!$A:$G,5,FALSE),"")</f>
        <v>S1</v>
      </c>
      <c r="Q3816">
        <f>IFERROR(VLOOKUP(A3816,vlookup_table!$A:$G,7,FALSE),"")</f>
        <v>20</v>
      </c>
      <c r="R3816">
        <f t="shared" si="236"/>
        <v>59</v>
      </c>
      <c r="S3816" t="str" cm="1">
        <f t="array" ref="S3816">IF(P3816="","",_xlfn.SWITCH(LEFT(P3816,1),"C","Ciudad","T","Pueblo","R","Rural","S","Suburbano","U","Urbano",""))</f>
        <v>Suburbano</v>
      </c>
      <c r="T3816" t="str">
        <f t="shared" si="237"/>
        <v>F</v>
      </c>
      <c r="U3816" t="str">
        <f t="shared" si="238"/>
        <v>CA</v>
      </c>
      <c r="V3816" t="str">
        <f t="shared" si="239"/>
        <v>25384</v>
      </c>
    </row>
    <row r="3817" spans="1:22" x14ac:dyDescent="0.35">
      <c r="A3817" s="3">
        <v>104401</v>
      </c>
      <c r="B3817" t="s">
        <v>28</v>
      </c>
      <c r="C3817" t="s">
        <v>17</v>
      </c>
      <c r="D3817">
        <v>850</v>
      </c>
      <c r="E3817">
        <v>270</v>
      </c>
      <c r="F3817">
        <v>534</v>
      </c>
      <c r="G3817">
        <v>4</v>
      </c>
      <c r="H3817">
        <v>14689</v>
      </c>
      <c r="I3817">
        <v>8</v>
      </c>
      <c r="J3817">
        <v>48</v>
      </c>
      <c r="K3817">
        <v>468</v>
      </c>
      <c r="L3817">
        <v>360</v>
      </c>
      <c r="M3817">
        <v>10.35714286</v>
      </c>
      <c r="N3817">
        <f>IFERROR(VLOOKUP(A3817,vlookup_table!$A:$G,2,FALSE),"")</f>
        <v>0</v>
      </c>
      <c r="O3817">
        <f>IFERROR(VLOOKUP(A3817,vlookup_table!$A:$G,4,FALSE),"")</f>
        <v>2702</v>
      </c>
      <c r="P3817" t="str">
        <f>IFERROR(VLOOKUP(A3817,vlookup_table!$A:$G,5,FALSE),"")</f>
        <v>C1</v>
      </c>
      <c r="Q3817">
        <f>IFERROR(VLOOKUP(A3817,vlookup_table!$A:$G,7,FALSE),"")</f>
        <v>15</v>
      </c>
      <c r="R3817">
        <f t="shared" si="236"/>
        <v>70</v>
      </c>
      <c r="S3817" t="str" cm="1">
        <f t="array" ref="S3817">IF(P3817="","",_xlfn.SWITCH(LEFT(P3817,1),"C","Ciudad","T","Pueblo","R","Rural","S","Suburbano","U","Urbano",""))</f>
        <v>Ciudad</v>
      </c>
      <c r="T3817" t="str">
        <f t="shared" si="237"/>
        <v>F</v>
      </c>
      <c r="U3817" t="str">
        <f t="shared" si="238"/>
        <v>KS</v>
      </c>
      <c r="V3817" t="str">
        <f t="shared" si="239"/>
        <v>14689</v>
      </c>
    </row>
    <row r="3818" spans="1:22" x14ac:dyDescent="0.35">
      <c r="A3818" s="3">
        <v>176491</v>
      </c>
      <c r="B3818" t="s">
        <v>50</v>
      </c>
      <c r="C3818" t="s">
        <v>17</v>
      </c>
      <c r="D3818">
        <v>550</v>
      </c>
      <c r="E3818">
        <v>289</v>
      </c>
      <c r="F3818">
        <v>363</v>
      </c>
      <c r="G3818">
        <v>1</v>
      </c>
      <c r="H3818">
        <v>12798</v>
      </c>
      <c r="I3818">
        <v>3</v>
      </c>
      <c r="J3818">
        <v>58</v>
      </c>
      <c r="K3818">
        <v>345</v>
      </c>
      <c r="L3818">
        <v>327</v>
      </c>
      <c r="M3818">
        <v>16.5</v>
      </c>
      <c r="N3818">
        <f>IFERROR(VLOOKUP(A3818,vlookup_table!$A:$G,2,FALSE),"")</f>
        <v>0</v>
      </c>
      <c r="O3818">
        <f>IFERROR(VLOOKUP(A3818,vlookup_table!$A:$G,4,FALSE),"")</f>
        <v>0</v>
      </c>
      <c r="P3818" t="str">
        <f>IFERROR(VLOOKUP(A3818,vlookup_table!$A:$G,5,FALSE),"")</f>
        <v>R2</v>
      </c>
      <c r="Q3818">
        <f>IFERROR(VLOOKUP(A3818,vlookup_table!$A:$G,7,FALSE),"")</f>
        <v>25</v>
      </c>
      <c r="R3818">
        <f t="shared" si="236"/>
        <v>97</v>
      </c>
      <c r="S3818" t="str" cm="1">
        <f t="array" ref="S3818">IF(P3818="","",_xlfn.SWITCH(LEFT(P3818,1),"C","Ciudad","T","Pueblo","R","Rural","S","Suburbano","U","Urbano",""))</f>
        <v>Rural</v>
      </c>
      <c r="T3818" t="str">
        <f t="shared" si="237"/>
        <v>F</v>
      </c>
      <c r="U3818" t="str">
        <f t="shared" si="238"/>
        <v>OR</v>
      </c>
      <c r="V3818" t="str">
        <f t="shared" si="239"/>
        <v>12798</v>
      </c>
    </row>
    <row r="3819" spans="1:22" x14ac:dyDescent="0.35">
      <c r="A3819" s="3">
        <v>89873</v>
      </c>
      <c r="B3819" t="s">
        <v>16</v>
      </c>
      <c r="C3819" t="s">
        <v>17</v>
      </c>
      <c r="D3819">
        <v>1865</v>
      </c>
      <c r="E3819">
        <v>549</v>
      </c>
      <c r="F3819">
        <v>669</v>
      </c>
      <c r="G3819">
        <v>43</v>
      </c>
      <c r="H3819">
        <v>20320</v>
      </c>
      <c r="I3819">
        <v>6</v>
      </c>
      <c r="J3819">
        <v>74</v>
      </c>
      <c r="K3819">
        <v>609</v>
      </c>
      <c r="L3819">
        <v>644</v>
      </c>
      <c r="M3819">
        <v>13.25</v>
      </c>
      <c r="N3819">
        <f>IFERROR(VLOOKUP(A3819,vlookup_table!$A:$G,2,FALSE),"")</f>
        <v>0</v>
      </c>
      <c r="O3819">
        <f>IFERROR(VLOOKUP(A3819,vlookup_table!$A:$G,4,FALSE),"")</f>
        <v>4506</v>
      </c>
      <c r="P3819" t="str">
        <f>IFERROR(VLOOKUP(A3819,vlookup_table!$A:$G,5,FALSE),"")</f>
        <v>T1</v>
      </c>
      <c r="Q3819">
        <f>IFERROR(VLOOKUP(A3819,vlookup_table!$A:$G,7,FALSE),"")</f>
        <v>11</v>
      </c>
      <c r="R3819">
        <f t="shared" si="236"/>
        <v>52</v>
      </c>
      <c r="S3819" t="str" cm="1">
        <f t="array" ref="S3819">IF(P3819="","",_xlfn.SWITCH(LEFT(P3819,1),"C","Ciudad","T","Pueblo","R","Rural","S","Suburbano","U","Urbano",""))</f>
        <v>Pueblo</v>
      </c>
      <c r="T3819" t="str">
        <f t="shared" si="237"/>
        <v>F</v>
      </c>
      <c r="U3819" t="str">
        <f t="shared" si="238"/>
        <v>IL</v>
      </c>
      <c r="V3819" t="str">
        <f t="shared" si="239"/>
        <v>20320</v>
      </c>
    </row>
    <row r="3820" spans="1:22" x14ac:dyDescent="0.35">
      <c r="A3820" s="3">
        <v>1673</v>
      </c>
      <c r="B3820" t="s">
        <v>38</v>
      </c>
      <c r="C3820" t="s">
        <v>17</v>
      </c>
      <c r="D3820">
        <v>1033</v>
      </c>
      <c r="E3820">
        <v>427</v>
      </c>
      <c r="F3820">
        <v>536</v>
      </c>
      <c r="G3820">
        <v>14</v>
      </c>
      <c r="H3820">
        <v>12145</v>
      </c>
      <c r="I3820">
        <v>1</v>
      </c>
      <c r="J3820">
        <v>72</v>
      </c>
      <c r="K3820">
        <v>448</v>
      </c>
      <c r="L3820">
        <v>510</v>
      </c>
      <c r="M3820">
        <v>9.6875</v>
      </c>
      <c r="N3820">
        <f>IFERROR(VLOOKUP(A3820,vlookup_table!$A:$G,2,FALSE),"")</f>
        <v>0</v>
      </c>
      <c r="O3820">
        <f>IFERROR(VLOOKUP(A3820,vlookup_table!$A:$G,4,FALSE),"")</f>
        <v>3001</v>
      </c>
      <c r="P3820" t="str">
        <f>IFERROR(VLOOKUP(A3820,vlookup_table!$A:$G,5,FALSE),"")</f>
        <v>T1</v>
      </c>
      <c r="Q3820">
        <f>IFERROR(VLOOKUP(A3820,vlookup_table!$A:$G,7,FALSE),"")</f>
        <v>40</v>
      </c>
      <c r="R3820">
        <f t="shared" si="236"/>
        <v>67</v>
      </c>
      <c r="S3820" t="str" cm="1">
        <f t="array" ref="S3820">IF(P3820="","",_xlfn.SWITCH(LEFT(P3820,1),"C","Ciudad","T","Pueblo","R","Rural","S","Suburbano","U","Urbano",""))</f>
        <v>Pueblo</v>
      </c>
      <c r="T3820" t="str">
        <f t="shared" si="237"/>
        <v>F</v>
      </c>
      <c r="U3820" t="str">
        <f t="shared" si="238"/>
        <v>UT</v>
      </c>
      <c r="V3820" t="str">
        <f t="shared" si="239"/>
        <v>12145</v>
      </c>
    </row>
    <row r="3821" spans="1:22" x14ac:dyDescent="0.35">
      <c r="A3821" s="3">
        <v>12874</v>
      </c>
      <c r="B3821" t="s">
        <v>56</v>
      </c>
      <c r="C3821" t="s">
        <v>17</v>
      </c>
      <c r="D3821">
        <v>403</v>
      </c>
      <c r="E3821">
        <v>199</v>
      </c>
      <c r="F3821">
        <v>301</v>
      </c>
      <c r="G3821">
        <v>0</v>
      </c>
      <c r="H3821">
        <v>10368</v>
      </c>
      <c r="I3821">
        <v>2</v>
      </c>
      <c r="J3821">
        <v>80</v>
      </c>
      <c r="K3821">
        <v>260</v>
      </c>
      <c r="L3821">
        <v>253</v>
      </c>
      <c r="M3821">
        <v>7.5714285710000002</v>
      </c>
      <c r="N3821">
        <f>IFERROR(VLOOKUP(A3821,vlookup_table!$A:$G,2,FALSE),"")</f>
        <v>2</v>
      </c>
      <c r="O3821">
        <f>IFERROR(VLOOKUP(A3821,vlookup_table!$A:$G,4,FALSE),"")</f>
        <v>1606</v>
      </c>
      <c r="P3821" t="str">
        <f>IFERROR(VLOOKUP(A3821,vlookup_table!$A:$G,5,FALSE),"")</f>
        <v>R2</v>
      </c>
      <c r="Q3821">
        <f>IFERROR(VLOOKUP(A3821,vlookup_table!$A:$G,7,FALSE),"")</f>
        <v>10</v>
      </c>
      <c r="R3821">
        <f t="shared" si="236"/>
        <v>81</v>
      </c>
      <c r="S3821" t="str" cm="1">
        <f t="array" ref="S3821">IF(P3821="","",_xlfn.SWITCH(LEFT(P3821,1),"C","Ciudad","T","Pueblo","R","Rural","S","Suburbano","U","Urbano",""))</f>
        <v>Rural</v>
      </c>
      <c r="T3821" t="str">
        <f t="shared" si="237"/>
        <v>F</v>
      </c>
      <c r="U3821" t="str">
        <f t="shared" si="238"/>
        <v>MN</v>
      </c>
      <c r="V3821" t="str">
        <f t="shared" si="239"/>
        <v>10368</v>
      </c>
    </row>
    <row r="3822" spans="1:22" x14ac:dyDescent="0.35">
      <c r="A3822" s="3">
        <v>188851</v>
      </c>
      <c r="B3822" t="s">
        <v>22</v>
      </c>
      <c r="C3822" t="s">
        <v>14</v>
      </c>
      <c r="D3822">
        <v>2192</v>
      </c>
      <c r="E3822">
        <v>400</v>
      </c>
      <c r="F3822">
        <v>573</v>
      </c>
      <c r="G3822">
        <v>60</v>
      </c>
      <c r="H3822">
        <v>15755</v>
      </c>
      <c r="I3822">
        <v>31</v>
      </c>
      <c r="J3822">
        <v>48</v>
      </c>
      <c r="K3822">
        <v>410</v>
      </c>
      <c r="L3822">
        <v>515</v>
      </c>
      <c r="M3822">
        <v>24</v>
      </c>
      <c r="N3822">
        <f>IFERROR(VLOOKUP(A3822,vlookup_table!$A:$G,2,FALSE),"")</f>
        <v>1</v>
      </c>
      <c r="O3822">
        <f>IFERROR(VLOOKUP(A3822,vlookup_table!$A:$G,4,FALSE),"")</f>
        <v>1601</v>
      </c>
      <c r="P3822" t="str">
        <f>IFERROR(VLOOKUP(A3822,vlookup_table!$A:$G,5,FALSE),"")</f>
        <v>S2</v>
      </c>
      <c r="Q3822">
        <f>IFERROR(VLOOKUP(A3822,vlookup_table!$A:$G,7,FALSE),"")</f>
        <v>23</v>
      </c>
      <c r="R3822">
        <f t="shared" si="236"/>
        <v>81</v>
      </c>
      <c r="S3822" t="str" cm="1">
        <f t="array" ref="S3822">IF(P3822="","",_xlfn.SWITCH(LEFT(P3822,1),"C","Ciudad","T","Pueblo","R","Rural","S","Suburbano","U","Urbano",""))</f>
        <v>Suburbano</v>
      </c>
      <c r="T3822" t="str">
        <f t="shared" si="237"/>
        <v>M</v>
      </c>
      <c r="U3822" t="str">
        <f t="shared" si="238"/>
        <v>CA</v>
      </c>
      <c r="V3822" t="str">
        <f t="shared" si="239"/>
        <v>15755</v>
      </c>
    </row>
    <row r="3823" spans="1:22" x14ac:dyDescent="0.35">
      <c r="A3823" s="3">
        <v>160258</v>
      </c>
      <c r="B3823" t="s">
        <v>22</v>
      </c>
      <c r="C3823" t="s">
        <v>14</v>
      </c>
      <c r="D3823">
        <v>2656</v>
      </c>
      <c r="E3823">
        <v>437</v>
      </c>
      <c r="F3823">
        <v>531</v>
      </c>
      <c r="G3823">
        <v>85</v>
      </c>
      <c r="H3823">
        <v>19931</v>
      </c>
      <c r="I3823">
        <v>18</v>
      </c>
      <c r="J3823">
        <v>46</v>
      </c>
      <c r="K3823">
        <v>492</v>
      </c>
      <c r="L3823">
        <v>488</v>
      </c>
      <c r="M3823">
        <v>8.6999999999999993</v>
      </c>
      <c r="N3823">
        <f>IFERROR(VLOOKUP(A3823,vlookup_table!$A:$G,2,FALSE),"")</f>
        <v>0</v>
      </c>
      <c r="O3823">
        <f>IFERROR(VLOOKUP(A3823,vlookup_table!$A:$G,4,FALSE),"")</f>
        <v>1803</v>
      </c>
      <c r="P3823" t="str">
        <f>IFERROR(VLOOKUP(A3823,vlookup_table!$A:$G,5,FALSE),"")</f>
        <v>C1</v>
      </c>
      <c r="Q3823">
        <f>IFERROR(VLOOKUP(A3823,vlookup_table!$A:$G,7,FALSE),"")</f>
        <v>15</v>
      </c>
      <c r="R3823">
        <f t="shared" si="236"/>
        <v>79</v>
      </c>
      <c r="S3823" t="str" cm="1">
        <f t="array" ref="S3823">IF(P3823="","",_xlfn.SWITCH(LEFT(P3823,1),"C","Ciudad","T","Pueblo","R","Rural","S","Suburbano","U","Urbano",""))</f>
        <v>Ciudad</v>
      </c>
      <c r="T3823" t="str">
        <f t="shared" si="237"/>
        <v>M</v>
      </c>
      <c r="U3823" t="str">
        <f t="shared" si="238"/>
        <v>CA</v>
      </c>
      <c r="V3823" t="str">
        <f t="shared" si="239"/>
        <v>19931</v>
      </c>
    </row>
    <row r="3824" spans="1:22" x14ac:dyDescent="0.35">
      <c r="A3824" s="3">
        <v>108760</v>
      </c>
      <c r="B3824" t="s">
        <v>49</v>
      </c>
      <c r="C3824" t="s">
        <v>17</v>
      </c>
      <c r="D3824">
        <v>564</v>
      </c>
      <c r="E3824">
        <v>211</v>
      </c>
      <c r="F3824">
        <v>285</v>
      </c>
      <c r="G3824">
        <v>1</v>
      </c>
      <c r="H3824">
        <v>8384</v>
      </c>
      <c r="I3824">
        <v>0</v>
      </c>
      <c r="J3824">
        <v>86</v>
      </c>
      <c r="K3824">
        <v>251</v>
      </c>
      <c r="L3824">
        <v>254</v>
      </c>
      <c r="M3824">
        <v>15</v>
      </c>
      <c r="N3824">
        <f>IFERROR(VLOOKUP(A3824,vlookup_table!$A:$G,2,FALSE),"")</f>
        <v>2</v>
      </c>
      <c r="O3824">
        <f>IFERROR(VLOOKUP(A3824,vlookup_table!$A:$G,4,FALSE),"")</f>
        <v>0</v>
      </c>
      <c r="P3824" t="str">
        <f>IFERROR(VLOOKUP(A3824,vlookup_table!$A:$G,5,FALSE),"")</f>
        <v>R3</v>
      </c>
      <c r="Q3824">
        <f>IFERROR(VLOOKUP(A3824,vlookup_table!$A:$G,7,FALSE),"")</f>
        <v>22</v>
      </c>
      <c r="R3824">
        <f t="shared" si="236"/>
        <v>97</v>
      </c>
      <c r="S3824" t="str" cm="1">
        <f t="array" ref="S3824">IF(P3824="","",_xlfn.SWITCH(LEFT(P3824,1),"C","Ciudad","T","Pueblo","R","Rural","S","Suburbano","U","Urbano",""))</f>
        <v>Rural</v>
      </c>
      <c r="T3824" t="str">
        <f t="shared" si="237"/>
        <v>F</v>
      </c>
      <c r="U3824" t="str">
        <f t="shared" si="238"/>
        <v>LA</v>
      </c>
      <c r="V3824" t="str">
        <f t="shared" si="239"/>
        <v>8384</v>
      </c>
    </row>
    <row r="3825" spans="1:22" x14ac:dyDescent="0.35">
      <c r="A3825" s="3">
        <v>187696</v>
      </c>
      <c r="B3825" t="s">
        <v>21</v>
      </c>
      <c r="C3825" t="s">
        <v>17</v>
      </c>
      <c r="D3825">
        <v>1182</v>
      </c>
      <c r="E3825">
        <v>269</v>
      </c>
      <c r="F3825">
        <v>482</v>
      </c>
      <c r="G3825">
        <v>0</v>
      </c>
      <c r="H3825">
        <v>16352</v>
      </c>
      <c r="I3825">
        <v>12</v>
      </c>
      <c r="J3825">
        <v>39</v>
      </c>
      <c r="K3825">
        <v>374</v>
      </c>
      <c r="L3825">
        <v>361</v>
      </c>
      <c r="M3825">
        <v>17.5</v>
      </c>
      <c r="N3825">
        <f>IFERROR(VLOOKUP(A3825,vlookup_table!$A:$G,2,FALSE),"")</f>
        <v>28</v>
      </c>
      <c r="O3825">
        <f>IFERROR(VLOOKUP(A3825,vlookup_table!$A:$G,4,FALSE),"")</f>
        <v>0</v>
      </c>
      <c r="P3825" t="str">
        <f>IFERROR(VLOOKUP(A3825,vlookup_table!$A:$G,5,FALSE),"")</f>
        <v>C1</v>
      </c>
      <c r="Q3825">
        <f>IFERROR(VLOOKUP(A3825,vlookup_table!$A:$G,7,FALSE),"")</f>
        <v>10</v>
      </c>
      <c r="R3825">
        <f t="shared" si="236"/>
        <v>97</v>
      </c>
      <c r="S3825" t="str" cm="1">
        <f t="array" ref="S3825">IF(P3825="","",_xlfn.SWITCH(LEFT(P3825,1),"C","Ciudad","T","Pueblo","R","Rural","S","Suburbano","U","Urbano",""))</f>
        <v>Ciudad</v>
      </c>
      <c r="T3825" t="str">
        <f t="shared" si="237"/>
        <v>F</v>
      </c>
      <c r="U3825" t="str">
        <f t="shared" si="238"/>
        <v>TX</v>
      </c>
      <c r="V3825" t="str">
        <f t="shared" si="239"/>
        <v>16352</v>
      </c>
    </row>
    <row r="3826" spans="1:22" x14ac:dyDescent="0.35">
      <c r="A3826" s="3">
        <v>66199</v>
      </c>
      <c r="B3826" t="s">
        <v>29</v>
      </c>
      <c r="C3826" t="s">
        <v>17</v>
      </c>
      <c r="D3826">
        <v>646</v>
      </c>
      <c r="E3826">
        <v>377</v>
      </c>
      <c r="F3826">
        <v>439</v>
      </c>
      <c r="G3826">
        <v>0</v>
      </c>
      <c r="H3826">
        <v>18681</v>
      </c>
      <c r="I3826">
        <v>2</v>
      </c>
      <c r="J3826">
        <v>80</v>
      </c>
      <c r="K3826">
        <v>399</v>
      </c>
      <c r="L3826">
        <v>408</v>
      </c>
      <c r="M3826">
        <v>4.6666666670000003</v>
      </c>
      <c r="N3826">
        <f>IFERROR(VLOOKUP(A3826,vlookup_table!$A:$G,2,FALSE),"")</f>
        <v>0</v>
      </c>
      <c r="O3826">
        <f>IFERROR(VLOOKUP(A3826,vlookup_table!$A:$G,4,FALSE),"")</f>
        <v>0</v>
      </c>
      <c r="P3826" t="str">
        <f>IFERROR(VLOOKUP(A3826,vlookup_table!$A:$G,5,FALSE),"")</f>
        <v>S2</v>
      </c>
      <c r="Q3826">
        <f>IFERROR(VLOOKUP(A3826,vlookup_table!$A:$G,7,FALSE),"")</f>
        <v>5</v>
      </c>
      <c r="R3826">
        <f t="shared" si="236"/>
        <v>97</v>
      </c>
      <c r="S3826" t="str" cm="1">
        <f t="array" ref="S3826">IF(P3826="","",_xlfn.SWITCH(LEFT(P3826,1),"C","Ciudad","T","Pueblo","R","Rural","S","Suburbano","U","Urbano",""))</f>
        <v>Suburbano</v>
      </c>
      <c r="T3826" t="str">
        <f t="shared" si="237"/>
        <v>F</v>
      </c>
      <c r="U3826" t="str">
        <f t="shared" si="238"/>
        <v>MI</v>
      </c>
      <c r="V3826" t="str">
        <f t="shared" si="239"/>
        <v>18681</v>
      </c>
    </row>
    <row r="3827" spans="1:22" x14ac:dyDescent="0.35">
      <c r="A3827" s="3">
        <v>104905</v>
      </c>
      <c r="B3827" t="s">
        <v>28</v>
      </c>
      <c r="C3827" t="s">
        <v>17</v>
      </c>
      <c r="D3827">
        <v>877</v>
      </c>
      <c r="E3827">
        <v>382</v>
      </c>
      <c r="F3827">
        <v>554</v>
      </c>
      <c r="G3827">
        <v>1</v>
      </c>
      <c r="H3827">
        <v>22091</v>
      </c>
      <c r="I3827">
        <v>2</v>
      </c>
      <c r="J3827">
        <v>42</v>
      </c>
      <c r="K3827">
        <v>503</v>
      </c>
      <c r="L3827">
        <v>460</v>
      </c>
      <c r="M3827">
        <v>11.42857143</v>
      </c>
      <c r="N3827">
        <f>IFERROR(VLOOKUP(A3827,vlookup_table!$A:$G,2,FALSE),"")</f>
        <v>0</v>
      </c>
      <c r="O3827">
        <f>IFERROR(VLOOKUP(A3827,vlookup_table!$A:$G,4,FALSE),"")</f>
        <v>5401</v>
      </c>
      <c r="P3827" t="str">
        <f>IFERROR(VLOOKUP(A3827,vlookup_table!$A:$G,5,FALSE),"")</f>
        <v>S1</v>
      </c>
      <c r="Q3827">
        <f>IFERROR(VLOOKUP(A3827,vlookup_table!$A:$G,7,FALSE),"")</f>
        <v>15</v>
      </c>
      <c r="R3827">
        <f t="shared" si="236"/>
        <v>43</v>
      </c>
      <c r="S3827" t="str" cm="1">
        <f t="array" ref="S3827">IF(P3827="","",_xlfn.SWITCH(LEFT(P3827,1),"C","Ciudad","T","Pueblo","R","Rural","S","Suburbano","U","Urbano",""))</f>
        <v>Suburbano</v>
      </c>
      <c r="T3827" t="str">
        <f t="shared" si="237"/>
        <v>F</v>
      </c>
      <c r="U3827" t="str">
        <f t="shared" si="238"/>
        <v>KS</v>
      </c>
      <c r="V3827" t="str">
        <f t="shared" si="239"/>
        <v>22091</v>
      </c>
    </row>
    <row r="3828" spans="1:22" x14ac:dyDescent="0.35">
      <c r="A3828" s="3">
        <v>102665</v>
      </c>
      <c r="B3828" t="s">
        <v>36</v>
      </c>
      <c r="C3828" t="s">
        <v>14</v>
      </c>
      <c r="D3828">
        <v>424</v>
      </c>
      <c r="E3828">
        <v>215</v>
      </c>
      <c r="F3828">
        <v>277</v>
      </c>
      <c r="G3828">
        <v>0</v>
      </c>
      <c r="H3828">
        <v>9603</v>
      </c>
      <c r="I3828">
        <v>0</v>
      </c>
      <c r="J3828">
        <v>81</v>
      </c>
      <c r="K3828">
        <v>255</v>
      </c>
      <c r="L3828">
        <v>242</v>
      </c>
      <c r="M3828">
        <v>8.75</v>
      </c>
      <c r="N3828">
        <f>IFERROR(VLOOKUP(A3828,vlookup_table!$A:$G,2,FALSE),"")</f>
        <v>1</v>
      </c>
      <c r="O3828">
        <f>IFERROR(VLOOKUP(A3828,vlookup_table!$A:$G,4,FALSE),"")</f>
        <v>4001</v>
      </c>
      <c r="P3828" t="str">
        <f>IFERROR(VLOOKUP(A3828,vlookup_table!$A:$G,5,FALSE),"")</f>
        <v>C3</v>
      </c>
      <c r="Q3828">
        <f>IFERROR(VLOOKUP(A3828,vlookup_table!$A:$G,7,FALSE),"")</f>
        <v>20</v>
      </c>
      <c r="R3828">
        <f t="shared" si="236"/>
        <v>57</v>
      </c>
      <c r="S3828" t="str" cm="1">
        <f t="array" ref="S3828">IF(P3828="","",_xlfn.SWITCH(LEFT(P3828,1),"C","Ciudad","T","Pueblo","R","Rural","S","Suburbano","U","Urbano",""))</f>
        <v>Ciudad</v>
      </c>
      <c r="T3828" t="str">
        <f t="shared" si="237"/>
        <v>M</v>
      </c>
      <c r="U3828" t="str">
        <f t="shared" si="238"/>
        <v>MO</v>
      </c>
      <c r="V3828" t="str">
        <f t="shared" si="239"/>
        <v>9603</v>
      </c>
    </row>
    <row r="3829" spans="1:22" x14ac:dyDescent="0.35">
      <c r="A3829" s="3">
        <v>137199</v>
      </c>
      <c r="B3829" t="s">
        <v>55</v>
      </c>
      <c r="C3829" t="s">
        <v>60</v>
      </c>
      <c r="D3829">
        <v>723</v>
      </c>
      <c r="E3829">
        <v>270</v>
      </c>
      <c r="F3829">
        <v>386</v>
      </c>
      <c r="G3829">
        <v>0</v>
      </c>
      <c r="H3829">
        <v>20233</v>
      </c>
      <c r="I3829">
        <v>8</v>
      </c>
      <c r="J3829">
        <v>1</v>
      </c>
      <c r="K3829">
        <v>335</v>
      </c>
      <c r="L3829">
        <v>321</v>
      </c>
      <c r="M3829">
        <v>7.6</v>
      </c>
      <c r="N3829">
        <f>IFERROR(VLOOKUP(A3829,vlookup_table!$A:$G,2,FALSE),"")</f>
        <v>2</v>
      </c>
      <c r="O3829">
        <f>IFERROR(VLOOKUP(A3829,vlookup_table!$A:$G,4,FALSE),"")</f>
        <v>808</v>
      </c>
      <c r="P3829" t="str">
        <f>IFERROR(VLOOKUP(A3829,vlookup_table!$A:$G,5,FALSE),"")</f>
        <v>C1</v>
      </c>
      <c r="Q3829">
        <f>IFERROR(VLOOKUP(A3829,vlookup_table!$A:$G,7,FALSE),"")</f>
        <v>10</v>
      </c>
      <c r="R3829">
        <f t="shared" si="236"/>
        <v>89</v>
      </c>
      <c r="S3829" t="str" cm="1">
        <f t="array" ref="S3829">IF(P3829="","",_xlfn.SWITCH(LEFT(P3829,1),"C","Ciudad","T","Pueblo","R","Rural","S","Suburbano","U","Urbano",""))</f>
        <v>Ciudad</v>
      </c>
      <c r="T3829" t="str">
        <f t="shared" si="237"/>
        <v>F</v>
      </c>
      <c r="U3829" t="str">
        <f t="shared" si="238"/>
        <v>AZ</v>
      </c>
      <c r="V3829" t="str">
        <f t="shared" si="239"/>
        <v>20233</v>
      </c>
    </row>
    <row r="3830" spans="1:22" x14ac:dyDescent="0.35">
      <c r="A3830" s="3">
        <v>159507</v>
      </c>
      <c r="B3830" t="s">
        <v>22</v>
      </c>
      <c r="C3830" t="s">
        <v>17</v>
      </c>
      <c r="D3830">
        <v>928</v>
      </c>
      <c r="E3830">
        <v>409</v>
      </c>
      <c r="F3830">
        <v>541</v>
      </c>
      <c r="G3830">
        <v>5</v>
      </c>
      <c r="H3830">
        <v>19428</v>
      </c>
      <c r="I3830">
        <v>1</v>
      </c>
      <c r="J3830">
        <v>65</v>
      </c>
      <c r="K3830">
        <v>484</v>
      </c>
      <c r="L3830">
        <v>456</v>
      </c>
      <c r="M3830">
        <v>20</v>
      </c>
      <c r="N3830">
        <f>IFERROR(VLOOKUP(A3830,vlookup_table!$A:$G,2,FALSE),"")</f>
        <v>0</v>
      </c>
      <c r="O3830">
        <f>IFERROR(VLOOKUP(A3830,vlookup_table!$A:$G,4,FALSE),"")</f>
        <v>2301</v>
      </c>
      <c r="P3830" t="str">
        <f>IFERROR(VLOOKUP(A3830,vlookup_table!$A:$G,5,FALSE),"")</f>
        <v>T2</v>
      </c>
      <c r="Q3830">
        <f>IFERROR(VLOOKUP(A3830,vlookup_table!$A:$G,7,FALSE),"")</f>
        <v>20</v>
      </c>
      <c r="R3830">
        <f t="shared" si="236"/>
        <v>74</v>
      </c>
      <c r="S3830" t="str" cm="1">
        <f t="array" ref="S3830">IF(P3830="","",_xlfn.SWITCH(LEFT(P3830,1),"C","Ciudad","T","Pueblo","R","Rural","S","Suburbano","U","Urbano",""))</f>
        <v>Pueblo</v>
      </c>
      <c r="T3830" t="str">
        <f t="shared" si="237"/>
        <v>F</v>
      </c>
      <c r="U3830" t="str">
        <f t="shared" si="238"/>
        <v>CA</v>
      </c>
      <c r="V3830" t="str">
        <f t="shared" si="239"/>
        <v>19428</v>
      </c>
    </row>
    <row r="3831" spans="1:22" x14ac:dyDescent="0.35">
      <c r="A3831" s="3">
        <v>137577</v>
      </c>
      <c r="B3831" t="s">
        <v>55</v>
      </c>
      <c r="C3831" t="s">
        <v>14</v>
      </c>
      <c r="D3831">
        <v>1052</v>
      </c>
      <c r="E3831">
        <v>505</v>
      </c>
      <c r="F3831">
        <v>525</v>
      </c>
      <c r="G3831">
        <v>0</v>
      </c>
      <c r="H3831">
        <v>27683</v>
      </c>
      <c r="I3831">
        <v>0</v>
      </c>
      <c r="J3831">
        <v>54</v>
      </c>
      <c r="K3831">
        <v>505</v>
      </c>
      <c r="L3831">
        <v>525</v>
      </c>
      <c r="M3831">
        <v>7.2</v>
      </c>
      <c r="N3831">
        <f>IFERROR(VLOOKUP(A3831,vlookup_table!$A:$G,2,FALSE),"")</f>
        <v>0</v>
      </c>
      <c r="O3831">
        <f>IFERROR(VLOOKUP(A3831,vlookup_table!$A:$G,4,FALSE),"")</f>
        <v>0</v>
      </c>
      <c r="P3831" t="str">
        <f>IFERROR(VLOOKUP(A3831,vlookup_table!$A:$G,5,FALSE),"")</f>
        <v>S1</v>
      </c>
      <c r="Q3831">
        <f>IFERROR(VLOOKUP(A3831,vlookup_table!$A:$G,7,FALSE),"")</f>
        <v>10</v>
      </c>
      <c r="R3831">
        <f t="shared" si="236"/>
        <v>97</v>
      </c>
      <c r="S3831" t="str" cm="1">
        <f t="array" ref="S3831">IF(P3831="","",_xlfn.SWITCH(LEFT(P3831,1),"C","Ciudad","T","Pueblo","R","Rural","S","Suburbano","U","Urbano",""))</f>
        <v>Suburbano</v>
      </c>
      <c r="T3831" t="str">
        <f t="shared" si="237"/>
        <v>M</v>
      </c>
      <c r="U3831" t="str">
        <f t="shared" si="238"/>
        <v>AZ</v>
      </c>
      <c r="V3831" t="str">
        <f t="shared" si="239"/>
        <v>27683</v>
      </c>
    </row>
    <row r="3832" spans="1:22" x14ac:dyDescent="0.35">
      <c r="A3832" s="3">
        <v>113805</v>
      </c>
      <c r="B3832" t="s">
        <v>31</v>
      </c>
      <c r="C3832" t="s">
        <v>17</v>
      </c>
      <c r="D3832">
        <v>392</v>
      </c>
      <c r="E3832">
        <v>216</v>
      </c>
      <c r="F3832">
        <v>355</v>
      </c>
      <c r="G3832">
        <v>0</v>
      </c>
      <c r="H3832">
        <v>14127</v>
      </c>
      <c r="I3832">
        <v>0</v>
      </c>
      <c r="J3832">
        <v>81</v>
      </c>
      <c r="K3832">
        <v>238</v>
      </c>
      <c r="L3832">
        <v>322</v>
      </c>
      <c r="M3832">
        <v>10.95454546</v>
      </c>
      <c r="N3832">
        <f>IFERROR(VLOOKUP(A3832,vlookup_table!$A:$G,2,FALSE),"")</f>
        <v>0</v>
      </c>
      <c r="O3832">
        <f>IFERROR(VLOOKUP(A3832,vlookup_table!$A:$G,4,FALSE),"")</f>
        <v>2001</v>
      </c>
      <c r="P3832" t="str">
        <f>IFERROR(VLOOKUP(A3832,vlookup_table!$A:$G,5,FALSE),"")</f>
        <v>T2</v>
      </c>
      <c r="Q3832">
        <f>IFERROR(VLOOKUP(A3832,vlookup_table!$A:$G,7,FALSE),"")</f>
        <v>20</v>
      </c>
      <c r="R3832">
        <f t="shared" si="236"/>
        <v>77</v>
      </c>
      <c r="S3832" t="str" cm="1">
        <f t="array" ref="S3832">IF(P3832="","",_xlfn.SWITCH(LEFT(P3832,1),"C","Ciudad","T","Pueblo","R","Rural","S","Suburbano","U","Urbano",""))</f>
        <v>Pueblo</v>
      </c>
      <c r="T3832" t="str">
        <f t="shared" si="237"/>
        <v>F</v>
      </c>
      <c r="U3832" t="str">
        <f t="shared" si="238"/>
        <v>OK</v>
      </c>
      <c r="V3832" t="str">
        <f t="shared" si="239"/>
        <v>14127</v>
      </c>
    </row>
    <row r="3833" spans="1:22" x14ac:dyDescent="0.35">
      <c r="A3833" s="3">
        <v>46203</v>
      </c>
      <c r="B3833" t="s">
        <v>22</v>
      </c>
      <c r="C3833" t="s">
        <v>17</v>
      </c>
      <c r="D3833">
        <v>2347</v>
      </c>
      <c r="E3833">
        <v>471</v>
      </c>
      <c r="F3833">
        <v>669</v>
      </c>
      <c r="G3833">
        <v>68</v>
      </c>
      <c r="H3833">
        <v>30302</v>
      </c>
      <c r="I3833">
        <v>12</v>
      </c>
      <c r="J3833">
        <v>41</v>
      </c>
      <c r="K3833">
        <v>570</v>
      </c>
      <c r="L3833">
        <v>574</v>
      </c>
      <c r="M3833">
        <v>7.8</v>
      </c>
      <c r="N3833">
        <f>IFERROR(VLOOKUP(A3833,vlookup_table!$A:$G,2,FALSE),"")</f>
        <v>0</v>
      </c>
      <c r="O3833">
        <f>IFERROR(VLOOKUP(A3833,vlookup_table!$A:$G,4,FALSE),"")</f>
        <v>3701</v>
      </c>
      <c r="P3833" t="str">
        <f>IFERROR(VLOOKUP(A3833,vlookup_table!$A:$G,5,FALSE),"")</f>
        <v>U1</v>
      </c>
      <c r="Q3833">
        <f>IFERROR(VLOOKUP(A3833,vlookup_table!$A:$G,7,FALSE),"")</f>
        <v>10</v>
      </c>
      <c r="R3833">
        <f t="shared" si="236"/>
        <v>60</v>
      </c>
      <c r="S3833" t="str" cm="1">
        <f t="array" ref="S3833">IF(P3833="","",_xlfn.SWITCH(LEFT(P3833,1),"C","Ciudad","T","Pueblo","R","Rural","S","Suburbano","U","Urbano",""))</f>
        <v>Urbano</v>
      </c>
      <c r="T3833" t="str">
        <f t="shared" si="237"/>
        <v>F</v>
      </c>
      <c r="U3833" t="str">
        <f t="shared" si="238"/>
        <v>CA</v>
      </c>
      <c r="V3833" t="str">
        <f t="shared" si="239"/>
        <v>30302</v>
      </c>
    </row>
    <row r="3834" spans="1:22" x14ac:dyDescent="0.35">
      <c r="A3834" s="3">
        <v>78753</v>
      </c>
      <c r="B3834" t="s">
        <v>35</v>
      </c>
      <c r="C3834" t="s">
        <v>17</v>
      </c>
      <c r="D3834">
        <v>668</v>
      </c>
      <c r="E3834">
        <v>174</v>
      </c>
      <c r="F3834">
        <v>330</v>
      </c>
      <c r="G3834">
        <v>0</v>
      </c>
      <c r="H3834">
        <v>12685</v>
      </c>
      <c r="I3834">
        <v>7</v>
      </c>
      <c r="J3834">
        <v>73</v>
      </c>
      <c r="K3834">
        <v>271</v>
      </c>
      <c r="L3834">
        <v>241</v>
      </c>
      <c r="M3834">
        <v>3.2857142860000002</v>
      </c>
      <c r="N3834">
        <f>IFERROR(VLOOKUP(A3834,vlookup_table!$A:$G,2,FALSE),"")</f>
        <v>0</v>
      </c>
      <c r="O3834">
        <f>IFERROR(VLOOKUP(A3834,vlookup_table!$A:$G,4,FALSE),"")</f>
        <v>1801</v>
      </c>
      <c r="P3834" t="str">
        <f>IFERROR(VLOOKUP(A3834,vlookup_table!$A:$G,5,FALSE),"")</f>
        <v>U2</v>
      </c>
      <c r="Q3834">
        <f>IFERROR(VLOOKUP(A3834,vlookup_table!$A:$G,7,FALSE),"")</f>
        <v>3</v>
      </c>
      <c r="R3834">
        <f t="shared" si="236"/>
        <v>79</v>
      </c>
      <c r="S3834" t="str" cm="1">
        <f t="array" ref="S3834">IF(P3834="","",_xlfn.SWITCH(LEFT(P3834,1),"C","Ciudad","T","Pueblo","R","Rural","S","Suburbano","U","Urbano",""))</f>
        <v>Urbano</v>
      </c>
      <c r="T3834" t="str">
        <f t="shared" si="237"/>
        <v>F</v>
      </c>
      <c r="U3834" t="str">
        <f t="shared" si="238"/>
        <v>WI</v>
      </c>
      <c r="V3834" t="str">
        <f t="shared" si="239"/>
        <v>12685</v>
      </c>
    </row>
    <row r="3835" spans="1:22" x14ac:dyDescent="0.35">
      <c r="A3835" s="3">
        <v>189711</v>
      </c>
      <c r="B3835" t="s">
        <v>55</v>
      </c>
      <c r="C3835" t="s">
        <v>14</v>
      </c>
      <c r="D3835">
        <v>727</v>
      </c>
      <c r="E3835">
        <v>350</v>
      </c>
      <c r="F3835">
        <v>426</v>
      </c>
      <c r="G3835">
        <v>0</v>
      </c>
      <c r="H3835">
        <v>20399</v>
      </c>
      <c r="I3835">
        <v>5</v>
      </c>
      <c r="J3835">
        <v>13</v>
      </c>
      <c r="K3835">
        <v>381</v>
      </c>
      <c r="L3835">
        <v>399</v>
      </c>
      <c r="M3835">
        <v>4.625</v>
      </c>
      <c r="N3835">
        <f>IFERROR(VLOOKUP(A3835,vlookup_table!$A:$G,2,FALSE),"")</f>
        <v>1</v>
      </c>
      <c r="O3835">
        <f>IFERROR(VLOOKUP(A3835,vlookup_table!$A:$G,4,FALSE),"")</f>
        <v>0</v>
      </c>
      <c r="P3835" t="str">
        <f>IFERROR(VLOOKUP(A3835,vlookup_table!$A:$G,5,FALSE),"")</f>
        <v>S2</v>
      </c>
      <c r="Q3835">
        <f>IFERROR(VLOOKUP(A3835,vlookup_table!$A:$G,7,FALSE),"")</f>
        <v>10</v>
      </c>
      <c r="R3835">
        <f t="shared" si="236"/>
        <v>97</v>
      </c>
      <c r="S3835" t="str" cm="1">
        <f t="array" ref="S3835">IF(P3835="","",_xlfn.SWITCH(LEFT(P3835,1),"C","Ciudad","T","Pueblo","R","Rural","S","Suburbano","U","Urbano",""))</f>
        <v>Suburbano</v>
      </c>
      <c r="T3835" t="str">
        <f t="shared" si="237"/>
        <v>M</v>
      </c>
      <c r="U3835" t="str">
        <f t="shared" si="238"/>
        <v>AZ</v>
      </c>
      <c r="V3835" t="str">
        <f t="shared" si="239"/>
        <v>20399</v>
      </c>
    </row>
    <row r="3836" spans="1:22" x14ac:dyDescent="0.35">
      <c r="A3836" s="3">
        <v>160972</v>
      </c>
      <c r="B3836" t="s">
        <v>22</v>
      </c>
      <c r="C3836" t="s">
        <v>14</v>
      </c>
      <c r="D3836">
        <v>1053</v>
      </c>
      <c r="E3836">
        <v>607</v>
      </c>
      <c r="F3836">
        <v>647</v>
      </c>
      <c r="G3836">
        <v>1</v>
      </c>
      <c r="H3836">
        <v>23739</v>
      </c>
      <c r="I3836">
        <v>4</v>
      </c>
      <c r="J3836">
        <v>40</v>
      </c>
      <c r="K3836">
        <v>631</v>
      </c>
      <c r="L3836">
        <v>609</v>
      </c>
      <c r="M3836">
        <v>28.53846154</v>
      </c>
      <c r="N3836">
        <f>IFERROR(VLOOKUP(A3836,vlookup_table!$A:$G,2,FALSE),"")</f>
        <v>1</v>
      </c>
      <c r="O3836">
        <f>IFERROR(VLOOKUP(A3836,vlookup_table!$A:$G,4,FALSE),"")</f>
        <v>1901</v>
      </c>
      <c r="P3836" t="str">
        <f>IFERROR(VLOOKUP(A3836,vlookup_table!$A:$G,5,FALSE),"")</f>
        <v>T1</v>
      </c>
      <c r="Q3836">
        <f>IFERROR(VLOOKUP(A3836,vlookup_table!$A:$G,7,FALSE),"")</f>
        <v>53</v>
      </c>
      <c r="R3836">
        <f t="shared" si="236"/>
        <v>78</v>
      </c>
      <c r="S3836" t="str" cm="1">
        <f t="array" ref="S3836">IF(P3836="","",_xlfn.SWITCH(LEFT(P3836,1),"C","Ciudad","T","Pueblo","R","Rural","S","Suburbano","U","Urbano",""))</f>
        <v>Pueblo</v>
      </c>
      <c r="T3836" t="str">
        <f t="shared" si="237"/>
        <v>M</v>
      </c>
      <c r="U3836" t="str">
        <f t="shared" si="238"/>
        <v>CA</v>
      </c>
      <c r="V3836" t="str">
        <f t="shared" si="239"/>
        <v>23739</v>
      </c>
    </row>
    <row r="3837" spans="1:22" x14ac:dyDescent="0.35">
      <c r="A3837" s="3">
        <v>28514</v>
      </c>
      <c r="B3837" t="s">
        <v>39</v>
      </c>
      <c r="C3837" t="s">
        <v>17</v>
      </c>
      <c r="D3837">
        <v>2159</v>
      </c>
      <c r="E3837">
        <v>871</v>
      </c>
      <c r="F3837">
        <v>968</v>
      </c>
      <c r="G3837">
        <v>59</v>
      </c>
      <c r="H3837">
        <v>39328</v>
      </c>
      <c r="I3837">
        <v>11</v>
      </c>
      <c r="J3837">
        <v>17</v>
      </c>
      <c r="K3837">
        <v>905</v>
      </c>
      <c r="L3837">
        <v>938</v>
      </c>
      <c r="M3837">
        <v>7.3333333329999997</v>
      </c>
      <c r="N3837">
        <f>IFERROR(VLOOKUP(A3837,vlookup_table!$A:$G,2,FALSE),"")</f>
        <v>0</v>
      </c>
      <c r="O3837">
        <f>IFERROR(VLOOKUP(A3837,vlookup_table!$A:$G,4,FALSE),"")</f>
        <v>4801</v>
      </c>
      <c r="P3837" t="str">
        <f>IFERROR(VLOOKUP(A3837,vlookup_table!$A:$G,5,FALSE),"")</f>
        <v>S1</v>
      </c>
      <c r="Q3837">
        <f>IFERROR(VLOOKUP(A3837,vlookup_table!$A:$G,7,FALSE),"")</f>
        <v>21</v>
      </c>
      <c r="R3837">
        <f t="shared" si="236"/>
        <v>49</v>
      </c>
      <c r="S3837" t="str" cm="1">
        <f t="array" ref="S3837">IF(P3837="","",_xlfn.SWITCH(LEFT(P3837,1),"C","Ciudad","T","Pueblo","R","Rural","S","Suburbano","U","Urbano",""))</f>
        <v>Suburbano</v>
      </c>
      <c r="T3837" t="str">
        <f t="shared" si="237"/>
        <v>F</v>
      </c>
      <c r="U3837" t="str">
        <f t="shared" si="238"/>
        <v>GA</v>
      </c>
      <c r="V3837" t="str">
        <f t="shared" si="239"/>
        <v>39328</v>
      </c>
    </row>
    <row r="3838" spans="1:22" x14ac:dyDescent="0.35">
      <c r="A3838" s="3">
        <v>51469</v>
      </c>
      <c r="B3838" t="s">
        <v>53</v>
      </c>
      <c r="C3838" t="s">
        <v>17</v>
      </c>
      <c r="D3838">
        <v>616</v>
      </c>
      <c r="E3838">
        <v>295</v>
      </c>
      <c r="F3838">
        <v>341</v>
      </c>
      <c r="G3838">
        <v>0</v>
      </c>
      <c r="H3838">
        <v>12508</v>
      </c>
      <c r="I3838">
        <v>3</v>
      </c>
      <c r="J3838">
        <v>64</v>
      </c>
      <c r="K3838">
        <v>311</v>
      </c>
      <c r="L3838">
        <v>316</v>
      </c>
      <c r="M3838">
        <v>7.3333333329999997</v>
      </c>
      <c r="N3838">
        <f>IFERROR(VLOOKUP(A3838,vlookup_table!$A:$G,2,FALSE),"")</f>
        <v>28</v>
      </c>
      <c r="O3838">
        <f>IFERROR(VLOOKUP(A3838,vlookup_table!$A:$G,4,FALSE),"")</f>
        <v>5401</v>
      </c>
      <c r="P3838" t="str">
        <f>IFERROR(VLOOKUP(A3838,vlookup_table!$A:$G,5,FALSE),"")</f>
        <v>C2</v>
      </c>
      <c r="Q3838">
        <f>IFERROR(VLOOKUP(A3838,vlookup_table!$A:$G,7,FALSE),"")</f>
        <v>10</v>
      </c>
      <c r="R3838">
        <f t="shared" si="236"/>
        <v>43</v>
      </c>
      <c r="S3838" t="str" cm="1">
        <f t="array" ref="S3838">IF(P3838="","",_xlfn.SWITCH(LEFT(P3838,1),"C","Ciudad","T","Pueblo","R","Rural","S","Suburbano","U","Urbano",""))</f>
        <v>Ciudad</v>
      </c>
      <c r="T3838" t="str">
        <f t="shared" si="237"/>
        <v>F</v>
      </c>
      <c r="U3838" t="str">
        <f t="shared" si="238"/>
        <v>TN</v>
      </c>
      <c r="V3838" t="str">
        <f t="shared" si="239"/>
        <v>12508</v>
      </c>
    </row>
    <row r="3839" spans="1:22" x14ac:dyDescent="0.35">
      <c r="A3839" s="3">
        <v>4693</v>
      </c>
      <c r="B3839" t="s">
        <v>22</v>
      </c>
      <c r="C3839" t="s">
        <v>17</v>
      </c>
      <c r="D3839">
        <v>2421</v>
      </c>
      <c r="E3839">
        <v>552</v>
      </c>
      <c r="F3839">
        <v>556</v>
      </c>
      <c r="G3839">
        <v>89</v>
      </c>
      <c r="H3839">
        <v>15948</v>
      </c>
      <c r="I3839">
        <v>14</v>
      </c>
      <c r="J3839">
        <v>50</v>
      </c>
      <c r="K3839">
        <v>544</v>
      </c>
      <c r="L3839">
        <v>568</v>
      </c>
      <c r="M3839">
        <v>12.14634146</v>
      </c>
      <c r="N3839">
        <f>IFERROR(VLOOKUP(A3839,vlookup_table!$A:$G,2,FALSE),"")</f>
        <v>0</v>
      </c>
      <c r="O3839">
        <f>IFERROR(VLOOKUP(A3839,vlookup_table!$A:$G,4,FALSE),"")</f>
        <v>4005</v>
      </c>
      <c r="P3839" t="str">
        <f>IFERROR(VLOOKUP(A3839,vlookup_table!$A:$G,5,FALSE),"")</f>
        <v>C1</v>
      </c>
      <c r="Q3839">
        <f>IFERROR(VLOOKUP(A3839,vlookup_table!$A:$G,7,FALSE),"")</f>
        <v>18</v>
      </c>
      <c r="R3839">
        <f t="shared" si="236"/>
        <v>57</v>
      </c>
      <c r="S3839" t="str" cm="1">
        <f t="array" ref="S3839">IF(P3839="","",_xlfn.SWITCH(LEFT(P3839,1),"C","Ciudad","T","Pueblo","R","Rural","S","Suburbano","U","Urbano",""))</f>
        <v>Ciudad</v>
      </c>
      <c r="T3839" t="str">
        <f t="shared" si="237"/>
        <v>F</v>
      </c>
      <c r="U3839" t="str">
        <f t="shared" si="238"/>
        <v>CA</v>
      </c>
      <c r="V3839" t="str">
        <f t="shared" si="239"/>
        <v>15948</v>
      </c>
    </row>
    <row r="3840" spans="1:22" x14ac:dyDescent="0.35">
      <c r="A3840" s="3">
        <v>22664</v>
      </c>
      <c r="B3840" t="s">
        <v>46</v>
      </c>
      <c r="C3840" t="s">
        <v>17</v>
      </c>
      <c r="D3840">
        <v>386</v>
      </c>
      <c r="E3840">
        <v>202</v>
      </c>
      <c r="F3840">
        <v>291</v>
      </c>
      <c r="G3840">
        <v>0</v>
      </c>
      <c r="H3840">
        <v>8534</v>
      </c>
      <c r="I3840">
        <v>0</v>
      </c>
      <c r="J3840">
        <v>92</v>
      </c>
      <c r="K3840">
        <v>256</v>
      </c>
      <c r="L3840">
        <v>254</v>
      </c>
      <c r="M3840">
        <v>15.44444444</v>
      </c>
      <c r="N3840">
        <f>IFERROR(VLOOKUP(A3840,vlookup_table!$A:$G,2,FALSE),"")</f>
        <v>0</v>
      </c>
      <c r="O3840">
        <f>IFERROR(VLOOKUP(A3840,vlookup_table!$A:$G,4,FALSE),"")</f>
        <v>0</v>
      </c>
      <c r="P3840" t="str">
        <f>IFERROR(VLOOKUP(A3840,vlookup_table!$A:$G,5,FALSE),"")</f>
        <v>R3</v>
      </c>
      <c r="Q3840">
        <f>IFERROR(VLOOKUP(A3840,vlookup_table!$A:$G,7,FALSE),"")</f>
        <v>17</v>
      </c>
      <c r="R3840">
        <f t="shared" si="236"/>
        <v>97</v>
      </c>
      <c r="S3840" t="str" cm="1">
        <f t="array" ref="S3840">IF(P3840="","",_xlfn.SWITCH(LEFT(P3840,1),"C","Ciudad","T","Pueblo","R","Rural","S","Suburbano","U","Urbano",""))</f>
        <v>Rural</v>
      </c>
      <c r="T3840" t="str">
        <f t="shared" si="237"/>
        <v>F</v>
      </c>
      <c r="U3840" t="str">
        <f t="shared" si="238"/>
        <v>SC</v>
      </c>
      <c r="V3840" t="str">
        <f t="shared" si="239"/>
        <v>8534</v>
      </c>
    </row>
    <row r="3841" spans="1:22" x14ac:dyDescent="0.35">
      <c r="A3841" s="3">
        <v>39967</v>
      </c>
      <c r="B3841" t="s">
        <v>13</v>
      </c>
      <c r="C3841" t="s">
        <v>14</v>
      </c>
      <c r="D3841">
        <v>1289</v>
      </c>
      <c r="E3841">
        <v>394</v>
      </c>
      <c r="F3841">
        <v>610</v>
      </c>
      <c r="G3841">
        <v>20</v>
      </c>
      <c r="H3841">
        <v>27608</v>
      </c>
      <c r="I3841">
        <v>9</v>
      </c>
      <c r="J3841">
        <v>9</v>
      </c>
      <c r="K3841">
        <v>476</v>
      </c>
      <c r="L3841">
        <v>521</v>
      </c>
      <c r="M3841">
        <v>50</v>
      </c>
      <c r="N3841">
        <f>IFERROR(VLOOKUP(A3841,vlookup_table!$A:$G,2,FALSE),"")</f>
        <v>1</v>
      </c>
      <c r="O3841">
        <f>IFERROR(VLOOKUP(A3841,vlookup_table!$A:$G,4,FALSE),"")</f>
        <v>3001</v>
      </c>
      <c r="P3841" t="str">
        <f>IFERROR(VLOOKUP(A3841,vlookup_table!$A:$G,5,FALSE),"")</f>
        <v>C2</v>
      </c>
      <c r="Q3841">
        <f>IFERROR(VLOOKUP(A3841,vlookup_table!$A:$G,7,FALSE),"")</f>
        <v>75</v>
      </c>
      <c r="R3841">
        <f t="shared" si="236"/>
        <v>67</v>
      </c>
      <c r="S3841" t="str" cm="1">
        <f t="array" ref="S3841">IF(P3841="","",_xlfn.SWITCH(LEFT(P3841,1),"C","Ciudad","T","Pueblo","R","Rural","S","Suburbano","U","Urbano",""))</f>
        <v>Ciudad</v>
      </c>
      <c r="T3841" t="str">
        <f t="shared" si="237"/>
        <v>M</v>
      </c>
      <c r="U3841" t="str">
        <f t="shared" si="238"/>
        <v>FL</v>
      </c>
      <c r="V3841" t="str">
        <f t="shared" si="239"/>
        <v>27608</v>
      </c>
    </row>
    <row r="3842" spans="1:22" x14ac:dyDescent="0.35">
      <c r="A3842" s="3">
        <v>60490</v>
      </c>
      <c r="B3842" t="s">
        <v>33</v>
      </c>
      <c r="C3842" t="s">
        <v>17</v>
      </c>
      <c r="D3842">
        <v>874</v>
      </c>
      <c r="E3842">
        <v>510</v>
      </c>
      <c r="F3842">
        <v>555</v>
      </c>
      <c r="G3842">
        <v>4</v>
      </c>
      <c r="H3842">
        <v>18907</v>
      </c>
      <c r="I3842">
        <v>0</v>
      </c>
      <c r="J3842">
        <v>73</v>
      </c>
      <c r="K3842">
        <v>516</v>
      </c>
      <c r="L3842">
        <v>543</v>
      </c>
      <c r="M3842">
        <v>17.333333329999999</v>
      </c>
      <c r="N3842">
        <f>IFERROR(VLOOKUP(A3842,vlookup_table!$A:$G,2,FALSE),"")</f>
        <v>0</v>
      </c>
      <c r="O3842">
        <f>IFERROR(VLOOKUP(A3842,vlookup_table!$A:$G,4,FALSE),"")</f>
        <v>5201</v>
      </c>
      <c r="P3842" t="str">
        <f>IFERROR(VLOOKUP(A3842,vlookup_table!$A:$G,5,FALSE),"")</f>
        <v>T1</v>
      </c>
      <c r="Q3842">
        <f>IFERROR(VLOOKUP(A3842,vlookup_table!$A:$G,7,FALSE),"")</f>
        <v>60</v>
      </c>
      <c r="R3842">
        <f t="shared" ref="R3842:R3905" si="240">IF(O3842="","",97-INT(O3842/100))</f>
        <v>45</v>
      </c>
      <c r="S3842" t="str" cm="1">
        <f t="array" ref="S3842">IF(P3842="","",_xlfn.SWITCH(LEFT(P3842,1),"C","Ciudad","T","Pueblo","R","Rural","S","Suburbano","U","Urbano",""))</f>
        <v>Pueblo</v>
      </c>
      <c r="T3842" t="str">
        <f t="shared" ref="T3842:T3905" si="241">IF(C3842="","",IF(OR(UPPER(C3842)="M",UPPER(C3842)="MALE"),"M",IF(OR(UPPER(C3842)="F",UPPER(C3842)="FEMALE",UPPER(C3842)="FEAMALE"),"F",C3842)))</f>
        <v>F</v>
      </c>
      <c r="U3842" t="str">
        <f t="shared" ref="U3842:U3905" si="242">IF(OR(UPPER(B3842)="CALIFORNIA",UPPER(B3842)="CALI"),"CA",B3842)</f>
        <v>IN</v>
      </c>
      <c r="V3842" t="str">
        <f t="shared" ref="V3842:V3905" si="243">SUBSTITUTE(H3842,"@","")</f>
        <v>18907</v>
      </c>
    </row>
    <row r="3843" spans="1:22" x14ac:dyDescent="0.35">
      <c r="A3843" s="3">
        <v>74523</v>
      </c>
      <c r="B3843" t="s">
        <v>29</v>
      </c>
      <c r="C3843" t="s">
        <v>17</v>
      </c>
      <c r="D3843">
        <v>441</v>
      </c>
      <c r="E3843">
        <v>228</v>
      </c>
      <c r="F3843">
        <v>331</v>
      </c>
      <c r="G3843">
        <v>0</v>
      </c>
      <c r="H3843">
        <v>11359</v>
      </c>
      <c r="I3843">
        <v>1</v>
      </c>
      <c r="J3843">
        <v>82</v>
      </c>
      <c r="K3843">
        <v>288</v>
      </c>
      <c r="L3843">
        <v>279</v>
      </c>
      <c r="M3843">
        <v>8.0833333330000006</v>
      </c>
      <c r="N3843">
        <f>IFERROR(VLOOKUP(A3843,vlookup_table!$A:$G,2,FALSE),"")</f>
        <v>0</v>
      </c>
      <c r="O3843">
        <f>IFERROR(VLOOKUP(A3843,vlookup_table!$A:$G,4,FALSE),"")</f>
        <v>0</v>
      </c>
      <c r="P3843" t="str">
        <f>IFERROR(VLOOKUP(A3843,vlookup_table!$A:$G,5,FALSE),"")</f>
        <v>C3</v>
      </c>
      <c r="Q3843">
        <f>IFERROR(VLOOKUP(A3843,vlookup_table!$A:$G,7,FALSE),"")</f>
        <v>10</v>
      </c>
      <c r="R3843">
        <f t="shared" si="240"/>
        <v>97</v>
      </c>
      <c r="S3843" t="str" cm="1">
        <f t="array" ref="S3843">IF(P3843="","",_xlfn.SWITCH(LEFT(P3843,1),"C","Ciudad","T","Pueblo","R","Rural","S","Suburbano","U","Urbano",""))</f>
        <v>Ciudad</v>
      </c>
      <c r="T3843" t="str">
        <f t="shared" si="241"/>
        <v>F</v>
      </c>
      <c r="U3843" t="str">
        <f t="shared" si="242"/>
        <v>MI</v>
      </c>
      <c r="V3843" t="str">
        <f t="shared" si="243"/>
        <v>11359</v>
      </c>
    </row>
    <row r="3844" spans="1:22" x14ac:dyDescent="0.35">
      <c r="A3844" s="3">
        <v>70146</v>
      </c>
      <c r="B3844" t="s">
        <v>29</v>
      </c>
      <c r="C3844" t="s">
        <v>17</v>
      </c>
      <c r="D3844">
        <v>606</v>
      </c>
      <c r="E3844">
        <v>509</v>
      </c>
      <c r="F3844">
        <v>503</v>
      </c>
      <c r="G3844">
        <v>0</v>
      </c>
      <c r="H3844">
        <v>15017</v>
      </c>
      <c r="I3844">
        <v>4</v>
      </c>
      <c r="J3844">
        <v>83</v>
      </c>
      <c r="K3844">
        <v>530</v>
      </c>
      <c r="L3844">
        <v>461</v>
      </c>
      <c r="M3844">
        <v>6.875</v>
      </c>
      <c r="N3844">
        <f>IFERROR(VLOOKUP(A3844,vlookup_table!$A:$G,2,FALSE),"")</f>
        <v>2</v>
      </c>
      <c r="O3844">
        <f>IFERROR(VLOOKUP(A3844,vlookup_table!$A:$G,4,FALSE),"")</f>
        <v>3807</v>
      </c>
      <c r="P3844" t="str">
        <f>IFERROR(VLOOKUP(A3844,vlookup_table!$A:$G,5,FALSE),"")</f>
        <v>T2</v>
      </c>
      <c r="Q3844">
        <f>IFERROR(VLOOKUP(A3844,vlookup_table!$A:$G,7,FALSE),"")</f>
        <v>10</v>
      </c>
      <c r="R3844">
        <f t="shared" si="240"/>
        <v>59</v>
      </c>
      <c r="S3844" t="str" cm="1">
        <f t="array" ref="S3844">IF(P3844="","",_xlfn.SWITCH(LEFT(P3844,1),"C","Ciudad","T","Pueblo","R","Rural","S","Suburbano","U","Urbano",""))</f>
        <v>Pueblo</v>
      </c>
      <c r="T3844" t="str">
        <f t="shared" si="241"/>
        <v>F</v>
      </c>
      <c r="U3844" t="str">
        <f t="shared" si="242"/>
        <v>MI</v>
      </c>
      <c r="V3844" t="str">
        <f t="shared" si="243"/>
        <v>15017</v>
      </c>
    </row>
    <row r="3845" spans="1:22" x14ac:dyDescent="0.35">
      <c r="A3845" s="3">
        <v>125501</v>
      </c>
      <c r="B3845" t="s">
        <v>21</v>
      </c>
      <c r="C3845" t="s">
        <v>17</v>
      </c>
      <c r="D3845">
        <v>527</v>
      </c>
      <c r="E3845">
        <v>276</v>
      </c>
      <c r="F3845">
        <v>329</v>
      </c>
      <c r="G3845">
        <v>1</v>
      </c>
      <c r="H3845">
        <v>10096</v>
      </c>
      <c r="I3845">
        <v>5</v>
      </c>
      <c r="J3845">
        <v>83</v>
      </c>
      <c r="K3845">
        <v>315</v>
      </c>
      <c r="L3845">
        <v>289</v>
      </c>
      <c r="M3845">
        <v>13</v>
      </c>
      <c r="N3845">
        <f>IFERROR(VLOOKUP(A3845,vlookup_table!$A:$G,2,FALSE),"")</f>
        <v>28</v>
      </c>
      <c r="O3845">
        <f>IFERROR(VLOOKUP(A3845,vlookup_table!$A:$G,4,FALSE),"")</f>
        <v>4801</v>
      </c>
      <c r="P3845" t="str">
        <f>IFERROR(VLOOKUP(A3845,vlookup_table!$A:$G,5,FALSE),"")</f>
        <v>U3</v>
      </c>
      <c r="Q3845">
        <f>IFERROR(VLOOKUP(A3845,vlookup_table!$A:$G,7,FALSE),"")</f>
        <v>14</v>
      </c>
      <c r="R3845">
        <f t="shared" si="240"/>
        <v>49</v>
      </c>
      <c r="S3845" t="str" cm="1">
        <f t="array" ref="S3845">IF(P3845="","",_xlfn.SWITCH(LEFT(P3845,1),"C","Ciudad","T","Pueblo","R","Rural","S","Suburbano","U","Urbano",""))</f>
        <v>Urbano</v>
      </c>
      <c r="T3845" t="str">
        <f t="shared" si="241"/>
        <v>F</v>
      </c>
      <c r="U3845" t="str">
        <f t="shared" si="242"/>
        <v>TX</v>
      </c>
      <c r="V3845" t="str">
        <f t="shared" si="243"/>
        <v>10096</v>
      </c>
    </row>
    <row r="3846" spans="1:22" x14ac:dyDescent="0.35">
      <c r="A3846" s="3">
        <v>38853</v>
      </c>
      <c r="B3846" t="s">
        <v>33</v>
      </c>
      <c r="C3846" t="s">
        <v>17</v>
      </c>
      <c r="D3846">
        <v>655</v>
      </c>
      <c r="E3846">
        <v>329</v>
      </c>
      <c r="F3846">
        <v>376</v>
      </c>
      <c r="G3846">
        <v>0</v>
      </c>
      <c r="H3846">
        <v>11645</v>
      </c>
      <c r="I3846">
        <v>3</v>
      </c>
      <c r="J3846">
        <v>71</v>
      </c>
      <c r="K3846">
        <v>369</v>
      </c>
      <c r="L3846">
        <v>344</v>
      </c>
      <c r="M3846">
        <v>6.35</v>
      </c>
      <c r="N3846">
        <f>IFERROR(VLOOKUP(A3846,vlookup_table!$A:$G,2,FALSE),"")</f>
        <v>2</v>
      </c>
      <c r="O3846">
        <f>IFERROR(VLOOKUP(A3846,vlookup_table!$A:$G,4,FALSE),"")</f>
        <v>2807</v>
      </c>
      <c r="P3846" t="str">
        <f>IFERROR(VLOOKUP(A3846,vlookup_table!$A:$G,5,FALSE),"")</f>
        <v>U3</v>
      </c>
      <c r="Q3846">
        <f>IFERROR(VLOOKUP(A3846,vlookup_table!$A:$G,7,FALSE),"")</f>
        <v>12</v>
      </c>
      <c r="R3846">
        <f t="shared" si="240"/>
        <v>69</v>
      </c>
      <c r="S3846" t="str" cm="1">
        <f t="array" ref="S3846">IF(P3846="","",_xlfn.SWITCH(LEFT(P3846,1),"C","Ciudad","T","Pueblo","R","Rural","S","Suburbano","U","Urbano",""))</f>
        <v>Urbano</v>
      </c>
      <c r="T3846" t="str">
        <f t="shared" si="241"/>
        <v>F</v>
      </c>
      <c r="U3846" t="str">
        <f t="shared" si="242"/>
        <v>IN</v>
      </c>
      <c r="V3846" t="str">
        <f t="shared" si="243"/>
        <v>11645</v>
      </c>
    </row>
    <row r="3847" spans="1:22" x14ac:dyDescent="0.35">
      <c r="A3847" s="3">
        <v>25591</v>
      </c>
      <c r="B3847" t="s">
        <v>39</v>
      </c>
      <c r="C3847" t="s">
        <v>17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6.4285714289999998</v>
      </c>
      <c r="N3847">
        <f>IFERROR(VLOOKUP(A3847,vlookup_table!$A:$G,2,FALSE),"")</f>
        <v>0</v>
      </c>
      <c r="O3847">
        <f>IFERROR(VLOOKUP(A3847,vlookup_table!$A:$G,4,FALSE),"")</f>
        <v>0</v>
      </c>
      <c r="P3847" t="str">
        <f>IFERROR(VLOOKUP(A3847,vlookup_table!$A:$G,5,FALSE),"")</f>
        <v>C3</v>
      </c>
      <c r="Q3847">
        <f>IFERROR(VLOOKUP(A3847,vlookup_table!$A:$G,7,FALSE),"")</f>
        <v>13</v>
      </c>
      <c r="R3847">
        <f t="shared" si="240"/>
        <v>97</v>
      </c>
      <c r="S3847" t="str" cm="1">
        <f t="array" ref="S3847">IF(P3847="","",_xlfn.SWITCH(LEFT(P3847,1),"C","Ciudad","T","Pueblo","R","Rural","S","Suburbano","U","Urbano",""))</f>
        <v>Ciudad</v>
      </c>
      <c r="T3847" t="str">
        <f t="shared" si="241"/>
        <v>F</v>
      </c>
      <c r="U3847" t="str">
        <f t="shared" si="242"/>
        <v>GA</v>
      </c>
      <c r="V3847" t="str">
        <f t="shared" si="243"/>
        <v>0</v>
      </c>
    </row>
    <row r="3848" spans="1:22" x14ac:dyDescent="0.35">
      <c r="A3848" s="3">
        <v>66610</v>
      </c>
      <c r="B3848" t="s">
        <v>29</v>
      </c>
      <c r="C3848" t="s">
        <v>17</v>
      </c>
      <c r="D3848">
        <v>1102</v>
      </c>
      <c r="E3848">
        <v>404</v>
      </c>
      <c r="F3848">
        <v>591</v>
      </c>
      <c r="G3848">
        <v>1</v>
      </c>
      <c r="H3848">
        <v>21178</v>
      </c>
      <c r="I3848">
        <v>5</v>
      </c>
      <c r="J3848">
        <v>68</v>
      </c>
      <c r="K3848">
        <v>540</v>
      </c>
      <c r="L3848">
        <v>470</v>
      </c>
      <c r="M3848">
        <v>15</v>
      </c>
      <c r="N3848">
        <f>IFERROR(VLOOKUP(A3848,vlookup_table!$A:$G,2,FALSE),"")</f>
        <v>2</v>
      </c>
      <c r="O3848">
        <f>IFERROR(VLOOKUP(A3848,vlookup_table!$A:$G,4,FALSE),"")</f>
        <v>2401</v>
      </c>
      <c r="P3848" t="str">
        <f>IFERROR(VLOOKUP(A3848,vlookup_table!$A:$G,5,FALSE),"")</f>
        <v>S2</v>
      </c>
      <c r="Q3848">
        <f>IFERROR(VLOOKUP(A3848,vlookup_table!$A:$G,7,FALSE),"")</f>
        <v>10</v>
      </c>
      <c r="R3848">
        <f t="shared" si="240"/>
        <v>73</v>
      </c>
      <c r="S3848" t="str" cm="1">
        <f t="array" ref="S3848">IF(P3848="","",_xlfn.SWITCH(LEFT(P3848,1),"C","Ciudad","T","Pueblo","R","Rural","S","Suburbano","U","Urbano",""))</f>
        <v>Suburbano</v>
      </c>
      <c r="T3848" t="str">
        <f t="shared" si="241"/>
        <v>F</v>
      </c>
      <c r="U3848" t="str">
        <f t="shared" si="242"/>
        <v>MI</v>
      </c>
      <c r="V3848" t="str">
        <f t="shared" si="243"/>
        <v>21178</v>
      </c>
    </row>
    <row r="3849" spans="1:22" x14ac:dyDescent="0.35">
      <c r="A3849" s="3">
        <v>11738</v>
      </c>
      <c r="B3849" t="s">
        <v>22</v>
      </c>
      <c r="C3849" t="s">
        <v>14</v>
      </c>
      <c r="D3849">
        <v>3818</v>
      </c>
      <c r="E3849">
        <v>584</v>
      </c>
      <c r="F3849">
        <v>708</v>
      </c>
      <c r="G3849">
        <v>97</v>
      </c>
      <c r="H3849">
        <v>27062</v>
      </c>
      <c r="I3849">
        <v>13</v>
      </c>
      <c r="J3849">
        <v>43</v>
      </c>
      <c r="K3849">
        <v>637</v>
      </c>
      <c r="L3849">
        <v>649</v>
      </c>
      <c r="M3849">
        <v>8.75</v>
      </c>
      <c r="N3849">
        <f>IFERROR(VLOOKUP(A3849,vlookup_table!$A:$G,2,FALSE),"")</f>
        <v>1</v>
      </c>
      <c r="O3849">
        <f>IFERROR(VLOOKUP(A3849,vlookup_table!$A:$G,4,FALSE),"")</f>
        <v>1301</v>
      </c>
      <c r="P3849" t="str">
        <f>IFERROR(VLOOKUP(A3849,vlookup_table!$A:$G,5,FALSE),"")</f>
        <v>S1</v>
      </c>
      <c r="Q3849">
        <f>IFERROR(VLOOKUP(A3849,vlookup_table!$A:$G,7,FALSE),"")</f>
        <v>10</v>
      </c>
      <c r="R3849">
        <f t="shared" si="240"/>
        <v>84</v>
      </c>
      <c r="S3849" t="str" cm="1">
        <f t="array" ref="S3849">IF(P3849="","",_xlfn.SWITCH(LEFT(P3849,1),"C","Ciudad","T","Pueblo","R","Rural","S","Suburbano","U","Urbano",""))</f>
        <v>Suburbano</v>
      </c>
      <c r="T3849" t="str">
        <f t="shared" si="241"/>
        <v>M</v>
      </c>
      <c r="U3849" t="str">
        <f t="shared" si="242"/>
        <v>CA</v>
      </c>
      <c r="V3849" t="str">
        <f t="shared" si="243"/>
        <v>27062</v>
      </c>
    </row>
    <row r="3850" spans="1:22" x14ac:dyDescent="0.35">
      <c r="A3850" s="3">
        <v>117026</v>
      </c>
      <c r="B3850" t="s">
        <v>21</v>
      </c>
      <c r="C3850" t="s">
        <v>14</v>
      </c>
      <c r="D3850">
        <v>481</v>
      </c>
      <c r="E3850">
        <v>243</v>
      </c>
      <c r="F3850">
        <v>323</v>
      </c>
      <c r="G3850">
        <v>0</v>
      </c>
      <c r="H3850">
        <v>10964</v>
      </c>
      <c r="I3850">
        <v>0</v>
      </c>
      <c r="J3850">
        <v>84</v>
      </c>
      <c r="K3850">
        <v>265</v>
      </c>
      <c r="L3850">
        <v>282</v>
      </c>
      <c r="M3850">
        <v>8.6666666669999994</v>
      </c>
      <c r="N3850">
        <f>IFERROR(VLOOKUP(A3850,vlookup_table!$A:$G,2,FALSE),"")</f>
        <v>3</v>
      </c>
      <c r="O3850">
        <f>IFERROR(VLOOKUP(A3850,vlookup_table!$A:$G,4,FALSE),"")</f>
        <v>3801</v>
      </c>
      <c r="P3850" t="str">
        <f>IFERROR(VLOOKUP(A3850,vlookup_table!$A:$G,5,FALSE),"")</f>
        <v>S3</v>
      </c>
      <c r="Q3850">
        <f>IFERROR(VLOOKUP(A3850,vlookup_table!$A:$G,7,FALSE),"")</f>
        <v>9</v>
      </c>
      <c r="R3850">
        <f t="shared" si="240"/>
        <v>59</v>
      </c>
      <c r="S3850" t="str" cm="1">
        <f t="array" ref="S3850">IF(P3850="","",_xlfn.SWITCH(LEFT(P3850,1),"C","Ciudad","T","Pueblo","R","Rural","S","Suburbano","U","Urbano",""))</f>
        <v>Suburbano</v>
      </c>
      <c r="T3850" t="str">
        <f t="shared" si="241"/>
        <v>M</v>
      </c>
      <c r="U3850" t="str">
        <f t="shared" si="242"/>
        <v>TX</v>
      </c>
      <c r="V3850" t="str">
        <f t="shared" si="243"/>
        <v>10964</v>
      </c>
    </row>
    <row r="3851" spans="1:22" x14ac:dyDescent="0.35">
      <c r="A3851" s="3">
        <v>59588</v>
      </c>
      <c r="B3851" t="s">
        <v>33</v>
      </c>
      <c r="C3851" t="s">
        <v>14</v>
      </c>
      <c r="D3851">
        <v>421</v>
      </c>
      <c r="E3851">
        <v>268</v>
      </c>
      <c r="F3851">
        <v>323</v>
      </c>
      <c r="G3851">
        <v>0</v>
      </c>
      <c r="H3851">
        <v>9593</v>
      </c>
      <c r="I3851">
        <v>1</v>
      </c>
      <c r="J3851">
        <v>80</v>
      </c>
      <c r="K3851">
        <v>310</v>
      </c>
      <c r="L3851">
        <v>295</v>
      </c>
      <c r="M3851">
        <v>2.9714285710000001</v>
      </c>
      <c r="N3851">
        <f>IFERROR(VLOOKUP(A3851,vlookup_table!$A:$G,2,FALSE),"")</f>
        <v>0</v>
      </c>
      <c r="O3851">
        <f>IFERROR(VLOOKUP(A3851,vlookup_table!$A:$G,4,FALSE),"")</f>
        <v>2001</v>
      </c>
      <c r="P3851" t="str">
        <f>IFERROR(VLOOKUP(A3851,vlookup_table!$A:$G,5,FALSE),"")</f>
        <v>R2</v>
      </c>
      <c r="Q3851">
        <f>IFERROR(VLOOKUP(A3851,vlookup_table!$A:$G,7,FALSE),"")</f>
        <v>3</v>
      </c>
      <c r="R3851">
        <f t="shared" si="240"/>
        <v>77</v>
      </c>
      <c r="S3851" t="str" cm="1">
        <f t="array" ref="S3851">IF(P3851="","",_xlfn.SWITCH(LEFT(P3851,1),"C","Ciudad","T","Pueblo","R","Rural","S","Suburbano","U","Urbano",""))</f>
        <v>Rural</v>
      </c>
      <c r="T3851" t="str">
        <f t="shared" si="241"/>
        <v>M</v>
      </c>
      <c r="U3851" t="str">
        <f t="shared" si="242"/>
        <v>IN</v>
      </c>
      <c r="V3851" t="str">
        <f t="shared" si="243"/>
        <v>9593</v>
      </c>
    </row>
    <row r="3852" spans="1:22" x14ac:dyDescent="0.35">
      <c r="A3852" s="3">
        <v>162997</v>
      </c>
      <c r="B3852" t="s">
        <v>22</v>
      </c>
      <c r="C3852" t="s">
        <v>17</v>
      </c>
      <c r="D3852">
        <v>550</v>
      </c>
      <c r="E3852">
        <v>137</v>
      </c>
      <c r="F3852">
        <v>426</v>
      </c>
      <c r="G3852">
        <v>0</v>
      </c>
      <c r="H3852">
        <v>18812</v>
      </c>
      <c r="I3852">
        <v>66</v>
      </c>
      <c r="J3852">
        <v>18</v>
      </c>
      <c r="K3852">
        <v>218</v>
      </c>
      <c r="L3852">
        <v>296</v>
      </c>
      <c r="M3852">
        <v>16</v>
      </c>
      <c r="N3852">
        <f>IFERROR(VLOOKUP(A3852,vlookup_table!$A:$G,2,FALSE),"")</f>
        <v>2</v>
      </c>
      <c r="O3852">
        <f>IFERROR(VLOOKUP(A3852,vlookup_table!$A:$G,4,FALSE),"")</f>
        <v>3701</v>
      </c>
      <c r="P3852" t="str">
        <f>IFERROR(VLOOKUP(A3852,vlookup_table!$A:$G,5,FALSE),"")</f>
        <v>U3</v>
      </c>
      <c r="Q3852">
        <f>IFERROR(VLOOKUP(A3852,vlookup_table!$A:$G,7,FALSE),"")</f>
        <v>21</v>
      </c>
      <c r="R3852">
        <f t="shared" si="240"/>
        <v>60</v>
      </c>
      <c r="S3852" t="str" cm="1">
        <f t="array" ref="S3852">IF(P3852="","",_xlfn.SWITCH(LEFT(P3852,1),"C","Ciudad","T","Pueblo","R","Rural","S","Suburbano","U","Urbano",""))</f>
        <v>Urbano</v>
      </c>
      <c r="T3852" t="str">
        <f t="shared" si="241"/>
        <v>F</v>
      </c>
      <c r="U3852" t="str">
        <f t="shared" si="242"/>
        <v>CA</v>
      </c>
      <c r="V3852" t="str">
        <f t="shared" si="243"/>
        <v>18812</v>
      </c>
    </row>
    <row r="3853" spans="1:22" x14ac:dyDescent="0.35">
      <c r="A3853" s="3">
        <v>136747</v>
      </c>
      <c r="B3853" t="s">
        <v>55</v>
      </c>
      <c r="C3853" t="s">
        <v>60</v>
      </c>
      <c r="D3853">
        <v>656</v>
      </c>
      <c r="E3853">
        <v>388</v>
      </c>
      <c r="F3853">
        <v>411</v>
      </c>
      <c r="G3853">
        <v>0</v>
      </c>
      <c r="H3853">
        <v>15381</v>
      </c>
      <c r="I3853">
        <v>7</v>
      </c>
      <c r="J3853">
        <v>36</v>
      </c>
      <c r="K3853">
        <v>397</v>
      </c>
      <c r="L3853">
        <v>395</v>
      </c>
      <c r="M3853">
        <v>6.384615385</v>
      </c>
      <c r="N3853">
        <f>IFERROR(VLOOKUP(A3853,vlookup_table!$A:$G,2,FALSE),"")</f>
        <v>2</v>
      </c>
      <c r="O3853">
        <f>IFERROR(VLOOKUP(A3853,vlookup_table!$A:$G,4,FALSE),"")</f>
        <v>3401</v>
      </c>
      <c r="P3853" t="str">
        <f>IFERROR(VLOOKUP(A3853,vlookup_table!$A:$G,5,FALSE),"")</f>
        <v>S2</v>
      </c>
      <c r="Q3853">
        <f>IFERROR(VLOOKUP(A3853,vlookup_table!$A:$G,7,FALSE),"")</f>
        <v>6</v>
      </c>
      <c r="R3853">
        <f t="shared" si="240"/>
        <v>63</v>
      </c>
      <c r="S3853" t="str" cm="1">
        <f t="array" ref="S3853">IF(P3853="","",_xlfn.SWITCH(LEFT(P3853,1),"C","Ciudad","T","Pueblo","R","Rural","S","Suburbano","U","Urbano",""))</f>
        <v>Suburbano</v>
      </c>
      <c r="T3853" t="str">
        <f t="shared" si="241"/>
        <v>F</v>
      </c>
      <c r="U3853" t="str">
        <f t="shared" si="242"/>
        <v>AZ</v>
      </c>
      <c r="V3853" t="str">
        <f t="shared" si="243"/>
        <v>15381</v>
      </c>
    </row>
    <row r="3854" spans="1:22" x14ac:dyDescent="0.35">
      <c r="A3854" s="3">
        <v>115088</v>
      </c>
      <c r="B3854" t="s">
        <v>31</v>
      </c>
      <c r="C3854" t="s">
        <v>17</v>
      </c>
      <c r="D3854">
        <v>586</v>
      </c>
      <c r="E3854">
        <v>241</v>
      </c>
      <c r="F3854">
        <v>387</v>
      </c>
      <c r="G3854">
        <v>3</v>
      </c>
      <c r="H3854">
        <v>20826</v>
      </c>
      <c r="I3854">
        <v>1</v>
      </c>
      <c r="J3854">
        <v>70</v>
      </c>
      <c r="K3854">
        <v>351</v>
      </c>
      <c r="L3854">
        <v>348</v>
      </c>
      <c r="M3854">
        <v>8</v>
      </c>
      <c r="N3854">
        <f>IFERROR(VLOOKUP(A3854,vlookup_table!$A:$G,2,FALSE),"")</f>
        <v>0</v>
      </c>
      <c r="O3854">
        <f>IFERROR(VLOOKUP(A3854,vlookup_table!$A:$G,4,FALSE),"")</f>
        <v>2001</v>
      </c>
      <c r="P3854" t="str">
        <f>IFERROR(VLOOKUP(A3854,vlookup_table!$A:$G,5,FALSE),"")</f>
        <v>T2</v>
      </c>
      <c r="Q3854">
        <f>IFERROR(VLOOKUP(A3854,vlookup_table!$A:$G,7,FALSE),"")</f>
        <v>17</v>
      </c>
      <c r="R3854">
        <f t="shared" si="240"/>
        <v>77</v>
      </c>
      <c r="S3854" t="str" cm="1">
        <f t="array" ref="S3854">IF(P3854="","",_xlfn.SWITCH(LEFT(P3854,1),"C","Ciudad","T","Pueblo","R","Rural","S","Suburbano","U","Urbano",""))</f>
        <v>Pueblo</v>
      </c>
      <c r="T3854" t="str">
        <f t="shared" si="241"/>
        <v>F</v>
      </c>
      <c r="U3854" t="str">
        <f t="shared" si="242"/>
        <v>OK</v>
      </c>
      <c r="V3854" t="str">
        <f t="shared" si="243"/>
        <v>20826</v>
      </c>
    </row>
    <row r="3855" spans="1:22" x14ac:dyDescent="0.35">
      <c r="A3855" s="3">
        <v>168358</v>
      </c>
      <c r="B3855" t="s">
        <v>22</v>
      </c>
      <c r="C3855" t="s">
        <v>14</v>
      </c>
      <c r="D3855">
        <v>1401</v>
      </c>
      <c r="E3855">
        <v>232</v>
      </c>
      <c r="F3855">
        <v>305</v>
      </c>
      <c r="G3855">
        <v>16</v>
      </c>
      <c r="H3855">
        <v>10481</v>
      </c>
      <c r="I3855">
        <v>41</v>
      </c>
      <c r="J3855">
        <v>39</v>
      </c>
      <c r="K3855">
        <v>252</v>
      </c>
      <c r="L3855">
        <v>274</v>
      </c>
      <c r="M3855">
        <v>14.33333333</v>
      </c>
      <c r="N3855">
        <f>IFERROR(VLOOKUP(A3855,vlookup_table!$A:$G,2,FALSE),"")</f>
        <v>1</v>
      </c>
      <c r="O3855">
        <f>IFERROR(VLOOKUP(A3855,vlookup_table!$A:$G,4,FALSE),"")</f>
        <v>5501</v>
      </c>
      <c r="P3855" t="str">
        <f>IFERROR(VLOOKUP(A3855,vlookup_table!$A:$G,5,FALSE),"")</f>
        <v>U3</v>
      </c>
      <c r="Q3855">
        <f>IFERROR(VLOOKUP(A3855,vlookup_table!$A:$G,7,FALSE),"")</f>
        <v>10</v>
      </c>
      <c r="R3855">
        <f t="shared" si="240"/>
        <v>42</v>
      </c>
      <c r="S3855" t="str" cm="1">
        <f t="array" ref="S3855">IF(P3855="","",_xlfn.SWITCH(LEFT(P3855,1),"C","Ciudad","T","Pueblo","R","Rural","S","Suburbano","U","Urbano",""))</f>
        <v>Urbano</v>
      </c>
      <c r="T3855" t="str">
        <f t="shared" si="241"/>
        <v>M</v>
      </c>
      <c r="U3855" t="str">
        <f t="shared" si="242"/>
        <v>CA</v>
      </c>
      <c r="V3855" t="str">
        <f t="shared" si="243"/>
        <v>10481</v>
      </c>
    </row>
    <row r="3856" spans="1:22" x14ac:dyDescent="0.35">
      <c r="A3856" s="3">
        <v>24896</v>
      </c>
      <c r="B3856" t="s">
        <v>46</v>
      </c>
      <c r="C3856" t="s">
        <v>14</v>
      </c>
      <c r="D3856">
        <v>1974</v>
      </c>
      <c r="E3856">
        <v>433</v>
      </c>
      <c r="F3856">
        <v>571</v>
      </c>
      <c r="G3856">
        <v>48</v>
      </c>
      <c r="H3856">
        <v>26435</v>
      </c>
      <c r="I3856">
        <v>5</v>
      </c>
      <c r="J3856">
        <v>28</v>
      </c>
      <c r="K3856">
        <v>469</v>
      </c>
      <c r="L3856">
        <v>528</v>
      </c>
      <c r="M3856">
        <v>10.33333333</v>
      </c>
      <c r="N3856">
        <f>IFERROR(VLOOKUP(A3856,vlookup_table!$A:$G,2,FALSE),"")</f>
        <v>1</v>
      </c>
      <c r="O3856">
        <f>IFERROR(VLOOKUP(A3856,vlookup_table!$A:$G,4,FALSE),"")</f>
        <v>3012</v>
      </c>
      <c r="P3856" t="str">
        <f>IFERROR(VLOOKUP(A3856,vlookup_table!$A:$G,5,FALSE),"")</f>
        <v>C1</v>
      </c>
      <c r="Q3856">
        <f>IFERROR(VLOOKUP(A3856,vlookup_table!$A:$G,7,FALSE),"")</f>
        <v>15</v>
      </c>
      <c r="R3856">
        <f t="shared" si="240"/>
        <v>67</v>
      </c>
      <c r="S3856" t="str" cm="1">
        <f t="array" ref="S3856">IF(P3856="","",_xlfn.SWITCH(LEFT(P3856,1),"C","Ciudad","T","Pueblo","R","Rural","S","Suburbano","U","Urbano",""))</f>
        <v>Ciudad</v>
      </c>
      <c r="T3856" t="str">
        <f t="shared" si="241"/>
        <v>M</v>
      </c>
      <c r="U3856" t="str">
        <f t="shared" si="242"/>
        <v>SC</v>
      </c>
      <c r="V3856" t="str">
        <f t="shared" si="243"/>
        <v>26435</v>
      </c>
    </row>
    <row r="3857" spans="1:22" x14ac:dyDescent="0.35">
      <c r="A3857" s="3">
        <v>157061</v>
      </c>
      <c r="B3857" t="s">
        <v>22</v>
      </c>
      <c r="C3857" t="s">
        <v>17</v>
      </c>
      <c r="D3857">
        <v>5886</v>
      </c>
      <c r="E3857">
        <v>1096</v>
      </c>
      <c r="F3857">
        <v>1116</v>
      </c>
      <c r="G3857">
        <v>98</v>
      </c>
      <c r="H3857">
        <v>82369</v>
      </c>
      <c r="I3857">
        <v>14</v>
      </c>
      <c r="J3857">
        <v>50</v>
      </c>
      <c r="K3857">
        <v>1500</v>
      </c>
      <c r="L3857">
        <v>1005</v>
      </c>
      <c r="M3857">
        <v>20</v>
      </c>
      <c r="N3857">
        <f>IFERROR(VLOOKUP(A3857,vlookup_table!$A:$G,2,FALSE),"")</f>
        <v>0</v>
      </c>
      <c r="O3857">
        <f>IFERROR(VLOOKUP(A3857,vlookup_table!$A:$G,4,FALSE),"")</f>
        <v>0</v>
      </c>
      <c r="P3857" t="str">
        <f>IFERROR(VLOOKUP(A3857,vlookup_table!$A:$G,5,FALSE),"")</f>
        <v>S1</v>
      </c>
      <c r="Q3857">
        <f>IFERROR(VLOOKUP(A3857,vlookup_table!$A:$G,7,FALSE),"")</f>
        <v>25</v>
      </c>
      <c r="R3857">
        <f t="shared" si="240"/>
        <v>97</v>
      </c>
      <c r="S3857" t="str" cm="1">
        <f t="array" ref="S3857">IF(P3857="","",_xlfn.SWITCH(LEFT(P3857,1),"C","Ciudad","T","Pueblo","R","Rural","S","Suburbano","U","Urbano",""))</f>
        <v>Suburbano</v>
      </c>
      <c r="T3857" t="str">
        <f t="shared" si="241"/>
        <v>F</v>
      </c>
      <c r="U3857" t="str">
        <f t="shared" si="242"/>
        <v>CA</v>
      </c>
      <c r="V3857" t="str">
        <f t="shared" si="243"/>
        <v>82369</v>
      </c>
    </row>
    <row r="3858" spans="1:22" x14ac:dyDescent="0.35">
      <c r="A3858" s="3">
        <v>127795</v>
      </c>
      <c r="B3858" t="s">
        <v>21</v>
      </c>
      <c r="C3858" t="s">
        <v>14</v>
      </c>
      <c r="D3858">
        <v>557</v>
      </c>
      <c r="E3858">
        <v>319</v>
      </c>
      <c r="F3858">
        <v>411</v>
      </c>
      <c r="G3858">
        <v>0</v>
      </c>
      <c r="H3858">
        <v>16016</v>
      </c>
      <c r="I3858">
        <v>0</v>
      </c>
      <c r="J3858">
        <v>70</v>
      </c>
      <c r="K3858">
        <v>370</v>
      </c>
      <c r="L3858">
        <v>368</v>
      </c>
      <c r="M3858">
        <v>7</v>
      </c>
      <c r="N3858">
        <f>IFERROR(VLOOKUP(A3858,vlookup_table!$A:$G,2,FALSE),"")</f>
        <v>1</v>
      </c>
      <c r="O3858">
        <f>IFERROR(VLOOKUP(A3858,vlookup_table!$A:$G,4,FALSE),"")</f>
        <v>5107</v>
      </c>
      <c r="P3858" t="str">
        <f>IFERROR(VLOOKUP(A3858,vlookup_table!$A:$G,5,FALSE),"")</f>
        <v>C2</v>
      </c>
      <c r="Q3858">
        <f>IFERROR(VLOOKUP(A3858,vlookup_table!$A:$G,7,FALSE),"")</f>
        <v>15</v>
      </c>
      <c r="R3858">
        <f t="shared" si="240"/>
        <v>46</v>
      </c>
      <c r="S3858" t="str" cm="1">
        <f t="array" ref="S3858">IF(P3858="","",_xlfn.SWITCH(LEFT(P3858,1),"C","Ciudad","T","Pueblo","R","Rural","S","Suburbano","U","Urbano",""))</f>
        <v>Ciudad</v>
      </c>
      <c r="T3858" t="str">
        <f t="shared" si="241"/>
        <v>M</v>
      </c>
      <c r="U3858" t="str">
        <f t="shared" si="242"/>
        <v>TX</v>
      </c>
      <c r="V3858" t="str">
        <f t="shared" si="243"/>
        <v>16016</v>
      </c>
    </row>
    <row r="3859" spans="1:22" x14ac:dyDescent="0.35">
      <c r="A3859" s="3">
        <v>13215</v>
      </c>
      <c r="B3859" t="s">
        <v>22</v>
      </c>
      <c r="C3859" t="s">
        <v>14</v>
      </c>
      <c r="D3859">
        <v>1416</v>
      </c>
      <c r="E3859">
        <v>293</v>
      </c>
      <c r="F3859">
        <v>376</v>
      </c>
      <c r="G3859">
        <v>18</v>
      </c>
      <c r="H3859">
        <v>12588</v>
      </c>
      <c r="I3859">
        <v>2</v>
      </c>
      <c r="J3859">
        <v>62</v>
      </c>
      <c r="K3859">
        <v>321</v>
      </c>
      <c r="L3859">
        <v>357</v>
      </c>
      <c r="M3859">
        <v>11</v>
      </c>
      <c r="N3859">
        <f>IFERROR(VLOOKUP(A3859,vlookup_table!$A:$G,2,FALSE),"")</f>
        <v>1</v>
      </c>
      <c r="O3859">
        <f>IFERROR(VLOOKUP(A3859,vlookup_table!$A:$G,4,FALSE),"")</f>
        <v>5001</v>
      </c>
      <c r="P3859" t="str">
        <f>IFERROR(VLOOKUP(A3859,vlookup_table!$A:$G,5,FALSE),"")</f>
        <v>R2</v>
      </c>
      <c r="Q3859">
        <f>IFERROR(VLOOKUP(A3859,vlookup_table!$A:$G,7,FALSE),"")</f>
        <v>21</v>
      </c>
      <c r="R3859">
        <f t="shared" si="240"/>
        <v>47</v>
      </c>
      <c r="S3859" t="str" cm="1">
        <f t="array" ref="S3859">IF(P3859="","",_xlfn.SWITCH(LEFT(P3859,1),"C","Ciudad","T","Pueblo","R","Rural","S","Suburbano","U","Urbano",""))</f>
        <v>Rural</v>
      </c>
      <c r="T3859" t="str">
        <f t="shared" si="241"/>
        <v>M</v>
      </c>
      <c r="U3859" t="str">
        <f t="shared" si="242"/>
        <v>CA</v>
      </c>
      <c r="V3859" t="str">
        <f t="shared" si="243"/>
        <v>12588</v>
      </c>
    </row>
    <row r="3860" spans="1:22" x14ac:dyDescent="0.35">
      <c r="A3860" s="3">
        <v>129899</v>
      </c>
      <c r="B3860" t="s">
        <v>48</v>
      </c>
      <c r="C3860" t="s">
        <v>14</v>
      </c>
      <c r="D3860">
        <v>688</v>
      </c>
      <c r="E3860">
        <v>232</v>
      </c>
      <c r="F3860">
        <v>312</v>
      </c>
      <c r="G3860">
        <v>1</v>
      </c>
      <c r="H3860">
        <v>11778</v>
      </c>
      <c r="I3860">
        <v>3</v>
      </c>
      <c r="J3860">
        <v>52</v>
      </c>
      <c r="K3860">
        <v>305</v>
      </c>
      <c r="L3860">
        <v>267</v>
      </c>
      <c r="M3860">
        <v>12.5</v>
      </c>
      <c r="N3860">
        <f>IFERROR(VLOOKUP(A3860,vlookup_table!$A:$G,2,FALSE),"")</f>
        <v>0</v>
      </c>
      <c r="O3860">
        <f>IFERROR(VLOOKUP(A3860,vlookup_table!$A:$G,4,FALSE),"")</f>
        <v>2201</v>
      </c>
      <c r="P3860" t="str">
        <f>IFERROR(VLOOKUP(A3860,vlookup_table!$A:$G,5,FALSE),"")</f>
        <v>S2</v>
      </c>
      <c r="Q3860">
        <f>IFERROR(VLOOKUP(A3860,vlookup_table!$A:$G,7,FALSE),"")</f>
        <v>12</v>
      </c>
      <c r="R3860">
        <f t="shared" si="240"/>
        <v>75</v>
      </c>
      <c r="S3860" t="str" cm="1">
        <f t="array" ref="S3860">IF(P3860="","",_xlfn.SWITCH(LEFT(P3860,1),"C","Ciudad","T","Pueblo","R","Rural","S","Suburbano","U","Urbano",""))</f>
        <v>Suburbano</v>
      </c>
      <c r="T3860" t="str">
        <f t="shared" si="241"/>
        <v>M</v>
      </c>
      <c r="U3860" t="str">
        <f t="shared" si="242"/>
        <v>CO</v>
      </c>
      <c r="V3860" t="str">
        <f t="shared" si="243"/>
        <v>11778</v>
      </c>
    </row>
    <row r="3861" spans="1:22" x14ac:dyDescent="0.35">
      <c r="A3861" s="3">
        <v>156428</v>
      </c>
      <c r="B3861" t="s">
        <v>22</v>
      </c>
      <c r="C3861" t="s">
        <v>17</v>
      </c>
      <c r="D3861">
        <v>1610</v>
      </c>
      <c r="E3861">
        <v>317</v>
      </c>
      <c r="F3861">
        <v>396</v>
      </c>
      <c r="G3861">
        <v>5</v>
      </c>
      <c r="H3861">
        <v>17698</v>
      </c>
      <c r="I3861">
        <v>15</v>
      </c>
      <c r="J3861">
        <v>44</v>
      </c>
      <c r="K3861">
        <v>310</v>
      </c>
      <c r="L3861">
        <v>375</v>
      </c>
      <c r="M3861">
        <v>8.0555555559999998</v>
      </c>
      <c r="N3861">
        <f>IFERROR(VLOOKUP(A3861,vlookup_table!$A:$G,2,FALSE),"")</f>
        <v>0</v>
      </c>
      <c r="O3861">
        <f>IFERROR(VLOOKUP(A3861,vlookup_table!$A:$G,4,FALSE),"")</f>
        <v>2610</v>
      </c>
      <c r="P3861" t="str">
        <f>IFERROR(VLOOKUP(A3861,vlookup_table!$A:$G,5,FALSE),"")</f>
        <v>U1</v>
      </c>
      <c r="Q3861">
        <f>IFERROR(VLOOKUP(A3861,vlookup_table!$A:$G,7,FALSE),"")</f>
        <v>9</v>
      </c>
      <c r="R3861">
        <f t="shared" si="240"/>
        <v>71</v>
      </c>
      <c r="S3861" t="str" cm="1">
        <f t="array" ref="S3861">IF(P3861="","",_xlfn.SWITCH(LEFT(P3861,1),"C","Ciudad","T","Pueblo","R","Rural","S","Suburbano","U","Urbano",""))</f>
        <v>Urbano</v>
      </c>
      <c r="T3861" t="str">
        <f t="shared" si="241"/>
        <v>F</v>
      </c>
      <c r="U3861" t="str">
        <f t="shared" si="242"/>
        <v>CA</v>
      </c>
      <c r="V3861" t="str">
        <f t="shared" si="243"/>
        <v>17698</v>
      </c>
    </row>
    <row r="3862" spans="1:22" x14ac:dyDescent="0.35">
      <c r="A3862" s="3">
        <v>157284</v>
      </c>
      <c r="B3862" t="s">
        <v>22</v>
      </c>
      <c r="C3862" t="s">
        <v>17</v>
      </c>
      <c r="D3862">
        <v>5500</v>
      </c>
      <c r="E3862">
        <v>480</v>
      </c>
      <c r="F3862">
        <v>775</v>
      </c>
      <c r="G3862">
        <v>97</v>
      </c>
      <c r="H3862">
        <v>40224</v>
      </c>
      <c r="I3862">
        <v>5</v>
      </c>
      <c r="J3862">
        <v>64</v>
      </c>
      <c r="K3862">
        <v>535</v>
      </c>
      <c r="L3862">
        <v>597</v>
      </c>
      <c r="M3862">
        <v>15</v>
      </c>
      <c r="N3862">
        <f>IFERROR(VLOOKUP(A3862,vlookup_table!$A:$G,2,FALSE),"")</f>
        <v>0</v>
      </c>
      <c r="O3862">
        <f>IFERROR(VLOOKUP(A3862,vlookup_table!$A:$G,4,FALSE),"")</f>
        <v>1501</v>
      </c>
      <c r="P3862" t="str">
        <f>IFERROR(VLOOKUP(A3862,vlookup_table!$A:$G,5,FALSE),"")</f>
        <v>S1</v>
      </c>
      <c r="Q3862">
        <f>IFERROR(VLOOKUP(A3862,vlookup_table!$A:$G,7,FALSE),"")</f>
        <v>20</v>
      </c>
      <c r="R3862">
        <f t="shared" si="240"/>
        <v>82</v>
      </c>
      <c r="S3862" t="str" cm="1">
        <f t="array" ref="S3862">IF(P3862="","",_xlfn.SWITCH(LEFT(P3862,1),"C","Ciudad","T","Pueblo","R","Rural","S","Suburbano","U","Urbano",""))</f>
        <v>Suburbano</v>
      </c>
      <c r="T3862" t="str">
        <f t="shared" si="241"/>
        <v>F</v>
      </c>
      <c r="U3862" t="str">
        <f t="shared" si="242"/>
        <v>CA</v>
      </c>
      <c r="V3862" t="str">
        <f t="shared" si="243"/>
        <v>40224</v>
      </c>
    </row>
    <row r="3863" spans="1:22" x14ac:dyDescent="0.35">
      <c r="A3863" s="3">
        <v>147508</v>
      </c>
      <c r="B3863" t="s">
        <v>22</v>
      </c>
      <c r="C3863" t="s">
        <v>17</v>
      </c>
      <c r="D3863">
        <v>2352</v>
      </c>
      <c r="E3863">
        <v>363</v>
      </c>
      <c r="F3863">
        <v>530</v>
      </c>
      <c r="G3863">
        <v>71</v>
      </c>
      <c r="H3863">
        <v>18059</v>
      </c>
      <c r="I3863">
        <v>18</v>
      </c>
      <c r="J3863">
        <v>44</v>
      </c>
      <c r="K3863">
        <v>478</v>
      </c>
      <c r="L3863">
        <v>434</v>
      </c>
      <c r="M3863">
        <v>15</v>
      </c>
      <c r="N3863">
        <f>IFERROR(VLOOKUP(A3863,vlookup_table!$A:$G,2,FALSE),"")</f>
        <v>0</v>
      </c>
      <c r="O3863">
        <f>IFERROR(VLOOKUP(A3863,vlookup_table!$A:$G,4,FALSE),"")</f>
        <v>0</v>
      </c>
      <c r="P3863" t="str">
        <f>IFERROR(VLOOKUP(A3863,vlookup_table!$A:$G,5,FALSE),"")</f>
        <v>S2</v>
      </c>
      <c r="Q3863">
        <f>IFERROR(VLOOKUP(A3863,vlookup_table!$A:$G,7,FALSE),"")</f>
        <v>10</v>
      </c>
      <c r="R3863">
        <f t="shared" si="240"/>
        <v>97</v>
      </c>
      <c r="S3863" t="str" cm="1">
        <f t="array" ref="S3863">IF(P3863="","",_xlfn.SWITCH(LEFT(P3863,1),"C","Ciudad","T","Pueblo","R","Rural","S","Suburbano","U","Urbano",""))</f>
        <v>Suburbano</v>
      </c>
      <c r="T3863" t="str">
        <f t="shared" si="241"/>
        <v>F</v>
      </c>
      <c r="U3863" t="str">
        <f t="shared" si="242"/>
        <v>CA</v>
      </c>
      <c r="V3863" t="str">
        <f t="shared" si="243"/>
        <v>18059</v>
      </c>
    </row>
    <row r="3864" spans="1:22" x14ac:dyDescent="0.35">
      <c r="A3864" s="3">
        <v>37575</v>
      </c>
      <c r="B3864" t="s">
        <v>13</v>
      </c>
      <c r="C3864" t="s">
        <v>14</v>
      </c>
      <c r="D3864">
        <v>1938</v>
      </c>
      <c r="E3864">
        <v>400</v>
      </c>
      <c r="F3864">
        <v>606</v>
      </c>
      <c r="G3864">
        <v>50</v>
      </c>
      <c r="H3864">
        <v>34430</v>
      </c>
      <c r="I3864">
        <v>56</v>
      </c>
      <c r="J3864">
        <v>10</v>
      </c>
      <c r="K3864">
        <v>482</v>
      </c>
      <c r="L3864">
        <v>500</v>
      </c>
      <c r="M3864">
        <v>55</v>
      </c>
      <c r="N3864">
        <f>IFERROR(VLOOKUP(A3864,vlookup_table!$A:$G,2,FALSE),"")</f>
        <v>1</v>
      </c>
      <c r="O3864">
        <f>IFERROR(VLOOKUP(A3864,vlookup_table!$A:$G,4,FALSE),"")</f>
        <v>0</v>
      </c>
      <c r="P3864" t="str">
        <f>IFERROR(VLOOKUP(A3864,vlookup_table!$A:$G,5,FALSE),"")</f>
        <v>U1</v>
      </c>
      <c r="Q3864">
        <f>IFERROR(VLOOKUP(A3864,vlookup_table!$A:$G,7,FALSE),"")</f>
        <v>50</v>
      </c>
      <c r="R3864">
        <f t="shared" si="240"/>
        <v>97</v>
      </c>
      <c r="S3864" t="str" cm="1">
        <f t="array" ref="S3864">IF(P3864="","",_xlfn.SWITCH(LEFT(P3864,1),"C","Ciudad","T","Pueblo","R","Rural","S","Suburbano","U","Urbano",""))</f>
        <v>Urbano</v>
      </c>
      <c r="T3864" t="str">
        <f t="shared" si="241"/>
        <v>M</v>
      </c>
      <c r="U3864" t="str">
        <f t="shared" si="242"/>
        <v>FL</v>
      </c>
      <c r="V3864" t="str">
        <f t="shared" si="243"/>
        <v>34430</v>
      </c>
    </row>
    <row r="3865" spans="1:22" x14ac:dyDescent="0.35">
      <c r="A3865" s="3">
        <v>91787</v>
      </c>
      <c r="B3865" t="s">
        <v>16</v>
      </c>
      <c r="C3865" t="s">
        <v>17</v>
      </c>
      <c r="D3865">
        <v>1705</v>
      </c>
      <c r="E3865">
        <v>512</v>
      </c>
      <c r="F3865">
        <v>659</v>
      </c>
      <c r="G3865">
        <v>35</v>
      </c>
      <c r="H3865">
        <v>20460</v>
      </c>
      <c r="I3865">
        <v>17</v>
      </c>
      <c r="J3865">
        <v>74</v>
      </c>
      <c r="K3865">
        <v>565</v>
      </c>
      <c r="L3865">
        <v>610</v>
      </c>
      <c r="M3865">
        <v>12.5</v>
      </c>
      <c r="N3865">
        <f>IFERROR(VLOOKUP(A3865,vlookup_table!$A:$G,2,FALSE),"")</f>
        <v>2</v>
      </c>
      <c r="O3865">
        <f>IFERROR(VLOOKUP(A3865,vlookup_table!$A:$G,4,FALSE),"")</f>
        <v>4601</v>
      </c>
      <c r="P3865" t="str">
        <f>IFERROR(VLOOKUP(A3865,vlookup_table!$A:$G,5,FALSE),"")</f>
        <v>S1</v>
      </c>
      <c r="Q3865">
        <f>IFERROR(VLOOKUP(A3865,vlookup_table!$A:$G,7,FALSE),"")</f>
        <v>25</v>
      </c>
      <c r="R3865">
        <f t="shared" si="240"/>
        <v>51</v>
      </c>
      <c r="S3865" t="str" cm="1">
        <f t="array" ref="S3865">IF(P3865="","",_xlfn.SWITCH(LEFT(P3865,1),"C","Ciudad","T","Pueblo","R","Rural","S","Suburbano","U","Urbano",""))</f>
        <v>Suburbano</v>
      </c>
      <c r="T3865" t="str">
        <f t="shared" si="241"/>
        <v>F</v>
      </c>
      <c r="U3865" t="str">
        <f t="shared" si="242"/>
        <v>IL</v>
      </c>
      <c r="V3865" t="str">
        <f t="shared" si="243"/>
        <v>20460</v>
      </c>
    </row>
    <row r="3866" spans="1:22" x14ac:dyDescent="0.35">
      <c r="A3866" s="3">
        <v>160292</v>
      </c>
      <c r="B3866" t="s">
        <v>22</v>
      </c>
      <c r="C3866" t="s">
        <v>14</v>
      </c>
      <c r="D3866">
        <v>861</v>
      </c>
      <c r="E3866">
        <v>243</v>
      </c>
      <c r="F3866">
        <v>289</v>
      </c>
      <c r="G3866">
        <v>0</v>
      </c>
      <c r="H3866">
        <v>6630</v>
      </c>
      <c r="I3866">
        <v>44</v>
      </c>
      <c r="J3866">
        <v>49</v>
      </c>
      <c r="K3866">
        <v>240</v>
      </c>
      <c r="L3866">
        <v>280</v>
      </c>
      <c r="M3866">
        <v>10.88888889</v>
      </c>
      <c r="N3866">
        <f>IFERROR(VLOOKUP(A3866,vlookup_table!$A:$G,2,FALSE),"")</f>
        <v>2</v>
      </c>
      <c r="O3866">
        <f>IFERROR(VLOOKUP(A3866,vlookup_table!$A:$G,4,FALSE),"")</f>
        <v>1304</v>
      </c>
      <c r="P3866" t="str">
        <f>IFERROR(VLOOKUP(A3866,vlookup_table!$A:$G,5,FALSE),"")</f>
        <v>R3</v>
      </c>
      <c r="Q3866">
        <f>IFERROR(VLOOKUP(A3866,vlookup_table!$A:$G,7,FALSE),"")</f>
        <v>16</v>
      </c>
      <c r="R3866">
        <f t="shared" si="240"/>
        <v>84</v>
      </c>
      <c r="S3866" t="str" cm="1">
        <f t="array" ref="S3866">IF(P3866="","",_xlfn.SWITCH(LEFT(P3866,1),"C","Ciudad","T","Pueblo","R","Rural","S","Suburbano","U","Urbano",""))</f>
        <v>Rural</v>
      </c>
      <c r="T3866" t="str">
        <f t="shared" si="241"/>
        <v>M</v>
      </c>
      <c r="U3866" t="str">
        <f t="shared" si="242"/>
        <v>CA</v>
      </c>
      <c r="V3866" t="str">
        <f t="shared" si="243"/>
        <v>6630</v>
      </c>
    </row>
    <row r="3867" spans="1:22" x14ac:dyDescent="0.35">
      <c r="A3867" s="3">
        <v>32288</v>
      </c>
      <c r="B3867" t="s">
        <v>13</v>
      </c>
      <c r="C3867" t="s">
        <v>17</v>
      </c>
      <c r="D3867">
        <v>875</v>
      </c>
      <c r="E3867">
        <v>119</v>
      </c>
      <c r="F3867">
        <v>191</v>
      </c>
      <c r="G3867">
        <v>25</v>
      </c>
      <c r="H3867">
        <v>9084</v>
      </c>
      <c r="I3867">
        <v>10</v>
      </c>
      <c r="J3867">
        <v>0</v>
      </c>
      <c r="K3867">
        <v>188</v>
      </c>
      <c r="L3867">
        <v>142</v>
      </c>
      <c r="M3867">
        <v>8</v>
      </c>
      <c r="N3867">
        <f>IFERROR(VLOOKUP(A3867,vlookup_table!$A:$G,2,FALSE),"")</f>
        <v>2</v>
      </c>
      <c r="O3867">
        <f>IFERROR(VLOOKUP(A3867,vlookup_table!$A:$G,4,FALSE),"")</f>
        <v>3601</v>
      </c>
      <c r="P3867" t="str">
        <f>IFERROR(VLOOKUP(A3867,vlookup_table!$A:$G,5,FALSE),"")</f>
        <v>C3</v>
      </c>
      <c r="Q3867">
        <f>IFERROR(VLOOKUP(A3867,vlookup_table!$A:$G,7,FALSE),"")</f>
        <v>10</v>
      </c>
      <c r="R3867">
        <f t="shared" si="240"/>
        <v>61</v>
      </c>
      <c r="S3867" t="str" cm="1">
        <f t="array" ref="S3867">IF(P3867="","",_xlfn.SWITCH(LEFT(P3867,1),"C","Ciudad","T","Pueblo","R","Rural","S","Suburbano","U","Urbano",""))</f>
        <v>Ciudad</v>
      </c>
      <c r="T3867" t="str">
        <f t="shared" si="241"/>
        <v>F</v>
      </c>
      <c r="U3867" t="str">
        <f t="shared" si="242"/>
        <v>FL</v>
      </c>
      <c r="V3867" t="str">
        <f t="shared" si="243"/>
        <v>9084</v>
      </c>
    </row>
    <row r="3868" spans="1:22" x14ac:dyDescent="0.35">
      <c r="A3868" s="3">
        <v>14152</v>
      </c>
      <c r="B3868" t="s">
        <v>38</v>
      </c>
      <c r="C3868" t="s">
        <v>14</v>
      </c>
      <c r="D3868">
        <v>738</v>
      </c>
      <c r="E3868">
        <v>380</v>
      </c>
      <c r="F3868">
        <v>447</v>
      </c>
      <c r="G3868">
        <v>0</v>
      </c>
      <c r="H3868">
        <v>16793</v>
      </c>
      <c r="I3868">
        <v>2</v>
      </c>
      <c r="J3868">
        <v>79</v>
      </c>
      <c r="K3868">
        <v>400</v>
      </c>
      <c r="L3868">
        <v>402</v>
      </c>
      <c r="M3868">
        <v>7.4</v>
      </c>
      <c r="N3868">
        <f>IFERROR(VLOOKUP(A3868,vlookup_table!$A:$G,2,FALSE),"")</f>
        <v>1</v>
      </c>
      <c r="O3868">
        <f>IFERROR(VLOOKUP(A3868,vlookup_table!$A:$G,4,FALSE),"")</f>
        <v>4508</v>
      </c>
      <c r="P3868" t="str">
        <f>IFERROR(VLOOKUP(A3868,vlookup_table!$A:$G,5,FALSE),"")</f>
        <v>C2</v>
      </c>
      <c r="Q3868">
        <f>IFERROR(VLOOKUP(A3868,vlookup_table!$A:$G,7,FALSE),"")</f>
        <v>10</v>
      </c>
      <c r="R3868">
        <f t="shared" si="240"/>
        <v>52</v>
      </c>
      <c r="S3868" t="str" cm="1">
        <f t="array" ref="S3868">IF(P3868="","",_xlfn.SWITCH(LEFT(P3868,1),"C","Ciudad","T","Pueblo","R","Rural","S","Suburbano","U","Urbano",""))</f>
        <v>Ciudad</v>
      </c>
      <c r="T3868" t="str">
        <f t="shared" si="241"/>
        <v>M</v>
      </c>
      <c r="U3868" t="str">
        <f t="shared" si="242"/>
        <v>UT</v>
      </c>
      <c r="V3868" t="str">
        <f t="shared" si="243"/>
        <v>16793</v>
      </c>
    </row>
    <row r="3869" spans="1:22" x14ac:dyDescent="0.35">
      <c r="A3869" s="3">
        <v>115346</v>
      </c>
      <c r="B3869" t="s">
        <v>31</v>
      </c>
      <c r="C3869" t="s">
        <v>17</v>
      </c>
      <c r="D3869">
        <v>251</v>
      </c>
      <c r="E3869">
        <v>183</v>
      </c>
      <c r="F3869">
        <v>265</v>
      </c>
      <c r="G3869">
        <v>0</v>
      </c>
      <c r="H3869">
        <v>8947</v>
      </c>
      <c r="I3869">
        <v>0</v>
      </c>
      <c r="J3869">
        <v>75</v>
      </c>
      <c r="K3869">
        <v>212</v>
      </c>
      <c r="L3869">
        <v>238</v>
      </c>
      <c r="M3869">
        <v>9.4</v>
      </c>
      <c r="N3869">
        <f>IFERROR(VLOOKUP(A3869,vlookup_table!$A:$G,2,FALSE),"")</f>
        <v>0</v>
      </c>
      <c r="O3869">
        <f>IFERROR(VLOOKUP(A3869,vlookup_table!$A:$G,4,FALSE),"")</f>
        <v>4201</v>
      </c>
      <c r="P3869" t="str">
        <f>IFERROR(VLOOKUP(A3869,vlookup_table!$A:$G,5,FALSE),"")</f>
        <v>R3</v>
      </c>
      <c r="Q3869">
        <f>IFERROR(VLOOKUP(A3869,vlookup_table!$A:$G,7,FALSE),"")</f>
        <v>25</v>
      </c>
      <c r="R3869">
        <f t="shared" si="240"/>
        <v>55</v>
      </c>
      <c r="S3869" t="str" cm="1">
        <f t="array" ref="S3869">IF(P3869="","",_xlfn.SWITCH(LEFT(P3869,1),"C","Ciudad","T","Pueblo","R","Rural","S","Suburbano","U","Urbano",""))</f>
        <v>Rural</v>
      </c>
      <c r="T3869" t="str">
        <f t="shared" si="241"/>
        <v>F</v>
      </c>
      <c r="U3869" t="str">
        <f t="shared" si="242"/>
        <v>OK</v>
      </c>
      <c r="V3869" t="str">
        <f t="shared" si="243"/>
        <v>8947</v>
      </c>
    </row>
    <row r="3870" spans="1:22" x14ac:dyDescent="0.35">
      <c r="A3870" s="3">
        <v>18339</v>
      </c>
      <c r="B3870" t="s">
        <v>18</v>
      </c>
      <c r="C3870" t="s">
        <v>14</v>
      </c>
      <c r="D3870">
        <v>469</v>
      </c>
      <c r="E3870">
        <v>192</v>
      </c>
      <c r="F3870">
        <v>280</v>
      </c>
      <c r="G3870">
        <v>1</v>
      </c>
      <c r="H3870">
        <v>9448</v>
      </c>
      <c r="I3870">
        <v>0</v>
      </c>
      <c r="J3870">
        <v>84</v>
      </c>
      <c r="K3870">
        <v>222</v>
      </c>
      <c r="L3870">
        <v>245</v>
      </c>
      <c r="M3870">
        <v>10</v>
      </c>
      <c r="N3870">
        <f>IFERROR(VLOOKUP(A3870,vlookup_table!$A:$G,2,FALSE),"")</f>
        <v>1</v>
      </c>
      <c r="O3870">
        <f>IFERROR(VLOOKUP(A3870,vlookup_table!$A:$G,4,FALSE),"")</f>
        <v>4801</v>
      </c>
      <c r="P3870" t="str">
        <f>IFERROR(VLOOKUP(A3870,vlookup_table!$A:$G,5,FALSE),"")</f>
        <v>R2</v>
      </c>
      <c r="Q3870">
        <f>IFERROR(VLOOKUP(A3870,vlookup_table!$A:$G,7,FALSE),"")</f>
        <v>10</v>
      </c>
      <c r="R3870">
        <f t="shared" si="240"/>
        <v>49</v>
      </c>
      <c r="S3870" t="str" cm="1">
        <f t="array" ref="S3870">IF(P3870="","",_xlfn.SWITCH(LEFT(P3870,1),"C","Ciudad","T","Pueblo","R","Rural","S","Suburbano","U","Urbano",""))</f>
        <v>Rural</v>
      </c>
      <c r="T3870" t="str">
        <f t="shared" si="241"/>
        <v>M</v>
      </c>
      <c r="U3870" t="str">
        <f t="shared" si="242"/>
        <v>NC</v>
      </c>
      <c r="V3870" t="str">
        <f t="shared" si="243"/>
        <v>9448</v>
      </c>
    </row>
    <row r="3871" spans="1:22" x14ac:dyDescent="0.35">
      <c r="A3871" s="3">
        <v>26645</v>
      </c>
      <c r="B3871" t="s">
        <v>39</v>
      </c>
      <c r="C3871" t="s">
        <v>17</v>
      </c>
      <c r="D3871">
        <v>681</v>
      </c>
      <c r="E3871">
        <v>318</v>
      </c>
      <c r="F3871">
        <v>377</v>
      </c>
      <c r="G3871">
        <v>2</v>
      </c>
      <c r="H3871">
        <v>12180</v>
      </c>
      <c r="I3871">
        <v>0</v>
      </c>
      <c r="J3871">
        <v>71</v>
      </c>
      <c r="K3871">
        <v>337</v>
      </c>
      <c r="L3871">
        <v>355</v>
      </c>
      <c r="M3871">
        <v>7.375</v>
      </c>
      <c r="N3871">
        <f>IFERROR(VLOOKUP(A3871,vlookup_table!$A:$G,2,FALSE),"")</f>
        <v>2</v>
      </c>
      <c r="O3871">
        <f>IFERROR(VLOOKUP(A3871,vlookup_table!$A:$G,4,FALSE),"")</f>
        <v>4901</v>
      </c>
      <c r="P3871" t="str">
        <f>IFERROR(VLOOKUP(A3871,vlookup_table!$A:$G,5,FALSE),"")</f>
        <v>R2</v>
      </c>
      <c r="Q3871">
        <f>IFERROR(VLOOKUP(A3871,vlookup_table!$A:$G,7,FALSE),"")</f>
        <v>15</v>
      </c>
      <c r="R3871">
        <f t="shared" si="240"/>
        <v>48</v>
      </c>
      <c r="S3871" t="str" cm="1">
        <f t="array" ref="S3871">IF(P3871="","",_xlfn.SWITCH(LEFT(P3871,1),"C","Ciudad","T","Pueblo","R","Rural","S","Suburbano","U","Urbano",""))</f>
        <v>Rural</v>
      </c>
      <c r="T3871" t="str">
        <f t="shared" si="241"/>
        <v>F</v>
      </c>
      <c r="U3871" t="str">
        <f t="shared" si="242"/>
        <v>GA</v>
      </c>
      <c r="V3871" t="str">
        <f t="shared" si="243"/>
        <v>12180</v>
      </c>
    </row>
    <row r="3872" spans="1:22" x14ac:dyDescent="0.35">
      <c r="A3872" s="3">
        <v>85617</v>
      </c>
      <c r="B3872" t="s">
        <v>56</v>
      </c>
      <c r="C3872" t="s">
        <v>14</v>
      </c>
      <c r="D3872">
        <v>486</v>
      </c>
      <c r="E3872">
        <v>262</v>
      </c>
      <c r="F3872">
        <v>348</v>
      </c>
      <c r="G3872">
        <v>0</v>
      </c>
      <c r="H3872">
        <v>10756</v>
      </c>
      <c r="I3872">
        <v>1</v>
      </c>
      <c r="J3872">
        <v>66</v>
      </c>
      <c r="K3872">
        <v>299</v>
      </c>
      <c r="L3872">
        <v>310</v>
      </c>
      <c r="M3872">
        <v>8</v>
      </c>
      <c r="N3872">
        <f>IFERROR(VLOOKUP(A3872,vlookup_table!$A:$G,2,FALSE),"")</f>
        <v>0</v>
      </c>
      <c r="O3872">
        <f>IFERROR(VLOOKUP(A3872,vlookup_table!$A:$G,4,FALSE),"")</f>
        <v>1801</v>
      </c>
      <c r="P3872" t="str">
        <f>IFERROR(VLOOKUP(A3872,vlookup_table!$A:$G,5,FALSE),"")</f>
        <v>R2</v>
      </c>
      <c r="Q3872">
        <f>IFERROR(VLOOKUP(A3872,vlookup_table!$A:$G,7,FALSE),"")</f>
        <v>9</v>
      </c>
      <c r="R3872">
        <f t="shared" si="240"/>
        <v>79</v>
      </c>
      <c r="S3872" t="str" cm="1">
        <f t="array" ref="S3872">IF(P3872="","",_xlfn.SWITCH(LEFT(P3872,1),"C","Ciudad","T","Pueblo","R","Rural","S","Suburbano","U","Urbano",""))</f>
        <v>Rural</v>
      </c>
      <c r="T3872" t="str">
        <f t="shared" si="241"/>
        <v>M</v>
      </c>
      <c r="U3872" t="str">
        <f t="shared" si="242"/>
        <v>MN</v>
      </c>
      <c r="V3872" t="str">
        <f t="shared" si="243"/>
        <v>10756</v>
      </c>
    </row>
    <row r="3873" spans="1:22" x14ac:dyDescent="0.35">
      <c r="A3873" s="3">
        <v>66830</v>
      </c>
      <c r="B3873" t="s">
        <v>29</v>
      </c>
      <c r="C3873" t="s">
        <v>17</v>
      </c>
      <c r="D3873">
        <v>943</v>
      </c>
      <c r="E3873">
        <v>464</v>
      </c>
      <c r="F3873">
        <v>464</v>
      </c>
      <c r="G3873">
        <v>5</v>
      </c>
      <c r="H3873">
        <v>15214</v>
      </c>
      <c r="I3873">
        <v>1</v>
      </c>
      <c r="J3873">
        <v>80</v>
      </c>
      <c r="K3873">
        <v>465</v>
      </c>
      <c r="L3873">
        <v>435</v>
      </c>
      <c r="M3873">
        <v>10</v>
      </c>
      <c r="N3873">
        <f>IFERROR(VLOOKUP(A3873,vlookup_table!$A:$G,2,FALSE),"")</f>
        <v>0</v>
      </c>
      <c r="O3873">
        <f>IFERROR(VLOOKUP(A3873,vlookup_table!$A:$G,4,FALSE),"")</f>
        <v>2901</v>
      </c>
      <c r="P3873" t="str">
        <f>IFERROR(VLOOKUP(A3873,vlookup_table!$A:$G,5,FALSE),"")</f>
        <v>T2</v>
      </c>
      <c r="Q3873">
        <f>IFERROR(VLOOKUP(A3873,vlookup_table!$A:$G,7,FALSE),"")</f>
        <v>10</v>
      </c>
      <c r="R3873">
        <f t="shared" si="240"/>
        <v>68</v>
      </c>
      <c r="S3873" t="str" cm="1">
        <f t="array" ref="S3873">IF(P3873="","",_xlfn.SWITCH(LEFT(P3873,1),"C","Ciudad","T","Pueblo","R","Rural","S","Suburbano","U","Urbano",""))</f>
        <v>Pueblo</v>
      </c>
      <c r="T3873" t="str">
        <f t="shared" si="241"/>
        <v>F</v>
      </c>
      <c r="U3873" t="str">
        <f t="shared" si="242"/>
        <v>MI</v>
      </c>
      <c r="V3873" t="str">
        <f t="shared" si="243"/>
        <v>15214</v>
      </c>
    </row>
    <row r="3874" spans="1:22" x14ac:dyDescent="0.35">
      <c r="A3874" s="3">
        <v>152847</v>
      </c>
      <c r="B3874" t="s">
        <v>22</v>
      </c>
      <c r="C3874" t="s">
        <v>14</v>
      </c>
      <c r="D3874">
        <v>2799</v>
      </c>
      <c r="E3874">
        <v>518</v>
      </c>
      <c r="F3874">
        <v>599</v>
      </c>
      <c r="G3874">
        <v>85</v>
      </c>
      <c r="H3874">
        <v>29620</v>
      </c>
      <c r="I3874">
        <v>7</v>
      </c>
      <c r="J3874">
        <v>28</v>
      </c>
      <c r="K3874">
        <v>576</v>
      </c>
      <c r="L3874">
        <v>554</v>
      </c>
      <c r="M3874">
        <v>14.80952381</v>
      </c>
      <c r="N3874">
        <f>IFERROR(VLOOKUP(A3874,vlookup_table!$A:$G,2,FALSE),"")</f>
        <v>1</v>
      </c>
      <c r="O3874">
        <f>IFERROR(VLOOKUP(A3874,vlookup_table!$A:$G,4,FALSE),"")</f>
        <v>2001</v>
      </c>
      <c r="P3874" t="str">
        <f>IFERROR(VLOOKUP(A3874,vlookup_table!$A:$G,5,FALSE),"")</f>
        <v>S1</v>
      </c>
      <c r="Q3874">
        <f>IFERROR(VLOOKUP(A3874,vlookup_table!$A:$G,7,FALSE),"")</f>
        <v>37</v>
      </c>
      <c r="R3874">
        <f t="shared" si="240"/>
        <v>77</v>
      </c>
      <c r="S3874" t="str" cm="1">
        <f t="array" ref="S3874">IF(P3874="","",_xlfn.SWITCH(LEFT(P3874,1),"C","Ciudad","T","Pueblo","R","Rural","S","Suburbano","U","Urbano",""))</f>
        <v>Suburbano</v>
      </c>
      <c r="T3874" t="str">
        <f t="shared" si="241"/>
        <v>M</v>
      </c>
      <c r="U3874" t="str">
        <f t="shared" si="242"/>
        <v>CA</v>
      </c>
      <c r="V3874" t="str">
        <f t="shared" si="243"/>
        <v>29620</v>
      </c>
    </row>
    <row r="3875" spans="1:22" x14ac:dyDescent="0.35">
      <c r="A3875" s="3">
        <v>51426</v>
      </c>
      <c r="B3875" t="s">
        <v>53</v>
      </c>
      <c r="C3875" t="s">
        <v>14</v>
      </c>
      <c r="D3875">
        <v>531</v>
      </c>
      <c r="E3875">
        <v>226</v>
      </c>
      <c r="F3875">
        <v>322</v>
      </c>
      <c r="G3875">
        <v>1</v>
      </c>
      <c r="H3875">
        <v>10808</v>
      </c>
      <c r="I3875">
        <v>1</v>
      </c>
      <c r="J3875">
        <v>76</v>
      </c>
      <c r="K3875">
        <v>248</v>
      </c>
      <c r="L3875">
        <v>283</v>
      </c>
      <c r="M3875">
        <v>11.66666667</v>
      </c>
      <c r="N3875">
        <f>IFERROR(VLOOKUP(A3875,vlookup_table!$A:$G,2,FALSE),"")</f>
        <v>1</v>
      </c>
      <c r="O3875">
        <f>IFERROR(VLOOKUP(A3875,vlookup_table!$A:$G,4,FALSE),"")</f>
        <v>4601</v>
      </c>
      <c r="P3875" t="str">
        <f>IFERROR(VLOOKUP(A3875,vlookup_table!$A:$G,5,FALSE),"")</f>
        <v>T2</v>
      </c>
      <c r="Q3875">
        <f>IFERROR(VLOOKUP(A3875,vlookup_table!$A:$G,7,FALSE),"")</f>
        <v>25</v>
      </c>
      <c r="R3875">
        <f t="shared" si="240"/>
        <v>51</v>
      </c>
      <c r="S3875" t="str" cm="1">
        <f t="array" ref="S3875">IF(P3875="","",_xlfn.SWITCH(LEFT(P3875,1),"C","Ciudad","T","Pueblo","R","Rural","S","Suburbano","U","Urbano",""))</f>
        <v>Pueblo</v>
      </c>
      <c r="T3875" t="str">
        <f t="shared" si="241"/>
        <v>M</v>
      </c>
      <c r="U3875" t="str">
        <f t="shared" si="242"/>
        <v>TN</v>
      </c>
      <c r="V3875" t="str">
        <f t="shared" si="243"/>
        <v>10808</v>
      </c>
    </row>
    <row r="3876" spans="1:22" x14ac:dyDescent="0.35">
      <c r="A3876" s="3">
        <v>42068</v>
      </c>
      <c r="B3876" t="s">
        <v>13</v>
      </c>
      <c r="C3876" t="s">
        <v>17</v>
      </c>
      <c r="D3876">
        <v>645</v>
      </c>
      <c r="E3876">
        <v>199</v>
      </c>
      <c r="F3876">
        <v>262</v>
      </c>
      <c r="G3876">
        <v>1</v>
      </c>
      <c r="H3876">
        <v>10201</v>
      </c>
      <c r="I3876">
        <v>2</v>
      </c>
      <c r="J3876">
        <v>26</v>
      </c>
      <c r="K3876">
        <v>215</v>
      </c>
      <c r="L3876">
        <v>241</v>
      </c>
      <c r="M3876">
        <v>8.6875</v>
      </c>
      <c r="N3876">
        <f>IFERROR(VLOOKUP(A3876,vlookup_table!$A:$G,2,FALSE),"")</f>
        <v>2</v>
      </c>
      <c r="O3876">
        <f>IFERROR(VLOOKUP(A3876,vlookup_table!$A:$G,4,FALSE),"")</f>
        <v>1801</v>
      </c>
      <c r="P3876" t="str">
        <f>IFERROR(VLOOKUP(A3876,vlookup_table!$A:$G,5,FALSE),"")</f>
        <v>T2</v>
      </c>
      <c r="Q3876">
        <f>IFERROR(VLOOKUP(A3876,vlookup_table!$A:$G,7,FALSE),"")</f>
        <v>10</v>
      </c>
      <c r="R3876">
        <f t="shared" si="240"/>
        <v>79</v>
      </c>
      <c r="S3876" t="str" cm="1">
        <f t="array" ref="S3876">IF(P3876="","",_xlfn.SWITCH(LEFT(P3876,1),"C","Ciudad","T","Pueblo","R","Rural","S","Suburbano","U","Urbano",""))</f>
        <v>Pueblo</v>
      </c>
      <c r="T3876" t="str">
        <f t="shared" si="241"/>
        <v>F</v>
      </c>
      <c r="U3876" t="str">
        <f t="shared" si="242"/>
        <v>FL</v>
      </c>
      <c r="V3876" t="str">
        <f t="shared" si="243"/>
        <v>10201</v>
      </c>
    </row>
    <row r="3877" spans="1:22" x14ac:dyDescent="0.35">
      <c r="A3877" s="3">
        <v>66797</v>
      </c>
      <c r="B3877" t="s">
        <v>29</v>
      </c>
      <c r="C3877" t="s">
        <v>14</v>
      </c>
      <c r="D3877">
        <v>1595</v>
      </c>
      <c r="E3877">
        <v>562</v>
      </c>
      <c r="F3877">
        <v>758</v>
      </c>
      <c r="G3877">
        <v>35</v>
      </c>
      <c r="H3877">
        <v>23981</v>
      </c>
      <c r="I3877">
        <v>4</v>
      </c>
      <c r="J3877">
        <v>82</v>
      </c>
      <c r="K3877">
        <v>663</v>
      </c>
      <c r="L3877">
        <v>700</v>
      </c>
      <c r="M3877">
        <v>23</v>
      </c>
      <c r="N3877">
        <f>IFERROR(VLOOKUP(A3877,vlookup_table!$A:$G,2,FALSE),"")</f>
        <v>1</v>
      </c>
      <c r="O3877">
        <f>IFERROR(VLOOKUP(A3877,vlookup_table!$A:$G,4,FALSE),"")</f>
        <v>0</v>
      </c>
      <c r="P3877" t="str">
        <f>IFERROR(VLOOKUP(A3877,vlookup_table!$A:$G,5,FALSE),"")</f>
        <v>S1</v>
      </c>
      <c r="Q3877">
        <f>IFERROR(VLOOKUP(A3877,vlookup_table!$A:$G,7,FALSE),"")</f>
        <v>30</v>
      </c>
      <c r="R3877">
        <f t="shared" si="240"/>
        <v>97</v>
      </c>
      <c r="S3877" t="str" cm="1">
        <f t="array" ref="S3877">IF(P3877="","",_xlfn.SWITCH(LEFT(P3877,1),"C","Ciudad","T","Pueblo","R","Rural","S","Suburbano","U","Urbano",""))</f>
        <v>Suburbano</v>
      </c>
      <c r="T3877" t="str">
        <f t="shared" si="241"/>
        <v>M</v>
      </c>
      <c r="U3877" t="str">
        <f t="shared" si="242"/>
        <v>MI</v>
      </c>
      <c r="V3877" t="str">
        <f t="shared" si="243"/>
        <v>23981</v>
      </c>
    </row>
    <row r="3878" spans="1:22" x14ac:dyDescent="0.35">
      <c r="A3878" s="3">
        <v>120203</v>
      </c>
      <c r="B3878" t="s">
        <v>21</v>
      </c>
      <c r="C3878" t="s">
        <v>17</v>
      </c>
      <c r="D3878">
        <v>567</v>
      </c>
      <c r="E3878">
        <v>334</v>
      </c>
      <c r="F3878">
        <v>531</v>
      </c>
      <c r="G3878">
        <v>4</v>
      </c>
      <c r="H3878">
        <v>17087</v>
      </c>
      <c r="I3878">
        <v>1</v>
      </c>
      <c r="J3878">
        <v>85</v>
      </c>
      <c r="K3878">
        <v>399</v>
      </c>
      <c r="L3878">
        <v>446</v>
      </c>
      <c r="M3878">
        <v>14</v>
      </c>
      <c r="N3878">
        <f>IFERROR(VLOOKUP(A3878,vlookup_table!$A:$G,2,FALSE),"")</f>
        <v>28</v>
      </c>
      <c r="O3878">
        <f>IFERROR(VLOOKUP(A3878,vlookup_table!$A:$G,4,FALSE),"")</f>
        <v>3501</v>
      </c>
      <c r="P3878" t="str">
        <f>IFERROR(VLOOKUP(A3878,vlookup_table!$A:$G,5,FALSE),"")</f>
        <v>R2</v>
      </c>
      <c r="Q3878">
        <f>IFERROR(VLOOKUP(A3878,vlookup_table!$A:$G,7,FALSE),"")</f>
        <v>20</v>
      </c>
      <c r="R3878">
        <f t="shared" si="240"/>
        <v>62</v>
      </c>
      <c r="S3878" t="str" cm="1">
        <f t="array" ref="S3878">IF(P3878="","",_xlfn.SWITCH(LEFT(P3878,1),"C","Ciudad","T","Pueblo","R","Rural","S","Suburbano","U","Urbano",""))</f>
        <v>Rural</v>
      </c>
      <c r="T3878" t="str">
        <f t="shared" si="241"/>
        <v>F</v>
      </c>
      <c r="U3878" t="str">
        <f t="shared" si="242"/>
        <v>TX</v>
      </c>
      <c r="V3878" t="str">
        <f t="shared" si="243"/>
        <v>17087</v>
      </c>
    </row>
    <row r="3879" spans="1:22" x14ac:dyDescent="0.35">
      <c r="A3879" s="3">
        <v>113560</v>
      </c>
      <c r="B3879" t="s">
        <v>31</v>
      </c>
      <c r="C3879" t="s">
        <v>14</v>
      </c>
      <c r="D3879">
        <v>930</v>
      </c>
      <c r="E3879">
        <v>519</v>
      </c>
      <c r="F3879">
        <v>594</v>
      </c>
      <c r="G3879">
        <v>1</v>
      </c>
      <c r="H3879">
        <v>20445</v>
      </c>
      <c r="I3879">
        <v>5</v>
      </c>
      <c r="J3879">
        <v>42</v>
      </c>
      <c r="K3879">
        <v>551</v>
      </c>
      <c r="L3879">
        <v>560</v>
      </c>
      <c r="M3879">
        <v>12.75</v>
      </c>
      <c r="N3879">
        <f>IFERROR(VLOOKUP(A3879,vlookup_table!$A:$G,2,FALSE),"")</f>
        <v>1</v>
      </c>
      <c r="O3879">
        <f>IFERROR(VLOOKUP(A3879,vlookup_table!$A:$G,4,FALSE),"")</f>
        <v>2804</v>
      </c>
      <c r="P3879" t="str">
        <f>IFERROR(VLOOKUP(A3879,vlookup_table!$A:$G,5,FALSE),"")</f>
        <v>S1</v>
      </c>
      <c r="Q3879">
        <f>IFERROR(VLOOKUP(A3879,vlookup_table!$A:$G,7,FALSE),"")</f>
        <v>25</v>
      </c>
      <c r="R3879">
        <f t="shared" si="240"/>
        <v>69</v>
      </c>
      <c r="S3879" t="str" cm="1">
        <f t="array" ref="S3879">IF(P3879="","",_xlfn.SWITCH(LEFT(P3879,1),"C","Ciudad","T","Pueblo","R","Rural","S","Suburbano","U","Urbano",""))</f>
        <v>Suburbano</v>
      </c>
      <c r="T3879" t="str">
        <f t="shared" si="241"/>
        <v>M</v>
      </c>
      <c r="U3879" t="str">
        <f t="shared" si="242"/>
        <v>OK</v>
      </c>
      <c r="V3879" t="str">
        <f t="shared" si="243"/>
        <v>20445</v>
      </c>
    </row>
    <row r="3880" spans="1:22" x14ac:dyDescent="0.35">
      <c r="A3880" s="3">
        <v>188854</v>
      </c>
      <c r="B3880" t="s">
        <v>50</v>
      </c>
      <c r="C3880" t="s">
        <v>17</v>
      </c>
      <c r="D3880">
        <v>851</v>
      </c>
      <c r="E3880">
        <v>338</v>
      </c>
      <c r="F3880">
        <v>392</v>
      </c>
      <c r="G3880">
        <v>0</v>
      </c>
      <c r="H3880">
        <v>15286</v>
      </c>
      <c r="I3880">
        <v>6</v>
      </c>
      <c r="J3880">
        <v>44</v>
      </c>
      <c r="K3880">
        <v>321</v>
      </c>
      <c r="L3880">
        <v>400</v>
      </c>
      <c r="M3880">
        <v>8.8333333330000006</v>
      </c>
      <c r="N3880">
        <f>IFERROR(VLOOKUP(A3880,vlookup_table!$A:$G,2,FALSE),"")</f>
        <v>0</v>
      </c>
      <c r="O3880">
        <f>IFERROR(VLOOKUP(A3880,vlookup_table!$A:$G,4,FALSE),"")</f>
        <v>2401</v>
      </c>
      <c r="P3880">
        <f>IFERROR(VLOOKUP(A3880,vlookup_table!$A:$G,5,FALSE),"")</f>
        <v>0</v>
      </c>
      <c r="Q3880">
        <f>IFERROR(VLOOKUP(A3880,vlookup_table!$A:$G,7,FALSE),"")</f>
        <v>5</v>
      </c>
      <c r="R3880">
        <f t="shared" si="240"/>
        <v>73</v>
      </c>
      <c r="S3880" t="str" cm="1">
        <f t="array" ref="S3880">IF(P3880="","",_xlfn.SWITCH(LEFT(P3880,1),"C","Ciudad","T","Pueblo","R","Rural","S","Suburbano","U","Urbano",""))</f>
        <v/>
      </c>
      <c r="T3880" t="str">
        <f t="shared" si="241"/>
        <v>F</v>
      </c>
      <c r="U3880" t="str">
        <f t="shared" si="242"/>
        <v>OR</v>
      </c>
      <c r="V3880" t="str">
        <f t="shared" si="243"/>
        <v>15286</v>
      </c>
    </row>
    <row r="3881" spans="1:22" x14ac:dyDescent="0.35">
      <c r="A3881" s="3">
        <v>80378</v>
      </c>
      <c r="B3881" t="s">
        <v>35</v>
      </c>
      <c r="C3881" t="s">
        <v>17</v>
      </c>
      <c r="D3881">
        <v>689</v>
      </c>
      <c r="E3881">
        <v>235</v>
      </c>
      <c r="F3881">
        <v>338</v>
      </c>
      <c r="G3881">
        <v>0</v>
      </c>
      <c r="H3881">
        <v>11586</v>
      </c>
      <c r="I3881">
        <v>5</v>
      </c>
      <c r="J3881">
        <v>81</v>
      </c>
      <c r="K3881">
        <v>341</v>
      </c>
      <c r="L3881">
        <v>257</v>
      </c>
      <c r="M3881">
        <v>4.8571428570000004</v>
      </c>
      <c r="N3881">
        <f>IFERROR(VLOOKUP(A3881,vlookup_table!$A:$G,2,FALSE),"")</f>
        <v>2</v>
      </c>
      <c r="O3881">
        <f>IFERROR(VLOOKUP(A3881,vlookup_table!$A:$G,4,FALSE),"")</f>
        <v>1209</v>
      </c>
      <c r="P3881" t="str">
        <f>IFERROR(VLOOKUP(A3881,vlookup_table!$A:$G,5,FALSE),"")</f>
        <v>T2</v>
      </c>
      <c r="Q3881">
        <f>IFERROR(VLOOKUP(A3881,vlookup_table!$A:$G,7,FALSE),"")</f>
        <v>5</v>
      </c>
      <c r="R3881">
        <f t="shared" si="240"/>
        <v>85</v>
      </c>
      <c r="S3881" t="str" cm="1">
        <f t="array" ref="S3881">IF(P3881="","",_xlfn.SWITCH(LEFT(P3881,1),"C","Ciudad","T","Pueblo","R","Rural","S","Suburbano","U","Urbano",""))</f>
        <v>Pueblo</v>
      </c>
      <c r="T3881" t="str">
        <f t="shared" si="241"/>
        <v>F</v>
      </c>
      <c r="U3881" t="str">
        <f t="shared" si="242"/>
        <v>WI</v>
      </c>
      <c r="V3881" t="str">
        <f t="shared" si="243"/>
        <v>11586</v>
      </c>
    </row>
    <row r="3882" spans="1:22" x14ac:dyDescent="0.35">
      <c r="A3882" s="3">
        <v>148227</v>
      </c>
      <c r="B3882" t="s">
        <v>22</v>
      </c>
      <c r="C3882" t="s">
        <v>14</v>
      </c>
      <c r="D3882">
        <v>2413</v>
      </c>
      <c r="E3882">
        <v>564</v>
      </c>
      <c r="F3882">
        <v>560</v>
      </c>
      <c r="G3882">
        <v>88</v>
      </c>
      <c r="H3882">
        <v>16288</v>
      </c>
      <c r="I3882">
        <v>25</v>
      </c>
      <c r="J3882">
        <v>40</v>
      </c>
      <c r="K3882">
        <v>566</v>
      </c>
      <c r="L3882">
        <v>553</v>
      </c>
      <c r="M3882">
        <v>10.75</v>
      </c>
      <c r="N3882">
        <f>IFERROR(VLOOKUP(A3882,vlookup_table!$A:$G,2,FALSE),"")</f>
        <v>1002</v>
      </c>
      <c r="O3882">
        <f>IFERROR(VLOOKUP(A3882,vlookup_table!$A:$G,4,FALSE),"")</f>
        <v>2801</v>
      </c>
      <c r="P3882" t="str">
        <f>IFERROR(VLOOKUP(A3882,vlookup_table!$A:$G,5,FALSE),"")</f>
        <v>S1</v>
      </c>
      <c r="Q3882">
        <f>IFERROR(VLOOKUP(A3882,vlookup_table!$A:$G,7,FALSE),"")</f>
        <v>10</v>
      </c>
      <c r="R3882">
        <f t="shared" si="240"/>
        <v>69</v>
      </c>
      <c r="S3882" t="str" cm="1">
        <f t="array" ref="S3882">IF(P3882="","",_xlfn.SWITCH(LEFT(P3882,1),"C","Ciudad","T","Pueblo","R","Rural","S","Suburbano","U","Urbano",""))</f>
        <v>Suburbano</v>
      </c>
      <c r="T3882" t="str">
        <f t="shared" si="241"/>
        <v>M</v>
      </c>
      <c r="U3882" t="str">
        <f t="shared" si="242"/>
        <v>CA</v>
      </c>
      <c r="V3882" t="str">
        <f t="shared" si="243"/>
        <v>16288</v>
      </c>
    </row>
    <row r="3883" spans="1:22" x14ac:dyDescent="0.35">
      <c r="A3883" s="3">
        <v>129360</v>
      </c>
      <c r="B3883" t="s">
        <v>21</v>
      </c>
      <c r="C3883" t="s">
        <v>14</v>
      </c>
      <c r="D3883">
        <v>749</v>
      </c>
      <c r="E3883">
        <v>228</v>
      </c>
      <c r="F3883">
        <v>377</v>
      </c>
      <c r="G3883">
        <v>0</v>
      </c>
      <c r="H3883">
        <v>14895</v>
      </c>
      <c r="I3883">
        <v>5</v>
      </c>
      <c r="J3883">
        <v>65</v>
      </c>
      <c r="K3883">
        <v>295</v>
      </c>
      <c r="L3883">
        <v>289</v>
      </c>
      <c r="M3883">
        <v>5.6363636359999996</v>
      </c>
      <c r="N3883">
        <f>IFERROR(VLOOKUP(A3883,vlookup_table!$A:$G,2,FALSE),"")</f>
        <v>0</v>
      </c>
      <c r="O3883">
        <f>IFERROR(VLOOKUP(A3883,vlookup_table!$A:$G,4,FALSE),"")</f>
        <v>5512</v>
      </c>
      <c r="P3883" t="str">
        <f>IFERROR(VLOOKUP(A3883,vlookup_table!$A:$G,5,FALSE),"")</f>
        <v>S2</v>
      </c>
      <c r="Q3883">
        <f>IFERROR(VLOOKUP(A3883,vlookup_table!$A:$G,7,FALSE),"")</f>
        <v>15</v>
      </c>
      <c r="R3883">
        <f t="shared" si="240"/>
        <v>42</v>
      </c>
      <c r="S3883" t="str" cm="1">
        <f t="array" ref="S3883">IF(P3883="","",_xlfn.SWITCH(LEFT(P3883,1),"C","Ciudad","T","Pueblo","R","Rural","S","Suburbano","U","Urbano",""))</f>
        <v>Suburbano</v>
      </c>
      <c r="T3883" t="str">
        <f t="shared" si="241"/>
        <v>M</v>
      </c>
      <c r="U3883" t="str">
        <f t="shared" si="242"/>
        <v>TX</v>
      </c>
      <c r="V3883" t="str">
        <f t="shared" si="243"/>
        <v>14895</v>
      </c>
    </row>
    <row r="3884" spans="1:22" x14ac:dyDescent="0.35">
      <c r="A3884" s="3">
        <v>187628</v>
      </c>
      <c r="B3884" t="s">
        <v>57</v>
      </c>
      <c r="D3884">
        <v>896</v>
      </c>
      <c r="E3884">
        <v>455</v>
      </c>
      <c r="F3884">
        <v>507</v>
      </c>
      <c r="G3884">
        <v>1</v>
      </c>
      <c r="H3884">
        <v>18693</v>
      </c>
      <c r="I3884">
        <v>1</v>
      </c>
      <c r="J3884">
        <v>79</v>
      </c>
      <c r="K3884">
        <v>464</v>
      </c>
      <c r="L3884">
        <v>493</v>
      </c>
      <c r="M3884">
        <v>10.28571429</v>
      </c>
      <c r="N3884">
        <f>IFERROR(VLOOKUP(A3884,vlookup_table!$A:$G,2,FALSE),"")</f>
        <v>0</v>
      </c>
      <c r="O3884">
        <f>IFERROR(VLOOKUP(A3884,vlookup_table!$A:$G,4,FALSE),"")</f>
        <v>0</v>
      </c>
      <c r="P3884" t="str">
        <f>IFERROR(VLOOKUP(A3884,vlookup_table!$A:$G,5,FALSE),"")</f>
        <v>T1</v>
      </c>
      <c r="Q3884">
        <f>IFERROR(VLOOKUP(A3884,vlookup_table!$A:$G,7,FALSE),"")</f>
        <v>19</v>
      </c>
      <c r="R3884">
        <f t="shared" si="240"/>
        <v>97</v>
      </c>
      <c r="S3884" t="str" cm="1">
        <f t="array" ref="S3884">IF(P3884="","",_xlfn.SWITCH(LEFT(P3884,1),"C","Ciudad","T","Pueblo","R","Rural","S","Suburbano","U","Urbano",""))</f>
        <v>Pueblo</v>
      </c>
      <c r="T3884" t="str">
        <f t="shared" si="241"/>
        <v/>
      </c>
      <c r="U3884" t="str">
        <f t="shared" si="242"/>
        <v>KY</v>
      </c>
      <c r="V3884" t="str">
        <f t="shared" si="243"/>
        <v>18693</v>
      </c>
    </row>
    <row r="3885" spans="1:22" x14ac:dyDescent="0.35">
      <c r="A3885" s="3">
        <v>117177</v>
      </c>
      <c r="B3885" t="s">
        <v>21</v>
      </c>
      <c r="C3885" t="s">
        <v>17</v>
      </c>
      <c r="D3885">
        <v>505</v>
      </c>
      <c r="E3885">
        <v>304</v>
      </c>
      <c r="F3885">
        <v>425</v>
      </c>
      <c r="G3885">
        <v>0</v>
      </c>
      <c r="H3885">
        <v>13296</v>
      </c>
      <c r="I3885">
        <v>18</v>
      </c>
      <c r="J3885">
        <v>68</v>
      </c>
      <c r="K3885">
        <v>366</v>
      </c>
      <c r="L3885">
        <v>351</v>
      </c>
      <c r="M3885">
        <v>6</v>
      </c>
      <c r="N3885">
        <f>IFERROR(VLOOKUP(A3885,vlookup_table!$A:$G,2,FALSE),"")</f>
        <v>0</v>
      </c>
      <c r="O3885">
        <f>IFERROR(VLOOKUP(A3885,vlookup_table!$A:$G,4,FALSE),"")</f>
        <v>1512</v>
      </c>
      <c r="P3885" t="str">
        <f>IFERROR(VLOOKUP(A3885,vlookup_table!$A:$G,5,FALSE),"")</f>
        <v>U3</v>
      </c>
      <c r="Q3885">
        <f>IFERROR(VLOOKUP(A3885,vlookup_table!$A:$G,7,FALSE),"")</f>
        <v>9</v>
      </c>
      <c r="R3885">
        <f t="shared" si="240"/>
        <v>82</v>
      </c>
      <c r="S3885" t="str" cm="1">
        <f t="array" ref="S3885">IF(P3885="","",_xlfn.SWITCH(LEFT(P3885,1),"C","Ciudad","T","Pueblo","R","Rural","S","Suburbano","U","Urbano",""))</f>
        <v>Urbano</v>
      </c>
      <c r="T3885" t="str">
        <f t="shared" si="241"/>
        <v>F</v>
      </c>
      <c r="U3885" t="str">
        <f t="shared" si="242"/>
        <v>TX</v>
      </c>
      <c r="V3885" t="str">
        <f t="shared" si="243"/>
        <v>13296</v>
      </c>
    </row>
    <row r="3886" spans="1:22" x14ac:dyDescent="0.35">
      <c r="A3886" s="3">
        <v>13748</v>
      </c>
      <c r="B3886" t="s">
        <v>22</v>
      </c>
      <c r="C3886" t="s">
        <v>17</v>
      </c>
      <c r="D3886">
        <v>4104</v>
      </c>
      <c r="E3886">
        <v>811</v>
      </c>
      <c r="F3886">
        <v>876</v>
      </c>
      <c r="G3886">
        <v>98</v>
      </c>
      <c r="H3886">
        <v>29544</v>
      </c>
      <c r="I3886">
        <v>21</v>
      </c>
      <c r="J3886">
        <v>36</v>
      </c>
      <c r="K3886">
        <v>848</v>
      </c>
      <c r="L3886">
        <v>827</v>
      </c>
      <c r="M3886">
        <v>10.30769231</v>
      </c>
      <c r="N3886">
        <f>IFERROR(VLOOKUP(A3886,vlookup_table!$A:$G,2,FALSE),"")</f>
        <v>0</v>
      </c>
      <c r="O3886">
        <f>IFERROR(VLOOKUP(A3886,vlookup_table!$A:$G,4,FALSE),"")</f>
        <v>2509</v>
      </c>
      <c r="P3886">
        <f>IFERROR(VLOOKUP(A3886,vlookup_table!$A:$G,5,FALSE),"")</f>
        <v>0</v>
      </c>
      <c r="Q3886">
        <f>IFERROR(VLOOKUP(A3886,vlookup_table!$A:$G,7,FALSE),"")</f>
        <v>12</v>
      </c>
      <c r="R3886">
        <f t="shared" si="240"/>
        <v>72</v>
      </c>
      <c r="S3886" t="str" cm="1">
        <f t="array" ref="S3886">IF(P3886="","",_xlfn.SWITCH(LEFT(P3886,1),"C","Ciudad","T","Pueblo","R","Rural","S","Suburbano","U","Urbano",""))</f>
        <v/>
      </c>
      <c r="T3886" t="str">
        <f t="shared" si="241"/>
        <v>F</v>
      </c>
      <c r="U3886" t="str">
        <f t="shared" si="242"/>
        <v>CA</v>
      </c>
      <c r="V3886" t="str">
        <f t="shared" si="243"/>
        <v>29544</v>
      </c>
    </row>
    <row r="3887" spans="1:22" x14ac:dyDescent="0.35">
      <c r="A3887" s="3">
        <v>173563</v>
      </c>
      <c r="B3887" t="s">
        <v>37</v>
      </c>
      <c r="C3887" t="s">
        <v>17</v>
      </c>
      <c r="D3887">
        <v>2027</v>
      </c>
      <c r="E3887">
        <v>360</v>
      </c>
      <c r="F3887">
        <v>447</v>
      </c>
      <c r="G3887">
        <v>50</v>
      </c>
      <c r="H3887">
        <v>14005</v>
      </c>
      <c r="I3887">
        <v>15</v>
      </c>
      <c r="J3887">
        <v>47</v>
      </c>
      <c r="K3887">
        <v>382</v>
      </c>
      <c r="L3887">
        <v>421</v>
      </c>
      <c r="M3887">
        <v>10.6</v>
      </c>
      <c r="N3887">
        <f>IFERROR(VLOOKUP(A3887,vlookup_table!$A:$G,2,FALSE),"")</f>
        <v>0</v>
      </c>
      <c r="O3887">
        <f>IFERROR(VLOOKUP(A3887,vlookup_table!$A:$G,4,FALSE),"")</f>
        <v>3001</v>
      </c>
      <c r="P3887" t="str">
        <f>IFERROR(VLOOKUP(A3887,vlookup_table!$A:$G,5,FALSE),"")</f>
        <v>T2</v>
      </c>
      <c r="Q3887">
        <f>IFERROR(VLOOKUP(A3887,vlookup_table!$A:$G,7,FALSE),"")</f>
        <v>30</v>
      </c>
      <c r="R3887">
        <f t="shared" si="240"/>
        <v>67</v>
      </c>
      <c r="S3887" t="str" cm="1">
        <f t="array" ref="S3887">IF(P3887="","",_xlfn.SWITCH(LEFT(P3887,1),"C","Ciudad","T","Pueblo","R","Rural","S","Suburbano","U","Urbano",""))</f>
        <v>Pueblo</v>
      </c>
      <c r="T3887" t="str">
        <f t="shared" si="241"/>
        <v>F</v>
      </c>
      <c r="U3887" t="str">
        <f t="shared" si="242"/>
        <v>HI</v>
      </c>
      <c r="V3887" t="str">
        <f t="shared" si="243"/>
        <v>14005</v>
      </c>
    </row>
    <row r="3888" spans="1:22" x14ac:dyDescent="0.35">
      <c r="A3888" s="3">
        <v>39869</v>
      </c>
      <c r="B3888" t="s">
        <v>13</v>
      </c>
      <c r="C3888" t="s">
        <v>17</v>
      </c>
      <c r="D3888">
        <v>2171</v>
      </c>
      <c r="E3888">
        <v>545</v>
      </c>
      <c r="F3888">
        <v>665</v>
      </c>
      <c r="G3888">
        <v>60</v>
      </c>
      <c r="H3888">
        <v>22696</v>
      </c>
      <c r="I3888">
        <v>9</v>
      </c>
      <c r="J3888">
        <v>19</v>
      </c>
      <c r="K3888">
        <v>613</v>
      </c>
      <c r="L3888">
        <v>612</v>
      </c>
      <c r="M3888">
        <v>15</v>
      </c>
      <c r="N3888">
        <f>IFERROR(VLOOKUP(A3888,vlookup_table!$A:$G,2,FALSE),"")</f>
        <v>28</v>
      </c>
      <c r="O3888">
        <f>IFERROR(VLOOKUP(A3888,vlookup_table!$A:$G,4,FALSE),"")</f>
        <v>0</v>
      </c>
      <c r="P3888" t="str">
        <f>IFERROR(VLOOKUP(A3888,vlookup_table!$A:$G,5,FALSE),"")</f>
        <v>S2</v>
      </c>
      <c r="Q3888">
        <f>IFERROR(VLOOKUP(A3888,vlookup_table!$A:$G,7,FALSE),"")</f>
        <v>21</v>
      </c>
      <c r="R3888">
        <f t="shared" si="240"/>
        <v>97</v>
      </c>
      <c r="S3888" t="str" cm="1">
        <f t="array" ref="S3888">IF(P3888="","",_xlfn.SWITCH(LEFT(P3888,1),"C","Ciudad","T","Pueblo","R","Rural","S","Suburbano","U","Urbano",""))</f>
        <v>Suburbano</v>
      </c>
      <c r="T3888" t="str">
        <f t="shared" si="241"/>
        <v>F</v>
      </c>
      <c r="U3888" t="str">
        <f t="shared" si="242"/>
        <v>FL</v>
      </c>
      <c r="V3888" t="str">
        <f t="shared" si="243"/>
        <v>22696</v>
      </c>
    </row>
    <row r="3889" spans="1:22" x14ac:dyDescent="0.35">
      <c r="A3889" s="3">
        <v>188316</v>
      </c>
      <c r="B3889" t="s">
        <v>13</v>
      </c>
      <c r="C3889" t="s">
        <v>17</v>
      </c>
      <c r="D3889">
        <v>661</v>
      </c>
      <c r="E3889">
        <v>320</v>
      </c>
      <c r="F3889">
        <v>299</v>
      </c>
      <c r="G3889">
        <v>0</v>
      </c>
      <c r="H3889">
        <v>10910</v>
      </c>
      <c r="I3889">
        <v>0</v>
      </c>
      <c r="J3889">
        <v>24</v>
      </c>
      <c r="K3889">
        <v>325</v>
      </c>
      <c r="L3889">
        <v>310</v>
      </c>
      <c r="M3889">
        <v>13.1</v>
      </c>
      <c r="N3889">
        <f>IFERROR(VLOOKUP(A3889,vlookup_table!$A:$G,2,FALSE),"")</f>
        <v>28</v>
      </c>
      <c r="O3889">
        <f>IFERROR(VLOOKUP(A3889,vlookup_table!$A:$G,4,FALSE),"")</f>
        <v>2305</v>
      </c>
      <c r="P3889" t="str">
        <f>IFERROR(VLOOKUP(A3889,vlookup_table!$A:$G,5,FALSE),"")</f>
        <v>S3</v>
      </c>
      <c r="Q3889">
        <f>IFERROR(VLOOKUP(A3889,vlookup_table!$A:$G,7,FALSE),"")</f>
        <v>10</v>
      </c>
      <c r="R3889">
        <f t="shared" si="240"/>
        <v>74</v>
      </c>
      <c r="S3889" t="str" cm="1">
        <f t="array" ref="S3889">IF(P3889="","",_xlfn.SWITCH(LEFT(P3889,1),"C","Ciudad","T","Pueblo","R","Rural","S","Suburbano","U","Urbano",""))</f>
        <v>Suburbano</v>
      </c>
      <c r="T3889" t="str">
        <f t="shared" si="241"/>
        <v>F</v>
      </c>
      <c r="U3889" t="str">
        <f t="shared" si="242"/>
        <v>FL</v>
      </c>
      <c r="V3889" t="str">
        <f t="shared" si="243"/>
        <v>10910</v>
      </c>
    </row>
    <row r="3890" spans="1:22" x14ac:dyDescent="0.35">
      <c r="A3890" s="3">
        <v>74345</v>
      </c>
      <c r="B3890" t="s">
        <v>29</v>
      </c>
      <c r="C3890" t="s">
        <v>14</v>
      </c>
      <c r="D3890">
        <v>538</v>
      </c>
      <c r="E3890">
        <v>251</v>
      </c>
      <c r="F3890">
        <v>298</v>
      </c>
      <c r="G3890">
        <v>0</v>
      </c>
      <c r="H3890">
        <v>10118</v>
      </c>
      <c r="I3890">
        <v>2</v>
      </c>
      <c r="J3890">
        <v>84</v>
      </c>
      <c r="K3890">
        <v>258</v>
      </c>
      <c r="L3890">
        <v>281</v>
      </c>
      <c r="M3890">
        <v>10.1875</v>
      </c>
      <c r="N3890">
        <f>IFERROR(VLOOKUP(A3890,vlookup_table!$A:$G,2,FALSE),"")</f>
        <v>72</v>
      </c>
      <c r="O3890">
        <f>IFERROR(VLOOKUP(A3890,vlookup_table!$A:$G,4,FALSE),"")</f>
        <v>3504</v>
      </c>
      <c r="P3890" t="str">
        <f>IFERROR(VLOOKUP(A3890,vlookup_table!$A:$G,5,FALSE),"")</f>
        <v>T2</v>
      </c>
      <c r="Q3890">
        <f>IFERROR(VLOOKUP(A3890,vlookup_table!$A:$G,7,FALSE),"")</f>
        <v>25</v>
      </c>
      <c r="R3890">
        <f t="shared" si="240"/>
        <v>62</v>
      </c>
      <c r="S3890" t="str" cm="1">
        <f t="array" ref="S3890">IF(P3890="","",_xlfn.SWITCH(LEFT(P3890,1),"C","Ciudad","T","Pueblo","R","Rural","S","Suburbano","U","Urbano",""))</f>
        <v>Pueblo</v>
      </c>
      <c r="T3890" t="str">
        <f t="shared" si="241"/>
        <v>M</v>
      </c>
      <c r="U3890" t="str">
        <f t="shared" si="242"/>
        <v>MI</v>
      </c>
      <c r="V3890" t="str">
        <f t="shared" si="243"/>
        <v>10118</v>
      </c>
    </row>
    <row r="3891" spans="1:22" x14ac:dyDescent="0.35">
      <c r="A3891" s="3">
        <v>57496</v>
      </c>
      <c r="B3891" t="s">
        <v>57</v>
      </c>
      <c r="C3891" t="s">
        <v>14</v>
      </c>
      <c r="D3891">
        <v>460</v>
      </c>
      <c r="E3891">
        <v>299</v>
      </c>
      <c r="F3891">
        <v>353</v>
      </c>
      <c r="G3891">
        <v>1</v>
      </c>
      <c r="H3891">
        <v>11756</v>
      </c>
      <c r="I3891">
        <v>1</v>
      </c>
      <c r="J3891">
        <v>83</v>
      </c>
      <c r="K3891">
        <v>331</v>
      </c>
      <c r="L3891">
        <v>321</v>
      </c>
      <c r="M3891">
        <v>15.75</v>
      </c>
      <c r="N3891">
        <f>IFERROR(VLOOKUP(A3891,vlookup_table!$A:$G,2,FALSE),"")</f>
        <v>0</v>
      </c>
      <c r="O3891">
        <f>IFERROR(VLOOKUP(A3891,vlookup_table!$A:$G,4,FALSE),"")</f>
        <v>3510</v>
      </c>
      <c r="P3891" t="str">
        <f>IFERROR(VLOOKUP(A3891,vlookup_table!$A:$G,5,FALSE),"")</f>
        <v>T2</v>
      </c>
      <c r="Q3891">
        <f>IFERROR(VLOOKUP(A3891,vlookup_table!$A:$G,7,FALSE),"")</f>
        <v>25</v>
      </c>
      <c r="R3891">
        <f t="shared" si="240"/>
        <v>62</v>
      </c>
      <c r="S3891" t="str" cm="1">
        <f t="array" ref="S3891">IF(P3891="","",_xlfn.SWITCH(LEFT(P3891,1),"C","Ciudad","T","Pueblo","R","Rural","S","Suburbano","U","Urbano",""))</f>
        <v>Pueblo</v>
      </c>
      <c r="T3891" t="str">
        <f t="shared" si="241"/>
        <v>M</v>
      </c>
      <c r="U3891" t="str">
        <f t="shared" si="242"/>
        <v>KY</v>
      </c>
      <c r="V3891" t="str">
        <f t="shared" si="243"/>
        <v>11756</v>
      </c>
    </row>
    <row r="3892" spans="1:22" x14ac:dyDescent="0.35">
      <c r="A3892" s="3">
        <v>65806</v>
      </c>
      <c r="B3892" t="s">
        <v>29</v>
      </c>
      <c r="C3892" t="s">
        <v>17</v>
      </c>
      <c r="D3892">
        <v>814</v>
      </c>
      <c r="E3892">
        <v>430</v>
      </c>
      <c r="F3892">
        <v>505</v>
      </c>
      <c r="G3892">
        <v>0</v>
      </c>
      <c r="H3892">
        <v>16948</v>
      </c>
      <c r="I3892">
        <v>8</v>
      </c>
      <c r="J3892">
        <v>79</v>
      </c>
      <c r="K3892">
        <v>468</v>
      </c>
      <c r="L3892">
        <v>471</v>
      </c>
      <c r="M3892">
        <v>4.80952381</v>
      </c>
      <c r="N3892">
        <f>IFERROR(VLOOKUP(A3892,vlookup_table!$A:$G,2,FALSE),"")</f>
        <v>0</v>
      </c>
      <c r="O3892">
        <f>IFERROR(VLOOKUP(A3892,vlookup_table!$A:$G,4,FALSE),"")</f>
        <v>3109</v>
      </c>
      <c r="P3892" t="str">
        <f>IFERROR(VLOOKUP(A3892,vlookup_table!$A:$G,5,FALSE),"")</f>
        <v>U2</v>
      </c>
      <c r="Q3892">
        <f>IFERROR(VLOOKUP(A3892,vlookup_table!$A:$G,7,FALSE),"")</f>
        <v>5</v>
      </c>
      <c r="R3892">
        <f t="shared" si="240"/>
        <v>66</v>
      </c>
      <c r="S3892" t="str" cm="1">
        <f t="array" ref="S3892">IF(P3892="","",_xlfn.SWITCH(LEFT(P3892,1),"C","Ciudad","T","Pueblo","R","Rural","S","Suburbano","U","Urbano",""))</f>
        <v>Urbano</v>
      </c>
      <c r="T3892" t="str">
        <f t="shared" si="241"/>
        <v>F</v>
      </c>
      <c r="U3892" t="str">
        <f t="shared" si="242"/>
        <v>MI</v>
      </c>
      <c r="V3892" t="str">
        <f t="shared" si="243"/>
        <v>16948</v>
      </c>
    </row>
    <row r="3893" spans="1:22" x14ac:dyDescent="0.35">
      <c r="A3893" s="3">
        <v>152054</v>
      </c>
      <c r="B3893" t="s">
        <v>22</v>
      </c>
      <c r="C3893" t="s">
        <v>17</v>
      </c>
      <c r="D3893">
        <v>2297</v>
      </c>
      <c r="E3893">
        <v>512</v>
      </c>
      <c r="F3893">
        <v>607</v>
      </c>
      <c r="G3893">
        <v>71</v>
      </c>
      <c r="H3893">
        <v>20184</v>
      </c>
      <c r="I3893">
        <v>13</v>
      </c>
      <c r="J3893">
        <v>49</v>
      </c>
      <c r="K3893">
        <v>550</v>
      </c>
      <c r="L3893">
        <v>562</v>
      </c>
      <c r="M3893">
        <v>11.83333333</v>
      </c>
      <c r="N3893">
        <f>IFERROR(VLOOKUP(A3893,vlookup_table!$A:$G,2,FALSE),"")</f>
        <v>2</v>
      </c>
      <c r="O3893">
        <f>IFERROR(VLOOKUP(A3893,vlookup_table!$A:$G,4,FALSE),"")</f>
        <v>2401</v>
      </c>
      <c r="P3893" t="str">
        <f>IFERROR(VLOOKUP(A3893,vlookup_table!$A:$G,5,FALSE),"")</f>
        <v>S1</v>
      </c>
      <c r="Q3893">
        <f>IFERROR(VLOOKUP(A3893,vlookup_table!$A:$G,7,FALSE),"")</f>
        <v>25</v>
      </c>
      <c r="R3893">
        <f t="shared" si="240"/>
        <v>73</v>
      </c>
      <c r="S3893" t="str" cm="1">
        <f t="array" ref="S3893">IF(P3893="","",_xlfn.SWITCH(LEFT(P3893,1),"C","Ciudad","T","Pueblo","R","Rural","S","Suburbano","U","Urbano",""))</f>
        <v>Suburbano</v>
      </c>
      <c r="T3893" t="str">
        <f t="shared" si="241"/>
        <v>F</v>
      </c>
      <c r="U3893" t="str">
        <f t="shared" si="242"/>
        <v>CA</v>
      </c>
      <c r="V3893" t="str">
        <f t="shared" si="243"/>
        <v>20184</v>
      </c>
    </row>
    <row r="3894" spans="1:22" x14ac:dyDescent="0.35">
      <c r="A3894" s="3">
        <v>191064</v>
      </c>
      <c r="B3894" t="s">
        <v>53</v>
      </c>
      <c r="C3894" t="s">
        <v>17</v>
      </c>
      <c r="D3894">
        <v>297</v>
      </c>
      <c r="E3894">
        <v>130</v>
      </c>
      <c r="F3894">
        <v>208</v>
      </c>
      <c r="G3894">
        <v>1</v>
      </c>
      <c r="H3894">
        <v>8510</v>
      </c>
      <c r="I3894">
        <v>0</v>
      </c>
      <c r="J3894">
        <v>68</v>
      </c>
      <c r="K3894">
        <v>163</v>
      </c>
      <c r="L3894">
        <v>179</v>
      </c>
      <c r="M3894">
        <v>4.7272727269999999</v>
      </c>
      <c r="N3894">
        <f>IFERROR(VLOOKUP(A3894,vlookup_table!$A:$G,2,FALSE),"")</f>
        <v>0</v>
      </c>
      <c r="O3894">
        <f>IFERROR(VLOOKUP(A3894,vlookup_table!$A:$G,4,FALSE),"")</f>
        <v>2001</v>
      </c>
      <c r="P3894" t="str">
        <f>IFERROR(VLOOKUP(A3894,vlookup_table!$A:$G,5,FALSE),"")</f>
        <v>C3</v>
      </c>
      <c r="Q3894">
        <f>IFERROR(VLOOKUP(A3894,vlookup_table!$A:$G,7,FALSE),"")</f>
        <v>3</v>
      </c>
      <c r="R3894">
        <f t="shared" si="240"/>
        <v>77</v>
      </c>
      <c r="S3894" t="str" cm="1">
        <f t="array" ref="S3894">IF(P3894="","",_xlfn.SWITCH(LEFT(P3894,1),"C","Ciudad","T","Pueblo","R","Rural","S","Suburbano","U","Urbano",""))</f>
        <v>Ciudad</v>
      </c>
      <c r="T3894" t="str">
        <f t="shared" si="241"/>
        <v>F</v>
      </c>
      <c r="U3894" t="str">
        <f t="shared" si="242"/>
        <v>TN</v>
      </c>
      <c r="V3894" t="str">
        <f t="shared" si="243"/>
        <v>8510</v>
      </c>
    </row>
    <row r="3895" spans="1:22" x14ac:dyDescent="0.35">
      <c r="A3895" s="3">
        <v>117847</v>
      </c>
      <c r="B3895" t="s">
        <v>21</v>
      </c>
      <c r="C3895" t="s">
        <v>14</v>
      </c>
      <c r="D3895">
        <v>393</v>
      </c>
      <c r="E3895">
        <v>287</v>
      </c>
      <c r="F3895">
        <v>363</v>
      </c>
      <c r="G3895">
        <v>0</v>
      </c>
      <c r="H3895">
        <v>11982</v>
      </c>
      <c r="I3895">
        <v>0</v>
      </c>
      <c r="J3895">
        <v>59</v>
      </c>
      <c r="K3895">
        <v>313</v>
      </c>
      <c r="L3895">
        <v>314</v>
      </c>
      <c r="M3895">
        <v>20</v>
      </c>
      <c r="N3895">
        <f>IFERROR(VLOOKUP(A3895,vlookup_table!$A:$G,2,FALSE),"")</f>
        <v>1</v>
      </c>
      <c r="O3895">
        <f>IFERROR(VLOOKUP(A3895,vlookup_table!$A:$G,4,FALSE),"")</f>
        <v>4601</v>
      </c>
      <c r="P3895" t="str">
        <f>IFERROR(VLOOKUP(A3895,vlookup_table!$A:$G,5,FALSE),"")</f>
        <v>T2</v>
      </c>
      <c r="Q3895">
        <f>IFERROR(VLOOKUP(A3895,vlookup_table!$A:$G,7,FALSE),"")</f>
        <v>20</v>
      </c>
      <c r="R3895">
        <f t="shared" si="240"/>
        <v>51</v>
      </c>
      <c r="S3895" t="str" cm="1">
        <f t="array" ref="S3895">IF(P3895="","",_xlfn.SWITCH(LEFT(P3895,1),"C","Ciudad","T","Pueblo","R","Rural","S","Suburbano","U","Urbano",""))</f>
        <v>Pueblo</v>
      </c>
      <c r="T3895" t="str">
        <f t="shared" si="241"/>
        <v>M</v>
      </c>
      <c r="U3895" t="str">
        <f t="shared" si="242"/>
        <v>TX</v>
      </c>
      <c r="V3895" t="str">
        <f t="shared" si="243"/>
        <v>11982</v>
      </c>
    </row>
    <row r="3896" spans="1:22" x14ac:dyDescent="0.35">
      <c r="A3896" s="3">
        <v>137626</v>
      </c>
      <c r="B3896" t="s">
        <v>55</v>
      </c>
      <c r="C3896" t="s">
        <v>14</v>
      </c>
      <c r="D3896">
        <v>675</v>
      </c>
      <c r="E3896">
        <v>354</v>
      </c>
      <c r="F3896">
        <v>407</v>
      </c>
      <c r="G3896">
        <v>0</v>
      </c>
      <c r="H3896">
        <v>11717</v>
      </c>
      <c r="I3896">
        <v>0</v>
      </c>
      <c r="J3896">
        <v>61</v>
      </c>
      <c r="K3896">
        <v>357</v>
      </c>
      <c r="L3896">
        <v>397</v>
      </c>
      <c r="M3896">
        <v>20</v>
      </c>
      <c r="N3896">
        <f>IFERROR(VLOOKUP(A3896,vlookup_table!$A:$G,2,FALSE),"")</f>
        <v>1</v>
      </c>
      <c r="O3896">
        <f>IFERROR(VLOOKUP(A3896,vlookup_table!$A:$G,4,FALSE),"")</f>
        <v>4801</v>
      </c>
      <c r="P3896" t="str">
        <f>IFERROR(VLOOKUP(A3896,vlookup_table!$A:$G,5,FALSE),"")</f>
        <v>R2</v>
      </c>
      <c r="Q3896">
        <f>IFERROR(VLOOKUP(A3896,vlookup_table!$A:$G,7,FALSE),"")</f>
        <v>20</v>
      </c>
      <c r="R3896">
        <f t="shared" si="240"/>
        <v>49</v>
      </c>
      <c r="S3896" t="str" cm="1">
        <f t="array" ref="S3896">IF(P3896="","",_xlfn.SWITCH(LEFT(P3896,1),"C","Ciudad","T","Pueblo","R","Rural","S","Suburbano","U","Urbano",""))</f>
        <v>Rural</v>
      </c>
      <c r="T3896" t="str">
        <f t="shared" si="241"/>
        <v>M</v>
      </c>
      <c r="U3896" t="str">
        <f t="shared" si="242"/>
        <v>AZ</v>
      </c>
      <c r="V3896" t="str">
        <f t="shared" si="243"/>
        <v>11717</v>
      </c>
    </row>
    <row r="3897" spans="1:22" x14ac:dyDescent="0.35">
      <c r="A3897" s="3">
        <v>39659</v>
      </c>
      <c r="B3897" t="s">
        <v>13</v>
      </c>
      <c r="C3897" t="s">
        <v>14</v>
      </c>
      <c r="D3897">
        <v>897</v>
      </c>
      <c r="E3897">
        <v>208</v>
      </c>
      <c r="F3897">
        <v>317</v>
      </c>
      <c r="G3897">
        <v>14</v>
      </c>
      <c r="H3897">
        <v>13239</v>
      </c>
      <c r="I3897">
        <v>9</v>
      </c>
      <c r="J3897">
        <v>12</v>
      </c>
      <c r="K3897">
        <v>240</v>
      </c>
      <c r="L3897">
        <v>259</v>
      </c>
      <c r="M3897">
        <v>12.33333333</v>
      </c>
      <c r="N3897">
        <f>IFERROR(VLOOKUP(A3897,vlookup_table!$A:$G,2,FALSE),"")</f>
        <v>0</v>
      </c>
      <c r="O3897">
        <f>IFERROR(VLOOKUP(A3897,vlookup_table!$A:$G,4,FALSE),"")</f>
        <v>5401</v>
      </c>
      <c r="P3897" t="str">
        <f>IFERROR(VLOOKUP(A3897,vlookup_table!$A:$G,5,FALSE),"")</f>
        <v>S3</v>
      </c>
      <c r="Q3897">
        <f>IFERROR(VLOOKUP(A3897,vlookup_table!$A:$G,7,FALSE),"")</f>
        <v>20</v>
      </c>
      <c r="R3897">
        <f t="shared" si="240"/>
        <v>43</v>
      </c>
      <c r="S3897" t="str" cm="1">
        <f t="array" ref="S3897">IF(P3897="","",_xlfn.SWITCH(LEFT(P3897,1),"C","Ciudad","T","Pueblo","R","Rural","S","Suburbano","U","Urbano",""))</f>
        <v>Suburbano</v>
      </c>
      <c r="T3897" t="str">
        <f t="shared" si="241"/>
        <v>M</v>
      </c>
      <c r="U3897" t="str">
        <f t="shared" si="242"/>
        <v>FL</v>
      </c>
      <c r="V3897" t="str">
        <f t="shared" si="243"/>
        <v>13239</v>
      </c>
    </row>
    <row r="3898" spans="1:22" x14ac:dyDescent="0.35">
      <c r="A3898" s="3">
        <v>136607</v>
      </c>
      <c r="B3898" t="s">
        <v>55</v>
      </c>
      <c r="C3898" t="s">
        <v>14</v>
      </c>
      <c r="D3898">
        <v>1402</v>
      </c>
      <c r="E3898">
        <v>460</v>
      </c>
      <c r="F3898">
        <v>628</v>
      </c>
      <c r="G3898">
        <v>3</v>
      </c>
      <c r="H3898">
        <v>23187</v>
      </c>
      <c r="I3898">
        <v>5</v>
      </c>
      <c r="J3898">
        <v>11</v>
      </c>
      <c r="K3898">
        <v>545</v>
      </c>
      <c r="L3898">
        <v>548</v>
      </c>
      <c r="M3898">
        <v>14.625</v>
      </c>
      <c r="N3898">
        <f>IFERROR(VLOOKUP(A3898,vlookup_table!$A:$G,2,FALSE),"")</f>
        <v>0</v>
      </c>
      <c r="O3898">
        <f>IFERROR(VLOOKUP(A3898,vlookup_table!$A:$G,4,FALSE),"")</f>
        <v>2112</v>
      </c>
      <c r="P3898" t="str">
        <f>IFERROR(VLOOKUP(A3898,vlookup_table!$A:$G,5,FALSE),"")</f>
        <v>C1</v>
      </c>
      <c r="Q3898">
        <f>IFERROR(VLOOKUP(A3898,vlookup_table!$A:$G,7,FALSE),"")</f>
        <v>32</v>
      </c>
      <c r="R3898">
        <f t="shared" si="240"/>
        <v>76</v>
      </c>
      <c r="S3898" t="str" cm="1">
        <f t="array" ref="S3898">IF(P3898="","",_xlfn.SWITCH(LEFT(P3898,1),"C","Ciudad","T","Pueblo","R","Rural","S","Suburbano","U","Urbano",""))</f>
        <v>Ciudad</v>
      </c>
      <c r="T3898" t="str">
        <f t="shared" si="241"/>
        <v>M</v>
      </c>
      <c r="U3898" t="str">
        <f t="shared" si="242"/>
        <v>AZ</v>
      </c>
      <c r="V3898" t="str">
        <f t="shared" si="243"/>
        <v>23187</v>
      </c>
    </row>
    <row r="3899" spans="1:22" x14ac:dyDescent="0.35">
      <c r="A3899" s="3">
        <v>61745</v>
      </c>
      <c r="B3899" t="s">
        <v>33</v>
      </c>
      <c r="C3899" t="s">
        <v>14</v>
      </c>
      <c r="D3899">
        <v>566</v>
      </c>
      <c r="E3899">
        <v>315</v>
      </c>
      <c r="F3899">
        <v>329</v>
      </c>
      <c r="G3899">
        <v>1</v>
      </c>
      <c r="H3899">
        <v>12827</v>
      </c>
      <c r="I3899">
        <v>2</v>
      </c>
      <c r="J3899">
        <v>74</v>
      </c>
      <c r="K3899">
        <v>310</v>
      </c>
      <c r="L3899">
        <v>326</v>
      </c>
      <c r="M3899">
        <v>17.5</v>
      </c>
      <c r="N3899">
        <f>IFERROR(VLOOKUP(A3899,vlookup_table!$A:$G,2,FALSE),"")</f>
        <v>0</v>
      </c>
      <c r="O3899">
        <f>IFERROR(VLOOKUP(A3899,vlookup_table!$A:$G,4,FALSE),"")</f>
        <v>6401</v>
      </c>
      <c r="P3899" t="str">
        <f>IFERROR(VLOOKUP(A3899,vlookup_table!$A:$G,5,FALSE),"")</f>
        <v>T2</v>
      </c>
      <c r="Q3899">
        <f>IFERROR(VLOOKUP(A3899,vlookup_table!$A:$G,7,FALSE),"")</f>
        <v>20</v>
      </c>
      <c r="R3899">
        <f t="shared" si="240"/>
        <v>33</v>
      </c>
      <c r="S3899" t="str" cm="1">
        <f t="array" ref="S3899">IF(P3899="","",_xlfn.SWITCH(LEFT(P3899,1),"C","Ciudad","T","Pueblo","R","Rural","S","Suburbano","U","Urbano",""))</f>
        <v>Pueblo</v>
      </c>
      <c r="T3899" t="str">
        <f t="shared" si="241"/>
        <v>M</v>
      </c>
      <c r="U3899" t="str">
        <f t="shared" si="242"/>
        <v>IN</v>
      </c>
      <c r="V3899" t="str">
        <f t="shared" si="243"/>
        <v>12827</v>
      </c>
    </row>
    <row r="3900" spans="1:22" x14ac:dyDescent="0.35">
      <c r="A3900" s="3">
        <v>29875</v>
      </c>
      <c r="B3900" t="s">
        <v>39</v>
      </c>
      <c r="C3900" t="s">
        <v>14</v>
      </c>
      <c r="D3900">
        <v>1483</v>
      </c>
      <c r="E3900">
        <v>673</v>
      </c>
      <c r="F3900">
        <v>774</v>
      </c>
      <c r="G3900">
        <v>25</v>
      </c>
      <c r="H3900">
        <v>27393</v>
      </c>
      <c r="I3900">
        <v>6</v>
      </c>
      <c r="J3900">
        <v>47</v>
      </c>
      <c r="K3900">
        <v>695</v>
      </c>
      <c r="L3900">
        <v>744</v>
      </c>
      <c r="M3900">
        <v>20</v>
      </c>
      <c r="N3900">
        <f>IFERROR(VLOOKUP(A3900,vlookup_table!$A:$G,2,FALSE),"")</f>
        <v>1002</v>
      </c>
      <c r="O3900">
        <f>IFERROR(VLOOKUP(A3900,vlookup_table!$A:$G,4,FALSE),"")</f>
        <v>5901</v>
      </c>
      <c r="P3900" t="str">
        <f>IFERROR(VLOOKUP(A3900,vlookup_table!$A:$G,5,FALSE),"")</f>
        <v>C1</v>
      </c>
      <c r="Q3900">
        <f>IFERROR(VLOOKUP(A3900,vlookup_table!$A:$G,7,FALSE),"")</f>
        <v>20</v>
      </c>
      <c r="R3900">
        <f t="shared" si="240"/>
        <v>38</v>
      </c>
      <c r="S3900" t="str" cm="1">
        <f t="array" ref="S3900">IF(P3900="","",_xlfn.SWITCH(LEFT(P3900,1),"C","Ciudad","T","Pueblo","R","Rural","S","Suburbano","U","Urbano",""))</f>
        <v>Ciudad</v>
      </c>
      <c r="T3900" t="str">
        <f t="shared" si="241"/>
        <v>M</v>
      </c>
      <c r="U3900" t="str">
        <f t="shared" si="242"/>
        <v>GA</v>
      </c>
      <c r="V3900" t="str">
        <f t="shared" si="243"/>
        <v>27393</v>
      </c>
    </row>
    <row r="3901" spans="1:22" x14ac:dyDescent="0.35">
      <c r="A3901" s="3">
        <v>7174</v>
      </c>
      <c r="B3901" t="s">
        <v>16</v>
      </c>
      <c r="C3901" t="s">
        <v>17</v>
      </c>
      <c r="D3901">
        <v>504</v>
      </c>
      <c r="E3901">
        <v>289</v>
      </c>
      <c r="F3901">
        <v>356</v>
      </c>
      <c r="G3901">
        <v>0</v>
      </c>
      <c r="H3901">
        <v>11074</v>
      </c>
      <c r="I3901">
        <v>1</v>
      </c>
      <c r="J3901">
        <v>81</v>
      </c>
      <c r="K3901">
        <v>355</v>
      </c>
      <c r="L3901">
        <v>296</v>
      </c>
      <c r="M3901">
        <v>8.3636363639999995</v>
      </c>
      <c r="N3901">
        <f>IFERROR(VLOOKUP(A3901,vlookup_table!$A:$G,2,FALSE),"")</f>
        <v>0</v>
      </c>
      <c r="O3901">
        <f>IFERROR(VLOOKUP(A3901,vlookup_table!$A:$G,4,FALSE),"")</f>
        <v>301</v>
      </c>
      <c r="P3901" t="str">
        <f>IFERROR(VLOOKUP(A3901,vlookup_table!$A:$G,5,FALSE),"")</f>
        <v>T2</v>
      </c>
      <c r="Q3901">
        <f>IFERROR(VLOOKUP(A3901,vlookup_table!$A:$G,7,FALSE),"")</f>
        <v>10</v>
      </c>
      <c r="R3901">
        <f t="shared" si="240"/>
        <v>94</v>
      </c>
      <c r="S3901" t="str" cm="1">
        <f t="array" ref="S3901">IF(P3901="","",_xlfn.SWITCH(LEFT(P3901,1),"C","Ciudad","T","Pueblo","R","Rural","S","Suburbano","U","Urbano",""))</f>
        <v>Pueblo</v>
      </c>
      <c r="T3901" t="str">
        <f t="shared" si="241"/>
        <v>F</v>
      </c>
      <c r="U3901" t="str">
        <f t="shared" si="242"/>
        <v>IL</v>
      </c>
      <c r="V3901" t="str">
        <f t="shared" si="243"/>
        <v>11074</v>
      </c>
    </row>
    <row r="3902" spans="1:22" x14ac:dyDescent="0.35">
      <c r="A3902" s="3">
        <v>166416</v>
      </c>
      <c r="B3902" t="s">
        <v>22</v>
      </c>
      <c r="C3902" t="s">
        <v>14</v>
      </c>
      <c r="D3902">
        <v>1394</v>
      </c>
      <c r="E3902">
        <v>242</v>
      </c>
      <c r="F3902">
        <v>300</v>
      </c>
      <c r="G3902">
        <v>13</v>
      </c>
      <c r="H3902">
        <v>11177</v>
      </c>
      <c r="I3902">
        <v>28</v>
      </c>
      <c r="J3902">
        <v>43</v>
      </c>
      <c r="K3902">
        <v>263</v>
      </c>
      <c r="L3902">
        <v>302</v>
      </c>
      <c r="M3902">
        <v>20</v>
      </c>
      <c r="N3902">
        <f>IFERROR(VLOOKUP(A3902,vlookup_table!$A:$G,2,FALSE),"")</f>
        <v>1</v>
      </c>
      <c r="O3902">
        <f>IFERROR(VLOOKUP(A3902,vlookup_table!$A:$G,4,FALSE),"")</f>
        <v>5301</v>
      </c>
      <c r="P3902" t="str">
        <f>IFERROR(VLOOKUP(A3902,vlookup_table!$A:$G,5,FALSE),"")</f>
        <v>U2</v>
      </c>
      <c r="Q3902">
        <f>IFERROR(VLOOKUP(A3902,vlookup_table!$A:$G,7,FALSE),"")</f>
        <v>20</v>
      </c>
      <c r="R3902">
        <f t="shared" si="240"/>
        <v>44</v>
      </c>
      <c r="S3902" t="str" cm="1">
        <f t="array" ref="S3902">IF(P3902="","",_xlfn.SWITCH(LEFT(P3902,1),"C","Ciudad","T","Pueblo","R","Rural","S","Suburbano","U","Urbano",""))</f>
        <v>Urbano</v>
      </c>
      <c r="T3902" t="str">
        <f t="shared" si="241"/>
        <v>M</v>
      </c>
      <c r="U3902" t="str">
        <f t="shared" si="242"/>
        <v>CA</v>
      </c>
      <c r="V3902" t="str">
        <f t="shared" si="243"/>
        <v>11177</v>
      </c>
    </row>
    <row r="3903" spans="1:22" x14ac:dyDescent="0.35">
      <c r="A3903" s="3">
        <v>95408</v>
      </c>
      <c r="B3903" t="s">
        <v>16</v>
      </c>
      <c r="C3903" t="s">
        <v>17</v>
      </c>
      <c r="D3903">
        <v>739</v>
      </c>
      <c r="E3903">
        <v>353</v>
      </c>
      <c r="F3903">
        <v>486</v>
      </c>
      <c r="G3903">
        <v>1</v>
      </c>
      <c r="H3903">
        <v>17038</v>
      </c>
      <c r="I3903">
        <v>0</v>
      </c>
      <c r="J3903">
        <v>77</v>
      </c>
      <c r="K3903">
        <v>415</v>
      </c>
      <c r="L3903">
        <v>436</v>
      </c>
      <c r="M3903">
        <v>10</v>
      </c>
      <c r="N3903">
        <f>IFERROR(VLOOKUP(A3903,vlookup_table!$A:$G,2,FALSE),"")</f>
        <v>0</v>
      </c>
      <c r="O3903">
        <f>IFERROR(VLOOKUP(A3903,vlookup_table!$A:$G,4,FALSE),"")</f>
        <v>5201</v>
      </c>
      <c r="P3903" t="str">
        <f>IFERROR(VLOOKUP(A3903,vlookup_table!$A:$G,5,FALSE),"")</f>
        <v>R2</v>
      </c>
      <c r="Q3903">
        <f>IFERROR(VLOOKUP(A3903,vlookup_table!$A:$G,7,FALSE),"")</f>
        <v>15</v>
      </c>
      <c r="R3903">
        <f t="shared" si="240"/>
        <v>45</v>
      </c>
      <c r="S3903" t="str" cm="1">
        <f t="array" ref="S3903">IF(P3903="","",_xlfn.SWITCH(LEFT(P3903,1),"C","Ciudad","T","Pueblo","R","Rural","S","Suburbano","U","Urbano",""))</f>
        <v>Rural</v>
      </c>
      <c r="T3903" t="str">
        <f t="shared" si="241"/>
        <v>F</v>
      </c>
      <c r="U3903" t="str">
        <f t="shared" si="242"/>
        <v>IL</v>
      </c>
      <c r="V3903" t="str">
        <f t="shared" si="243"/>
        <v>17038</v>
      </c>
    </row>
    <row r="3904" spans="1:22" x14ac:dyDescent="0.35">
      <c r="A3904" s="3">
        <v>102181</v>
      </c>
      <c r="B3904" t="s">
        <v>36</v>
      </c>
      <c r="C3904" t="s">
        <v>17</v>
      </c>
      <c r="D3904">
        <v>915</v>
      </c>
      <c r="E3904">
        <v>307</v>
      </c>
      <c r="F3904">
        <v>537</v>
      </c>
      <c r="G3904">
        <v>0</v>
      </c>
      <c r="H3904">
        <v>22420</v>
      </c>
      <c r="I3904">
        <v>2</v>
      </c>
      <c r="J3904">
        <v>56</v>
      </c>
      <c r="K3904">
        <v>442</v>
      </c>
      <c r="L3904">
        <v>385</v>
      </c>
      <c r="M3904">
        <v>13.3</v>
      </c>
      <c r="N3904">
        <f>IFERROR(VLOOKUP(A3904,vlookup_table!$A:$G,2,FALSE),"")</f>
        <v>0</v>
      </c>
      <c r="O3904">
        <f>IFERROR(VLOOKUP(A3904,vlookup_table!$A:$G,4,FALSE),"")</f>
        <v>3404</v>
      </c>
      <c r="P3904" t="str">
        <f>IFERROR(VLOOKUP(A3904,vlookup_table!$A:$G,5,FALSE),"")</f>
        <v>S1</v>
      </c>
      <c r="Q3904">
        <f>IFERROR(VLOOKUP(A3904,vlookup_table!$A:$G,7,FALSE),"")</f>
        <v>15</v>
      </c>
      <c r="R3904">
        <f t="shared" si="240"/>
        <v>63</v>
      </c>
      <c r="S3904" t="str" cm="1">
        <f t="array" ref="S3904">IF(P3904="","",_xlfn.SWITCH(LEFT(P3904,1),"C","Ciudad","T","Pueblo","R","Rural","S","Suburbano","U","Urbano",""))</f>
        <v>Suburbano</v>
      </c>
      <c r="T3904" t="str">
        <f t="shared" si="241"/>
        <v>F</v>
      </c>
      <c r="U3904" t="str">
        <f t="shared" si="242"/>
        <v>MO</v>
      </c>
      <c r="V3904" t="str">
        <f t="shared" si="243"/>
        <v>22420</v>
      </c>
    </row>
    <row r="3905" spans="1:22" x14ac:dyDescent="0.35">
      <c r="A3905" s="3">
        <v>155851</v>
      </c>
      <c r="B3905" t="s">
        <v>22</v>
      </c>
      <c r="C3905" t="s">
        <v>17</v>
      </c>
      <c r="D3905">
        <v>978</v>
      </c>
      <c r="E3905">
        <v>200</v>
      </c>
      <c r="F3905">
        <v>307</v>
      </c>
      <c r="G3905">
        <v>1</v>
      </c>
      <c r="H3905">
        <v>13560</v>
      </c>
      <c r="I3905">
        <v>6</v>
      </c>
      <c r="J3905">
        <v>25</v>
      </c>
      <c r="K3905">
        <v>291</v>
      </c>
      <c r="L3905">
        <v>256</v>
      </c>
      <c r="M3905">
        <v>20</v>
      </c>
      <c r="N3905">
        <f>IFERROR(VLOOKUP(A3905,vlookup_table!$A:$G,2,FALSE),"")</f>
        <v>28</v>
      </c>
      <c r="O3905">
        <f>IFERROR(VLOOKUP(A3905,vlookup_table!$A:$G,4,FALSE),"")</f>
        <v>6201</v>
      </c>
      <c r="P3905" t="str">
        <f>IFERROR(VLOOKUP(A3905,vlookup_table!$A:$G,5,FALSE),"")</f>
        <v>C2</v>
      </c>
      <c r="Q3905">
        <f>IFERROR(VLOOKUP(A3905,vlookup_table!$A:$G,7,FALSE),"")</f>
        <v>20</v>
      </c>
      <c r="R3905">
        <f t="shared" si="240"/>
        <v>35</v>
      </c>
      <c r="S3905" t="str" cm="1">
        <f t="array" ref="S3905">IF(P3905="","",_xlfn.SWITCH(LEFT(P3905,1),"C","Ciudad","T","Pueblo","R","Rural","S","Suburbano","U","Urbano",""))</f>
        <v>Ciudad</v>
      </c>
      <c r="T3905" t="str">
        <f t="shared" si="241"/>
        <v>F</v>
      </c>
      <c r="U3905" t="str">
        <f t="shared" si="242"/>
        <v>CA</v>
      </c>
      <c r="V3905" t="str">
        <f t="shared" si="243"/>
        <v>13560</v>
      </c>
    </row>
    <row r="3906" spans="1:22" x14ac:dyDescent="0.35">
      <c r="A3906" s="3">
        <v>40421</v>
      </c>
      <c r="B3906" t="s">
        <v>13</v>
      </c>
      <c r="C3906" t="s">
        <v>14</v>
      </c>
      <c r="D3906">
        <v>1270</v>
      </c>
      <c r="E3906">
        <v>363</v>
      </c>
      <c r="F3906">
        <v>519</v>
      </c>
      <c r="G3906">
        <v>15</v>
      </c>
      <c r="H3906">
        <v>17548</v>
      </c>
      <c r="I3906">
        <v>8</v>
      </c>
      <c r="J3906">
        <v>26</v>
      </c>
      <c r="K3906">
        <v>471</v>
      </c>
      <c r="L3906">
        <v>429</v>
      </c>
      <c r="M3906">
        <v>6.269230769</v>
      </c>
      <c r="N3906">
        <f>IFERROR(VLOOKUP(A3906,vlookup_table!$A:$G,2,FALSE),"")</f>
        <v>1002</v>
      </c>
      <c r="O3906">
        <f>IFERROR(VLOOKUP(A3906,vlookup_table!$A:$G,4,FALSE),"")</f>
        <v>3911</v>
      </c>
      <c r="P3906" t="str">
        <f>IFERROR(VLOOKUP(A3906,vlookup_table!$A:$G,5,FALSE),"")</f>
        <v>C1</v>
      </c>
      <c r="Q3906">
        <f>IFERROR(VLOOKUP(A3906,vlookup_table!$A:$G,7,FALSE),"")</f>
        <v>5</v>
      </c>
      <c r="R3906">
        <f t="shared" ref="R3906:R3969" si="244">IF(O3906="","",97-INT(O3906/100))</f>
        <v>58</v>
      </c>
      <c r="S3906" t="str" cm="1">
        <f t="array" ref="S3906">IF(P3906="","",_xlfn.SWITCH(LEFT(P3906,1),"C","Ciudad","T","Pueblo","R","Rural","S","Suburbano","U","Urbano",""))</f>
        <v>Ciudad</v>
      </c>
      <c r="T3906" t="str">
        <f t="shared" ref="T3906:T3969" si="245">IF(C3906="","",IF(OR(UPPER(C3906)="M",UPPER(C3906)="MALE"),"M",IF(OR(UPPER(C3906)="F",UPPER(C3906)="FEMALE",UPPER(C3906)="FEAMALE"),"F",C3906)))</f>
        <v>M</v>
      </c>
      <c r="U3906" t="str">
        <f t="shared" ref="U3906:U3969" si="246">IF(OR(UPPER(B3906)="CALIFORNIA",UPPER(B3906)="CALI"),"CA",B3906)</f>
        <v>FL</v>
      </c>
      <c r="V3906" t="str">
        <f t="shared" ref="V3906:V3969" si="247">SUBSTITUTE(H3906,"@","")</f>
        <v>17548</v>
      </c>
    </row>
    <row r="3907" spans="1:22" x14ac:dyDescent="0.35">
      <c r="A3907" s="3">
        <v>26346</v>
      </c>
      <c r="B3907" t="s">
        <v>39</v>
      </c>
      <c r="C3907" t="s">
        <v>17</v>
      </c>
      <c r="D3907">
        <v>1717</v>
      </c>
      <c r="E3907">
        <v>443</v>
      </c>
      <c r="F3907">
        <v>645</v>
      </c>
      <c r="G3907">
        <v>29</v>
      </c>
      <c r="H3907">
        <v>21385</v>
      </c>
      <c r="I3907">
        <v>3</v>
      </c>
      <c r="J3907">
        <v>55</v>
      </c>
      <c r="K3907">
        <v>511</v>
      </c>
      <c r="L3907">
        <v>588</v>
      </c>
      <c r="M3907">
        <v>9</v>
      </c>
      <c r="N3907">
        <f>IFERROR(VLOOKUP(A3907,vlookup_table!$A:$G,2,FALSE),"")</f>
        <v>0</v>
      </c>
      <c r="O3907">
        <f>IFERROR(VLOOKUP(A3907,vlookup_table!$A:$G,4,FALSE),"")</f>
        <v>3201</v>
      </c>
      <c r="P3907" t="str">
        <f>IFERROR(VLOOKUP(A3907,vlookup_table!$A:$G,5,FALSE),"")</f>
        <v>S1</v>
      </c>
      <c r="Q3907">
        <f>IFERROR(VLOOKUP(A3907,vlookup_table!$A:$G,7,FALSE),"")</f>
        <v>10</v>
      </c>
      <c r="R3907">
        <f t="shared" si="244"/>
        <v>65</v>
      </c>
      <c r="S3907" t="str" cm="1">
        <f t="array" ref="S3907">IF(P3907="","",_xlfn.SWITCH(LEFT(P3907,1),"C","Ciudad","T","Pueblo","R","Rural","S","Suburbano","U","Urbano",""))</f>
        <v>Suburbano</v>
      </c>
      <c r="T3907" t="str">
        <f t="shared" si="245"/>
        <v>F</v>
      </c>
      <c r="U3907" t="str">
        <f t="shared" si="246"/>
        <v>GA</v>
      </c>
      <c r="V3907" t="str">
        <f t="shared" si="247"/>
        <v>21385</v>
      </c>
    </row>
    <row r="3908" spans="1:22" x14ac:dyDescent="0.35">
      <c r="A3908" s="3">
        <v>152621</v>
      </c>
      <c r="B3908" t="s">
        <v>22</v>
      </c>
      <c r="C3908" t="s">
        <v>14</v>
      </c>
      <c r="D3908">
        <v>2449</v>
      </c>
      <c r="E3908">
        <v>464</v>
      </c>
      <c r="F3908">
        <v>519</v>
      </c>
      <c r="G3908">
        <v>75</v>
      </c>
      <c r="H3908">
        <v>19318</v>
      </c>
      <c r="I3908">
        <v>11</v>
      </c>
      <c r="J3908">
        <v>37</v>
      </c>
      <c r="K3908">
        <v>472</v>
      </c>
      <c r="L3908">
        <v>518</v>
      </c>
      <c r="M3908">
        <v>7.615384615</v>
      </c>
      <c r="N3908">
        <f>IFERROR(VLOOKUP(A3908,vlookup_table!$A:$G,2,FALSE),"")</f>
        <v>4</v>
      </c>
      <c r="O3908">
        <f>IFERROR(VLOOKUP(A3908,vlookup_table!$A:$G,4,FALSE),"")</f>
        <v>1801</v>
      </c>
      <c r="P3908" t="str">
        <f>IFERROR(VLOOKUP(A3908,vlookup_table!$A:$G,5,FALSE),"")</f>
        <v>C1</v>
      </c>
      <c r="Q3908">
        <f>IFERROR(VLOOKUP(A3908,vlookup_table!$A:$G,7,FALSE),"")</f>
        <v>10</v>
      </c>
      <c r="R3908">
        <f t="shared" si="244"/>
        <v>79</v>
      </c>
      <c r="S3908" t="str" cm="1">
        <f t="array" ref="S3908">IF(P3908="","",_xlfn.SWITCH(LEFT(P3908,1),"C","Ciudad","T","Pueblo","R","Rural","S","Suburbano","U","Urbano",""))</f>
        <v>Ciudad</v>
      </c>
      <c r="T3908" t="str">
        <f t="shared" si="245"/>
        <v>M</v>
      </c>
      <c r="U3908" t="str">
        <f t="shared" si="246"/>
        <v>CA</v>
      </c>
      <c r="V3908" t="str">
        <f t="shared" si="247"/>
        <v>19318</v>
      </c>
    </row>
    <row r="3909" spans="1:22" x14ac:dyDescent="0.35">
      <c r="A3909" s="3">
        <v>164220</v>
      </c>
      <c r="B3909" t="s">
        <v>22</v>
      </c>
      <c r="C3909" t="s">
        <v>17</v>
      </c>
      <c r="D3909">
        <v>2869</v>
      </c>
      <c r="E3909">
        <v>630</v>
      </c>
      <c r="F3909">
        <v>745</v>
      </c>
      <c r="G3909">
        <v>74</v>
      </c>
      <c r="H3909">
        <v>24945</v>
      </c>
      <c r="I3909">
        <v>6</v>
      </c>
      <c r="J3909">
        <v>46</v>
      </c>
      <c r="K3909">
        <v>668</v>
      </c>
      <c r="L3909">
        <v>686</v>
      </c>
      <c r="M3909">
        <v>10.5</v>
      </c>
      <c r="N3909">
        <f>IFERROR(VLOOKUP(A3909,vlookup_table!$A:$G,2,FALSE),"")</f>
        <v>2</v>
      </c>
      <c r="O3909">
        <f>IFERROR(VLOOKUP(A3909,vlookup_table!$A:$G,4,FALSE),"")</f>
        <v>2601</v>
      </c>
      <c r="P3909" t="str">
        <f>IFERROR(VLOOKUP(A3909,vlookup_table!$A:$G,5,FALSE),"")</f>
        <v>T1</v>
      </c>
      <c r="Q3909">
        <f>IFERROR(VLOOKUP(A3909,vlookup_table!$A:$G,7,FALSE),"")</f>
        <v>10</v>
      </c>
      <c r="R3909">
        <f t="shared" si="244"/>
        <v>71</v>
      </c>
      <c r="S3909" t="str" cm="1">
        <f t="array" ref="S3909">IF(P3909="","",_xlfn.SWITCH(LEFT(P3909,1),"C","Ciudad","T","Pueblo","R","Rural","S","Suburbano","U","Urbano",""))</f>
        <v>Pueblo</v>
      </c>
      <c r="T3909" t="str">
        <f t="shared" si="245"/>
        <v>F</v>
      </c>
      <c r="U3909" t="str">
        <f t="shared" si="246"/>
        <v>CA</v>
      </c>
      <c r="V3909" t="str">
        <f t="shared" si="247"/>
        <v>24945</v>
      </c>
    </row>
    <row r="3910" spans="1:22" x14ac:dyDescent="0.35">
      <c r="A3910" s="3">
        <v>190477</v>
      </c>
      <c r="B3910" t="s">
        <v>40</v>
      </c>
      <c r="C3910" t="s">
        <v>51</v>
      </c>
      <c r="D3910">
        <v>1212</v>
      </c>
      <c r="E3910">
        <v>298</v>
      </c>
      <c r="F3910">
        <v>422</v>
      </c>
      <c r="G3910">
        <v>17</v>
      </c>
      <c r="H3910">
        <v>15314</v>
      </c>
      <c r="I3910">
        <v>5</v>
      </c>
      <c r="J3910">
        <v>47</v>
      </c>
      <c r="K3910">
        <v>354</v>
      </c>
      <c r="L3910">
        <v>365</v>
      </c>
      <c r="M3910">
        <v>14.66666667</v>
      </c>
      <c r="N3910">
        <f>IFERROR(VLOOKUP(A3910,vlookup_table!$A:$G,2,FALSE),"")</f>
        <v>2</v>
      </c>
      <c r="O3910">
        <f>IFERROR(VLOOKUP(A3910,vlookup_table!$A:$G,4,FALSE),"")</f>
        <v>0</v>
      </c>
      <c r="P3910" t="str">
        <f>IFERROR(VLOOKUP(A3910,vlookup_table!$A:$G,5,FALSE),"")</f>
        <v>R1</v>
      </c>
      <c r="Q3910">
        <f>IFERROR(VLOOKUP(A3910,vlookup_table!$A:$G,7,FALSE),"")</f>
        <v>25</v>
      </c>
      <c r="R3910">
        <f t="shared" si="244"/>
        <v>97</v>
      </c>
      <c r="S3910" t="str" cm="1">
        <f t="array" ref="S3910">IF(P3910="","",_xlfn.SWITCH(LEFT(P3910,1),"C","Ciudad","T","Pueblo","R","Rural","S","Suburbano","U","Urbano",""))</f>
        <v>Rural</v>
      </c>
      <c r="T3910" t="str">
        <f t="shared" si="245"/>
        <v>M</v>
      </c>
      <c r="U3910" t="str">
        <f t="shared" si="246"/>
        <v>WA</v>
      </c>
      <c r="V3910" t="str">
        <f t="shared" si="247"/>
        <v>15314</v>
      </c>
    </row>
    <row r="3911" spans="1:22" x14ac:dyDescent="0.35">
      <c r="A3911" s="3">
        <v>58203</v>
      </c>
      <c r="B3911" t="s">
        <v>57</v>
      </c>
      <c r="C3911" t="s">
        <v>14</v>
      </c>
      <c r="D3911">
        <v>224</v>
      </c>
      <c r="E3911">
        <v>138</v>
      </c>
      <c r="F3911">
        <v>218</v>
      </c>
      <c r="G3911">
        <v>0</v>
      </c>
      <c r="H3911">
        <v>7051</v>
      </c>
      <c r="I3911">
        <v>0</v>
      </c>
      <c r="J3911">
        <v>81</v>
      </c>
      <c r="K3911">
        <v>163</v>
      </c>
      <c r="L3911">
        <v>193</v>
      </c>
      <c r="M3911">
        <v>5.3333333329999997</v>
      </c>
      <c r="N3911">
        <f>IFERROR(VLOOKUP(A3911,vlookup_table!$A:$G,2,FALSE),"")</f>
        <v>1</v>
      </c>
      <c r="O3911">
        <f>IFERROR(VLOOKUP(A3911,vlookup_table!$A:$G,4,FALSE),"")</f>
        <v>4401</v>
      </c>
      <c r="P3911" t="str">
        <f>IFERROR(VLOOKUP(A3911,vlookup_table!$A:$G,5,FALSE),"")</f>
        <v>R3</v>
      </c>
      <c r="Q3911">
        <f>IFERROR(VLOOKUP(A3911,vlookup_table!$A:$G,7,FALSE),"")</f>
        <v>6</v>
      </c>
      <c r="R3911">
        <f t="shared" si="244"/>
        <v>53</v>
      </c>
      <c r="S3911" t="str" cm="1">
        <f t="array" ref="S3911">IF(P3911="","",_xlfn.SWITCH(LEFT(P3911,1),"C","Ciudad","T","Pueblo","R","Rural","S","Suburbano","U","Urbano",""))</f>
        <v>Rural</v>
      </c>
      <c r="T3911" t="str">
        <f t="shared" si="245"/>
        <v>M</v>
      </c>
      <c r="U3911" t="str">
        <f t="shared" si="246"/>
        <v>KY</v>
      </c>
      <c r="V3911" t="str">
        <f t="shared" si="247"/>
        <v>7051</v>
      </c>
    </row>
    <row r="3912" spans="1:22" x14ac:dyDescent="0.35">
      <c r="A3912" s="3">
        <v>115188</v>
      </c>
      <c r="B3912" t="s">
        <v>31</v>
      </c>
      <c r="C3912" t="s">
        <v>17</v>
      </c>
      <c r="D3912">
        <v>160</v>
      </c>
      <c r="E3912">
        <v>118</v>
      </c>
      <c r="F3912">
        <v>218</v>
      </c>
      <c r="G3912">
        <v>1</v>
      </c>
      <c r="H3912">
        <v>7192</v>
      </c>
      <c r="I3912">
        <v>3</v>
      </c>
      <c r="J3912">
        <v>68</v>
      </c>
      <c r="K3912">
        <v>170</v>
      </c>
      <c r="L3912">
        <v>161</v>
      </c>
      <c r="M3912">
        <v>10.5</v>
      </c>
      <c r="N3912">
        <f>IFERROR(VLOOKUP(A3912,vlookup_table!$A:$G,2,FALSE),"")</f>
        <v>2</v>
      </c>
      <c r="O3912">
        <f>IFERROR(VLOOKUP(A3912,vlookup_table!$A:$G,4,FALSE),"")</f>
        <v>3601</v>
      </c>
      <c r="P3912" t="str">
        <f>IFERROR(VLOOKUP(A3912,vlookup_table!$A:$G,5,FALSE),"")</f>
        <v>R3</v>
      </c>
      <c r="Q3912">
        <f>IFERROR(VLOOKUP(A3912,vlookup_table!$A:$G,7,FALSE),"")</f>
        <v>16</v>
      </c>
      <c r="R3912">
        <f t="shared" si="244"/>
        <v>61</v>
      </c>
      <c r="S3912" t="str" cm="1">
        <f t="array" ref="S3912">IF(P3912="","",_xlfn.SWITCH(LEFT(P3912,1),"C","Ciudad","T","Pueblo","R","Rural","S","Suburbano","U","Urbano",""))</f>
        <v>Rural</v>
      </c>
      <c r="T3912" t="str">
        <f t="shared" si="245"/>
        <v>F</v>
      </c>
      <c r="U3912" t="str">
        <f t="shared" si="246"/>
        <v>OK</v>
      </c>
      <c r="V3912" t="str">
        <f t="shared" si="247"/>
        <v>7192</v>
      </c>
    </row>
    <row r="3913" spans="1:22" x14ac:dyDescent="0.35">
      <c r="A3913" s="3">
        <v>148918</v>
      </c>
      <c r="B3913" t="s">
        <v>22</v>
      </c>
      <c r="C3913" t="s">
        <v>17</v>
      </c>
      <c r="D3913">
        <v>1178</v>
      </c>
      <c r="E3913">
        <v>322</v>
      </c>
      <c r="F3913">
        <v>444</v>
      </c>
      <c r="G3913">
        <v>9</v>
      </c>
      <c r="H3913">
        <v>14711</v>
      </c>
      <c r="I3913">
        <v>2</v>
      </c>
      <c r="J3913">
        <v>55</v>
      </c>
      <c r="K3913">
        <v>384</v>
      </c>
      <c r="L3913">
        <v>370</v>
      </c>
      <c r="M3913">
        <v>12.33333333</v>
      </c>
      <c r="N3913">
        <f>IFERROR(VLOOKUP(A3913,vlookup_table!$A:$G,2,FALSE),"")</f>
        <v>0</v>
      </c>
      <c r="O3913">
        <f>IFERROR(VLOOKUP(A3913,vlookup_table!$A:$G,4,FALSE),"")</f>
        <v>0</v>
      </c>
      <c r="P3913" t="str">
        <f>IFERROR(VLOOKUP(A3913,vlookup_table!$A:$G,5,FALSE),"")</f>
        <v>C2</v>
      </c>
      <c r="Q3913">
        <f>IFERROR(VLOOKUP(A3913,vlookup_table!$A:$G,7,FALSE),"")</f>
        <v>21</v>
      </c>
      <c r="R3913">
        <f t="shared" si="244"/>
        <v>97</v>
      </c>
      <c r="S3913" t="str" cm="1">
        <f t="array" ref="S3913">IF(P3913="","",_xlfn.SWITCH(LEFT(P3913,1),"C","Ciudad","T","Pueblo","R","Rural","S","Suburbano","U","Urbano",""))</f>
        <v>Ciudad</v>
      </c>
      <c r="T3913" t="str">
        <f t="shared" si="245"/>
        <v>F</v>
      </c>
      <c r="U3913" t="str">
        <f t="shared" si="246"/>
        <v>CA</v>
      </c>
      <c r="V3913" t="str">
        <f t="shared" si="247"/>
        <v>14711</v>
      </c>
    </row>
    <row r="3914" spans="1:22" x14ac:dyDescent="0.35">
      <c r="A3914" s="3">
        <v>55117</v>
      </c>
      <c r="B3914" t="s">
        <v>62</v>
      </c>
      <c r="C3914" t="s">
        <v>17</v>
      </c>
      <c r="D3914">
        <v>668</v>
      </c>
      <c r="E3914">
        <v>303</v>
      </c>
      <c r="F3914">
        <v>484</v>
      </c>
      <c r="G3914">
        <v>0</v>
      </c>
      <c r="H3914">
        <v>18900</v>
      </c>
      <c r="I3914">
        <v>0</v>
      </c>
      <c r="J3914">
        <v>59</v>
      </c>
      <c r="K3914">
        <v>456</v>
      </c>
      <c r="L3914">
        <v>326</v>
      </c>
      <c r="M3914">
        <v>15</v>
      </c>
      <c r="N3914">
        <f>IFERROR(VLOOKUP(A3914,vlookup_table!$A:$G,2,FALSE),"")</f>
        <v>0</v>
      </c>
      <c r="O3914">
        <f>IFERROR(VLOOKUP(A3914,vlookup_table!$A:$G,4,FALSE),"")</f>
        <v>2905</v>
      </c>
      <c r="P3914" t="str">
        <f>IFERROR(VLOOKUP(A3914,vlookup_table!$A:$G,5,FALSE),"")</f>
        <v>S1</v>
      </c>
      <c r="Q3914">
        <f>IFERROR(VLOOKUP(A3914,vlookup_table!$A:$G,7,FALSE),"")</f>
        <v>15</v>
      </c>
      <c r="R3914">
        <f t="shared" si="244"/>
        <v>68</v>
      </c>
      <c r="S3914" t="str" cm="1">
        <f t="array" ref="S3914">IF(P3914="","",_xlfn.SWITCH(LEFT(P3914,1),"C","Ciudad","T","Pueblo","R","Rural","S","Suburbano","U","Urbano",""))</f>
        <v>Suburbano</v>
      </c>
      <c r="T3914" t="str">
        <f t="shared" si="245"/>
        <v>F</v>
      </c>
      <c r="U3914" t="str">
        <f t="shared" si="246"/>
        <v>MS</v>
      </c>
      <c r="V3914" t="str">
        <f t="shared" si="247"/>
        <v>18900</v>
      </c>
    </row>
    <row r="3915" spans="1:22" x14ac:dyDescent="0.35">
      <c r="A3915" s="3">
        <v>157106</v>
      </c>
      <c r="B3915" t="s">
        <v>22</v>
      </c>
      <c r="C3915" t="s">
        <v>17</v>
      </c>
      <c r="D3915">
        <v>5886</v>
      </c>
      <c r="E3915">
        <v>1096</v>
      </c>
      <c r="F3915">
        <v>1116</v>
      </c>
      <c r="G3915">
        <v>98</v>
      </c>
      <c r="H3915">
        <v>82369</v>
      </c>
      <c r="I3915">
        <v>14</v>
      </c>
      <c r="J3915">
        <v>50</v>
      </c>
      <c r="K3915">
        <v>1500</v>
      </c>
      <c r="L3915">
        <v>1005</v>
      </c>
      <c r="M3915">
        <v>19.3125</v>
      </c>
      <c r="N3915">
        <f>IFERROR(VLOOKUP(A3915,vlookup_table!$A:$G,2,FALSE),"")</f>
        <v>0</v>
      </c>
      <c r="O3915">
        <f>IFERROR(VLOOKUP(A3915,vlookup_table!$A:$G,4,FALSE),"")</f>
        <v>5111</v>
      </c>
      <c r="P3915" t="str">
        <f>IFERROR(VLOOKUP(A3915,vlookup_table!$A:$G,5,FALSE),"")</f>
        <v>T1</v>
      </c>
      <c r="Q3915">
        <f>IFERROR(VLOOKUP(A3915,vlookup_table!$A:$G,7,FALSE),"")</f>
        <v>26</v>
      </c>
      <c r="R3915">
        <f t="shared" si="244"/>
        <v>46</v>
      </c>
      <c r="S3915" t="str" cm="1">
        <f t="array" ref="S3915">IF(P3915="","",_xlfn.SWITCH(LEFT(P3915,1),"C","Ciudad","T","Pueblo","R","Rural","S","Suburbano","U","Urbano",""))</f>
        <v>Pueblo</v>
      </c>
      <c r="T3915" t="str">
        <f t="shared" si="245"/>
        <v>F</v>
      </c>
      <c r="U3915" t="str">
        <f t="shared" si="246"/>
        <v>CA</v>
      </c>
      <c r="V3915" t="str">
        <f t="shared" si="247"/>
        <v>82369</v>
      </c>
    </row>
    <row r="3916" spans="1:22" x14ac:dyDescent="0.35">
      <c r="A3916" s="3">
        <v>183193</v>
      </c>
      <c r="B3916" t="s">
        <v>40</v>
      </c>
      <c r="C3916" t="s">
        <v>17</v>
      </c>
      <c r="D3916">
        <v>696</v>
      </c>
      <c r="E3916">
        <v>367</v>
      </c>
      <c r="F3916">
        <v>423</v>
      </c>
      <c r="G3916">
        <v>0</v>
      </c>
      <c r="H3916">
        <v>13480</v>
      </c>
      <c r="I3916">
        <v>4</v>
      </c>
      <c r="J3916">
        <v>33</v>
      </c>
      <c r="K3916">
        <v>383</v>
      </c>
      <c r="L3916">
        <v>406</v>
      </c>
      <c r="M3916">
        <v>9</v>
      </c>
      <c r="N3916">
        <f>IFERROR(VLOOKUP(A3916,vlookup_table!$A:$G,2,FALSE),"")</f>
        <v>0</v>
      </c>
      <c r="O3916">
        <f>IFERROR(VLOOKUP(A3916,vlookup_table!$A:$G,4,FALSE),"")</f>
        <v>5801</v>
      </c>
      <c r="P3916" t="str">
        <f>IFERROR(VLOOKUP(A3916,vlookup_table!$A:$G,5,FALSE),"")</f>
        <v>S2</v>
      </c>
      <c r="Q3916">
        <f>IFERROR(VLOOKUP(A3916,vlookup_table!$A:$G,7,FALSE),"")</f>
        <v>31</v>
      </c>
      <c r="R3916">
        <f t="shared" si="244"/>
        <v>39</v>
      </c>
      <c r="S3916" t="str" cm="1">
        <f t="array" ref="S3916">IF(P3916="","",_xlfn.SWITCH(LEFT(P3916,1),"C","Ciudad","T","Pueblo","R","Rural","S","Suburbano","U","Urbano",""))</f>
        <v>Suburbano</v>
      </c>
      <c r="T3916" t="str">
        <f t="shared" si="245"/>
        <v>F</v>
      </c>
      <c r="U3916" t="str">
        <f t="shared" si="246"/>
        <v>WA</v>
      </c>
      <c r="V3916" t="str">
        <f t="shared" si="247"/>
        <v>13480</v>
      </c>
    </row>
    <row r="3917" spans="1:22" x14ac:dyDescent="0.35">
      <c r="A3917" s="3">
        <v>170402</v>
      </c>
      <c r="B3917" t="s">
        <v>22</v>
      </c>
      <c r="C3917" t="s">
        <v>17</v>
      </c>
      <c r="D3917">
        <v>1224</v>
      </c>
      <c r="E3917">
        <v>228</v>
      </c>
      <c r="F3917">
        <v>356</v>
      </c>
      <c r="G3917">
        <v>19</v>
      </c>
      <c r="H3917">
        <v>15512</v>
      </c>
      <c r="I3917">
        <v>8</v>
      </c>
      <c r="J3917">
        <v>50</v>
      </c>
      <c r="K3917">
        <v>312</v>
      </c>
      <c r="L3917">
        <v>325</v>
      </c>
      <c r="M3917">
        <v>6.8</v>
      </c>
      <c r="N3917">
        <f>IFERROR(VLOOKUP(A3917,vlookup_table!$A:$G,2,FALSE),"")</f>
        <v>0</v>
      </c>
      <c r="O3917">
        <f>IFERROR(VLOOKUP(A3917,vlookup_table!$A:$G,4,FALSE),"")</f>
        <v>4301</v>
      </c>
      <c r="P3917" t="str">
        <f>IFERROR(VLOOKUP(A3917,vlookup_table!$A:$G,5,FALSE),"")</f>
        <v>R1</v>
      </c>
      <c r="Q3917">
        <f>IFERROR(VLOOKUP(A3917,vlookup_table!$A:$G,7,FALSE),"")</f>
        <v>10</v>
      </c>
      <c r="R3917">
        <f t="shared" si="244"/>
        <v>54</v>
      </c>
      <c r="S3917" t="str" cm="1">
        <f t="array" ref="S3917">IF(P3917="","",_xlfn.SWITCH(LEFT(P3917,1),"C","Ciudad","T","Pueblo","R","Rural","S","Suburbano","U","Urbano",""))</f>
        <v>Rural</v>
      </c>
      <c r="T3917" t="str">
        <f t="shared" si="245"/>
        <v>F</v>
      </c>
      <c r="U3917" t="str">
        <f t="shared" si="246"/>
        <v>CA</v>
      </c>
      <c r="V3917" t="str">
        <f t="shared" si="247"/>
        <v>15512</v>
      </c>
    </row>
    <row r="3918" spans="1:22" x14ac:dyDescent="0.35">
      <c r="A3918" s="3">
        <v>52588</v>
      </c>
      <c r="B3918" t="s">
        <v>53</v>
      </c>
      <c r="D3918">
        <v>585</v>
      </c>
      <c r="E3918">
        <v>212</v>
      </c>
      <c r="F3918">
        <v>326</v>
      </c>
      <c r="G3918">
        <v>4</v>
      </c>
      <c r="H3918">
        <v>13218</v>
      </c>
      <c r="I3918">
        <v>1</v>
      </c>
      <c r="J3918">
        <v>71</v>
      </c>
      <c r="K3918">
        <v>258</v>
      </c>
      <c r="L3918">
        <v>286</v>
      </c>
      <c r="M3918">
        <v>10.75</v>
      </c>
      <c r="N3918">
        <f>IFERROR(VLOOKUP(A3918,vlookup_table!$A:$G,2,FALSE),"")</f>
        <v>0</v>
      </c>
      <c r="O3918">
        <f>IFERROR(VLOOKUP(A3918,vlookup_table!$A:$G,4,FALSE),"")</f>
        <v>0</v>
      </c>
      <c r="P3918" t="str">
        <f>IFERROR(VLOOKUP(A3918,vlookup_table!$A:$G,5,FALSE),"")</f>
        <v>R3</v>
      </c>
      <c r="Q3918">
        <f>IFERROR(VLOOKUP(A3918,vlookup_table!$A:$G,7,FALSE),"")</f>
        <v>15</v>
      </c>
      <c r="R3918">
        <f t="shared" si="244"/>
        <v>97</v>
      </c>
      <c r="S3918" t="str" cm="1">
        <f t="array" ref="S3918">IF(P3918="","",_xlfn.SWITCH(LEFT(P3918,1),"C","Ciudad","T","Pueblo","R","Rural","S","Suburbano","U","Urbano",""))</f>
        <v>Rural</v>
      </c>
      <c r="T3918" t="str">
        <f t="shared" si="245"/>
        <v/>
      </c>
      <c r="U3918" t="str">
        <f t="shared" si="246"/>
        <v>TN</v>
      </c>
      <c r="V3918" t="str">
        <f t="shared" si="247"/>
        <v>13218</v>
      </c>
    </row>
    <row r="3919" spans="1:22" x14ac:dyDescent="0.35">
      <c r="A3919" s="3">
        <v>182356</v>
      </c>
      <c r="B3919" t="s">
        <v>40</v>
      </c>
      <c r="C3919" t="s">
        <v>17</v>
      </c>
      <c r="D3919">
        <v>555</v>
      </c>
      <c r="E3919">
        <v>305</v>
      </c>
      <c r="F3919">
        <v>319</v>
      </c>
      <c r="G3919">
        <v>0</v>
      </c>
      <c r="H3919">
        <v>11395</v>
      </c>
      <c r="I3919">
        <v>6</v>
      </c>
      <c r="J3919">
        <v>48</v>
      </c>
      <c r="K3919">
        <v>299</v>
      </c>
      <c r="L3919">
        <v>331</v>
      </c>
      <c r="M3919">
        <v>11.28571429</v>
      </c>
      <c r="N3919">
        <f>IFERROR(VLOOKUP(A3919,vlookup_table!$A:$G,2,FALSE),"")</f>
        <v>0</v>
      </c>
      <c r="O3919">
        <f>IFERROR(VLOOKUP(A3919,vlookup_table!$A:$G,4,FALSE),"")</f>
        <v>3801</v>
      </c>
      <c r="P3919" t="str">
        <f>IFERROR(VLOOKUP(A3919,vlookup_table!$A:$G,5,FALSE),"")</f>
        <v>C3</v>
      </c>
      <c r="Q3919">
        <f>IFERROR(VLOOKUP(A3919,vlookup_table!$A:$G,7,FALSE),"")</f>
        <v>12</v>
      </c>
      <c r="R3919">
        <f t="shared" si="244"/>
        <v>59</v>
      </c>
      <c r="S3919" t="str" cm="1">
        <f t="array" ref="S3919">IF(P3919="","",_xlfn.SWITCH(LEFT(P3919,1),"C","Ciudad","T","Pueblo","R","Rural","S","Suburbano","U","Urbano",""))</f>
        <v>Ciudad</v>
      </c>
      <c r="T3919" t="str">
        <f t="shared" si="245"/>
        <v>F</v>
      </c>
      <c r="U3919" t="str">
        <f t="shared" si="246"/>
        <v>WA</v>
      </c>
      <c r="V3919" t="str">
        <f t="shared" si="247"/>
        <v>11395</v>
      </c>
    </row>
    <row r="3920" spans="1:22" x14ac:dyDescent="0.35">
      <c r="A3920" s="3">
        <v>43052</v>
      </c>
      <c r="B3920" t="s">
        <v>13</v>
      </c>
      <c r="C3920" t="s">
        <v>17</v>
      </c>
      <c r="D3920">
        <v>2038</v>
      </c>
      <c r="E3920">
        <v>390</v>
      </c>
      <c r="F3920">
        <v>670</v>
      </c>
      <c r="G3920">
        <v>51</v>
      </c>
      <c r="H3920">
        <v>29920</v>
      </c>
      <c r="I3920">
        <v>4</v>
      </c>
      <c r="J3920">
        <v>23</v>
      </c>
      <c r="K3920">
        <v>515</v>
      </c>
      <c r="L3920">
        <v>564</v>
      </c>
      <c r="M3920">
        <v>8.1111111109999996</v>
      </c>
      <c r="N3920">
        <f>IFERROR(VLOOKUP(A3920,vlookup_table!$A:$G,2,FALSE),"")</f>
        <v>0</v>
      </c>
      <c r="O3920">
        <f>IFERROR(VLOOKUP(A3920,vlookup_table!$A:$G,4,FALSE),"")</f>
        <v>5407</v>
      </c>
      <c r="P3920" t="str">
        <f>IFERROR(VLOOKUP(A3920,vlookup_table!$A:$G,5,FALSE),"")</f>
        <v>C1</v>
      </c>
      <c r="Q3920">
        <f>IFERROR(VLOOKUP(A3920,vlookup_table!$A:$G,7,FALSE),"")</f>
        <v>5</v>
      </c>
      <c r="R3920">
        <f t="shared" si="244"/>
        <v>43</v>
      </c>
      <c r="S3920" t="str" cm="1">
        <f t="array" ref="S3920">IF(P3920="","",_xlfn.SWITCH(LEFT(P3920,1),"C","Ciudad","T","Pueblo","R","Rural","S","Suburbano","U","Urbano",""))</f>
        <v>Ciudad</v>
      </c>
      <c r="T3920" t="str">
        <f t="shared" si="245"/>
        <v>F</v>
      </c>
      <c r="U3920" t="str">
        <f t="shared" si="246"/>
        <v>FL</v>
      </c>
      <c r="V3920" t="str">
        <f t="shared" si="247"/>
        <v>29920</v>
      </c>
    </row>
    <row r="3921" spans="1:22" x14ac:dyDescent="0.35">
      <c r="A3921" s="3">
        <v>120050</v>
      </c>
      <c r="B3921" t="s">
        <v>21</v>
      </c>
      <c r="C3921" t="s">
        <v>14</v>
      </c>
      <c r="D3921">
        <v>281</v>
      </c>
      <c r="E3921">
        <v>209</v>
      </c>
      <c r="F3921">
        <v>313</v>
      </c>
      <c r="G3921">
        <v>0</v>
      </c>
      <c r="H3921">
        <v>11808</v>
      </c>
      <c r="I3921">
        <v>2</v>
      </c>
      <c r="J3921">
        <v>84</v>
      </c>
      <c r="K3921">
        <v>241</v>
      </c>
      <c r="L3921">
        <v>280</v>
      </c>
      <c r="M3921">
        <v>15</v>
      </c>
      <c r="N3921">
        <f>IFERROR(VLOOKUP(A3921,vlookup_table!$A:$G,2,FALSE),"")</f>
        <v>1</v>
      </c>
      <c r="O3921">
        <f>IFERROR(VLOOKUP(A3921,vlookup_table!$A:$G,4,FALSE),"")</f>
        <v>0</v>
      </c>
      <c r="P3921" t="str">
        <f>IFERROR(VLOOKUP(A3921,vlookup_table!$A:$G,5,FALSE),"")</f>
        <v>R2</v>
      </c>
      <c r="Q3921">
        <f>IFERROR(VLOOKUP(A3921,vlookup_table!$A:$G,7,FALSE),"")</f>
        <v>21</v>
      </c>
      <c r="R3921">
        <f t="shared" si="244"/>
        <v>97</v>
      </c>
      <c r="S3921" t="str" cm="1">
        <f t="array" ref="S3921">IF(P3921="","",_xlfn.SWITCH(LEFT(P3921,1),"C","Ciudad","T","Pueblo","R","Rural","S","Suburbano","U","Urbano",""))</f>
        <v>Rural</v>
      </c>
      <c r="T3921" t="str">
        <f t="shared" si="245"/>
        <v>M</v>
      </c>
      <c r="U3921" t="str">
        <f t="shared" si="246"/>
        <v>TX</v>
      </c>
      <c r="V3921" t="str">
        <f t="shared" si="247"/>
        <v>11808</v>
      </c>
    </row>
    <row r="3922" spans="1:22" x14ac:dyDescent="0.35">
      <c r="A3922" s="3">
        <v>186198</v>
      </c>
      <c r="B3922" t="s">
        <v>38</v>
      </c>
      <c r="C3922" t="s">
        <v>17</v>
      </c>
      <c r="D3922">
        <v>835</v>
      </c>
      <c r="E3922">
        <v>358</v>
      </c>
      <c r="F3922">
        <v>426</v>
      </c>
      <c r="G3922">
        <v>1</v>
      </c>
      <c r="H3922">
        <v>20786</v>
      </c>
      <c r="I3922">
        <v>4</v>
      </c>
      <c r="J3922">
        <v>65</v>
      </c>
      <c r="K3922">
        <v>400</v>
      </c>
      <c r="L3922">
        <v>394</v>
      </c>
      <c r="M3922">
        <v>13.0625</v>
      </c>
      <c r="N3922">
        <f>IFERROR(VLOOKUP(A3922,vlookup_table!$A:$G,2,FALSE),"")</f>
        <v>0</v>
      </c>
      <c r="O3922">
        <f>IFERROR(VLOOKUP(A3922,vlookup_table!$A:$G,4,FALSE),"")</f>
        <v>2301</v>
      </c>
      <c r="P3922" t="str">
        <f>IFERROR(VLOOKUP(A3922,vlookup_table!$A:$G,5,FALSE),"")</f>
        <v>U1</v>
      </c>
      <c r="Q3922">
        <f>IFERROR(VLOOKUP(A3922,vlookup_table!$A:$G,7,FALSE),"")</f>
        <v>15</v>
      </c>
      <c r="R3922">
        <f t="shared" si="244"/>
        <v>74</v>
      </c>
      <c r="S3922" t="str" cm="1">
        <f t="array" ref="S3922">IF(P3922="","",_xlfn.SWITCH(LEFT(P3922,1),"C","Ciudad","T","Pueblo","R","Rural","S","Suburbano","U","Urbano",""))</f>
        <v>Urbano</v>
      </c>
      <c r="T3922" t="str">
        <f t="shared" si="245"/>
        <v>F</v>
      </c>
      <c r="U3922" t="str">
        <f t="shared" si="246"/>
        <v>UT</v>
      </c>
      <c r="V3922" t="str">
        <f t="shared" si="247"/>
        <v>20786</v>
      </c>
    </row>
    <row r="3923" spans="1:22" x14ac:dyDescent="0.35">
      <c r="A3923" s="3">
        <v>170864</v>
      </c>
      <c r="B3923" t="s">
        <v>22</v>
      </c>
      <c r="C3923" t="s">
        <v>14</v>
      </c>
      <c r="D3923">
        <v>2494</v>
      </c>
      <c r="E3923">
        <v>526</v>
      </c>
      <c r="F3923">
        <v>728</v>
      </c>
      <c r="G3923">
        <v>69</v>
      </c>
      <c r="H3923">
        <v>27861</v>
      </c>
      <c r="I3923">
        <v>5</v>
      </c>
      <c r="J3923">
        <v>59</v>
      </c>
      <c r="K3923">
        <v>643</v>
      </c>
      <c r="L3923">
        <v>639</v>
      </c>
      <c r="M3923">
        <v>11.66666667</v>
      </c>
      <c r="N3923">
        <f>IFERROR(VLOOKUP(A3923,vlookup_table!$A:$G,2,FALSE),"")</f>
        <v>28</v>
      </c>
      <c r="O3923">
        <f>IFERROR(VLOOKUP(A3923,vlookup_table!$A:$G,4,FALSE),"")</f>
        <v>4201</v>
      </c>
      <c r="P3923" t="str">
        <f>IFERROR(VLOOKUP(A3923,vlookup_table!$A:$G,5,FALSE),"")</f>
        <v>S1</v>
      </c>
      <c r="Q3923">
        <f>IFERROR(VLOOKUP(A3923,vlookup_table!$A:$G,7,FALSE),"")</f>
        <v>10</v>
      </c>
      <c r="R3923">
        <f t="shared" si="244"/>
        <v>55</v>
      </c>
      <c r="S3923" t="str" cm="1">
        <f t="array" ref="S3923">IF(P3923="","",_xlfn.SWITCH(LEFT(P3923,1),"C","Ciudad","T","Pueblo","R","Rural","S","Suburbano","U","Urbano",""))</f>
        <v>Suburbano</v>
      </c>
      <c r="T3923" t="str">
        <f t="shared" si="245"/>
        <v>M</v>
      </c>
      <c r="U3923" t="str">
        <f t="shared" si="246"/>
        <v>CA</v>
      </c>
      <c r="V3923" t="str">
        <f t="shared" si="247"/>
        <v>27861</v>
      </c>
    </row>
    <row r="3924" spans="1:22" x14ac:dyDescent="0.35">
      <c r="A3924" s="3">
        <v>126184</v>
      </c>
      <c r="B3924" t="s">
        <v>21</v>
      </c>
      <c r="C3924" t="s">
        <v>17</v>
      </c>
      <c r="D3924">
        <v>444</v>
      </c>
      <c r="E3924">
        <v>221</v>
      </c>
      <c r="F3924">
        <v>272</v>
      </c>
      <c r="G3924">
        <v>1</v>
      </c>
      <c r="H3924">
        <v>7653</v>
      </c>
      <c r="I3924">
        <v>2</v>
      </c>
      <c r="J3924">
        <v>73</v>
      </c>
      <c r="K3924">
        <v>243</v>
      </c>
      <c r="L3924">
        <v>251</v>
      </c>
      <c r="M3924">
        <v>5.7777777779999999</v>
      </c>
      <c r="N3924">
        <f>IFERROR(VLOOKUP(A3924,vlookup_table!$A:$G,2,FALSE),"")</f>
        <v>0</v>
      </c>
      <c r="O3924">
        <f>IFERROR(VLOOKUP(A3924,vlookup_table!$A:$G,4,FALSE),"")</f>
        <v>2801</v>
      </c>
      <c r="P3924" t="str">
        <f>IFERROR(VLOOKUP(A3924,vlookup_table!$A:$G,5,FALSE),"")</f>
        <v>C3</v>
      </c>
      <c r="Q3924">
        <f>IFERROR(VLOOKUP(A3924,vlookup_table!$A:$G,7,FALSE),"")</f>
        <v>7</v>
      </c>
      <c r="R3924">
        <f t="shared" si="244"/>
        <v>69</v>
      </c>
      <c r="S3924" t="str" cm="1">
        <f t="array" ref="S3924">IF(P3924="","",_xlfn.SWITCH(LEFT(P3924,1),"C","Ciudad","T","Pueblo","R","Rural","S","Suburbano","U","Urbano",""))</f>
        <v>Ciudad</v>
      </c>
      <c r="T3924" t="str">
        <f t="shared" si="245"/>
        <v>F</v>
      </c>
      <c r="U3924" t="str">
        <f t="shared" si="246"/>
        <v>TX</v>
      </c>
      <c r="V3924" t="str">
        <f t="shared" si="247"/>
        <v>7653</v>
      </c>
    </row>
    <row r="3925" spans="1:22" x14ac:dyDescent="0.35">
      <c r="A3925" s="3">
        <v>25147</v>
      </c>
      <c r="B3925" t="s">
        <v>46</v>
      </c>
      <c r="C3925" t="s">
        <v>14</v>
      </c>
      <c r="D3925">
        <v>499</v>
      </c>
      <c r="E3925">
        <v>214</v>
      </c>
      <c r="F3925">
        <v>276</v>
      </c>
      <c r="G3925">
        <v>0</v>
      </c>
      <c r="H3925">
        <v>8425</v>
      </c>
      <c r="I3925">
        <v>0</v>
      </c>
      <c r="J3925">
        <v>78</v>
      </c>
      <c r="K3925">
        <v>252</v>
      </c>
      <c r="L3925">
        <v>249</v>
      </c>
      <c r="M3925">
        <v>3.9666666670000001</v>
      </c>
      <c r="N3925">
        <f>IFERROR(VLOOKUP(A3925,vlookup_table!$A:$G,2,FALSE),"")</f>
        <v>72</v>
      </c>
      <c r="O3925">
        <f>IFERROR(VLOOKUP(A3925,vlookup_table!$A:$G,4,FALSE),"")</f>
        <v>2101</v>
      </c>
      <c r="P3925" t="str">
        <f>IFERROR(VLOOKUP(A3925,vlookup_table!$A:$G,5,FALSE),"")</f>
        <v>T1</v>
      </c>
      <c r="Q3925">
        <f>IFERROR(VLOOKUP(A3925,vlookup_table!$A:$G,7,FALSE),"")</f>
        <v>5</v>
      </c>
      <c r="R3925">
        <f t="shared" si="244"/>
        <v>76</v>
      </c>
      <c r="S3925" t="str" cm="1">
        <f t="array" ref="S3925">IF(P3925="","",_xlfn.SWITCH(LEFT(P3925,1),"C","Ciudad","T","Pueblo","R","Rural","S","Suburbano","U","Urbano",""))</f>
        <v>Pueblo</v>
      </c>
      <c r="T3925" t="str">
        <f t="shared" si="245"/>
        <v>M</v>
      </c>
      <c r="U3925" t="str">
        <f t="shared" si="246"/>
        <v>SC</v>
      </c>
      <c r="V3925" t="str">
        <f t="shared" si="247"/>
        <v>8425</v>
      </c>
    </row>
    <row r="3926" spans="1:22" x14ac:dyDescent="0.35">
      <c r="A3926" s="3">
        <v>81200</v>
      </c>
      <c r="B3926" t="s">
        <v>35</v>
      </c>
      <c r="C3926" t="s">
        <v>51</v>
      </c>
      <c r="D3926">
        <v>612</v>
      </c>
      <c r="E3926">
        <v>305</v>
      </c>
      <c r="F3926">
        <v>372</v>
      </c>
      <c r="G3926">
        <v>0</v>
      </c>
      <c r="H3926">
        <v>11671</v>
      </c>
      <c r="I3926">
        <v>1</v>
      </c>
      <c r="J3926">
        <v>84</v>
      </c>
      <c r="K3926">
        <v>332</v>
      </c>
      <c r="L3926">
        <v>346</v>
      </c>
      <c r="M3926">
        <v>20.5</v>
      </c>
      <c r="N3926">
        <f>IFERROR(VLOOKUP(A3926,vlookup_table!$A:$G,2,FALSE),"")</f>
        <v>1</v>
      </c>
      <c r="O3926">
        <f>IFERROR(VLOOKUP(A3926,vlookup_table!$A:$G,4,FALSE),"")</f>
        <v>2908</v>
      </c>
      <c r="P3926" t="str">
        <f>IFERROR(VLOOKUP(A3926,vlookup_table!$A:$G,5,FALSE),"")</f>
        <v>R2</v>
      </c>
      <c r="Q3926">
        <f>IFERROR(VLOOKUP(A3926,vlookup_table!$A:$G,7,FALSE),"")</f>
        <v>5</v>
      </c>
      <c r="R3926">
        <f t="shared" si="244"/>
        <v>68</v>
      </c>
      <c r="S3926" t="str" cm="1">
        <f t="array" ref="S3926">IF(P3926="","",_xlfn.SWITCH(LEFT(P3926,1),"C","Ciudad","T","Pueblo","R","Rural","S","Suburbano","U","Urbano",""))</f>
        <v>Rural</v>
      </c>
      <c r="T3926" t="str">
        <f t="shared" si="245"/>
        <v>M</v>
      </c>
      <c r="U3926" t="str">
        <f t="shared" si="246"/>
        <v>WI</v>
      </c>
      <c r="V3926" t="str">
        <f t="shared" si="247"/>
        <v>11671</v>
      </c>
    </row>
    <row r="3927" spans="1:22" x14ac:dyDescent="0.35">
      <c r="A3927" s="3">
        <v>152657</v>
      </c>
      <c r="B3927" t="s">
        <v>22</v>
      </c>
      <c r="C3927" t="s">
        <v>17</v>
      </c>
      <c r="D3927">
        <v>1841</v>
      </c>
      <c r="E3927">
        <v>376</v>
      </c>
      <c r="F3927">
        <v>450</v>
      </c>
      <c r="G3927">
        <v>46</v>
      </c>
      <c r="H3927">
        <v>17077</v>
      </c>
      <c r="I3927">
        <v>8</v>
      </c>
      <c r="J3927">
        <v>32</v>
      </c>
      <c r="K3927">
        <v>387</v>
      </c>
      <c r="L3927">
        <v>435</v>
      </c>
      <c r="M3927">
        <v>11.625</v>
      </c>
      <c r="N3927">
        <f>IFERROR(VLOOKUP(A3927,vlookup_table!$A:$G,2,FALSE),"")</f>
        <v>0</v>
      </c>
      <c r="O3927">
        <f>IFERROR(VLOOKUP(A3927,vlookup_table!$A:$G,4,FALSE),"")</f>
        <v>5001</v>
      </c>
      <c r="P3927" t="str">
        <f>IFERROR(VLOOKUP(A3927,vlookup_table!$A:$G,5,FALSE),"")</f>
        <v>S2</v>
      </c>
      <c r="Q3927">
        <f>IFERROR(VLOOKUP(A3927,vlookup_table!$A:$G,7,FALSE),"")</f>
        <v>15</v>
      </c>
      <c r="R3927">
        <f t="shared" si="244"/>
        <v>47</v>
      </c>
      <c r="S3927" t="str" cm="1">
        <f t="array" ref="S3927">IF(P3927="","",_xlfn.SWITCH(LEFT(P3927,1),"C","Ciudad","T","Pueblo","R","Rural","S","Suburbano","U","Urbano",""))</f>
        <v>Suburbano</v>
      </c>
      <c r="T3927" t="str">
        <f t="shared" si="245"/>
        <v>F</v>
      </c>
      <c r="U3927" t="str">
        <f t="shared" si="246"/>
        <v>CA</v>
      </c>
      <c r="V3927" t="str">
        <f t="shared" si="247"/>
        <v>17077</v>
      </c>
    </row>
    <row r="3928" spans="1:22" x14ac:dyDescent="0.35">
      <c r="A3928" s="3">
        <v>16329</v>
      </c>
      <c r="B3928" t="s">
        <v>18</v>
      </c>
      <c r="C3928" t="s">
        <v>17</v>
      </c>
      <c r="D3928">
        <v>683</v>
      </c>
      <c r="E3928">
        <v>312</v>
      </c>
      <c r="F3928">
        <v>354</v>
      </c>
      <c r="G3928">
        <v>0</v>
      </c>
      <c r="H3928">
        <v>11075</v>
      </c>
      <c r="I3928">
        <v>0</v>
      </c>
      <c r="J3928">
        <v>78</v>
      </c>
      <c r="K3928">
        <v>337</v>
      </c>
      <c r="L3928">
        <v>329</v>
      </c>
      <c r="M3928">
        <v>4.8666666669999996</v>
      </c>
      <c r="N3928">
        <f>IFERROR(VLOOKUP(A3928,vlookup_table!$A:$G,2,FALSE),"")</f>
        <v>0</v>
      </c>
      <c r="O3928">
        <f>IFERROR(VLOOKUP(A3928,vlookup_table!$A:$G,4,FALSE),"")</f>
        <v>4701</v>
      </c>
      <c r="P3928" t="str">
        <f>IFERROR(VLOOKUP(A3928,vlookup_table!$A:$G,5,FALSE),"")</f>
        <v>T2</v>
      </c>
      <c r="Q3928">
        <f>IFERROR(VLOOKUP(A3928,vlookup_table!$A:$G,7,FALSE),"")</f>
        <v>7</v>
      </c>
      <c r="R3928">
        <f t="shared" si="244"/>
        <v>50</v>
      </c>
      <c r="S3928" t="str" cm="1">
        <f t="array" ref="S3928">IF(P3928="","",_xlfn.SWITCH(LEFT(P3928,1),"C","Ciudad","T","Pueblo","R","Rural","S","Suburbano","U","Urbano",""))</f>
        <v>Pueblo</v>
      </c>
      <c r="T3928" t="str">
        <f t="shared" si="245"/>
        <v>F</v>
      </c>
      <c r="U3928" t="str">
        <f t="shared" si="246"/>
        <v>NC</v>
      </c>
      <c r="V3928" t="str">
        <f t="shared" si="247"/>
        <v>11075</v>
      </c>
    </row>
    <row r="3929" spans="1:22" x14ac:dyDescent="0.35">
      <c r="A3929" s="3">
        <v>87508</v>
      </c>
      <c r="B3929" t="s">
        <v>34</v>
      </c>
      <c r="C3929" t="s">
        <v>17</v>
      </c>
      <c r="D3929">
        <v>621</v>
      </c>
      <c r="E3929">
        <v>214</v>
      </c>
      <c r="F3929">
        <v>297</v>
      </c>
      <c r="G3929">
        <v>0</v>
      </c>
      <c r="H3929">
        <v>9788</v>
      </c>
      <c r="I3929">
        <v>1</v>
      </c>
      <c r="J3929">
        <v>47</v>
      </c>
      <c r="K3929">
        <v>239</v>
      </c>
      <c r="L3929">
        <v>270</v>
      </c>
      <c r="M3929">
        <v>6.263157895</v>
      </c>
      <c r="N3929">
        <f>IFERROR(VLOOKUP(A3929,vlookup_table!$A:$G,2,FALSE),"")</f>
        <v>1002</v>
      </c>
      <c r="O3929">
        <f>IFERROR(VLOOKUP(A3929,vlookup_table!$A:$G,4,FALSE),"")</f>
        <v>5207</v>
      </c>
      <c r="P3929" t="str">
        <f>IFERROR(VLOOKUP(A3929,vlookup_table!$A:$G,5,FALSE),"")</f>
        <v>R2</v>
      </c>
      <c r="Q3929">
        <f>IFERROR(VLOOKUP(A3929,vlookup_table!$A:$G,7,FALSE),"")</f>
        <v>9</v>
      </c>
      <c r="R3929">
        <f t="shared" si="244"/>
        <v>45</v>
      </c>
      <c r="S3929" t="str" cm="1">
        <f t="array" ref="S3929">IF(P3929="","",_xlfn.SWITCH(LEFT(P3929,1),"C","Ciudad","T","Pueblo","R","Rural","S","Suburbano","U","Urbano",""))</f>
        <v>Rural</v>
      </c>
      <c r="T3929" t="str">
        <f t="shared" si="245"/>
        <v>F</v>
      </c>
      <c r="U3929" t="str">
        <f t="shared" si="246"/>
        <v>MT</v>
      </c>
      <c r="V3929" t="str">
        <f t="shared" si="247"/>
        <v>9788</v>
      </c>
    </row>
    <row r="3930" spans="1:22" x14ac:dyDescent="0.35">
      <c r="A3930" s="3">
        <v>190311</v>
      </c>
      <c r="B3930" t="s">
        <v>46</v>
      </c>
      <c r="C3930" t="s">
        <v>14</v>
      </c>
      <c r="D3930">
        <v>550</v>
      </c>
      <c r="E3930">
        <v>249</v>
      </c>
      <c r="F3930">
        <v>410</v>
      </c>
      <c r="G3930">
        <v>0</v>
      </c>
      <c r="H3930">
        <v>19689</v>
      </c>
      <c r="I3930">
        <v>8</v>
      </c>
      <c r="J3930">
        <v>38</v>
      </c>
      <c r="K3930">
        <v>419</v>
      </c>
      <c r="L3930">
        <v>305</v>
      </c>
      <c r="M3930">
        <v>14.35869565</v>
      </c>
      <c r="N3930">
        <f>IFERROR(VLOOKUP(A3930,vlookup_table!$A:$G,2,FALSE),"")</f>
        <v>1</v>
      </c>
      <c r="O3930">
        <f>IFERROR(VLOOKUP(A3930,vlookup_table!$A:$G,4,FALSE),"")</f>
        <v>0</v>
      </c>
      <c r="P3930" t="str">
        <f>IFERROR(VLOOKUP(A3930,vlookup_table!$A:$G,5,FALSE),"")</f>
        <v>S2</v>
      </c>
      <c r="Q3930">
        <f>IFERROR(VLOOKUP(A3930,vlookup_table!$A:$G,7,FALSE),"")</f>
        <v>15</v>
      </c>
      <c r="R3930">
        <f t="shared" si="244"/>
        <v>97</v>
      </c>
      <c r="S3930" t="str" cm="1">
        <f t="array" ref="S3930">IF(P3930="","",_xlfn.SWITCH(LEFT(P3930,1),"C","Ciudad","T","Pueblo","R","Rural","S","Suburbano","U","Urbano",""))</f>
        <v>Suburbano</v>
      </c>
      <c r="T3930" t="str">
        <f t="shared" si="245"/>
        <v>M</v>
      </c>
      <c r="U3930" t="str">
        <f t="shared" si="246"/>
        <v>SC</v>
      </c>
      <c r="V3930" t="str">
        <f t="shared" si="247"/>
        <v>19689</v>
      </c>
    </row>
    <row r="3931" spans="1:22" x14ac:dyDescent="0.35">
      <c r="A3931" s="3">
        <v>165314</v>
      </c>
      <c r="B3931" t="s">
        <v>22</v>
      </c>
      <c r="C3931" t="s">
        <v>17</v>
      </c>
      <c r="D3931">
        <v>1203</v>
      </c>
      <c r="E3931">
        <v>290</v>
      </c>
      <c r="F3931">
        <v>604</v>
      </c>
      <c r="G3931">
        <v>0</v>
      </c>
      <c r="H3931">
        <v>19183</v>
      </c>
      <c r="I3931">
        <v>19</v>
      </c>
      <c r="J3931">
        <v>78</v>
      </c>
      <c r="K3931">
        <v>413</v>
      </c>
      <c r="L3931">
        <v>493</v>
      </c>
      <c r="M3931">
        <v>16.5</v>
      </c>
      <c r="N3931">
        <f>IFERROR(VLOOKUP(A3931,vlookup_table!$A:$G,2,FALSE),"")</f>
        <v>0</v>
      </c>
      <c r="O3931">
        <f>IFERROR(VLOOKUP(A3931,vlookup_table!$A:$G,4,FALSE),"")</f>
        <v>4701</v>
      </c>
      <c r="P3931" t="str">
        <f>IFERROR(VLOOKUP(A3931,vlookup_table!$A:$G,5,FALSE),"")</f>
        <v>S1</v>
      </c>
      <c r="Q3931">
        <f>IFERROR(VLOOKUP(A3931,vlookup_table!$A:$G,7,FALSE),"")</f>
        <v>25</v>
      </c>
      <c r="R3931">
        <f t="shared" si="244"/>
        <v>50</v>
      </c>
      <c r="S3931" t="str" cm="1">
        <f t="array" ref="S3931">IF(P3931="","",_xlfn.SWITCH(LEFT(P3931,1),"C","Ciudad","T","Pueblo","R","Rural","S","Suburbano","U","Urbano",""))</f>
        <v>Suburbano</v>
      </c>
      <c r="T3931" t="str">
        <f t="shared" si="245"/>
        <v>F</v>
      </c>
      <c r="U3931" t="str">
        <f t="shared" si="246"/>
        <v>CA</v>
      </c>
      <c r="V3931" t="str">
        <f t="shared" si="247"/>
        <v>19183</v>
      </c>
    </row>
    <row r="3932" spans="1:22" x14ac:dyDescent="0.35">
      <c r="A3932" s="3">
        <v>160570</v>
      </c>
      <c r="B3932" t="s">
        <v>40</v>
      </c>
      <c r="C3932" t="s">
        <v>51</v>
      </c>
      <c r="D3932">
        <v>1412</v>
      </c>
      <c r="E3932">
        <v>399</v>
      </c>
      <c r="F3932">
        <v>457</v>
      </c>
      <c r="G3932">
        <v>17</v>
      </c>
      <c r="H3932">
        <v>15307</v>
      </c>
      <c r="I3932">
        <v>4</v>
      </c>
      <c r="J3932">
        <v>58</v>
      </c>
      <c r="K3932">
        <v>413</v>
      </c>
      <c r="L3932">
        <v>442</v>
      </c>
      <c r="M3932">
        <v>15.33333333</v>
      </c>
      <c r="N3932">
        <f>IFERROR(VLOOKUP(A3932,vlookup_table!$A:$G,2,FALSE),"")</f>
        <v>0</v>
      </c>
      <c r="O3932">
        <f>IFERROR(VLOOKUP(A3932,vlookup_table!$A:$G,4,FALSE),"")</f>
        <v>2401</v>
      </c>
      <c r="P3932" t="str">
        <f>IFERROR(VLOOKUP(A3932,vlookup_table!$A:$G,5,FALSE),"")</f>
        <v>T1</v>
      </c>
      <c r="Q3932">
        <f>IFERROR(VLOOKUP(A3932,vlookup_table!$A:$G,7,FALSE),"")</f>
        <v>15</v>
      </c>
      <c r="R3932">
        <f t="shared" si="244"/>
        <v>73</v>
      </c>
      <c r="S3932" t="str" cm="1">
        <f t="array" ref="S3932">IF(P3932="","",_xlfn.SWITCH(LEFT(P3932,1),"C","Ciudad","T","Pueblo","R","Rural","S","Suburbano","U","Urbano",""))</f>
        <v>Pueblo</v>
      </c>
      <c r="T3932" t="str">
        <f t="shared" si="245"/>
        <v>M</v>
      </c>
      <c r="U3932" t="str">
        <f t="shared" si="246"/>
        <v>WA</v>
      </c>
      <c r="V3932" t="str">
        <f t="shared" si="247"/>
        <v>15307</v>
      </c>
    </row>
    <row r="3933" spans="1:22" x14ac:dyDescent="0.35">
      <c r="A3933" s="3">
        <v>151806</v>
      </c>
      <c r="B3933" t="s">
        <v>22</v>
      </c>
      <c r="C3933" t="s">
        <v>14</v>
      </c>
      <c r="D3933">
        <v>1420</v>
      </c>
      <c r="E3933">
        <v>351</v>
      </c>
      <c r="F3933">
        <v>420</v>
      </c>
      <c r="G3933">
        <v>4</v>
      </c>
      <c r="H3933">
        <v>14537</v>
      </c>
      <c r="I3933">
        <v>14</v>
      </c>
      <c r="J3933">
        <v>49</v>
      </c>
      <c r="K3933">
        <v>433</v>
      </c>
      <c r="L3933">
        <v>388</v>
      </c>
      <c r="M3933">
        <v>4.5</v>
      </c>
      <c r="N3933">
        <f>IFERROR(VLOOKUP(A3933,vlookup_table!$A:$G,2,FALSE),"")</f>
        <v>1</v>
      </c>
      <c r="O3933">
        <f>IFERROR(VLOOKUP(A3933,vlookup_table!$A:$G,4,FALSE),"")</f>
        <v>2501</v>
      </c>
      <c r="P3933" t="str">
        <f>IFERROR(VLOOKUP(A3933,vlookup_table!$A:$G,5,FALSE),"")</f>
        <v>S2</v>
      </c>
      <c r="Q3933">
        <f>IFERROR(VLOOKUP(A3933,vlookup_table!$A:$G,7,FALSE),"")</f>
        <v>4</v>
      </c>
      <c r="R3933">
        <f t="shared" si="244"/>
        <v>72</v>
      </c>
      <c r="S3933" t="str" cm="1">
        <f t="array" ref="S3933">IF(P3933="","",_xlfn.SWITCH(LEFT(P3933,1),"C","Ciudad","T","Pueblo","R","Rural","S","Suburbano","U","Urbano",""))</f>
        <v>Suburbano</v>
      </c>
      <c r="T3933" t="str">
        <f t="shared" si="245"/>
        <v>M</v>
      </c>
      <c r="U3933" t="str">
        <f t="shared" si="246"/>
        <v>CA</v>
      </c>
      <c r="V3933" t="str">
        <f t="shared" si="247"/>
        <v>14537</v>
      </c>
    </row>
    <row r="3934" spans="1:22" x14ac:dyDescent="0.35">
      <c r="A3934" s="3">
        <v>51731</v>
      </c>
      <c r="B3934" t="s">
        <v>53</v>
      </c>
      <c r="C3934" t="s">
        <v>14</v>
      </c>
      <c r="D3934">
        <v>640</v>
      </c>
      <c r="E3934">
        <v>226</v>
      </c>
      <c r="F3934">
        <v>351</v>
      </c>
      <c r="G3934">
        <v>1</v>
      </c>
      <c r="H3934">
        <v>11829</v>
      </c>
      <c r="I3934">
        <v>1</v>
      </c>
      <c r="J3934">
        <v>55</v>
      </c>
      <c r="K3934">
        <v>302</v>
      </c>
      <c r="L3934">
        <v>289</v>
      </c>
      <c r="M3934">
        <v>10.75</v>
      </c>
      <c r="N3934">
        <f>IFERROR(VLOOKUP(A3934,vlookup_table!$A:$G,2,FALSE),"")</f>
        <v>1</v>
      </c>
      <c r="O3934">
        <f>IFERROR(VLOOKUP(A3934,vlookup_table!$A:$G,4,FALSE),"")</f>
        <v>5101</v>
      </c>
      <c r="P3934" t="str">
        <f>IFERROR(VLOOKUP(A3934,vlookup_table!$A:$G,5,FALSE),"")</f>
        <v>T2</v>
      </c>
      <c r="Q3934">
        <f>IFERROR(VLOOKUP(A3934,vlookup_table!$A:$G,7,FALSE),"")</f>
        <v>20</v>
      </c>
      <c r="R3934">
        <f t="shared" si="244"/>
        <v>46</v>
      </c>
      <c r="S3934" t="str" cm="1">
        <f t="array" ref="S3934">IF(P3934="","",_xlfn.SWITCH(LEFT(P3934,1),"C","Ciudad","T","Pueblo","R","Rural","S","Suburbano","U","Urbano",""))</f>
        <v>Pueblo</v>
      </c>
      <c r="T3934" t="str">
        <f t="shared" si="245"/>
        <v>M</v>
      </c>
      <c r="U3934" t="str">
        <f t="shared" si="246"/>
        <v>TN</v>
      </c>
      <c r="V3934" t="str">
        <f t="shared" si="247"/>
        <v>11829</v>
      </c>
    </row>
    <row r="3935" spans="1:22" x14ac:dyDescent="0.35">
      <c r="A3935" s="3">
        <v>17418</v>
      </c>
      <c r="B3935" t="s">
        <v>18</v>
      </c>
      <c r="C3935" t="s">
        <v>17</v>
      </c>
      <c r="D3935">
        <v>853</v>
      </c>
      <c r="E3935">
        <v>289</v>
      </c>
      <c r="F3935">
        <v>440</v>
      </c>
      <c r="G3935">
        <v>2</v>
      </c>
      <c r="H3935">
        <v>17351</v>
      </c>
      <c r="I3935">
        <v>9</v>
      </c>
      <c r="J3935">
        <v>51</v>
      </c>
      <c r="K3935">
        <v>450</v>
      </c>
      <c r="L3935">
        <v>331</v>
      </c>
      <c r="M3935">
        <v>9.75</v>
      </c>
      <c r="N3935">
        <f>IFERROR(VLOOKUP(A3935,vlookup_table!$A:$G,2,FALSE),"")</f>
        <v>0</v>
      </c>
      <c r="O3935">
        <f>IFERROR(VLOOKUP(A3935,vlookup_table!$A:$G,4,FALSE),"")</f>
        <v>5401</v>
      </c>
      <c r="P3935" t="str">
        <f>IFERROR(VLOOKUP(A3935,vlookup_table!$A:$G,5,FALSE),"")</f>
        <v>S1</v>
      </c>
      <c r="Q3935">
        <f>IFERROR(VLOOKUP(A3935,vlookup_table!$A:$G,7,FALSE),"")</f>
        <v>13</v>
      </c>
      <c r="R3935">
        <f t="shared" si="244"/>
        <v>43</v>
      </c>
      <c r="S3935" t="str" cm="1">
        <f t="array" ref="S3935">IF(P3935="","",_xlfn.SWITCH(LEFT(P3935,1),"C","Ciudad","T","Pueblo","R","Rural","S","Suburbano","U","Urbano",""))</f>
        <v>Suburbano</v>
      </c>
      <c r="T3935" t="str">
        <f t="shared" si="245"/>
        <v>F</v>
      </c>
      <c r="U3935" t="str">
        <f t="shared" si="246"/>
        <v>NC</v>
      </c>
      <c r="V3935" t="str">
        <f t="shared" si="247"/>
        <v>17351</v>
      </c>
    </row>
    <row r="3936" spans="1:22" x14ac:dyDescent="0.35">
      <c r="A3936" s="3">
        <v>103953</v>
      </c>
      <c r="B3936" t="s">
        <v>36</v>
      </c>
      <c r="C3936" t="s">
        <v>17</v>
      </c>
      <c r="D3936">
        <v>868</v>
      </c>
      <c r="E3936">
        <v>359</v>
      </c>
      <c r="F3936">
        <v>430</v>
      </c>
      <c r="G3936">
        <v>3</v>
      </c>
      <c r="H3936">
        <v>14270</v>
      </c>
      <c r="I3936">
        <v>1</v>
      </c>
      <c r="J3936">
        <v>60</v>
      </c>
      <c r="K3936">
        <v>384</v>
      </c>
      <c r="L3936">
        <v>399</v>
      </c>
      <c r="M3936">
        <v>2.3157894739999998</v>
      </c>
      <c r="N3936">
        <f>IFERROR(VLOOKUP(A3936,vlookup_table!$A:$G,2,FALSE),"")</f>
        <v>0</v>
      </c>
      <c r="O3936">
        <f>IFERROR(VLOOKUP(A3936,vlookup_table!$A:$G,4,FALSE),"")</f>
        <v>0</v>
      </c>
      <c r="P3936" t="str">
        <f>IFERROR(VLOOKUP(A3936,vlookup_table!$A:$G,5,FALSE),"")</f>
        <v>T2</v>
      </c>
      <c r="Q3936">
        <f>IFERROR(VLOOKUP(A3936,vlookup_table!$A:$G,7,FALSE),"")</f>
        <v>5</v>
      </c>
      <c r="R3936">
        <f t="shared" si="244"/>
        <v>97</v>
      </c>
      <c r="S3936" t="str" cm="1">
        <f t="array" ref="S3936">IF(P3936="","",_xlfn.SWITCH(LEFT(P3936,1),"C","Ciudad","T","Pueblo","R","Rural","S","Suburbano","U","Urbano",""))</f>
        <v>Pueblo</v>
      </c>
      <c r="T3936" t="str">
        <f t="shared" si="245"/>
        <v>F</v>
      </c>
      <c r="U3936" t="str">
        <f t="shared" si="246"/>
        <v>MO</v>
      </c>
      <c r="V3936" t="str">
        <f t="shared" si="247"/>
        <v>14270</v>
      </c>
    </row>
    <row r="3937" spans="1:22" x14ac:dyDescent="0.35">
      <c r="A3937" s="3">
        <v>14552</v>
      </c>
      <c r="B3937" t="s">
        <v>13</v>
      </c>
      <c r="C3937" t="s">
        <v>14</v>
      </c>
      <c r="D3937">
        <v>1518</v>
      </c>
      <c r="E3937">
        <v>449</v>
      </c>
      <c r="F3937">
        <v>523</v>
      </c>
      <c r="G3937">
        <v>26</v>
      </c>
      <c r="H3937">
        <v>17518</v>
      </c>
      <c r="I3937">
        <v>11</v>
      </c>
      <c r="J3937">
        <v>39</v>
      </c>
      <c r="K3937">
        <v>469</v>
      </c>
      <c r="L3937">
        <v>494</v>
      </c>
      <c r="M3937">
        <v>10.7</v>
      </c>
      <c r="N3937">
        <f>IFERROR(VLOOKUP(A3937,vlookup_table!$A:$G,2,FALSE),"")</f>
        <v>0</v>
      </c>
      <c r="O3937">
        <f>IFERROR(VLOOKUP(A3937,vlookup_table!$A:$G,4,FALSE),"")</f>
        <v>4906</v>
      </c>
      <c r="P3937" t="str">
        <f>IFERROR(VLOOKUP(A3937,vlookup_table!$A:$G,5,FALSE),"")</f>
        <v>T1</v>
      </c>
      <c r="Q3937">
        <f>IFERROR(VLOOKUP(A3937,vlookup_table!$A:$G,7,FALSE),"")</f>
        <v>16</v>
      </c>
      <c r="R3937">
        <f t="shared" si="244"/>
        <v>48</v>
      </c>
      <c r="S3937" t="str" cm="1">
        <f t="array" ref="S3937">IF(P3937="","",_xlfn.SWITCH(LEFT(P3937,1),"C","Ciudad","T","Pueblo","R","Rural","S","Suburbano","U","Urbano",""))</f>
        <v>Pueblo</v>
      </c>
      <c r="T3937" t="str">
        <f t="shared" si="245"/>
        <v>M</v>
      </c>
      <c r="U3937" t="str">
        <f t="shared" si="246"/>
        <v>FL</v>
      </c>
      <c r="V3937" t="str">
        <f t="shared" si="247"/>
        <v>17518</v>
      </c>
    </row>
    <row r="3938" spans="1:22" x14ac:dyDescent="0.35">
      <c r="A3938" s="3">
        <v>186109</v>
      </c>
      <c r="B3938" t="s">
        <v>16</v>
      </c>
      <c r="C3938" t="s">
        <v>17</v>
      </c>
      <c r="D3938">
        <v>590</v>
      </c>
      <c r="E3938">
        <v>353</v>
      </c>
      <c r="F3938">
        <v>409</v>
      </c>
      <c r="G3938">
        <v>1</v>
      </c>
      <c r="H3938">
        <v>13030</v>
      </c>
      <c r="I3938">
        <v>2</v>
      </c>
      <c r="J3938">
        <v>83</v>
      </c>
      <c r="K3938">
        <v>403</v>
      </c>
      <c r="L3938">
        <v>362</v>
      </c>
      <c r="M3938">
        <v>8.2173913039999995</v>
      </c>
      <c r="N3938">
        <f>IFERROR(VLOOKUP(A3938,vlookup_table!$A:$G,2,FALSE),"")</f>
        <v>28028</v>
      </c>
      <c r="O3938">
        <f>IFERROR(VLOOKUP(A3938,vlookup_table!$A:$G,4,FALSE),"")</f>
        <v>1309</v>
      </c>
      <c r="P3938" t="str">
        <f>IFERROR(VLOOKUP(A3938,vlookup_table!$A:$G,5,FALSE),"")</f>
        <v>T2</v>
      </c>
      <c r="Q3938">
        <f>IFERROR(VLOOKUP(A3938,vlookup_table!$A:$G,7,FALSE),"")</f>
        <v>8</v>
      </c>
      <c r="R3938">
        <f t="shared" si="244"/>
        <v>84</v>
      </c>
      <c r="S3938" t="str" cm="1">
        <f t="array" ref="S3938">IF(P3938="","",_xlfn.SWITCH(LEFT(P3938,1),"C","Ciudad","T","Pueblo","R","Rural","S","Suburbano","U","Urbano",""))</f>
        <v>Pueblo</v>
      </c>
      <c r="T3938" t="str">
        <f t="shared" si="245"/>
        <v>F</v>
      </c>
      <c r="U3938" t="str">
        <f t="shared" si="246"/>
        <v>IL</v>
      </c>
      <c r="V3938" t="str">
        <f t="shared" si="247"/>
        <v>13030</v>
      </c>
    </row>
    <row r="3939" spans="1:22" x14ac:dyDescent="0.35">
      <c r="A3939" s="3">
        <v>40283</v>
      </c>
      <c r="B3939" t="s">
        <v>13</v>
      </c>
      <c r="C3939" t="s">
        <v>17</v>
      </c>
      <c r="D3939">
        <v>801</v>
      </c>
      <c r="E3939">
        <v>301</v>
      </c>
      <c r="F3939">
        <v>408</v>
      </c>
      <c r="G3939">
        <v>0</v>
      </c>
      <c r="H3939">
        <v>13339</v>
      </c>
      <c r="I3939">
        <v>17</v>
      </c>
      <c r="J3939">
        <v>21</v>
      </c>
      <c r="K3939">
        <v>370</v>
      </c>
      <c r="L3939">
        <v>360</v>
      </c>
      <c r="M3939">
        <v>15.2</v>
      </c>
      <c r="N3939">
        <f>IFERROR(VLOOKUP(A3939,vlookup_table!$A:$G,2,FALSE),"")</f>
        <v>0</v>
      </c>
      <c r="O3939">
        <f>IFERROR(VLOOKUP(A3939,vlookup_table!$A:$G,4,FALSE),"")</f>
        <v>5502</v>
      </c>
      <c r="P3939" t="str">
        <f>IFERROR(VLOOKUP(A3939,vlookup_table!$A:$G,5,FALSE),"")</f>
        <v>C2</v>
      </c>
      <c r="Q3939">
        <f>IFERROR(VLOOKUP(A3939,vlookup_table!$A:$G,7,FALSE),"")</f>
        <v>25</v>
      </c>
      <c r="R3939">
        <f t="shared" si="244"/>
        <v>42</v>
      </c>
      <c r="S3939" t="str" cm="1">
        <f t="array" ref="S3939">IF(P3939="","",_xlfn.SWITCH(LEFT(P3939,1),"C","Ciudad","T","Pueblo","R","Rural","S","Suburbano","U","Urbano",""))</f>
        <v>Ciudad</v>
      </c>
      <c r="T3939" t="str">
        <f t="shared" si="245"/>
        <v>F</v>
      </c>
      <c r="U3939" t="str">
        <f t="shared" si="246"/>
        <v>FL</v>
      </c>
      <c r="V3939" t="str">
        <f t="shared" si="247"/>
        <v>13339</v>
      </c>
    </row>
    <row r="3940" spans="1:22" x14ac:dyDescent="0.35">
      <c r="A3940" s="3">
        <v>142161</v>
      </c>
      <c r="B3940" t="s">
        <v>24</v>
      </c>
      <c r="C3940" t="s">
        <v>14</v>
      </c>
      <c r="D3940">
        <v>675</v>
      </c>
      <c r="E3940">
        <v>336</v>
      </c>
      <c r="F3940">
        <v>372</v>
      </c>
      <c r="G3940">
        <v>0</v>
      </c>
      <c r="H3940">
        <v>11280</v>
      </c>
      <c r="I3940">
        <v>1</v>
      </c>
      <c r="J3940">
        <v>28</v>
      </c>
      <c r="K3940">
        <v>375</v>
      </c>
      <c r="L3940">
        <v>325</v>
      </c>
      <c r="M3940">
        <v>5</v>
      </c>
      <c r="N3940">
        <f>IFERROR(VLOOKUP(A3940,vlookup_table!$A:$G,2,FALSE),"")</f>
        <v>0</v>
      </c>
      <c r="O3940">
        <f>IFERROR(VLOOKUP(A3940,vlookup_table!$A:$G,4,FALSE),"")</f>
        <v>3001</v>
      </c>
      <c r="P3940" t="str">
        <f>IFERROR(VLOOKUP(A3940,vlookup_table!$A:$G,5,FALSE),"")</f>
        <v>T2</v>
      </c>
      <c r="Q3940">
        <f>IFERROR(VLOOKUP(A3940,vlookup_table!$A:$G,7,FALSE),"")</f>
        <v>5</v>
      </c>
      <c r="R3940">
        <f t="shared" si="244"/>
        <v>67</v>
      </c>
      <c r="S3940" t="str" cm="1">
        <f t="array" ref="S3940">IF(P3940="","",_xlfn.SWITCH(LEFT(P3940,1),"C","Ciudad","T","Pueblo","R","Rural","S","Suburbano","U","Urbano",""))</f>
        <v>Pueblo</v>
      </c>
      <c r="T3940" t="str">
        <f t="shared" si="245"/>
        <v>M</v>
      </c>
      <c r="U3940" t="str">
        <f t="shared" si="246"/>
        <v>NV</v>
      </c>
      <c r="V3940" t="str">
        <f t="shared" si="247"/>
        <v>11280</v>
      </c>
    </row>
    <row r="3941" spans="1:22" x14ac:dyDescent="0.35">
      <c r="A3941" s="3">
        <v>181337</v>
      </c>
      <c r="B3941" t="s">
        <v>40</v>
      </c>
      <c r="C3941" t="s">
        <v>17</v>
      </c>
      <c r="D3941">
        <v>1217</v>
      </c>
      <c r="E3941">
        <v>465</v>
      </c>
      <c r="F3941">
        <v>598</v>
      </c>
      <c r="G3941">
        <v>19</v>
      </c>
      <c r="H3941">
        <v>29913</v>
      </c>
      <c r="I3941">
        <v>5</v>
      </c>
      <c r="J3941">
        <v>52</v>
      </c>
      <c r="K3941">
        <v>506</v>
      </c>
      <c r="L3941">
        <v>556</v>
      </c>
      <c r="M3941">
        <v>9.8571428569999995</v>
      </c>
      <c r="N3941">
        <f>IFERROR(VLOOKUP(A3941,vlookup_table!$A:$G,2,FALSE),"")</f>
        <v>2</v>
      </c>
      <c r="O3941">
        <f>IFERROR(VLOOKUP(A3941,vlookup_table!$A:$G,4,FALSE),"")</f>
        <v>3011</v>
      </c>
      <c r="P3941" t="str">
        <f>IFERROR(VLOOKUP(A3941,vlookup_table!$A:$G,5,FALSE),"")</f>
        <v>C1</v>
      </c>
      <c r="Q3941">
        <f>IFERROR(VLOOKUP(A3941,vlookup_table!$A:$G,7,FALSE),"")</f>
        <v>12</v>
      </c>
      <c r="R3941">
        <f t="shared" si="244"/>
        <v>67</v>
      </c>
      <c r="S3941" t="str" cm="1">
        <f t="array" ref="S3941">IF(P3941="","",_xlfn.SWITCH(LEFT(P3941,1),"C","Ciudad","T","Pueblo","R","Rural","S","Suburbano","U","Urbano",""))</f>
        <v>Ciudad</v>
      </c>
      <c r="T3941" t="str">
        <f t="shared" si="245"/>
        <v>F</v>
      </c>
      <c r="U3941" t="str">
        <f t="shared" si="246"/>
        <v>WA</v>
      </c>
      <c r="V3941" t="str">
        <f t="shared" si="247"/>
        <v>29913</v>
      </c>
    </row>
    <row r="3942" spans="1:22" x14ac:dyDescent="0.35">
      <c r="A3942" s="3">
        <v>161646</v>
      </c>
      <c r="B3942" t="s">
        <v>22</v>
      </c>
      <c r="C3942" t="s">
        <v>14</v>
      </c>
      <c r="D3942">
        <v>1897</v>
      </c>
      <c r="E3942">
        <v>369</v>
      </c>
      <c r="F3942">
        <v>520</v>
      </c>
      <c r="G3942">
        <v>41</v>
      </c>
      <c r="H3942">
        <v>18370</v>
      </c>
      <c r="I3942">
        <v>9</v>
      </c>
      <c r="J3942">
        <v>58</v>
      </c>
      <c r="K3942">
        <v>481</v>
      </c>
      <c r="L3942">
        <v>433</v>
      </c>
      <c r="M3942">
        <v>23</v>
      </c>
      <c r="N3942">
        <f>IFERROR(VLOOKUP(A3942,vlookup_table!$A:$G,2,FALSE),"")</f>
        <v>1</v>
      </c>
      <c r="O3942">
        <f>IFERROR(VLOOKUP(A3942,vlookup_table!$A:$G,4,FALSE),"")</f>
        <v>0</v>
      </c>
      <c r="P3942" t="str">
        <f>IFERROR(VLOOKUP(A3942,vlookup_table!$A:$G,5,FALSE),"")</f>
        <v>C1</v>
      </c>
      <c r="Q3942">
        <f>IFERROR(VLOOKUP(A3942,vlookup_table!$A:$G,7,FALSE),"")</f>
        <v>23</v>
      </c>
      <c r="R3942">
        <f t="shared" si="244"/>
        <v>97</v>
      </c>
      <c r="S3942" t="str" cm="1">
        <f t="array" ref="S3942">IF(P3942="","",_xlfn.SWITCH(LEFT(P3942,1),"C","Ciudad","T","Pueblo","R","Rural","S","Suburbano","U","Urbano",""))</f>
        <v>Ciudad</v>
      </c>
      <c r="T3942" t="str">
        <f t="shared" si="245"/>
        <v>M</v>
      </c>
      <c r="U3942" t="str">
        <f t="shared" si="246"/>
        <v>CA</v>
      </c>
      <c r="V3942" t="str">
        <f t="shared" si="247"/>
        <v>18370</v>
      </c>
    </row>
    <row r="3943" spans="1:22" x14ac:dyDescent="0.35">
      <c r="A3943" s="3">
        <v>181869</v>
      </c>
      <c r="B3943" t="s">
        <v>40</v>
      </c>
      <c r="C3943" t="s">
        <v>51</v>
      </c>
      <c r="D3943">
        <v>1038</v>
      </c>
      <c r="E3943">
        <v>294</v>
      </c>
      <c r="F3943">
        <v>344</v>
      </c>
      <c r="G3943">
        <v>3</v>
      </c>
      <c r="H3943">
        <v>12639</v>
      </c>
      <c r="I3943">
        <v>2</v>
      </c>
      <c r="J3943">
        <v>46</v>
      </c>
      <c r="K3943">
        <v>317</v>
      </c>
      <c r="L3943">
        <v>325</v>
      </c>
      <c r="M3943">
        <v>7</v>
      </c>
      <c r="N3943">
        <f>IFERROR(VLOOKUP(A3943,vlookup_table!$A:$G,2,FALSE),"")</f>
        <v>1</v>
      </c>
      <c r="O3943">
        <f>IFERROR(VLOOKUP(A3943,vlookup_table!$A:$G,4,FALSE),"")</f>
        <v>2201</v>
      </c>
      <c r="P3943" t="str">
        <f>IFERROR(VLOOKUP(A3943,vlookup_table!$A:$G,5,FALSE),"")</f>
        <v>T2</v>
      </c>
      <c r="Q3943">
        <f>IFERROR(VLOOKUP(A3943,vlookup_table!$A:$G,7,FALSE),"")</f>
        <v>10</v>
      </c>
      <c r="R3943">
        <f t="shared" si="244"/>
        <v>75</v>
      </c>
      <c r="S3943" t="str" cm="1">
        <f t="array" ref="S3943">IF(P3943="","",_xlfn.SWITCH(LEFT(P3943,1),"C","Ciudad","T","Pueblo","R","Rural","S","Suburbano","U","Urbano",""))</f>
        <v>Pueblo</v>
      </c>
      <c r="T3943" t="str">
        <f t="shared" si="245"/>
        <v>M</v>
      </c>
      <c r="U3943" t="str">
        <f t="shared" si="246"/>
        <v>WA</v>
      </c>
      <c r="V3943" t="str">
        <f t="shared" si="247"/>
        <v>12639</v>
      </c>
    </row>
    <row r="3944" spans="1:22" x14ac:dyDescent="0.35">
      <c r="A3944" s="3">
        <v>55302</v>
      </c>
      <c r="B3944" t="s">
        <v>62</v>
      </c>
      <c r="C3944" t="s">
        <v>14</v>
      </c>
      <c r="D3944">
        <v>878</v>
      </c>
      <c r="E3944">
        <v>607</v>
      </c>
      <c r="F3944">
        <v>654</v>
      </c>
      <c r="G3944">
        <v>1</v>
      </c>
      <c r="H3944">
        <v>20596</v>
      </c>
      <c r="I3944">
        <v>1</v>
      </c>
      <c r="J3944">
        <v>64</v>
      </c>
      <c r="K3944">
        <v>630</v>
      </c>
      <c r="L3944">
        <v>622</v>
      </c>
      <c r="M3944">
        <v>9.75</v>
      </c>
      <c r="N3944">
        <f>IFERROR(VLOOKUP(A3944,vlookup_table!$A:$G,2,FALSE),"")</f>
        <v>0</v>
      </c>
      <c r="O3944">
        <f>IFERROR(VLOOKUP(A3944,vlookup_table!$A:$G,4,FALSE),"")</f>
        <v>2402</v>
      </c>
      <c r="P3944" t="str">
        <f>IFERROR(VLOOKUP(A3944,vlookup_table!$A:$G,5,FALSE),"")</f>
        <v>S1</v>
      </c>
      <c r="Q3944">
        <f>IFERROR(VLOOKUP(A3944,vlookup_table!$A:$G,7,FALSE),"")</f>
        <v>15</v>
      </c>
      <c r="R3944">
        <f t="shared" si="244"/>
        <v>73</v>
      </c>
      <c r="S3944" t="str" cm="1">
        <f t="array" ref="S3944">IF(P3944="","",_xlfn.SWITCH(LEFT(P3944,1),"C","Ciudad","T","Pueblo","R","Rural","S","Suburbano","U","Urbano",""))</f>
        <v>Suburbano</v>
      </c>
      <c r="T3944" t="str">
        <f t="shared" si="245"/>
        <v>M</v>
      </c>
      <c r="U3944" t="str">
        <f t="shared" si="246"/>
        <v>MS</v>
      </c>
      <c r="V3944" t="str">
        <f t="shared" si="247"/>
        <v>20596</v>
      </c>
    </row>
    <row r="3945" spans="1:22" x14ac:dyDescent="0.35">
      <c r="A3945" s="3">
        <v>189508</v>
      </c>
      <c r="B3945" t="s">
        <v>16</v>
      </c>
      <c r="C3945" t="s">
        <v>14</v>
      </c>
      <c r="D3945">
        <v>680</v>
      </c>
      <c r="E3945">
        <v>289</v>
      </c>
      <c r="F3945">
        <v>316</v>
      </c>
      <c r="G3945">
        <v>0</v>
      </c>
      <c r="H3945">
        <v>9856</v>
      </c>
      <c r="I3945">
        <v>36</v>
      </c>
      <c r="J3945">
        <v>55</v>
      </c>
      <c r="K3945">
        <v>325</v>
      </c>
      <c r="L3945">
        <v>293</v>
      </c>
      <c r="M3945">
        <v>4.6666666670000003</v>
      </c>
      <c r="N3945">
        <f>IFERROR(VLOOKUP(A3945,vlookup_table!$A:$G,2,FALSE),"")</f>
        <v>1</v>
      </c>
      <c r="O3945">
        <f>IFERROR(VLOOKUP(A3945,vlookup_table!$A:$G,4,FALSE),"")</f>
        <v>0</v>
      </c>
      <c r="P3945">
        <f>IFERROR(VLOOKUP(A3945,vlookup_table!$A:$G,5,FALSE),"")</f>
        <v>0</v>
      </c>
      <c r="Q3945">
        <f>IFERROR(VLOOKUP(A3945,vlookup_table!$A:$G,7,FALSE),"")</f>
        <v>7</v>
      </c>
      <c r="R3945">
        <f t="shared" si="244"/>
        <v>97</v>
      </c>
      <c r="S3945" t="str" cm="1">
        <f t="array" ref="S3945">IF(P3945="","",_xlfn.SWITCH(LEFT(P3945,1),"C","Ciudad","T","Pueblo","R","Rural","S","Suburbano","U","Urbano",""))</f>
        <v/>
      </c>
      <c r="T3945" t="str">
        <f t="shared" si="245"/>
        <v>M</v>
      </c>
      <c r="U3945" t="str">
        <f t="shared" si="246"/>
        <v>IL</v>
      </c>
      <c r="V3945" t="str">
        <f t="shared" si="247"/>
        <v>9856</v>
      </c>
    </row>
    <row r="3946" spans="1:22" x14ac:dyDescent="0.35">
      <c r="A3946" s="3">
        <v>129031</v>
      </c>
      <c r="B3946" t="s">
        <v>21</v>
      </c>
      <c r="C3946" t="s">
        <v>14</v>
      </c>
      <c r="D3946">
        <v>1269</v>
      </c>
      <c r="E3946">
        <v>512</v>
      </c>
      <c r="F3946">
        <v>597</v>
      </c>
      <c r="G3946">
        <v>15</v>
      </c>
      <c r="H3946">
        <v>20906</v>
      </c>
      <c r="I3946">
        <v>16</v>
      </c>
      <c r="J3946">
        <v>50</v>
      </c>
      <c r="K3946">
        <v>574</v>
      </c>
      <c r="L3946">
        <v>540</v>
      </c>
      <c r="M3946">
        <v>4.2549019609999998</v>
      </c>
      <c r="N3946">
        <f>IFERROR(VLOOKUP(A3946,vlookup_table!$A:$G,2,FALSE),"")</f>
        <v>1002</v>
      </c>
      <c r="O3946">
        <f>IFERROR(VLOOKUP(A3946,vlookup_table!$A:$G,4,FALSE),"")</f>
        <v>1702</v>
      </c>
      <c r="P3946" t="str">
        <f>IFERROR(VLOOKUP(A3946,vlookup_table!$A:$G,5,FALSE),"")</f>
        <v>U1</v>
      </c>
      <c r="Q3946">
        <f>IFERROR(VLOOKUP(A3946,vlookup_table!$A:$G,7,FALSE),"")</f>
        <v>10</v>
      </c>
      <c r="R3946">
        <f t="shared" si="244"/>
        <v>80</v>
      </c>
      <c r="S3946" t="str" cm="1">
        <f t="array" ref="S3946">IF(P3946="","",_xlfn.SWITCH(LEFT(P3946,1),"C","Ciudad","T","Pueblo","R","Rural","S","Suburbano","U","Urbano",""))</f>
        <v>Urbano</v>
      </c>
      <c r="T3946" t="str">
        <f t="shared" si="245"/>
        <v>M</v>
      </c>
      <c r="U3946" t="str">
        <f t="shared" si="246"/>
        <v>TX</v>
      </c>
      <c r="V3946" t="str">
        <f t="shared" si="247"/>
        <v>20906</v>
      </c>
    </row>
    <row r="3947" spans="1:22" x14ac:dyDescent="0.35">
      <c r="A3947" s="3">
        <v>177962</v>
      </c>
      <c r="B3947" t="s">
        <v>50</v>
      </c>
      <c r="C3947" t="s">
        <v>14</v>
      </c>
      <c r="D3947">
        <v>617</v>
      </c>
      <c r="E3947">
        <v>332</v>
      </c>
      <c r="F3947">
        <v>423</v>
      </c>
      <c r="G3947">
        <v>0</v>
      </c>
      <c r="H3947">
        <v>13784</v>
      </c>
      <c r="I3947">
        <v>1</v>
      </c>
      <c r="J3947">
        <v>43</v>
      </c>
      <c r="K3947">
        <v>363</v>
      </c>
      <c r="L3947">
        <v>353</v>
      </c>
      <c r="M3947">
        <v>4.5333333329999999</v>
      </c>
      <c r="N3947">
        <f>IFERROR(VLOOKUP(A3947,vlookup_table!$A:$G,2,FALSE),"")</f>
        <v>2</v>
      </c>
      <c r="O3947">
        <f>IFERROR(VLOOKUP(A3947,vlookup_table!$A:$G,4,FALSE),"")</f>
        <v>2305</v>
      </c>
      <c r="P3947" t="str">
        <f>IFERROR(VLOOKUP(A3947,vlookup_table!$A:$G,5,FALSE),"")</f>
        <v>T2</v>
      </c>
      <c r="Q3947">
        <f>IFERROR(VLOOKUP(A3947,vlookup_table!$A:$G,7,FALSE),"")</f>
        <v>5</v>
      </c>
      <c r="R3947">
        <f t="shared" si="244"/>
        <v>74</v>
      </c>
      <c r="S3947" t="str" cm="1">
        <f t="array" ref="S3947">IF(P3947="","",_xlfn.SWITCH(LEFT(P3947,1),"C","Ciudad","T","Pueblo","R","Rural","S","Suburbano","U","Urbano",""))</f>
        <v>Pueblo</v>
      </c>
      <c r="T3947" t="str">
        <f t="shared" si="245"/>
        <v>M</v>
      </c>
      <c r="U3947" t="str">
        <f t="shared" si="246"/>
        <v>OR</v>
      </c>
      <c r="V3947" t="str">
        <f t="shared" si="247"/>
        <v>13784</v>
      </c>
    </row>
    <row r="3948" spans="1:22" x14ac:dyDescent="0.35">
      <c r="A3948" s="3">
        <v>171832</v>
      </c>
      <c r="B3948" t="s">
        <v>22</v>
      </c>
      <c r="C3948" t="s">
        <v>14</v>
      </c>
      <c r="D3948">
        <v>1365</v>
      </c>
      <c r="E3948">
        <v>282</v>
      </c>
      <c r="F3948">
        <v>430</v>
      </c>
      <c r="G3948">
        <v>15</v>
      </c>
      <c r="H3948">
        <v>16473</v>
      </c>
      <c r="I3948">
        <v>8</v>
      </c>
      <c r="J3948">
        <v>52</v>
      </c>
      <c r="K3948">
        <v>359</v>
      </c>
      <c r="L3948">
        <v>356</v>
      </c>
      <c r="M3948">
        <v>25</v>
      </c>
      <c r="N3948">
        <f>IFERROR(VLOOKUP(A3948,vlookup_table!$A:$G,2,FALSE),"")</f>
        <v>4</v>
      </c>
      <c r="O3948">
        <f>IFERROR(VLOOKUP(A3948,vlookup_table!$A:$G,4,FALSE),"")</f>
        <v>0</v>
      </c>
      <c r="P3948" t="str">
        <f>IFERROR(VLOOKUP(A3948,vlookup_table!$A:$G,5,FALSE),"")</f>
        <v>U2</v>
      </c>
      <c r="Q3948">
        <f>IFERROR(VLOOKUP(A3948,vlookup_table!$A:$G,7,FALSE),"")</f>
        <v>25</v>
      </c>
      <c r="R3948">
        <f t="shared" si="244"/>
        <v>97</v>
      </c>
      <c r="S3948" t="str" cm="1">
        <f t="array" ref="S3948">IF(P3948="","",_xlfn.SWITCH(LEFT(P3948,1),"C","Ciudad","T","Pueblo","R","Rural","S","Suburbano","U","Urbano",""))</f>
        <v>Urbano</v>
      </c>
      <c r="T3948" t="str">
        <f t="shared" si="245"/>
        <v>M</v>
      </c>
      <c r="U3948" t="str">
        <f t="shared" si="246"/>
        <v>CA</v>
      </c>
      <c r="V3948" t="str">
        <f t="shared" si="247"/>
        <v>16473</v>
      </c>
    </row>
    <row r="3949" spans="1:22" x14ac:dyDescent="0.35">
      <c r="A3949" s="3">
        <v>57992</v>
      </c>
      <c r="B3949" t="s">
        <v>57</v>
      </c>
      <c r="C3949" t="s">
        <v>14</v>
      </c>
      <c r="D3949">
        <v>838</v>
      </c>
      <c r="E3949">
        <v>404</v>
      </c>
      <c r="F3949">
        <v>528</v>
      </c>
      <c r="G3949">
        <v>2</v>
      </c>
      <c r="H3949">
        <v>17321</v>
      </c>
      <c r="I3949">
        <v>0</v>
      </c>
      <c r="J3949">
        <v>72</v>
      </c>
      <c r="K3949">
        <v>436</v>
      </c>
      <c r="L3949">
        <v>493</v>
      </c>
      <c r="M3949">
        <v>4.8666666669999996</v>
      </c>
      <c r="N3949">
        <f>IFERROR(VLOOKUP(A3949,vlookup_table!$A:$G,2,FALSE),"")</f>
        <v>1</v>
      </c>
      <c r="O3949">
        <f>IFERROR(VLOOKUP(A3949,vlookup_table!$A:$G,4,FALSE),"")</f>
        <v>4611</v>
      </c>
      <c r="P3949" t="str">
        <f>IFERROR(VLOOKUP(A3949,vlookup_table!$A:$G,5,FALSE),"")</f>
        <v>R1</v>
      </c>
      <c r="Q3949">
        <f>IFERROR(VLOOKUP(A3949,vlookup_table!$A:$G,7,FALSE),"")</f>
        <v>5</v>
      </c>
      <c r="R3949">
        <f t="shared" si="244"/>
        <v>51</v>
      </c>
      <c r="S3949" t="str" cm="1">
        <f t="array" ref="S3949">IF(P3949="","",_xlfn.SWITCH(LEFT(P3949,1),"C","Ciudad","T","Pueblo","R","Rural","S","Suburbano","U","Urbano",""))</f>
        <v>Rural</v>
      </c>
      <c r="T3949" t="str">
        <f t="shared" si="245"/>
        <v>M</v>
      </c>
      <c r="U3949" t="str">
        <f t="shared" si="246"/>
        <v>KY</v>
      </c>
      <c r="V3949" t="str">
        <f t="shared" si="247"/>
        <v>17321</v>
      </c>
    </row>
    <row r="3950" spans="1:22" x14ac:dyDescent="0.35">
      <c r="A3950" s="3">
        <v>132154</v>
      </c>
      <c r="B3950" t="s">
        <v>48</v>
      </c>
      <c r="C3950" t="s">
        <v>14</v>
      </c>
      <c r="D3950">
        <v>1070</v>
      </c>
      <c r="E3950">
        <v>271</v>
      </c>
      <c r="F3950">
        <v>394</v>
      </c>
      <c r="G3950">
        <v>2</v>
      </c>
      <c r="H3950">
        <v>13186</v>
      </c>
      <c r="I3950">
        <v>3</v>
      </c>
      <c r="J3950">
        <v>36</v>
      </c>
      <c r="K3950">
        <v>388</v>
      </c>
      <c r="L3950">
        <v>330</v>
      </c>
      <c r="M3950">
        <v>8.25</v>
      </c>
      <c r="N3950">
        <f>IFERROR(VLOOKUP(A3950,vlookup_table!$A:$G,2,FALSE),"")</f>
        <v>1</v>
      </c>
      <c r="O3950">
        <f>IFERROR(VLOOKUP(A3950,vlookup_table!$A:$G,4,FALSE),"")</f>
        <v>1701</v>
      </c>
      <c r="P3950" t="str">
        <f>IFERROR(VLOOKUP(A3950,vlookup_table!$A:$G,5,FALSE),"")</f>
        <v>T1</v>
      </c>
      <c r="Q3950">
        <f>IFERROR(VLOOKUP(A3950,vlookup_table!$A:$G,7,FALSE),"")</f>
        <v>15</v>
      </c>
      <c r="R3950">
        <f t="shared" si="244"/>
        <v>80</v>
      </c>
      <c r="S3950" t="str" cm="1">
        <f t="array" ref="S3950">IF(P3950="","",_xlfn.SWITCH(LEFT(P3950,1),"C","Ciudad","T","Pueblo","R","Rural","S","Suburbano","U","Urbano",""))</f>
        <v>Pueblo</v>
      </c>
      <c r="T3950" t="str">
        <f t="shared" si="245"/>
        <v>M</v>
      </c>
      <c r="U3950" t="str">
        <f t="shared" si="246"/>
        <v>CO</v>
      </c>
      <c r="V3950" t="str">
        <f t="shared" si="247"/>
        <v>13186</v>
      </c>
    </row>
    <row r="3951" spans="1:22" x14ac:dyDescent="0.35">
      <c r="A3951" s="3">
        <v>150191</v>
      </c>
      <c r="B3951" t="s">
        <v>22</v>
      </c>
      <c r="C3951" t="s">
        <v>14</v>
      </c>
      <c r="D3951">
        <v>2166</v>
      </c>
      <c r="E3951">
        <v>427</v>
      </c>
      <c r="F3951">
        <v>559</v>
      </c>
      <c r="G3951">
        <v>68</v>
      </c>
      <c r="H3951">
        <v>15653</v>
      </c>
      <c r="I3951">
        <v>15</v>
      </c>
      <c r="J3951">
        <v>54</v>
      </c>
      <c r="K3951">
        <v>515</v>
      </c>
      <c r="L3951">
        <v>471</v>
      </c>
      <c r="M3951">
        <v>9.0909090910000003</v>
      </c>
      <c r="N3951">
        <f>IFERROR(VLOOKUP(A3951,vlookup_table!$A:$G,2,FALSE),"")</f>
        <v>1</v>
      </c>
      <c r="O3951">
        <f>IFERROR(VLOOKUP(A3951,vlookup_table!$A:$G,4,FALSE),"")</f>
        <v>4405</v>
      </c>
      <c r="P3951" t="str">
        <f>IFERROR(VLOOKUP(A3951,vlookup_table!$A:$G,5,FALSE),"")</f>
        <v>S2</v>
      </c>
      <c r="Q3951">
        <f>IFERROR(VLOOKUP(A3951,vlookup_table!$A:$G,7,FALSE),"")</f>
        <v>11</v>
      </c>
      <c r="R3951">
        <f t="shared" si="244"/>
        <v>53</v>
      </c>
      <c r="S3951" t="str" cm="1">
        <f t="array" ref="S3951">IF(P3951="","",_xlfn.SWITCH(LEFT(P3951,1),"C","Ciudad","T","Pueblo","R","Rural","S","Suburbano","U","Urbano",""))</f>
        <v>Suburbano</v>
      </c>
      <c r="T3951" t="str">
        <f t="shared" si="245"/>
        <v>M</v>
      </c>
      <c r="U3951" t="str">
        <f t="shared" si="246"/>
        <v>CA</v>
      </c>
      <c r="V3951" t="str">
        <f t="shared" si="247"/>
        <v>15653</v>
      </c>
    </row>
    <row r="3952" spans="1:22" x14ac:dyDescent="0.35">
      <c r="A3952" s="3">
        <v>25107</v>
      </c>
      <c r="B3952" t="s">
        <v>46</v>
      </c>
      <c r="C3952" t="s">
        <v>17</v>
      </c>
      <c r="D3952">
        <v>803</v>
      </c>
      <c r="E3952">
        <v>333</v>
      </c>
      <c r="F3952">
        <v>417</v>
      </c>
      <c r="G3952">
        <v>1</v>
      </c>
      <c r="H3952">
        <v>14356</v>
      </c>
      <c r="I3952">
        <v>1</v>
      </c>
      <c r="J3952">
        <v>32</v>
      </c>
      <c r="K3952">
        <v>360</v>
      </c>
      <c r="L3952">
        <v>375</v>
      </c>
      <c r="M3952">
        <v>5.8235294120000001</v>
      </c>
      <c r="N3952">
        <f>IFERROR(VLOOKUP(A3952,vlookup_table!$A:$G,2,FALSE),"")</f>
        <v>2</v>
      </c>
      <c r="O3952">
        <f>IFERROR(VLOOKUP(A3952,vlookup_table!$A:$G,4,FALSE),"")</f>
        <v>4805</v>
      </c>
      <c r="P3952" t="str">
        <f>IFERROR(VLOOKUP(A3952,vlookup_table!$A:$G,5,FALSE),"")</f>
        <v>R2</v>
      </c>
      <c r="Q3952">
        <f>IFERROR(VLOOKUP(A3952,vlookup_table!$A:$G,7,FALSE),"")</f>
        <v>5</v>
      </c>
      <c r="R3952">
        <f t="shared" si="244"/>
        <v>49</v>
      </c>
      <c r="S3952" t="str" cm="1">
        <f t="array" ref="S3952">IF(P3952="","",_xlfn.SWITCH(LEFT(P3952,1),"C","Ciudad","T","Pueblo","R","Rural","S","Suburbano","U","Urbano",""))</f>
        <v>Rural</v>
      </c>
      <c r="T3952" t="str">
        <f t="shared" si="245"/>
        <v>F</v>
      </c>
      <c r="U3952" t="str">
        <f t="shared" si="246"/>
        <v>SC</v>
      </c>
      <c r="V3952" t="str">
        <f t="shared" si="247"/>
        <v>14356</v>
      </c>
    </row>
    <row r="3953" spans="1:22" x14ac:dyDescent="0.35">
      <c r="A3953" s="3">
        <v>59645</v>
      </c>
      <c r="B3953" t="s">
        <v>33</v>
      </c>
      <c r="C3953" t="s">
        <v>17</v>
      </c>
      <c r="D3953">
        <v>666</v>
      </c>
      <c r="E3953">
        <v>255</v>
      </c>
      <c r="F3953">
        <v>394</v>
      </c>
      <c r="G3953">
        <v>1</v>
      </c>
      <c r="H3953">
        <v>14934</v>
      </c>
      <c r="I3953">
        <v>1</v>
      </c>
      <c r="J3953">
        <v>77</v>
      </c>
      <c r="K3953">
        <v>332</v>
      </c>
      <c r="L3953">
        <v>325</v>
      </c>
      <c r="M3953">
        <v>4.5</v>
      </c>
      <c r="N3953">
        <f>IFERROR(VLOOKUP(A3953,vlookup_table!$A:$G,2,FALSE),"")</f>
        <v>0</v>
      </c>
      <c r="O3953">
        <f>IFERROR(VLOOKUP(A3953,vlookup_table!$A:$G,4,FALSE),"")</f>
        <v>3910</v>
      </c>
      <c r="P3953" t="str">
        <f>IFERROR(VLOOKUP(A3953,vlookup_table!$A:$G,5,FALSE),"")</f>
        <v>S2</v>
      </c>
      <c r="Q3953">
        <f>IFERROR(VLOOKUP(A3953,vlookup_table!$A:$G,7,FALSE),"")</f>
        <v>4</v>
      </c>
      <c r="R3953">
        <f t="shared" si="244"/>
        <v>58</v>
      </c>
      <c r="S3953" t="str" cm="1">
        <f t="array" ref="S3953">IF(P3953="","",_xlfn.SWITCH(LEFT(P3953,1),"C","Ciudad","T","Pueblo","R","Rural","S","Suburbano","U","Urbano",""))</f>
        <v>Suburbano</v>
      </c>
      <c r="T3953" t="str">
        <f t="shared" si="245"/>
        <v>F</v>
      </c>
      <c r="U3953" t="str">
        <f t="shared" si="246"/>
        <v>IN</v>
      </c>
      <c r="V3953" t="str">
        <f t="shared" si="247"/>
        <v>14934</v>
      </c>
    </row>
    <row r="3954" spans="1:22" x14ac:dyDescent="0.35">
      <c r="A3954" s="3">
        <v>139224</v>
      </c>
      <c r="B3954" t="s">
        <v>54</v>
      </c>
      <c r="C3954" t="s">
        <v>17</v>
      </c>
      <c r="D3954">
        <v>279</v>
      </c>
      <c r="E3954">
        <v>144</v>
      </c>
      <c r="F3954">
        <v>211</v>
      </c>
      <c r="G3954">
        <v>0</v>
      </c>
      <c r="H3954">
        <v>7112</v>
      </c>
      <c r="I3954">
        <v>1</v>
      </c>
      <c r="J3954">
        <v>70</v>
      </c>
      <c r="K3954">
        <v>171</v>
      </c>
      <c r="L3954">
        <v>184</v>
      </c>
      <c r="M3954">
        <v>21.345454549999999</v>
      </c>
      <c r="N3954">
        <f>IFERROR(VLOOKUP(A3954,vlookup_table!$A:$G,2,FALSE),"")</f>
        <v>0</v>
      </c>
      <c r="O3954">
        <f>IFERROR(VLOOKUP(A3954,vlookup_table!$A:$G,4,FALSE),"")</f>
        <v>0</v>
      </c>
      <c r="P3954" t="str">
        <f>IFERROR(VLOOKUP(A3954,vlookup_table!$A:$G,5,FALSE),"")</f>
        <v>R3</v>
      </c>
      <c r="Q3954">
        <f>IFERROR(VLOOKUP(A3954,vlookup_table!$A:$G,7,FALSE),"")</f>
        <v>15</v>
      </c>
      <c r="R3954">
        <f t="shared" si="244"/>
        <v>97</v>
      </c>
      <c r="S3954" t="str" cm="1">
        <f t="array" ref="S3954">IF(P3954="","",_xlfn.SWITCH(LEFT(P3954,1),"C","Ciudad","T","Pueblo","R","Rural","S","Suburbano","U","Urbano",""))</f>
        <v>Rural</v>
      </c>
      <c r="T3954" t="str">
        <f t="shared" si="245"/>
        <v>F</v>
      </c>
      <c r="U3954" t="str">
        <f t="shared" si="246"/>
        <v>NM</v>
      </c>
      <c r="V3954" t="str">
        <f t="shared" si="247"/>
        <v>7112</v>
      </c>
    </row>
    <row r="3955" spans="1:22" x14ac:dyDescent="0.35">
      <c r="A3955" s="3">
        <v>53078</v>
      </c>
      <c r="B3955" t="s">
        <v>53</v>
      </c>
      <c r="C3955" t="s">
        <v>17</v>
      </c>
      <c r="D3955">
        <v>1217</v>
      </c>
      <c r="E3955">
        <v>567</v>
      </c>
      <c r="F3955">
        <v>644</v>
      </c>
      <c r="G3955">
        <v>2</v>
      </c>
      <c r="H3955">
        <v>20593</v>
      </c>
      <c r="I3955">
        <v>5</v>
      </c>
      <c r="J3955">
        <v>43</v>
      </c>
      <c r="K3955">
        <v>614</v>
      </c>
      <c r="L3955">
        <v>608</v>
      </c>
      <c r="M3955">
        <v>19</v>
      </c>
      <c r="N3955">
        <f>IFERROR(VLOOKUP(A3955,vlookup_table!$A:$G,2,FALSE),"")</f>
        <v>28</v>
      </c>
      <c r="O3955">
        <f>IFERROR(VLOOKUP(A3955,vlookup_table!$A:$G,4,FALSE),"")</f>
        <v>5305</v>
      </c>
      <c r="P3955" t="str">
        <f>IFERROR(VLOOKUP(A3955,vlookup_table!$A:$G,5,FALSE),"")</f>
        <v>T1</v>
      </c>
      <c r="Q3955">
        <f>IFERROR(VLOOKUP(A3955,vlookup_table!$A:$G,7,FALSE),"")</f>
        <v>25</v>
      </c>
      <c r="R3955">
        <f t="shared" si="244"/>
        <v>44</v>
      </c>
      <c r="S3955" t="str" cm="1">
        <f t="array" ref="S3955">IF(P3955="","",_xlfn.SWITCH(LEFT(P3955,1),"C","Ciudad","T","Pueblo","R","Rural","S","Suburbano","U","Urbano",""))</f>
        <v>Pueblo</v>
      </c>
      <c r="T3955" t="str">
        <f t="shared" si="245"/>
        <v>F</v>
      </c>
      <c r="U3955" t="str">
        <f t="shared" si="246"/>
        <v>TN</v>
      </c>
      <c r="V3955" t="str">
        <f t="shared" si="247"/>
        <v>20593</v>
      </c>
    </row>
    <row r="3956" spans="1:22" x14ac:dyDescent="0.35">
      <c r="A3956" s="3">
        <v>125593</v>
      </c>
      <c r="B3956" t="s">
        <v>21</v>
      </c>
      <c r="C3956" t="s">
        <v>17</v>
      </c>
      <c r="D3956">
        <v>876</v>
      </c>
      <c r="E3956">
        <v>364</v>
      </c>
      <c r="F3956">
        <v>529</v>
      </c>
      <c r="G3956">
        <v>2</v>
      </c>
      <c r="H3956">
        <v>19328</v>
      </c>
      <c r="I3956">
        <v>5</v>
      </c>
      <c r="J3956">
        <v>57</v>
      </c>
      <c r="K3956">
        <v>504</v>
      </c>
      <c r="L3956">
        <v>414</v>
      </c>
      <c r="M3956">
        <v>24.444444440000002</v>
      </c>
      <c r="N3956">
        <f>IFERROR(VLOOKUP(A3956,vlookup_table!$A:$G,2,FALSE),"")</f>
        <v>2</v>
      </c>
      <c r="O3956">
        <f>IFERROR(VLOOKUP(A3956,vlookup_table!$A:$G,4,FALSE),"")</f>
        <v>1609</v>
      </c>
      <c r="P3956" t="str">
        <f>IFERROR(VLOOKUP(A3956,vlookup_table!$A:$G,5,FALSE),"")</f>
        <v>S1</v>
      </c>
      <c r="Q3956">
        <f>IFERROR(VLOOKUP(A3956,vlookup_table!$A:$G,7,FALSE),"")</f>
        <v>25</v>
      </c>
      <c r="R3956">
        <f t="shared" si="244"/>
        <v>81</v>
      </c>
      <c r="S3956" t="str" cm="1">
        <f t="array" ref="S3956">IF(P3956="","",_xlfn.SWITCH(LEFT(P3956,1),"C","Ciudad","T","Pueblo","R","Rural","S","Suburbano","U","Urbano",""))</f>
        <v>Suburbano</v>
      </c>
      <c r="T3956" t="str">
        <f t="shared" si="245"/>
        <v>F</v>
      </c>
      <c r="U3956" t="str">
        <f t="shared" si="246"/>
        <v>TX</v>
      </c>
      <c r="V3956" t="str">
        <f t="shared" si="247"/>
        <v>19328</v>
      </c>
    </row>
    <row r="3957" spans="1:22" x14ac:dyDescent="0.35">
      <c r="A3957" s="3">
        <v>185525</v>
      </c>
      <c r="B3957" t="s">
        <v>28</v>
      </c>
      <c r="C3957" t="s">
        <v>14</v>
      </c>
      <c r="D3957">
        <v>1076</v>
      </c>
      <c r="E3957">
        <v>593</v>
      </c>
      <c r="F3957">
        <v>613</v>
      </c>
      <c r="G3957">
        <v>0</v>
      </c>
      <c r="H3957">
        <v>18113</v>
      </c>
      <c r="I3957">
        <v>1</v>
      </c>
      <c r="J3957">
        <v>32</v>
      </c>
      <c r="K3957">
        <v>586</v>
      </c>
      <c r="L3957">
        <v>623</v>
      </c>
      <c r="M3957">
        <v>12.33333333</v>
      </c>
      <c r="N3957">
        <f>IFERROR(VLOOKUP(A3957,vlookup_table!$A:$G,2,FALSE),"")</f>
        <v>1</v>
      </c>
      <c r="O3957">
        <f>IFERROR(VLOOKUP(A3957,vlookup_table!$A:$G,4,FALSE),"")</f>
        <v>4907</v>
      </c>
      <c r="P3957" t="str">
        <f>IFERROR(VLOOKUP(A3957,vlookup_table!$A:$G,5,FALSE),"")</f>
        <v>S1</v>
      </c>
      <c r="Q3957">
        <f>IFERROR(VLOOKUP(A3957,vlookup_table!$A:$G,7,FALSE),"")</f>
        <v>21</v>
      </c>
      <c r="R3957">
        <f t="shared" si="244"/>
        <v>48</v>
      </c>
      <c r="S3957" t="str" cm="1">
        <f t="array" ref="S3957">IF(P3957="","",_xlfn.SWITCH(LEFT(P3957,1),"C","Ciudad","T","Pueblo","R","Rural","S","Suburbano","U","Urbano",""))</f>
        <v>Suburbano</v>
      </c>
      <c r="T3957" t="str">
        <f t="shared" si="245"/>
        <v>M</v>
      </c>
      <c r="U3957" t="str">
        <f t="shared" si="246"/>
        <v>KS</v>
      </c>
      <c r="V3957" t="str">
        <f t="shared" si="247"/>
        <v>18113</v>
      </c>
    </row>
    <row r="3958" spans="1:22" x14ac:dyDescent="0.35">
      <c r="A3958" s="3">
        <v>109848</v>
      </c>
      <c r="B3958" t="s">
        <v>49</v>
      </c>
      <c r="C3958" t="s">
        <v>30</v>
      </c>
      <c r="D3958">
        <v>500</v>
      </c>
      <c r="E3958">
        <v>296</v>
      </c>
      <c r="F3958">
        <v>303</v>
      </c>
      <c r="G3958">
        <v>0</v>
      </c>
      <c r="H3958">
        <v>8662</v>
      </c>
      <c r="I3958">
        <v>1</v>
      </c>
      <c r="J3958">
        <v>91</v>
      </c>
      <c r="K3958">
        <v>313</v>
      </c>
      <c r="L3958">
        <v>291</v>
      </c>
      <c r="M3958">
        <v>12.14285714</v>
      </c>
      <c r="N3958">
        <f>IFERROR(VLOOKUP(A3958,vlookup_table!$A:$G,2,FALSE),"")</f>
        <v>0</v>
      </c>
      <c r="O3958">
        <f>IFERROR(VLOOKUP(A3958,vlookup_table!$A:$G,4,FALSE),"")</f>
        <v>4701</v>
      </c>
      <c r="P3958" t="str">
        <f>IFERROR(VLOOKUP(A3958,vlookup_table!$A:$G,5,FALSE),"")</f>
        <v>S2</v>
      </c>
      <c r="Q3958">
        <f>IFERROR(VLOOKUP(A3958,vlookup_table!$A:$G,7,FALSE),"")</f>
        <v>21</v>
      </c>
      <c r="R3958">
        <f t="shared" si="244"/>
        <v>50</v>
      </c>
      <c r="S3958" t="str" cm="1">
        <f t="array" ref="S3958">IF(P3958="","",_xlfn.SWITCH(LEFT(P3958,1),"C","Ciudad","T","Pueblo","R","Rural","S","Suburbano","U","Urbano",""))</f>
        <v>Suburbano</v>
      </c>
      <c r="T3958" t="str">
        <f t="shared" si="245"/>
        <v>U</v>
      </c>
      <c r="U3958" t="str">
        <f t="shared" si="246"/>
        <v>LA</v>
      </c>
      <c r="V3958" t="str">
        <f t="shared" si="247"/>
        <v>8662</v>
      </c>
    </row>
    <row r="3959" spans="1:22" x14ac:dyDescent="0.35">
      <c r="A3959" s="3">
        <v>170098</v>
      </c>
      <c r="B3959" t="s">
        <v>22</v>
      </c>
      <c r="C3959" t="s">
        <v>17</v>
      </c>
      <c r="D3959">
        <v>877</v>
      </c>
      <c r="E3959">
        <v>183</v>
      </c>
      <c r="F3959">
        <v>289</v>
      </c>
      <c r="G3959">
        <v>9</v>
      </c>
      <c r="H3959">
        <v>11139</v>
      </c>
      <c r="I3959">
        <v>5</v>
      </c>
      <c r="J3959">
        <v>46</v>
      </c>
      <c r="K3959">
        <v>257</v>
      </c>
      <c r="L3959">
        <v>236</v>
      </c>
      <c r="M3959">
        <v>6.7142857139999998</v>
      </c>
      <c r="N3959">
        <f>IFERROR(VLOOKUP(A3959,vlookup_table!$A:$G,2,FALSE),"")</f>
        <v>2</v>
      </c>
      <c r="O3959">
        <f>IFERROR(VLOOKUP(A3959,vlookup_table!$A:$G,4,FALSE),"")</f>
        <v>2801</v>
      </c>
      <c r="P3959" t="str">
        <f>IFERROR(VLOOKUP(A3959,vlookup_table!$A:$G,5,FALSE),"")</f>
        <v>R2</v>
      </c>
      <c r="Q3959">
        <f>IFERROR(VLOOKUP(A3959,vlookup_table!$A:$G,7,FALSE),"")</f>
        <v>10</v>
      </c>
      <c r="R3959">
        <f t="shared" si="244"/>
        <v>69</v>
      </c>
      <c r="S3959" t="str" cm="1">
        <f t="array" ref="S3959">IF(P3959="","",_xlfn.SWITCH(LEFT(P3959,1),"C","Ciudad","T","Pueblo","R","Rural","S","Suburbano","U","Urbano",""))</f>
        <v>Rural</v>
      </c>
      <c r="T3959" t="str">
        <f t="shared" si="245"/>
        <v>F</v>
      </c>
      <c r="U3959" t="str">
        <f t="shared" si="246"/>
        <v>CA</v>
      </c>
      <c r="V3959" t="str">
        <f t="shared" si="247"/>
        <v>11139</v>
      </c>
    </row>
    <row r="3960" spans="1:22" x14ac:dyDescent="0.35">
      <c r="A3960" s="3">
        <v>171358</v>
      </c>
      <c r="B3960" t="s">
        <v>22</v>
      </c>
      <c r="C3960" t="s">
        <v>14</v>
      </c>
      <c r="D3960">
        <v>2631</v>
      </c>
      <c r="E3960">
        <v>689</v>
      </c>
      <c r="F3960">
        <v>816</v>
      </c>
      <c r="G3960">
        <v>80</v>
      </c>
      <c r="H3960">
        <v>38138</v>
      </c>
      <c r="I3960">
        <v>4</v>
      </c>
      <c r="J3960">
        <v>50</v>
      </c>
      <c r="K3960">
        <v>753</v>
      </c>
      <c r="L3960">
        <v>772</v>
      </c>
      <c r="M3960">
        <v>19.61538462</v>
      </c>
      <c r="N3960">
        <f>IFERROR(VLOOKUP(A3960,vlookup_table!$A:$G,2,FALSE),"")</f>
        <v>0</v>
      </c>
      <c r="O3960">
        <f>IFERROR(VLOOKUP(A3960,vlookup_table!$A:$G,4,FALSE),"")</f>
        <v>1802</v>
      </c>
      <c r="P3960" t="str">
        <f>IFERROR(VLOOKUP(A3960,vlookup_table!$A:$G,5,FALSE),"")</f>
        <v>T1</v>
      </c>
      <c r="Q3960">
        <f>IFERROR(VLOOKUP(A3960,vlookup_table!$A:$G,7,FALSE),"")</f>
        <v>30</v>
      </c>
      <c r="R3960">
        <f t="shared" si="244"/>
        <v>79</v>
      </c>
      <c r="S3960" t="str" cm="1">
        <f t="array" ref="S3960">IF(P3960="","",_xlfn.SWITCH(LEFT(P3960,1),"C","Ciudad","T","Pueblo","R","Rural","S","Suburbano","U","Urbano",""))</f>
        <v>Pueblo</v>
      </c>
      <c r="T3960" t="str">
        <f t="shared" si="245"/>
        <v>M</v>
      </c>
      <c r="U3960" t="str">
        <f t="shared" si="246"/>
        <v>CA</v>
      </c>
      <c r="V3960" t="str">
        <f t="shared" si="247"/>
        <v>38138</v>
      </c>
    </row>
    <row r="3961" spans="1:22" x14ac:dyDescent="0.35">
      <c r="A3961" s="3">
        <v>46165</v>
      </c>
      <c r="B3961" t="s">
        <v>13</v>
      </c>
      <c r="C3961" t="s">
        <v>17</v>
      </c>
      <c r="D3961">
        <v>916</v>
      </c>
      <c r="E3961">
        <v>270</v>
      </c>
      <c r="F3961">
        <v>519</v>
      </c>
      <c r="G3961">
        <v>2</v>
      </c>
      <c r="H3961">
        <v>18827</v>
      </c>
      <c r="I3961">
        <v>3</v>
      </c>
      <c r="J3961">
        <v>21</v>
      </c>
      <c r="K3961">
        <v>388</v>
      </c>
      <c r="L3961">
        <v>401</v>
      </c>
      <c r="M3961">
        <v>11.18181818</v>
      </c>
      <c r="N3961">
        <f>IFERROR(VLOOKUP(A3961,vlookup_table!$A:$G,2,FALSE),"")</f>
        <v>0</v>
      </c>
      <c r="O3961">
        <f>IFERROR(VLOOKUP(A3961,vlookup_table!$A:$G,4,FALSE),"")</f>
        <v>2407</v>
      </c>
      <c r="P3961" t="str">
        <f>IFERROR(VLOOKUP(A3961,vlookup_table!$A:$G,5,FALSE),"")</f>
        <v>T2</v>
      </c>
      <c r="Q3961">
        <f>IFERROR(VLOOKUP(A3961,vlookup_table!$A:$G,7,FALSE),"")</f>
        <v>15</v>
      </c>
      <c r="R3961">
        <f t="shared" si="244"/>
        <v>73</v>
      </c>
      <c r="S3961" t="str" cm="1">
        <f t="array" ref="S3961">IF(P3961="","",_xlfn.SWITCH(LEFT(P3961,1),"C","Ciudad","T","Pueblo","R","Rural","S","Suburbano","U","Urbano",""))</f>
        <v>Pueblo</v>
      </c>
      <c r="T3961" t="str">
        <f t="shared" si="245"/>
        <v>F</v>
      </c>
      <c r="U3961" t="str">
        <f t="shared" si="246"/>
        <v>FL</v>
      </c>
      <c r="V3961" t="str">
        <f t="shared" si="247"/>
        <v>18827</v>
      </c>
    </row>
    <row r="3962" spans="1:22" x14ac:dyDescent="0.35">
      <c r="A3962" s="3">
        <v>121640</v>
      </c>
      <c r="B3962" t="s">
        <v>21</v>
      </c>
      <c r="C3962" t="s">
        <v>17</v>
      </c>
      <c r="D3962">
        <v>1205</v>
      </c>
      <c r="E3962">
        <v>645</v>
      </c>
      <c r="F3962">
        <v>710</v>
      </c>
      <c r="G3962">
        <v>8</v>
      </c>
      <c r="H3962">
        <v>22842</v>
      </c>
      <c r="I3962">
        <v>16</v>
      </c>
      <c r="J3962">
        <v>33</v>
      </c>
      <c r="K3962">
        <v>651</v>
      </c>
      <c r="L3962">
        <v>699</v>
      </c>
      <c r="M3962">
        <v>20</v>
      </c>
      <c r="N3962">
        <f>IFERROR(VLOOKUP(A3962,vlookup_table!$A:$G,2,FALSE),"")</f>
        <v>2</v>
      </c>
      <c r="O3962">
        <f>IFERROR(VLOOKUP(A3962,vlookup_table!$A:$G,4,FALSE),"")</f>
        <v>6401</v>
      </c>
      <c r="P3962" t="str">
        <f>IFERROR(VLOOKUP(A3962,vlookup_table!$A:$G,5,FALSE),"")</f>
        <v>C1</v>
      </c>
      <c r="Q3962">
        <f>IFERROR(VLOOKUP(A3962,vlookup_table!$A:$G,7,FALSE),"")</f>
        <v>35</v>
      </c>
      <c r="R3962">
        <f t="shared" si="244"/>
        <v>33</v>
      </c>
      <c r="S3962" t="str" cm="1">
        <f t="array" ref="S3962">IF(P3962="","",_xlfn.SWITCH(LEFT(P3962,1),"C","Ciudad","T","Pueblo","R","Rural","S","Suburbano","U","Urbano",""))</f>
        <v>Ciudad</v>
      </c>
      <c r="T3962" t="str">
        <f t="shared" si="245"/>
        <v>F</v>
      </c>
      <c r="U3962" t="str">
        <f t="shared" si="246"/>
        <v>TX</v>
      </c>
      <c r="V3962" t="str">
        <f t="shared" si="247"/>
        <v>22842</v>
      </c>
    </row>
    <row r="3963" spans="1:22" x14ac:dyDescent="0.35">
      <c r="A3963" s="3">
        <v>178423</v>
      </c>
      <c r="B3963" t="s">
        <v>40</v>
      </c>
      <c r="C3963" t="s">
        <v>17</v>
      </c>
      <c r="D3963">
        <v>1952</v>
      </c>
      <c r="E3963">
        <v>483</v>
      </c>
      <c r="F3963">
        <v>578</v>
      </c>
      <c r="G3963">
        <v>47</v>
      </c>
      <c r="H3963">
        <v>19585</v>
      </c>
      <c r="I3963">
        <v>8</v>
      </c>
      <c r="J3963">
        <v>52</v>
      </c>
      <c r="K3963">
        <v>527</v>
      </c>
      <c r="L3963">
        <v>522</v>
      </c>
      <c r="M3963">
        <v>5.2222222220000001</v>
      </c>
      <c r="N3963">
        <f>IFERROR(VLOOKUP(A3963,vlookup_table!$A:$G,2,FALSE),"")</f>
        <v>0</v>
      </c>
      <c r="O3963">
        <f>IFERROR(VLOOKUP(A3963,vlookup_table!$A:$G,4,FALSE),"")</f>
        <v>0</v>
      </c>
      <c r="P3963" t="str">
        <f>IFERROR(VLOOKUP(A3963,vlookup_table!$A:$G,5,FALSE),"")</f>
        <v>S1</v>
      </c>
      <c r="Q3963">
        <f>IFERROR(VLOOKUP(A3963,vlookup_table!$A:$G,7,FALSE),"")</f>
        <v>15</v>
      </c>
      <c r="R3963">
        <f t="shared" si="244"/>
        <v>97</v>
      </c>
      <c r="S3963" t="str" cm="1">
        <f t="array" ref="S3963">IF(P3963="","",_xlfn.SWITCH(LEFT(P3963,1),"C","Ciudad","T","Pueblo","R","Rural","S","Suburbano","U","Urbano",""))</f>
        <v>Suburbano</v>
      </c>
      <c r="T3963" t="str">
        <f t="shared" si="245"/>
        <v>F</v>
      </c>
      <c r="U3963" t="str">
        <f t="shared" si="246"/>
        <v>WA</v>
      </c>
      <c r="V3963" t="str">
        <f t="shared" si="247"/>
        <v>19585</v>
      </c>
    </row>
    <row r="3964" spans="1:22" x14ac:dyDescent="0.35">
      <c r="A3964" s="3">
        <v>153528</v>
      </c>
      <c r="B3964" t="s">
        <v>22</v>
      </c>
      <c r="C3964" t="s">
        <v>17</v>
      </c>
      <c r="D3964">
        <v>1620</v>
      </c>
      <c r="E3964">
        <v>393</v>
      </c>
      <c r="F3964">
        <v>485</v>
      </c>
      <c r="G3964">
        <v>5</v>
      </c>
      <c r="H3964">
        <v>13441</v>
      </c>
      <c r="I3964">
        <v>24</v>
      </c>
      <c r="J3964">
        <v>38</v>
      </c>
      <c r="K3964">
        <v>452</v>
      </c>
      <c r="L3964">
        <v>432</v>
      </c>
      <c r="M3964">
        <v>3.2976190480000001</v>
      </c>
      <c r="N3964">
        <f>IFERROR(VLOOKUP(A3964,vlookup_table!$A:$G,2,FALSE),"")</f>
        <v>0</v>
      </c>
      <c r="O3964">
        <f>IFERROR(VLOOKUP(A3964,vlookup_table!$A:$G,4,FALSE),"")</f>
        <v>0</v>
      </c>
      <c r="P3964" t="str">
        <f>IFERROR(VLOOKUP(A3964,vlookup_table!$A:$G,5,FALSE),"")</f>
        <v>S2</v>
      </c>
      <c r="Q3964">
        <f>IFERROR(VLOOKUP(A3964,vlookup_table!$A:$G,7,FALSE),"")</f>
        <v>5</v>
      </c>
      <c r="R3964">
        <f t="shared" si="244"/>
        <v>97</v>
      </c>
      <c r="S3964" t="str" cm="1">
        <f t="array" ref="S3964">IF(P3964="","",_xlfn.SWITCH(LEFT(P3964,1),"C","Ciudad","T","Pueblo","R","Rural","S","Suburbano","U","Urbano",""))</f>
        <v>Suburbano</v>
      </c>
      <c r="T3964" t="str">
        <f t="shared" si="245"/>
        <v>F</v>
      </c>
      <c r="U3964" t="str">
        <f t="shared" si="246"/>
        <v>CA</v>
      </c>
      <c r="V3964" t="str">
        <f t="shared" si="247"/>
        <v>13441</v>
      </c>
    </row>
    <row r="3965" spans="1:22" x14ac:dyDescent="0.35">
      <c r="A3965" s="3">
        <v>56367</v>
      </c>
      <c r="B3965" t="s">
        <v>57</v>
      </c>
      <c r="C3965" t="s">
        <v>14</v>
      </c>
      <c r="D3965">
        <v>301</v>
      </c>
      <c r="E3965">
        <v>195</v>
      </c>
      <c r="F3965">
        <v>354</v>
      </c>
      <c r="G3965">
        <v>0</v>
      </c>
      <c r="H3965">
        <v>10710</v>
      </c>
      <c r="I3965">
        <v>0</v>
      </c>
      <c r="J3965">
        <v>80</v>
      </c>
      <c r="K3965">
        <v>249</v>
      </c>
      <c r="L3965">
        <v>299</v>
      </c>
      <c r="M3965">
        <v>5.1666666670000003</v>
      </c>
      <c r="N3965">
        <f>IFERROR(VLOOKUP(A3965,vlookup_table!$A:$G,2,FALSE),"")</f>
        <v>1</v>
      </c>
      <c r="O3965">
        <f>IFERROR(VLOOKUP(A3965,vlookup_table!$A:$G,4,FALSE),"")</f>
        <v>4701</v>
      </c>
      <c r="P3965" t="str">
        <f>IFERROR(VLOOKUP(A3965,vlookup_table!$A:$G,5,FALSE),"")</f>
        <v>R2</v>
      </c>
      <c r="Q3965">
        <f>IFERROR(VLOOKUP(A3965,vlookup_table!$A:$G,7,FALSE),"")</f>
        <v>5</v>
      </c>
      <c r="R3965">
        <f t="shared" si="244"/>
        <v>50</v>
      </c>
      <c r="S3965" t="str" cm="1">
        <f t="array" ref="S3965">IF(P3965="","",_xlfn.SWITCH(LEFT(P3965,1),"C","Ciudad","T","Pueblo","R","Rural","S","Suburbano","U","Urbano",""))</f>
        <v>Rural</v>
      </c>
      <c r="T3965" t="str">
        <f t="shared" si="245"/>
        <v>M</v>
      </c>
      <c r="U3965" t="str">
        <f t="shared" si="246"/>
        <v>KY</v>
      </c>
      <c r="V3965" t="str">
        <f t="shared" si="247"/>
        <v>10710</v>
      </c>
    </row>
    <row r="3966" spans="1:22" x14ac:dyDescent="0.35">
      <c r="A3966" s="3">
        <v>49565</v>
      </c>
      <c r="B3966" t="s">
        <v>43</v>
      </c>
      <c r="C3966" t="s">
        <v>27</v>
      </c>
      <c r="D3966">
        <v>842</v>
      </c>
      <c r="E3966">
        <v>438</v>
      </c>
      <c r="F3966">
        <v>516</v>
      </c>
      <c r="G3966">
        <v>5</v>
      </c>
      <c r="H3966">
        <v>15854</v>
      </c>
      <c r="I3966">
        <v>3</v>
      </c>
      <c r="J3966">
        <v>50</v>
      </c>
      <c r="K3966">
        <v>446</v>
      </c>
      <c r="L3966">
        <v>505</v>
      </c>
      <c r="M3966">
        <v>15.6</v>
      </c>
      <c r="N3966">
        <f>IFERROR(VLOOKUP(A3966,vlookup_table!$A:$G,2,FALSE),"")</f>
        <v>1</v>
      </c>
      <c r="O3966">
        <f>IFERROR(VLOOKUP(A3966,vlookup_table!$A:$G,4,FALSE),"")</f>
        <v>4401</v>
      </c>
      <c r="P3966" t="str">
        <f>IFERROR(VLOOKUP(A3966,vlookup_table!$A:$G,5,FALSE),"")</f>
        <v>T1</v>
      </c>
      <c r="Q3966">
        <f>IFERROR(VLOOKUP(A3966,vlookup_table!$A:$G,7,FALSE),"")</f>
        <v>5</v>
      </c>
      <c r="R3966">
        <f t="shared" si="244"/>
        <v>53</v>
      </c>
      <c r="S3966" t="str" cm="1">
        <f t="array" ref="S3966">IF(P3966="","",_xlfn.SWITCH(LEFT(P3966,1),"C","Ciudad","T","Pueblo","R","Rural","S","Suburbano","U","Urbano",""))</f>
        <v>Pueblo</v>
      </c>
      <c r="T3966" t="str">
        <f t="shared" si="245"/>
        <v>M</v>
      </c>
      <c r="U3966" t="str">
        <f t="shared" si="246"/>
        <v>AL</v>
      </c>
      <c r="V3966" t="str">
        <f t="shared" si="247"/>
        <v>15854</v>
      </c>
    </row>
    <row r="3967" spans="1:22" x14ac:dyDescent="0.35">
      <c r="A3967" s="3">
        <v>86692</v>
      </c>
      <c r="B3967" t="s">
        <v>45</v>
      </c>
      <c r="C3967" t="s">
        <v>14</v>
      </c>
      <c r="D3967">
        <v>349</v>
      </c>
      <c r="E3967">
        <v>201</v>
      </c>
      <c r="F3967">
        <v>281</v>
      </c>
      <c r="G3967">
        <v>0</v>
      </c>
      <c r="H3967">
        <v>9651</v>
      </c>
      <c r="I3967">
        <v>0</v>
      </c>
      <c r="J3967">
        <v>87</v>
      </c>
      <c r="K3967">
        <v>272</v>
      </c>
      <c r="L3967">
        <v>214</v>
      </c>
      <c r="M3967">
        <v>12.2</v>
      </c>
      <c r="N3967">
        <f>IFERROR(VLOOKUP(A3967,vlookup_table!$A:$G,2,FALSE),"")</f>
        <v>1</v>
      </c>
      <c r="O3967">
        <f>IFERROR(VLOOKUP(A3967,vlookup_table!$A:$G,4,FALSE),"")</f>
        <v>4001</v>
      </c>
      <c r="P3967" t="str">
        <f>IFERROR(VLOOKUP(A3967,vlookup_table!$A:$G,5,FALSE),"")</f>
        <v>T2</v>
      </c>
      <c r="Q3967">
        <f>IFERROR(VLOOKUP(A3967,vlookup_table!$A:$G,7,FALSE),"")</f>
        <v>19</v>
      </c>
      <c r="R3967">
        <f t="shared" si="244"/>
        <v>57</v>
      </c>
      <c r="S3967" t="str" cm="1">
        <f t="array" ref="S3967">IF(P3967="","",_xlfn.SWITCH(LEFT(P3967,1),"C","Ciudad","T","Pueblo","R","Rural","S","Suburbano","U","Urbano",""))</f>
        <v>Pueblo</v>
      </c>
      <c r="T3967" t="str">
        <f t="shared" si="245"/>
        <v>M</v>
      </c>
      <c r="U3967" t="str">
        <f t="shared" si="246"/>
        <v>ND</v>
      </c>
      <c r="V3967" t="str">
        <f t="shared" si="247"/>
        <v>9651</v>
      </c>
    </row>
    <row r="3968" spans="1:22" x14ac:dyDescent="0.35">
      <c r="A3968" s="3">
        <v>7082</v>
      </c>
      <c r="B3968" t="s">
        <v>22</v>
      </c>
      <c r="C3968" t="s">
        <v>17</v>
      </c>
      <c r="D3968">
        <v>3327</v>
      </c>
      <c r="E3968">
        <v>404</v>
      </c>
      <c r="F3968">
        <v>538</v>
      </c>
      <c r="G3968">
        <v>94</v>
      </c>
      <c r="H3968">
        <v>18128</v>
      </c>
      <c r="I3968">
        <v>40</v>
      </c>
      <c r="J3968">
        <v>48</v>
      </c>
      <c r="K3968">
        <v>429</v>
      </c>
      <c r="L3968">
        <v>484</v>
      </c>
      <c r="M3968">
        <v>10.88888889</v>
      </c>
      <c r="N3968">
        <f>IFERROR(VLOOKUP(A3968,vlookup_table!$A:$G,2,FALSE),"")</f>
        <v>28</v>
      </c>
      <c r="O3968">
        <f>IFERROR(VLOOKUP(A3968,vlookup_table!$A:$G,4,FALSE),"")</f>
        <v>1701</v>
      </c>
      <c r="P3968" t="str">
        <f>IFERROR(VLOOKUP(A3968,vlookup_table!$A:$G,5,FALSE),"")</f>
        <v>U1</v>
      </c>
      <c r="Q3968">
        <f>IFERROR(VLOOKUP(A3968,vlookup_table!$A:$G,7,FALSE),"")</f>
        <v>10</v>
      </c>
      <c r="R3968">
        <f t="shared" si="244"/>
        <v>80</v>
      </c>
      <c r="S3968" t="str" cm="1">
        <f t="array" ref="S3968">IF(P3968="","",_xlfn.SWITCH(LEFT(P3968,1),"C","Ciudad","T","Pueblo","R","Rural","S","Suburbano","U","Urbano",""))</f>
        <v>Urbano</v>
      </c>
      <c r="T3968" t="str">
        <f t="shared" si="245"/>
        <v>F</v>
      </c>
      <c r="U3968" t="str">
        <f t="shared" si="246"/>
        <v>CA</v>
      </c>
      <c r="V3968" t="str">
        <f t="shared" si="247"/>
        <v>18128</v>
      </c>
    </row>
    <row r="3969" spans="1:22" x14ac:dyDescent="0.35">
      <c r="A3969" s="3">
        <v>116539</v>
      </c>
      <c r="B3969" t="s">
        <v>22</v>
      </c>
      <c r="C3969" t="s">
        <v>17</v>
      </c>
      <c r="D3969">
        <v>1606</v>
      </c>
      <c r="E3969">
        <v>293</v>
      </c>
      <c r="F3969">
        <v>367</v>
      </c>
      <c r="G3969">
        <v>25</v>
      </c>
      <c r="H3969">
        <v>12438</v>
      </c>
      <c r="I3969">
        <v>15</v>
      </c>
      <c r="J3969">
        <v>38</v>
      </c>
      <c r="K3969">
        <v>316</v>
      </c>
      <c r="L3969">
        <v>351</v>
      </c>
      <c r="M3969">
        <v>13.42857143</v>
      </c>
      <c r="N3969">
        <f>IFERROR(VLOOKUP(A3969,vlookup_table!$A:$G,2,FALSE),"")</f>
        <v>0</v>
      </c>
      <c r="O3969">
        <f>IFERROR(VLOOKUP(A3969,vlookup_table!$A:$G,4,FALSE),"")</f>
        <v>3001</v>
      </c>
      <c r="P3969" t="str">
        <f>IFERROR(VLOOKUP(A3969,vlookup_table!$A:$G,5,FALSE),"")</f>
        <v>T2</v>
      </c>
      <c r="Q3969">
        <f>IFERROR(VLOOKUP(A3969,vlookup_table!$A:$G,7,FALSE),"")</f>
        <v>19</v>
      </c>
      <c r="R3969">
        <f t="shared" si="244"/>
        <v>67</v>
      </c>
      <c r="S3969" t="str" cm="1">
        <f t="array" ref="S3969">IF(P3969="","",_xlfn.SWITCH(LEFT(P3969,1),"C","Ciudad","T","Pueblo","R","Rural","S","Suburbano","U","Urbano",""))</f>
        <v>Pueblo</v>
      </c>
      <c r="T3969" t="str">
        <f t="shared" si="245"/>
        <v>F</v>
      </c>
      <c r="U3969" t="str">
        <f t="shared" si="246"/>
        <v>CA</v>
      </c>
      <c r="V3969" t="str">
        <f t="shared" si="247"/>
        <v>12438</v>
      </c>
    </row>
    <row r="3970" spans="1:22" x14ac:dyDescent="0.35">
      <c r="A3970" s="3">
        <v>65656</v>
      </c>
      <c r="B3970" t="s">
        <v>29</v>
      </c>
      <c r="D3970">
        <v>928</v>
      </c>
      <c r="E3970">
        <v>334</v>
      </c>
      <c r="F3970">
        <v>527</v>
      </c>
      <c r="G3970">
        <v>1</v>
      </c>
      <c r="H3970">
        <v>23732</v>
      </c>
      <c r="I3970">
        <v>15</v>
      </c>
      <c r="J3970">
        <v>57</v>
      </c>
      <c r="K3970">
        <v>463</v>
      </c>
      <c r="L3970">
        <v>403</v>
      </c>
      <c r="M3970">
        <v>15</v>
      </c>
      <c r="N3970">
        <f>IFERROR(VLOOKUP(A3970,vlookup_table!$A:$G,2,FALSE),"")</f>
        <v>0</v>
      </c>
      <c r="O3970">
        <f>IFERROR(VLOOKUP(A3970,vlookup_table!$A:$G,4,FALSE),"")</f>
        <v>0</v>
      </c>
      <c r="P3970" t="str">
        <f>IFERROR(VLOOKUP(A3970,vlookup_table!$A:$G,5,FALSE),"")</f>
        <v>S3</v>
      </c>
      <c r="Q3970">
        <f>IFERROR(VLOOKUP(A3970,vlookup_table!$A:$G,7,FALSE),"")</f>
        <v>25</v>
      </c>
      <c r="R3970">
        <f t="shared" ref="R3970:R4029" si="248">IF(O3970="","",97-INT(O3970/100))</f>
        <v>97</v>
      </c>
      <c r="S3970" t="str" cm="1">
        <f t="array" ref="S3970">IF(P3970="","",_xlfn.SWITCH(LEFT(P3970,1),"C","Ciudad","T","Pueblo","R","Rural","S","Suburbano","U","Urbano",""))</f>
        <v>Suburbano</v>
      </c>
      <c r="T3970" t="str">
        <f t="shared" ref="T3970:T4029" si="249">IF(C3970="","",IF(OR(UPPER(C3970)="M",UPPER(C3970)="MALE"),"M",IF(OR(UPPER(C3970)="F",UPPER(C3970)="FEMALE",UPPER(C3970)="FEAMALE"),"F",C3970)))</f>
        <v/>
      </c>
      <c r="U3970" t="str">
        <f t="shared" ref="U3970:U4029" si="250">IF(OR(UPPER(B3970)="CALIFORNIA",UPPER(B3970)="CALI"),"CA",B3970)</f>
        <v>MI</v>
      </c>
      <c r="V3970" t="str">
        <f t="shared" ref="V3970:V4029" si="251">SUBSTITUTE(H3970,"@","")</f>
        <v>23732</v>
      </c>
    </row>
    <row r="3971" spans="1:22" x14ac:dyDescent="0.35">
      <c r="A3971" s="3">
        <v>121986</v>
      </c>
      <c r="B3971" t="s">
        <v>21</v>
      </c>
      <c r="C3971" t="s">
        <v>17</v>
      </c>
      <c r="D3971">
        <v>733</v>
      </c>
      <c r="E3971">
        <v>452</v>
      </c>
      <c r="F3971">
        <v>503</v>
      </c>
      <c r="G3971">
        <v>0</v>
      </c>
      <c r="H3971">
        <v>14468</v>
      </c>
      <c r="I3971">
        <v>17</v>
      </c>
      <c r="J3971">
        <v>50</v>
      </c>
      <c r="K3971">
        <v>453</v>
      </c>
      <c r="L3971">
        <v>496</v>
      </c>
      <c r="M3971">
        <v>6.6666666670000003</v>
      </c>
      <c r="N3971">
        <f>IFERROR(VLOOKUP(A3971,vlookup_table!$A:$G,2,FALSE),"")</f>
        <v>0</v>
      </c>
      <c r="O3971">
        <f>IFERROR(VLOOKUP(A3971,vlookup_table!$A:$G,4,FALSE),"")</f>
        <v>0</v>
      </c>
      <c r="P3971" t="str">
        <f>IFERROR(VLOOKUP(A3971,vlookup_table!$A:$G,5,FALSE),"")</f>
        <v>U3</v>
      </c>
      <c r="Q3971">
        <f>IFERROR(VLOOKUP(A3971,vlookup_table!$A:$G,7,FALSE),"")</f>
        <v>3</v>
      </c>
      <c r="R3971">
        <f t="shared" si="248"/>
        <v>97</v>
      </c>
      <c r="S3971" t="str" cm="1">
        <f t="array" ref="S3971">IF(P3971="","",_xlfn.SWITCH(LEFT(P3971,1),"C","Ciudad","T","Pueblo","R","Rural","S","Suburbano","U","Urbano",""))</f>
        <v>Urbano</v>
      </c>
      <c r="T3971" t="str">
        <f t="shared" si="249"/>
        <v>F</v>
      </c>
      <c r="U3971" t="str">
        <f t="shared" si="250"/>
        <v>TX</v>
      </c>
      <c r="V3971" t="str">
        <f t="shared" si="251"/>
        <v>14468</v>
      </c>
    </row>
    <row r="3972" spans="1:22" x14ac:dyDescent="0.35">
      <c r="A3972" s="3">
        <v>83718</v>
      </c>
      <c r="B3972" t="s">
        <v>56</v>
      </c>
      <c r="C3972" t="s">
        <v>17</v>
      </c>
      <c r="D3972">
        <v>813</v>
      </c>
      <c r="E3972">
        <v>216</v>
      </c>
      <c r="F3972">
        <v>382</v>
      </c>
      <c r="G3972">
        <v>0</v>
      </c>
      <c r="H3972">
        <v>18722</v>
      </c>
      <c r="I3972">
        <v>0</v>
      </c>
      <c r="J3972">
        <v>62</v>
      </c>
      <c r="K3972">
        <v>295</v>
      </c>
      <c r="L3972">
        <v>281</v>
      </c>
      <c r="M3972">
        <v>2.7058823529999998</v>
      </c>
      <c r="N3972">
        <f>IFERROR(VLOOKUP(A3972,vlookup_table!$A:$G,2,FALSE),"")</f>
        <v>0</v>
      </c>
      <c r="O3972">
        <f>IFERROR(VLOOKUP(A3972,vlookup_table!$A:$G,4,FALSE),"")</f>
        <v>1601</v>
      </c>
      <c r="P3972" t="str">
        <f>IFERROR(VLOOKUP(A3972,vlookup_table!$A:$G,5,FALSE),"")</f>
        <v>C2</v>
      </c>
      <c r="Q3972">
        <f>IFERROR(VLOOKUP(A3972,vlookup_table!$A:$G,7,FALSE),"")</f>
        <v>3</v>
      </c>
      <c r="R3972">
        <f t="shared" si="248"/>
        <v>81</v>
      </c>
      <c r="S3972" t="str" cm="1">
        <f t="array" ref="S3972">IF(P3972="","",_xlfn.SWITCH(LEFT(P3972,1),"C","Ciudad","T","Pueblo","R","Rural","S","Suburbano","U","Urbano",""))</f>
        <v>Ciudad</v>
      </c>
      <c r="T3972" t="str">
        <f t="shared" si="249"/>
        <v>F</v>
      </c>
      <c r="U3972" t="str">
        <f t="shared" si="250"/>
        <v>MN</v>
      </c>
      <c r="V3972" t="str">
        <f t="shared" si="251"/>
        <v>18722</v>
      </c>
    </row>
    <row r="3973" spans="1:22" x14ac:dyDescent="0.35">
      <c r="A3973" s="3">
        <v>80336</v>
      </c>
      <c r="B3973" t="s">
        <v>35</v>
      </c>
      <c r="C3973" t="s">
        <v>17</v>
      </c>
      <c r="D3973">
        <v>836</v>
      </c>
      <c r="E3973">
        <v>464</v>
      </c>
      <c r="F3973">
        <v>512</v>
      </c>
      <c r="G3973">
        <v>0</v>
      </c>
      <c r="H3973">
        <v>15024</v>
      </c>
      <c r="I3973">
        <v>5</v>
      </c>
      <c r="J3973">
        <v>84</v>
      </c>
      <c r="K3973">
        <v>468</v>
      </c>
      <c r="L3973">
        <v>496</v>
      </c>
      <c r="M3973">
        <v>6.9285714289999998</v>
      </c>
      <c r="N3973">
        <f>IFERROR(VLOOKUP(A3973,vlookup_table!$A:$G,2,FALSE),"")</f>
        <v>2</v>
      </c>
      <c r="O3973">
        <f>IFERROR(VLOOKUP(A3973,vlookup_table!$A:$G,4,FALSE),"")</f>
        <v>3001</v>
      </c>
      <c r="P3973" t="str">
        <f>IFERROR(VLOOKUP(A3973,vlookup_table!$A:$G,5,FALSE),"")</f>
        <v>C2</v>
      </c>
      <c r="Q3973">
        <f>IFERROR(VLOOKUP(A3973,vlookup_table!$A:$G,7,FALSE),"")</f>
        <v>12</v>
      </c>
      <c r="R3973">
        <f t="shared" si="248"/>
        <v>67</v>
      </c>
      <c r="S3973" t="str" cm="1">
        <f t="array" ref="S3973">IF(P3973="","",_xlfn.SWITCH(LEFT(P3973,1),"C","Ciudad","T","Pueblo","R","Rural","S","Suburbano","U","Urbano",""))</f>
        <v>Ciudad</v>
      </c>
      <c r="T3973" t="str">
        <f t="shared" si="249"/>
        <v>F</v>
      </c>
      <c r="U3973" t="str">
        <f t="shared" si="250"/>
        <v>WI</v>
      </c>
      <c r="V3973" t="str">
        <f t="shared" si="251"/>
        <v>15024</v>
      </c>
    </row>
    <row r="3974" spans="1:22" x14ac:dyDescent="0.35">
      <c r="A3974" s="3">
        <v>72166</v>
      </c>
      <c r="B3974" t="s">
        <v>29</v>
      </c>
      <c r="C3974" t="s">
        <v>17</v>
      </c>
      <c r="D3974">
        <v>483</v>
      </c>
      <c r="E3974">
        <v>364</v>
      </c>
      <c r="F3974">
        <v>463</v>
      </c>
      <c r="G3974">
        <v>0</v>
      </c>
      <c r="H3974">
        <v>15398</v>
      </c>
      <c r="I3974">
        <v>0</v>
      </c>
      <c r="J3974">
        <v>89</v>
      </c>
      <c r="K3974">
        <v>388</v>
      </c>
      <c r="L3974">
        <v>412</v>
      </c>
      <c r="M3974">
        <v>13</v>
      </c>
      <c r="N3974">
        <f>IFERROR(VLOOKUP(A3974,vlookup_table!$A:$G,2,FALSE),"")</f>
        <v>28</v>
      </c>
      <c r="O3974">
        <f>IFERROR(VLOOKUP(A3974,vlookup_table!$A:$G,4,FALSE),"")</f>
        <v>5801</v>
      </c>
      <c r="P3974" t="str">
        <f>IFERROR(VLOOKUP(A3974,vlookup_table!$A:$G,5,FALSE),"")</f>
        <v>T2</v>
      </c>
      <c r="Q3974">
        <f>IFERROR(VLOOKUP(A3974,vlookup_table!$A:$G,7,FALSE),"")</f>
        <v>20</v>
      </c>
      <c r="R3974">
        <f t="shared" si="248"/>
        <v>39</v>
      </c>
      <c r="S3974" t="str" cm="1">
        <f t="array" ref="S3974">IF(P3974="","",_xlfn.SWITCH(LEFT(P3974,1),"C","Ciudad","T","Pueblo","R","Rural","S","Suburbano","U","Urbano",""))</f>
        <v>Pueblo</v>
      </c>
      <c r="T3974" t="str">
        <f t="shared" si="249"/>
        <v>F</v>
      </c>
      <c r="U3974" t="str">
        <f t="shared" si="250"/>
        <v>MI</v>
      </c>
      <c r="V3974" t="str">
        <f t="shared" si="251"/>
        <v>15398</v>
      </c>
    </row>
    <row r="3975" spans="1:22" x14ac:dyDescent="0.35">
      <c r="A3975" s="3">
        <v>150945</v>
      </c>
      <c r="B3975" t="s">
        <v>22</v>
      </c>
      <c r="C3975" t="s">
        <v>17</v>
      </c>
      <c r="D3975">
        <v>1473</v>
      </c>
      <c r="E3975">
        <v>424</v>
      </c>
      <c r="F3975">
        <v>452</v>
      </c>
      <c r="G3975">
        <v>1</v>
      </c>
      <c r="H3975">
        <v>13529</v>
      </c>
      <c r="I3975">
        <v>14</v>
      </c>
      <c r="J3975">
        <v>65</v>
      </c>
      <c r="K3975">
        <v>436</v>
      </c>
      <c r="L3975">
        <v>444</v>
      </c>
      <c r="M3975">
        <v>13.33333333</v>
      </c>
      <c r="N3975">
        <f>IFERROR(VLOOKUP(A3975,vlookup_table!$A:$G,2,FALSE),"")</f>
        <v>1</v>
      </c>
      <c r="O3975">
        <f>IFERROR(VLOOKUP(A3975,vlookup_table!$A:$G,4,FALSE),"")</f>
        <v>0</v>
      </c>
      <c r="P3975" t="str">
        <f>IFERROR(VLOOKUP(A3975,vlookup_table!$A:$G,5,FALSE),"")</f>
        <v>U3</v>
      </c>
      <c r="Q3975">
        <f>IFERROR(VLOOKUP(A3975,vlookup_table!$A:$G,7,FALSE),"")</f>
        <v>20</v>
      </c>
      <c r="R3975">
        <f t="shared" si="248"/>
        <v>97</v>
      </c>
      <c r="S3975" t="str" cm="1">
        <f t="array" ref="S3975">IF(P3975="","",_xlfn.SWITCH(LEFT(P3975,1),"C","Ciudad","T","Pueblo","R","Rural","S","Suburbano","U","Urbano",""))</f>
        <v>Urbano</v>
      </c>
      <c r="T3975" t="str">
        <f t="shared" si="249"/>
        <v>F</v>
      </c>
      <c r="U3975" t="str">
        <f t="shared" si="250"/>
        <v>CA</v>
      </c>
      <c r="V3975" t="str">
        <f t="shared" si="251"/>
        <v>13529</v>
      </c>
    </row>
    <row r="3976" spans="1:22" x14ac:dyDescent="0.35">
      <c r="A3976" s="3">
        <v>132847</v>
      </c>
      <c r="B3976" t="s">
        <v>66</v>
      </c>
      <c r="C3976" t="s">
        <v>51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20</v>
      </c>
      <c r="N3976">
        <f>IFERROR(VLOOKUP(A3976,vlookup_table!$A:$G,2,FALSE),"")</f>
        <v>1</v>
      </c>
      <c r="O3976">
        <f>IFERROR(VLOOKUP(A3976,vlookup_table!$A:$G,4,FALSE),"")</f>
        <v>6801</v>
      </c>
      <c r="P3976" t="str">
        <f>IFERROR(VLOOKUP(A3976,vlookup_table!$A:$G,5,FALSE),"")</f>
        <v>T3</v>
      </c>
      <c r="Q3976">
        <f>IFERROR(VLOOKUP(A3976,vlookup_table!$A:$G,7,FALSE),"")</f>
        <v>10</v>
      </c>
      <c r="R3976">
        <f t="shared" si="248"/>
        <v>29</v>
      </c>
      <c r="S3976" t="str" cm="1">
        <f t="array" ref="S3976">IF(P3976="","",_xlfn.SWITCH(LEFT(P3976,1),"C","Ciudad","T","Pueblo","R","Rural","S","Suburbano","U","Urbano",""))</f>
        <v>Pueblo</v>
      </c>
      <c r="T3976" t="str">
        <f t="shared" si="249"/>
        <v>M</v>
      </c>
      <c r="U3976" t="str">
        <f t="shared" si="250"/>
        <v>WY</v>
      </c>
      <c r="V3976" t="str">
        <f t="shared" si="251"/>
        <v>0</v>
      </c>
    </row>
    <row r="3977" spans="1:22" x14ac:dyDescent="0.35">
      <c r="A3977" s="3">
        <v>21244</v>
      </c>
      <c r="B3977" t="s">
        <v>18</v>
      </c>
      <c r="C3977" t="s">
        <v>17</v>
      </c>
      <c r="D3977">
        <v>828</v>
      </c>
      <c r="E3977">
        <v>232</v>
      </c>
      <c r="F3977">
        <v>380</v>
      </c>
      <c r="G3977">
        <v>13</v>
      </c>
      <c r="H3977">
        <v>15119</v>
      </c>
      <c r="I3977">
        <v>1</v>
      </c>
      <c r="J3977">
        <v>66</v>
      </c>
      <c r="K3977">
        <v>308</v>
      </c>
      <c r="L3977">
        <v>327</v>
      </c>
      <c r="M3977">
        <v>10.30769231</v>
      </c>
      <c r="N3977">
        <f>IFERROR(VLOOKUP(A3977,vlookup_table!$A:$G,2,FALSE),"")</f>
        <v>0</v>
      </c>
      <c r="O3977">
        <f>IFERROR(VLOOKUP(A3977,vlookup_table!$A:$G,4,FALSE),"")</f>
        <v>2307</v>
      </c>
      <c r="P3977" t="str">
        <f>IFERROR(VLOOKUP(A3977,vlookup_table!$A:$G,5,FALSE),"")</f>
        <v>R1</v>
      </c>
      <c r="Q3977">
        <f>IFERROR(VLOOKUP(A3977,vlookup_table!$A:$G,7,FALSE),"")</f>
        <v>12</v>
      </c>
      <c r="R3977">
        <f t="shared" si="248"/>
        <v>74</v>
      </c>
      <c r="S3977" t="str" cm="1">
        <f t="array" ref="S3977">IF(P3977="","",_xlfn.SWITCH(LEFT(P3977,1),"C","Ciudad","T","Pueblo","R","Rural","S","Suburbano","U","Urbano",""))</f>
        <v>Rural</v>
      </c>
      <c r="T3977" t="str">
        <f t="shared" si="249"/>
        <v>F</v>
      </c>
      <c r="U3977" t="str">
        <f t="shared" si="250"/>
        <v>NC</v>
      </c>
      <c r="V3977" t="str">
        <f t="shared" si="251"/>
        <v>15119</v>
      </c>
    </row>
    <row r="3978" spans="1:22" x14ac:dyDescent="0.35">
      <c r="A3978" s="3">
        <v>82618</v>
      </c>
      <c r="B3978" t="s">
        <v>56</v>
      </c>
      <c r="C3978" t="s">
        <v>14</v>
      </c>
      <c r="D3978">
        <v>836</v>
      </c>
      <c r="E3978">
        <v>477</v>
      </c>
      <c r="F3978">
        <v>540</v>
      </c>
      <c r="G3978">
        <v>0</v>
      </c>
      <c r="H3978">
        <v>15366</v>
      </c>
      <c r="I3978">
        <v>3</v>
      </c>
      <c r="J3978">
        <v>81</v>
      </c>
      <c r="K3978">
        <v>508</v>
      </c>
      <c r="L3978">
        <v>495</v>
      </c>
      <c r="M3978">
        <v>6.2380952379999997</v>
      </c>
      <c r="N3978">
        <f>IFERROR(VLOOKUP(A3978,vlookup_table!$A:$G,2,FALSE),"")</f>
        <v>0</v>
      </c>
      <c r="O3978">
        <f>IFERROR(VLOOKUP(A3978,vlookup_table!$A:$G,4,FALSE),"")</f>
        <v>6001</v>
      </c>
      <c r="P3978" t="str">
        <f>IFERROR(VLOOKUP(A3978,vlookup_table!$A:$G,5,FALSE),"")</f>
        <v>S2</v>
      </c>
      <c r="Q3978">
        <f>IFERROR(VLOOKUP(A3978,vlookup_table!$A:$G,7,FALSE),"")</f>
        <v>5</v>
      </c>
      <c r="R3978">
        <f t="shared" si="248"/>
        <v>37</v>
      </c>
      <c r="S3978" t="str" cm="1">
        <f t="array" ref="S3978">IF(P3978="","",_xlfn.SWITCH(LEFT(P3978,1),"C","Ciudad","T","Pueblo","R","Rural","S","Suburbano","U","Urbano",""))</f>
        <v>Suburbano</v>
      </c>
      <c r="T3978" t="str">
        <f t="shared" si="249"/>
        <v>M</v>
      </c>
      <c r="U3978" t="str">
        <f t="shared" si="250"/>
        <v>MN</v>
      </c>
      <c r="V3978" t="str">
        <f t="shared" si="251"/>
        <v>15366</v>
      </c>
    </row>
    <row r="3979" spans="1:22" x14ac:dyDescent="0.35">
      <c r="A3979" s="3">
        <v>169044</v>
      </c>
      <c r="B3979" t="s">
        <v>22</v>
      </c>
      <c r="C3979" t="s">
        <v>17</v>
      </c>
      <c r="D3979">
        <v>993</v>
      </c>
      <c r="E3979">
        <v>252</v>
      </c>
      <c r="F3979">
        <v>344</v>
      </c>
      <c r="G3979">
        <v>6</v>
      </c>
      <c r="H3979">
        <v>12884</v>
      </c>
      <c r="I3979">
        <v>1</v>
      </c>
      <c r="J3979">
        <v>60</v>
      </c>
      <c r="K3979">
        <v>291</v>
      </c>
      <c r="L3979">
        <v>316</v>
      </c>
      <c r="M3979">
        <v>6.96</v>
      </c>
      <c r="N3979">
        <f>IFERROR(VLOOKUP(A3979,vlookup_table!$A:$G,2,FALSE),"")</f>
        <v>0</v>
      </c>
      <c r="O3979">
        <f>IFERROR(VLOOKUP(A3979,vlookup_table!$A:$G,4,FALSE),"")</f>
        <v>3401</v>
      </c>
      <c r="P3979" t="str">
        <f>IFERROR(VLOOKUP(A3979,vlookup_table!$A:$G,5,FALSE),"")</f>
        <v>R2</v>
      </c>
      <c r="Q3979">
        <f>IFERROR(VLOOKUP(A3979,vlookup_table!$A:$G,7,FALSE),"")</f>
        <v>15</v>
      </c>
      <c r="R3979">
        <f t="shared" si="248"/>
        <v>63</v>
      </c>
      <c r="S3979" t="str" cm="1">
        <f t="array" ref="S3979">IF(P3979="","",_xlfn.SWITCH(LEFT(P3979,1),"C","Ciudad","T","Pueblo","R","Rural","S","Suburbano","U","Urbano",""))</f>
        <v>Rural</v>
      </c>
      <c r="T3979" t="str">
        <f t="shared" si="249"/>
        <v>F</v>
      </c>
      <c r="U3979" t="str">
        <f t="shared" si="250"/>
        <v>CA</v>
      </c>
      <c r="V3979" t="str">
        <f t="shared" si="251"/>
        <v>12884</v>
      </c>
    </row>
    <row r="3980" spans="1:22" x14ac:dyDescent="0.35">
      <c r="A3980" s="3">
        <v>165830</v>
      </c>
      <c r="B3980" t="s">
        <v>22</v>
      </c>
      <c r="C3980" t="s">
        <v>17</v>
      </c>
      <c r="D3980">
        <v>3230</v>
      </c>
      <c r="E3980">
        <v>650</v>
      </c>
      <c r="F3980">
        <v>752</v>
      </c>
      <c r="G3980">
        <v>93</v>
      </c>
      <c r="H3980">
        <v>27549</v>
      </c>
      <c r="I3980">
        <v>4</v>
      </c>
      <c r="J3980">
        <v>53</v>
      </c>
      <c r="K3980">
        <v>688</v>
      </c>
      <c r="L3980">
        <v>714</v>
      </c>
      <c r="M3980">
        <v>18.333333329999999</v>
      </c>
      <c r="N3980">
        <f>IFERROR(VLOOKUP(A3980,vlookup_table!$A:$G,2,FALSE),"")</f>
        <v>0</v>
      </c>
      <c r="O3980">
        <f>IFERROR(VLOOKUP(A3980,vlookup_table!$A:$G,4,FALSE),"")</f>
        <v>5510</v>
      </c>
      <c r="P3980" t="str">
        <f>IFERROR(VLOOKUP(A3980,vlookup_table!$A:$G,5,FALSE),"")</f>
        <v>C1</v>
      </c>
      <c r="Q3980">
        <f>IFERROR(VLOOKUP(A3980,vlookup_table!$A:$G,7,FALSE),"")</f>
        <v>25</v>
      </c>
      <c r="R3980">
        <f t="shared" si="248"/>
        <v>42</v>
      </c>
      <c r="S3980" t="str" cm="1">
        <f t="array" ref="S3980">IF(P3980="","",_xlfn.SWITCH(LEFT(P3980,1),"C","Ciudad","T","Pueblo","R","Rural","S","Suburbano","U","Urbano",""))</f>
        <v>Ciudad</v>
      </c>
      <c r="T3980" t="str">
        <f t="shared" si="249"/>
        <v>F</v>
      </c>
      <c r="U3980" t="str">
        <f t="shared" si="250"/>
        <v>CA</v>
      </c>
      <c r="V3980" t="str">
        <f t="shared" si="251"/>
        <v>27549</v>
      </c>
    </row>
    <row r="3981" spans="1:22" x14ac:dyDescent="0.35">
      <c r="A3981" s="3">
        <v>165820</v>
      </c>
      <c r="B3981" t="s">
        <v>22</v>
      </c>
      <c r="C3981" t="s">
        <v>17</v>
      </c>
      <c r="D3981">
        <v>2854</v>
      </c>
      <c r="E3981">
        <v>732</v>
      </c>
      <c r="F3981">
        <v>785</v>
      </c>
      <c r="G3981">
        <v>94</v>
      </c>
      <c r="H3981">
        <v>29170</v>
      </c>
      <c r="I3981">
        <v>7</v>
      </c>
      <c r="J3981">
        <v>45</v>
      </c>
      <c r="K3981">
        <v>749</v>
      </c>
      <c r="L3981">
        <v>760</v>
      </c>
      <c r="M3981">
        <v>20</v>
      </c>
      <c r="N3981">
        <f>IFERROR(VLOOKUP(A3981,vlookup_table!$A:$G,2,FALSE),"")</f>
        <v>2</v>
      </c>
      <c r="O3981">
        <f>IFERROR(VLOOKUP(A3981,vlookup_table!$A:$G,4,FALSE),"")</f>
        <v>2201</v>
      </c>
      <c r="P3981" t="str">
        <f>IFERROR(VLOOKUP(A3981,vlookup_table!$A:$G,5,FALSE),"")</f>
        <v>C1</v>
      </c>
      <c r="Q3981">
        <f>IFERROR(VLOOKUP(A3981,vlookup_table!$A:$G,7,FALSE),"")</f>
        <v>20</v>
      </c>
      <c r="R3981">
        <f t="shared" si="248"/>
        <v>75</v>
      </c>
      <c r="S3981" t="str" cm="1">
        <f t="array" ref="S3981">IF(P3981="","",_xlfn.SWITCH(LEFT(P3981,1),"C","Ciudad","T","Pueblo","R","Rural","S","Suburbano","U","Urbano",""))</f>
        <v>Ciudad</v>
      </c>
      <c r="T3981" t="str">
        <f t="shared" si="249"/>
        <v>F</v>
      </c>
      <c r="U3981" t="str">
        <f t="shared" si="250"/>
        <v>CA</v>
      </c>
      <c r="V3981" t="str">
        <f t="shared" si="251"/>
        <v>29170</v>
      </c>
    </row>
    <row r="3982" spans="1:22" x14ac:dyDescent="0.35">
      <c r="A3982" s="3">
        <v>29010</v>
      </c>
      <c r="B3982" t="s">
        <v>49</v>
      </c>
      <c r="C3982" t="s">
        <v>14</v>
      </c>
      <c r="D3982">
        <v>775</v>
      </c>
      <c r="E3982">
        <v>354</v>
      </c>
      <c r="F3982">
        <v>447</v>
      </c>
      <c r="G3982">
        <v>7</v>
      </c>
      <c r="H3982">
        <v>14170</v>
      </c>
      <c r="I3982">
        <v>3</v>
      </c>
      <c r="J3982">
        <v>70</v>
      </c>
      <c r="K3982">
        <v>395</v>
      </c>
      <c r="L3982">
        <v>410</v>
      </c>
      <c r="M3982">
        <v>18</v>
      </c>
      <c r="N3982">
        <f>IFERROR(VLOOKUP(A3982,vlookup_table!$A:$G,2,FALSE),"")</f>
        <v>2</v>
      </c>
      <c r="O3982">
        <f>IFERROR(VLOOKUP(A3982,vlookup_table!$A:$G,4,FALSE),"")</f>
        <v>5001</v>
      </c>
      <c r="P3982" t="str">
        <f>IFERROR(VLOOKUP(A3982,vlookup_table!$A:$G,5,FALSE),"")</f>
        <v>R2</v>
      </c>
      <c r="Q3982">
        <f>IFERROR(VLOOKUP(A3982,vlookup_table!$A:$G,7,FALSE),"")</f>
        <v>24</v>
      </c>
      <c r="R3982">
        <f t="shared" si="248"/>
        <v>47</v>
      </c>
      <c r="S3982" t="str" cm="1">
        <f t="array" ref="S3982">IF(P3982="","",_xlfn.SWITCH(LEFT(P3982,1),"C","Ciudad","T","Pueblo","R","Rural","S","Suburbano","U","Urbano",""))</f>
        <v>Rural</v>
      </c>
      <c r="T3982" t="str">
        <f t="shared" si="249"/>
        <v>M</v>
      </c>
      <c r="U3982" t="str">
        <f t="shared" si="250"/>
        <v>LA</v>
      </c>
      <c r="V3982" t="str">
        <f t="shared" si="251"/>
        <v>14170</v>
      </c>
    </row>
    <row r="3983" spans="1:22" x14ac:dyDescent="0.35">
      <c r="A3983" s="3">
        <v>159721</v>
      </c>
      <c r="B3983" t="s">
        <v>22</v>
      </c>
      <c r="C3983" t="s">
        <v>17</v>
      </c>
      <c r="D3983">
        <v>683</v>
      </c>
      <c r="E3983">
        <v>194</v>
      </c>
      <c r="F3983">
        <v>333</v>
      </c>
      <c r="G3983">
        <v>1</v>
      </c>
      <c r="H3983">
        <v>10267</v>
      </c>
      <c r="I3983">
        <v>9</v>
      </c>
      <c r="J3983">
        <v>64</v>
      </c>
      <c r="K3983">
        <v>216</v>
      </c>
      <c r="L3983">
        <v>295</v>
      </c>
      <c r="M3983">
        <v>11.363636359999999</v>
      </c>
      <c r="N3983">
        <f>IFERROR(VLOOKUP(A3983,vlookup_table!$A:$G,2,FALSE),"")</f>
        <v>0</v>
      </c>
      <c r="O3983">
        <f>IFERROR(VLOOKUP(A3983,vlookup_table!$A:$G,4,FALSE),"")</f>
        <v>3811</v>
      </c>
      <c r="P3983" t="str">
        <f>IFERROR(VLOOKUP(A3983,vlookup_table!$A:$G,5,FALSE),"")</f>
        <v>T3</v>
      </c>
      <c r="Q3983">
        <f>IFERROR(VLOOKUP(A3983,vlookup_table!$A:$G,7,FALSE),"")</f>
        <v>35</v>
      </c>
      <c r="R3983">
        <f t="shared" si="248"/>
        <v>59</v>
      </c>
      <c r="S3983" t="str" cm="1">
        <f t="array" ref="S3983">IF(P3983="","",_xlfn.SWITCH(LEFT(P3983,1),"C","Ciudad","T","Pueblo","R","Rural","S","Suburbano","U","Urbano",""))</f>
        <v>Pueblo</v>
      </c>
      <c r="T3983" t="str">
        <f t="shared" si="249"/>
        <v>F</v>
      </c>
      <c r="U3983" t="str">
        <f t="shared" si="250"/>
        <v>CA</v>
      </c>
      <c r="V3983" t="str">
        <f t="shared" si="251"/>
        <v>10267</v>
      </c>
    </row>
    <row r="3984" spans="1:22" x14ac:dyDescent="0.35">
      <c r="A3984" s="3">
        <v>47709</v>
      </c>
      <c r="B3984" t="s">
        <v>43</v>
      </c>
      <c r="C3984" t="s">
        <v>44</v>
      </c>
      <c r="D3984">
        <v>367</v>
      </c>
      <c r="E3984">
        <v>179</v>
      </c>
      <c r="F3984">
        <v>276</v>
      </c>
      <c r="G3984">
        <v>0</v>
      </c>
      <c r="H3984">
        <v>9389</v>
      </c>
      <c r="I3984">
        <v>0</v>
      </c>
      <c r="J3984">
        <v>79</v>
      </c>
      <c r="K3984">
        <v>220</v>
      </c>
      <c r="L3984">
        <v>236</v>
      </c>
      <c r="M3984">
        <v>11.44444444</v>
      </c>
      <c r="N3984">
        <f>IFERROR(VLOOKUP(A3984,vlookup_table!$A:$G,2,FALSE),"")</f>
        <v>1002</v>
      </c>
      <c r="O3984">
        <f>IFERROR(VLOOKUP(A3984,vlookup_table!$A:$G,4,FALSE),"")</f>
        <v>2008</v>
      </c>
      <c r="P3984" t="str">
        <f>IFERROR(VLOOKUP(A3984,vlookup_table!$A:$G,5,FALSE),"")</f>
        <v>R3</v>
      </c>
      <c r="Q3984">
        <f>IFERROR(VLOOKUP(A3984,vlookup_table!$A:$G,7,FALSE),"")</f>
        <v>20</v>
      </c>
      <c r="R3984">
        <f t="shared" si="248"/>
        <v>77</v>
      </c>
      <c r="S3984" t="str" cm="1">
        <f t="array" ref="S3984">IF(P3984="","",_xlfn.SWITCH(LEFT(P3984,1),"C","Ciudad","T","Pueblo","R","Rural","S","Suburbano","U","Urbano",""))</f>
        <v>Rural</v>
      </c>
      <c r="T3984" t="str">
        <f t="shared" si="249"/>
        <v>J</v>
      </c>
      <c r="U3984" t="str">
        <f t="shared" si="250"/>
        <v>AL</v>
      </c>
      <c r="V3984" t="str">
        <f t="shared" si="251"/>
        <v>9389</v>
      </c>
    </row>
    <row r="3985" spans="1:22" x14ac:dyDescent="0.35">
      <c r="A3985" s="3">
        <v>174152</v>
      </c>
      <c r="B3985" t="s">
        <v>37</v>
      </c>
      <c r="C3985" t="s">
        <v>17</v>
      </c>
      <c r="D3985">
        <v>3373</v>
      </c>
      <c r="E3985">
        <v>633</v>
      </c>
      <c r="F3985">
        <v>673</v>
      </c>
      <c r="G3985">
        <v>93</v>
      </c>
      <c r="H3985">
        <v>19518</v>
      </c>
      <c r="I3985">
        <v>7</v>
      </c>
      <c r="J3985">
        <v>68</v>
      </c>
      <c r="K3985">
        <v>628</v>
      </c>
      <c r="L3985">
        <v>669</v>
      </c>
      <c r="M3985">
        <v>13</v>
      </c>
      <c r="N3985">
        <f>IFERROR(VLOOKUP(A3985,vlookup_table!$A:$G,2,FALSE),"")</f>
        <v>2</v>
      </c>
      <c r="O3985">
        <f>IFERROR(VLOOKUP(A3985,vlookup_table!$A:$G,4,FALSE),"")</f>
        <v>3001</v>
      </c>
      <c r="P3985" t="str">
        <f>IFERROR(VLOOKUP(A3985,vlookup_table!$A:$G,5,FALSE),"")</f>
        <v>S1</v>
      </c>
      <c r="Q3985">
        <f>IFERROR(VLOOKUP(A3985,vlookup_table!$A:$G,7,FALSE),"")</f>
        <v>26</v>
      </c>
      <c r="R3985">
        <f t="shared" si="248"/>
        <v>67</v>
      </c>
      <c r="S3985" t="str" cm="1">
        <f t="array" ref="S3985">IF(P3985="","",_xlfn.SWITCH(LEFT(P3985,1),"C","Ciudad","T","Pueblo","R","Rural","S","Suburbano","U","Urbano",""))</f>
        <v>Suburbano</v>
      </c>
      <c r="T3985" t="str">
        <f t="shared" si="249"/>
        <v>F</v>
      </c>
      <c r="U3985" t="str">
        <f t="shared" si="250"/>
        <v>HI</v>
      </c>
      <c r="V3985" t="str">
        <f t="shared" si="251"/>
        <v>19518</v>
      </c>
    </row>
    <row r="3986" spans="1:22" x14ac:dyDescent="0.35">
      <c r="A3986" s="3">
        <v>36776</v>
      </c>
      <c r="B3986" t="s">
        <v>13</v>
      </c>
      <c r="C3986" t="s">
        <v>14</v>
      </c>
      <c r="D3986">
        <v>653</v>
      </c>
      <c r="E3986">
        <v>319</v>
      </c>
      <c r="F3986">
        <v>379</v>
      </c>
      <c r="G3986">
        <v>0</v>
      </c>
      <c r="H3986">
        <v>12869</v>
      </c>
      <c r="I3986">
        <v>11</v>
      </c>
      <c r="J3986">
        <v>35</v>
      </c>
      <c r="K3986">
        <v>360</v>
      </c>
      <c r="L3986">
        <v>358</v>
      </c>
      <c r="M3986">
        <v>9.5</v>
      </c>
      <c r="N3986">
        <f>IFERROR(VLOOKUP(A3986,vlookup_table!$A:$G,2,FALSE),"")</f>
        <v>1</v>
      </c>
      <c r="O3986">
        <f>IFERROR(VLOOKUP(A3986,vlookup_table!$A:$G,4,FALSE),"")</f>
        <v>2601</v>
      </c>
      <c r="P3986" t="str">
        <f>IFERROR(VLOOKUP(A3986,vlookup_table!$A:$G,5,FALSE),"")</f>
        <v>S3</v>
      </c>
      <c r="Q3986">
        <f>IFERROR(VLOOKUP(A3986,vlookup_table!$A:$G,7,FALSE),"")</f>
        <v>20</v>
      </c>
      <c r="R3986">
        <f t="shared" si="248"/>
        <v>71</v>
      </c>
      <c r="S3986" t="str" cm="1">
        <f t="array" ref="S3986">IF(P3986="","",_xlfn.SWITCH(LEFT(P3986,1),"C","Ciudad","T","Pueblo","R","Rural","S","Suburbano","U","Urbano",""))</f>
        <v>Suburbano</v>
      </c>
      <c r="T3986" t="str">
        <f t="shared" si="249"/>
        <v>M</v>
      </c>
      <c r="U3986" t="str">
        <f t="shared" si="250"/>
        <v>FL</v>
      </c>
      <c r="V3986" t="str">
        <f t="shared" si="251"/>
        <v>12869</v>
      </c>
    </row>
    <row r="3987" spans="1:22" x14ac:dyDescent="0.35">
      <c r="A3987" s="3">
        <v>57899</v>
      </c>
      <c r="B3987" t="s">
        <v>57</v>
      </c>
      <c r="C3987" t="s">
        <v>17</v>
      </c>
      <c r="D3987">
        <v>307</v>
      </c>
      <c r="E3987">
        <v>159</v>
      </c>
      <c r="F3987">
        <v>216</v>
      </c>
      <c r="G3987">
        <v>0</v>
      </c>
      <c r="H3987">
        <v>7110</v>
      </c>
      <c r="I3987">
        <v>0</v>
      </c>
      <c r="J3987">
        <v>92</v>
      </c>
      <c r="K3987">
        <v>169</v>
      </c>
      <c r="L3987">
        <v>204</v>
      </c>
      <c r="M3987">
        <v>10.551724139999999</v>
      </c>
      <c r="N3987">
        <f>IFERROR(VLOOKUP(A3987,vlookup_table!$A:$G,2,FALSE),"")</f>
        <v>0</v>
      </c>
      <c r="O3987">
        <f>IFERROR(VLOOKUP(A3987,vlookup_table!$A:$G,4,FALSE),"")</f>
        <v>0</v>
      </c>
      <c r="P3987" t="str">
        <f>IFERROR(VLOOKUP(A3987,vlookup_table!$A:$G,5,FALSE),"")</f>
        <v>S2</v>
      </c>
      <c r="Q3987">
        <f>IFERROR(VLOOKUP(A3987,vlookup_table!$A:$G,7,FALSE),"")</f>
        <v>10</v>
      </c>
      <c r="R3987">
        <f t="shared" si="248"/>
        <v>97</v>
      </c>
      <c r="S3987" t="str" cm="1">
        <f t="array" ref="S3987">IF(P3987="","",_xlfn.SWITCH(LEFT(P3987,1),"C","Ciudad","T","Pueblo","R","Rural","S","Suburbano","U","Urbano",""))</f>
        <v>Suburbano</v>
      </c>
      <c r="T3987" t="str">
        <f t="shared" si="249"/>
        <v>F</v>
      </c>
      <c r="U3987" t="str">
        <f t="shared" si="250"/>
        <v>KY</v>
      </c>
      <c r="V3987" t="str">
        <f t="shared" si="251"/>
        <v>7110</v>
      </c>
    </row>
    <row r="3988" spans="1:22" x14ac:dyDescent="0.35">
      <c r="A3988" s="3">
        <v>105305</v>
      </c>
      <c r="B3988" t="s">
        <v>28</v>
      </c>
      <c r="C3988" t="s">
        <v>14</v>
      </c>
      <c r="D3988">
        <v>249</v>
      </c>
      <c r="E3988">
        <v>205</v>
      </c>
      <c r="F3988">
        <v>260</v>
      </c>
      <c r="G3988">
        <v>0</v>
      </c>
      <c r="H3988">
        <v>9031</v>
      </c>
      <c r="I3988">
        <v>0</v>
      </c>
      <c r="J3988">
        <v>75</v>
      </c>
      <c r="K3988">
        <v>224</v>
      </c>
      <c r="L3988">
        <v>234</v>
      </c>
      <c r="M3988">
        <v>4.75</v>
      </c>
      <c r="N3988">
        <f>IFERROR(VLOOKUP(A3988,vlookup_table!$A:$G,2,FALSE),"")</f>
        <v>1</v>
      </c>
      <c r="O3988">
        <f>IFERROR(VLOOKUP(A3988,vlookup_table!$A:$G,4,FALSE),"")</f>
        <v>0</v>
      </c>
      <c r="P3988" t="str">
        <f>IFERROR(VLOOKUP(A3988,vlookup_table!$A:$G,5,FALSE),"")</f>
        <v>R3</v>
      </c>
      <c r="Q3988">
        <f>IFERROR(VLOOKUP(A3988,vlookup_table!$A:$G,7,FALSE),"")</f>
        <v>6</v>
      </c>
      <c r="R3988">
        <f t="shared" si="248"/>
        <v>97</v>
      </c>
      <c r="S3988" t="str" cm="1">
        <f t="array" ref="S3988">IF(P3988="","",_xlfn.SWITCH(LEFT(P3988,1),"C","Ciudad","T","Pueblo","R","Rural","S","Suburbano","U","Urbano",""))</f>
        <v>Rural</v>
      </c>
      <c r="T3988" t="str">
        <f t="shared" si="249"/>
        <v>M</v>
      </c>
      <c r="U3988" t="str">
        <f t="shared" si="250"/>
        <v>KS</v>
      </c>
      <c r="V3988" t="str">
        <f t="shared" si="251"/>
        <v>9031</v>
      </c>
    </row>
    <row r="3989" spans="1:22" x14ac:dyDescent="0.35">
      <c r="A3989" s="3">
        <v>108635</v>
      </c>
      <c r="B3989" t="s">
        <v>49</v>
      </c>
      <c r="C3989" t="s">
        <v>14</v>
      </c>
      <c r="D3989">
        <v>730</v>
      </c>
      <c r="E3989">
        <v>350</v>
      </c>
      <c r="F3989">
        <v>393</v>
      </c>
      <c r="G3989">
        <v>3</v>
      </c>
      <c r="H3989">
        <v>12460</v>
      </c>
      <c r="I3989">
        <v>1</v>
      </c>
      <c r="J3989">
        <v>81</v>
      </c>
      <c r="K3989">
        <v>362</v>
      </c>
      <c r="L3989">
        <v>364</v>
      </c>
      <c r="M3989">
        <v>8.5</v>
      </c>
      <c r="N3989">
        <f>IFERROR(VLOOKUP(A3989,vlookup_table!$A:$G,2,FALSE),"")</f>
        <v>1</v>
      </c>
      <c r="O3989">
        <f>IFERROR(VLOOKUP(A3989,vlookup_table!$A:$G,4,FALSE),"")</f>
        <v>4310</v>
      </c>
      <c r="P3989" t="str">
        <f>IFERROR(VLOOKUP(A3989,vlookup_table!$A:$G,5,FALSE),"")</f>
        <v>T1</v>
      </c>
      <c r="Q3989">
        <f>IFERROR(VLOOKUP(A3989,vlookup_table!$A:$G,7,FALSE),"")</f>
        <v>5</v>
      </c>
      <c r="R3989">
        <f t="shared" si="248"/>
        <v>54</v>
      </c>
      <c r="S3989" t="str" cm="1">
        <f t="array" ref="S3989">IF(P3989="","",_xlfn.SWITCH(LEFT(P3989,1),"C","Ciudad","T","Pueblo","R","Rural","S","Suburbano","U","Urbano",""))</f>
        <v>Pueblo</v>
      </c>
      <c r="T3989" t="str">
        <f t="shared" si="249"/>
        <v>M</v>
      </c>
      <c r="U3989" t="str">
        <f t="shared" si="250"/>
        <v>LA</v>
      </c>
      <c r="V3989" t="str">
        <f t="shared" si="251"/>
        <v>12460</v>
      </c>
    </row>
    <row r="3990" spans="1:22" x14ac:dyDescent="0.35">
      <c r="A3990" s="3">
        <v>44800</v>
      </c>
      <c r="B3990" t="s">
        <v>13</v>
      </c>
      <c r="D3990">
        <v>599</v>
      </c>
      <c r="E3990">
        <v>200</v>
      </c>
      <c r="F3990">
        <v>288</v>
      </c>
      <c r="G3990">
        <v>2</v>
      </c>
      <c r="H3990">
        <v>11547</v>
      </c>
      <c r="I3990">
        <v>3</v>
      </c>
      <c r="J3990">
        <v>34</v>
      </c>
      <c r="K3990">
        <v>236</v>
      </c>
      <c r="L3990">
        <v>253</v>
      </c>
      <c r="M3990">
        <v>7.32</v>
      </c>
      <c r="N3990">
        <f>IFERROR(VLOOKUP(A3990,vlookup_table!$A:$G,2,FALSE),"")</f>
        <v>28</v>
      </c>
      <c r="O3990">
        <f>IFERROR(VLOOKUP(A3990,vlookup_table!$A:$G,4,FALSE),"")</f>
        <v>0</v>
      </c>
      <c r="P3990" t="str">
        <f>IFERROR(VLOOKUP(A3990,vlookup_table!$A:$G,5,FALSE),"")</f>
        <v>T2</v>
      </c>
      <c r="Q3990">
        <f>IFERROR(VLOOKUP(A3990,vlookup_table!$A:$G,7,FALSE),"")</f>
        <v>5</v>
      </c>
      <c r="R3990">
        <f t="shared" si="248"/>
        <v>97</v>
      </c>
      <c r="S3990" t="str" cm="1">
        <f t="array" ref="S3990">IF(P3990="","",_xlfn.SWITCH(LEFT(P3990,1),"C","Ciudad","T","Pueblo","R","Rural","S","Suburbano","U","Urbano",""))</f>
        <v>Pueblo</v>
      </c>
      <c r="T3990" t="str">
        <f t="shared" si="249"/>
        <v/>
      </c>
      <c r="U3990" t="str">
        <f t="shared" si="250"/>
        <v>FL</v>
      </c>
      <c r="V3990" t="str">
        <f t="shared" si="251"/>
        <v>11547</v>
      </c>
    </row>
    <row r="3991" spans="1:22" x14ac:dyDescent="0.35">
      <c r="A3991" s="3">
        <v>112944</v>
      </c>
      <c r="B3991" t="s">
        <v>31</v>
      </c>
      <c r="C3991" t="s">
        <v>17</v>
      </c>
      <c r="D3991">
        <v>684</v>
      </c>
      <c r="E3991">
        <v>323</v>
      </c>
      <c r="F3991">
        <v>430</v>
      </c>
      <c r="G3991">
        <v>1</v>
      </c>
      <c r="H3991">
        <v>14293</v>
      </c>
      <c r="I3991">
        <v>0</v>
      </c>
      <c r="J3991">
        <v>82</v>
      </c>
      <c r="K3991">
        <v>386</v>
      </c>
      <c r="L3991">
        <v>388</v>
      </c>
      <c r="M3991">
        <v>7.0833333329999997</v>
      </c>
      <c r="N3991">
        <f>IFERROR(VLOOKUP(A3991,vlookup_table!$A:$G,2,FALSE),"")</f>
        <v>2</v>
      </c>
      <c r="O3991">
        <f>IFERROR(VLOOKUP(A3991,vlookup_table!$A:$G,4,FALSE),"")</f>
        <v>601</v>
      </c>
      <c r="P3991" t="str">
        <f>IFERROR(VLOOKUP(A3991,vlookup_table!$A:$G,5,FALSE),"")</f>
        <v>C1</v>
      </c>
      <c r="Q3991">
        <f>IFERROR(VLOOKUP(A3991,vlookup_table!$A:$G,7,FALSE),"")</f>
        <v>15</v>
      </c>
      <c r="R3991">
        <f t="shared" si="248"/>
        <v>91</v>
      </c>
      <c r="S3991" t="str" cm="1">
        <f t="array" ref="S3991">IF(P3991="","",_xlfn.SWITCH(LEFT(P3991,1),"C","Ciudad","T","Pueblo","R","Rural","S","Suburbano","U","Urbano",""))</f>
        <v>Ciudad</v>
      </c>
      <c r="T3991" t="str">
        <f t="shared" si="249"/>
        <v>F</v>
      </c>
      <c r="U3991" t="str">
        <f t="shared" si="250"/>
        <v>OK</v>
      </c>
      <c r="V3991" t="str">
        <f t="shared" si="251"/>
        <v>14293</v>
      </c>
    </row>
    <row r="3992" spans="1:22" x14ac:dyDescent="0.35">
      <c r="A3992" s="3">
        <v>128059</v>
      </c>
      <c r="B3992" t="s">
        <v>21</v>
      </c>
      <c r="C3992" t="s">
        <v>14</v>
      </c>
      <c r="D3992">
        <v>350</v>
      </c>
      <c r="E3992">
        <v>250</v>
      </c>
      <c r="F3992">
        <v>355</v>
      </c>
      <c r="G3992">
        <v>0</v>
      </c>
      <c r="H3992">
        <v>11680</v>
      </c>
      <c r="I3992">
        <v>4</v>
      </c>
      <c r="J3992">
        <v>80</v>
      </c>
      <c r="K3992">
        <v>278</v>
      </c>
      <c r="L3992">
        <v>335</v>
      </c>
      <c r="M3992">
        <v>10.125</v>
      </c>
      <c r="N3992">
        <f>IFERROR(VLOOKUP(A3992,vlookup_table!$A:$G,2,FALSE),"")</f>
        <v>1</v>
      </c>
      <c r="O3992">
        <f>IFERROR(VLOOKUP(A3992,vlookup_table!$A:$G,4,FALSE),"")</f>
        <v>0</v>
      </c>
      <c r="P3992" t="str">
        <f>IFERROR(VLOOKUP(A3992,vlookup_table!$A:$G,5,FALSE),"")</f>
        <v>R2</v>
      </c>
      <c r="Q3992">
        <f>IFERROR(VLOOKUP(A3992,vlookup_table!$A:$G,7,FALSE),"")</f>
        <v>20</v>
      </c>
      <c r="R3992">
        <f t="shared" si="248"/>
        <v>97</v>
      </c>
      <c r="S3992" t="str" cm="1">
        <f t="array" ref="S3992">IF(P3992="","",_xlfn.SWITCH(LEFT(P3992,1),"C","Ciudad","T","Pueblo","R","Rural","S","Suburbano","U","Urbano",""))</f>
        <v>Rural</v>
      </c>
      <c r="T3992" t="str">
        <f t="shared" si="249"/>
        <v>M</v>
      </c>
      <c r="U3992" t="str">
        <f t="shared" si="250"/>
        <v>TX</v>
      </c>
      <c r="V3992" t="str">
        <f t="shared" si="251"/>
        <v>11680</v>
      </c>
    </row>
    <row r="3993" spans="1:22" x14ac:dyDescent="0.35">
      <c r="A3993" s="3">
        <v>109961</v>
      </c>
      <c r="B3993" t="s">
        <v>49</v>
      </c>
      <c r="C3993" t="s">
        <v>17</v>
      </c>
      <c r="D3993">
        <v>304</v>
      </c>
      <c r="E3993">
        <v>194</v>
      </c>
      <c r="F3993">
        <v>266</v>
      </c>
      <c r="G3993">
        <v>0</v>
      </c>
      <c r="H3993">
        <v>8103</v>
      </c>
      <c r="I3993">
        <v>0</v>
      </c>
      <c r="J3993">
        <v>93</v>
      </c>
      <c r="K3993">
        <v>230</v>
      </c>
      <c r="L3993">
        <v>224</v>
      </c>
      <c r="M3993">
        <v>10</v>
      </c>
      <c r="N3993">
        <f>IFERROR(VLOOKUP(A3993,vlookup_table!$A:$G,2,FALSE),"")</f>
        <v>28</v>
      </c>
      <c r="O3993">
        <f>IFERROR(VLOOKUP(A3993,vlookup_table!$A:$G,4,FALSE),"")</f>
        <v>4901</v>
      </c>
      <c r="P3993" t="str">
        <f>IFERROR(VLOOKUP(A3993,vlookup_table!$A:$G,5,FALSE),"")</f>
        <v>R3</v>
      </c>
      <c r="Q3993">
        <f>IFERROR(VLOOKUP(A3993,vlookup_table!$A:$G,7,FALSE),"")</f>
        <v>20</v>
      </c>
      <c r="R3993">
        <f t="shared" si="248"/>
        <v>48</v>
      </c>
      <c r="S3993" t="str" cm="1">
        <f t="array" ref="S3993">IF(P3993="","",_xlfn.SWITCH(LEFT(P3993,1),"C","Ciudad","T","Pueblo","R","Rural","S","Suburbano","U","Urbano",""))</f>
        <v>Rural</v>
      </c>
      <c r="T3993" t="str">
        <f t="shared" si="249"/>
        <v>F</v>
      </c>
      <c r="U3993" t="str">
        <f t="shared" si="250"/>
        <v>LA</v>
      </c>
      <c r="V3993" t="str">
        <f t="shared" si="251"/>
        <v>8103</v>
      </c>
    </row>
    <row r="3994" spans="1:22" x14ac:dyDescent="0.35">
      <c r="A3994" s="3">
        <v>27634</v>
      </c>
      <c r="B3994" t="s">
        <v>69</v>
      </c>
      <c r="C3994" t="s">
        <v>14</v>
      </c>
      <c r="D3994">
        <v>1236</v>
      </c>
      <c r="E3994">
        <v>461</v>
      </c>
      <c r="F3994">
        <v>544</v>
      </c>
      <c r="G3994">
        <v>15</v>
      </c>
      <c r="H3994">
        <v>17784</v>
      </c>
      <c r="I3994">
        <v>2</v>
      </c>
      <c r="J3994">
        <v>63</v>
      </c>
      <c r="K3994">
        <v>467</v>
      </c>
      <c r="L3994">
        <v>513</v>
      </c>
      <c r="M3994">
        <v>5.375</v>
      </c>
      <c r="N3994">
        <f>IFERROR(VLOOKUP(A3994,vlookup_table!$A:$G,2,FALSE),"")</f>
        <v>0</v>
      </c>
      <c r="O3994">
        <f>IFERROR(VLOOKUP(A3994,vlookup_table!$A:$G,4,FALSE),"")</f>
        <v>0</v>
      </c>
      <c r="P3994" t="str">
        <f>IFERROR(VLOOKUP(A3994,vlookup_table!$A:$G,5,FALSE),"")</f>
        <v>T1</v>
      </c>
      <c r="Q3994">
        <f>IFERROR(VLOOKUP(A3994,vlookup_table!$A:$G,7,FALSE),"")</f>
        <v>5</v>
      </c>
      <c r="R3994">
        <f t="shared" si="248"/>
        <v>97</v>
      </c>
      <c r="S3994" t="str" cm="1">
        <f t="array" ref="S3994">IF(P3994="","",_xlfn.SWITCH(LEFT(P3994,1),"C","Ciudad","T","Pueblo","R","Rural","S","Suburbano","U","Urbano",""))</f>
        <v>Pueblo</v>
      </c>
      <c r="T3994" t="str">
        <f t="shared" si="249"/>
        <v>M</v>
      </c>
      <c r="U3994" t="str">
        <f t="shared" si="250"/>
        <v>MD</v>
      </c>
      <c r="V3994" t="str">
        <f t="shared" si="251"/>
        <v>17784</v>
      </c>
    </row>
    <row r="3995" spans="1:22" x14ac:dyDescent="0.35">
      <c r="A3995" s="3">
        <v>125630</v>
      </c>
      <c r="B3995" t="s">
        <v>21</v>
      </c>
      <c r="C3995" t="s">
        <v>30</v>
      </c>
      <c r="D3995">
        <v>1101</v>
      </c>
      <c r="E3995">
        <v>538</v>
      </c>
      <c r="F3995">
        <v>640</v>
      </c>
      <c r="G3995">
        <v>0</v>
      </c>
      <c r="H3995">
        <v>19641</v>
      </c>
      <c r="I3995">
        <v>8</v>
      </c>
      <c r="J3995">
        <v>48</v>
      </c>
      <c r="K3995">
        <v>600</v>
      </c>
      <c r="L3995">
        <v>609</v>
      </c>
      <c r="M3995">
        <v>16.666666670000001</v>
      </c>
      <c r="N3995">
        <f>IFERROR(VLOOKUP(A3995,vlookup_table!$A:$G,2,FALSE),"")</f>
        <v>1</v>
      </c>
      <c r="O3995">
        <f>IFERROR(VLOOKUP(A3995,vlookup_table!$A:$G,4,FALSE),"")</f>
        <v>0</v>
      </c>
      <c r="P3995" t="str">
        <f>IFERROR(VLOOKUP(A3995,vlookup_table!$A:$G,5,FALSE),"")</f>
        <v>S1</v>
      </c>
      <c r="Q3995">
        <f>IFERROR(VLOOKUP(A3995,vlookup_table!$A:$G,7,FALSE),"")</f>
        <v>25</v>
      </c>
      <c r="R3995">
        <f t="shared" si="248"/>
        <v>97</v>
      </c>
      <c r="S3995" t="str" cm="1">
        <f t="array" ref="S3995">IF(P3995="","",_xlfn.SWITCH(LEFT(P3995,1),"C","Ciudad","T","Pueblo","R","Rural","S","Suburbano","U","Urbano",""))</f>
        <v>Suburbano</v>
      </c>
      <c r="T3995" t="str">
        <f t="shared" si="249"/>
        <v>U</v>
      </c>
      <c r="U3995" t="str">
        <f t="shared" si="250"/>
        <v>TX</v>
      </c>
      <c r="V3995" t="str">
        <f t="shared" si="251"/>
        <v>19641</v>
      </c>
    </row>
    <row r="3996" spans="1:22" x14ac:dyDescent="0.35">
      <c r="A3996" s="3">
        <v>158454</v>
      </c>
      <c r="B3996" t="s">
        <v>22</v>
      </c>
      <c r="C3996" t="s">
        <v>44</v>
      </c>
      <c r="D3996">
        <v>2326</v>
      </c>
      <c r="E3996">
        <v>506</v>
      </c>
      <c r="F3996">
        <v>553</v>
      </c>
      <c r="G3996">
        <v>74</v>
      </c>
      <c r="H3996">
        <v>18918</v>
      </c>
      <c r="I3996">
        <v>7</v>
      </c>
      <c r="J3996">
        <v>58</v>
      </c>
      <c r="K3996">
        <v>545</v>
      </c>
      <c r="L3996">
        <v>514</v>
      </c>
      <c r="M3996">
        <v>12.15384615</v>
      </c>
      <c r="N3996">
        <f>IFERROR(VLOOKUP(A3996,vlookup_table!$A:$G,2,FALSE),"")</f>
        <v>1002</v>
      </c>
      <c r="O3996">
        <f>IFERROR(VLOOKUP(A3996,vlookup_table!$A:$G,4,FALSE),"")</f>
        <v>6601</v>
      </c>
      <c r="P3996" t="str">
        <f>IFERROR(VLOOKUP(A3996,vlookup_table!$A:$G,5,FALSE),"")</f>
        <v>U2</v>
      </c>
      <c r="Q3996">
        <f>IFERROR(VLOOKUP(A3996,vlookup_table!$A:$G,7,FALSE),"")</f>
        <v>12</v>
      </c>
      <c r="R3996">
        <f t="shared" si="248"/>
        <v>31</v>
      </c>
      <c r="S3996" t="str" cm="1">
        <f t="array" ref="S3996">IF(P3996="","",_xlfn.SWITCH(LEFT(P3996,1),"C","Ciudad","T","Pueblo","R","Rural","S","Suburbano","U","Urbano",""))</f>
        <v>Urbano</v>
      </c>
      <c r="T3996" t="str">
        <f t="shared" si="249"/>
        <v>J</v>
      </c>
      <c r="U3996" t="str">
        <f t="shared" si="250"/>
        <v>CA</v>
      </c>
      <c r="V3996" t="str">
        <f t="shared" si="251"/>
        <v>18918</v>
      </c>
    </row>
    <row r="3997" spans="1:22" x14ac:dyDescent="0.35">
      <c r="A3997" s="3">
        <v>4881</v>
      </c>
      <c r="B3997" t="s">
        <v>13</v>
      </c>
      <c r="C3997" t="s">
        <v>14</v>
      </c>
      <c r="D3997">
        <v>599</v>
      </c>
      <c r="E3997">
        <v>100</v>
      </c>
      <c r="F3997">
        <v>423</v>
      </c>
      <c r="G3997">
        <v>4</v>
      </c>
      <c r="H3997">
        <v>11670</v>
      </c>
      <c r="I3997">
        <v>10</v>
      </c>
      <c r="J3997">
        <v>27</v>
      </c>
      <c r="K3997">
        <v>406</v>
      </c>
      <c r="L3997">
        <v>200</v>
      </c>
      <c r="M3997">
        <v>9.230769231</v>
      </c>
      <c r="N3997">
        <f>IFERROR(VLOOKUP(A3997,vlookup_table!$A:$G,2,FALSE),"")</f>
        <v>28</v>
      </c>
      <c r="O3997">
        <f>IFERROR(VLOOKUP(A3997,vlookup_table!$A:$G,4,FALSE),"")</f>
        <v>7401</v>
      </c>
      <c r="P3997" t="str">
        <f>IFERROR(VLOOKUP(A3997,vlookup_table!$A:$G,5,FALSE),"")</f>
        <v>C1</v>
      </c>
      <c r="Q3997">
        <f>IFERROR(VLOOKUP(A3997,vlookup_table!$A:$G,7,FALSE),"")</f>
        <v>10</v>
      </c>
      <c r="R3997">
        <f t="shared" si="248"/>
        <v>23</v>
      </c>
      <c r="S3997" t="str" cm="1">
        <f t="array" ref="S3997">IF(P3997="","",_xlfn.SWITCH(LEFT(P3997,1),"C","Ciudad","T","Pueblo","R","Rural","S","Suburbano","U","Urbano",""))</f>
        <v>Ciudad</v>
      </c>
      <c r="T3997" t="str">
        <f t="shared" si="249"/>
        <v>M</v>
      </c>
      <c r="U3997" t="str">
        <f t="shared" si="250"/>
        <v>FL</v>
      </c>
      <c r="V3997" t="str">
        <f t="shared" si="251"/>
        <v>11670</v>
      </c>
    </row>
    <row r="3998" spans="1:22" x14ac:dyDescent="0.35">
      <c r="A3998" s="3">
        <v>66358</v>
      </c>
      <c r="B3998" t="s">
        <v>45</v>
      </c>
      <c r="C3998" t="s">
        <v>14</v>
      </c>
      <c r="D3998">
        <v>593</v>
      </c>
      <c r="E3998">
        <v>258</v>
      </c>
      <c r="F3998">
        <v>299</v>
      </c>
      <c r="G3998">
        <v>0</v>
      </c>
      <c r="H3998">
        <v>10186</v>
      </c>
      <c r="I3998">
        <v>1</v>
      </c>
      <c r="J3998">
        <v>70</v>
      </c>
      <c r="K3998">
        <v>298</v>
      </c>
      <c r="L3998">
        <v>274</v>
      </c>
      <c r="M3998">
        <v>5.266666667</v>
      </c>
      <c r="N3998">
        <f>IFERROR(VLOOKUP(A3998,vlookup_table!$A:$G,2,FALSE),"")</f>
        <v>1</v>
      </c>
      <c r="O3998">
        <f>IFERROR(VLOOKUP(A3998,vlookup_table!$A:$G,4,FALSE),"")</f>
        <v>3301</v>
      </c>
      <c r="P3998" t="str">
        <f>IFERROR(VLOOKUP(A3998,vlookup_table!$A:$G,5,FALSE),"")</f>
        <v>S2</v>
      </c>
      <c r="Q3998">
        <f>IFERROR(VLOOKUP(A3998,vlookup_table!$A:$G,7,FALSE),"")</f>
        <v>5</v>
      </c>
      <c r="R3998">
        <f t="shared" si="248"/>
        <v>64</v>
      </c>
      <c r="S3998" t="str" cm="1">
        <f t="array" ref="S3998">IF(P3998="","",_xlfn.SWITCH(LEFT(P3998,1),"C","Ciudad","T","Pueblo","R","Rural","S","Suburbano","U","Urbano",""))</f>
        <v>Suburbano</v>
      </c>
      <c r="T3998" t="str">
        <f t="shared" si="249"/>
        <v>M</v>
      </c>
      <c r="U3998" t="str">
        <f t="shared" si="250"/>
        <v>ND</v>
      </c>
      <c r="V3998" t="str">
        <f t="shared" si="251"/>
        <v>10186</v>
      </c>
    </row>
    <row r="3999" spans="1:22" x14ac:dyDescent="0.35">
      <c r="A3999" s="3">
        <v>2231</v>
      </c>
      <c r="B3999" t="s">
        <v>35</v>
      </c>
      <c r="C3999" t="s">
        <v>51</v>
      </c>
      <c r="D3999">
        <v>564</v>
      </c>
      <c r="E3999">
        <v>217</v>
      </c>
      <c r="F3999">
        <v>397</v>
      </c>
      <c r="G3999">
        <v>0</v>
      </c>
      <c r="H3999">
        <v>12315</v>
      </c>
      <c r="I3999">
        <v>0</v>
      </c>
      <c r="J3999">
        <v>96</v>
      </c>
      <c r="K3999">
        <v>386</v>
      </c>
      <c r="L3999">
        <v>295</v>
      </c>
      <c r="M3999">
        <v>11.4</v>
      </c>
      <c r="N3999">
        <f>IFERROR(VLOOKUP(A3999,vlookup_table!$A:$G,2,FALSE),"")</f>
        <v>1</v>
      </c>
      <c r="O3999">
        <f>IFERROR(VLOOKUP(A3999,vlookup_table!$A:$G,4,FALSE),"")</f>
        <v>7301</v>
      </c>
      <c r="P3999" t="str">
        <f>IFERROR(VLOOKUP(A3999,vlookup_table!$A:$G,5,FALSE),"")</f>
        <v>T2</v>
      </c>
      <c r="Q3999">
        <f>IFERROR(VLOOKUP(A3999,vlookup_table!$A:$G,7,FALSE),"")</f>
        <v>14</v>
      </c>
      <c r="R3999">
        <f t="shared" si="248"/>
        <v>24</v>
      </c>
      <c r="S3999" t="str" cm="1">
        <f t="array" ref="S3999">IF(P3999="","",_xlfn.SWITCH(LEFT(P3999,1),"C","Ciudad","T","Pueblo","R","Rural","S","Suburbano","U","Urbano",""))</f>
        <v>Pueblo</v>
      </c>
      <c r="T3999" t="str">
        <f t="shared" si="249"/>
        <v>M</v>
      </c>
      <c r="U3999" t="str">
        <f t="shared" si="250"/>
        <v>WI</v>
      </c>
      <c r="V3999" t="str">
        <f t="shared" si="251"/>
        <v>12315</v>
      </c>
    </row>
    <row r="4000" spans="1:22" x14ac:dyDescent="0.35">
      <c r="A4000" s="3">
        <v>68534</v>
      </c>
      <c r="B4000" t="s">
        <v>29</v>
      </c>
      <c r="C4000" t="s">
        <v>14</v>
      </c>
      <c r="D4000">
        <v>651</v>
      </c>
      <c r="E4000">
        <v>431</v>
      </c>
      <c r="F4000">
        <v>505</v>
      </c>
      <c r="G4000">
        <v>0</v>
      </c>
      <c r="H4000">
        <v>14845</v>
      </c>
      <c r="I4000">
        <v>7</v>
      </c>
      <c r="J4000">
        <v>77</v>
      </c>
      <c r="K4000">
        <v>451</v>
      </c>
      <c r="L4000">
        <v>455</v>
      </c>
      <c r="M4000">
        <v>7.4285714289999998</v>
      </c>
      <c r="N4000">
        <f>IFERROR(VLOOKUP(A4000,vlookup_table!$A:$G,2,FALSE),"")</f>
        <v>1</v>
      </c>
      <c r="O4000">
        <f>IFERROR(VLOOKUP(A4000,vlookup_table!$A:$G,4,FALSE),"")</f>
        <v>1709</v>
      </c>
      <c r="P4000" t="str">
        <f>IFERROR(VLOOKUP(A4000,vlookup_table!$A:$G,5,FALSE),"")</f>
        <v>S2</v>
      </c>
      <c r="Q4000">
        <f>IFERROR(VLOOKUP(A4000,vlookup_table!$A:$G,7,FALSE),"")</f>
        <v>9</v>
      </c>
      <c r="R4000">
        <f t="shared" si="248"/>
        <v>80</v>
      </c>
      <c r="S4000" t="str" cm="1">
        <f t="array" ref="S4000">IF(P4000="","",_xlfn.SWITCH(LEFT(P4000,1),"C","Ciudad","T","Pueblo","R","Rural","S","Suburbano","U","Urbano",""))</f>
        <v>Suburbano</v>
      </c>
      <c r="T4000" t="str">
        <f t="shared" si="249"/>
        <v>M</v>
      </c>
      <c r="U4000" t="str">
        <f t="shared" si="250"/>
        <v>MI</v>
      </c>
      <c r="V4000" t="str">
        <f t="shared" si="251"/>
        <v>14845</v>
      </c>
    </row>
    <row r="4001" spans="1:22" x14ac:dyDescent="0.35">
      <c r="A4001" s="3">
        <v>177737</v>
      </c>
      <c r="B4001" t="s">
        <v>50</v>
      </c>
      <c r="C4001" t="s">
        <v>17</v>
      </c>
      <c r="D4001">
        <v>429</v>
      </c>
      <c r="E4001">
        <v>192</v>
      </c>
      <c r="F4001">
        <v>277</v>
      </c>
      <c r="G4001">
        <v>1</v>
      </c>
      <c r="H4001">
        <v>8906</v>
      </c>
      <c r="I4001">
        <v>20</v>
      </c>
      <c r="J4001">
        <v>43</v>
      </c>
      <c r="K4001">
        <v>207</v>
      </c>
      <c r="L4001">
        <v>259</v>
      </c>
      <c r="M4001">
        <v>16.11111111</v>
      </c>
      <c r="N4001">
        <f>IFERROR(VLOOKUP(A4001,vlookup_table!$A:$G,2,FALSE),"")</f>
        <v>2</v>
      </c>
      <c r="O4001">
        <f>IFERROR(VLOOKUP(A4001,vlookup_table!$A:$G,4,FALSE),"")</f>
        <v>609</v>
      </c>
      <c r="P4001" t="str">
        <f>IFERROR(VLOOKUP(A4001,vlookup_table!$A:$G,5,FALSE),"")</f>
        <v>R2</v>
      </c>
      <c r="Q4001">
        <f>IFERROR(VLOOKUP(A4001,vlookup_table!$A:$G,7,FALSE),"")</f>
        <v>25</v>
      </c>
      <c r="R4001">
        <f t="shared" si="248"/>
        <v>91</v>
      </c>
      <c r="S4001" t="str" cm="1">
        <f t="array" ref="S4001">IF(P4001="","",_xlfn.SWITCH(LEFT(P4001,1),"C","Ciudad","T","Pueblo","R","Rural","S","Suburbano","U","Urbano",""))</f>
        <v>Rural</v>
      </c>
      <c r="T4001" t="str">
        <f t="shared" si="249"/>
        <v>F</v>
      </c>
      <c r="U4001" t="str">
        <f t="shared" si="250"/>
        <v>OR</v>
      </c>
      <c r="V4001" t="str">
        <f t="shared" si="251"/>
        <v>8906</v>
      </c>
    </row>
    <row r="4002" spans="1:22" x14ac:dyDescent="0.35">
      <c r="A4002" s="3">
        <v>145855</v>
      </c>
      <c r="B4002" t="s">
        <v>22</v>
      </c>
      <c r="C4002" t="s">
        <v>14</v>
      </c>
      <c r="D4002">
        <v>2264</v>
      </c>
      <c r="E4002">
        <v>453</v>
      </c>
      <c r="F4002">
        <v>537</v>
      </c>
      <c r="G4002">
        <v>66</v>
      </c>
      <c r="H4002">
        <v>17928</v>
      </c>
      <c r="I4002">
        <v>9</v>
      </c>
      <c r="J4002">
        <v>57</v>
      </c>
      <c r="K4002">
        <v>503</v>
      </c>
      <c r="L4002">
        <v>509</v>
      </c>
      <c r="M4002">
        <v>9.7142857140000007</v>
      </c>
      <c r="N4002">
        <f>IFERROR(VLOOKUP(A4002,vlookup_table!$A:$G,2,FALSE),"")</f>
        <v>1</v>
      </c>
      <c r="O4002">
        <f>IFERROR(VLOOKUP(A4002,vlookup_table!$A:$G,4,FALSE),"")</f>
        <v>4601</v>
      </c>
      <c r="P4002" t="str">
        <f>IFERROR(VLOOKUP(A4002,vlookup_table!$A:$G,5,FALSE),"")</f>
        <v>U1</v>
      </c>
      <c r="Q4002">
        <f>IFERROR(VLOOKUP(A4002,vlookup_table!$A:$G,7,FALSE),"")</f>
        <v>12</v>
      </c>
      <c r="R4002">
        <f t="shared" si="248"/>
        <v>51</v>
      </c>
      <c r="S4002" t="str" cm="1">
        <f t="array" ref="S4002">IF(P4002="","",_xlfn.SWITCH(LEFT(P4002,1),"C","Ciudad","T","Pueblo","R","Rural","S","Suburbano","U","Urbano",""))</f>
        <v>Urbano</v>
      </c>
      <c r="T4002" t="str">
        <f t="shared" si="249"/>
        <v>M</v>
      </c>
      <c r="U4002" t="str">
        <f t="shared" si="250"/>
        <v>CA</v>
      </c>
      <c r="V4002" t="str">
        <f t="shared" si="251"/>
        <v>17928</v>
      </c>
    </row>
    <row r="4003" spans="1:22" x14ac:dyDescent="0.35">
      <c r="A4003" s="3">
        <v>155569</v>
      </c>
      <c r="B4003" t="s">
        <v>22</v>
      </c>
      <c r="C4003" t="s">
        <v>14</v>
      </c>
      <c r="D4003">
        <v>1691</v>
      </c>
      <c r="E4003">
        <v>500</v>
      </c>
      <c r="F4003">
        <v>580</v>
      </c>
      <c r="G4003">
        <v>27</v>
      </c>
      <c r="H4003">
        <v>18202</v>
      </c>
      <c r="I4003">
        <v>16</v>
      </c>
      <c r="J4003">
        <v>45</v>
      </c>
      <c r="K4003">
        <v>556</v>
      </c>
      <c r="L4003">
        <v>520</v>
      </c>
      <c r="M4003">
        <v>14.33333333</v>
      </c>
      <c r="N4003">
        <f>IFERROR(VLOOKUP(A4003,vlookup_table!$A:$G,2,FALSE),"")</f>
        <v>0</v>
      </c>
      <c r="O4003">
        <f>IFERROR(VLOOKUP(A4003,vlookup_table!$A:$G,4,FALSE),"")</f>
        <v>2701</v>
      </c>
      <c r="P4003" t="str">
        <f>IFERROR(VLOOKUP(A4003,vlookup_table!$A:$G,5,FALSE),"")</f>
        <v>S1</v>
      </c>
      <c r="Q4003">
        <f>IFERROR(VLOOKUP(A4003,vlookup_table!$A:$G,7,FALSE),"")</f>
        <v>20</v>
      </c>
      <c r="R4003">
        <f t="shared" si="248"/>
        <v>70</v>
      </c>
      <c r="S4003" t="str" cm="1">
        <f t="array" ref="S4003">IF(P4003="","",_xlfn.SWITCH(LEFT(P4003,1),"C","Ciudad","T","Pueblo","R","Rural","S","Suburbano","U","Urbano",""))</f>
        <v>Suburbano</v>
      </c>
      <c r="T4003" t="str">
        <f t="shared" si="249"/>
        <v>M</v>
      </c>
      <c r="U4003" t="str">
        <f t="shared" si="250"/>
        <v>CA</v>
      </c>
      <c r="V4003" t="str">
        <f t="shared" si="251"/>
        <v>18202</v>
      </c>
    </row>
    <row r="4004" spans="1:22" x14ac:dyDescent="0.35">
      <c r="A4004" s="3">
        <v>157826</v>
      </c>
      <c r="B4004" t="s">
        <v>22</v>
      </c>
      <c r="C4004" t="s">
        <v>17</v>
      </c>
      <c r="D4004">
        <v>2387</v>
      </c>
      <c r="E4004">
        <v>394</v>
      </c>
      <c r="F4004">
        <v>447</v>
      </c>
      <c r="G4004">
        <v>76</v>
      </c>
      <c r="H4004">
        <v>17331</v>
      </c>
      <c r="I4004">
        <v>18</v>
      </c>
      <c r="J4004">
        <v>46</v>
      </c>
      <c r="K4004">
        <v>399</v>
      </c>
      <c r="L4004">
        <v>446</v>
      </c>
      <c r="M4004">
        <v>8.0454545460000002</v>
      </c>
      <c r="N4004">
        <f>IFERROR(VLOOKUP(A4004,vlookup_table!$A:$G,2,FALSE),"")</f>
        <v>0</v>
      </c>
      <c r="O4004">
        <f>IFERROR(VLOOKUP(A4004,vlookup_table!$A:$G,4,FALSE),"")</f>
        <v>0</v>
      </c>
      <c r="P4004" t="str">
        <f>IFERROR(VLOOKUP(A4004,vlookup_table!$A:$G,5,FALSE),"")</f>
        <v>U4</v>
      </c>
      <c r="Q4004">
        <f>IFERROR(VLOOKUP(A4004,vlookup_table!$A:$G,7,FALSE),"")</f>
        <v>15</v>
      </c>
      <c r="R4004">
        <f t="shared" si="248"/>
        <v>97</v>
      </c>
      <c r="S4004" t="str" cm="1">
        <f t="array" ref="S4004">IF(P4004="","",_xlfn.SWITCH(LEFT(P4004,1),"C","Ciudad","T","Pueblo","R","Rural","S","Suburbano","U","Urbano",""))</f>
        <v>Urbano</v>
      </c>
      <c r="T4004" t="str">
        <f t="shared" si="249"/>
        <v>F</v>
      </c>
      <c r="U4004" t="str">
        <f t="shared" si="250"/>
        <v>CA</v>
      </c>
      <c r="V4004" t="str">
        <f t="shared" si="251"/>
        <v>17331</v>
      </c>
    </row>
    <row r="4005" spans="1:22" x14ac:dyDescent="0.35">
      <c r="A4005" s="3">
        <v>60884</v>
      </c>
      <c r="B4005" t="s">
        <v>33</v>
      </c>
      <c r="C4005" t="s">
        <v>17</v>
      </c>
      <c r="D4005">
        <v>813</v>
      </c>
      <c r="E4005">
        <v>414</v>
      </c>
      <c r="F4005">
        <v>561</v>
      </c>
      <c r="G4005">
        <v>1</v>
      </c>
      <c r="H4005">
        <v>26469</v>
      </c>
      <c r="I4005">
        <v>3</v>
      </c>
      <c r="J4005">
        <v>68</v>
      </c>
      <c r="K4005">
        <v>495</v>
      </c>
      <c r="L4005">
        <v>499</v>
      </c>
      <c r="M4005">
        <v>14.83333333</v>
      </c>
      <c r="N4005">
        <f>IFERROR(VLOOKUP(A4005,vlookup_table!$A:$G,2,FALSE),"")</f>
        <v>0</v>
      </c>
      <c r="O4005">
        <f>IFERROR(VLOOKUP(A4005,vlookup_table!$A:$G,4,FALSE),"")</f>
        <v>0</v>
      </c>
      <c r="P4005" t="str">
        <f>IFERROR(VLOOKUP(A4005,vlookup_table!$A:$G,5,FALSE),"")</f>
        <v>S2</v>
      </c>
      <c r="Q4005">
        <f>IFERROR(VLOOKUP(A4005,vlookup_table!$A:$G,7,FALSE),"")</f>
        <v>15</v>
      </c>
      <c r="R4005">
        <f t="shared" si="248"/>
        <v>97</v>
      </c>
      <c r="S4005" t="str" cm="1">
        <f t="array" ref="S4005">IF(P4005="","",_xlfn.SWITCH(LEFT(P4005,1),"C","Ciudad","T","Pueblo","R","Rural","S","Suburbano","U","Urbano",""))</f>
        <v>Suburbano</v>
      </c>
      <c r="T4005" t="str">
        <f t="shared" si="249"/>
        <v>F</v>
      </c>
      <c r="U4005" t="str">
        <f t="shared" si="250"/>
        <v>IN</v>
      </c>
      <c r="V4005" t="str">
        <f t="shared" si="251"/>
        <v>26469</v>
      </c>
    </row>
    <row r="4006" spans="1:22" x14ac:dyDescent="0.35">
      <c r="A4006" s="3">
        <v>4638</v>
      </c>
      <c r="B4006" t="s">
        <v>22</v>
      </c>
      <c r="C4006" t="s">
        <v>17</v>
      </c>
      <c r="D4006">
        <v>2473</v>
      </c>
      <c r="E4006">
        <v>585</v>
      </c>
      <c r="F4006">
        <v>611</v>
      </c>
      <c r="G4006">
        <v>86</v>
      </c>
      <c r="H4006">
        <v>21343</v>
      </c>
      <c r="I4006">
        <v>4</v>
      </c>
      <c r="J4006">
        <v>48</v>
      </c>
      <c r="K4006">
        <v>586</v>
      </c>
      <c r="L4006">
        <v>610</v>
      </c>
      <c r="M4006">
        <v>25.84375</v>
      </c>
      <c r="N4006">
        <f>IFERROR(VLOOKUP(A4006,vlookup_table!$A:$G,2,FALSE),"")</f>
        <v>0</v>
      </c>
      <c r="O4006">
        <f>IFERROR(VLOOKUP(A4006,vlookup_table!$A:$G,4,FALSE),"")</f>
        <v>2401</v>
      </c>
      <c r="P4006" t="str">
        <f>IFERROR(VLOOKUP(A4006,vlookup_table!$A:$G,5,FALSE),"")</f>
        <v>S1</v>
      </c>
      <c r="Q4006">
        <f>IFERROR(VLOOKUP(A4006,vlookup_table!$A:$G,7,FALSE),"")</f>
        <v>25</v>
      </c>
      <c r="R4006">
        <f t="shared" si="248"/>
        <v>73</v>
      </c>
      <c r="S4006" t="str" cm="1">
        <f t="array" ref="S4006">IF(P4006="","",_xlfn.SWITCH(LEFT(P4006,1),"C","Ciudad","T","Pueblo","R","Rural","S","Suburbano","U","Urbano",""))</f>
        <v>Suburbano</v>
      </c>
      <c r="T4006" t="str">
        <f t="shared" si="249"/>
        <v>F</v>
      </c>
      <c r="U4006" t="str">
        <f t="shared" si="250"/>
        <v>CA</v>
      </c>
      <c r="V4006" t="str">
        <f t="shared" si="251"/>
        <v>21343</v>
      </c>
    </row>
    <row r="4007" spans="1:22" x14ac:dyDescent="0.35">
      <c r="A4007" s="3">
        <v>75851</v>
      </c>
      <c r="B4007" t="s">
        <v>47</v>
      </c>
      <c r="C4007" t="s">
        <v>17</v>
      </c>
      <c r="D4007">
        <v>243</v>
      </c>
      <c r="E4007">
        <v>208</v>
      </c>
      <c r="F4007">
        <v>271</v>
      </c>
      <c r="G4007">
        <v>0</v>
      </c>
      <c r="H4007">
        <v>8359</v>
      </c>
      <c r="I4007">
        <v>1</v>
      </c>
      <c r="J4007">
        <v>85</v>
      </c>
      <c r="K4007">
        <v>251</v>
      </c>
      <c r="L4007">
        <v>244</v>
      </c>
      <c r="M4007">
        <v>4.3529411769999999</v>
      </c>
      <c r="N4007">
        <f>IFERROR(VLOOKUP(A4007,vlookup_table!$A:$G,2,FALSE),"")</f>
        <v>2</v>
      </c>
      <c r="O4007">
        <f>IFERROR(VLOOKUP(A4007,vlookup_table!$A:$G,4,FALSE),"")</f>
        <v>1810</v>
      </c>
      <c r="P4007" t="str">
        <f>IFERROR(VLOOKUP(A4007,vlookup_table!$A:$G,5,FALSE),"")</f>
        <v>C3</v>
      </c>
      <c r="Q4007">
        <f>IFERROR(VLOOKUP(A4007,vlookup_table!$A:$G,7,FALSE),"")</f>
        <v>5</v>
      </c>
      <c r="R4007">
        <f t="shared" si="248"/>
        <v>79</v>
      </c>
      <c r="S4007" t="str" cm="1">
        <f t="array" ref="S4007">IF(P4007="","",_xlfn.SWITCH(LEFT(P4007,1),"C","Ciudad","T","Pueblo","R","Rural","S","Suburbano","U","Urbano",""))</f>
        <v>Ciudad</v>
      </c>
      <c r="T4007" t="str">
        <f t="shared" si="249"/>
        <v>F</v>
      </c>
      <c r="U4007" t="str">
        <f t="shared" si="250"/>
        <v>IA</v>
      </c>
      <c r="V4007" t="str">
        <f t="shared" si="251"/>
        <v>8359</v>
      </c>
    </row>
    <row r="4008" spans="1:22" x14ac:dyDescent="0.35">
      <c r="A4008" s="3">
        <v>162867</v>
      </c>
      <c r="B4008" t="s">
        <v>22</v>
      </c>
      <c r="C4008" t="s">
        <v>14</v>
      </c>
      <c r="D4008">
        <v>3330</v>
      </c>
      <c r="E4008">
        <v>517</v>
      </c>
      <c r="F4008">
        <v>632</v>
      </c>
      <c r="G4008">
        <v>97</v>
      </c>
      <c r="H4008">
        <v>22695</v>
      </c>
      <c r="I4008">
        <v>19</v>
      </c>
      <c r="J4008">
        <v>36</v>
      </c>
      <c r="K4008">
        <v>581</v>
      </c>
      <c r="L4008">
        <v>576</v>
      </c>
      <c r="M4008">
        <v>12.5</v>
      </c>
      <c r="N4008">
        <f>IFERROR(VLOOKUP(A4008,vlookup_table!$A:$G,2,FALSE),"")</f>
        <v>0</v>
      </c>
      <c r="O4008">
        <f>IFERROR(VLOOKUP(A4008,vlookup_table!$A:$G,4,FALSE),"")</f>
        <v>6801</v>
      </c>
      <c r="P4008" t="str">
        <f>IFERROR(VLOOKUP(A4008,vlookup_table!$A:$G,5,FALSE),"")</f>
        <v>U1</v>
      </c>
      <c r="Q4008">
        <f>IFERROR(VLOOKUP(A4008,vlookup_table!$A:$G,7,FALSE),"")</f>
        <v>11</v>
      </c>
      <c r="R4008">
        <f t="shared" si="248"/>
        <v>29</v>
      </c>
      <c r="S4008" t="str" cm="1">
        <f t="array" ref="S4008">IF(P4008="","",_xlfn.SWITCH(LEFT(P4008,1),"C","Ciudad","T","Pueblo","R","Rural","S","Suburbano","U","Urbano",""))</f>
        <v>Urbano</v>
      </c>
      <c r="T4008" t="str">
        <f t="shared" si="249"/>
        <v>M</v>
      </c>
      <c r="U4008" t="str">
        <f t="shared" si="250"/>
        <v>CA</v>
      </c>
      <c r="V4008" t="str">
        <f t="shared" si="251"/>
        <v>22695</v>
      </c>
    </row>
    <row r="4009" spans="1:22" x14ac:dyDescent="0.35">
      <c r="A4009" s="3">
        <v>145540</v>
      </c>
      <c r="B4009" t="s">
        <v>22</v>
      </c>
      <c r="C4009" t="s">
        <v>14</v>
      </c>
      <c r="D4009">
        <v>4178</v>
      </c>
      <c r="E4009">
        <v>659</v>
      </c>
      <c r="F4009">
        <v>764</v>
      </c>
      <c r="G4009">
        <v>97</v>
      </c>
      <c r="H4009">
        <v>26035</v>
      </c>
      <c r="I4009">
        <v>26</v>
      </c>
      <c r="J4009">
        <v>37</v>
      </c>
      <c r="K4009">
        <v>687</v>
      </c>
      <c r="L4009">
        <v>723</v>
      </c>
      <c r="M4009">
        <v>10</v>
      </c>
      <c r="N4009">
        <f>IFERROR(VLOOKUP(A4009,vlookup_table!$A:$G,2,FALSE),"")</f>
        <v>1</v>
      </c>
      <c r="O4009">
        <f>IFERROR(VLOOKUP(A4009,vlookup_table!$A:$G,4,FALSE),"")</f>
        <v>0</v>
      </c>
      <c r="P4009" t="str">
        <f>IFERROR(VLOOKUP(A4009,vlookup_table!$A:$G,5,FALSE),"")</f>
        <v>S1</v>
      </c>
      <c r="Q4009">
        <f>IFERROR(VLOOKUP(A4009,vlookup_table!$A:$G,7,FALSE),"")</f>
        <v>21</v>
      </c>
      <c r="R4009">
        <f t="shared" si="248"/>
        <v>97</v>
      </c>
      <c r="S4009" t="str" cm="1">
        <f t="array" ref="S4009">IF(P4009="","",_xlfn.SWITCH(LEFT(P4009,1),"C","Ciudad","T","Pueblo","R","Rural","S","Suburbano","U","Urbano",""))</f>
        <v>Suburbano</v>
      </c>
      <c r="T4009" t="str">
        <f t="shared" si="249"/>
        <v>M</v>
      </c>
      <c r="U4009" t="str">
        <f t="shared" si="250"/>
        <v>CA</v>
      </c>
      <c r="V4009" t="str">
        <f t="shared" si="251"/>
        <v>26035</v>
      </c>
    </row>
    <row r="4010" spans="1:22" x14ac:dyDescent="0.35">
      <c r="A4010" s="3">
        <v>124042</v>
      </c>
      <c r="B4010" t="s">
        <v>21</v>
      </c>
      <c r="C4010" t="s">
        <v>14</v>
      </c>
      <c r="D4010">
        <v>465</v>
      </c>
      <c r="E4010">
        <v>202</v>
      </c>
      <c r="F4010">
        <v>354</v>
      </c>
      <c r="G4010">
        <v>1</v>
      </c>
      <c r="H4010">
        <v>13849</v>
      </c>
      <c r="I4010">
        <v>0</v>
      </c>
      <c r="J4010">
        <v>68</v>
      </c>
      <c r="K4010">
        <v>279</v>
      </c>
      <c r="L4010">
        <v>278</v>
      </c>
      <c r="M4010">
        <v>6.6666666670000003</v>
      </c>
      <c r="N4010">
        <f>IFERROR(VLOOKUP(A4010,vlookup_table!$A:$G,2,FALSE),"")</f>
        <v>2</v>
      </c>
      <c r="O4010">
        <f>IFERROR(VLOOKUP(A4010,vlookup_table!$A:$G,4,FALSE),"")</f>
        <v>1812</v>
      </c>
      <c r="P4010" t="str">
        <f>IFERROR(VLOOKUP(A4010,vlookup_table!$A:$G,5,FALSE),"")</f>
        <v>T2</v>
      </c>
      <c r="Q4010">
        <f>IFERROR(VLOOKUP(A4010,vlookup_table!$A:$G,7,FALSE),"")</f>
        <v>20</v>
      </c>
      <c r="R4010">
        <f t="shared" si="248"/>
        <v>79</v>
      </c>
      <c r="S4010" t="str" cm="1">
        <f t="array" ref="S4010">IF(P4010="","",_xlfn.SWITCH(LEFT(P4010,1),"C","Ciudad","T","Pueblo","R","Rural","S","Suburbano","U","Urbano",""))</f>
        <v>Pueblo</v>
      </c>
      <c r="T4010" t="str">
        <f t="shared" si="249"/>
        <v>M</v>
      </c>
      <c r="U4010" t="str">
        <f t="shared" si="250"/>
        <v>TX</v>
      </c>
      <c r="V4010" t="str">
        <f t="shared" si="251"/>
        <v>13849</v>
      </c>
    </row>
    <row r="4011" spans="1:22" x14ac:dyDescent="0.35">
      <c r="A4011" s="3">
        <v>83698</v>
      </c>
      <c r="B4011" t="s">
        <v>56</v>
      </c>
      <c r="C4011" t="s">
        <v>14</v>
      </c>
      <c r="D4011">
        <v>878</v>
      </c>
      <c r="E4011">
        <v>412</v>
      </c>
      <c r="F4011">
        <v>454</v>
      </c>
      <c r="G4011">
        <v>0</v>
      </c>
      <c r="H4011">
        <v>18625</v>
      </c>
      <c r="I4011">
        <v>4</v>
      </c>
      <c r="J4011">
        <v>78</v>
      </c>
      <c r="K4011">
        <v>420</v>
      </c>
      <c r="L4011">
        <v>455</v>
      </c>
      <c r="M4011">
        <v>10.125</v>
      </c>
      <c r="N4011">
        <f>IFERROR(VLOOKUP(A4011,vlookup_table!$A:$G,2,FALSE),"")</f>
        <v>1</v>
      </c>
      <c r="O4011">
        <f>IFERROR(VLOOKUP(A4011,vlookup_table!$A:$G,4,FALSE),"")</f>
        <v>5112</v>
      </c>
      <c r="P4011" t="str">
        <f>IFERROR(VLOOKUP(A4011,vlookup_table!$A:$G,5,FALSE),"")</f>
        <v>S2</v>
      </c>
      <c r="Q4011">
        <f>IFERROR(VLOOKUP(A4011,vlookup_table!$A:$G,7,FALSE),"")</f>
        <v>16</v>
      </c>
      <c r="R4011">
        <f t="shared" si="248"/>
        <v>46</v>
      </c>
      <c r="S4011" t="str" cm="1">
        <f t="array" ref="S4011">IF(P4011="","",_xlfn.SWITCH(LEFT(P4011,1),"C","Ciudad","T","Pueblo","R","Rural","S","Suburbano","U","Urbano",""))</f>
        <v>Suburbano</v>
      </c>
      <c r="T4011" t="str">
        <f t="shared" si="249"/>
        <v>M</v>
      </c>
      <c r="U4011" t="str">
        <f t="shared" si="250"/>
        <v>MN</v>
      </c>
      <c r="V4011" t="str">
        <f t="shared" si="251"/>
        <v>18625</v>
      </c>
    </row>
    <row r="4012" spans="1:22" x14ac:dyDescent="0.35">
      <c r="A4012" s="3">
        <v>142600</v>
      </c>
      <c r="B4012" t="s">
        <v>22</v>
      </c>
      <c r="C4012" t="s">
        <v>17</v>
      </c>
      <c r="D4012">
        <v>919</v>
      </c>
      <c r="E4012">
        <v>89</v>
      </c>
      <c r="F4012">
        <v>210</v>
      </c>
      <c r="G4012">
        <v>3</v>
      </c>
      <c r="H4012">
        <v>4825</v>
      </c>
      <c r="I4012">
        <v>41</v>
      </c>
      <c r="J4012">
        <v>37</v>
      </c>
      <c r="K4012">
        <v>193</v>
      </c>
      <c r="L4012">
        <v>154</v>
      </c>
      <c r="M4012">
        <v>25</v>
      </c>
      <c r="N4012">
        <f>IFERROR(VLOOKUP(A4012,vlookup_table!$A:$G,2,FALSE),"")</f>
        <v>0</v>
      </c>
      <c r="O4012">
        <f>IFERROR(VLOOKUP(A4012,vlookup_table!$A:$G,4,FALSE),"")</f>
        <v>4301</v>
      </c>
      <c r="P4012" t="str">
        <f>IFERROR(VLOOKUP(A4012,vlookup_table!$A:$G,5,FALSE),"")</f>
        <v>U4</v>
      </c>
      <c r="Q4012">
        <f>IFERROR(VLOOKUP(A4012,vlookup_table!$A:$G,7,FALSE),"")</f>
        <v>25</v>
      </c>
      <c r="R4012">
        <f t="shared" si="248"/>
        <v>54</v>
      </c>
      <c r="S4012" t="str" cm="1">
        <f t="array" ref="S4012">IF(P4012="","",_xlfn.SWITCH(LEFT(P4012,1),"C","Ciudad","T","Pueblo","R","Rural","S","Suburbano","U","Urbano",""))</f>
        <v>Urbano</v>
      </c>
      <c r="T4012" t="str">
        <f t="shared" si="249"/>
        <v>F</v>
      </c>
      <c r="U4012" t="str">
        <f t="shared" si="250"/>
        <v>CA</v>
      </c>
      <c r="V4012" t="str">
        <f t="shared" si="251"/>
        <v>4825</v>
      </c>
    </row>
    <row r="4013" spans="1:22" x14ac:dyDescent="0.35">
      <c r="A4013" s="3">
        <v>26009</v>
      </c>
      <c r="B4013" t="s">
        <v>39</v>
      </c>
      <c r="C4013" t="s">
        <v>17</v>
      </c>
      <c r="D4013">
        <v>899</v>
      </c>
      <c r="E4013">
        <v>396</v>
      </c>
      <c r="F4013">
        <v>501</v>
      </c>
      <c r="G4013">
        <v>1</v>
      </c>
      <c r="H4013">
        <v>15973</v>
      </c>
      <c r="I4013">
        <v>6</v>
      </c>
      <c r="J4013">
        <v>44</v>
      </c>
      <c r="K4013">
        <v>417</v>
      </c>
      <c r="L4013">
        <v>479</v>
      </c>
      <c r="M4013">
        <v>8</v>
      </c>
      <c r="N4013">
        <f>IFERROR(VLOOKUP(A4013,vlookup_table!$A:$G,2,FALSE),"")</f>
        <v>2</v>
      </c>
      <c r="O4013">
        <f>IFERROR(VLOOKUP(A4013,vlookup_table!$A:$G,4,FALSE),"")</f>
        <v>6411</v>
      </c>
      <c r="P4013" t="str">
        <f>IFERROR(VLOOKUP(A4013,vlookup_table!$A:$G,5,FALSE),"")</f>
        <v>S2</v>
      </c>
      <c r="Q4013">
        <f>IFERROR(VLOOKUP(A4013,vlookup_table!$A:$G,7,FALSE),"")</f>
        <v>15</v>
      </c>
      <c r="R4013">
        <f t="shared" si="248"/>
        <v>33</v>
      </c>
      <c r="S4013" t="str" cm="1">
        <f t="array" ref="S4013">IF(P4013="","",_xlfn.SWITCH(LEFT(P4013,1),"C","Ciudad","T","Pueblo","R","Rural","S","Suburbano","U","Urbano",""))</f>
        <v>Suburbano</v>
      </c>
      <c r="T4013" t="str">
        <f t="shared" si="249"/>
        <v>F</v>
      </c>
      <c r="U4013" t="str">
        <f t="shared" si="250"/>
        <v>GA</v>
      </c>
      <c r="V4013" t="str">
        <f t="shared" si="251"/>
        <v>15973</v>
      </c>
    </row>
    <row r="4014" spans="1:22" x14ac:dyDescent="0.35">
      <c r="A4014" s="3">
        <v>2311</v>
      </c>
      <c r="B4014" t="s">
        <v>29</v>
      </c>
      <c r="C4014" t="s">
        <v>14</v>
      </c>
      <c r="D4014">
        <v>817</v>
      </c>
      <c r="E4014">
        <v>488</v>
      </c>
      <c r="F4014">
        <v>567</v>
      </c>
      <c r="G4014">
        <v>0</v>
      </c>
      <c r="H4014">
        <v>18712</v>
      </c>
      <c r="I4014">
        <v>1</v>
      </c>
      <c r="J4014">
        <v>77</v>
      </c>
      <c r="K4014">
        <v>534</v>
      </c>
      <c r="L4014">
        <v>526</v>
      </c>
      <c r="M4014">
        <v>5.3333333329999997</v>
      </c>
      <c r="N4014">
        <f>IFERROR(VLOOKUP(A4014,vlookup_table!$A:$G,2,FALSE),"")</f>
        <v>0</v>
      </c>
      <c r="O4014">
        <f>IFERROR(VLOOKUP(A4014,vlookup_table!$A:$G,4,FALSE),"")</f>
        <v>0</v>
      </c>
      <c r="P4014">
        <f>IFERROR(VLOOKUP(A4014,vlookup_table!$A:$G,5,FALSE),"")</f>
        <v>0</v>
      </c>
      <c r="Q4014">
        <f>IFERROR(VLOOKUP(A4014,vlookup_table!$A:$G,7,FALSE),"")</f>
        <v>5</v>
      </c>
      <c r="R4014">
        <f t="shared" si="248"/>
        <v>97</v>
      </c>
      <c r="S4014" t="str" cm="1">
        <f t="array" ref="S4014">IF(P4014="","",_xlfn.SWITCH(LEFT(P4014,1),"C","Ciudad","T","Pueblo","R","Rural","S","Suburbano","U","Urbano",""))</f>
        <v/>
      </c>
      <c r="T4014" t="str">
        <f t="shared" si="249"/>
        <v>M</v>
      </c>
      <c r="U4014" t="str">
        <f t="shared" si="250"/>
        <v>MI</v>
      </c>
      <c r="V4014" t="str">
        <f t="shared" si="251"/>
        <v>18712</v>
      </c>
    </row>
    <row r="4015" spans="1:22" x14ac:dyDescent="0.35">
      <c r="A4015" s="3">
        <v>77441</v>
      </c>
      <c r="B4015" t="s">
        <v>35</v>
      </c>
      <c r="C4015" t="s">
        <v>17</v>
      </c>
      <c r="D4015">
        <v>725</v>
      </c>
      <c r="E4015">
        <v>316</v>
      </c>
      <c r="F4015">
        <v>376</v>
      </c>
      <c r="G4015">
        <v>0</v>
      </c>
      <c r="H4015">
        <v>11623</v>
      </c>
      <c r="I4015">
        <v>1</v>
      </c>
      <c r="J4015">
        <v>86</v>
      </c>
      <c r="K4015">
        <v>354</v>
      </c>
      <c r="L4015">
        <v>335</v>
      </c>
      <c r="M4015">
        <v>7.6666666670000003</v>
      </c>
      <c r="N4015">
        <f>IFERROR(VLOOKUP(A4015,vlookup_table!$A:$G,2,FALSE),"")</f>
        <v>0</v>
      </c>
      <c r="O4015">
        <f>IFERROR(VLOOKUP(A4015,vlookup_table!$A:$G,4,FALSE),"")</f>
        <v>5701</v>
      </c>
      <c r="P4015" t="str">
        <f>IFERROR(VLOOKUP(A4015,vlookup_table!$A:$G,5,FALSE),"")</f>
        <v>T2</v>
      </c>
      <c r="Q4015">
        <f>IFERROR(VLOOKUP(A4015,vlookup_table!$A:$G,7,FALSE),"")</f>
        <v>7</v>
      </c>
      <c r="R4015">
        <f t="shared" si="248"/>
        <v>40</v>
      </c>
      <c r="S4015" t="str" cm="1">
        <f t="array" ref="S4015">IF(P4015="","",_xlfn.SWITCH(LEFT(P4015,1),"C","Ciudad","T","Pueblo","R","Rural","S","Suburbano","U","Urbano",""))</f>
        <v>Pueblo</v>
      </c>
      <c r="T4015" t="str">
        <f t="shared" si="249"/>
        <v>F</v>
      </c>
      <c r="U4015" t="str">
        <f t="shared" si="250"/>
        <v>WI</v>
      </c>
      <c r="V4015" t="str">
        <f t="shared" si="251"/>
        <v>11623</v>
      </c>
    </row>
    <row r="4016" spans="1:22" x14ac:dyDescent="0.35">
      <c r="A4016" s="3">
        <v>6403</v>
      </c>
      <c r="B4016" t="s">
        <v>13</v>
      </c>
      <c r="C4016" t="s">
        <v>14</v>
      </c>
      <c r="D4016">
        <v>677</v>
      </c>
      <c r="E4016">
        <v>311</v>
      </c>
      <c r="F4016">
        <v>313</v>
      </c>
      <c r="G4016">
        <v>0</v>
      </c>
      <c r="H4016">
        <v>12509</v>
      </c>
      <c r="I4016">
        <v>2</v>
      </c>
      <c r="J4016">
        <v>23</v>
      </c>
      <c r="K4016">
        <v>272</v>
      </c>
      <c r="L4016">
        <v>324</v>
      </c>
      <c r="M4016">
        <v>10.11538462</v>
      </c>
      <c r="N4016">
        <f>IFERROR(VLOOKUP(A4016,vlookup_table!$A:$G,2,FALSE),"")</f>
        <v>1</v>
      </c>
      <c r="O4016">
        <f>IFERROR(VLOOKUP(A4016,vlookup_table!$A:$G,4,FALSE),"")</f>
        <v>2703</v>
      </c>
      <c r="P4016" t="str">
        <f>IFERROR(VLOOKUP(A4016,vlookup_table!$A:$G,5,FALSE),"")</f>
        <v>C2</v>
      </c>
      <c r="Q4016">
        <f>IFERROR(VLOOKUP(A4016,vlookup_table!$A:$G,7,FALSE),"")</f>
        <v>10</v>
      </c>
      <c r="R4016">
        <f t="shared" si="248"/>
        <v>70</v>
      </c>
      <c r="S4016" t="str" cm="1">
        <f t="array" ref="S4016">IF(P4016="","",_xlfn.SWITCH(LEFT(P4016,1),"C","Ciudad","T","Pueblo","R","Rural","S","Suburbano","U","Urbano",""))</f>
        <v>Ciudad</v>
      </c>
      <c r="T4016" t="str">
        <f t="shared" si="249"/>
        <v>M</v>
      </c>
      <c r="U4016" t="str">
        <f t="shared" si="250"/>
        <v>FL</v>
      </c>
      <c r="V4016" t="str">
        <f t="shared" si="251"/>
        <v>12509</v>
      </c>
    </row>
    <row r="4017" spans="1:22" x14ac:dyDescent="0.35">
      <c r="A4017" s="3">
        <v>117326</v>
      </c>
      <c r="B4017" t="s">
        <v>21</v>
      </c>
      <c r="C4017" t="s">
        <v>17</v>
      </c>
      <c r="D4017">
        <v>1715</v>
      </c>
      <c r="E4017">
        <v>554</v>
      </c>
      <c r="F4017">
        <v>837</v>
      </c>
      <c r="G4017">
        <v>34</v>
      </c>
      <c r="H4017">
        <v>31480</v>
      </c>
      <c r="I4017">
        <v>3</v>
      </c>
      <c r="J4017">
        <v>54</v>
      </c>
      <c r="K4017">
        <v>750</v>
      </c>
      <c r="L4017">
        <v>626</v>
      </c>
      <c r="M4017">
        <v>6.9166666670000003</v>
      </c>
      <c r="N4017">
        <f>IFERROR(VLOOKUP(A4017,vlookup_table!$A:$G,2,FALSE),"")</f>
        <v>0</v>
      </c>
      <c r="O4017">
        <f>IFERROR(VLOOKUP(A4017,vlookup_table!$A:$G,4,FALSE),"")</f>
        <v>4105</v>
      </c>
      <c r="P4017" t="str">
        <f>IFERROR(VLOOKUP(A4017,vlookup_table!$A:$G,5,FALSE),"")</f>
        <v>U1</v>
      </c>
      <c r="Q4017">
        <f>IFERROR(VLOOKUP(A4017,vlookup_table!$A:$G,7,FALSE),"")</f>
        <v>10</v>
      </c>
      <c r="R4017">
        <f t="shared" si="248"/>
        <v>56</v>
      </c>
      <c r="S4017" t="str" cm="1">
        <f t="array" ref="S4017">IF(P4017="","",_xlfn.SWITCH(LEFT(P4017,1),"C","Ciudad","T","Pueblo","R","Rural","S","Suburbano","U","Urbano",""))</f>
        <v>Urbano</v>
      </c>
      <c r="T4017" t="str">
        <f t="shared" si="249"/>
        <v>F</v>
      </c>
      <c r="U4017" t="str">
        <f t="shared" si="250"/>
        <v>TX</v>
      </c>
      <c r="V4017" t="str">
        <f t="shared" si="251"/>
        <v>31480</v>
      </c>
    </row>
    <row r="4018" spans="1:22" x14ac:dyDescent="0.35">
      <c r="A4018" s="3">
        <v>68618</v>
      </c>
      <c r="B4018" t="s">
        <v>29</v>
      </c>
      <c r="C4018" t="s">
        <v>14</v>
      </c>
      <c r="D4018">
        <v>726</v>
      </c>
      <c r="E4018">
        <v>485</v>
      </c>
      <c r="F4018">
        <v>509</v>
      </c>
      <c r="G4018">
        <v>0</v>
      </c>
      <c r="H4018">
        <v>17020</v>
      </c>
      <c r="I4018">
        <v>3</v>
      </c>
      <c r="J4018">
        <v>85</v>
      </c>
      <c r="K4018">
        <v>495</v>
      </c>
      <c r="L4018">
        <v>516</v>
      </c>
      <c r="M4018">
        <v>17.22580645</v>
      </c>
      <c r="N4018">
        <f>IFERROR(VLOOKUP(A4018,vlookup_table!$A:$G,2,FALSE),"")</f>
        <v>1</v>
      </c>
      <c r="O4018">
        <f>IFERROR(VLOOKUP(A4018,vlookup_table!$A:$G,4,FALSE),"")</f>
        <v>3312</v>
      </c>
      <c r="P4018" t="str">
        <f>IFERROR(VLOOKUP(A4018,vlookup_table!$A:$G,5,FALSE),"")</f>
        <v>T1</v>
      </c>
      <c r="Q4018">
        <f>IFERROR(VLOOKUP(A4018,vlookup_table!$A:$G,7,FALSE),"")</f>
        <v>40</v>
      </c>
      <c r="R4018">
        <f t="shared" si="248"/>
        <v>64</v>
      </c>
      <c r="S4018" t="str" cm="1">
        <f t="array" ref="S4018">IF(P4018="","",_xlfn.SWITCH(LEFT(P4018,1),"C","Ciudad","T","Pueblo","R","Rural","S","Suburbano","U","Urbano",""))</f>
        <v>Pueblo</v>
      </c>
      <c r="T4018" t="str">
        <f t="shared" si="249"/>
        <v>M</v>
      </c>
      <c r="U4018" t="str">
        <f t="shared" si="250"/>
        <v>MI</v>
      </c>
      <c r="V4018" t="str">
        <f t="shared" si="251"/>
        <v>17020</v>
      </c>
    </row>
    <row r="4019" spans="1:22" x14ac:dyDescent="0.35">
      <c r="A4019" s="3">
        <v>1646</v>
      </c>
      <c r="B4019" t="s">
        <v>22</v>
      </c>
      <c r="C4019" t="s">
        <v>14</v>
      </c>
      <c r="D4019">
        <v>675</v>
      </c>
      <c r="E4019">
        <v>163</v>
      </c>
      <c r="F4019">
        <v>230</v>
      </c>
      <c r="G4019">
        <v>1</v>
      </c>
      <c r="H4019">
        <v>7083</v>
      </c>
      <c r="I4019">
        <v>13</v>
      </c>
      <c r="J4019">
        <v>57</v>
      </c>
      <c r="K4019">
        <v>209</v>
      </c>
      <c r="L4019">
        <v>194</v>
      </c>
      <c r="M4019">
        <v>7.5625</v>
      </c>
      <c r="N4019">
        <f>IFERROR(VLOOKUP(A4019,vlookup_table!$A:$G,2,FALSE),"")</f>
        <v>1</v>
      </c>
      <c r="O4019">
        <f>IFERROR(VLOOKUP(A4019,vlookup_table!$A:$G,4,FALSE),"")</f>
        <v>4711</v>
      </c>
      <c r="P4019" t="str">
        <f>IFERROR(VLOOKUP(A4019,vlookup_table!$A:$G,5,FALSE),"")</f>
        <v>C3</v>
      </c>
      <c r="Q4019">
        <f>IFERROR(VLOOKUP(A4019,vlookup_table!$A:$G,7,FALSE),"")</f>
        <v>10</v>
      </c>
      <c r="R4019">
        <f t="shared" si="248"/>
        <v>50</v>
      </c>
      <c r="S4019" t="str" cm="1">
        <f t="array" ref="S4019">IF(P4019="","",_xlfn.SWITCH(LEFT(P4019,1),"C","Ciudad","T","Pueblo","R","Rural","S","Suburbano","U","Urbano",""))</f>
        <v>Ciudad</v>
      </c>
      <c r="T4019" t="str">
        <f t="shared" si="249"/>
        <v>M</v>
      </c>
      <c r="U4019" t="str">
        <f t="shared" si="250"/>
        <v>CA</v>
      </c>
      <c r="V4019" t="str">
        <f t="shared" si="251"/>
        <v>7083</v>
      </c>
    </row>
    <row r="4020" spans="1:22" x14ac:dyDescent="0.35">
      <c r="A4020" s="3">
        <v>66762</v>
      </c>
      <c r="B4020" t="s">
        <v>29</v>
      </c>
      <c r="C4020" t="s">
        <v>17</v>
      </c>
      <c r="D4020">
        <v>632</v>
      </c>
      <c r="E4020">
        <v>279</v>
      </c>
      <c r="F4020">
        <v>388</v>
      </c>
      <c r="G4020">
        <v>2</v>
      </c>
      <c r="H4020">
        <v>12653</v>
      </c>
      <c r="I4020">
        <v>1</v>
      </c>
      <c r="J4020">
        <v>71</v>
      </c>
      <c r="K4020">
        <v>336</v>
      </c>
      <c r="L4020">
        <v>339</v>
      </c>
      <c r="M4020">
        <v>8.5333333329999999</v>
      </c>
      <c r="N4020">
        <f>IFERROR(VLOOKUP(A4020,vlookup_table!$A:$G,2,FALSE),"")</f>
        <v>0</v>
      </c>
      <c r="O4020">
        <f>IFERROR(VLOOKUP(A4020,vlookup_table!$A:$G,4,FALSE),"")</f>
        <v>0</v>
      </c>
      <c r="P4020">
        <f>IFERROR(VLOOKUP(A4020,vlookup_table!$A:$G,5,FALSE),"")</f>
        <v>0</v>
      </c>
      <c r="Q4020">
        <f>IFERROR(VLOOKUP(A4020,vlookup_table!$A:$G,7,FALSE),"")</f>
        <v>5</v>
      </c>
      <c r="R4020">
        <f t="shared" si="248"/>
        <v>97</v>
      </c>
      <c r="S4020" t="str" cm="1">
        <f t="array" ref="S4020">IF(P4020="","",_xlfn.SWITCH(LEFT(P4020,1),"C","Ciudad","T","Pueblo","R","Rural","S","Suburbano","U","Urbano",""))</f>
        <v/>
      </c>
      <c r="T4020" t="str">
        <f t="shared" si="249"/>
        <v>F</v>
      </c>
      <c r="U4020" t="str">
        <f t="shared" si="250"/>
        <v>MI</v>
      </c>
      <c r="V4020" t="str">
        <f t="shared" si="251"/>
        <v>12653</v>
      </c>
    </row>
    <row r="4021" spans="1:22" x14ac:dyDescent="0.35">
      <c r="A4021" s="3">
        <v>6443</v>
      </c>
      <c r="B4021" t="s">
        <v>13</v>
      </c>
      <c r="C4021" t="s">
        <v>14</v>
      </c>
      <c r="D4021">
        <v>595</v>
      </c>
      <c r="E4021">
        <v>252</v>
      </c>
      <c r="F4021">
        <v>274</v>
      </c>
      <c r="G4021">
        <v>0</v>
      </c>
      <c r="H4021">
        <v>11132</v>
      </c>
      <c r="I4021">
        <v>8</v>
      </c>
      <c r="J4021">
        <v>11</v>
      </c>
      <c r="K4021">
        <v>263</v>
      </c>
      <c r="L4021">
        <v>262</v>
      </c>
      <c r="M4021">
        <v>14.69230769</v>
      </c>
      <c r="N4021">
        <f>IFERROR(VLOOKUP(A4021,vlookup_table!$A:$G,2,FALSE),"")</f>
        <v>1</v>
      </c>
      <c r="O4021">
        <f>IFERROR(VLOOKUP(A4021,vlookup_table!$A:$G,4,FALSE),"")</f>
        <v>2501</v>
      </c>
      <c r="P4021" t="str">
        <f>IFERROR(VLOOKUP(A4021,vlookup_table!$A:$G,5,FALSE),"")</f>
        <v>T2</v>
      </c>
      <c r="Q4021">
        <f>IFERROR(VLOOKUP(A4021,vlookup_table!$A:$G,7,FALSE),"")</f>
        <v>20</v>
      </c>
      <c r="R4021">
        <f t="shared" si="248"/>
        <v>72</v>
      </c>
      <c r="S4021" t="str" cm="1">
        <f t="array" ref="S4021">IF(P4021="","",_xlfn.SWITCH(LEFT(P4021,1),"C","Ciudad","T","Pueblo","R","Rural","S","Suburbano","U","Urbano",""))</f>
        <v>Pueblo</v>
      </c>
      <c r="T4021" t="str">
        <f t="shared" si="249"/>
        <v>M</v>
      </c>
      <c r="U4021" t="str">
        <f t="shared" si="250"/>
        <v>FL</v>
      </c>
      <c r="V4021" t="str">
        <f t="shared" si="251"/>
        <v>11132</v>
      </c>
    </row>
    <row r="4022" spans="1:22" x14ac:dyDescent="0.35">
      <c r="A4022" s="3">
        <v>151175</v>
      </c>
      <c r="B4022" t="s">
        <v>22</v>
      </c>
      <c r="C4022" t="s">
        <v>17</v>
      </c>
      <c r="D4022">
        <v>2707</v>
      </c>
      <c r="E4022">
        <v>507</v>
      </c>
      <c r="F4022">
        <v>537</v>
      </c>
      <c r="G4022">
        <v>80</v>
      </c>
      <c r="H4022">
        <v>16165</v>
      </c>
      <c r="I4022">
        <v>24</v>
      </c>
      <c r="J4022">
        <v>54</v>
      </c>
      <c r="K4022">
        <v>504</v>
      </c>
      <c r="L4022">
        <v>538</v>
      </c>
      <c r="M4022">
        <v>12.117647059999999</v>
      </c>
      <c r="N4022">
        <f>IFERROR(VLOOKUP(A4022,vlookup_table!$A:$G,2,FALSE),"")</f>
        <v>0</v>
      </c>
      <c r="O4022">
        <f>IFERROR(VLOOKUP(A4022,vlookup_table!$A:$G,4,FALSE),"")</f>
        <v>4001</v>
      </c>
      <c r="P4022" t="str">
        <f>IFERROR(VLOOKUP(A4022,vlookup_table!$A:$G,5,FALSE),"")</f>
        <v>U1</v>
      </c>
      <c r="Q4022">
        <f>IFERROR(VLOOKUP(A4022,vlookup_table!$A:$G,7,FALSE),"")</f>
        <v>22</v>
      </c>
      <c r="R4022">
        <f t="shared" si="248"/>
        <v>57</v>
      </c>
      <c r="S4022" t="str" cm="1">
        <f t="array" ref="S4022">IF(P4022="","",_xlfn.SWITCH(LEFT(P4022,1),"C","Ciudad","T","Pueblo","R","Rural","S","Suburbano","U","Urbano",""))</f>
        <v>Urbano</v>
      </c>
      <c r="T4022" t="str">
        <f t="shared" si="249"/>
        <v>F</v>
      </c>
      <c r="U4022" t="str">
        <f t="shared" si="250"/>
        <v>CA</v>
      </c>
      <c r="V4022" t="str">
        <f t="shared" si="251"/>
        <v>16165</v>
      </c>
    </row>
    <row r="4023" spans="1:22" x14ac:dyDescent="0.35">
      <c r="A4023" s="3">
        <v>151504</v>
      </c>
      <c r="B4023" t="s">
        <v>22</v>
      </c>
      <c r="C4023" t="s">
        <v>14</v>
      </c>
      <c r="D4023">
        <v>2666</v>
      </c>
      <c r="E4023">
        <v>535</v>
      </c>
      <c r="F4023">
        <v>653</v>
      </c>
      <c r="G4023">
        <v>63</v>
      </c>
      <c r="H4023">
        <v>24745</v>
      </c>
      <c r="I4023">
        <v>22</v>
      </c>
      <c r="J4023">
        <v>45</v>
      </c>
      <c r="K4023">
        <v>609</v>
      </c>
      <c r="L4023">
        <v>612</v>
      </c>
      <c r="M4023">
        <v>12.33333333</v>
      </c>
      <c r="N4023">
        <f>IFERROR(VLOOKUP(A4023,vlookup_table!$A:$G,2,FALSE),"")</f>
        <v>1</v>
      </c>
      <c r="O4023">
        <f>IFERROR(VLOOKUP(A4023,vlookup_table!$A:$G,4,FALSE),"")</f>
        <v>4401</v>
      </c>
      <c r="P4023" t="str">
        <f>IFERROR(VLOOKUP(A4023,vlookup_table!$A:$G,5,FALSE),"")</f>
        <v>S1</v>
      </c>
      <c r="Q4023">
        <f>IFERROR(VLOOKUP(A4023,vlookup_table!$A:$G,7,FALSE),"")</f>
        <v>21</v>
      </c>
      <c r="R4023">
        <f t="shared" si="248"/>
        <v>53</v>
      </c>
      <c r="S4023" t="str" cm="1">
        <f t="array" ref="S4023">IF(P4023="","",_xlfn.SWITCH(LEFT(P4023,1),"C","Ciudad","T","Pueblo","R","Rural","S","Suburbano","U","Urbano",""))</f>
        <v>Suburbano</v>
      </c>
      <c r="T4023" t="str">
        <f t="shared" si="249"/>
        <v>M</v>
      </c>
      <c r="U4023" t="str">
        <f t="shared" si="250"/>
        <v>CA</v>
      </c>
      <c r="V4023" t="str">
        <f t="shared" si="251"/>
        <v>24745</v>
      </c>
    </row>
    <row r="4024" spans="1:22" x14ac:dyDescent="0.35">
      <c r="A4024" s="3">
        <v>74303</v>
      </c>
      <c r="B4024" t="s">
        <v>29</v>
      </c>
      <c r="C4024" t="s">
        <v>14</v>
      </c>
      <c r="D4024">
        <v>444</v>
      </c>
      <c r="E4024">
        <v>225</v>
      </c>
      <c r="F4024">
        <v>299</v>
      </c>
      <c r="G4024">
        <v>3</v>
      </c>
      <c r="H4024">
        <v>10088</v>
      </c>
      <c r="I4024">
        <v>1</v>
      </c>
      <c r="J4024">
        <v>86</v>
      </c>
      <c r="K4024">
        <v>264</v>
      </c>
      <c r="L4024">
        <v>269</v>
      </c>
      <c r="M4024">
        <v>17.14285714</v>
      </c>
      <c r="N4024">
        <f>IFERROR(VLOOKUP(A4024,vlookup_table!$A:$G,2,FALSE),"")</f>
        <v>4</v>
      </c>
      <c r="O4024">
        <f>IFERROR(VLOOKUP(A4024,vlookup_table!$A:$G,4,FALSE),"")</f>
        <v>405</v>
      </c>
      <c r="P4024" t="str">
        <f>IFERROR(VLOOKUP(A4024,vlookup_table!$A:$G,5,FALSE),"")</f>
        <v>R2</v>
      </c>
      <c r="Q4024">
        <f>IFERROR(VLOOKUP(A4024,vlookup_table!$A:$G,7,FALSE),"")</f>
        <v>25</v>
      </c>
      <c r="R4024">
        <f t="shared" si="248"/>
        <v>93</v>
      </c>
      <c r="S4024" t="str" cm="1">
        <f t="array" ref="S4024">IF(P4024="","",_xlfn.SWITCH(LEFT(P4024,1),"C","Ciudad","T","Pueblo","R","Rural","S","Suburbano","U","Urbano",""))</f>
        <v>Rural</v>
      </c>
      <c r="T4024" t="str">
        <f t="shared" si="249"/>
        <v>M</v>
      </c>
      <c r="U4024" t="str">
        <f t="shared" si="250"/>
        <v>MI</v>
      </c>
      <c r="V4024" t="str">
        <f t="shared" si="251"/>
        <v>10088</v>
      </c>
    </row>
    <row r="4025" spans="1:22" x14ac:dyDescent="0.35">
      <c r="A4025" s="3">
        <v>41537</v>
      </c>
      <c r="B4025" t="s">
        <v>13</v>
      </c>
      <c r="C4025" t="s">
        <v>17</v>
      </c>
      <c r="D4025">
        <v>742</v>
      </c>
      <c r="E4025">
        <v>396</v>
      </c>
      <c r="F4025">
        <v>470</v>
      </c>
      <c r="G4025">
        <v>0</v>
      </c>
      <c r="H4025">
        <v>15356</v>
      </c>
      <c r="I4025">
        <v>7</v>
      </c>
      <c r="J4025">
        <v>37</v>
      </c>
      <c r="K4025">
        <v>424</v>
      </c>
      <c r="L4025">
        <v>450</v>
      </c>
      <c r="M4025">
        <v>14.28571429</v>
      </c>
      <c r="N4025">
        <f>IFERROR(VLOOKUP(A4025,vlookup_table!$A:$G,2,FALSE),"")</f>
        <v>2</v>
      </c>
      <c r="O4025">
        <f>IFERROR(VLOOKUP(A4025,vlookup_table!$A:$G,4,FALSE),"")</f>
        <v>6101</v>
      </c>
      <c r="P4025" t="str">
        <f>IFERROR(VLOOKUP(A4025,vlookup_table!$A:$G,5,FALSE),"")</f>
        <v>S2</v>
      </c>
      <c r="Q4025">
        <f>IFERROR(VLOOKUP(A4025,vlookup_table!$A:$G,7,FALSE),"")</f>
        <v>50</v>
      </c>
      <c r="R4025">
        <f t="shared" si="248"/>
        <v>36</v>
      </c>
      <c r="S4025" t="str" cm="1">
        <f t="array" ref="S4025">IF(P4025="","",_xlfn.SWITCH(LEFT(P4025,1),"C","Ciudad","T","Pueblo","R","Rural","S","Suburbano","U","Urbano",""))</f>
        <v>Suburbano</v>
      </c>
      <c r="T4025" t="str">
        <f t="shared" si="249"/>
        <v>F</v>
      </c>
      <c r="U4025" t="str">
        <f t="shared" si="250"/>
        <v>FL</v>
      </c>
      <c r="V4025" t="str">
        <f t="shared" si="251"/>
        <v>15356</v>
      </c>
    </row>
    <row r="4026" spans="1:22" x14ac:dyDescent="0.35">
      <c r="A4026" s="3">
        <v>4881</v>
      </c>
      <c r="B4026" t="s">
        <v>13</v>
      </c>
      <c r="C4026" t="s">
        <v>14</v>
      </c>
      <c r="D4026">
        <v>599</v>
      </c>
      <c r="E4026">
        <v>100</v>
      </c>
      <c r="F4026">
        <v>423</v>
      </c>
      <c r="G4026">
        <v>4</v>
      </c>
      <c r="H4026">
        <v>11670</v>
      </c>
      <c r="I4026">
        <v>10</v>
      </c>
      <c r="J4026">
        <v>27</v>
      </c>
      <c r="K4026">
        <v>406</v>
      </c>
      <c r="L4026">
        <v>200</v>
      </c>
      <c r="M4026">
        <v>9.230769231</v>
      </c>
      <c r="N4026">
        <f>IFERROR(VLOOKUP(A4026,vlookup_table!$A:$G,2,FALSE),"")</f>
        <v>28</v>
      </c>
      <c r="O4026">
        <f>IFERROR(VLOOKUP(A4026,vlookup_table!$A:$G,4,FALSE),"")</f>
        <v>7401</v>
      </c>
      <c r="P4026" t="str">
        <f>IFERROR(VLOOKUP(A4026,vlookup_table!$A:$G,5,FALSE),"")</f>
        <v>C1</v>
      </c>
      <c r="Q4026">
        <f>IFERROR(VLOOKUP(A4026,vlookup_table!$A:$G,7,FALSE),"")</f>
        <v>10</v>
      </c>
      <c r="R4026">
        <f t="shared" si="248"/>
        <v>23</v>
      </c>
      <c r="S4026" t="str" cm="1">
        <f t="array" ref="S4026">IF(P4026="","",_xlfn.SWITCH(LEFT(P4026,1),"C","Ciudad","T","Pueblo","R","Rural","S","Suburbano","U","Urbano",""))</f>
        <v>Ciudad</v>
      </c>
      <c r="T4026" t="str">
        <f t="shared" si="249"/>
        <v>M</v>
      </c>
      <c r="U4026" t="str">
        <f t="shared" si="250"/>
        <v>FL</v>
      </c>
      <c r="V4026" t="str">
        <f t="shared" si="251"/>
        <v>11670</v>
      </c>
    </row>
    <row r="4027" spans="1:22" x14ac:dyDescent="0.35">
      <c r="A4027" s="3">
        <v>66358</v>
      </c>
      <c r="B4027" t="s">
        <v>45</v>
      </c>
      <c r="C4027" t="s">
        <v>14</v>
      </c>
      <c r="D4027">
        <v>593</v>
      </c>
      <c r="E4027">
        <v>258</v>
      </c>
      <c r="F4027">
        <v>299</v>
      </c>
      <c r="G4027">
        <v>0</v>
      </c>
      <c r="H4027">
        <v>10186</v>
      </c>
      <c r="I4027">
        <v>1</v>
      </c>
      <c r="J4027">
        <v>70</v>
      </c>
      <c r="K4027">
        <v>298</v>
      </c>
      <c r="L4027">
        <v>274</v>
      </c>
      <c r="M4027">
        <v>5.266666667</v>
      </c>
      <c r="N4027">
        <f>IFERROR(VLOOKUP(A4027,vlookup_table!$A:$G,2,FALSE),"")</f>
        <v>1</v>
      </c>
      <c r="O4027">
        <f>IFERROR(VLOOKUP(A4027,vlookup_table!$A:$G,4,FALSE),"")</f>
        <v>3301</v>
      </c>
      <c r="P4027" t="str">
        <f>IFERROR(VLOOKUP(A4027,vlookup_table!$A:$G,5,FALSE),"")</f>
        <v>S2</v>
      </c>
      <c r="Q4027">
        <f>IFERROR(VLOOKUP(A4027,vlookup_table!$A:$G,7,FALSE),"")</f>
        <v>5</v>
      </c>
      <c r="R4027">
        <f t="shared" si="248"/>
        <v>64</v>
      </c>
      <c r="S4027" t="str" cm="1">
        <f t="array" ref="S4027">IF(P4027="","",_xlfn.SWITCH(LEFT(P4027,1),"C","Ciudad","T","Pueblo","R","Rural","S","Suburbano","U","Urbano",""))</f>
        <v>Suburbano</v>
      </c>
      <c r="T4027" t="str">
        <f t="shared" si="249"/>
        <v>M</v>
      </c>
      <c r="U4027" t="str">
        <f t="shared" si="250"/>
        <v>ND</v>
      </c>
      <c r="V4027" t="str">
        <f t="shared" si="251"/>
        <v>10186</v>
      </c>
    </row>
    <row r="4028" spans="1:22" x14ac:dyDescent="0.35">
      <c r="A4028" s="3">
        <v>2231</v>
      </c>
      <c r="B4028" t="s">
        <v>35</v>
      </c>
      <c r="C4028" t="s">
        <v>51</v>
      </c>
      <c r="D4028">
        <v>564</v>
      </c>
      <c r="E4028">
        <v>217</v>
      </c>
      <c r="F4028">
        <v>397</v>
      </c>
      <c r="G4028">
        <v>0</v>
      </c>
      <c r="H4028">
        <v>12315</v>
      </c>
      <c r="I4028">
        <v>0</v>
      </c>
      <c r="J4028">
        <v>96</v>
      </c>
      <c r="K4028">
        <v>386</v>
      </c>
      <c r="L4028">
        <v>295</v>
      </c>
      <c r="M4028">
        <v>11.4</v>
      </c>
      <c r="N4028">
        <f>IFERROR(VLOOKUP(A4028,vlookup_table!$A:$G,2,FALSE),"")</f>
        <v>1</v>
      </c>
      <c r="O4028">
        <f>IFERROR(VLOOKUP(A4028,vlookup_table!$A:$G,4,FALSE),"")</f>
        <v>7301</v>
      </c>
      <c r="P4028" t="str">
        <f>IFERROR(VLOOKUP(A4028,vlookup_table!$A:$G,5,FALSE),"")</f>
        <v>T2</v>
      </c>
      <c r="Q4028">
        <f>IFERROR(VLOOKUP(A4028,vlookup_table!$A:$G,7,FALSE),"")</f>
        <v>14</v>
      </c>
      <c r="R4028">
        <f t="shared" si="248"/>
        <v>24</v>
      </c>
      <c r="S4028" t="str" cm="1">
        <f t="array" ref="S4028">IF(P4028="","",_xlfn.SWITCH(LEFT(P4028,1),"C","Ciudad","T","Pueblo","R","Rural","S","Suburbano","U","Urbano",""))</f>
        <v>Pueblo</v>
      </c>
      <c r="T4028" t="str">
        <f t="shared" si="249"/>
        <v>M</v>
      </c>
      <c r="U4028" t="str">
        <f t="shared" si="250"/>
        <v>WI</v>
      </c>
      <c r="V4028" t="str">
        <f t="shared" si="251"/>
        <v>12315</v>
      </c>
    </row>
    <row r="4029" spans="1:22" x14ac:dyDescent="0.35">
      <c r="A4029" s="3">
        <v>68534</v>
      </c>
      <c r="B4029" t="s">
        <v>29</v>
      </c>
      <c r="C4029" t="s">
        <v>14</v>
      </c>
      <c r="D4029">
        <v>651</v>
      </c>
      <c r="E4029">
        <v>431</v>
      </c>
      <c r="F4029">
        <v>505</v>
      </c>
      <c r="G4029">
        <v>0</v>
      </c>
      <c r="H4029">
        <v>14845</v>
      </c>
      <c r="I4029">
        <v>7</v>
      </c>
      <c r="J4029">
        <v>77</v>
      </c>
      <c r="K4029">
        <v>451</v>
      </c>
      <c r="L4029">
        <v>455</v>
      </c>
      <c r="M4029">
        <v>7.4285714289999998</v>
      </c>
      <c r="N4029">
        <f>IFERROR(VLOOKUP(A4029,vlookup_table!$A:$G,2,FALSE),"")</f>
        <v>1</v>
      </c>
      <c r="O4029">
        <f>IFERROR(VLOOKUP(A4029,vlookup_table!$A:$G,4,FALSE),"")</f>
        <v>1709</v>
      </c>
      <c r="P4029" t="str">
        <f>IFERROR(VLOOKUP(A4029,vlookup_table!$A:$G,5,FALSE),"")</f>
        <v>S2</v>
      </c>
      <c r="Q4029">
        <f>IFERROR(VLOOKUP(A4029,vlookup_table!$A:$G,7,FALSE),"")</f>
        <v>9</v>
      </c>
      <c r="R4029">
        <f t="shared" si="248"/>
        <v>80</v>
      </c>
      <c r="S4029" t="str" cm="1">
        <f t="array" ref="S4029">IF(P4029="","",_xlfn.SWITCH(LEFT(P4029,1),"C","Ciudad","T","Pueblo","R","Rural","S","Suburbano","U","Urbano",""))</f>
        <v>Suburbano</v>
      </c>
      <c r="T4029" t="str">
        <f t="shared" si="249"/>
        <v>M</v>
      </c>
      <c r="U4029" t="str">
        <f t="shared" si="250"/>
        <v>MI</v>
      </c>
      <c r="V4029" t="str">
        <f t="shared" si="251"/>
        <v>14845</v>
      </c>
    </row>
  </sheetData>
  <autoFilter ref="A1:V1" xr:uid="{C63EB44C-91E7-9F44-B4E6-4CFA5392556B}"/>
  <hyperlinks>
    <hyperlink ref="H16" r:id="rId1" display="10755@" xr:uid="{8DE64830-0BB2-CC43-9D1C-E69B24534859}"/>
    <hyperlink ref="H994" r:id="rId2" xr:uid="{917519B6-CF99-2540-B3C7-AD095CAFD1A4}"/>
    <hyperlink ref="H972" r:id="rId3" xr:uid="{7F9359DB-589F-174F-9A1C-B28F9C608D90}"/>
    <hyperlink ref="H942" r:id="rId4" xr:uid="{06EEA83A-D8CF-5147-96AD-F72467EAC01D}"/>
    <hyperlink ref="H925" r:id="rId5" xr:uid="{020142F2-2182-4240-A9D7-442E42F182AA}"/>
    <hyperlink ref="H907" r:id="rId6" xr:uid="{192D6555-47F1-4D49-9FA6-03598A4FE7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D186-2355-4C8E-B662-8F2DBD5C7BFE}">
  <dimension ref="A1:G4001"/>
  <sheetViews>
    <sheetView workbookViewId="0">
      <selection activeCell="K9" sqref="K9"/>
    </sheetView>
  </sheetViews>
  <sheetFormatPr defaultRowHeight="15.5" x14ac:dyDescent="0.35"/>
  <cols>
    <col min="1" max="1" width="10.1640625" bestFit="1" customWidth="1"/>
    <col min="2" max="2" width="8.5" bestFit="1" customWidth="1"/>
    <col min="3" max="3" width="8" bestFit="1" customWidth="1"/>
    <col min="4" max="4" width="6.5" bestFit="1" customWidth="1"/>
    <col min="5" max="5" width="10.25" bestFit="1" customWidth="1"/>
    <col min="6" max="6" width="9.83203125" bestFit="1" customWidth="1"/>
    <col min="7" max="7" width="11.75" bestFit="1" customWidth="1"/>
  </cols>
  <sheetData>
    <row r="1" spans="1:7" x14ac:dyDescent="0.35">
      <c r="A1" s="4" t="s">
        <v>0</v>
      </c>
      <c r="B1" s="4" t="s">
        <v>84</v>
      </c>
      <c r="C1" s="4" t="s">
        <v>1</v>
      </c>
      <c r="D1" s="4" t="s">
        <v>85</v>
      </c>
      <c r="E1" s="4" t="s">
        <v>86</v>
      </c>
      <c r="F1" s="4" t="s">
        <v>2</v>
      </c>
      <c r="G1" s="4" t="s">
        <v>87</v>
      </c>
    </row>
    <row r="2" spans="1:7" x14ac:dyDescent="0.35">
      <c r="A2">
        <v>44060</v>
      </c>
      <c r="B2">
        <v>1</v>
      </c>
      <c r="C2" t="s">
        <v>13</v>
      </c>
      <c r="D2">
        <v>1901</v>
      </c>
      <c r="E2" t="s">
        <v>88</v>
      </c>
      <c r="F2" t="s">
        <v>14</v>
      </c>
      <c r="G2">
        <v>100</v>
      </c>
    </row>
    <row r="3" spans="1:7" x14ac:dyDescent="0.35">
      <c r="A3">
        <v>96093</v>
      </c>
      <c r="B3">
        <v>0</v>
      </c>
      <c r="C3" t="s">
        <v>16</v>
      </c>
      <c r="D3">
        <v>0</v>
      </c>
      <c r="E3" t="s">
        <v>89</v>
      </c>
      <c r="F3" t="s">
        <v>14</v>
      </c>
      <c r="G3">
        <v>7</v>
      </c>
    </row>
    <row r="4" spans="1:7" x14ac:dyDescent="0.35">
      <c r="A4">
        <v>43333</v>
      </c>
      <c r="B4">
        <v>0</v>
      </c>
      <c r="C4" t="s">
        <v>13</v>
      </c>
      <c r="D4">
        <v>2501</v>
      </c>
      <c r="E4" t="s">
        <v>88</v>
      </c>
      <c r="F4" t="s">
        <v>17</v>
      </c>
      <c r="G4">
        <v>5</v>
      </c>
    </row>
    <row r="5" spans="1:7" x14ac:dyDescent="0.35">
      <c r="A5">
        <v>21885</v>
      </c>
      <c r="B5">
        <v>0</v>
      </c>
      <c r="C5" t="s">
        <v>18</v>
      </c>
      <c r="D5">
        <v>2208</v>
      </c>
      <c r="E5" t="s">
        <v>89</v>
      </c>
      <c r="F5" t="s">
        <v>14</v>
      </c>
      <c r="G5">
        <v>38</v>
      </c>
    </row>
    <row r="6" spans="1:7" x14ac:dyDescent="0.35">
      <c r="A6">
        <v>190108</v>
      </c>
      <c r="B6">
        <v>28</v>
      </c>
      <c r="C6" t="s">
        <v>13</v>
      </c>
      <c r="D6">
        <v>0</v>
      </c>
      <c r="E6" t="s">
        <v>88</v>
      </c>
      <c r="F6" t="s">
        <v>17</v>
      </c>
      <c r="G6">
        <v>5</v>
      </c>
    </row>
    <row r="7" spans="1:7" x14ac:dyDescent="0.35">
      <c r="A7">
        <v>100640</v>
      </c>
      <c r="B7">
        <v>1</v>
      </c>
      <c r="C7" t="s">
        <v>16</v>
      </c>
      <c r="D7">
        <v>6104</v>
      </c>
      <c r="E7" t="s">
        <v>90</v>
      </c>
      <c r="F7" t="s">
        <v>14</v>
      </c>
      <c r="G7">
        <v>30</v>
      </c>
    </row>
    <row r="8" spans="1:7" x14ac:dyDescent="0.35">
      <c r="A8">
        <v>18581</v>
      </c>
      <c r="B8">
        <v>0</v>
      </c>
      <c r="C8" t="s">
        <v>18</v>
      </c>
      <c r="D8">
        <v>4407</v>
      </c>
      <c r="E8" t="s">
        <v>91</v>
      </c>
      <c r="F8" t="s">
        <v>17</v>
      </c>
      <c r="G8">
        <v>12</v>
      </c>
    </row>
    <row r="9" spans="1:7" x14ac:dyDescent="0.35">
      <c r="A9">
        <v>119038</v>
      </c>
      <c r="B9">
        <v>1002</v>
      </c>
      <c r="C9" t="s">
        <v>21</v>
      </c>
      <c r="D9">
        <v>0</v>
      </c>
      <c r="E9" t="s">
        <v>92</v>
      </c>
      <c r="F9" t="s">
        <v>14</v>
      </c>
      <c r="G9">
        <v>7</v>
      </c>
    </row>
    <row r="10" spans="1:7" x14ac:dyDescent="0.35">
      <c r="A10">
        <v>173223</v>
      </c>
      <c r="B10">
        <v>0</v>
      </c>
      <c r="C10" t="s">
        <v>22</v>
      </c>
      <c r="D10">
        <v>1801</v>
      </c>
      <c r="E10" t="s">
        <v>89</v>
      </c>
      <c r="F10" t="s">
        <v>17</v>
      </c>
      <c r="G10">
        <v>10</v>
      </c>
    </row>
    <row r="11" spans="1:7" x14ac:dyDescent="0.35">
      <c r="A11">
        <v>157988</v>
      </c>
      <c r="B11">
        <v>28</v>
      </c>
      <c r="C11" t="s">
        <v>22</v>
      </c>
      <c r="D11">
        <v>0</v>
      </c>
      <c r="E11" t="s">
        <v>93</v>
      </c>
      <c r="F11" t="s">
        <v>17</v>
      </c>
      <c r="G11">
        <v>10</v>
      </c>
    </row>
    <row r="12" spans="1:7" x14ac:dyDescent="0.35">
      <c r="A12">
        <v>141720</v>
      </c>
      <c r="B12">
        <v>28</v>
      </c>
      <c r="C12" t="s">
        <v>24</v>
      </c>
      <c r="D12">
        <v>5401</v>
      </c>
      <c r="E12" t="s">
        <v>94</v>
      </c>
      <c r="F12" t="s">
        <v>17</v>
      </c>
      <c r="G12">
        <v>5</v>
      </c>
    </row>
    <row r="13" spans="1:7" x14ac:dyDescent="0.35">
      <c r="A13">
        <v>186272</v>
      </c>
      <c r="B13">
        <v>2</v>
      </c>
      <c r="C13" t="s">
        <v>22</v>
      </c>
      <c r="D13">
        <v>3401</v>
      </c>
      <c r="E13" t="s">
        <v>95</v>
      </c>
      <c r="F13" t="s">
        <v>17</v>
      </c>
      <c r="G13">
        <v>10</v>
      </c>
    </row>
    <row r="14" spans="1:7" x14ac:dyDescent="0.35">
      <c r="A14">
        <v>154301</v>
      </c>
      <c r="B14">
        <v>2</v>
      </c>
      <c r="C14" t="s">
        <v>22</v>
      </c>
      <c r="D14">
        <v>2801</v>
      </c>
      <c r="E14" t="s">
        <v>89</v>
      </c>
      <c r="F14" t="s">
        <v>17</v>
      </c>
      <c r="G14">
        <v>10</v>
      </c>
    </row>
    <row r="15" spans="1:7" x14ac:dyDescent="0.35">
      <c r="A15">
        <v>189722</v>
      </c>
      <c r="B15">
        <v>1</v>
      </c>
      <c r="C15" t="s">
        <v>26</v>
      </c>
      <c r="D15">
        <v>0</v>
      </c>
      <c r="F15" t="s">
        <v>14</v>
      </c>
      <c r="G15">
        <v>6</v>
      </c>
    </row>
    <row r="16" spans="1:7" x14ac:dyDescent="0.35">
      <c r="A16">
        <v>188304</v>
      </c>
      <c r="B16">
        <v>0</v>
      </c>
      <c r="C16" t="s">
        <v>28</v>
      </c>
      <c r="D16">
        <v>2405</v>
      </c>
      <c r="E16" t="s">
        <v>89</v>
      </c>
      <c r="F16" t="s">
        <v>17</v>
      </c>
      <c r="G16">
        <v>10</v>
      </c>
    </row>
    <row r="17" spans="1:7" x14ac:dyDescent="0.35">
      <c r="A17">
        <v>73699</v>
      </c>
      <c r="B17">
        <v>1</v>
      </c>
      <c r="C17" t="s">
        <v>29</v>
      </c>
      <c r="D17">
        <v>5102</v>
      </c>
      <c r="E17" t="s">
        <v>93</v>
      </c>
      <c r="G17">
        <v>15</v>
      </c>
    </row>
    <row r="18" spans="1:7" x14ac:dyDescent="0.35">
      <c r="A18">
        <v>31977</v>
      </c>
      <c r="B18">
        <v>2</v>
      </c>
      <c r="C18" t="s">
        <v>13</v>
      </c>
      <c r="D18">
        <v>2701</v>
      </c>
      <c r="E18" t="s">
        <v>94</v>
      </c>
      <c r="F18" t="s">
        <v>17</v>
      </c>
      <c r="G18">
        <v>28</v>
      </c>
    </row>
    <row r="19" spans="1:7" x14ac:dyDescent="0.35">
      <c r="A19">
        <v>44336</v>
      </c>
      <c r="B19">
        <v>0</v>
      </c>
      <c r="C19" t="s">
        <v>13</v>
      </c>
      <c r="D19">
        <v>6501</v>
      </c>
      <c r="E19" t="s">
        <v>88</v>
      </c>
      <c r="F19" t="s">
        <v>17</v>
      </c>
      <c r="G19">
        <v>15</v>
      </c>
    </row>
    <row r="20" spans="1:7" x14ac:dyDescent="0.35">
      <c r="A20">
        <v>127823</v>
      </c>
      <c r="B20">
        <v>2</v>
      </c>
      <c r="C20" t="s">
        <v>21</v>
      </c>
      <c r="D20">
        <v>2301</v>
      </c>
      <c r="E20" t="s">
        <v>96</v>
      </c>
      <c r="F20" t="s">
        <v>17</v>
      </c>
      <c r="G20">
        <v>6</v>
      </c>
    </row>
    <row r="21" spans="1:7" x14ac:dyDescent="0.35">
      <c r="A21">
        <v>150739</v>
      </c>
      <c r="B21">
        <v>2</v>
      </c>
      <c r="C21" t="s">
        <v>22</v>
      </c>
      <c r="D21">
        <v>5410</v>
      </c>
      <c r="E21" t="s">
        <v>93</v>
      </c>
      <c r="F21" t="s">
        <v>30</v>
      </c>
      <c r="G21">
        <v>12</v>
      </c>
    </row>
    <row r="22" spans="1:7" x14ac:dyDescent="0.35">
      <c r="A22">
        <v>41384</v>
      </c>
      <c r="B22">
        <v>28</v>
      </c>
      <c r="C22" t="s">
        <v>13</v>
      </c>
      <c r="D22">
        <v>5107</v>
      </c>
      <c r="E22" t="s">
        <v>97</v>
      </c>
      <c r="F22" t="s">
        <v>17</v>
      </c>
      <c r="G22">
        <v>12</v>
      </c>
    </row>
    <row r="23" spans="1:7" x14ac:dyDescent="0.35">
      <c r="A23">
        <v>114721</v>
      </c>
      <c r="B23">
        <v>0</v>
      </c>
      <c r="C23" t="s">
        <v>31</v>
      </c>
      <c r="D23">
        <v>0</v>
      </c>
      <c r="E23" t="s">
        <v>88</v>
      </c>
      <c r="G23">
        <v>15</v>
      </c>
    </row>
    <row r="24" spans="1:7" x14ac:dyDescent="0.35">
      <c r="A24">
        <v>111795</v>
      </c>
      <c r="B24">
        <v>0</v>
      </c>
      <c r="C24" t="s">
        <v>32</v>
      </c>
      <c r="D24">
        <v>0</v>
      </c>
      <c r="G24">
        <v>5</v>
      </c>
    </row>
    <row r="25" spans="1:7" x14ac:dyDescent="0.35">
      <c r="A25">
        <v>64480</v>
      </c>
      <c r="B25">
        <v>28</v>
      </c>
      <c r="C25" t="s">
        <v>33</v>
      </c>
      <c r="D25">
        <v>0</v>
      </c>
      <c r="E25" t="s">
        <v>89</v>
      </c>
      <c r="F25" t="s">
        <v>17</v>
      </c>
      <c r="G25">
        <v>10</v>
      </c>
    </row>
    <row r="26" spans="1:7" x14ac:dyDescent="0.35">
      <c r="A26">
        <v>87259</v>
      </c>
      <c r="B26">
        <v>2</v>
      </c>
      <c r="C26" t="s">
        <v>34</v>
      </c>
      <c r="D26">
        <v>4304</v>
      </c>
      <c r="E26" t="s">
        <v>92</v>
      </c>
      <c r="F26" t="s">
        <v>14</v>
      </c>
      <c r="G26">
        <v>25</v>
      </c>
    </row>
    <row r="27" spans="1:7" x14ac:dyDescent="0.35">
      <c r="A27">
        <v>115823</v>
      </c>
      <c r="B27">
        <v>0</v>
      </c>
      <c r="C27" t="s">
        <v>21</v>
      </c>
      <c r="D27">
        <v>0</v>
      </c>
      <c r="E27" t="s">
        <v>93</v>
      </c>
      <c r="F27" t="s">
        <v>14</v>
      </c>
      <c r="G27">
        <v>15</v>
      </c>
    </row>
    <row r="28" spans="1:7" x14ac:dyDescent="0.35">
      <c r="A28">
        <v>95701</v>
      </c>
      <c r="B28">
        <v>1</v>
      </c>
      <c r="C28" t="s">
        <v>16</v>
      </c>
      <c r="D28">
        <v>4406</v>
      </c>
      <c r="E28" t="s">
        <v>90</v>
      </c>
      <c r="F28" t="s">
        <v>14</v>
      </c>
      <c r="G28">
        <v>5</v>
      </c>
    </row>
    <row r="29" spans="1:7" x14ac:dyDescent="0.35">
      <c r="A29">
        <v>5172</v>
      </c>
      <c r="B29">
        <v>1</v>
      </c>
      <c r="C29" t="s">
        <v>16</v>
      </c>
      <c r="D29">
        <v>6105</v>
      </c>
      <c r="E29" t="s">
        <v>98</v>
      </c>
      <c r="F29" t="s">
        <v>14</v>
      </c>
      <c r="G29">
        <v>10</v>
      </c>
    </row>
    <row r="30" spans="1:7" x14ac:dyDescent="0.35">
      <c r="A30">
        <v>152486</v>
      </c>
      <c r="B30">
        <v>1</v>
      </c>
      <c r="C30" t="s">
        <v>22</v>
      </c>
      <c r="D30">
        <v>2401</v>
      </c>
      <c r="E30" t="s">
        <v>90</v>
      </c>
      <c r="F30" t="s">
        <v>14</v>
      </c>
      <c r="G30">
        <v>5</v>
      </c>
    </row>
    <row r="31" spans="1:7" x14ac:dyDescent="0.35">
      <c r="A31">
        <v>153880</v>
      </c>
      <c r="B31">
        <v>2</v>
      </c>
      <c r="C31" t="s">
        <v>35</v>
      </c>
      <c r="D31">
        <v>5001</v>
      </c>
      <c r="E31" t="s">
        <v>93</v>
      </c>
      <c r="F31" t="s">
        <v>17</v>
      </c>
      <c r="G31">
        <v>5</v>
      </c>
    </row>
    <row r="32" spans="1:7" x14ac:dyDescent="0.35">
      <c r="A32">
        <v>101855</v>
      </c>
      <c r="B32">
        <v>1</v>
      </c>
      <c r="C32" t="s">
        <v>36</v>
      </c>
      <c r="D32">
        <v>2401</v>
      </c>
      <c r="E32" t="s">
        <v>88</v>
      </c>
      <c r="F32" t="s">
        <v>14</v>
      </c>
      <c r="G32">
        <v>10</v>
      </c>
    </row>
    <row r="33" spans="1:7" x14ac:dyDescent="0.35">
      <c r="A33">
        <v>62932</v>
      </c>
      <c r="B33">
        <v>1</v>
      </c>
      <c r="C33" t="s">
        <v>33</v>
      </c>
      <c r="D33">
        <v>0</v>
      </c>
      <c r="E33" t="s">
        <v>97</v>
      </c>
      <c r="F33" t="s">
        <v>14</v>
      </c>
      <c r="G33">
        <v>10</v>
      </c>
    </row>
    <row r="34" spans="1:7" x14ac:dyDescent="0.35">
      <c r="A34">
        <v>125930</v>
      </c>
      <c r="B34">
        <v>0</v>
      </c>
      <c r="C34" t="s">
        <v>21</v>
      </c>
      <c r="D34">
        <v>4806</v>
      </c>
      <c r="E34" t="s">
        <v>91</v>
      </c>
      <c r="F34" t="s">
        <v>17</v>
      </c>
      <c r="G34" t="s">
        <v>99</v>
      </c>
    </row>
    <row r="35" spans="1:7" x14ac:dyDescent="0.35">
      <c r="A35">
        <v>173653</v>
      </c>
      <c r="B35">
        <v>28</v>
      </c>
      <c r="C35" t="s">
        <v>37</v>
      </c>
      <c r="D35">
        <v>2401</v>
      </c>
      <c r="E35" t="s">
        <v>88</v>
      </c>
      <c r="F35" t="s">
        <v>17</v>
      </c>
      <c r="G35">
        <v>21</v>
      </c>
    </row>
    <row r="36" spans="1:7" x14ac:dyDescent="0.35">
      <c r="A36">
        <v>11011</v>
      </c>
      <c r="B36">
        <v>1002</v>
      </c>
      <c r="C36" t="s">
        <v>13</v>
      </c>
      <c r="D36">
        <v>2601</v>
      </c>
      <c r="E36" t="s">
        <v>97</v>
      </c>
      <c r="F36" t="s">
        <v>14</v>
      </c>
      <c r="G36">
        <v>20</v>
      </c>
    </row>
    <row r="37" spans="1:7" x14ac:dyDescent="0.35">
      <c r="A37">
        <v>116894</v>
      </c>
      <c r="B37">
        <v>1</v>
      </c>
      <c r="C37" t="s">
        <v>21</v>
      </c>
      <c r="D37">
        <v>2201</v>
      </c>
      <c r="E37" t="s">
        <v>95</v>
      </c>
      <c r="F37" t="s">
        <v>14</v>
      </c>
      <c r="G37">
        <v>20</v>
      </c>
    </row>
    <row r="38" spans="1:7" x14ac:dyDescent="0.35">
      <c r="A38">
        <v>154245</v>
      </c>
      <c r="B38">
        <v>2</v>
      </c>
      <c r="C38" t="s">
        <v>22</v>
      </c>
      <c r="D38">
        <v>4304</v>
      </c>
      <c r="E38" t="s">
        <v>100</v>
      </c>
      <c r="F38" t="s">
        <v>17</v>
      </c>
      <c r="G38">
        <v>15</v>
      </c>
    </row>
    <row r="39" spans="1:7" x14ac:dyDescent="0.35">
      <c r="A39">
        <v>134773</v>
      </c>
      <c r="B39">
        <v>1</v>
      </c>
      <c r="C39" t="s">
        <v>38</v>
      </c>
      <c r="D39">
        <v>3201</v>
      </c>
      <c r="E39" t="s">
        <v>96</v>
      </c>
      <c r="F39" t="s">
        <v>14</v>
      </c>
      <c r="G39">
        <v>25</v>
      </c>
    </row>
    <row r="40" spans="1:7" x14ac:dyDescent="0.35">
      <c r="A40">
        <v>26271</v>
      </c>
      <c r="B40">
        <v>28</v>
      </c>
      <c r="C40" t="s">
        <v>39</v>
      </c>
      <c r="D40">
        <v>3701</v>
      </c>
      <c r="E40" t="s">
        <v>88</v>
      </c>
      <c r="F40" t="s">
        <v>17</v>
      </c>
      <c r="G40">
        <v>16</v>
      </c>
    </row>
    <row r="41" spans="1:7" x14ac:dyDescent="0.35">
      <c r="A41">
        <v>180292</v>
      </c>
      <c r="B41">
        <v>28</v>
      </c>
      <c r="C41" t="s">
        <v>40</v>
      </c>
      <c r="D41">
        <v>2105</v>
      </c>
      <c r="E41" t="s">
        <v>88</v>
      </c>
      <c r="F41" t="s">
        <v>17</v>
      </c>
      <c r="G41">
        <v>10</v>
      </c>
    </row>
    <row r="42" spans="1:7" x14ac:dyDescent="0.35">
      <c r="A42">
        <v>10145</v>
      </c>
      <c r="B42">
        <v>2</v>
      </c>
      <c r="C42" t="s">
        <v>22</v>
      </c>
      <c r="D42">
        <v>5401</v>
      </c>
      <c r="E42" t="s">
        <v>92</v>
      </c>
      <c r="F42" t="s">
        <v>17</v>
      </c>
      <c r="G42">
        <v>5</v>
      </c>
    </row>
    <row r="43" spans="1:7" x14ac:dyDescent="0.35">
      <c r="A43">
        <v>133806</v>
      </c>
      <c r="B43">
        <v>0</v>
      </c>
      <c r="C43" t="s">
        <v>41</v>
      </c>
      <c r="D43">
        <v>0</v>
      </c>
      <c r="E43" t="s">
        <v>89</v>
      </c>
      <c r="F43" t="s">
        <v>30</v>
      </c>
      <c r="G43">
        <v>15</v>
      </c>
    </row>
    <row r="44" spans="1:7" x14ac:dyDescent="0.35">
      <c r="A44">
        <v>112632</v>
      </c>
      <c r="B44">
        <v>2</v>
      </c>
      <c r="C44" t="s">
        <v>42</v>
      </c>
      <c r="D44">
        <v>5001</v>
      </c>
      <c r="F44" t="s">
        <v>14</v>
      </c>
      <c r="G44">
        <v>11</v>
      </c>
    </row>
    <row r="45" spans="1:7" x14ac:dyDescent="0.35">
      <c r="A45">
        <v>143253</v>
      </c>
      <c r="B45">
        <v>0</v>
      </c>
      <c r="C45" t="s">
        <v>22</v>
      </c>
      <c r="D45">
        <v>2101</v>
      </c>
      <c r="E45" t="s">
        <v>101</v>
      </c>
      <c r="F45" t="s">
        <v>17</v>
      </c>
      <c r="G45">
        <v>5</v>
      </c>
    </row>
    <row r="46" spans="1:7" x14ac:dyDescent="0.35">
      <c r="A46">
        <v>403</v>
      </c>
      <c r="B46">
        <v>0</v>
      </c>
      <c r="C46" t="s">
        <v>43</v>
      </c>
      <c r="D46">
        <v>3901</v>
      </c>
      <c r="F46" t="s">
        <v>44</v>
      </c>
      <c r="G46">
        <v>35</v>
      </c>
    </row>
    <row r="47" spans="1:7" x14ac:dyDescent="0.35">
      <c r="A47">
        <v>189882</v>
      </c>
      <c r="B47">
        <v>0</v>
      </c>
      <c r="C47" t="s">
        <v>45</v>
      </c>
      <c r="D47">
        <v>4201</v>
      </c>
      <c r="E47" t="s">
        <v>88</v>
      </c>
      <c r="F47" t="s">
        <v>17</v>
      </c>
      <c r="G47">
        <v>10</v>
      </c>
    </row>
    <row r="48" spans="1:7" x14ac:dyDescent="0.35">
      <c r="A48">
        <v>119570</v>
      </c>
      <c r="B48">
        <v>1</v>
      </c>
      <c r="C48" t="s">
        <v>21</v>
      </c>
      <c r="D48">
        <v>5201</v>
      </c>
      <c r="E48" t="s">
        <v>93</v>
      </c>
      <c r="F48" t="s">
        <v>14</v>
      </c>
      <c r="G48">
        <v>10</v>
      </c>
    </row>
    <row r="49" spans="1:7" x14ac:dyDescent="0.35">
      <c r="A49">
        <v>144021</v>
      </c>
      <c r="B49">
        <v>0</v>
      </c>
      <c r="C49" t="s">
        <v>22</v>
      </c>
      <c r="D49">
        <v>4903</v>
      </c>
      <c r="E49" t="s">
        <v>102</v>
      </c>
      <c r="F49" t="s">
        <v>17</v>
      </c>
      <c r="G49">
        <v>15</v>
      </c>
    </row>
    <row r="50" spans="1:7" x14ac:dyDescent="0.35">
      <c r="A50">
        <v>93356</v>
      </c>
      <c r="B50">
        <v>0</v>
      </c>
      <c r="C50" t="s">
        <v>16</v>
      </c>
      <c r="D50">
        <v>3705</v>
      </c>
      <c r="E50" t="s">
        <v>103</v>
      </c>
      <c r="F50" t="s">
        <v>17</v>
      </c>
      <c r="G50">
        <v>25</v>
      </c>
    </row>
    <row r="51" spans="1:7" x14ac:dyDescent="0.35">
      <c r="A51">
        <v>24711</v>
      </c>
      <c r="B51">
        <v>0</v>
      </c>
      <c r="C51" t="s">
        <v>46</v>
      </c>
      <c r="D51">
        <v>0</v>
      </c>
      <c r="E51" t="s">
        <v>89</v>
      </c>
      <c r="F51" t="s">
        <v>17</v>
      </c>
      <c r="G51">
        <v>10</v>
      </c>
    </row>
    <row r="52" spans="1:7" x14ac:dyDescent="0.35">
      <c r="A52">
        <v>74914</v>
      </c>
      <c r="B52">
        <v>0</v>
      </c>
      <c r="C52" t="s">
        <v>47</v>
      </c>
      <c r="D52">
        <v>1501</v>
      </c>
      <c r="E52" t="s">
        <v>89</v>
      </c>
      <c r="F52" t="s">
        <v>17</v>
      </c>
      <c r="G52">
        <v>6</v>
      </c>
    </row>
    <row r="53" spans="1:7" x14ac:dyDescent="0.35">
      <c r="A53">
        <v>6909</v>
      </c>
      <c r="B53">
        <v>1</v>
      </c>
      <c r="C53" t="s">
        <v>48</v>
      </c>
      <c r="D53">
        <v>2801</v>
      </c>
      <c r="E53" t="s">
        <v>98</v>
      </c>
      <c r="F53" t="s">
        <v>14</v>
      </c>
      <c r="G53">
        <v>15</v>
      </c>
    </row>
    <row r="54" spans="1:7" x14ac:dyDescent="0.35">
      <c r="A54">
        <v>124543</v>
      </c>
      <c r="B54">
        <v>1002</v>
      </c>
      <c r="C54" t="s">
        <v>21</v>
      </c>
      <c r="D54">
        <v>5811</v>
      </c>
      <c r="E54" t="s">
        <v>94</v>
      </c>
      <c r="F54" t="s">
        <v>14</v>
      </c>
      <c r="G54">
        <v>18</v>
      </c>
    </row>
    <row r="55" spans="1:7" x14ac:dyDescent="0.35">
      <c r="A55">
        <v>163018</v>
      </c>
      <c r="B55">
        <v>1</v>
      </c>
      <c r="C55" t="s">
        <v>22</v>
      </c>
      <c r="D55">
        <v>0</v>
      </c>
      <c r="E55" t="s">
        <v>95</v>
      </c>
      <c r="F55" t="s">
        <v>14</v>
      </c>
      <c r="G55">
        <v>24</v>
      </c>
    </row>
    <row r="56" spans="1:7" x14ac:dyDescent="0.35">
      <c r="A56">
        <v>190671</v>
      </c>
      <c r="B56">
        <v>0</v>
      </c>
      <c r="C56" t="s">
        <v>22</v>
      </c>
      <c r="D56">
        <v>1901</v>
      </c>
      <c r="G56">
        <v>14</v>
      </c>
    </row>
    <row r="57" spans="1:7" x14ac:dyDescent="0.35">
      <c r="A57">
        <v>33356</v>
      </c>
      <c r="B57">
        <v>0</v>
      </c>
      <c r="C57" t="s">
        <v>13</v>
      </c>
      <c r="D57">
        <v>1401</v>
      </c>
      <c r="E57" t="s">
        <v>93</v>
      </c>
      <c r="F57" t="s">
        <v>17</v>
      </c>
      <c r="G57">
        <v>20</v>
      </c>
    </row>
    <row r="58" spans="1:7" x14ac:dyDescent="0.35">
      <c r="A58">
        <v>151600</v>
      </c>
      <c r="B58">
        <v>1</v>
      </c>
      <c r="C58" t="s">
        <v>22</v>
      </c>
      <c r="D58">
        <v>6601</v>
      </c>
      <c r="E58" t="s">
        <v>90</v>
      </c>
      <c r="F58" t="s">
        <v>14</v>
      </c>
      <c r="G58">
        <v>21</v>
      </c>
    </row>
    <row r="59" spans="1:7" x14ac:dyDescent="0.35">
      <c r="A59">
        <v>21259</v>
      </c>
      <c r="B59">
        <v>0</v>
      </c>
      <c r="C59" t="s">
        <v>18</v>
      </c>
      <c r="D59">
        <v>4001</v>
      </c>
      <c r="E59" t="s">
        <v>88</v>
      </c>
      <c r="F59" t="s">
        <v>17</v>
      </c>
      <c r="G59">
        <v>15</v>
      </c>
    </row>
    <row r="60" spans="1:7" x14ac:dyDescent="0.35">
      <c r="A60">
        <v>128987</v>
      </c>
      <c r="B60">
        <v>28</v>
      </c>
      <c r="C60" t="s">
        <v>21</v>
      </c>
      <c r="D60">
        <v>3912</v>
      </c>
      <c r="E60" t="s">
        <v>95</v>
      </c>
      <c r="F60" t="s">
        <v>17</v>
      </c>
      <c r="G60">
        <v>41</v>
      </c>
    </row>
    <row r="61" spans="1:7" x14ac:dyDescent="0.35">
      <c r="A61">
        <v>108926</v>
      </c>
      <c r="B61">
        <v>1</v>
      </c>
      <c r="C61" t="s">
        <v>49</v>
      </c>
      <c r="D61">
        <v>2601</v>
      </c>
      <c r="E61" t="s">
        <v>89</v>
      </c>
      <c r="F61" t="s">
        <v>14</v>
      </c>
      <c r="G61">
        <v>20</v>
      </c>
    </row>
    <row r="62" spans="1:7" x14ac:dyDescent="0.35">
      <c r="A62">
        <v>154709</v>
      </c>
      <c r="B62">
        <v>0</v>
      </c>
      <c r="C62" t="s">
        <v>22</v>
      </c>
      <c r="D62">
        <v>0</v>
      </c>
      <c r="E62" t="s">
        <v>90</v>
      </c>
      <c r="F62" t="s">
        <v>17</v>
      </c>
      <c r="G62">
        <v>5</v>
      </c>
    </row>
    <row r="63" spans="1:7" x14ac:dyDescent="0.35">
      <c r="A63">
        <v>108050</v>
      </c>
      <c r="B63">
        <v>0</v>
      </c>
      <c r="C63" t="s">
        <v>49</v>
      </c>
      <c r="D63">
        <v>1401</v>
      </c>
      <c r="E63" t="s">
        <v>94</v>
      </c>
      <c r="F63" t="s">
        <v>17</v>
      </c>
      <c r="G63">
        <v>16</v>
      </c>
    </row>
    <row r="64" spans="1:7" x14ac:dyDescent="0.35">
      <c r="A64">
        <v>187274</v>
      </c>
      <c r="B64">
        <v>0</v>
      </c>
      <c r="C64" t="s">
        <v>47</v>
      </c>
      <c r="D64">
        <v>0</v>
      </c>
      <c r="E64" t="s">
        <v>91</v>
      </c>
      <c r="F64" t="s">
        <v>17</v>
      </c>
      <c r="G64">
        <v>15</v>
      </c>
    </row>
    <row r="65" spans="1:7" x14ac:dyDescent="0.35">
      <c r="A65">
        <v>171655</v>
      </c>
      <c r="B65">
        <v>0</v>
      </c>
      <c r="C65" t="s">
        <v>22</v>
      </c>
      <c r="D65">
        <v>0</v>
      </c>
      <c r="E65" t="s">
        <v>97</v>
      </c>
      <c r="F65" t="s">
        <v>17</v>
      </c>
      <c r="G65">
        <v>12</v>
      </c>
    </row>
    <row r="66" spans="1:7" x14ac:dyDescent="0.35">
      <c r="A66">
        <v>160488</v>
      </c>
      <c r="B66">
        <v>0</v>
      </c>
      <c r="C66" t="s">
        <v>50</v>
      </c>
      <c r="D66">
        <v>0</v>
      </c>
      <c r="E66" t="s">
        <v>88</v>
      </c>
      <c r="F66" t="s">
        <v>14</v>
      </c>
      <c r="G66">
        <v>10</v>
      </c>
    </row>
    <row r="67" spans="1:7" x14ac:dyDescent="0.35">
      <c r="A67">
        <v>21305</v>
      </c>
      <c r="B67">
        <v>1</v>
      </c>
      <c r="C67" t="s">
        <v>18</v>
      </c>
      <c r="D67">
        <v>5601</v>
      </c>
      <c r="E67" t="s">
        <v>91</v>
      </c>
      <c r="F67" t="s">
        <v>14</v>
      </c>
      <c r="G67">
        <v>10</v>
      </c>
    </row>
    <row r="68" spans="1:7" x14ac:dyDescent="0.35">
      <c r="A68">
        <v>98470</v>
      </c>
      <c r="B68">
        <v>2</v>
      </c>
      <c r="C68" t="s">
        <v>16</v>
      </c>
      <c r="D68">
        <v>1108</v>
      </c>
      <c r="E68" t="s">
        <v>89</v>
      </c>
      <c r="F68" t="s">
        <v>17</v>
      </c>
      <c r="G68">
        <v>14</v>
      </c>
    </row>
    <row r="69" spans="1:7" x14ac:dyDescent="0.35">
      <c r="A69">
        <v>140586</v>
      </c>
      <c r="B69">
        <v>1</v>
      </c>
      <c r="C69" t="s">
        <v>21</v>
      </c>
      <c r="D69">
        <v>0</v>
      </c>
      <c r="E69" t="s">
        <v>94</v>
      </c>
      <c r="F69" t="s">
        <v>14</v>
      </c>
      <c r="G69">
        <v>20</v>
      </c>
    </row>
    <row r="70" spans="1:7" x14ac:dyDescent="0.35">
      <c r="A70">
        <v>158101</v>
      </c>
      <c r="B70">
        <v>1</v>
      </c>
      <c r="C70" t="s">
        <v>22</v>
      </c>
      <c r="D70">
        <v>1701</v>
      </c>
      <c r="E70" t="s">
        <v>93</v>
      </c>
      <c r="F70" t="s">
        <v>14</v>
      </c>
      <c r="G70">
        <v>15</v>
      </c>
    </row>
    <row r="71" spans="1:7" x14ac:dyDescent="0.35">
      <c r="A71">
        <v>150043</v>
      </c>
      <c r="B71">
        <v>1002</v>
      </c>
      <c r="C71" t="s">
        <v>22</v>
      </c>
      <c r="D71">
        <v>3201</v>
      </c>
      <c r="E71" t="s">
        <v>93</v>
      </c>
      <c r="F71" t="s">
        <v>14</v>
      </c>
      <c r="G71">
        <v>20</v>
      </c>
    </row>
    <row r="72" spans="1:7" x14ac:dyDescent="0.35">
      <c r="A72">
        <v>96251</v>
      </c>
      <c r="B72">
        <v>0</v>
      </c>
      <c r="C72" t="s">
        <v>16</v>
      </c>
      <c r="D72">
        <v>4401</v>
      </c>
      <c r="E72" t="s">
        <v>104</v>
      </c>
      <c r="F72" t="s">
        <v>17</v>
      </c>
      <c r="G72">
        <v>10</v>
      </c>
    </row>
    <row r="73" spans="1:7" x14ac:dyDescent="0.35">
      <c r="A73">
        <v>188547</v>
      </c>
      <c r="B73">
        <v>1</v>
      </c>
      <c r="C73" t="s">
        <v>22</v>
      </c>
      <c r="D73">
        <v>0</v>
      </c>
      <c r="E73" t="s">
        <v>102</v>
      </c>
      <c r="F73" t="s">
        <v>14</v>
      </c>
      <c r="G73">
        <v>25</v>
      </c>
    </row>
    <row r="74" spans="1:7" x14ac:dyDescent="0.35">
      <c r="A74">
        <v>180617</v>
      </c>
      <c r="B74">
        <v>1002</v>
      </c>
      <c r="C74" t="s">
        <v>40</v>
      </c>
      <c r="D74">
        <v>2101</v>
      </c>
      <c r="E74" t="s">
        <v>88</v>
      </c>
      <c r="F74" t="s">
        <v>14</v>
      </c>
      <c r="G74">
        <v>11</v>
      </c>
    </row>
    <row r="75" spans="1:7" x14ac:dyDescent="0.35">
      <c r="A75">
        <v>86000</v>
      </c>
      <c r="B75">
        <v>0</v>
      </c>
      <c r="C75" t="s">
        <v>52</v>
      </c>
      <c r="D75">
        <v>1201</v>
      </c>
      <c r="E75" t="s">
        <v>88</v>
      </c>
      <c r="F75" t="s">
        <v>17</v>
      </c>
      <c r="G75">
        <v>10</v>
      </c>
    </row>
    <row r="76" spans="1:7" x14ac:dyDescent="0.35">
      <c r="A76">
        <v>13265</v>
      </c>
      <c r="B76">
        <v>28</v>
      </c>
      <c r="C76" t="s">
        <v>43</v>
      </c>
      <c r="D76">
        <v>1901</v>
      </c>
      <c r="E76" t="s">
        <v>96</v>
      </c>
      <c r="F76" t="s">
        <v>17</v>
      </c>
      <c r="G76">
        <v>11</v>
      </c>
    </row>
    <row r="77" spans="1:7" x14ac:dyDescent="0.35">
      <c r="A77">
        <v>71</v>
      </c>
      <c r="B77">
        <v>0</v>
      </c>
      <c r="C77" t="s">
        <v>53</v>
      </c>
      <c r="D77">
        <v>3401</v>
      </c>
      <c r="E77" t="s">
        <v>91</v>
      </c>
      <c r="F77" t="s">
        <v>17</v>
      </c>
      <c r="G77">
        <v>16</v>
      </c>
    </row>
    <row r="78" spans="1:7" x14ac:dyDescent="0.35">
      <c r="A78">
        <v>148969</v>
      </c>
      <c r="B78">
        <v>0</v>
      </c>
      <c r="C78" t="s">
        <v>22</v>
      </c>
      <c r="D78">
        <v>0</v>
      </c>
      <c r="E78" t="s">
        <v>92</v>
      </c>
      <c r="F78" t="s">
        <v>17</v>
      </c>
      <c r="G78">
        <v>10</v>
      </c>
    </row>
    <row r="79" spans="1:7" x14ac:dyDescent="0.35">
      <c r="A79">
        <v>156324</v>
      </c>
      <c r="B79">
        <v>0</v>
      </c>
      <c r="C79" t="s">
        <v>22</v>
      </c>
      <c r="D79">
        <v>0</v>
      </c>
      <c r="E79" t="s">
        <v>93</v>
      </c>
      <c r="G79">
        <v>15</v>
      </c>
    </row>
    <row r="80" spans="1:7" x14ac:dyDescent="0.35">
      <c r="A80">
        <v>130976</v>
      </c>
      <c r="B80">
        <v>2</v>
      </c>
      <c r="C80" t="s">
        <v>48</v>
      </c>
      <c r="D80">
        <v>1412</v>
      </c>
      <c r="E80" t="s">
        <v>88</v>
      </c>
      <c r="F80" t="s">
        <v>17</v>
      </c>
      <c r="G80">
        <v>7</v>
      </c>
    </row>
    <row r="81" spans="1:7" x14ac:dyDescent="0.35">
      <c r="A81">
        <v>140141</v>
      </c>
      <c r="B81">
        <v>0</v>
      </c>
      <c r="C81" t="s">
        <v>54</v>
      </c>
      <c r="D81">
        <v>4401</v>
      </c>
      <c r="E81" t="s">
        <v>91</v>
      </c>
      <c r="F81" t="s">
        <v>17</v>
      </c>
      <c r="G81">
        <v>14</v>
      </c>
    </row>
    <row r="82" spans="1:7" x14ac:dyDescent="0.35">
      <c r="A82">
        <v>85416</v>
      </c>
      <c r="B82">
        <v>0</v>
      </c>
      <c r="C82" t="s">
        <v>22</v>
      </c>
      <c r="D82">
        <v>0</v>
      </c>
      <c r="E82" t="s">
        <v>88</v>
      </c>
      <c r="F82" t="s">
        <v>17</v>
      </c>
      <c r="G82">
        <v>25</v>
      </c>
    </row>
    <row r="83" spans="1:7" x14ac:dyDescent="0.35">
      <c r="A83">
        <v>108150</v>
      </c>
      <c r="B83">
        <v>2</v>
      </c>
      <c r="C83" t="s">
        <v>49</v>
      </c>
      <c r="D83">
        <v>6312</v>
      </c>
      <c r="E83" t="s">
        <v>93</v>
      </c>
      <c r="F83" t="s">
        <v>17</v>
      </c>
      <c r="G83">
        <v>20</v>
      </c>
    </row>
    <row r="84" spans="1:7" x14ac:dyDescent="0.35">
      <c r="A84">
        <v>129823</v>
      </c>
      <c r="B84">
        <v>1002</v>
      </c>
      <c r="C84" t="s">
        <v>48</v>
      </c>
      <c r="D84">
        <v>5601</v>
      </c>
      <c r="E84" t="s">
        <v>93</v>
      </c>
      <c r="F84" t="s">
        <v>14</v>
      </c>
      <c r="G84">
        <v>10</v>
      </c>
    </row>
    <row r="85" spans="1:7" x14ac:dyDescent="0.35">
      <c r="A85">
        <v>104413</v>
      </c>
      <c r="B85">
        <v>1</v>
      </c>
      <c r="C85" t="s">
        <v>55</v>
      </c>
      <c r="D85">
        <v>4201</v>
      </c>
      <c r="E85" t="s">
        <v>91</v>
      </c>
      <c r="F85" t="s">
        <v>14</v>
      </c>
      <c r="G85">
        <v>6</v>
      </c>
    </row>
    <row r="86" spans="1:7" x14ac:dyDescent="0.35">
      <c r="A86">
        <v>60512</v>
      </c>
      <c r="B86">
        <v>2</v>
      </c>
      <c r="C86" t="s">
        <v>16</v>
      </c>
      <c r="D86">
        <v>2801</v>
      </c>
      <c r="E86" t="s">
        <v>90</v>
      </c>
      <c r="G86">
        <v>25</v>
      </c>
    </row>
    <row r="87" spans="1:7" x14ac:dyDescent="0.35">
      <c r="A87">
        <v>90480</v>
      </c>
      <c r="B87">
        <v>0</v>
      </c>
      <c r="C87" t="s">
        <v>16</v>
      </c>
      <c r="D87">
        <v>4201</v>
      </c>
      <c r="E87" t="s">
        <v>92</v>
      </c>
      <c r="F87" t="s">
        <v>17</v>
      </c>
      <c r="G87">
        <v>11</v>
      </c>
    </row>
    <row r="88" spans="1:7" x14ac:dyDescent="0.35">
      <c r="A88">
        <v>148911</v>
      </c>
      <c r="B88">
        <v>28</v>
      </c>
      <c r="C88" t="s">
        <v>22</v>
      </c>
      <c r="D88">
        <v>7201</v>
      </c>
      <c r="E88" t="s">
        <v>88</v>
      </c>
      <c r="F88" t="s">
        <v>17</v>
      </c>
      <c r="G88">
        <v>10</v>
      </c>
    </row>
    <row r="89" spans="1:7" x14ac:dyDescent="0.35">
      <c r="A89">
        <v>52990</v>
      </c>
      <c r="B89">
        <v>1002</v>
      </c>
      <c r="C89" t="s">
        <v>53</v>
      </c>
      <c r="D89">
        <v>3801</v>
      </c>
      <c r="E89" t="s">
        <v>89</v>
      </c>
      <c r="F89" t="s">
        <v>14</v>
      </c>
      <c r="G89">
        <v>26</v>
      </c>
    </row>
    <row r="90" spans="1:7" x14ac:dyDescent="0.35">
      <c r="A90">
        <v>148022</v>
      </c>
      <c r="B90">
        <v>0</v>
      </c>
      <c r="C90" t="s">
        <v>22</v>
      </c>
      <c r="D90">
        <v>4608</v>
      </c>
      <c r="E90" t="s">
        <v>103</v>
      </c>
      <c r="F90" t="s">
        <v>17</v>
      </c>
      <c r="G90">
        <v>10</v>
      </c>
    </row>
    <row r="91" spans="1:7" x14ac:dyDescent="0.35">
      <c r="A91">
        <v>147406</v>
      </c>
      <c r="B91">
        <v>1002</v>
      </c>
      <c r="C91" t="s">
        <v>22</v>
      </c>
      <c r="D91">
        <v>2801</v>
      </c>
      <c r="E91" t="s">
        <v>95</v>
      </c>
      <c r="F91" t="s">
        <v>14</v>
      </c>
      <c r="G91">
        <v>38</v>
      </c>
    </row>
    <row r="92" spans="1:7" x14ac:dyDescent="0.35">
      <c r="A92">
        <v>103468</v>
      </c>
      <c r="B92">
        <v>0</v>
      </c>
      <c r="C92" t="s">
        <v>36</v>
      </c>
      <c r="D92">
        <v>4103</v>
      </c>
      <c r="E92" t="s">
        <v>89</v>
      </c>
      <c r="F92" t="s">
        <v>17</v>
      </c>
      <c r="G92">
        <v>15</v>
      </c>
    </row>
    <row r="93" spans="1:7" x14ac:dyDescent="0.35">
      <c r="A93">
        <v>84100</v>
      </c>
      <c r="B93">
        <v>72</v>
      </c>
      <c r="C93" t="s">
        <v>56</v>
      </c>
      <c r="D93">
        <v>3201</v>
      </c>
      <c r="E93" t="s">
        <v>93</v>
      </c>
      <c r="F93" t="s">
        <v>14</v>
      </c>
      <c r="G93">
        <v>14</v>
      </c>
    </row>
    <row r="94" spans="1:7" x14ac:dyDescent="0.35">
      <c r="A94">
        <v>137548</v>
      </c>
      <c r="B94">
        <v>0</v>
      </c>
      <c r="C94" t="s">
        <v>55</v>
      </c>
      <c r="D94">
        <v>2009</v>
      </c>
      <c r="E94" t="s">
        <v>92</v>
      </c>
      <c r="F94" t="s">
        <v>14</v>
      </c>
      <c r="G94">
        <v>9</v>
      </c>
    </row>
    <row r="95" spans="1:7" x14ac:dyDescent="0.35">
      <c r="A95">
        <v>6932</v>
      </c>
      <c r="B95">
        <v>1</v>
      </c>
      <c r="C95" t="s">
        <v>36</v>
      </c>
      <c r="D95">
        <v>1708</v>
      </c>
      <c r="E95" t="s">
        <v>93</v>
      </c>
      <c r="F95" t="s">
        <v>14</v>
      </c>
      <c r="G95">
        <v>10</v>
      </c>
    </row>
    <row r="96" spans="1:7" x14ac:dyDescent="0.35">
      <c r="A96">
        <v>37118</v>
      </c>
      <c r="B96">
        <v>0</v>
      </c>
      <c r="C96" t="s">
        <v>13</v>
      </c>
      <c r="D96">
        <v>2607</v>
      </c>
      <c r="E96" t="s">
        <v>90</v>
      </c>
      <c r="G96">
        <v>15</v>
      </c>
    </row>
    <row r="97" spans="1:7" x14ac:dyDescent="0.35">
      <c r="A97">
        <v>109179</v>
      </c>
      <c r="B97">
        <v>0</v>
      </c>
      <c r="C97" t="s">
        <v>49</v>
      </c>
      <c r="D97">
        <v>4201</v>
      </c>
      <c r="E97" t="s">
        <v>91</v>
      </c>
      <c r="F97" t="s">
        <v>14</v>
      </c>
      <c r="G97">
        <v>14</v>
      </c>
    </row>
    <row r="98" spans="1:7" x14ac:dyDescent="0.35">
      <c r="A98">
        <v>140642</v>
      </c>
      <c r="B98">
        <v>2</v>
      </c>
      <c r="C98" t="s">
        <v>54</v>
      </c>
      <c r="D98">
        <v>2710</v>
      </c>
      <c r="E98" t="s">
        <v>89</v>
      </c>
      <c r="F98" t="s">
        <v>17</v>
      </c>
      <c r="G98">
        <v>5</v>
      </c>
    </row>
    <row r="99" spans="1:7" x14ac:dyDescent="0.35">
      <c r="A99">
        <v>77057</v>
      </c>
      <c r="B99">
        <v>0</v>
      </c>
      <c r="C99" t="s">
        <v>47</v>
      </c>
      <c r="D99">
        <v>3601</v>
      </c>
      <c r="E99" t="s">
        <v>90</v>
      </c>
      <c r="F99" t="s">
        <v>17</v>
      </c>
      <c r="G99">
        <v>15</v>
      </c>
    </row>
    <row r="100" spans="1:7" x14ac:dyDescent="0.35">
      <c r="A100">
        <v>83131</v>
      </c>
      <c r="B100">
        <v>1</v>
      </c>
      <c r="C100" t="s">
        <v>56</v>
      </c>
      <c r="D100">
        <v>0</v>
      </c>
      <c r="E100" t="s">
        <v>91</v>
      </c>
      <c r="F100" t="s">
        <v>14</v>
      </c>
      <c r="G100">
        <v>20</v>
      </c>
    </row>
    <row r="101" spans="1:7" x14ac:dyDescent="0.35">
      <c r="A101">
        <v>168078</v>
      </c>
      <c r="B101">
        <v>1</v>
      </c>
      <c r="C101" t="s">
        <v>22</v>
      </c>
      <c r="D101">
        <v>3501</v>
      </c>
      <c r="E101" t="s">
        <v>93</v>
      </c>
      <c r="F101" t="s">
        <v>14</v>
      </c>
      <c r="G101">
        <v>19</v>
      </c>
    </row>
    <row r="102" spans="1:7" x14ac:dyDescent="0.35">
      <c r="A102">
        <v>32975</v>
      </c>
      <c r="B102">
        <v>1</v>
      </c>
      <c r="C102" t="s">
        <v>46</v>
      </c>
      <c r="D102">
        <v>5908</v>
      </c>
      <c r="E102" t="s">
        <v>90</v>
      </c>
      <c r="F102" t="s">
        <v>14</v>
      </c>
      <c r="G102">
        <v>25</v>
      </c>
    </row>
    <row r="103" spans="1:7" x14ac:dyDescent="0.35">
      <c r="A103">
        <v>37472</v>
      </c>
      <c r="B103">
        <v>1</v>
      </c>
      <c r="C103" t="s">
        <v>13</v>
      </c>
      <c r="D103">
        <v>0</v>
      </c>
      <c r="E103" t="s">
        <v>96</v>
      </c>
      <c r="F103" t="s">
        <v>14</v>
      </c>
      <c r="G103">
        <v>20</v>
      </c>
    </row>
    <row r="104" spans="1:7" x14ac:dyDescent="0.35">
      <c r="A104">
        <v>63113</v>
      </c>
      <c r="B104">
        <v>0</v>
      </c>
      <c r="C104" t="s">
        <v>33</v>
      </c>
      <c r="D104">
        <v>2805</v>
      </c>
      <c r="E104" t="s">
        <v>89</v>
      </c>
      <c r="F104" t="s">
        <v>14</v>
      </c>
      <c r="G104">
        <v>5</v>
      </c>
    </row>
    <row r="105" spans="1:7" x14ac:dyDescent="0.35">
      <c r="A105">
        <v>57039</v>
      </c>
      <c r="B105">
        <v>0</v>
      </c>
      <c r="C105" t="s">
        <v>57</v>
      </c>
      <c r="D105">
        <v>2911</v>
      </c>
      <c r="E105" t="s">
        <v>98</v>
      </c>
      <c r="F105" t="s">
        <v>17</v>
      </c>
      <c r="G105">
        <v>5</v>
      </c>
    </row>
    <row r="106" spans="1:7" x14ac:dyDescent="0.35">
      <c r="A106">
        <v>58786</v>
      </c>
      <c r="B106">
        <v>0</v>
      </c>
      <c r="C106" t="s">
        <v>57</v>
      </c>
      <c r="D106">
        <v>2701</v>
      </c>
      <c r="E106" t="s">
        <v>91</v>
      </c>
      <c r="F106" t="s">
        <v>17</v>
      </c>
      <c r="G106">
        <v>20</v>
      </c>
    </row>
    <row r="107" spans="1:7" x14ac:dyDescent="0.35">
      <c r="A107">
        <v>164306</v>
      </c>
      <c r="B107">
        <v>0</v>
      </c>
      <c r="C107" t="s">
        <v>22</v>
      </c>
      <c r="D107">
        <v>0</v>
      </c>
      <c r="E107" t="s">
        <v>90</v>
      </c>
      <c r="F107" t="s">
        <v>17</v>
      </c>
      <c r="G107">
        <v>30</v>
      </c>
    </row>
    <row r="108" spans="1:7" x14ac:dyDescent="0.35">
      <c r="A108">
        <v>113129</v>
      </c>
      <c r="B108">
        <v>0</v>
      </c>
      <c r="C108" t="s">
        <v>31</v>
      </c>
      <c r="D108">
        <v>1501</v>
      </c>
      <c r="E108" t="s">
        <v>93</v>
      </c>
      <c r="F108" t="s">
        <v>17</v>
      </c>
      <c r="G108">
        <v>20</v>
      </c>
    </row>
    <row r="109" spans="1:7" x14ac:dyDescent="0.35">
      <c r="A109">
        <v>19094</v>
      </c>
      <c r="B109">
        <v>28</v>
      </c>
      <c r="C109" t="s">
        <v>42</v>
      </c>
      <c r="D109">
        <v>0</v>
      </c>
      <c r="E109" t="s">
        <v>94</v>
      </c>
      <c r="F109" t="s">
        <v>17</v>
      </c>
      <c r="G109">
        <v>40</v>
      </c>
    </row>
    <row r="110" spans="1:7" x14ac:dyDescent="0.35">
      <c r="A110">
        <v>102224</v>
      </c>
      <c r="B110">
        <v>1002</v>
      </c>
      <c r="C110" t="s">
        <v>58</v>
      </c>
      <c r="D110">
        <v>0</v>
      </c>
      <c r="E110" t="s">
        <v>93</v>
      </c>
      <c r="F110" t="s">
        <v>44</v>
      </c>
      <c r="G110">
        <v>6</v>
      </c>
    </row>
    <row r="111" spans="1:7" x14ac:dyDescent="0.35">
      <c r="A111">
        <v>155375</v>
      </c>
      <c r="B111">
        <v>2</v>
      </c>
      <c r="C111" t="s">
        <v>22</v>
      </c>
      <c r="D111">
        <v>2201</v>
      </c>
      <c r="E111" t="s">
        <v>90</v>
      </c>
      <c r="F111" t="s">
        <v>17</v>
      </c>
      <c r="G111">
        <v>6</v>
      </c>
    </row>
    <row r="112" spans="1:7" x14ac:dyDescent="0.35">
      <c r="A112">
        <v>185030</v>
      </c>
      <c r="B112">
        <v>0</v>
      </c>
      <c r="C112" t="s">
        <v>13</v>
      </c>
      <c r="D112">
        <v>1704</v>
      </c>
      <c r="E112" t="s">
        <v>95</v>
      </c>
      <c r="F112" t="s">
        <v>14</v>
      </c>
      <c r="G112">
        <v>10</v>
      </c>
    </row>
    <row r="113" spans="1:7" x14ac:dyDescent="0.35">
      <c r="A113">
        <v>149887</v>
      </c>
      <c r="B113">
        <v>1</v>
      </c>
      <c r="C113" t="s">
        <v>22</v>
      </c>
      <c r="D113">
        <v>0</v>
      </c>
      <c r="E113" t="s">
        <v>96</v>
      </c>
      <c r="F113" t="s">
        <v>14</v>
      </c>
      <c r="G113">
        <v>15</v>
      </c>
    </row>
    <row r="114" spans="1:7" x14ac:dyDescent="0.35">
      <c r="A114">
        <v>117216</v>
      </c>
      <c r="B114">
        <v>2</v>
      </c>
      <c r="C114" t="s">
        <v>21</v>
      </c>
      <c r="D114">
        <v>6201</v>
      </c>
      <c r="E114" t="s">
        <v>90</v>
      </c>
      <c r="F114" t="s">
        <v>17</v>
      </c>
      <c r="G114">
        <v>30</v>
      </c>
    </row>
    <row r="115" spans="1:7" x14ac:dyDescent="0.35">
      <c r="A115">
        <v>167892</v>
      </c>
      <c r="B115">
        <v>0</v>
      </c>
      <c r="C115" t="s">
        <v>22</v>
      </c>
      <c r="D115">
        <v>0</v>
      </c>
      <c r="E115" t="s">
        <v>95</v>
      </c>
      <c r="F115" t="s">
        <v>17</v>
      </c>
      <c r="G115">
        <v>10</v>
      </c>
    </row>
    <row r="116" spans="1:7" x14ac:dyDescent="0.35">
      <c r="A116">
        <v>107618</v>
      </c>
      <c r="B116">
        <v>0</v>
      </c>
      <c r="C116" t="s">
        <v>59</v>
      </c>
      <c r="D116">
        <v>1801</v>
      </c>
      <c r="E116" t="s">
        <v>98</v>
      </c>
      <c r="F116" t="s">
        <v>17</v>
      </c>
      <c r="G116">
        <v>2</v>
      </c>
    </row>
    <row r="117" spans="1:7" x14ac:dyDescent="0.35">
      <c r="A117">
        <v>72410</v>
      </c>
      <c r="B117">
        <v>0</v>
      </c>
      <c r="C117" t="s">
        <v>29</v>
      </c>
      <c r="D117">
        <v>0</v>
      </c>
      <c r="E117" t="s">
        <v>89</v>
      </c>
      <c r="F117" t="s">
        <v>14</v>
      </c>
      <c r="G117">
        <v>20</v>
      </c>
    </row>
    <row r="118" spans="1:7" x14ac:dyDescent="0.35">
      <c r="A118">
        <v>112319</v>
      </c>
      <c r="B118">
        <v>2</v>
      </c>
      <c r="C118" t="s">
        <v>32</v>
      </c>
      <c r="D118">
        <v>3201</v>
      </c>
      <c r="E118" t="s">
        <v>92</v>
      </c>
      <c r="F118" t="s">
        <v>17</v>
      </c>
      <c r="G118">
        <v>30</v>
      </c>
    </row>
    <row r="119" spans="1:7" x14ac:dyDescent="0.35">
      <c r="A119">
        <v>28061</v>
      </c>
      <c r="B119">
        <v>0</v>
      </c>
      <c r="C119" t="s">
        <v>39</v>
      </c>
      <c r="D119">
        <v>5902</v>
      </c>
      <c r="E119" t="s">
        <v>89</v>
      </c>
      <c r="F119" t="s">
        <v>17</v>
      </c>
      <c r="G119">
        <v>5</v>
      </c>
    </row>
    <row r="120" spans="1:7" x14ac:dyDescent="0.35">
      <c r="A120">
        <v>108371</v>
      </c>
      <c r="B120">
        <v>28</v>
      </c>
      <c r="C120" t="s">
        <v>49</v>
      </c>
      <c r="D120">
        <v>1401</v>
      </c>
      <c r="E120" t="s">
        <v>103</v>
      </c>
      <c r="F120" t="s">
        <v>17</v>
      </c>
      <c r="G120">
        <v>20</v>
      </c>
    </row>
    <row r="121" spans="1:7" x14ac:dyDescent="0.35">
      <c r="A121">
        <v>187807</v>
      </c>
      <c r="B121">
        <v>1</v>
      </c>
      <c r="C121" t="s">
        <v>29</v>
      </c>
      <c r="D121">
        <v>8305</v>
      </c>
      <c r="E121" t="s">
        <v>91</v>
      </c>
      <c r="F121" t="s">
        <v>14</v>
      </c>
      <c r="G121">
        <v>22</v>
      </c>
    </row>
    <row r="122" spans="1:7" x14ac:dyDescent="0.35">
      <c r="A122">
        <v>180383</v>
      </c>
      <c r="B122">
        <v>0</v>
      </c>
      <c r="C122" t="s">
        <v>40</v>
      </c>
      <c r="D122">
        <v>609</v>
      </c>
      <c r="E122" t="s">
        <v>96</v>
      </c>
      <c r="F122" t="s">
        <v>17</v>
      </c>
      <c r="G122">
        <v>11</v>
      </c>
    </row>
    <row r="123" spans="1:7" x14ac:dyDescent="0.35">
      <c r="A123">
        <v>183013</v>
      </c>
      <c r="B123">
        <v>1</v>
      </c>
      <c r="C123" t="s">
        <v>40</v>
      </c>
      <c r="D123">
        <v>3001</v>
      </c>
      <c r="E123" t="s">
        <v>90</v>
      </c>
      <c r="F123" t="s">
        <v>14</v>
      </c>
      <c r="G123">
        <v>11</v>
      </c>
    </row>
    <row r="124" spans="1:7" x14ac:dyDescent="0.35">
      <c r="A124">
        <v>187769</v>
      </c>
      <c r="B124">
        <v>1</v>
      </c>
      <c r="C124" t="s">
        <v>22</v>
      </c>
      <c r="D124">
        <v>5403</v>
      </c>
      <c r="E124" t="s">
        <v>93</v>
      </c>
      <c r="F124" t="s">
        <v>14</v>
      </c>
      <c r="G124">
        <v>25</v>
      </c>
    </row>
    <row r="125" spans="1:7" x14ac:dyDescent="0.35">
      <c r="A125">
        <v>191056</v>
      </c>
      <c r="B125">
        <v>1</v>
      </c>
      <c r="C125" t="s">
        <v>22</v>
      </c>
      <c r="D125">
        <v>801</v>
      </c>
      <c r="E125" t="s">
        <v>95</v>
      </c>
      <c r="F125" t="s">
        <v>14</v>
      </c>
      <c r="G125">
        <v>47</v>
      </c>
    </row>
    <row r="126" spans="1:7" x14ac:dyDescent="0.35">
      <c r="A126">
        <v>151891</v>
      </c>
      <c r="B126">
        <v>0</v>
      </c>
      <c r="C126" t="s">
        <v>22</v>
      </c>
      <c r="D126">
        <v>0</v>
      </c>
      <c r="E126" t="s">
        <v>90</v>
      </c>
      <c r="F126" t="s">
        <v>17</v>
      </c>
      <c r="G126">
        <v>15</v>
      </c>
    </row>
    <row r="127" spans="1:7" x14ac:dyDescent="0.35">
      <c r="A127">
        <v>5822</v>
      </c>
      <c r="B127">
        <v>2</v>
      </c>
      <c r="C127" t="s">
        <v>28</v>
      </c>
      <c r="D127">
        <v>2901</v>
      </c>
      <c r="E127" t="s">
        <v>90</v>
      </c>
      <c r="F127" t="s">
        <v>17</v>
      </c>
      <c r="G127">
        <v>11</v>
      </c>
    </row>
    <row r="128" spans="1:7" x14ac:dyDescent="0.35">
      <c r="A128">
        <v>164969</v>
      </c>
      <c r="B128">
        <v>0</v>
      </c>
      <c r="C128" t="s">
        <v>22</v>
      </c>
      <c r="D128">
        <v>6001</v>
      </c>
      <c r="E128" t="s">
        <v>93</v>
      </c>
      <c r="F128" t="s">
        <v>17</v>
      </c>
      <c r="G128">
        <v>7</v>
      </c>
    </row>
    <row r="129" spans="1:7" x14ac:dyDescent="0.35">
      <c r="A129">
        <v>172846</v>
      </c>
      <c r="B129">
        <v>0</v>
      </c>
      <c r="C129" t="s">
        <v>22</v>
      </c>
      <c r="D129">
        <v>4201</v>
      </c>
      <c r="E129" t="s">
        <v>88</v>
      </c>
      <c r="F129" t="s">
        <v>14</v>
      </c>
      <c r="G129">
        <v>10</v>
      </c>
    </row>
    <row r="130" spans="1:7" x14ac:dyDescent="0.35">
      <c r="A130">
        <v>95951</v>
      </c>
      <c r="B130">
        <v>0</v>
      </c>
      <c r="C130" t="s">
        <v>16</v>
      </c>
      <c r="D130">
        <v>4804</v>
      </c>
      <c r="E130" t="s">
        <v>96</v>
      </c>
      <c r="F130" t="s">
        <v>17</v>
      </c>
      <c r="G130">
        <v>20</v>
      </c>
    </row>
    <row r="131" spans="1:7" x14ac:dyDescent="0.35">
      <c r="A131">
        <v>18089</v>
      </c>
      <c r="B131">
        <v>2</v>
      </c>
      <c r="C131" t="s">
        <v>18</v>
      </c>
      <c r="D131">
        <v>5001</v>
      </c>
      <c r="E131" t="s">
        <v>92</v>
      </c>
      <c r="F131" t="s">
        <v>14</v>
      </c>
      <c r="G131">
        <v>25</v>
      </c>
    </row>
    <row r="132" spans="1:7" x14ac:dyDescent="0.35">
      <c r="A132">
        <v>35276</v>
      </c>
      <c r="B132">
        <v>2</v>
      </c>
      <c r="C132" t="s">
        <v>13</v>
      </c>
      <c r="D132">
        <v>1701</v>
      </c>
      <c r="E132" t="s">
        <v>92</v>
      </c>
      <c r="G132">
        <v>10</v>
      </c>
    </row>
    <row r="133" spans="1:7" x14ac:dyDescent="0.35">
      <c r="A133">
        <v>18607</v>
      </c>
      <c r="B133">
        <v>1</v>
      </c>
      <c r="C133" t="s">
        <v>18</v>
      </c>
      <c r="D133">
        <v>6001</v>
      </c>
      <c r="E133" t="s">
        <v>89</v>
      </c>
      <c r="F133" t="s">
        <v>14</v>
      </c>
      <c r="G133">
        <v>23</v>
      </c>
    </row>
    <row r="134" spans="1:7" x14ac:dyDescent="0.35">
      <c r="A134">
        <v>61275</v>
      </c>
      <c r="B134">
        <v>1</v>
      </c>
      <c r="C134" t="s">
        <v>33</v>
      </c>
      <c r="D134">
        <v>4801</v>
      </c>
      <c r="E134" t="s">
        <v>89</v>
      </c>
      <c r="F134" t="s">
        <v>14</v>
      </c>
      <c r="G134">
        <v>12</v>
      </c>
    </row>
    <row r="135" spans="1:7" x14ac:dyDescent="0.35">
      <c r="A135">
        <v>36141</v>
      </c>
      <c r="B135">
        <v>28</v>
      </c>
      <c r="C135" t="s">
        <v>13</v>
      </c>
      <c r="D135">
        <v>2805</v>
      </c>
      <c r="E135" t="s">
        <v>92</v>
      </c>
      <c r="F135" t="s">
        <v>17</v>
      </c>
      <c r="G135">
        <v>10</v>
      </c>
    </row>
    <row r="136" spans="1:7" x14ac:dyDescent="0.35">
      <c r="A136">
        <v>85716</v>
      </c>
      <c r="B136">
        <v>0</v>
      </c>
      <c r="C136" t="s">
        <v>56</v>
      </c>
      <c r="D136">
        <v>2401</v>
      </c>
      <c r="E136" t="s">
        <v>98</v>
      </c>
      <c r="F136" t="s">
        <v>17</v>
      </c>
      <c r="G136">
        <v>25</v>
      </c>
    </row>
    <row r="137" spans="1:7" x14ac:dyDescent="0.35">
      <c r="A137">
        <v>154195</v>
      </c>
      <c r="B137">
        <v>0</v>
      </c>
      <c r="C137" t="s">
        <v>22</v>
      </c>
      <c r="D137">
        <v>0</v>
      </c>
      <c r="E137" t="s">
        <v>89</v>
      </c>
      <c r="F137" t="s">
        <v>17</v>
      </c>
      <c r="G137">
        <v>20</v>
      </c>
    </row>
    <row r="138" spans="1:7" x14ac:dyDescent="0.35">
      <c r="A138">
        <v>46755</v>
      </c>
      <c r="B138">
        <v>0</v>
      </c>
      <c r="C138" t="s">
        <v>43</v>
      </c>
      <c r="D138">
        <v>0</v>
      </c>
      <c r="E138" t="s">
        <v>91</v>
      </c>
      <c r="F138" t="s">
        <v>17</v>
      </c>
      <c r="G138">
        <v>5</v>
      </c>
    </row>
    <row r="139" spans="1:7" x14ac:dyDescent="0.35">
      <c r="A139">
        <v>13239</v>
      </c>
      <c r="B139">
        <v>1</v>
      </c>
      <c r="C139" t="s">
        <v>13</v>
      </c>
      <c r="D139">
        <v>2901</v>
      </c>
      <c r="E139" t="s">
        <v>92</v>
      </c>
      <c r="F139" t="s">
        <v>14</v>
      </c>
      <c r="G139">
        <v>3</v>
      </c>
    </row>
    <row r="140" spans="1:7" x14ac:dyDescent="0.35">
      <c r="A140">
        <v>86068</v>
      </c>
      <c r="B140">
        <v>0</v>
      </c>
      <c r="C140" t="s">
        <v>52</v>
      </c>
      <c r="D140">
        <v>0</v>
      </c>
      <c r="E140" t="s">
        <v>91</v>
      </c>
      <c r="F140" t="s">
        <v>17</v>
      </c>
      <c r="G140">
        <v>5</v>
      </c>
    </row>
    <row r="141" spans="1:7" x14ac:dyDescent="0.35">
      <c r="A141">
        <v>67900</v>
      </c>
      <c r="B141">
        <v>1</v>
      </c>
      <c r="C141" t="s">
        <v>29</v>
      </c>
      <c r="D141">
        <v>4801</v>
      </c>
      <c r="E141" t="s">
        <v>102</v>
      </c>
      <c r="F141" t="s">
        <v>14</v>
      </c>
      <c r="G141">
        <v>20</v>
      </c>
    </row>
    <row r="142" spans="1:7" x14ac:dyDescent="0.35">
      <c r="A142">
        <v>59610</v>
      </c>
      <c r="B142">
        <v>28</v>
      </c>
      <c r="C142" t="s">
        <v>33</v>
      </c>
      <c r="D142">
        <v>2301</v>
      </c>
      <c r="E142" t="s">
        <v>94</v>
      </c>
      <c r="F142" t="s">
        <v>17</v>
      </c>
      <c r="G142">
        <v>15</v>
      </c>
    </row>
    <row r="143" spans="1:7" x14ac:dyDescent="0.35">
      <c r="A143">
        <v>13378</v>
      </c>
      <c r="B143">
        <v>0</v>
      </c>
      <c r="C143" t="s">
        <v>22</v>
      </c>
      <c r="D143">
        <v>2401</v>
      </c>
      <c r="E143" t="s">
        <v>89</v>
      </c>
      <c r="F143" t="s">
        <v>17</v>
      </c>
      <c r="G143">
        <v>7</v>
      </c>
    </row>
    <row r="144" spans="1:7" x14ac:dyDescent="0.35">
      <c r="A144">
        <v>20752</v>
      </c>
      <c r="B144">
        <v>2</v>
      </c>
      <c r="C144" t="s">
        <v>18</v>
      </c>
      <c r="D144">
        <v>2001</v>
      </c>
      <c r="E144" t="s">
        <v>88</v>
      </c>
      <c r="F144" t="s">
        <v>14</v>
      </c>
      <c r="G144">
        <v>13</v>
      </c>
    </row>
    <row r="145" spans="1:7" x14ac:dyDescent="0.35">
      <c r="A145">
        <v>30934</v>
      </c>
      <c r="B145">
        <v>0</v>
      </c>
      <c r="C145" t="s">
        <v>39</v>
      </c>
      <c r="D145">
        <v>905</v>
      </c>
      <c r="E145" t="s">
        <v>91</v>
      </c>
      <c r="F145" t="s">
        <v>14</v>
      </c>
      <c r="G145">
        <v>15</v>
      </c>
    </row>
    <row r="146" spans="1:7" x14ac:dyDescent="0.35">
      <c r="A146">
        <v>102163</v>
      </c>
      <c r="B146">
        <v>0</v>
      </c>
      <c r="C146" t="s">
        <v>36</v>
      </c>
      <c r="D146">
        <v>4301</v>
      </c>
      <c r="E146" t="s">
        <v>92</v>
      </c>
      <c r="F146" t="s">
        <v>17</v>
      </c>
      <c r="G146">
        <v>30</v>
      </c>
    </row>
    <row r="147" spans="1:7" x14ac:dyDescent="0.35">
      <c r="A147">
        <v>128976</v>
      </c>
      <c r="B147">
        <v>0</v>
      </c>
      <c r="C147" t="s">
        <v>21</v>
      </c>
      <c r="D147">
        <v>7001</v>
      </c>
      <c r="E147" t="s">
        <v>90</v>
      </c>
      <c r="F147" t="s">
        <v>17</v>
      </c>
      <c r="G147">
        <v>10</v>
      </c>
    </row>
    <row r="148" spans="1:7" x14ac:dyDescent="0.35">
      <c r="A148">
        <v>44088</v>
      </c>
      <c r="B148">
        <v>1</v>
      </c>
      <c r="C148" t="s">
        <v>33</v>
      </c>
      <c r="D148">
        <v>3602</v>
      </c>
      <c r="E148" t="s">
        <v>92</v>
      </c>
      <c r="F148" t="s">
        <v>14</v>
      </c>
      <c r="G148">
        <v>10</v>
      </c>
    </row>
    <row r="149" spans="1:7" x14ac:dyDescent="0.35">
      <c r="A149">
        <v>154931</v>
      </c>
      <c r="B149">
        <v>28</v>
      </c>
      <c r="C149" t="s">
        <v>22</v>
      </c>
      <c r="D149">
        <v>0</v>
      </c>
      <c r="E149" t="s">
        <v>88</v>
      </c>
      <c r="F149" t="s">
        <v>17</v>
      </c>
      <c r="G149">
        <v>10</v>
      </c>
    </row>
    <row r="150" spans="1:7" x14ac:dyDescent="0.35">
      <c r="A150">
        <v>87939</v>
      </c>
      <c r="B150">
        <v>2</v>
      </c>
      <c r="C150" t="s">
        <v>16</v>
      </c>
      <c r="D150">
        <v>901</v>
      </c>
      <c r="E150" t="s">
        <v>93</v>
      </c>
      <c r="F150" t="s">
        <v>14</v>
      </c>
      <c r="G150">
        <v>30</v>
      </c>
    </row>
    <row r="151" spans="1:7" x14ac:dyDescent="0.35">
      <c r="A151">
        <v>140779</v>
      </c>
      <c r="B151">
        <v>0</v>
      </c>
      <c r="C151" t="s">
        <v>24</v>
      </c>
      <c r="D151">
        <v>4601</v>
      </c>
      <c r="E151" t="s">
        <v>93</v>
      </c>
      <c r="F151" t="s">
        <v>17</v>
      </c>
      <c r="G151">
        <v>6</v>
      </c>
    </row>
    <row r="152" spans="1:7" x14ac:dyDescent="0.35">
      <c r="A152">
        <v>113838</v>
      </c>
      <c r="B152">
        <v>2</v>
      </c>
      <c r="C152" t="s">
        <v>31</v>
      </c>
      <c r="D152">
        <v>0</v>
      </c>
      <c r="E152" t="s">
        <v>98</v>
      </c>
      <c r="F152" t="s">
        <v>17</v>
      </c>
      <c r="G152">
        <v>8</v>
      </c>
    </row>
    <row r="153" spans="1:7" x14ac:dyDescent="0.35">
      <c r="A153">
        <v>156568</v>
      </c>
      <c r="B153">
        <v>0</v>
      </c>
      <c r="C153" t="s">
        <v>22</v>
      </c>
      <c r="D153">
        <v>4812</v>
      </c>
      <c r="E153" t="s">
        <v>93</v>
      </c>
      <c r="G153">
        <v>75</v>
      </c>
    </row>
    <row r="154" spans="1:7" x14ac:dyDescent="0.35">
      <c r="A154">
        <v>130485</v>
      </c>
      <c r="B154">
        <v>0</v>
      </c>
      <c r="C154" t="s">
        <v>48</v>
      </c>
      <c r="D154">
        <v>3001</v>
      </c>
      <c r="E154" t="s">
        <v>103</v>
      </c>
      <c r="F154" t="s">
        <v>17</v>
      </c>
      <c r="G154">
        <v>16</v>
      </c>
    </row>
    <row r="155" spans="1:7" x14ac:dyDescent="0.35">
      <c r="A155">
        <v>101803</v>
      </c>
      <c r="B155">
        <v>0</v>
      </c>
      <c r="C155" t="s">
        <v>36</v>
      </c>
      <c r="D155">
        <v>4701</v>
      </c>
      <c r="E155" t="s">
        <v>96</v>
      </c>
      <c r="F155" t="s">
        <v>17</v>
      </c>
      <c r="G155">
        <v>25</v>
      </c>
    </row>
    <row r="156" spans="1:7" x14ac:dyDescent="0.35">
      <c r="A156">
        <v>41899</v>
      </c>
      <c r="B156">
        <v>1002</v>
      </c>
      <c r="C156" t="s">
        <v>13</v>
      </c>
      <c r="D156">
        <v>0</v>
      </c>
      <c r="E156" t="s">
        <v>101</v>
      </c>
      <c r="F156" t="s">
        <v>14</v>
      </c>
      <c r="G156">
        <v>10</v>
      </c>
    </row>
    <row r="157" spans="1:7" x14ac:dyDescent="0.35">
      <c r="A157">
        <v>30795</v>
      </c>
      <c r="B157">
        <v>2</v>
      </c>
      <c r="C157" t="s">
        <v>39</v>
      </c>
      <c r="D157">
        <v>0</v>
      </c>
      <c r="E157" t="s">
        <v>104</v>
      </c>
      <c r="F157" t="s">
        <v>14</v>
      </c>
      <c r="G157">
        <v>10</v>
      </c>
    </row>
    <row r="158" spans="1:7" x14ac:dyDescent="0.35">
      <c r="A158">
        <v>133256</v>
      </c>
      <c r="B158">
        <v>2</v>
      </c>
      <c r="C158" t="s">
        <v>41</v>
      </c>
      <c r="D158">
        <v>2002</v>
      </c>
      <c r="E158" t="s">
        <v>92</v>
      </c>
      <c r="F158" t="s">
        <v>14</v>
      </c>
      <c r="G158">
        <v>10</v>
      </c>
    </row>
    <row r="159" spans="1:7" x14ac:dyDescent="0.35">
      <c r="A159">
        <v>151203</v>
      </c>
      <c r="B159">
        <v>0</v>
      </c>
      <c r="C159" t="s">
        <v>22</v>
      </c>
      <c r="D159">
        <v>0</v>
      </c>
      <c r="F159" t="s">
        <v>30</v>
      </c>
      <c r="G159">
        <v>5</v>
      </c>
    </row>
    <row r="160" spans="1:7" x14ac:dyDescent="0.35">
      <c r="A160">
        <v>31425</v>
      </c>
      <c r="B160">
        <v>0</v>
      </c>
      <c r="C160" t="s">
        <v>39</v>
      </c>
      <c r="D160">
        <v>3901</v>
      </c>
      <c r="E160" t="s">
        <v>104</v>
      </c>
      <c r="F160" t="s">
        <v>14</v>
      </c>
      <c r="G160">
        <v>16</v>
      </c>
    </row>
    <row r="161" spans="1:7" x14ac:dyDescent="0.35">
      <c r="A161">
        <v>70524</v>
      </c>
      <c r="B161">
        <v>0</v>
      </c>
      <c r="C161" t="s">
        <v>29</v>
      </c>
      <c r="D161">
        <v>3204</v>
      </c>
      <c r="E161" t="s">
        <v>91</v>
      </c>
      <c r="F161" t="s">
        <v>17</v>
      </c>
      <c r="G161">
        <v>23</v>
      </c>
    </row>
    <row r="162" spans="1:7" x14ac:dyDescent="0.35">
      <c r="A162">
        <v>161229</v>
      </c>
      <c r="B162">
        <v>0</v>
      </c>
      <c r="C162" t="s">
        <v>22</v>
      </c>
      <c r="D162">
        <v>4201</v>
      </c>
      <c r="E162" t="s">
        <v>91</v>
      </c>
      <c r="F162" t="s">
        <v>17</v>
      </c>
      <c r="G162">
        <v>21</v>
      </c>
    </row>
    <row r="163" spans="1:7" x14ac:dyDescent="0.35">
      <c r="A163">
        <v>83181</v>
      </c>
      <c r="B163">
        <v>0</v>
      </c>
      <c r="C163" t="s">
        <v>56</v>
      </c>
      <c r="D163">
        <v>0</v>
      </c>
      <c r="E163" t="s">
        <v>91</v>
      </c>
      <c r="F163" t="s">
        <v>17</v>
      </c>
      <c r="G163">
        <v>15</v>
      </c>
    </row>
    <row r="164" spans="1:7" x14ac:dyDescent="0.35">
      <c r="A164">
        <v>143528</v>
      </c>
      <c r="B164">
        <v>0</v>
      </c>
      <c r="C164" t="s">
        <v>22</v>
      </c>
      <c r="D164">
        <v>4905</v>
      </c>
      <c r="E164" t="s">
        <v>95</v>
      </c>
      <c r="F164" t="s">
        <v>17</v>
      </c>
      <c r="G164">
        <v>10</v>
      </c>
    </row>
    <row r="165" spans="1:7" x14ac:dyDescent="0.35">
      <c r="A165">
        <v>42970</v>
      </c>
      <c r="B165">
        <v>1</v>
      </c>
      <c r="C165" t="s">
        <v>13</v>
      </c>
      <c r="D165">
        <v>0</v>
      </c>
      <c r="E165" t="s">
        <v>89</v>
      </c>
      <c r="F165" t="s">
        <v>14</v>
      </c>
      <c r="G165">
        <v>3</v>
      </c>
    </row>
    <row r="166" spans="1:7" x14ac:dyDescent="0.35">
      <c r="A166">
        <v>83708</v>
      </c>
      <c r="B166">
        <v>28</v>
      </c>
      <c r="C166" t="s">
        <v>56</v>
      </c>
      <c r="D166">
        <v>5609</v>
      </c>
      <c r="E166" t="s">
        <v>93</v>
      </c>
      <c r="F166" t="s">
        <v>17</v>
      </c>
      <c r="G166">
        <v>10</v>
      </c>
    </row>
    <row r="167" spans="1:7" x14ac:dyDescent="0.35">
      <c r="A167">
        <v>101390</v>
      </c>
      <c r="B167">
        <v>2</v>
      </c>
      <c r="C167" t="s">
        <v>36</v>
      </c>
      <c r="D167">
        <v>5701</v>
      </c>
      <c r="E167" t="s">
        <v>88</v>
      </c>
      <c r="F167" t="s">
        <v>17</v>
      </c>
      <c r="G167">
        <v>2</v>
      </c>
    </row>
    <row r="168" spans="1:7" x14ac:dyDescent="0.35">
      <c r="A168">
        <v>77898</v>
      </c>
      <c r="B168">
        <v>1</v>
      </c>
      <c r="C168" t="s">
        <v>35</v>
      </c>
      <c r="D168">
        <v>2808</v>
      </c>
      <c r="E168" t="s">
        <v>90</v>
      </c>
      <c r="F168" t="s">
        <v>14</v>
      </c>
      <c r="G168">
        <v>10</v>
      </c>
    </row>
    <row r="169" spans="1:7" x14ac:dyDescent="0.35">
      <c r="A169">
        <v>77345</v>
      </c>
      <c r="B169">
        <v>1</v>
      </c>
      <c r="C169" t="s">
        <v>35</v>
      </c>
      <c r="D169">
        <v>0</v>
      </c>
      <c r="E169" t="s">
        <v>93</v>
      </c>
      <c r="F169" t="s">
        <v>14</v>
      </c>
      <c r="G169">
        <v>16</v>
      </c>
    </row>
    <row r="170" spans="1:7" x14ac:dyDescent="0.35">
      <c r="A170">
        <v>142579</v>
      </c>
      <c r="B170">
        <v>0</v>
      </c>
      <c r="C170" t="s">
        <v>22</v>
      </c>
      <c r="D170">
        <v>201</v>
      </c>
      <c r="E170" t="s">
        <v>95</v>
      </c>
      <c r="F170" t="s">
        <v>17</v>
      </c>
      <c r="G170">
        <v>20</v>
      </c>
    </row>
    <row r="171" spans="1:7" x14ac:dyDescent="0.35">
      <c r="A171">
        <v>162209</v>
      </c>
      <c r="B171">
        <v>0</v>
      </c>
      <c r="C171" t="s">
        <v>22</v>
      </c>
      <c r="D171">
        <v>2005</v>
      </c>
      <c r="E171" t="s">
        <v>93</v>
      </c>
      <c r="F171" t="s">
        <v>17</v>
      </c>
      <c r="G171">
        <v>10</v>
      </c>
    </row>
    <row r="172" spans="1:7" x14ac:dyDescent="0.35">
      <c r="A172">
        <v>171396</v>
      </c>
      <c r="B172">
        <v>0</v>
      </c>
      <c r="C172" t="s">
        <v>22</v>
      </c>
      <c r="D172">
        <v>0</v>
      </c>
      <c r="E172" t="s">
        <v>88</v>
      </c>
      <c r="F172" t="s">
        <v>14</v>
      </c>
      <c r="G172">
        <v>6</v>
      </c>
    </row>
    <row r="173" spans="1:7" x14ac:dyDescent="0.35">
      <c r="A173">
        <v>129530</v>
      </c>
      <c r="B173">
        <v>1</v>
      </c>
      <c r="C173" t="s">
        <v>48</v>
      </c>
      <c r="D173">
        <v>5401</v>
      </c>
      <c r="E173" t="s">
        <v>90</v>
      </c>
      <c r="F173" t="s">
        <v>14</v>
      </c>
      <c r="G173">
        <v>10</v>
      </c>
    </row>
    <row r="174" spans="1:7" x14ac:dyDescent="0.35">
      <c r="A174">
        <v>33773</v>
      </c>
      <c r="B174">
        <v>0</v>
      </c>
      <c r="C174" t="s">
        <v>13</v>
      </c>
      <c r="D174">
        <v>0</v>
      </c>
      <c r="E174" t="s">
        <v>100</v>
      </c>
      <c r="F174" t="s">
        <v>17</v>
      </c>
      <c r="G174">
        <v>20</v>
      </c>
    </row>
    <row r="175" spans="1:7" x14ac:dyDescent="0.35">
      <c r="A175">
        <v>10031</v>
      </c>
      <c r="B175">
        <v>0</v>
      </c>
      <c r="C175" t="s">
        <v>59</v>
      </c>
      <c r="D175">
        <v>3001</v>
      </c>
      <c r="E175" t="s">
        <v>89</v>
      </c>
      <c r="F175" t="s">
        <v>17</v>
      </c>
      <c r="G175">
        <v>10</v>
      </c>
    </row>
    <row r="176" spans="1:7" x14ac:dyDescent="0.35">
      <c r="A176">
        <v>62056</v>
      </c>
      <c r="B176">
        <v>0</v>
      </c>
      <c r="C176" t="s">
        <v>33</v>
      </c>
      <c r="D176">
        <v>4601</v>
      </c>
      <c r="E176" t="s">
        <v>91</v>
      </c>
      <c r="F176" t="s">
        <v>14</v>
      </c>
      <c r="G176">
        <v>7</v>
      </c>
    </row>
    <row r="177" spans="1:7" x14ac:dyDescent="0.35">
      <c r="A177">
        <v>11494</v>
      </c>
      <c r="B177">
        <v>2</v>
      </c>
      <c r="C177" t="s">
        <v>13</v>
      </c>
      <c r="D177">
        <v>6501</v>
      </c>
      <c r="E177" t="s">
        <v>94</v>
      </c>
      <c r="F177" t="s">
        <v>14</v>
      </c>
      <c r="G177">
        <v>5</v>
      </c>
    </row>
    <row r="178" spans="1:7" x14ac:dyDescent="0.35">
      <c r="A178">
        <v>44847</v>
      </c>
      <c r="B178">
        <v>0</v>
      </c>
      <c r="C178" t="s">
        <v>13</v>
      </c>
      <c r="D178">
        <v>5201</v>
      </c>
      <c r="E178" t="s">
        <v>89</v>
      </c>
      <c r="F178" t="s">
        <v>14</v>
      </c>
      <c r="G178">
        <v>10</v>
      </c>
    </row>
    <row r="179" spans="1:7" x14ac:dyDescent="0.35">
      <c r="A179">
        <v>94851</v>
      </c>
      <c r="B179">
        <v>2</v>
      </c>
      <c r="C179" t="s">
        <v>16</v>
      </c>
      <c r="D179">
        <v>1601</v>
      </c>
      <c r="E179" t="s">
        <v>95</v>
      </c>
      <c r="F179" t="s">
        <v>17</v>
      </c>
      <c r="G179">
        <v>10</v>
      </c>
    </row>
    <row r="180" spans="1:7" x14ac:dyDescent="0.35">
      <c r="A180">
        <v>15668</v>
      </c>
      <c r="B180">
        <v>0</v>
      </c>
      <c r="C180" t="s">
        <v>18</v>
      </c>
      <c r="D180">
        <v>4101</v>
      </c>
      <c r="E180" t="s">
        <v>91</v>
      </c>
      <c r="F180" t="s">
        <v>14</v>
      </c>
      <c r="G180">
        <v>45</v>
      </c>
    </row>
    <row r="181" spans="1:7" x14ac:dyDescent="0.35">
      <c r="A181">
        <v>175579</v>
      </c>
      <c r="B181">
        <v>0</v>
      </c>
      <c r="C181" t="s">
        <v>50</v>
      </c>
      <c r="D181">
        <v>4806</v>
      </c>
      <c r="E181" t="s">
        <v>102</v>
      </c>
      <c r="F181" t="s">
        <v>17</v>
      </c>
      <c r="G181">
        <v>20</v>
      </c>
    </row>
    <row r="182" spans="1:7" x14ac:dyDescent="0.35">
      <c r="A182">
        <v>150534</v>
      </c>
      <c r="B182">
        <v>980</v>
      </c>
      <c r="C182" t="s">
        <v>22</v>
      </c>
      <c r="D182">
        <v>0</v>
      </c>
      <c r="E182" t="s">
        <v>101</v>
      </c>
      <c r="F182" t="s">
        <v>30</v>
      </c>
      <c r="G182">
        <v>4</v>
      </c>
    </row>
    <row r="183" spans="1:7" x14ac:dyDescent="0.35">
      <c r="A183">
        <v>68441</v>
      </c>
      <c r="B183">
        <v>0</v>
      </c>
      <c r="C183" t="s">
        <v>29</v>
      </c>
      <c r="D183">
        <v>4201</v>
      </c>
      <c r="E183" t="s">
        <v>102</v>
      </c>
      <c r="F183" t="s">
        <v>17</v>
      </c>
      <c r="G183">
        <v>30</v>
      </c>
    </row>
    <row r="184" spans="1:7" x14ac:dyDescent="0.35">
      <c r="A184">
        <v>157185</v>
      </c>
      <c r="B184">
        <v>0</v>
      </c>
      <c r="C184" t="s">
        <v>22</v>
      </c>
      <c r="D184">
        <v>0</v>
      </c>
      <c r="E184" t="s">
        <v>92</v>
      </c>
      <c r="F184" t="s">
        <v>17</v>
      </c>
      <c r="G184">
        <v>5</v>
      </c>
    </row>
    <row r="185" spans="1:7" x14ac:dyDescent="0.35">
      <c r="A185">
        <v>90816</v>
      </c>
      <c r="B185">
        <v>0</v>
      </c>
      <c r="C185" t="s">
        <v>16</v>
      </c>
      <c r="D185">
        <v>5309</v>
      </c>
      <c r="E185" t="s">
        <v>90</v>
      </c>
      <c r="F185" t="s">
        <v>17</v>
      </c>
      <c r="G185">
        <v>20</v>
      </c>
    </row>
    <row r="186" spans="1:7" x14ac:dyDescent="0.35">
      <c r="A186">
        <v>94915</v>
      </c>
      <c r="B186">
        <v>0</v>
      </c>
      <c r="C186" t="s">
        <v>16</v>
      </c>
      <c r="D186">
        <v>4309</v>
      </c>
      <c r="E186" t="s">
        <v>95</v>
      </c>
      <c r="F186" t="s">
        <v>17</v>
      </c>
      <c r="G186">
        <v>15</v>
      </c>
    </row>
    <row r="187" spans="1:7" x14ac:dyDescent="0.35">
      <c r="A187">
        <v>118392</v>
      </c>
      <c r="B187">
        <v>2</v>
      </c>
      <c r="C187" t="s">
        <v>21</v>
      </c>
      <c r="D187">
        <v>1701</v>
      </c>
      <c r="E187" t="s">
        <v>98</v>
      </c>
      <c r="F187" t="s">
        <v>14</v>
      </c>
      <c r="G187">
        <v>12</v>
      </c>
    </row>
    <row r="188" spans="1:7" x14ac:dyDescent="0.35">
      <c r="A188">
        <v>187571</v>
      </c>
      <c r="B188">
        <v>0</v>
      </c>
      <c r="C188" t="s">
        <v>33</v>
      </c>
      <c r="D188">
        <v>0</v>
      </c>
      <c r="E188" t="s">
        <v>91</v>
      </c>
      <c r="G188">
        <v>26</v>
      </c>
    </row>
    <row r="189" spans="1:7" x14ac:dyDescent="0.35">
      <c r="A189">
        <v>21659</v>
      </c>
      <c r="B189">
        <v>1002</v>
      </c>
      <c r="C189" t="s">
        <v>18</v>
      </c>
      <c r="D189">
        <v>5401</v>
      </c>
      <c r="E189" t="s">
        <v>91</v>
      </c>
      <c r="F189" t="s">
        <v>14</v>
      </c>
      <c r="G189">
        <v>10</v>
      </c>
    </row>
    <row r="190" spans="1:7" x14ac:dyDescent="0.35">
      <c r="A190">
        <v>157672</v>
      </c>
      <c r="B190">
        <v>2</v>
      </c>
      <c r="C190" t="s">
        <v>22</v>
      </c>
      <c r="D190">
        <v>3101</v>
      </c>
      <c r="E190" t="s">
        <v>92</v>
      </c>
      <c r="F190" t="s">
        <v>14</v>
      </c>
      <c r="G190">
        <v>10</v>
      </c>
    </row>
    <row r="191" spans="1:7" x14ac:dyDescent="0.35">
      <c r="A191">
        <v>64166</v>
      </c>
      <c r="B191">
        <v>1</v>
      </c>
      <c r="C191" t="s">
        <v>33</v>
      </c>
      <c r="D191">
        <v>1701</v>
      </c>
      <c r="E191" t="s">
        <v>89</v>
      </c>
      <c r="F191" t="s">
        <v>14</v>
      </c>
      <c r="G191">
        <v>23</v>
      </c>
    </row>
    <row r="192" spans="1:7" x14ac:dyDescent="0.35">
      <c r="A192">
        <v>185304</v>
      </c>
      <c r="B192">
        <v>1</v>
      </c>
      <c r="C192" t="s">
        <v>48</v>
      </c>
      <c r="D192">
        <v>2505</v>
      </c>
      <c r="E192" t="s">
        <v>94</v>
      </c>
      <c r="F192" t="s">
        <v>14</v>
      </c>
      <c r="G192">
        <v>21</v>
      </c>
    </row>
    <row r="193" spans="1:7" x14ac:dyDescent="0.35">
      <c r="A193">
        <v>57963</v>
      </c>
      <c r="B193">
        <v>28</v>
      </c>
      <c r="C193" t="s">
        <v>57</v>
      </c>
      <c r="D193">
        <v>2709</v>
      </c>
      <c r="E193" t="s">
        <v>88</v>
      </c>
      <c r="F193" t="s">
        <v>17</v>
      </c>
      <c r="G193">
        <v>10</v>
      </c>
    </row>
    <row r="194" spans="1:7" x14ac:dyDescent="0.35">
      <c r="A194">
        <v>98249</v>
      </c>
      <c r="B194">
        <v>0</v>
      </c>
      <c r="C194" t="s">
        <v>16</v>
      </c>
      <c r="D194">
        <v>0</v>
      </c>
      <c r="E194" t="s">
        <v>91</v>
      </c>
      <c r="F194" t="s">
        <v>17</v>
      </c>
      <c r="G194">
        <v>10</v>
      </c>
    </row>
    <row r="195" spans="1:7" x14ac:dyDescent="0.35">
      <c r="A195">
        <v>153689</v>
      </c>
      <c r="B195">
        <v>0</v>
      </c>
      <c r="C195" t="s">
        <v>22</v>
      </c>
      <c r="D195">
        <v>3001</v>
      </c>
      <c r="E195" t="s">
        <v>93</v>
      </c>
      <c r="F195" t="s">
        <v>17</v>
      </c>
      <c r="G195">
        <v>20</v>
      </c>
    </row>
    <row r="196" spans="1:7" x14ac:dyDescent="0.35">
      <c r="A196">
        <v>157807</v>
      </c>
      <c r="B196">
        <v>1</v>
      </c>
      <c r="C196" t="s">
        <v>22</v>
      </c>
      <c r="D196">
        <v>2401</v>
      </c>
      <c r="E196" t="s">
        <v>93</v>
      </c>
      <c r="F196" t="s">
        <v>14</v>
      </c>
      <c r="G196">
        <v>16</v>
      </c>
    </row>
    <row r="197" spans="1:7" x14ac:dyDescent="0.35">
      <c r="A197">
        <v>41715</v>
      </c>
      <c r="B197">
        <v>0</v>
      </c>
      <c r="C197" t="s">
        <v>13</v>
      </c>
      <c r="D197">
        <v>0</v>
      </c>
      <c r="E197" t="s">
        <v>101</v>
      </c>
      <c r="G197">
        <v>3</v>
      </c>
    </row>
    <row r="198" spans="1:7" x14ac:dyDescent="0.35">
      <c r="A198">
        <v>45356</v>
      </c>
      <c r="B198">
        <v>1</v>
      </c>
      <c r="C198" t="s">
        <v>13</v>
      </c>
      <c r="D198">
        <v>2006</v>
      </c>
      <c r="E198" t="s">
        <v>103</v>
      </c>
      <c r="F198" t="s">
        <v>14</v>
      </c>
      <c r="G198">
        <v>8</v>
      </c>
    </row>
    <row r="199" spans="1:7" x14ac:dyDescent="0.35">
      <c r="A199">
        <v>163506</v>
      </c>
      <c r="B199">
        <v>0</v>
      </c>
      <c r="C199" t="s">
        <v>22</v>
      </c>
      <c r="D199">
        <v>0</v>
      </c>
      <c r="E199" t="s">
        <v>95</v>
      </c>
      <c r="F199" t="s">
        <v>17</v>
      </c>
      <c r="G199">
        <v>15</v>
      </c>
    </row>
    <row r="200" spans="1:7" x14ac:dyDescent="0.35">
      <c r="A200">
        <v>107727</v>
      </c>
      <c r="B200">
        <v>0</v>
      </c>
      <c r="C200" t="s">
        <v>59</v>
      </c>
      <c r="D200">
        <v>4007</v>
      </c>
      <c r="E200" t="s">
        <v>89</v>
      </c>
      <c r="F200" t="s">
        <v>17</v>
      </c>
      <c r="G200">
        <v>7</v>
      </c>
    </row>
    <row r="201" spans="1:7" x14ac:dyDescent="0.35">
      <c r="A201">
        <v>64212</v>
      </c>
      <c r="B201">
        <v>0</v>
      </c>
      <c r="C201" t="s">
        <v>33</v>
      </c>
      <c r="D201">
        <v>2601</v>
      </c>
      <c r="E201" t="s">
        <v>88</v>
      </c>
      <c r="F201" t="s">
        <v>17</v>
      </c>
      <c r="G201">
        <v>20</v>
      </c>
    </row>
    <row r="202" spans="1:7" x14ac:dyDescent="0.35">
      <c r="A202">
        <v>60252</v>
      </c>
      <c r="B202">
        <v>1</v>
      </c>
      <c r="C202" t="s">
        <v>33</v>
      </c>
      <c r="D202">
        <v>0</v>
      </c>
      <c r="E202" t="s">
        <v>90</v>
      </c>
      <c r="F202" t="s">
        <v>14</v>
      </c>
      <c r="G202">
        <v>15</v>
      </c>
    </row>
    <row r="203" spans="1:7" x14ac:dyDescent="0.35">
      <c r="A203">
        <v>45101</v>
      </c>
      <c r="B203">
        <v>2</v>
      </c>
      <c r="C203" t="s">
        <v>13</v>
      </c>
      <c r="D203">
        <v>0</v>
      </c>
      <c r="E203" t="s">
        <v>92</v>
      </c>
      <c r="F203" t="s">
        <v>17</v>
      </c>
      <c r="G203">
        <v>3</v>
      </c>
    </row>
    <row r="204" spans="1:7" x14ac:dyDescent="0.35">
      <c r="A204">
        <v>36528</v>
      </c>
      <c r="B204">
        <v>0</v>
      </c>
      <c r="C204" t="s">
        <v>13</v>
      </c>
      <c r="D204">
        <v>2303</v>
      </c>
      <c r="E204" t="s">
        <v>90</v>
      </c>
      <c r="F204" t="s">
        <v>17</v>
      </c>
      <c r="G204">
        <v>25</v>
      </c>
    </row>
    <row r="205" spans="1:7" x14ac:dyDescent="0.35">
      <c r="A205">
        <v>38820</v>
      </c>
      <c r="B205">
        <v>2</v>
      </c>
      <c r="C205" t="s">
        <v>13</v>
      </c>
      <c r="D205">
        <v>1306</v>
      </c>
      <c r="E205" t="s">
        <v>92</v>
      </c>
      <c r="F205" t="s">
        <v>14</v>
      </c>
      <c r="G205">
        <v>20</v>
      </c>
    </row>
    <row r="206" spans="1:7" x14ac:dyDescent="0.35">
      <c r="A206">
        <v>133906</v>
      </c>
      <c r="B206">
        <v>0</v>
      </c>
      <c r="C206" t="s">
        <v>41</v>
      </c>
      <c r="D206">
        <v>0</v>
      </c>
      <c r="E206" t="s">
        <v>91</v>
      </c>
      <c r="F206" t="s">
        <v>17</v>
      </c>
      <c r="G206">
        <v>10</v>
      </c>
    </row>
    <row r="207" spans="1:7" x14ac:dyDescent="0.35">
      <c r="A207">
        <v>12226</v>
      </c>
      <c r="B207">
        <v>0</v>
      </c>
      <c r="C207" t="s">
        <v>48</v>
      </c>
      <c r="D207">
        <v>1301</v>
      </c>
      <c r="E207" t="s">
        <v>88</v>
      </c>
      <c r="F207" t="s">
        <v>17</v>
      </c>
      <c r="G207">
        <v>8</v>
      </c>
    </row>
    <row r="208" spans="1:7" x14ac:dyDescent="0.35">
      <c r="A208">
        <v>8696</v>
      </c>
      <c r="B208">
        <v>2</v>
      </c>
      <c r="C208" t="s">
        <v>31</v>
      </c>
      <c r="D208">
        <v>0</v>
      </c>
      <c r="E208" t="s">
        <v>89</v>
      </c>
      <c r="F208" t="s">
        <v>17</v>
      </c>
      <c r="G208">
        <v>11</v>
      </c>
    </row>
    <row r="209" spans="1:7" x14ac:dyDescent="0.35">
      <c r="A209">
        <v>119368</v>
      </c>
      <c r="B209">
        <v>28</v>
      </c>
      <c r="C209" t="s">
        <v>21</v>
      </c>
      <c r="D209">
        <v>4008</v>
      </c>
      <c r="E209" t="s">
        <v>92</v>
      </c>
      <c r="F209" t="s">
        <v>17</v>
      </c>
      <c r="G209">
        <v>25</v>
      </c>
    </row>
    <row r="210" spans="1:7" x14ac:dyDescent="0.35">
      <c r="A210">
        <v>14319</v>
      </c>
      <c r="B210">
        <v>1</v>
      </c>
      <c r="C210" t="s">
        <v>13</v>
      </c>
      <c r="D210">
        <v>2601</v>
      </c>
      <c r="E210" t="s">
        <v>97</v>
      </c>
      <c r="F210" t="s">
        <v>14</v>
      </c>
      <c r="G210">
        <v>19</v>
      </c>
    </row>
    <row r="211" spans="1:7" x14ac:dyDescent="0.35">
      <c r="A211">
        <v>118408</v>
      </c>
      <c r="B211">
        <v>1</v>
      </c>
      <c r="C211" t="s">
        <v>21</v>
      </c>
      <c r="D211">
        <v>2109</v>
      </c>
      <c r="E211" t="s">
        <v>91</v>
      </c>
      <c r="F211" t="s">
        <v>14</v>
      </c>
      <c r="G211">
        <v>15</v>
      </c>
    </row>
    <row r="212" spans="1:7" x14ac:dyDescent="0.35">
      <c r="A212">
        <v>146585</v>
      </c>
      <c r="B212">
        <v>0</v>
      </c>
      <c r="C212" t="s">
        <v>22</v>
      </c>
      <c r="D212">
        <v>0</v>
      </c>
      <c r="E212" t="s">
        <v>101</v>
      </c>
      <c r="F212" t="s">
        <v>17</v>
      </c>
      <c r="G212">
        <v>8</v>
      </c>
    </row>
    <row r="213" spans="1:7" x14ac:dyDescent="0.35">
      <c r="A213">
        <v>120115</v>
      </c>
      <c r="B213">
        <v>1</v>
      </c>
      <c r="C213" t="s">
        <v>21</v>
      </c>
      <c r="D213">
        <v>701</v>
      </c>
      <c r="E213" t="s">
        <v>98</v>
      </c>
      <c r="F213" t="s">
        <v>14</v>
      </c>
      <c r="G213">
        <v>200</v>
      </c>
    </row>
    <row r="214" spans="1:7" x14ac:dyDescent="0.35">
      <c r="A214">
        <v>57463</v>
      </c>
      <c r="B214">
        <v>0</v>
      </c>
      <c r="C214" t="s">
        <v>57</v>
      </c>
      <c r="D214">
        <v>2512</v>
      </c>
      <c r="E214" t="s">
        <v>90</v>
      </c>
      <c r="F214" t="s">
        <v>17</v>
      </c>
      <c r="G214">
        <v>10</v>
      </c>
    </row>
    <row r="215" spans="1:7" x14ac:dyDescent="0.35">
      <c r="A215">
        <v>94394</v>
      </c>
      <c r="B215">
        <v>2</v>
      </c>
      <c r="C215" t="s">
        <v>16</v>
      </c>
      <c r="D215">
        <v>3308</v>
      </c>
      <c r="E215" t="s">
        <v>101</v>
      </c>
      <c r="F215" t="s">
        <v>17</v>
      </c>
      <c r="G215">
        <v>10</v>
      </c>
    </row>
    <row r="216" spans="1:7" x14ac:dyDescent="0.35">
      <c r="A216">
        <v>155135</v>
      </c>
      <c r="B216">
        <v>1</v>
      </c>
      <c r="C216" t="s">
        <v>22</v>
      </c>
      <c r="D216">
        <v>3001</v>
      </c>
      <c r="E216" t="s">
        <v>97</v>
      </c>
      <c r="F216" t="s">
        <v>14</v>
      </c>
      <c r="G216">
        <v>7</v>
      </c>
    </row>
    <row r="217" spans="1:7" x14ac:dyDescent="0.35">
      <c r="A217">
        <v>149595</v>
      </c>
      <c r="B217">
        <v>1</v>
      </c>
      <c r="C217" t="s">
        <v>22</v>
      </c>
      <c r="D217">
        <v>6008</v>
      </c>
      <c r="E217" t="s">
        <v>90</v>
      </c>
      <c r="F217" t="s">
        <v>14</v>
      </c>
      <c r="G217">
        <v>17</v>
      </c>
    </row>
    <row r="218" spans="1:7" x14ac:dyDescent="0.35">
      <c r="A218">
        <v>166606</v>
      </c>
      <c r="B218">
        <v>0</v>
      </c>
      <c r="C218" t="s">
        <v>22</v>
      </c>
      <c r="D218">
        <v>3401</v>
      </c>
      <c r="E218" t="s">
        <v>95</v>
      </c>
      <c r="F218" t="s">
        <v>17</v>
      </c>
      <c r="G218">
        <v>50</v>
      </c>
    </row>
    <row r="219" spans="1:7" x14ac:dyDescent="0.35">
      <c r="A219">
        <v>8240</v>
      </c>
      <c r="B219">
        <v>1</v>
      </c>
      <c r="C219" t="s">
        <v>22</v>
      </c>
      <c r="D219">
        <v>0</v>
      </c>
      <c r="G219">
        <v>10</v>
      </c>
    </row>
    <row r="220" spans="1:7" x14ac:dyDescent="0.35">
      <c r="A220">
        <v>185904</v>
      </c>
      <c r="B220">
        <v>0</v>
      </c>
      <c r="C220" t="s">
        <v>21</v>
      </c>
      <c r="D220">
        <v>5801</v>
      </c>
      <c r="E220" t="s">
        <v>93</v>
      </c>
      <c r="F220" t="s">
        <v>17</v>
      </c>
      <c r="G220">
        <v>13</v>
      </c>
    </row>
    <row r="221" spans="1:7" x14ac:dyDescent="0.35">
      <c r="A221">
        <v>49351</v>
      </c>
      <c r="B221">
        <v>1</v>
      </c>
      <c r="C221" t="s">
        <v>43</v>
      </c>
      <c r="D221">
        <v>3401</v>
      </c>
      <c r="E221" t="s">
        <v>89</v>
      </c>
      <c r="F221" t="s">
        <v>14</v>
      </c>
      <c r="G221">
        <v>15</v>
      </c>
    </row>
    <row r="222" spans="1:7" x14ac:dyDescent="0.35">
      <c r="A222">
        <v>191779</v>
      </c>
      <c r="B222">
        <v>1</v>
      </c>
      <c r="C222" t="s">
        <v>13</v>
      </c>
      <c r="D222">
        <v>2701</v>
      </c>
      <c r="F222" t="s">
        <v>14</v>
      </c>
      <c r="G222">
        <v>150</v>
      </c>
    </row>
    <row r="223" spans="1:7" x14ac:dyDescent="0.35">
      <c r="A223">
        <v>169881</v>
      </c>
      <c r="B223">
        <v>0</v>
      </c>
      <c r="C223" t="s">
        <v>22</v>
      </c>
      <c r="D223">
        <v>0</v>
      </c>
      <c r="E223" t="s">
        <v>92</v>
      </c>
      <c r="F223" t="s">
        <v>17</v>
      </c>
      <c r="G223">
        <v>15</v>
      </c>
    </row>
    <row r="224" spans="1:7" x14ac:dyDescent="0.35">
      <c r="A224">
        <v>144356</v>
      </c>
      <c r="B224">
        <v>3</v>
      </c>
      <c r="C224" t="s">
        <v>22</v>
      </c>
      <c r="D224">
        <v>0</v>
      </c>
      <c r="E224" t="s">
        <v>103</v>
      </c>
      <c r="F224" t="s">
        <v>17</v>
      </c>
      <c r="G224">
        <v>20</v>
      </c>
    </row>
    <row r="225" spans="1:7" x14ac:dyDescent="0.35">
      <c r="A225">
        <v>186528</v>
      </c>
      <c r="B225">
        <v>2</v>
      </c>
      <c r="C225" t="s">
        <v>21</v>
      </c>
      <c r="D225">
        <v>2212</v>
      </c>
      <c r="E225" t="s">
        <v>88</v>
      </c>
      <c r="F225" t="s">
        <v>17</v>
      </c>
      <c r="G225">
        <v>15</v>
      </c>
    </row>
    <row r="226" spans="1:7" x14ac:dyDescent="0.35">
      <c r="A226">
        <v>14161</v>
      </c>
      <c r="B226">
        <v>0</v>
      </c>
      <c r="C226" t="s">
        <v>40</v>
      </c>
      <c r="D226">
        <v>2805</v>
      </c>
      <c r="E226" t="s">
        <v>104</v>
      </c>
      <c r="F226" t="s">
        <v>14</v>
      </c>
      <c r="G226">
        <v>10</v>
      </c>
    </row>
    <row r="227" spans="1:7" x14ac:dyDescent="0.35">
      <c r="A227">
        <v>190839</v>
      </c>
      <c r="B227">
        <v>1</v>
      </c>
      <c r="C227" t="s">
        <v>16</v>
      </c>
      <c r="D227">
        <v>5601</v>
      </c>
      <c r="E227" t="s">
        <v>101</v>
      </c>
      <c r="F227" t="s">
        <v>14</v>
      </c>
      <c r="G227">
        <v>15</v>
      </c>
    </row>
    <row r="228" spans="1:7" x14ac:dyDescent="0.35">
      <c r="A228">
        <v>146269</v>
      </c>
      <c r="B228">
        <v>2</v>
      </c>
      <c r="C228" t="s">
        <v>22</v>
      </c>
      <c r="D228">
        <v>4601</v>
      </c>
      <c r="E228" t="s">
        <v>95</v>
      </c>
      <c r="F228" t="s">
        <v>17</v>
      </c>
      <c r="G228">
        <v>10</v>
      </c>
    </row>
    <row r="229" spans="1:7" x14ac:dyDescent="0.35">
      <c r="A229">
        <v>188507</v>
      </c>
      <c r="B229">
        <v>2</v>
      </c>
      <c r="C229" t="s">
        <v>22</v>
      </c>
      <c r="D229">
        <v>2601</v>
      </c>
      <c r="E229" t="s">
        <v>94</v>
      </c>
      <c r="F229" t="s">
        <v>17</v>
      </c>
      <c r="G229">
        <v>10</v>
      </c>
    </row>
    <row r="230" spans="1:7" x14ac:dyDescent="0.35">
      <c r="A230">
        <v>116251</v>
      </c>
      <c r="B230">
        <v>0</v>
      </c>
      <c r="C230" t="s">
        <v>21</v>
      </c>
      <c r="D230">
        <v>505</v>
      </c>
      <c r="E230" t="s">
        <v>93</v>
      </c>
      <c r="F230" t="s">
        <v>17</v>
      </c>
      <c r="G230">
        <v>10</v>
      </c>
    </row>
    <row r="231" spans="1:7" x14ac:dyDescent="0.35">
      <c r="A231">
        <v>81945</v>
      </c>
      <c r="B231">
        <v>1</v>
      </c>
      <c r="C231" t="s">
        <v>35</v>
      </c>
      <c r="D231">
        <v>6401</v>
      </c>
      <c r="E231" t="s">
        <v>93</v>
      </c>
      <c r="F231" t="s">
        <v>14</v>
      </c>
      <c r="G231">
        <v>20</v>
      </c>
    </row>
    <row r="232" spans="1:7" x14ac:dyDescent="0.35">
      <c r="A232">
        <v>8989</v>
      </c>
      <c r="B232">
        <v>2</v>
      </c>
      <c r="C232" t="s">
        <v>40</v>
      </c>
      <c r="D232">
        <v>1401</v>
      </c>
      <c r="E232" t="s">
        <v>89</v>
      </c>
      <c r="F232" t="s">
        <v>17</v>
      </c>
      <c r="G232">
        <v>32</v>
      </c>
    </row>
    <row r="233" spans="1:7" x14ac:dyDescent="0.35">
      <c r="A233">
        <v>47282</v>
      </c>
      <c r="B233">
        <v>0</v>
      </c>
      <c r="C233" t="s">
        <v>43</v>
      </c>
      <c r="D233">
        <v>5701</v>
      </c>
      <c r="E233" t="s">
        <v>90</v>
      </c>
      <c r="F233" t="s">
        <v>17</v>
      </c>
      <c r="G233">
        <v>15</v>
      </c>
    </row>
    <row r="234" spans="1:7" x14ac:dyDescent="0.35">
      <c r="A234">
        <v>2950</v>
      </c>
      <c r="B234">
        <v>0</v>
      </c>
      <c r="C234" t="s">
        <v>34</v>
      </c>
      <c r="D234">
        <v>0</v>
      </c>
      <c r="E234" t="s">
        <v>100</v>
      </c>
      <c r="F234" t="s">
        <v>14</v>
      </c>
      <c r="G234">
        <v>2</v>
      </c>
    </row>
    <row r="235" spans="1:7" x14ac:dyDescent="0.35">
      <c r="A235">
        <v>87771</v>
      </c>
      <c r="B235">
        <v>0</v>
      </c>
      <c r="C235" t="s">
        <v>16</v>
      </c>
      <c r="D235">
        <v>6401</v>
      </c>
      <c r="E235" t="s">
        <v>95</v>
      </c>
      <c r="F235" t="s">
        <v>17</v>
      </c>
      <c r="G235">
        <v>20</v>
      </c>
    </row>
    <row r="236" spans="1:7" x14ac:dyDescent="0.35">
      <c r="A236">
        <v>167934</v>
      </c>
      <c r="B236">
        <v>28</v>
      </c>
      <c r="C236" t="s">
        <v>40</v>
      </c>
      <c r="D236">
        <v>3201</v>
      </c>
      <c r="E236" t="s">
        <v>90</v>
      </c>
      <c r="F236" t="s">
        <v>17</v>
      </c>
      <c r="G236">
        <v>21</v>
      </c>
    </row>
    <row r="237" spans="1:7" x14ac:dyDescent="0.35">
      <c r="A237">
        <v>26045</v>
      </c>
      <c r="B237">
        <v>28</v>
      </c>
      <c r="C237" t="s">
        <v>39</v>
      </c>
      <c r="D237">
        <v>4801</v>
      </c>
      <c r="E237" t="s">
        <v>92</v>
      </c>
      <c r="F237" t="s">
        <v>17</v>
      </c>
      <c r="G237">
        <v>14</v>
      </c>
    </row>
    <row r="238" spans="1:7" x14ac:dyDescent="0.35">
      <c r="A238">
        <v>661</v>
      </c>
      <c r="B238">
        <v>0</v>
      </c>
      <c r="C238" t="s">
        <v>22</v>
      </c>
      <c r="D238">
        <v>6509</v>
      </c>
      <c r="E238" t="s">
        <v>103</v>
      </c>
      <c r="F238" t="s">
        <v>14</v>
      </c>
      <c r="G238">
        <v>20</v>
      </c>
    </row>
    <row r="239" spans="1:7" x14ac:dyDescent="0.35">
      <c r="A239">
        <v>47569</v>
      </c>
      <c r="B239">
        <v>0</v>
      </c>
      <c r="C239" t="s">
        <v>43</v>
      </c>
      <c r="D239">
        <v>0</v>
      </c>
      <c r="E239" t="s">
        <v>88</v>
      </c>
      <c r="F239" t="s">
        <v>17</v>
      </c>
      <c r="G239">
        <v>10</v>
      </c>
    </row>
    <row r="240" spans="1:7" x14ac:dyDescent="0.35">
      <c r="A240">
        <v>176743</v>
      </c>
      <c r="B240">
        <v>1</v>
      </c>
      <c r="C240" t="s">
        <v>50</v>
      </c>
      <c r="D240">
        <v>201</v>
      </c>
      <c r="E240" t="s">
        <v>96</v>
      </c>
      <c r="F240" t="s">
        <v>14</v>
      </c>
      <c r="G240">
        <v>7</v>
      </c>
    </row>
    <row r="241" spans="1:7" x14ac:dyDescent="0.35">
      <c r="A241">
        <v>188164</v>
      </c>
      <c r="B241">
        <v>0</v>
      </c>
      <c r="C241" t="s">
        <v>21</v>
      </c>
      <c r="D241">
        <v>0</v>
      </c>
      <c r="E241" t="s">
        <v>93</v>
      </c>
      <c r="G241">
        <v>10</v>
      </c>
    </row>
    <row r="242" spans="1:7" x14ac:dyDescent="0.35">
      <c r="A242">
        <v>134364</v>
      </c>
      <c r="B242">
        <v>0</v>
      </c>
      <c r="C242" t="s">
        <v>38</v>
      </c>
      <c r="D242">
        <v>0</v>
      </c>
      <c r="E242" t="s">
        <v>103</v>
      </c>
      <c r="F242" t="s">
        <v>17</v>
      </c>
      <c r="G242">
        <v>20</v>
      </c>
    </row>
    <row r="243" spans="1:7" x14ac:dyDescent="0.35">
      <c r="A243">
        <v>93742</v>
      </c>
      <c r="B243">
        <v>2</v>
      </c>
      <c r="C243" t="s">
        <v>16</v>
      </c>
      <c r="D243">
        <v>3504</v>
      </c>
      <c r="E243" t="s">
        <v>101</v>
      </c>
      <c r="F243" t="s">
        <v>17</v>
      </c>
      <c r="G243">
        <v>30</v>
      </c>
    </row>
    <row r="244" spans="1:7" x14ac:dyDescent="0.35">
      <c r="A244">
        <v>39479</v>
      </c>
      <c r="B244">
        <v>2</v>
      </c>
      <c r="C244" t="s">
        <v>13</v>
      </c>
      <c r="D244">
        <v>3306</v>
      </c>
      <c r="E244" t="s">
        <v>88</v>
      </c>
      <c r="F244" t="s">
        <v>14</v>
      </c>
      <c r="G244">
        <v>4</v>
      </c>
    </row>
    <row r="245" spans="1:7" x14ac:dyDescent="0.35">
      <c r="A245">
        <v>54142</v>
      </c>
      <c r="B245">
        <v>2</v>
      </c>
      <c r="C245" t="s">
        <v>53</v>
      </c>
      <c r="D245">
        <v>4601</v>
      </c>
      <c r="E245" t="s">
        <v>91</v>
      </c>
      <c r="F245" t="s">
        <v>17</v>
      </c>
      <c r="G245">
        <v>21</v>
      </c>
    </row>
    <row r="246" spans="1:7" x14ac:dyDescent="0.35">
      <c r="A246">
        <v>168038</v>
      </c>
      <c r="B246">
        <v>0</v>
      </c>
      <c r="C246" t="s">
        <v>22</v>
      </c>
      <c r="D246">
        <v>4703</v>
      </c>
      <c r="E246" t="s">
        <v>93</v>
      </c>
      <c r="F246" t="s">
        <v>14</v>
      </c>
      <c r="G246">
        <v>36</v>
      </c>
    </row>
    <row r="247" spans="1:7" x14ac:dyDescent="0.35">
      <c r="A247">
        <v>48675</v>
      </c>
      <c r="B247">
        <v>0</v>
      </c>
      <c r="C247" t="s">
        <v>43</v>
      </c>
      <c r="D247">
        <v>2601</v>
      </c>
      <c r="E247" t="s">
        <v>92</v>
      </c>
      <c r="F247" t="s">
        <v>17</v>
      </c>
      <c r="G247">
        <v>5</v>
      </c>
    </row>
    <row r="248" spans="1:7" x14ac:dyDescent="0.35">
      <c r="A248">
        <v>158980</v>
      </c>
      <c r="B248">
        <v>0</v>
      </c>
      <c r="C248" t="s">
        <v>22</v>
      </c>
      <c r="D248">
        <v>6201</v>
      </c>
      <c r="E248" t="s">
        <v>90</v>
      </c>
      <c r="F248" t="s">
        <v>14</v>
      </c>
      <c r="G248">
        <v>20</v>
      </c>
    </row>
    <row r="249" spans="1:7" x14ac:dyDescent="0.35">
      <c r="A249">
        <v>153888</v>
      </c>
      <c r="B249">
        <v>0</v>
      </c>
      <c r="C249" t="s">
        <v>22</v>
      </c>
      <c r="D249">
        <v>3801</v>
      </c>
      <c r="E249" t="s">
        <v>93</v>
      </c>
      <c r="F249" t="s">
        <v>17</v>
      </c>
      <c r="G249">
        <v>10</v>
      </c>
    </row>
    <row r="250" spans="1:7" x14ac:dyDescent="0.35">
      <c r="A250">
        <v>162300</v>
      </c>
      <c r="B250">
        <v>1002</v>
      </c>
      <c r="C250" t="s">
        <v>22</v>
      </c>
      <c r="D250">
        <v>2001</v>
      </c>
      <c r="E250" t="s">
        <v>93</v>
      </c>
      <c r="F250" t="s">
        <v>14</v>
      </c>
      <c r="G250">
        <v>20</v>
      </c>
    </row>
    <row r="251" spans="1:7" x14ac:dyDescent="0.35">
      <c r="A251">
        <v>163081</v>
      </c>
      <c r="B251">
        <v>1</v>
      </c>
      <c r="C251" t="s">
        <v>22</v>
      </c>
      <c r="D251">
        <v>0</v>
      </c>
      <c r="E251" t="s">
        <v>95</v>
      </c>
      <c r="F251" t="s">
        <v>14</v>
      </c>
      <c r="G251">
        <v>7</v>
      </c>
    </row>
    <row r="252" spans="1:7" x14ac:dyDescent="0.35">
      <c r="A252">
        <v>14000</v>
      </c>
      <c r="B252">
        <v>0</v>
      </c>
      <c r="C252" t="s">
        <v>31</v>
      </c>
      <c r="D252">
        <v>2101</v>
      </c>
      <c r="E252" t="s">
        <v>93</v>
      </c>
      <c r="F252" t="s">
        <v>17</v>
      </c>
      <c r="G252">
        <v>12</v>
      </c>
    </row>
    <row r="253" spans="1:7" x14ac:dyDescent="0.35">
      <c r="A253">
        <v>6599</v>
      </c>
      <c r="B253">
        <v>0</v>
      </c>
      <c r="C253" t="s">
        <v>40</v>
      </c>
      <c r="D253">
        <v>3601</v>
      </c>
      <c r="E253" t="s">
        <v>90</v>
      </c>
      <c r="F253" t="s">
        <v>17</v>
      </c>
      <c r="G253">
        <v>11</v>
      </c>
    </row>
    <row r="254" spans="1:7" x14ac:dyDescent="0.35">
      <c r="A254">
        <v>135454</v>
      </c>
      <c r="B254">
        <v>0</v>
      </c>
      <c r="C254" t="s">
        <v>55</v>
      </c>
      <c r="D254">
        <v>0</v>
      </c>
      <c r="E254" t="s">
        <v>94</v>
      </c>
      <c r="F254" t="s">
        <v>14</v>
      </c>
      <c r="G254">
        <v>15</v>
      </c>
    </row>
    <row r="255" spans="1:7" x14ac:dyDescent="0.35">
      <c r="A255">
        <v>128643</v>
      </c>
      <c r="B255">
        <v>1</v>
      </c>
      <c r="C255" t="s">
        <v>21</v>
      </c>
      <c r="D255">
        <v>2809</v>
      </c>
      <c r="E255" t="s">
        <v>96</v>
      </c>
      <c r="F255" t="s">
        <v>14</v>
      </c>
      <c r="G255">
        <v>4</v>
      </c>
    </row>
    <row r="256" spans="1:7" x14ac:dyDescent="0.35">
      <c r="A256">
        <v>116420</v>
      </c>
      <c r="B256">
        <v>0</v>
      </c>
      <c r="C256" t="s">
        <v>21</v>
      </c>
      <c r="D256">
        <v>0</v>
      </c>
      <c r="E256" t="s">
        <v>93</v>
      </c>
      <c r="F256" t="s">
        <v>14</v>
      </c>
      <c r="G256">
        <v>20</v>
      </c>
    </row>
    <row r="257" spans="1:7" x14ac:dyDescent="0.35">
      <c r="A257">
        <v>35101</v>
      </c>
      <c r="B257">
        <v>1</v>
      </c>
      <c r="C257" t="s">
        <v>13</v>
      </c>
      <c r="D257">
        <v>1911</v>
      </c>
      <c r="E257" t="s">
        <v>93</v>
      </c>
      <c r="F257" t="s">
        <v>14</v>
      </c>
      <c r="G257">
        <v>20</v>
      </c>
    </row>
    <row r="258" spans="1:7" x14ac:dyDescent="0.35">
      <c r="A258">
        <v>75474</v>
      </c>
      <c r="B258">
        <v>0</v>
      </c>
      <c r="C258" t="s">
        <v>47</v>
      </c>
      <c r="D258">
        <v>0</v>
      </c>
      <c r="E258" t="s">
        <v>98</v>
      </c>
      <c r="F258" t="s">
        <v>14</v>
      </c>
      <c r="G258">
        <v>15</v>
      </c>
    </row>
    <row r="259" spans="1:7" x14ac:dyDescent="0.35">
      <c r="A259">
        <v>785</v>
      </c>
      <c r="B259">
        <v>0</v>
      </c>
      <c r="C259" t="s">
        <v>29</v>
      </c>
      <c r="D259">
        <v>4507</v>
      </c>
      <c r="E259" t="s">
        <v>92</v>
      </c>
      <c r="F259" t="s">
        <v>14</v>
      </c>
      <c r="G259">
        <v>18</v>
      </c>
    </row>
    <row r="260" spans="1:7" x14ac:dyDescent="0.35">
      <c r="A260">
        <v>27624</v>
      </c>
      <c r="B260">
        <v>2</v>
      </c>
      <c r="C260" t="s">
        <v>39</v>
      </c>
      <c r="D260">
        <v>3701</v>
      </c>
      <c r="E260" t="s">
        <v>94</v>
      </c>
      <c r="F260" t="s">
        <v>17</v>
      </c>
      <c r="G260">
        <v>8</v>
      </c>
    </row>
    <row r="261" spans="1:7" x14ac:dyDescent="0.35">
      <c r="A261">
        <v>73754</v>
      </c>
      <c r="B261">
        <v>0</v>
      </c>
      <c r="C261" t="s">
        <v>29</v>
      </c>
      <c r="D261">
        <v>1801</v>
      </c>
      <c r="E261" t="s">
        <v>93</v>
      </c>
      <c r="F261" t="s">
        <v>17</v>
      </c>
      <c r="G261">
        <v>25</v>
      </c>
    </row>
    <row r="262" spans="1:7" x14ac:dyDescent="0.35">
      <c r="A262">
        <v>141189</v>
      </c>
      <c r="B262">
        <v>0</v>
      </c>
      <c r="C262" t="s">
        <v>24</v>
      </c>
      <c r="D262">
        <v>0</v>
      </c>
      <c r="E262" t="s">
        <v>90</v>
      </c>
      <c r="F262" t="s">
        <v>17</v>
      </c>
      <c r="G262">
        <v>25</v>
      </c>
    </row>
    <row r="263" spans="1:7" x14ac:dyDescent="0.35">
      <c r="A263">
        <v>1544</v>
      </c>
      <c r="B263">
        <v>28</v>
      </c>
      <c r="C263" t="s">
        <v>37</v>
      </c>
      <c r="D263">
        <v>5201</v>
      </c>
      <c r="E263" t="s">
        <v>93</v>
      </c>
      <c r="F263" t="s">
        <v>17</v>
      </c>
      <c r="G263">
        <v>10</v>
      </c>
    </row>
    <row r="264" spans="1:7" x14ac:dyDescent="0.35">
      <c r="A264">
        <v>124149</v>
      </c>
      <c r="B264">
        <v>0</v>
      </c>
      <c r="C264" t="s">
        <v>21</v>
      </c>
      <c r="D264">
        <v>1801</v>
      </c>
      <c r="E264" t="s">
        <v>89</v>
      </c>
      <c r="F264" t="s">
        <v>14</v>
      </c>
      <c r="G264">
        <v>14</v>
      </c>
    </row>
    <row r="265" spans="1:7" x14ac:dyDescent="0.35">
      <c r="A265">
        <v>85890</v>
      </c>
      <c r="B265">
        <v>2</v>
      </c>
      <c r="C265" t="s">
        <v>52</v>
      </c>
      <c r="D265">
        <v>0</v>
      </c>
      <c r="E265" t="s">
        <v>98</v>
      </c>
      <c r="F265" t="s">
        <v>17</v>
      </c>
      <c r="G265">
        <v>20</v>
      </c>
    </row>
    <row r="266" spans="1:7" x14ac:dyDescent="0.35">
      <c r="A266">
        <v>37005</v>
      </c>
      <c r="B266">
        <v>0</v>
      </c>
      <c r="C266" t="s">
        <v>13</v>
      </c>
      <c r="D266">
        <v>0</v>
      </c>
      <c r="E266" t="s">
        <v>89</v>
      </c>
      <c r="F266" t="s">
        <v>17</v>
      </c>
      <c r="G266">
        <v>11</v>
      </c>
    </row>
    <row r="267" spans="1:7" x14ac:dyDescent="0.35">
      <c r="A267">
        <v>166324</v>
      </c>
      <c r="B267">
        <v>0</v>
      </c>
      <c r="C267" t="s">
        <v>22</v>
      </c>
      <c r="D267">
        <v>0</v>
      </c>
      <c r="E267" t="s">
        <v>95</v>
      </c>
      <c r="F267" t="s">
        <v>30</v>
      </c>
      <c r="G267">
        <v>19</v>
      </c>
    </row>
    <row r="268" spans="1:7" x14ac:dyDescent="0.35">
      <c r="A268">
        <v>13448</v>
      </c>
      <c r="B268">
        <v>28</v>
      </c>
      <c r="C268" t="s">
        <v>22</v>
      </c>
      <c r="D268">
        <v>3001</v>
      </c>
      <c r="E268" t="s">
        <v>102</v>
      </c>
      <c r="F268" t="s">
        <v>17</v>
      </c>
      <c r="G268">
        <v>5</v>
      </c>
    </row>
    <row r="269" spans="1:7" x14ac:dyDescent="0.35">
      <c r="A269">
        <v>180428</v>
      </c>
      <c r="B269">
        <v>1</v>
      </c>
      <c r="C269" t="s">
        <v>40</v>
      </c>
      <c r="D269">
        <v>4811</v>
      </c>
      <c r="E269" t="s">
        <v>89</v>
      </c>
      <c r="F269" t="s">
        <v>14</v>
      </c>
      <c r="G269">
        <v>20</v>
      </c>
    </row>
    <row r="270" spans="1:7" x14ac:dyDescent="0.35">
      <c r="A270">
        <v>12517</v>
      </c>
      <c r="B270">
        <v>1</v>
      </c>
      <c r="C270" t="s">
        <v>36</v>
      </c>
      <c r="D270">
        <v>3201</v>
      </c>
      <c r="E270" t="s">
        <v>93</v>
      </c>
      <c r="F270" t="s">
        <v>14</v>
      </c>
      <c r="G270">
        <v>1</v>
      </c>
    </row>
    <row r="271" spans="1:7" x14ac:dyDescent="0.35">
      <c r="A271">
        <v>99246</v>
      </c>
      <c r="B271">
        <v>0</v>
      </c>
      <c r="C271" t="s">
        <v>16</v>
      </c>
      <c r="D271">
        <v>2201</v>
      </c>
      <c r="E271" t="s">
        <v>98</v>
      </c>
      <c r="F271" t="s">
        <v>17</v>
      </c>
      <c r="G271">
        <v>20</v>
      </c>
    </row>
    <row r="272" spans="1:7" x14ac:dyDescent="0.35">
      <c r="A272">
        <v>174760</v>
      </c>
      <c r="B272">
        <v>2</v>
      </c>
      <c r="C272" t="s">
        <v>50</v>
      </c>
      <c r="D272">
        <v>2501</v>
      </c>
      <c r="E272" t="s">
        <v>89</v>
      </c>
      <c r="F272" t="s">
        <v>17</v>
      </c>
      <c r="G272">
        <v>5</v>
      </c>
    </row>
    <row r="273" spans="1:7" x14ac:dyDescent="0.35">
      <c r="A273">
        <v>124379</v>
      </c>
      <c r="B273">
        <v>1</v>
      </c>
      <c r="C273" t="s">
        <v>21</v>
      </c>
      <c r="D273">
        <v>4401</v>
      </c>
      <c r="F273" t="s">
        <v>14</v>
      </c>
      <c r="G273">
        <v>5</v>
      </c>
    </row>
    <row r="274" spans="1:7" x14ac:dyDescent="0.35">
      <c r="A274">
        <v>176862</v>
      </c>
      <c r="B274">
        <v>2</v>
      </c>
      <c r="C274" t="s">
        <v>50</v>
      </c>
      <c r="D274">
        <v>0</v>
      </c>
      <c r="E274" t="s">
        <v>89</v>
      </c>
      <c r="F274" t="s">
        <v>17</v>
      </c>
      <c r="G274">
        <v>20</v>
      </c>
    </row>
    <row r="275" spans="1:7" x14ac:dyDescent="0.35">
      <c r="A275">
        <v>188986</v>
      </c>
      <c r="B275">
        <v>1</v>
      </c>
      <c r="C275" t="s">
        <v>55</v>
      </c>
      <c r="D275">
        <v>2101</v>
      </c>
      <c r="E275" t="s">
        <v>88</v>
      </c>
      <c r="F275" t="s">
        <v>14</v>
      </c>
      <c r="G275">
        <v>9</v>
      </c>
    </row>
    <row r="276" spans="1:7" x14ac:dyDescent="0.35">
      <c r="A276">
        <v>148906</v>
      </c>
      <c r="B276">
        <v>0</v>
      </c>
      <c r="C276" t="s">
        <v>22</v>
      </c>
      <c r="D276">
        <v>6201</v>
      </c>
      <c r="E276" t="s">
        <v>88</v>
      </c>
      <c r="F276" t="s">
        <v>17</v>
      </c>
      <c r="G276">
        <v>6</v>
      </c>
    </row>
    <row r="277" spans="1:7" x14ac:dyDescent="0.35">
      <c r="A277">
        <v>109646</v>
      </c>
      <c r="B277">
        <v>1</v>
      </c>
      <c r="C277" t="s">
        <v>49</v>
      </c>
      <c r="D277">
        <v>5201</v>
      </c>
      <c r="E277" t="s">
        <v>104</v>
      </c>
      <c r="F277" t="s">
        <v>14</v>
      </c>
      <c r="G277">
        <v>10</v>
      </c>
    </row>
    <row r="278" spans="1:7" x14ac:dyDescent="0.35">
      <c r="A278">
        <v>62295</v>
      </c>
      <c r="B278">
        <v>0</v>
      </c>
      <c r="C278" t="s">
        <v>33</v>
      </c>
      <c r="D278">
        <v>5601</v>
      </c>
      <c r="E278" t="s">
        <v>88</v>
      </c>
      <c r="F278" t="s">
        <v>17</v>
      </c>
      <c r="G278">
        <v>20</v>
      </c>
    </row>
    <row r="279" spans="1:7" x14ac:dyDescent="0.35">
      <c r="A279">
        <v>162650</v>
      </c>
      <c r="B279">
        <v>1</v>
      </c>
      <c r="C279" t="s">
        <v>22</v>
      </c>
      <c r="D279">
        <v>0</v>
      </c>
      <c r="E279" t="s">
        <v>93</v>
      </c>
      <c r="F279" t="s">
        <v>14</v>
      </c>
      <c r="G279">
        <v>5</v>
      </c>
    </row>
    <row r="280" spans="1:7" x14ac:dyDescent="0.35">
      <c r="A280">
        <v>99836</v>
      </c>
      <c r="B280">
        <v>1</v>
      </c>
      <c r="C280" t="s">
        <v>36</v>
      </c>
      <c r="D280">
        <v>3101</v>
      </c>
      <c r="E280" t="s">
        <v>97</v>
      </c>
      <c r="F280" t="s">
        <v>14</v>
      </c>
      <c r="G280">
        <v>21</v>
      </c>
    </row>
    <row r="281" spans="1:7" x14ac:dyDescent="0.35">
      <c r="A281">
        <v>33994</v>
      </c>
      <c r="B281">
        <v>1</v>
      </c>
      <c r="C281" t="s">
        <v>13</v>
      </c>
      <c r="D281">
        <v>5304</v>
      </c>
      <c r="E281" t="s">
        <v>89</v>
      </c>
      <c r="F281" t="s">
        <v>14</v>
      </c>
      <c r="G281">
        <v>6</v>
      </c>
    </row>
    <row r="282" spans="1:7" x14ac:dyDescent="0.35">
      <c r="A282">
        <v>93432</v>
      </c>
      <c r="B282">
        <v>28</v>
      </c>
      <c r="C282" t="s">
        <v>16</v>
      </c>
      <c r="D282">
        <v>0</v>
      </c>
      <c r="E282" t="s">
        <v>101</v>
      </c>
      <c r="F282" t="s">
        <v>17</v>
      </c>
      <c r="G282">
        <v>11</v>
      </c>
    </row>
    <row r="283" spans="1:7" x14ac:dyDescent="0.35">
      <c r="A283">
        <v>62786</v>
      </c>
      <c r="B283">
        <v>2</v>
      </c>
      <c r="C283" t="s">
        <v>33</v>
      </c>
      <c r="D283">
        <v>3501</v>
      </c>
      <c r="E283" t="s">
        <v>91</v>
      </c>
      <c r="F283" t="s">
        <v>17</v>
      </c>
      <c r="G283">
        <v>11</v>
      </c>
    </row>
    <row r="284" spans="1:7" x14ac:dyDescent="0.35">
      <c r="A284">
        <v>44634</v>
      </c>
      <c r="B284">
        <v>1</v>
      </c>
      <c r="C284" t="s">
        <v>13</v>
      </c>
      <c r="D284">
        <v>3701</v>
      </c>
      <c r="E284" t="s">
        <v>88</v>
      </c>
      <c r="F284" t="s">
        <v>14</v>
      </c>
      <c r="G284">
        <v>10</v>
      </c>
    </row>
    <row r="285" spans="1:7" x14ac:dyDescent="0.35">
      <c r="A285">
        <v>146914</v>
      </c>
      <c r="B285">
        <v>0</v>
      </c>
      <c r="C285" t="s">
        <v>22</v>
      </c>
      <c r="D285">
        <v>5401</v>
      </c>
      <c r="E285" t="s">
        <v>95</v>
      </c>
      <c r="F285" t="s">
        <v>17</v>
      </c>
      <c r="G285">
        <v>10</v>
      </c>
    </row>
    <row r="286" spans="1:7" x14ac:dyDescent="0.35">
      <c r="A286">
        <v>70079</v>
      </c>
      <c r="B286">
        <v>2</v>
      </c>
      <c r="C286" t="s">
        <v>29</v>
      </c>
      <c r="D286">
        <v>4701</v>
      </c>
      <c r="E286" t="s">
        <v>96</v>
      </c>
      <c r="F286" t="s">
        <v>17</v>
      </c>
      <c r="G286">
        <v>15</v>
      </c>
    </row>
    <row r="287" spans="1:7" x14ac:dyDescent="0.35">
      <c r="A287">
        <v>24871</v>
      </c>
      <c r="B287">
        <v>2</v>
      </c>
      <c r="C287" t="s">
        <v>46</v>
      </c>
      <c r="D287">
        <v>4401</v>
      </c>
      <c r="E287" t="s">
        <v>89</v>
      </c>
      <c r="F287" t="s">
        <v>17</v>
      </c>
      <c r="G287">
        <v>16</v>
      </c>
    </row>
    <row r="288" spans="1:7" x14ac:dyDescent="0.35">
      <c r="A288">
        <v>150660</v>
      </c>
      <c r="B288">
        <v>0</v>
      </c>
      <c r="C288" t="s">
        <v>38</v>
      </c>
      <c r="D288">
        <v>4601</v>
      </c>
      <c r="E288" t="s">
        <v>95</v>
      </c>
      <c r="F288" t="s">
        <v>17</v>
      </c>
      <c r="G288">
        <v>12</v>
      </c>
    </row>
    <row r="289" spans="1:7" x14ac:dyDescent="0.35">
      <c r="A289">
        <v>169700</v>
      </c>
      <c r="B289">
        <v>1</v>
      </c>
      <c r="C289" t="s">
        <v>22</v>
      </c>
      <c r="D289">
        <v>0</v>
      </c>
      <c r="E289" t="s">
        <v>88</v>
      </c>
      <c r="F289" t="s">
        <v>14</v>
      </c>
      <c r="G289">
        <v>25</v>
      </c>
    </row>
    <row r="290" spans="1:7" x14ac:dyDescent="0.35">
      <c r="A290">
        <v>63542</v>
      </c>
      <c r="B290">
        <v>0</v>
      </c>
      <c r="C290" t="s">
        <v>33</v>
      </c>
      <c r="D290">
        <v>4801</v>
      </c>
      <c r="E290" t="s">
        <v>89</v>
      </c>
      <c r="F290" t="s">
        <v>17</v>
      </c>
      <c r="G290">
        <v>26</v>
      </c>
    </row>
    <row r="291" spans="1:7" x14ac:dyDescent="0.35">
      <c r="A291">
        <v>125164</v>
      </c>
      <c r="B291">
        <v>2</v>
      </c>
      <c r="C291" t="s">
        <v>21</v>
      </c>
      <c r="D291">
        <v>1601</v>
      </c>
      <c r="E291" t="s">
        <v>90</v>
      </c>
      <c r="F291" t="s">
        <v>17</v>
      </c>
      <c r="G291">
        <v>50</v>
      </c>
    </row>
    <row r="292" spans="1:7" x14ac:dyDescent="0.35">
      <c r="A292">
        <v>65634</v>
      </c>
      <c r="B292">
        <v>0</v>
      </c>
      <c r="C292" t="s">
        <v>29</v>
      </c>
      <c r="D292">
        <v>801</v>
      </c>
      <c r="E292" t="s">
        <v>96</v>
      </c>
      <c r="F292" t="s">
        <v>17</v>
      </c>
      <c r="G292">
        <v>12</v>
      </c>
    </row>
    <row r="293" spans="1:7" x14ac:dyDescent="0.35">
      <c r="A293">
        <v>59285</v>
      </c>
      <c r="B293">
        <v>2</v>
      </c>
      <c r="C293" t="s">
        <v>33</v>
      </c>
      <c r="D293">
        <v>5101</v>
      </c>
      <c r="E293" t="s">
        <v>104</v>
      </c>
      <c r="F293" t="s">
        <v>17</v>
      </c>
      <c r="G293">
        <v>10</v>
      </c>
    </row>
    <row r="294" spans="1:7" x14ac:dyDescent="0.35">
      <c r="A294">
        <v>78802</v>
      </c>
      <c r="B294">
        <v>1002</v>
      </c>
      <c r="C294" t="s">
        <v>35</v>
      </c>
      <c r="D294">
        <v>1301</v>
      </c>
      <c r="E294" t="s">
        <v>90</v>
      </c>
      <c r="F294" t="s">
        <v>44</v>
      </c>
      <c r="G294">
        <v>15</v>
      </c>
    </row>
    <row r="295" spans="1:7" x14ac:dyDescent="0.35">
      <c r="A295">
        <v>186460</v>
      </c>
      <c r="B295">
        <v>2</v>
      </c>
      <c r="C295" t="s">
        <v>35</v>
      </c>
      <c r="D295">
        <v>0</v>
      </c>
      <c r="E295" t="s">
        <v>98</v>
      </c>
      <c r="F295" t="s">
        <v>17</v>
      </c>
      <c r="G295">
        <v>20</v>
      </c>
    </row>
    <row r="296" spans="1:7" x14ac:dyDescent="0.35">
      <c r="A296">
        <v>114579</v>
      </c>
      <c r="B296">
        <v>1</v>
      </c>
      <c r="C296" t="s">
        <v>31</v>
      </c>
      <c r="D296">
        <v>2112</v>
      </c>
      <c r="E296" t="s">
        <v>92</v>
      </c>
      <c r="F296" t="s">
        <v>14</v>
      </c>
      <c r="G296">
        <v>10</v>
      </c>
    </row>
    <row r="297" spans="1:7" x14ac:dyDescent="0.35">
      <c r="A297">
        <v>23184</v>
      </c>
      <c r="B297">
        <v>0</v>
      </c>
      <c r="C297" t="s">
        <v>46</v>
      </c>
      <c r="D297">
        <v>0</v>
      </c>
      <c r="E297" t="s">
        <v>96</v>
      </c>
      <c r="F297" t="s">
        <v>17</v>
      </c>
      <c r="G297">
        <v>10</v>
      </c>
    </row>
    <row r="298" spans="1:7" x14ac:dyDescent="0.35">
      <c r="A298">
        <v>125289</v>
      </c>
      <c r="B298">
        <v>0</v>
      </c>
      <c r="C298" t="s">
        <v>21</v>
      </c>
      <c r="D298">
        <v>1802</v>
      </c>
      <c r="E298" t="s">
        <v>90</v>
      </c>
      <c r="F298" t="s">
        <v>17</v>
      </c>
      <c r="G298">
        <v>7</v>
      </c>
    </row>
    <row r="299" spans="1:7" x14ac:dyDescent="0.35">
      <c r="A299">
        <v>10502</v>
      </c>
      <c r="B299">
        <v>0</v>
      </c>
      <c r="C299" t="s">
        <v>29</v>
      </c>
      <c r="D299">
        <v>0</v>
      </c>
      <c r="E299" t="s">
        <v>89</v>
      </c>
      <c r="F299" t="s">
        <v>14</v>
      </c>
      <c r="G299">
        <v>15</v>
      </c>
    </row>
    <row r="300" spans="1:7" x14ac:dyDescent="0.35">
      <c r="A300">
        <v>46844</v>
      </c>
      <c r="B300">
        <v>0</v>
      </c>
      <c r="C300" t="s">
        <v>43</v>
      </c>
      <c r="D300">
        <v>0</v>
      </c>
      <c r="E300" t="s">
        <v>98</v>
      </c>
      <c r="F300" t="s">
        <v>14</v>
      </c>
      <c r="G300">
        <v>10</v>
      </c>
    </row>
    <row r="301" spans="1:7" x14ac:dyDescent="0.35">
      <c r="A301">
        <v>162814</v>
      </c>
      <c r="B301">
        <v>1</v>
      </c>
      <c r="C301" t="s">
        <v>22</v>
      </c>
      <c r="D301">
        <v>3701</v>
      </c>
      <c r="E301" t="s">
        <v>95</v>
      </c>
      <c r="F301" t="s">
        <v>14</v>
      </c>
      <c r="G301">
        <v>10</v>
      </c>
    </row>
    <row r="302" spans="1:7" x14ac:dyDescent="0.35">
      <c r="A302">
        <v>89653</v>
      </c>
      <c r="B302">
        <v>0</v>
      </c>
      <c r="C302" t="s">
        <v>16</v>
      </c>
      <c r="D302">
        <v>1708</v>
      </c>
      <c r="E302" t="s">
        <v>88</v>
      </c>
      <c r="F302" t="s">
        <v>14</v>
      </c>
      <c r="G302">
        <v>3</v>
      </c>
    </row>
    <row r="303" spans="1:7" x14ac:dyDescent="0.35">
      <c r="A303">
        <v>170818</v>
      </c>
      <c r="B303">
        <v>2</v>
      </c>
      <c r="C303" t="s">
        <v>22</v>
      </c>
      <c r="D303">
        <v>6209</v>
      </c>
      <c r="E303" t="s">
        <v>93</v>
      </c>
      <c r="F303" t="s">
        <v>17</v>
      </c>
      <c r="G303">
        <v>10</v>
      </c>
    </row>
    <row r="304" spans="1:7" x14ac:dyDescent="0.35">
      <c r="A304">
        <v>6147</v>
      </c>
      <c r="B304">
        <v>1</v>
      </c>
      <c r="C304" t="s">
        <v>46</v>
      </c>
      <c r="D304">
        <v>2101</v>
      </c>
      <c r="E304" t="s">
        <v>89</v>
      </c>
      <c r="F304" t="s">
        <v>14</v>
      </c>
      <c r="G304">
        <v>24</v>
      </c>
    </row>
    <row r="305" spans="1:7" x14ac:dyDescent="0.35">
      <c r="A305">
        <v>14276</v>
      </c>
      <c r="B305">
        <v>0</v>
      </c>
      <c r="C305" t="s">
        <v>22</v>
      </c>
      <c r="D305">
        <v>2801</v>
      </c>
      <c r="E305" t="s">
        <v>103</v>
      </c>
      <c r="F305" t="s">
        <v>17</v>
      </c>
      <c r="G305">
        <v>15</v>
      </c>
    </row>
    <row r="306" spans="1:7" x14ac:dyDescent="0.35">
      <c r="A306">
        <v>120166</v>
      </c>
      <c r="B306">
        <v>28</v>
      </c>
      <c r="C306" t="s">
        <v>21</v>
      </c>
      <c r="D306">
        <v>2608</v>
      </c>
      <c r="E306" t="s">
        <v>98</v>
      </c>
      <c r="F306" t="s">
        <v>17</v>
      </c>
      <c r="G306">
        <v>12</v>
      </c>
    </row>
    <row r="307" spans="1:7" x14ac:dyDescent="0.35">
      <c r="A307">
        <v>156817</v>
      </c>
      <c r="B307">
        <v>0</v>
      </c>
      <c r="C307" t="s">
        <v>22</v>
      </c>
      <c r="D307">
        <v>0</v>
      </c>
      <c r="E307" t="s">
        <v>103</v>
      </c>
      <c r="F307" t="s">
        <v>17</v>
      </c>
      <c r="G307">
        <v>20</v>
      </c>
    </row>
    <row r="308" spans="1:7" x14ac:dyDescent="0.35">
      <c r="A308">
        <v>35476</v>
      </c>
      <c r="B308">
        <v>1</v>
      </c>
      <c r="C308" t="s">
        <v>13</v>
      </c>
      <c r="D308">
        <v>3609</v>
      </c>
      <c r="E308" t="s">
        <v>96</v>
      </c>
      <c r="F308" t="s">
        <v>14</v>
      </c>
      <c r="G308">
        <v>25</v>
      </c>
    </row>
    <row r="309" spans="1:7" x14ac:dyDescent="0.35">
      <c r="A309">
        <v>155382</v>
      </c>
      <c r="B309">
        <v>0</v>
      </c>
      <c r="C309" t="s">
        <v>22</v>
      </c>
      <c r="D309">
        <v>3301</v>
      </c>
      <c r="E309" t="s">
        <v>103</v>
      </c>
      <c r="F309" t="s">
        <v>17</v>
      </c>
      <c r="G309">
        <v>30</v>
      </c>
    </row>
    <row r="310" spans="1:7" x14ac:dyDescent="0.35">
      <c r="A310">
        <v>104049</v>
      </c>
      <c r="B310">
        <v>0</v>
      </c>
      <c r="C310" t="s">
        <v>36</v>
      </c>
      <c r="D310">
        <v>0</v>
      </c>
      <c r="E310" t="s">
        <v>98</v>
      </c>
      <c r="F310" t="s">
        <v>14</v>
      </c>
      <c r="G310">
        <v>3</v>
      </c>
    </row>
    <row r="311" spans="1:7" x14ac:dyDescent="0.35">
      <c r="A311">
        <v>112461</v>
      </c>
      <c r="B311">
        <v>1</v>
      </c>
      <c r="C311" t="s">
        <v>32</v>
      </c>
      <c r="D311">
        <v>2401</v>
      </c>
      <c r="E311" t="s">
        <v>98</v>
      </c>
      <c r="F311" t="s">
        <v>14</v>
      </c>
      <c r="G311">
        <v>10</v>
      </c>
    </row>
    <row r="312" spans="1:7" x14ac:dyDescent="0.35">
      <c r="A312">
        <v>79580</v>
      </c>
      <c r="B312">
        <v>2</v>
      </c>
      <c r="C312" t="s">
        <v>35</v>
      </c>
      <c r="D312">
        <v>201</v>
      </c>
      <c r="E312" t="s">
        <v>95</v>
      </c>
      <c r="F312" t="s">
        <v>17</v>
      </c>
      <c r="G312">
        <v>21</v>
      </c>
    </row>
    <row r="313" spans="1:7" x14ac:dyDescent="0.35">
      <c r="A313">
        <v>86528</v>
      </c>
      <c r="B313">
        <v>2</v>
      </c>
      <c r="C313" t="s">
        <v>45</v>
      </c>
      <c r="D313">
        <v>0</v>
      </c>
      <c r="E313" t="s">
        <v>89</v>
      </c>
      <c r="F313" t="s">
        <v>17</v>
      </c>
      <c r="G313">
        <v>3</v>
      </c>
    </row>
    <row r="314" spans="1:7" x14ac:dyDescent="0.35">
      <c r="A314">
        <v>107658</v>
      </c>
      <c r="B314">
        <v>28</v>
      </c>
      <c r="C314" t="s">
        <v>59</v>
      </c>
      <c r="D314">
        <v>0</v>
      </c>
      <c r="E314" t="s">
        <v>91</v>
      </c>
      <c r="F314" t="s">
        <v>17</v>
      </c>
      <c r="G314">
        <v>10</v>
      </c>
    </row>
    <row r="315" spans="1:7" x14ac:dyDescent="0.35">
      <c r="A315">
        <v>69537</v>
      </c>
      <c r="B315">
        <v>0</v>
      </c>
      <c r="C315" t="s">
        <v>29</v>
      </c>
      <c r="D315">
        <v>2801</v>
      </c>
      <c r="E315" t="s">
        <v>91</v>
      </c>
      <c r="F315" t="s">
        <v>17</v>
      </c>
      <c r="G315">
        <v>15</v>
      </c>
    </row>
    <row r="316" spans="1:7" x14ac:dyDescent="0.35">
      <c r="A316">
        <v>81284</v>
      </c>
      <c r="B316">
        <v>2</v>
      </c>
      <c r="C316" t="s">
        <v>35</v>
      </c>
      <c r="D316">
        <v>4308</v>
      </c>
      <c r="E316" t="s">
        <v>88</v>
      </c>
      <c r="F316" t="s">
        <v>17</v>
      </c>
      <c r="G316">
        <v>25</v>
      </c>
    </row>
    <row r="317" spans="1:7" x14ac:dyDescent="0.35">
      <c r="A317">
        <v>32475</v>
      </c>
      <c r="B317">
        <v>1</v>
      </c>
      <c r="C317" t="s">
        <v>13</v>
      </c>
      <c r="D317">
        <v>0</v>
      </c>
      <c r="E317" t="s">
        <v>89</v>
      </c>
      <c r="F317" t="s">
        <v>14</v>
      </c>
      <c r="G317">
        <v>20</v>
      </c>
    </row>
    <row r="318" spans="1:7" x14ac:dyDescent="0.35">
      <c r="A318">
        <v>104505</v>
      </c>
      <c r="B318">
        <v>2</v>
      </c>
      <c r="C318" t="s">
        <v>28</v>
      </c>
      <c r="D318">
        <v>3801</v>
      </c>
      <c r="E318" t="s">
        <v>91</v>
      </c>
      <c r="F318" t="s">
        <v>17</v>
      </c>
      <c r="G318">
        <v>25</v>
      </c>
    </row>
    <row r="319" spans="1:7" x14ac:dyDescent="0.35">
      <c r="A319">
        <v>13483</v>
      </c>
      <c r="B319">
        <v>0</v>
      </c>
      <c r="C319" t="s">
        <v>35</v>
      </c>
      <c r="D319">
        <v>0</v>
      </c>
      <c r="E319" t="s">
        <v>98</v>
      </c>
      <c r="F319" t="s">
        <v>17</v>
      </c>
      <c r="G319">
        <v>17</v>
      </c>
    </row>
    <row r="320" spans="1:7" x14ac:dyDescent="0.35">
      <c r="A320">
        <v>1042</v>
      </c>
      <c r="B320">
        <v>1</v>
      </c>
      <c r="C320" t="s">
        <v>50</v>
      </c>
      <c r="D320">
        <v>810</v>
      </c>
      <c r="E320" t="s">
        <v>94</v>
      </c>
      <c r="F320" t="s">
        <v>14</v>
      </c>
      <c r="G320">
        <v>8</v>
      </c>
    </row>
    <row r="321" spans="1:7" x14ac:dyDescent="0.35">
      <c r="A321">
        <v>28337</v>
      </c>
      <c r="B321">
        <v>1</v>
      </c>
      <c r="C321" t="s">
        <v>39</v>
      </c>
      <c r="D321">
        <v>2801</v>
      </c>
      <c r="E321" t="s">
        <v>90</v>
      </c>
      <c r="F321" t="s">
        <v>14</v>
      </c>
      <c r="G321">
        <v>20</v>
      </c>
    </row>
    <row r="322" spans="1:7" x14ac:dyDescent="0.35">
      <c r="A322">
        <v>67808</v>
      </c>
      <c r="B322">
        <v>0</v>
      </c>
      <c r="C322" t="s">
        <v>29</v>
      </c>
      <c r="D322">
        <v>2207</v>
      </c>
      <c r="E322" t="s">
        <v>102</v>
      </c>
      <c r="F322" t="s">
        <v>17</v>
      </c>
      <c r="G322">
        <v>10</v>
      </c>
    </row>
    <row r="323" spans="1:7" x14ac:dyDescent="0.35">
      <c r="A323">
        <v>35017</v>
      </c>
      <c r="B323">
        <v>2</v>
      </c>
      <c r="C323" t="s">
        <v>13</v>
      </c>
      <c r="D323">
        <v>2101</v>
      </c>
      <c r="E323" t="s">
        <v>89</v>
      </c>
      <c r="F323" t="s">
        <v>14</v>
      </c>
      <c r="G323">
        <v>10</v>
      </c>
    </row>
    <row r="324" spans="1:7" x14ac:dyDescent="0.35">
      <c r="A324">
        <v>10973</v>
      </c>
      <c r="B324">
        <v>1</v>
      </c>
      <c r="C324" t="s">
        <v>22</v>
      </c>
      <c r="D324">
        <v>2305</v>
      </c>
      <c r="E324" t="s">
        <v>94</v>
      </c>
      <c r="F324" t="s">
        <v>14</v>
      </c>
      <c r="G324">
        <v>12</v>
      </c>
    </row>
    <row r="325" spans="1:7" x14ac:dyDescent="0.35">
      <c r="A325">
        <v>67030</v>
      </c>
      <c r="B325">
        <v>1</v>
      </c>
      <c r="C325" t="s">
        <v>29</v>
      </c>
      <c r="D325">
        <v>0</v>
      </c>
      <c r="E325" t="s">
        <v>97</v>
      </c>
      <c r="F325" t="s">
        <v>14</v>
      </c>
      <c r="G325">
        <v>50</v>
      </c>
    </row>
    <row r="326" spans="1:7" x14ac:dyDescent="0.35">
      <c r="A326">
        <v>122279</v>
      </c>
      <c r="B326">
        <v>2</v>
      </c>
      <c r="C326" t="s">
        <v>21</v>
      </c>
      <c r="D326">
        <v>4903</v>
      </c>
      <c r="E326" t="s">
        <v>102</v>
      </c>
      <c r="F326" t="s">
        <v>17</v>
      </c>
      <c r="G326">
        <v>5</v>
      </c>
    </row>
    <row r="327" spans="1:7" x14ac:dyDescent="0.35">
      <c r="A327">
        <v>18802</v>
      </c>
      <c r="B327">
        <v>1</v>
      </c>
      <c r="C327" t="s">
        <v>18</v>
      </c>
      <c r="D327">
        <v>5101</v>
      </c>
      <c r="E327" t="s">
        <v>89</v>
      </c>
      <c r="F327" t="s">
        <v>14</v>
      </c>
      <c r="G327">
        <v>20</v>
      </c>
    </row>
    <row r="328" spans="1:7" x14ac:dyDescent="0.35">
      <c r="A328">
        <v>90092</v>
      </c>
      <c r="B328">
        <v>2</v>
      </c>
      <c r="C328" t="s">
        <v>16</v>
      </c>
      <c r="D328">
        <v>3905</v>
      </c>
      <c r="E328" t="s">
        <v>90</v>
      </c>
      <c r="F328" t="s">
        <v>17</v>
      </c>
      <c r="G328">
        <v>10</v>
      </c>
    </row>
    <row r="329" spans="1:7" x14ac:dyDescent="0.35">
      <c r="A329">
        <v>98821</v>
      </c>
      <c r="B329">
        <v>0</v>
      </c>
      <c r="C329" t="s">
        <v>16</v>
      </c>
      <c r="D329">
        <v>2601</v>
      </c>
      <c r="E329" t="s">
        <v>89</v>
      </c>
      <c r="F329" t="s">
        <v>17</v>
      </c>
      <c r="G329">
        <v>10</v>
      </c>
    </row>
    <row r="330" spans="1:7" x14ac:dyDescent="0.35">
      <c r="A330">
        <v>116186</v>
      </c>
      <c r="B330">
        <v>1</v>
      </c>
      <c r="C330" t="s">
        <v>21</v>
      </c>
      <c r="D330">
        <v>4212</v>
      </c>
      <c r="E330" t="s">
        <v>91</v>
      </c>
      <c r="F330" t="s">
        <v>14</v>
      </c>
      <c r="G330">
        <v>10</v>
      </c>
    </row>
    <row r="331" spans="1:7" x14ac:dyDescent="0.35">
      <c r="A331">
        <v>18359</v>
      </c>
      <c r="B331">
        <v>28</v>
      </c>
      <c r="C331" t="s">
        <v>18</v>
      </c>
      <c r="D331">
        <v>0</v>
      </c>
      <c r="E331" t="s">
        <v>98</v>
      </c>
      <c r="F331" t="s">
        <v>17</v>
      </c>
      <c r="G331">
        <v>10</v>
      </c>
    </row>
    <row r="332" spans="1:7" x14ac:dyDescent="0.35">
      <c r="A332">
        <v>128970</v>
      </c>
      <c r="B332">
        <v>28</v>
      </c>
      <c r="C332" t="s">
        <v>21</v>
      </c>
      <c r="D332">
        <v>0</v>
      </c>
      <c r="E332" t="s">
        <v>93</v>
      </c>
      <c r="F332" t="s">
        <v>17</v>
      </c>
      <c r="G332">
        <v>14</v>
      </c>
    </row>
    <row r="333" spans="1:7" x14ac:dyDescent="0.35">
      <c r="A333">
        <v>172635</v>
      </c>
      <c r="B333">
        <v>0</v>
      </c>
      <c r="C333" t="s">
        <v>22</v>
      </c>
      <c r="D333">
        <v>0</v>
      </c>
      <c r="E333" t="s">
        <v>104</v>
      </c>
      <c r="F333" t="s">
        <v>14</v>
      </c>
      <c r="G333">
        <v>16</v>
      </c>
    </row>
    <row r="334" spans="1:7" x14ac:dyDescent="0.35">
      <c r="A334">
        <v>106508</v>
      </c>
      <c r="B334">
        <v>2</v>
      </c>
      <c r="C334" t="s">
        <v>28</v>
      </c>
      <c r="D334">
        <v>1401</v>
      </c>
      <c r="E334" t="s">
        <v>94</v>
      </c>
      <c r="F334" t="s">
        <v>17</v>
      </c>
      <c r="G334">
        <v>20</v>
      </c>
    </row>
    <row r="335" spans="1:7" x14ac:dyDescent="0.35">
      <c r="A335">
        <v>81067</v>
      </c>
      <c r="B335">
        <v>0</v>
      </c>
      <c r="C335" t="s">
        <v>35</v>
      </c>
      <c r="D335">
        <v>0</v>
      </c>
      <c r="E335" t="s">
        <v>96</v>
      </c>
      <c r="F335" t="s">
        <v>17</v>
      </c>
      <c r="G335">
        <v>15</v>
      </c>
    </row>
    <row r="336" spans="1:7" x14ac:dyDescent="0.35">
      <c r="A336">
        <v>169106</v>
      </c>
      <c r="B336">
        <v>2</v>
      </c>
      <c r="C336" t="s">
        <v>22</v>
      </c>
      <c r="D336">
        <v>4501</v>
      </c>
      <c r="E336" t="s">
        <v>89</v>
      </c>
      <c r="F336" t="s">
        <v>17</v>
      </c>
      <c r="G336">
        <v>5</v>
      </c>
    </row>
    <row r="337" spans="1:7" x14ac:dyDescent="0.35">
      <c r="A337">
        <v>106898</v>
      </c>
      <c r="B337">
        <v>0</v>
      </c>
      <c r="C337" t="s">
        <v>59</v>
      </c>
      <c r="D337">
        <v>3801</v>
      </c>
      <c r="E337" t="s">
        <v>90</v>
      </c>
      <c r="F337" t="s">
        <v>17</v>
      </c>
      <c r="G337">
        <v>5</v>
      </c>
    </row>
    <row r="338" spans="1:7" x14ac:dyDescent="0.35">
      <c r="A338">
        <v>24747</v>
      </c>
      <c r="B338">
        <v>0</v>
      </c>
      <c r="C338" t="s">
        <v>46</v>
      </c>
      <c r="D338">
        <v>4405</v>
      </c>
      <c r="E338" t="s">
        <v>93</v>
      </c>
      <c r="F338" t="s">
        <v>17</v>
      </c>
      <c r="G338">
        <v>15</v>
      </c>
    </row>
    <row r="339" spans="1:7" x14ac:dyDescent="0.35">
      <c r="A339">
        <v>144906</v>
      </c>
      <c r="B339">
        <v>1</v>
      </c>
      <c r="C339" t="s">
        <v>22</v>
      </c>
      <c r="D339">
        <v>2501</v>
      </c>
      <c r="E339" t="s">
        <v>95</v>
      </c>
      <c r="F339" t="s">
        <v>30</v>
      </c>
      <c r="G339">
        <v>20</v>
      </c>
    </row>
    <row r="340" spans="1:7" x14ac:dyDescent="0.35">
      <c r="A340">
        <v>40516</v>
      </c>
      <c r="B340">
        <v>0</v>
      </c>
      <c r="C340" t="s">
        <v>13</v>
      </c>
      <c r="D340">
        <v>1509</v>
      </c>
      <c r="E340" t="s">
        <v>92</v>
      </c>
      <c r="F340" t="s">
        <v>17</v>
      </c>
      <c r="G340">
        <v>21</v>
      </c>
    </row>
    <row r="341" spans="1:7" x14ac:dyDescent="0.35">
      <c r="A341">
        <v>172530</v>
      </c>
      <c r="B341">
        <v>0</v>
      </c>
      <c r="C341" t="s">
        <v>22</v>
      </c>
      <c r="D341">
        <v>3601</v>
      </c>
      <c r="E341" t="s">
        <v>94</v>
      </c>
      <c r="F341" t="s">
        <v>17</v>
      </c>
      <c r="G341">
        <v>7</v>
      </c>
    </row>
    <row r="342" spans="1:7" x14ac:dyDescent="0.35">
      <c r="A342">
        <v>72438</v>
      </c>
      <c r="B342">
        <v>1</v>
      </c>
      <c r="C342" t="s">
        <v>29</v>
      </c>
      <c r="D342">
        <v>1701</v>
      </c>
      <c r="E342" t="s">
        <v>89</v>
      </c>
      <c r="F342" t="s">
        <v>14</v>
      </c>
      <c r="G342">
        <v>10</v>
      </c>
    </row>
    <row r="343" spans="1:7" x14ac:dyDescent="0.35">
      <c r="A343">
        <v>144076</v>
      </c>
      <c r="B343">
        <v>1</v>
      </c>
      <c r="C343" t="s">
        <v>22</v>
      </c>
      <c r="D343">
        <v>1201</v>
      </c>
      <c r="E343" t="s">
        <v>93</v>
      </c>
      <c r="F343" t="s">
        <v>14</v>
      </c>
      <c r="G343">
        <v>50</v>
      </c>
    </row>
    <row r="344" spans="1:7" x14ac:dyDescent="0.35">
      <c r="A344">
        <v>130609</v>
      </c>
      <c r="B344">
        <v>1</v>
      </c>
      <c r="C344" t="s">
        <v>48</v>
      </c>
      <c r="D344">
        <v>1404</v>
      </c>
      <c r="E344" t="s">
        <v>93</v>
      </c>
      <c r="F344" t="s">
        <v>14</v>
      </c>
      <c r="G344">
        <v>16</v>
      </c>
    </row>
    <row r="345" spans="1:7" x14ac:dyDescent="0.35">
      <c r="A345">
        <v>43974</v>
      </c>
      <c r="B345">
        <v>2</v>
      </c>
      <c r="C345" t="s">
        <v>13</v>
      </c>
      <c r="D345">
        <v>4601</v>
      </c>
      <c r="E345" t="s">
        <v>90</v>
      </c>
      <c r="F345" t="s">
        <v>14</v>
      </c>
      <c r="G345">
        <v>5</v>
      </c>
    </row>
    <row r="346" spans="1:7" x14ac:dyDescent="0.35">
      <c r="A346">
        <v>32709</v>
      </c>
      <c r="B346">
        <v>0</v>
      </c>
      <c r="C346" t="s">
        <v>13</v>
      </c>
      <c r="D346">
        <v>5601</v>
      </c>
      <c r="E346" t="s">
        <v>88</v>
      </c>
      <c r="F346" t="s">
        <v>17</v>
      </c>
      <c r="G346">
        <v>15</v>
      </c>
    </row>
    <row r="347" spans="1:7" x14ac:dyDescent="0.35">
      <c r="A347">
        <v>187298</v>
      </c>
      <c r="B347">
        <v>0</v>
      </c>
      <c r="C347" t="s">
        <v>46</v>
      </c>
      <c r="D347">
        <v>0</v>
      </c>
      <c r="E347" t="s">
        <v>93</v>
      </c>
      <c r="G347">
        <v>10</v>
      </c>
    </row>
    <row r="348" spans="1:7" x14ac:dyDescent="0.35">
      <c r="A348">
        <v>50905</v>
      </c>
      <c r="B348">
        <v>28</v>
      </c>
      <c r="C348" t="s">
        <v>53</v>
      </c>
      <c r="D348">
        <v>2301</v>
      </c>
      <c r="E348" t="s">
        <v>90</v>
      </c>
      <c r="F348" t="s">
        <v>17</v>
      </c>
      <c r="G348">
        <v>16</v>
      </c>
    </row>
    <row r="349" spans="1:7" x14ac:dyDescent="0.35">
      <c r="A349">
        <v>55552</v>
      </c>
      <c r="B349">
        <v>2</v>
      </c>
      <c r="C349" t="s">
        <v>62</v>
      </c>
      <c r="D349">
        <v>3203</v>
      </c>
      <c r="E349" t="s">
        <v>98</v>
      </c>
      <c r="F349" t="s">
        <v>14</v>
      </c>
      <c r="G349">
        <v>20</v>
      </c>
    </row>
    <row r="350" spans="1:7" x14ac:dyDescent="0.35">
      <c r="A350">
        <v>28550</v>
      </c>
      <c r="B350">
        <v>28</v>
      </c>
      <c r="C350" t="s">
        <v>39</v>
      </c>
      <c r="D350">
        <v>5204</v>
      </c>
      <c r="E350" t="s">
        <v>90</v>
      </c>
      <c r="F350" t="s">
        <v>17</v>
      </c>
      <c r="G350">
        <v>15</v>
      </c>
    </row>
    <row r="351" spans="1:7" x14ac:dyDescent="0.35">
      <c r="A351">
        <v>158460</v>
      </c>
      <c r="B351">
        <v>0</v>
      </c>
      <c r="C351" t="s">
        <v>22</v>
      </c>
      <c r="D351">
        <v>2910</v>
      </c>
      <c r="E351" t="s">
        <v>101</v>
      </c>
      <c r="F351" t="s">
        <v>17</v>
      </c>
      <c r="G351">
        <v>15</v>
      </c>
    </row>
    <row r="352" spans="1:7" x14ac:dyDescent="0.35">
      <c r="A352">
        <v>56449</v>
      </c>
      <c r="B352">
        <v>0</v>
      </c>
      <c r="C352" t="s">
        <v>57</v>
      </c>
      <c r="D352">
        <v>0</v>
      </c>
      <c r="E352" t="s">
        <v>91</v>
      </c>
      <c r="F352" t="s">
        <v>17</v>
      </c>
      <c r="G352">
        <v>5</v>
      </c>
    </row>
    <row r="353" spans="1:7" x14ac:dyDescent="0.35">
      <c r="A353">
        <v>133315</v>
      </c>
      <c r="B353">
        <v>0</v>
      </c>
      <c r="C353" t="s">
        <v>40</v>
      </c>
      <c r="D353">
        <v>3603</v>
      </c>
      <c r="E353" t="s">
        <v>89</v>
      </c>
      <c r="F353" t="s">
        <v>17</v>
      </c>
      <c r="G353">
        <v>10</v>
      </c>
    </row>
    <row r="354" spans="1:7" x14ac:dyDescent="0.35">
      <c r="A354">
        <v>164251</v>
      </c>
      <c r="B354">
        <v>0</v>
      </c>
      <c r="C354" t="s">
        <v>22</v>
      </c>
      <c r="D354">
        <v>4001</v>
      </c>
      <c r="E354" t="s">
        <v>90</v>
      </c>
      <c r="F354" t="s">
        <v>17</v>
      </c>
      <c r="G354">
        <v>5</v>
      </c>
    </row>
    <row r="355" spans="1:7" x14ac:dyDescent="0.35">
      <c r="A355">
        <v>149626</v>
      </c>
      <c r="B355">
        <v>0</v>
      </c>
      <c r="C355" t="s">
        <v>24</v>
      </c>
      <c r="D355">
        <v>0</v>
      </c>
      <c r="E355" t="s">
        <v>93</v>
      </c>
      <c r="G355">
        <v>10</v>
      </c>
    </row>
    <row r="356" spans="1:7" x14ac:dyDescent="0.35">
      <c r="A356">
        <v>123805</v>
      </c>
      <c r="B356">
        <v>2</v>
      </c>
      <c r="C356" t="s">
        <v>21</v>
      </c>
      <c r="D356">
        <v>2801</v>
      </c>
      <c r="E356" t="s">
        <v>91</v>
      </c>
      <c r="F356" t="s">
        <v>17</v>
      </c>
      <c r="G356">
        <v>7</v>
      </c>
    </row>
    <row r="357" spans="1:7" x14ac:dyDescent="0.35">
      <c r="A357">
        <v>156077</v>
      </c>
      <c r="B357">
        <v>0</v>
      </c>
      <c r="C357" t="s">
        <v>22</v>
      </c>
      <c r="D357">
        <v>5601</v>
      </c>
      <c r="E357" t="s">
        <v>89</v>
      </c>
      <c r="F357" t="s">
        <v>17</v>
      </c>
      <c r="G357">
        <v>15</v>
      </c>
    </row>
    <row r="358" spans="1:7" x14ac:dyDescent="0.35">
      <c r="A358">
        <v>183858</v>
      </c>
      <c r="B358">
        <v>1</v>
      </c>
      <c r="C358" t="s">
        <v>40</v>
      </c>
      <c r="D358">
        <v>4801</v>
      </c>
      <c r="E358" t="s">
        <v>91</v>
      </c>
      <c r="F358" t="s">
        <v>14</v>
      </c>
      <c r="G358">
        <v>25</v>
      </c>
    </row>
    <row r="359" spans="1:7" x14ac:dyDescent="0.35">
      <c r="A359">
        <v>164217</v>
      </c>
      <c r="B359">
        <v>0</v>
      </c>
      <c r="C359" t="s">
        <v>22</v>
      </c>
      <c r="D359">
        <v>4011</v>
      </c>
      <c r="E359" t="s">
        <v>94</v>
      </c>
      <c r="F359" t="s">
        <v>14</v>
      </c>
      <c r="G359">
        <v>25</v>
      </c>
    </row>
    <row r="360" spans="1:7" x14ac:dyDescent="0.35">
      <c r="A360">
        <v>169973</v>
      </c>
      <c r="B360">
        <v>2</v>
      </c>
      <c r="C360" t="s">
        <v>22</v>
      </c>
      <c r="D360">
        <v>4001</v>
      </c>
      <c r="E360" t="s">
        <v>100</v>
      </c>
      <c r="F360" t="s">
        <v>17</v>
      </c>
      <c r="G360">
        <v>15</v>
      </c>
    </row>
    <row r="361" spans="1:7" x14ac:dyDescent="0.35">
      <c r="A361">
        <v>15066</v>
      </c>
      <c r="B361">
        <v>2</v>
      </c>
      <c r="C361" t="s">
        <v>18</v>
      </c>
      <c r="D361">
        <v>4601</v>
      </c>
      <c r="E361" t="s">
        <v>98</v>
      </c>
      <c r="F361" t="s">
        <v>17</v>
      </c>
      <c r="G361">
        <v>10</v>
      </c>
    </row>
    <row r="362" spans="1:7" x14ac:dyDescent="0.35">
      <c r="A362">
        <v>64467</v>
      </c>
      <c r="B362">
        <v>0</v>
      </c>
      <c r="C362" t="s">
        <v>33</v>
      </c>
      <c r="D362">
        <v>4801</v>
      </c>
      <c r="E362" t="s">
        <v>91</v>
      </c>
      <c r="F362" t="s">
        <v>17</v>
      </c>
      <c r="G362">
        <v>12</v>
      </c>
    </row>
    <row r="363" spans="1:7" x14ac:dyDescent="0.35">
      <c r="A363">
        <v>133814</v>
      </c>
      <c r="B363">
        <v>2</v>
      </c>
      <c r="C363" t="s">
        <v>41</v>
      </c>
      <c r="D363">
        <v>2412</v>
      </c>
      <c r="E363" t="s">
        <v>89</v>
      </c>
      <c r="F363" t="s">
        <v>14</v>
      </c>
      <c r="G363">
        <v>25</v>
      </c>
    </row>
    <row r="364" spans="1:7" x14ac:dyDescent="0.35">
      <c r="A364">
        <v>31852</v>
      </c>
      <c r="B364">
        <v>0</v>
      </c>
      <c r="C364" t="s">
        <v>13</v>
      </c>
      <c r="D364">
        <v>4802</v>
      </c>
      <c r="E364" t="s">
        <v>93</v>
      </c>
      <c r="F364" t="s">
        <v>17</v>
      </c>
      <c r="G364">
        <v>26</v>
      </c>
    </row>
    <row r="365" spans="1:7" x14ac:dyDescent="0.35">
      <c r="A365">
        <v>82610</v>
      </c>
      <c r="B365">
        <v>0</v>
      </c>
      <c r="C365" t="s">
        <v>56</v>
      </c>
      <c r="D365">
        <v>2308</v>
      </c>
      <c r="E365" t="s">
        <v>90</v>
      </c>
      <c r="F365" t="s">
        <v>44</v>
      </c>
      <c r="G365">
        <v>5</v>
      </c>
    </row>
    <row r="366" spans="1:7" x14ac:dyDescent="0.35">
      <c r="A366">
        <v>34319</v>
      </c>
      <c r="B366">
        <v>0</v>
      </c>
      <c r="C366" t="s">
        <v>13</v>
      </c>
      <c r="D366">
        <v>3001</v>
      </c>
      <c r="E366" t="s">
        <v>92</v>
      </c>
      <c r="F366" t="s">
        <v>14</v>
      </c>
      <c r="G366">
        <v>25</v>
      </c>
    </row>
    <row r="367" spans="1:7" x14ac:dyDescent="0.35">
      <c r="A367">
        <v>152527</v>
      </c>
      <c r="B367">
        <v>28</v>
      </c>
      <c r="C367" t="s">
        <v>22</v>
      </c>
      <c r="D367">
        <v>4501</v>
      </c>
      <c r="E367" t="s">
        <v>88</v>
      </c>
      <c r="F367" t="s">
        <v>17</v>
      </c>
      <c r="G367">
        <v>23</v>
      </c>
    </row>
    <row r="368" spans="1:7" x14ac:dyDescent="0.35">
      <c r="A368">
        <v>178290</v>
      </c>
      <c r="B368">
        <v>1</v>
      </c>
      <c r="C368" t="s">
        <v>40</v>
      </c>
      <c r="D368">
        <v>0</v>
      </c>
      <c r="E368" t="s">
        <v>93</v>
      </c>
      <c r="F368" t="s">
        <v>14</v>
      </c>
      <c r="G368">
        <v>6</v>
      </c>
    </row>
    <row r="369" spans="1:7" x14ac:dyDescent="0.35">
      <c r="A369">
        <v>153818</v>
      </c>
      <c r="B369">
        <v>0</v>
      </c>
      <c r="C369" t="s">
        <v>22</v>
      </c>
      <c r="D369">
        <v>0</v>
      </c>
      <c r="E369" t="s">
        <v>93</v>
      </c>
      <c r="F369" t="s">
        <v>17</v>
      </c>
      <c r="G369">
        <v>10</v>
      </c>
    </row>
    <row r="370" spans="1:7" x14ac:dyDescent="0.35">
      <c r="A370">
        <v>152641</v>
      </c>
      <c r="B370">
        <v>0</v>
      </c>
      <c r="C370" t="s">
        <v>22</v>
      </c>
      <c r="D370">
        <v>0</v>
      </c>
      <c r="E370" t="s">
        <v>97</v>
      </c>
      <c r="F370" t="s">
        <v>17</v>
      </c>
      <c r="G370">
        <v>50</v>
      </c>
    </row>
    <row r="371" spans="1:7" x14ac:dyDescent="0.35">
      <c r="A371">
        <v>161691</v>
      </c>
      <c r="B371">
        <v>0</v>
      </c>
      <c r="C371" t="s">
        <v>22</v>
      </c>
      <c r="D371">
        <v>3401</v>
      </c>
      <c r="E371" t="s">
        <v>88</v>
      </c>
      <c r="F371" t="s">
        <v>17</v>
      </c>
      <c r="G371">
        <v>25</v>
      </c>
    </row>
    <row r="372" spans="1:7" x14ac:dyDescent="0.35">
      <c r="A372">
        <v>8404</v>
      </c>
      <c r="B372">
        <v>0</v>
      </c>
      <c r="C372" t="s">
        <v>21</v>
      </c>
      <c r="D372">
        <v>1501</v>
      </c>
      <c r="E372" t="s">
        <v>91</v>
      </c>
      <c r="F372" t="s">
        <v>30</v>
      </c>
      <c r="G372">
        <v>10</v>
      </c>
    </row>
    <row r="373" spans="1:7" x14ac:dyDescent="0.35">
      <c r="A373">
        <v>88119</v>
      </c>
      <c r="B373">
        <v>28</v>
      </c>
      <c r="C373" t="s">
        <v>16</v>
      </c>
      <c r="D373">
        <v>3001</v>
      </c>
      <c r="E373" t="s">
        <v>93</v>
      </c>
      <c r="F373" t="s">
        <v>17</v>
      </c>
      <c r="G373">
        <v>10</v>
      </c>
    </row>
    <row r="374" spans="1:7" x14ac:dyDescent="0.35">
      <c r="A374">
        <v>122167</v>
      </c>
      <c r="B374">
        <v>0</v>
      </c>
      <c r="C374" t="s">
        <v>21</v>
      </c>
      <c r="D374">
        <v>0</v>
      </c>
      <c r="E374" t="s">
        <v>88</v>
      </c>
      <c r="F374" t="s">
        <v>17</v>
      </c>
      <c r="G374">
        <v>10</v>
      </c>
    </row>
    <row r="375" spans="1:7" x14ac:dyDescent="0.35">
      <c r="A375">
        <v>106639</v>
      </c>
      <c r="B375">
        <v>0</v>
      </c>
      <c r="C375" t="s">
        <v>59</v>
      </c>
      <c r="D375">
        <v>2001</v>
      </c>
      <c r="E375" t="s">
        <v>93</v>
      </c>
      <c r="F375" t="s">
        <v>17</v>
      </c>
      <c r="G375">
        <v>15</v>
      </c>
    </row>
    <row r="376" spans="1:7" x14ac:dyDescent="0.35">
      <c r="A376">
        <v>153450</v>
      </c>
      <c r="B376">
        <v>0</v>
      </c>
      <c r="C376" t="s">
        <v>22</v>
      </c>
      <c r="D376">
        <v>0</v>
      </c>
      <c r="E376" t="s">
        <v>101</v>
      </c>
      <c r="G376">
        <v>47</v>
      </c>
    </row>
    <row r="377" spans="1:7" x14ac:dyDescent="0.35">
      <c r="A377">
        <v>120107</v>
      </c>
      <c r="B377">
        <v>1</v>
      </c>
      <c r="C377" t="s">
        <v>21</v>
      </c>
      <c r="D377">
        <v>1803</v>
      </c>
      <c r="E377" t="s">
        <v>98</v>
      </c>
      <c r="F377" t="s">
        <v>14</v>
      </c>
      <c r="G377">
        <v>26</v>
      </c>
    </row>
    <row r="378" spans="1:7" x14ac:dyDescent="0.35">
      <c r="A378">
        <v>72617</v>
      </c>
      <c r="B378">
        <v>2</v>
      </c>
      <c r="C378" t="s">
        <v>29</v>
      </c>
      <c r="D378">
        <v>0</v>
      </c>
      <c r="E378" t="s">
        <v>98</v>
      </c>
      <c r="F378" t="s">
        <v>14</v>
      </c>
      <c r="G378">
        <v>9</v>
      </c>
    </row>
    <row r="379" spans="1:7" x14ac:dyDescent="0.35">
      <c r="A379">
        <v>155541</v>
      </c>
      <c r="B379">
        <v>0</v>
      </c>
      <c r="C379" t="s">
        <v>22</v>
      </c>
      <c r="D379">
        <v>3410</v>
      </c>
      <c r="E379" t="s">
        <v>94</v>
      </c>
      <c r="F379" t="s">
        <v>14</v>
      </c>
      <c r="G379">
        <v>10</v>
      </c>
    </row>
    <row r="380" spans="1:7" x14ac:dyDescent="0.35">
      <c r="A380">
        <v>77107</v>
      </c>
      <c r="B380">
        <v>0</v>
      </c>
      <c r="C380" t="s">
        <v>35</v>
      </c>
      <c r="D380">
        <v>4306</v>
      </c>
      <c r="E380" t="s">
        <v>93</v>
      </c>
      <c r="F380" t="s">
        <v>14</v>
      </c>
      <c r="G380">
        <v>14</v>
      </c>
    </row>
    <row r="381" spans="1:7" x14ac:dyDescent="0.35">
      <c r="A381">
        <v>186016</v>
      </c>
      <c r="B381">
        <v>1</v>
      </c>
      <c r="C381" t="s">
        <v>53</v>
      </c>
      <c r="D381">
        <v>0</v>
      </c>
      <c r="E381" t="s">
        <v>91</v>
      </c>
      <c r="F381" t="s">
        <v>14</v>
      </c>
      <c r="G381">
        <v>10</v>
      </c>
    </row>
    <row r="382" spans="1:7" x14ac:dyDescent="0.35">
      <c r="A382">
        <v>152053</v>
      </c>
      <c r="B382">
        <v>2</v>
      </c>
      <c r="C382" t="s">
        <v>22</v>
      </c>
      <c r="D382">
        <v>5305</v>
      </c>
      <c r="E382" t="s">
        <v>93</v>
      </c>
      <c r="F382" t="s">
        <v>17</v>
      </c>
      <c r="G382">
        <v>25</v>
      </c>
    </row>
    <row r="383" spans="1:7" x14ac:dyDescent="0.35">
      <c r="A383">
        <v>12880</v>
      </c>
      <c r="B383">
        <v>1</v>
      </c>
      <c r="C383" t="s">
        <v>13</v>
      </c>
      <c r="D383">
        <v>1401</v>
      </c>
      <c r="E383" t="s">
        <v>92</v>
      </c>
      <c r="F383" t="s">
        <v>14</v>
      </c>
      <c r="G383">
        <v>10</v>
      </c>
    </row>
    <row r="384" spans="1:7" x14ac:dyDescent="0.35">
      <c r="A384">
        <v>16099</v>
      </c>
      <c r="B384">
        <v>0</v>
      </c>
      <c r="C384" t="s">
        <v>18</v>
      </c>
      <c r="D384">
        <v>2701</v>
      </c>
      <c r="E384" t="s">
        <v>91</v>
      </c>
      <c r="F384" t="s">
        <v>17</v>
      </c>
      <c r="G384">
        <v>12</v>
      </c>
    </row>
    <row r="385" spans="1:7" x14ac:dyDescent="0.35">
      <c r="A385">
        <v>166337</v>
      </c>
      <c r="B385">
        <v>1002</v>
      </c>
      <c r="C385" t="s">
        <v>22</v>
      </c>
      <c r="D385">
        <v>5401</v>
      </c>
      <c r="E385" t="s">
        <v>93</v>
      </c>
      <c r="F385" t="s">
        <v>14</v>
      </c>
      <c r="G385">
        <v>15</v>
      </c>
    </row>
    <row r="386" spans="1:7" x14ac:dyDescent="0.35">
      <c r="A386">
        <v>142495</v>
      </c>
      <c r="B386">
        <v>28</v>
      </c>
      <c r="C386" t="s">
        <v>22</v>
      </c>
      <c r="D386">
        <v>0</v>
      </c>
      <c r="E386" t="s">
        <v>95</v>
      </c>
      <c r="F386" t="s">
        <v>17</v>
      </c>
      <c r="G386">
        <v>21</v>
      </c>
    </row>
    <row r="387" spans="1:7" x14ac:dyDescent="0.35">
      <c r="A387">
        <v>66891</v>
      </c>
      <c r="B387">
        <v>0</v>
      </c>
      <c r="C387" t="s">
        <v>29</v>
      </c>
      <c r="D387">
        <v>0</v>
      </c>
      <c r="E387" t="s">
        <v>93</v>
      </c>
      <c r="F387" t="s">
        <v>30</v>
      </c>
      <c r="G387">
        <v>5</v>
      </c>
    </row>
    <row r="388" spans="1:7" x14ac:dyDescent="0.35">
      <c r="A388">
        <v>118673</v>
      </c>
      <c r="B388">
        <v>0</v>
      </c>
      <c r="C388" t="s">
        <v>21</v>
      </c>
      <c r="D388">
        <v>0</v>
      </c>
      <c r="E388" t="s">
        <v>91</v>
      </c>
      <c r="F388" t="s">
        <v>17</v>
      </c>
      <c r="G388">
        <v>10</v>
      </c>
    </row>
    <row r="389" spans="1:7" x14ac:dyDescent="0.35">
      <c r="A389">
        <v>168389</v>
      </c>
      <c r="B389">
        <v>28</v>
      </c>
      <c r="C389" t="s">
        <v>22</v>
      </c>
      <c r="D389">
        <v>0</v>
      </c>
      <c r="E389" t="s">
        <v>95</v>
      </c>
      <c r="F389" t="s">
        <v>17</v>
      </c>
      <c r="G389">
        <v>20</v>
      </c>
    </row>
    <row r="390" spans="1:7" x14ac:dyDescent="0.35">
      <c r="A390">
        <v>14982</v>
      </c>
      <c r="B390">
        <v>0</v>
      </c>
      <c r="C390" t="s">
        <v>22</v>
      </c>
      <c r="D390">
        <v>0</v>
      </c>
      <c r="E390" t="s">
        <v>95</v>
      </c>
      <c r="F390" t="s">
        <v>17</v>
      </c>
      <c r="G390">
        <v>15</v>
      </c>
    </row>
    <row r="391" spans="1:7" x14ac:dyDescent="0.35">
      <c r="A391">
        <v>185925</v>
      </c>
      <c r="B391">
        <v>1</v>
      </c>
      <c r="C391" t="s">
        <v>56</v>
      </c>
      <c r="D391">
        <v>4701</v>
      </c>
      <c r="E391" t="s">
        <v>92</v>
      </c>
      <c r="F391" t="s">
        <v>14</v>
      </c>
      <c r="G391">
        <v>10</v>
      </c>
    </row>
    <row r="392" spans="1:7" x14ac:dyDescent="0.35">
      <c r="A392">
        <v>144393</v>
      </c>
      <c r="B392">
        <v>0</v>
      </c>
      <c r="C392" t="s">
        <v>22</v>
      </c>
      <c r="D392">
        <v>1909</v>
      </c>
      <c r="E392" t="s">
        <v>103</v>
      </c>
      <c r="F392" t="s">
        <v>17</v>
      </c>
      <c r="G392">
        <v>15</v>
      </c>
    </row>
    <row r="393" spans="1:7" x14ac:dyDescent="0.35">
      <c r="A393">
        <v>4907</v>
      </c>
      <c r="B393">
        <v>2</v>
      </c>
      <c r="C393" t="s">
        <v>34</v>
      </c>
      <c r="D393">
        <v>0</v>
      </c>
      <c r="E393" t="s">
        <v>88</v>
      </c>
      <c r="F393" t="s">
        <v>17</v>
      </c>
      <c r="G393">
        <v>22</v>
      </c>
    </row>
    <row r="394" spans="1:7" x14ac:dyDescent="0.35">
      <c r="A394">
        <v>99298</v>
      </c>
      <c r="B394">
        <v>1</v>
      </c>
      <c r="C394" t="s">
        <v>36</v>
      </c>
      <c r="D394">
        <v>4001</v>
      </c>
      <c r="E394" t="s">
        <v>90</v>
      </c>
      <c r="F394" t="s">
        <v>14</v>
      </c>
      <c r="G394">
        <v>32</v>
      </c>
    </row>
    <row r="395" spans="1:7" x14ac:dyDescent="0.35">
      <c r="A395">
        <v>187532</v>
      </c>
      <c r="B395">
        <v>1</v>
      </c>
      <c r="C395" t="s">
        <v>13</v>
      </c>
      <c r="D395">
        <v>0</v>
      </c>
      <c r="E395" t="s">
        <v>94</v>
      </c>
      <c r="F395" t="s">
        <v>14</v>
      </c>
      <c r="G395">
        <v>15</v>
      </c>
    </row>
    <row r="396" spans="1:7" x14ac:dyDescent="0.35">
      <c r="A396">
        <v>119496</v>
      </c>
      <c r="B396">
        <v>0</v>
      </c>
      <c r="C396" t="s">
        <v>21</v>
      </c>
      <c r="D396">
        <v>0</v>
      </c>
      <c r="E396" t="s">
        <v>93</v>
      </c>
      <c r="F396" t="s">
        <v>17</v>
      </c>
      <c r="G396">
        <v>5</v>
      </c>
    </row>
    <row r="397" spans="1:7" x14ac:dyDescent="0.35">
      <c r="A397">
        <v>169919</v>
      </c>
      <c r="B397">
        <v>0</v>
      </c>
      <c r="C397" t="s">
        <v>22</v>
      </c>
      <c r="D397">
        <v>4801</v>
      </c>
      <c r="E397" t="s">
        <v>89</v>
      </c>
      <c r="F397" t="s">
        <v>17</v>
      </c>
      <c r="G397">
        <v>20</v>
      </c>
    </row>
    <row r="398" spans="1:7" x14ac:dyDescent="0.35">
      <c r="A398">
        <v>106963</v>
      </c>
      <c r="B398">
        <v>1</v>
      </c>
      <c r="C398" t="s">
        <v>59</v>
      </c>
      <c r="D398">
        <v>6102</v>
      </c>
      <c r="E398" t="s">
        <v>90</v>
      </c>
      <c r="F398" t="s">
        <v>14</v>
      </c>
      <c r="G398">
        <v>15</v>
      </c>
    </row>
    <row r="399" spans="1:7" x14ac:dyDescent="0.35">
      <c r="A399">
        <v>145838</v>
      </c>
      <c r="B399">
        <v>0</v>
      </c>
      <c r="C399" t="s">
        <v>22</v>
      </c>
      <c r="D399">
        <v>0</v>
      </c>
      <c r="E399" t="s">
        <v>93</v>
      </c>
      <c r="F399" t="s">
        <v>30</v>
      </c>
      <c r="G399">
        <v>8</v>
      </c>
    </row>
    <row r="400" spans="1:7" x14ac:dyDescent="0.35">
      <c r="A400">
        <v>150624</v>
      </c>
      <c r="B400">
        <v>1</v>
      </c>
      <c r="C400" t="s">
        <v>22</v>
      </c>
      <c r="D400">
        <v>0</v>
      </c>
      <c r="E400" t="s">
        <v>90</v>
      </c>
      <c r="F400" t="s">
        <v>14</v>
      </c>
      <c r="G400">
        <v>8</v>
      </c>
    </row>
    <row r="401" spans="1:7" x14ac:dyDescent="0.35">
      <c r="A401">
        <v>182144</v>
      </c>
      <c r="B401">
        <v>0</v>
      </c>
      <c r="C401" t="s">
        <v>13</v>
      </c>
      <c r="D401">
        <v>5208</v>
      </c>
      <c r="E401" t="s">
        <v>90</v>
      </c>
      <c r="F401" t="s">
        <v>17</v>
      </c>
      <c r="G401">
        <v>7</v>
      </c>
    </row>
    <row r="402" spans="1:7" x14ac:dyDescent="0.35">
      <c r="A402">
        <v>135449</v>
      </c>
      <c r="B402">
        <v>1</v>
      </c>
      <c r="C402" t="s">
        <v>55</v>
      </c>
      <c r="D402">
        <v>4801</v>
      </c>
      <c r="E402" t="s">
        <v>90</v>
      </c>
      <c r="F402" t="s">
        <v>14</v>
      </c>
      <c r="G402">
        <v>10</v>
      </c>
    </row>
    <row r="403" spans="1:7" x14ac:dyDescent="0.35">
      <c r="A403">
        <v>49743</v>
      </c>
      <c r="B403">
        <v>1</v>
      </c>
      <c r="C403" t="s">
        <v>43</v>
      </c>
      <c r="D403">
        <v>1901</v>
      </c>
      <c r="E403" t="s">
        <v>89</v>
      </c>
      <c r="F403" t="s">
        <v>14</v>
      </c>
      <c r="G403">
        <v>22</v>
      </c>
    </row>
    <row r="404" spans="1:7" x14ac:dyDescent="0.35">
      <c r="A404">
        <v>65500</v>
      </c>
      <c r="B404">
        <v>1</v>
      </c>
      <c r="C404" t="s">
        <v>29</v>
      </c>
      <c r="D404">
        <v>7001</v>
      </c>
      <c r="E404" t="s">
        <v>93</v>
      </c>
      <c r="F404" t="s">
        <v>14</v>
      </c>
      <c r="G404">
        <v>15</v>
      </c>
    </row>
    <row r="405" spans="1:7" x14ac:dyDescent="0.35">
      <c r="A405">
        <v>172420</v>
      </c>
      <c r="B405">
        <v>0</v>
      </c>
      <c r="C405" t="s">
        <v>22</v>
      </c>
      <c r="D405">
        <v>6601</v>
      </c>
      <c r="E405" t="s">
        <v>88</v>
      </c>
      <c r="F405" t="s">
        <v>17</v>
      </c>
      <c r="G405">
        <v>6</v>
      </c>
    </row>
    <row r="406" spans="1:7" x14ac:dyDescent="0.35">
      <c r="A406">
        <v>7494</v>
      </c>
      <c r="B406">
        <v>0</v>
      </c>
      <c r="C406" t="s">
        <v>22</v>
      </c>
      <c r="D406">
        <v>2301</v>
      </c>
      <c r="E406" t="s">
        <v>88</v>
      </c>
      <c r="F406" t="s">
        <v>17</v>
      </c>
      <c r="G406">
        <v>6</v>
      </c>
    </row>
    <row r="407" spans="1:7" x14ac:dyDescent="0.35">
      <c r="A407">
        <v>149498</v>
      </c>
      <c r="B407">
        <v>4002</v>
      </c>
      <c r="C407" t="s">
        <v>22</v>
      </c>
      <c r="D407">
        <v>3803</v>
      </c>
      <c r="E407" t="s">
        <v>93</v>
      </c>
      <c r="F407" t="s">
        <v>44</v>
      </c>
      <c r="G407">
        <v>20</v>
      </c>
    </row>
    <row r="408" spans="1:7" x14ac:dyDescent="0.35">
      <c r="A408">
        <v>169780</v>
      </c>
      <c r="B408">
        <v>0</v>
      </c>
      <c r="C408" t="s">
        <v>22</v>
      </c>
      <c r="D408">
        <v>0</v>
      </c>
      <c r="E408" t="s">
        <v>88</v>
      </c>
      <c r="G408">
        <v>10</v>
      </c>
    </row>
    <row r="409" spans="1:7" x14ac:dyDescent="0.35">
      <c r="A409">
        <v>70944</v>
      </c>
      <c r="B409">
        <v>0</v>
      </c>
      <c r="C409" t="s">
        <v>29</v>
      </c>
      <c r="D409">
        <v>7501</v>
      </c>
      <c r="E409" t="s">
        <v>89</v>
      </c>
      <c r="F409" t="s">
        <v>17</v>
      </c>
      <c r="G409">
        <v>20</v>
      </c>
    </row>
    <row r="410" spans="1:7" x14ac:dyDescent="0.35">
      <c r="A410">
        <v>117230</v>
      </c>
      <c r="B410">
        <v>1</v>
      </c>
      <c r="C410" t="s">
        <v>21</v>
      </c>
      <c r="D410">
        <v>801</v>
      </c>
      <c r="E410" t="s">
        <v>96</v>
      </c>
      <c r="F410" t="s">
        <v>14</v>
      </c>
      <c r="G410">
        <v>11</v>
      </c>
    </row>
    <row r="411" spans="1:7" x14ac:dyDescent="0.35">
      <c r="A411">
        <v>50427</v>
      </c>
      <c r="B411">
        <v>28</v>
      </c>
      <c r="C411" t="s">
        <v>53</v>
      </c>
      <c r="D411">
        <v>5406</v>
      </c>
      <c r="E411" t="s">
        <v>89</v>
      </c>
      <c r="F411" t="s">
        <v>17</v>
      </c>
      <c r="G411">
        <v>15</v>
      </c>
    </row>
    <row r="412" spans="1:7" x14ac:dyDescent="0.35">
      <c r="A412">
        <v>43998</v>
      </c>
      <c r="B412">
        <v>1</v>
      </c>
      <c r="C412" t="s">
        <v>13</v>
      </c>
      <c r="D412">
        <v>2108</v>
      </c>
      <c r="E412" t="s">
        <v>88</v>
      </c>
      <c r="F412" t="s">
        <v>14</v>
      </c>
      <c r="G412">
        <v>22</v>
      </c>
    </row>
    <row r="413" spans="1:7" x14ac:dyDescent="0.35">
      <c r="A413">
        <v>71255</v>
      </c>
      <c r="B413">
        <v>2</v>
      </c>
      <c r="C413" t="s">
        <v>29</v>
      </c>
      <c r="D413">
        <v>1511</v>
      </c>
      <c r="E413" t="s">
        <v>94</v>
      </c>
      <c r="F413" t="s">
        <v>14</v>
      </c>
      <c r="G413">
        <v>13</v>
      </c>
    </row>
    <row r="414" spans="1:7" x14ac:dyDescent="0.35">
      <c r="A414">
        <v>63308</v>
      </c>
      <c r="B414">
        <v>1</v>
      </c>
      <c r="C414" t="s">
        <v>33</v>
      </c>
      <c r="D414">
        <v>2301</v>
      </c>
      <c r="E414" t="s">
        <v>88</v>
      </c>
      <c r="F414" t="s">
        <v>14</v>
      </c>
      <c r="G414">
        <v>10</v>
      </c>
    </row>
    <row r="415" spans="1:7" x14ac:dyDescent="0.35">
      <c r="A415">
        <v>82196</v>
      </c>
      <c r="B415">
        <v>0</v>
      </c>
      <c r="C415" t="s">
        <v>56</v>
      </c>
      <c r="D415">
        <v>2001</v>
      </c>
      <c r="E415" t="s">
        <v>91</v>
      </c>
      <c r="F415" t="s">
        <v>17</v>
      </c>
      <c r="G415">
        <v>5</v>
      </c>
    </row>
    <row r="416" spans="1:7" x14ac:dyDescent="0.35">
      <c r="A416">
        <v>114820</v>
      </c>
      <c r="B416">
        <v>28</v>
      </c>
      <c r="C416" t="s">
        <v>36</v>
      </c>
      <c r="D416">
        <v>0</v>
      </c>
      <c r="E416" t="s">
        <v>89</v>
      </c>
      <c r="F416" t="s">
        <v>17</v>
      </c>
      <c r="G416">
        <v>10</v>
      </c>
    </row>
    <row r="417" spans="1:7" x14ac:dyDescent="0.35">
      <c r="A417">
        <v>176781</v>
      </c>
      <c r="B417">
        <v>0</v>
      </c>
      <c r="C417" t="s">
        <v>50</v>
      </c>
      <c r="D417">
        <v>3101</v>
      </c>
      <c r="E417" t="s">
        <v>92</v>
      </c>
      <c r="F417" t="s">
        <v>14</v>
      </c>
      <c r="G417">
        <v>10</v>
      </c>
    </row>
    <row r="418" spans="1:7" x14ac:dyDescent="0.35">
      <c r="A418">
        <v>20438</v>
      </c>
      <c r="B418">
        <v>1</v>
      </c>
      <c r="C418" t="s">
        <v>18</v>
      </c>
      <c r="D418">
        <v>2601</v>
      </c>
      <c r="E418" t="s">
        <v>89</v>
      </c>
      <c r="F418" t="s">
        <v>14</v>
      </c>
      <c r="G418">
        <v>10</v>
      </c>
    </row>
    <row r="419" spans="1:7" x14ac:dyDescent="0.35">
      <c r="A419">
        <v>91879</v>
      </c>
      <c r="B419">
        <v>0</v>
      </c>
      <c r="C419" t="s">
        <v>16</v>
      </c>
      <c r="D419">
        <v>0</v>
      </c>
      <c r="E419" t="s">
        <v>90</v>
      </c>
      <c r="F419" t="s">
        <v>17</v>
      </c>
      <c r="G419">
        <v>20</v>
      </c>
    </row>
    <row r="420" spans="1:7" x14ac:dyDescent="0.35">
      <c r="A420">
        <v>92443</v>
      </c>
      <c r="B420">
        <v>2</v>
      </c>
      <c r="C420" t="s">
        <v>16</v>
      </c>
      <c r="D420">
        <v>0</v>
      </c>
      <c r="E420" t="s">
        <v>90</v>
      </c>
      <c r="F420" t="s">
        <v>17</v>
      </c>
      <c r="G420">
        <v>10</v>
      </c>
    </row>
    <row r="421" spans="1:7" x14ac:dyDescent="0.35">
      <c r="A421">
        <v>168189</v>
      </c>
      <c r="B421">
        <v>1</v>
      </c>
      <c r="C421" t="s">
        <v>22</v>
      </c>
      <c r="D421">
        <v>5001</v>
      </c>
      <c r="E421" t="s">
        <v>95</v>
      </c>
      <c r="F421" t="s">
        <v>14</v>
      </c>
      <c r="G421">
        <v>15</v>
      </c>
    </row>
    <row r="422" spans="1:7" x14ac:dyDescent="0.35">
      <c r="A422">
        <v>148998</v>
      </c>
      <c r="B422">
        <v>1</v>
      </c>
      <c r="C422" t="s">
        <v>22</v>
      </c>
      <c r="D422">
        <v>4709</v>
      </c>
      <c r="E422" t="s">
        <v>92</v>
      </c>
      <c r="G422">
        <v>25</v>
      </c>
    </row>
    <row r="423" spans="1:7" x14ac:dyDescent="0.35">
      <c r="A423">
        <v>186292</v>
      </c>
      <c r="B423">
        <v>1</v>
      </c>
      <c r="C423" t="s">
        <v>22</v>
      </c>
      <c r="D423">
        <v>509</v>
      </c>
      <c r="E423" t="s">
        <v>88</v>
      </c>
      <c r="F423" t="s">
        <v>14</v>
      </c>
      <c r="G423">
        <v>10</v>
      </c>
    </row>
    <row r="424" spans="1:7" x14ac:dyDescent="0.35">
      <c r="A424">
        <v>75180</v>
      </c>
      <c r="B424">
        <v>28</v>
      </c>
      <c r="C424" t="s">
        <v>47</v>
      </c>
      <c r="D424">
        <v>4409</v>
      </c>
      <c r="E424" t="s">
        <v>88</v>
      </c>
      <c r="F424" t="s">
        <v>17</v>
      </c>
      <c r="G424">
        <v>15</v>
      </c>
    </row>
    <row r="425" spans="1:7" x14ac:dyDescent="0.35">
      <c r="A425">
        <v>88596</v>
      </c>
      <c r="B425">
        <v>28</v>
      </c>
      <c r="C425" t="s">
        <v>16</v>
      </c>
      <c r="D425">
        <v>912</v>
      </c>
      <c r="E425" t="s">
        <v>95</v>
      </c>
      <c r="F425" t="s">
        <v>17</v>
      </c>
      <c r="G425">
        <v>14</v>
      </c>
    </row>
    <row r="426" spans="1:7" x14ac:dyDescent="0.35">
      <c r="A426">
        <v>155266</v>
      </c>
      <c r="B426">
        <v>0</v>
      </c>
      <c r="C426" t="s">
        <v>22</v>
      </c>
      <c r="D426">
        <v>0</v>
      </c>
      <c r="E426" t="s">
        <v>96</v>
      </c>
      <c r="F426" t="s">
        <v>17</v>
      </c>
      <c r="G426">
        <v>11</v>
      </c>
    </row>
    <row r="427" spans="1:7" x14ac:dyDescent="0.35">
      <c r="A427">
        <v>13622</v>
      </c>
      <c r="B427">
        <v>0</v>
      </c>
      <c r="C427" t="s">
        <v>13</v>
      </c>
      <c r="D427">
        <v>3201</v>
      </c>
      <c r="E427" t="s">
        <v>90</v>
      </c>
      <c r="F427" t="s">
        <v>14</v>
      </c>
      <c r="G427">
        <v>10</v>
      </c>
    </row>
    <row r="428" spans="1:7" x14ac:dyDescent="0.35">
      <c r="A428">
        <v>189853</v>
      </c>
      <c r="B428">
        <v>1002</v>
      </c>
      <c r="C428" t="s">
        <v>62</v>
      </c>
      <c r="D428">
        <v>4306</v>
      </c>
      <c r="F428" t="s">
        <v>17</v>
      </c>
      <c r="G428">
        <v>8</v>
      </c>
    </row>
    <row r="429" spans="1:7" x14ac:dyDescent="0.35">
      <c r="A429">
        <v>175708</v>
      </c>
      <c r="B429">
        <v>1</v>
      </c>
      <c r="C429" t="s">
        <v>50</v>
      </c>
      <c r="D429">
        <v>4201</v>
      </c>
      <c r="E429" t="s">
        <v>90</v>
      </c>
      <c r="F429" t="s">
        <v>14</v>
      </c>
      <c r="G429">
        <v>30</v>
      </c>
    </row>
    <row r="430" spans="1:7" x14ac:dyDescent="0.35">
      <c r="A430">
        <v>182243</v>
      </c>
      <c r="B430">
        <v>0</v>
      </c>
      <c r="C430" t="s">
        <v>40</v>
      </c>
      <c r="D430">
        <v>3605</v>
      </c>
      <c r="E430" t="s">
        <v>90</v>
      </c>
      <c r="F430" t="s">
        <v>17</v>
      </c>
      <c r="G430">
        <v>10</v>
      </c>
    </row>
    <row r="431" spans="1:7" x14ac:dyDescent="0.35">
      <c r="A431">
        <v>171566</v>
      </c>
      <c r="B431">
        <v>1</v>
      </c>
      <c r="C431" t="s">
        <v>22</v>
      </c>
      <c r="D431">
        <v>2201</v>
      </c>
      <c r="E431" t="s">
        <v>89</v>
      </c>
      <c r="F431" t="s">
        <v>14</v>
      </c>
      <c r="G431">
        <v>15</v>
      </c>
    </row>
    <row r="432" spans="1:7" x14ac:dyDescent="0.35">
      <c r="A432">
        <v>156266</v>
      </c>
      <c r="B432">
        <v>0</v>
      </c>
      <c r="C432" t="s">
        <v>22</v>
      </c>
      <c r="D432">
        <v>3701</v>
      </c>
      <c r="E432" t="s">
        <v>100</v>
      </c>
      <c r="F432" t="s">
        <v>17</v>
      </c>
      <c r="G432">
        <v>20</v>
      </c>
    </row>
    <row r="433" spans="1:7" x14ac:dyDescent="0.35">
      <c r="A433">
        <v>41604</v>
      </c>
      <c r="B433">
        <v>0</v>
      </c>
      <c r="C433" t="s">
        <v>13</v>
      </c>
      <c r="D433">
        <v>2401</v>
      </c>
      <c r="E433" t="s">
        <v>93</v>
      </c>
      <c r="F433" t="s">
        <v>17</v>
      </c>
      <c r="G433">
        <v>10</v>
      </c>
    </row>
    <row r="434" spans="1:7" x14ac:dyDescent="0.35">
      <c r="A434">
        <v>187678</v>
      </c>
      <c r="B434">
        <v>0</v>
      </c>
      <c r="C434" t="s">
        <v>63</v>
      </c>
      <c r="D434">
        <v>0</v>
      </c>
      <c r="E434" t="s">
        <v>90</v>
      </c>
      <c r="F434" t="s">
        <v>17</v>
      </c>
      <c r="G434">
        <v>5</v>
      </c>
    </row>
    <row r="435" spans="1:7" x14ac:dyDescent="0.35">
      <c r="A435">
        <v>42165</v>
      </c>
      <c r="B435">
        <v>0</v>
      </c>
      <c r="C435" t="s">
        <v>13</v>
      </c>
      <c r="D435">
        <v>0</v>
      </c>
      <c r="E435" t="s">
        <v>89</v>
      </c>
      <c r="F435" t="s">
        <v>14</v>
      </c>
      <c r="G435">
        <v>10</v>
      </c>
    </row>
    <row r="436" spans="1:7" x14ac:dyDescent="0.35">
      <c r="A436">
        <v>24507</v>
      </c>
      <c r="B436">
        <v>1</v>
      </c>
      <c r="C436" t="s">
        <v>46</v>
      </c>
      <c r="D436">
        <v>3411</v>
      </c>
      <c r="E436" t="s">
        <v>91</v>
      </c>
      <c r="F436" t="s">
        <v>14</v>
      </c>
      <c r="G436">
        <v>25</v>
      </c>
    </row>
    <row r="437" spans="1:7" x14ac:dyDescent="0.35">
      <c r="A437">
        <v>44657</v>
      </c>
      <c r="B437">
        <v>1002</v>
      </c>
      <c r="C437" t="s">
        <v>13</v>
      </c>
      <c r="D437">
        <v>4201</v>
      </c>
      <c r="E437" t="s">
        <v>89</v>
      </c>
      <c r="F437" t="s">
        <v>14</v>
      </c>
      <c r="G437">
        <v>5</v>
      </c>
    </row>
    <row r="438" spans="1:7" x14ac:dyDescent="0.35">
      <c r="A438">
        <v>10554</v>
      </c>
      <c r="B438">
        <v>2</v>
      </c>
      <c r="C438" t="s">
        <v>16</v>
      </c>
      <c r="D438">
        <v>0</v>
      </c>
      <c r="E438" t="s">
        <v>98</v>
      </c>
      <c r="F438" t="s">
        <v>14</v>
      </c>
      <c r="G438">
        <v>20</v>
      </c>
    </row>
    <row r="439" spans="1:7" x14ac:dyDescent="0.35">
      <c r="A439">
        <v>33192</v>
      </c>
      <c r="B439">
        <v>0</v>
      </c>
      <c r="C439" t="s">
        <v>13</v>
      </c>
      <c r="D439">
        <v>3501</v>
      </c>
      <c r="E439" t="s">
        <v>88</v>
      </c>
      <c r="F439" t="s">
        <v>17</v>
      </c>
      <c r="G439">
        <v>10</v>
      </c>
    </row>
    <row r="440" spans="1:7" x14ac:dyDescent="0.35">
      <c r="A440">
        <v>76470</v>
      </c>
      <c r="B440">
        <v>1002</v>
      </c>
      <c r="C440" t="s">
        <v>47</v>
      </c>
      <c r="D440">
        <v>3307</v>
      </c>
      <c r="E440" t="s">
        <v>89</v>
      </c>
      <c r="F440" t="s">
        <v>14</v>
      </c>
      <c r="G440">
        <v>10</v>
      </c>
    </row>
    <row r="441" spans="1:7" x14ac:dyDescent="0.35">
      <c r="A441">
        <v>67075</v>
      </c>
      <c r="B441">
        <v>2</v>
      </c>
      <c r="C441" t="s">
        <v>29</v>
      </c>
      <c r="D441">
        <v>4601</v>
      </c>
      <c r="E441" t="s">
        <v>90</v>
      </c>
      <c r="F441" t="s">
        <v>17</v>
      </c>
      <c r="G441">
        <v>18</v>
      </c>
    </row>
    <row r="442" spans="1:7" x14ac:dyDescent="0.35">
      <c r="A442">
        <v>169827</v>
      </c>
      <c r="B442">
        <v>0</v>
      </c>
      <c r="C442" t="s">
        <v>22</v>
      </c>
      <c r="D442">
        <v>4801</v>
      </c>
      <c r="E442" t="s">
        <v>90</v>
      </c>
      <c r="F442" t="s">
        <v>17</v>
      </c>
      <c r="G442">
        <v>21</v>
      </c>
    </row>
    <row r="443" spans="1:7" x14ac:dyDescent="0.35">
      <c r="A443">
        <v>38734</v>
      </c>
      <c r="B443">
        <v>0</v>
      </c>
      <c r="C443" t="s">
        <v>13</v>
      </c>
      <c r="D443">
        <v>709</v>
      </c>
      <c r="E443" t="s">
        <v>92</v>
      </c>
      <c r="F443" t="s">
        <v>17</v>
      </c>
      <c r="G443">
        <v>26</v>
      </c>
    </row>
    <row r="444" spans="1:7" x14ac:dyDescent="0.35">
      <c r="A444">
        <v>65245</v>
      </c>
      <c r="B444">
        <v>2</v>
      </c>
      <c r="C444" t="s">
        <v>29</v>
      </c>
      <c r="D444">
        <v>3101</v>
      </c>
      <c r="E444" t="s">
        <v>101</v>
      </c>
      <c r="F444" t="s">
        <v>17</v>
      </c>
      <c r="G444">
        <v>10</v>
      </c>
    </row>
    <row r="445" spans="1:7" x14ac:dyDescent="0.35">
      <c r="A445">
        <v>186396</v>
      </c>
      <c r="B445">
        <v>0</v>
      </c>
      <c r="C445" t="s">
        <v>43</v>
      </c>
      <c r="D445">
        <v>4311</v>
      </c>
      <c r="E445" t="s">
        <v>89</v>
      </c>
      <c r="F445" t="s">
        <v>14</v>
      </c>
      <c r="G445">
        <v>20</v>
      </c>
    </row>
    <row r="446" spans="1:7" x14ac:dyDescent="0.35">
      <c r="A446">
        <v>54160</v>
      </c>
      <c r="B446">
        <v>0</v>
      </c>
      <c r="C446" t="s">
        <v>53</v>
      </c>
      <c r="D446">
        <v>2801</v>
      </c>
      <c r="E446" t="s">
        <v>98</v>
      </c>
      <c r="F446" t="s">
        <v>17</v>
      </c>
      <c r="G446">
        <v>10</v>
      </c>
    </row>
    <row r="447" spans="1:7" x14ac:dyDescent="0.35">
      <c r="A447">
        <v>178826</v>
      </c>
      <c r="B447">
        <v>0</v>
      </c>
      <c r="C447" t="s">
        <v>48</v>
      </c>
      <c r="D447">
        <v>5102</v>
      </c>
      <c r="E447" t="s">
        <v>93</v>
      </c>
      <c r="G447">
        <v>20</v>
      </c>
    </row>
    <row r="448" spans="1:7" x14ac:dyDescent="0.35">
      <c r="A448">
        <v>7507</v>
      </c>
      <c r="B448">
        <v>1</v>
      </c>
      <c r="C448" t="s">
        <v>16</v>
      </c>
      <c r="D448">
        <v>2504</v>
      </c>
      <c r="E448" t="s">
        <v>90</v>
      </c>
      <c r="F448" t="s">
        <v>14</v>
      </c>
      <c r="G448">
        <v>10</v>
      </c>
    </row>
    <row r="449" spans="1:7" x14ac:dyDescent="0.35">
      <c r="A449">
        <v>4150</v>
      </c>
      <c r="B449">
        <v>0</v>
      </c>
      <c r="C449" t="s">
        <v>36</v>
      </c>
      <c r="D449">
        <v>4412</v>
      </c>
      <c r="E449" t="s">
        <v>88</v>
      </c>
      <c r="F449" t="s">
        <v>17</v>
      </c>
      <c r="G449">
        <v>14</v>
      </c>
    </row>
    <row r="450" spans="1:7" x14ac:dyDescent="0.35">
      <c r="A450">
        <v>120041</v>
      </c>
      <c r="B450">
        <v>2</v>
      </c>
      <c r="C450" t="s">
        <v>21</v>
      </c>
      <c r="D450">
        <v>5901</v>
      </c>
      <c r="E450" t="s">
        <v>89</v>
      </c>
      <c r="F450" t="s">
        <v>17</v>
      </c>
      <c r="G450">
        <v>8</v>
      </c>
    </row>
    <row r="451" spans="1:7" x14ac:dyDescent="0.35">
      <c r="A451">
        <v>51486</v>
      </c>
      <c r="B451">
        <v>2</v>
      </c>
      <c r="C451" t="s">
        <v>53</v>
      </c>
      <c r="D451">
        <v>2805</v>
      </c>
      <c r="E451" t="s">
        <v>96</v>
      </c>
      <c r="F451" t="s">
        <v>14</v>
      </c>
      <c r="G451">
        <v>6</v>
      </c>
    </row>
    <row r="452" spans="1:7" x14ac:dyDescent="0.35">
      <c r="A452">
        <v>173348</v>
      </c>
      <c r="B452">
        <v>28</v>
      </c>
      <c r="C452" t="s">
        <v>22</v>
      </c>
      <c r="D452">
        <v>2701</v>
      </c>
      <c r="E452" t="s">
        <v>89</v>
      </c>
      <c r="F452" t="s">
        <v>14</v>
      </c>
      <c r="G452">
        <v>8</v>
      </c>
    </row>
    <row r="453" spans="1:7" x14ac:dyDescent="0.35">
      <c r="A453">
        <v>74669</v>
      </c>
      <c r="B453">
        <v>0</v>
      </c>
      <c r="C453" t="s">
        <v>29</v>
      </c>
      <c r="D453">
        <v>0</v>
      </c>
      <c r="E453" t="s">
        <v>91</v>
      </c>
      <c r="F453" t="s">
        <v>17</v>
      </c>
      <c r="G453">
        <v>20</v>
      </c>
    </row>
    <row r="454" spans="1:7" x14ac:dyDescent="0.35">
      <c r="A454">
        <v>64430</v>
      </c>
      <c r="B454">
        <v>0</v>
      </c>
      <c r="C454" t="s">
        <v>33</v>
      </c>
      <c r="D454">
        <v>0</v>
      </c>
      <c r="E454" t="s">
        <v>91</v>
      </c>
      <c r="F454" t="s">
        <v>17</v>
      </c>
      <c r="G454">
        <v>13</v>
      </c>
    </row>
    <row r="455" spans="1:7" x14ac:dyDescent="0.35">
      <c r="A455">
        <v>156485</v>
      </c>
      <c r="B455">
        <v>0</v>
      </c>
      <c r="C455" t="s">
        <v>22</v>
      </c>
      <c r="D455">
        <v>4101</v>
      </c>
      <c r="E455" t="s">
        <v>95</v>
      </c>
      <c r="F455" t="s">
        <v>17</v>
      </c>
      <c r="G455">
        <v>10</v>
      </c>
    </row>
    <row r="456" spans="1:7" x14ac:dyDescent="0.35">
      <c r="A456">
        <v>39935</v>
      </c>
      <c r="B456">
        <v>0</v>
      </c>
      <c r="C456" t="s">
        <v>13</v>
      </c>
      <c r="D456">
        <v>6001</v>
      </c>
      <c r="E456" t="s">
        <v>96</v>
      </c>
      <c r="F456" t="s">
        <v>14</v>
      </c>
      <c r="G456">
        <v>4</v>
      </c>
    </row>
    <row r="457" spans="1:7" x14ac:dyDescent="0.35">
      <c r="A457">
        <v>50187</v>
      </c>
      <c r="B457">
        <v>0</v>
      </c>
      <c r="C457" t="s">
        <v>53</v>
      </c>
      <c r="D457">
        <v>0</v>
      </c>
      <c r="E457" t="s">
        <v>92</v>
      </c>
      <c r="F457" t="s">
        <v>30</v>
      </c>
      <c r="G457">
        <v>20</v>
      </c>
    </row>
    <row r="458" spans="1:7" x14ac:dyDescent="0.35">
      <c r="A458">
        <v>26254</v>
      </c>
      <c r="B458">
        <v>0</v>
      </c>
      <c r="C458" t="s">
        <v>39</v>
      </c>
      <c r="D458">
        <v>6801</v>
      </c>
      <c r="E458" t="s">
        <v>92</v>
      </c>
      <c r="F458" t="s">
        <v>17</v>
      </c>
      <c r="G458">
        <v>10</v>
      </c>
    </row>
    <row r="459" spans="1:7" x14ac:dyDescent="0.35">
      <c r="A459">
        <v>30433</v>
      </c>
      <c r="B459">
        <v>28</v>
      </c>
      <c r="C459" t="s">
        <v>39</v>
      </c>
      <c r="D459">
        <v>2201</v>
      </c>
      <c r="E459" t="s">
        <v>92</v>
      </c>
      <c r="F459" t="s">
        <v>17</v>
      </c>
      <c r="G459">
        <v>15</v>
      </c>
    </row>
    <row r="460" spans="1:7" x14ac:dyDescent="0.35">
      <c r="A460">
        <v>189373</v>
      </c>
      <c r="B460">
        <v>0</v>
      </c>
      <c r="C460" t="s">
        <v>22</v>
      </c>
      <c r="D460">
        <v>1804</v>
      </c>
      <c r="E460" t="s">
        <v>103</v>
      </c>
      <c r="F460" t="s">
        <v>17</v>
      </c>
      <c r="G460">
        <v>15</v>
      </c>
    </row>
    <row r="461" spans="1:7" x14ac:dyDescent="0.35">
      <c r="A461">
        <v>91756</v>
      </c>
      <c r="B461">
        <v>2</v>
      </c>
      <c r="C461" t="s">
        <v>16</v>
      </c>
      <c r="D461">
        <v>5810</v>
      </c>
      <c r="E461" t="s">
        <v>94</v>
      </c>
      <c r="F461" t="s">
        <v>14</v>
      </c>
      <c r="G461">
        <v>7</v>
      </c>
    </row>
    <row r="462" spans="1:7" x14ac:dyDescent="0.35">
      <c r="A462">
        <v>182279</v>
      </c>
      <c r="B462">
        <v>0</v>
      </c>
      <c r="C462" t="s">
        <v>40</v>
      </c>
      <c r="D462">
        <v>6201</v>
      </c>
      <c r="E462" t="s">
        <v>96</v>
      </c>
      <c r="F462" t="s">
        <v>17</v>
      </c>
      <c r="G462">
        <v>20</v>
      </c>
    </row>
    <row r="463" spans="1:7" x14ac:dyDescent="0.35">
      <c r="A463">
        <v>122465</v>
      </c>
      <c r="B463">
        <v>0</v>
      </c>
      <c r="C463" t="s">
        <v>21</v>
      </c>
      <c r="D463">
        <v>4501</v>
      </c>
      <c r="E463" t="s">
        <v>92</v>
      </c>
      <c r="F463" t="s">
        <v>17</v>
      </c>
      <c r="G463">
        <v>8</v>
      </c>
    </row>
    <row r="464" spans="1:7" x14ac:dyDescent="0.35">
      <c r="A464">
        <v>24666</v>
      </c>
      <c r="B464">
        <v>1</v>
      </c>
      <c r="C464" t="s">
        <v>46</v>
      </c>
      <c r="D464">
        <v>5201</v>
      </c>
      <c r="E464" t="s">
        <v>89</v>
      </c>
      <c r="F464" t="s">
        <v>14</v>
      </c>
      <c r="G464">
        <v>15</v>
      </c>
    </row>
    <row r="465" spans="1:7" x14ac:dyDescent="0.35">
      <c r="A465">
        <v>19664</v>
      </c>
      <c r="B465">
        <v>1</v>
      </c>
      <c r="C465" t="s">
        <v>18</v>
      </c>
      <c r="D465">
        <v>2301</v>
      </c>
      <c r="E465" t="s">
        <v>93</v>
      </c>
      <c r="F465" t="s">
        <v>14</v>
      </c>
      <c r="G465">
        <v>10</v>
      </c>
    </row>
    <row r="466" spans="1:7" x14ac:dyDescent="0.35">
      <c r="A466">
        <v>162228</v>
      </c>
      <c r="B466">
        <v>0</v>
      </c>
      <c r="C466" t="s">
        <v>22</v>
      </c>
      <c r="D466">
        <v>0</v>
      </c>
      <c r="E466" t="s">
        <v>95</v>
      </c>
      <c r="F466" t="s">
        <v>17</v>
      </c>
      <c r="G466">
        <v>25</v>
      </c>
    </row>
    <row r="467" spans="1:7" x14ac:dyDescent="0.35">
      <c r="A467">
        <v>76578</v>
      </c>
      <c r="B467">
        <v>1</v>
      </c>
      <c r="C467" t="s">
        <v>47</v>
      </c>
      <c r="D467">
        <v>5602</v>
      </c>
      <c r="E467" t="s">
        <v>88</v>
      </c>
      <c r="F467" t="s">
        <v>14</v>
      </c>
      <c r="G467">
        <v>9</v>
      </c>
    </row>
    <row r="468" spans="1:7" x14ac:dyDescent="0.35">
      <c r="A468">
        <v>52740</v>
      </c>
      <c r="B468">
        <v>0</v>
      </c>
      <c r="C468" t="s">
        <v>53</v>
      </c>
      <c r="D468">
        <v>1604</v>
      </c>
      <c r="E468" t="s">
        <v>96</v>
      </c>
      <c r="F468" t="s">
        <v>17</v>
      </c>
      <c r="G468">
        <v>8</v>
      </c>
    </row>
    <row r="469" spans="1:7" x14ac:dyDescent="0.35">
      <c r="A469">
        <v>159174</v>
      </c>
      <c r="B469">
        <v>0</v>
      </c>
      <c r="C469" t="s">
        <v>22</v>
      </c>
      <c r="D469">
        <v>1504</v>
      </c>
      <c r="E469" t="s">
        <v>88</v>
      </c>
      <c r="F469" t="s">
        <v>17</v>
      </c>
      <c r="G469">
        <v>10</v>
      </c>
    </row>
    <row r="470" spans="1:7" x14ac:dyDescent="0.35">
      <c r="A470">
        <v>156903</v>
      </c>
      <c r="B470">
        <v>1</v>
      </c>
      <c r="C470" t="s">
        <v>22</v>
      </c>
      <c r="D470">
        <v>3901</v>
      </c>
      <c r="E470" t="s">
        <v>103</v>
      </c>
      <c r="F470" t="s">
        <v>14</v>
      </c>
      <c r="G470">
        <v>3</v>
      </c>
    </row>
    <row r="471" spans="1:7" x14ac:dyDescent="0.35">
      <c r="A471">
        <v>177926</v>
      </c>
      <c r="B471">
        <v>1</v>
      </c>
      <c r="C471" t="s">
        <v>50</v>
      </c>
      <c r="D471">
        <v>2604</v>
      </c>
      <c r="E471" t="s">
        <v>91</v>
      </c>
      <c r="F471" t="s">
        <v>14</v>
      </c>
      <c r="G471">
        <v>15</v>
      </c>
    </row>
    <row r="472" spans="1:7" x14ac:dyDescent="0.35">
      <c r="A472">
        <v>142057</v>
      </c>
      <c r="B472">
        <v>0</v>
      </c>
      <c r="C472" t="s">
        <v>24</v>
      </c>
      <c r="D472">
        <v>904</v>
      </c>
      <c r="E472" t="s">
        <v>94</v>
      </c>
      <c r="G472">
        <v>15</v>
      </c>
    </row>
    <row r="473" spans="1:7" x14ac:dyDescent="0.35">
      <c r="A473">
        <v>175637</v>
      </c>
      <c r="B473">
        <v>1</v>
      </c>
      <c r="C473" t="s">
        <v>50</v>
      </c>
      <c r="D473">
        <v>4501</v>
      </c>
      <c r="E473" t="s">
        <v>93</v>
      </c>
      <c r="F473" t="s">
        <v>14</v>
      </c>
      <c r="G473">
        <v>20</v>
      </c>
    </row>
    <row r="474" spans="1:7" x14ac:dyDescent="0.35">
      <c r="A474">
        <v>32096</v>
      </c>
      <c r="B474">
        <v>1</v>
      </c>
      <c r="C474" t="s">
        <v>13</v>
      </c>
      <c r="D474">
        <v>4501</v>
      </c>
      <c r="E474" t="s">
        <v>98</v>
      </c>
      <c r="F474" t="s">
        <v>14</v>
      </c>
      <c r="G474">
        <v>16</v>
      </c>
    </row>
    <row r="475" spans="1:7" x14ac:dyDescent="0.35">
      <c r="A475">
        <v>26946</v>
      </c>
      <c r="B475">
        <v>0</v>
      </c>
      <c r="C475" t="s">
        <v>39</v>
      </c>
      <c r="D475">
        <v>7001</v>
      </c>
      <c r="F475" t="s">
        <v>17</v>
      </c>
      <c r="G475">
        <v>30</v>
      </c>
    </row>
    <row r="476" spans="1:7" x14ac:dyDescent="0.35">
      <c r="A476">
        <v>160863</v>
      </c>
      <c r="B476">
        <v>1002</v>
      </c>
      <c r="C476" t="s">
        <v>22</v>
      </c>
      <c r="D476">
        <v>0</v>
      </c>
      <c r="E476" t="s">
        <v>88</v>
      </c>
      <c r="F476" t="s">
        <v>44</v>
      </c>
      <c r="G476">
        <v>10</v>
      </c>
    </row>
    <row r="477" spans="1:7" x14ac:dyDescent="0.35">
      <c r="A477">
        <v>57162</v>
      </c>
      <c r="B477">
        <v>0</v>
      </c>
      <c r="C477" t="s">
        <v>57</v>
      </c>
      <c r="D477">
        <v>5501</v>
      </c>
      <c r="E477" t="s">
        <v>89</v>
      </c>
      <c r="F477" t="s">
        <v>17</v>
      </c>
      <c r="G477">
        <v>20</v>
      </c>
    </row>
    <row r="478" spans="1:7" x14ac:dyDescent="0.35">
      <c r="A478">
        <v>12220</v>
      </c>
      <c r="B478">
        <v>0</v>
      </c>
      <c r="C478" t="s">
        <v>53</v>
      </c>
      <c r="D478">
        <v>5301</v>
      </c>
      <c r="E478" t="s">
        <v>89</v>
      </c>
      <c r="F478" t="s">
        <v>14</v>
      </c>
      <c r="G478">
        <v>5</v>
      </c>
    </row>
    <row r="479" spans="1:7" x14ac:dyDescent="0.35">
      <c r="A479">
        <v>170563</v>
      </c>
      <c r="B479">
        <v>0</v>
      </c>
      <c r="C479" t="s">
        <v>22</v>
      </c>
      <c r="D479">
        <v>3201</v>
      </c>
      <c r="E479" t="s">
        <v>101</v>
      </c>
      <c r="F479" t="s">
        <v>17</v>
      </c>
      <c r="G479">
        <v>5</v>
      </c>
    </row>
    <row r="480" spans="1:7" x14ac:dyDescent="0.35">
      <c r="A480">
        <v>79389</v>
      </c>
      <c r="B480">
        <v>0</v>
      </c>
      <c r="C480" t="s">
        <v>35</v>
      </c>
      <c r="D480">
        <v>3101</v>
      </c>
      <c r="E480" t="s">
        <v>89</v>
      </c>
      <c r="F480" t="s">
        <v>14</v>
      </c>
      <c r="G480">
        <v>11</v>
      </c>
    </row>
    <row r="481" spans="1:7" x14ac:dyDescent="0.35">
      <c r="A481">
        <v>180752</v>
      </c>
      <c r="B481">
        <v>1</v>
      </c>
      <c r="C481" t="s">
        <v>40</v>
      </c>
      <c r="D481">
        <v>3901</v>
      </c>
      <c r="E481" t="s">
        <v>92</v>
      </c>
      <c r="F481" t="s">
        <v>14</v>
      </c>
      <c r="G481">
        <v>8</v>
      </c>
    </row>
    <row r="482" spans="1:7" x14ac:dyDescent="0.35">
      <c r="A482">
        <v>82701</v>
      </c>
      <c r="B482">
        <v>2</v>
      </c>
      <c r="C482" t="s">
        <v>56</v>
      </c>
      <c r="D482">
        <v>6001</v>
      </c>
      <c r="E482" t="s">
        <v>93</v>
      </c>
      <c r="F482" t="s">
        <v>17</v>
      </c>
      <c r="G482">
        <v>25</v>
      </c>
    </row>
    <row r="483" spans="1:7" x14ac:dyDescent="0.35">
      <c r="A483">
        <v>158506</v>
      </c>
      <c r="B483">
        <v>28</v>
      </c>
      <c r="C483" t="s">
        <v>22</v>
      </c>
      <c r="D483">
        <v>5201</v>
      </c>
      <c r="E483" t="s">
        <v>101</v>
      </c>
      <c r="F483" t="s">
        <v>17</v>
      </c>
      <c r="G483">
        <v>15</v>
      </c>
    </row>
    <row r="484" spans="1:7" x14ac:dyDescent="0.35">
      <c r="A484">
        <v>84708</v>
      </c>
      <c r="B484">
        <v>28</v>
      </c>
      <c r="C484" t="s">
        <v>56</v>
      </c>
      <c r="D484">
        <v>3801</v>
      </c>
      <c r="E484" t="s">
        <v>89</v>
      </c>
      <c r="F484" t="s">
        <v>17</v>
      </c>
      <c r="G484">
        <v>25</v>
      </c>
    </row>
    <row r="485" spans="1:7" x14ac:dyDescent="0.35">
      <c r="A485">
        <v>103543</v>
      </c>
      <c r="B485">
        <v>1</v>
      </c>
      <c r="C485" t="s">
        <v>36</v>
      </c>
      <c r="D485">
        <v>1908</v>
      </c>
      <c r="E485" t="s">
        <v>98</v>
      </c>
      <c r="F485" t="s">
        <v>14</v>
      </c>
      <c r="G485">
        <v>11</v>
      </c>
    </row>
    <row r="486" spans="1:7" x14ac:dyDescent="0.35">
      <c r="A486">
        <v>164175</v>
      </c>
      <c r="B486">
        <v>2</v>
      </c>
      <c r="C486" t="s">
        <v>22</v>
      </c>
      <c r="D486">
        <v>0</v>
      </c>
      <c r="E486" t="s">
        <v>91</v>
      </c>
      <c r="F486" t="s">
        <v>17</v>
      </c>
      <c r="G486">
        <v>15</v>
      </c>
    </row>
    <row r="487" spans="1:7" x14ac:dyDescent="0.35">
      <c r="A487">
        <v>145120</v>
      </c>
      <c r="B487">
        <v>28</v>
      </c>
      <c r="C487" t="s">
        <v>22</v>
      </c>
      <c r="D487">
        <v>3707</v>
      </c>
      <c r="E487" t="s">
        <v>95</v>
      </c>
      <c r="F487" t="s">
        <v>17</v>
      </c>
      <c r="G487">
        <v>10</v>
      </c>
    </row>
    <row r="488" spans="1:7" x14ac:dyDescent="0.35">
      <c r="A488">
        <v>55358</v>
      </c>
      <c r="B488">
        <v>0</v>
      </c>
      <c r="C488" t="s">
        <v>62</v>
      </c>
      <c r="D488">
        <v>4808</v>
      </c>
      <c r="E488" t="s">
        <v>96</v>
      </c>
      <c r="F488" t="s">
        <v>17</v>
      </c>
      <c r="G488">
        <v>30</v>
      </c>
    </row>
    <row r="489" spans="1:7" x14ac:dyDescent="0.35">
      <c r="A489">
        <v>26665</v>
      </c>
      <c r="B489">
        <v>1</v>
      </c>
      <c r="C489" t="s">
        <v>39</v>
      </c>
      <c r="D489">
        <v>0</v>
      </c>
      <c r="E489" t="s">
        <v>104</v>
      </c>
      <c r="F489" t="s">
        <v>14</v>
      </c>
      <c r="G489">
        <v>30</v>
      </c>
    </row>
    <row r="490" spans="1:7" x14ac:dyDescent="0.35">
      <c r="A490">
        <v>42279</v>
      </c>
      <c r="B490">
        <v>28</v>
      </c>
      <c r="C490" t="s">
        <v>13</v>
      </c>
      <c r="D490">
        <v>3301</v>
      </c>
      <c r="E490" t="s">
        <v>104</v>
      </c>
      <c r="F490" t="s">
        <v>17</v>
      </c>
      <c r="G490">
        <v>5</v>
      </c>
    </row>
    <row r="491" spans="1:7" x14ac:dyDescent="0.35">
      <c r="A491">
        <v>148354</v>
      </c>
      <c r="B491">
        <v>0</v>
      </c>
      <c r="C491" t="s">
        <v>22</v>
      </c>
      <c r="D491">
        <v>0</v>
      </c>
      <c r="E491" t="s">
        <v>93</v>
      </c>
      <c r="G491">
        <v>8</v>
      </c>
    </row>
    <row r="492" spans="1:7" x14ac:dyDescent="0.35">
      <c r="A492">
        <v>123822</v>
      </c>
      <c r="B492">
        <v>0</v>
      </c>
      <c r="C492" t="s">
        <v>53</v>
      </c>
      <c r="D492">
        <v>0</v>
      </c>
      <c r="E492" t="s">
        <v>93</v>
      </c>
      <c r="F492" t="s">
        <v>17</v>
      </c>
      <c r="G492">
        <v>10</v>
      </c>
    </row>
    <row r="493" spans="1:7" x14ac:dyDescent="0.35">
      <c r="A493">
        <v>22038</v>
      </c>
      <c r="B493">
        <v>1</v>
      </c>
      <c r="C493" t="s">
        <v>18</v>
      </c>
      <c r="D493">
        <v>4401</v>
      </c>
      <c r="E493" t="s">
        <v>98</v>
      </c>
      <c r="F493" t="s">
        <v>14</v>
      </c>
      <c r="G493">
        <v>10</v>
      </c>
    </row>
    <row r="494" spans="1:7" x14ac:dyDescent="0.35">
      <c r="A494">
        <v>185024</v>
      </c>
      <c r="B494">
        <v>0</v>
      </c>
      <c r="C494" t="s">
        <v>56</v>
      </c>
      <c r="D494">
        <v>605</v>
      </c>
      <c r="E494" t="s">
        <v>91</v>
      </c>
      <c r="F494" t="s">
        <v>17</v>
      </c>
      <c r="G494">
        <v>8</v>
      </c>
    </row>
    <row r="495" spans="1:7" x14ac:dyDescent="0.35">
      <c r="A495">
        <v>129600</v>
      </c>
      <c r="B495">
        <v>0</v>
      </c>
      <c r="C495" t="s">
        <v>48</v>
      </c>
      <c r="D495">
        <v>3705</v>
      </c>
      <c r="E495" t="s">
        <v>102</v>
      </c>
      <c r="F495" t="s">
        <v>17</v>
      </c>
      <c r="G495">
        <v>20</v>
      </c>
    </row>
    <row r="496" spans="1:7" x14ac:dyDescent="0.35">
      <c r="A496">
        <v>107613</v>
      </c>
      <c r="B496">
        <v>0</v>
      </c>
      <c r="C496" t="s">
        <v>22</v>
      </c>
      <c r="D496">
        <v>0</v>
      </c>
      <c r="E496" t="s">
        <v>91</v>
      </c>
      <c r="F496" t="s">
        <v>14</v>
      </c>
      <c r="G496">
        <v>7</v>
      </c>
    </row>
    <row r="497" spans="1:7" x14ac:dyDescent="0.35">
      <c r="A497">
        <v>165302</v>
      </c>
      <c r="B497">
        <v>0</v>
      </c>
      <c r="C497" t="s">
        <v>22</v>
      </c>
      <c r="D497">
        <v>2207</v>
      </c>
      <c r="E497" t="s">
        <v>92</v>
      </c>
      <c r="G497">
        <v>20</v>
      </c>
    </row>
    <row r="498" spans="1:7" x14ac:dyDescent="0.35">
      <c r="A498">
        <v>152990</v>
      </c>
      <c r="B498">
        <v>0</v>
      </c>
      <c r="C498" t="s">
        <v>22</v>
      </c>
      <c r="D498">
        <v>6101</v>
      </c>
      <c r="E498" t="s">
        <v>88</v>
      </c>
      <c r="F498" t="s">
        <v>17</v>
      </c>
      <c r="G498">
        <v>20</v>
      </c>
    </row>
    <row r="499" spans="1:7" x14ac:dyDescent="0.35">
      <c r="A499">
        <v>88766</v>
      </c>
      <c r="B499">
        <v>1</v>
      </c>
      <c r="C499" t="s">
        <v>16</v>
      </c>
      <c r="D499">
        <v>4709</v>
      </c>
      <c r="E499" t="s">
        <v>93</v>
      </c>
      <c r="F499" t="s">
        <v>14</v>
      </c>
      <c r="G499">
        <v>15</v>
      </c>
    </row>
    <row r="500" spans="1:7" x14ac:dyDescent="0.35">
      <c r="A500">
        <v>4522</v>
      </c>
      <c r="B500">
        <v>1</v>
      </c>
      <c r="C500" t="s">
        <v>22</v>
      </c>
      <c r="D500">
        <v>1402</v>
      </c>
      <c r="E500" t="s">
        <v>93</v>
      </c>
      <c r="F500" t="s">
        <v>14</v>
      </c>
      <c r="G500">
        <v>20</v>
      </c>
    </row>
    <row r="501" spans="1:7" x14ac:dyDescent="0.35">
      <c r="A501">
        <v>32350</v>
      </c>
      <c r="B501">
        <v>0</v>
      </c>
      <c r="C501" t="s">
        <v>13</v>
      </c>
      <c r="D501">
        <v>1809</v>
      </c>
      <c r="E501" t="s">
        <v>100</v>
      </c>
      <c r="F501" t="s">
        <v>14</v>
      </c>
      <c r="G501">
        <v>20</v>
      </c>
    </row>
    <row r="502" spans="1:7" x14ac:dyDescent="0.35">
      <c r="A502">
        <v>74774</v>
      </c>
      <c r="B502">
        <v>0</v>
      </c>
      <c r="C502" t="s">
        <v>32</v>
      </c>
      <c r="D502">
        <v>0</v>
      </c>
      <c r="E502" t="s">
        <v>92</v>
      </c>
      <c r="F502" t="s">
        <v>14</v>
      </c>
      <c r="G502">
        <v>21</v>
      </c>
    </row>
    <row r="503" spans="1:7" x14ac:dyDescent="0.35">
      <c r="A503">
        <v>67475</v>
      </c>
      <c r="B503">
        <v>28</v>
      </c>
      <c r="C503" t="s">
        <v>29</v>
      </c>
      <c r="D503">
        <v>6201</v>
      </c>
      <c r="E503" t="s">
        <v>96</v>
      </c>
      <c r="F503" t="s">
        <v>17</v>
      </c>
      <c r="G503">
        <v>5</v>
      </c>
    </row>
    <row r="504" spans="1:7" x14ac:dyDescent="0.35">
      <c r="A504">
        <v>104267</v>
      </c>
      <c r="B504">
        <v>0</v>
      </c>
      <c r="C504" t="s">
        <v>28</v>
      </c>
      <c r="D504">
        <v>0</v>
      </c>
      <c r="E504" t="s">
        <v>91</v>
      </c>
      <c r="F504" t="s">
        <v>14</v>
      </c>
      <c r="G504">
        <v>5</v>
      </c>
    </row>
    <row r="505" spans="1:7" x14ac:dyDescent="0.35">
      <c r="A505">
        <v>131031</v>
      </c>
      <c r="B505">
        <v>2</v>
      </c>
      <c r="C505" t="s">
        <v>48</v>
      </c>
      <c r="D505">
        <v>604</v>
      </c>
      <c r="E505" t="s">
        <v>88</v>
      </c>
      <c r="F505" t="s">
        <v>17</v>
      </c>
      <c r="G505">
        <v>18</v>
      </c>
    </row>
    <row r="506" spans="1:7" x14ac:dyDescent="0.35">
      <c r="A506">
        <v>158058</v>
      </c>
      <c r="B506">
        <v>0</v>
      </c>
      <c r="C506" t="s">
        <v>22</v>
      </c>
      <c r="D506">
        <v>4307</v>
      </c>
      <c r="E506" t="s">
        <v>101</v>
      </c>
      <c r="F506" t="s">
        <v>14</v>
      </c>
      <c r="G506">
        <v>5</v>
      </c>
    </row>
    <row r="507" spans="1:7" x14ac:dyDescent="0.35">
      <c r="A507">
        <v>181755</v>
      </c>
      <c r="B507">
        <v>2</v>
      </c>
      <c r="C507" t="s">
        <v>40</v>
      </c>
      <c r="D507">
        <v>0</v>
      </c>
      <c r="E507" t="s">
        <v>92</v>
      </c>
      <c r="F507" t="s">
        <v>17</v>
      </c>
      <c r="G507">
        <v>5</v>
      </c>
    </row>
    <row r="508" spans="1:7" x14ac:dyDescent="0.35">
      <c r="A508">
        <v>181412</v>
      </c>
      <c r="B508">
        <v>1</v>
      </c>
      <c r="C508" t="s">
        <v>40</v>
      </c>
      <c r="D508">
        <v>3301</v>
      </c>
      <c r="E508" t="s">
        <v>91</v>
      </c>
      <c r="F508" t="s">
        <v>14</v>
      </c>
      <c r="G508">
        <v>5</v>
      </c>
    </row>
    <row r="509" spans="1:7" x14ac:dyDescent="0.35">
      <c r="A509">
        <v>185602</v>
      </c>
      <c r="B509">
        <v>28</v>
      </c>
      <c r="C509" t="s">
        <v>35</v>
      </c>
      <c r="D509">
        <v>0</v>
      </c>
      <c r="E509" t="s">
        <v>91</v>
      </c>
      <c r="F509" t="s">
        <v>17</v>
      </c>
      <c r="G509">
        <v>10</v>
      </c>
    </row>
    <row r="510" spans="1:7" x14ac:dyDescent="0.35">
      <c r="A510">
        <v>23603</v>
      </c>
      <c r="B510">
        <v>1</v>
      </c>
      <c r="C510" t="s">
        <v>46</v>
      </c>
      <c r="D510">
        <v>5801</v>
      </c>
      <c r="E510" t="s">
        <v>90</v>
      </c>
      <c r="F510" t="s">
        <v>14</v>
      </c>
      <c r="G510">
        <v>25</v>
      </c>
    </row>
    <row r="511" spans="1:7" x14ac:dyDescent="0.35">
      <c r="A511">
        <v>112943</v>
      </c>
      <c r="B511">
        <v>2</v>
      </c>
      <c r="C511" t="s">
        <v>31</v>
      </c>
      <c r="D511">
        <v>3601</v>
      </c>
      <c r="E511" t="s">
        <v>94</v>
      </c>
      <c r="F511" t="s">
        <v>17</v>
      </c>
      <c r="G511">
        <v>12</v>
      </c>
    </row>
    <row r="512" spans="1:7" x14ac:dyDescent="0.35">
      <c r="A512">
        <v>44853</v>
      </c>
      <c r="B512">
        <v>1</v>
      </c>
      <c r="C512" t="s">
        <v>13</v>
      </c>
      <c r="D512">
        <v>2912</v>
      </c>
      <c r="E512" t="s">
        <v>96</v>
      </c>
      <c r="F512" t="s">
        <v>14</v>
      </c>
      <c r="G512">
        <v>12</v>
      </c>
    </row>
    <row r="513" spans="1:7" x14ac:dyDescent="0.35">
      <c r="A513">
        <v>83094</v>
      </c>
      <c r="B513">
        <v>0</v>
      </c>
      <c r="C513" t="s">
        <v>56</v>
      </c>
      <c r="D513">
        <v>1211</v>
      </c>
      <c r="E513" t="s">
        <v>89</v>
      </c>
      <c r="F513" t="s">
        <v>17</v>
      </c>
      <c r="G513">
        <v>20</v>
      </c>
    </row>
    <row r="514" spans="1:7" x14ac:dyDescent="0.35">
      <c r="A514">
        <v>148166</v>
      </c>
      <c r="B514">
        <v>0</v>
      </c>
      <c r="C514" t="s">
        <v>22</v>
      </c>
      <c r="D514">
        <v>0</v>
      </c>
      <c r="E514" t="s">
        <v>93</v>
      </c>
      <c r="F514" t="s">
        <v>17</v>
      </c>
      <c r="G514">
        <v>20</v>
      </c>
    </row>
    <row r="515" spans="1:7" x14ac:dyDescent="0.35">
      <c r="A515">
        <v>101113</v>
      </c>
      <c r="B515">
        <v>0</v>
      </c>
      <c r="C515" t="s">
        <v>36</v>
      </c>
      <c r="D515">
        <v>5801</v>
      </c>
      <c r="E515" t="s">
        <v>88</v>
      </c>
      <c r="F515" t="s">
        <v>17</v>
      </c>
      <c r="G515">
        <v>10</v>
      </c>
    </row>
    <row r="516" spans="1:7" x14ac:dyDescent="0.35">
      <c r="A516">
        <v>101889</v>
      </c>
      <c r="B516">
        <v>0</v>
      </c>
      <c r="C516" t="s">
        <v>36</v>
      </c>
      <c r="D516">
        <v>5111</v>
      </c>
      <c r="E516" t="s">
        <v>90</v>
      </c>
      <c r="F516" t="s">
        <v>17</v>
      </c>
      <c r="G516">
        <v>16</v>
      </c>
    </row>
    <row r="517" spans="1:7" x14ac:dyDescent="0.35">
      <c r="A517">
        <v>58808</v>
      </c>
      <c r="B517">
        <v>0</v>
      </c>
      <c r="C517" t="s">
        <v>57</v>
      </c>
      <c r="D517">
        <v>1401</v>
      </c>
      <c r="E517" t="s">
        <v>89</v>
      </c>
      <c r="F517" t="s">
        <v>17</v>
      </c>
      <c r="G517">
        <v>10</v>
      </c>
    </row>
    <row r="518" spans="1:7" x14ac:dyDescent="0.35">
      <c r="A518">
        <v>85498</v>
      </c>
      <c r="B518">
        <v>0</v>
      </c>
      <c r="C518" t="s">
        <v>56</v>
      </c>
      <c r="D518">
        <v>0</v>
      </c>
      <c r="E518" t="s">
        <v>98</v>
      </c>
      <c r="F518" t="s">
        <v>17</v>
      </c>
      <c r="G518">
        <v>10</v>
      </c>
    </row>
    <row r="519" spans="1:7" x14ac:dyDescent="0.35">
      <c r="A519">
        <v>153864</v>
      </c>
      <c r="B519">
        <v>0</v>
      </c>
      <c r="C519" t="s">
        <v>22</v>
      </c>
      <c r="D519">
        <v>5201</v>
      </c>
      <c r="E519" t="s">
        <v>93</v>
      </c>
      <c r="F519" t="s">
        <v>17</v>
      </c>
      <c r="G519">
        <v>20</v>
      </c>
    </row>
    <row r="520" spans="1:7" x14ac:dyDescent="0.35">
      <c r="A520">
        <v>145496</v>
      </c>
      <c r="B520">
        <v>1</v>
      </c>
      <c r="C520" t="s">
        <v>22</v>
      </c>
      <c r="D520">
        <v>5111</v>
      </c>
      <c r="E520" t="s">
        <v>95</v>
      </c>
      <c r="F520" t="s">
        <v>14</v>
      </c>
      <c r="G520">
        <v>22</v>
      </c>
    </row>
    <row r="521" spans="1:7" x14ac:dyDescent="0.35">
      <c r="A521">
        <v>27566</v>
      </c>
      <c r="B521">
        <v>0</v>
      </c>
      <c r="C521" t="s">
        <v>39</v>
      </c>
      <c r="D521">
        <v>0</v>
      </c>
      <c r="E521" t="s">
        <v>96</v>
      </c>
      <c r="F521" t="s">
        <v>14</v>
      </c>
      <c r="G521">
        <v>30</v>
      </c>
    </row>
    <row r="522" spans="1:7" x14ac:dyDescent="0.35">
      <c r="A522">
        <v>38031</v>
      </c>
      <c r="B522">
        <v>1</v>
      </c>
      <c r="C522" t="s">
        <v>13</v>
      </c>
      <c r="D522">
        <v>5801</v>
      </c>
      <c r="E522" t="s">
        <v>90</v>
      </c>
      <c r="F522" t="s">
        <v>14</v>
      </c>
      <c r="G522">
        <v>10</v>
      </c>
    </row>
    <row r="523" spans="1:7" x14ac:dyDescent="0.35">
      <c r="A523">
        <v>130756</v>
      </c>
      <c r="B523">
        <v>0</v>
      </c>
      <c r="C523" t="s">
        <v>48</v>
      </c>
      <c r="D523">
        <v>4701</v>
      </c>
      <c r="E523" t="s">
        <v>94</v>
      </c>
      <c r="G523">
        <v>20</v>
      </c>
    </row>
    <row r="524" spans="1:7" x14ac:dyDescent="0.35">
      <c r="A524">
        <v>87281</v>
      </c>
      <c r="B524">
        <v>0</v>
      </c>
      <c r="C524" t="s">
        <v>34</v>
      </c>
      <c r="D524">
        <v>0</v>
      </c>
      <c r="E524" t="s">
        <v>91</v>
      </c>
      <c r="G524">
        <v>8</v>
      </c>
    </row>
    <row r="525" spans="1:7" x14ac:dyDescent="0.35">
      <c r="A525">
        <v>16863</v>
      </c>
      <c r="B525">
        <v>2</v>
      </c>
      <c r="C525" t="s">
        <v>18</v>
      </c>
      <c r="D525">
        <v>3301</v>
      </c>
      <c r="E525" t="s">
        <v>92</v>
      </c>
      <c r="F525" t="s">
        <v>17</v>
      </c>
      <c r="G525">
        <v>50</v>
      </c>
    </row>
    <row r="526" spans="1:7" x14ac:dyDescent="0.35">
      <c r="A526">
        <v>20065</v>
      </c>
      <c r="B526">
        <v>28</v>
      </c>
      <c r="C526" t="s">
        <v>18</v>
      </c>
      <c r="D526">
        <v>5301</v>
      </c>
      <c r="E526" t="s">
        <v>89</v>
      </c>
      <c r="G526">
        <v>40</v>
      </c>
    </row>
    <row r="527" spans="1:7" x14ac:dyDescent="0.35">
      <c r="A527">
        <v>142554</v>
      </c>
      <c r="B527">
        <v>0</v>
      </c>
      <c r="C527" t="s">
        <v>22</v>
      </c>
      <c r="D527">
        <v>1601</v>
      </c>
      <c r="E527" t="s">
        <v>103</v>
      </c>
      <c r="F527" t="s">
        <v>14</v>
      </c>
      <c r="G527">
        <v>15</v>
      </c>
    </row>
    <row r="528" spans="1:7" x14ac:dyDescent="0.35">
      <c r="A528">
        <v>10789</v>
      </c>
      <c r="B528">
        <v>2</v>
      </c>
      <c r="C528" t="s">
        <v>56</v>
      </c>
      <c r="D528">
        <v>2309</v>
      </c>
      <c r="E528" t="s">
        <v>91</v>
      </c>
      <c r="F528" t="s">
        <v>17</v>
      </c>
      <c r="G528">
        <v>3</v>
      </c>
    </row>
    <row r="529" spans="1:7" x14ac:dyDescent="0.35">
      <c r="A529">
        <v>64224</v>
      </c>
      <c r="B529">
        <v>0</v>
      </c>
      <c r="C529" t="s">
        <v>33</v>
      </c>
      <c r="D529">
        <v>3811</v>
      </c>
      <c r="E529" t="s">
        <v>94</v>
      </c>
      <c r="F529" t="s">
        <v>17</v>
      </c>
      <c r="G529">
        <v>20</v>
      </c>
    </row>
    <row r="530" spans="1:7" x14ac:dyDescent="0.35">
      <c r="A530">
        <v>6695</v>
      </c>
      <c r="B530">
        <v>0</v>
      </c>
      <c r="C530" t="s">
        <v>16</v>
      </c>
      <c r="D530">
        <v>6609</v>
      </c>
      <c r="E530" t="s">
        <v>88</v>
      </c>
      <c r="F530" t="s">
        <v>14</v>
      </c>
      <c r="G530">
        <v>6</v>
      </c>
    </row>
    <row r="531" spans="1:7" x14ac:dyDescent="0.35">
      <c r="A531">
        <v>139799</v>
      </c>
      <c r="B531">
        <v>0</v>
      </c>
      <c r="C531" t="s">
        <v>54</v>
      </c>
      <c r="D531">
        <v>5301</v>
      </c>
      <c r="E531" t="s">
        <v>94</v>
      </c>
      <c r="F531" t="s">
        <v>17</v>
      </c>
      <c r="G531">
        <v>25</v>
      </c>
    </row>
    <row r="532" spans="1:7" x14ac:dyDescent="0.35">
      <c r="A532">
        <v>1254</v>
      </c>
      <c r="B532">
        <v>1</v>
      </c>
      <c r="C532" t="s">
        <v>21</v>
      </c>
      <c r="D532">
        <v>4801</v>
      </c>
      <c r="E532" t="s">
        <v>93</v>
      </c>
      <c r="F532" t="s">
        <v>14</v>
      </c>
      <c r="G532">
        <v>30</v>
      </c>
    </row>
    <row r="533" spans="1:7" x14ac:dyDescent="0.35">
      <c r="A533">
        <v>1549</v>
      </c>
      <c r="B533">
        <v>0</v>
      </c>
      <c r="C533" t="s">
        <v>22</v>
      </c>
      <c r="D533">
        <v>1604</v>
      </c>
      <c r="E533" t="s">
        <v>93</v>
      </c>
      <c r="F533" t="s">
        <v>14</v>
      </c>
      <c r="G533">
        <v>50</v>
      </c>
    </row>
    <row r="534" spans="1:7" x14ac:dyDescent="0.35">
      <c r="A534">
        <v>2159</v>
      </c>
      <c r="B534">
        <v>2</v>
      </c>
      <c r="C534" t="s">
        <v>52</v>
      </c>
      <c r="D534">
        <v>1901</v>
      </c>
      <c r="E534" t="s">
        <v>91</v>
      </c>
      <c r="F534" t="s">
        <v>17</v>
      </c>
      <c r="G534">
        <v>9</v>
      </c>
    </row>
    <row r="535" spans="1:7" x14ac:dyDescent="0.35">
      <c r="A535">
        <v>80903</v>
      </c>
      <c r="B535">
        <v>1002</v>
      </c>
      <c r="C535" t="s">
        <v>35</v>
      </c>
      <c r="D535">
        <v>6206</v>
      </c>
      <c r="E535" t="s">
        <v>94</v>
      </c>
      <c r="F535" t="s">
        <v>14</v>
      </c>
      <c r="G535">
        <v>15</v>
      </c>
    </row>
    <row r="536" spans="1:7" x14ac:dyDescent="0.35">
      <c r="A536">
        <v>186731</v>
      </c>
      <c r="B536">
        <v>28</v>
      </c>
      <c r="C536" t="s">
        <v>13</v>
      </c>
      <c r="D536">
        <v>3407</v>
      </c>
      <c r="F536" t="s">
        <v>17</v>
      </c>
      <c r="G536">
        <v>15</v>
      </c>
    </row>
    <row r="537" spans="1:7" x14ac:dyDescent="0.35">
      <c r="A537">
        <v>67342</v>
      </c>
      <c r="B537">
        <v>1</v>
      </c>
      <c r="C537" t="s">
        <v>29</v>
      </c>
      <c r="D537">
        <v>1312</v>
      </c>
      <c r="E537" t="s">
        <v>90</v>
      </c>
      <c r="F537" t="s">
        <v>14</v>
      </c>
      <c r="G537">
        <v>30</v>
      </c>
    </row>
    <row r="538" spans="1:7" x14ac:dyDescent="0.35">
      <c r="A538">
        <v>30366</v>
      </c>
      <c r="B538">
        <v>2</v>
      </c>
      <c r="C538" t="s">
        <v>31</v>
      </c>
      <c r="D538">
        <v>3601</v>
      </c>
      <c r="E538" t="s">
        <v>92</v>
      </c>
      <c r="F538" t="s">
        <v>14</v>
      </c>
      <c r="G538">
        <v>6</v>
      </c>
    </row>
    <row r="539" spans="1:7" x14ac:dyDescent="0.35">
      <c r="A539">
        <v>64441</v>
      </c>
      <c r="B539">
        <v>1</v>
      </c>
      <c r="C539" t="s">
        <v>33</v>
      </c>
      <c r="D539">
        <v>5401</v>
      </c>
      <c r="E539" t="s">
        <v>98</v>
      </c>
      <c r="F539" t="s">
        <v>14</v>
      </c>
      <c r="G539">
        <v>10</v>
      </c>
    </row>
    <row r="540" spans="1:7" x14ac:dyDescent="0.35">
      <c r="A540">
        <v>175155</v>
      </c>
      <c r="B540">
        <v>28</v>
      </c>
      <c r="C540" t="s">
        <v>50</v>
      </c>
      <c r="D540">
        <v>4801</v>
      </c>
      <c r="E540" t="s">
        <v>91</v>
      </c>
      <c r="F540" t="s">
        <v>17</v>
      </c>
      <c r="G540">
        <v>21</v>
      </c>
    </row>
    <row r="541" spans="1:7" x14ac:dyDescent="0.35">
      <c r="A541">
        <v>82015</v>
      </c>
      <c r="B541">
        <v>2</v>
      </c>
      <c r="C541" t="s">
        <v>35</v>
      </c>
      <c r="D541">
        <v>2812</v>
      </c>
      <c r="E541" t="s">
        <v>91</v>
      </c>
      <c r="F541" t="s">
        <v>17</v>
      </c>
      <c r="G541">
        <v>18</v>
      </c>
    </row>
    <row r="542" spans="1:7" x14ac:dyDescent="0.35">
      <c r="A542">
        <v>170912</v>
      </c>
      <c r="B542">
        <v>0</v>
      </c>
      <c r="C542" t="s">
        <v>22</v>
      </c>
      <c r="D542">
        <v>4401</v>
      </c>
      <c r="E542" t="s">
        <v>93</v>
      </c>
      <c r="F542" t="s">
        <v>14</v>
      </c>
      <c r="G542">
        <v>20</v>
      </c>
    </row>
    <row r="543" spans="1:7" x14ac:dyDescent="0.35">
      <c r="A543">
        <v>183055</v>
      </c>
      <c r="B543">
        <v>2</v>
      </c>
      <c r="C543" t="s">
        <v>40</v>
      </c>
      <c r="D543">
        <v>3704</v>
      </c>
      <c r="E543" t="s">
        <v>90</v>
      </c>
      <c r="F543" t="s">
        <v>17</v>
      </c>
      <c r="G543">
        <v>10</v>
      </c>
    </row>
    <row r="544" spans="1:7" x14ac:dyDescent="0.35">
      <c r="A544">
        <v>134032</v>
      </c>
      <c r="B544">
        <v>2</v>
      </c>
      <c r="C544" t="s">
        <v>38</v>
      </c>
      <c r="D544">
        <v>0</v>
      </c>
      <c r="E544" t="s">
        <v>91</v>
      </c>
      <c r="F544" t="s">
        <v>17</v>
      </c>
      <c r="G544">
        <v>10</v>
      </c>
    </row>
    <row r="545" spans="1:7" x14ac:dyDescent="0.35">
      <c r="A545">
        <v>186573</v>
      </c>
      <c r="B545">
        <v>0</v>
      </c>
      <c r="C545" t="s">
        <v>35</v>
      </c>
      <c r="D545">
        <v>0</v>
      </c>
      <c r="E545" t="s">
        <v>89</v>
      </c>
      <c r="F545" t="s">
        <v>17</v>
      </c>
      <c r="G545">
        <v>3</v>
      </c>
    </row>
    <row r="546" spans="1:7" x14ac:dyDescent="0.35">
      <c r="A546">
        <v>37299</v>
      </c>
      <c r="B546">
        <v>2</v>
      </c>
      <c r="C546" t="s">
        <v>13</v>
      </c>
      <c r="D546">
        <v>5502</v>
      </c>
      <c r="E546" t="s">
        <v>88</v>
      </c>
      <c r="F546" t="s">
        <v>17</v>
      </c>
      <c r="G546">
        <v>15</v>
      </c>
    </row>
    <row r="547" spans="1:7" x14ac:dyDescent="0.35">
      <c r="A547">
        <v>165746</v>
      </c>
      <c r="B547">
        <v>0</v>
      </c>
      <c r="C547" t="s">
        <v>22</v>
      </c>
      <c r="D547">
        <v>703</v>
      </c>
      <c r="E547" t="s">
        <v>88</v>
      </c>
      <c r="F547" t="s">
        <v>14</v>
      </c>
      <c r="G547">
        <v>10</v>
      </c>
    </row>
    <row r="548" spans="1:7" x14ac:dyDescent="0.35">
      <c r="A548">
        <v>189520</v>
      </c>
      <c r="B548">
        <v>1</v>
      </c>
      <c r="C548" t="s">
        <v>22</v>
      </c>
      <c r="D548">
        <v>1902</v>
      </c>
      <c r="E548" t="s">
        <v>93</v>
      </c>
      <c r="F548" t="s">
        <v>14</v>
      </c>
      <c r="G548">
        <v>20</v>
      </c>
    </row>
    <row r="549" spans="1:7" x14ac:dyDescent="0.35">
      <c r="A549">
        <v>26579</v>
      </c>
      <c r="B549">
        <v>0</v>
      </c>
      <c r="C549" t="s">
        <v>39</v>
      </c>
      <c r="D549">
        <v>4301</v>
      </c>
      <c r="E549" t="s">
        <v>89</v>
      </c>
      <c r="F549" t="s">
        <v>17</v>
      </c>
      <c r="G549">
        <v>10</v>
      </c>
    </row>
    <row r="550" spans="1:7" x14ac:dyDescent="0.35">
      <c r="A550">
        <v>109583</v>
      </c>
      <c r="B550">
        <v>0</v>
      </c>
      <c r="C550" t="s">
        <v>49</v>
      </c>
      <c r="D550">
        <v>4501</v>
      </c>
      <c r="E550" t="s">
        <v>89</v>
      </c>
      <c r="F550" t="s">
        <v>17</v>
      </c>
      <c r="G550">
        <v>5</v>
      </c>
    </row>
    <row r="551" spans="1:7" x14ac:dyDescent="0.35">
      <c r="A551">
        <v>40341</v>
      </c>
      <c r="B551">
        <v>2</v>
      </c>
      <c r="C551" t="s">
        <v>13</v>
      </c>
      <c r="D551">
        <v>2401</v>
      </c>
      <c r="E551" t="s">
        <v>90</v>
      </c>
      <c r="F551" t="s">
        <v>17</v>
      </c>
      <c r="G551">
        <v>15</v>
      </c>
    </row>
    <row r="552" spans="1:7" x14ac:dyDescent="0.35">
      <c r="A552">
        <v>111615</v>
      </c>
      <c r="B552">
        <v>0</v>
      </c>
      <c r="C552" t="s">
        <v>32</v>
      </c>
      <c r="D552">
        <v>5306</v>
      </c>
      <c r="E552" t="s">
        <v>96</v>
      </c>
      <c r="F552" t="s">
        <v>17</v>
      </c>
      <c r="G552">
        <v>25</v>
      </c>
    </row>
    <row r="553" spans="1:7" x14ac:dyDescent="0.35">
      <c r="A553">
        <v>93397</v>
      </c>
      <c r="B553">
        <v>0</v>
      </c>
      <c r="C553" t="s">
        <v>16</v>
      </c>
      <c r="D553">
        <v>0</v>
      </c>
      <c r="E553" t="s">
        <v>101</v>
      </c>
      <c r="F553" t="s">
        <v>17</v>
      </c>
      <c r="G553">
        <v>20</v>
      </c>
    </row>
    <row r="554" spans="1:7" x14ac:dyDescent="0.35">
      <c r="A554">
        <v>5881</v>
      </c>
      <c r="B554">
        <v>1</v>
      </c>
      <c r="C554" t="s">
        <v>22</v>
      </c>
      <c r="D554">
        <v>1701</v>
      </c>
      <c r="E554" t="s">
        <v>95</v>
      </c>
      <c r="F554" t="s">
        <v>14</v>
      </c>
      <c r="G554">
        <v>12</v>
      </c>
    </row>
    <row r="555" spans="1:7" x14ac:dyDescent="0.35">
      <c r="A555">
        <v>93184</v>
      </c>
      <c r="B555">
        <v>0</v>
      </c>
      <c r="C555" t="s">
        <v>16</v>
      </c>
      <c r="D555">
        <v>1708</v>
      </c>
      <c r="E555" t="s">
        <v>95</v>
      </c>
      <c r="F555" t="s">
        <v>17</v>
      </c>
      <c r="G555">
        <v>10</v>
      </c>
    </row>
    <row r="556" spans="1:7" x14ac:dyDescent="0.35">
      <c r="A556">
        <v>9946</v>
      </c>
      <c r="B556">
        <v>2</v>
      </c>
      <c r="C556" t="s">
        <v>16</v>
      </c>
      <c r="D556">
        <v>2605</v>
      </c>
      <c r="E556" t="s">
        <v>103</v>
      </c>
      <c r="F556" t="s">
        <v>17</v>
      </c>
      <c r="G556">
        <v>5</v>
      </c>
    </row>
    <row r="557" spans="1:7" x14ac:dyDescent="0.35">
      <c r="A557">
        <v>46671</v>
      </c>
      <c r="B557">
        <v>0</v>
      </c>
      <c r="C557" t="s">
        <v>43</v>
      </c>
      <c r="D557">
        <v>5701</v>
      </c>
      <c r="E557" t="s">
        <v>94</v>
      </c>
      <c r="F557" t="s">
        <v>14</v>
      </c>
      <c r="G557">
        <v>10</v>
      </c>
    </row>
    <row r="558" spans="1:7" x14ac:dyDescent="0.35">
      <c r="A558">
        <v>172750</v>
      </c>
      <c r="B558">
        <v>1</v>
      </c>
      <c r="C558" t="s">
        <v>22</v>
      </c>
      <c r="D558">
        <v>5401</v>
      </c>
      <c r="E558" t="s">
        <v>88</v>
      </c>
      <c r="F558" t="s">
        <v>14</v>
      </c>
      <c r="G558">
        <v>25</v>
      </c>
    </row>
    <row r="559" spans="1:7" x14ac:dyDescent="0.35">
      <c r="A559">
        <v>22264</v>
      </c>
      <c r="B559">
        <v>1</v>
      </c>
      <c r="C559" t="s">
        <v>18</v>
      </c>
      <c r="D559">
        <v>3001</v>
      </c>
      <c r="E559" t="s">
        <v>92</v>
      </c>
      <c r="F559" t="s">
        <v>14</v>
      </c>
      <c r="G559">
        <v>10</v>
      </c>
    </row>
    <row r="560" spans="1:7" x14ac:dyDescent="0.35">
      <c r="A560">
        <v>56479</v>
      </c>
      <c r="B560">
        <v>2</v>
      </c>
      <c r="C560" t="s">
        <v>57</v>
      </c>
      <c r="D560">
        <v>2601</v>
      </c>
      <c r="E560" t="s">
        <v>102</v>
      </c>
      <c r="F560" t="s">
        <v>17</v>
      </c>
      <c r="G560">
        <v>4</v>
      </c>
    </row>
    <row r="561" spans="1:7" x14ac:dyDescent="0.35">
      <c r="A561">
        <v>164372</v>
      </c>
      <c r="B561">
        <v>1</v>
      </c>
      <c r="C561" t="s">
        <v>22</v>
      </c>
      <c r="D561">
        <v>5501</v>
      </c>
      <c r="E561" t="s">
        <v>93</v>
      </c>
      <c r="F561" t="s">
        <v>14</v>
      </c>
      <c r="G561">
        <v>25</v>
      </c>
    </row>
    <row r="562" spans="1:7" x14ac:dyDescent="0.35">
      <c r="A562">
        <v>5140</v>
      </c>
      <c r="B562">
        <v>1</v>
      </c>
      <c r="C562" t="s">
        <v>22</v>
      </c>
      <c r="D562">
        <v>2201</v>
      </c>
      <c r="E562" t="s">
        <v>93</v>
      </c>
      <c r="F562" t="s">
        <v>14</v>
      </c>
      <c r="G562">
        <v>7</v>
      </c>
    </row>
    <row r="563" spans="1:7" x14ac:dyDescent="0.35">
      <c r="A563">
        <v>32198</v>
      </c>
      <c r="B563">
        <v>0</v>
      </c>
      <c r="C563" t="s">
        <v>13</v>
      </c>
      <c r="D563">
        <v>4401</v>
      </c>
      <c r="E563" t="s">
        <v>92</v>
      </c>
      <c r="F563" t="s">
        <v>17</v>
      </c>
      <c r="G563">
        <v>9</v>
      </c>
    </row>
    <row r="564" spans="1:7" x14ac:dyDescent="0.35">
      <c r="A564">
        <v>113607</v>
      </c>
      <c r="B564">
        <v>0</v>
      </c>
      <c r="C564" t="s">
        <v>31</v>
      </c>
      <c r="D564">
        <v>0</v>
      </c>
      <c r="E564" t="s">
        <v>89</v>
      </c>
      <c r="F564" t="s">
        <v>17</v>
      </c>
      <c r="G564">
        <v>15</v>
      </c>
    </row>
    <row r="565" spans="1:7" x14ac:dyDescent="0.35">
      <c r="A565">
        <v>19499</v>
      </c>
      <c r="B565">
        <v>0</v>
      </c>
      <c r="C565" t="s">
        <v>18</v>
      </c>
      <c r="D565">
        <v>0</v>
      </c>
      <c r="E565" t="s">
        <v>92</v>
      </c>
      <c r="F565" t="s">
        <v>17</v>
      </c>
      <c r="G565">
        <v>20</v>
      </c>
    </row>
    <row r="566" spans="1:7" x14ac:dyDescent="0.35">
      <c r="A566">
        <v>73028</v>
      </c>
      <c r="B566">
        <v>1</v>
      </c>
      <c r="C566" t="s">
        <v>29</v>
      </c>
      <c r="D566">
        <v>4704</v>
      </c>
      <c r="E566" t="s">
        <v>91</v>
      </c>
      <c r="F566" t="s">
        <v>14</v>
      </c>
      <c r="G566">
        <v>9</v>
      </c>
    </row>
    <row r="567" spans="1:7" x14ac:dyDescent="0.35">
      <c r="A567">
        <v>35553</v>
      </c>
      <c r="B567">
        <v>2</v>
      </c>
      <c r="C567" t="s">
        <v>13</v>
      </c>
      <c r="D567">
        <v>0</v>
      </c>
      <c r="E567" t="s">
        <v>90</v>
      </c>
      <c r="F567" t="s">
        <v>17</v>
      </c>
      <c r="G567">
        <v>20</v>
      </c>
    </row>
    <row r="568" spans="1:7" x14ac:dyDescent="0.35">
      <c r="A568">
        <v>35463</v>
      </c>
      <c r="B568">
        <v>0</v>
      </c>
      <c r="C568" t="s">
        <v>13</v>
      </c>
      <c r="D568">
        <v>3701</v>
      </c>
      <c r="E568" t="s">
        <v>92</v>
      </c>
      <c r="F568" t="s">
        <v>14</v>
      </c>
      <c r="G568">
        <v>30</v>
      </c>
    </row>
    <row r="569" spans="1:7" x14ac:dyDescent="0.35">
      <c r="A569">
        <v>91591</v>
      </c>
      <c r="B569">
        <v>1</v>
      </c>
      <c r="C569" t="s">
        <v>16</v>
      </c>
      <c r="D569">
        <v>0</v>
      </c>
      <c r="E569" t="s">
        <v>92</v>
      </c>
      <c r="F569" t="s">
        <v>14</v>
      </c>
      <c r="G569">
        <v>10</v>
      </c>
    </row>
    <row r="570" spans="1:7" x14ac:dyDescent="0.35">
      <c r="A570">
        <v>109099</v>
      </c>
      <c r="B570">
        <v>0</v>
      </c>
      <c r="C570" t="s">
        <v>49</v>
      </c>
      <c r="D570">
        <v>5701</v>
      </c>
      <c r="E570" t="s">
        <v>89</v>
      </c>
      <c r="F570" t="s">
        <v>17</v>
      </c>
      <c r="G570">
        <v>6</v>
      </c>
    </row>
    <row r="571" spans="1:7" x14ac:dyDescent="0.35">
      <c r="A571">
        <v>174182</v>
      </c>
      <c r="B571">
        <v>0</v>
      </c>
      <c r="C571" t="s">
        <v>37</v>
      </c>
      <c r="D571">
        <v>3201</v>
      </c>
      <c r="E571" t="s">
        <v>95</v>
      </c>
      <c r="F571" t="s">
        <v>17</v>
      </c>
      <c r="G571">
        <v>20</v>
      </c>
    </row>
    <row r="572" spans="1:7" x14ac:dyDescent="0.35">
      <c r="A572">
        <v>183722</v>
      </c>
      <c r="B572">
        <v>0</v>
      </c>
      <c r="C572" t="s">
        <v>40</v>
      </c>
      <c r="D572">
        <v>4808</v>
      </c>
      <c r="E572" t="s">
        <v>91</v>
      </c>
      <c r="F572" t="s">
        <v>17</v>
      </c>
      <c r="G572">
        <v>20</v>
      </c>
    </row>
    <row r="573" spans="1:7" x14ac:dyDescent="0.35">
      <c r="A573">
        <v>98374</v>
      </c>
      <c r="B573">
        <v>0</v>
      </c>
      <c r="C573" t="s">
        <v>16</v>
      </c>
      <c r="D573">
        <v>2008</v>
      </c>
      <c r="E573" t="s">
        <v>88</v>
      </c>
      <c r="F573" t="s">
        <v>17</v>
      </c>
      <c r="G573">
        <v>15</v>
      </c>
    </row>
    <row r="574" spans="1:7" x14ac:dyDescent="0.35">
      <c r="A574">
        <v>126681</v>
      </c>
      <c r="B574">
        <v>28</v>
      </c>
      <c r="C574" t="s">
        <v>21</v>
      </c>
      <c r="D574">
        <v>3911</v>
      </c>
      <c r="E574" t="s">
        <v>91</v>
      </c>
      <c r="F574" t="s">
        <v>17</v>
      </c>
      <c r="G574">
        <v>15</v>
      </c>
    </row>
    <row r="575" spans="1:7" x14ac:dyDescent="0.35">
      <c r="A575">
        <v>147936</v>
      </c>
      <c r="B575">
        <v>1</v>
      </c>
      <c r="C575" t="s">
        <v>22</v>
      </c>
      <c r="D575">
        <v>901</v>
      </c>
      <c r="E575" t="s">
        <v>95</v>
      </c>
      <c r="F575" t="s">
        <v>14</v>
      </c>
      <c r="G575">
        <v>5</v>
      </c>
    </row>
    <row r="576" spans="1:7" x14ac:dyDescent="0.35">
      <c r="A576">
        <v>152133</v>
      </c>
      <c r="B576">
        <v>28</v>
      </c>
      <c r="C576" t="s">
        <v>22</v>
      </c>
      <c r="D576">
        <v>0</v>
      </c>
      <c r="E576" t="s">
        <v>97</v>
      </c>
      <c r="F576" t="s">
        <v>17</v>
      </c>
      <c r="G576">
        <v>5</v>
      </c>
    </row>
    <row r="577" spans="1:7" x14ac:dyDescent="0.35">
      <c r="A577">
        <v>57929</v>
      </c>
      <c r="B577">
        <v>2</v>
      </c>
      <c r="C577" t="s">
        <v>57</v>
      </c>
      <c r="D577">
        <v>3503</v>
      </c>
      <c r="E577" t="s">
        <v>98</v>
      </c>
      <c r="F577" t="s">
        <v>17</v>
      </c>
      <c r="G577">
        <v>10</v>
      </c>
    </row>
    <row r="578" spans="1:7" x14ac:dyDescent="0.35">
      <c r="A578">
        <v>15697</v>
      </c>
      <c r="B578">
        <v>0</v>
      </c>
      <c r="C578" t="s">
        <v>18</v>
      </c>
      <c r="D578">
        <v>0</v>
      </c>
      <c r="E578" t="s">
        <v>91</v>
      </c>
      <c r="F578" t="s">
        <v>30</v>
      </c>
      <c r="G578">
        <v>20</v>
      </c>
    </row>
    <row r="579" spans="1:7" x14ac:dyDescent="0.35">
      <c r="A579">
        <v>92814</v>
      </c>
      <c r="B579">
        <v>0</v>
      </c>
      <c r="C579" t="s">
        <v>16</v>
      </c>
      <c r="D579">
        <v>6401</v>
      </c>
      <c r="E579" t="s">
        <v>95</v>
      </c>
      <c r="F579" t="s">
        <v>17</v>
      </c>
      <c r="G579">
        <v>25</v>
      </c>
    </row>
    <row r="580" spans="1:7" x14ac:dyDescent="0.35">
      <c r="A580">
        <v>98282</v>
      </c>
      <c r="B580">
        <v>0</v>
      </c>
      <c r="C580" t="s">
        <v>16</v>
      </c>
      <c r="D580">
        <v>3505</v>
      </c>
      <c r="E580" t="s">
        <v>91</v>
      </c>
      <c r="F580" t="s">
        <v>14</v>
      </c>
      <c r="G580">
        <v>15</v>
      </c>
    </row>
    <row r="581" spans="1:7" x14ac:dyDescent="0.35">
      <c r="A581">
        <v>27798</v>
      </c>
      <c r="B581">
        <v>0</v>
      </c>
      <c r="C581" t="s">
        <v>39</v>
      </c>
      <c r="D581">
        <v>4301</v>
      </c>
      <c r="E581" t="s">
        <v>89</v>
      </c>
      <c r="F581" t="s">
        <v>17</v>
      </c>
      <c r="G581">
        <v>10</v>
      </c>
    </row>
    <row r="582" spans="1:7" x14ac:dyDescent="0.35">
      <c r="A582">
        <v>45503</v>
      </c>
      <c r="B582">
        <v>1</v>
      </c>
      <c r="C582" t="s">
        <v>13</v>
      </c>
      <c r="D582">
        <v>3709</v>
      </c>
      <c r="E582" t="s">
        <v>96</v>
      </c>
      <c r="F582" t="s">
        <v>14</v>
      </c>
      <c r="G582">
        <v>5</v>
      </c>
    </row>
    <row r="583" spans="1:7" x14ac:dyDescent="0.35">
      <c r="A583">
        <v>6006</v>
      </c>
      <c r="B583">
        <v>0</v>
      </c>
      <c r="C583" t="s">
        <v>48</v>
      </c>
      <c r="D583">
        <v>1602</v>
      </c>
      <c r="E583" t="s">
        <v>92</v>
      </c>
      <c r="F583" t="s">
        <v>17</v>
      </c>
      <c r="G583">
        <v>100</v>
      </c>
    </row>
    <row r="584" spans="1:7" x14ac:dyDescent="0.35">
      <c r="A584">
        <v>138182</v>
      </c>
      <c r="B584">
        <v>28</v>
      </c>
      <c r="C584" t="s">
        <v>55</v>
      </c>
      <c r="D584">
        <v>2911</v>
      </c>
      <c r="E584" t="s">
        <v>88</v>
      </c>
      <c r="F584" t="s">
        <v>17</v>
      </c>
      <c r="G584">
        <v>5</v>
      </c>
    </row>
    <row r="585" spans="1:7" x14ac:dyDescent="0.35">
      <c r="A585">
        <v>144714</v>
      </c>
      <c r="B585">
        <v>0</v>
      </c>
      <c r="C585" t="s">
        <v>22</v>
      </c>
      <c r="D585">
        <v>0</v>
      </c>
      <c r="E585" t="s">
        <v>93</v>
      </c>
      <c r="F585" t="s">
        <v>17</v>
      </c>
      <c r="G585">
        <v>16</v>
      </c>
    </row>
    <row r="586" spans="1:7" x14ac:dyDescent="0.35">
      <c r="A586">
        <v>10001</v>
      </c>
      <c r="B586">
        <v>1</v>
      </c>
      <c r="C586" t="s">
        <v>16</v>
      </c>
      <c r="D586">
        <v>5508</v>
      </c>
      <c r="E586" t="s">
        <v>92</v>
      </c>
      <c r="F586" t="s">
        <v>14</v>
      </c>
      <c r="G586">
        <v>16</v>
      </c>
    </row>
    <row r="587" spans="1:7" x14ac:dyDescent="0.35">
      <c r="A587">
        <v>157860</v>
      </c>
      <c r="B587">
        <v>1002</v>
      </c>
      <c r="C587" t="s">
        <v>22</v>
      </c>
      <c r="D587">
        <v>5701</v>
      </c>
      <c r="E587" t="s">
        <v>93</v>
      </c>
      <c r="F587" t="s">
        <v>14</v>
      </c>
      <c r="G587">
        <v>4</v>
      </c>
    </row>
    <row r="588" spans="1:7" x14ac:dyDescent="0.35">
      <c r="A588">
        <v>58351</v>
      </c>
      <c r="B588">
        <v>1</v>
      </c>
      <c r="C588" t="s">
        <v>57</v>
      </c>
      <c r="D588">
        <v>2801</v>
      </c>
      <c r="E588" t="s">
        <v>98</v>
      </c>
      <c r="F588" t="s">
        <v>14</v>
      </c>
      <c r="G588">
        <v>9</v>
      </c>
    </row>
    <row r="589" spans="1:7" x14ac:dyDescent="0.35">
      <c r="A589">
        <v>97552</v>
      </c>
      <c r="B589">
        <v>0</v>
      </c>
      <c r="C589" t="s">
        <v>16</v>
      </c>
      <c r="D589">
        <v>2801</v>
      </c>
      <c r="E589" t="s">
        <v>96</v>
      </c>
      <c r="F589" t="s">
        <v>17</v>
      </c>
      <c r="G589">
        <v>50</v>
      </c>
    </row>
    <row r="590" spans="1:7" x14ac:dyDescent="0.35">
      <c r="A590">
        <v>85920</v>
      </c>
      <c r="B590">
        <v>1</v>
      </c>
      <c r="C590" t="s">
        <v>52</v>
      </c>
      <c r="D590">
        <v>0</v>
      </c>
      <c r="F590" t="s">
        <v>14</v>
      </c>
      <c r="G590">
        <v>20</v>
      </c>
    </row>
    <row r="591" spans="1:7" x14ac:dyDescent="0.35">
      <c r="A591">
        <v>29401</v>
      </c>
      <c r="B591">
        <v>1</v>
      </c>
      <c r="C591" t="s">
        <v>39</v>
      </c>
      <c r="D591">
        <v>3410</v>
      </c>
      <c r="E591" t="s">
        <v>89</v>
      </c>
      <c r="F591" t="s">
        <v>14</v>
      </c>
      <c r="G591">
        <v>15</v>
      </c>
    </row>
    <row r="592" spans="1:7" x14ac:dyDescent="0.35">
      <c r="A592">
        <v>12715</v>
      </c>
      <c r="B592">
        <v>1</v>
      </c>
      <c r="C592" t="s">
        <v>43</v>
      </c>
      <c r="D592">
        <v>1201</v>
      </c>
      <c r="E592" t="s">
        <v>92</v>
      </c>
      <c r="F592" t="s">
        <v>14</v>
      </c>
      <c r="G592">
        <v>15</v>
      </c>
    </row>
    <row r="593" spans="1:7" x14ac:dyDescent="0.35">
      <c r="A593">
        <v>90031</v>
      </c>
      <c r="B593">
        <v>2</v>
      </c>
      <c r="C593" t="s">
        <v>16</v>
      </c>
      <c r="D593">
        <v>1601</v>
      </c>
      <c r="E593" t="s">
        <v>92</v>
      </c>
      <c r="F593" t="s">
        <v>17</v>
      </c>
      <c r="G593">
        <v>3</v>
      </c>
    </row>
    <row r="594" spans="1:7" x14ac:dyDescent="0.35">
      <c r="A594">
        <v>55442</v>
      </c>
      <c r="B594">
        <v>0</v>
      </c>
      <c r="C594" t="s">
        <v>62</v>
      </c>
      <c r="D594">
        <v>2504</v>
      </c>
      <c r="E594" t="s">
        <v>98</v>
      </c>
      <c r="F594" t="s">
        <v>14</v>
      </c>
      <c r="G594">
        <v>25</v>
      </c>
    </row>
    <row r="595" spans="1:7" x14ac:dyDescent="0.35">
      <c r="A595">
        <v>105984</v>
      </c>
      <c r="B595">
        <v>0</v>
      </c>
      <c r="C595" t="s">
        <v>28</v>
      </c>
      <c r="D595">
        <v>5711</v>
      </c>
      <c r="E595" t="s">
        <v>93</v>
      </c>
      <c r="F595" t="s">
        <v>17</v>
      </c>
      <c r="G595">
        <v>10</v>
      </c>
    </row>
    <row r="596" spans="1:7" x14ac:dyDescent="0.35">
      <c r="A596">
        <v>188035</v>
      </c>
      <c r="B596">
        <v>1</v>
      </c>
      <c r="C596" t="s">
        <v>55</v>
      </c>
      <c r="D596">
        <v>0</v>
      </c>
      <c r="E596" t="s">
        <v>93</v>
      </c>
      <c r="G596">
        <v>23</v>
      </c>
    </row>
    <row r="597" spans="1:7" x14ac:dyDescent="0.35">
      <c r="A597">
        <v>101665</v>
      </c>
      <c r="B597">
        <v>0</v>
      </c>
      <c r="C597" t="s">
        <v>36</v>
      </c>
      <c r="D597">
        <v>7308</v>
      </c>
      <c r="E597" t="s">
        <v>89</v>
      </c>
      <c r="F597" t="s">
        <v>17</v>
      </c>
      <c r="G597">
        <v>5</v>
      </c>
    </row>
    <row r="598" spans="1:7" x14ac:dyDescent="0.35">
      <c r="A598">
        <v>70774</v>
      </c>
      <c r="B598">
        <v>2</v>
      </c>
      <c r="C598" t="s">
        <v>29</v>
      </c>
      <c r="D598">
        <v>5601</v>
      </c>
      <c r="E598" t="s">
        <v>91</v>
      </c>
      <c r="F598" t="s">
        <v>17</v>
      </c>
      <c r="G598">
        <v>4</v>
      </c>
    </row>
    <row r="599" spans="1:7" x14ac:dyDescent="0.35">
      <c r="A599">
        <v>23263</v>
      </c>
      <c r="B599">
        <v>0</v>
      </c>
      <c r="C599" t="s">
        <v>46</v>
      </c>
      <c r="D599">
        <v>3304</v>
      </c>
      <c r="E599" t="s">
        <v>91</v>
      </c>
      <c r="F599" t="s">
        <v>17</v>
      </c>
      <c r="G599">
        <v>30</v>
      </c>
    </row>
    <row r="600" spans="1:7" x14ac:dyDescent="0.35">
      <c r="A600">
        <v>166475</v>
      </c>
      <c r="B600">
        <v>0</v>
      </c>
      <c r="C600" t="s">
        <v>22</v>
      </c>
      <c r="D600">
        <v>4201</v>
      </c>
      <c r="E600" t="s">
        <v>92</v>
      </c>
      <c r="F600" t="s">
        <v>30</v>
      </c>
      <c r="G600">
        <v>10</v>
      </c>
    </row>
    <row r="601" spans="1:7" x14ac:dyDescent="0.35">
      <c r="A601">
        <v>83042</v>
      </c>
      <c r="B601">
        <v>1</v>
      </c>
      <c r="C601" t="s">
        <v>56</v>
      </c>
      <c r="D601">
        <v>4005</v>
      </c>
      <c r="E601" t="s">
        <v>89</v>
      </c>
      <c r="F601" t="s">
        <v>14</v>
      </c>
      <c r="G601">
        <v>10</v>
      </c>
    </row>
    <row r="602" spans="1:7" x14ac:dyDescent="0.35">
      <c r="A602">
        <v>149970</v>
      </c>
      <c r="B602">
        <v>0</v>
      </c>
      <c r="C602" t="s">
        <v>22</v>
      </c>
      <c r="D602">
        <v>0</v>
      </c>
      <c r="E602" t="s">
        <v>90</v>
      </c>
      <c r="F602" t="s">
        <v>17</v>
      </c>
      <c r="G602">
        <v>15</v>
      </c>
    </row>
    <row r="603" spans="1:7" x14ac:dyDescent="0.35">
      <c r="A603">
        <v>13863</v>
      </c>
      <c r="B603">
        <v>0</v>
      </c>
      <c r="C603" t="s">
        <v>21</v>
      </c>
      <c r="D603">
        <v>3001</v>
      </c>
      <c r="E603" t="s">
        <v>91</v>
      </c>
      <c r="F603" t="s">
        <v>17</v>
      </c>
      <c r="G603">
        <v>6</v>
      </c>
    </row>
    <row r="604" spans="1:7" x14ac:dyDescent="0.35">
      <c r="A604">
        <v>64074</v>
      </c>
      <c r="B604">
        <v>0</v>
      </c>
      <c r="C604" t="s">
        <v>33</v>
      </c>
      <c r="D604">
        <v>0</v>
      </c>
      <c r="E604" t="s">
        <v>96</v>
      </c>
      <c r="F604" t="s">
        <v>17</v>
      </c>
      <c r="G604">
        <v>10</v>
      </c>
    </row>
    <row r="605" spans="1:7" x14ac:dyDescent="0.35">
      <c r="A605">
        <v>42096</v>
      </c>
      <c r="B605">
        <v>0</v>
      </c>
      <c r="C605" t="s">
        <v>13</v>
      </c>
      <c r="D605">
        <v>0</v>
      </c>
      <c r="E605" t="s">
        <v>96</v>
      </c>
      <c r="F605" t="s">
        <v>17</v>
      </c>
      <c r="G605">
        <v>20</v>
      </c>
    </row>
    <row r="606" spans="1:7" x14ac:dyDescent="0.35">
      <c r="A606">
        <v>169188</v>
      </c>
      <c r="B606">
        <v>2</v>
      </c>
      <c r="C606" t="s">
        <v>22</v>
      </c>
      <c r="D606">
        <v>0</v>
      </c>
      <c r="E606" t="s">
        <v>91</v>
      </c>
      <c r="F606" t="s">
        <v>17</v>
      </c>
      <c r="G606">
        <v>10</v>
      </c>
    </row>
    <row r="607" spans="1:7" x14ac:dyDescent="0.35">
      <c r="A607">
        <v>18609</v>
      </c>
      <c r="B607">
        <v>0</v>
      </c>
      <c r="C607" t="s">
        <v>18</v>
      </c>
      <c r="D607">
        <v>4901</v>
      </c>
      <c r="E607" t="s">
        <v>94</v>
      </c>
      <c r="F607" t="s">
        <v>17</v>
      </c>
      <c r="G607">
        <v>10</v>
      </c>
    </row>
    <row r="608" spans="1:7" x14ac:dyDescent="0.35">
      <c r="A608">
        <v>109536</v>
      </c>
      <c r="B608">
        <v>1</v>
      </c>
      <c r="C608" t="s">
        <v>49</v>
      </c>
      <c r="D608">
        <v>3401</v>
      </c>
      <c r="E608" t="s">
        <v>89</v>
      </c>
      <c r="F608" t="s">
        <v>14</v>
      </c>
      <c r="G608">
        <v>7</v>
      </c>
    </row>
    <row r="609" spans="1:7" x14ac:dyDescent="0.35">
      <c r="A609">
        <v>9348</v>
      </c>
      <c r="B609">
        <v>0</v>
      </c>
      <c r="C609" t="s">
        <v>31</v>
      </c>
      <c r="D609">
        <v>1401</v>
      </c>
      <c r="E609" t="s">
        <v>94</v>
      </c>
      <c r="F609" t="s">
        <v>14</v>
      </c>
      <c r="G609">
        <v>10</v>
      </c>
    </row>
    <row r="610" spans="1:7" x14ac:dyDescent="0.35">
      <c r="A610">
        <v>136790</v>
      </c>
      <c r="B610">
        <v>0</v>
      </c>
      <c r="C610" t="s">
        <v>55</v>
      </c>
      <c r="D610">
        <v>2001</v>
      </c>
      <c r="E610" t="s">
        <v>93</v>
      </c>
      <c r="F610" t="s">
        <v>14</v>
      </c>
      <c r="G610">
        <v>5</v>
      </c>
    </row>
    <row r="611" spans="1:7" x14ac:dyDescent="0.35">
      <c r="A611">
        <v>71332</v>
      </c>
      <c r="B611">
        <v>2</v>
      </c>
      <c r="C611" t="s">
        <v>29</v>
      </c>
      <c r="D611">
        <v>3601</v>
      </c>
      <c r="E611" t="s">
        <v>91</v>
      </c>
      <c r="F611" t="s">
        <v>14</v>
      </c>
      <c r="G611">
        <v>7</v>
      </c>
    </row>
    <row r="612" spans="1:7" x14ac:dyDescent="0.35">
      <c r="A612">
        <v>135430</v>
      </c>
      <c r="B612">
        <v>2</v>
      </c>
      <c r="C612" t="s">
        <v>55</v>
      </c>
      <c r="D612">
        <v>3408</v>
      </c>
      <c r="E612" t="s">
        <v>93</v>
      </c>
      <c r="F612" t="s">
        <v>17</v>
      </c>
      <c r="G612">
        <v>25</v>
      </c>
    </row>
    <row r="613" spans="1:7" x14ac:dyDescent="0.35">
      <c r="A613">
        <v>124484</v>
      </c>
      <c r="B613">
        <v>0</v>
      </c>
      <c r="C613" t="s">
        <v>21</v>
      </c>
      <c r="D613">
        <v>0</v>
      </c>
      <c r="E613" t="s">
        <v>94</v>
      </c>
      <c r="F613" t="s">
        <v>17</v>
      </c>
      <c r="G613">
        <v>8</v>
      </c>
    </row>
    <row r="614" spans="1:7" x14ac:dyDescent="0.35">
      <c r="A614">
        <v>184098</v>
      </c>
      <c r="B614">
        <v>0</v>
      </c>
      <c r="C614" t="s">
        <v>40</v>
      </c>
      <c r="D614">
        <v>0</v>
      </c>
      <c r="E614" t="s">
        <v>96</v>
      </c>
      <c r="F614" t="s">
        <v>17</v>
      </c>
      <c r="G614">
        <v>9</v>
      </c>
    </row>
    <row r="615" spans="1:7" x14ac:dyDescent="0.35">
      <c r="A615">
        <v>144850</v>
      </c>
      <c r="B615">
        <v>0</v>
      </c>
      <c r="C615" t="s">
        <v>22</v>
      </c>
      <c r="D615">
        <v>4301</v>
      </c>
      <c r="F615" t="s">
        <v>17</v>
      </c>
      <c r="G615">
        <v>5</v>
      </c>
    </row>
    <row r="616" spans="1:7" x14ac:dyDescent="0.35">
      <c r="A616">
        <v>188519</v>
      </c>
      <c r="B616">
        <v>28</v>
      </c>
      <c r="C616" t="s">
        <v>33</v>
      </c>
      <c r="D616">
        <v>2401</v>
      </c>
      <c r="E616" t="s">
        <v>93</v>
      </c>
      <c r="F616" t="s">
        <v>17</v>
      </c>
      <c r="G616">
        <v>5</v>
      </c>
    </row>
    <row r="617" spans="1:7" x14ac:dyDescent="0.35">
      <c r="A617">
        <v>164367</v>
      </c>
      <c r="B617">
        <v>28</v>
      </c>
      <c r="C617" t="s">
        <v>22</v>
      </c>
      <c r="D617">
        <v>0</v>
      </c>
      <c r="E617" t="s">
        <v>93</v>
      </c>
      <c r="F617" t="s">
        <v>17</v>
      </c>
      <c r="G617">
        <v>20</v>
      </c>
    </row>
    <row r="618" spans="1:7" x14ac:dyDescent="0.35">
      <c r="A618">
        <v>75992</v>
      </c>
      <c r="B618">
        <v>28</v>
      </c>
      <c r="C618" t="s">
        <v>47</v>
      </c>
      <c r="D618">
        <v>5601</v>
      </c>
      <c r="E618" t="s">
        <v>97</v>
      </c>
      <c r="F618" t="s">
        <v>17</v>
      </c>
      <c r="G618">
        <v>8</v>
      </c>
    </row>
    <row r="619" spans="1:7" x14ac:dyDescent="0.35">
      <c r="A619">
        <v>34957</v>
      </c>
      <c r="B619">
        <v>28</v>
      </c>
      <c r="C619" t="s">
        <v>13</v>
      </c>
      <c r="D619">
        <v>2401</v>
      </c>
      <c r="E619" t="s">
        <v>92</v>
      </c>
      <c r="F619" t="s">
        <v>17</v>
      </c>
      <c r="G619">
        <v>10</v>
      </c>
    </row>
    <row r="620" spans="1:7" x14ac:dyDescent="0.35">
      <c r="A620">
        <v>110094</v>
      </c>
      <c r="B620">
        <v>2</v>
      </c>
      <c r="C620" t="s">
        <v>49</v>
      </c>
      <c r="D620">
        <v>5305</v>
      </c>
      <c r="E620" t="s">
        <v>96</v>
      </c>
      <c r="F620" t="s">
        <v>17</v>
      </c>
      <c r="G620">
        <v>18</v>
      </c>
    </row>
    <row r="621" spans="1:7" x14ac:dyDescent="0.35">
      <c r="A621">
        <v>121590</v>
      </c>
      <c r="B621">
        <v>0</v>
      </c>
      <c r="C621" t="s">
        <v>21</v>
      </c>
      <c r="D621">
        <v>6410</v>
      </c>
      <c r="E621" t="s">
        <v>95</v>
      </c>
      <c r="F621" t="s">
        <v>17</v>
      </c>
      <c r="G621">
        <v>10</v>
      </c>
    </row>
    <row r="622" spans="1:7" x14ac:dyDescent="0.35">
      <c r="A622">
        <v>140652</v>
      </c>
      <c r="B622">
        <v>0</v>
      </c>
      <c r="C622" t="s">
        <v>54</v>
      </c>
      <c r="D622">
        <v>3101</v>
      </c>
      <c r="E622" t="s">
        <v>91</v>
      </c>
      <c r="F622" t="s">
        <v>17</v>
      </c>
      <c r="G622">
        <v>20</v>
      </c>
    </row>
    <row r="623" spans="1:7" x14ac:dyDescent="0.35">
      <c r="A623">
        <v>134319</v>
      </c>
      <c r="B623">
        <v>0</v>
      </c>
      <c r="C623" t="s">
        <v>38</v>
      </c>
      <c r="D623">
        <v>0</v>
      </c>
      <c r="E623" t="s">
        <v>93</v>
      </c>
      <c r="F623" t="s">
        <v>17</v>
      </c>
      <c r="G623">
        <v>13</v>
      </c>
    </row>
    <row r="624" spans="1:7" x14ac:dyDescent="0.35">
      <c r="A624">
        <v>27921</v>
      </c>
      <c r="B624">
        <v>0</v>
      </c>
      <c r="C624" t="s">
        <v>39</v>
      </c>
      <c r="D624">
        <v>0</v>
      </c>
      <c r="E624" t="s">
        <v>94</v>
      </c>
      <c r="F624" t="s">
        <v>17</v>
      </c>
      <c r="G624">
        <v>14</v>
      </c>
    </row>
    <row r="625" spans="1:7" x14ac:dyDescent="0.35">
      <c r="A625">
        <v>29373</v>
      </c>
      <c r="B625">
        <v>0</v>
      </c>
      <c r="C625" t="s">
        <v>39</v>
      </c>
      <c r="D625">
        <v>5401</v>
      </c>
      <c r="E625" t="s">
        <v>94</v>
      </c>
      <c r="F625" t="s">
        <v>17</v>
      </c>
      <c r="G625">
        <v>20</v>
      </c>
    </row>
    <row r="626" spans="1:7" x14ac:dyDescent="0.35">
      <c r="A626">
        <v>130684</v>
      </c>
      <c r="B626">
        <v>980</v>
      </c>
      <c r="C626" t="s">
        <v>43</v>
      </c>
      <c r="D626">
        <v>0</v>
      </c>
      <c r="E626" t="s">
        <v>94</v>
      </c>
      <c r="G626">
        <v>6</v>
      </c>
    </row>
    <row r="627" spans="1:7" x14ac:dyDescent="0.35">
      <c r="A627">
        <v>190920</v>
      </c>
      <c r="B627">
        <v>1</v>
      </c>
      <c r="C627" t="s">
        <v>22</v>
      </c>
      <c r="D627">
        <v>0</v>
      </c>
      <c r="E627" t="s">
        <v>90</v>
      </c>
      <c r="F627" t="s">
        <v>14</v>
      </c>
      <c r="G627">
        <v>20</v>
      </c>
    </row>
    <row r="628" spans="1:7" x14ac:dyDescent="0.35">
      <c r="A628">
        <v>187259</v>
      </c>
      <c r="B628">
        <v>0</v>
      </c>
      <c r="C628" t="s">
        <v>22</v>
      </c>
      <c r="D628">
        <v>0</v>
      </c>
      <c r="E628" t="s">
        <v>93</v>
      </c>
      <c r="F628" t="s">
        <v>17</v>
      </c>
      <c r="G628">
        <v>15</v>
      </c>
    </row>
    <row r="629" spans="1:7" x14ac:dyDescent="0.35">
      <c r="A629">
        <v>45666</v>
      </c>
      <c r="B629">
        <v>28</v>
      </c>
      <c r="C629" t="s">
        <v>13</v>
      </c>
      <c r="D629">
        <v>4001</v>
      </c>
      <c r="E629" t="s">
        <v>96</v>
      </c>
      <c r="F629" t="s">
        <v>17</v>
      </c>
      <c r="G629">
        <v>5</v>
      </c>
    </row>
    <row r="630" spans="1:7" x14ac:dyDescent="0.35">
      <c r="A630">
        <v>21335</v>
      </c>
      <c r="B630">
        <v>2</v>
      </c>
      <c r="C630" t="s">
        <v>18</v>
      </c>
      <c r="D630">
        <v>0</v>
      </c>
      <c r="E630" t="s">
        <v>89</v>
      </c>
      <c r="F630" t="s">
        <v>14</v>
      </c>
      <c r="G630">
        <v>10</v>
      </c>
    </row>
    <row r="631" spans="1:7" x14ac:dyDescent="0.35">
      <c r="A631">
        <v>160424</v>
      </c>
      <c r="B631">
        <v>1</v>
      </c>
      <c r="C631" t="s">
        <v>22</v>
      </c>
      <c r="D631">
        <v>3201</v>
      </c>
      <c r="E631" t="s">
        <v>89</v>
      </c>
      <c r="F631" t="s">
        <v>14</v>
      </c>
      <c r="G631">
        <v>20</v>
      </c>
    </row>
    <row r="632" spans="1:7" x14ac:dyDescent="0.35">
      <c r="A632">
        <v>2194</v>
      </c>
      <c r="B632">
        <v>0</v>
      </c>
      <c r="C632" t="s">
        <v>13</v>
      </c>
      <c r="D632">
        <v>6008</v>
      </c>
      <c r="F632" t="s">
        <v>14</v>
      </c>
      <c r="G632">
        <v>4</v>
      </c>
    </row>
    <row r="633" spans="1:7" x14ac:dyDescent="0.35">
      <c r="A633">
        <v>53151</v>
      </c>
      <c r="B633">
        <v>0</v>
      </c>
      <c r="C633" t="s">
        <v>53</v>
      </c>
      <c r="D633">
        <v>0</v>
      </c>
      <c r="E633" t="s">
        <v>98</v>
      </c>
      <c r="F633" t="s">
        <v>14</v>
      </c>
      <c r="G633">
        <v>40</v>
      </c>
    </row>
    <row r="634" spans="1:7" x14ac:dyDescent="0.35">
      <c r="A634">
        <v>126069</v>
      </c>
      <c r="B634">
        <v>2</v>
      </c>
      <c r="C634" t="s">
        <v>21</v>
      </c>
      <c r="D634">
        <v>903</v>
      </c>
      <c r="E634" t="s">
        <v>91</v>
      </c>
      <c r="F634" t="s">
        <v>17</v>
      </c>
      <c r="G634">
        <v>5</v>
      </c>
    </row>
    <row r="635" spans="1:7" x14ac:dyDescent="0.35">
      <c r="A635">
        <v>176292</v>
      </c>
      <c r="B635">
        <v>1</v>
      </c>
      <c r="C635" t="s">
        <v>50</v>
      </c>
      <c r="D635">
        <v>0</v>
      </c>
      <c r="E635" t="s">
        <v>96</v>
      </c>
      <c r="F635" t="s">
        <v>14</v>
      </c>
      <c r="G635">
        <v>25</v>
      </c>
    </row>
    <row r="636" spans="1:7" x14ac:dyDescent="0.35">
      <c r="A636">
        <v>151518</v>
      </c>
      <c r="B636">
        <v>0</v>
      </c>
      <c r="C636" t="s">
        <v>22</v>
      </c>
      <c r="D636">
        <v>4401</v>
      </c>
      <c r="E636" t="s">
        <v>89</v>
      </c>
      <c r="F636" t="s">
        <v>17</v>
      </c>
      <c r="G636">
        <v>15</v>
      </c>
    </row>
    <row r="637" spans="1:7" x14ac:dyDescent="0.35">
      <c r="A637">
        <v>173872</v>
      </c>
      <c r="B637">
        <v>28</v>
      </c>
      <c r="C637" t="s">
        <v>37</v>
      </c>
      <c r="D637">
        <v>0</v>
      </c>
      <c r="E637" t="s">
        <v>93</v>
      </c>
      <c r="F637" t="s">
        <v>17</v>
      </c>
      <c r="G637">
        <v>15</v>
      </c>
    </row>
    <row r="638" spans="1:7" x14ac:dyDescent="0.35">
      <c r="A638">
        <v>117726</v>
      </c>
      <c r="B638">
        <v>0</v>
      </c>
      <c r="C638" t="s">
        <v>21</v>
      </c>
      <c r="D638">
        <v>0</v>
      </c>
      <c r="E638" t="s">
        <v>98</v>
      </c>
      <c r="F638" t="s">
        <v>17</v>
      </c>
      <c r="G638">
        <v>10</v>
      </c>
    </row>
    <row r="639" spans="1:7" x14ac:dyDescent="0.35">
      <c r="A639">
        <v>18948</v>
      </c>
      <c r="B639">
        <v>0</v>
      </c>
      <c r="C639" t="s">
        <v>18</v>
      </c>
      <c r="D639">
        <v>5601</v>
      </c>
      <c r="E639" t="s">
        <v>93</v>
      </c>
      <c r="F639" t="s">
        <v>44</v>
      </c>
      <c r="G639">
        <v>17</v>
      </c>
    </row>
    <row r="640" spans="1:7" x14ac:dyDescent="0.35">
      <c r="A640">
        <v>7330</v>
      </c>
      <c r="B640">
        <v>2</v>
      </c>
      <c r="C640" t="s">
        <v>16</v>
      </c>
      <c r="D640">
        <v>2007</v>
      </c>
      <c r="E640" t="s">
        <v>89</v>
      </c>
      <c r="F640" t="s">
        <v>17</v>
      </c>
      <c r="G640">
        <v>6</v>
      </c>
    </row>
    <row r="641" spans="1:7" x14ac:dyDescent="0.35">
      <c r="A641">
        <v>160576</v>
      </c>
      <c r="B641">
        <v>1002</v>
      </c>
      <c r="C641" t="s">
        <v>22</v>
      </c>
      <c r="D641">
        <v>4012</v>
      </c>
      <c r="E641" t="s">
        <v>94</v>
      </c>
      <c r="F641" t="s">
        <v>14</v>
      </c>
      <c r="G641">
        <v>15</v>
      </c>
    </row>
    <row r="642" spans="1:7" x14ac:dyDescent="0.35">
      <c r="A642">
        <v>72190</v>
      </c>
      <c r="B642">
        <v>2</v>
      </c>
      <c r="C642" t="s">
        <v>29</v>
      </c>
      <c r="D642">
        <v>1312</v>
      </c>
      <c r="E642" t="s">
        <v>94</v>
      </c>
      <c r="F642" t="s">
        <v>14</v>
      </c>
      <c r="G642">
        <v>13</v>
      </c>
    </row>
    <row r="643" spans="1:7" x14ac:dyDescent="0.35">
      <c r="A643">
        <v>13292</v>
      </c>
      <c r="B643">
        <v>0</v>
      </c>
      <c r="C643" t="s">
        <v>57</v>
      </c>
      <c r="D643">
        <v>0</v>
      </c>
      <c r="E643" t="s">
        <v>89</v>
      </c>
      <c r="F643" t="s">
        <v>17</v>
      </c>
      <c r="G643">
        <v>10</v>
      </c>
    </row>
    <row r="644" spans="1:7" x14ac:dyDescent="0.35">
      <c r="A644">
        <v>13551</v>
      </c>
      <c r="B644">
        <v>0</v>
      </c>
      <c r="C644" t="s">
        <v>22</v>
      </c>
      <c r="D644">
        <v>6201</v>
      </c>
      <c r="F644" t="s">
        <v>17</v>
      </c>
      <c r="G644">
        <v>10</v>
      </c>
    </row>
    <row r="645" spans="1:7" x14ac:dyDescent="0.35">
      <c r="A645">
        <v>170935</v>
      </c>
      <c r="B645">
        <v>0</v>
      </c>
      <c r="C645" t="s">
        <v>22</v>
      </c>
      <c r="D645">
        <v>0</v>
      </c>
      <c r="E645" t="s">
        <v>91</v>
      </c>
      <c r="F645" t="s">
        <v>17</v>
      </c>
      <c r="G645">
        <v>10</v>
      </c>
    </row>
    <row r="646" spans="1:7" x14ac:dyDescent="0.35">
      <c r="A646">
        <v>126888</v>
      </c>
      <c r="B646">
        <v>1</v>
      </c>
      <c r="C646" t="s">
        <v>21</v>
      </c>
      <c r="D646">
        <v>5601</v>
      </c>
      <c r="E646" t="s">
        <v>89</v>
      </c>
      <c r="F646" t="s">
        <v>14</v>
      </c>
      <c r="G646">
        <v>20</v>
      </c>
    </row>
    <row r="647" spans="1:7" x14ac:dyDescent="0.35">
      <c r="A647">
        <v>170215</v>
      </c>
      <c r="B647">
        <v>0</v>
      </c>
      <c r="C647" t="s">
        <v>22</v>
      </c>
      <c r="D647">
        <v>2001</v>
      </c>
      <c r="E647" t="s">
        <v>89</v>
      </c>
      <c r="F647" t="s">
        <v>17</v>
      </c>
      <c r="G647">
        <v>8</v>
      </c>
    </row>
    <row r="648" spans="1:7" x14ac:dyDescent="0.35">
      <c r="A648">
        <v>168574</v>
      </c>
      <c r="B648">
        <v>1</v>
      </c>
      <c r="C648" t="s">
        <v>22</v>
      </c>
      <c r="D648">
        <v>0</v>
      </c>
      <c r="E648" t="s">
        <v>101</v>
      </c>
      <c r="F648" t="s">
        <v>14</v>
      </c>
      <c r="G648">
        <v>100</v>
      </c>
    </row>
    <row r="649" spans="1:7" x14ac:dyDescent="0.35">
      <c r="A649">
        <v>90482</v>
      </c>
      <c r="B649">
        <v>1</v>
      </c>
      <c r="C649" t="s">
        <v>16</v>
      </c>
      <c r="D649">
        <v>5003</v>
      </c>
      <c r="E649" t="s">
        <v>92</v>
      </c>
      <c r="F649" t="s">
        <v>14</v>
      </c>
      <c r="G649">
        <v>20</v>
      </c>
    </row>
    <row r="650" spans="1:7" x14ac:dyDescent="0.35">
      <c r="A650">
        <v>18896</v>
      </c>
      <c r="B650">
        <v>1002</v>
      </c>
      <c r="C650" t="s">
        <v>18</v>
      </c>
      <c r="D650">
        <v>3501</v>
      </c>
      <c r="E650" t="s">
        <v>89</v>
      </c>
      <c r="F650" t="s">
        <v>14</v>
      </c>
      <c r="G650">
        <v>20</v>
      </c>
    </row>
    <row r="651" spans="1:7" x14ac:dyDescent="0.35">
      <c r="A651">
        <v>161335</v>
      </c>
      <c r="B651">
        <v>0</v>
      </c>
      <c r="C651" t="s">
        <v>22</v>
      </c>
      <c r="D651">
        <v>2601</v>
      </c>
      <c r="E651" t="s">
        <v>91</v>
      </c>
      <c r="F651" t="s">
        <v>17</v>
      </c>
      <c r="G651" t="s">
        <v>105</v>
      </c>
    </row>
    <row r="652" spans="1:7" x14ac:dyDescent="0.35">
      <c r="A652">
        <v>82141</v>
      </c>
      <c r="B652">
        <v>2</v>
      </c>
      <c r="C652" t="s">
        <v>56</v>
      </c>
      <c r="D652">
        <v>3801</v>
      </c>
      <c r="E652" t="s">
        <v>90</v>
      </c>
      <c r="F652" t="s">
        <v>17</v>
      </c>
      <c r="G652">
        <v>10</v>
      </c>
    </row>
    <row r="653" spans="1:7" x14ac:dyDescent="0.35">
      <c r="A653">
        <v>187659</v>
      </c>
      <c r="B653">
        <v>0</v>
      </c>
      <c r="C653" t="s">
        <v>53</v>
      </c>
      <c r="D653">
        <v>0</v>
      </c>
      <c r="E653" t="s">
        <v>89</v>
      </c>
      <c r="F653" t="s">
        <v>17</v>
      </c>
      <c r="G653">
        <v>15</v>
      </c>
    </row>
    <row r="654" spans="1:7" x14ac:dyDescent="0.35">
      <c r="A654">
        <v>143523</v>
      </c>
      <c r="B654">
        <v>0</v>
      </c>
      <c r="C654" t="s">
        <v>22</v>
      </c>
      <c r="D654">
        <v>1901</v>
      </c>
      <c r="E654" t="s">
        <v>103</v>
      </c>
      <c r="F654" t="s">
        <v>17</v>
      </c>
      <c r="G654">
        <v>3</v>
      </c>
    </row>
    <row r="655" spans="1:7" x14ac:dyDescent="0.35">
      <c r="A655">
        <v>64442</v>
      </c>
      <c r="B655">
        <v>1</v>
      </c>
      <c r="C655" t="s">
        <v>33</v>
      </c>
      <c r="D655">
        <v>5201</v>
      </c>
      <c r="E655" t="s">
        <v>91</v>
      </c>
      <c r="F655" t="s">
        <v>14</v>
      </c>
      <c r="G655">
        <v>8</v>
      </c>
    </row>
    <row r="656" spans="1:7" x14ac:dyDescent="0.35">
      <c r="A656">
        <v>151902</v>
      </c>
      <c r="B656">
        <v>1</v>
      </c>
      <c r="C656" t="s">
        <v>22</v>
      </c>
      <c r="D656">
        <v>5001</v>
      </c>
      <c r="E656" t="s">
        <v>88</v>
      </c>
      <c r="F656" t="s">
        <v>14</v>
      </c>
      <c r="G656">
        <v>10</v>
      </c>
    </row>
    <row r="657" spans="1:7" x14ac:dyDescent="0.35">
      <c r="A657">
        <v>140027</v>
      </c>
      <c r="B657">
        <v>0</v>
      </c>
      <c r="C657" t="s">
        <v>54</v>
      </c>
      <c r="D657">
        <v>0</v>
      </c>
      <c r="E657" t="s">
        <v>89</v>
      </c>
      <c r="F657" t="s">
        <v>17</v>
      </c>
      <c r="G657">
        <v>25</v>
      </c>
    </row>
    <row r="658" spans="1:7" x14ac:dyDescent="0.35">
      <c r="A658">
        <v>147636</v>
      </c>
      <c r="B658">
        <v>1</v>
      </c>
      <c r="C658" t="s">
        <v>22</v>
      </c>
      <c r="D658">
        <v>1601</v>
      </c>
      <c r="E658" t="s">
        <v>90</v>
      </c>
      <c r="F658" t="s">
        <v>14</v>
      </c>
      <c r="G658">
        <v>11</v>
      </c>
    </row>
    <row r="659" spans="1:7" x14ac:dyDescent="0.35">
      <c r="A659">
        <v>85010</v>
      </c>
      <c r="B659">
        <v>1</v>
      </c>
      <c r="C659" t="s">
        <v>56</v>
      </c>
      <c r="D659">
        <v>4406</v>
      </c>
      <c r="E659" t="s">
        <v>89</v>
      </c>
      <c r="F659" t="s">
        <v>14</v>
      </c>
      <c r="G659">
        <v>9</v>
      </c>
    </row>
    <row r="660" spans="1:7" x14ac:dyDescent="0.35">
      <c r="A660">
        <v>12454</v>
      </c>
      <c r="B660">
        <v>1</v>
      </c>
      <c r="C660" t="s">
        <v>16</v>
      </c>
      <c r="D660">
        <v>0</v>
      </c>
      <c r="E660" t="s">
        <v>93</v>
      </c>
      <c r="F660" t="s">
        <v>14</v>
      </c>
      <c r="G660">
        <v>15</v>
      </c>
    </row>
    <row r="661" spans="1:7" x14ac:dyDescent="0.35">
      <c r="A661">
        <v>118166</v>
      </c>
      <c r="B661">
        <v>0</v>
      </c>
      <c r="C661" t="s">
        <v>21</v>
      </c>
      <c r="D661">
        <v>0</v>
      </c>
      <c r="E661" t="s">
        <v>91</v>
      </c>
      <c r="F661" t="s">
        <v>17</v>
      </c>
      <c r="G661">
        <v>10</v>
      </c>
    </row>
    <row r="662" spans="1:7" x14ac:dyDescent="0.35">
      <c r="A662">
        <v>64165</v>
      </c>
      <c r="B662">
        <v>0</v>
      </c>
      <c r="C662" t="s">
        <v>55</v>
      </c>
      <c r="D662">
        <v>6401</v>
      </c>
      <c r="E662" t="s">
        <v>89</v>
      </c>
      <c r="F662" t="s">
        <v>17</v>
      </c>
      <c r="G662">
        <v>20</v>
      </c>
    </row>
    <row r="663" spans="1:7" x14ac:dyDescent="0.35">
      <c r="A663">
        <v>191663</v>
      </c>
      <c r="B663">
        <v>2</v>
      </c>
      <c r="C663" t="s">
        <v>50</v>
      </c>
      <c r="D663">
        <v>2708</v>
      </c>
      <c r="E663" t="s">
        <v>93</v>
      </c>
      <c r="F663" t="s">
        <v>14</v>
      </c>
      <c r="G663">
        <v>10</v>
      </c>
    </row>
    <row r="664" spans="1:7" x14ac:dyDescent="0.35">
      <c r="A664">
        <v>111021</v>
      </c>
      <c r="B664">
        <v>0</v>
      </c>
      <c r="C664" t="s">
        <v>32</v>
      </c>
      <c r="D664">
        <v>0</v>
      </c>
      <c r="E664" t="s">
        <v>98</v>
      </c>
      <c r="F664" t="s">
        <v>17</v>
      </c>
      <c r="G664">
        <v>10</v>
      </c>
    </row>
    <row r="665" spans="1:7" x14ac:dyDescent="0.35">
      <c r="A665">
        <v>169280</v>
      </c>
      <c r="B665">
        <v>0</v>
      </c>
      <c r="C665" t="s">
        <v>22</v>
      </c>
      <c r="D665">
        <v>7001</v>
      </c>
      <c r="E665" t="s">
        <v>90</v>
      </c>
      <c r="F665" t="s">
        <v>17</v>
      </c>
      <c r="G665">
        <v>10</v>
      </c>
    </row>
    <row r="666" spans="1:7" x14ac:dyDescent="0.35">
      <c r="A666">
        <v>138590</v>
      </c>
      <c r="B666">
        <v>0</v>
      </c>
      <c r="C666" t="s">
        <v>55</v>
      </c>
      <c r="D666">
        <v>5307</v>
      </c>
      <c r="E666" t="s">
        <v>93</v>
      </c>
      <c r="F666" t="s">
        <v>17</v>
      </c>
      <c r="G666">
        <v>30</v>
      </c>
    </row>
    <row r="667" spans="1:7" x14ac:dyDescent="0.35">
      <c r="A667">
        <v>123386</v>
      </c>
      <c r="B667">
        <v>1</v>
      </c>
      <c r="C667" t="s">
        <v>21</v>
      </c>
      <c r="D667">
        <v>4201</v>
      </c>
      <c r="E667" t="s">
        <v>91</v>
      </c>
      <c r="F667" t="s">
        <v>14</v>
      </c>
      <c r="G667">
        <v>22</v>
      </c>
    </row>
    <row r="668" spans="1:7" x14ac:dyDescent="0.35">
      <c r="A668">
        <v>121759</v>
      </c>
      <c r="B668">
        <v>1</v>
      </c>
      <c r="C668" t="s">
        <v>21</v>
      </c>
      <c r="D668">
        <v>5601</v>
      </c>
      <c r="E668" t="s">
        <v>92</v>
      </c>
      <c r="F668" t="s">
        <v>14</v>
      </c>
      <c r="G668">
        <v>20</v>
      </c>
    </row>
    <row r="669" spans="1:7" x14ac:dyDescent="0.35">
      <c r="A669">
        <v>73534</v>
      </c>
      <c r="B669">
        <v>1</v>
      </c>
      <c r="C669" t="s">
        <v>29</v>
      </c>
      <c r="D669">
        <v>3301</v>
      </c>
      <c r="E669" t="s">
        <v>98</v>
      </c>
      <c r="F669" t="s">
        <v>14</v>
      </c>
      <c r="G669">
        <v>6</v>
      </c>
    </row>
    <row r="670" spans="1:7" x14ac:dyDescent="0.35">
      <c r="A670">
        <v>168423</v>
      </c>
      <c r="B670">
        <v>0</v>
      </c>
      <c r="C670" t="s">
        <v>22</v>
      </c>
      <c r="D670">
        <v>0</v>
      </c>
      <c r="E670" t="s">
        <v>95</v>
      </c>
      <c r="F670" t="s">
        <v>17</v>
      </c>
      <c r="G670">
        <v>25</v>
      </c>
    </row>
    <row r="671" spans="1:7" x14ac:dyDescent="0.35">
      <c r="A671">
        <v>169605</v>
      </c>
      <c r="B671">
        <v>0</v>
      </c>
      <c r="C671" t="s">
        <v>22</v>
      </c>
      <c r="D671">
        <v>0</v>
      </c>
      <c r="E671" t="s">
        <v>96</v>
      </c>
      <c r="G671">
        <v>7</v>
      </c>
    </row>
    <row r="672" spans="1:7" x14ac:dyDescent="0.35">
      <c r="A672">
        <v>157573</v>
      </c>
      <c r="B672">
        <v>0</v>
      </c>
      <c r="C672" t="s">
        <v>22</v>
      </c>
      <c r="D672">
        <v>0</v>
      </c>
      <c r="E672" t="s">
        <v>93</v>
      </c>
      <c r="G672">
        <v>47</v>
      </c>
    </row>
    <row r="673" spans="1:7" x14ac:dyDescent="0.35">
      <c r="A673">
        <v>23706</v>
      </c>
      <c r="B673">
        <v>0</v>
      </c>
      <c r="C673" t="s">
        <v>46</v>
      </c>
      <c r="D673">
        <v>0</v>
      </c>
      <c r="E673" t="s">
        <v>91</v>
      </c>
      <c r="F673" t="s">
        <v>14</v>
      </c>
      <c r="G673">
        <v>15</v>
      </c>
    </row>
    <row r="674" spans="1:7" x14ac:dyDescent="0.35">
      <c r="A674">
        <v>21855</v>
      </c>
      <c r="B674">
        <v>0</v>
      </c>
      <c r="C674" t="s">
        <v>18</v>
      </c>
      <c r="D674">
        <v>0</v>
      </c>
      <c r="E674" t="s">
        <v>91</v>
      </c>
      <c r="F674" t="s">
        <v>17</v>
      </c>
      <c r="G674">
        <v>20</v>
      </c>
    </row>
    <row r="675" spans="1:7" x14ac:dyDescent="0.35">
      <c r="A675">
        <v>148511</v>
      </c>
      <c r="B675">
        <v>0</v>
      </c>
      <c r="C675" t="s">
        <v>22</v>
      </c>
      <c r="D675">
        <v>0</v>
      </c>
      <c r="E675" t="s">
        <v>93</v>
      </c>
      <c r="F675" t="s">
        <v>17</v>
      </c>
      <c r="G675">
        <v>20</v>
      </c>
    </row>
    <row r="676" spans="1:7" x14ac:dyDescent="0.35">
      <c r="A676">
        <v>3579</v>
      </c>
      <c r="B676">
        <v>9</v>
      </c>
      <c r="C676" t="s">
        <v>22</v>
      </c>
      <c r="D676">
        <v>6001</v>
      </c>
      <c r="E676" t="s">
        <v>94</v>
      </c>
      <c r="F676" t="s">
        <v>14</v>
      </c>
      <c r="G676">
        <v>18</v>
      </c>
    </row>
    <row r="677" spans="1:7" x14ac:dyDescent="0.35">
      <c r="A677">
        <v>542</v>
      </c>
      <c r="B677">
        <v>0</v>
      </c>
      <c r="C677" t="s">
        <v>35</v>
      </c>
      <c r="D677">
        <v>0</v>
      </c>
      <c r="E677" t="s">
        <v>89</v>
      </c>
      <c r="F677" t="s">
        <v>14</v>
      </c>
      <c r="G677">
        <v>10</v>
      </c>
    </row>
    <row r="678" spans="1:7" x14ac:dyDescent="0.35">
      <c r="A678">
        <v>92079</v>
      </c>
      <c r="B678">
        <v>2</v>
      </c>
      <c r="C678" t="s">
        <v>16</v>
      </c>
      <c r="D678">
        <v>1503</v>
      </c>
      <c r="E678" t="s">
        <v>93</v>
      </c>
      <c r="F678" t="s">
        <v>14</v>
      </c>
      <c r="G678">
        <v>15</v>
      </c>
    </row>
    <row r="679" spans="1:7" x14ac:dyDescent="0.35">
      <c r="A679">
        <v>50967</v>
      </c>
      <c r="B679">
        <v>28</v>
      </c>
      <c r="C679" t="s">
        <v>53</v>
      </c>
      <c r="D679">
        <v>2401</v>
      </c>
      <c r="E679" t="s">
        <v>93</v>
      </c>
      <c r="F679" t="s">
        <v>17</v>
      </c>
      <c r="G679">
        <v>15</v>
      </c>
    </row>
    <row r="680" spans="1:7" x14ac:dyDescent="0.35">
      <c r="A680">
        <v>160997</v>
      </c>
      <c r="B680">
        <v>1</v>
      </c>
      <c r="C680" t="s">
        <v>22</v>
      </c>
      <c r="D680">
        <v>0</v>
      </c>
      <c r="E680" t="s">
        <v>91</v>
      </c>
      <c r="F680" t="s">
        <v>14</v>
      </c>
      <c r="G680">
        <v>10</v>
      </c>
    </row>
    <row r="681" spans="1:7" x14ac:dyDescent="0.35">
      <c r="A681">
        <v>121718</v>
      </c>
      <c r="B681">
        <v>1</v>
      </c>
      <c r="C681" t="s">
        <v>21</v>
      </c>
      <c r="D681">
        <v>2101</v>
      </c>
      <c r="E681" t="s">
        <v>92</v>
      </c>
      <c r="F681" t="s">
        <v>14</v>
      </c>
      <c r="G681">
        <v>30</v>
      </c>
    </row>
    <row r="682" spans="1:7" x14ac:dyDescent="0.35">
      <c r="A682">
        <v>68807</v>
      </c>
      <c r="B682">
        <v>28</v>
      </c>
      <c r="C682" t="s">
        <v>21</v>
      </c>
      <c r="D682">
        <v>0</v>
      </c>
      <c r="E682" t="s">
        <v>93</v>
      </c>
      <c r="F682" t="s">
        <v>17</v>
      </c>
      <c r="G682">
        <v>15</v>
      </c>
    </row>
    <row r="683" spans="1:7" x14ac:dyDescent="0.35">
      <c r="A683">
        <v>155045</v>
      </c>
      <c r="B683">
        <v>1</v>
      </c>
      <c r="C683" t="s">
        <v>21</v>
      </c>
      <c r="D683">
        <v>0</v>
      </c>
      <c r="E683" t="s">
        <v>98</v>
      </c>
      <c r="F683" t="s">
        <v>14</v>
      </c>
      <c r="G683">
        <v>10</v>
      </c>
    </row>
    <row r="684" spans="1:7" x14ac:dyDescent="0.35">
      <c r="A684">
        <v>146703</v>
      </c>
      <c r="B684">
        <v>1</v>
      </c>
      <c r="C684" t="s">
        <v>22</v>
      </c>
      <c r="D684">
        <v>0</v>
      </c>
      <c r="E684" t="s">
        <v>96</v>
      </c>
      <c r="G684">
        <v>15</v>
      </c>
    </row>
    <row r="685" spans="1:7" x14ac:dyDescent="0.35">
      <c r="A685">
        <v>81298</v>
      </c>
      <c r="B685">
        <v>1002</v>
      </c>
      <c r="C685" t="s">
        <v>35</v>
      </c>
      <c r="D685">
        <v>4612</v>
      </c>
      <c r="E685" t="s">
        <v>88</v>
      </c>
      <c r="F685" t="s">
        <v>44</v>
      </c>
      <c r="G685">
        <v>10</v>
      </c>
    </row>
    <row r="686" spans="1:7" x14ac:dyDescent="0.35">
      <c r="A686">
        <v>172301</v>
      </c>
      <c r="B686">
        <v>2</v>
      </c>
      <c r="C686" t="s">
        <v>22</v>
      </c>
      <c r="D686">
        <v>2301</v>
      </c>
      <c r="E686" t="s">
        <v>95</v>
      </c>
      <c r="F686" t="s">
        <v>14</v>
      </c>
      <c r="G686">
        <v>23</v>
      </c>
    </row>
    <row r="687" spans="1:7" x14ac:dyDescent="0.35">
      <c r="A687">
        <v>92241</v>
      </c>
      <c r="B687">
        <v>0</v>
      </c>
      <c r="C687" t="s">
        <v>16</v>
      </c>
      <c r="D687">
        <v>3312</v>
      </c>
      <c r="E687" t="s">
        <v>92</v>
      </c>
      <c r="F687" t="s">
        <v>14</v>
      </c>
      <c r="G687">
        <v>20</v>
      </c>
    </row>
    <row r="688" spans="1:7" x14ac:dyDescent="0.35">
      <c r="A688">
        <v>116930</v>
      </c>
      <c r="B688">
        <v>0</v>
      </c>
      <c r="C688" t="s">
        <v>21</v>
      </c>
      <c r="D688">
        <v>2207</v>
      </c>
      <c r="E688" t="s">
        <v>95</v>
      </c>
      <c r="F688" t="s">
        <v>17</v>
      </c>
      <c r="G688">
        <v>20</v>
      </c>
    </row>
    <row r="689" spans="1:7" x14ac:dyDescent="0.35">
      <c r="A689">
        <v>20338</v>
      </c>
      <c r="B689">
        <v>0</v>
      </c>
      <c r="C689" t="s">
        <v>18</v>
      </c>
      <c r="D689">
        <v>2301</v>
      </c>
      <c r="E689" t="s">
        <v>92</v>
      </c>
      <c r="F689" t="s">
        <v>14</v>
      </c>
      <c r="G689" t="s">
        <v>106</v>
      </c>
    </row>
    <row r="690" spans="1:7" x14ac:dyDescent="0.35">
      <c r="A690">
        <v>177113</v>
      </c>
      <c r="B690">
        <v>2</v>
      </c>
      <c r="C690" t="s">
        <v>50</v>
      </c>
      <c r="D690">
        <v>0</v>
      </c>
      <c r="E690" t="s">
        <v>98</v>
      </c>
      <c r="F690" t="s">
        <v>17</v>
      </c>
      <c r="G690">
        <v>14</v>
      </c>
    </row>
    <row r="691" spans="1:7" x14ac:dyDescent="0.35">
      <c r="A691">
        <v>46687</v>
      </c>
      <c r="B691">
        <v>0</v>
      </c>
      <c r="C691" t="s">
        <v>43</v>
      </c>
      <c r="D691">
        <v>0</v>
      </c>
      <c r="E691" t="s">
        <v>89</v>
      </c>
      <c r="F691" t="s">
        <v>17</v>
      </c>
      <c r="G691">
        <v>10</v>
      </c>
    </row>
    <row r="692" spans="1:7" x14ac:dyDescent="0.35">
      <c r="A692">
        <v>171137</v>
      </c>
      <c r="B692">
        <v>1</v>
      </c>
      <c r="C692" t="s">
        <v>22</v>
      </c>
      <c r="D692">
        <v>2607</v>
      </c>
      <c r="E692" t="s">
        <v>94</v>
      </c>
      <c r="F692" t="s">
        <v>14</v>
      </c>
      <c r="G692">
        <v>14</v>
      </c>
    </row>
    <row r="693" spans="1:7" x14ac:dyDescent="0.35">
      <c r="A693">
        <v>2499</v>
      </c>
      <c r="B693">
        <v>0</v>
      </c>
      <c r="C693" t="s">
        <v>33</v>
      </c>
      <c r="D693">
        <v>0</v>
      </c>
      <c r="E693" t="s">
        <v>89</v>
      </c>
      <c r="F693" t="s">
        <v>17</v>
      </c>
      <c r="G693">
        <v>5</v>
      </c>
    </row>
    <row r="694" spans="1:7" x14ac:dyDescent="0.35">
      <c r="A694">
        <v>149644</v>
      </c>
      <c r="B694">
        <v>0</v>
      </c>
      <c r="C694" t="s">
        <v>22</v>
      </c>
      <c r="D694">
        <v>0</v>
      </c>
      <c r="E694" t="s">
        <v>95</v>
      </c>
      <c r="F694" t="s">
        <v>17</v>
      </c>
      <c r="G694">
        <v>20</v>
      </c>
    </row>
    <row r="695" spans="1:7" x14ac:dyDescent="0.35">
      <c r="A695">
        <v>18584</v>
      </c>
      <c r="B695">
        <v>0</v>
      </c>
      <c r="C695" t="s">
        <v>18</v>
      </c>
      <c r="D695">
        <v>2211</v>
      </c>
      <c r="E695" t="s">
        <v>88</v>
      </c>
      <c r="F695" t="s">
        <v>17</v>
      </c>
      <c r="G695">
        <v>12</v>
      </c>
    </row>
    <row r="696" spans="1:7" x14ac:dyDescent="0.35">
      <c r="A696">
        <v>186486</v>
      </c>
      <c r="B696">
        <v>0</v>
      </c>
      <c r="C696" t="s">
        <v>22</v>
      </c>
      <c r="D696">
        <v>0</v>
      </c>
      <c r="E696" t="s">
        <v>95</v>
      </c>
      <c r="F696" t="s">
        <v>17</v>
      </c>
      <c r="G696">
        <v>3</v>
      </c>
    </row>
    <row r="697" spans="1:7" x14ac:dyDescent="0.35">
      <c r="A697">
        <v>148544</v>
      </c>
      <c r="B697">
        <v>2</v>
      </c>
      <c r="C697" t="s">
        <v>22</v>
      </c>
      <c r="D697">
        <v>3908</v>
      </c>
      <c r="E697" t="s">
        <v>93</v>
      </c>
      <c r="F697" t="s">
        <v>17</v>
      </c>
      <c r="G697">
        <v>10</v>
      </c>
    </row>
    <row r="698" spans="1:7" x14ac:dyDescent="0.35">
      <c r="A698">
        <v>17217</v>
      </c>
      <c r="B698">
        <v>0</v>
      </c>
      <c r="C698" t="s">
        <v>18</v>
      </c>
      <c r="D698">
        <v>3001</v>
      </c>
      <c r="E698" t="s">
        <v>91</v>
      </c>
      <c r="F698" t="s">
        <v>14</v>
      </c>
      <c r="G698">
        <v>10</v>
      </c>
    </row>
    <row r="699" spans="1:7" x14ac:dyDescent="0.35">
      <c r="A699">
        <v>111833</v>
      </c>
      <c r="B699">
        <v>2</v>
      </c>
      <c r="C699" t="s">
        <v>32</v>
      </c>
      <c r="D699">
        <v>0</v>
      </c>
      <c r="E699" t="s">
        <v>104</v>
      </c>
      <c r="F699" t="s">
        <v>17</v>
      </c>
      <c r="G699">
        <v>5</v>
      </c>
    </row>
    <row r="700" spans="1:7" x14ac:dyDescent="0.35">
      <c r="A700">
        <v>158245</v>
      </c>
      <c r="B700">
        <v>0</v>
      </c>
      <c r="C700" t="s">
        <v>22</v>
      </c>
      <c r="D700">
        <v>0</v>
      </c>
      <c r="E700" t="s">
        <v>97</v>
      </c>
      <c r="F700" t="s">
        <v>14</v>
      </c>
      <c r="G700">
        <v>5</v>
      </c>
    </row>
    <row r="701" spans="1:7" x14ac:dyDescent="0.35">
      <c r="A701">
        <v>179776</v>
      </c>
      <c r="B701">
        <v>2</v>
      </c>
      <c r="C701" t="s">
        <v>40</v>
      </c>
      <c r="D701">
        <v>3102</v>
      </c>
      <c r="E701" t="s">
        <v>93</v>
      </c>
      <c r="F701" t="s">
        <v>17</v>
      </c>
      <c r="G701">
        <v>10</v>
      </c>
    </row>
    <row r="702" spans="1:7" x14ac:dyDescent="0.35">
      <c r="A702">
        <v>165102</v>
      </c>
      <c r="B702">
        <v>1</v>
      </c>
      <c r="C702" t="s">
        <v>22</v>
      </c>
      <c r="D702">
        <v>2201</v>
      </c>
      <c r="E702" t="s">
        <v>93</v>
      </c>
      <c r="F702" t="s">
        <v>14</v>
      </c>
      <c r="G702">
        <v>25</v>
      </c>
    </row>
    <row r="703" spans="1:7" x14ac:dyDescent="0.35">
      <c r="A703">
        <v>95341</v>
      </c>
      <c r="B703">
        <v>28</v>
      </c>
      <c r="C703" t="s">
        <v>16</v>
      </c>
      <c r="D703">
        <v>0</v>
      </c>
      <c r="E703" t="s">
        <v>89</v>
      </c>
      <c r="F703" t="s">
        <v>17</v>
      </c>
      <c r="G703">
        <v>10</v>
      </c>
    </row>
    <row r="704" spans="1:7" x14ac:dyDescent="0.35">
      <c r="A704">
        <v>166375</v>
      </c>
      <c r="B704">
        <v>0</v>
      </c>
      <c r="C704" t="s">
        <v>22</v>
      </c>
      <c r="D704">
        <v>2901</v>
      </c>
      <c r="E704" t="s">
        <v>93</v>
      </c>
      <c r="F704" t="s">
        <v>17</v>
      </c>
      <c r="G704">
        <v>11</v>
      </c>
    </row>
    <row r="705" spans="1:7" x14ac:dyDescent="0.35">
      <c r="A705">
        <v>69577</v>
      </c>
      <c r="B705">
        <v>1</v>
      </c>
      <c r="C705" t="s">
        <v>29</v>
      </c>
      <c r="D705">
        <v>6001</v>
      </c>
      <c r="E705" t="s">
        <v>91</v>
      </c>
      <c r="F705" t="s">
        <v>14</v>
      </c>
      <c r="G705">
        <v>8</v>
      </c>
    </row>
    <row r="706" spans="1:7" x14ac:dyDescent="0.35">
      <c r="A706">
        <v>29785</v>
      </c>
      <c r="B706">
        <v>0</v>
      </c>
      <c r="C706" t="s">
        <v>39</v>
      </c>
      <c r="D706">
        <v>2501</v>
      </c>
      <c r="E706" t="s">
        <v>88</v>
      </c>
      <c r="F706" t="s">
        <v>17</v>
      </c>
      <c r="G706">
        <v>15</v>
      </c>
    </row>
    <row r="707" spans="1:7" x14ac:dyDescent="0.35">
      <c r="A707">
        <v>188279</v>
      </c>
      <c r="B707">
        <v>1</v>
      </c>
      <c r="C707" t="s">
        <v>29</v>
      </c>
      <c r="D707">
        <v>3501</v>
      </c>
      <c r="E707" t="s">
        <v>90</v>
      </c>
      <c r="F707" t="s">
        <v>14</v>
      </c>
      <c r="G707">
        <v>10</v>
      </c>
    </row>
    <row r="708" spans="1:7" x14ac:dyDescent="0.35">
      <c r="A708">
        <v>150970</v>
      </c>
      <c r="B708">
        <v>2</v>
      </c>
      <c r="C708" t="s">
        <v>22</v>
      </c>
      <c r="D708">
        <v>4601</v>
      </c>
      <c r="E708" t="s">
        <v>103</v>
      </c>
      <c r="F708" t="s">
        <v>17</v>
      </c>
      <c r="G708">
        <v>20</v>
      </c>
    </row>
    <row r="709" spans="1:7" x14ac:dyDescent="0.35">
      <c r="A709">
        <v>77799</v>
      </c>
      <c r="B709">
        <v>0</v>
      </c>
      <c r="C709" t="s">
        <v>35</v>
      </c>
      <c r="D709">
        <v>3703</v>
      </c>
      <c r="E709" t="s">
        <v>93</v>
      </c>
      <c r="F709" t="s">
        <v>14</v>
      </c>
      <c r="G709">
        <v>10</v>
      </c>
    </row>
    <row r="710" spans="1:7" x14ac:dyDescent="0.35">
      <c r="A710">
        <v>90694</v>
      </c>
      <c r="B710">
        <v>28</v>
      </c>
      <c r="C710" t="s">
        <v>16</v>
      </c>
      <c r="D710">
        <v>1501</v>
      </c>
      <c r="E710" t="s">
        <v>95</v>
      </c>
      <c r="F710" t="s">
        <v>17</v>
      </c>
      <c r="G710">
        <v>30</v>
      </c>
    </row>
    <row r="711" spans="1:7" x14ac:dyDescent="0.35">
      <c r="A711">
        <v>173508</v>
      </c>
      <c r="B711">
        <v>1</v>
      </c>
      <c r="C711" t="s">
        <v>37</v>
      </c>
      <c r="D711">
        <v>0</v>
      </c>
      <c r="E711" t="s">
        <v>93</v>
      </c>
      <c r="F711" t="s">
        <v>14</v>
      </c>
      <c r="G711">
        <v>25</v>
      </c>
    </row>
    <row r="712" spans="1:7" x14ac:dyDescent="0.35">
      <c r="A712">
        <v>102775</v>
      </c>
      <c r="B712">
        <v>0</v>
      </c>
      <c r="C712" t="s">
        <v>41</v>
      </c>
      <c r="D712">
        <v>0</v>
      </c>
      <c r="E712" t="s">
        <v>91</v>
      </c>
      <c r="F712" t="s">
        <v>17</v>
      </c>
      <c r="G712">
        <v>20</v>
      </c>
    </row>
    <row r="713" spans="1:7" x14ac:dyDescent="0.35">
      <c r="A713">
        <v>117255</v>
      </c>
      <c r="B713">
        <v>2</v>
      </c>
      <c r="C713" t="s">
        <v>21</v>
      </c>
      <c r="D713">
        <v>1701</v>
      </c>
      <c r="E713" t="s">
        <v>95</v>
      </c>
      <c r="F713" t="s">
        <v>17</v>
      </c>
      <c r="G713">
        <v>10</v>
      </c>
    </row>
    <row r="714" spans="1:7" x14ac:dyDescent="0.35">
      <c r="A714">
        <v>145392</v>
      </c>
      <c r="B714">
        <v>2</v>
      </c>
      <c r="C714" t="s">
        <v>22</v>
      </c>
      <c r="D714">
        <v>3102</v>
      </c>
      <c r="E714" t="s">
        <v>93</v>
      </c>
      <c r="F714" t="s">
        <v>30</v>
      </c>
      <c r="G714">
        <v>15</v>
      </c>
    </row>
    <row r="715" spans="1:7" x14ac:dyDescent="0.35">
      <c r="A715">
        <v>185052</v>
      </c>
      <c r="B715">
        <v>1</v>
      </c>
      <c r="C715" t="s">
        <v>21</v>
      </c>
      <c r="D715">
        <v>5001</v>
      </c>
      <c r="E715" t="s">
        <v>95</v>
      </c>
      <c r="F715" t="s">
        <v>14</v>
      </c>
      <c r="G715">
        <v>100</v>
      </c>
    </row>
    <row r="716" spans="1:7" x14ac:dyDescent="0.35">
      <c r="A716">
        <v>179423</v>
      </c>
      <c r="B716">
        <v>0</v>
      </c>
      <c r="C716" t="s">
        <v>40</v>
      </c>
      <c r="D716">
        <v>1501</v>
      </c>
      <c r="E716" t="s">
        <v>95</v>
      </c>
      <c r="F716" t="s">
        <v>17</v>
      </c>
      <c r="G716">
        <v>20</v>
      </c>
    </row>
    <row r="717" spans="1:7" x14ac:dyDescent="0.35">
      <c r="A717">
        <v>6304</v>
      </c>
      <c r="B717">
        <v>1</v>
      </c>
      <c r="C717" t="s">
        <v>28</v>
      </c>
      <c r="D717">
        <v>1202</v>
      </c>
      <c r="E717" t="s">
        <v>91</v>
      </c>
      <c r="F717" t="s">
        <v>14</v>
      </c>
      <c r="G717">
        <v>20</v>
      </c>
    </row>
    <row r="718" spans="1:7" x14ac:dyDescent="0.35">
      <c r="A718">
        <v>3631</v>
      </c>
      <c r="B718">
        <v>1</v>
      </c>
      <c r="C718" t="s">
        <v>50</v>
      </c>
      <c r="D718">
        <v>0</v>
      </c>
      <c r="E718" t="s">
        <v>90</v>
      </c>
      <c r="F718" t="s">
        <v>14</v>
      </c>
      <c r="G718">
        <v>13</v>
      </c>
    </row>
    <row r="719" spans="1:7" x14ac:dyDescent="0.35">
      <c r="A719">
        <v>78199</v>
      </c>
      <c r="B719">
        <v>1</v>
      </c>
      <c r="C719" t="s">
        <v>35</v>
      </c>
      <c r="D719">
        <v>4610</v>
      </c>
      <c r="E719" t="s">
        <v>92</v>
      </c>
      <c r="F719" t="s">
        <v>14</v>
      </c>
      <c r="G719">
        <v>15</v>
      </c>
    </row>
    <row r="720" spans="1:7" x14ac:dyDescent="0.35">
      <c r="A720">
        <v>128496</v>
      </c>
      <c r="B720">
        <v>2</v>
      </c>
      <c r="C720" t="s">
        <v>21</v>
      </c>
      <c r="D720">
        <v>0</v>
      </c>
      <c r="E720" t="s">
        <v>104</v>
      </c>
      <c r="F720" t="s">
        <v>14</v>
      </c>
      <c r="G720">
        <v>6</v>
      </c>
    </row>
    <row r="721" spans="1:7" x14ac:dyDescent="0.35">
      <c r="A721">
        <v>1292</v>
      </c>
      <c r="B721">
        <v>1</v>
      </c>
      <c r="C721" t="s">
        <v>13</v>
      </c>
      <c r="D721">
        <v>5001</v>
      </c>
      <c r="E721" t="s">
        <v>88</v>
      </c>
      <c r="F721" t="s">
        <v>14</v>
      </c>
      <c r="G721">
        <v>15</v>
      </c>
    </row>
    <row r="722" spans="1:7" x14ac:dyDescent="0.35">
      <c r="A722">
        <v>114676</v>
      </c>
      <c r="B722">
        <v>0</v>
      </c>
      <c r="C722" t="s">
        <v>31</v>
      </c>
      <c r="D722">
        <v>5201</v>
      </c>
      <c r="E722" t="s">
        <v>94</v>
      </c>
      <c r="G722">
        <v>20</v>
      </c>
    </row>
    <row r="723" spans="1:7" x14ac:dyDescent="0.35">
      <c r="A723">
        <v>93065</v>
      </c>
      <c r="B723">
        <v>1</v>
      </c>
      <c r="C723" t="s">
        <v>16</v>
      </c>
      <c r="D723">
        <v>0</v>
      </c>
      <c r="E723" t="s">
        <v>95</v>
      </c>
      <c r="F723" t="s">
        <v>14</v>
      </c>
      <c r="G723">
        <v>10</v>
      </c>
    </row>
    <row r="724" spans="1:7" x14ac:dyDescent="0.35">
      <c r="A724">
        <v>125181</v>
      </c>
      <c r="B724">
        <v>1</v>
      </c>
      <c r="C724" t="s">
        <v>21</v>
      </c>
      <c r="D724">
        <v>1201</v>
      </c>
      <c r="E724" t="s">
        <v>93</v>
      </c>
      <c r="F724" t="s">
        <v>17</v>
      </c>
      <c r="G724">
        <v>8</v>
      </c>
    </row>
    <row r="725" spans="1:7" x14ac:dyDescent="0.35">
      <c r="A725">
        <v>157204</v>
      </c>
      <c r="B725">
        <v>0</v>
      </c>
      <c r="C725" t="s">
        <v>22</v>
      </c>
      <c r="D725">
        <v>4204</v>
      </c>
      <c r="E725" t="s">
        <v>95</v>
      </c>
      <c r="F725" t="s">
        <v>17</v>
      </c>
      <c r="G725">
        <v>20</v>
      </c>
    </row>
    <row r="726" spans="1:7" x14ac:dyDescent="0.35">
      <c r="A726">
        <v>69445</v>
      </c>
      <c r="B726">
        <v>1</v>
      </c>
      <c r="C726" t="s">
        <v>29</v>
      </c>
      <c r="D726">
        <v>5701</v>
      </c>
      <c r="E726" t="s">
        <v>94</v>
      </c>
      <c r="F726" t="s">
        <v>14</v>
      </c>
      <c r="G726">
        <v>10</v>
      </c>
    </row>
    <row r="727" spans="1:7" x14ac:dyDescent="0.35">
      <c r="A727">
        <v>14370</v>
      </c>
      <c r="B727">
        <v>2</v>
      </c>
      <c r="C727" t="s">
        <v>13</v>
      </c>
      <c r="D727">
        <v>4306</v>
      </c>
      <c r="E727" t="s">
        <v>90</v>
      </c>
      <c r="F727" t="s">
        <v>17</v>
      </c>
      <c r="G727">
        <v>5</v>
      </c>
    </row>
    <row r="728" spans="1:7" x14ac:dyDescent="0.35">
      <c r="A728">
        <v>10092</v>
      </c>
      <c r="B728">
        <v>1</v>
      </c>
      <c r="C728" t="s">
        <v>24</v>
      </c>
      <c r="D728">
        <v>3106</v>
      </c>
      <c r="E728" t="s">
        <v>89</v>
      </c>
      <c r="F728" t="s">
        <v>14</v>
      </c>
      <c r="G728">
        <v>10</v>
      </c>
    </row>
    <row r="729" spans="1:7" x14ac:dyDescent="0.35">
      <c r="A729">
        <v>58883</v>
      </c>
      <c r="B729">
        <v>0</v>
      </c>
      <c r="C729" t="s">
        <v>21</v>
      </c>
      <c r="D729">
        <v>0</v>
      </c>
      <c r="E729" t="s">
        <v>98</v>
      </c>
      <c r="F729" t="s">
        <v>17</v>
      </c>
      <c r="G729">
        <v>5</v>
      </c>
    </row>
    <row r="730" spans="1:7" x14ac:dyDescent="0.35">
      <c r="A730">
        <v>99136</v>
      </c>
      <c r="B730">
        <v>1</v>
      </c>
      <c r="C730" t="s">
        <v>16</v>
      </c>
      <c r="D730">
        <v>1701</v>
      </c>
      <c r="E730" t="s">
        <v>89</v>
      </c>
      <c r="F730" t="s">
        <v>14</v>
      </c>
      <c r="G730">
        <v>12</v>
      </c>
    </row>
    <row r="731" spans="1:7" x14ac:dyDescent="0.35">
      <c r="A731">
        <v>187142</v>
      </c>
      <c r="B731">
        <v>1</v>
      </c>
      <c r="C731" t="s">
        <v>22</v>
      </c>
      <c r="D731">
        <v>1307</v>
      </c>
      <c r="E731" t="s">
        <v>96</v>
      </c>
      <c r="F731" t="s">
        <v>14</v>
      </c>
      <c r="G731">
        <v>24</v>
      </c>
    </row>
    <row r="732" spans="1:7" x14ac:dyDescent="0.35">
      <c r="A732">
        <v>53893</v>
      </c>
      <c r="B732">
        <v>1</v>
      </c>
      <c r="C732" t="s">
        <v>53</v>
      </c>
      <c r="D732">
        <v>3201</v>
      </c>
      <c r="E732" t="s">
        <v>89</v>
      </c>
      <c r="F732" t="s">
        <v>14</v>
      </c>
      <c r="G732">
        <v>25</v>
      </c>
    </row>
    <row r="733" spans="1:7" x14ac:dyDescent="0.35">
      <c r="A733">
        <v>161980</v>
      </c>
      <c r="B733">
        <v>0</v>
      </c>
      <c r="C733" t="s">
        <v>22</v>
      </c>
      <c r="D733">
        <v>0</v>
      </c>
      <c r="E733" t="s">
        <v>93</v>
      </c>
      <c r="F733" t="s">
        <v>14</v>
      </c>
      <c r="G733">
        <v>4</v>
      </c>
    </row>
    <row r="734" spans="1:7" x14ac:dyDescent="0.35">
      <c r="A734">
        <v>23027</v>
      </c>
      <c r="B734">
        <v>1</v>
      </c>
      <c r="C734" t="s">
        <v>46</v>
      </c>
      <c r="D734">
        <v>3108</v>
      </c>
      <c r="E734" t="s">
        <v>93</v>
      </c>
      <c r="F734" t="s">
        <v>14</v>
      </c>
      <c r="G734">
        <v>15</v>
      </c>
    </row>
    <row r="735" spans="1:7" x14ac:dyDescent="0.35">
      <c r="A735">
        <v>128963</v>
      </c>
      <c r="B735">
        <v>1</v>
      </c>
      <c r="C735" t="s">
        <v>21</v>
      </c>
      <c r="D735">
        <v>2601</v>
      </c>
      <c r="E735" t="s">
        <v>96</v>
      </c>
      <c r="F735" t="s">
        <v>14</v>
      </c>
      <c r="G735">
        <v>10</v>
      </c>
    </row>
    <row r="736" spans="1:7" x14ac:dyDescent="0.35">
      <c r="A736">
        <v>7917</v>
      </c>
      <c r="B736">
        <v>1</v>
      </c>
      <c r="C736" t="s">
        <v>22</v>
      </c>
      <c r="D736">
        <v>6001</v>
      </c>
      <c r="E736" t="s">
        <v>95</v>
      </c>
      <c r="F736" t="s">
        <v>14</v>
      </c>
      <c r="G736">
        <v>3</v>
      </c>
    </row>
    <row r="737" spans="1:7" x14ac:dyDescent="0.35">
      <c r="A737">
        <v>190562</v>
      </c>
      <c r="B737">
        <v>0</v>
      </c>
      <c r="C737" t="s">
        <v>13</v>
      </c>
      <c r="D737">
        <v>1801</v>
      </c>
      <c r="F737" t="s">
        <v>17</v>
      </c>
      <c r="G737">
        <v>10</v>
      </c>
    </row>
    <row r="738" spans="1:7" x14ac:dyDescent="0.35">
      <c r="A738">
        <v>168234</v>
      </c>
      <c r="B738">
        <v>0</v>
      </c>
      <c r="C738" t="s">
        <v>22</v>
      </c>
      <c r="D738">
        <v>0</v>
      </c>
      <c r="E738" t="s">
        <v>95</v>
      </c>
      <c r="F738" t="s">
        <v>17</v>
      </c>
      <c r="G738">
        <v>23</v>
      </c>
    </row>
    <row r="739" spans="1:7" x14ac:dyDescent="0.35">
      <c r="A739">
        <v>41089</v>
      </c>
      <c r="B739">
        <v>0</v>
      </c>
      <c r="C739" t="s">
        <v>13</v>
      </c>
      <c r="D739">
        <v>2112</v>
      </c>
      <c r="E739" t="s">
        <v>88</v>
      </c>
      <c r="F739" t="s">
        <v>17</v>
      </c>
      <c r="G739">
        <v>5</v>
      </c>
    </row>
    <row r="740" spans="1:7" x14ac:dyDescent="0.35">
      <c r="A740">
        <v>174803</v>
      </c>
      <c r="B740">
        <v>1</v>
      </c>
      <c r="C740" t="s">
        <v>50</v>
      </c>
      <c r="D740">
        <v>4307</v>
      </c>
      <c r="E740" t="s">
        <v>94</v>
      </c>
      <c r="F740" t="s">
        <v>14</v>
      </c>
      <c r="G740">
        <v>10</v>
      </c>
    </row>
    <row r="741" spans="1:7" x14ac:dyDescent="0.35">
      <c r="A741">
        <v>162208</v>
      </c>
      <c r="B741">
        <v>1</v>
      </c>
      <c r="C741" t="s">
        <v>22</v>
      </c>
      <c r="D741">
        <v>2001</v>
      </c>
      <c r="E741" t="s">
        <v>93</v>
      </c>
      <c r="F741" t="s">
        <v>14</v>
      </c>
      <c r="G741">
        <v>10</v>
      </c>
    </row>
    <row r="742" spans="1:7" x14ac:dyDescent="0.35">
      <c r="A742">
        <v>113045</v>
      </c>
      <c r="B742">
        <v>0</v>
      </c>
      <c r="C742" t="s">
        <v>31</v>
      </c>
      <c r="D742">
        <v>0</v>
      </c>
      <c r="E742" t="s">
        <v>89</v>
      </c>
      <c r="G742">
        <v>25</v>
      </c>
    </row>
    <row r="743" spans="1:7" x14ac:dyDescent="0.35">
      <c r="A743">
        <v>182105</v>
      </c>
      <c r="B743">
        <v>2</v>
      </c>
      <c r="C743" t="s">
        <v>40</v>
      </c>
      <c r="D743">
        <v>3104</v>
      </c>
      <c r="E743" t="s">
        <v>90</v>
      </c>
      <c r="F743" t="s">
        <v>17</v>
      </c>
      <c r="G743">
        <v>10</v>
      </c>
    </row>
    <row r="744" spans="1:7" x14ac:dyDescent="0.35">
      <c r="A744">
        <v>19323</v>
      </c>
      <c r="B744">
        <v>0</v>
      </c>
      <c r="C744" t="s">
        <v>18</v>
      </c>
      <c r="D744">
        <v>2401</v>
      </c>
      <c r="E744" t="s">
        <v>100</v>
      </c>
      <c r="F744" t="s">
        <v>14</v>
      </c>
      <c r="G744" t="s">
        <v>107</v>
      </c>
    </row>
    <row r="745" spans="1:7" x14ac:dyDescent="0.35">
      <c r="A745">
        <v>124683</v>
      </c>
      <c r="B745">
        <v>0</v>
      </c>
      <c r="C745" t="s">
        <v>21</v>
      </c>
      <c r="D745">
        <v>2401</v>
      </c>
      <c r="E745" t="s">
        <v>94</v>
      </c>
      <c r="F745" t="s">
        <v>14</v>
      </c>
      <c r="G745">
        <v>12</v>
      </c>
    </row>
    <row r="746" spans="1:7" x14ac:dyDescent="0.35">
      <c r="A746">
        <v>25641</v>
      </c>
      <c r="B746">
        <v>1</v>
      </c>
      <c r="C746" t="s">
        <v>39</v>
      </c>
      <c r="D746">
        <v>2410</v>
      </c>
      <c r="E746" t="s">
        <v>90</v>
      </c>
      <c r="F746" t="s">
        <v>14</v>
      </c>
      <c r="G746">
        <v>10</v>
      </c>
    </row>
    <row r="747" spans="1:7" x14ac:dyDescent="0.35">
      <c r="A747">
        <v>165440</v>
      </c>
      <c r="B747">
        <v>28</v>
      </c>
      <c r="C747" t="s">
        <v>22</v>
      </c>
      <c r="D747">
        <v>6209</v>
      </c>
      <c r="E747" t="s">
        <v>88</v>
      </c>
      <c r="F747" t="s">
        <v>17</v>
      </c>
      <c r="G747">
        <v>20</v>
      </c>
    </row>
    <row r="748" spans="1:7" x14ac:dyDescent="0.35">
      <c r="A748">
        <v>124395</v>
      </c>
      <c r="B748">
        <v>1</v>
      </c>
      <c r="C748" t="s">
        <v>21</v>
      </c>
      <c r="D748">
        <v>1907</v>
      </c>
      <c r="E748" t="s">
        <v>89</v>
      </c>
      <c r="F748" t="s">
        <v>14</v>
      </c>
      <c r="G748">
        <v>20</v>
      </c>
    </row>
    <row r="749" spans="1:7" x14ac:dyDescent="0.35">
      <c r="A749">
        <v>73504</v>
      </c>
      <c r="B749">
        <v>0</v>
      </c>
      <c r="C749" t="s">
        <v>29</v>
      </c>
      <c r="D749">
        <v>3902</v>
      </c>
      <c r="E749" t="s">
        <v>91</v>
      </c>
      <c r="F749" t="s">
        <v>17</v>
      </c>
      <c r="G749">
        <v>20</v>
      </c>
    </row>
    <row r="750" spans="1:7" x14ac:dyDescent="0.35">
      <c r="A750">
        <v>188439</v>
      </c>
      <c r="B750">
        <v>0</v>
      </c>
      <c r="C750" t="s">
        <v>22</v>
      </c>
      <c r="D750">
        <v>0</v>
      </c>
      <c r="F750" t="s">
        <v>17</v>
      </c>
      <c r="G750">
        <v>14</v>
      </c>
    </row>
    <row r="751" spans="1:7" x14ac:dyDescent="0.35">
      <c r="A751">
        <v>187518</v>
      </c>
      <c r="B751">
        <v>2</v>
      </c>
      <c r="C751" t="s">
        <v>21</v>
      </c>
      <c r="D751">
        <v>0</v>
      </c>
      <c r="E751" t="s">
        <v>93</v>
      </c>
      <c r="F751" t="s">
        <v>17</v>
      </c>
      <c r="G751">
        <v>16</v>
      </c>
    </row>
    <row r="752" spans="1:7" x14ac:dyDescent="0.35">
      <c r="A752">
        <v>24212</v>
      </c>
      <c r="B752">
        <v>1</v>
      </c>
      <c r="C752" t="s">
        <v>46</v>
      </c>
      <c r="D752">
        <v>4401</v>
      </c>
      <c r="E752" t="s">
        <v>89</v>
      </c>
      <c r="F752" t="s">
        <v>14</v>
      </c>
      <c r="G752">
        <v>6</v>
      </c>
    </row>
    <row r="753" spans="1:7" x14ac:dyDescent="0.35">
      <c r="A753">
        <v>21386</v>
      </c>
      <c r="B753">
        <v>28</v>
      </c>
      <c r="C753" t="s">
        <v>18</v>
      </c>
      <c r="D753">
        <v>5701</v>
      </c>
      <c r="E753" t="s">
        <v>89</v>
      </c>
      <c r="F753" t="s">
        <v>17</v>
      </c>
      <c r="G753">
        <v>10</v>
      </c>
    </row>
    <row r="754" spans="1:7" x14ac:dyDescent="0.35">
      <c r="A754">
        <v>110291</v>
      </c>
      <c r="B754">
        <v>1</v>
      </c>
      <c r="C754" t="s">
        <v>49</v>
      </c>
      <c r="D754">
        <v>0</v>
      </c>
      <c r="E754" t="s">
        <v>96</v>
      </c>
      <c r="F754" t="s">
        <v>14</v>
      </c>
      <c r="G754">
        <v>12</v>
      </c>
    </row>
    <row r="755" spans="1:7" x14ac:dyDescent="0.35">
      <c r="A755">
        <v>44828</v>
      </c>
      <c r="B755">
        <v>1</v>
      </c>
      <c r="C755" t="s">
        <v>29</v>
      </c>
      <c r="D755">
        <v>2401</v>
      </c>
      <c r="E755" t="s">
        <v>98</v>
      </c>
      <c r="F755" t="s">
        <v>14</v>
      </c>
      <c r="G755">
        <v>6</v>
      </c>
    </row>
    <row r="756" spans="1:7" x14ac:dyDescent="0.35">
      <c r="A756">
        <v>45008</v>
      </c>
      <c r="B756">
        <v>0</v>
      </c>
      <c r="C756" t="s">
        <v>13</v>
      </c>
      <c r="D756">
        <v>4605</v>
      </c>
      <c r="E756" t="s">
        <v>101</v>
      </c>
      <c r="F756" t="s">
        <v>17</v>
      </c>
      <c r="G756">
        <v>10</v>
      </c>
    </row>
    <row r="757" spans="1:7" x14ac:dyDescent="0.35">
      <c r="A757">
        <v>55484</v>
      </c>
      <c r="B757">
        <v>0</v>
      </c>
      <c r="C757" t="s">
        <v>62</v>
      </c>
      <c r="D757">
        <v>0</v>
      </c>
      <c r="E757" t="s">
        <v>98</v>
      </c>
      <c r="F757" t="s">
        <v>14</v>
      </c>
      <c r="G757">
        <v>25</v>
      </c>
    </row>
    <row r="758" spans="1:7" x14ac:dyDescent="0.35">
      <c r="A758">
        <v>149429</v>
      </c>
      <c r="B758">
        <v>2</v>
      </c>
      <c r="C758" t="s">
        <v>22</v>
      </c>
      <c r="D758">
        <v>1212</v>
      </c>
      <c r="E758" t="s">
        <v>101</v>
      </c>
      <c r="F758" t="s">
        <v>17</v>
      </c>
      <c r="G758">
        <v>10</v>
      </c>
    </row>
    <row r="759" spans="1:7" x14ac:dyDescent="0.35">
      <c r="A759">
        <v>48455</v>
      </c>
      <c r="B759">
        <v>1002</v>
      </c>
      <c r="C759" t="s">
        <v>43</v>
      </c>
      <c r="D759">
        <v>0</v>
      </c>
      <c r="E759" t="s">
        <v>98</v>
      </c>
      <c r="F759" t="s">
        <v>14</v>
      </c>
      <c r="G759">
        <v>8</v>
      </c>
    </row>
    <row r="760" spans="1:7" x14ac:dyDescent="0.35">
      <c r="A760">
        <v>28621</v>
      </c>
      <c r="B760">
        <v>0</v>
      </c>
      <c r="C760" t="s">
        <v>39</v>
      </c>
      <c r="D760">
        <v>1401</v>
      </c>
      <c r="E760" t="s">
        <v>93</v>
      </c>
      <c r="F760" t="s">
        <v>17</v>
      </c>
      <c r="G760">
        <v>25</v>
      </c>
    </row>
    <row r="761" spans="1:7" x14ac:dyDescent="0.35">
      <c r="A761">
        <v>131467</v>
      </c>
      <c r="B761">
        <v>0</v>
      </c>
      <c r="C761" t="s">
        <v>48</v>
      </c>
      <c r="D761">
        <v>0</v>
      </c>
      <c r="E761" t="s">
        <v>88</v>
      </c>
      <c r="F761" t="s">
        <v>17</v>
      </c>
      <c r="G761">
        <v>2</v>
      </c>
    </row>
    <row r="762" spans="1:7" x14ac:dyDescent="0.35">
      <c r="A762">
        <v>160579</v>
      </c>
      <c r="B762">
        <v>2</v>
      </c>
      <c r="C762" t="s">
        <v>22</v>
      </c>
      <c r="D762">
        <v>0</v>
      </c>
      <c r="E762" t="s">
        <v>94</v>
      </c>
      <c r="F762" t="s">
        <v>17</v>
      </c>
      <c r="G762">
        <v>9</v>
      </c>
    </row>
    <row r="763" spans="1:7" x14ac:dyDescent="0.35">
      <c r="A763">
        <v>20533</v>
      </c>
      <c r="B763">
        <v>0</v>
      </c>
      <c r="C763" t="s">
        <v>18</v>
      </c>
      <c r="D763">
        <v>4801</v>
      </c>
      <c r="E763" t="s">
        <v>94</v>
      </c>
      <c r="F763" t="s">
        <v>14</v>
      </c>
      <c r="G763">
        <v>25</v>
      </c>
    </row>
    <row r="764" spans="1:7" x14ac:dyDescent="0.35">
      <c r="A764">
        <v>29103</v>
      </c>
      <c r="B764">
        <v>0</v>
      </c>
      <c r="C764" t="s">
        <v>39</v>
      </c>
      <c r="D764">
        <v>2801</v>
      </c>
      <c r="E764" t="s">
        <v>91</v>
      </c>
      <c r="F764" t="s">
        <v>17</v>
      </c>
      <c r="G764">
        <v>11</v>
      </c>
    </row>
    <row r="765" spans="1:7" x14ac:dyDescent="0.35">
      <c r="A765">
        <v>122350</v>
      </c>
      <c r="B765">
        <v>1</v>
      </c>
      <c r="C765" t="s">
        <v>21</v>
      </c>
      <c r="D765">
        <v>0</v>
      </c>
      <c r="F765" t="s">
        <v>14</v>
      </c>
      <c r="G765">
        <v>25</v>
      </c>
    </row>
    <row r="766" spans="1:7" x14ac:dyDescent="0.35">
      <c r="A766">
        <v>191547</v>
      </c>
      <c r="B766">
        <v>28</v>
      </c>
      <c r="C766" t="s">
        <v>59</v>
      </c>
      <c r="D766">
        <v>1701</v>
      </c>
      <c r="F766" t="s">
        <v>17</v>
      </c>
      <c r="G766">
        <v>15</v>
      </c>
    </row>
    <row r="767" spans="1:7" x14ac:dyDescent="0.35">
      <c r="A767">
        <v>4544</v>
      </c>
      <c r="B767">
        <v>1</v>
      </c>
      <c r="C767" t="s">
        <v>22</v>
      </c>
      <c r="D767">
        <v>0</v>
      </c>
      <c r="E767" t="s">
        <v>95</v>
      </c>
      <c r="F767" t="s">
        <v>14</v>
      </c>
      <c r="G767">
        <v>20</v>
      </c>
    </row>
    <row r="768" spans="1:7" x14ac:dyDescent="0.35">
      <c r="A768">
        <v>140808</v>
      </c>
      <c r="B768">
        <v>28</v>
      </c>
      <c r="C768" t="s">
        <v>24</v>
      </c>
      <c r="D768">
        <v>0</v>
      </c>
      <c r="E768" t="s">
        <v>93</v>
      </c>
      <c r="F768" t="s">
        <v>17</v>
      </c>
      <c r="G768">
        <v>25</v>
      </c>
    </row>
    <row r="769" spans="1:7" x14ac:dyDescent="0.35">
      <c r="A769">
        <v>76625</v>
      </c>
      <c r="B769">
        <v>0</v>
      </c>
      <c r="C769" t="s">
        <v>47</v>
      </c>
      <c r="D769">
        <v>1001</v>
      </c>
      <c r="E769" t="s">
        <v>96</v>
      </c>
      <c r="F769" t="s">
        <v>14</v>
      </c>
      <c r="G769">
        <v>6</v>
      </c>
    </row>
    <row r="770" spans="1:7" x14ac:dyDescent="0.35">
      <c r="A770">
        <v>57349</v>
      </c>
      <c r="B770">
        <v>28</v>
      </c>
      <c r="C770" t="s">
        <v>57</v>
      </c>
      <c r="D770">
        <v>6601</v>
      </c>
      <c r="E770" t="s">
        <v>88</v>
      </c>
      <c r="F770" t="s">
        <v>17</v>
      </c>
      <c r="G770">
        <v>7</v>
      </c>
    </row>
    <row r="771" spans="1:7" x14ac:dyDescent="0.35">
      <c r="A771">
        <v>27366</v>
      </c>
      <c r="B771">
        <v>2</v>
      </c>
      <c r="C771" t="s">
        <v>39</v>
      </c>
      <c r="D771">
        <v>1705</v>
      </c>
      <c r="E771" t="s">
        <v>91</v>
      </c>
      <c r="F771" t="s">
        <v>14</v>
      </c>
      <c r="G771">
        <v>16</v>
      </c>
    </row>
    <row r="772" spans="1:7" x14ac:dyDescent="0.35">
      <c r="A772">
        <v>100146</v>
      </c>
      <c r="B772">
        <v>1</v>
      </c>
      <c r="C772" t="s">
        <v>36</v>
      </c>
      <c r="D772">
        <v>2308</v>
      </c>
      <c r="E772" t="s">
        <v>97</v>
      </c>
      <c r="F772" t="s">
        <v>14</v>
      </c>
      <c r="G772">
        <v>25</v>
      </c>
    </row>
    <row r="773" spans="1:7" x14ac:dyDescent="0.35">
      <c r="A773">
        <v>11991</v>
      </c>
      <c r="B773">
        <v>1</v>
      </c>
      <c r="C773" t="s">
        <v>49</v>
      </c>
      <c r="D773">
        <v>0</v>
      </c>
      <c r="E773" t="s">
        <v>96</v>
      </c>
      <c r="F773" t="s">
        <v>14</v>
      </c>
      <c r="G773">
        <v>25</v>
      </c>
    </row>
    <row r="774" spans="1:7" x14ac:dyDescent="0.35">
      <c r="A774">
        <v>27736</v>
      </c>
      <c r="B774">
        <v>0</v>
      </c>
      <c r="C774" t="s">
        <v>39</v>
      </c>
      <c r="D774">
        <v>5101</v>
      </c>
      <c r="E774" t="s">
        <v>92</v>
      </c>
      <c r="F774" t="s">
        <v>17</v>
      </c>
      <c r="G774">
        <v>8</v>
      </c>
    </row>
    <row r="775" spans="1:7" x14ac:dyDescent="0.35">
      <c r="A775">
        <v>114873</v>
      </c>
      <c r="B775">
        <v>0</v>
      </c>
      <c r="C775" t="s">
        <v>31</v>
      </c>
      <c r="D775">
        <v>0</v>
      </c>
      <c r="E775" t="s">
        <v>91</v>
      </c>
      <c r="F775" t="s">
        <v>30</v>
      </c>
      <c r="G775">
        <v>10</v>
      </c>
    </row>
    <row r="776" spans="1:7" x14ac:dyDescent="0.35">
      <c r="A776">
        <v>156997</v>
      </c>
      <c r="B776">
        <v>28</v>
      </c>
      <c r="C776" t="s">
        <v>22</v>
      </c>
      <c r="D776">
        <v>0</v>
      </c>
      <c r="E776" t="s">
        <v>103</v>
      </c>
      <c r="F776" t="s">
        <v>17</v>
      </c>
      <c r="G776">
        <v>25</v>
      </c>
    </row>
    <row r="777" spans="1:7" x14ac:dyDescent="0.35">
      <c r="A777">
        <v>80646</v>
      </c>
      <c r="B777">
        <v>0</v>
      </c>
      <c r="C777" t="s">
        <v>35</v>
      </c>
      <c r="D777">
        <v>2410</v>
      </c>
      <c r="E777" t="s">
        <v>98</v>
      </c>
      <c r="F777" t="s">
        <v>14</v>
      </c>
      <c r="G777">
        <v>4</v>
      </c>
    </row>
    <row r="778" spans="1:7" x14ac:dyDescent="0.35">
      <c r="A778">
        <v>190837</v>
      </c>
      <c r="B778">
        <v>28</v>
      </c>
      <c r="C778" t="s">
        <v>35</v>
      </c>
      <c r="D778">
        <v>901</v>
      </c>
      <c r="E778" t="s">
        <v>96</v>
      </c>
      <c r="F778" t="s">
        <v>17</v>
      </c>
      <c r="G778">
        <v>11</v>
      </c>
    </row>
    <row r="779" spans="1:7" x14ac:dyDescent="0.35">
      <c r="A779">
        <v>18322</v>
      </c>
      <c r="B779">
        <v>1</v>
      </c>
      <c r="C779" t="s">
        <v>18</v>
      </c>
      <c r="D779">
        <v>2401</v>
      </c>
      <c r="E779" t="s">
        <v>100</v>
      </c>
      <c r="F779" t="s">
        <v>14</v>
      </c>
      <c r="G779">
        <v>10</v>
      </c>
    </row>
    <row r="780" spans="1:7" x14ac:dyDescent="0.35">
      <c r="A780">
        <v>118819</v>
      </c>
      <c r="B780">
        <v>0</v>
      </c>
      <c r="C780" t="s">
        <v>21</v>
      </c>
      <c r="D780">
        <v>0</v>
      </c>
      <c r="E780" t="s">
        <v>92</v>
      </c>
      <c r="F780" t="s">
        <v>17</v>
      </c>
      <c r="G780">
        <v>20</v>
      </c>
    </row>
    <row r="781" spans="1:7" x14ac:dyDescent="0.35">
      <c r="A781">
        <v>14233</v>
      </c>
      <c r="B781">
        <v>1</v>
      </c>
      <c r="C781" t="s">
        <v>66</v>
      </c>
      <c r="D781">
        <v>5301</v>
      </c>
      <c r="E781" t="s">
        <v>88</v>
      </c>
      <c r="F781" t="s">
        <v>14</v>
      </c>
      <c r="G781">
        <v>25</v>
      </c>
    </row>
    <row r="782" spans="1:7" x14ac:dyDescent="0.35">
      <c r="A782">
        <v>142163</v>
      </c>
      <c r="B782">
        <v>1</v>
      </c>
      <c r="C782" t="s">
        <v>24</v>
      </c>
      <c r="D782">
        <v>0</v>
      </c>
      <c r="E782" t="s">
        <v>89</v>
      </c>
      <c r="F782" t="s">
        <v>14</v>
      </c>
      <c r="G782">
        <v>12</v>
      </c>
    </row>
    <row r="783" spans="1:7" x14ac:dyDescent="0.35">
      <c r="A783">
        <v>149757</v>
      </c>
      <c r="B783">
        <v>0</v>
      </c>
      <c r="C783" t="s">
        <v>22</v>
      </c>
      <c r="D783">
        <v>0</v>
      </c>
      <c r="E783" t="s">
        <v>103</v>
      </c>
      <c r="F783" t="s">
        <v>17</v>
      </c>
      <c r="G783">
        <v>22</v>
      </c>
    </row>
    <row r="784" spans="1:7" x14ac:dyDescent="0.35">
      <c r="A784">
        <v>49650</v>
      </c>
      <c r="B784">
        <v>1</v>
      </c>
      <c r="C784" t="s">
        <v>43</v>
      </c>
      <c r="D784">
        <v>5201</v>
      </c>
      <c r="E784" t="s">
        <v>91</v>
      </c>
      <c r="F784" t="s">
        <v>14</v>
      </c>
      <c r="G784">
        <v>10</v>
      </c>
    </row>
    <row r="785" spans="1:7" x14ac:dyDescent="0.35">
      <c r="A785">
        <v>61191</v>
      </c>
      <c r="B785">
        <v>0</v>
      </c>
      <c r="C785" t="s">
        <v>33</v>
      </c>
      <c r="D785">
        <v>1901</v>
      </c>
      <c r="E785" t="s">
        <v>96</v>
      </c>
      <c r="F785" t="s">
        <v>17</v>
      </c>
      <c r="G785">
        <v>10</v>
      </c>
    </row>
    <row r="786" spans="1:7" x14ac:dyDescent="0.35">
      <c r="A786">
        <v>23491</v>
      </c>
      <c r="B786">
        <v>1</v>
      </c>
      <c r="C786" t="s">
        <v>46</v>
      </c>
      <c r="D786">
        <v>4001</v>
      </c>
      <c r="E786" t="s">
        <v>90</v>
      </c>
      <c r="F786" t="s">
        <v>14</v>
      </c>
      <c r="G786">
        <v>10</v>
      </c>
    </row>
    <row r="787" spans="1:7" x14ac:dyDescent="0.35">
      <c r="A787">
        <v>87127</v>
      </c>
      <c r="B787">
        <v>0</v>
      </c>
      <c r="C787" t="s">
        <v>34</v>
      </c>
      <c r="D787">
        <v>2101</v>
      </c>
      <c r="E787" t="s">
        <v>88</v>
      </c>
      <c r="F787" t="s">
        <v>17</v>
      </c>
      <c r="G787">
        <v>10</v>
      </c>
    </row>
    <row r="788" spans="1:7" x14ac:dyDescent="0.35">
      <c r="A788">
        <v>263</v>
      </c>
      <c r="B788">
        <v>2</v>
      </c>
      <c r="C788" t="s">
        <v>46</v>
      </c>
      <c r="D788">
        <v>2001</v>
      </c>
      <c r="E788" t="s">
        <v>94</v>
      </c>
      <c r="G788">
        <v>10</v>
      </c>
    </row>
    <row r="789" spans="1:7" x14ac:dyDescent="0.35">
      <c r="A789">
        <v>137962</v>
      </c>
      <c r="B789">
        <v>1</v>
      </c>
      <c r="C789" t="s">
        <v>55</v>
      </c>
      <c r="D789">
        <v>3510</v>
      </c>
      <c r="E789" t="s">
        <v>93</v>
      </c>
      <c r="F789" t="s">
        <v>14</v>
      </c>
      <c r="G789">
        <v>10</v>
      </c>
    </row>
    <row r="790" spans="1:7" x14ac:dyDescent="0.35">
      <c r="A790">
        <v>21746</v>
      </c>
      <c r="B790">
        <v>2</v>
      </c>
      <c r="C790" t="s">
        <v>18</v>
      </c>
      <c r="D790">
        <v>4801</v>
      </c>
      <c r="E790" t="s">
        <v>98</v>
      </c>
      <c r="F790" t="s">
        <v>17</v>
      </c>
      <c r="G790">
        <v>10</v>
      </c>
    </row>
    <row r="791" spans="1:7" x14ac:dyDescent="0.35">
      <c r="A791">
        <v>140632</v>
      </c>
      <c r="B791">
        <v>28</v>
      </c>
      <c r="C791" t="s">
        <v>54</v>
      </c>
      <c r="D791">
        <v>2901</v>
      </c>
      <c r="E791" t="s">
        <v>89</v>
      </c>
      <c r="F791" t="s">
        <v>17</v>
      </c>
      <c r="G791">
        <v>20</v>
      </c>
    </row>
    <row r="792" spans="1:7" x14ac:dyDescent="0.35">
      <c r="A792">
        <v>20773</v>
      </c>
      <c r="B792">
        <v>0</v>
      </c>
      <c r="C792" t="s">
        <v>18</v>
      </c>
      <c r="D792">
        <v>0</v>
      </c>
      <c r="E792" t="s">
        <v>91</v>
      </c>
      <c r="F792" t="s">
        <v>14</v>
      </c>
      <c r="G792">
        <v>5</v>
      </c>
    </row>
    <row r="793" spans="1:7" x14ac:dyDescent="0.35">
      <c r="A793">
        <v>81006</v>
      </c>
      <c r="B793">
        <v>2</v>
      </c>
      <c r="C793" t="s">
        <v>35</v>
      </c>
      <c r="D793">
        <v>2307</v>
      </c>
      <c r="E793" t="s">
        <v>91</v>
      </c>
      <c r="F793" t="s">
        <v>17</v>
      </c>
      <c r="G793">
        <v>6</v>
      </c>
    </row>
    <row r="794" spans="1:7" x14ac:dyDescent="0.35">
      <c r="A794">
        <v>135060</v>
      </c>
      <c r="B794">
        <v>2</v>
      </c>
      <c r="C794" t="s">
        <v>55</v>
      </c>
      <c r="D794">
        <v>0</v>
      </c>
      <c r="E794" t="s">
        <v>95</v>
      </c>
      <c r="F794" t="s">
        <v>17</v>
      </c>
      <c r="G794">
        <v>20</v>
      </c>
    </row>
    <row r="795" spans="1:7" x14ac:dyDescent="0.35">
      <c r="A795">
        <v>86626</v>
      </c>
      <c r="B795">
        <v>1</v>
      </c>
      <c r="C795" t="s">
        <v>45</v>
      </c>
      <c r="D795">
        <v>4901</v>
      </c>
      <c r="E795" t="s">
        <v>92</v>
      </c>
      <c r="F795" t="s">
        <v>14</v>
      </c>
      <c r="G795">
        <v>6</v>
      </c>
    </row>
    <row r="796" spans="1:7" x14ac:dyDescent="0.35">
      <c r="A796">
        <v>173039</v>
      </c>
      <c r="B796">
        <v>0</v>
      </c>
      <c r="C796" t="s">
        <v>22</v>
      </c>
      <c r="D796">
        <v>0</v>
      </c>
      <c r="E796" t="s">
        <v>98</v>
      </c>
      <c r="F796" t="s">
        <v>17</v>
      </c>
      <c r="G796">
        <v>50</v>
      </c>
    </row>
    <row r="797" spans="1:7" x14ac:dyDescent="0.35">
      <c r="A797">
        <v>105660</v>
      </c>
      <c r="B797">
        <v>1</v>
      </c>
      <c r="C797" t="s">
        <v>28</v>
      </c>
      <c r="D797">
        <v>0</v>
      </c>
      <c r="E797" t="s">
        <v>91</v>
      </c>
      <c r="F797" t="s">
        <v>14</v>
      </c>
      <c r="G797">
        <v>5</v>
      </c>
    </row>
    <row r="798" spans="1:7" x14ac:dyDescent="0.35">
      <c r="A798">
        <v>35935</v>
      </c>
      <c r="B798">
        <v>1</v>
      </c>
      <c r="C798" t="s">
        <v>13</v>
      </c>
      <c r="D798">
        <v>1101</v>
      </c>
      <c r="E798" t="s">
        <v>90</v>
      </c>
      <c r="F798" t="s">
        <v>14</v>
      </c>
      <c r="G798">
        <v>21</v>
      </c>
    </row>
    <row r="799" spans="1:7" x14ac:dyDescent="0.35">
      <c r="A799">
        <v>31746</v>
      </c>
      <c r="B799">
        <v>1</v>
      </c>
      <c r="C799" t="s">
        <v>13</v>
      </c>
      <c r="D799">
        <v>2802</v>
      </c>
      <c r="E799" t="s">
        <v>89</v>
      </c>
      <c r="F799" t="s">
        <v>14</v>
      </c>
      <c r="G799">
        <v>6</v>
      </c>
    </row>
    <row r="800" spans="1:7" x14ac:dyDescent="0.35">
      <c r="A800">
        <v>71491</v>
      </c>
      <c r="B800">
        <v>0</v>
      </c>
      <c r="C800" t="s">
        <v>29</v>
      </c>
      <c r="D800">
        <v>0</v>
      </c>
      <c r="E800" t="s">
        <v>88</v>
      </c>
      <c r="F800" t="s">
        <v>17</v>
      </c>
      <c r="G800">
        <v>25</v>
      </c>
    </row>
    <row r="801" spans="1:7" x14ac:dyDescent="0.35">
      <c r="A801">
        <v>188666</v>
      </c>
      <c r="B801">
        <v>1</v>
      </c>
      <c r="C801" t="s">
        <v>13</v>
      </c>
      <c r="D801">
        <v>0</v>
      </c>
      <c r="E801" t="s">
        <v>93</v>
      </c>
      <c r="F801" t="s">
        <v>14</v>
      </c>
      <c r="G801">
        <v>25</v>
      </c>
    </row>
    <row r="802" spans="1:7" x14ac:dyDescent="0.35">
      <c r="A802">
        <v>135016</v>
      </c>
      <c r="B802">
        <v>0</v>
      </c>
      <c r="C802" t="s">
        <v>55</v>
      </c>
      <c r="D802">
        <v>5212</v>
      </c>
      <c r="E802" t="s">
        <v>96</v>
      </c>
      <c r="F802" t="s">
        <v>17</v>
      </c>
      <c r="G802">
        <v>14</v>
      </c>
    </row>
    <row r="803" spans="1:7" x14ac:dyDescent="0.35">
      <c r="A803">
        <v>175283</v>
      </c>
      <c r="B803">
        <v>0</v>
      </c>
      <c r="C803" t="s">
        <v>50</v>
      </c>
      <c r="D803">
        <v>4501</v>
      </c>
      <c r="E803" t="s">
        <v>93</v>
      </c>
      <c r="F803" t="s">
        <v>17</v>
      </c>
      <c r="G803">
        <v>50</v>
      </c>
    </row>
    <row r="804" spans="1:7" x14ac:dyDescent="0.35">
      <c r="A804">
        <v>69983</v>
      </c>
      <c r="B804">
        <v>1</v>
      </c>
      <c r="C804" t="s">
        <v>29</v>
      </c>
      <c r="D804">
        <v>1305</v>
      </c>
      <c r="E804" t="s">
        <v>91</v>
      </c>
      <c r="F804" t="s">
        <v>14</v>
      </c>
      <c r="G804">
        <v>11</v>
      </c>
    </row>
    <row r="805" spans="1:7" x14ac:dyDescent="0.35">
      <c r="A805">
        <v>42291</v>
      </c>
      <c r="B805">
        <v>0</v>
      </c>
      <c r="C805" t="s">
        <v>13</v>
      </c>
      <c r="D805">
        <v>0</v>
      </c>
      <c r="E805" t="s">
        <v>91</v>
      </c>
      <c r="F805" t="s">
        <v>14</v>
      </c>
      <c r="G805">
        <v>15</v>
      </c>
    </row>
    <row r="806" spans="1:7" x14ac:dyDescent="0.35">
      <c r="A806">
        <v>160869</v>
      </c>
      <c r="B806">
        <v>1</v>
      </c>
      <c r="C806" t="s">
        <v>22</v>
      </c>
      <c r="D806">
        <v>1502</v>
      </c>
      <c r="E806" t="s">
        <v>88</v>
      </c>
      <c r="F806" t="s">
        <v>14</v>
      </c>
      <c r="G806">
        <v>4</v>
      </c>
    </row>
    <row r="807" spans="1:7" x14ac:dyDescent="0.35">
      <c r="A807">
        <v>28003</v>
      </c>
      <c r="B807">
        <v>0</v>
      </c>
      <c r="C807" t="s">
        <v>16</v>
      </c>
      <c r="D807">
        <v>0</v>
      </c>
      <c r="E807" t="s">
        <v>92</v>
      </c>
      <c r="F807" t="s">
        <v>17</v>
      </c>
      <c r="G807">
        <v>15</v>
      </c>
    </row>
    <row r="808" spans="1:7" x14ac:dyDescent="0.35">
      <c r="A808">
        <v>104732</v>
      </c>
      <c r="B808">
        <v>0</v>
      </c>
      <c r="C808" t="s">
        <v>28</v>
      </c>
      <c r="D808">
        <v>1403</v>
      </c>
      <c r="E808" t="s">
        <v>90</v>
      </c>
      <c r="F808" t="s">
        <v>17</v>
      </c>
      <c r="G808">
        <v>10</v>
      </c>
    </row>
    <row r="809" spans="1:7" x14ac:dyDescent="0.35">
      <c r="A809">
        <v>126035</v>
      </c>
      <c r="B809">
        <v>0</v>
      </c>
      <c r="C809" t="s">
        <v>21</v>
      </c>
      <c r="D809">
        <v>1308</v>
      </c>
      <c r="E809" t="s">
        <v>98</v>
      </c>
      <c r="F809" t="s">
        <v>30</v>
      </c>
      <c r="G809">
        <v>21</v>
      </c>
    </row>
    <row r="810" spans="1:7" x14ac:dyDescent="0.35">
      <c r="A810">
        <v>29852</v>
      </c>
      <c r="B810">
        <v>1</v>
      </c>
      <c r="C810" t="s">
        <v>39</v>
      </c>
      <c r="D810">
        <v>5712</v>
      </c>
      <c r="E810" t="s">
        <v>89</v>
      </c>
      <c r="F810" t="s">
        <v>14</v>
      </c>
      <c r="G810">
        <v>17</v>
      </c>
    </row>
    <row r="811" spans="1:7" x14ac:dyDescent="0.35">
      <c r="A811">
        <v>118091</v>
      </c>
      <c r="B811">
        <v>1</v>
      </c>
      <c r="C811" t="s">
        <v>21</v>
      </c>
      <c r="D811">
        <v>4612</v>
      </c>
      <c r="E811" t="s">
        <v>89</v>
      </c>
      <c r="F811" t="s">
        <v>14</v>
      </c>
      <c r="G811">
        <v>20</v>
      </c>
    </row>
    <row r="812" spans="1:7" x14ac:dyDescent="0.35">
      <c r="A812">
        <v>8204</v>
      </c>
      <c r="B812">
        <v>0</v>
      </c>
      <c r="C812" t="s">
        <v>29</v>
      </c>
      <c r="D812">
        <v>1503</v>
      </c>
      <c r="E812" t="s">
        <v>98</v>
      </c>
      <c r="F812" t="s">
        <v>17</v>
      </c>
      <c r="G812">
        <v>10</v>
      </c>
    </row>
    <row r="813" spans="1:7" x14ac:dyDescent="0.35">
      <c r="A813">
        <v>90947</v>
      </c>
      <c r="B813">
        <v>28</v>
      </c>
      <c r="C813" t="s">
        <v>16</v>
      </c>
      <c r="D813">
        <v>5001</v>
      </c>
      <c r="E813" t="s">
        <v>97</v>
      </c>
      <c r="F813" t="s">
        <v>17</v>
      </c>
      <c r="G813">
        <v>25</v>
      </c>
    </row>
    <row r="814" spans="1:7" x14ac:dyDescent="0.35">
      <c r="A814">
        <v>144769</v>
      </c>
      <c r="B814">
        <v>1</v>
      </c>
      <c r="C814" t="s">
        <v>22</v>
      </c>
      <c r="D814">
        <v>0</v>
      </c>
      <c r="E814" t="s">
        <v>93</v>
      </c>
      <c r="F814" t="s">
        <v>30</v>
      </c>
      <c r="G814">
        <v>6</v>
      </c>
    </row>
    <row r="815" spans="1:7" x14ac:dyDescent="0.35">
      <c r="A815">
        <v>6912</v>
      </c>
      <c r="B815">
        <v>2</v>
      </c>
      <c r="C815" t="s">
        <v>24</v>
      </c>
      <c r="D815">
        <v>2609</v>
      </c>
      <c r="E815" t="s">
        <v>88</v>
      </c>
      <c r="F815" t="s">
        <v>17</v>
      </c>
      <c r="G815">
        <v>15</v>
      </c>
    </row>
    <row r="816" spans="1:7" x14ac:dyDescent="0.35">
      <c r="A816">
        <v>2464</v>
      </c>
      <c r="B816">
        <v>1</v>
      </c>
      <c r="C816" t="s">
        <v>21</v>
      </c>
      <c r="D816">
        <v>4104</v>
      </c>
      <c r="F816" t="s">
        <v>14</v>
      </c>
      <c r="G816">
        <v>7</v>
      </c>
    </row>
    <row r="817" spans="1:7" x14ac:dyDescent="0.35">
      <c r="A817">
        <v>71400</v>
      </c>
      <c r="B817">
        <v>2</v>
      </c>
      <c r="C817" t="s">
        <v>29</v>
      </c>
      <c r="D817">
        <v>0</v>
      </c>
      <c r="E817" t="s">
        <v>91</v>
      </c>
      <c r="F817" t="s">
        <v>14</v>
      </c>
      <c r="G817">
        <v>15</v>
      </c>
    </row>
    <row r="818" spans="1:7" x14ac:dyDescent="0.35">
      <c r="A818">
        <v>250</v>
      </c>
      <c r="B818">
        <v>3</v>
      </c>
      <c r="C818" t="s">
        <v>16</v>
      </c>
      <c r="D818">
        <v>1001</v>
      </c>
      <c r="E818" t="s">
        <v>90</v>
      </c>
      <c r="F818" t="s">
        <v>17</v>
      </c>
      <c r="G818">
        <v>15</v>
      </c>
    </row>
    <row r="819" spans="1:7" x14ac:dyDescent="0.35">
      <c r="A819">
        <v>99325</v>
      </c>
      <c r="B819">
        <v>1</v>
      </c>
      <c r="C819" t="s">
        <v>36</v>
      </c>
      <c r="D819">
        <v>1701</v>
      </c>
      <c r="E819" t="s">
        <v>92</v>
      </c>
      <c r="F819" t="s">
        <v>14</v>
      </c>
      <c r="G819">
        <v>10</v>
      </c>
    </row>
    <row r="820" spans="1:7" x14ac:dyDescent="0.35">
      <c r="A820">
        <v>120461</v>
      </c>
      <c r="B820">
        <v>0</v>
      </c>
      <c r="C820" t="s">
        <v>21</v>
      </c>
      <c r="D820">
        <v>4401</v>
      </c>
      <c r="E820" t="s">
        <v>91</v>
      </c>
      <c r="F820" t="s">
        <v>17</v>
      </c>
      <c r="G820">
        <v>20</v>
      </c>
    </row>
    <row r="821" spans="1:7" x14ac:dyDescent="0.35">
      <c r="A821">
        <v>185760</v>
      </c>
      <c r="B821">
        <v>0</v>
      </c>
      <c r="C821" t="s">
        <v>39</v>
      </c>
      <c r="D821">
        <v>0</v>
      </c>
      <c r="E821" t="s">
        <v>88</v>
      </c>
      <c r="G821">
        <v>10</v>
      </c>
    </row>
    <row r="822" spans="1:7" x14ac:dyDescent="0.35">
      <c r="A822">
        <v>133285</v>
      </c>
      <c r="B822">
        <v>0</v>
      </c>
      <c r="C822" t="s">
        <v>41</v>
      </c>
      <c r="D822">
        <v>0</v>
      </c>
      <c r="E822" t="s">
        <v>91</v>
      </c>
      <c r="F822" t="s">
        <v>17</v>
      </c>
      <c r="G822">
        <v>30</v>
      </c>
    </row>
    <row r="823" spans="1:7" x14ac:dyDescent="0.35">
      <c r="A823">
        <v>60526</v>
      </c>
      <c r="B823">
        <v>1</v>
      </c>
      <c r="C823" t="s">
        <v>33</v>
      </c>
      <c r="D823">
        <v>4510</v>
      </c>
      <c r="E823" t="s">
        <v>96</v>
      </c>
      <c r="F823" t="s">
        <v>14</v>
      </c>
      <c r="G823">
        <v>6</v>
      </c>
    </row>
    <row r="824" spans="1:7" x14ac:dyDescent="0.35">
      <c r="A824">
        <v>26858</v>
      </c>
      <c r="B824">
        <v>2</v>
      </c>
      <c r="C824" t="s">
        <v>39</v>
      </c>
      <c r="D824">
        <v>4212</v>
      </c>
      <c r="E824" t="s">
        <v>90</v>
      </c>
      <c r="F824" t="s">
        <v>14</v>
      </c>
      <c r="G824">
        <v>15</v>
      </c>
    </row>
    <row r="825" spans="1:7" x14ac:dyDescent="0.35">
      <c r="A825">
        <v>61488</v>
      </c>
      <c r="B825">
        <v>2</v>
      </c>
      <c r="C825" t="s">
        <v>33</v>
      </c>
      <c r="D825">
        <v>2101</v>
      </c>
      <c r="E825" t="s">
        <v>91</v>
      </c>
      <c r="F825" t="s">
        <v>14</v>
      </c>
      <c r="G825">
        <v>7</v>
      </c>
    </row>
    <row r="826" spans="1:7" x14ac:dyDescent="0.35">
      <c r="A826">
        <v>182156</v>
      </c>
      <c r="B826">
        <v>0</v>
      </c>
      <c r="C826" t="s">
        <v>40</v>
      </c>
      <c r="D826">
        <v>3001</v>
      </c>
      <c r="E826" t="s">
        <v>90</v>
      </c>
      <c r="F826" t="s">
        <v>17</v>
      </c>
      <c r="G826">
        <v>27</v>
      </c>
    </row>
    <row r="827" spans="1:7" x14ac:dyDescent="0.35">
      <c r="A827">
        <v>133925</v>
      </c>
      <c r="B827">
        <v>4</v>
      </c>
      <c r="C827" t="s">
        <v>41</v>
      </c>
      <c r="D827">
        <v>1906</v>
      </c>
      <c r="E827" t="s">
        <v>100</v>
      </c>
      <c r="F827" t="s">
        <v>14</v>
      </c>
      <c r="G827">
        <v>25</v>
      </c>
    </row>
    <row r="828" spans="1:7" x14ac:dyDescent="0.35">
      <c r="A828">
        <v>115431</v>
      </c>
      <c r="B828">
        <v>0</v>
      </c>
      <c r="C828" t="s">
        <v>31</v>
      </c>
      <c r="D828">
        <v>2801</v>
      </c>
      <c r="E828" t="s">
        <v>89</v>
      </c>
      <c r="F828" t="s">
        <v>14</v>
      </c>
      <c r="G828">
        <v>5</v>
      </c>
    </row>
    <row r="829" spans="1:7" x14ac:dyDescent="0.35">
      <c r="A829">
        <v>72366</v>
      </c>
      <c r="B829">
        <v>1</v>
      </c>
      <c r="C829" t="s">
        <v>29</v>
      </c>
      <c r="D829">
        <v>4701</v>
      </c>
      <c r="E829" t="s">
        <v>91</v>
      </c>
      <c r="F829" t="s">
        <v>14</v>
      </c>
      <c r="G829">
        <v>20</v>
      </c>
    </row>
    <row r="830" spans="1:7" x14ac:dyDescent="0.35">
      <c r="A830">
        <v>32527</v>
      </c>
      <c r="B830">
        <v>28</v>
      </c>
      <c r="C830" t="s">
        <v>13</v>
      </c>
      <c r="D830">
        <v>3801</v>
      </c>
      <c r="E830" t="s">
        <v>90</v>
      </c>
      <c r="F830" t="s">
        <v>17</v>
      </c>
      <c r="G830">
        <v>3</v>
      </c>
    </row>
    <row r="831" spans="1:7" x14ac:dyDescent="0.35">
      <c r="A831">
        <v>175974</v>
      </c>
      <c r="B831">
        <v>1</v>
      </c>
      <c r="C831" t="s">
        <v>50</v>
      </c>
      <c r="D831">
        <v>1701</v>
      </c>
      <c r="E831" t="s">
        <v>96</v>
      </c>
      <c r="F831" t="s">
        <v>14</v>
      </c>
      <c r="G831">
        <v>11</v>
      </c>
    </row>
    <row r="832" spans="1:7" x14ac:dyDescent="0.35">
      <c r="A832">
        <v>96008</v>
      </c>
      <c r="B832">
        <v>0</v>
      </c>
      <c r="C832" t="s">
        <v>16</v>
      </c>
      <c r="D832">
        <v>0</v>
      </c>
      <c r="E832" t="s">
        <v>104</v>
      </c>
      <c r="F832" t="s">
        <v>17</v>
      </c>
      <c r="G832">
        <v>5</v>
      </c>
    </row>
    <row r="833" spans="1:7" x14ac:dyDescent="0.35">
      <c r="A833">
        <v>106610</v>
      </c>
      <c r="B833">
        <v>1</v>
      </c>
      <c r="C833" t="s">
        <v>59</v>
      </c>
      <c r="D833">
        <v>2812</v>
      </c>
      <c r="E833" t="s">
        <v>89</v>
      </c>
      <c r="F833" t="s">
        <v>14</v>
      </c>
      <c r="G833">
        <v>15</v>
      </c>
    </row>
    <row r="834" spans="1:7" x14ac:dyDescent="0.35">
      <c r="A834">
        <v>80395</v>
      </c>
      <c r="B834">
        <v>0</v>
      </c>
      <c r="C834" t="s">
        <v>35</v>
      </c>
      <c r="D834">
        <v>0</v>
      </c>
      <c r="E834" t="s">
        <v>92</v>
      </c>
      <c r="F834" t="s">
        <v>17</v>
      </c>
      <c r="G834">
        <v>50</v>
      </c>
    </row>
    <row r="835" spans="1:7" x14ac:dyDescent="0.35">
      <c r="A835">
        <v>86225</v>
      </c>
      <c r="B835">
        <v>2</v>
      </c>
      <c r="C835" t="s">
        <v>52</v>
      </c>
      <c r="D835">
        <v>3611</v>
      </c>
      <c r="E835" t="s">
        <v>91</v>
      </c>
      <c r="F835" t="s">
        <v>14</v>
      </c>
      <c r="G835">
        <v>10</v>
      </c>
    </row>
    <row r="836" spans="1:7" x14ac:dyDescent="0.35">
      <c r="A836">
        <v>43595</v>
      </c>
      <c r="B836">
        <v>1</v>
      </c>
      <c r="C836" t="s">
        <v>29</v>
      </c>
      <c r="D836">
        <v>0</v>
      </c>
      <c r="E836" t="s">
        <v>89</v>
      </c>
      <c r="F836" t="s">
        <v>14</v>
      </c>
      <c r="G836">
        <v>6</v>
      </c>
    </row>
    <row r="837" spans="1:7" x14ac:dyDescent="0.35">
      <c r="A837">
        <v>144812</v>
      </c>
      <c r="B837">
        <v>1</v>
      </c>
      <c r="C837" t="s">
        <v>22</v>
      </c>
      <c r="D837">
        <v>2801</v>
      </c>
      <c r="E837" t="s">
        <v>93</v>
      </c>
      <c r="F837" t="s">
        <v>14</v>
      </c>
      <c r="G837">
        <v>50</v>
      </c>
    </row>
    <row r="838" spans="1:7" x14ac:dyDescent="0.35">
      <c r="A838">
        <v>182480</v>
      </c>
      <c r="B838">
        <v>0</v>
      </c>
      <c r="C838" t="s">
        <v>40</v>
      </c>
      <c r="D838">
        <v>0</v>
      </c>
      <c r="E838" t="s">
        <v>92</v>
      </c>
      <c r="F838" t="s">
        <v>17</v>
      </c>
      <c r="G838">
        <v>50</v>
      </c>
    </row>
    <row r="839" spans="1:7" x14ac:dyDescent="0.35">
      <c r="A839">
        <v>135265</v>
      </c>
      <c r="B839">
        <v>0</v>
      </c>
      <c r="C839" t="s">
        <v>55</v>
      </c>
      <c r="D839">
        <v>0</v>
      </c>
      <c r="E839" t="s">
        <v>90</v>
      </c>
      <c r="F839" t="s">
        <v>17</v>
      </c>
      <c r="G839">
        <v>14</v>
      </c>
    </row>
    <row r="840" spans="1:7" x14ac:dyDescent="0.35">
      <c r="A840">
        <v>84610</v>
      </c>
      <c r="B840">
        <v>0</v>
      </c>
      <c r="C840" t="s">
        <v>56</v>
      </c>
      <c r="D840">
        <v>1111</v>
      </c>
      <c r="E840" t="s">
        <v>92</v>
      </c>
      <c r="F840" t="s">
        <v>17</v>
      </c>
      <c r="G840">
        <v>4</v>
      </c>
    </row>
    <row r="841" spans="1:7" x14ac:dyDescent="0.35">
      <c r="A841">
        <v>116533</v>
      </c>
      <c r="B841">
        <v>0</v>
      </c>
      <c r="C841" t="s">
        <v>21</v>
      </c>
      <c r="D841">
        <v>0</v>
      </c>
      <c r="E841" t="s">
        <v>89</v>
      </c>
      <c r="F841" t="s">
        <v>17</v>
      </c>
      <c r="G841">
        <v>10</v>
      </c>
    </row>
    <row r="842" spans="1:7" x14ac:dyDescent="0.35">
      <c r="A842">
        <v>29501</v>
      </c>
      <c r="B842">
        <v>2</v>
      </c>
      <c r="C842" t="s">
        <v>39</v>
      </c>
      <c r="D842">
        <v>2710</v>
      </c>
      <c r="E842" t="s">
        <v>89</v>
      </c>
      <c r="F842" t="s">
        <v>30</v>
      </c>
      <c r="G842">
        <v>21</v>
      </c>
    </row>
    <row r="843" spans="1:7" x14ac:dyDescent="0.35">
      <c r="A843">
        <v>102351</v>
      </c>
      <c r="B843">
        <v>0</v>
      </c>
      <c r="C843" t="s">
        <v>36</v>
      </c>
      <c r="D843">
        <v>3301</v>
      </c>
      <c r="E843" t="s">
        <v>101</v>
      </c>
      <c r="F843" t="s">
        <v>17</v>
      </c>
      <c r="G843">
        <v>23</v>
      </c>
    </row>
    <row r="844" spans="1:7" x14ac:dyDescent="0.35">
      <c r="A844">
        <v>136935</v>
      </c>
      <c r="B844">
        <v>0</v>
      </c>
      <c r="C844" t="s">
        <v>31</v>
      </c>
      <c r="D844">
        <v>0</v>
      </c>
      <c r="E844" t="s">
        <v>89</v>
      </c>
      <c r="F844" t="s">
        <v>17</v>
      </c>
      <c r="G844">
        <v>15</v>
      </c>
    </row>
    <row r="845" spans="1:7" x14ac:dyDescent="0.35">
      <c r="A845">
        <v>137833</v>
      </c>
      <c r="B845">
        <v>1</v>
      </c>
      <c r="C845" t="s">
        <v>55</v>
      </c>
      <c r="D845">
        <v>0</v>
      </c>
      <c r="E845" t="s">
        <v>89</v>
      </c>
      <c r="F845" t="s">
        <v>14</v>
      </c>
      <c r="G845">
        <v>25</v>
      </c>
    </row>
    <row r="846" spans="1:7" x14ac:dyDescent="0.35">
      <c r="A846">
        <v>162392</v>
      </c>
      <c r="B846">
        <v>1</v>
      </c>
      <c r="C846" t="s">
        <v>22</v>
      </c>
      <c r="D846">
        <v>2301</v>
      </c>
      <c r="E846" t="s">
        <v>93</v>
      </c>
      <c r="F846" t="s">
        <v>14</v>
      </c>
      <c r="G846">
        <v>20</v>
      </c>
    </row>
    <row r="847" spans="1:7" x14ac:dyDescent="0.35">
      <c r="A847">
        <v>186713</v>
      </c>
      <c r="B847">
        <v>0</v>
      </c>
      <c r="C847" t="s">
        <v>22</v>
      </c>
      <c r="D847">
        <v>3408</v>
      </c>
      <c r="E847" t="s">
        <v>88</v>
      </c>
      <c r="F847" t="s">
        <v>17</v>
      </c>
      <c r="G847">
        <v>15</v>
      </c>
    </row>
    <row r="848" spans="1:7" x14ac:dyDescent="0.35">
      <c r="A848">
        <v>12573</v>
      </c>
      <c r="B848">
        <v>0</v>
      </c>
      <c r="C848" t="s">
        <v>40</v>
      </c>
      <c r="D848">
        <v>803</v>
      </c>
      <c r="F848" t="s">
        <v>17</v>
      </c>
      <c r="G848">
        <v>102</v>
      </c>
    </row>
    <row r="849" spans="1:7" x14ac:dyDescent="0.35">
      <c r="A849">
        <v>112594</v>
      </c>
      <c r="B849">
        <v>1</v>
      </c>
      <c r="C849" t="s">
        <v>32</v>
      </c>
      <c r="D849">
        <v>0</v>
      </c>
      <c r="E849" t="s">
        <v>89</v>
      </c>
      <c r="F849" t="s">
        <v>14</v>
      </c>
      <c r="G849">
        <v>15</v>
      </c>
    </row>
    <row r="850" spans="1:7" x14ac:dyDescent="0.35">
      <c r="A850">
        <v>145123</v>
      </c>
      <c r="B850">
        <v>2</v>
      </c>
      <c r="C850" t="s">
        <v>22</v>
      </c>
      <c r="D850">
        <v>1801</v>
      </c>
      <c r="E850" t="s">
        <v>93</v>
      </c>
      <c r="F850" t="s">
        <v>17</v>
      </c>
      <c r="G850">
        <v>5</v>
      </c>
    </row>
    <row r="851" spans="1:7" x14ac:dyDescent="0.35">
      <c r="A851">
        <v>58374</v>
      </c>
      <c r="B851">
        <v>0</v>
      </c>
      <c r="C851" t="s">
        <v>57</v>
      </c>
      <c r="D851">
        <v>1712</v>
      </c>
      <c r="E851" t="s">
        <v>89</v>
      </c>
      <c r="F851" t="s">
        <v>17</v>
      </c>
      <c r="G851">
        <v>10</v>
      </c>
    </row>
    <row r="852" spans="1:7" x14ac:dyDescent="0.35">
      <c r="A852">
        <v>108316</v>
      </c>
      <c r="B852">
        <v>1</v>
      </c>
      <c r="C852" t="s">
        <v>49</v>
      </c>
      <c r="D852">
        <v>3909</v>
      </c>
      <c r="E852" t="s">
        <v>95</v>
      </c>
      <c r="F852" t="s">
        <v>14</v>
      </c>
      <c r="G852">
        <v>24</v>
      </c>
    </row>
    <row r="853" spans="1:7" x14ac:dyDescent="0.35">
      <c r="A853">
        <v>71312</v>
      </c>
      <c r="B853">
        <v>2</v>
      </c>
      <c r="C853" t="s">
        <v>29</v>
      </c>
      <c r="D853">
        <v>3811</v>
      </c>
      <c r="E853" t="s">
        <v>91</v>
      </c>
      <c r="F853" t="s">
        <v>17</v>
      </c>
      <c r="G853">
        <v>3</v>
      </c>
    </row>
    <row r="854" spans="1:7" x14ac:dyDescent="0.35">
      <c r="A854">
        <v>142241</v>
      </c>
      <c r="B854">
        <v>3</v>
      </c>
      <c r="C854" t="s">
        <v>24</v>
      </c>
      <c r="D854">
        <v>3505</v>
      </c>
      <c r="E854" t="s">
        <v>94</v>
      </c>
      <c r="F854" t="s">
        <v>17</v>
      </c>
      <c r="G854">
        <v>30</v>
      </c>
    </row>
    <row r="855" spans="1:7" x14ac:dyDescent="0.35">
      <c r="A855">
        <v>7238</v>
      </c>
      <c r="B855">
        <v>0</v>
      </c>
      <c r="C855" t="s">
        <v>47</v>
      </c>
      <c r="D855">
        <v>0</v>
      </c>
      <c r="E855" t="s">
        <v>89</v>
      </c>
      <c r="F855" t="s">
        <v>17</v>
      </c>
      <c r="G855">
        <v>12</v>
      </c>
    </row>
    <row r="856" spans="1:7" x14ac:dyDescent="0.35">
      <c r="A856">
        <v>132003</v>
      </c>
      <c r="B856">
        <v>28</v>
      </c>
      <c r="C856" t="s">
        <v>48</v>
      </c>
      <c r="D856">
        <v>0</v>
      </c>
      <c r="E856" t="s">
        <v>91</v>
      </c>
      <c r="F856" t="s">
        <v>17</v>
      </c>
      <c r="G856">
        <v>8</v>
      </c>
    </row>
    <row r="857" spans="1:7" x14ac:dyDescent="0.35">
      <c r="A857">
        <v>172220</v>
      </c>
      <c r="B857">
        <v>1</v>
      </c>
      <c r="C857" t="s">
        <v>22</v>
      </c>
      <c r="D857">
        <v>4011</v>
      </c>
      <c r="E857" t="s">
        <v>96</v>
      </c>
      <c r="F857" t="s">
        <v>14</v>
      </c>
      <c r="G857">
        <v>19</v>
      </c>
    </row>
    <row r="858" spans="1:7" x14ac:dyDescent="0.35">
      <c r="A858">
        <v>189916</v>
      </c>
      <c r="B858">
        <v>0</v>
      </c>
      <c r="C858" t="s">
        <v>29</v>
      </c>
      <c r="D858">
        <v>1004</v>
      </c>
      <c r="F858" t="s">
        <v>14</v>
      </c>
      <c r="G858">
        <v>5</v>
      </c>
    </row>
    <row r="859" spans="1:7" x14ac:dyDescent="0.35">
      <c r="A859">
        <v>89358</v>
      </c>
      <c r="B859">
        <v>1</v>
      </c>
      <c r="C859" t="s">
        <v>16</v>
      </c>
      <c r="D859">
        <v>3801</v>
      </c>
      <c r="E859" t="s">
        <v>88</v>
      </c>
      <c r="F859" t="s">
        <v>14</v>
      </c>
      <c r="G859">
        <v>20</v>
      </c>
    </row>
    <row r="860" spans="1:7" x14ac:dyDescent="0.35">
      <c r="A860">
        <v>82843</v>
      </c>
      <c r="B860">
        <v>28</v>
      </c>
      <c r="C860" t="s">
        <v>56</v>
      </c>
      <c r="D860">
        <v>0</v>
      </c>
      <c r="E860" t="s">
        <v>90</v>
      </c>
      <c r="F860" t="s">
        <v>17</v>
      </c>
      <c r="G860">
        <v>5</v>
      </c>
    </row>
    <row r="861" spans="1:7" x14ac:dyDescent="0.35">
      <c r="A861">
        <v>56124</v>
      </c>
      <c r="B861">
        <v>0</v>
      </c>
      <c r="C861" t="s">
        <v>62</v>
      </c>
      <c r="D861">
        <v>5106</v>
      </c>
      <c r="F861" t="s">
        <v>14</v>
      </c>
      <c r="G861">
        <v>20</v>
      </c>
    </row>
    <row r="862" spans="1:7" x14ac:dyDescent="0.35">
      <c r="A862">
        <v>75840</v>
      </c>
      <c r="B862">
        <v>0</v>
      </c>
      <c r="C862" t="s">
        <v>47</v>
      </c>
      <c r="D862">
        <v>1501</v>
      </c>
      <c r="E862" t="s">
        <v>92</v>
      </c>
      <c r="F862" t="s">
        <v>14</v>
      </c>
      <c r="G862">
        <v>20</v>
      </c>
    </row>
    <row r="863" spans="1:7" x14ac:dyDescent="0.35">
      <c r="A863">
        <v>163220</v>
      </c>
      <c r="B863">
        <v>28</v>
      </c>
      <c r="C863" t="s">
        <v>22</v>
      </c>
      <c r="D863">
        <v>4701</v>
      </c>
      <c r="E863" t="s">
        <v>95</v>
      </c>
      <c r="F863" t="s">
        <v>30</v>
      </c>
      <c r="G863">
        <v>26</v>
      </c>
    </row>
    <row r="864" spans="1:7" x14ac:dyDescent="0.35">
      <c r="A864">
        <v>74615</v>
      </c>
      <c r="B864">
        <v>0</v>
      </c>
      <c r="C864" t="s">
        <v>29</v>
      </c>
      <c r="D864">
        <v>1101</v>
      </c>
      <c r="E864" t="s">
        <v>88</v>
      </c>
      <c r="F864" t="s">
        <v>14</v>
      </c>
      <c r="G864">
        <v>9</v>
      </c>
    </row>
    <row r="865" spans="1:7" x14ac:dyDescent="0.35">
      <c r="A865">
        <v>45808</v>
      </c>
      <c r="B865">
        <v>0</v>
      </c>
      <c r="C865" t="s">
        <v>13</v>
      </c>
      <c r="D865">
        <v>1809</v>
      </c>
      <c r="E865" t="s">
        <v>90</v>
      </c>
      <c r="F865" t="s">
        <v>17</v>
      </c>
      <c r="G865">
        <v>10</v>
      </c>
    </row>
    <row r="866" spans="1:7" x14ac:dyDescent="0.35">
      <c r="A866">
        <v>162593</v>
      </c>
      <c r="B866">
        <v>1</v>
      </c>
      <c r="C866" t="s">
        <v>22</v>
      </c>
      <c r="D866">
        <v>5010</v>
      </c>
      <c r="E866" t="s">
        <v>93</v>
      </c>
      <c r="F866" t="s">
        <v>14</v>
      </c>
      <c r="G866">
        <v>14</v>
      </c>
    </row>
    <row r="867" spans="1:7" x14ac:dyDescent="0.35">
      <c r="A867">
        <v>20237</v>
      </c>
      <c r="B867">
        <v>2</v>
      </c>
      <c r="C867" t="s">
        <v>18</v>
      </c>
      <c r="D867">
        <v>5201</v>
      </c>
      <c r="E867" t="s">
        <v>89</v>
      </c>
      <c r="F867" t="s">
        <v>17</v>
      </c>
      <c r="G867">
        <v>13</v>
      </c>
    </row>
    <row r="868" spans="1:7" x14ac:dyDescent="0.35">
      <c r="A868">
        <v>54828</v>
      </c>
      <c r="B868">
        <v>2</v>
      </c>
      <c r="C868" t="s">
        <v>62</v>
      </c>
      <c r="D868">
        <v>2606</v>
      </c>
      <c r="E868" t="s">
        <v>98</v>
      </c>
      <c r="F868" t="s">
        <v>17</v>
      </c>
      <c r="G868">
        <v>5</v>
      </c>
    </row>
    <row r="869" spans="1:7" x14ac:dyDescent="0.35">
      <c r="A869">
        <v>168589</v>
      </c>
      <c r="B869">
        <v>0</v>
      </c>
      <c r="C869" t="s">
        <v>50</v>
      </c>
      <c r="D869">
        <v>0</v>
      </c>
      <c r="E869" t="s">
        <v>101</v>
      </c>
      <c r="F869" t="s">
        <v>17</v>
      </c>
      <c r="G869">
        <v>10</v>
      </c>
    </row>
    <row r="870" spans="1:7" x14ac:dyDescent="0.35">
      <c r="A870">
        <v>168275</v>
      </c>
      <c r="B870">
        <v>0</v>
      </c>
      <c r="C870" t="s">
        <v>22</v>
      </c>
      <c r="D870">
        <v>2001</v>
      </c>
      <c r="E870" t="s">
        <v>95</v>
      </c>
      <c r="F870" t="s">
        <v>30</v>
      </c>
      <c r="G870">
        <v>36</v>
      </c>
    </row>
    <row r="871" spans="1:7" x14ac:dyDescent="0.35">
      <c r="A871">
        <v>175438</v>
      </c>
      <c r="B871">
        <v>3</v>
      </c>
      <c r="C871" t="s">
        <v>50</v>
      </c>
      <c r="D871">
        <v>2001</v>
      </c>
      <c r="E871" t="s">
        <v>103</v>
      </c>
      <c r="G871">
        <v>25</v>
      </c>
    </row>
    <row r="872" spans="1:7" x14ac:dyDescent="0.35">
      <c r="A872">
        <v>68427</v>
      </c>
      <c r="B872">
        <v>0</v>
      </c>
      <c r="C872" t="s">
        <v>29</v>
      </c>
      <c r="D872">
        <v>0</v>
      </c>
      <c r="E872" t="s">
        <v>103</v>
      </c>
      <c r="G872">
        <v>25</v>
      </c>
    </row>
    <row r="873" spans="1:7" x14ac:dyDescent="0.35">
      <c r="A873">
        <v>89680</v>
      </c>
      <c r="B873">
        <v>2</v>
      </c>
      <c r="C873" t="s">
        <v>16</v>
      </c>
      <c r="D873">
        <v>4201</v>
      </c>
      <c r="E873" t="s">
        <v>93</v>
      </c>
      <c r="F873" t="s">
        <v>17</v>
      </c>
      <c r="G873">
        <v>15</v>
      </c>
    </row>
    <row r="874" spans="1:7" x14ac:dyDescent="0.35">
      <c r="A874">
        <v>132131</v>
      </c>
      <c r="B874">
        <v>0</v>
      </c>
      <c r="C874" t="s">
        <v>48</v>
      </c>
      <c r="D874">
        <v>5901</v>
      </c>
      <c r="E874" t="s">
        <v>100</v>
      </c>
      <c r="F874" t="s">
        <v>17</v>
      </c>
      <c r="G874">
        <v>25</v>
      </c>
    </row>
    <row r="875" spans="1:7" x14ac:dyDescent="0.35">
      <c r="A875">
        <v>180175</v>
      </c>
      <c r="B875">
        <v>0</v>
      </c>
      <c r="C875" t="s">
        <v>40</v>
      </c>
      <c r="D875">
        <v>2612</v>
      </c>
      <c r="E875" t="s">
        <v>90</v>
      </c>
      <c r="F875" t="s">
        <v>17</v>
      </c>
      <c r="G875">
        <v>20</v>
      </c>
    </row>
    <row r="876" spans="1:7" x14ac:dyDescent="0.35">
      <c r="A876">
        <v>85931</v>
      </c>
      <c r="B876">
        <v>0</v>
      </c>
      <c r="C876" t="s">
        <v>52</v>
      </c>
      <c r="D876">
        <v>0</v>
      </c>
      <c r="E876" t="s">
        <v>91</v>
      </c>
      <c r="F876" t="s">
        <v>30</v>
      </c>
      <c r="G876">
        <v>6</v>
      </c>
    </row>
    <row r="877" spans="1:7" x14ac:dyDescent="0.35">
      <c r="A877">
        <v>147305</v>
      </c>
      <c r="B877">
        <v>1</v>
      </c>
      <c r="C877" t="s">
        <v>22</v>
      </c>
      <c r="D877">
        <v>5201</v>
      </c>
      <c r="E877" t="s">
        <v>93</v>
      </c>
      <c r="F877" t="s">
        <v>14</v>
      </c>
      <c r="G877">
        <v>15</v>
      </c>
    </row>
    <row r="878" spans="1:7" x14ac:dyDescent="0.35">
      <c r="A878">
        <v>122404</v>
      </c>
      <c r="B878">
        <v>28</v>
      </c>
      <c r="C878" t="s">
        <v>21</v>
      </c>
      <c r="D878">
        <v>3401</v>
      </c>
      <c r="E878" t="s">
        <v>89</v>
      </c>
      <c r="F878" t="s">
        <v>17</v>
      </c>
      <c r="G878">
        <v>25</v>
      </c>
    </row>
    <row r="879" spans="1:7" x14ac:dyDescent="0.35">
      <c r="A879">
        <v>27670</v>
      </c>
      <c r="B879">
        <v>0</v>
      </c>
      <c r="C879" t="s">
        <v>39</v>
      </c>
      <c r="D879">
        <v>0</v>
      </c>
      <c r="E879" t="s">
        <v>93</v>
      </c>
      <c r="F879" t="s">
        <v>14</v>
      </c>
      <c r="G879">
        <v>25</v>
      </c>
    </row>
    <row r="880" spans="1:7" x14ac:dyDescent="0.35">
      <c r="A880">
        <v>17791</v>
      </c>
      <c r="B880">
        <v>3</v>
      </c>
      <c r="C880" t="s">
        <v>18</v>
      </c>
      <c r="D880">
        <v>3901</v>
      </c>
      <c r="E880" t="s">
        <v>92</v>
      </c>
      <c r="F880" t="s">
        <v>17</v>
      </c>
      <c r="G880">
        <v>25</v>
      </c>
    </row>
    <row r="881" spans="1:7" x14ac:dyDescent="0.35">
      <c r="A881">
        <v>113728</v>
      </c>
      <c r="B881">
        <v>1</v>
      </c>
      <c r="C881" t="s">
        <v>31</v>
      </c>
      <c r="D881">
        <v>1901</v>
      </c>
      <c r="E881" t="s">
        <v>88</v>
      </c>
      <c r="F881" t="s">
        <v>14</v>
      </c>
      <c r="G881">
        <v>15</v>
      </c>
    </row>
    <row r="882" spans="1:7" x14ac:dyDescent="0.35">
      <c r="A882">
        <v>51846</v>
      </c>
      <c r="B882">
        <v>0</v>
      </c>
      <c r="C882" t="s">
        <v>53</v>
      </c>
      <c r="D882">
        <v>5501</v>
      </c>
      <c r="E882" t="s">
        <v>98</v>
      </c>
      <c r="F882" t="s">
        <v>17</v>
      </c>
      <c r="G882">
        <v>25</v>
      </c>
    </row>
    <row r="883" spans="1:7" x14ac:dyDescent="0.35">
      <c r="A883">
        <v>51528</v>
      </c>
      <c r="B883">
        <v>0</v>
      </c>
      <c r="C883" t="s">
        <v>53</v>
      </c>
      <c r="D883">
        <v>3701</v>
      </c>
      <c r="E883" t="s">
        <v>88</v>
      </c>
      <c r="F883" t="s">
        <v>17</v>
      </c>
      <c r="G883">
        <v>5</v>
      </c>
    </row>
    <row r="884" spans="1:7" x14ac:dyDescent="0.35">
      <c r="A884">
        <v>155642</v>
      </c>
      <c r="B884">
        <v>2</v>
      </c>
      <c r="C884" t="s">
        <v>22</v>
      </c>
      <c r="D884">
        <v>0</v>
      </c>
      <c r="E884" t="s">
        <v>88</v>
      </c>
      <c r="F884" t="s">
        <v>30</v>
      </c>
      <c r="G884">
        <v>12</v>
      </c>
    </row>
    <row r="885" spans="1:7" x14ac:dyDescent="0.35">
      <c r="A885">
        <v>99497</v>
      </c>
      <c r="B885">
        <v>1</v>
      </c>
      <c r="C885" t="s">
        <v>36</v>
      </c>
      <c r="D885">
        <v>6201</v>
      </c>
      <c r="E885" t="s">
        <v>89</v>
      </c>
      <c r="F885" t="s">
        <v>14</v>
      </c>
      <c r="G885">
        <v>5</v>
      </c>
    </row>
    <row r="886" spans="1:7" x14ac:dyDescent="0.35">
      <c r="A886">
        <v>95240</v>
      </c>
      <c r="B886">
        <v>1</v>
      </c>
      <c r="C886" t="s">
        <v>16</v>
      </c>
      <c r="D886">
        <v>5209</v>
      </c>
      <c r="E886" t="s">
        <v>89</v>
      </c>
      <c r="F886" t="s">
        <v>14</v>
      </c>
      <c r="G886">
        <v>11</v>
      </c>
    </row>
    <row r="887" spans="1:7" x14ac:dyDescent="0.35">
      <c r="A887">
        <v>126639</v>
      </c>
      <c r="B887">
        <v>0</v>
      </c>
      <c r="C887" t="s">
        <v>21</v>
      </c>
      <c r="D887">
        <v>709</v>
      </c>
      <c r="E887" t="s">
        <v>91</v>
      </c>
      <c r="F887" t="s">
        <v>14</v>
      </c>
      <c r="G887">
        <v>8</v>
      </c>
    </row>
    <row r="888" spans="1:7" x14ac:dyDescent="0.35">
      <c r="A888">
        <v>15965</v>
      </c>
      <c r="B888">
        <v>1</v>
      </c>
      <c r="C888" t="s">
        <v>18</v>
      </c>
      <c r="D888">
        <v>2701</v>
      </c>
      <c r="E888" t="s">
        <v>104</v>
      </c>
      <c r="F888" t="s">
        <v>14</v>
      </c>
      <c r="G888">
        <v>5</v>
      </c>
    </row>
    <row r="889" spans="1:7" x14ac:dyDescent="0.35">
      <c r="A889">
        <v>114321</v>
      </c>
      <c r="B889">
        <v>1002</v>
      </c>
      <c r="C889" t="s">
        <v>31</v>
      </c>
      <c r="D889">
        <v>0</v>
      </c>
      <c r="E889" t="s">
        <v>89</v>
      </c>
      <c r="F889" t="s">
        <v>14</v>
      </c>
      <c r="G889">
        <v>25</v>
      </c>
    </row>
    <row r="890" spans="1:7" x14ac:dyDescent="0.35">
      <c r="A890">
        <v>132567</v>
      </c>
      <c r="B890">
        <v>0</v>
      </c>
      <c r="C890" t="s">
        <v>66</v>
      </c>
      <c r="D890">
        <v>3401</v>
      </c>
      <c r="E890" t="s">
        <v>100</v>
      </c>
      <c r="F890" t="s">
        <v>17</v>
      </c>
      <c r="G890">
        <v>20</v>
      </c>
    </row>
    <row r="891" spans="1:7" x14ac:dyDescent="0.35">
      <c r="A891">
        <v>78312</v>
      </c>
      <c r="B891">
        <v>1</v>
      </c>
      <c r="C891" t="s">
        <v>35</v>
      </c>
      <c r="D891">
        <v>3307</v>
      </c>
      <c r="E891" t="s">
        <v>90</v>
      </c>
      <c r="F891" t="s">
        <v>14</v>
      </c>
      <c r="G891">
        <v>15</v>
      </c>
    </row>
    <row r="892" spans="1:7" x14ac:dyDescent="0.35">
      <c r="A892">
        <v>188078</v>
      </c>
      <c r="B892">
        <v>0</v>
      </c>
      <c r="C892" t="s">
        <v>46</v>
      </c>
      <c r="D892">
        <v>0</v>
      </c>
      <c r="E892" t="s">
        <v>94</v>
      </c>
      <c r="F892" t="s">
        <v>14</v>
      </c>
      <c r="G892">
        <v>10</v>
      </c>
    </row>
    <row r="893" spans="1:7" x14ac:dyDescent="0.35">
      <c r="A893">
        <v>102398</v>
      </c>
      <c r="B893">
        <v>0</v>
      </c>
      <c r="C893" t="s">
        <v>36</v>
      </c>
      <c r="D893">
        <v>2810</v>
      </c>
      <c r="E893" t="s">
        <v>88</v>
      </c>
      <c r="F893" t="s">
        <v>17</v>
      </c>
      <c r="G893">
        <v>12</v>
      </c>
    </row>
    <row r="894" spans="1:7" x14ac:dyDescent="0.35">
      <c r="A894">
        <v>45116</v>
      </c>
      <c r="B894">
        <v>0</v>
      </c>
      <c r="C894" t="s">
        <v>13</v>
      </c>
      <c r="D894">
        <v>1308</v>
      </c>
      <c r="E894" t="s">
        <v>93</v>
      </c>
      <c r="F894" t="s">
        <v>14</v>
      </c>
      <c r="G894">
        <v>5</v>
      </c>
    </row>
    <row r="895" spans="1:7" x14ac:dyDescent="0.35">
      <c r="A895">
        <v>155921</v>
      </c>
      <c r="B895">
        <v>2</v>
      </c>
      <c r="C895" t="s">
        <v>22</v>
      </c>
      <c r="D895">
        <v>2001</v>
      </c>
      <c r="E895" t="s">
        <v>100</v>
      </c>
      <c r="F895" t="s">
        <v>14</v>
      </c>
      <c r="G895">
        <v>25</v>
      </c>
    </row>
    <row r="896" spans="1:7" x14ac:dyDescent="0.35">
      <c r="A896">
        <v>77196</v>
      </c>
      <c r="B896">
        <v>0</v>
      </c>
      <c r="C896" t="s">
        <v>35</v>
      </c>
      <c r="D896">
        <v>6501</v>
      </c>
      <c r="E896" t="s">
        <v>89</v>
      </c>
      <c r="F896" t="s">
        <v>17</v>
      </c>
      <c r="G896">
        <v>25</v>
      </c>
    </row>
    <row r="897" spans="1:7" x14ac:dyDescent="0.35">
      <c r="A897">
        <v>10893</v>
      </c>
      <c r="B897">
        <v>0</v>
      </c>
      <c r="C897" t="s">
        <v>22</v>
      </c>
      <c r="D897">
        <v>0</v>
      </c>
      <c r="E897" t="s">
        <v>100</v>
      </c>
      <c r="G897">
        <v>20</v>
      </c>
    </row>
    <row r="898" spans="1:7" x14ac:dyDescent="0.35">
      <c r="A898">
        <v>19621</v>
      </c>
      <c r="B898">
        <v>0</v>
      </c>
      <c r="C898" t="s">
        <v>18</v>
      </c>
      <c r="D898">
        <v>2707</v>
      </c>
      <c r="E898" t="s">
        <v>96</v>
      </c>
      <c r="F898" t="s">
        <v>17</v>
      </c>
      <c r="G898">
        <v>21</v>
      </c>
    </row>
    <row r="899" spans="1:7" x14ac:dyDescent="0.35">
      <c r="A899">
        <v>149653</v>
      </c>
      <c r="B899">
        <v>0</v>
      </c>
      <c r="C899" t="s">
        <v>22</v>
      </c>
      <c r="D899">
        <v>4908</v>
      </c>
      <c r="E899" t="s">
        <v>103</v>
      </c>
      <c r="F899" t="s">
        <v>17</v>
      </c>
      <c r="G899">
        <v>10</v>
      </c>
    </row>
    <row r="900" spans="1:7" x14ac:dyDescent="0.35">
      <c r="A900">
        <v>159750</v>
      </c>
      <c r="B900">
        <v>0</v>
      </c>
      <c r="C900" t="s">
        <v>22</v>
      </c>
      <c r="D900">
        <v>1801</v>
      </c>
      <c r="E900" t="s">
        <v>88</v>
      </c>
      <c r="F900" t="s">
        <v>14</v>
      </c>
      <c r="G900">
        <v>9</v>
      </c>
    </row>
    <row r="901" spans="1:7" x14ac:dyDescent="0.35">
      <c r="A901">
        <v>136269</v>
      </c>
      <c r="B901">
        <v>0</v>
      </c>
      <c r="C901" t="s">
        <v>55</v>
      </c>
      <c r="D901">
        <v>3401</v>
      </c>
      <c r="E901" t="s">
        <v>93</v>
      </c>
      <c r="F901" t="s">
        <v>17</v>
      </c>
      <c r="G901">
        <v>15</v>
      </c>
    </row>
    <row r="902" spans="1:7" x14ac:dyDescent="0.35">
      <c r="A902">
        <v>108029</v>
      </c>
      <c r="B902">
        <v>0</v>
      </c>
      <c r="C902" t="s">
        <v>49</v>
      </c>
      <c r="D902">
        <v>4909</v>
      </c>
      <c r="E902" t="s">
        <v>90</v>
      </c>
      <c r="F902" t="s">
        <v>14</v>
      </c>
      <c r="G902">
        <v>5</v>
      </c>
    </row>
    <row r="903" spans="1:7" x14ac:dyDescent="0.35">
      <c r="A903">
        <v>10719</v>
      </c>
      <c r="B903">
        <v>2</v>
      </c>
      <c r="C903" t="s">
        <v>40</v>
      </c>
      <c r="D903">
        <v>1401</v>
      </c>
      <c r="F903" t="s">
        <v>17</v>
      </c>
      <c r="G903">
        <v>19</v>
      </c>
    </row>
    <row r="904" spans="1:7" x14ac:dyDescent="0.35">
      <c r="A904">
        <v>156572</v>
      </c>
      <c r="B904">
        <v>0</v>
      </c>
      <c r="C904" t="s">
        <v>22</v>
      </c>
      <c r="D904">
        <v>0</v>
      </c>
      <c r="E904" t="s">
        <v>93</v>
      </c>
      <c r="F904" t="s">
        <v>14</v>
      </c>
      <c r="G904">
        <v>25</v>
      </c>
    </row>
    <row r="905" spans="1:7" x14ac:dyDescent="0.35">
      <c r="A905">
        <v>152737</v>
      </c>
      <c r="B905">
        <v>0</v>
      </c>
      <c r="C905" t="s">
        <v>22</v>
      </c>
      <c r="D905">
        <v>0</v>
      </c>
      <c r="E905" t="s">
        <v>93</v>
      </c>
      <c r="F905" t="s">
        <v>14</v>
      </c>
      <c r="G905">
        <v>7</v>
      </c>
    </row>
    <row r="906" spans="1:7" x14ac:dyDescent="0.35">
      <c r="A906">
        <v>94307</v>
      </c>
      <c r="B906">
        <v>0</v>
      </c>
      <c r="C906" t="s">
        <v>16</v>
      </c>
      <c r="D906">
        <v>2001</v>
      </c>
      <c r="E906" t="s">
        <v>103</v>
      </c>
      <c r="F906" t="s">
        <v>17</v>
      </c>
      <c r="G906">
        <v>15</v>
      </c>
    </row>
    <row r="907" spans="1:7" x14ac:dyDescent="0.35">
      <c r="A907">
        <v>129947</v>
      </c>
      <c r="B907">
        <v>28</v>
      </c>
      <c r="C907" t="s">
        <v>48</v>
      </c>
      <c r="D907">
        <v>4401</v>
      </c>
      <c r="E907" t="s">
        <v>96</v>
      </c>
      <c r="F907" t="s">
        <v>17</v>
      </c>
      <c r="G907">
        <v>20</v>
      </c>
    </row>
    <row r="908" spans="1:7" x14ac:dyDescent="0.35">
      <c r="A908">
        <v>108919</v>
      </c>
      <c r="B908">
        <v>28</v>
      </c>
      <c r="C908" t="s">
        <v>49</v>
      </c>
      <c r="D908">
        <v>0</v>
      </c>
      <c r="E908" t="s">
        <v>88</v>
      </c>
      <c r="F908" t="s">
        <v>17</v>
      </c>
      <c r="G908">
        <v>15</v>
      </c>
    </row>
    <row r="909" spans="1:7" x14ac:dyDescent="0.35">
      <c r="A909">
        <v>4055</v>
      </c>
      <c r="B909">
        <v>1</v>
      </c>
      <c r="C909" t="s">
        <v>21</v>
      </c>
      <c r="D909">
        <v>5101</v>
      </c>
      <c r="E909" t="s">
        <v>92</v>
      </c>
      <c r="F909" t="s">
        <v>14</v>
      </c>
      <c r="G909">
        <v>10</v>
      </c>
    </row>
    <row r="910" spans="1:7" x14ac:dyDescent="0.35">
      <c r="A910">
        <v>175907</v>
      </c>
      <c r="B910">
        <v>2</v>
      </c>
      <c r="C910" t="s">
        <v>50</v>
      </c>
      <c r="D910">
        <v>1508</v>
      </c>
      <c r="E910" t="s">
        <v>88</v>
      </c>
      <c r="F910" t="s">
        <v>17</v>
      </c>
      <c r="G910">
        <v>15</v>
      </c>
    </row>
    <row r="911" spans="1:7" x14ac:dyDescent="0.35">
      <c r="A911">
        <v>13188</v>
      </c>
      <c r="B911">
        <v>0</v>
      </c>
      <c r="C911" t="s">
        <v>33</v>
      </c>
      <c r="D911">
        <v>5001</v>
      </c>
      <c r="E911" t="s">
        <v>98</v>
      </c>
      <c r="F911" t="s">
        <v>17</v>
      </c>
      <c r="G911">
        <v>100</v>
      </c>
    </row>
    <row r="912" spans="1:7" x14ac:dyDescent="0.35">
      <c r="A912">
        <v>35181</v>
      </c>
      <c r="B912">
        <v>2</v>
      </c>
      <c r="C912" t="s">
        <v>13</v>
      </c>
      <c r="D912">
        <v>3208</v>
      </c>
      <c r="E912" t="s">
        <v>93</v>
      </c>
      <c r="F912" t="s">
        <v>14</v>
      </c>
      <c r="G912">
        <v>25</v>
      </c>
    </row>
    <row r="913" spans="1:7" x14ac:dyDescent="0.35">
      <c r="A913">
        <v>53127</v>
      </c>
      <c r="B913">
        <v>2</v>
      </c>
      <c r="C913" t="s">
        <v>53</v>
      </c>
      <c r="D913">
        <v>0</v>
      </c>
      <c r="E913" t="s">
        <v>89</v>
      </c>
      <c r="F913" t="s">
        <v>14</v>
      </c>
      <c r="G913">
        <v>30</v>
      </c>
    </row>
    <row r="914" spans="1:7" x14ac:dyDescent="0.35">
      <c r="A914">
        <v>88056</v>
      </c>
      <c r="B914">
        <v>0</v>
      </c>
      <c r="C914" t="s">
        <v>16</v>
      </c>
      <c r="D914">
        <v>2901</v>
      </c>
      <c r="E914" t="s">
        <v>93</v>
      </c>
      <c r="F914" t="s">
        <v>17</v>
      </c>
      <c r="G914">
        <v>5</v>
      </c>
    </row>
    <row r="915" spans="1:7" x14ac:dyDescent="0.35">
      <c r="A915">
        <v>145944</v>
      </c>
      <c r="B915">
        <v>0</v>
      </c>
      <c r="C915" t="s">
        <v>22</v>
      </c>
      <c r="D915">
        <v>2703</v>
      </c>
      <c r="E915" t="s">
        <v>93</v>
      </c>
      <c r="F915" t="s">
        <v>17</v>
      </c>
      <c r="G915">
        <v>13</v>
      </c>
    </row>
    <row r="916" spans="1:7" x14ac:dyDescent="0.35">
      <c r="A916">
        <v>86640</v>
      </c>
      <c r="B916">
        <v>0</v>
      </c>
      <c r="C916" t="s">
        <v>45</v>
      </c>
      <c r="D916">
        <v>0</v>
      </c>
      <c r="E916" t="s">
        <v>91</v>
      </c>
      <c r="F916" t="s">
        <v>17</v>
      </c>
      <c r="G916">
        <v>13</v>
      </c>
    </row>
    <row r="917" spans="1:7" x14ac:dyDescent="0.35">
      <c r="A917">
        <v>99673</v>
      </c>
      <c r="B917">
        <v>0</v>
      </c>
      <c r="C917" t="s">
        <v>36</v>
      </c>
      <c r="D917">
        <v>5807</v>
      </c>
      <c r="E917" t="s">
        <v>90</v>
      </c>
      <c r="F917" t="s">
        <v>17</v>
      </c>
      <c r="G917">
        <v>22</v>
      </c>
    </row>
    <row r="918" spans="1:7" x14ac:dyDescent="0.35">
      <c r="A918">
        <v>96000</v>
      </c>
      <c r="B918">
        <v>2</v>
      </c>
      <c r="C918" t="s">
        <v>16</v>
      </c>
      <c r="D918">
        <v>1401</v>
      </c>
      <c r="E918" t="s">
        <v>96</v>
      </c>
      <c r="F918" t="s">
        <v>14</v>
      </c>
      <c r="G918">
        <v>10</v>
      </c>
    </row>
    <row r="919" spans="1:7" x14ac:dyDescent="0.35">
      <c r="A919">
        <v>170256</v>
      </c>
      <c r="B919">
        <v>2</v>
      </c>
      <c r="C919" t="s">
        <v>22</v>
      </c>
      <c r="D919">
        <v>0</v>
      </c>
      <c r="E919" t="s">
        <v>100</v>
      </c>
      <c r="F919" t="s">
        <v>17</v>
      </c>
      <c r="G919">
        <v>10</v>
      </c>
    </row>
    <row r="920" spans="1:7" x14ac:dyDescent="0.35">
      <c r="A920">
        <v>20821</v>
      </c>
      <c r="B920">
        <v>1</v>
      </c>
      <c r="C920" t="s">
        <v>18</v>
      </c>
      <c r="D920">
        <v>5201</v>
      </c>
      <c r="E920" t="s">
        <v>89</v>
      </c>
      <c r="F920" t="s">
        <v>14</v>
      </c>
      <c r="G920">
        <v>10</v>
      </c>
    </row>
    <row r="921" spans="1:7" x14ac:dyDescent="0.35">
      <c r="A921">
        <v>189715</v>
      </c>
      <c r="B921">
        <v>28</v>
      </c>
      <c r="C921" t="s">
        <v>22</v>
      </c>
      <c r="D921">
        <v>0</v>
      </c>
      <c r="E921" t="s">
        <v>95</v>
      </c>
      <c r="F921" t="s">
        <v>17</v>
      </c>
      <c r="G921">
        <v>25</v>
      </c>
    </row>
    <row r="922" spans="1:7" x14ac:dyDescent="0.35">
      <c r="A922">
        <v>183898</v>
      </c>
      <c r="B922">
        <v>980</v>
      </c>
      <c r="C922" t="s">
        <v>40</v>
      </c>
      <c r="D922">
        <v>1008</v>
      </c>
      <c r="E922" t="s">
        <v>91</v>
      </c>
      <c r="F922" t="s">
        <v>44</v>
      </c>
      <c r="G922">
        <v>3</v>
      </c>
    </row>
    <row r="923" spans="1:7" x14ac:dyDescent="0.35">
      <c r="A923">
        <v>155157</v>
      </c>
      <c r="B923">
        <v>2</v>
      </c>
      <c r="C923" t="s">
        <v>22</v>
      </c>
      <c r="D923">
        <v>0</v>
      </c>
      <c r="E923" t="s">
        <v>101</v>
      </c>
      <c r="F923" t="s">
        <v>17</v>
      </c>
      <c r="G923">
        <v>12</v>
      </c>
    </row>
    <row r="924" spans="1:7" x14ac:dyDescent="0.35">
      <c r="A924">
        <v>137134</v>
      </c>
      <c r="B924">
        <v>0</v>
      </c>
      <c r="C924" t="s">
        <v>55</v>
      </c>
      <c r="D924">
        <v>2512</v>
      </c>
      <c r="E924" t="s">
        <v>88</v>
      </c>
      <c r="F924" t="s">
        <v>14</v>
      </c>
      <c r="G924">
        <v>10</v>
      </c>
    </row>
    <row r="925" spans="1:7" x14ac:dyDescent="0.35">
      <c r="A925">
        <v>129602</v>
      </c>
      <c r="B925">
        <v>2</v>
      </c>
      <c r="C925" t="s">
        <v>48</v>
      </c>
      <c r="D925">
        <v>2401</v>
      </c>
      <c r="E925" t="s">
        <v>88</v>
      </c>
      <c r="F925" t="s">
        <v>17</v>
      </c>
      <c r="G925">
        <v>13</v>
      </c>
    </row>
    <row r="926" spans="1:7" x14ac:dyDescent="0.35">
      <c r="A926">
        <v>182286</v>
      </c>
      <c r="B926">
        <v>28</v>
      </c>
      <c r="C926" t="s">
        <v>40</v>
      </c>
      <c r="D926">
        <v>4001</v>
      </c>
      <c r="E926" t="s">
        <v>88</v>
      </c>
      <c r="F926" t="s">
        <v>14</v>
      </c>
      <c r="G926">
        <v>20</v>
      </c>
    </row>
    <row r="927" spans="1:7" x14ac:dyDescent="0.35">
      <c r="A927">
        <v>138804</v>
      </c>
      <c r="B927">
        <v>0</v>
      </c>
      <c r="C927" t="s">
        <v>55</v>
      </c>
      <c r="D927">
        <v>0</v>
      </c>
      <c r="E927" t="s">
        <v>91</v>
      </c>
      <c r="F927" t="s">
        <v>17</v>
      </c>
      <c r="G927">
        <v>10</v>
      </c>
    </row>
    <row r="928" spans="1:7" x14ac:dyDescent="0.35">
      <c r="A928">
        <v>100569</v>
      </c>
      <c r="B928">
        <v>1</v>
      </c>
      <c r="C928" t="s">
        <v>36</v>
      </c>
      <c r="D928">
        <v>501</v>
      </c>
      <c r="E928" t="s">
        <v>95</v>
      </c>
      <c r="F928" t="s">
        <v>14</v>
      </c>
      <c r="G928">
        <v>15</v>
      </c>
    </row>
    <row r="929" spans="1:7" x14ac:dyDescent="0.35">
      <c r="A929">
        <v>9287</v>
      </c>
      <c r="B929">
        <v>0</v>
      </c>
      <c r="C929" t="s">
        <v>22</v>
      </c>
      <c r="D929">
        <v>3901</v>
      </c>
      <c r="E929" t="s">
        <v>90</v>
      </c>
      <c r="F929" t="s">
        <v>14</v>
      </c>
      <c r="G929">
        <v>8</v>
      </c>
    </row>
    <row r="930" spans="1:7" x14ac:dyDescent="0.35">
      <c r="A930">
        <v>104108</v>
      </c>
      <c r="B930">
        <v>2</v>
      </c>
      <c r="C930" t="s">
        <v>36</v>
      </c>
      <c r="D930">
        <v>2712</v>
      </c>
      <c r="E930" t="s">
        <v>92</v>
      </c>
      <c r="F930" t="s">
        <v>17</v>
      </c>
      <c r="G930">
        <v>11</v>
      </c>
    </row>
    <row r="931" spans="1:7" x14ac:dyDescent="0.35">
      <c r="A931">
        <v>1357</v>
      </c>
      <c r="B931">
        <v>0</v>
      </c>
      <c r="C931" t="s">
        <v>29</v>
      </c>
      <c r="D931">
        <v>5612</v>
      </c>
      <c r="E931" t="s">
        <v>90</v>
      </c>
      <c r="F931" t="s">
        <v>17</v>
      </c>
      <c r="G931">
        <v>15</v>
      </c>
    </row>
    <row r="932" spans="1:7" x14ac:dyDescent="0.35">
      <c r="A932">
        <v>10784</v>
      </c>
      <c r="B932">
        <v>0</v>
      </c>
      <c r="C932" t="s">
        <v>40</v>
      </c>
      <c r="D932">
        <v>0</v>
      </c>
      <c r="E932" t="s">
        <v>92</v>
      </c>
      <c r="F932" t="s">
        <v>14</v>
      </c>
      <c r="G932">
        <v>10</v>
      </c>
    </row>
    <row r="933" spans="1:7" x14ac:dyDescent="0.35">
      <c r="A933">
        <v>140049</v>
      </c>
      <c r="B933">
        <v>0</v>
      </c>
      <c r="C933" t="s">
        <v>54</v>
      </c>
      <c r="D933">
        <v>4501</v>
      </c>
      <c r="E933" t="s">
        <v>91</v>
      </c>
      <c r="F933" t="s">
        <v>17</v>
      </c>
      <c r="G933">
        <v>20</v>
      </c>
    </row>
    <row r="934" spans="1:7" x14ac:dyDescent="0.35">
      <c r="A934">
        <v>170489</v>
      </c>
      <c r="B934">
        <v>0</v>
      </c>
      <c r="C934" t="s">
        <v>22</v>
      </c>
      <c r="D934">
        <v>0</v>
      </c>
      <c r="E934" t="s">
        <v>94</v>
      </c>
      <c r="F934" t="s">
        <v>17</v>
      </c>
      <c r="G934">
        <v>20</v>
      </c>
    </row>
    <row r="935" spans="1:7" x14ac:dyDescent="0.35">
      <c r="A935">
        <v>184289</v>
      </c>
      <c r="B935">
        <v>2</v>
      </c>
      <c r="C935" t="s">
        <v>40</v>
      </c>
      <c r="D935">
        <v>4411</v>
      </c>
      <c r="E935" t="s">
        <v>91</v>
      </c>
      <c r="F935" t="s">
        <v>17</v>
      </c>
      <c r="G935">
        <v>10</v>
      </c>
    </row>
    <row r="936" spans="1:7" x14ac:dyDescent="0.35">
      <c r="A936">
        <v>36353</v>
      </c>
      <c r="B936">
        <v>0</v>
      </c>
      <c r="C936" t="s">
        <v>13</v>
      </c>
      <c r="D936">
        <v>2101</v>
      </c>
      <c r="E936" t="s">
        <v>88</v>
      </c>
      <c r="F936" t="s">
        <v>17</v>
      </c>
      <c r="G936">
        <v>17</v>
      </c>
    </row>
    <row r="937" spans="1:7" x14ac:dyDescent="0.35">
      <c r="A937">
        <v>97689</v>
      </c>
      <c r="B937">
        <v>1</v>
      </c>
      <c r="C937" t="s">
        <v>16</v>
      </c>
      <c r="D937">
        <v>3601</v>
      </c>
      <c r="E937" t="s">
        <v>89</v>
      </c>
      <c r="F937" t="s">
        <v>14</v>
      </c>
      <c r="G937">
        <v>10</v>
      </c>
    </row>
    <row r="938" spans="1:7" x14ac:dyDescent="0.35">
      <c r="A938">
        <v>133229</v>
      </c>
      <c r="B938">
        <v>1</v>
      </c>
      <c r="C938" t="s">
        <v>41</v>
      </c>
      <c r="D938">
        <v>5001</v>
      </c>
      <c r="E938" t="s">
        <v>94</v>
      </c>
      <c r="F938" t="s">
        <v>14</v>
      </c>
      <c r="G938">
        <v>25</v>
      </c>
    </row>
    <row r="939" spans="1:7" x14ac:dyDescent="0.35">
      <c r="A939">
        <v>51845</v>
      </c>
      <c r="B939">
        <v>2</v>
      </c>
      <c r="C939" t="s">
        <v>53</v>
      </c>
      <c r="D939">
        <v>0</v>
      </c>
      <c r="E939" t="s">
        <v>98</v>
      </c>
      <c r="F939" t="s">
        <v>17</v>
      </c>
      <c r="G939">
        <v>18</v>
      </c>
    </row>
    <row r="940" spans="1:7" x14ac:dyDescent="0.35">
      <c r="A940">
        <v>111485</v>
      </c>
      <c r="B940">
        <v>1</v>
      </c>
      <c r="C940" t="s">
        <v>32</v>
      </c>
      <c r="D940">
        <v>810</v>
      </c>
      <c r="E940" t="s">
        <v>88</v>
      </c>
      <c r="F940" t="s">
        <v>14</v>
      </c>
      <c r="G940">
        <v>30</v>
      </c>
    </row>
    <row r="941" spans="1:7" x14ac:dyDescent="0.35">
      <c r="A941">
        <v>75331</v>
      </c>
      <c r="B941">
        <v>0</v>
      </c>
      <c r="C941" t="s">
        <v>47</v>
      </c>
      <c r="D941">
        <v>4401</v>
      </c>
      <c r="E941" t="s">
        <v>89</v>
      </c>
      <c r="F941" t="s">
        <v>17</v>
      </c>
      <c r="G941">
        <v>25</v>
      </c>
    </row>
    <row r="942" spans="1:7" x14ac:dyDescent="0.35">
      <c r="A942">
        <v>96448</v>
      </c>
      <c r="B942">
        <v>0</v>
      </c>
      <c r="C942" t="s">
        <v>16</v>
      </c>
      <c r="D942">
        <v>2101</v>
      </c>
      <c r="E942" t="s">
        <v>94</v>
      </c>
      <c r="F942" t="s">
        <v>17</v>
      </c>
      <c r="G942">
        <v>8</v>
      </c>
    </row>
    <row r="943" spans="1:7" x14ac:dyDescent="0.35">
      <c r="A943">
        <v>88802</v>
      </c>
      <c r="B943">
        <v>1002</v>
      </c>
      <c r="C943" t="s">
        <v>16</v>
      </c>
      <c r="D943">
        <v>3101</v>
      </c>
      <c r="E943" t="s">
        <v>93</v>
      </c>
      <c r="F943" t="s">
        <v>14</v>
      </c>
      <c r="G943">
        <v>25</v>
      </c>
    </row>
    <row r="944" spans="1:7" x14ac:dyDescent="0.35">
      <c r="A944">
        <v>183702</v>
      </c>
      <c r="B944">
        <v>28</v>
      </c>
      <c r="C944" t="s">
        <v>40</v>
      </c>
      <c r="D944">
        <v>4801</v>
      </c>
      <c r="E944" t="s">
        <v>94</v>
      </c>
      <c r="F944" t="s">
        <v>17</v>
      </c>
      <c r="G944">
        <v>10</v>
      </c>
    </row>
    <row r="945" spans="1:7" x14ac:dyDescent="0.35">
      <c r="A945">
        <v>175535</v>
      </c>
      <c r="B945">
        <v>1</v>
      </c>
      <c r="C945" t="s">
        <v>50</v>
      </c>
      <c r="D945">
        <v>6101</v>
      </c>
      <c r="E945" t="s">
        <v>95</v>
      </c>
      <c r="F945" t="s">
        <v>14</v>
      </c>
      <c r="G945">
        <v>20</v>
      </c>
    </row>
    <row r="946" spans="1:7" x14ac:dyDescent="0.35">
      <c r="A946">
        <v>35325</v>
      </c>
      <c r="B946">
        <v>0</v>
      </c>
      <c r="C946" t="s">
        <v>13</v>
      </c>
      <c r="D946">
        <v>1801</v>
      </c>
      <c r="E946" t="s">
        <v>88</v>
      </c>
      <c r="F946" t="s">
        <v>14</v>
      </c>
      <c r="G946">
        <v>30</v>
      </c>
    </row>
    <row r="947" spans="1:7" x14ac:dyDescent="0.35">
      <c r="A947">
        <v>181655</v>
      </c>
      <c r="B947">
        <v>2</v>
      </c>
      <c r="C947" t="s">
        <v>40</v>
      </c>
      <c r="D947">
        <v>4212</v>
      </c>
      <c r="E947" t="s">
        <v>88</v>
      </c>
      <c r="F947" t="s">
        <v>14</v>
      </c>
      <c r="G947">
        <v>50</v>
      </c>
    </row>
    <row r="948" spans="1:7" x14ac:dyDescent="0.35">
      <c r="A948">
        <v>95582</v>
      </c>
      <c r="B948">
        <v>0</v>
      </c>
      <c r="C948" t="s">
        <v>16</v>
      </c>
      <c r="D948">
        <v>0</v>
      </c>
      <c r="E948" t="s">
        <v>88</v>
      </c>
      <c r="F948" t="s">
        <v>17</v>
      </c>
      <c r="G948">
        <v>21</v>
      </c>
    </row>
    <row r="949" spans="1:7" x14ac:dyDescent="0.35">
      <c r="A949">
        <v>14394</v>
      </c>
      <c r="B949">
        <v>1</v>
      </c>
      <c r="C949" t="s">
        <v>21</v>
      </c>
      <c r="D949">
        <v>6901</v>
      </c>
      <c r="E949" t="s">
        <v>89</v>
      </c>
      <c r="F949" t="s">
        <v>14</v>
      </c>
      <c r="G949">
        <v>10</v>
      </c>
    </row>
    <row r="950" spans="1:7" x14ac:dyDescent="0.35">
      <c r="A950">
        <v>81823</v>
      </c>
      <c r="B950">
        <v>1</v>
      </c>
      <c r="C950" t="s">
        <v>35</v>
      </c>
      <c r="D950">
        <v>4001</v>
      </c>
      <c r="E950" t="s">
        <v>91</v>
      </c>
      <c r="F950" t="s">
        <v>14</v>
      </c>
      <c r="G950">
        <v>45</v>
      </c>
    </row>
    <row r="951" spans="1:7" x14ac:dyDescent="0.35">
      <c r="A951">
        <v>143470</v>
      </c>
      <c r="B951">
        <v>1</v>
      </c>
      <c r="C951" t="s">
        <v>22</v>
      </c>
      <c r="D951">
        <v>5201</v>
      </c>
      <c r="E951" t="s">
        <v>95</v>
      </c>
      <c r="F951" t="s">
        <v>14</v>
      </c>
      <c r="G951">
        <v>17</v>
      </c>
    </row>
    <row r="952" spans="1:7" x14ac:dyDescent="0.35">
      <c r="A952">
        <v>77048</v>
      </c>
      <c r="B952">
        <v>0</v>
      </c>
      <c r="C952" t="s">
        <v>47</v>
      </c>
      <c r="D952">
        <v>3601</v>
      </c>
      <c r="E952" t="s">
        <v>96</v>
      </c>
      <c r="F952" t="s">
        <v>17</v>
      </c>
      <c r="G952">
        <v>7</v>
      </c>
    </row>
    <row r="953" spans="1:7" x14ac:dyDescent="0.35">
      <c r="A953">
        <v>20962</v>
      </c>
      <c r="B953">
        <v>1</v>
      </c>
      <c r="C953" t="s">
        <v>18</v>
      </c>
      <c r="D953">
        <v>3801</v>
      </c>
      <c r="E953" t="s">
        <v>89</v>
      </c>
      <c r="F953" t="s">
        <v>14</v>
      </c>
      <c r="G953">
        <v>15</v>
      </c>
    </row>
    <row r="954" spans="1:7" x14ac:dyDescent="0.35">
      <c r="A954">
        <v>58725</v>
      </c>
      <c r="B954">
        <v>1</v>
      </c>
      <c r="C954" t="s">
        <v>57</v>
      </c>
      <c r="D954">
        <v>1811</v>
      </c>
      <c r="E954" t="s">
        <v>91</v>
      </c>
      <c r="F954" t="s">
        <v>14</v>
      </c>
      <c r="G954">
        <v>15</v>
      </c>
    </row>
    <row r="955" spans="1:7" x14ac:dyDescent="0.35">
      <c r="A955">
        <v>124104</v>
      </c>
      <c r="B955">
        <v>1</v>
      </c>
      <c r="C955" t="s">
        <v>21</v>
      </c>
      <c r="D955">
        <v>5002</v>
      </c>
      <c r="E955" t="s">
        <v>88</v>
      </c>
      <c r="F955" t="s">
        <v>14</v>
      </c>
      <c r="G955">
        <v>23</v>
      </c>
    </row>
    <row r="956" spans="1:7" x14ac:dyDescent="0.35">
      <c r="A956">
        <v>65136</v>
      </c>
      <c r="B956">
        <v>0</v>
      </c>
      <c r="C956" t="s">
        <v>29</v>
      </c>
      <c r="D956">
        <v>3501</v>
      </c>
      <c r="E956" t="s">
        <v>94</v>
      </c>
      <c r="F956" t="s">
        <v>17</v>
      </c>
      <c r="G956">
        <v>20</v>
      </c>
    </row>
    <row r="957" spans="1:7" x14ac:dyDescent="0.35">
      <c r="A957">
        <v>132558</v>
      </c>
      <c r="B957">
        <v>1</v>
      </c>
      <c r="C957" t="s">
        <v>66</v>
      </c>
      <c r="D957">
        <v>4201</v>
      </c>
      <c r="E957" t="s">
        <v>94</v>
      </c>
      <c r="F957" t="s">
        <v>14</v>
      </c>
      <c r="G957">
        <v>15</v>
      </c>
    </row>
    <row r="958" spans="1:7" x14ac:dyDescent="0.35">
      <c r="A958">
        <v>82248</v>
      </c>
      <c r="B958">
        <v>0</v>
      </c>
      <c r="C958" t="s">
        <v>56</v>
      </c>
      <c r="D958">
        <v>2205</v>
      </c>
      <c r="E958" t="s">
        <v>91</v>
      </c>
      <c r="F958" t="s">
        <v>14</v>
      </c>
      <c r="G958">
        <v>8</v>
      </c>
    </row>
    <row r="959" spans="1:7" x14ac:dyDescent="0.35">
      <c r="A959">
        <v>38944</v>
      </c>
      <c r="B959">
        <v>2</v>
      </c>
      <c r="C959" t="s">
        <v>13</v>
      </c>
      <c r="D959">
        <v>5701</v>
      </c>
      <c r="E959" t="s">
        <v>101</v>
      </c>
      <c r="F959" t="s">
        <v>14</v>
      </c>
      <c r="G959">
        <v>25</v>
      </c>
    </row>
    <row r="960" spans="1:7" x14ac:dyDescent="0.35">
      <c r="A960">
        <v>47111</v>
      </c>
      <c r="B960">
        <v>0</v>
      </c>
      <c r="C960" t="s">
        <v>43</v>
      </c>
      <c r="D960">
        <v>2401</v>
      </c>
      <c r="E960" t="s">
        <v>98</v>
      </c>
      <c r="F960" t="s">
        <v>14</v>
      </c>
      <c r="G960">
        <v>5</v>
      </c>
    </row>
    <row r="961" spans="1:7" x14ac:dyDescent="0.35">
      <c r="A961">
        <v>165620</v>
      </c>
      <c r="B961">
        <v>0</v>
      </c>
      <c r="C961" t="s">
        <v>22</v>
      </c>
      <c r="D961">
        <v>2801</v>
      </c>
      <c r="E961" t="s">
        <v>101</v>
      </c>
      <c r="F961" t="s">
        <v>30</v>
      </c>
      <c r="G961">
        <v>4</v>
      </c>
    </row>
    <row r="962" spans="1:7" x14ac:dyDescent="0.35">
      <c r="A962">
        <v>59561</v>
      </c>
      <c r="B962">
        <v>0</v>
      </c>
      <c r="C962" t="s">
        <v>33</v>
      </c>
      <c r="D962">
        <v>6101</v>
      </c>
      <c r="E962" t="s">
        <v>98</v>
      </c>
      <c r="F962" t="s">
        <v>14</v>
      </c>
      <c r="G962">
        <v>9</v>
      </c>
    </row>
    <row r="963" spans="1:7" x14ac:dyDescent="0.35">
      <c r="A963">
        <v>27423</v>
      </c>
      <c r="B963">
        <v>2</v>
      </c>
      <c r="C963" t="s">
        <v>39</v>
      </c>
      <c r="D963">
        <v>0</v>
      </c>
      <c r="E963" t="s">
        <v>98</v>
      </c>
      <c r="F963" t="s">
        <v>17</v>
      </c>
      <c r="G963">
        <v>5</v>
      </c>
    </row>
    <row r="964" spans="1:7" x14ac:dyDescent="0.35">
      <c r="A964">
        <v>13484</v>
      </c>
      <c r="B964">
        <v>1</v>
      </c>
      <c r="C964" t="s">
        <v>13</v>
      </c>
      <c r="D964">
        <v>0</v>
      </c>
      <c r="E964" t="s">
        <v>92</v>
      </c>
      <c r="F964" t="s">
        <v>14</v>
      </c>
      <c r="G964">
        <v>11</v>
      </c>
    </row>
    <row r="965" spans="1:7" x14ac:dyDescent="0.35">
      <c r="A965">
        <v>133491</v>
      </c>
      <c r="B965">
        <v>1002</v>
      </c>
      <c r="C965" t="s">
        <v>41</v>
      </c>
      <c r="D965">
        <v>0</v>
      </c>
      <c r="E965" t="s">
        <v>89</v>
      </c>
      <c r="F965" t="s">
        <v>14</v>
      </c>
      <c r="G965">
        <v>100</v>
      </c>
    </row>
    <row r="966" spans="1:7" x14ac:dyDescent="0.35">
      <c r="A966">
        <v>63000</v>
      </c>
      <c r="B966">
        <v>0</v>
      </c>
      <c r="C966" t="s">
        <v>33</v>
      </c>
      <c r="D966">
        <v>0</v>
      </c>
      <c r="E966" t="s">
        <v>104</v>
      </c>
      <c r="G966">
        <v>25</v>
      </c>
    </row>
    <row r="967" spans="1:7" x14ac:dyDescent="0.35">
      <c r="A967">
        <v>187284</v>
      </c>
      <c r="B967">
        <v>0</v>
      </c>
      <c r="C967" t="s">
        <v>47</v>
      </c>
      <c r="D967">
        <v>0</v>
      </c>
      <c r="E967" t="s">
        <v>88</v>
      </c>
      <c r="F967" t="s">
        <v>17</v>
      </c>
      <c r="G967">
        <v>10</v>
      </c>
    </row>
    <row r="968" spans="1:7" x14ac:dyDescent="0.35">
      <c r="A968">
        <v>131423</v>
      </c>
      <c r="B968">
        <v>1</v>
      </c>
      <c r="C968" t="s">
        <v>48</v>
      </c>
      <c r="D968">
        <v>4812</v>
      </c>
      <c r="E968" t="s">
        <v>91</v>
      </c>
      <c r="F968" t="s">
        <v>14</v>
      </c>
      <c r="G968">
        <v>25</v>
      </c>
    </row>
    <row r="969" spans="1:7" x14ac:dyDescent="0.35">
      <c r="A969">
        <v>22942</v>
      </c>
      <c r="B969">
        <v>0</v>
      </c>
      <c r="C969" t="s">
        <v>46</v>
      </c>
      <c r="D969">
        <v>2901</v>
      </c>
      <c r="E969" t="s">
        <v>88</v>
      </c>
      <c r="F969" t="s">
        <v>17</v>
      </c>
      <c r="G969">
        <v>9</v>
      </c>
    </row>
    <row r="970" spans="1:7" x14ac:dyDescent="0.35">
      <c r="A970">
        <v>85579</v>
      </c>
      <c r="B970">
        <v>0</v>
      </c>
      <c r="C970" t="s">
        <v>56</v>
      </c>
      <c r="D970">
        <v>2001</v>
      </c>
      <c r="E970" t="s">
        <v>89</v>
      </c>
      <c r="F970" t="s">
        <v>17</v>
      </c>
      <c r="G970">
        <v>20</v>
      </c>
    </row>
    <row r="971" spans="1:7" x14ac:dyDescent="0.35">
      <c r="A971">
        <v>3009</v>
      </c>
      <c r="B971">
        <v>2</v>
      </c>
      <c r="C971" t="s">
        <v>22</v>
      </c>
      <c r="D971">
        <v>4801</v>
      </c>
      <c r="E971" t="s">
        <v>101</v>
      </c>
      <c r="F971" t="s">
        <v>17</v>
      </c>
      <c r="G971">
        <v>20</v>
      </c>
    </row>
    <row r="972" spans="1:7" x14ac:dyDescent="0.35">
      <c r="A972">
        <v>105923</v>
      </c>
      <c r="B972">
        <v>0</v>
      </c>
      <c r="C972" t="s">
        <v>28</v>
      </c>
      <c r="D972">
        <v>1501</v>
      </c>
      <c r="E972" t="s">
        <v>90</v>
      </c>
      <c r="F972" t="s">
        <v>17</v>
      </c>
      <c r="G972">
        <v>7</v>
      </c>
    </row>
    <row r="973" spans="1:7" x14ac:dyDescent="0.35">
      <c r="A973">
        <v>187722</v>
      </c>
      <c r="B973">
        <v>1002</v>
      </c>
      <c r="C973" t="s">
        <v>29</v>
      </c>
      <c r="D973">
        <v>0</v>
      </c>
      <c r="E973" t="s">
        <v>94</v>
      </c>
      <c r="F973" t="s">
        <v>14</v>
      </c>
      <c r="G973">
        <v>7</v>
      </c>
    </row>
    <row r="974" spans="1:7" x14ac:dyDescent="0.35">
      <c r="A974">
        <v>15566</v>
      </c>
      <c r="B974">
        <v>2</v>
      </c>
      <c r="C974" t="s">
        <v>18</v>
      </c>
      <c r="D974">
        <v>0</v>
      </c>
      <c r="E974" t="s">
        <v>91</v>
      </c>
      <c r="F974" t="s">
        <v>17</v>
      </c>
      <c r="G974">
        <v>10</v>
      </c>
    </row>
    <row r="975" spans="1:7" x14ac:dyDescent="0.35">
      <c r="A975">
        <v>84745</v>
      </c>
      <c r="B975">
        <v>0</v>
      </c>
      <c r="C975" t="s">
        <v>56</v>
      </c>
      <c r="D975">
        <v>1601</v>
      </c>
      <c r="E975" t="s">
        <v>91</v>
      </c>
      <c r="F975" t="s">
        <v>17</v>
      </c>
      <c r="G975">
        <v>7</v>
      </c>
    </row>
    <row r="976" spans="1:7" x14ac:dyDescent="0.35">
      <c r="A976">
        <v>78172</v>
      </c>
      <c r="B976">
        <v>2</v>
      </c>
      <c r="C976" t="s">
        <v>35</v>
      </c>
      <c r="D976">
        <v>4401</v>
      </c>
      <c r="E976" t="s">
        <v>92</v>
      </c>
      <c r="F976" t="s">
        <v>17</v>
      </c>
      <c r="G976">
        <v>25</v>
      </c>
    </row>
    <row r="977" spans="1:7" x14ac:dyDescent="0.35">
      <c r="A977">
        <v>186334</v>
      </c>
      <c r="B977">
        <v>1</v>
      </c>
      <c r="C977" t="s">
        <v>33</v>
      </c>
      <c r="D977">
        <v>1908</v>
      </c>
      <c r="E977" t="s">
        <v>96</v>
      </c>
      <c r="F977" t="s">
        <v>14</v>
      </c>
      <c r="G977">
        <v>10</v>
      </c>
    </row>
    <row r="978" spans="1:7" x14ac:dyDescent="0.35">
      <c r="A978">
        <v>170767</v>
      </c>
      <c r="B978">
        <v>0</v>
      </c>
      <c r="C978" t="s">
        <v>22</v>
      </c>
      <c r="D978">
        <v>2001</v>
      </c>
      <c r="E978" t="s">
        <v>92</v>
      </c>
      <c r="F978" t="s">
        <v>17</v>
      </c>
      <c r="G978">
        <v>15</v>
      </c>
    </row>
    <row r="979" spans="1:7" x14ac:dyDescent="0.35">
      <c r="A979">
        <v>149152</v>
      </c>
      <c r="B979">
        <v>1</v>
      </c>
      <c r="C979" t="s">
        <v>22</v>
      </c>
      <c r="D979">
        <v>4401</v>
      </c>
      <c r="E979" t="s">
        <v>93</v>
      </c>
      <c r="F979" t="s">
        <v>14</v>
      </c>
      <c r="G979">
        <v>20</v>
      </c>
    </row>
    <row r="980" spans="1:7" x14ac:dyDescent="0.35">
      <c r="A980">
        <v>959</v>
      </c>
      <c r="B980">
        <v>0</v>
      </c>
      <c r="C980" t="s">
        <v>47</v>
      </c>
      <c r="D980">
        <v>4404</v>
      </c>
      <c r="E980" t="s">
        <v>88</v>
      </c>
      <c r="F980" t="s">
        <v>17</v>
      </c>
      <c r="G980">
        <v>10</v>
      </c>
    </row>
    <row r="981" spans="1:7" x14ac:dyDescent="0.35">
      <c r="A981">
        <v>179563</v>
      </c>
      <c r="B981">
        <v>1</v>
      </c>
      <c r="C981" t="s">
        <v>40</v>
      </c>
      <c r="D981">
        <v>5001</v>
      </c>
      <c r="E981" t="s">
        <v>90</v>
      </c>
      <c r="F981" t="s">
        <v>14</v>
      </c>
      <c r="G981">
        <v>23</v>
      </c>
    </row>
    <row r="982" spans="1:7" x14ac:dyDescent="0.35">
      <c r="A982">
        <v>41243</v>
      </c>
      <c r="B982">
        <v>2</v>
      </c>
      <c r="C982" t="s">
        <v>13</v>
      </c>
      <c r="D982">
        <v>2201</v>
      </c>
      <c r="E982" t="s">
        <v>90</v>
      </c>
      <c r="F982" t="s">
        <v>17</v>
      </c>
      <c r="G982">
        <v>12</v>
      </c>
    </row>
    <row r="983" spans="1:7" x14ac:dyDescent="0.35">
      <c r="A983">
        <v>160500</v>
      </c>
      <c r="B983">
        <v>0</v>
      </c>
      <c r="C983" t="s">
        <v>22</v>
      </c>
      <c r="D983">
        <v>1406</v>
      </c>
      <c r="E983" t="s">
        <v>88</v>
      </c>
      <c r="F983" t="s">
        <v>14</v>
      </c>
      <c r="G983">
        <v>5</v>
      </c>
    </row>
    <row r="984" spans="1:7" x14ac:dyDescent="0.35">
      <c r="A984">
        <v>77605</v>
      </c>
      <c r="B984">
        <v>1</v>
      </c>
      <c r="C984" t="s">
        <v>35</v>
      </c>
      <c r="D984">
        <v>5001</v>
      </c>
      <c r="F984" t="s">
        <v>14</v>
      </c>
      <c r="G984">
        <v>15</v>
      </c>
    </row>
    <row r="985" spans="1:7" x14ac:dyDescent="0.35">
      <c r="A985">
        <v>190064</v>
      </c>
      <c r="B985">
        <v>0</v>
      </c>
      <c r="C985" t="s">
        <v>53</v>
      </c>
      <c r="D985">
        <v>0</v>
      </c>
      <c r="E985" t="s">
        <v>102</v>
      </c>
      <c r="F985" t="s">
        <v>17</v>
      </c>
      <c r="G985">
        <v>20</v>
      </c>
    </row>
    <row r="986" spans="1:7" x14ac:dyDescent="0.35">
      <c r="A986">
        <v>138758</v>
      </c>
      <c r="B986">
        <v>0</v>
      </c>
      <c r="C986" t="s">
        <v>55</v>
      </c>
      <c r="D986">
        <v>0</v>
      </c>
      <c r="E986" t="s">
        <v>89</v>
      </c>
      <c r="F986" t="s">
        <v>17</v>
      </c>
      <c r="G986">
        <v>20</v>
      </c>
    </row>
    <row r="987" spans="1:7" x14ac:dyDescent="0.35">
      <c r="A987">
        <v>8531</v>
      </c>
      <c r="B987">
        <v>1</v>
      </c>
      <c r="C987" t="s">
        <v>29</v>
      </c>
      <c r="D987">
        <v>6001</v>
      </c>
      <c r="E987" t="s">
        <v>91</v>
      </c>
      <c r="F987" t="s">
        <v>14</v>
      </c>
      <c r="G987">
        <v>10</v>
      </c>
    </row>
    <row r="988" spans="1:7" x14ac:dyDescent="0.35">
      <c r="A988">
        <v>27846</v>
      </c>
      <c r="B988">
        <v>0</v>
      </c>
      <c r="C988" t="s">
        <v>39</v>
      </c>
      <c r="D988">
        <v>0</v>
      </c>
      <c r="E988" t="s">
        <v>88</v>
      </c>
      <c r="G988">
        <v>200</v>
      </c>
    </row>
    <row r="989" spans="1:7" x14ac:dyDescent="0.35">
      <c r="A989">
        <v>22782</v>
      </c>
      <c r="B989">
        <v>1</v>
      </c>
      <c r="C989" t="s">
        <v>46</v>
      </c>
      <c r="D989">
        <v>0</v>
      </c>
      <c r="E989" t="s">
        <v>104</v>
      </c>
      <c r="F989" t="s">
        <v>14</v>
      </c>
      <c r="G989">
        <v>10</v>
      </c>
    </row>
    <row r="990" spans="1:7" x14ac:dyDescent="0.35">
      <c r="A990">
        <v>66223</v>
      </c>
      <c r="B990">
        <v>0</v>
      </c>
      <c r="C990" t="s">
        <v>29</v>
      </c>
      <c r="D990">
        <v>5801</v>
      </c>
      <c r="E990" t="s">
        <v>90</v>
      </c>
      <c r="F990" t="s">
        <v>14</v>
      </c>
      <c r="G990">
        <v>10</v>
      </c>
    </row>
    <row r="991" spans="1:7" x14ac:dyDescent="0.35">
      <c r="A991">
        <v>189616</v>
      </c>
      <c r="B991">
        <v>1</v>
      </c>
      <c r="C991" t="s">
        <v>22</v>
      </c>
      <c r="D991">
        <v>0</v>
      </c>
      <c r="F991" t="s">
        <v>14</v>
      </c>
      <c r="G991">
        <v>35</v>
      </c>
    </row>
    <row r="992" spans="1:7" x14ac:dyDescent="0.35">
      <c r="A992">
        <v>79649</v>
      </c>
      <c r="B992">
        <v>0</v>
      </c>
      <c r="C992" t="s">
        <v>35</v>
      </c>
      <c r="D992">
        <v>0</v>
      </c>
      <c r="E992" t="s">
        <v>90</v>
      </c>
      <c r="F992" t="s">
        <v>17</v>
      </c>
      <c r="G992">
        <v>15</v>
      </c>
    </row>
    <row r="993" spans="1:7" x14ac:dyDescent="0.35">
      <c r="A993">
        <v>138999</v>
      </c>
      <c r="B993">
        <v>28</v>
      </c>
      <c r="C993" t="s">
        <v>55</v>
      </c>
      <c r="D993">
        <v>1603</v>
      </c>
      <c r="E993" t="s">
        <v>104</v>
      </c>
      <c r="F993" t="s">
        <v>17</v>
      </c>
      <c r="G993">
        <v>10</v>
      </c>
    </row>
    <row r="994" spans="1:7" x14ac:dyDescent="0.35">
      <c r="A994">
        <v>8232</v>
      </c>
      <c r="B994">
        <v>0</v>
      </c>
      <c r="C994" t="s">
        <v>36</v>
      </c>
      <c r="D994">
        <v>3702</v>
      </c>
      <c r="E994" t="s">
        <v>91</v>
      </c>
      <c r="F994" t="s">
        <v>17</v>
      </c>
      <c r="G994">
        <v>10</v>
      </c>
    </row>
    <row r="995" spans="1:7" x14ac:dyDescent="0.35">
      <c r="A995">
        <v>43020</v>
      </c>
      <c r="B995">
        <v>2</v>
      </c>
      <c r="C995" t="s">
        <v>13</v>
      </c>
      <c r="D995">
        <v>0</v>
      </c>
      <c r="E995" t="s">
        <v>88</v>
      </c>
      <c r="F995" t="s">
        <v>17</v>
      </c>
      <c r="G995">
        <v>15</v>
      </c>
    </row>
    <row r="996" spans="1:7" x14ac:dyDescent="0.35">
      <c r="A996">
        <v>118862</v>
      </c>
      <c r="B996">
        <v>1</v>
      </c>
      <c r="C996" t="s">
        <v>21</v>
      </c>
      <c r="D996">
        <v>4208</v>
      </c>
      <c r="E996" t="s">
        <v>93</v>
      </c>
      <c r="F996" t="s">
        <v>14</v>
      </c>
      <c r="G996">
        <v>12</v>
      </c>
    </row>
    <row r="997" spans="1:7" x14ac:dyDescent="0.35">
      <c r="A997">
        <v>30104</v>
      </c>
      <c r="B997">
        <v>1</v>
      </c>
      <c r="C997" t="s">
        <v>39</v>
      </c>
      <c r="D997">
        <v>5201</v>
      </c>
      <c r="E997" t="s">
        <v>91</v>
      </c>
      <c r="F997" t="s">
        <v>14</v>
      </c>
      <c r="G997">
        <v>15</v>
      </c>
    </row>
    <row r="998" spans="1:7" x14ac:dyDescent="0.35">
      <c r="A998">
        <v>154614</v>
      </c>
      <c r="B998">
        <v>0</v>
      </c>
      <c r="C998" t="s">
        <v>22</v>
      </c>
      <c r="D998">
        <v>0</v>
      </c>
      <c r="E998" t="s">
        <v>94</v>
      </c>
      <c r="F998" t="s">
        <v>17</v>
      </c>
      <c r="G998">
        <v>20</v>
      </c>
    </row>
    <row r="999" spans="1:7" x14ac:dyDescent="0.35">
      <c r="A999">
        <v>57151</v>
      </c>
      <c r="B999">
        <v>0</v>
      </c>
      <c r="C999" t="s">
        <v>57</v>
      </c>
      <c r="D999">
        <v>3601</v>
      </c>
      <c r="E999" t="s">
        <v>100</v>
      </c>
      <c r="F999" t="s">
        <v>17</v>
      </c>
      <c r="G999">
        <v>26</v>
      </c>
    </row>
    <row r="1000" spans="1:7" x14ac:dyDescent="0.35">
      <c r="A1000">
        <v>71425</v>
      </c>
      <c r="B1000">
        <v>1</v>
      </c>
      <c r="C1000" t="s">
        <v>29</v>
      </c>
      <c r="D1000">
        <v>4401</v>
      </c>
      <c r="E1000" t="s">
        <v>89</v>
      </c>
      <c r="F1000" t="s">
        <v>14</v>
      </c>
      <c r="G1000">
        <v>7</v>
      </c>
    </row>
    <row r="1001" spans="1:7" x14ac:dyDescent="0.35">
      <c r="A1001">
        <v>190579</v>
      </c>
      <c r="B1001">
        <v>1</v>
      </c>
      <c r="C1001" t="s">
        <v>22</v>
      </c>
      <c r="D1001">
        <v>0</v>
      </c>
      <c r="E1001" t="s">
        <v>95</v>
      </c>
      <c r="F1001" t="s">
        <v>14</v>
      </c>
      <c r="G1001">
        <v>4</v>
      </c>
    </row>
    <row r="1002" spans="1:7" x14ac:dyDescent="0.35">
      <c r="A1002">
        <v>42997</v>
      </c>
      <c r="B1002">
        <v>2</v>
      </c>
      <c r="C1002" t="s">
        <v>13</v>
      </c>
      <c r="D1002">
        <v>1808</v>
      </c>
      <c r="E1002" t="s">
        <v>92</v>
      </c>
      <c r="F1002" t="s">
        <v>17</v>
      </c>
      <c r="G1002">
        <v>7</v>
      </c>
    </row>
    <row r="1003" spans="1:7" x14ac:dyDescent="0.35">
      <c r="A1003">
        <v>132896</v>
      </c>
      <c r="B1003">
        <v>2</v>
      </c>
      <c r="C1003" t="s">
        <v>50</v>
      </c>
      <c r="D1003">
        <v>4410</v>
      </c>
      <c r="E1003" t="s">
        <v>94</v>
      </c>
      <c r="F1003" t="s">
        <v>17</v>
      </c>
      <c r="G1003">
        <v>25</v>
      </c>
    </row>
    <row r="1004" spans="1:7" x14ac:dyDescent="0.35">
      <c r="A1004">
        <v>120189</v>
      </c>
      <c r="B1004">
        <v>0</v>
      </c>
      <c r="C1004" t="s">
        <v>21</v>
      </c>
      <c r="D1004">
        <v>0</v>
      </c>
      <c r="E1004" t="s">
        <v>89</v>
      </c>
      <c r="F1004" t="s">
        <v>14</v>
      </c>
      <c r="G1004">
        <v>25</v>
      </c>
    </row>
    <row r="1005" spans="1:7" x14ac:dyDescent="0.35">
      <c r="A1005">
        <v>138829</v>
      </c>
      <c r="B1005">
        <v>28</v>
      </c>
      <c r="C1005" t="s">
        <v>55</v>
      </c>
      <c r="D1005">
        <v>3601</v>
      </c>
      <c r="E1005" t="s">
        <v>89</v>
      </c>
      <c r="F1005" t="s">
        <v>17</v>
      </c>
      <c r="G1005">
        <v>25</v>
      </c>
    </row>
    <row r="1006" spans="1:7" x14ac:dyDescent="0.35">
      <c r="A1006">
        <v>167462</v>
      </c>
      <c r="B1006">
        <v>0</v>
      </c>
      <c r="C1006" t="s">
        <v>22</v>
      </c>
      <c r="D1006">
        <v>3601</v>
      </c>
      <c r="E1006" t="s">
        <v>93</v>
      </c>
      <c r="F1006" t="s">
        <v>14</v>
      </c>
      <c r="G1006">
        <v>15</v>
      </c>
    </row>
    <row r="1007" spans="1:7" x14ac:dyDescent="0.35">
      <c r="A1007">
        <v>160401</v>
      </c>
      <c r="B1007">
        <v>28</v>
      </c>
      <c r="C1007" t="s">
        <v>22</v>
      </c>
      <c r="D1007">
        <v>3101</v>
      </c>
      <c r="E1007" t="s">
        <v>89</v>
      </c>
      <c r="F1007" t="s">
        <v>17</v>
      </c>
      <c r="G1007">
        <v>13</v>
      </c>
    </row>
    <row r="1008" spans="1:7" x14ac:dyDescent="0.35">
      <c r="A1008">
        <v>174934</v>
      </c>
      <c r="B1008">
        <v>28</v>
      </c>
      <c r="C1008" t="s">
        <v>50</v>
      </c>
      <c r="D1008">
        <v>0</v>
      </c>
      <c r="E1008" t="s">
        <v>90</v>
      </c>
      <c r="F1008" t="s">
        <v>17</v>
      </c>
      <c r="G1008">
        <v>5</v>
      </c>
    </row>
    <row r="1009" spans="1:7" x14ac:dyDescent="0.35">
      <c r="A1009">
        <v>2020</v>
      </c>
      <c r="B1009">
        <v>2</v>
      </c>
      <c r="C1009" t="s">
        <v>22</v>
      </c>
      <c r="D1009">
        <v>2401</v>
      </c>
      <c r="E1009" t="s">
        <v>93</v>
      </c>
      <c r="F1009" t="s">
        <v>17</v>
      </c>
      <c r="G1009">
        <v>7</v>
      </c>
    </row>
    <row r="1010" spans="1:7" x14ac:dyDescent="0.35">
      <c r="A1010">
        <v>74235</v>
      </c>
      <c r="B1010">
        <v>4</v>
      </c>
      <c r="C1010" t="s">
        <v>29</v>
      </c>
      <c r="D1010">
        <v>4912</v>
      </c>
      <c r="E1010" t="s">
        <v>89</v>
      </c>
      <c r="F1010" t="s">
        <v>14</v>
      </c>
      <c r="G1010">
        <v>26</v>
      </c>
    </row>
    <row r="1011" spans="1:7" x14ac:dyDescent="0.35">
      <c r="A1011">
        <v>167039</v>
      </c>
      <c r="B1011">
        <v>0</v>
      </c>
      <c r="C1011" t="s">
        <v>22</v>
      </c>
      <c r="D1011">
        <v>0</v>
      </c>
      <c r="E1011" t="s">
        <v>93</v>
      </c>
      <c r="G1011">
        <v>5</v>
      </c>
    </row>
    <row r="1012" spans="1:7" x14ac:dyDescent="0.35">
      <c r="A1012">
        <v>165509</v>
      </c>
      <c r="B1012">
        <v>0</v>
      </c>
      <c r="C1012" t="s">
        <v>22</v>
      </c>
      <c r="D1012">
        <v>0</v>
      </c>
      <c r="E1012" t="s">
        <v>92</v>
      </c>
      <c r="F1012" t="s">
        <v>14</v>
      </c>
      <c r="G1012">
        <v>10</v>
      </c>
    </row>
    <row r="1013" spans="1:7" x14ac:dyDescent="0.35">
      <c r="A1013">
        <v>151653</v>
      </c>
      <c r="B1013">
        <v>0</v>
      </c>
      <c r="C1013" t="s">
        <v>22</v>
      </c>
      <c r="D1013">
        <v>2401</v>
      </c>
      <c r="E1013" t="s">
        <v>101</v>
      </c>
      <c r="G1013">
        <v>10</v>
      </c>
    </row>
    <row r="1014" spans="1:7" x14ac:dyDescent="0.35">
      <c r="A1014">
        <v>100132</v>
      </c>
      <c r="B1014">
        <v>0</v>
      </c>
      <c r="C1014" t="s">
        <v>36</v>
      </c>
      <c r="D1014">
        <v>2401</v>
      </c>
      <c r="E1014" t="s">
        <v>90</v>
      </c>
      <c r="F1014" t="s">
        <v>17</v>
      </c>
      <c r="G1014">
        <v>15</v>
      </c>
    </row>
    <row r="1015" spans="1:7" x14ac:dyDescent="0.35">
      <c r="A1015">
        <v>161726</v>
      </c>
      <c r="B1015">
        <v>0</v>
      </c>
      <c r="C1015" t="s">
        <v>22</v>
      </c>
      <c r="D1015">
        <v>4601</v>
      </c>
      <c r="E1015" t="s">
        <v>94</v>
      </c>
      <c r="F1015" t="s">
        <v>17</v>
      </c>
      <c r="G1015">
        <v>7</v>
      </c>
    </row>
    <row r="1016" spans="1:7" x14ac:dyDescent="0.35">
      <c r="A1016">
        <v>125986</v>
      </c>
      <c r="B1016">
        <v>0</v>
      </c>
      <c r="C1016" t="s">
        <v>21</v>
      </c>
      <c r="D1016">
        <v>4610</v>
      </c>
      <c r="E1016" t="s">
        <v>89</v>
      </c>
      <c r="F1016" t="s">
        <v>14</v>
      </c>
      <c r="G1016">
        <v>17</v>
      </c>
    </row>
    <row r="1017" spans="1:7" x14ac:dyDescent="0.35">
      <c r="A1017">
        <v>185394</v>
      </c>
      <c r="B1017">
        <v>2</v>
      </c>
      <c r="C1017" t="s">
        <v>29</v>
      </c>
      <c r="D1017">
        <v>2702</v>
      </c>
      <c r="E1017" t="s">
        <v>90</v>
      </c>
      <c r="F1017" t="s">
        <v>17</v>
      </c>
      <c r="G1017">
        <v>5</v>
      </c>
    </row>
    <row r="1018" spans="1:7" x14ac:dyDescent="0.35">
      <c r="A1018">
        <v>43799</v>
      </c>
      <c r="B1018">
        <v>2</v>
      </c>
      <c r="C1018" t="s">
        <v>13</v>
      </c>
      <c r="D1018">
        <v>5801</v>
      </c>
      <c r="E1018" t="s">
        <v>89</v>
      </c>
      <c r="F1018" t="s">
        <v>17</v>
      </c>
      <c r="G1018">
        <v>20</v>
      </c>
    </row>
    <row r="1019" spans="1:7" x14ac:dyDescent="0.35">
      <c r="A1019">
        <v>185464</v>
      </c>
      <c r="B1019">
        <v>1</v>
      </c>
      <c r="C1019" t="s">
        <v>57</v>
      </c>
      <c r="D1019">
        <v>3910</v>
      </c>
      <c r="E1019" t="s">
        <v>89</v>
      </c>
      <c r="F1019" t="s">
        <v>14</v>
      </c>
      <c r="G1019">
        <v>15</v>
      </c>
    </row>
    <row r="1020" spans="1:7" x14ac:dyDescent="0.35">
      <c r="A1020">
        <v>125325</v>
      </c>
      <c r="B1020">
        <v>13</v>
      </c>
      <c r="C1020" t="s">
        <v>21</v>
      </c>
      <c r="D1020">
        <v>1709</v>
      </c>
      <c r="E1020" t="s">
        <v>93</v>
      </c>
      <c r="F1020" t="s">
        <v>14</v>
      </c>
      <c r="G1020">
        <v>20</v>
      </c>
    </row>
    <row r="1021" spans="1:7" x14ac:dyDescent="0.35">
      <c r="A1021">
        <v>112679</v>
      </c>
      <c r="B1021">
        <v>1</v>
      </c>
      <c r="C1021" t="s">
        <v>31</v>
      </c>
      <c r="D1021">
        <v>4801</v>
      </c>
      <c r="E1021" t="s">
        <v>93</v>
      </c>
      <c r="F1021" t="s">
        <v>14</v>
      </c>
      <c r="G1021">
        <v>20</v>
      </c>
    </row>
    <row r="1022" spans="1:7" x14ac:dyDescent="0.35">
      <c r="A1022">
        <v>2415</v>
      </c>
      <c r="B1022">
        <v>28</v>
      </c>
      <c r="C1022" t="s">
        <v>22</v>
      </c>
      <c r="D1022">
        <v>5501</v>
      </c>
      <c r="E1022" t="s">
        <v>93</v>
      </c>
      <c r="F1022" t="s">
        <v>17</v>
      </c>
      <c r="G1022">
        <v>25</v>
      </c>
    </row>
    <row r="1023" spans="1:7" x14ac:dyDescent="0.35">
      <c r="A1023">
        <v>166866</v>
      </c>
      <c r="B1023">
        <v>0</v>
      </c>
      <c r="C1023" t="s">
        <v>22</v>
      </c>
      <c r="D1023">
        <v>0</v>
      </c>
      <c r="E1023" t="s">
        <v>93</v>
      </c>
      <c r="F1023" t="s">
        <v>17</v>
      </c>
      <c r="G1023" t="s">
        <v>106</v>
      </c>
    </row>
    <row r="1024" spans="1:7" x14ac:dyDescent="0.35">
      <c r="A1024">
        <v>4211</v>
      </c>
      <c r="B1024">
        <v>2</v>
      </c>
      <c r="C1024" t="s">
        <v>21</v>
      </c>
      <c r="D1024">
        <v>402</v>
      </c>
      <c r="E1024" t="s">
        <v>92</v>
      </c>
      <c r="F1024" t="s">
        <v>17</v>
      </c>
      <c r="G1024">
        <v>25</v>
      </c>
    </row>
    <row r="1025" spans="1:7" x14ac:dyDescent="0.35">
      <c r="A1025">
        <v>182395</v>
      </c>
      <c r="B1025">
        <v>28</v>
      </c>
      <c r="C1025" t="s">
        <v>40</v>
      </c>
      <c r="D1025">
        <v>2601</v>
      </c>
      <c r="E1025" t="s">
        <v>88</v>
      </c>
      <c r="F1025" t="s">
        <v>17</v>
      </c>
      <c r="G1025">
        <v>10</v>
      </c>
    </row>
    <row r="1026" spans="1:7" x14ac:dyDescent="0.35">
      <c r="A1026">
        <v>188178</v>
      </c>
      <c r="B1026">
        <v>28</v>
      </c>
      <c r="C1026" t="s">
        <v>24</v>
      </c>
      <c r="D1026">
        <v>0</v>
      </c>
      <c r="E1026" t="s">
        <v>90</v>
      </c>
      <c r="F1026" t="s">
        <v>17</v>
      </c>
      <c r="G1026">
        <v>8</v>
      </c>
    </row>
    <row r="1027" spans="1:7" x14ac:dyDescent="0.35">
      <c r="A1027">
        <v>147835</v>
      </c>
      <c r="B1027">
        <v>0</v>
      </c>
      <c r="C1027" t="s">
        <v>22</v>
      </c>
      <c r="D1027">
        <v>0</v>
      </c>
      <c r="E1027" t="s">
        <v>92</v>
      </c>
      <c r="F1027" t="s">
        <v>17</v>
      </c>
      <c r="G1027">
        <v>20</v>
      </c>
    </row>
    <row r="1028" spans="1:7" x14ac:dyDescent="0.35">
      <c r="A1028">
        <v>5532</v>
      </c>
      <c r="B1028">
        <v>0</v>
      </c>
      <c r="C1028" t="s">
        <v>69</v>
      </c>
      <c r="D1028">
        <v>2104</v>
      </c>
      <c r="E1028" t="s">
        <v>89</v>
      </c>
      <c r="F1028" t="s">
        <v>14</v>
      </c>
      <c r="G1028">
        <v>15</v>
      </c>
    </row>
    <row r="1029" spans="1:7" x14ac:dyDescent="0.35">
      <c r="A1029">
        <v>128857</v>
      </c>
      <c r="B1029">
        <v>1</v>
      </c>
      <c r="C1029" t="s">
        <v>21</v>
      </c>
      <c r="D1029">
        <v>4801</v>
      </c>
      <c r="E1029" t="s">
        <v>96</v>
      </c>
      <c r="F1029" t="s">
        <v>14</v>
      </c>
      <c r="G1029">
        <v>15</v>
      </c>
    </row>
    <row r="1030" spans="1:7" x14ac:dyDescent="0.35">
      <c r="A1030">
        <v>40058</v>
      </c>
      <c r="B1030">
        <v>2</v>
      </c>
      <c r="C1030" t="s">
        <v>13</v>
      </c>
      <c r="D1030">
        <v>1007</v>
      </c>
      <c r="E1030" t="s">
        <v>88</v>
      </c>
      <c r="F1030" t="s">
        <v>17</v>
      </c>
      <c r="G1030">
        <v>25</v>
      </c>
    </row>
    <row r="1031" spans="1:7" x14ac:dyDescent="0.35">
      <c r="A1031">
        <v>179377</v>
      </c>
      <c r="B1031">
        <v>0</v>
      </c>
      <c r="C1031" t="s">
        <v>40</v>
      </c>
      <c r="D1031">
        <v>0</v>
      </c>
      <c r="G1031">
        <v>10</v>
      </c>
    </row>
    <row r="1032" spans="1:7" x14ac:dyDescent="0.35">
      <c r="A1032">
        <v>166207</v>
      </c>
      <c r="B1032">
        <v>1</v>
      </c>
      <c r="C1032" t="s">
        <v>22</v>
      </c>
      <c r="D1032">
        <v>0</v>
      </c>
      <c r="E1032" t="s">
        <v>103</v>
      </c>
      <c r="F1032" t="s">
        <v>14</v>
      </c>
      <c r="G1032">
        <v>9</v>
      </c>
    </row>
    <row r="1033" spans="1:7" x14ac:dyDescent="0.35">
      <c r="A1033">
        <v>124227</v>
      </c>
      <c r="B1033">
        <v>0</v>
      </c>
      <c r="C1033" t="s">
        <v>21</v>
      </c>
      <c r="D1033">
        <v>0</v>
      </c>
      <c r="E1033" t="s">
        <v>96</v>
      </c>
      <c r="F1033" t="s">
        <v>30</v>
      </c>
      <c r="G1033">
        <v>25</v>
      </c>
    </row>
    <row r="1034" spans="1:7" x14ac:dyDescent="0.35">
      <c r="A1034">
        <v>7173</v>
      </c>
      <c r="B1034">
        <v>2</v>
      </c>
      <c r="C1034" t="s">
        <v>53</v>
      </c>
      <c r="D1034">
        <v>3008</v>
      </c>
      <c r="E1034" t="s">
        <v>93</v>
      </c>
      <c r="F1034" t="s">
        <v>17</v>
      </c>
      <c r="G1034">
        <v>32</v>
      </c>
    </row>
    <row r="1035" spans="1:7" x14ac:dyDescent="0.35">
      <c r="A1035">
        <v>85152</v>
      </c>
      <c r="B1035">
        <v>2</v>
      </c>
      <c r="C1035" t="s">
        <v>56</v>
      </c>
      <c r="D1035">
        <v>0</v>
      </c>
      <c r="E1035" t="s">
        <v>98</v>
      </c>
      <c r="F1035" t="s">
        <v>14</v>
      </c>
      <c r="G1035">
        <v>10</v>
      </c>
    </row>
    <row r="1036" spans="1:7" x14ac:dyDescent="0.35">
      <c r="A1036">
        <v>32807</v>
      </c>
      <c r="B1036">
        <v>1002</v>
      </c>
      <c r="C1036" t="s">
        <v>13</v>
      </c>
      <c r="D1036">
        <v>3301</v>
      </c>
      <c r="E1036" t="s">
        <v>90</v>
      </c>
      <c r="F1036" t="s">
        <v>14</v>
      </c>
      <c r="G1036">
        <v>5</v>
      </c>
    </row>
    <row r="1037" spans="1:7" x14ac:dyDescent="0.35">
      <c r="A1037">
        <v>268</v>
      </c>
      <c r="B1037">
        <v>0</v>
      </c>
      <c r="C1037" t="s">
        <v>13</v>
      </c>
      <c r="D1037">
        <v>607</v>
      </c>
      <c r="E1037" t="s">
        <v>92</v>
      </c>
      <c r="F1037" t="s">
        <v>17</v>
      </c>
      <c r="G1037">
        <v>33</v>
      </c>
    </row>
    <row r="1038" spans="1:7" x14ac:dyDescent="0.35">
      <c r="A1038">
        <v>109514</v>
      </c>
      <c r="B1038">
        <v>0</v>
      </c>
      <c r="C1038" t="s">
        <v>49</v>
      </c>
      <c r="D1038">
        <v>3601</v>
      </c>
      <c r="E1038" t="s">
        <v>89</v>
      </c>
      <c r="F1038" t="s">
        <v>14</v>
      </c>
      <c r="G1038">
        <v>6</v>
      </c>
    </row>
    <row r="1039" spans="1:7" x14ac:dyDescent="0.35">
      <c r="A1039">
        <v>181644</v>
      </c>
      <c r="B1039">
        <v>0</v>
      </c>
      <c r="C1039" t="s">
        <v>40</v>
      </c>
      <c r="D1039">
        <v>5707</v>
      </c>
      <c r="E1039" t="s">
        <v>96</v>
      </c>
      <c r="F1039" t="s">
        <v>17</v>
      </c>
      <c r="G1039">
        <v>12</v>
      </c>
    </row>
    <row r="1040" spans="1:7" x14ac:dyDescent="0.35">
      <c r="A1040">
        <v>62585</v>
      </c>
      <c r="B1040">
        <v>0</v>
      </c>
      <c r="C1040" t="s">
        <v>18</v>
      </c>
      <c r="D1040">
        <v>5001</v>
      </c>
      <c r="E1040" t="s">
        <v>96</v>
      </c>
      <c r="F1040" t="s">
        <v>17</v>
      </c>
      <c r="G1040">
        <v>25</v>
      </c>
    </row>
    <row r="1041" spans="1:7" x14ac:dyDescent="0.35">
      <c r="A1041">
        <v>163354</v>
      </c>
      <c r="B1041">
        <v>0</v>
      </c>
      <c r="C1041" t="s">
        <v>22</v>
      </c>
      <c r="D1041">
        <v>604</v>
      </c>
      <c r="E1041" t="s">
        <v>95</v>
      </c>
      <c r="F1041" t="s">
        <v>17</v>
      </c>
      <c r="G1041">
        <v>10</v>
      </c>
    </row>
    <row r="1042" spans="1:7" x14ac:dyDescent="0.35">
      <c r="A1042">
        <v>98672</v>
      </c>
      <c r="B1042">
        <v>0</v>
      </c>
      <c r="C1042" t="s">
        <v>16</v>
      </c>
      <c r="D1042">
        <v>6506</v>
      </c>
      <c r="E1042" t="s">
        <v>96</v>
      </c>
      <c r="F1042" t="s">
        <v>14</v>
      </c>
      <c r="G1042">
        <v>5</v>
      </c>
    </row>
    <row r="1043" spans="1:7" x14ac:dyDescent="0.35">
      <c r="A1043">
        <v>190614</v>
      </c>
      <c r="B1043">
        <v>0</v>
      </c>
      <c r="C1043" t="s">
        <v>48</v>
      </c>
      <c r="D1043">
        <v>0</v>
      </c>
      <c r="E1043" t="s">
        <v>93</v>
      </c>
      <c r="F1043" t="s">
        <v>17</v>
      </c>
      <c r="G1043">
        <v>3</v>
      </c>
    </row>
    <row r="1044" spans="1:7" x14ac:dyDescent="0.35">
      <c r="A1044">
        <v>155607</v>
      </c>
      <c r="B1044">
        <v>0</v>
      </c>
      <c r="C1044" t="s">
        <v>22</v>
      </c>
      <c r="D1044">
        <v>5401</v>
      </c>
      <c r="E1044" t="s">
        <v>93</v>
      </c>
      <c r="F1044" t="s">
        <v>17</v>
      </c>
      <c r="G1044">
        <v>38</v>
      </c>
    </row>
    <row r="1045" spans="1:7" x14ac:dyDescent="0.35">
      <c r="A1045">
        <v>161804</v>
      </c>
      <c r="B1045">
        <v>1</v>
      </c>
      <c r="C1045" t="s">
        <v>22</v>
      </c>
      <c r="D1045">
        <v>3906</v>
      </c>
      <c r="E1045" t="s">
        <v>91</v>
      </c>
      <c r="F1045" t="s">
        <v>14</v>
      </c>
      <c r="G1045">
        <v>5</v>
      </c>
    </row>
    <row r="1046" spans="1:7" x14ac:dyDescent="0.35">
      <c r="A1046">
        <v>11348</v>
      </c>
      <c r="B1046">
        <v>0</v>
      </c>
      <c r="C1046" t="s">
        <v>13</v>
      </c>
      <c r="D1046">
        <v>0</v>
      </c>
      <c r="E1046" t="s">
        <v>88</v>
      </c>
      <c r="F1046" t="s">
        <v>14</v>
      </c>
      <c r="G1046">
        <v>5</v>
      </c>
    </row>
    <row r="1047" spans="1:7" x14ac:dyDescent="0.35">
      <c r="A1047">
        <v>111380</v>
      </c>
      <c r="B1047">
        <v>1</v>
      </c>
      <c r="C1047" t="s">
        <v>32</v>
      </c>
      <c r="D1047">
        <v>2801</v>
      </c>
      <c r="E1047" t="s">
        <v>98</v>
      </c>
      <c r="F1047" t="s">
        <v>14</v>
      </c>
      <c r="G1047">
        <v>10</v>
      </c>
    </row>
    <row r="1048" spans="1:7" x14ac:dyDescent="0.35">
      <c r="A1048">
        <v>86578</v>
      </c>
      <c r="B1048">
        <v>2</v>
      </c>
      <c r="C1048" t="s">
        <v>45</v>
      </c>
      <c r="D1048">
        <v>1201</v>
      </c>
      <c r="E1048" t="s">
        <v>98</v>
      </c>
      <c r="F1048" t="s">
        <v>14</v>
      </c>
      <c r="G1048">
        <v>15</v>
      </c>
    </row>
    <row r="1049" spans="1:7" x14ac:dyDescent="0.35">
      <c r="A1049">
        <v>157904</v>
      </c>
      <c r="B1049">
        <v>0</v>
      </c>
      <c r="C1049" t="s">
        <v>22</v>
      </c>
      <c r="D1049">
        <v>4401</v>
      </c>
      <c r="E1049" t="s">
        <v>93</v>
      </c>
      <c r="F1049" t="s">
        <v>17</v>
      </c>
      <c r="G1049">
        <v>6</v>
      </c>
    </row>
    <row r="1050" spans="1:7" x14ac:dyDescent="0.35">
      <c r="A1050">
        <v>140924</v>
      </c>
      <c r="B1050">
        <v>1002</v>
      </c>
      <c r="C1050" t="s">
        <v>24</v>
      </c>
      <c r="D1050">
        <v>0</v>
      </c>
      <c r="E1050" t="s">
        <v>90</v>
      </c>
      <c r="F1050" t="s">
        <v>14</v>
      </c>
      <c r="G1050">
        <v>7</v>
      </c>
    </row>
    <row r="1051" spans="1:7" x14ac:dyDescent="0.35">
      <c r="A1051">
        <v>32972</v>
      </c>
      <c r="B1051">
        <v>0</v>
      </c>
      <c r="C1051" t="s">
        <v>13</v>
      </c>
      <c r="D1051">
        <v>5511</v>
      </c>
      <c r="E1051" t="s">
        <v>90</v>
      </c>
      <c r="F1051" t="s">
        <v>17</v>
      </c>
      <c r="G1051">
        <v>12</v>
      </c>
    </row>
    <row r="1052" spans="1:7" x14ac:dyDescent="0.35">
      <c r="A1052">
        <v>149541</v>
      </c>
      <c r="B1052">
        <v>2</v>
      </c>
      <c r="C1052" t="s">
        <v>22</v>
      </c>
      <c r="D1052">
        <v>3601</v>
      </c>
      <c r="E1052" t="s">
        <v>90</v>
      </c>
      <c r="F1052" t="s">
        <v>17</v>
      </c>
      <c r="G1052">
        <v>10</v>
      </c>
    </row>
    <row r="1053" spans="1:7" x14ac:dyDescent="0.35">
      <c r="A1053">
        <v>182604</v>
      </c>
      <c r="B1053">
        <v>0</v>
      </c>
      <c r="C1053" t="s">
        <v>40</v>
      </c>
      <c r="D1053">
        <v>2801</v>
      </c>
      <c r="E1053" t="s">
        <v>89</v>
      </c>
      <c r="F1053" t="s">
        <v>17</v>
      </c>
      <c r="G1053">
        <v>15</v>
      </c>
    </row>
    <row r="1054" spans="1:7" x14ac:dyDescent="0.35">
      <c r="A1054">
        <v>103876</v>
      </c>
      <c r="B1054">
        <v>28</v>
      </c>
      <c r="C1054" t="s">
        <v>36</v>
      </c>
      <c r="D1054">
        <v>3001</v>
      </c>
      <c r="E1054" t="s">
        <v>88</v>
      </c>
      <c r="F1054" t="s">
        <v>17</v>
      </c>
      <c r="G1054">
        <v>20</v>
      </c>
    </row>
    <row r="1055" spans="1:7" x14ac:dyDescent="0.35">
      <c r="A1055">
        <v>65999</v>
      </c>
      <c r="B1055">
        <v>2</v>
      </c>
      <c r="C1055" t="s">
        <v>29</v>
      </c>
      <c r="D1055">
        <v>1909</v>
      </c>
      <c r="E1055" t="s">
        <v>92</v>
      </c>
      <c r="F1055" t="s">
        <v>14</v>
      </c>
      <c r="G1055">
        <v>25</v>
      </c>
    </row>
    <row r="1056" spans="1:7" x14ac:dyDescent="0.35">
      <c r="A1056">
        <v>104394</v>
      </c>
      <c r="B1056">
        <v>28</v>
      </c>
      <c r="C1056" t="s">
        <v>28</v>
      </c>
      <c r="D1056">
        <v>3501</v>
      </c>
      <c r="E1056" t="s">
        <v>92</v>
      </c>
      <c r="F1056" t="s">
        <v>17</v>
      </c>
      <c r="G1056">
        <v>10</v>
      </c>
    </row>
    <row r="1057" spans="1:7" x14ac:dyDescent="0.35">
      <c r="A1057">
        <v>117524</v>
      </c>
      <c r="B1057">
        <v>28</v>
      </c>
      <c r="C1057" t="s">
        <v>53</v>
      </c>
      <c r="D1057">
        <v>4402</v>
      </c>
      <c r="E1057" t="s">
        <v>93</v>
      </c>
      <c r="F1057" t="s">
        <v>17</v>
      </c>
      <c r="G1057">
        <v>25</v>
      </c>
    </row>
    <row r="1058" spans="1:7" x14ac:dyDescent="0.35">
      <c r="A1058">
        <v>147904</v>
      </c>
      <c r="B1058">
        <v>0</v>
      </c>
      <c r="C1058" t="s">
        <v>22</v>
      </c>
      <c r="D1058">
        <v>1501</v>
      </c>
      <c r="E1058" t="s">
        <v>93</v>
      </c>
      <c r="F1058" t="s">
        <v>17</v>
      </c>
      <c r="G1058">
        <v>50</v>
      </c>
    </row>
    <row r="1059" spans="1:7" x14ac:dyDescent="0.35">
      <c r="A1059">
        <v>105815</v>
      </c>
      <c r="B1059">
        <v>1002</v>
      </c>
      <c r="C1059" t="s">
        <v>28</v>
      </c>
      <c r="D1059">
        <v>5001</v>
      </c>
      <c r="E1059" t="s">
        <v>96</v>
      </c>
      <c r="F1059" t="s">
        <v>14</v>
      </c>
      <c r="G1059">
        <v>20</v>
      </c>
    </row>
    <row r="1060" spans="1:7" x14ac:dyDescent="0.35">
      <c r="A1060">
        <v>31778</v>
      </c>
      <c r="B1060">
        <v>1</v>
      </c>
      <c r="C1060" t="s">
        <v>13</v>
      </c>
      <c r="D1060">
        <v>4308</v>
      </c>
      <c r="E1060" t="s">
        <v>94</v>
      </c>
      <c r="F1060" t="s">
        <v>14</v>
      </c>
      <c r="G1060">
        <v>25</v>
      </c>
    </row>
    <row r="1061" spans="1:7" x14ac:dyDescent="0.35">
      <c r="A1061">
        <v>112084</v>
      </c>
      <c r="B1061">
        <v>1</v>
      </c>
      <c r="C1061" t="s">
        <v>32</v>
      </c>
      <c r="D1061">
        <v>2410</v>
      </c>
      <c r="E1061" t="s">
        <v>91</v>
      </c>
      <c r="F1061" t="s">
        <v>14</v>
      </c>
      <c r="G1061">
        <v>14</v>
      </c>
    </row>
    <row r="1062" spans="1:7" x14ac:dyDescent="0.35">
      <c r="A1062">
        <v>58850</v>
      </c>
      <c r="B1062">
        <v>1</v>
      </c>
      <c r="C1062" t="s">
        <v>57</v>
      </c>
      <c r="D1062">
        <v>2201</v>
      </c>
      <c r="E1062" t="s">
        <v>89</v>
      </c>
      <c r="F1062" t="s">
        <v>14</v>
      </c>
      <c r="G1062">
        <v>6</v>
      </c>
    </row>
    <row r="1063" spans="1:7" x14ac:dyDescent="0.35">
      <c r="A1063">
        <v>185901</v>
      </c>
      <c r="B1063">
        <v>2</v>
      </c>
      <c r="C1063" t="s">
        <v>21</v>
      </c>
      <c r="D1063">
        <v>801</v>
      </c>
      <c r="F1063" t="s">
        <v>14</v>
      </c>
      <c r="G1063">
        <v>10</v>
      </c>
    </row>
    <row r="1064" spans="1:7" x14ac:dyDescent="0.35">
      <c r="A1064">
        <v>134566</v>
      </c>
      <c r="B1064">
        <v>0</v>
      </c>
      <c r="C1064" t="s">
        <v>38</v>
      </c>
      <c r="D1064">
        <v>0</v>
      </c>
      <c r="E1064" t="s">
        <v>90</v>
      </c>
      <c r="F1064" t="s">
        <v>17</v>
      </c>
      <c r="G1064">
        <v>10</v>
      </c>
    </row>
    <row r="1065" spans="1:7" x14ac:dyDescent="0.35">
      <c r="A1065">
        <v>185819</v>
      </c>
      <c r="B1065">
        <v>2</v>
      </c>
      <c r="C1065" t="s">
        <v>22</v>
      </c>
      <c r="D1065">
        <v>1601</v>
      </c>
      <c r="E1065" t="s">
        <v>93</v>
      </c>
      <c r="F1065" t="s">
        <v>14</v>
      </c>
      <c r="G1065">
        <v>13</v>
      </c>
    </row>
    <row r="1066" spans="1:7" x14ac:dyDescent="0.35">
      <c r="A1066">
        <v>3985</v>
      </c>
      <c r="B1066">
        <v>0</v>
      </c>
      <c r="C1066" t="s">
        <v>21</v>
      </c>
      <c r="D1066">
        <v>2612</v>
      </c>
      <c r="E1066" t="s">
        <v>98</v>
      </c>
      <c r="F1066" t="s">
        <v>17</v>
      </c>
      <c r="G1066">
        <v>12</v>
      </c>
    </row>
    <row r="1067" spans="1:7" x14ac:dyDescent="0.35">
      <c r="A1067">
        <v>23321</v>
      </c>
      <c r="B1067">
        <v>0</v>
      </c>
      <c r="C1067" t="s">
        <v>46</v>
      </c>
      <c r="D1067">
        <v>3011</v>
      </c>
      <c r="E1067" t="s">
        <v>94</v>
      </c>
      <c r="F1067" t="s">
        <v>17</v>
      </c>
      <c r="G1067">
        <v>10</v>
      </c>
    </row>
    <row r="1068" spans="1:7" x14ac:dyDescent="0.35">
      <c r="A1068">
        <v>158978</v>
      </c>
      <c r="B1068">
        <v>0</v>
      </c>
      <c r="C1068" t="s">
        <v>22</v>
      </c>
      <c r="D1068">
        <v>5009</v>
      </c>
      <c r="E1068" t="s">
        <v>90</v>
      </c>
      <c r="F1068" t="s">
        <v>14</v>
      </c>
      <c r="G1068">
        <v>15</v>
      </c>
    </row>
    <row r="1069" spans="1:7" x14ac:dyDescent="0.35">
      <c r="A1069">
        <v>14388</v>
      </c>
      <c r="B1069">
        <v>1002</v>
      </c>
      <c r="C1069" t="s">
        <v>13</v>
      </c>
      <c r="D1069">
        <v>6206</v>
      </c>
      <c r="E1069" t="s">
        <v>90</v>
      </c>
      <c r="F1069" t="s">
        <v>14</v>
      </c>
      <c r="G1069">
        <v>10</v>
      </c>
    </row>
    <row r="1070" spans="1:7" x14ac:dyDescent="0.35">
      <c r="A1070">
        <v>12779</v>
      </c>
      <c r="B1070">
        <v>1</v>
      </c>
      <c r="C1070" t="s">
        <v>22</v>
      </c>
      <c r="D1070">
        <v>1407</v>
      </c>
      <c r="E1070" t="s">
        <v>98</v>
      </c>
      <c r="F1070" t="s">
        <v>14</v>
      </c>
      <c r="G1070">
        <v>10</v>
      </c>
    </row>
    <row r="1071" spans="1:7" x14ac:dyDescent="0.35">
      <c r="A1071">
        <v>39667</v>
      </c>
      <c r="B1071">
        <v>0</v>
      </c>
      <c r="C1071" t="s">
        <v>13</v>
      </c>
      <c r="D1071">
        <v>2209</v>
      </c>
      <c r="E1071" t="s">
        <v>90</v>
      </c>
      <c r="F1071" t="s">
        <v>14</v>
      </c>
      <c r="G1071">
        <v>15</v>
      </c>
    </row>
    <row r="1072" spans="1:7" x14ac:dyDescent="0.35">
      <c r="A1072">
        <v>163731</v>
      </c>
      <c r="B1072">
        <v>1</v>
      </c>
      <c r="C1072" t="s">
        <v>22</v>
      </c>
      <c r="D1072">
        <v>5401</v>
      </c>
      <c r="E1072" t="s">
        <v>93</v>
      </c>
      <c r="F1072" t="s">
        <v>14</v>
      </c>
      <c r="G1072">
        <v>11</v>
      </c>
    </row>
    <row r="1073" spans="1:7" x14ac:dyDescent="0.35">
      <c r="A1073">
        <v>156457</v>
      </c>
      <c r="B1073">
        <v>0</v>
      </c>
      <c r="C1073" t="s">
        <v>22</v>
      </c>
      <c r="D1073">
        <v>5308</v>
      </c>
      <c r="E1073" t="s">
        <v>103</v>
      </c>
      <c r="F1073" t="s">
        <v>17</v>
      </c>
      <c r="G1073">
        <v>25</v>
      </c>
    </row>
    <row r="1074" spans="1:7" x14ac:dyDescent="0.35">
      <c r="A1074">
        <v>100369</v>
      </c>
      <c r="B1074">
        <v>2</v>
      </c>
      <c r="C1074" t="s">
        <v>36</v>
      </c>
      <c r="D1074">
        <v>7201</v>
      </c>
      <c r="E1074" t="s">
        <v>90</v>
      </c>
      <c r="F1074" t="s">
        <v>17</v>
      </c>
      <c r="G1074">
        <v>28</v>
      </c>
    </row>
    <row r="1075" spans="1:7" x14ac:dyDescent="0.35">
      <c r="A1075">
        <v>46201</v>
      </c>
      <c r="B1075">
        <v>1</v>
      </c>
      <c r="C1075" t="s">
        <v>13</v>
      </c>
      <c r="D1075">
        <v>3001</v>
      </c>
      <c r="E1075" t="s">
        <v>93</v>
      </c>
      <c r="F1075" t="s">
        <v>14</v>
      </c>
      <c r="G1075">
        <v>15</v>
      </c>
    </row>
    <row r="1076" spans="1:7" x14ac:dyDescent="0.35">
      <c r="A1076">
        <v>118182</v>
      </c>
      <c r="B1076">
        <v>0</v>
      </c>
      <c r="C1076" t="s">
        <v>21</v>
      </c>
      <c r="D1076">
        <v>2301</v>
      </c>
      <c r="E1076" t="s">
        <v>91</v>
      </c>
      <c r="F1076" t="s">
        <v>14</v>
      </c>
      <c r="G1076">
        <v>5</v>
      </c>
    </row>
    <row r="1077" spans="1:7" x14ac:dyDescent="0.35">
      <c r="A1077">
        <v>67</v>
      </c>
      <c r="B1077">
        <v>0</v>
      </c>
      <c r="C1077" t="s">
        <v>54</v>
      </c>
      <c r="D1077">
        <v>1801</v>
      </c>
      <c r="E1077" t="s">
        <v>88</v>
      </c>
      <c r="F1077" t="s">
        <v>17</v>
      </c>
      <c r="G1077">
        <v>5</v>
      </c>
    </row>
    <row r="1078" spans="1:7" x14ac:dyDescent="0.35">
      <c r="A1078">
        <v>116951</v>
      </c>
      <c r="B1078">
        <v>0</v>
      </c>
      <c r="C1078" t="s">
        <v>21</v>
      </c>
      <c r="D1078">
        <v>1404</v>
      </c>
      <c r="E1078" t="s">
        <v>101</v>
      </c>
      <c r="F1078" t="s">
        <v>17</v>
      </c>
      <c r="G1078">
        <v>6</v>
      </c>
    </row>
    <row r="1079" spans="1:7" x14ac:dyDescent="0.35">
      <c r="A1079">
        <v>160032</v>
      </c>
      <c r="B1079">
        <v>0</v>
      </c>
      <c r="C1079" t="s">
        <v>22</v>
      </c>
      <c r="D1079">
        <v>0</v>
      </c>
      <c r="E1079" t="s">
        <v>88</v>
      </c>
      <c r="F1079" t="s">
        <v>17</v>
      </c>
      <c r="G1079">
        <v>25</v>
      </c>
    </row>
    <row r="1080" spans="1:7" x14ac:dyDescent="0.35">
      <c r="A1080">
        <v>60694</v>
      </c>
      <c r="B1080">
        <v>0</v>
      </c>
      <c r="C1080" t="s">
        <v>33</v>
      </c>
      <c r="D1080">
        <v>0</v>
      </c>
      <c r="E1080" t="s">
        <v>100</v>
      </c>
      <c r="F1080" t="s">
        <v>17</v>
      </c>
      <c r="G1080">
        <v>25</v>
      </c>
    </row>
    <row r="1081" spans="1:7" x14ac:dyDescent="0.35">
      <c r="A1081">
        <v>80387</v>
      </c>
      <c r="B1081">
        <v>0</v>
      </c>
      <c r="C1081" t="s">
        <v>35</v>
      </c>
      <c r="D1081">
        <v>1401</v>
      </c>
      <c r="E1081" t="s">
        <v>104</v>
      </c>
      <c r="F1081" t="s">
        <v>17</v>
      </c>
      <c r="G1081">
        <v>5</v>
      </c>
    </row>
    <row r="1082" spans="1:7" x14ac:dyDescent="0.35">
      <c r="A1082">
        <v>158143</v>
      </c>
      <c r="B1082">
        <v>1</v>
      </c>
      <c r="C1082" t="s">
        <v>22</v>
      </c>
      <c r="D1082">
        <v>4007</v>
      </c>
      <c r="E1082" t="s">
        <v>93</v>
      </c>
      <c r="F1082" t="s">
        <v>14</v>
      </c>
      <c r="G1082">
        <v>16</v>
      </c>
    </row>
    <row r="1083" spans="1:7" x14ac:dyDescent="0.35">
      <c r="A1083">
        <v>25277</v>
      </c>
      <c r="B1083">
        <v>1</v>
      </c>
      <c r="C1083" t="s">
        <v>46</v>
      </c>
      <c r="D1083">
        <v>2101</v>
      </c>
      <c r="E1083" t="s">
        <v>94</v>
      </c>
      <c r="F1083" t="s">
        <v>14</v>
      </c>
      <c r="G1083">
        <v>17</v>
      </c>
    </row>
    <row r="1084" spans="1:7" x14ac:dyDescent="0.35">
      <c r="A1084">
        <v>179454</v>
      </c>
      <c r="B1084">
        <v>28</v>
      </c>
      <c r="C1084" t="s">
        <v>40</v>
      </c>
      <c r="D1084">
        <v>2501</v>
      </c>
      <c r="E1084" t="s">
        <v>101</v>
      </c>
      <c r="F1084" t="s">
        <v>17</v>
      </c>
      <c r="G1084">
        <v>20</v>
      </c>
    </row>
    <row r="1085" spans="1:7" x14ac:dyDescent="0.35">
      <c r="A1085">
        <v>145899</v>
      </c>
      <c r="B1085">
        <v>0</v>
      </c>
      <c r="C1085" t="s">
        <v>18</v>
      </c>
      <c r="D1085">
        <v>0</v>
      </c>
      <c r="E1085" t="s">
        <v>90</v>
      </c>
      <c r="F1085" t="s">
        <v>17</v>
      </c>
      <c r="G1085">
        <v>20</v>
      </c>
    </row>
    <row r="1086" spans="1:7" x14ac:dyDescent="0.35">
      <c r="A1086">
        <v>183790</v>
      </c>
      <c r="B1086">
        <v>0</v>
      </c>
      <c r="C1086" t="s">
        <v>40</v>
      </c>
      <c r="D1086">
        <v>0</v>
      </c>
      <c r="E1086" t="s">
        <v>91</v>
      </c>
      <c r="F1086" t="s">
        <v>17</v>
      </c>
      <c r="G1086">
        <v>14</v>
      </c>
    </row>
    <row r="1087" spans="1:7" x14ac:dyDescent="0.35">
      <c r="A1087">
        <v>119538</v>
      </c>
      <c r="B1087">
        <v>0</v>
      </c>
      <c r="C1087" t="s">
        <v>21</v>
      </c>
      <c r="D1087">
        <v>3602</v>
      </c>
      <c r="E1087" t="s">
        <v>96</v>
      </c>
      <c r="F1087" t="s">
        <v>17</v>
      </c>
      <c r="G1087">
        <v>16</v>
      </c>
    </row>
    <row r="1088" spans="1:7" x14ac:dyDescent="0.35">
      <c r="A1088">
        <v>24991</v>
      </c>
      <c r="B1088">
        <v>1</v>
      </c>
      <c r="C1088" t="s">
        <v>46</v>
      </c>
      <c r="D1088">
        <v>5201</v>
      </c>
      <c r="E1088" t="s">
        <v>89</v>
      </c>
      <c r="F1088" t="s">
        <v>14</v>
      </c>
      <c r="G1088">
        <v>11</v>
      </c>
    </row>
    <row r="1089" spans="1:7" x14ac:dyDescent="0.35">
      <c r="A1089">
        <v>113501</v>
      </c>
      <c r="B1089">
        <v>0</v>
      </c>
      <c r="C1089" t="s">
        <v>31</v>
      </c>
      <c r="D1089">
        <v>6201</v>
      </c>
      <c r="E1089" t="s">
        <v>88</v>
      </c>
      <c r="F1089" t="s">
        <v>17</v>
      </c>
      <c r="G1089">
        <v>5</v>
      </c>
    </row>
    <row r="1090" spans="1:7" x14ac:dyDescent="0.35">
      <c r="A1090">
        <v>185353</v>
      </c>
      <c r="B1090">
        <v>28</v>
      </c>
      <c r="C1090" t="s">
        <v>22</v>
      </c>
      <c r="D1090">
        <v>1801</v>
      </c>
      <c r="E1090" t="s">
        <v>102</v>
      </c>
      <c r="F1090" t="s">
        <v>17</v>
      </c>
      <c r="G1090">
        <v>3</v>
      </c>
    </row>
    <row r="1091" spans="1:7" x14ac:dyDescent="0.35">
      <c r="A1091">
        <v>72308</v>
      </c>
      <c r="B1091">
        <v>0</v>
      </c>
      <c r="C1091" t="s">
        <v>29</v>
      </c>
      <c r="D1091">
        <v>2002</v>
      </c>
      <c r="E1091" t="s">
        <v>89</v>
      </c>
      <c r="F1091" t="s">
        <v>17</v>
      </c>
      <c r="G1091">
        <v>46</v>
      </c>
    </row>
    <row r="1092" spans="1:7" x14ac:dyDescent="0.35">
      <c r="A1092">
        <v>110519</v>
      </c>
      <c r="B1092">
        <v>2</v>
      </c>
      <c r="C1092" t="s">
        <v>49</v>
      </c>
      <c r="D1092">
        <v>3801</v>
      </c>
      <c r="E1092" t="s">
        <v>100</v>
      </c>
      <c r="F1092" t="s">
        <v>14</v>
      </c>
      <c r="G1092">
        <v>17</v>
      </c>
    </row>
    <row r="1093" spans="1:7" x14ac:dyDescent="0.35">
      <c r="A1093">
        <v>124193</v>
      </c>
      <c r="B1093">
        <v>0</v>
      </c>
      <c r="C1093" t="s">
        <v>21</v>
      </c>
      <c r="D1093">
        <v>0</v>
      </c>
      <c r="E1093" t="s">
        <v>91</v>
      </c>
      <c r="F1093" t="s">
        <v>30</v>
      </c>
      <c r="G1093">
        <v>6</v>
      </c>
    </row>
    <row r="1094" spans="1:7" x14ac:dyDescent="0.35">
      <c r="A1094">
        <v>181526</v>
      </c>
      <c r="B1094">
        <v>0</v>
      </c>
      <c r="C1094" t="s">
        <v>40</v>
      </c>
      <c r="D1094">
        <v>0</v>
      </c>
      <c r="E1094" t="s">
        <v>89</v>
      </c>
      <c r="F1094" t="s">
        <v>17</v>
      </c>
      <c r="G1094">
        <v>13</v>
      </c>
    </row>
    <row r="1095" spans="1:7" x14ac:dyDescent="0.35">
      <c r="A1095">
        <v>2796</v>
      </c>
      <c r="B1095">
        <v>0</v>
      </c>
      <c r="C1095" t="s">
        <v>70</v>
      </c>
      <c r="D1095">
        <v>0</v>
      </c>
      <c r="E1095" t="s">
        <v>91</v>
      </c>
      <c r="F1095" t="s">
        <v>14</v>
      </c>
      <c r="G1095">
        <v>25</v>
      </c>
    </row>
    <row r="1096" spans="1:7" x14ac:dyDescent="0.35">
      <c r="A1096">
        <v>67954</v>
      </c>
      <c r="B1096">
        <v>0</v>
      </c>
      <c r="C1096" t="s">
        <v>29</v>
      </c>
      <c r="D1096">
        <v>3101</v>
      </c>
      <c r="E1096" t="s">
        <v>102</v>
      </c>
      <c r="F1096" t="s">
        <v>17</v>
      </c>
      <c r="G1096">
        <v>35</v>
      </c>
    </row>
    <row r="1097" spans="1:7" x14ac:dyDescent="0.35">
      <c r="A1097">
        <v>93809</v>
      </c>
      <c r="B1097">
        <v>1</v>
      </c>
      <c r="C1097" t="s">
        <v>16</v>
      </c>
      <c r="D1097">
        <v>2003</v>
      </c>
      <c r="E1097" t="s">
        <v>103</v>
      </c>
      <c r="F1097" t="s">
        <v>14</v>
      </c>
      <c r="G1097">
        <v>10</v>
      </c>
    </row>
    <row r="1098" spans="1:7" x14ac:dyDescent="0.35">
      <c r="A1098">
        <v>109520</v>
      </c>
      <c r="B1098">
        <v>1</v>
      </c>
      <c r="C1098" t="s">
        <v>49</v>
      </c>
      <c r="D1098">
        <v>4501</v>
      </c>
      <c r="E1098" t="s">
        <v>89</v>
      </c>
      <c r="F1098" t="s">
        <v>14</v>
      </c>
      <c r="G1098">
        <v>15</v>
      </c>
    </row>
    <row r="1099" spans="1:7" x14ac:dyDescent="0.35">
      <c r="A1099">
        <v>76051</v>
      </c>
      <c r="B1099">
        <v>1</v>
      </c>
      <c r="C1099" t="s">
        <v>47</v>
      </c>
      <c r="D1099">
        <v>4207</v>
      </c>
      <c r="E1099" t="s">
        <v>97</v>
      </c>
      <c r="F1099" t="s">
        <v>14</v>
      </c>
      <c r="G1099">
        <v>20</v>
      </c>
    </row>
    <row r="1100" spans="1:7" x14ac:dyDescent="0.35">
      <c r="A1100">
        <v>145521</v>
      </c>
      <c r="B1100">
        <v>0</v>
      </c>
      <c r="C1100" t="s">
        <v>22</v>
      </c>
      <c r="D1100">
        <v>0</v>
      </c>
      <c r="E1100" t="s">
        <v>95</v>
      </c>
      <c r="F1100" t="s">
        <v>17</v>
      </c>
      <c r="G1100">
        <v>16</v>
      </c>
    </row>
    <row r="1101" spans="1:7" x14ac:dyDescent="0.35">
      <c r="A1101">
        <v>87533</v>
      </c>
      <c r="B1101">
        <v>0</v>
      </c>
      <c r="C1101" t="s">
        <v>34</v>
      </c>
      <c r="D1101">
        <v>2401</v>
      </c>
      <c r="E1101" t="s">
        <v>100</v>
      </c>
      <c r="F1101" t="s">
        <v>17</v>
      </c>
      <c r="G1101">
        <v>5</v>
      </c>
    </row>
    <row r="1102" spans="1:7" x14ac:dyDescent="0.35">
      <c r="A1102">
        <v>82026</v>
      </c>
      <c r="B1102">
        <v>0</v>
      </c>
      <c r="C1102" t="s">
        <v>35</v>
      </c>
      <c r="D1102">
        <v>2201</v>
      </c>
      <c r="E1102" t="s">
        <v>89</v>
      </c>
      <c r="F1102" t="s">
        <v>17</v>
      </c>
      <c r="G1102">
        <v>12</v>
      </c>
    </row>
    <row r="1103" spans="1:7" x14ac:dyDescent="0.35">
      <c r="A1103">
        <v>97055</v>
      </c>
      <c r="B1103">
        <v>0</v>
      </c>
      <c r="C1103" t="s">
        <v>16</v>
      </c>
      <c r="D1103">
        <v>3001</v>
      </c>
      <c r="E1103" t="s">
        <v>91</v>
      </c>
      <c r="F1103" t="s">
        <v>17</v>
      </c>
      <c r="G1103">
        <v>22</v>
      </c>
    </row>
    <row r="1104" spans="1:7" x14ac:dyDescent="0.35">
      <c r="A1104">
        <v>74701</v>
      </c>
      <c r="B1104">
        <v>1</v>
      </c>
      <c r="C1104" t="s">
        <v>29</v>
      </c>
      <c r="D1104">
        <v>1901</v>
      </c>
      <c r="E1104" t="s">
        <v>98</v>
      </c>
      <c r="G1104">
        <v>20</v>
      </c>
    </row>
    <row r="1105" spans="1:7" x14ac:dyDescent="0.35">
      <c r="A1105">
        <v>183374</v>
      </c>
      <c r="B1105">
        <v>1</v>
      </c>
      <c r="C1105" t="s">
        <v>40</v>
      </c>
      <c r="D1105">
        <v>0</v>
      </c>
      <c r="E1105" t="s">
        <v>98</v>
      </c>
      <c r="F1105" t="s">
        <v>14</v>
      </c>
      <c r="G1105">
        <v>10</v>
      </c>
    </row>
    <row r="1106" spans="1:7" x14ac:dyDescent="0.35">
      <c r="A1106">
        <v>28565</v>
      </c>
      <c r="B1106">
        <v>2</v>
      </c>
      <c r="C1106" t="s">
        <v>39</v>
      </c>
      <c r="D1106">
        <v>0</v>
      </c>
      <c r="E1106" t="s">
        <v>96</v>
      </c>
      <c r="F1106" t="s">
        <v>17</v>
      </c>
      <c r="G1106">
        <v>7</v>
      </c>
    </row>
    <row r="1107" spans="1:7" x14ac:dyDescent="0.35">
      <c r="A1107">
        <v>139628</v>
      </c>
      <c r="B1107">
        <v>2</v>
      </c>
      <c r="C1107" t="s">
        <v>54</v>
      </c>
      <c r="D1107">
        <v>3801</v>
      </c>
      <c r="E1107" t="s">
        <v>103</v>
      </c>
      <c r="F1107" t="s">
        <v>14</v>
      </c>
      <c r="G1107">
        <v>20</v>
      </c>
    </row>
    <row r="1108" spans="1:7" x14ac:dyDescent="0.35">
      <c r="A1108">
        <v>113686</v>
      </c>
      <c r="B1108">
        <v>1002</v>
      </c>
      <c r="C1108" t="s">
        <v>31</v>
      </c>
      <c r="D1108">
        <v>5701</v>
      </c>
      <c r="E1108" t="s">
        <v>88</v>
      </c>
      <c r="F1108" t="s">
        <v>44</v>
      </c>
      <c r="G1108">
        <v>15</v>
      </c>
    </row>
    <row r="1109" spans="1:7" x14ac:dyDescent="0.35">
      <c r="A1109">
        <v>123862</v>
      </c>
      <c r="B1109">
        <v>0</v>
      </c>
      <c r="C1109" t="s">
        <v>21</v>
      </c>
      <c r="D1109">
        <v>7001</v>
      </c>
      <c r="E1109" t="s">
        <v>92</v>
      </c>
      <c r="F1109" t="s">
        <v>17</v>
      </c>
      <c r="G1109">
        <v>3</v>
      </c>
    </row>
    <row r="1110" spans="1:7" x14ac:dyDescent="0.35">
      <c r="A1110">
        <v>151629</v>
      </c>
      <c r="B1110">
        <v>0</v>
      </c>
      <c r="C1110" t="s">
        <v>22</v>
      </c>
      <c r="D1110">
        <v>3601</v>
      </c>
      <c r="E1110" t="s">
        <v>101</v>
      </c>
      <c r="F1110" t="s">
        <v>17</v>
      </c>
      <c r="G1110">
        <v>15</v>
      </c>
    </row>
    <row r="1111" spans="1:7" x14ac:dyDescent="0.35">
      <c r="A1111">
        <v>5404</v>
      </c>
      <c r="B1111">
        <v>0</v>
      </c>
      <c r="C1111" t="s">
        <v>49</v>
      </c>
      <c r="D1111">
        <v>3611</v>
      </c>
      <c r="E1111" t="s">
        <v>89</v>
      </c>
      <c r="F1111" t="s">
        <v>30</v>
      </c>
      <c r="G1111">
        <v>10</v>
      </c>
    </row>
    <row r="1112" spans="1:7" x14ac:dyDescent="0.35">
      <c r="A1112">
        <v>150516</v>
      </c>
      <c r="B1112">
        <v>28</v>
      </c>
      <c r="C1112" t="s">
        <v>22</v>
      </c>
      <c r="D1112">
        <v>1501</v>
      </c>
      <c r="E1112" t="s">
        <v>93</v>
      </c>
      <c r="F1112" t="s">
        <v>17</v>
      </c>
      <c r="G1112">
        <v>25</v>
      </c>
    </row>
    <row r="1113" spans="1:7" x14ac:dyDescent="0.35">
      <c r="A1113">
        <v>31911</v>
      </c>
      <c r="B1113">
        <v>0</v>
      </c>
      <c r="C1113" t="s">
        <v>71</v>
      </c>
      <c r="D1113">
        <v>0</v>
      </c>
      <c r="E1113" t="s">
        <v>93</v>
      </c>
      <c r="F1113" t="s">
        <v>17</v>
      </c>
      <c r="G1113">
        <v>5</v>
      </c>
    </row>
    <row r="1114" spans="1:7" x14ac:dyDescent="0.35">
      <c r="A1114">
        <v>2379</v>
      </c>
      <c r="B1114">
        <v>1</v>
      </c>
      <c r="C1114" t="s">
        <v>29</v>
      </c>
      <c r="D1114">
        <v>4809</v>
      </c>
      <c r="E1114" t="s">
        <v>94</v>
      </c>
      <c r="F1114" t="s">
        <v>14</v>
      </c>
      <c r="G1114">
        <v>10</v>
      </c>
    </row>
    <row r="1115" spans="1:7" x14ac:dyDescent="0.35">
      <c r="A1115">
        <v>151455</v>
      </c>
      <c r="B1115">
        <v>0</v>
      </c>
      <c r="C1115" t="s">
        <v>22</v>
      </c>
      <c r="D1115">
        <v>0</v>
      </c>
      <c r="E1115" t="s">
        <v>102</v>
      </c>
      <c r="G1115">
        <v>20</v>
      </c>
    </row>
    <row r="1116" spans="1:7" x14ac:dyDescent="0.35">
      <c r="A1116">
        <v>90499</v>
      </c>
      <c r="B1116">
        <v>0</v>
      </c>
      <c r="C1116" t="s">
        <v>16</v>
      </c>
      <c r="D1116">
        <v>5208</v>
      </c>
      <c r="E1116" t="s">
        <v>92</v>
      </c>
      <c r="F1116" t="s">
        <v>17</v>
      </c>
      <c r="G1116">
        <v>10</v>
      </c>
    </row>
    <row r="1117" spans="1:7" x14ac:dyDescent="0.35">
      <c r="A1117">
        <v>177307</v>
      </c>
      <c r="B1117">
        <v>28</v>
      </c>
      <c r="C1117" t="s">
        <v>50</v>
      </c>
      <c r="D1117">
        <v>0</v>
      </c>
      <c r="E1117" t="s">
        <v>96</v>
      </c>
      <c r="F1117" t="s">
        <v>17</v>
      </c>
      <c r="G1117">
        <v>10</v>
      </c>
    </row>
    <row r="1118" spans="1:7" x14ac:dyDescent="0.35">
      <c r="A1118">
        <v>65423</v>
      </c>
      <c r="B1118">
        <v>3</v>
      </c>
      <c r="C1118" t="s">
        <v>29</v>
      </c>
      <c r="D1118">
        <v>3401</v>
      </c>
      <c r="E1118" t="s">
        <v>93</v>
      </c>
      <c r="F1118" t="s">
        <v>17</v>
      </c>
      <c r="G1118">
        <v>10</v>
      </c>
    </row>
    <row r="1119" spans="1:7" x14ac:dyDescent="0.35">
      <c r="A1119">
        <v>95800</v>
      </c>
      <c r="B1119">
        <v>1</v>
      </c>
      <c r="C1119" t="s">
        <v>16</v>
      </c>
      <c r="D1119">
        <v>1004</v>
      </c>
      <c r="E1119" t="s">
        <v>97</v>
      </c>
      <c r="F1119" t="s">
        <v>14</v>
      </c>
      <c r="G1119">
        <v>20</v>
      </c>
    </row>
    <row r="1120" spans="1:7" x14ac:dyDescent="0.35">
      <c r="A1120">
        <v>91965</v>
      </c>
      <c r="B1120">
        <v>2</v>
      </c>
      <c r="C1120" t="s">
        <v>16</v>
      </c>
      <c r="D1120">
        <v>4505</v>
      </c>
      <c r="E1120" t="s">
        <v>90</v>
      </c>
      <c r="G1120">
        <v>16</v>
      </c>
    </row>
    <row r="1121" spans="1:7" x14ac:dyDescent="0.35">
      <c r="A1121">
        <v>104721</v>
      </c>
      <c r="B1121">
        <v>0</v>
      </c>
      <c r="C1121" t="s">
        <v>28</v>
      </c>
      <c r="D1121">
        <v>6701</v>
      </c>
      <c r="E1121" t="s">
        <v>90</v>
      </c>
      <c r="F1121" t="s">
        <v>17</v>
      </c>
      <c r="G1121">
        <v>10</v>
      </c>
    </row>
    <row r="1122" spans="1:7" x14ac:dyDescent="0.35">
      <c r="A1122">
        <v>165177</v>
      </c>
      <c r="B1122">
        <v>0</v>
      </c>
      <c r="C1122" t="s">
        <v>22</v>
      </c>
      <c r="D1122">
        <v>0</v>
      </c>
      <c r="E1122" t="s">
        <v>95</v>
      </c>
      <c r="F1122" t="s">
        <v>17</v>
      </c>
      <c r="G1122">
        <v>5</v>
      </c>
    </row>
    <row r="1123" spans="1:7" x14ac:dyDescent="0.35">
      <c r="A1123">
        <v>156929</v>
      </c>
      <c r="B1123">
        <v>0</v>
      </c>
      <c r="C1123" t="s">
        <v>22</v>
      </c>
      <c r="D1123">
        <v>0</v>
      </c>
      <c r="E1123" t="s">
        <v>103</v>
      </c>
      <c r="F1123" t="s">
        <v>30</v>
      </c>
      <c r="G1123">
        <v>15</v>
      </c>
    </row>
    <row r="1124" spans="1:7" x14ac:dyDescent="0.35">
      <c r="A1124">
        <v>52549</v>
      </c>
      <c r="B1124">
        <v>1</v>
      </c>
      <c r="C1124" t="s">
        <v>53</v>
      </c>
      <c r="D1124">
        <v>5501</v>
      </c>
      <c r="E1124" t="s">
        <v>91</v>
      </c>
      <c r="F1124" t="s">
        <v>14</v>
      </c>
      <c r="G1124">
        <v>30</v>
      </c>
    </row>
    <row r="1125" spans="1:7" x14ac:dyDescent="0.35">
      <c r="A1125">
        <v>51706</v>
      </c>
      <c r="B1125">
        <v>0</v>
      </c>
      <c r="C1125" t="s">
        <v>53</v>
      </c>
      <c r="D1125">
        <v>4808</v>
      </c>
      <c r="E1125" t="s">
        <v>89</v>
      </c>
      <c r="F1125" t="s">
        <v>14</v>
      </c>
      <c r="G1125">
        <v>15</v>
      </c>
    </row>
    <row r="1126" spans="1:7" x14ac:dyDescent="0.35">
      <c r="A1126">
        <v>117969</v>
      </c>
      <c r="B1126">
        <v>28</v>
      </c>
      <c r="C1126" t="s">
        <v>21</v>
      </c>
      <c r="D1126">
        <v>3001</v>
      </c>
      <c r="E1126" t="s">
        <v>92</v>
      </c>
      <c r="F1126" t="s">
        <v>17</v>
      </c>
      <c r="G1126">
        <v>9</v>
      </c>
    </row>
    <row r="1127" spans="1:7" x14ac:dyDescent="0.35">
      <c r="A1127">
        <v>2235</v>
      </c>
      <c r="B1127">
        <v>1</v>
      </c>
      <c r="C1127" t="s">
        <v>13</v>
      </c>
      <c r="D1127">
        <v>3204</v>
      </c>
      <c r="E1127" t="s">
        <v>88</v>
      </c>
      <c r="F1127" t="s">
        <v>14</v>
      </c>
      <c r="G1127">
        <v>12</v>
      </c>
    </row>
    <row r="1128" spans="1:7" x14ac:dyDescent="0.35">
      <c r="A1128">
        <v>161023</v>
      </c>
      <c r="B1128">
        <v>2</v>
      </c>
      <c r="C1128" t="s">
        <v>22</v>
      </c>
      <c r="D1128">
        <v>2801</v>
      </c>
      <c r="E1128" t="s">
        <v>100</v>
      </c>
      <c r="F1128" t="s">
        <v>14</v>
      </c>
      <c r="G1128">
        <v>20</v>
      </c>
    </row>
    <row r="1129" spans="1:7" x14ac:dyDescent="0.35">
      <c r="A1129">
        <v>139887</v>
      </c>
      <c r="B1129">
        <v>28</v>
      </c>
      <c r="C1129" t="s">
        <v>54</v>
      </c>
      <c r="D1129">
        <v>0</v>
      </c>
      <c r="E1129" t="s">
        <v>91</v>
      </c>
      <c r="F1129" t="s">
        <v>17</v>
      </c>
      <c r="G1129">
        <v>20</v>
      </c>
    </row>
    <row r="1130" spans="1:7" x14ac:dyDescent="0.35">
      <c r="A1130">
        <v>186212</v>
      </c>
      <c r="B1130">
        <v>1002</v>
      </c>
      <c r="C1130" t="s">
        <v>54</v>
      </c>
      <c r="D1130">
        <v>1008</v>
      </c>
      <c r="E1130" t="s">
        <v>92</v>
      </c>
      <c r="F1130" t="s">
        <v>14</v>
      </c>
      <c r="G1130">
        <v>7</v>
      </c>
    </row>
    <row r="1131" spans="1:7" x14ac:dyDescent="0.35">
      <c r="A1131">
        <v>162759</v>
      </c>
      <c r="B1131">
        <v>0</v>
      </c>
      <c r="C1131" t="s">
        <v>22</v>
      </c>
      <c r="D1131">
        <v>4001</v>
      </c>
      <c r="E1131" t="s">
        <v>93</v>
      </c>
      <c r="F1131" t="s">
        <v>17</v>
      </c>
      <c r="G1131">
        <v>18</v>
      </c>
    </row>
    <row r="1132" spans="1:7" x14ac:dyDescent="0.35">
      <c r="A1132">
        <v>95654</v>
      </c>
      <c r="B1132">
        <v>1</v>
      </c>
      <c r="C1132" t="s">
        <v>16</v>
      </c>
      <c r="D1132">
        <v>3308</v>
      </c>
      <c r="E1132" t="s">
        <v>90</v>
      </c>
      <c r="F1132" t="s">
        <v>14</v>
      </c>
      <c r="G1132">
        <v>20</v>
      </c>
    </row>
    <row r="1133" spans="1:7" x14ac:dyDescent="0.35">
      <c r="A1133">
        <v>101774</v>
      </c>
      <c r="B1133">
        <v>0</v>
      </c>
      <c r="C1133" t="s">
        <v>36</v>
      </c>
      <c r="D1133">
        <v>6201</v>
      </c>
      <c r="E1133" t="s">
        <v>96</v>
      </c>
      <c r="F1133" t="s">
        <v>17</v>
      </c>
      <c r="G1133">
        <v>8</v>
      </c>
    </row>
    <row r="1134" spans="1:7" x14ac:dyDescent="0.35">
      <c r="A1134">
        <v>21710</v>
      </c>
      <c r="B1134">
        <v>2</v>
      </c>
      <c r="C1134" t="s">
        <v>18</v>
      </c>
      <c r="D1134">
        <v>0</v>
      </c>
      <c r="E1134" t="s">
        <v>89</v>
      </c>
      <c r="F1134" t="s">
        <v>14</v>
      </c>
      <c r="G1134">
        <v>10</v>
      </c>
    </row>
    <row r="1135" spans="1:7" x14ac:dyDescent="0.35">
      <c r="A1135">
        <v>65565</v>
      </c>
      <c r="B1135">
        <v>2</v>
      </c>
      <c r="C1135" t="s">
        <v>29</v>
      </c>
      <c r="D1135">
        <v>701</v>
      </c>
      <c r="E1135" t="s">
        <v>103</v>
      </c>
      <c r="F1135" t="s">
        <v>17</v>
      </c>
      <c r="G1135">
        <v>10</v>
      </c>
    </row>
    <row r="1136" spans="1:7" x14ac:dyDescent="0.35">
      <c r="A1136">
        <v>171631</v>
      </c>
      <c r="B1136">
        <v>4</v>
      </c>
      <c r="C1136" t="s">
        <v>22</v>
      </c>
      <c r="D1136">
        <v>5302</v>
      </c>
      <c r="E1136" t="s">
        <v>93</v>
      </c>
      <c r="F1136" t="s">
        <v>17</v>
      </c>
      <c r="G1136">
        <v>10</v>
      </c>
    </row>
    <row r="1137" spans="1:7" x14ac:dyDescent="0.35">
      <c r="A1137">
        <v>24869</v>
      </c>
      <c r="B1137">
        <v>0</v>
      </c>
      <c r="C1137" t="s">
        <v>46</v>
      </c>
      <c r="D1137">
        <v>6001</v>
      </c>
      <c r="E1137" t="s">
        <v>89</v>
      </c>
      <c r="F1137" t="s">
        <v>17</v>
      </c>
      <c r="G1137">
        <v>8</v>
      </c>
    </row>
    <row r="1138" spans="1:7" x14ac:dyDescent="0.35">
      <c r="A1138">
        <v>129846</v>
      </c>
      <c r="B1138">
        <v>1</v>
      </c>
      <c r="C1138" t="s">
        <v>52</v>
      </c>
      <c r="D1138">
        <v>4201</v>
      </c>
      <c r="E1138" t="s">
        <v>94</v>
      </c>
      <c r="F1138" t="s">
        <v>14</v>
      </c>
      <c r="G1138">
        <v>11</v>
      </c>
    </row>
    <row r="1139" spans="1:7" x14ac:dyDescent="0.35">
      <c r="A1139">
        <v>150379</v>
      </c>
      <c r="B1139">
        <v>0</v>
      </c>
      <c r="C1139" t="s">
        <v>22</v>
      </c>
      <c r="D1139">
        <v>0</v>
      </c>
      <c r="E1139" t="s">
        <v>90</v>
      </c>
      <c r="F1139" t="s">
        <v>17</v>
      </c>
      <c r="G1139">
        <v>20</v>
      </c>
    </row>
    <row r="1140" spans="1:7" x14ac:dyDescent="0.35">
      <c r="A1140">
        <v>36590</v>
      </c>
      <c r="B1140">
        <v>1</v>
      </c>
      <c r="C1140" t="s">
        <v>13</v>
      </c>
      <c r="D1140">
        <v>4801</v>
      </c>
      <c r="E1140" t="s">
        <v>93</v>
      </c>
      <c r="F1140" t="s">
        <v>14</v>
      </c>
      <c r="G1140">
        <v>10</v>
      </c>
    </row>
    <row r="1141" spans="1:7" x14ac:dyDescent="0.35">
      <c r="A1141">
        <v>59744</v>
      </c>
      <c r="B1141">
        <v>28</v>
      </c>
      <c r="C1141" t="s">
        <v>33</v>
      </c>
      <c r="D1141">
        <v>5408</v>
      </c>
      <c r="E1141" t="s">
        <v>89</v>
      </c>
      <c r="F1141" t="s">
        <v>17</v>
      </c>
      <c r="G1141">
        <v>16</v>
      </c>
    </row>
    <row r="1142" spans="1:7" x14ac:dyDescent="0.35">
      <c r="A1142">
        <v>31893</v>
      </c>
      <c r="B1142">
        <v>0</v>
      </c>
      <c r="C1142" t="s">
        <v>16</v>
      </c>
      <c r="D1142">
        <v>0</v>
      </c>
      <c r="E1142" t="s">
        <v>89</v>
      </c>
      <c r="F1142" t="s">
        <v>17</v>
      </c>
      <c r="G1142">
        <v>20</v>
      </c>
    </row>
    <row r="1143" spans="1:7" x14ac:dyDescent="0.35">
      <c r="A1143">
        <v>46884</v>
      </c>
      <c r="B1143">
        <v>0</v>
      </c>
      <c r="C1143" t="s">
        <v>43</v>
      </c>
      <c r="D1143">
        <v>0</v>
      </c>
      <c r="E1143" t="s">
        <v>98</v>
      </c>
      <c r="F1143" t="s">
        <v>17</v>
      </c>
      <c r="G1143">
        <v>15</v>
      </c>
    </row>
    <row r="1144" spans="1:7" x14ac:dyDescent="0.35">
      <c r="A1144">
        <v>66745</v>
      </c>
      <c r="B1144">
        <v>28</v>
      </c>
      <c r="C1144" t="s">
        <v>29</v>
      </c>
      <c r="D1144">
        <v>7201</v>
      </c>
      <c r="F1144" t="s">
        <v>17</v>
      </c>
      <c r="G1144">
        <v>5</v>
      </c>
    </row>
    <row r="1145" spans="1:7" x14ac:dyDescent="0.35">
      <c r="A1145">
        <v>10709</v>
      </c>
      <c r="B1145">
        <v>0</v>
      </c>
      <c r="C1145" t="s">
        <v>40</v>
      </c>
      <c r="D1145">
        <v>0</v>
      </c>
      <c r="G1145">
        <v>23</v>
      </c>
    </row>
    <row r="1146" spans="1:7" x14ac:dyDescent="0.35">
      <c r="A1146">
        <v>73984</v>
      </c>
      <c r="B1146">
        <v>0</v>
      </c>
      <c r="C1146" t="s">
        <v>29</v>
      </c>
      <c r="D1146">
        <v>3305</v>
      </c>
      <c r="E1146" t="s">
        <v>98</v>
      </c>
      <c r="F1146" t="s">
        <v>14</v>
      </c>
      <c r="G1146">
        <v>10</v>
      </c>
    </row>
    <row r="1147" spans="1:7" x14ac:dyDescent="0.35">
      <c r="A1147">
        <v>27597</v>
      </c>
      <c r="B1147">
        <v>1</v>
      </c>
      <c r="C1147" t="s">
        <v>39</v>
      </c>
      <c r="D1147">
        <v>5801</v>
      </c>
      <c r="E1147" t="s">
        <v>94</v>
      </c>
      <c r="F1147" t="s">
        <v>14</v>
      </c>
      <c r="G1147">
        <v>9</v>
      </c>
    </row>
    <row r="1148" spans="1:7" x14ac:dyDescent="0.35">
      <c r="A1148">
        <v>150587</v>
      </c>
      <c r="B1148">
        <v>0</v>
      </c>
      <c r="C1148" t="s">
        <v>22</v>
      </c>
      <c r="D1148">
        <v>0</v>
      </c>
      <c r="E1148" t="s">
        <v>90</v>
      </c>
      <c r="F1148" t="s">
        <v>30</v>
      </c>
      <c r="G1148">
        <v>20</v>
      </c>
    </row>
    <row r="1149" spans="1:7" x14ac:dyDescent="0.35">
      <c r="A1149">
        <v>187191</v>
      </c>
      <c r="B1149">
        <v>0</v>
      </c>
      <c r="C1149" t="s">
        <v>39</v>
      </c>
      <c r="D1149">
        <v>0</v>
      </c>
      <c r="E1149" t="s">
        <v>92</v>
      </c>
      <c r="G1149">
        <v>25</v>
      </c>
    </row>
    <row r="1150" spans="1:7" x14ac:dyDescent="0.35">
      <c r="A1150">
        <v>85357</v>
      </c>
      <c r="B1150">
        <v>2</v>
      </c>
      <c r="C1150" t="s">
        <v>56</v>
      </c>
      <c r="D1150">
        <v>2908</v>
      </c>
      <c r="E1150" t="s">
        <v>91</v>
      </c>
      <c r="F1150" t="s">
        <v>17</v>
      </c>
      <c r="G1150">
        <v>15</v>
      </c>
    </row>
    <row r="1151" spans="1:7" x14ac:dyDescent="0.35">
      <c r="A1151">
        <v>156866</v>
      </c>
      <c r="B1151">
        <v>14</v>
      </c>
      <c r="C1151" t="s">
        <v>22</v>
      </c>
      <c r="D1151">
        <v>2201</v>
      </c>
      <c r="E1151" t="s">
        <v>95</v>
      </c>
      <c r="F1151" t="s">
        <v>14</v>
      </c>
      <c r="G1151">
        <v>25</v>
      </c>
    </row>
    <row r="1152" spans="1:7" x14ac:dyDescent="0.35">
      <c r="A1152">
        <v>164513</v>
      </c>
      <c r="B1152">
        <v>0</v>
      </c>
      <c r="C1152" t="s">
        <v>72</v>
      </c>
      <c r="D1152">
        <v>4701</v>
      </c>
      <c r="E1152" t="s">
        <v>92</v>
      </c>
      <c r="F1152" t="s">
        <v>17</v>
      </c>
      <c r="G1152">
        <v>50</v>
      </c>
    </row>
    <row r="1153" spans="1:7" x14ac:dyDescent="0.35">
      <c r="A1153">
        <v>163369</v>
      </c>
      <c r="B1153">
        <v>0</v>
      </c>
      <c r="C1153" t="s">
        <v>22</v>
      </c>
      <c r="D1153">
        <v>0</v>
      </c>
      <c r="E1153" t="s">
        <v>103</v>
      </c>
      <c r="G1153">
        <v>6</v>
      </c>
    </row>
    <row r="1154" spans="1:7" x14ac:dyDescent="0.35">
      <c r="A1154">
        <v>551</v>
      </c>
      <c r="B1154">
        <v>2</v>
      </c>
      <c r="C1154" t="s">
        <v>21</v>
      </c>
      <c r="D1154">
        <v>1201</v>
      </c>
      <c r="E1154" t="s">
        <v>89</v>
      </c>
      <c r="F1154" t="s">
        <v>17</v>
      </c>
      <c r="G1154">
        <v>20</v>
      </c>
    </row>
    <row r="1155" spans="1:7" x14ac:dyDescent="0.35">
      <c r="A1155">
        <v>18750</v>
      </c>
      <c r="B1155">
        <v>0</v>
      </c>
      <c r="C1155" t="s">
        <v>18</v>
      </c>
      <c r="D1155">
        <v>5201</v>
      </c>
      <c r="E1155" t="s">
        <v>89</v>
      </c>
      <c r="F1155" t="s">
        <v>17</v>
      </c>
      <c r="G1155">
        <v>20</v>
      </c>
    </row>
    <row r="1156" spans="1:7" x14ac:dyDescent="0.35">
      <c r="A1156">
        <v>81277</v>
      </c>
      <c r="B1156">
        <v>2</v>
      </c>
      <c r="C1156" t="s">
        <v>35</v>
      </c>
      <c r="D1156">
        <v>4401</v>
      </c>
      <c r="E1156" t="s">
        <v>100</v>
      </c>
      <c r="F1156" t="s">
        <v>17</v>
      </c>
      <c r="G1156">
        <v>25</v>
      </c>
    </row>
    <row r="1157" spans="1:7" x14ac:dyDescent="0.35">
      <c r="A1157">
        <v>128121</v>
      </c>
      <c r="B1157">
        <v>0</v>
      </c>
      <c r="C1157" t="s">
        <v>21</v>
      </c>
      <c r="D1157">
        <v>0</v>
      </c>
      <c r="E1157" t="s">
        <v>93</v>
      </c>
      <c r="F1157" t="s">
        <v>17</v>
      </c>
      <c r="G1157">
        <v>10</v>
      </c>
    </row>
    <row r="1158" spans="1:7" x14ac:dyDescent="0.35">
      <c r="A1158">
        <v>84199</v>
      </c>
      <c r="B1158">
        <v>0</v>
      </c>
      <c r="C1158" t="s">
        <v>56</v>
      </c>
      <c r="D1158">
        <v>2501</v>
      </c>
      <c r="E1158" t="s">
        <v>90</v>
      </c>
      <c r="F1158" t="s">
        <v>17</v>
      </c>
      <c r="G1158">
        <v>5</v>
      </c>
    </row>
    <row r="1159" spans="1:7" x14ac:dyDescent="0.35">
      <c r="A1159">
        <v>183476</v>
      </c>
      <c r="B1159">
        <v>2</v>
      </c>
      <c r="C1159" t="s">
        <v>40</v>
      </c>
      <c r="D1159">
        <v>5008</v>
      </c>
      <c r="E1159" t="s">
        <v>89</v>
      </c>
      <c r="F1159" t="s">
        <v>17</v>
      </c>
      <c r="G1159">
        <v>25</v>
      </c>
    </row>
    <row r="1160" spans="1:7" x14ac:dyDescent="0.35">
      <c r="A1160">
        <v>162994</v>
      </c>
      <c r="B1160">
        <v>1</v>
      </c>
      <c r="C1160" t="s">
        <v>22</v>
      </c>
      <c r="D1160">
        <v>0</v>
      </c>
      <c r="E1160" t="s">
        <v>95</v>
      </c>
      <c r="F1160" t="s">
        <v>14</v>
      </c>
      <c r="G1160">
        <v>10</v>
      </c>
    </row>
    <row r="1161" spans="1:7" x14ac:dyDescent="0.35">
      <c r="A1161">
        <v>32040</v>
      </c>
      <c r="B1161">
        <v>4</v>
      </c>
      <c r="C1161" t="s">
        <v>39</v>
      </c>
      <c r="D1161">
        <v>2801</v>
      </c>
      <c r="E1161" t="s">
        <v>92</v>
      </c>
      <c r="F1161" t="s">
        <v>14</v>
      </c>
      <c r="G1161">
        <v>20</v>
      </c>
    </row>
    <row r="1162" spans="1:7" x14ac:dyDescent="0.35">
      <c r="A1162">
        <v>65968</v>
      </c>
      <c r="B1162">
        <v>1</v>
      </c>
      <c r="C1162" t="s">
        <v>29</v>
      </c>
      <c r="D1162">
        <v>6105</v>
      </c>
      <c r="E1162" t="s">
        <v>92</v>
      </c>
      <c r="F1162" t="s">
        <v>14</v>
      </c>
      <c r="G1162">
        <v>9</v>
      </c>
    </row>
    <row r="1163" spans="1:7" x14ac:dyDescent="0.35">
      <c r="A1163">
        <v>135896</v>
      </c>
      <c r="B1163">
        <v>0</v>
      </c>
      <c r="C1163" t="s">
        <v>55</v>
      </c>
      <c r="D1163">
        <v>2501</v>
      </c>
      <c r="E1163" t="s">
        <v>96</v>
      </c>
      <c r="F1163" t="s">
        <v>14</v>
      </c>
      <c r="G1163">
        <v>2</v>
      </c>
    </row>
    <row r="1164" spans="1:7" x14ac:dyDescent="0.35">
      <c r="A1164">
        <v>46461</v>
      </c>
      <c r="B1164">
        <v>1</v>
      </c>
      <c r="C1164" t="s">
        <v>13</v>
      </c>
      <c r="D1164">
        <v>1801</v>
      </c>
      <c r="E1164" t="s">
        <v>88</v>
      </c>
      <c r="F1164" t="s">
        <v>14</v>
      </c>
      <c r="G1164">
        <v>12</v>
      </c>
    </row>
    <row r="1165" spans="1:7" x14ac:dyDescent="0.35">
      <c r="A1165">
        <v>2396</v>
      </c>
      <c r="B1165">
        <v>0</v>
      </c>
      <c r="C1165" t="s">
        <v>13</v>
      </c>
      <c r="D1165">
        <v>0</v>
      </c>
      <c r="E1165" t="s">
        <v>89</v>
      </c>
      <c r="G1165">
        <v>5</v>
      </c>
    </row>
    <row r="1166" spans="1:7" x14ac:dyDescent="0.35">
      <c r="A1166">
        <v>93500</v>
      </c>
      <c r="B1166">
        <v>0</v>
      </c>
      <c r="C1166" t="s">
        <v>16</v>
      </c>
      <c r="D1166">
        <v>3705</v>
      </c>
      <c r="E1166" t="s">
        <v>102</v>
      </c>
      <c r="F1166" t="s">
        <v>17</v>
      </c>
      <c r="G1166">
        <v>10</v>
      </c>
    </row>
    <row r="1167" spans="1:7" x14ac:dyDescent="0.35">
      <c r="A1167">
        <v>90899</v>
      </c>
      <c r="B1167">
        <v>28</v>
      </c>
      <c r="C1167" t="s">
        <v>16</v>
      </c>
      <c r="D1167">
        <v>3912</v>
      </c>
      <c r="E1167" t="s">
        <v>97</v>
      </c>
      <c r="F1167" t="s">
        <v>17</v>
      </c>
      <c r="G1167">
        <v>17</v>
      </c>
    </row>
    <row r="1168" spans="1:7" x14ac:dyDescent="0.35">
      <c r="A1168">
        <v>116542</v>
      </c>
      <c r="B1168">
        <v>0</v>
      </c>
      <c r="C1168" t="s">
        <v>21</v>
      </c>
      <c r="D1168">
        <v>0</v>
      </c>
      <c r="E1168" t="s">
        <v>98</v>
      </c>
      <c r="F1168" t="s">
        <v>30</v>
      </c>
      <c r="G1168">
        <v>20</v>
      </c>
    </row>
    <row r="1169" spans="1:7" x14ac:dyDescent="0.35">
      <c r="A1169">
        <v>29868</v>
      </c>
      <c r="B1169">
        <v>0</v>
      </c>
      <c r="C1169" t="s">
        <v>39</v>
      </c>
      <c r="D1169">
        <v>5901</v>
      </c>
      <c r="E1169" t="s">
        <v>89</v>
      </c>
      <c r="F1169" t="s">
        <v>17</v>
      </c>
      <c r="G1169">
        <v>25</v>
      </c>
    </row>
    <row r="1170" spans="1:7" x14ac:dyDescent="0.35">
      <c r="A1170">
        <v>171521</v>
      </c>
      <c r="B1170">
        <v>0</v>
      </c>
      <c r="C1170" t="s">
        <v>22</v>
      </c>
      <c r="D1170">
        <v>0</v>
      </c>
      <c r="E1170" t="s">
        <v>91</v>
      </c>
      <c r="F1170" t="s">
        <v>17</v>
      </c>
      <c r="G1170">
        <v>6</v>
      </c>
    </row>
    <row r="1171" spans="1:7" x14ac:dyDescent="0.35">
      <c r="A1171">
        <v>18953</v>
      </c>
      <c r="B1171">
        <v>0</v>
      </c>
      <c r="C1171" t="s">
        <v>18</v>
      </c>
      <c r="D1171">
        <v>4303</v>
      </c>
      <c r="E1171" t="s">
        <v>93</v>
      </c>
      <c r="F1171" t="s">
        <v>17</v>
      </c>
      <c r="G1171">
        <v>11</v>
      </c>
    </row>
    <row r="1172" spans="1:7" x14ac:dyDescent="0.35">
      <c r="A1172">
        <v>102780</v>
      </c>
      <c r="B1172">
        <v>0</v>
      </c>
      <c r="C1172" t="s">
        <v>36</v>
      </c>
      <c r="D1172">
        <v>1208</v>
      </c>
      <c r="E1172" t="s">
        <v>91</v>
      </c>
      <c r="F1172" t="s">
        <v>17</v>
      </c>
      <c r="G1172">
        <v>16</v>
      </c>
    </row>
    <row r="1173" spans="1:7" x14ac:dyDescent="0.35">
      <c r="A1173">
        <v>136372</v>
      </c>
      <c r="B1173">
        <v>1</v>
      </c>
      <c r="C1173" t="s">
        <v>55</v>
      </c>
      <c r="D1173">
        <v>1901</v>
      </c>
      <c r="E1173" t="s">
        <v>92</v>
      </c>
      <c r="F1173" t="s">
        <v>14</v>
      </c>
      <c r="G1173">
        <v>10</v>
      </c>
    </row>
    <row r="1174" spans="1:7" x14ac:dyDescent="0.35">
      <c r="A1174">
        <v>19581</v>
      </c>
      <c r="B1174">
        <v>2</v>
      </c>
      <c r="C1174" t="s">
        <v>18</v>
      </c>
      <c r="D1174">
        <v>3703</v>
      </c>
      <c r="E1174" t="s">
        <v>90</v>
      </c>
      <c r="F1174" t="s">
        <v>17</v>
      </c>
      <c r="G1174">
        <v>25</v>
      </c>
    </row>
    <row r="1175" spans="1:7" x14ac:dyDescent="0.35">
      <c r="A1175">
        <v>121410</v>
      </c>
      <c r="B1175">
        <v>1</v>
      </c>
      <c r="C1175" t="s">
        <v>21</v>
      </c>
      <c r="D1175">
        <v>3101</v>
      </c>
      <c r="E1175" t="s">
        <v>95</v>
      </c>
      <c r="F1175" t="s">
        <v>14</v>
      </c>
      <c r="G1175">
        <v>15</v>
      </c>
    </row>
    <row r="1176" spans="1:7" x14ac:dyDescent="0.35">
      <c r="A1176">
        <v>99736</v>
      </c>
      <c r="B1176">
        <v>0</v>
      </c>
      <c r="C1176" t="s">
        <v>36</v>
      </c>
      <c r="D1176">
        <v>5101</v>
      </c>
      <c r="E1176" t="s">
        <v>89</v>
      </c>
      <c r="F1176" t="s">
        <v>17</v>
      </c>
      <c r="G1176">
        <v>20</v>
      </c>
    </row>
    <row r="1177" spans="1:7" x14ac:dyDescent="0.35">
      <c r="A1177">
        <v>54441</v>
      </c>
      <c r="B1177">
        <v>2</v>
      </c>
      <c r="C1177" t="s">
        <v>62</v>
      </c>
      <c r="D1177">
        <v>4107</v>
      </c>
      <c r="E1177" t="s">
        <v>98</v>
      </c>
      <c r="F1177" t="s">
        <v>17</v>
      </c>
      <c r="G1177">
        <v>30</v>
      </c>
    </row>
    <row r="1178" spans="1:7" x14ac:dyDescent="0.35">
      <c r="A1178">
        <v>144735</v>
      </c>
      <c r="B1178">
        <v>0</v>
      </c>
      <c r="C1178" t="s">
        <v>22</v>
      </c>
      <c r="D1178">
        <v>2709</v>
      </c>
      <c r="E1178" t="s">
        <v>95</v>
      </c>
      <c r="F1178" t="s">
        <v>17</v>
      </c>
      <c r="G1178">
        <v>10</v>
      </c>
    </row>
    <row r="1179" spans="1:7" x14ac:dyDescent="0.35">
      <c r="A1179">
        <v>39257</v>
      </c>
      <c r="B1179">
        <v>1002</v>
      </c>
      <c r="C1179" t="s">
        <v>13</v>
      </c>
      <c r="D1179">
        <v>7001</v>
      </c>
      <c r="E1179" t="s">
        <v>90</v>
      </c>
      <c r="F1179" t="s">
        <v>44</v>
      </c>
      <c r="G1179">
        <v>25</v>
      </c>
    </row>
    <row r="1180" spans="1:7" x14ac:dyDescent="0.35">
      <c r="A1180">
        <v>136716</v>
      </c>
      <c r="B1180">
        <v>1</v>
      </c>
      <c r="C1180" t="s">
        <v>55</v>
      </c>
      <c r="D1180">
        <v>0</v>
      </c>
      <c r="E1180" t="s">
        <v>92</v>
      </c>
      <c r="F1180" t="s">
        <v>14</v>
      </c>
      <c r="G1180">
        <v>25</v>
      </c>
    </row>
    <row r="1181" spans="1:7" x14ac:dyDescent="0.35">
      <c r="A1181">
        <v>145310</v>
      </c>
      <c r="B1181">
        <v>0</v>
      </c>
      <c r="C1181" t="s">
        <v>22</v>
      </c>
      <c r="D1181">
        <v>4911</v>
      </c>
      <c r="E1181" t="s">
        <v>95</v>
      </c>
      <c r="F1181" t="s">
        <v>17</v>
      </c>
      <c r="G1181">
        <v>20</v>
      </c>
    </row>
    <row r="1182" spans="1:7" x14ac:dyDescent="0.35">
      <c r="A1182">
        <v>40351</v>
      </c>
      <c r="B1182">
        <v>0</v>
      </c>
      <c r="C1182" t="s">
        <v>13</v>
      </c>
      <c r="D1182">
        <v>0</v>
      </c>
      <c r="E1182" t="s">
        <v>90</v>
      </c>
      <c r="G1182">
        <v>30</v>
      </c>
    </row>
    <row r="1183" spans="1:7" x14ac:dyDescent="0.35">
      <c r="A1183">
        <v>43321</v>
      </c>
      <c r="B1183">
        <v>0</v>
      </c>
      <c r="C1183" t="s">
        <v>13</v>
      </c>
      <c r="D1183">
        <v>2301</v>
      </c>
      <c r="E1183" t="s">
        <v>92</v>
      </c>
      <c r="G1183">
        <v>25</v>
      </c>
    </row>
    <row r="1184" spans="1:7" x14ac:dyDescent="0.35">
      <c r="A1184">
        <v>14009</v>
      </c>
      <c r="B1184">
        <v>0</v>
      </c>
      <c r="C1184" t="s">
        <v>29</v>
      </c>
      <c r="D1184">
        <v>3401</v>
      </c>
      <c r="F1184" t="s">
        <v>17</v>
      </c>
      <c r="G1184">
        <v>3</v>
      </c>
    </row>
    <row r="1185" spans="1:7" x14ac:dyDescent="0.35">
      <c r="A1185">
        <v>187517</v>
      </c>
      <c r="B1185">
        <v>1</v>
      </c>
      <c r="C1185" t="s">
        <v>21</v>
      </c>
      <c r="D1185">
        <v>0</v>
      </c>
      <c r="E1185" t="s">
        <v>91</v>
      </c>
      <c r="F1185" t="s">
        <v>14</v>
      </c>
      <c r="G1185">
        <v>25</v>
      </c>
    </row>
    <row r="1186" spans="1:7" x14ac:dyDescent="0.35">
      <c r="A1186">
        <v>22924</v>
      </c>
      <c r="B1186">
        <v>2</v>
      </c>
      <c r="C1186" t="s">
        <v>46</v>
      </c>
      <c r="D1186">
        <v>2101</v>
      </c>
      <c r="E1186" t="s">
        <v>96</v>
      </c>
      <c r="F1186" t="s">
        <v>17</v>
      </c>
      <c r="G1186">
        <v>10</v>
      </c>
    </row>
    <row r="1187" spans="1:7" x14ac:dyDescent="0.35">
      <c r="A1187">
        <v>65124</v>
      </c>
      <c r="B1187">
        <v>0</v>
      </c>
      <c r="C1187" t="s">
        <v>29</v>
      </c>
      <c r="D1187">
        <v>0</v>
      </c>
      <c r="E1187" t="s">
        <v>89</v>
      </c>
      <c r="F1187" t="s">
        <v>17</v>
      </c>
      <c r="G1187">
        <v>5</v>
      </c>
    </row>
    <row r="1188" spans="1:7" x14ac:dyDescent="0.35">
      <c r="A1188">
        <v>98437</v>
      </c>
      <c r="B1188">
        <v>0</v>
      </c>
      <c r="C1188" t="s">
        <v>16</v>
      </c>
      <c r="D1188">
        <v>201</v>
      </c>
      <c r="E1188" t="s">
        <v>91</v>
      </c>
      <c r="F1188" t="s">
        <v>17</v>
      </c>
      <c r="G1188">
        <v>10</v>
      </c>
    </row>
    <row r="1189" spans="1:7" x14ac:dyDescent="0.35">
      <c r="A1189">
        <v>54369</v>
      </c>
      <c r="B1189">
        <v>1</v>
      </c>
      <c r="C1189" t="s">
        <v>62</v>
      </c>
      <c r="D1189">
        <v>0</v>
      </c>
      <c r="E1189" t="s">
        <v>91</v>
      </c>
      <c r="F1189" t="s">
        <v>14</v>
      </c>
      <c r="G1189">
        <v>6</v>
      </c>
    </row>
    <row r="1190" spans="1:7" x14ac:dyDescent="0.35">
      <c r="A1190">
        <v>155856</v>
      </c>
      <c r="B1190">
        <v>0</v>
      </c>
      <c r="C1190" t="s">
        <v>22</v>
      </c>
      <c r="D1190">
        <v>1501</v>
      </c>
      <c r="E1190" t="s">
        <v>88</v>
      </c>
      <c r="F1190" t="s">
        <v>17</v>
      </c>
      <c r="G1190">
        <v>10</v>
      </c>
    </row>
    <row r="1191" spans="1:7" x14ac:dyDescent="0.35">
      <c r="A1191">
        <v>107321</v>
      </c>
      <c r="B1191">
        <v>1</v>
      </c>
      <c r="C1191" t="s">
        <v>59</v>
      </c>
      <c r="D1191">
        <v>5201</v>
      </c>
      <c r="E1191" t="s">
        <v>89</v>
      </c>
      <c r="F1191" t="s">
        <v>14</v>
      </c>
      <c r="G1191">
        <v>20</v>
      </c>
    </row>
    <row r="1192" spans="1:7" x14ac:dyDescent="0.35">
      <c r="A1192">
        <v>139500</v>
      </c>
      <c r="B1192">
        <v>0</v>
      </c>
      <c r="C1192" t="s">
        <v>54</v>
      </c>
      <c r="D1192">
        <v>1610</v>
      </c>
      <c r="E1192" t="s">
        <v>103</v>
      </c>
      <c r="F1192" t="s">
        <v>17</v>
      </c>
      <c r="G1192">
        <v>20</v>
      </c>
    </row>
    <row r="1193" spans="1:7" x14ac:dyDescent="0.35">
      <c r="A1193">
        <v>108381</v>
      </c>
      <c r="B1193">
        <v>1</v>
      </c>
      <c r="C1193" t="s">
        <v>49</v>
      </c>
      <c r="D1193">
        <v>0</v>
      </c>
      <c r="E1193" t="s">
        <v>103</v>
      </c>
      <c r="F1193" t="s">
        <v>14</v>
      </c>
      <c r="G1193">
        <v>20</v>
      </c>
    </row>
    <row r="1194" spans="1:7" x14ac:dyDescent="0.35">
      <c r="A1194">
        <v>129653</v>
      </c>
      <c r="B1194">
        <v>1</v>
      </c>
      <c r="C1194" t="s">
        <v>48</v>
      </c>
      <c r="D1194">
        <v>5201</v>
      </c>
      <c r="E1194" t="s">
        <v>93</v>
      </c>
      <c r="F1194" t="s">
        <v>14</v>
      </c>
      <c r="G1194">
        <v>15</v>
      </c>
    </row>
    <row r="1195" spans="1:7" x14ac:dyDescent="0.35">
      <c r="A1195">
        <v>102795</v>
      </c>
      <c r="B1195">
        <v>1</v>
      </c>
      <c r="C1195" t="s">
        <v>36</v>
      </c>
      <c r="D1195">
        <v>2001</v>
      </c>
      <c r="E1195" t="s">
        <v>98</v>
      </c>
      <c r="F1195" t="s">
        <v>14</v>
      </c>
      <c r="G1195">
        <v>10</v>
      </c>
    </row>
    <row r="1196" spans="1:7" x14ac:dyDescent="0.35">
      <c r="A1196">
        <v>178085</v>
      </c>
      <c r="B1196">
        <v>2</v>
      </c>
      <c r="C1196" t="s">
        <v>50</v>
      </c>
      <c r="D1196">
        <v>4403</v>
      </c>
      <c r="E1196" t="s">
        <v>89</v>
      </c>
      <c r="F1196" t="s">
        <v>14</v>
      </c>
      <c r="G1196">
        <v>20</v>
      </c>
    </row>
    <row r="1197" spans="1:7" x14ac:dyDescent="0.35">
      <c r="A1197">
        <v>12819</v>
      </c>
      <c r="B1197">
        <v>3</v>
      </c>
      <c r="C1197" t="s">
        <v>36</v>
      </c>
      <c r="D1197">
        <v>1101</v>
      </c>
      <c r="E1197" t="s">
        <v>93</v>
      </c>
      <c r="F1197" t="s">
        <v>17</v>
      </c>
      <c r="G1197">
        <v>20</v>
      </c>
    </row>
    <row r="1198" spans="1:7" x14ac:dyDescent="0.35">
      <c r="A1198">
        <v>99543</v>
      </c>
      <c r="B1198">
        <v>0</v>
      </c>
      <c r="C1198" t="s">
        <v>36</v>
      </c>
      <c r="D1198">
        <v>2301</v>
      </c>
      <c r="E1198" t="s">
        <v>91</v>
      </c>
      <c r="F1198" t="s">
        <v>14</v>
      </c>
      <c r="G1198">
        <v>15</v>
      </c>
    </row>
    <row r="1199" spans="1:7" x14ac:dyDescent="0.35">
      <c r="A1199">
        <v>65804</v>
      </c>
      <c r="B1199">
        <v>0</v>
      </c>
      <c r="C1199" t="s">
        <v>29</v>
      </c>
      <c r="D1199">
        <v>0</v>
      </c>
      <c r="E1199" t="s">
        <v>90</v>
      </c>
      <c r="F1199" t="s">
        <v>17</v>
      </c>
      <c r="G1199">
        <v>10</v>
      </c>
    </row>
    <row r="1200" spans="1:7" x14ac:dyDescent="0.35">
      <c r="A1200">
        <v>35947</v>
      </c>
      <c r="B1200">
        <v>2</v>
      </c>
      <c r="C1200" t="s">
        <v>13</v>
      </c>
      <c r="D1200">
        <v>2505</v>
      </c>
      <c r="E1200" t="s">
        <v>90</v>
      </c>
      <c r="F1200" t="s">
        <v>17</v>
      </c>
      <c r="G1200">
        <v>14</v>
      </c>
    </row>
    <row r="1201" spans="1:7" x14ac:dyDescent="0.35">
      <c r="A1201">
        <v>152961</v>
      </c>
      <c r="B1201">
        <v>0</v>
      </c>
      <c r="C1201" t="s">
        <v>22</v>
      </c>
      <c r="D1201">
        <v>3401</v>
      </c>
      <c r="E1201" t="s">
        <v>92</v>
      </c>
      <c r="F1201" t="s">
        <v>17</v>
      </c>
      <c r="G1201">
        <v>8</v>
      </c>
    </row>
    <row r="1202" spans="1:7" x14ac:dyDescent="0.35">
      <c r="A1202">
        <v>161129</v>
      </c>
      <c r="B1202">
        <v>2</v>
      </c>
      <c r="C1202" t="s">
        <v>22</v>
      </c>
      <c r="D1202">
        <v>2201</v>
      </c>
      <c r="E1202" t="s">
        <v>91</v>
      </c>
      <c r="F1202" t="s">
        <v>17</v>
      </c>
      <c r="G1202">
        <v>20</v>
      </c>
    </row>
    <row r="1203" spans="1:7" x14ac:dyDescent="0.35">
      <c r="A1203">
        <v>177315</v>
      </c>
      <c r="B1203">
        <v>0</v>
      </c>
      <c r="C1203" t="s">
        <v>50</v>
      </c>
      <c r="D1203">
        <v>3805</v>
      </c>
      <c r="E1203" t="s">
        <v>89</v>
      </c>
      <c r="F1203" t="s">
        <v>14</v>
      </c>
      <c r="G1203">
        <v>15</v>
      </c>
    </row>
    <row r="1204" spans="1:7" x14ac:dyDescent="0.35">
      <c r="A1204">
        <v>104755</v>
      </c>
      <c r="B1204">
        <v>2</v>
      </c>
      <c r="C1204" t="s">
        <v>28</v>
      </c>
      <c r="D1204">
        <v>2001</v>
      </c>
      <c r="E1204" t="s">
        <v>93</v>
      </c>
      <c r="F1204" t="s">
        <v>14</v>
      </c>
      <c r="G1204">
        <v>16</v>
      </c>
    </row>
    <row r="1205" spans="1:7" x14ac:dyDescent="0.35">
      <c r="A1205">
        <v>147838</v>
      </c>
      <c r="B1205">
        <v>0</v>
      </c>
      <c r="C1205" t="s">
        <v>22</v>
      </c>
      <c r="D1205">
        <v>3001</v>
      </c>
      <c r="E1205" t="s">
        <v>93</v>
      </c>
      <c r="F1205" t="s">
        <v>17</v>
      </c>
      <c r="G1205">
        <v>20</v>
      </c>
    </row>
    <row r="1206" spans="1:7" x14ac:dyDescent="0.35">
      <c r="A1206">
        <v>182748</v>
      </c>
      <c r="B1206">
        <v>2</v>
      </c>
      <c r="C1206" t="s">
        <v>40</v>
      </c>
      <c r="D1206">
        <v>2501</v>
      </c>
      <c r="E1206" t="s">
        <v>88</v>
      </c>
      <c r="F1206" t="s">
        <v>14</v>
      </c>
      <c r="G1206">
        <v>12</v>
      </c>
    </row>
    <row r="1207" spans="1:7" x14ac:dyDescent="0.35">
      <c r="A1207">
        <v>177238</v>
      </c>
      <c r="B1207">
        <v>0</v>
      </c>
      <c r="C1207" t="s">
        <v>50</v>
      </c>
      <c r="D1207">
        <v>3207</v>
      </c>
      <c r="E1207" t="s">
        <v>89</v>
      </c>
      <c r="F1207" t="s">
        <v>17</v>
      </c>
      <c r="G1207">
        <v>12</v>
      </c>
    </row>
    <row r="1208" spans="1:7" x14ac:dyDescent="0.35">
      <c r="A1208">
        <v>191138</v>
      </c>
      <c r="B1208">
        <v>0</v>
      </c>
      <c r="C1208" t="s">
        <v>21</v>
      </c>
      <c r="D1208">
        <v>4201</v>
      </c>
      <c r="E1208" t="s">
        <v>89</v>
      </c>
      <c r="F1208" t="s">
        <v>17</v>
      </c>
      <c r="G1208">
        <v>15</v>
      </c>
    </row>
    <row r="1209" spans="1:7" x14ac:dyDescent="0.35">
      <c r="A1209">
        <v>133932</v>
      </c>
      <c r="B1209">
        <v>0</v>
      </c>
      <c r="C1209" t="s">
        <v>40</v>
      </c>
      <c r="D1209">
        <v>0</v>
      </c>
      <c r="E1209" t="s">
        <v>98</v>
      </c>
      <c r="F1209" t="s">
        <v>14</v>
      </c>
      <c r="G1209">
        <v>5</v>
      </c>
    </row>
    <row r="1210" spans="1:7" x14ac:dyDescent="0.35">
      <c r="A1210">
        <v>120608</v>
      </c>
      <c r="B1210">
        <v>0</v>
      </c>
      <c r="C1210" t="s">
        <v>21</v>
      </c>
      <c r="D1210">
        <v>0</v>
      </c>
      <c r="E1210" t="s">
        <v>96</v>
      </c>
      <c r="G1210">
        <v>15</v>
      </c>
    </row>
    <row r="1211" spans="1:7" x14ac:dyDescent="0.35">
      <c r="A1211">
        <v>11562</v>
      </c>
      <c r="B1211">
        <v>0</v>
      </c>
      <c r="C1211" t="s">
        <v>22</v>
      </c>
      <c r="D1211">
        <v>2501</v>
      </c>
      <c r="E1211" t="s">
        <v>93</v>
      </c>
      <c r="F1211" t="s">
        <v>17</v>
      </c>
      <c r="G1211">
        <v>50</v>
      </c>
    </row>
    <row r="1212" spans="1:7" x14ac:dyDescent="0.35">
      <c r="A1212">
        <v>87541</v>
      </c>
      <c r="B1212">
        <v>0</v>
      </c>
      <c r="C1212" t="s">
        <v>40</v>
      </c>
      <c r="D1212">
        <v>4501</v>
      </c>
      <c r="E1212" t="s">
        <v>91</v>
      </c>
      <c r="F1212" t="s">
        <v>17</v>
      </c>
      <c r="G1212">
        <v>5</v>
      </c>
    </row>
    <row r="1213" spans="1:7" x14ac:dyDescent="0.35">
      <c r="A1213">
        <v>1722</v>
      </c>
      <c r="B1213">
        <v>1002</v>
      </c>
      <c r="C1213" t="s">
        <v>22</v>
      </c>
      <c r="D1213">
        <v>5207</v>
      </c>
      <c r="E1213" t="s">
        <v>92</v>
      </c>
      <c r="F1213" t="s">
        <v>14</v>
      </c>
      <c r="G1213">
        <v>10</v>
      </c>
    </row>
    <row r="1214" spans="1:7" x14ac:dyDescent="0.35">
      <c r="A1214">
        <v>32843</v>
      </c>
      <c r="B1214">
        <v>1</v>
      </c>
      <c r="C1214" t="s">
        <v>13</v>
      </c>
      <c r="D1214">
        <v>5901</v>
      </c>
      <c r="E1214" t="s">
        <v>96</v>
      </c>
      <c r="F1214" t="s">
        <v>14</v>
      </c>
      <c r="G1214">
        <v>15</v>
      </c>
    </row>
    <row r="1215" spans="1:7" x14ac:dyDescent="0.35">
      <c r="A1215">
        <v>77439</v>
      </c>
      <c r="B1215">
        <v>2</v>
      </c>
      <c r="C1215" t="s">
        <v>35</v>
      </c>
      <c r="D1215">
        <v>3101</v>
      </c>
      <c r="E1215" t="s">
        <v>91</v>
      </c>
      <c r="F1215" t="s">
        <v>14</v>
      </c>
      <c r="G1215">
        <v>17</v>
      </c>
    </row>
    <row r="1216" spans="1:7" x14ac:dyDescent="0.35">
      <c r="A1216">
        <v>140457</v>
      </c>
      <c r="B1216">
        <v>1</v>
      </c>
      <c r="C1216" t="s">
        <v>54</v>
      </c>
      <c r="D1216">
        <v>2401</v>
      </c>
      <c r="E1216" t="s">
        <v>89</v>
      </c>
      <c r="F1216" t="s">
        <v>14</v>
      </c>
      <c r="G1216">
        <v>10</v>
      </c>
    </row>
    <row r="1217" spans="1:7" x14ac:dyDescent="0.35">
      <c r="A1217">
        <v>70144</v>
      </c>
      <c r="B1217">
        <v>0</v>
      </c>
      <c r="C1217" t="s">
        <v>13</v>
      </c>
      <c r="D1217">
        <v>1711</v>
      </c>
      <c r="E1217" t="s">
        <v>97</v>
      </c>
      <c r="F1217" t="s">
        <v>17</v>
      </c>
      <c r="G1217">
        <v>15</v>
      </c>
    </row>
    <row r="1218" spans="1:7" x14ac:dyDescent="0.35">
      <c r="A1218">
        <v>157947</v>
      </c>
      <c r="B1218">
        <v>0</v>
      </c>
      <c r="C1218" t="s">
        <v>22</v>
      </c>
      <c r="D1218">
        <v>0</v>
      </c>
      <c r="E1218" t="s">
        <v>95</v>
      </c>
      <c r="F1218" t="s">
        <v>17</v>
      </c>
      <c r="G1218">
        <v>5</v>
      </c>
    </row>
    <row r="1219" spans="1:7" x14ac:dyDescent="0.35">
      <c r="A1219">
        <v>137680</v>
      </c>
      <c r="B1219">
        <v>0</v>
      </c>
      <c r="C1219" t="s">
        <v>55</v>
      </c>
      <c r="D1219">
        <v>2308</v>
      </c>
      <c r="E1219" t="s">
        <v>91</v>
      </c>
      <c r="F1219" t="s">
        <v>17</v>
      </c>
      <c r="G1219">
        <v>5</v>
      </c>
    </row>
    <row r="1220" spans="1:7" x14ac:dyDescent="0.35">
      <c r="A1220">
        <v>153708</v>
      </c>
      <c r="B1220">
        <v>28</v>
      </c>
      <c r="C1220" t="s">
        <v>22</v>
      </c>
      <c r="D1220">
        <v>0</v>
      </c>
      <c r="E1220" t="s">
        <v>103</v>
      </c>
      <c r="F1220" t="s">
        <v>17</v>
      </c>
      <c r="G1220">
        <v>21</v>
      </c>
    </row>
    <row r="1221" spans="1:7" x14ac:dyDescent="0.35">
      <c r="A1221">
        <v>27217</v>
      </c>
      <c r="B1221">
        <v>0</v>
      </c>
      <c r="C1221" t="s">
        <v>39</v>
      </c>
      <c r="D1221">
        <v>0</v>
      </c>
      <c r="E1221" t="s">
        <v>91</v>
      </c>
      <c r="F1221" t="s">
        <v>17</v>
      </c>
      <c r="G1221">
        <v>15</v>
      </c>
    </row>
    <row r="1222" spans="1:7" x14ac:dyDescent="0.35">
      <c r="A1222">
        <v>1442</v>
      </c>
      <c r="B1222">
        <v>0</v>
      </c>
      <c r="C1222" t="s">
        <v>36</v>
      </c>
      <c r="D1222">
        <v>5901</v>
      </c>
      <c r="E1222" t="s">
        <v>92</v>
      </c>
      <c r="F1222" t="s">
        <v>17</v>
      </c>
      <c r="G1222">
        <v>24</v>
      </c>
    </row>
    <row r="1223" spans="1:7" x14ac:dyDescent="0.35">
      <c r="A1223">
        <v>38327</v>
      </c>
      <c r="B1223">
        <v>1</v>
      </c>
      <c r="C1223" t="s">
        <v>13</v>
      </c>
      <c r="D1223">
        <v>1103</v>
      </c>
      <c r="E1223" t="s">
        <v>90</v>
      </c>
      <c r="F1223" t="s">
        <v>14</v>
      </c>
      <c r="G1223">
        <v>11</v>
      </c>
    </row>
    <row r="1224" spans="1:7" x14ac:dyDescent="0.35">
      <c r="A1224">
        <v>109287</v>
      </c>
      <c r="B1224">
        <v>0</v>
      </c>
      <c r="C1224" t="s">
        <v>49</v>
      </c>
      <c r="D1224">
        <v>0</v>
      </c>
      <c r="E1224" t="s">
        <v>96</v>
      </c>
      <c r="F1224" t="s">
        <v>17</v>
      </c>
      <c r="G1224">
        <v>5</v>
      </c>
    </row>
    <row r="1225" spans="1:7" x14ac:dyDescent="0.35">
      <c r="A1225">
        <v>77784</v>
      </c>
      <c r="B1225">
        <v>0</v>
      </c>
      <c r="C1225" t="s">
        <v>35</v>
      </c>
      <c r="D1225">
        <v>7102</v>
      </c>
      <c r="E1225" t="s">
        <v>93</v>
      </c>
      <c r="F1225" t="s">
        <v>17</v>
      </c>
      <c r="G1225">
        <v>16</v>
      </c>
    </row>
    <row r="1226" spans="1:7" x14ac:dyDescent="0.35">
      <c r="A1226">
        <v>22098</v>
      </c>
      <c r="B1226">
        <v>2</v>
      </c>
      <c r="C1226" t="s">
        <v>18</v>
      </c>
      <c r="D1226">
        <v>2801</v>
      </c>
      <c r="E1226" t="s">
        <v>89</v>
      </c>
      <c r="F1226" t="s">
        <v>17</v>
      </c>
      <c r="G1226">
        <v>2</v>
      </c>
    </row>
    <row r="1227" spans="1:7" x14ac:dyDescent="0.35">
      <c r="A1227">
        <v>156224</v>
      </c>
      <c r="B1227">
        <v>0</v>
      </c>
      <c r="C1227" t="s">
        <v>22</v>
      </c>
      <c r="D1227">
        <v>4701</v>
      </c>
      <c r="E1227" t="s">
        <v>94</v>
      </c>
      <c r="F1227" t="s">
        <v>14</v>
      </c>
      <c r="G1227">
        <v>30</v>
      </c>
    </row>
    <row r="1228" spans="1:7" x14ac:dyDescent="0.35">
      <c r="A1228">
        <v>169224</v>
      </c>
      <c r="B1228">
        <v>0</v>
      </c>
      <c r="C1228" t="s">
        <v>22</v>
      </c>
      <c r="D1228">
        <v>2201</v>
      </c>
      <c r="E1228" t="s">
        <v>92</v>
      </c>
      <c r="F1228" t="s">
        <v>17</v>
      </c>
      <c r="G1228">
        <v>36</v>
      </c>
    </row>
    <row r="1229" spans="1:7" x14ac:dyDescent="0.35">
      <c r="A1229">
        <v>146341</v>
      </c>
      <c r="B1229">
        <v>1</v>
      </c>
      <c r="C1229" t="s">
        <v>22</v>
      </c>
      <c r="D1229">
        <v>1701</v>
      </c>
      <c r="E1229" t="s">
        <v>103</v>
      </c>
      <c r="F1229" t="s">
        <v>14</v>
      </c>
      <c r="G1229">
        <v>20</v>
      </c>
    </row>
    <row r="1230" spans="1:7" x14ac:dyDescent="0.35">
      <c r="A1230">
        <v>102630</v>
      </c>
      <c r="B1230">
        <v>2</v>
      </c>
      <c r="C1230" t="s">
        <v>36</v>
      </c>
      <c r="D1230">
        <v>0</v>
      </c>
      <c r="E1230" t="s">
        <v>91</v>
      </c>
      <c r="F1230" t="s">
        <v>14</v>
      </c>
      <c r="G1230">
        <v>5</v>
      </c>
    </row>
    <row r="1231" spans="1:7" x14ac:dyDescent="0.35">
      <c r="A1231">
        <v>119362</v>
      </c>
      <c r="B1231">
        <v>28</v>
      </c>
      <c r="C1231" t="s">
        <v>21</v>
      </c>
      <c r="D1231">
        <v>2001</v>
      </c>
      <c r="E1231" t="s">
        <v>92</v>
      </c>
      <c r="F1231" t="s">
        <v>17</v>
      </c>
      <c r="G1231">
        <v>45</v>
      </c>
    </row>
    <row r="1232" spans="1:7" x14ac:dyDescent="0.35">
      <c r="A1232">
        <v>92962</v>
      </c>
      <c r="B1232">
        <v>1</v>
      </c>
      <c r="C1232" t="s">
        <v>22</v>
      </c>
      <c r="D1232">
        <v>0</v>
      </c>
      <c r="E1232" t="s">
        <v>95</v>
      </c>
      <c r="F1232" t="s">
        <v>14</v>
      </c>
      <c r="G1232">
        <v>20</v>
      </c>
    </row>
    <row r="1233" spans="1:7" x14ac:dyDescent="0.35">
      <c r="A1233">
        <v>14420</v>
      </c>
      <c r="B1233">
        <v>0</v>
      </c>
      <c r="C1233" t="s">
        <v>46</v>
      </c>
      <c r="D1233">
        <v>403</v>
      </c>
      <c r="E1233" t="s">
        <v>89</v>
      </c>
      <c r="F1233" t="s">
        <v>17</v>
      </c>
      <c r="G1233">
        <v>10</v>
      </c>
    </row>
    <row r="1234" spans="1:7" x14ac:dyDescent="0.35">
      <c r="A1234">
        <v>157687</v>
      </c>
      <c r="B1234">
        <v>0</v>
      </c>
      <c r="C1234" t="s">
        <v>22</v>
      </c>
      <c r="D1234">
        <v>3801</v>
      </c>
      <c r="E1234" t="s">
        <v>94</v>
      </c>
      <c r="F1234" t="s">
        <v>17</v>
      </c>
      <c r="G1234">
        <v>15</v>
      </c>
    </row>
    <row r="1235" spans="1:7" x14ac:dyDescent="0.35">
      <c r="A1235">
        <v>145436</v>
      </c>
      <c r="B1235">
        <v>1</v>
      </c>
      <c r="C1235" t="s">
        <v>21</v>
      </c>
      <c r="D1235">
        <v>0</v>
      </c>
      <c r="E1235" t="s">
        <v>95</v>
      </c>
      <c r="F1235" t="s">
        <v>14</v>
      </c>
      <c r="G1235">
        <v>10</v>
      </c>
    </row>
    <row r="1236" spans="1:7" x14ac:dyDescent="0.35">
      <c r="A1236">
        <v>62795</v>
      </c>
      <c r="B1236">
        <v>0</v>
      </c>
      <c r="C1236" t="s">
        <v>33</v>
      </c>
      <c r="D1236">
        <v>0</v>
      </c>
      <c r="E1236" t="s">
        <v>91</v>
      </c>
      <c r="F1236" t="s">
        <v>17</v>
      </c>
      <c r="G1236">
        <v>20</v>
      </c>
    </row>
    <row r="1237" spans="1:7" x14ac:dyDescent="0.35">
      <c r="A1237">
        <v>80153</v>
      </c>
      <c r="B1237">
        <v>0</v>
      </c>
      <c r="C1237" t="s">
        <v>35</v>
      </c>
      <c r="D1237">
        <v>2301</v>
      </c>
      <c r="E1237" t="s">
        <v>96</v>
      </c>
      <c r="F1237" t="s">
        <v>14</v>
      </c>
      <c r="G1237">
        <v>5</v>
      </c>
    </row>
    <row r="1238" spans="1:7" x14ac:dyDescent="0.35">
      <c r="A1238">
        <v>21107</v>
      </c>
      <c r="B1238">
        <v>1</v>
      </c>
      <c r="C1238" t="s">
        <v>18</v>
      </c>
      <c r="D1238">
        <v>1907</v>
      </c>
      <c r="E1238" t="s">
        <v>89</v>
      </c>
      <c r="G1238">
        <v>7</v>
      </c>
    </row>
    <row r="1239" spans="1:7" x14ac:dyDescent="0.35">
      <c r="A1239">
        <v>164551</v>
      </c>
      <c r="B1239">
        <v>0</v>
      </c>
      <c r="C1239" t="s">
        <v>22</v>
      </c>
      <c r="D1239">
        <v>0</v>
      </c>
      <c r="E1239" t="s">
        <v>88</v>
      </c>
      <c r="F1239" t="s">
        <v>17</v>
      </c>
      <c r="G1239">
        <v>3</v>
      </c>
    </row>
    <row r="1240" spans="1:7" x14ac:dyDescent="0.35">
      <c r="A1240">
        <v>53485</v>
      </c>
      <c r="B1240">
        <v>28</v>
      </c>
      <c r="C1240" t="s">
        <v>53</v>
      </c>
      <c r="D1240">
        <v>0</v>
      </c>
      <c r="E1240" t="s">
        <v>90</v>
      </c>
      <c r="F1240" t="s">
        <v>17</v>
      </c>
      <c r="G1240">
        <v>7</v>
      </c>
    </row>
    <row r="1241" spans="1:7" x14ac:dyDescent="0.35">
      <c r="A1241">
        <v>25331</v>
      </c>
      <c r="B1241">
        <v>0</v>
      </c>
      <c r="C1241" t="s">
        <v>46</v>
      </c>
      <c r="D1241">
        <v>0</v>
      </c>
      <c r="E1241" t="s">
        <v>91</v>
      </c>
      <c r="F1241" t="s">
        <v>17</v>
      </c>
      <c r="G1241">
        <v>22</v>
      </c>
    </row>
    <row r="1242" spans="1:7" x14ac:dyDescent="0.35">
      <c r="A1242">
        <v>189130</v>
      </c>
      <c r="B1242">
        <v>1</v>
      </c>
      <c r="C1242" t="s">
        <v>16</v>
      </c>
      <c r="D1242">
        <v>2810</v>
      </c>
      <c r="E1242" t="s">
        <v>103</v>
      </c>
      <c r="F1242" t="s">
        <v>14</v>
      </c>
      <c r="G1242">
        <v>51</v>
      </c>
    </row>
    <row r="1243" spans="1:7" x14ac:dyDescent="0.35">
      <c r="A1243">
        <v>190840</v>
      </c>
      <c r="B1243">
        <v>1</v>
      </c>
      <c r="C1243" t="s">
        <v>16</v>
      </c>
      <c r="D1243">
        <v>4912</v>
      </c>
      <c r="E1243" t="s">
        <v>96</v>
      </c>
      <c r="F1243" t="s">
        <v>14</v>
      </c>
      <c r="G1243">
        <v>25</v>
      </c>
    </row>
    <row r="1244" spans="1:7" x14ac:dyDescent="0.35">
      <c r="A1244">
        <v>341</v>
      </c>
      <c r="B1244">
        <v>0</v>
      </c>
      <c r="C1244" t="s">
        <v>39</v>
      </c>
      <c r="D1244">
        <v>3011</v>
      </c>
      <c r="E1244" t="s">
        <v>91</v>
      </c>
      <c r="F1244" t="s">
        <v>17</v>
      </c>
      <c r="G1244">
        <v>25</v>
      </c>
    </row>
    <row r="1245" spans="1:7" x14ac:dyDescent="0.35">
      <c r="A1245">
        <v>109240</v>
      </c>
      <c r="B1245">
        <v>0</v>
      </c>
      <c r="C1245" t="s">
        <v>49</v>
      </c>
      <c r="D1245">
        <v>3711</v>
      </c>
      <c r="E1245" t="s">
        <v>104</v>
      </c>
      <c r="F1245" t="s">
        <v>14</v>
      </c>
      <c r="G1245">
        <v>7</v>
      </c>
    </row>
    <row r="1246" spans="1:7" x14ac:dyDescent="0.35">
      <c r="A1246">
        <v>6028</v>
      </c>
      <c r="B1246">
        <v>4</v>
      </c>
      <c r="C1246" t="s">
        <v>59</v>
      </c>
      <c r="D1246">
        <v>4912</v>
      </c>
      <c r="E1246" t="s">
        <v>93</v>
      </c>
      <c r="F1246" t="s">
        <v>14</v>
      </c>
      <c r="G1246">
        <v>15</v>
      </c>
    </row>
    <row r="1247" spans="1:7" x14ac:dyDescent="0.35">
      <c r="A1247">
        <v>169722</v>
      </c>
      <c r="B1247">
        <v>0</v>
      </c>
      <c r="C1247" t="s">
        <v>22</v>
      </c>
      <c r="D1247">
        <v>4701</v>
      </c>
      <c r="E1247" t="s">
        <v>88</v>
      </c>
      <c r="F1247" t="s">
        <v>17</v>
      </c>
      <c r="G1247">
        <v>20</v>
      </c>
    </row>
    <row r="1248" spans="1:7" x14ac:dyDescent="0.35">
      <c r="A1248">
        <v>91467</v>
      </c>
      <c r="B1248">
        <v>28</v>
      </c>
      <c r="C1248" t="s">
        <v>16</v>
      </c>
      <c r="D1248">
        <v>4106</v>
      </c>
      <c r="E1248" t="s">
        <v>89</v>
      </c>
      <c r="F1248" t="s">
        <v>17</v>
      </c>
      <c r="G1248">
        <v>8</v>
      </c>
    </row>
    <row r="1249" spans="1:7" x14ac:dyDescent="0.35">
      <c r="A1249">
        <v>88537</v>
      </c>
      <c r="B1249">
        <v>1</v>
      </c>
      <c r="C1249" t="s">
        <v>16</v>
      </c>
      <c r="D1249">
        <v>2106</v>
      </c>
      <c r="E1249" t="s">
        <v>89</v>
      </c>
      <c r="F1249" t="s">
        <v>14</v>
      </c>
      <c r="G1249">
        <v>5</v>
      </c>
    </row>
    <row r="1250" spans="1:7" x14ac:dyDescent="0.35">
      <c r="A1250">
        <v>162740</v>
      </c>
      <c r="B1250">
        <v>0</v>
      </c>
      <c r="C1250" t="s">
        <v>22</v>
      </c>
      <c r="D1250">
        <v>2201</v>
      </c>
      <c r="E1250" t="s">
        <v>90</v>
      </c>
      <c r="F1250" t="s">
        <v>17</v>
      </c>
      <c r="G1250">
        <v>14</v>
      </c>
    </row>
    <row r="1251" spans="1:7" x14ac:dyDescent="0.35">
      <c r="A1251">
        <v>123622</v>
      </c>
      <c r="B1251">
        <v>1</v>
      </c>
      <c r="C1251" t="s">
        <v>21</v>
      </c>
      <c r="D1251">
        <v>5401</v>
      </c>
      <c r="E1251" t="s">
        <v>97</v>
      </c>
      <c r="F1251" t="s">
        <v>14</v>
      </c>
      <c r="G1251">
        <v>25</v>
      </c>
    </row>
    <row r="1252" spans="1:7" x14ac:dyDescent="0.35">
      <c r="A1252">
        <v>12370</v>
      </c>
      <c r="B1252">
        <v>0</v>
      </c>
      <c r="C1252" t="s">
        <v>22</v>
      </c>
      <c r="D1252">
        <v>0</v>
      </c>
      <c r="E1252" t="s">
        <v>92</v>
      </c>
      <c r="F1252" t="s">
        <v>17</v>
      </c>
      <c r="G1252">
        <v>20</v>
      </c>
    </row>
    <row r="1253" spans="1:7" x14ac:dyDescent="0.35">
      <c r="A1253">
        <v>91453</v>
      </c>
      <c r="B1253">
        <v>0</v>
      </c>
      <c r="C1253" t="s">
        <v>16</v>
      </c>
      <c r="D1253">
        <v>0</v>
      </c>
      <c r="E1253" t="s">
        <v>89</v>
      </c>
      <c r="F1253" t="s">
        <v>17</v>
      </c>
      <c r="G1253">
        <v>21</v>
      </c>
    </row>
    <row r="1254" spans="1:7" x14ac:dyDescent="0.35">
      <c r="A1254">
        <v>42543</v>
      </c>
      <c r="B1254">
        <v>0</v>
      </c>
      <c r="C1254" t="s">
        <v>13</v>
      </c>
      <c r="D1254">
        <v>0</v>
      </c>
      <c r="E1254" t="s">
        <v>91</v>
      </c>
      <c r="F1254" t="s">
        <v>14</v>
      </c>
      <c r="G1254">
        <v>20</v>
      </c>
    </row>
    <row r="1255" spans="1:7" x14ac:dyDescent="0.35">
      <c r="A1255">
        <v>89768</v>
      </c>
      <c r="B1255">
        <v>2</v>
      </c>
      <c r="C1255" t="s">
        <v>16</v>
      </c>
      <c r="D1255">
        <v>0</v>
      </c>
      <c r="E1255" t="s">
        <v>90</v>
      </c>
      <c r="F1255" t="s">
        <v>14</v>
      </c>
      <c r="G1255">
        <v>11</v>
      </c>
    </row>
    <row r="1256" spans="1:7" x14ac:dyDescent="0.35">
      <c r="A1256">
        <v>139175</v>
      </c>
      <c r="B1256">
        <v>0</v>
      </c>
      <c r="C1256" t="s">
        <v>54</v>
      </c>
      <c r="D1256">
        <v>0</v>
      </c>
      <c r="E1256" t="s">
        <v>91</v>
      </c>
      <c r="F1256" t="s">
        <v>17</v>
      </c>
      <c r="G1256">
        <v>10</v>
      </c>
    </row>
    <row r="1257" spans="1:7" x14ac:dyDescent="0.35">
      <c r="A1257">
        <v>83559</v>
      </c>
      <c r="B1257">
        <v>1</v>
      </c>
      <c r="C1257" t="s">
        <v>31</v>
      </c>
      <c r="D1257">
        <v>5902</v>
      </c>
      <c r="E1257" t="s">
        <v>103</v>
      </c>
      <c r="F1257" t="s">
        <v>14</v>
      </c>
      <c r="G1257">
        <v>10</v>
      </c>
    </row>
    <row r="1258" spans="1:7" x14ac:dyDescent="0.35">
      <c r="A1258">
        <v>113312</v>
      </c>
      <c r="B1258">
        <v>2</v>
      </c>
      <c r="C1258" t="s">
        <v>31</v>
      </c>
      <c r="D1258">
        <v>2301</v>
      </c>
      <c r="E1258" t="s">
        <v>92</v>
      </c>
      <c r="F1258" t="s">
        <v>17</v>
      </c>
      <c r="G1258">
        <v>5</v>
      </c>
    </row>
    <row r="1259" spans="1:7" x14ac:dyDescent="0.35">
      <c r="A1259">
        <v>117329</v>
      </c>
      <c r="B1259">
        <v>28</v>
      </c>
      <c r="C1259" t="s">
        <v>21</v>
      </c>
      <c r="D1259">
        <v>2712</v>
      </c>
      <c r="E1259" t="s">
        <v>93</v>
      </c>
      <c r="F1259" t="s">
        <v>17</v>
      </c>
      <c r="G1259">
        <v>15</v>
      </c>
    </row>
    <row r="1260" spans="1:7" x14ac:dyDescent="0.35">
      <c r="A1260">
        <v>56674</v>
      </c>
      <c r="B1260">
        <v>1</v>
      </c>
      <c r="C1260" t="s">
        <v>57</v>
      </c>
      <c r="D1260">
        <v>2101</v>
      </c>
      <c r="E1260" t="s">
        <v>102</v>
      </c>
      <c r="F1260" t="s">
        <v>14</v>
      </c>
      <c r="G1260">
        <v>15</v>
      </c>
    </row>
    <row r="1261" spans="1:7" x14ac:dyDescent="0.35">
      <c r="A1261">
        <v>40105</v>
      </c>
      <c r="B1261">
        <v>0</v>
      </c>
      <c r="C1261" t="s">
        <v>13</v>
      </c>
      <c r="D1261">
        <v>4608</v>
      </c>
      <c r="E1261" t="s">
        <v>97</v>
      </c>
      <c r="F1261" t="s">
        <v>17</v>
      </c>
      <c r="G1261">
        <v>23</v>
      </c>
    </row>
    <row r="1262" spans="1:7" x14ac:dyDescent="0.35">
      <c r="A1262">
        <v>76914</v>
      </c>
      <c r="B1262">
        <v>0</v>
      </c>
      <c r="C1262" t="s">
        <v>47</v>
      </c>
      <c r="D1262">
        <v>0</v>
      </c>
      <c r="E1262" t="s">
        <v>91</v>
      </c>
      <c r="F1262" t="s">
        <v>14</v>
      </c>
      <c r="G1262">
        <v>15</v>
      </c>
    </row>
    <row r="1263" spans="1:7" x14ac:dyDescent="0.35">
      <c r="A1263">
        <v>7947</v>
      </c>
      <c r="B1263">
        <v>1</v>
      </c>
      <c r="C1263" t="s">
        <v>29</v>
      </c>
      <c r="D1263">
        <v>1612</v>
      </c>
      <c r="E1263" t="s">
        <v>91</v>
      </c>
      <c r="F1263" t="s">
        <v>14</v>
      </c>
      <c r="G1263">
        <v>11</v>
      </c>
    </row>
    <row r="1264" spans="1:7" x14ac:dyDescent="0.35">
      <c r="A1264">
        <v>166350</v>
      </c>
      <c r="B1264">
        <v>0</v>
      </c>
      <c r="C1264" t="s">
        <v>22</v>
      </c>
      <c r="D1264">
        <v>5201</v>
      </c>
      <c r="E1264" t="s">
        <v>93</v>
      </c>
      <c r="F1264" t="s">
        <v>17</v>
      </c>
      <c r="G1264">
        <v>25</v>
      </c>
    </row>
    <row r="1265" spans="1:7" x14ac:dyDescent="0.35">
      <c r="A1265">
        <v>2151</v>
      </c>
      <c r="B1265">
        <v>1</v>
      </c>
      <c r="C1265" t="s">
        <v>22</v>
      </c>
      <c r="D1265">
        <v>5001</v>
      </c>
      <c r="E1265" t="s">
        <v>96</v>
      </c>
      <c r="F1265" t="s">
        <v>14</v>
      </c>
      <c r="G1265">
        <v>25</v>
      </c>
    </row>
    <row r="1266" spans="1:7" x14ac:dyDescent="0.35">
      <c r="A1266">
        <v>107298</v>
      </c>
      <c r="B1266">
        <v>0</v>
      </c>
      <c r="C1266" t="s">
        <v>59</v>
      </c>
      <c r="D1266">
        <v>4401</v>
      </c>
      <c r="E1266" t="s">
        <v>90</v>
      </c>
      <c r="F1266" t="s">
        <v>17</v>
      </c>
      <c r="G1266">
        <v>43</v>
      </c>
    </row>
    <row r="1267" spans="1:7" x14ac:dyDescent="0.35">
      <c r="A1267">
        <v>37762</v>
      </c>
      <c r="B1267">
        <v>1</v>
      </c>
      <c r="C1267" t="s">
        <v>13</v>
      </c>
      <c r="D1267">
        <v>3401</v>
      </c>
      <c r="E1267" t="s">
        <v>92</v>
      </c>
      <c r="F1267" t="s">
        <v>14</v>
      </c>
      <c r="G1267">
        <v>30</v>
      </c>
    </row>
    <row r="1268" spans="1:7" x14ac:dyDescent="0.35">
      <c r="A1268">
        <v>117383</v>
      </c>
      <c r="B1268">
        <v>2</v>
      </c>
      <c r="C1268" t="s">
        <v>21</v>
      </c>
      <c r="D1268">
        <v>4801</v>
      </c>
      <c r="E1268" t="s">
        <v>90</v>
      </c>
      <c r="F1268" t="s">
        <v>17</v>
      </c>
      <c r="G1268">
        <v>21</v>
      </c>
    </row>
    <row r="1269" spans="1:7" x14ac:dyDescent="0.35">
      <c r="A1269">
        <v>174375</v>
      </c>
      <c r="B1269">
        <v>28</v>
      </c>
      <c r="C1269" t="s">
        <v>50</v>
      </c>
      <c r="D1269">
        <v>5801</v>
      </c>
      <c r="E1269" t="s">
        <v>90</v>
      </c>
      <c r="F1269" t="s">
        <v>17</v>
      </c>
      <c r="G1269">
        <v>25</v>
      </c>
    </row>
    <row r="1270" spans="1:7" x14ac:dyDescent="0.35">
      <c r="A1270">
        <v>102742</v>
      </c>
      <c r="B1270">
        <v>1</v>
      </c>
      <c r="C1270" t="s">
        <v>36</v>
      </c>
      <c r="D1270">
        <v>4401</v>
      </c>
      <c r="E1270" t="s">
        <v>91</v>
      </c>
      <c r="F1270" t="s">
        <v>14</v>
      </c>
      <c r="G1270">
        <v>9</v>
      </c>
    </row>
    <row r="1271" spans="1:7" x14ac:dyDescent="0.35">
      <c r="A1271">
        <v>53793</v>
      </c>
      <c r="B1271">
        <v>28</v>
      </c>
      <c r="C1271" t="s">
        <v>53</v>
      </c>
      <c r="D1271">
        <v>4901</v>
      </c>
      <c r="E1271" t="s">
        <v>93</v>
      </c>
      <c r="F1271" t="s">
        <v>17</v>
      </c>
      <c r="G1271">
        <v>5</v>
      </c>
    </row>
    <row r="1272" spans="1:7" x14ac:dyDescent="0.35">
      <c r="A1272">
        <v>59070</v>
      </c>
      <c r="B1272">
        <v>1</v>
      </c>
      <c r="C1272" t="s">
        <v>57</v>
      </c>
      <c r="D1272">
        <v>5003</v>
      </c>
      <c r="E1272" t="s">
        <v>98</v>
      </c>
      <c r="F1272" t="s">
        <v>14</v>
      </c>
      <c r="G1272">
        <v>10</v>
      </c>
    </row>
    <row r="1273" spans="1:7" x14ac:dyDescent="0.35">
      <c r="A1273">
        <v>107279</v>
      </c>
      <c r="B1273">
        <v>0</v>
      </c>
      <c r="C1273" t="s">
        <v>59</v>
      </c>
      <c r="D1273">
        <v>4701</v>
      </c>
      <c r="E1273" t="s">
        <v>93</v>
      </c>
      <c r="F1273" t="s">
        <v>17</v>
      </c>
      <c r="G1273">
        <v>4</v>
      </c>
    </row>
    <row r="1274" spans="1:7" x14ac:dyDescent="0.35">
      <c r="A1274">
        <v>88886</v>
      </c>
      <c r="B1274">
        <v>1</v>
      </c>
      <c r="C1274" t="s">
        <v>16</v>
      </c>
      <c r="D1274">
        <v>5411</v>
      </c>
      <c r="E1274" t="s">
        <v>91</v>
      </c>
      <c r="F1274" t="s">
        <v>14</v>
      </c>
      <c r="G1274">
        <v>40</v>
      </c>
    </row>
    <row r="1275" spans="1:7" x14ac:dyDescent="0.35">
      <c r="A1275">
        <v>190552</v>
      </c>
      <c r="B1275">
        <v>1</v>
      </c>
      <c r="C1275" t="s">
        <v>54</v>
      </c>
      <c r="D1275">
        <v>3501</v>
      </c>
      <c r="F1275" t="s">
        <v>14</v>
      </c>
      <c r="G1275">
        <v>7</v>
      </c>
    </row>
    <row r="1276" spans="1:7" x14ac:dyDescent="0.35">
      <c r="A1276">
        <v>148869</v>
      </c>
      <c r="B1276">
        <v>1</v>
      </c>
      <c r="C1276" t="s">
        <v>22</v>
      </c>
      <c r="D1276">
        <v>6401</v>
      </c>
      <c r="E1276" t="s">
        <v>92</v>
      </c>
      <c r="F1276" t="s">
        <v>14</v>
      </c>
      <c r="G1276">
        <v>15</v>
      </c>
    </row>
    <row r="1277" spans="1:7" x14ac:dyDescent="0.35">
      <c r="A1277">
        <v>146463</v>
      </c>
      <c r="B1277">
        <v>0</v>
      </c>
      <c r="C1277" t="s">
        <v>22</v>
      </c>
      <c r="D1277">
        <v>2601</v>
      </c>
      <c r="E1277" t="s">
        <v>103</v>
      </c>
      <c r="F1277" t="s">
        <v>30</v>
      </c>
      <c r="G1277">
        <v>5</v>
      </c>
    </row>
    <row r="1278" spans="1:7" x14ac:dyDescent="0.35">
      <c r="A1278">
        <v>85204</v>
      </c>
      <c r="B1278">
        <v>1</v>
      </c>
      <c r="C1278" t="s">
        <v>56</v>
      </c>
      <c r="D1278">
        <v>2210</v>
      </c>
      <c r="E1278" t="s">
        <v>91</v>
      </c>
      <c r="F1278" t="s">
        <v>14</v>
      </c>
      <c r="G1278">
        <v>20</v>
      </c>
    </row>
    <row r="1279" spans="1:7" x14ac:dyDescent="0.35">
      <c r="A1279">
        <v>143782</v>
      </c>
      <c r="B1279">
        <v>1</v>
      </c>
      <c r="C1279" t="s">
        <v>22</v>
      </c>
      <c r="D1279">
        <v>4801</v>
      </c>
      <c r="E1279" t="s">
        <v>93</v>
      </c>
      <c r="F1279" t="s">
        <v>14</v>
      </c>
      <c r="G1279">
        <v>25</v>
      </c>
    </row>
    <row r="1280" spans="1:7" x14ac:dyDescent="0.35">
      <c r="A1280">
        <v>17102</v>
      </c>
      <c r="B1280">
        <v>2</v>
      </c>
      <c r="C1280" t="s">
        <v>18</v>
      </c>
      <c r="D1280">
        <v>0</v>
      </c>
      <c r="E1280" t="s">
        <v>89</v>
      </c>
      <c r="F1280" t="s">
        <v>17</v>
      </c>
      <c r="G1280">
        <v>7</v>
      </c>
    </row>
    <row r="1281" spans="1:7" x14ac:dyDescent="0.35">
      <c r="A1281">
        <v>190157</v>
      </c>
      <c r="B1281">
        <v>0</v>
      </c>
      <c r="C1281" t="s">
        <v>18</v>
      </c>
      <c r="D1281">
        <v>0</v>
      </c>
      <c r="E1281" t="s">
        <v>89</v>
      </c>
      <c r="F1281" t="s">
        <v>17</v>
      </c>
      <c r="G1281">
        <v>15</v>
      </c>
    </row>
    <row r="1282" spans="1:7" x14ac:dyDescent="0.35">
      <c r="A1282">
        <v>93681</v>
      </c>
      <c r="B1282">
        <v>1</v>
      </c>
      <c r="C1282" t="s">
        <v>16</v>
      </c>
      <c r="D1282">
        <v>2309</v>
      </c>
      <c r="E1282" t="s">
        <v>101</v>
      </c>
      <c r="F1282" t="s">
        <v>14</v>
      </c>
      <c r="G1282">
        <v>16</v>
      </c>
    </row>
    <row r="1283" spans="1:7" x14ac:dyDescent="0.35">
      <c r="A1283">
        <v>105741</v>
      </c>
      <c r="B1283">
        <v>2</v>
      </c>
      <c r="C1283" t="s">
        <v>28</v>
      </c>
      <c r="D1283">
        <v>4401</v>
      </c>
      <c r="E1283" t="s">
        <v>90</v>
      </c>
      <c r="F1283" t="s">
        <v>14</v>
      </c>
      <c r="G1283">
        <v>20</v>
      </c>
    </row>
    <row r="1284" spans="1:7" x14ac:dyDescent="0.35">
      <c r="A1284">
        <v>98962</v>
      </c>
      <c r="B1284">
        <v>0</v>
      </c>
      <c r="C1284" t="s">
        <v>16</v>
      </c>
      <c r="D1284">
        <v>2308</v>
      </c>
      <c r="E1284" t="s">
        <v>91</v>
      </c>
      <c r="F1284" t="s">
        <v>17</v>
      </c>
      <c r="G1284">
        <v>25</v>
      </c>
    </row>
    <row r="1285" spans="1:7" x14ac:dyDescent="0.35">
      <c r="A1285">
        <v>32552</v>
      </c>
      <c r="B1285">
        <v>0</v>
      </c>
      <c r="C1285" t="s">
        <v>13</v>
      </c>
      <c r="D1285">
        <v>3802</v>
      </c>
      <c r="E1285" t="s">
        <v>94</v>
      </c>
      <c r="F1285" t="s">
        <v>17</v>
      </c>
      <c r="G1285">
        <v>20</v>
      </c>
    </row>
    <row r="1286" spans="1:7" x14ac:dyDescent="0.35">
      <c r="A1286">
        <v>23465</v>
      </c>
      <c r="B1286">
        <v>1</v>
      </c>
      <c r="C1286" t="s">
        <v>46</v>
      </c>
      <c r="D1286">
        <v>2701</v>
      </c>
      <c r="E1286" t="s">
        <v>90</v>
      </c>
      <c r="F1286" t="s">
        <v>17</v>
      </c>
      <c r="G1286">
        <v>15</v>
      </c>
    </row>
    <row r="1287" spans="1:7" x14ac:dyDescent="0.35">
      <c r="A1287">
        <v>155130</v>
      </c>
      <c r="B1287">
        <v>1</v>
      </c>
      <c r="C1287" t="s">
        <v>22</v>
      </c>
      <c r="D1287">
        <v>4901</v>
      </c>
      <c r="E1287" t="s">
        <v>93</v>
      </c>
      <c r="F1287" t="s">
        <v>14</v>
      </c>
      <c r="G1287" t="s">
        <v>108</v>
      </c>
    </row>
    <row r="1288" spans="1:7" x14ac:dyDescent="0.35">
      <c r="A1288">
        <v>15017</v>
      </c>
      <c r="B1288">
        <v>0</v>
      </c>
      <c r="C1288" t="s">
        <v>13</v>
      </c>
      <c r="D1288">
        <v>0</v>
      </c>
      <c r="F1288" t="s">
        <v>17</v>
      </c>
      <c r="G1288">
        <v>18</v>
      </c>
    </row>
    <row r="1289" spans="1:7" x14ac:dyDescent="0.35">
      <c r="A1289">
        <v>123438</v>
      </c>
      <c r="B1289">
        <v>0</v>
      </c>
      <c r="C1289" t="s">
        <v>21</v>
      </c>
      <c r="D1289">
        <v>6601</v>
      </c>
      <c r="E1289" t="s">
        <v>89</v>
      </c>
      <c r="F1289" t="s">
        <v>17</v>
      </c>
      <c r="G1289">
        <v>3</v>
      </c>
    </row>
    <row r="1290" spans="1:7" x14ac:dyDescent="0.35">
      <c r="A1290">
        <v>178796</v>
      </c>
      <c r="B1290">
        <v>28</v>
      </c>
      <c r="C1290" t="s">
        <v>40</v>
      </c>
      <c r="D1290">
        <v>3503</v>
      </c>
      <c r="E1290" t="s">
        <v>93</v>
      </c>
      <c r="F1290" t="s">
        <v>17</v>
      </c>
      <c r="G1290">
        <v>9</v>
      </c>
    </row>
    <row r="1291" spans="1:7" x14ac:dyDescent="0.35">
      <c r="A1291">
        <v>143790</v>
      </c>
      <c r="B1291">
        <v>2</v>
      </c>
      <c r="C1291" t="s">
        <v>22</v>
      </c>
      <c r="D1291">
        <v>4101</v>
      </c>
      <c r="E1291" t="s">
        <v>93</v>
      </c>
      <c r="F1291" t="s">
        <v>17</v>
      </c>
      <c r="G1291">
        <v>15</v>
      </c>
    </row>
    <row r="1292" spans="1:7" x14ac:dyDescent="0.35">
      <c r="A1292">
        <v>173737</v>
      </c>
      <c r="B1292">
        <v>1</v>
      </c>
      <c r="C1292" t="s">
        <v>37</v>
      </c>
      <c r="D1292">
        <v>1801</v>
      </c>
      <c r="E1292" t="s">
        <v>89</v>
      </c>
      <c r="F1292" t="s">
        <v>14</v>
      </c>
      <c r="G1292">
        <v>20</v>
      </c>
    </row>
    <row r="1293" spans="1:7" x14ac:dyDescent="0.35">
      <c r="A1293">
        <v>57017</v>
      </c>
      <c r="B1293">
        <v>0</v>
      </c>
      <c r="C1293" t="s">
        <v>13</v>
      </c>
      <c r="D1293">
        <v>0</v>
      </c>
      <c r="E1293" t="s">
        <v>89</v>
      </c>
      <c r="F1293" t="s">
        <v>17</v>
      </c>
      <c r="G1293">
        <v>20</v>
      </c>
    </row>
    <row r="1294" spans="1:7" x14ac:dyDescent="0.35">
      <c r="A1294">
        <v>131551</v>
      </c>
      <c r="B1294">
        <v>1</v>
      </c>
      <c r="C1294" t="s">
        <v>48</v>
      </c>
      <c r="D1294">
        <v>1710</v>
      </c>
      <c r="E1294" t="s">
        <v>88</v>
      </c>
      <c r="F1294" t="s">
        <v>14</v>
      </c>
      <c r="G1294">
        <v>10</v>
      </c>
    </row>
    <row r="1295" spans="1:7" x14ac:dyDescent="0.35">
      <c r="A1295">
        <v>72796</v>
      </c>
      <c r="B1295">
        <v>0</v>
      </c>
      <c r="C1295" t="s">
        <v>29</v>
      </c>
      <c r="D1295">
        <v>4905</v>
      </c>
      <c r="E1295" t="s">
        <v>91</v>
      </c>
      <c r="F1295" t="s">
        <v>14</v>
      </c>
      <c r="G1295">
        <v>15</v>
      </c>
    </row>
    <row r="1296" spans="1:7" x14ac:dyDescent="0.35">
      <c r="A1296">
        <v>178498</v>
      </c>
      <c r="B1296">
        <v>0</v>
      </c>
      <c r="C1296" t="s">
        <v>40</v>
      </c>
      <c r="D1296">
        <v>2802</v>
      </c>
      <c r="E1296" t="s">
        <v>90</v>
      </c>
      <c r="F1296" t="s">
        <v>14</v>
      </c>
      <c r="G1296">
        <v>15</v>
      </c>
    </row>
    <row r="1297" spans="1:7" x14ac:dyDescent="0.35">
      <c r="A1297">
        <v>77742</v>
      </c>
      <c r="B1297">
        <v>0</v>
      </c>
      <c r="C1297" t="s">
        <v>21</v>
      </c>
      <c r="D1297">
        <v>0</v>
      </c>
      <c r="E1297" t="s">
        <v>91</v>
      </c>
      <c r="G1297">
        <v>5</v>
      </c>
    </row>
    <row r="1298" spans="1:7" x14ac:dyDescent="0.35">
      <c r="A1298">
        <v>21204</v>
      </c>
      <c r="B1298">
        <v>2</v>
      </c>
      <c r="C1298" t="s">
        <v>18</v>
      </c>
      <c r="D1298">
        <v>4001</v>
      </c>
      <c r="E1298" t="s">
        <v>88</v>
      </c>
      <c r="F1298" t="s">
        <v>17</v>
      </c>
      <c r="G1298">
        <v>8</v>
      </c>
    </row>
    <row r="1299" spans="1:7" x14ac:dyDescent="0.35">
      <c r="A1299">
        <v>71146</v>
      </c>
      <c r="B1299">
        <v>0</v>
      </c>
      <c r="C1299" t="s">
        <v>29</v>
      </c>
      <c r="D1299">
        <v>7401</v>
      </c>
      <c r="E1299" t="s">
        <v>89</v>
      </c>
      <c r="F1299" t="s">
        <v>17</v>
      </c>
      <c r="G1299">
        <v>10</v>
      </c>
    </row>
    <row r="1300" spans="1:7" x14ac:dyDescent="0.35">
      <c r="A1300">
        <v>161230</v>
      </c>
      <c r="B1300">
        <v>0</v>
      </c>
      <c r="C1300" t="s">
        <v>22</v>
      </c>
      <c r="D1300">
        <v>5207</v>
      </c>
      <c r="E1300" t="s">
        <v>89</v>
      </c>
      <c r="F1300" t="s">
        <v>17</v>
      </c>
      <c r="G1300">
        <v>20</v>
      </c>
    </row>
    <row r="1301" spans="1:7" x14ac:dyDescent="0.35">
      <c r="A1301">
        <v>67712</v>
      </c>
      <c r="B1301">
        <v>0</v>
      </c>
      <c r="C1301" t="s">
        <v>29</v>
      </c>
      <c r="D1301">
        <v>801</v>
      </c>
      <c r="E1301" t="s">
        <v>103</v>
      </c>
      <c r="F1301" t="s">
        <v>17</v>
      </c>
      <c r="G1301">
        <v>100</v>
      </c>
    </row>
    <row r="1302" spans="1:7" x14ac:dyDescent="0.35">
      <c r="A1302">
        <v>178540</v>
      </c>
      <c r="B1302">
        <v>0</v>
      </c>
      <c r="C1302" t="s">
        <v>40</v>
      </c>
      <c r="D1302">
        <v>1501</v>
      </c>
      <c r="E1302" t="s">
        <v>89</v>
      </c>
      <c r="F1302" t="s">
        <v>17</v>
      </c>
      <c r="G1302">
        <v>15</v>
      </c>
    </row>
    <row r="1303" spans="1:7" x14ac:dyDescent="0.35">
      <c r="A1303">
        <v>35306</v>
      </c>
      <c r="B1303">
        <v>0</v>
      </c>
      <c r="C1303" t="s">
        <v>13</v>
      </c>
      <c r="D1303">
        <v>5610</v>
      </c>
      <c r="E1303" t="s">
        <v>88</v>
      </c>
      <c r="F1303" t="s">
        <v>17</v>
      </c>
      <c r="G1303">
        <v>25</v>
      </c>
    </row>
    <row r="1304" spans="1:7" x14ac:dyDescent="0.35">
      <c r="A1304">
        <v>14984</v>
      </c>
      <c r="B1304">
        <v>1</v>
      </c>
      <c r="C1304" t="s">
        <v>56</v>
      </c>
      <c r="D1304">
        <v>5401</v>
      </c>
      <c r="F1304" t="s">
        <v>14</v>
      </c>
      <c r="G1304">
        <v>15</v>
      </c>
    </row>
    <row r="1305" spans="1:7" x14ac:dyDescent="0.35">
      <c r="A1305">
        <v>53295</v>
      </c>
      <c r="B1305">
        <v>0</v>
      </c>
      <c r="C1305" t="s">
        <v>53</v>
      </c>
      <c r="D1305">
        <v>5401</v>
      </c>
      <c r="E1305" t="s">
        <v>101</v>
      </c>
      <c r="F1305" t="s">
        <v>17</v>
      </c>
      <c r="G1305">
        <v>15</v>
      </c>
    </row>
    <row r="1306" spans="1:7" x14ac:dyDescent="0.35">
      <c r="A1306">
        <v>115398</v>
      </c>
      <c r="B1306">
        <v>0</v>
      </c>
      <c r="C1306" t="s">
        <v>31</v>
      </c>
      <c r="D1306">
        <v>2901</v>
      </c>
      <c r="E1306" t="s">
        <v>91</v>
      </c>
      <c r="F1306" t="s">
        <v>17</v>
      </c>
      <c r="G1306">
        <v>5</v>
      </c>
    </row>
    <row r="1307" spans="1:7" x14ac:dyDescent="0.35">
      <c r="A1307">
        <v>24610</v>
      </c>
      <c r="B1307">
        <v>0</v>
      </c>
      <c r="C1307" t="s">
        <v>46</v>
      </c>
      <c r="D1307">
        <v>1701</v>
      </c>
      <c r="E1307" t="s">
        <v>98</v>
      </c>
      <c r="F1307" t="s">
        <v>14</v>
      </c>
      <c r="G1307">
        <v>4</v>
      </c>
    </row>
    <row r="1308" spans="1:7" x14ac:dyDescent="0.35">
      <c r="A1308">
        <v>116993</v>
      </c>
      <c r="B1308">
        <v>1</v>
      </c>
      <c r="C1308" t="s">
        <v>21</v>
      </c>
      <c r="D1308">
        <v>1</v>
      </c>
      <c r="E1308" t="s">
        <v>95</v>
      </c>
      <c r="F1308" t="s">
        <v>14</v>
      </c>
      <c r="G1308">
        <v>10</v>
      </c>
    </row>
    <row r="1309" spans="1:7" x14ac:dyDescent="0.35">
      <c r="A1309">
        <v>80800</v>
      </c>
      <c r="B1309">
        <v>2</v>
      </c>
      <c r="C1309" t="s">
        <v>35</v>
      </c>
      <c r="D1309">
        <v>3001</v>
      </c>
      <c r="E1309" t="s">
        <v>91</v>
      </c>
      <c r="F1309" t="s">
        <v>17</v>
      </c>
      <c r="G1309">
        <v>8</v>
      </c>
    </row>
    <row r="1310" spans="1:7" x14ac:dyDescent="0.35">
      <c r="A1310">
        <v>72757</v>
      </c>
      <c r="B1310">
        <v>2</v>
      </c>
      <c r="C1310" t="s">
        <v>29</v>
      </c>
      <c r="D1310">
        <v>1105</v>
      </c>
      <c r="E1310" t="s">
        <v>91</v>
      </c>
      <c r="F1310" t="s">
        <v>17</v>
      </c>
      <c r="G1310">
        <v>21</v>
      </c>
    </row>
    <row r="1311" spans="1:7" x14ac:dyDescent="0.35">
      <c r="A1311">
        <v>38642</v>
      </c>
      <c r="B1311">
        <v>0</v>
      </c>
      <c r="C1311" t="s">
        <v>13</v>
      </c>
      <c r="D1311">
        <v>7401</v>
      </c>
      <c r="E1311" t="s">
        <v>90</v>
      </c>
      <c r="F1311" t="s">
        <v>14</v>
      </c>
      <c r="G1311">
        <v>10</v>
      </c>
    </row>
    <row r="1312" spans="1:7" x14ac:dyDescent="0.35">
      <c r="A1312">
        <v>179293</v>
      </c>
      <c r="B1312">
        <v>2</v>
      </c>
      <c r="C1312" t="s">
        <v>40</v>
      </c>
      <c r="D1312">
        <v>0</v>
      </c>
      <c r="E1312" t="s">
        <v>90</v>
      </c>
      <c r="F1312" t="s">
        <v>14</v>
      </c>
      <c r="G1312">
        <v>10</v>
      </c>
    </row>
    <row r="1313" spans="1:7" x14ac:dyDescent="0.35">
      <c r="A1313">
        <v>79427</v>
      </c>
      <c r="B1313">
        <v>2</v>
      </c>
      <c r="C1313" t="s">
        <v>35</v>
      </c>
      <c r="D1313">
        <v>3508</v>
      </c>
      <c r="E1313" t="s">
        <v>89</v>
      </c>
      <c r="F1313" t="s">
        <v>17</v>
      </c>
      <c r="G1313">
        <v>10</v>
      </c>
    </row>
    <row r="1314" spans="1:7" x14ac:dyDescent="0.35">
      <c r="A1314">
        <v>99813</v>
      </c>
      <c r="B1314">
        <v>1</v>
      </c>
      <c r="C1314" t="s">
        <v>36</v>
      </c>
      <c r="D1314">
        <v>4701</v>
      </c>
      <c r="E1314" t="s">
        <v>98</v>
      </c>
      <c r="F1314" t="s">
        <v>14</v>
      </c>
      <c r="G1314">
        <v>20</v>
      </c>
    </row>
    <row r="1315" spans="1:7" x14ac:dyDescent="0.35">
      <c r="A1315">
        <v>368</v>
      </c>
      <c r="B1315">
        <v>1</v>
      </c>
      <c r="C1315" t="s">
        <v>22</v>
      </c>
      <c r="D1315">
        <v>2205</v>
      </c>
      <c r="E1315" t="s">
        <v>95</v>
      </c>
      <c r="F1315" t="s">
        <v>14</v>
      </c>
      <c r="G1315">
        <v>10</v>
      </c>
    </row>
    <row r="1316" spans="1:7" x14ac:dyDescent="0.35">
      <c r="A1316">
        <v>129200</v>
      </c>
      <c r="B1316">
        <v>2</v>
      </c>
      <c r="C1316" t="s">
        <v>48</v>
      </c>
      <c r="D1316">
        <v>4801</v>
      </c>
      <c r="E1316" t="s">
        <v>90</v>
      </c>
      <c r="F1316" t="s">
        <v>17</v>
      </c>
      <c r="G1316">
        <v>14</v>
      </c>
    </row>
    <row r="1317" spans="1:7" x14ac:dyDescent="0.35">
      <c r="A1317">
        <v>171215</v>
      </c>
      <c r="B1317">
        <v>1</v>
      </c>
      <c r="C1317" t="s">
        <v>22</v>
      </c>
      <c r="D1317">
        <v>4701</v>
      </c>
      <c r="E1317" t="s">
        <v>93</v>
      </c>
      <c r="F1317" t="s">
        <v>14</v>
      </c>
      <c r="G1317">
        <v>17</v>
      </c>
    </row>
    <row r="1318" spans="1:7" x14ac:dyDescent="0.35">
      <c r="A1318">
        <v>41222</v>
      </c>
      <c r="B1318">
        <v>1</v>
      </c>
      <c r="C1318" t="s">
        <v>13</v>
      </c>
      <c r="D1318">
        <v>6509</v>
      </c>
      <c r="E1318" t="s">
        <v>97</v>
      </c>
      <c r="F1318" t="s">
        <v>14</v>
      </c>
      <c r="G1318">
        <v>20</v>
      </c>
    </row>
    <row r="1319" spans="1:7" x14ac:dyDescent="0.35">
      <c r="A1319">
        <v>44410</v>
      </c>
      <c r="B1319">
        <v>1</v>
      </c>
      <c r="C1319" t="s">
        <v>13</v>
      </c>
      <c r="D1319">
        <v>2506</v>
      </c>
      <c r="E1319" t="s">
        <v>89</v>
      </c>
      <c r="F1319" t="s">
        <v>14</v>
      </c>
      <c r="G1319">
        <v>8</v>
      </c>
    </row>
    <row r="1320" spans="1:7" x14ac:dyDescent="0.35">
      <c r="A1320">
        <v>175057</v>
      </c>
      <c r="B1320">
        <v>1002</v>
      </c>
      <c r="C1320" t="s">
        <v>50</v>
      </c>
      <c r="D1320">
        <v>5109</v>
      </c>
      <c r="E1320" t="s">
        <v>89</v>
      </c>
      <c r="F1320" t="s">
        <v>14</v>
      </c>
      <c r="G1320">
        <v>19</v>
      </c>
    </row>
    <row r="1321" spans="1:7" x14ac:dyDescent="0.35">
      <c r="A1321">
        <v>83959</v>
      </c>
      <c r="B1321">
        <v>2</v>
      </c>
      <c r="C1321" t="s">
        <v>56</v>
      </c>
      <c r="D1321">
        <v>3805</v>
      </c>
      <c r="E1321" t="s">
        <v>93</v>
      </c>
      <c r="F1321" t="s">
        <v>17</v>
      </c>
      <c r="G1321">
        <v>16</v>
      </c>
    </row>
    <row r="1322" spans="1:7" x14ac:dyDescent="0.35">
      <c r="A1322">
        <v>35877</v>
      </c>
      <c r="B1322">
        <v>28</v>
      </c>
      <c r="C1322" t="s">
        <v>13</v>
      </c>
      <c r="D1322">
        <v>2401</v>
      </c>
      <c r="E1322" t="s">
        <v>97</v>
      </c>
      <c r="F1322" t="s">
        <v>17</v>
      </c>
      <c r="G1322">
        <v>5</v>
      </c>
    </row>
    <row r="1323" spans="1:7" x14ac:dyDescent="0.35">
      <c r="A1323">
        <v>96763</v>
      </c>
      <c r="B1323">
        <v>2</v>
      </c>
      <c r="C1323" t="s">
        <v>16</v>
      </c>
      <c r="D1323">
        <v>1805</v>
      </c>
      <c r="E1323" t="s">
        <v>88</v>
      </c>
      <c r="F1323" t="s">
        <v>17</v>
      </c>
      <c r="G1323">
        <v>20</v>
      </c>
    </row>
    <row r="1324" spans="1:7" x14ac:dyDescent="0.35">
      <c r="A1324">
        <v>144691</v>
      </c>
      <c r="B1324">
        <v>1</v>
      </c>
      <c r="C1324" t="s">
        <v>22</v>
      </c>
      <c r="D1324">
        <v>4701</v>
      </c>
      <c r="E1324" t="s">
        <v>94</v>
      </c>
      <c r="F1324" t="s">
        <v>14</v>
      </c>
      <c r="G1324">
        <v>20</v>
      </c>
    </row>
    <row r="1325" spans="1:7" x14ac:dyDescent="0.35">
      <c r="A1325">
        <v>180805</v>
      </c>
      <c r="B1325">
        <v>2</v>
      </c>
      <c r="C1325" t="s">
        <v>40</v>
      </c>
      <c r="D1325">
        <v>2401</v>
      </c>
      <c r="E1325" t="s">
        <v>91</v>
      </c>
      <c r="F1325" t="s">
        <v>17</v>
      </c>
      <c r="G1325">
        <v>20</v>
      </c>
    </row>
    <row r="1326" spans="1:7" x14ac:dyDescent="0.35">
      <c r="A1326">
        <v>180050</v>
      </c>
      <c r="B1326">
        <v>0</v>
      </c>
      <c r="C1326" t="s">
        <v>40</v>
      </c>
      <c r="D1326">
        <v>0</v>
      </c>
      <c r="E1326" t="s">
        <v>90</v>
      </c>
      <c r="F1326" t="s">
        <v>17</v>
      </c>
      <c r="G1326">
        <v>25</v>
      </c>
    </row>
    <row r="1327" spans="1:7" x14ac:dyDescent="0.35">
      <c r="A1327">
        <v>111592</v>
      </c>
      <c r="B1327">
        <v>1</v>
      </c>
      <c r="C1327" t="s">
        <v>32</v>
      </c>
      <c r="D1327">
        <v>2109</v>
      </c>
      <c r="E1327" t="s">
        <v>96</v>
      </c>
      <c r="F1327" t="s">
        <v>14</v>
      </c>
      <c r="G1327">
        <v>16</v>
      </c>
    </row>
    <row r="1328" spans="1:7" x14ac:dyDescent="0.35">
      <c r="A1328">
        <v>66087</v>
      </c>
      <c r="B1328">
        <v>0</v>
      </c>
      <c r="C1328" t="s">
        <v>29</v>
      </c>
      <c r="D1328">
        <v>4912</v>
      </c>
      <c r="E1328" t="s">
        <v>89</v>
      </c>
      <c r="F1328" t="s">
        <v>17</v>
      </c>
      <c r="G1328">
        <v>20</v>
      </c>
    </row>
    <row r="1329" spans="1:7" x14ac:dyDescent="0.35">
      <c r="A1329">
        <v>121554</v>
      </c>
      <c r="B1329">
        <v>28</v>
      </c>
      <c r="C1329" t="s">
        <v>21</v>
      </c>
      <c r="D1329">
        <v>6301</v>
      </c>
      <c r="E1329" t="s">
        <v>95</v>
      </c>
      <c r="F1329" t="s">
        <v>17</v>
      </c>
      <c r="G1329">
        <v>6</v>
      </c>
    </row>
    <row r="1330" spans="1:7" x14ac:dyDescent="0.35">
      <c r="A1330">
        <v>137429</v>
      </c>
      <c r="B1330">
        <v>1</v>
      </c>
      <c r="C1330" t="s">
        <v>55</v>
      </c>
      <c r="D1330">
        <v>1301</v>
      </c>
      <c r="E1330" t="s">
        <v>88</v>
      </c>
      <c r="F1330" t="s">
        <v>14</v>
      </c>
      <c r="G1330">
        <v>25</v>
      </c>
    </row>
    <row r="1331" spans="1:7" x14ac:dyDescent="0.35">
      <c r="A1331">
        <v>127171</v>
      </c>
      <c r="B1331">
        <v>0</v>
      </c>
      <c r="C1331" t="s">
        <v>21</v>
      </c>
      <c r="D1331">
        <v>1601</v>
      </c>
      <c r="E1331" t="s">
        <v>100</v>
      </c>
      <c r="F1331" t="s">
        <v>17</v>
      </c>
      <c r="G1331">
        <v>15</v>
      </c>
    </row>
    <row r="1332" spans="1:7" x14ac:dyDescent="0.35">
      <c r="A1332">
        <v>167517</v>
      </c>
      <c r="B1332">
        <v>0</v>
      </c>
      <c r="C1332" t="s">
        <v>22</v>
      </c>
      <c r="D1332">
        <v>0</v>
      </c>
      <c r="E1332" t="s">
        <v>100</v>
      </c>
      <c r="F1332" t="s">
        <v>17</v>
      </c>
      <c r="G1332">
        <v>25</v>
      </c>
    </row>
    <row r="1333" spans="1:7" x14ac:dyDescent="0.35">
      <c r="A1333">
        <v>14386</v>
      </c>
      <c r="B1333">
        <v>2</v>
      </c>
      <c r="C1333" t="s">
        <v>36</v>
      </c>
      <c r="D1333">
        <v>1101</v>
      </c>
      <c r="E1333" t="s">
        <v>93</v>
      </c>
      <c r="F1333" t="s">
        <v>17</v>
      </c>
      <c r="G1333">
        <v>10</v>
      </c>
    </row>
    <row r="1334" spans="1:7" x14ac:dyDescent="0.35">
      <c r="A1334">
        <v>184011</v>
      </c>
      <c r="B1334">
        <v>28</v>
      </c>
      <c r="C1334" t="s">
        <v>40</v>
      </c>
      <c r="D1334">
        <v>1502</v>
      </c>
      <c r="E1334" t="s">
        <v>92</v>
      </c>
      <c r="F1334" t="s">
        <v>17</v>
      </c>
      <c r="G1334">
        <v>25</v>
      </c>
    </row>
    <row r="1335" spans="1:7" x14ac:dyDescent="0.35">
      <c r="A1335">
        <v>121967</v>
      </c>
      <c r="B1335">
        <v>1</v>
      </c>
      <c r="C1335" t="s">
        <v>21</v>
      </c>
      <c r="D1335">
        <v>3801</v>
      </c>
      <c r="E1335" t="s">
        <v>90</v>
      </c>
      <c r="F1335" t="s">
        <v>14</v>
      </c>
      <c r="G1335">
        <v>15</v>
      </c>
    </row>
    <row r="1336" spans="1:7" x14ac:dyDescent="0.35">
      <c r="A1336">
        <v>20194</v>
      </c>
      <c r="B1336">
        <v>28</v>
      </c>
      <c r="C1336" t="s">
        <v>18</v>
      </c>
      <c r="D1336">
        <v>3601</v>
      </c>
      <c r="E1336" t="s">
        <v>104</v>
      </c>
      <c r="F1336" t="s">
        <v>17</v>
      </c>
      <c r="G1336">
        <v>10</v>
      </c>
    </row>
    <row r="1337" spans="1:7" x14ac:dyDescent="0.35">
      <c r="A1337">
        <v>84967</v>
      </c>
      <c r="B1337">
        <v>0</v>
      </c>
      <c r="C1337" t="s">
        <v>56</v>
      </c>
      <c r="D1337">
        <v>4805</v>
      </c>
      <c r="E1337" t="s">
        <v>89</v>
      </c>
      <c r="F1337" t="s">
        <v>14</v>
      </c>
      <c r="G1337">
        <v>15</v>
      </c>
    </row>
    <row r="1338" spans="1:7" x14ac:dyDescent="0.35">
      <c r="A1338">
        <v>93684</v>
      </c>
      <c r="B1338">
        <v>1</v>
      </c>
      <c r="C1338" t="s">
        <v>16</v>
      </c>
      <c r="D1338">
        <v>4202</v>
      </c>
      <c r="E1338" t="s">
        <v>103</v>
      </c>
      <c r="F1338" t="s">
        <v>14</v>
      </c>
      <c r="G1338">
        <v>11</v>
      </c>
    </row>
    <row r="1339" spans="1:7" x14ac:dyDescent="0.35">
      <c r="A1339">
        <v>92802</v>
      </c>
      <c r="B1339">
        <v>1</v>
      </c>
      <c r="C1339" t="s">
        <v>16</v>
      </c>
      <c r="D1339">
        <v>4210</v>
      </c>
      <c r="E1339" t="s">
        <v>95</v>
      </c>
      <c r="F1339" t="s">
        <v>14</v>
      </c>
      <c r="G1339">
        <v>10</v>
      </c>
    </row>
    <row r="1340" spans="1:7" x14ac:dyDescent="0.35">
      <c r="A1340">
        <v>24900</v>
      </c>
      <c r="B1340">
        <v>0</v>
      </c>
      <c r="C1340" t="s">
        <v>46</v>
      </c>
      <c r="D1340">
        <v>5201</v>
      </c>
      <c r="E1340" t="s">
        <v>89</v>
      </c>
      <c r="F1340" t="s">
        <v>17</v>
      </c>
      <c r="G1340">
        <v>25</v>
      </c>
    </row>
    <row r="1341" spans="1:7" x14ac:dyDescent="0.35">
      <c r="A1341">
        <v>121926</v>
      </c>
      <c r="B1341">
        <v>28</v>
      </c>
      <c r="C1341" t="s">
        <v>21</v>
      </c>
      <c r="D1341">
        <v>0</v>
      </c>
      <c r="E1341" t="s">
        <v>93</v>
      </c>
      <c r="F1341" t="s">
        <v>17</v>
      </c>
      <c r="G1341">
        <v>20</v>
      </c>
    </row>
    <row r="1342" spans="1:7" x14ac:dyDescent="0.35">
      <c r="A1342">
        <v>12003</v>
      </c>
      <c r="B1342">
        <v>28</v>
      </c>
      <c r="C1342" t="s">
        <v>22</v>
      </c>
      <c r="D1342">
        <v>2901</v>
      </c>
      <c r="E1342" t="s">
        <v>103</v>
      </c>
      <c r="F1342" t="s">
        <v>17</v>
      </c>
      <c r="G1342">
        <v>20</v>
      </c>
    </row>
    <row r="1343" spans="1:7" x14ac:dyDescent="0.35">
      <c r="A1343">
        <v>7852</v>
      </c>
      <c r="B1343">
        <v>2</v>
      </c>
      <c r="C1343" t="s">
        <v>59</v>
      </c>
      <c r="D1343">
        <v>0</v>
      </c>
      <c r="E1343" t="s">
        <v>89</v>
      </c>
      <c r="F1343" t="s">
        <v>17</v>
      </c>
      <c r="G1343">
        <v>10</v>
      </c>
    </row>
    <row r="1344" spans="1:7" x14ac:dyDescent="0.35">
      <c r="A1344">
        <v>111137</v>
      </c>
      <c r="B1344">
        <v>0</v>
      </c>
      <c r="C1344" t="s">
        <v>32</v>
      </c>
      <c r="D1344">
        <v>0</v>
      </c>
      <c r="E1344" t="s">
        <v>88</v>
      </c>
      <c r="F1344" t="s">
        <v>17</v>
      </c>
      <c r="G1344">
        <v>21</v>
      </c>
    </row>
    <row r="1345" spans="1:7" x14ac:dyDescent="0.35">
      <c r="A1345">
        <v>47688</v>
      </c>
      <c r="B1345">
        <v>0</v>
      </c>
      <c r="C1345" t="s">
        <v>43</v>
      </c>
      <c r="D1345">
        <v>0</v>
      </c>
      <c r="E1345" t="s">
        <v>91</v>
      </c>
      <c r="F1345" t="s">
        <v>17</v>
      </c>
      <c r="G1345">
        <v>10</v>
      </c>
    </row>
    <row r="1346" spans="1:7" x14ac:dyDescent="0.35">
      <c r="A1346">
        <v>25576</v>
      </c>
      <c r="B1346">
        <v>0</v>
      </c>
      <c r="C1346" t="s">
        <v>39</v>
      </c>
      <c r="D1346">
        <v>1401</v>
      </c>
      <c r="E1346" t="s">
        <v>93</v>
      </c>
      <c r="F1346" t="s">
        <v>14</v>
      </c>
      <c r="G1346">
        <v>21</v>
      </c>
    </row>
    <row r="1347" spans="1:7" x14ac:dyDescent="0.35">
      <c r="A1347">
        <v>127392</v>
      </c>
      <c r="B1347">
        <v>1</v>
      </c>
      <c r="C1347" t="s">
        <v>21</v>
      </c>
      <c r="D1347">
        <v>4108</v>
      </c>
      <c r="E1347" t="s">
        <v>92</v>
      </c>
      <c r="F1347" t="s">
        <v>14</v>
      </c>
      <c r="G1347">
        <v>23</v>
      </c>
    </row>
    <row r="1348" spans="1:7" x14ac:dyDescent="0.35">
      <c r="A1348">
        <v>77495</v>
      </c>
      <c r="B1348">
        <v>0</v>
      </c>
      <c r="C1348" t="s">
        <v>35</v>
      </c>
      <c r="D1348">
        <v>0</v>
      </c>
      <c r="E1348" t="s">
        <v>89</v>
      </c>
      <c r="F1348" t="s">
        <v>17</v>
      </c>
      <c r="G1348">
        <v>10</v>
      </c>
    </row>
    <row r="1349" spans="1:7" x14ac:dyDescent="0.35">
      <c r="A1349">
        <v>87210</v>
      </c>
      <c r="B1349">
        <v>0</v>
      </c>
      <c r="C1349" t="s">
        <v>34</v>
      </c>
      <c r="D1349">
        <v>0</v>
      </c>
      <c r="E1349" t="s">
        <v>91</v>
      </c>
      <c r="F1349" t="s">
        <v>17</v>
      </c>
      <c r="G1349">
        <v>20</v>
      </c>
    </row>
    <row r="1350" spans="1:7" x14ac:dyDescent="0.35">
      <c r="A1350">
        <v>93218</v>
      </c>
      <c r="B1350">
        <v>72</v>
      </c>
      <c r="C1350" t="s">
        <v>16</v>
      </c>
      <c r="D1350">
        <v>0</v>
      </c>
      <c r="E1350" t="s">
        <v>102</v>
      </c>
      <c r="F1350" t="s">
        <v>14</v>
      </c>
      <c r="G1350">
        <v>10</v>
      </c>
    </row>
    <row r="1351" spans="1:7" x14ac:dyDescent="0.35">
      <c r="A1351">
        <v>184974</v>
      </c>
      <c r="B1351">
        <v>0</v>
      </c>
      <c r="C1351" t="s">
        <v>70</v>
      </c>
      <c r="D1351">
        <v>2601</v>
      </c>
      <c r="E1351" t="s">
        <v>89</v>
      </c>
      <c r="F1351" t="s">
        <v>17</v>
      </c>
      <c r="G1351">
        <v>10</v>
      </c>
    </row>
    <row r="1352" spans="1:7" x14ac:dyDescent="0.35">
      <c r="A1352">
        <v>136768</v>
      </c>
      <c r="B1352">
        <v>0</v>
      </c>
      <c r="C1352" t="s">
        <v>22</v>
      </c>
      <c r="D1352">
        <v>5301</v>
      </c>
      <c r="E1352" t="s">
        <v>93</v>
      </c>
      <c r="F1352" t="s">
        <v>17</v>
      </c>
      <c r="G1352">
        <v>2</v>
      </c>
    </row>
    <row r="1353" spans="1:7" x14ac:dyDescent="0.35">
      <c r="A1353">
        <v>42724</v>
      </c>
      <c r="B1353">
        <v>1</v>
      </c>
      <c r="C1353" t="s">
        <v>13</v>
      </c>
      <c r="D1353">
        <v>3601</v>
      </c>
      <c r="E1353" t="s">
        <v>96</v>
      </c>
      <c r="F1353" t="s">
        <v>14</v>
      </c>
      <c r="G1353">
        <v>25</v>
      </c>
    </row>
    <row r="1354" spans="1:7" x14ac:dyDescent="0.35">
      <c r="A1354">
        <v>82313</v>
      </c>
      <c r="B1354">
        <v>0</v>
      </c>
      <c r="C1354" t="s">
        <v>56</v>
      </c>
      <c r="D1354">
        <v>2705</v>
      </c>
      <c r="E1354" t="s">
        <v>89</v>
      </c>
      <c r="F1354" t="s">
        <v>17</v>
      </c>
      <c r="G1354">
        <v>15</v>
      </c>
    </row>
    <row r="1355" spans="1:7" x14ac:dyDescent="0.35">
      <c r="A1355">
        <v>132820</v>
      </c>
      <c r="B1355">
        <v>0</v>
      </c>
      <c r="C1355" t="s">
        <v>66</v>
      </c>
      <c r="D1355">
        <v>5201</v>
      </c>
      <c r="E1355" t="s">
        <v>100</v>
      </c>
      <c r="F1355" t="s">
        <v>17</v>
      </c>
      <c r="G1355">
        <v>15</v>
      </c>
    </row>
    <row r="1356" spans="1:7" x14ac:dyDescent="0.35">
      <c r="A1356">
        <v>51683</v>
      </c>
      <c r="B1356">
        <v>1002</v>
      </c>
      <c r="C1356" t="s">
        <v>53</v>
      </c>
      <c r="D1356">
        <v>0</v>
      </c>
      <c r="E1356" t="s">
        <v>88</v>
      </c>
      <c r="F1356" t="s">
        <v>14</v>
      </c>
      <c r="G1356">
        <v>5</v>
      </c>
    </row>
    <row r="1357" spans="1:7" x14ac:dyDescent="0.35">
      <c r="A1357">
        <v>93538</v>
      </c>
      <c r="B1357">
        <v>0</v>
      </c>
      <c r="C1357" t="s">
        <v>16</v>
      </c>
      <c r="D1357">
        <v>2503</v>
      </c>
      <c r="E1357" t="s">
        <v>102</v>
      </c>
      <c r="F1357" t="s">
        <v>17</v>
      </c>
      <c r="G1357">
        <v>36</v>
      </c>
    </row>
    <row r="1358" spans="1:7" x14ac:dyDescent="0.35">
      <c r="A1358">
        <v>145407</v>
      </c>
      <c r="B1358">
        <v>0</v>
      </c>
      <c r="C1358" t="s">
        <v>22</v>
      </c>
      <c r="D1358">
        <v>0</v>
      </c>
      <c r="E1358" t="s">
        <v>90</v>
      </c>
      <c r="F1358" t="s">
        <v>17</v>
      </c>
      <c r="G1358">
        <v>10</v>
      </c>
    </row>
    <row r="1359" spans="1:7" x14ac:dyDescent="0.35">
      <c r="A1359">
        <v>55553</v>
      </c>
      <c r="B1359">
        <v>1</v>
      </c>
      <c r="C1359" t="s">
        <v>62</v>
      </c>
      <c r="D1359">
        <v>0</v>
      </c>
      <c r="E1359" t="s">
        <v>91</v>
      </c>
      <c r="F1359" t="s">
        <v>14</v>
      </c>
      <c r="G1359">
        <v>20</v>
      </c>
    </row>
    <row r="1360" spans="1:7" x14ac:dyDescent="0.35">
      <c r="A1360">
        <v>58447</v>
      </c>
      <c r="B1360">
        <v>0</v>
      </c>
      <c r="C1360" t="s">
        <v>57</v>
      </c>
      <c r="D1360">
        <v>3001</v>
      </c>
      <c r="E1360" t="s">
        <v>89</v>
      </c>
      <c r="F1360" t="s">
        <v>17</v>
      </c>
      <c r="G1360">
        <v>10</v>
      </c>
    </row>
    <row r="1361" spans="1:7" x14ac:dyDescent="0.35">
      <c r="A1361">
        <v>159424</v>
      </c>
      <c r="B1361">
        <v>1</v>
      </c>
      <c r="C1361" t="s">
        <v>22</v>
      </c>
      <c r="D1361">
        <v>2401</v>
      </c>
      <c r="E1361" t="s">
        <v>93</v>
      </c>
      <c r="F1361" t="s">
        <v>14</v>
      </c>
      <c r="G1361">
        <v>75</v>
      </c>
    </row>
    <row r="1362" spans="1:7" x14ac:dyDescent="0.35">
      <c r="A1362">
        <v>34649</v>
      </c>
      <c r="B1362">
        <v>0</v>
      </c>
      <c r="C1362" t="s">
        <v>13</v>
      </c>
      <c r="D1362">
        <v>2901</v>
      </c>
      <c r="E1362" t="s">
        <v>93</v>
      </c>
      <c r="F1362" t="s">
        <v>17</v>
      </c>
      <c r="G1362">
        <v>7</v>
      </c>
    </row>
    <row r="1363" spans="1:7" x14ac:dyDescent="0.35">
      <c r="A1363">
        <v>50154</v>
      </c>
      <c r="B1363">
        <v>1002</v>
      </c>
      <c r="C1363" t="s">
        <v>53</v>
      </c>
      <c r="D1363">
        <v>6801</v>
      </c>
      <c r="E1363" t="s">
        <v>94</v>
      </c>
      <c r="F1363" t="s">
        <v>14</v>
      </c>
      <c r="G1363">
        <v>15</v>
      </c>
    </row>
    <row r="1364" spans="1:7" x14ac:dyDescent="0.35">
      <c r="A1364">
        <v>77432</v>
      </c>
      <c r="B1364">
        <v>2</v>
      </c>
      <c r="C1364" t="s">
        <v>35</v>
      </c>
      <c r="D1364">
        <v>5401</v>
      </c>
      <c r="E1364" t="s">
        <v>89</v>
      </c>
      <c r="F1364" t="s">
        <v>14</v>
      </c>
      <c r="G1364">
        <v>15</v>
      </c>
    </row>
    <row r="1365" spans="1:7" x14ac:dyDescent="0.35">
      <c r="A1365">
        <v>152821</v>
      </c>
      <c r="B1365">
        <v>0</v>
      </c>
      <c r="C1365" t="s">
        <v>22</v>
      </c>
      <c r="D1365">
        <v>5401</v>
      </c>
      <c r="E1365" t="s">
        <v>90</v>
      </c>
      <c r="F1365" t="s">
        <v>17</v>
      </c>
      <c r="G1365">
        <v>11</v>
      </c>
    </row>
    <row r="1366" spans="1:7" x14ac:dyDescent="0.35">
      <c r="A1366">
        <v>57964</v>
      </c>
      <c r="B1366">
        <v>1</v>
      </c>
      <c r="C1366" t="s">
        <v>57</v>
      </c>
      <c r="D1366">
        <v>2601</v>
      </c>
      <c r="E1366" t="s">
        <v>96</v>
      </c>
      <c r="F1366" t="s">
        <v>14</v>
      </c>
      <c r="G1366">
        <v>12</v>
      </c>
    </row>
    <row r="1367" spans="1:7" x14ac:dyDescent="0.35">
      <c r="A1367">
        <v>188385</v>
      </c>
      <c r="B1367">
        <v>2</v>
      </c>
      <c r="C1367" t="s">
        <v>21</v>
      </c>
      <c r="D1367">
        <v>1601</v>
      </c>
      <c r="E1367" t="s">
        <v>104</v>
      </c>
      <c r="F1367" t="s">
        <v>17</v>
      </c>
      <c r="G1367">
        <v>5</v>
      </c>
    </row>
    <row r="1368" spans="1:7" x14ac:dyDescent="0.35">
      <c r="A1368">
        <v>65899</v>
      </c>
      <c r="B1368">
        <v>28</v>
      </c>
      <c r="C1368" t="s">
        <v>29</v>
      </c>
      <c r="D1368">
        <v>4301</v>
      </c>
      <c r="E1368" t="s">
        <v>90</v>
      </c>
      <c r="F1368" t="s">
        <v>17</v>
      </c>
      <c r="G1368">
        <v>10</v>
      </c>
    </row>
    <row r="1369" spans="1:7" x14ac:dyDescent="0.35">
      <c r="A1369">
        <v>171302</v>
      </c>
      <c r="B1369">
        <v>0</v>
      </c>
      <c r="C1369" t="s">
        <v>22</v>
      </c>
      <c r="D1369">
        <v>4701</v>
      </c>
      <c r="E1369" t="s">
        <v>93</v>
      </c>
      <c r="F1369" t="s">
        <v>17</v>
      </c>
      <c r="G1369">
        <v>15</v>
      </c>
    </row>
    <row r="1370" spans="1:7" x14ac:dyDescent="0.35">
      <c r="A1370">
        <v>38106</v>
      </c>
      <c r="B1370">
        <v>0</v>
      </c>
      <c r="C1370" t="s">
        <v>13</v>
      </c>
      <c r="D1370">
        <v>804</v>
      </c>
      <c r="E1370" t="s">
        <v>103</v>
      </c>
      <c r="F1370" t="s">
        <v>17</v>
      </c>
      <c r="G1370">
        <v>3</v>
      </c>
    </row>
    <row r="1371" spans="1:7" x14ac:dyDescent="0.35">
      <c r="A1371">
        <v>35906</v>
      </c>
      <c r="B1371">
        <v>0</v>
      </c>
      <c r="C1371" t="s">
        <v>13</v>
      </c>
      <c r="D1371">
        <v>5701</v>
      </c>
      <c r="E1371" t="s">
        <v>89</v>
      </c>
      <c r="F1371" t="s">
        <v>17</v>
      </c>
      <c r="G1371">
        <v>15</v>
      </c>
    </row>
    <row r="1372" spans="1:7" x14ac:dyDescent="0.35">
      <c r="A1372">
        <v>4513</v>
      </c>
      <c r="B1372">
        <v>1</v>
      </c>
      <c r="C1372" t="s">
        <v>29</v>
      </c>
      <c r="D1372">
        <v>2804</v>
      </c>
      <c r="E1372" t="s">
        <v>88</v>
      </c>
      <c r="F1372" t="s">
        <v>14</v>
      </c>
      <c r="G1372">
        <v>20</v>
      </c>
    </row>
    <row r="1373" spans="1:7" x14ac:dyDescent="0.35">
      <c r="A1373">
        <v>14272</v>
      </c>
      <c r="B1373">
        <v>0</v>
      </c>
      <c r="C1373" t="s">
        <v>32</v>
      </c>
      <c r="D1373">
        <v>4001</v>
      </c>
      <c r="E1373" t="s">
        <v>91</v>
      </c>
      <c r="F1373" t="s">
        <v>17</v>
      </c>
      <c r="G1373">
        <v>20</v>
      </c>
    </row>
    <row r="1374" spans="1:7" x14ac:dyDescent="0.35">
      <c r="A1374">
        <v>1779</v>
      </c>
      <c r="B1374">
        <v>0</v>
      </c>
      <c r="C1374" t="s">
        <v>32</v>
      </c>
      <c r="D1374">
        <v>0</v>
      </c>
      <c r="E1374" t="s">
        <v>104</v>
      </c>
      <c r="F1374" t="s">
        <v>14</v>
      </c>
      <c r="G1374" t="s">
        <v>106</v>
      </c>
    </row>
    <row r="1375" spans="1:7" x14ac:dyDescent="0.35">
      <c r="A1375">
        <v>180512</v>
      </c>
      <c r="B1375">
        <v>2</v>
      </c>
      <c r="C1375" t="s">
        <v>40</v>
      </c>
      <c r="D1375">
        <v>1312</v>
      </c>
      <c r="E1375" t="s">
        <v>89</v>
      </c>
      <c r="F1375" t="s">
        <v>14</v>
      </c>
      <c r="G1375">
        <v>10</v>
      </c>
    </row>
    <row r="1376" spans="1:7" x14ac:dyDescent="0.35">
      <c r="A1376">
        <v>41065</v>
      </c>
      <c r="B1376">
        <v>0</v>
      </c>
      <c r="C1376" t="s">
        <v>24</v>
      </c>
      <c r="D1376">
        <v>3401</v>
      </c>
      <c r="E1376" t="s">
        <v>96</v>
      </c>
      <c r="F1376" t="s">
        <v>17</v>
      </c>
      <c r="G1376">
        <v>15</v>
      </c>
    </row>
    <row r="1377" spans="1:7" x14ac:dyDescent="0.35">
      <c r="A1377">
        <v>111949</v>
      </c>
      <c r="B1377">
        <v>0</v>
      </c>
      <c r="C1377" t="s">
        <v>32</v>
      </c>
      <c r="D1377">
        <v>0</v>
      </c>
      <c r="E1377" t="s">
        <v>98</v>
      </c>
      <c r="F1377" t="s">
        <v>17</v>
      </c>
      <c r="G1377">
        <v>5</v>
      </c>
    </row>
    <row r="1378" spans="1:7" x14ac:dyDescent="0.35">
      <c r="A1378">
        <v>35043</v>
      </c>
      <c r="B1378">
        <v>1</v>
      </c>
      <c r="C1378" t="s">
        <v>13</v>
      </c>
      <c r="D1378">
        <v>4304</v>
      </c>
      <c r="E1378" t="s">
        <v>92</v>
      </c>
      <c r="F1378" t="s">
        <v>14</v>
      </c>
      <c r="G1378">
        <v>16</v>
      </c>
    </row>
    <row r="1379" spans="1:7" x14ac:dyDescent="0.35">
      <c r="A1379">
        <v>86311</v>
      </c>
      <c r="B1379">
        <v>0</v>
      </c>
      <c r="C1379" t="s">
        <v>52</v>
      </c>
      <c r="D1379">
        <v>0</v>
      </c>
      <c r="E1379" t="s">
        <v>91</v>
      </c>
      <c r="F1379" t="s">
        <v>30</v>
      </c>
      <c r="G1379">
        <v>6</v>
      </c>
    </row>
    <row r="1380" spans="1:7" x14ac:dyDescent="0.35">
      <c r="A1380">
        <v>182293</v>
      </c>
      <c r="B1380">
        <v>1</v>
      </c>
      <c r="C1380" t="s">
        <v>40</v>
      </c>
      <c r="D1380">
        <v>0</v>
      </c>
      <c r="E1380" t="s">
        <v>88</v>
      </c>
      <c r="F1380" t="s">
        <v>14</v>
      </c>
      <c r="G1380">
        <v>19</v>
      </c>
    </row>
    <row r="1381" spans="1:7" x14ac:dyDescent="0.35">
      <c r="A1381">
        <v>179023</v>
      </c>
      <c r="B1381">
        <v>1</v>
      </c>
      <c r="C1381" t="s">
        <v>40</v>
      </c>
      <c r="D1381">
        <v>0</v>
      </c>
      <c r="E1381" t="s">
        <v>90</v>
      </c>
      <c r="F1381" t="s">
        <v>14</v>
      </c>
      <c r="G1381">
        <v>35</v>
      </c>
    </row>
    <row r="1382" spans="1:7" x14ac:dyDescent="0.35">
      <c r="A1382">
        <v>65481</v>
      </c>
      <c r="B1382">
        <v>1</v>
      </c>
      <c r="C1382" t="s">
        <v>29</v>
      </c>
      <c r="D1382">
        <v>4401</v>
      </c>
      <c r="E1382" t="s">
        <v>103</v>
      </c>
      <c r="F1382" t="s">
        <v>14</v>
      </c>
      <c r="G1382">
        <v>20</v>
      </c>
    </row>
    <row r="1383" spans="1:7" x14ac:dyDescent="0.35">
      <c r="A1383">
        <v>21144</v>
      </c>
      <c r="B1383">
        <v>2</v>
      </c>
      <c r="C1383" t="s">
        <v>18</v>
      </c>
      <c r="D1383">
        <v>0</v>
      </c>
      <c r="E1383" t="s">
        <v>91</v>
      </c>
      <c r="F1383" t="s">
        <v>14</v>
      </c>
      <c r="G1383">
        <v>6</v>
      </c>
    </row>
    <row r="1384" spans="1:7" x14ac:dyDescent="0.35">
      <c r="A1384">
        <v>9390</v>
      </c>
      <c r="B1384">
        <v>3</v>
      </c>
      <c r="C1384" t="s">
        <v>29</v>
      </c>
      <c r="D1384">
        <v>4009</v>
      </c>
      <c r="E1384" t="s">
        <v>102</v>
      </c>
      <c r="F1384" t="s">
        <v>17</v>
      </c>
      <c r="G1384">
        <v>5</v>
      </c>
    </row>
    <row r="1385" spans="1:7" x14ac:dyDescent="0.35">
      <c r="A1385">
        <v>157973</v>
      </c>
      <c r="B1385">
        <v>1</v>
      </c>
      <c r="C1385" t="s">
        <v>22</v>
      </c>
      <c r="D1385">
        <v>2001</v>
      </c>
      <c r="E1385" t="s">
        <v>92</v>
      </c>
      <c r="F1385" t="s">
        <v>14</v>
      </c>
      <c r="G1385">
        <v>12</v>
      </c>
    </row>
    <row r="1386" spans="1:7" x14ac:dyDescent="0.35">
      <c r="A1386">
        <v>176890</v>
      </c>
      <c r="B1386">
        <v>0</v>
      </c>
      <c r="C1386" t="s">
        <v>50</v>
      </c>
      <c r="D1386">
        <v>3001</v>
      </c>
      <c r="E1386" t="s">
        <v>89</v>
      </c>
      <c r="F1386" t="s">
        <v>17</v>
      </c>
      <c r="G1386">
        <v>8</v>
      </c>
    </row>
    <row r="1387" spans="1:7" x14ac:dyDescent="0.35">
      <c r="A1387">
        <v>65181</v>
      </c>
      <c r="B1387">
        <v>2</v>
      </c>
      <c r="C1387" t="s">
        <v>29</v>
      </c>
      <c r="D1387">
        <v>3603</v>
      </c>
      <c r="E1387" t="s">
        <v>88</v>
      </c>
      <c r="F1387" t="s">
        <v>14</v>
      </c>
      <c r="G1387">
        <v>11</v>
      </c>
    </row>
    <row r="1388" spans="1:7" x14ac:dyDescent="0.35">
      <c r="A1388">
        <v>181083</v>
      </c>
      <c r="B1388">
        <v>1</v>
      </c>
      <c r="C1388" t="s">
        <v>40</v>
      </c>
      <c r="D1388">
        <v>5001</v>
      </c>
      <c r="E1388" t="s">
        <v>89</v>
      </c>
      <c r="F1388" t="s">
        <v>14</v>
      </c>
      <c r="G1388">
        <v>5</v>
      </c>
    </row>
    <row r="1389" spans="1:7" x14ac:dyDescent="0.35">
      <c r="A1389">
        <v>175951</v>
      </c>
      <c r="B1389">
        <v>2</v>
      </c>
      <c r="C1389" t="s">
        <v>50</v>
      </c>
      <c r="D1389">
        <v>4501</v>
      </c>
      <c r="E1389" t="s">
        <v>90</v>
      </c>
      <c r="F1389" t="s">
        <v>17</v>
      </c>
      <c r="G1389">
        <v>15</v>
      </c>
    </row>
    <row r="1390" spans="1:7" x14ac:dyDescent="0.35">
      <c r="A1390">
        <v>20966</v>
      </c>
      <c r="B1390">
        <v>28</v>
      </c>
      <c r="C1390" t="s">
        <v>18</v>
      </c>
      <c r="D1390">
        <v>4801</v>
      </c>
      <c r="E1390" t="s">
        <v>89</v>
      </c>
      <c r="F1390" t="s">
        <v>17</v>
      </c>
      <c r="G1390">
        <v>20</v>
      </c>
    </row>
    <row r="1391" spans="1:7" x14ac:dyDescent="0.35">
      <c r="A1391">
        <v>91779</v>
      </c>
      <c r="B1391">
        <v>0</v>
      </c>
      <c r="C1391" t="s">
        <v>16</v>
      </c>
      <c r="D1391">
        <v>6001</v>
      </c>
      <c r="E1391" t="s">
        <v>88</v>
      </c>
      <c r="F1391" t="s">
        <v>17</v>
      </c>
      <c r="G1391">
        <v>20</v>
      </c>
    </row>
    <row r="1392" spans="1:7" x14ac:dyDescent="0.35">
      <c r="A1392">
        <v>98099</v>
      </c>
      <c r="B1392">
        <v>0</v>
      </c>
      <c r="C1392" t="s">
        <v>16</v>
      </c>
      <c r="D1392">
        <v>6601</v>
      </c>
      <c r="E1392" t="s">
        <v>91</v>
      </c>
      <c r="F1392" t="s">
        <v>17</v>
      </c>
      <c r="G1392">
        <v>21</v>
      </c>
    </row>
    <row r="1393" spans="1:7" x14ac:dyDescent="0.35">
      <c r="A1393">
        <v>32485</v>
      </c>
      <c r="B1393">
        <v>0</v>
      </c>
      <c r="C1393" t="s">
        <v>13</v>
      </c>
      <c r="D1393">
        <v>3601</v>
      </c>
      <c r="E1393" t="s">
        <v>89</v>
      </c>
      <c r="F1393" t="s">
        <v>17</v>
      </c>
      <c r="G1393">
        <v>37</v>
      </c>
    </row>
    <row r="1394" spans="1:7" x14ac:dyDescent="0.35">
      <c r="A1394">
        <v>111284</v>
      </c>
      <c r="B1394">
        <v>2</v>
      </c>
      <c r="C1394" t="s">
        <v>32</v>
      </c>
      <c r="D1394">
        <v>3801</v>
      </c>
      <c r="E1394" t="s">
        <v>89</v>
      </c>
      <c r="F1394" t="s">
        <v>17</v>
      </c>
      <c r="G1394">
        <v>5</v>
      </c>
    </row>
    <row r="1395" spans="1:7" x14ac:dyDescent="0.35">
      <c r="A1395">
        <v>15651</v>
      </c>
      <c r="B1395">
        <v>0</v>
      </c>
      <c r="C1395" t="s">
        <v>18</v>
      </c>
      <c r="D1395">
        <v>5501</v>
      </c>
      <c r="E1395" t="s">
        <v>92</v>
      </c>
      <c r="F1395" t="s">
        <v>17</v>
      </c>
      <c r="G1395">
        <v>10</v>
      </c>
    </row>
    <row r="1396" spans="1:7" x14ac:dyDescent="0.35">
      <c r="A1396">
        <v>96220</v>
      </c>
      <c r="B1396">
        <v>0</v>
      </c>
      <c r="C1396" t="s">
        <v>16</v>
      </c>
      <c r="D1396">
        <v>3503</v>
      </c>
      <c r="E1396" t="s">
        <v>91</v>
      </c>
      <c r="F1396" t="s">
        <v>17</v>
      </c>
      <c r="G1396">
        <v>14</v>
      </c>
    </row>
    <row r="1397" spans="1:7" x14ac:dyDescent="0.35">
      <c r="A1397">
        <v>73221</v>
      </c>
      <c r="B1397">
        <v>2</v>
      </c>
      <c r="C1397" t="s">
        <v>29</v>
      </c>
      <c r="D1397">
        <v>0</v>
      </c>
      <c r="E1397" t="s">
        <v>88</v>
      </c>
      <c r="F1397" t="s">
        <v>14</v>
      </c>
      <c r="G1397">
        <v>10</v>
      </c>
    </row>
    <row r="1398" spans="1:7" x14ac:dyDescent="0.35">
      <c r="A1398">
        <v>170143</v>
      </c>
      <c r="B1398">
        <v>2</v>
      </c>
      <c r="C1398" t="s">
        <v>22</v>
      </c>
      <c r="D1398">
        <v>905</v>
      </c>
      <c r="E1398" t="s">
        <v>89</v>
      </c>
      <c r="F1398" t="s">
        <v>17</v>
      </c>
      <c r="G1398">
        <v>5</v>
      </c>
    </row>
    <row r="1399" spans="1:7" x14ac:dyDescent="0.35">
      <c r="A1399">
        <v>43884</v>
      </c>
      <c r="B1399">
        <v>1</v>
      </c>
      <c r="C1399" t="s">
        <v>13</v>
      </c>
      <c r="D1399">
        <v>3202</v>
      </c>
      <c r="E1399" t="s">
        <v>96</v>
      </c>
      <c r="F1399" t="s">
        <v>14</v>
      </c>
      <c r="G1399">
        <v>5</v>
      </c>
    </row>
    <row r="1400" spans="1:7" x14ac:dyDescent="0.35">
      <c r="A1400">
        <v>61338</v>
      </c>
      <c r="B1400">
        <v>1</v>
      </c>
      <c r="C1400" t="s">
        <v>33</v>
      </c>
      <c r="D1400">
        <v>5701</v>
      </c>
      <c r="E1400" t="s">
        <v>90</v>
      </c>
      <c r="F1400" t="s">
        <v>14</v>
      </c>
      <c r="G1400">
        <v>5</v>
      </c>
    </row>
    <row r="1401" spans="1:7" x14ac:dyDescent="0.35">
      <c r="A1401">
        <v>82636</v>
      </c>
      <c r="B1401">
        <v>0</v>
      </c>
      <c r="C1401" t="s">
        <v>56</v>
      </c>
      <c r="D1401">
        <v>4101</v>
      </c>
      <c r="E1401" t="s">
        <v>92</v>
      </c>
      <c r="F1401" t="s">
        <v>17</v>
      </c>
      <c r="G1401">
        <v>15</v>
      </c>
    </row>
    <row r="1402" spans="1:7" x14ac:dyDescent="0.35">
      <c r="A1402">
        <v>190730</v>
      </c>
      <c r="B1402">
        <v>2</v>
      </c>
      <c r="C1402" t="s">
        <v>24</v>
      </c>
      <c r="D1402">
        <v>1407</v>
      </c>
      <c r="F1402" t="s">
        <v>14</v>
      </c>
      <c r="G1402">
        <v>14</v>
      </c>
    </row>
    <row r="1403" spans="1:7" x14ac:dyDescent="0.35">
      <c r="A1403">
        <v>121071</v>
      </c>
      <c r="B1403">
        <v>28</v>
      </c>
      <c r="C1403" t="s">
        <v>21</v>
      </c>
      <c r="D1403">
        <v>4912</v>
      </c>
      <c r="E1403" t="s">
        <v>95</v>
      </c>
      <c r="F1403" t="s">
        <v>17</v>
      </c>
      <c r="G1403">
        <v>15</v>
      </c>
    </row>
    <row r="1404" spans="1:7" x14ac:dyDescent="0.35">
      <c r="A1404">
        <v>94386</v>
      </c>
      <c r="B1404">
        <v>1</v>
      </c>
      <c r="C1404" t="s">
        <v>16</v>
      </c>
      <c r="D1404">
        <v>3301</v>
      </c>
      <c r="E1404" t="s">
        <v>95</v>
      </c>
      <c r="F1404" t="s">
        <v>14</v>
      </c>
      <c r="G1404">
        <v>6</v>
      </c>
    </row>
    <row r="1405" spans="1:7" x14ac:dyDescent="0.35">
      <c r="A1405">
        <v>31094</v>
      </c>
      <c r="B1405">
        <v>0</v>
      </c>
      <c r="C1405" t="s">
        <v>39</v>
      </c>
      <c r="D1405">
        <v>2801</v>
      </c>
      <c r="E1405" t="s">
        <v>98</v>
      </c>
      <c r="F1405" t="s">
        <v>17</v>
      </c>
      <c r="G1405">
        <v>5</v>
      </c>
    </row>
    <row r="1406" spans="1:7" x14ac:dyDescent="0.35">
      <c r="A1406">
        <v>58463</v>
      </c>
      <c r="B1406">
        <v>2</v>
      </c>
      <c r="C1406" t="s">
        <v>57</v>
      </c>
      <c r="D1406">
        <v>1605</v>
      </c>
      <c r="E1406" t="s">
        <v>98</v>
      </c>
      <c r="F1406" t="s">
        <v>14</v>
      </c>
      <c r="G1406">
        <v>10</v>
      </c>
    </row>
    <row r="1407" spans="1:7" x14ac:dyDescent="0.35">
      <c r="A1407">
        <v>160716</v>
      </c>
      <c r="B1407">
        <v>28</v>
      </c>
      <c r="C1407" t="s">
        <v>28</v>
      </c>
      <c r="D1407">
        <v>0</v>
      </c>
      <c r="E1407" t="s">
        <v>88</v>
      </c>
      <c r="F1407" t="s">
        <v>17</v>
      </c>
      <c r="G1407">
        <v>7</v>
      </c>
    </row>
    <row r="1408" spans="1:7" x14ac:dyDescent="0.35">
      <c r="A1408">
        <v>156414</v>
      </c>
      <c r="B1408">
        <v>0</v>
      </c>
      <c r="C1408" t="s">
        <v>22</v>
      </c>
      <c r="D1408">
        <v>1601</v>
      </c>
      <c r="E1408" t="s">
        <v>95</v>
      </c>
      <c r="F1408" t="s">
        <v>17</v>
      </c>
      <c r="G1408">
        <v>20</v>
      </c>
    </row>
    <row r="1409" spans="1:7" x14ac:dyDescent="0.35">
      <c r="A1409">
        <v>137592</v>
      </c>
      <c r="B1409">
        <v>1</v>
      </c>
      <c r="C1409" t="s">
        <v>55</v>
      </c>
      <c r="D1409">
        <v>1201</v>
      </c>
      <c r="E1409" t="s">
        <v>96</v>
      </c>
      <c r="F1409" t="s">
        <v>14</v>
      </c>
      <c r="G1409">
        <v>25</v>
      </c>
    </row>
    <row r="1410" spans="1:7" x14ac:dyDescent="0.35">
      <c r="A1410">
        <v>130840</v>
      </c>
      <c r="B1410">
        <v>0</v>
      </c>
      <c r="C1410" t="s">
        <v>48</v>
      </c>
      <c r="D1410">
        <v>1805</v>
      </c>
      <c r="E1410" t="s">
        <v>94</v>
      </c>
      <c r="F1410" t="s">
        <v>14</v>
      </c>
      <c r="G1410">
        <v>20</v>
      </c>
    </row>
    <row r="1411" spans="1:7" x14ac:dyDescent="0.35">
      <c r="A1411">
        <v>133176</v>
      </c>
      <c r="B1411">
        <v>2</v>
      </c>
      <c r="C1411" t="s">
        <v>41</v>
      </c>
      <c r="D1411">
        <v>3601</v>
      </c>
      <c r="E1411" t="s">
        <v>100</v>
      </c>
      <c r="G1411">
        <v>50</v>
      </c>
    </row>
    <row r="1412" spans="1:7" x14ac:dyDescent="0.35">
      <c r="A1412">
        <v>164044</v>
      </c>
      <c r="B1412">
        <v>0</v>
      </c>
      <c r="C1412" t="s">
        <v>22</v>
      </c>
      <c r="D1412">
        <v>4201</v>
      </c>
      <c r="E1412" t="s">
        <v>94</v>
      </c>
      <c r="F1412" t="s">
        <v>14</v>
      </c>
      <c r="G1412">
        <v>15</v>
      </c>
    </row>
    <row r="1413" spans="1:7" x14ac:dyDescent="0.35">
      <c r="A1413">
        <v>190746</v>
      </c>
      <c r="B1413">
        <v>1</v>
      </c>
      <c r="C1413" t="s">
        <v>43</v>
      </c>
      <c r="D1413">
        <v>3701</v>
      </c>
      <c r="E1413" t="s">
        <v>94</v>
      </c>
      <c r="F1413" t="s">
        <v>14</v>
      </c>
      <c r="G1413">
        <v>11</v>
      </c>
    </row>
    <row r="1414" spans="1:7" x14ac:dyDescent="0.35">
      <c r="A1414">
        <v>52116</v>
      </c>
      <c r="B1414">
        <v>0</v>
      </c>
      <c r="C1414" t="s">
        <v>18</v>
      </c>
      <c r="D1414">
        <v>1703</v>
      </c>
      <c r="E1414" t="s">
        <v>89</v>
      </c>
      <c r="F1414" t="s">
        <v>17</v>
      </c>
      <c r="G1414">
        <v>10</v>
      </c>
    </row>
    <row r="1415" spans="1:7" x14ac:dyDescent="0.35">
      <c r="A1415">
        <v>42913</v>
      </c>
      <c r="B1415">
        <v>0</v>
      </c>
      <c r="C1415" t="s">
        <v>13</v>
      </c>
      <c r="D1415">
        <v>4601</v>
      </c>
      <c r="E1415" t="s">
        <v>88</v>
      </c>
      <c r="F1415" t="s">
        <v>14</v>
      </c>
      <c r="G1415">
        <v>5</v>
      </c>
    </row>
    <row r="1416" spans="1:7" x14ac:dyDescent="0.35">
      <c r="A1416">
        <v>124143</v>
      </c>
      <c r="B1416">
        <v>72</v>
      </c>
      <c r="C1416" t="s">
        <v>21</v>
      </c>
      <c r="D1416">
        <v>3803</v>
      </c>
      <c r="E1416" t="s">
        <v>92</v>
      </c>
      <c r="F1416" t="s">
        <v>14</v>
      </c>
      <c r="G1416">
        <v>6</v>
      </c>
    </row>
    <row r="1417" spans="1:7" x14ac:dyDescent="0.35">
      <c r="A1417">
        <v>47385</v>
      </c>
      <c r="B1417">
        <v>1</v>
      </c>
      <c r="C1417" t="s">
        <v>43</v>
      </c>
      <c r="D1417">
        <v>6001</v>
      </c>
      <c r="E1417" t="s">
        <v>93</v>
      </c>
      <c r="F1417" t="s">
        <v>14</v>
      </c>
      <c r="G1417">
        <v>15</v>
      </c>
    </row>
    <row r="1418" spans="1:7" x14ac:dyDescent="0.35">
      <c r="A1418">
        <v>92312</v>
      </c>
      <c r="B1418">
        <v>28</v>
      </c>
      <c r="C1418" t="s">
        <v>16</v>
      </c>
      <c r="D1418">
        <v>3202</v>
      </c>
      <c r="E1418" t="s">
        <v>93</v>
      </c>
      <c r="F1418" t="s">
        <v>17</v>
      </c>
      <c r="G1418">
        <v>24</v>
      </c>
    </row>
    <row r="1419" spans="1:7" x14ac:dyDescent="0.35">
      <c r="A1419">
        <v>114208</v>
      </c>
      <c r="B1419">
        <v>0</v>
      </c>
      <c r="C1419" t="s">
        <v>31</v>
      </c>
      <c r="D1419">
        <v>3401</v>
      </c>
      <c r="E1419" t="s">
        <v>104</v>
      </c>
      <c r="F1419" t="s">
        <v>14</v>
      </c>
      <c r="G1419">
        <v>50</v>
      </c>
    </row>
    <row r="1420" spans="1:7" x14ac:dyDescent="0.35">
      <c r="A1420">
        <v>127744</v>
      </c>
      <c r="B1420">
        <v>0</v>
      </c>
      <c r="C1420" t="s">
        <v>21</v>
      </c>
      <c r="D1420">
        <v>2104</v>
      </c>
      <c r="E1420" t="s">
        <v>94</v>
      </c>
      <c r="F1420" t="s">
        <v>14</v>
      </c>
      <c r="G1420">
        <v>15</v>
      </c>
    </row>
    <row r="1421" spans="1:7" x14ac:dyDescent="0.35">
      <c r="A1421">
        <v>86696</v>
      </c>
      <c r="B1421">
        <v>0</v>
      </c>
      <c r="C1421" t="s">
        <v>45</v>
      </c>
      <c r="D1421">
        <v>2307</v>
      </c>
      <c r="E1421" t="s">
        <v>94</v>
      </c>
      <c r="F1421" t="s">
        <v>17</v>
      </c>
      <c r="G1421">
        <v>25</v>
      </c>
    </row>
    <row r="1422" spans="1:7" x14ac:dyDescent="0.35">
      <c r="A1422">
        <v>177131</v>
      </c>
      <c r="B1422">
        <v>28</v>
      </c>
      <c r="C1422" t="s">
        <v>50</v>
      </c>
      <c r="D1422">
        <v>2101</v>
      </c>
      <c r="E1422" t="s">
        <v>88</v>
      </c>
      <c r="F1422" t="s">
        <v>17</v>
      </c>
      <c r="G1422">
        <v>10</v>
      </c>
    </row>
    <row r="1423" spans="1:7" x14ac:dyDescent="0.35">
      <c r="A1423">
        <v>42689</v>
      </c>
      <c r="B1423">
        <v>2</v>
      </c>
      <c r="C1423" t="s">
        <v>13</v>
      </c>
      <c r="D1423">
        <v>0</v>
      </c>
      <c r="E1423" t="s">
        <v>88</v>
      </c>
      <c r="F1423" t="s">
        <v>17</v>
      </c>
      <c r="G1423">
        <v>4</v>
      </c>
    </row>
    <row r="1424" spans="1:7" x14ac:dyDescent="0.35">
      <c r="A1424">
        <v>7879</v>
      </c>
      <c r="B1424">
        <v>2</v>
      </c>
      <c r="C1424" t="s">
        <v>22</v>
      </c>
      <c r="D1424">
        <v>3011</v>
      </c>
      <c r="E1424" t="s">
        <v>88</v>
      </c>
      <c r="F1424" t="s">
        <v>17</v>
      </c>
      <c r="G1424">
        <v>25</v>
      </c>
    </row>
    <row r="1425" spans="1:7" x14ac:dyDescent="0.35">
      <c r="A1425">
        <v>13089</v>
      </c>
      <c r="B1425">
        <v>0</v>
      </c>
      <c r="C1425" t="s">
        <v>29</v>
      </c>
      <c r="D1425">
        <v>6112</v>
      </c>
      <c r="E1425" t="s">
        <v>89</v>
      </c>
      <c r="F1425" t="s">
        <v>17</v>
      </c>
      <c r="G1425">
        <v>34</v>
      </c>
    </row>
    <row r="1426" spans="1:7" x14ac:dyDescent="0.35">
      <c r="A1426">
        <v>98085</v>
      </c>
      <c r="B1426">
        <v>1</v>
      </c>
      <c r="C1426" t="s">
        <v>16</v>
      </c>
      <c r="D1426">
        <v>0</v>
      </c>
      <c r="E1426" t="s">
        <v>91</v>
      </c>
      <c r="F1426" t="s">
        <v>14</v>
      </c>
      <c r="G1426">
        <v>10</v>
      </c>
    </row>
    <row r="1427" spans="1:7" x14ac:dyDescent="0.35">
      <c r="A1427">
        <v>5614</v>
      </c>
      <c r="B1427">
        <v>1</v>
      </c>
      <c r="C1427" t="s">
        <v>22</v>
      </c>
      <c r="D1427">
        <v>1908</v>
      </c>
      <c r="E1427" t="s">
        <v>88</v>
      </c>
      <c r="F1427" t="s">
        <v>14</v>
      </c>
      <c r="G1427">
        <v>19</v>
      </c>
    </row>
    <row r="1428" spans="1:7" x14ac:dyDescent="0.35">
      <c r="A1428">
        <v>122198</v>
      </c>
      <c r="B1428">
        <v>2</v>
      </c>
      <c r="C1428" t="s">
        <v>21</v>
      </c>
      <c r="D1428">
        <v>5601</v>
      </c>
      <c r="E1428" t="s">
        <v>92</v>
      </c>
      <c r="F1428" t="s">
        <v>17</v>
      </c>
      <c r="G1428">
        <v>6</v>
      </c>
    </row>
    <row r="1429" spans="1:7" x14ac:dyDescent="0.35">
      <c r="A1429">
        <v>131537</v>
      </c>
      <c r="B1429">
        <v>0</v>
      </c>
      <c r="C1429" t="s">
        <v>43</v>
      </c>
      <c r="D1429">
        <v>0</v>
      </c>
      <c r="E1429" t="s">
        <v>88</v>
      </c>
      <c r="F1429" t="s">
        <v>17</v>
      </c>
      <c r="G1429">
        <v>7</v>
      </c>
    </row>
    <row r="1430" spans="1:7" x14ac:dyDescent="0.35">
      <c r="A1430">
        <v>171609</v>
      </c>
      <c r="B1430">
        <v>0</v>
      </c>
      <c r="C1430" t="s">
        <v>22</v>
      </c>
      <c r="D1430">
        <v>4201</v>
      </c>
      <c r="E1430" t="s">
        <v>93</v>
      </c>
      <c r="F1430" t="s">
        <v>17</v>
      </c>
      <c r="G1430">
        <v>20</v>
      </c>
    </row>
    <row r="1431" spans="1:7" x14ac:dyDescent="0.35">
      <c r="A1431">
        <v>47914</v>
      </c>
      <c r="B1431">
        <v>30</v>
      </c>
      <c r="C1431" t="s">
        <v>43</v>
      </c>
      <c r="D1431">
        <v>1901</v>
      </c>
      <c r="E1431" t="s">
        <v>89</v>
      </c>
      <c r="F1431" t="s">
        <v>17</v>
      </c>
      <c r="G1431">
        <v>5</v>
      </c>
    </row>
    <row r="1432" spans="1:7" x14ac:dyDescent="0.35">
      <c r="A1432">
        <v>25226</v>
      </c>
      <c r="B1432">
        <v>1</v>
      </c>
      <c r="C1432" t="s">
        <v>46</v>
      </c>
      <c r="D1432">
        <v>2703</v>
      </c>
      <c r="E1432" t="s">
        <v>89</v>
      </c>
      <c r="F1432" t="s">
        <v>14</v>
      </c>
      <c r="G1432" t="s">
        <v>106</v>
      </c>
    </row>
    <row r="1433" spans="1:7" x14ac:dyDescent="0.35">
      <c r="A1433">
        <v>158567</v>
      </c>
      <c r="B1433">
        <v>0</v>
      </c>
      <c r="C1433" t="s">
        <v>22</v>
      </c>
      <c r="D1433">
        <v>1110</v>
      </c>
      <c r="E1433" t="s">
        <v>93</v>
      </c>
      <c r="G1433">
        <v>6</v>
      </c>
    </row>
    <row r="1434" spans="1:7" x14ac:dyDescent="0.35">
      <c r="A1434">
        <v>103535</v>
      </c>
      <c r="B1434">
        <v>2</v>
      </c>
      <c r="C1434" t="s">
        <v>36</v>
      </c>
      <c r="D1434">
        <v>3801</v>
      </c>
      <c r="E1434" t="s">
        <v>98</v>
      </c>
      <c r="F1434" t="s">
        <v>17</v>
      </c>
      <c r="G1434">
        <v>15</v>
      </c>
    </row>
    <row r="1435" spans="1:7" x14ac:dyDescent="0.35">
      <c r="A1435">
        <v>13394</v>
      </c>
      <c r="B1435">
        <v>0</v>
      </c>
      <c r="C1435" t="s">
        <v>16</v>
      </c>
      <c r="D1435">
        <v>3001</v>
      </c>
      <c r="E1435" t="s">
        <v>93</v>
      </c>
      <c r="F1435" t="s">
        <v>17</v>
      </c>
      <c r="G1435">
        <v>15</v>
      </c>
    </row>
    <row r="1436" spans="1:7" x14ac:dyDescent="0.35">
      <c r="A1436">
        <v>45870</v>
      </c>
      <c r="B1436">
        <v>1</v>
      </c>
      <c r="C1436" t="s">
        <v>13</v>
      </c>
      <c r="D1436">
        <v>3001</v>
      </c>
      <c r="E1436" t="s">
        <v>96</v>
      </c>
      <c r="F1436" t="s">
        <v>14</v>
      </c>
      <c r="G1436">
        <v>20</v>
      </c>
    </row>
    <row r="1437" spans="1:7" x14ac:dyDescent="0.35">
      <c r="A1437">
        <v>169703</v>
      </c>
      <c r="B1437">
        <v>0</v>
      </c>
      <c r="C1437" t="s">
        <v>22</v>
      </c>
      <c r="D1437">
        <v>1501</v>
      </c>
      <c r="E1437" t="s">
        <v>88</v>
      </c>
      <c r="F1437" t="s">
        <v>17</v>
      </c>
      <c r="G1437">
        <v>25</v>
      </c>
    </row>
    <row r="1438" spans="1:7" x14ac:dyDescent="0.35">
      <c r="A1438">
        <v>147484</v>
      </c>
      <c r="B1438">
        <v>0</v>
      </c>
      <c r="C1438" t="s">
        <v>22</v>
      </c>
      <c r="D1438">
        <v>1601</v>
      </c>
      <c r="E1438" t="s">
        <v>93</v>
      </c>
      <c r="F1438" t="s">
        <v>14</v>
      </c>
      <c r="G1438">
        <v>12</v>
      </c>
    </row>
    <row r="1439" spans="1:7" x14ac:dyDescent="0.35">
      <c r="A1439">
        <v>151907</v>
      </c>
      <c r="B1439">
        <v>0</v>
      </c>
      <c r="C1439" t="s">
        <v>22</v>
      </c>
      <c r="D1439">
        <v>5901</v>
      </c>
      <c r="E1439" t="s">
        <v>92</v>
      </c>
      <c r="F1439" t="s">
        <v>17</v>
      </c>
      <c r="G1439">
        <v>6</v>
      </c>
    </row>
    <row r="1440" spans="1:7" x14ac:dyDescent="0.35">
      <c r="A1440">
        <v>152283</v>
      </c>
      <c r="B1440">
        <v>0</v>
      </c>
      <c r="C1440" t="s">
        <v>22</v>
      </c>
      <c r="D1440">
        <v>3604</v>
      </c>
      <c r="E1440" t="s">
        <v>88</v>
      </c>
      <c r="F1440" t="s">
        <v>17</v>
      </c>
      <c r="G1440">
        <v>10</v>
      </c>
    </row>
    <row r="1441" spans="1:7" x14ac:dyDescent="0.35">
      <c r="A1441">
        <v>146742</v>
      </c>
      <c r="B1441">
        <v>1</v>
      </c>
      <c r="C1441" t="s">
        <v>22</v>
      </c>
      <c r="D1441">
        <v>3001</v>
      </c>
      <c r="E1441" t="s">
        <v>93</v>
      </c>
      <c r="F1441" t="s">
        <v>14</v>
      </c>
      <c r="G1441">
        <v>15</v>
      </c>
    </row>
    <row r="1442" spans="1:7" x14ac:dyDescent="0.35">
      <c r="A1442">
        <v>68240</v>
      </c>
      <c r="B1442">
        <v>0</v>
      </c>
      <c r="C1442" t="s">
        <v>29</v>
      </c>
      <c r="D1442">
        <v>3001</v>
      </c>
      <c r="E1442" t="s">
        <v>102</v>
      </c>
      <c r="F1442" t="s">
        <v>14</v>
      </c>
      <c r="G1442">
        <v>25</v>
      </c>
    </row>
    <row r="1443" spans="1:7" x14ac:dyDescent="0.35">
      <c r="A1443">
        <v>24975</v>
      </c>
      <c r="B1443">
        <v>0</v>
      </c>
      <c r="C1443" t="s">
        <v>46</v>
      </c>
      <c r="D1443">
        <v>4401</v>
      </c>
      <c r="E1443" t="s">
        <v>91</v>
      </c>
      <c r="F1443" t="s">
        <v>17</v>
      </c>
      <c r="G1443">
        <v>20</v>
      </c>
    </row>
    <row r="1444" spans="1:7" x14ac:dyDescent="0.35">
      <c r="A1444">
        <v>25027</v>
      </c>
      <c r="B1444">
        <v>0</v>
      </c>
      <c r="C1444" t="s">
        <v>46</v>
      </c>
      <c r="D1444">
        <v>5502</v>
      </c>
      <c r="E1444" t="s">
        <v>91</v>
      </c>
      <c r="F1444" t="s">
        <v>14</v>
      </c>
      <c r="G1444">
        <v>5</v>
      </c>
    </row>
    <row r="1445" spans="1:7" x14ac:dyDescent="0.35">
      <c r="A1445">
        <v>184269</v>
      </c>
      <c r="B1445">
        <v>0</v>
      </c>
      <c r="C1445" t="s">
        <v>40</v>
      </c>
      <c r="D1445">
        <v>1406</v>
      </c>
      <c r="E1445" t="s">
        <v>88</v>
      </c>
      <c r="G1445">
        <v>10</v>
      </c>
    </row>
    <row r="1446" spans="1:7" x14ac:dyDescent="0.35">
      <c r="A1446">
        <v>187915</v>
      </c>
      <c r="B1446">
        <v>0</v>
      </c>
      <c r="C1446" t="s">
        <v>58</v>
      </c>
      <c r="D1446">
        <v>0</v>
      </c>
      <c r="E1446" t="s">
        <v>89</v>
      </c>
      <c r="F1446" t="s">
        <v>17</v>
      </c>
      <c r="G1446">
        <v>20</v>
      </c>
    </row>
    <row r="1447" spans="1:7" x14ac:dyDescent="0.35">
      <c r="A1447">
        <v>16972</v>
      </c>
      <c r="B1447">
        <v>1</v>
      </c>
      <c r="C1447" t="s">
        <v>18</v>
      </c>
      <c r="D1447">
        <v>5801</v>
      </c>
      <c r="E1447" t="s">
        <v>91</v>
      </c>
      <c r="F1447" t="s">
        <v>14</v>
      </c>
      <c r="G1447">
        <v>12</v>
      </c>
    </row>
    <row r="1448" spans="1:7" x14ac:dyDescent="0.35">
      <c r="A1448">
        <v>126469</v>
      </c>
      <c r="B1448">
        <v>0</v>
      </c>
      <c r="C1448" t="s">
        <v>21</v>
      </c>
      <c r="D1448">
        <v>1808</v>
      </c>
      <c r="E1448" t="s">
        <v>92</v>
      </c>
      <c r="F1448" t="s">
        <v>14</v>
      </c>
      <c r="G1448">
        <v>15</v>
      </c>
    </row>
    <row r="1449" spans="1:7" x14ac:dyDescent="0.35">
      <c r="A1449">
        <v>42548</v>
      </c>
      <c r="B1449">
        <v>0</v>
      </c>
      <c r="C1449" t="s">
        <v>13</v>
      </c>
      <c r="D1449">
        <v>2401</v>
      </c>
      <c r="E1449" t="s">
        <v>104</v>
      </c>
      <c r="F1449" t="s">
        <v>17</v>
      </c>
      <c r="G1449">
        <v>11</v>
      </c>
    </row>
    <row r="1450" spans="1:7" x14ac:dyDescent="0.35">
      <c r="A1450">
        <v>72416</v>
      </c>
      <c r="B1450">
        <v>1002</v>
      </c>
      <c r="C1450" t="s">
        <v>29</v>
      </c>
      <c r="D1450">
        <v>1606</v>
      </c>
      <c r="E1450" t="s">
        <v>91</v>
      </c>
      <c r="F1450" t="s">
        <v>14</v>
      </c>
      <c r="G1450">
        <v>5</v>
      </c>
    </row>
    <row r="1451" spans="1:7" x14ac:dyDescent="0.35">
      <c r="A1451">
        <v>118163</v>
      </c>
      <c r="B1451">
        <v>2</v>
      </c>
      <c r="C1451" t="s">
        <v>21</v>
      </c>
      <c r="D1451">
        <v>0</v>
      </c>
      <c r="E1451" t="s">
        <v>91</v>
      </c>
      <c r="F1451" t="s">
        <v>14</v>
      </c>
      <c r="G1451">
        <v>5</v>
      </c>
    </row>
    <row r="1452" spans="1:7" x14ac:dyDescent="0.35">
      <c r="A1452">
        <v>174833</v>
      </c>
      <c r="B1452">
        <v>2</v>
      </c>
      <c r="C1452" t="s">
        <v>50</v>
      </c>
      <c r="D1452">
        <v>2002</v>
      </c>
      <c r="E1452" t="s">
        <v>90</v>
      </c>
      <c r="F1452" t="s">
        <v>17</v>
      </c>
      <c r="G1452">
        <v>20</v>
      </c>
    </row>
    <row r="1453" spans="1:7" x14ac:dyDescent="0.35">
      <c r="A1453">
        <v>19623</v>
      </c>
      <c r="B1453">
        <v>0</v>
      </c>
      <c r="C1453" t="s">
        <v>18</v>
      </c>
      <c r="D1453">
        <v>6201</v>
      </c>
      <c r="E1453" t="s">
        <v>94</v>
      </c>
      <c r="F1453" t="s">
        <v>17</v>
      </c>
      <c r="G1453">
        <v>14</v>
      </c>
    </row>
    <row r="1454" spans="1:7" x14ac:dyDescent="0.35">
      <c r="A1454">
        <v>159506</v>
      </c>
      <c r="B1454">
        <v>1</v>
      </c>
      <c r="C1454" t="s">
        <v>22</v>
      </c>
      <c r="D1454">
        <v>0</v>
      </c>
      <c r="E1454" t="s">
        <v>91</v>
      </c>
      <c r="F1454" t="s">
        <v>14</v>
      </c>
      <c r="G1454">
        <v>10</v>
      </c>
    </row>
    <row r="1455" spans="1:7" x14ac:dyDescent="0.35">
      <c r="A1455">
        <v>153743</v>
      </c>
      <c r="B1455">
        <v>0</v>
      </c>
      <c r="C1455" t="s">
        <v>22</v>
      </c>
      <c r="D1455">
        <v>5901</v>
      </c>
      <c r="E1455" t="s">
        <v>93</v>
      </c>
      <c r="F1455" t="s">
        <v>14</v>
      </c>
      <c r="G1455">
        <v>26</v>
      </c>
    </row>
    <row r="1456" spans="1:7" x14ac:dyDescent="0.35">
      <c r="A1456">
        <v>100447</v>
      </c>
      <c r="B1456">
        <v>0</v>
      </c>
      <c r="C1456" t="s">
        <v>36</v>
      </c>
      <c r="D1456">
        <v>5401</v>
      </c>
      <c r="E1456" t="s">
        <v>90</v>
      </c>
      <c r="F1456" t="s">
        <v>17</v>
      </c>
      <c r="G1456">
        <v>3</v>
      </c>
    </row>
    <row r="1457" spans="1:7" x14ac:dyDescent="0.35">
      <c r="A1457">
        <v>126403</v>
      </c>
      <c r="B1457">
        <v>2</v>
      </c>
      <c r="C1457" t="s">
        <v>21</v>
      </c>
      <c r="D1457">
        <v>2403</v>
      </c>
      <c r="E1457" t="s">
        <v>96</v>
      </c>
      <c r="F1457" t="s">
        <v>17</v>
      </c>
      <c r="G1457">
        <v>10</v>
      </c>
    </row>
    <row r="1458" spans="1:7" x14ac:dyDescent="0.35">
      <c r="A1458">
        <v>77695</v>
      </c>
      <c r="B1458">
        <v>1</v>
      </c>
      <c r="C1458" t="s">
        <v>35</v>
      </c>
      <c r="D1458">
        <v>5801</v>
      </c>
      <c r="E1458" t="s">
        <v>94</v>
      </c>
      <c r="F1458" t="s">
        <v>14</v>
      </c>
      <c r="G1458">
        <v>20</v>
      </c>
    </row>
    <row r="1459" spans="1:7" x14ac:dyDescent="0.35">
      <c r="A1459">
        <v>18266</v>
      </c>
      <c r="B1459">
        <v>0</v>
      </c>
      <c r="C1459" t="s">
        <v>18</v>
      </c>
      <c r="D1459">
        <v>2505</v>
      </c>
      <c r="E1459" t="s">
        <v>96</v>
      </c>
      <c r="F1459" t="s">
        <v>14</v>
      </c>
      <c r="G1459">
        <v>5</v>
      </c>
    </row>
    <row r="1460" spans="1:7" x14ac:dyDescent="0.35">
      <c r="A1460">
        <v>80893</v>
      </c>
      <c r="B1460">
        <v>1</v>
      </c>
      <c r="C1460" t="s">
        <v>35</v>
      </c>
      <c r="D1460">
        <v>1507</v>
      </c>
      <c r="E1460" t="s">
        <v>89</v>
      </c>
      <c r="F1460" t="s">
        <v>14</v>
      </c>
      <c r="G1460">
        <v>25</v>
      </c>
    </row>
    <row r="1461" spans="1:7" x14ac:dyDescent="0.35">
      <c r="A1461">
        <v>169553</v>
      </c>
      <c r="B1461">
        <v>28</v>
      </c>
      <c r="C1461" t="s">
        <v>22</v>
      </c>
      <c r="D1461">
        <v>5901</v>
      </c>
      <c r="E1461" t="s">
        <v>91</v>
      </c>
      <c r="F1461" t="s">
        <v>17</v>
      </c>
      <c r="G1461">
        <v>10</v>
      </c>
    </row>
    <row r="1462" spans="1:7" x14ac:dyDescent="0.35">
      <c r="A1462">
        <v>30450</v>
      </c>
      <c r="B1462">
        <v>2</v>
      </c>
      <c r="C1462" t="s">
        <v>39</v>
      </c>
      <c r="D1462">
        <v>2407</v>
      </c>
      <c r="E1462" t="s">
        <v>88</v>
      </c>
      <c r="F1462" t="s">
        <v>17</v>
      </c>
      <c r="G1462">
        <v>50</v>
      </c>
    </row>
    <row r="1463" spans="1:7" x14ac:dyDescent="0.35">
      <c r="A1463">
        <v>98220</v>
      </c>
      <c r="B1463">
        <v>0</v>
      </c>
      <c r="C1463" t="s">
        <v>16</v>
      </c>
      <c r="D1463">
        <v>3601</v>
      </c>
      <c r="E1463" t="s">
        <v>98</v>
      </c>
      <c r="F1463" t="s">
        <v>14</v>
      </c>
      <c r="G1463">
        <v>10</v>
      </c>
    </row>
    <row r="1464" spans="1:7" x14ac:dyDescent="0.35">
      <c r="A1464">
        <v>134833</v>
      </c>
      <c r="B1464">
        <v>1</v>
      </c>
      <c r="C1464" t="s">
        <v>38</v>
      </c>
      <c r="D1464">
        <v>3901</v>
      </c>
      <c r="E1464" t="s">
        <v>91</v>
      </c>
      <c r="F1464" t="s">
        <v>14</v>
      </c>
      <c r="G1464">
        <v>6</v>
      </c>
    </row>
    <row r="1465" spans="1:7" x14ac:dyDescent="0.35">
      <c r="A1465">
        <v>179014</v>
      </c>
      <c r="B1465">
        <v>2</v>
      </c>
      <c r="C1465" t="s">
        <v>40</v>
      </c>
      <c r="D1465">
        <v>1001</v>
      </c>
      <c r="E1465" t="s">
        <v>94</v>
      </c>
      <c r="F1465" t="s">
        <v>17</v>
      </c>
      <c r="G1465">
        <v>23</v>
      </c>
    </row>
    <row r="1466" spans="1:7" x14ac:dyDescent="0.35">
      <c r="A1466">
        <v>77023</v>
      </c>
      <c r="B1466">
        <v>1</v>
      </c>
      <c r="C1466" t="s">
        <v>47</v>
      </c>
      <c r="D1466">
        <v>4301</v>
      </c>
      <c r="E1466" t="s">
        <v>96</v>
      </c>
      <c r="F1466" t="s">
        <v>14</v>
      </c>
      <c r="G1466">
        <v>15</v>
      </c>
    </row>
    <row r="1467" spans="1:7" x14ac:dyDescent="0.35">
      <c r="A1467">
        <v>10028</v>
      </c>
      <c r="B1467">
        <v>1</v>
      </c>
      <c r="C1467" t="s">
        <v>22</v>
      </c>
      <c r="D1467">
        <v>0</v>
      </c>
      <c r="E1467" t="s">
        <v>88</v>
      </c>
      <c r="F1467" t="s">
        <v>14</v>
      </c>
      <c r="G1467">
        <v>20</v>
      </c>
    </row>
    <row r="1468" spans="1:7" x14ac:dyDescent="0.35">
      <c r="A1468">
        <v>20522</v>
      </c>
      <c r="B1468">
        <v>1</v>
      </c>
      <c r="C1468" t="s">
        <v>18</v>
      </c>
      <c r="D1468">
        <v>5001</v>
      </c>
      <c r="E1468" t="s">
        <v>94</v>
      </c>
      <c r="F1468" t="s">
        <v>14</v>
      </c>
      <c r="G1468">
        <v>15</v>
      </c>
    </row>
    <row r="1469" spans="1:7" x14ac:dyDescent="0.35">
      <c r="A1469">
        <v>82065</v>
      </c>
      <c r="B1469">
        <v>0</v>
      </c>
      <c r="C1469" t="s">
        <v>56</v>
      </c>
      <c r="D1469">
        <v>3601</v>
      </c>
      <c r="E1469" t="s">
        <v>89</v>
      </c>
      <c r="F1469" t="s">
        <v>14</v>
      </c>
      <c r="G1469">
        <v>10</v>
      </c>
    </row>
    <row r="1470" spans="1:7" x14ac:dyDescent="0.35">
      <c r="A1470">
        <v>20769</v>
      </c>
      <c r="B1470">
        <v>2</v>
      </c>
      <c r="C1470" t="s">
        <v>18</v>
      </c>
      <c r="D1470">
        <v>4601</v>
      </c>
      <c r="E1470" t="s">
        <v>89</v>
      </c>
      <c r="F1470" t="s">
        <v>14</v>
      </c>
      <c r="G1470">
        <v>5</v>
      </c>
    </row>
    <row r="1471" spans="1:7" x14ac:dyDescent="0.35">
      <c r="A1471">
        <v>160970</v>
      </c>
      <c r="B1471">
        <v>1</v>
      </c>
      <c r="C1471" t="s">
        <v>22</v>
      </c>
      <c r="D1471">
        <v>2111</v>
      </c>
      <c r="E1471" t="s">
        <v>94</v>
      </c>
      <c r="F1471" t="s">
        <v>14</v>
      </c>
      <c r="G1471">
        <v>5</v>
      </c>
    </row>
    <row r="1472" spans="1:7" x14ac:dyDescent="0.35">
      <c r="A1472">
        <v>174609</v>
      </c>
      <c r="B1472">
        <v>0</v>
      </c>
      <c r="C1472" t="s">
        <v>50</v>
      </c>
      <c r="D1472">
        <v>0</v>
      </c>
      <c r="E1472" t="s">
        <v>89</v>
      </c>
      <c r="F1472" t="s">
        <v>17</v>
      </c>
      <c r="G1472">
        <v>10</v>
      </c>
    </row>
    <row r="1473" spans="1:7" x14ac:dyDescent="0.35">
      <c r="A1473">
        <v>127166</v>
      </c>
      <c r="B1473">
        <v>1002</v>
      </c>
      <c r="C1473" t="s">
        <v>21</v>
      </c>
      <c r="D1473">
        <v>2512</v>
      </c>
      <c r="E1473" t="s">
        <v>93</v>
      </c>
      <c r="F1473" t="s">
        <v>44</v>
      </c>
      <c r="G1473">
        <v>30</v>
      </c>
    </row>
    <row r="1474" spans="1:7" x14ac:dyDescent="0.35">
      <c r="A1474">
        <v>155967</v>
      </c>
      <c r="B1474">
        <v>0</v>
      </c>
      <c r="C1474" t="s">
        <v>22</v>
      </c>
      <c r="D1474">
        <v>2001</v>
      </c>
      <c r="E1474" t="s">
        <v>88</v>
      </c>
      <c r="F1474" t="s">
        <v>17</v>
      </c>
      <c r="G1474">
        <v>5</v>
      </c>
    </row>
    <row r="1475" spans="1:7" x14ac:dyDescent="0.35">
      <c r="A1475">
        <v>14790</v>
      </c>
      <c r="B1475">
        <v>1</v>
      </c>
      <c r="C1475" t="s">
        <v>22</v>
      </c>
      <c r="D1475">
        <v>2104</v>
      </c>
      <c r="E1475" t="s">
        <v>95</v>
      </c>
      <c r="F1475" t="s">
        <v>14</v>
      </c>
      <c r="G1475">
        <v>15</v>
      </c>
    </row>
    <row r="1476" spans="1:7" x14ac:dyDescent="0.35">
      <c r="A1476">
        <v>20583</v>
      </c>
      <c r="B1476">
        <v>28</v>
      </c>
      <c r="C1476" t="s">
        <v>18</v>
      </c>
      <c r="D1476">
        <v>2801</v>
      </c>
      <c r="E1476" t="s">
        <v>92</v>
      </c>
      <c r="F1476" t="s">
        <v>17</v>
      </c>
      <c r="G1476">
        <v>14</v>
      </c>
    </row>
    <row r="1477" spans="1:7" x14ac:dyDescent="0.35">
      <c r="A1477">
        <v>185934</v>
      </c>
      <c r="B1477">
        <v>2</v>
      </c>
      <c r="C1477" t="s">
        <v>22</v>
      </c>
      <c r="D1477">
        <v>0</v>
      </c>
      <c r="E1477" t="s">
        <v>102</v>
      </c>
      <c r="F1477" t="s">
        <v>17</v>
      </c>
      <c r="G1477">
        <v>25</v>
      </c>
    </row>
    <row r="1478" spans="1:7" x14ac:dyDescent="0.35">
      <c r="A1478">
        <v>109449</v>
      </c>
      <c r="B1478">
        <v>2</v>
      </c>
      <c r="C1478" t="s">
        <v>49</v>
      </c>
      <c r="D1478">
        <v>2211</v>
      </c>
      <c r="E1478" t="s">
        <v>89</v>
      </c>
      <c r="F1478" t="s">
        <v>17</v>
      </c>
      <c r="G1478">
        <v>12</v>
      </c>
    </row>
    <row r="1479" spans="1:7" x14ac:dyDescent="0.35">
      <c r="A1479">
        <v>64115</v>
      </c>
      <c r="B1479">
        <v>1</v>
      </c>
      <c r="C1479" t="s">
        <v>33</v>
      </c>
      <c r="D1479">
        <v>2506</v>
      </c>
      <c r="E1479" t="s">
        <v>88</v>
      </c>
      <c r="F1479" t="s">
        <v>14</v>
      </c>
      <c r="G1479">
        <v>15</v>
      </c>
    </row>
    <row r="1480" spans="1:7" x14ac:dyDescent="0.35">
      <c r="A1480">
        <v>154202</v>
      </c>
      <c r="B1480">
        <v>0</v>
      </c>
      <c r="C1480" t="s">
        <v>22</v>
      </c>
      <c r="D1480">
        <v>0</v>
      </c>
      <c r="E1480" t="s">
        <v>89</v>
      </c>
      <c r="F1480" t="s">
        <v>17</v>
      </c>
      <c r="G1480">
        <v>50</v>
      </c>
    </row>
    <row r="1481" spans="1:7" x14ac:dyDescent="0.35">
      <c r="A1481">
        <v>153001</v>
      </c>
      <c r="B1481">
        <v>1</v>
      </c>
      <c r="C1481" t="s">
        <v>22</v>
      </c>
      <c r="D1481">
        <v>5203</v>
      </c>
      <c r="E1481" t="s">
        <v>90</v>
      </c>
      <c r="F1481" t="s">
        <v>14</v>
      </c>
      <c r="G1481">
        <v>5</v>
      </c>
    </row>
    <row r="1482" spans="1:7" x14ac:dyDescent="0.35">
      <c r="A1482">
        <v>154216</v>
      </c>
      <c r="B1482">
        <v>2</v>
      </c>
      <c r="C1482" t="s">
        <v>22</v>
      </c>
      <c r="D1482">
        <v>1301</v>
      </c>
      <c r="E1482" t="s">
        <v>89</v>
      </c>
      <c r="F1482" t="s">
        <v>17</v>
      </c>
      <c r="G1482">
        <v>13</v>
      </c>
    </row>
    <row r="1483" spans="1:7" x14ac:dyDescent="0.35">
      <c r="A1483">
        <v>174976</v>
      </c>
      <c r="B1483">
        <v>0</v>
      </c>
      <c r="C1483" t="s">
        <v>50</v>
      </c>
      <c r="D1483">
        <v>5901</v>
      </c>
      <c r="E1483" t="s">
        <v>91</v>
      </c>
      <c r="F1483" t="s">
        <v>17</v>
      </c>
      <c r="G1483">
        <v>15</v>
      </c>
    </row>
    <row r="1484" spans="1:7" x14ac:dyDescent="0.35">
      <c r="A1484">
        <v>140547</v>
      </c>
      <c r="B1484">
        <v>0</v>
      </c>
      <c r="C1484" t="s">
        <v>54</v>
      </c>
      <c r="D1484">
        <v>0</v>
      </c>
      <c r="E1484" t="s">
        <v>91</v>
      </c>
      <c r="F1484" t="s">
        <v>14</v>
      </c>
      <c r="G1484">
        <v>20</v>
      </c>
    </row>
    <row r="1485" spans="1:7" x14ac:dyDescent="0.35">
      <c r="A1485">
        <v>169371</v>
      </c>
      <c r="B1485">
        <v>0</v>
      </c>
      <c r="C1485" t="s">
        <v>22</v>
      </c>
      <c r="D1485">
        <v>1601</v>
      </c>
      <c r="E1485" t="s">
        <v>89</v>
      </c>
      <c r="F1485" t="s">
        <v>17</v>
      </c>
      <c r="G1485">
        <v>20</v>
      </c>
    </row>
    <row r="1486" spans="1:7" x14ac:dyDescent="0.35">
      <c r="A1486">
        <v>167100</v>
      </c>
      <c r="B1486">
        <v>0</v>
      </c>
      <c r="C1486" t="s">
        <v>22</v>
      </c>
      <c r="D1486">
        <v>1704</v>
      </c>
      <c r="E1486" t="s">
        <v>93</v>
      </c>
      <c r="F1486" t="s">
        <v>14</v>
      </c>
      <c r="G1486">
        <v>10</v>
      </c>
    </row>
    <row r="1487" spans="1:7" x14ac:dyDescent="0.35">
      <c r="A1487">
        <v>157295</v>
      </c>
      <c r="B1487">
        <v>2</v>
      </c>
      <c r="C1487" t="s">
        <v>22</v>
      </c>
      <c r="D1487">
        <v>1501</v>
      </c>
      <c r="E1487" t="s">
        <v>93</v>
      </c>
      <c r="F1487" t="s">
        <v>30</v>
      </c>
      <c r="G1487">
        <v>35</v>
      </c>
    </row>
    <row r="1488" spans="1:7" x14ac:dyDescent="0.35">
      <c r="A1488">
        <v>19020</v>
      </c>
      <c r="B1488">
        <v>2</v>
      </c>
      <c r="C1488" t="s">
        <v>18</v>
      </c>
      <c r="D1488">
        <v>2801</v>
      </c>
      <c r="E1488" t="s">
        <v>94</v>
      </c>
      <c r="F1488" t="s">
        <v>17</v>
      </c>
      <c r="G1488">
        <v>19</v>
      </c>
    </row>
    <row r="1489" spans="1:7" x14ac:dyDescent="0.35">
      <c r="A1489">
        <v>105325</v>
      </c>
      <c r="B1489">
        <v>28</v>
      </c>
      <c r="C1489" t="s">
        <v>28</v>
      </c>
      <c r="D1489">
        <v>0</v>
      </c>
      <c r="E1489" t="s">
        <v>89</v>
      </c>
      <c r="F1489" t="s">
        <v>17</v>
      </c>
      <c r="G1489">
        <v>6</v>
      </c>
    </row>
    <row r="1490" spans="1:7" x14ac:dyDescent="0.35">
      <c r="A1490">
        <v>30117</v>
      </c>
      <c r="B1490">
        <v>1</v>
      </c>
      <c r="C1490" t="s">
        <v>39</v>
      </c>
      <c r="D1490">
        <v>7101</v>
      </c>
      <c r="E1490" t="s">
        <v>89</v>
      </c>
      <c r="F1490" t="s">
        <v>14</v>
      </c>
      <c r="G1490">
        <v>16</v>
      </c>
    </row>
    <row r="1491" spans="1:7" x14ac:dyDescent="0.35">
      <c r="A1491">
        <v>121798</v>
      </c>
      <c r="B1491">
        <v>1</v>
      </c>
      <c r="C1491" t="s">
        <v>21</v>
      </c>
      <c r="D1491">
        <v>3601</v>
      </c>
      <c r="E1491" t="s">
        <v>95</v>
      </c>
      <c r="F1491" t="s">
        <v>14</v>
      </c>
      <c r="G1491">
        <v>15</v>
      </c>
    </row>
    <row r="1492" spans="1:7" x14ac:dyDescent="0.35">
      <c r="A1492">
        <v>86322</v>
      </c>
      <c r="B1492">
        <v>0</v>
      </c>
      <c r="C1492" t="s">
        <v>52</v>
      </c>
      <c r="D1492">
        <v>6701</v>
      </c>
      <c r="E1492" t="s">
        <v>89</v>
      </c>
      <c r="F1492" t="s">
        <v>17</v>
      </c>
      <c r="G1492">
        <v>5</v>
      </c>
    </row>
    <row r="1493" spans="1:7" x14ac:dyDescent="0.35">
      <c r="A1493">
        <v>56886</v>
      </c>
      <c r="B1493">
        <v>1</v>
      </c>
      <c r="C1493" t="s">
        <v>57</v>
      </c>
      <c r="D1493">
        <v>2601</v>
      </c>
      <c r="E1493" t="s">
        <v>93</v>
      </c>
      <c r="F1493" t="s">
        <v>14</v>
      </c>
      <c r="G1493">
        <v>12</v>
      </c>
    </row>
    <row r="1494" spans="1:7" x14ac:dyDescent="0.35">
      <c r="A1494">
        <v>177613</v>
      </c>
      <c r="B1494">
        <v>0</v>
      </c>
      <c r="C1494" t="s">
        <v>50</v>
      </c>
      <c r="D1494">
        <v>0</v>
      </c>
      <c r="E1494" t="s">
        <v>91</v>
      </c>
      <c r="F1494" t="s">
        <v>14</v>
      </c>
      <c r="G1494">
        <v>20</v>
      </c>
    </row>
    <row r="1495" spans="1:7" x14ac:dyDescent="0.35">
      <c r="A1495">
        <v>43492</v>
      </c>
      <c r="B1495">
        <v>0</v>
      </c>
      <c r="C1495" t="s">
        <v>13</v>
      </c>
      <c r="D1495">
        <v>0</v>
      </c>
      <c r="E1495" t="s">
        <v>90</v>
      </c>
      <c r="F1495" t="s">
        <v>17</v>
      </c>
      <c r="G1495">
        <v>12</v>
      </c>
    </row>
    <row r="1496" spans="1:7" x14ac:dyDescent="0.35">
      <c r="A1496">
        <v>931</v>
      </c>
      <c r="B1496">
        <v>1002</v>
      </c>
      <c r="C1496" t="s">
        <v>50</v>
      </c>
      <c r="D1496">
        <v>4711</v>
      </c>
      <c r="E1496" t="s">
        <v>91</v>
      </c>
      <c r="F1496" t="s">
        <v>14</v>
      </c>
      <c r="G1496">
        <v>12</v>
      </c>
    </row>
    <row r="1497" spans="1:7" x14ac:dyDescent="0.35">
      <c r="A1497">
        <v>19510</v>
      </c>
      <c r="B1497">
        <v>0</v>
      </c>
      <c r="C1497" t="s">
        <v>18</v>
      </c>
      <c r="D1497">
        <v>2001</v>
      </c>
      <c r="E1497" t="s">
        <v>92</v>
      </c>
      <c r="F1497" t="s">
        <v>14</v>
      </c>
      <c r="G1497" t="s">
        <v>106</v>
      </c>
    </row>
    <row r="1498" spans="1:7" x14ac:dyDescent="0.35">
      <c r="A1498">
        <v>38165</v>
      </c>
      <c r="B1498">
        <v>1002</v>
      </c>
      <c r="C1498" t="s">
        <v>22</v>
      </c>
      <c r="D1498">
        <v>4607</v>
      </c>
      <c r="E1498" t="s">
        <v>103</v>
      </c>
      <c r="F1498" t="s">
        <v>17</v>
      </c>
      <c r="G1498">
        <v>14</v>
      </c>
    </row>
    <row r="1499" spans="1:7" x14ac:dyDescent="0.35">
      <c r="A1499">
        <v>171879</v>
      </c>
      <c r="B1499">
        <v>0</v>
      </c>
      <c r="C1499" t="s">
        <v>22</v>
      </c>
      <c r="D1499">
        <v>0</v>
      </c>
      <c r="E1499" t="s">
        <v>101</v>
      </c>
      <c r="F1499" t="s">
        <v>17</v>
      </c>
      <c r="G1499">
        <v>20</v>
      </c>
    </row>
    <row r="1500" spans="1:7" x14ac:dyDescent="0.35">
      <c r="A1500">
        <v>135248</v>
      </c>
      <c r="B1500">
        <v>1</v>
      </c>
      <c r="C1500" t="s">
        <v>55</v>
      </c>
      <c r="D1500">
        <v>1612</v>
      </c>
      <c r="E1500" t="s">
        <v>103</v>
      </c>
      <c r="F1500" t="s">
        <v>14</v>
      </c>
      <c r="G1500">
        <v>20</v>
      </c>
    </row>
    <row r="1501" spans="1:7" x14ac:dyDescent="0.35">
      <c r="A1501">
        <v>187171</v>
      </c>
      <c r="B1501">
        <v>1</v>
      </c>
      <c r="C1501" t="s">
        <v>55</v>
      </c>
      <c r="D1501">
        <v>0</v>
      </c>
      <c r="E1501" t="s">
        <v>88</v>
      </c>
      <c r="F1501" t="s">
        <v>14</v>
      </c>
      <c r="G1501">
        <v>15</v>
      </c>
    </row>
    <row r="1502" spans="1:7" x14ac:dyDescent="0.35">
      <c r="A1502">
        <v>77915</v>
      </c>
      <c r="B1502">
        <v>0</v>
      </c>
      <c r="C1502" t="s">
        <v>35</v>
      </c>
      <c r="D1502">
        <v>2212</v>
      </c>
      <c r="E1502" t="s">
        <v>97</v>
      </c>
      <c r="F1502" t="s">
        <v>14</v>
      </c>
      <c r="G1502">
        <v>15</v>
      </c>
    </row>
    <row r="1503" spans="1:7" x14ac:dyDescent="0.35">
      <c r="A1503">
        <v>64419</v>
      </c>
      <c r="B1503">
        <v>1</v>
      </c>
      <c r="C1503" t="s">
        <v>33</v>
      </c>
      <c r="D1503">
        <v>0</v>
      </c>
      <c r="E1503" t="s">
        <v>91</v>
      </c>
      <c r="F1503" t="s">
        <v>14</v>
      </c>
      <c r="G1503">
        <v>14</v>
      </c>
    </row>
    <row r="1504" spans="1:7" x14ac:dyDescent="0.35">
      <c r="A1504">
        <v>51185</v>
      </c>
      <c r="B1504">
        <v>1</v>
      </c>
      <c r="C1504" t="s">
        <v>53</v>
      </c>
      <c r="D1504">
        <v>0</v>
      </c>
      <c r="E1504" t="s">
        <v>91</v>
      </c>
      <c r="F1504" t="s">
        <v>14</v>
      </c>
      <c r="G1504">
        <v>10</v>
      </c>
    </row>
    <row r="1505" spans="1:7" x14ac:dyDescent="0.35">
      <c r="A1505">
        <v>79116</v>
      </c>
      <c r="B1505">
        <v>0</v>
      </c>
      <c r="C1505" t="s">
        <v>35</v>
      </c>
      <c r="D1505">
        <v>3601</v>
      </c>
      <c r="E1505" t="s">
        <v>88</v>
      </c>
      <c r="F1505" t="s">
        <v>17</v>
      </c>
      <c r="G1505">
        <v>10</v>
      </c>
    </row>
    <row r="1506" spans="1:7" x14ac:dyDescent="0.35">
      <c r="A1506">
        <v>68951</v>
      </c>
      <c r="B1506">
        <v>1</v>
      </c>
      <c r="C1506" t="s">
        <v>29</v>
      </c>
      <c r="D1506">
        <v>7107</v>
      </c>
      <c r="E1506" t="s">
        <v>93</v>
      </c>
      <c r="F1506" t="s">
        <v>14</v>
      </c>
      <c r="G1506">
        <v>25</v>
      </c>
    </row>
    <row r="1507" spans="1:7" x14ac:dyDescent="0.35">
      <c r="A1507">
        <v>50570</v>
      </c>
      <c r="B1507">
        <v>1</v>
      </c>
      <c r="C1507" t="s">
        <v>53</v>
      </c>
      <c r="D1507">
        <v>0</v>
      </c>
      <c r="E1507" t="s">
        <v>98</v>
      </c>
      <c r="F1507" t="s">
        <v>14</v>
      </c>
      <c r="G1507">
        <v>10</v>
      </c>
    </row>
    <row r="1508" spans="1:7" x14ac:dyDescent="0.35">
      <c r="A1508">
        <v>90775</v>
      </c>
      <c r="B1508">
        <v>1</v>
      </c>
      <c r="C1508" t="s">
        <v>16</v>
      </c>
      <c r="D1508">
        <v>5103</v>
      </c>
      <c r="E1508" t="s">
        <v>90</v>
      </c>
      <c r="F1508" t="s">
        <v>14</v>
      </c>
      <c r="G1508">
        <v>17</v>
      </c>
    </row>
    <row r="1509" spans="1:7" x14ac:dyDescent="0.35">
      <c r="A1509">
        <v>186375</v>
      </c>
      <c r="B1509">
        <v>0</v>
      </c>
      <c r="C1509" t="s">
        <v>50</v>
      </c>
      <c r="D1509">
        <v>0</v>
      </c>
      <c r="E1509" t="s">
        <v>92</v>
      </c>
      <c r="F1509" t="s">
        <v>14</v>
      </c>
      <c r="G1509">
        <v>10</v>
      </c>
    </row>
    <row r="1510" spans="1:7" x14ac:dyDescent="0.35">
      <c r="A1510">
        <v>90765</v>
      </c>
      <c r="B1510">
        <v>3</v>
      </c>
      <c r="C1510" t="s">
        <v>16</v>
      </c>
      <c r="D1510">
        <v>0</v>
      </c>
      <c r="E1510" t="s">
        <v>103</v>
      </c>
      <c r="F1510" t="s">
        <v>17</v>
      </c>
      <c r="G1510">
        <v>20</v>
      </c>
    </row>
    <row r="1511" spans="1:7" x14ac:dyDescent="0.35">
      <c r="A1511">
        <v>76128</v>
      </c>
      <c r="B1511">
        <v>0</v>
      </c>
      <c r="C1511" t="s">
        <v>47</v>
      </c>
      <c r="D1511">
        <v>3201</v>
      </c>
      <c r="E1511" t="s">
        <v>91</v>
      </c>
      <c r="F1511" t="s">
        <v>14</v>
      </c>
      <c r="G1511">
        <v>5</v>
      </c>
    </row>
    <row r="1512" spans="1:7" x14ac:dyDescent="0.35">
      <c r="A1512">
        <v>28082</v>
      </c>
      <c r="B1512">
        <v>0</v>
      </c>
      <c r="C1512" t="s">
        <v>39</v>
      </c>
      <c r="D1512">
        <v>0</v>
      </c>
      <c r="E1512" t="s">
        <v>89</v>
      </c>
      <c r="G1512">
        <v>20</v>
      </c>
    </row>
    <row r="1513" spans="1:7" x14ac:dyDescent="0.35">
      <c r="A1513">
        <v>47869</v>
      </c>
      <c r="B1513">
        <v>2</v>
      </c>
      <c r="C1513" t="s">
        <v>43</v>
      </c>
      <c r="D1513">
        <v>2401</v>
      </c>
      <c r="E1513" t="s">
        <v>96</v>
      </c>
      <c r="F1513" t="s">
        <v>17</v>
      </c>
      <c r="G1513">
        <v>20</v>
      </c>
    </row>
    <row r="1514" spans="1:7" x14ac:dyDescent="0.35">
      <c r="A1514">
        <v>176740</v>
      </c>
      <c r="B1514">
        <v>1</v>
      </c>
      <c r="C1514" t="s">
        <v>50</v>
      </c>
      <c r="D1514">
        <v>0</v>
      </c>
      <c r="E1514" t="s">
        <v>92</v>
      </c>
      <c r="F1514" t="s">
        <v>14</v>
      </c>
      <c r="G1514">
        <v>30</v>
      </c>
    </row>
    <row r="1515" spans="1:7" x14ac:dyDescent="0.35">
      <c r="A1515">
        <v>48487</v>
      </c>
      <c r="B1515">
        <v>0</v>
      </c>
      <c r="C1515" t="s">
        <v>43</v>
      </c>
      <c r="D1515">
        <v>4601</v>
      </c>
      <c r="E1515" t="s">
        <v>98</v>
      </c>
      <c r="F1515" t="s">
        <v>17</v>
      </c>
      <c r="G1515">
        <v>25</v>
      </c>
    </row>
    <row r="1516" spans="1:7" x14ac:dyDescent="0.35">
      <c r="A1516">
        <v>2490</v>
      </c>
      <c r="B1516">
        <v>0</v>
      </c>
      <c r="C1516" t="s">
        <v>46</v>
      </c>
      <c r="D1516">
        <v>2901</v>
      </c>
      <c r="E1516" t="s">
        <v>89</v>
      </c>
      <c r="F1516" t="s">
        <v>14</v>
      </c>
      <c r="G1516">
        <v>3</v>
      </c>
    </row>
    <row r="1517" spans="1:7" x14ac:dyDescent="0.35">
      <c r="A1517">
        <v>41312</v>
      </c>
      <c r="B1517">
        <v>2</v>
      </c>
      <c r="C1517" t="s">
        <v>13</v>
      </c>
      <c r="D1517">
        <v>2912</v>
      </c>
      <c r="E1517" t="s">
        <v>101</v>
      </c>
      <c r="F1517" t="s">
        <v>17</v>
      </c>
      <c r="G1517">
        <v>23</v>
      </c>
    </row>
    <row r="1518" spans="1:7" x14ac:dyDescent="0.35">
      <c r="A1518">
        <v>17094</v>
      </c>
      <c r="B1518">
        <v>0</v>
      </c>
      <c r="C1518" t="s">
        <v>18</v>
      </c>
      <c r="D1518">
        <v>4001</v>
      </c>
      <c r="E1518" t="s">
        <v>94</v>
      </c>
      <c r="F1518" t="s">
        <v>17</v>
      </c>
      <c r="G1518">
        <v>15</v>
      </c>
    </row>
    <row r="1519" spans="1:7" x14ac:dyDescent="0.35">
      <c r="A1519">
        <v>56787</v>
      </c>
      <c r="B1519">
        <v>1</v>
      </c>
      <c r="C1519" t="s">
        <v>57</v>
      </c>
      <c r="D1519">
        <v>6508</v>
      </c>
      <c r="E1519" t="s">
        <v>90</v>
      </c>
      <c r="F1519" t="s">
        <v>14</v>
      </c>
      <c r="G1519">
        <v>13</v>
      </c>
    </row>
    <row r="1520" spans="1:7" x14ac:dyDescent="0.35">
      <c r="A1520">
        <v>164167</v>
      </c>
      <c r="B1520">
        <v>0</v>
      </c>
      <c r="C1520" t="s">
        <v>22</v>
      </c>
      <c r="D1520">
        <v>5301</v>
      </c>
      <c r="E1520" t="s">
        <v>93</v>
      </c>
      <c r="F1520" t="s">
        <v>17</v>
      </c>
      <c r="G1520">
        <v>13</v>
      </c>
    </row>
    <row r="1521" spans="1:7" x14ac:dyDescent="0.35">
      <c r="A1521">
        <v>41785</v>
      </c>
      <c r="B1521">
        <v>0</v>
      </c>
      <c r="C1521" t="s">
        <v>13</v>
      </c>
      <c r="D1521">
        <v>2811</v>
      </c>
      <c r="E1521" t="s">
        <v>92</v>
      </c>
      <c r="F1521" t="s">
        <v>17</v>
      </c>
      <c r="G1521">
        <v>17</v>
      </c>
    </row>
    <row r="1522" spans="1:7" x14ac:dyDescent="0.35">
      <c r="A1522">
        <v>126959</v>
      </c>
      <c r="B1522">
        <v>1</v>
      </c>
      <c r="C1522" t="s">
        <v>21</v>
      </c>
      <c r="D1522">
        <v>5601</v>
      </c>
      <c r="E1522" t="s">
        <v>100</v>
      </c>
      <c r="F1522" t="s">
        <v>14</v>
      </c>
      <c r="G1522">
        <v>15</v>
      </c>
    </row>
    <row r="1523" spans="1:7" x14ac:dyDescent="0.35">
      <c r="A1523">
        <v>29526</v>
      </c>
      <c r="B1523">
        <v>28</v>
      </c>
      <c r="C1523" t="s">
        <v>39</v>
      </c>
      <c r="D1523">
        <v>4001</v>
      </c>
      <c r="E1523" t="s">
        <v>98</v>
      </c>
      <c r="F1523" t="s">
        <v>17</v>
      </c>
      <c r="G1523">
        <v>10</v>
      </c>
    </row>
    <row r="1524" spans="1:7" x14ac:dyDescent="0.35">
      <c r="A1524">
        <v>142901</v>
      </c>
      <c r="B1524">
        <v>2</v>
      </c>
      <c r="C1524" t="s">
        <v>22</v>
      </c>
      <c r="D1524">
        <v>2101</v>
      </c>
      <c r="E1524" t="s">
        <v>95</v>
      </c>
      <c r="F1524" t="s">
        <v>17</v>
      </c>
      <c r="G1524">
        <v>10</v>
      </c>
    </row>
    <row r="1525" spans="1:7" x14ac:dyDescent="0.35">
      <c r="A1525">
        <v>105827</v>
      </c>
      <c r="B1525">
        <v>0</v>
      </c>
      <c r="C1525" t="s">
        <v>28</v>
      </c>
      <c r="D1525">
        <v>5001</v>
      </c>
      <c r="E1525" t="s">
        <v>96</v>
      </c>
      <c r="F1525" t="s">
        <v>17</v>
      </c>
      <c r="G1525">
        <v>20</v>
      </c>
    </row>
    <row r="1526" spans="1:7" x14ac:dyDescent="0.35">
      <c r="A1526">
        <v>159439</v>
      </c>
      <c r="B1526">
        <v>1</v>
      </c>
      <c r="C1526" t="s">
        <v>22</v>
      </c>
      <c r="D1526">
        <v>0</v>
      </c>
      <c r="E1526" t="s">
        <v>98</v>
      </c>
      <c r="F1526" t="s">
        <v>14</v>
      </c>
      <c r="G1526">
        <v>5</v>
      </c>
    </row>
    <row r="1527" spans="1:7" x14ac:dyDescent="0.35">
      <c r="A1527">
        <v>11459</v>
      </c>
      <c r="B1527">
        <v>1</v>
      </c>
      <c r="C1527" t="s">
        <v>22</v>
      </c>
      <c r="D1527">
        <v>0</v>
      </c>
      <c r="E1527" t="s">
        <v>89</v>
      </c>
      <c r="F1527" t="s">
        <v>14</v>
      </c>
      <c r="G1527">
        <v>7</v>
      </c>
    </row>
    <row r="1528" spans="1:7" x14ac:dyDescent="0.35">
      <c r="A1528">
        <v>129268</v>
      </c>
      <c r="B1528">
        <v>2</v>
      </c>
      <c r="C1528" t="s">
        <v>48</v>
      </c>
      <c r="D1528">
        <v>3109</v>
      </c>
      <c r="E1528" t="s">
        <v>93</v>
      </c>
      <c r="F1528" t="s">
        <v>17</v>
      </c>
      <c r="G1528">
        <v>10</v>
      </c>
    </row>
    <row r="1529" spans="1:7" x14ac:dyDescent="0.35">
      <c r="A1529">
        <v>122256</v>
      </c>
      <c r="B1529">
        <v>0</v>
      </c>
      <c r="C1529" t="s">
        <v>21</v>
      </c>
      <c r="D1529">
        <v>5401</v>
      </c>
      <c r="E1529" t="s">
        <v>95</v>
      </c>
      <c r="F1529" t="s">
        <v>17</v>
      </c>
      <c r="G1529">
        <v>20</v>
      </c>
    </row>
    <row r="1530" spans="1:7" x14ac:dyDescent="0.35">
      <c r="A1530">
        <v>92355</v>
      </c>
      <c r="B1530">
        <v>1</v>
      </c>
      <c r="C1530" t="s">
        <v>16</v>
      </c>
      <c r="D1530">
        <v>2601</v>
      </c>
      <c r="E1530" t="s">
        <v>92</v>
      </c>
      <c r="F1530" t="s">
        <v>14</v>
      </c>
      <c r="G1530">
        <v>25</v>
      </c>
    </row>
    <row r="1531" spans="1:7" x14ac:dyDescent="0.35">
      <c r="A1531">
        <v>59811</v>
      </c>
      <c r="B1531">
        <v>0</v>
      </c>
      <c r="C1531" t="s">
        <v>33</v>
      </c>
      <c r="D1531">
        <v>0</v>
      </c>
      <c r="E1531" t="s">
        <v>104</v>
      </c>
      <c r="F1531" t="s">
        <v>17</v>
      </c>
      <c r="G1531">
        <v>5</v>
      </c>
    </row>
    <row r="1532" spans="1:7" x14ac:dyDescent="0.35">
      <c r="A1532">
        <v>173497</v>
      </c>
      <c r="B1532">
        <v>2</v>
      </c>
      <c r="C1532" t="s">
        <v>37</v>
      </c>
      <c r="D1532">
        <v>2801</v>
      </c>
      <c r="E1532" t="s">
        <v>93</v>
      </c>
      <c r="F1532" t="s">
        <v>17</v>
      </c>
      <c r="G1532">
        <v>5</v>
      </c>
    </row>
    <row r="1533" spans="1:7" x14ac:dyDescent="0.35">
      <c r="A1533">
        <v>177017</v>
      </c>
      <c r="B1533">
        <v>1</v>
      </c>
      <c r="C1533" t="s">
        <v>50</v>
      </c>
      <c r="D1533">
        <v>0</v>
      </c>
      <c r="E1533" t="s">
        <v>91</v>
      </c>
      <c r="F1533" t="s">
        <v>14</v>
      </c>
      <c r="G1533">
        <v>15</v>
      </c>
    </row>
    <row r="1534" spans="1:7" x14ac:dyDescent="0.35">
      <c r="A1534">
        <v>15350</v>
      </c>
      <c r="B1534">
        <v>28</v>
      </c>
      <c r="C1534" t="s">
        <v>18</v>
      </c>
      <c r="D1534">
        <v>2701</v>
      </c>
      <c r="E1534" t="s">
        <v>92</v>
      </c>
      <c r="F1534" t="s">
        <v>17</v>
      </c>
      <c r="G1534">
        <v>15</v>
      </c>
    </row>
    <row r="1535" spans="1:7" x14ac:dyDescent="0.35">
      <c r="A1535">
        <v>4629</v>
      </c>
      <c r="B1535">
        <v>1</v>
      </c>
      <c r="C1535" t="s">
        <v>48</v>
      </c>
      <c r="D1535">
        <v>2302</v>
      </c>
      <c r="E1535" t="s">
        <v>92</v>
      </c>
      <c r="F1535" t="s">
        <v>14</v>
      </c>
      <c r="G1535">
        <v>15</v>
      </c>
    </row>
    <row r="1536" spans="1:7" x14ac:dyDescent="0.35">
      <c r="A1536">
        <v>162598</v>
      </c>
      <c r="B1536">
        <v>2</v>
      </c>
      <c r="C1536" t="s">
        <v>22</v>
      </c>
      <c r="D1536">
        <v>2001</v>
      </c>
      <c r="E1536" t="s">
        <v>93</v>
      </c>
      <c r="F1536" t="s">
        <v>17</v>
      </c>
      <c r="G1536">
        <v>20</v>
      </c>
    </row>
    <row r="1537" spans="1:7" x14ac:dyDescent="0.35">
      <c r="A1537">
        <v>178949</v>
      </c>
      <c r="B1537">
        <v>1</v>
      </c>
      <c r="C1537" t="s">
        <v>40</v>
      </c>
      <c r="D1537">
        <v>3901</v>
      </c>
      <c r="E1537" t="s">
        <v>93</v>
      </c>
      <c r="F1537" t="s">
        <v>14</v>
      </c>
      <c r="G1537">
        <v>15</v>
      </c>
    </row>
    <row r="1538" spans="1:7" x14ac:dyDescent="0.35">
      <c r="A1538">
        <v>189880</v>
      </c>
      <c r="B1538">
        <v>2</v>
      </c>
      <c r="C1538" t="s">
        <v>56</v>
      </c>
      <c r="D1538">
        <v>1801</v>
      </c>
      <c r="E1538" t="s">
        <v>89</v>
      </c>
      <c r="F1538" t="s">
        <v>17</v>
      </c>
      <c r="G1538">
        <v>10</v>
      </c>
    </row>
    <row r="1539" spans="1:7" x14ac:dyDescent="0.35">
      <c r="A1539">
        <v>132031</v>
      </c>
      <c r="B1539">
        <v>1</v>
      </c>
      <c r="C1539" t="s">
        <v>54</v>
      </c>
      <c r="D1539">
        <v>2301</v>
      </c>
      <c r="E1539" t="s">
        <v>91</v>
      </c>
      <c r="F1539" t="s">
        <v>14</v>
      </c>
      <c r="G1539">
        <v>23</v>
      </c>
    </row>
    <row r="1540" spans="1:7" x14ac:dyDescent="0.35">
      <c r="A1540">
        <v>38111</v>
      </c>
      <c r="B1540">
        <v>1</v>
      </c>
      <c r="C1540" t="s">
        <v>13</v>
      </c>
      <c r="D1540">
        <v>1311</v>
      </c>
      <c r="E1540" t="s">
        <v>92</v>
      </c>
      <c r="F1540" t="s">
        <v>14</v>
      </c>
      <c r="G1540">
        <v>7</v>
      </c>
    </row>
    <row r="1541" spans="1:7" x14ac:dyDescent="0.35">
      <c r="A1541">
        <v>21375</v>
      </c>
      <c r="B1541">
        <v>0</v>
      </c>
      <c r="C1541" t="s">
        <v>18</v>
      </c>
      <c r="D1541">
        <v>5401</v>
      </c>
      <c r="E1541" t="s">
        <v>89</v>
      </c>
      <c r="F1541" t="s">
        <v>17</v>
      </c>
      <c r="G1541">
        <v>25</v>
      </c>
    </row>
    <row r="1542" spans="1:7" x14ac:dyDescent="0.35">
      <c r="A1542">
        <v>31735</v>
      </c>
      <c r="B1542">
        <v>28</v>
      </c>
      <c r="C1542" t="s">
        <v>13</v>
      </c>
      <c r="D1542">
        <v>0</v>
      </c>
      <c r="E1542" t="s">
        <v>94</v>
      </c>
      <c r="F1542" t="s">
        <v>17</v>
      </c>
      <c r="G1542">
        <v>19</v>
      </c>
    </row>
    <row r="1543" spans="1:7" x14ac:dyDescent="0.35">
      <c r="A1543">
        <v>132456</v>
      </c>
      <c r="B1543">
        <v>2</v>
      </c>
      <c r="C1543" t="s">
        <v>48</v>
      </c>
      <c r="D1543">
        <v>2201</v>
      </c>
      <c r="E1543" t="s">
        <v>100</v>
      </c>
      <c r="F1543" t="s">
        <v>17</v>
      </c>
      <c r="G1543">
        <v>7</v>
      </c>
    </row>
    <row r="1544" spans="1:7" x14ac:dyDescent="0.35">
      <c r="A1544">
        <v>121165</v>
      </c>
      <c r="B1544">
        <v>1</v>
      </c>
      <c r="C1544" t="s">
        <v>21</v>
      </c>
      <c r="D1544">
        <v>6601</v>
      </c>
      <c r="E1544" t="s">
        <v>95</v>
      </c>
      <c r="F1544" t="s">
        <v>14</v>
      </c>
      <c r="G1544">
        <v>10</v>
      </c>
    </row>
    <row r="1545" spans="1:7" x14ac:dyDescent="0.35">
      <c r="A1545">
        <v>175226</v>
      </c>
      <c r="B1545">
        <v>1</v>
      </c>
      <c r="C1545" t="s">
        <v>50</v>
      </c>
      <c r="D1545">
        <v>1809</v>
      </c>
      <c r="E1545" t="s">
        <v>91</v>
      </c>
      <c r="F1545" t="s">
        <v>14</v>
      </c>
      <c r="G1545">
        <v>11</v>
      </c>
    </row>
    <row r="1546" spans="1:7" x14ac:dyDescent="0.35">
      <c r="A1546">
        <v>190534</v>
      </c>
      <c r="B1546">
        <v>0</v>
      </c>
      <c r="C1546" t="s">
        <v>22</v>
      </c>
      <c r="D1546">
        <v>501</v>
      </c>
      <c r="E1546" t="s">
        <v>101</v>
      </c>
      <c r="F1546" t="s">
        <v>17</v>
      </c>
      <c r="G1546">
        <v>6</v>
      </c>
    </row>
    <row r="1547" spans="1:7" x14ac:dyDescent="0.35">
      <c r="A1547">
        <v>33383</v>
      </c>
      <c r="B1547">
        <v>28</v>
      </c>
      <c r="C1547" t="s">
        <v>13</v>
      </c>
      <c r="D1547">
        <v>0</v>
      </c>
      <c r="E1547" t="s">
        <v>94</v>
      </c>
      <c r="F1547" t="s">
        <v>17</v>
      </c>
      <c r="G1547">
        <v>11</v>
      </c>
    </row>
    <row r="1548" spans="1:7" x14ac:dyDescent="0.35">
      <c r="A1548">
        <v>64261</v>
      </c>
      <c r="B1548">
        <v>2</v>
      </c>
      <c r="C1548" t="s">
        <v>33</v>
      </c>
      <c r="D1548">
        <v>0</v>
      </c>
      <c r="E1548" t="s">
        <v>89</v>
      </c>
      <c r="F1548" t="s">
        <v>17</v>
      </c>
      <c r="G1548">
        <v>10</v>
      </c>
    </row>
    <row r="1549" spans="1:7" x14ac:dyDescent="0.35">
      <c r="A1549">
        <v>106854</v>
      </c>
      <c r="B1549">
        <v>2</v>
      </c>
      <c r="C1549" t="s">
        <v>48</v>
      </c>
      <c r="D1549">
        <v>0</v>
      </c>
      <c r="E1549" t="s">
        <v>94</v>
      </c>
      <c r="F1549" t="s">
        <v>17</v>
      </c>
      <c r="G1549">
        <v>8</v>
      </c>
    </row>
    <row r="1550" spans="1:7" x14ac:dyDescent="0.35">
      <c r="A1550">
        <v>115676</v>
      </c>
      <c r="B1550">
        <v>4</v>
      </c>
      <c r="C1550" t="s">
        <v>21</v>
      </c>
      <c r="D1550">
        <v>0</v>
      </c>
      <c r="E1550" t="s">
        <v>89</v>
      </c>
      <c r="G1550">
        <v>20</v>
      </c>
    </row>
    <row r="1551" spans="1:7" x14ac:dyDescent="0.35">
      <c r="A1551">
        <v>60195</v>
      </c>
      <c r="B1551">
        <v>0</v>
      </c>
      <c r="C1551" t="s">
        <v>33</v>
      </c>
      <c r="D1551">
        <v>5501</v>
      </c>
      <c r="E1551" t="s">
        <v>93</v>
      </c>
      <c r="F1551" t="s">
        <v>17</v>
      </c>
      <c r="G1551">
        <v>25</v>
      </c>
    </row>
    <row r="1552" spans="1:7" x14ac:dyDescent="0.35">
      <c r="A1552">
        <v>6308</v>
      </c>
      <c r="B1552">
        <v>0</v>
      </c>
      <c r="C1552" t="s">
        <v>46</v>
      </c>
      <c r="D1552">
        <v>1803</v>
      </c>
      <c r="E1552" t="s">
        <v>91</v>
      </c>
      <c r="F1552" t="s">
        <v>14</v>
      </c>
      <c r="G1552">
        <v>12</v>
      </c>
    </row>
    <row r="1553" spans="1:7" x14ac:dyDescent="0.35">
      <c r="A1553">
        <v>93883</v>
      </c>
      <c r="B1553">
        <v>0</v>
      </c>
      <c r="C1553" t="s">
        <v>16</v>
      </c>
      <c r="D1553">
        <v>4601</v>
      </c>
      <c r="E1553" t="s">
        <v>101</v>
      </c>
      <c r="F1553" t="s">
        <v>14</v>
      </c>
      <c r="G1553">
        <v>4</v>
      </c>
    </row>
    <row r="1554" spans="1:7" x14ac:dyDescent="0.35">
      <c r="A1554">
        <v>38812</v>
      </c>
      <c r="B1554">
        <v>2</v>
      </c>
      <c r="C1554" t="s">
        <v>13</v>
      </c>
      <c r="D1554">
        <v>2310</v>
      </c>
      <c r="E1554" t="s">
        <v>95</v>
      </c>
      <c r="F1554" t="s">
        <v>17</v>
      </c>
      <c r="G1554">
        <v>17</v>
      </c>
    </row>
    <row r="1555" spans="1:7" x14ac:dyDescent="0.35">
      <c r="A1555">
        <v>15219</v>
      </c>
      <c r="B1555">
        <v>0</v>
      </c>
      <c r="C1555" t="s">
        <v>18</v>
      </c>
      <c r="D1555">
        <v>0</v>
      </c>
      <c r="E1555" t="s">
        <v>89</v>
      </c>
      <c r="F1555" t="s">
        <v>17</v>
      </c>
      <c r="G1555">
        <v>25</v>
      </c>
    </row>
    <row r="1556" spans="1:7" x14ac:dyDescent="0.35">
      <c r="A1556">
        <v>76442</v>
      </c>
      <c r="B1556">
        <v>1</v>
      </c>
      <c r="C1556" t="s">
        <v>47</v>
      </c>
      <c r="D1556">
        <v>3801</v>
      </c>
      <c r="E1556" t="s">
        <v>91</v>
      </c>
      <c r="F1556" t="s">
        <v>14</v>
      </c>
      <c r="G1556">
        <v>5</v>
      </c>
    </row>
    <row r="1557" spans="1:7" x14ac:dyDescent="0.35">
      <c r="A1557">
        <v>175659</v>
      </c>
      <c r="B1557">
        <v>2</v>
      </c>
      <c r="C1557" t="s">
        <v>50</v>
      </c>
      <c r="D1557">
        <v>1504</v>
      </c>
      <c r="E1557" t="s">
        <v>93</v>
      </c>
      <c r="F1557" t="s">
        <v>17</v>
      </c>
      <c r="G1557">
        <v>10</v>
      </c>
    </row>
    <row r="1558" spans="1:7" x14ac:dyDescent="0.35">
      <c r="A1558">
        <v>21859</v>
      </c>
      <c r="B1558">
        <v>0</v>
      </c>
      <c r="C1558" t="s">
        <v>18</v>
      </c>
      <c r="D1558">
        <v>3901</v>
      </c>
      <c r="E1558" t="s">
        <v>91</v>
      </c>
      <c r="F1558" t="s">
        <v>17</v>
      </c>
      <c r="G1558">
        <v>10</v>
      </c>
    </row>
    <row r="1559" spans="1:7" x14ac:dyDescent="0.35">
      <c r="A1559">
        <v>32892</v>
      </c>
      <c r="B1559">
        <v>0</v>
      </c>
      <c r="C1559" t="s">
        <v>13</v>
      </c>
      <c r="D1559">
        <v>5010</v>
      </c>
      <c r="E1559" t="s">
        <v>93</v>
      </c>
      <c r="F1559" t="s">
        <v>14</v>
      </c>
      <c r="G1559">
        <v>10</v>
      </c>
    </row>
    <row r="1560" spans="1:7" x14ac:dyDescent="0.35">
      <c r="A1560">
        <v>65740</v>
      </c>
      <c r="B1560">
        <v>0</v>
      </c>
      <c r="C1560" t="s">
        <v>29</v>
      </c>
      <c r="D1560">
        <v>6901</v>
      </c>
      <c r="E1560" t="s">
        <v>90</v>
      </c>
      <c r="F1560" t="s">
        <v>17</v>
      </c>
      <c r="G1560">
        <v>12</v>
      </c>
    </row>
    <row r="1561" spans="1:7" x14ac:dyDescent="0.35">
      <c r="A1561">
        <v>117264</v>
      </c>
      <c r="B1561">
        <v>2</v>
      </c>
      <c r="C1561" t="s">
        <v>21</v>
      </c>
      <c r="D1561">
        <v>5208</v>
      </c>
      <c r="E1561" t="s">
        <v>101</v>
      </c>
      <c r="F1561" t="s">
        <v>17</v>
      </c>
      <c r="G1561">
        <v>17</v>
      </c>
    </row>
    <row r="1562" spans="1:7" x14ac:dyDescent="0.35">
      <c r="A1562">
        <v>156344</v>
      </c>
      <c r="B1562">
        <v>1</v>
      </c>
      <c r="C1562" t="s">
        <v>22</v>
      </c>
      <c r="D1562">
        <v>0</v>
      </c>
      <c r="E1562" t="s">
        <v>93</v>
      </c>
      <c r="F1562" t="s">
        <v>14</v>
      </c>
      <c r="G1562">
        <v>10</v>
      </c>
    </row>
    <row r="1563" spans="1:7" x14ac:dyDescent="0.35">
      <c r="A1563">
        <v>152816</v>
      </c>
      <c r="B1563">
        <v>2</v>
      </c>
      <c r="C1563" t="s">
        <v>22</v>
      </c>
      <c r="D1563">
        <v>3201</v>
      </c>
      <c r="E1563" t="s">
        <v>90</v>
      </c>
      <c r="F1563" t="s">
        <v>17</v>
      </c>
      <c r="G1563">
        <v>35</v>
      </c>
    </row>
    <row r="1564" spans="1:7" x14ac:dyDescent="0.35">
      <c r="A1564">
        <v>133042</v>
      </c>
      <c r="B1564">
        <v>1</v>
      </c>
      <c r="C1564" t="s">
        <v>41</v>
      </c>
      <c r="D1564">
        <v>1301</v>
      </c>
      <c r="E1564" t="s">
        <v>98</v>
      </c>
      <c r="F1564" t="s">
        <v>14</v>
      </c>
      <c r="G1564">
        <v>40</v>
      </c>
    </row>
    <row r="1565" spans="1:7" x14ac:dyDescent="0.35">
      <c r="A1565">
        <v>9063</v>
      </c>
      <c r="B1565">
        <v>1</v>
      </c>
      <c r="C1565" t="s">
        <v>55</v>
      </c>
      <c r="D1565">
        <v>1601</v>
      </c>
      <c r="F1565" t="s">
        <v>14</v>
      </c>
      <c r="G1565">
        <v>10</v>
      </c>
    </row>
    <row r="1566" spans="1:7" x14ac:dyDescent="0.35">
      <c r="A1566">
        <v>127527</v>
      </c>
      <c r="B1566">
        <v>1002</v>
      </c>
      <c r="C1566" t="s">
        <v>21</v>
      </c>
      <c r="D1566">
        <v>6002</v>
      </c>
      <c r="E1566" t="s">
        <v>100</v>
      </c>
      <c r="F1566" t="s">
        <v>14</v>
      </c>
      <c r="G1566">
        <v>12</v>
      </c>
    </row>
    <row r="1567" spans="1:7" x14ac:dyDescent="0.35">
      <c r="A1567">
        <v>24940</v>
      </c>
      <c r="B1567">
        <v>0</v>
      </c>
      <c r="C1567" t="s">
        <v>46</v>
      </c>
      <c r="D1567">
        <v>0</v>
      </c>
      <c r="E1567" t="s">
        <v>94</v>
      </c>
      <c r="F1567" t="s">
        <v>17</v>
      </c>
      <c r="G1567">
        <v>15</v>
      </c>
    </row>
    <row r="1568" spans="1:7" x14ac:dyDescent="0.35">
      <c r="A1568">
        <v>40520</v>
      </c>
      <c r="B1568">
        <v>0</v>
      </c>
      <c r="C1568" t="s">
        <v>13</v>
      </c>
      <c r="D1568">
        <v>1012</v>
      </c>
      <c r="E1568" t="s">
        <v>93</v>
      </c>
      <c r="F1568" t="s">
        <v>17</v>
      </c>
      <c r="G1568">
        <v>10</v>
      </c>
    </row>
    <row r="1569" spans="1:7" x14ac:dyDescent="0.35">
      <c r="A1569">
        <v>101263</v>
      </c>
      <c r="B1569">
        <v>28</v>
      </c>
      <c r="C1569" t="s">
        <v>36</v>
      </c>
      <c r="D1569">
        <v>1601</v>
      </c>
      <c r="E1569" t="s">
        <v>98</v>
      </c>
      <c r="F1569" t="s">
        <v>17</v>
      </c>
      <c r="G1569">
        <v>10</v>
      </c>
    </row>
    <row r="1570" spans="1:7" x14ac:dyDescent="0.35">
      <c r="A1570">
        <v>130185</v>
      </c>
      <c r="B1570">
        <v>2</v>
      </c>
      <c r="C1570" t="s">
        <v>48</v>
      </c>
      <c r="D1570">
        <v>1601</v>
      </c>
      <c r="E1570" t="s">
        <v>101</v>
      </c>
      <c r="F1570" t="s">
        <v>17</v>
      </c>
      <c r="G1570">
        <v>3</v>
      </c>
    </row>
    <row r="1571" spans="1:7" x14ac:dyDescent="0.35">
      <c r="A1571">
        <v>84599</v>
      </c>
      <c r="B1571">
        <v>28</v>
      </c>
      <c r="C1571" t="s">
        <v>56</v>
      </c>
      <c r="D1571">
        <v>5801</v>
      </c>
      <c r="E1571" t="s">
        <v>88</v>
      </c>
      <c r="F1571" t="s">
        <v>17</v>
      </c>
      <c r="G1571">
        <v>11</v>
      </c>
    </row>
    <row r="1572" spans="1:7" x14ac:dyDescent="0.35">
      <c r="A1572">
        <v>95208</v>
      </c>
      <c r="B1572">
        <v>0</v>
      </c>
      <c r="C1572" t="s">
        <v>16</v>
      </c>
      <c r="D1572">
        <v>2312</v>
      </c>
      <c r="E1572" t="s">
        <v>91</v>
      </c>
      <c r="F1572" t="s">
        <v>17</v>
      </c>
      <c r="G1572">
        <v>10</v>
      </c>
    </row>
    <row r="1573" spans="1:7" x14ac:dyDescent="0.35">
      <c r="A1573">
        <v>129822</v>
      </c>
      <c r="B1573">
        <v>28</v>
      </c>
      <c r="C1573" t="s">
        <v>48</v>
      </c>
      <c r="D1573">
        <v>4701</v>
      </c>
      <c r="E1573" t="s">
        <v>93</v>
      </c>
      <c r="F1573" t="s">
        <v>17</v>
      </c>
      <c r="G1573">
        <v>20</v>
      </c>
    </row>
    <row r="1574" spans="1:7" x14ac:dyDescent="0.35">
      <c r="A1574">
        <v>97026</v>
      </c>
      <c r="B1574">
        <v>0</v>
      </c>
      <c r="C1574" t="s">
        <v>16</v>
      </c>
      <c r="D1574">
        <v>4701</v>
      </c>
      <c r="E1574" t="s">
        <v>92</v>
      </c>
      <c r="F1574" t="s">
        <v>17</v>
      </c>
      <c r="G1574">
        <v>10</v>
      </c>
    </row>
    <row r="1575" spans="1:7" x14ac:dyDescent="0.35">
      <c r="A1575">
        <v>165378</v>
      </c>
      <c r="B1575">
        <v>0</v>
      </c>
      <c r="C1575" t="s">
        <v>22</v>
      </c>
      <c r="D1575">
        <v>6006</v>
      </c>
      <c r="E1575" t="s">
        <v>93</v>
      </c>
      <c r="F1575" t="s">
        <v>17</v>
      </c>
      <c r="G1575">
        <v>23</v>
      </c>
    </row>
    <row r="1576" spans="1:7" x14ac:dyDescent="0.35">
      <c r="A1576">
        <v>160196</v>
      </c>
      <c r="B1576">
        <v>0</v>
      </c>
      <c r="C1576" t="s">
        <v>22</v>
      </c>
      <c r="D1576">
        <v>5101</v>
      </c>
      <c r="E1576" t="s">
        <v>94</v>
      </c>
      <c r="F1576" t="s">
        <v>17</v>
      </c>
      <c r="G1576">
        <v>10</v>
      </c>
    </row>
    <row r="1577" spans="1:7" x14ac:dyDescent="0.35">
      <c r="A1577">
        <v>57052</v>
      </c>
      <c r="B1577">
        <v>0</v>
      </c>
      <c r="C1577" t="s">
        <v>57</v>
      </c>
      <c r="D1577">
        <v>4701</v>
      </c>
      <c r="E1577" t="s">
        <v>91</v>
      </c>
      <c r="F1577" t="s">
        <v>30</v>
      </c>
      <c r="G1577">
        <v>29</v>
      </c>
    </row>
    <row r="1578" spans="1:7" x14ac:dyDescent="0.35">
      <c r="A1578">
        <v>144577</v>
      </c>
      <c r="B1578">
        <v>1</v>
      </c>
      <c r="C1578" t="s">
        <v>22</v>
      </c>
      <c r="D1578">
        <v>1603</v>
      </c>
      <c r="E1578" t="s">
        <v>95</v>
      </c>
      <c r="F1578" t="s">
        <v>14</v>
      </c>
      <c r="G1578">
        <v>15</v>
      </c>
    </row>
    <row r="1579" spans="1:7" x14ac:dyDescent="0.35">
      <c r="A1579">
        <v>103591</v>
      </c>
      <c r="B1579">
        <v>39002</v>
      </c>
      <c r="C1579" t="s">
        <v>36</v>
      </c>
      <c r="D1579">
        <v>0</v>
      </c>
      <c r="E1579" t="s">
        <v>91</v>
      </c>
      <c r="F1579" t="s">
        <v>14</v>
      </c>
      <c r="G1579">
        <v>3</v>
      </c>
    </row>
    <row r="1580" spans="1:7" x14ac:dyDescent="0.35">
      <c r="A1580">
        <v>111708</v>
      </c>
      <c r="B1580">
        <v>0</v>
      </c>
      <c r="C1580" t="s">
        <v>32</v>
      </c>
      <c r="D1580">
        <v>0</v>
      </c>
      <c r="E1580" t="s">
        <v>93</v>
      </c>
      <c r="F1580" t="s">
        <v>17</v>
      </c>
      <c r="G1580">
        <v>15</v>
      </c>
    </row>
    <row r="1581" spans="1:7" x14ac:dyDescent="0.35">
      <c r="A1581">
        <v>89030</v>
      </c>
      <c r="B1581">
        <v>0</v>
      </c>
      <c r="C1581" t="s">
        <v>16</v>
      </c>
      <c r="D1581">
        <v>2501</v>
      </c>
      <c r="E1581" t="s">
        <v>101</v>
      </c>
      <c r="F1581" t="s">
        <v>17</v>
      </c>
      <c r="G1581">
        <v>11</v>
      </c>
    </row>
    <row r="1582" spans="1:7" x14ac:dyDescent="0.35">
      <c r="A1582">
        <v>169678</v>
      </c>
      <c r="B1582">
        <v>0</v>
      </c>
      <c r="C1582" t="s">
        <v>22</v>
      </c>
      <c r="D1582">
        <v>2401</v>
      </c>
      <c r="E1582" t="s">
        <v>93</v>
      </c>
      <c r="F1582" t="s">
        <v>17</v>
      </c>
      <c r="G1582">
        <v>20</v>
      </c>
    </row>
    <row r="1583" spans="1:7" x14ac:dyDescent="0.35">
      <c r="A1583">
        <v>95831</v>
      </c>
      <c r="B1583">
        <v>1</v>
      </c>
      <c r="C1583" t="s">
        <v>16</v>
      </c>
      <c r="D1583">
        <v>2701</v>
      </c>
      <c r="E1583" t="s">
        <v>91</v>
      </c>
      <c r="F1583" t="s">
        <v>14</v>
      </c>
      <c r="G1583">
        <v>10</v>
      </c>
    </row>
    <row r="1584" spans="1:7" x14ac:dyDescent="0.35">
      <c r="A1584">
        <v>48047</v>
      </c>
      <c r="B1584">
        <v>0</v>
      </c>
      <c r="C1584" t="s">
        <v>43</v>
      </c>
      <c r="D1584">
        <v>0</v>
      </c>
      <c r="E1584" t="s">
        <v>94</v>
      </c>
      <c r="F1584" t="s">
        <v>17</v>
      </c>
      <c r="G1584">
        <v>6</v>
      </c>
    </row>
    <row r="1585" spans="1:7" x14ac:dyDescent="0.35">
      <c r="A1585">
        <v>156378</v>
      </c>
      <c r="B1585">
        <v>0</v>
      </c>
      <c r="C1585" t="s">
        <v>22</v>
      </c>
      <c r="D1585">
        <v>2807</v>
      </c>
      <c r="E1585" t="s">
        <v>93</v>
      </c>
      <c r="F1585" t="s">
        <v>17</v>
      </c>
      <c r="G1585">
        <v>13</v>
      </c>
    </row>
    <row r="1586" spans="1:7" x14ac:dyDescent="0.35">
      <c r="A1586">
        <v>58130</v>
      </c>
      <c r="B1586">
        <v>0</v>
      </c>
      <c r="C1586" t="s">
        <v>57</v>
      </c>
      <c r="D1586">
        <v>0</v>
      </c>
      <c r="E1586" t="s">
        <v>98</v>
      </c>
      <c r="F1586" t="s">
        <v>17</v>
      </c>
      <c r="G1586">
        <v>7</v>
      </c>
    </row>
    <row r="1587" spans="1:7" x14ac:dyDescent="0.35">
      <c r="A1587">
        <v>111459</v>
      </c>
      <c r="B1587">
        <v>28</v>
      </c>
      <c r="C1587" t="s">
        <v>32</v>
      </c>
      <c r="D1587">
        <v>5801</v>
      </c>
      <c r="E1587" t="s">
        <v>92</v>
      </c>
      <c r="F1587" t="s">
        <v>17</v>
      </c>
      <c r="G1587">
        <v>20</v>
      </c>
    </row>
    <row r="1588" spans="1:7" x14ac:dyDescent="0.35">
      <c r="A1588">
        <v>77574</v>
      </c>
      <c r="B1588">
        <v>2</v>
      </c>
      <c r="C1588" t="s">
        <v>35</v>
      </c>
      <c r="D1588">
        <v>2301</v>
      </c>
      <c r="E1588" t="s">
        <v>88</v>
      </c>
      <c r="F1588" t="s">
        <v>17</v>
      </c>
      <c r="G1588">
        <v>5</v>
      </c>
    </row>
    <row r="1589" spans="1:7" x14ac:dyDescent="0.35">
      <c r="A1589">
        <v>157536</v>
      </c>
      <c r="B1589">
        <v>2</v>
      </c>
      <c r="C1589" t="s">
        <v>22</v>
      </c>
      <c r="D1589">
        <v>1901</v>
      </c>
      <c r="E1589" t="s">
        <v>88</v>
      </c>
      <c r="F1589" t="s">
        <v>17</v>
      </c>
      <c r="G1589">
        <v>17</v>
      </c>
    </row>
    <row r="1590" spans="1:7" x14ac:dyDescent="0.35">
      <c r="A1590">
        <v>86270</v>
      </c>
      <c r="B1590">
        <v>2</v>
      </c>
      <c r="C1590" t="s">
        <v>52</v>
      </c>
      <c r="D1590">
        <v>5501</v>
      </c>
      <c r="E1590" t="s">
        <v>88</v>
      </c>
      <c r="F1590" t="s">
        <v>14</v>
      </c>
      <c r="G1590">
        <v>16</v>
      </c>
    </row>
    <row r="1591" spans="1:7" x14ac:dyDescent="0.35">
      <c r="A1591">
        <v>71882</v>
      </c>
      <c r="B1591">
        <v>0</v>
      </c>
      <c r="C1591" t="s">
        <v>29</v>
      </c>
      <c r="D1591">
        <v>0</v>
      </c>
      <c r="E1591" t="s">
        <v>88</v>
      </c>
      <c r="F1591" t="s">
        <v>17</v>
      </c>
      <c r="G1591">
        <v>14</v>
      </c>
    </row>
    <row r="1592" spans="1:7" x14ac:dyDescent="0.35">
      <c r="A1592">
        <v>53213</v>
      </c>
      <c r="B1592">
        <v>0</v>
      </c>
      <c r="C1592" t="s">
        <v>53</v>
      </c>
      <c r="D1592">
        <v>4401</v>
      </c>
      <c r="E1592" t="s">
        <v>98</v>
      </c>
      <c r="F1592" t="s">
        <v>17</v>
      </c>
      <c r="G1592">
        <v>15</v>
      </c>
    </row>
    <row r="1593" spans="1:7" x14ac:dyDescent="0.35">
      <c r="A1593">
        <v>121292</v>
      </c>
      <c r="B1593">
        <v>3</v>
      </c>
      <c r="C1593" t="s">
        <v>21</v>
      </c>
      <c r="D1593">
        <v>0</v>
      </c>
      <c r="E1593" t="s">
        <v>101</v>
      </c>
      <c r="F1593" t="s">
        <v>17</v>
      </c>
      <c r="G1593">
        <v>16</v>
      </c>
    </row>
    <row r="1594" spans="1:7" x14ac:dyDescent="0.35">
      <c r="A1594">
        <v>101614</v>
      </c>
      <c r="B1594">
        <v>0</v>
      </c>
      <c r="C1594" t="s">
        <v>36</v>
      </c>
      <c r="D1594">
        <v>4401</v>
      </c>
      <c r="E1594" t="s">
        <v>91</v>
      </c>
      <c r="F1594" t="s">
        <v>17</v>
      </c>
      <c r="G1594">
        <v>21</v>
      </c>
    </row>
    <row r="1595" spans="1:7" x14ac:dyDescent="0.35">
      <c r="A1595">
        <v>161479</v>
      </c>
      <c r="B1595">
        <v>2</v>
      </c>
      <c r="C1595" t="s">
        <v>50</v>
      </c>
      <c r="D1595">
        <v>2101</v>
      </c>
      <c r="E1595" t="s">
        <v>90</v>
      </c>
      <c r="F1595" t="s">
        <v>17</v>
      </c>
      <c r="G1595">
        <v>11</v>
      </c>
    </row>
    <row r="1596" spans="1:7" x14ac:dyDescent="0.35">
      <c r="A1596">
        <v>74183</v>
      </c>
      <c r="B1596">
        <v>2</v>
      </c>
      <c r="C1596" t="s">
        <v>29</v>
      </c>
      <c r="D1596">
        <v>0</v>
      </c>
      <c r="F1596" t="s">
        <v>17</v>
      </c>
      <c r="G1596">
        <v>5</v>
      </c>
    </row>
    <row r="1597" spans="1:7" x14ac:dyDescent="0.35">
      <c r="A1597">
        <v>53611</v>
      </c>
      <c r="B1597">
        <v>28</v>
      </c>
      <c r="C1597" t="s">
        <v>53</v>
      </c>
      <c r="D1597">
        <v>5401</v>
      </c>
      <c r="E1597" t="s">
        <v>97</v>
      </c>
      <c r="F1597" t="s">
        <v>17</v>
      </c>
      <c r="G1597" t="s">
        <v>109</v>
      </c>
    </row>
    <row r="1598" spans="1:7" x14ac:dyDescent="0.35">
      <c r="A1598">
        <v>143610</v>
      </c>
      <c r="B1598">
        <v>0</v>
      </c>
      <c r="C1598" t="s">
        <v>22</v>
      </c>
      <c r="D1598">
        <v>0</v>
      </c>
      <c r="E1598" t="s">
        <v>95</v>
      </c>
      <c r="F1598" t="s">
        <v>17</v>
      </c>
      <c r="G1598" t="s">
        <v>110</v>
      </c>
    </row>
    <row r="1599" spans="1:7" x14ac:dyDescent="0.35">
      <c r="A1599">
        <v>158534</v>
      </c>
      <c r="B1599">
        <v>0</v>
      </c>
      <c r="C1599" t="s">
        <v>22</v>
      </c>
      <c r="D1599">
        <v>4801</v>
      </c>
      <c r="E1599" t="s">
        <v>93</v>
      </c>
      <c r="F1599" t="s">
        <v>17</v>
      </c>
      <c r="G1599">
        <v>25</v>
      </c>
    </row>
    <row r="1600" spans="1:7" x14ac:dyDescent="0.35">
      <c r="A1600">
        <v>66265</v>
      </c>
      <c r="B1600">
        <v>1</v>
      </c>
      <c r="C1600" t="s">
        <v>29</v>
      </c>
      <c r="D1600">
        <v>4511</v>
      </c>
      <c r="E1600" t="s">
        <v>97</v>
      </c>
      <c r="F1600" t="s">
        <v>14</v>
      </c>
      <c r="G1600">
        <v>40</v>
      </c>
    </row>
    <row r="1601" spans="1:7" x14ac:dyDescent="0.35">
      <c r="A1601">
        <v>141468</v>
      </c>
      <c r="B1601">
        <v>0</v>
      </c>
      <c r="C1601" t="s">
        <v>24</v>
      </c>
      <c r="D1601">
        <v>1801</v>
      </c>
      <c r="E1601" t="s">
        <v>90</v>
      </c>
      <c r="F1601" t="s">
        <v>14</v>
      </c>
      <c r="G1601">
        <v>25</v>
      </c>
    </row>
    <row r="1602" spans="1:7" x14ac:dyDescent="0.35">
      <c r="A1602">
        <v>121683</v>
      </c>
      <c r="B1602">
        <v>1</v>
      </c>
      <c r="C1602" t="s">
        <v>21</v>
      </c>
      <c r="D1602">
        <v>5101</v>
      </c>
      <c r="E1602" t="s">
        <v>93</v>
      </c>
      <c r="F1602" t="s">
        <v>14</v>
      </c>
      <c r="G1602">
        <v>10</v>
      </c>
    </row>
    <row r="1603" spans="1:7" x14ac:dyDescent="0.35">
      <c r="A1603">
        <v>130239</v>
      </c>
      <c r="B1603">
        <v>0</v>
      </c>
      <c r="C1603" t="s">
        <v>48</v>
      </c>
      <c r="D1603">
        <v>5601</v>
      </c>
      <c r="E1603" t="s">
        <v>90</v>
      </c>
      <c r="F1603" t="s">
        <v>14</v>
      </c>
      <c r="G1603">
        <v>20</v>
      </c>
    </row>
    <row r="1604" spans="1:7" x14ac:dyDescent="0.35">
      <c r="A1604">
        <v>987</v>
      </c>
      <c r="B1604">
        <v>0</v>
      </c>
      <c r="C1604" t="s">
        <v>39</v>
      </c>
      <c r="D1604">
        <v>4301</v>
      </c>
      <c r="E1604" t="s">
        <v>93</v>
      </c>
      <c r="F1604" t="s">
        <v>17</v>
      </c>
      <c r="G1604">
        <v>3</v>
      </c>
    </row>
    <row r="1605" spans="1:7" x14ac:dyDescent="0.35">
      <c r="A1605">
        <v>76585</v>
      </c>
      <c r="B1605">
        <v>0</v>
      </c>
      <c r="C1605" t="s">
        <v>47</v>
      </c>
      <c r="D1605">
        <v>3110</v>
      </c>
      <c r="E1605" t="s">
        <v>92</v>
      </c>
      <c r="F1605" t="s">
        <v>17</v>
      </c>
      <c r="G1605">
        <v>5</v>
      </c>
    </row>
    <row r="1606" spans="1:7" x14ac:dyDescent="0.35">
      <c r="A1606">
        <v>155240</v>
      </c>
      <c r="B1606">
        <v>28</v>
      </c>
      <c r="C1606" t="s">
        <v>22</v>
      </c>
      <c r="D1606">
        <v>2201</v>
      </c>
      <c r="E1606" t="s">
        <v>88</v>
      </c>
      <c r="F1606" t="s">
        <v>17</v>
      </c>
      <c r="G1606">
        <v>15</v>
      </c>
    </row>
    <row r="1607" spans="1:7" x14ac:dyDescent="0.35">
      <c r="A1607">
        <v>147841</v>
      </c>
      <c r="B1607">
        <v>0</v>
      </c>
      <c r="C1607" t="s">
        <v>22</v>
      </c>
      <c r="D1607">
        <v>1706</v>
      </c>
      <c r="E1607" t="s">
        <v>93</v>
      </c>
      <c r="F1607" t="s">
        <v>17</v>
      </c>
      <c r="G1607">
        <v>100</v>
      </c>
    </row>
    <row r="1608" spans="1:7" x14ac:dyDescent="0.35">
      <c r="A1608">
        <v>140481</v>
      </c>
      <c r="B1608">
        <v>2</v>
      </c>
      <c r="C1608" t="s">
        <v>54</v>
      </c>
      <c r="D1608">
        <v>5201</v>
      </c>
      <c r="E1608" t="s">
        <v>104</v>
      </c>
      <c r="F1608" t="s">
        <v>17</v>
      </c>
      <c r="G1608">
        <v>20</v>
      </c>
    </row>
    <row r="1609" spans="1:7" x14ac:dyDescent="0.35">
      <c r="A1609">
        <v>159034</v>
      </c>
      <c r="B1609">
        <v>1</v>
      </c>
      <c r="C1609" t="s">
        <v>22</v>
      </c>
      <c r="D1609">
        <v>1601</v>
      </c>
      <c r="E1609" t="s">
        <v>103</v>
      </c>
      <c r="F1609" t="s">
        <v>14</v>
      </c>
      <c r="G1609">
        <v>21</v>
      </c>
    </row>
    <row r="1610" spans="1:7" x14ac:dyDescent="0.35">
      <c r="A1610">
        <v>3933</v>
      </c>
      <c r="B1610">
        <v>1</v>
      </c>
      <c r="C1610" t="s">
        <v>16</v>
      </c>
      <c r="D1610">
        <v>6606</v>
      </c>
      <c r="E1610" t="s">
        <v>103</v>
      </c>
      <c r="F1610" t="s">
        <v>14</v>
      </c>
      <c r="G1610">
        <v>20</v>
      </c>
    </row>
    <row r="1611" spans="1:7" x14ac:dyDescent="0.35">
      <c r="A1611">
        <v>167138</v>
      </c>
      <c r="B1611">
        <v>0</v>
      </c>
      <c r="C1611" t="s">
        <v>22</v>
      </c>
      <c r="D1611">
        <v>5301</v>
      </c>
      <c r="E1611" t="s">
        <v>95</v>
      </c>
      <c r="F1611" t="s">
        <v>17</v>
      </c>
      <c r="G1611">
        <v>30</v>
      </c>
    </row>
    <row r="1612" spans="1:7" x14ac:dyDescent="0.35">
      <c r="A1612">
        <v>100900</v>
      </c>
      <c r="B1612">
        <v>2</v>
      </c>
      <c r="C1612" t="s">
        <v>36</v>
      </c>
      <c r="D1612">
        <v>0</v>
      </c>
      <c r="E1612" t="s">
        <v>92</v>
      </c>
      <c r="F1612" t="s">
        <v>17</v>
      </c>
      <c r="G1612">
        <v>5</v>
      </c>
    </row>
    <row r="1613" spans="1:7" x14ac:dyDescent="0.35">
      <c r="A1613">
        <v>161634</v>
      </c>
      <c r="B1613">
        <v>28</v>
      </c>
      <c r="C1613" t="s">
        <v>22</v>
      </c>
      <c r="D1613">
        <v>6302</v>
      </c>
      <c r="E1613" t="s">
        <v>88</v>
      </c>
      <c r="F1613" t="s">
        <v>17</v>
      </c>
      <c r="G1613">
        <v>15</v>
      </c>
    </row>
    <row r="1614" spans="1:7" x14ac:dyDescent="0.35">
      <c r="A1614">
        <v>162945</v>
      </c>
      <c r="B1614">
        <v>0</v>
      </c>
      <c r="C1614" t="s">
        <v>22</v>
      </c>
      <c r="D1614">
        <v>1201</v>
      </c>
      <c r="E1614" t="s">
        <v>102</v>
      </c>
      <c r="F1614" t="s">
        <v>17</v>
      </c>
      <c r="G1614">
        <v>5</v>
      </c>
    </row>
    <row r="1615" spans="1:7" x14ac:dyDescent="0.35">
      <c r="A1615">
        <v>12626</v>
      </c>
      <c r="B1615">
        <v>2</v>
      </c>
      <c r="C1615" t="s">
        <v>39</v>
      </c>
      <c r="D1615">
        <v>0</v>
      </c>
      <c r="E1615" t="s">
        <v>91</v>
      </c>
      <c r="F1615" t="s">
        <v>17</v>
      </c>
      <c r="G1615">
        <v>9</v>
      </c>
    </row>
    <row r="1616" spans="1:7" x14ac:dyDescent="0.35">
      <c r="A1616">
        <v>134005</v>
      </c>
      <c r="B1616">
        <v>13</v>
      </c>
      <c r="C1616" t="s">
        <v>38</v>
      </c>
      <c r="D1616">
        <v>1409</v>
      </c>
      <c r="E1616" t="s">
        <v>88</v>
      </c>
      <c r="F1616" t="s">
        <v>14</v>
      </c>
      <c r="G1616">
        <v>10</v>
      </c>
    </row>
    <row r="1617" spans="1:7" x14ac:dyDescent="0.35">
      <c r="A1617">
        <v>176948</v>
      </c>
      <c r="B1617">
        <v>1</v>
      </c>
      <c r="C1617" t="s">
        <v>50</v>
      </c>
      <c r="D1617">
        <v>2401</v>
      </c>
      <c r="E1617" t="s">
        <v>89</v>
      </c>
      <c r="F1617" t="s">
        <v>14</v>
      </c>
      <c r="G1617">
        <v>20</v>
      </c>
    </row>
    <row r="1618" spans="1:7" x14ac:dyDescent="0.35">
      <c r="A1618">
        <v>123270</v>
      </c>
      <c r="B1618">
        <v>0</v>
      </c>
      <c r="C1618" t="s">
        <v>21</v>
      </c>
      <c r="D1618">
        <v>3508</v>
      </c>
      <c r="E1618" t="s">
        <v>96</v>
      </c>
      <c r="F1618" t="s">
        <v>14</v>
      </c>
      <c r="G1618">
        <v>10</v>
      </c>
    </row>
    <row r="1619" spans="1:7" x14ac:dyDescent="0.35">
      <c r="A1619">
        <v>133884</v>
      </c>
      <c r="B1619">
        <v>0</v>
      </c>
      <c r="C1619" t="s">
        <v>41</v>
      </c>
      <c r="D1619">
        <v>0</v>
      </c>
      <c r="E1619" t="s">
        <v>89</v>
      </c>
      <c r="F1619" t="s">
        <v>17</v>
      </c>
      <c r="G1619">
        <v>50</v>
      </c>
    </row>
    <row r="1620" spans="1:7" x14ac:dyDescent="0.35">
      <c r="A1620">
        <v>21815</v>
      </c>
      <c r="B1620">
        <v>0</v>
      </c>
      <c r="C1620" t="s">
        <v>18</v>
      </c>
      <c r="D1620">
        <v>7101</v>
      </c>
      <c r="E1620" t="s">
        <v>89</v>
      </c>
      <c r="F1620" t="s">
        <v>17</v>
      </c>
      <c r="G1620">
        <v>5</v>
      </c>
    </row>
    <row r="1621" spans="1:7" x14ac:dyDescent="0.35">
      <c r="A1621">
        <v>56700</v>
      </c>
      <c r="B1621">
        <v>1</v>
      </c>
      <c r="C1621" t="s">
        <v>57</v>
      </c>
      <c r="D1621">
        <v>0</v>
      </c>
      <c r="E1621" t="s">
        <v>96</v>
      </c>
      <c r="F1621" t="s">
        <v>14</v>
      </c>
      <c r="G1621">
        <v>20</v>
      </c>
    </row>
    <row r="1622" spans="1:7" x14ac:dyDescent="0.35">
      <c r="A1622">
        <v>41920</v>
      </c>
      <c r="B1622">
        <v>0</v>
      </c>
      <c r="C1622" t="s">
        <v>13</v>
      </c>
      <c r="D1622">
        <v>4201</v>
      </c>
      <c r="E1622" t="s">
        <v>102</v>
      </c>
      <c r="F1622" t="s">
        <v>14</v>
      </c>
      <c r="G1622">
        <v>15</v>
      </c>
    </row>
    <row r="1623" spans="1:7" x14ac:dyDescent="0.35">
      <c r="A1623">
        <v>68440</v>
      </c>
      <c r="B1623">
        <v>2</v>
      </c>
      <c r="C1623" t="s">
        <v>29</v>
      </c>
      <c r="D1623">
        <v>3101</v>
      </c>
      <c r="E1623" t="s">
        <v>102</v>
      </c>
      <c r="F1623" t="s">
        <v>14</v>
      </c>
      <c r="G1623">
        <v>15</v>
      </c>
    </row>
    <row r="1624" spans="1:7" x14ac:dyDescent="0.35">
      <c r="A1624">
        <v>8013</v>
      </c>
      <c r="B1624">
        <v>0</v>
      </c>
      <c r="C1624" t="s">
        <v>16</v>
      </c>
      <c r="D1624">
        <v>3701</v>
      </c>
      <c r="E1624" t="s">
        <v>93</v>
      </c>
      <c r="F1624" t="s">
        <v>17</v>
      </c>
      <c r="G1624">
        <v>10</v>
      </c>
    </row>
    <row r="1625" spans="1:7" x14ac:dyDescent="0.35">
      <c r="A1625">
        <v>12801</v>
      </c>
      <c r="B1625">
        <v>28</v>
      </c>
      <c r="C1625" t="s">
        <v>22</v>
      </c>
      <c r="D1625">
        <v>2001</v>
      </c>
      <c r="E1625" t="s">
        <v>93</v>
      </c>
      <c r="F1625" t="s">
        <v>17</v>
      </c>
      <c r="G1625">
        <v>15</v>
      </c>
    </row>
    <row r="1626" spans="1:7" x14ac:dyDescent="0.35">
      <c r="A1626">
        <v>36495</v>
      </c>
      <c r="B1626">
        <v>0</v>
      </c>
      <c r="C1626" t="s">
        <v>13</v>
      </c>
      <c r="D1626">
        <v>401</v>
      </c>
      <c r="E1626" t="s">
        <v>101</v>
      </c>
      <c r="F1626" t="s">
        <v>17</v>
      </c>
      <c r="G1626">
        <v>10</v>
      </c>
    </row>
    <row r="1627" spans="1:7" x14ac:dyDescent="0.35">
      <c r="A1627">
        <v>151730</v>
      </c>
      <c r="B1627">
        <v>0</v>
      </c>
      <c r="C1627" t="s">
        <v>22</v>
      </c>
      <c r="D1627">
        <v>0</v>
      </c>
      <c r="E1627" t="s">
        <v>103</v>
      </c>
      <c r="F1627" t="s">
        <v>17</v>
      </c>
      <c r="G1627">
        <v>5</v>
      </c>
    </row>
    <row r="1628" spans="1:7" x14ac:dyDescent="0.35">
      <c r="A1628">
        <v>89174</v>
      </c>
      <c r="B1628">
        <v>1</v>
      </c>
      <c r="C1628" t="s">
        <v>16</v>
      </c>
      <c r="D1628">
        <v>805</v>
      </c>
      <c r="E1628" t="s">
        <v>93</v>
      </c>
      <c r="F1628" t="s">
        <v>14</v>
      </c>
      <c r="G1628">
        <v>20</v>
      </c>
    </row>
    <row r="1629" spans="1:7" x14ac:dyDescent="0.35">
      <c r="A1629">
        <v>5123</v>
      </c>
      <c r="B1629">
        <v>2</v>
      </c>
      <c r="C1629" t="s">
        <v>22</v>
      </c>
      <c r="D1629">
        <v>0</v>
      </c>
      <c r="E1629" t="s">
        <v>89</v>
      </c>
      <c r="F1629" t="s">
        <v>17</v>
      </c>
      <c r="G1629">
        <v>6</v>
      </c>
    </row>
    <row r="1630" spans="1:7" x14ac:dyDescent="0.35">
      <c r="A1630">
        <v>3931</v>
      </c>
      <c r="B1630">
        <v>2</v>
      </c>
      <c r="C1630" t="s">
        <v>33</v>
      </c>
      <c r="D1630">
        <v>0</v>
      </c>
      <c r="E1630" t="s">
        <v>88</v>
      </c>
      <c r="F1630" t="s">
        <v>17</v>
      </c>
      <c r="G1630">
        <v>10</v>
      </c>
    </row>
    <row r="1631" spans="1:7" x14ac:dyDescent="0.35">
      <c r="A1631">
        <v>8330</v>
      </c>
      <c r="B1631">
        <v>28</v>
      </c>
      <c r="C1631" t="s">
        <v>13</v>
      </c>
      <c r="D1631">
        <v>2501</v>
      </c>
      <c r="E1631" t="s">
        <v>88</v>
      </c>
      <c r="F1631" t="s">
        <v>17</v>
      </c>
      <c r="G1631">
        <v>5</v>
      </c>
    </row>
    <row r="1632" spans="1:7" x14ac:dyDescent="0.35">
      <c r="A1632">
        <v>113354</v>
      </c>
      <c r="B1632">
        <v>0</v>
      </c>
      <c r="C1632" t="s">
        <v>31</v>
      </c>
      <c r="D1632">
        <v>5501</v>
      </c>
      <c r="E1632" t="s">
        <v>90</v>
      </c>
      <c r="F1632" t="s">
        <v>17</v>
      </c>
      <c r="G1632">
        <v>20</v>
      </c>
    </row>
    <row r="1633" spans="1:7" x14ac:dyDescent="0.35">
      <c r="A1633">
        <v>164296</v>
      </c>
      <c r="B1633">
        <v>2</v>
      </c>
      <c r="C1633" t="s">
        <v>22</v>
      </c>
      <c r="D1633">
        <v>3601</v>
      </c>
      <c r="E1633" t="s">
        <v>90</v>
      </c>
      <c r="F1633" t="s">
        <v>17</v>
      </c>
      <c r="G1633">
        <v>10</v>
      </c>
    </row>
    <row r="1634" spans="1:7" x14ac:dyDescent="0.35">
      <c r="A1634">
        <v>184017</v>
      </c>
      <c r="B1634">
        <v>1002</v>
      </c>
      <c r="C1634" t="s">
        <v>40</v>
      </c>
      <c r="D1634">
        <v>3501</v>
      </c>
      <c r="E1634" t="s">
        <v>100</v>
      </c>
      <c r="F1634" t="s">
        <v>14</v>
      </c>
      <c r="G1634">
        <v>20</v>
      </c>
    </row>
    <row r="1635" spans="1:7" x14ac:dyDescent="0.35">
      <c r="A1635">
        <v>37852</v>
      </c>
      <c r="B1635">
        <v>0</v>
      </c>
      <c r="C1635" t="s">
        <v>13</v>
      </c>
      <c r="D1635">
        <v>6009</v>
      </c>
      <c r="E1635" t="s">
        <v>101</v>
      </c>
      <c r="F1635" t="s">
        <v>14</v>
      </c>
      <c r="G1635">
        <v>20</v>
      </c>
    </row>
    <row r="1636" spans="1:7" x14ac:dyDescent="0.35">
      <c r="A1636">
        <v>64170</v>
      </c>
      <c r="B1636">
        <v>0</v>
      </c>
      <c r="C1636" t="s">
        <v>33</v>
      </c>
      <c r="D1636">
        <v>3001</v>
      </c>
      <c r="E1636" t="s">
        <v>89</v>
      </c>
      <c r="F1636" t="s">
        <v>17</v>
      </c>
      <c r="G1636">
        <v>15</v>
      </c>
    </row>
    <row r="1637" spans="1:7" x14ac:dyDescent="0.35">
      <c r="A1637">
        <v>152118</v>
      </c>
      <c r="B1637">
        <v>2</v>
      </c>
      <c r="C1637" t="s">
        <v>22</v>
      </c>
      <c r="D1637">
        <v>2209</v>
      </c>
      <c r="E1637" t="s">
        <v>90</v>
      </c>
      <c r="F1637" t="s">
        <v>17</v>
      </c>
      <c r="G1637">
        <v>4</v>
      </c>
    </row>
    <row r="1638" spans="1:7" x14ac:dyDescent="0.35">
      <c r="A1638">
        <v>190281</v>
      </c>
      <c r="B1638">
        <v>2</v>
      </c>
      <c r="C1638" t="s">
        <v>48</v>
      </c>
      <c r="D1638">
        <v>0</v>
      </c>
      <c r="E1638" t="s">
        <v>97</v>
      </c>
      <c r="F1638" t="s">
        <v>17</v>
      </c>
      <c r="G1638">
        <v>25</v>
      </c>
    </row>
    <row r="1639" spans="1:7" x14ac:dyDescent="0.35">
      <c r="A1639">
        <v>28786</v>
      </c>
      <c r="B1639">
        <v>0</v>
      </c>
      <c r="C1639" t="s">
        <v>39</v>
      </c>
      <c r="D1639">
        <v>0</v>
      </c>
      <c r="E1639" t="s">
        <v>98</v>
      </c>
      <c r="F1639" t="s">
        <v>17</v>
      </c>
      <c r="G1639">
        <v>10</v>
      </c>
    </row>
    <row r="1640" spans="1:7" x14ac:dyDescent="0.35">
      <c r="A1640">
        <v>45551</v>
      </c>
      <c r="B1640">
        <v>2</v>
      </c>
      <c r="C1640" t="s">
        <v>13</v>
      </c>
      <c r="D1640">
        <v>0</v>
      </c>
      <c r="E1640" t="s">
        <v>97</v>
      </c>
      <c r="G1640">
        <v>15</v>
      </c>
    </row>
    <row r="1641" spans="1:7" x14ac:dyDescent="0.35">
      <c r="A1641">
        <v>181931</v>
      </c>
      <c r="B1641">
        <v>0</v>
      </c>
      <c r="C1641" t="s">
        <v>40</v>
      </c>
      <c r="D1641">
        <v>1909</v>
      </c>
      <c r="E1641" t="s">
        <v>95</v>
      </c>
      <c r="F1641" t="s">
        <v>17</v>
      </c>
      <c r="G1641">
        <v>13</v>
      </c>
    </row>
    <row r="1642" spans="1:7" x14ac:dyDescent="0.35">
      <c r="A1642">
        <v>45431</v>
      </c>
      <c r="B1642">
        <v>1</v>
      </c>
      <c r="C1642" t="s">
        <v>13</v>
      </c>
      <c r="D1642">
        <v>2609</v>
      </c>
      <c r="E1642" t="s">
        <v>96</v>
      </c>
      <c r="F1642" t="s">
        <v>17</v>
      </c>
      <c r="G1642">
        <v>20</v>
      </c>
    </row>
    <row r="1643" spans="1:7" x14ac:dyDescent="0.35">
      <c r="A1643">
        <v>25635</v>
      </c>
      <c r="B1643">
        <v>1</v>
      </c>
      <c r="C1643" t="s">
        <v>39</v>
      </c>
      <c r="D1643">
        <v>2001</v>
      </c>
      <c r="E1643" t="s">
        <v>90</v>
      </c>
      <c r="F1643" t="s">
        <v>14</v>
      </c>
      <c r="G1643">
        <v>11</v>
      </c>
    </row>
    <row r="1644" spans="1:7" x14ac:dyDescent="0.35">
      <c r="A1644">
        <v>135112</v>
      </c>
      <c r="B1644">
        <v>0</v>
      </c>
      <c r="C1644" t="s">
        <v>55</v>
      </c>
      <c r="D1644">
        <v>3001</v>
      </c>
      <c r="E1644" t="s">
        <v>103</v>
      </c>
      <c r="F1644" t="s">
        <v>17</v>
      </c>
      <c r="G1644">
        <v>8</v>
      </c>
    </row>
    <row r="1645" spans="1:7" x14ac:dyDescent="0.35">
      <c r="A1645">
        <v>179111</v>
      </c>
      <c r="B1645">
        <v>0</v>
      </c>
      <c r="C1645" t="s">
        <v>40</v>
      </c>
      <c r="D1645">
        <v>4201</v>
      </c>
      <c r="E1645" t="s">
        <v>93</v>
      </c>
      <c r="F1645" t="s">
        <v>14</v>
      </c>
      <c r="G1645">
        <v>20</v>
      </c>
    </row>
    <row r="1646" spans="1:7" x14ac:dyDescent="0.35">
      <c r="A1646">
        <v>65596</v>
      </c>
      <c r="B1646">
        <v>1002</v>
      </c>
      <c r="C1646" t="s">
        <v>29</v>
      </c>
      <c r="D1646">
        <v>5801</v>
      </c>
      <c r="E1646" t="s">
        <v>90</v>
      </c>
      <c r="F1646" t="s">
        <v>14</v>
      </c>
      <c r="G1646">
        <v>9</v>
      </c>
    </row>
    <row r="1647" spans="1:7" x14ac:dyDescent="0.35">
      <c r="A1647">
        <v>73282</v>
      </c>
      <c r="B1647">
        <v>1</v>
      </c>
      <c r="C1647" t="s">
        <v>29</v>
      </c>
      <c r="D1647">
        <v>2201</v>
      </c>
      <c r="E1647" t="s">
        <v>90</v>
      </c>
      <c r="F1647" t="s">
        <v>14</v>
      </c>
      <c r="G1647">
        <v>25</v>
      </c>
    </row>
    <row r="1648" spans="1:7" x14ac:dyDescent="0.35">
      <c r="A1648">
        <v>146241</v>
      </c>
      <c r="B1648">
        <v>1</v>
      </c>
      <c r="C1648" t="s">
        <v>22</v>
      </c>
      <c r="D1648">
        <v>3401</v>
      </c>
      <c r="E1648" t="s">
        <v>95</v>
      </c>
      <c r="F1648" t="s">
        <v>14</v>
      </c>
      <c r="G1648">
        <v>50</v>
      </c>
    </row>
    <row r="1649" spans="1:7" x14ac:dyDescent="0.35">
      <c r="A1649">
        <v>60098</v>
      </c>
      <c r="B1649">
        <v>1</v>
      </c>
      <c r="C1649" t="s">
        <v>33</v>
      </c>
      <c r="D1649">
        <v>4106</v>
      </c>
      <c r="E1649" t="s">
        <v>90</v>
      </c>
      <c r="F1649" t="s">
        <v>14</v>
      </c>
      <c r="G1649">
        <v>25</v>
      </c>
    </row>
    <row r="1650" spans="1:7" x14ac:dyDescent="0.35">
      <c r="A1650">
        <v>74361</v>
      </c>
      <c r="B1650">
        <v>0</v>
      </c>
      <c r="C1650" t="s">
        <v>29</v>
      </c>
      <c r="D1650">
        <v>7012</v>
      </c>
      <c r="E1650" t="s">
        <v>91</v>
      </c>
      <c r="F1650" t="s">
        <v>14</v>
      </c>
      <c r="G1650">
        <v>10</v>
      </c>
    </row>
    <row r="1651" spans="1:7" x14ac:dyDescent="0.35">
      <c r="A1651">
        <v>82857</v>
      </c>
      <c r="B1651">
        <v>1</v>
      </c>
      <c r="C1651" t="s">
        <v>56</v>
      </c>
      <c r="D1651">
        <v>3804</v>
      </c>
      <c r="E1651" t="s">
        <v>93</v>
      </c>
      <c r="F1651" t="s">
        <v>14</v>
      </c>
      <c r="G1651">
        <v>10</v>
      </c>
    </row>
    <row r="1652" spans="1:7" x14ac:dyDescent="0.35">
      <c r="A1652">
        <v>38580</v>
      </c>
      <c r="B1652">
        <v>0</v>
      </c>
      <c r="C1652" t="s">
        <v>13</v>
      </c>
      <c r="D1652">
        <v>3607</v>
      </c>
      <c r="E1652" t="s">
        <v>90</v>
      </c>
      <c r="F1652" t="s">
        <v>14</v>
      </c>
      <c r="G1652">
        <v>10</v>
      </c>
    </row>
    <row r="1653" spans="1:7" x14ac:dyDescent="0.35">
      <c r="A1653">
        <v>36471</v>
      </c>
      <c r="B1653">
        <v>28</v>
      </c>
      <c r="C1653" t="s">
        <v>13</v>
      </c>
      <c r="D1653">
        <v>2710</v>
      </c>
      <c r="E1653" t="s">
        <v>101</v>
      </c>
      <c r="F1653" t="s">
        <v>17</v>
      </c>
      <c r="G1653">
        <v>20</v>
      </c>
    </row>
    <row r="1654" spans="1:7" x14ac:dyDescent="0.35">
      <c r="A1654">
        <v>140135</v>
      </c>
      <c r="B1654">
        <v>28</v>
      </c>
      <c r="C1654" t="s">
        <v>54</v>
      </c>
      <c r="D1654">
        <v>3901</v>
      </c>
      <c r="E1654" t="s">
        <v>91</v>
      </c>
      <c r="F1654" t="s">
        <v>17</v>
      </c>
      <c r="G1654">
        <v>20</v>
      </c>
    </row>
    <row r="1655" spans="1:7" x14ac:dyDescent="0.35">
      <c r="A1655">
        <v>133029</v>
      </c>
      <c r="B1655">
        <v>0</v>
      </c>
      <c r="C1655" t="s">
        <v>41</v>
      </c>
      <c r="D1655">
        <v>3801</v>
      </c>
      <c r="E1655" t="s">
        <v>88</v>
      </c>
      <c r="F1655" t="s">
        <v>17</v>
      </c>
      <c r="G1655">
        <v>5</v>
      </c>
    </row>
    <row r="1656" spans="1:7" x14ac:dyDescent="0.35">
      <c r="A1656">
        <v>161829</v>
      </c>
      <c r="B1656">
        <v>0</v>
      </c>
      <c r="C1656" t="s">
        <v>22</v>
      </c>
      <c r="D1656">
        <v>3402</v>
      </c>
      <c r="E1656" t="s">
        <v>90</v>
      </c>
      <c r="F1656" t="s">
        <v>17</v>
      </c>
      <c r="G1656">
        <v>10</v>
      </c>
    </row>
    <row r="1657" spans="1:7" x14ac:dyDescent="0.35">
      <c r="A1657">
        <v>168268</v>
      </c>
      <c r="B1657">
        <v>0</v>
      </c>
      <c r="C1657" t="s">
        <v>22</v>
      </c>
      <c r="D1657">
        <v>2207</v>
      </c>
      <c r="E1657" t="s">
        <v>103</v>
      </c>
      <c r="F1657" t="s">
        <v>17</v>
      </c>
      <c r="G1657">
        <v>15</v>
      </c>
    </row>
    <row r="1658" spans="1:7" x14ac:dyDescent="0.35">
      <c r="A1658">
        <v>19490</v>
      </c>
      <c r="B1658">
        <v>28</v>
      </c>
      <c r="C1658" t="s">
        <v>18</v>
      </c>
      <c r="D1658">
        <v>4201</v>
      </c>
      <c r="E1658" t="s">
        <v>88</v>
      </c>
      <c r="F1658" t="s">
        <v>17</v>
      </c>
      <c r="G1658">
        <v>10</v>
      </c>
    </row>
    <row r="1659" spans="1:7" x14ac:dyDescent="0.35">
      <c r="A1659">
        <v>166899</v>
      </c>
      <c r="B1659">
        <v>2</v>
      </c>
      <c r="C1659" t="s">
        <v>22</v>
      </c>
      <c r="D1659">
        <v>3601</v>
      </c>
      <c r="E1659" t="s">
        <v>90</v>
      </c>
      <c r="F1659" t="s">
        <v>17</v>
      </c>
      <c r="G1659">
        <v>35</v>
      </c>
    </row>
    <row r="1660" spans="1:7" x14ac:dyDescent="0.35">
      <c r="A1660">
        <v>145982</v>
      </c>
      <c r="B1660">
        <v>0</v>
      </c>
      <c r="C1660" t="s">
        <v>22</v>
      </c>
      <c r="D1660">
        <v>5801</v>
      </c>
      <c r="E1660" t="s">
        <v>90</v>
      </c>
      <c r="F1660" t="s">
        <v>17</v>
      </c>
      <c r="G1660">
        <v>30</v>
      </c>
    </row>
    <row r="1661" spans="1:7" x14ac:dyDescent="0.35">
      <c r="A1661">
        <v>187764</v>
      </c>
      <c r="B1661">
        <v>0</v>
      </c>
      <c r="C1661" t="s">
        <v>55</v>
      </c>
      <c r="D1661">
        <v>0</v>
      </c>
      <c r="G1661">
        <v>25</v>
      </c>
    </row>
    <row r="1662" spans="1:7" x14ac:dyDescent="0.35">
      <c r="A1662">
        <v>171227</v>
      </c>
      <c r="B1662">
        <v>1</v>
      </c>
      <c r="C1662" t="s">
        <v>22</v>
      </c>
      <c r="D1662">
        <v>0</v>
      </c>
      <c r="E1662" t="s">
        <v>90</v>
      </c>
      <c r="F1662" t="s">
        <v>14</v>
      </c>
      <c r="G1662">
        <v>7</v>
      </c>
    </row>
    <row r="1663" spans="1:7" x14ac:dyDescent="0.35">
      <c r="A1663">
        <v>27419</v>
      </c>
      <c r="B1663">
        <v>1</v>
      </c>
      <c r="C1663" t="s">
        <v>39</v>
      </c>
      <c r="D1663">
        <v>0</v>
      </c>
      <c r="E1663" t="s">
        <v>98</v>
      </c>
      <c r="F1663" t="s">
        <v>14</v>
      </c>
      <c r="G1663">
        <v>20</v>
      </c>
    </row>
    <row r="1664" spans="1:7" x14ac:dyDescent="0.35">
      <c r="A1664">
        <v>106488</v>
      </c>
      <c r="B1664">
        <v>0</v>
      </c>
      <c r="C1664" t="s">
        <v>28</v>
      </c>
      <c r="D1664">
        <v>0</v>
      </c>
      <c r="E1664" t="s">
        <v>91</v>
      </c>
      <c r="F1664" t="s">
        <v>17</v>
      </c>
      <c r="G1664">
        <v>26</v>
      </c>
    </row>
    <row r="1665" spans="1:7" x14ac:dyDescent="0.35">
      <c r="A1665">
        <v>70722</v>
      </c>
      <c r="B1665">
        <v>0</v>
      </c>
      <c r="C1665" t="s">
        <v>29</v>
      </c>
      <c r="D1665">
        <v>907</v>
      </c>
      <c r="E1665" t="s">
        <v>96</v>
      </c>
      <c r="F1665" t="s">
        <v>17</v>
      </c>
      <c r="G1665">
        <v>16</v>
      </c>
    </row>
    <row r="1666" spans="1:7" x14ac:dyDescent="0.35">
      <c r="A1666">
        <v>187495</v>
      </c>
      <c r="B1666">
        <v>1</v>
      </c>
      <c r="C1666" t="s">
        <v>31</v>
      </c>
      <c r="D1666">
        <v>0</v>
      </c>
      <c r="E1666" t="s">
        <v>94</v>
      </c>
      <c r="F1666" t="s">
        <v>14</v>
      </c>
      <c r="G1666">
        <v>17</v>
      </c>
    </row>
    <row r="1667" spans="1:7" x14ac:dyDescent="0.35">
      <c r="A1667">
        <v>18543</v>
      </c>
      <c r="B1667">
        <v>0</v>
      </c>
      <c r="C1667" t="s">
        <v>18</v>
      </c>
      <c r="D1667">
        <v>6001</v>
      </c>
      <c r="E1667" t="s">
        <v>89</v>
      </c>
      <c r="F1667" t="s">
        <v>17</v>
      </c>
      <c r="G1667">
        <v>14</v>
      </c>
    </row>
    <row r="1668" spans="1:7" x14ac:dyDescent="0.35">
      <c r="A1668">
        <v>38707</v>
      </c>
      <c r="B1668">
        <v>1</v>
      </c>
      <c r="C1668" t="s">
        <v>13</v>
      </c>
      <c r="D1668">
        <v>0</v>
      </c>
      <c r="E1668" t="s">
        <v>92</v>
      </c>
      <c r="F1668" t="s">
        <v>14</v>
      </c>
      <c r="G1668">
        <v>17</v>
      </c>
    </row>
    <row r="1669" spans="1:7" x14ac:dyDescent="0.35">
      <c r="A1669">
        <v>138528</v>
      </c>
      <c r="B1669">
        <v>1</v>
      </c>
      <c r="C1669" t="s">
        <v>55</v>
      </c>
      <c r="D1669">
        <v>2406</v>
      </c>
      <c r="E1669" t="s">
        <v>90</v>
      </c>
      <c r="F1669" t="s">
        <v>14</v>
      </c>
      <c r="G1669">
        <v>26</v>
      </c>
    </row>
    <row r="1670" spans="1:7" x14ac:dyDescent="0.35">
      <c r="A1670">
        <v>177960</v>
      </c>
      <c r="B1670">
        <v>1</v>
      </c>
      <c r="C1670" t="s">
        <v>50</v>
      </c>
      <c r="D1670">
        <v>3803</v>
      </c>
      <c r="E1670" t="s">
        <v>89</v>
      </c>
      <c r="F1670" t="s">
        <v>14</v>
      </c>
      <c r="G1670">
        <v>25</v>
      </c>
    </row>
    <row r="1671" spans="1:7" x14ac:dyDescent="0.35">
      <c r="A1671">
        <v>97221</v>
      </c>
      <c r="B1671">
        <v>0</v>
      </c>
      <c r="C1671" t="s">
        <v>16</v>
      </c>
      <c r="D1671">
        <v>3101</v>
      </c>
      <c r="E1671" t="s">
        <v>91</v>
      </c>
      <c r="F1671" t="s">
        <v>17</v>
      </c>
      <c r="G1671">
        <v>25</v>
      </c>
    </row>
    <row r="1672" spans="1:7" x14ac:dyDescent="0.35">
      <c r="A1672">
        <v>158816</v>
      </c>
      <c r="B1672">
        <v>2</v>
      </c>
      <c r="C1672" t="s">
        <v>22</v>
      </c>
      <c r="D1672">
        <v>3601</v>
      </c>
      <c r="E1672" t="s">
        <v>92</v>
      </c>
      <c r="F1672" t="s">
        <v>17</v>
      </c>
      <c r="G1672">
        <v>11</v>
      </c>
    </row>
    <row r="1673" spans="1:7" x14ac:dyDescent="0.35">
      <c r="A1673">
        <v>93713</v>
      </c>
      <c r="B1673">
        <v>0</v>
      </c>
      <c r="C1673" t="s">
        <v>16</v>
      </c>
      <c r="D1673">
        <v>3101</v>
      </c>
      <c r="E1673" t="s">
        <v>101</v>
      </c>
      <c r="F1673" t="s">
        <v>17</v>
      </c>
      <c r="G1673">
        <v>20</v>
      </c>
    </row>
    <row r="1674" spans="1:7" x14ac:dyDescent="0.35">
      <c r="A1674">
        <v>135535</v>
      </c>
      <c r="B1674">
        <v>28</v>
      </c>
      <c r="C1674" t="s">
        <v>55</v>
      </c>
      <c r="D1674">
        <v>4707</v>
      </c>
      <c r="E1674" t="s">
        <v>95</v>
      </c>
      <c r="F1674" t="s">
        <v>17</v>
      </c>
      <c r="G1674">
        <v>13</v>
      </c>
    </row>
    <row r="1675" spans="1:7" x14ac:dyDescent="0.35">
      <c r="A1675">
        <v>91194</v>
      </c>
      <c r="B1675">
        <v>0</v>
      </c>
      <c r="C1675" t="s">
        <v>16</v>
      </c>
      <c r="D1675">
        <v>5001</v>
      </c>
      <c r="E1675" t="s">
        <v>96</v>
      </c>
      <c r="F1675" t="s">
        <v>17</v>
      </c>
      <c r="G1675">
        <v>7</v>
      </c>
    </row>
    <row r="1676" spans="1:7" x14ac:dyDescent="0.35">
      <c r="A1676">
        <v>62232</v>
      </c>
      <c r="B1676">
        <v>0</v>
      </c>
      <c r="C1676" t="s">
        <v>33</v>
      </c>
      <c r="D1676">
        <v>4206</v>
      </c>
      <c r="E1676" t="s">
        <v>94</v>
      </c>
      <c r="F1676" t="s">
        <v>17</v>
      </c>
      <c r="G1676">
        <v>19</v>
      </c>
    </row>
    <row r="1677" spans="1:7" x14ac:dyDescent="0.35">
      <c r="A1677">
        <v>91507</v>
      </c>
      <c r="B1677">
        <v>0</v>
      </c>
      <c r="C1677" t="s">
        <v>16</v>
      </c>
      <c r="D1677">
        <v>3601</v>
      </c>
      <c r="E1677" t="s">
        <v>93</v>
      </c>
      <c r="F1677" t="s">
        <v>17</v>
      </c>
      <c r="G1677">
        <v>14</v>
      </c>
    </row>
    <row r="1678" spans="1:7" x14ac:dyDescent="0.35">
      <c r="A1678">
        <v>153467</v>
      </c>
      <c r="B1678">
        <v>1</v>
      </c>
      <c r="C1678" t="s">
        <v>22</v>
      </c>
      <c r="D1678">
        <v>2301</v>
      </c>
      <c r="E1678" t="s">
        <v>93</v>
      </c>
      <c r="F1678" t="s">
        <v>14</v>
      </c>
      <c r="G1678">
        <v>21</v>
      </c>
    </row>
    <row r="1679" spans="1:7" x14ac:dyDescent="0.35">
      <c r="A1679">
        <v>28718</v>
      </c>
      <c r="B1679">
        <v>1</v>
      </c>
      <c r="C1679" t="s">
        <v>39</v>
      </c>
      <c r="D1679">
        <v>2201</v>
      </c>
      <c r="E1679" t="s">
        <v>96</v>
      </c>
      <c r="F1679" t="s">
        <v>14</v>
      </c>
      <c r="G1679">
        <v>20</v>
      </c>
    </row>
    <row r="1680" spans="1:7" x14ac:dyDescent="0.35">
      <c r="A1680">
        <v>119902</v>
      </c>
      <c r="B1680">
        <v>1</v>
      </c>
      <c r="C1680" t="s">
        <v>21</v>
      </c>
      <c r="D1680">
        <v>2201</v>
      </c>
      <c r="E1680" t="s">
        <v>98</v>
      </c>
      <c r="F1680" t="s">
        <v>14</v>
      </c>
      <c r="G1680">
        <v>5</v>
      </c>
    </row>
    <row r="1681" spans="1:7" x14ac:dyDescent="0.35">
      <c r="A1681">
        <v>179339</v>
      </c>
      <c r="B1681">
        <v>0</v>
      </c>
      <c r="C1681" t="s">
        <v>40</v>
      </c>
      <c r="D1681">
        <v>9310</v>
      </c>
      <c r="E1681" t="s">
        <v>94</v>
      </c>
      <c r="F1681" t="s">
        <v>14</v>
      </c>
      <c r="G1681">
        <v>13</v>
      </c>
    </row>
    <row r="1682" spans="1:7" x14ac:dyDescent="0.35">
      <c r="A1682">
        <v>74880</v>
      </c>
      <c r="B1682">
        <v>0</v>
      </c>
      <c r="C1682" t="s">
        <v>47</v>
      </c>
      <c r="D1682">
        <v>2201</v>
      </c>
      <c r="E1682" t="s">
        <v>89</v>
      </c>
      <c r="F1682" t="s">
        <v>17</v>
      </c>
      <c r="G1682">
        <v>25</v>
      </c>
    </row>
    <row r="1683" spans="1:7" x14ac:dyDescent="0.35">
      <c r="A1683">
        <v>29988</v>
      </c>
      <c r="B1683">
        <v>1</v>
      </c>
      <c r="C1683" t="s">
        <v>39</v>
      </c>
      <c r="D1683">
        <v>0</v>
      </c>
      <c r="E1683" t="s">
        <v>100</v>
      </c>
      <c r="F1683" t="s">
        <v>14</v>
      </c>
      <c r="G1683">
        <v>25</v>
      </c>
    </row>
    <row r="1684" spans="1:7" x14ac:dyDescent="0.35">
      <c r="A1684">
        <v>132508</v>
      </c>
      <c r="B1684">
        <v>28</v>
      </c>
      <c r="C1684" t="s">
        <v>66</v>
      </c>
      <c r="D1684">
        <v>0</v>
      </c>
      <c r="E1684" t="s">
        <v>88</v>
      </c>
      <c r="F1684" t="s">
        <v>17</v>
      </c>
      <c r="G1684">
        <v>10</v>
      </c>
    </row>
    <row r="1685" spans="1:7" x14ac:dyDescent="0.35">
      <c r="A1685">
        <v>144351</v>
      </c>
      <c r="B1685">
        <v>0</v>
      </c>
      <c r="C1685" t="s">
        <v>22</v>
      </c>
      <c r="D1685">
        <v>3609</v>
      </c>
      <c r="E1685" t="s">
        <v>103</v>
      </c>
      <c r="F1685" t="s">
        <v>17</v>
      </c>
      <c r="G1685">
        <v>40</v>
      </c>
    </row>
    <row r="1686" spans="1:7" x14ac:dyDescent="0.35">
      <c r="A1686">
        <v>38388</v>
      </c>
      <c r="B1686">
        <v>2</v>
      </c>
      <c r="C1686" t="s">
        <v>13</v>
      </c>
      <c r="D1686">
        <v>4810</v>
      </c>
      <c r="E1686" t="s">
        <v>103</v>
      </c>
      <c r="F1686" t="s">
        <v>17</v>
      </c>
      <c r="G1686">
        <v>10</v>
      </c>
    </row>
    <row r="1687" spans="1:7" x14ac:dyDescent="0.35">
      <c r="A1687">
        <v>176863</v>
      </c>
      <c r="B1687">
        <v>1</v>
      </c>
      <c r="C1687" t="s">
        <v>50</v>
      </c>
      <c r="D1687">
        <v>6101</v>
      </c>
      <c r="E1687" t="s">
        <v>98</v>
      </c>
      <c r="F1687" t="s">
        <v>14</v>
      </c>
      <c r="G1687">
        <v>20</v>
      </c>
    </row>
    <row r="1688" spans="1:7" x14ac:dyDescent="0.35">
      <c r="A1688">
        <v>70696</v>
      </c>
      <c r="B1688">
        <v>0</v>
      </c>
      <c r="C1688" t="s">
        <v>29</v>
      </c>
      <c r="D1688">
        <v>4701</v>
      </c>
      <c r="E1688" t="s">
        <v>88</v>
      </c>
      <c r="F1688" t="s">
        <v>17</v>
      </c>
      <c r="G1688">
        <v>12</v>
      </c>
    </row>
    <row r="1689" spans="1:7" x14ac:dyDescent="0.35">
      <c r="A1689">
        <v>151819</v>
      </c>
      <c r="B1689">
        <v>0</v>
      </c>
      <c r="C1689" t="s">
        <v>22</v>
      </c>
      <c r="D1689">
        <v>4601</v>
      </c>
      <c r="E1689" t="s">
        <v>102</v>
      </c>
      <c r="F1689" t="s">
        <v>14</v>
      </c>
      <c r="G1689">
        <v>6</v>
      </c>
    </row>
    <row r="1690" spans="1:7" x14ac:dyDescent="0.35">
      <c r="A1690">
        <v>146500</v>
      </c>
      <c r="B1690">
        <v>28</v>
      </c>
      <c r="C1690" t="s">
        <v>22</v>
      </c>
      <c r="D1690">
        <v>2201</v>
      </c>
      <c r="E1690" t="s">
        <v>90</v>
      </c>
      <c r="F1690" t="s">
        <v>17</v>
      </c>
      <c r="G1690">
        <v>25</v>
      </c>
    </row>
    <row r="1691" spans="1:7" x14ac:dyDescent="0.35">
      <c r="A1691">
        <v>72679</v>
      </c>
      <c r="B1691">
        <v>0</v>
      </c>
      <c r="C1691" t="s">
        <v>29</v>
      </c>
      <c r="D1691">
        <v>6401</v>
      </c>
      <c r="E1691" t="s">
        <v>91</v>
      </c>
      <c r="F1691" t="s">
        <v>17</v>
      </c>
      <c r="G1691">
        <v>10</v>
      </c>
    </row>
    <row r="1692" spans="1:7" x14ac:dyDescent="0.35">
      <c r="A1692">
        <v>61805</v>
      </c>
      <c r="B1692">
        <v>0</v>
      </c>
      <c r="C1692" t="s">
        <v>33</v>
      </c>
      <c r="D1692">
        <v>0</v>
      </c>
      <c r="E1692" t="s">
        <v>91</v>
      </c>
      <c r="F1692" t="s">
        <v>17</v>
      </c>
      <c r="G1692">
        <v>5</v>
      </c>
    </row>
    <row r="1693" spans="1:7" x14ac:dyDescent="0.35">
      <c r="A1693">
        <v>142742</v>
      </c>
      <c r="B1693">
        <v>2</v>
      </c>
      <c r="C1693" t="s">
        <v>22</v>
      </c>
      <c r="D1693">
        <v>4801</v>
      </c>
      <c r="E1693" t="s">
        <v>101</v>
      </c>
      <c r="F1693" t="s">
        <v>17</v>
      </c>
      <c r="G1693">
        <v>15</v>
      </c>
    </row>
    <row r="1694" spans="1:7" x14ac:dyDescent="0.35">
      <c r="A1694">
        <v>29342</v>
      </c>
      <c r="B1694">
        <v>0</v>
      </c>
      <c r="C1694" t="s">
        <v>39</v>
      </c>
      <c r="D1694">
        <v>0</v>
      </c>
      <c r="F1694" t="s">
        <v>17</v>
      </c>
      <c r="G1694">
        <v>10</v>
      </c>
    </row>
    <row r="1695" spans="1:7" x14ac:dyDescent="0.35">
      <c r="A1695">
        <v>49712</v>
      </c>
      <c r="B1695">
        <v>1</v>
      </c>
      <c r="C1695" t="s">
        <v>43</v>
      </c>
      <c r="D1695">
        <v>0</v>
      </c>
      <c r="E1695" t="s">
        <v>98</v>
      </c>
      <c r="F1695" t="s">
        <v>14</v>
      </c>
      <c r="G1695">
        <v>17</v>
      </c>
    </row>
    <row r="1696" spans="1:7" x14ac:dyDescent="0.35">
      <c r="A1696">
        <v>53529</v>
      </c>
      <c r="B1696">
        <v>0</v>
      </c>
      <c r="C1696" t="s">
        <v>53</v>
      </c>
      <c r="D1696">
        <v>0</v>
      </c>
      <c r="E1696" t="s">
        <v>93</v>
      </c>
      <c r="F1696" t="s">
        <v>17</v>
      </c>
      <c r="G1696">
        <v>5</v>
      </c>
    </row>
    <row r="1697" spans="1:7" x14ac:dyDescent="0.35">
      <c r="A1697">
        <v>70803</v>
      </c>
      <c r="B1697">
        <v>1</v>
      </c>
      <c r="C1697" t="s">
        <v>29</v>
      </c>
      <c r="D1697">
        <v>1112</v>
      </c>
      <c r="E1697" t="s">
        <v>98</v>
      </c>
      <c r="F1697" t="s">
        <v>14</v>
      </c>
      <c r="G1697">
        <v>4</v>
      </c>
    </row>
    <row r="1698" spans="1:7" x14ac:dyDescent="0.35">
      <c r="A1698">
        <v>20721</v>
      </c>
      <c r="B1698">
        <v>0</v>
      </c>
      <c r="C1698" t="s">
        <v>18</v>
      </c>
      <c r="D1698">
        <v>5805</v>
      </c>
      <c r="E1698" t="s">
        <v>91</v>
      </c>
      <c r="F1698" t="s">
        <v>17</v>
      </c>
      <c r="G1698">
        <v>10</v>
      </c>
    </row>
    <row r="1699" spans="1:7" x14ac:dyDescent="0.35">
      <c r="A1699">
        <v>15445</v>
      </c>
      <c r="B1699">
        <v>1</v>
      </c>
      <c r="C1699" t="s">
        <v>18</v>
      </c>
      <c r="D1699">
        <v>5501</v>
      </c>
      <c r="E1699" t="s">
        <v>88</v>
      </c>
      <c r="F1699" t="s">
        <v>14</v>
      </c>
      <c r="G1699">
        <v>20</v>
      </c>
    </row>
    <row r="1700" spans="1:7" x14ac:dyDescent="0.35">
      <c r="A1700">
        <v>24030</v>
      </c>
      <c r="B1700">
        <v>0</v>
      </c>
      <c r="C1700" t="s">
        <v>46</v>
      </c>
      <c r="D1700">
        <v>3306</v>
      </c>
      <c r="E1700" t="s">
        <v>104</v>
      </c>
      <c r="F1700" t="s">
        <v>17</v>
      </c>
      <c r="G1700">
        <v>20</v>
      </c>
    </row>
    <row r="1701" spans="1:7" x14ac:dyDescent="0.35">
      <c r="A1701">
        <v>150177</v>
      </c>
      <c r="B1701">
        <v>0</v>
      </c>
      <c r="C1701" t="s">
        <v>22</v>
      </c>
      <c r="D1701">
        <v>2001</v>
      </c>
      <c r="E1701" t="s">
        <v>90</v>
      </c>
      <c r="F1701" t="s">
        <v>14</v>
      </c>
      <c r="G1701">
        <v>20</v>
      </c>
    </row>
    <row r="1702" spans="1:7" x14ac:dyDescent="0.35">
      <c r="A1702">
        <v>137540</v>
      </c>
      <c r="B1702">
        <v>2</v>
      </c>
      <c r="C1702" t="s">
        <v>55</v>
      </c>
      <c r="D1702">
        <v>4801</v>
      </c>
      <c r="E1702" t="s">
        <v>92</v>
      </c>
      <c r="F1702" t="s">
        <v>17</v>
      </c>
      <c r="G1702">
        <v>10</v>
      </c>
    </row>
    <row r="1703" spans="1:7" x14ac:dyDescent="0.35">
      <c r="A1703">
        <v>13496</v>
      </c>
      <c r="B1703">
        <v>28</v>
      </c>
      <c r="C1703" t="s">
        <v>22</v>
      </c>
      <c r="D1703">
        <v>2801</v>
      </c>
      <c r="E1703" t="s">
        <v>95</v>
      </c>
      <c r="F1703" t="s">
        <v>17</v>
      </c>
      <c r="G1703">
        <v>25</v>
      </c>
    </row>
    <row r="1704" spans="1:7" x14ac:dyDescent="0.35">
      <c r="A1704">
        <v>28040</v>
      </c>
      <c r="B1704">
        <v>1</v>
      </c>
      <c r="C1704" t="s">
        <v>39</v>
      </c>
      <c r="D1704">
        <v>2901</v>
      </c>
      <c r="E1704" t="s">
        <v>89</v>
      </c>
      <c r="F1704" t="s">
        <v>14</v>
      </c>
      <c r="G1704">
        <v>11</v>
      </c>
    </row>
    <row r="1705" spans="1:7" x14ac:dyDescent="0.35">
      <c r="A1705">
        <v>156174</v>
      </c>
      <c r="B1705">
        <v>1</v>
      </c>
      <c r="C1705" t="s">
        <v>24</v>
      </c>
      <c r="D1705">
        <v>2601</v>
      </c>
      <c r="E1705" t="s">
        <v>88</v>
      </c>
      <c r="F1705" t="s">
        <v>14</v>
      </c>
      <c r="G1705">
        <v>10</v>
      </c>
    </row>
    <row r="1706" spans="1:7" x14ac:dyDescent="0.35">
      <c r="A1706">
        <v>75461</v>
      </c>
      <c r="B1706">
        <v>2</v>
      </c>
      <c r="C1706" t="s">
        <v>47</v>
      </c>
      <c r="D1706">
        <v>1612</v>
      </c>
      <c r="G1706">
        <v>15</v>
      </c>
    </row>
    <row r="1707" spans="1:7" x14ac:dyDescent="0.35">
      <c r="A1707">
        <v>2781</v>
      </c>
      <c r="B1707">
        <v>0</v>
      </c>
      <c r="C1707" t="s">
        <v>22</v>
      </c>
      <c r="D1707">
        <v>4501</v>
      </c>
      <c r="E1707" t="s">
        <v>103</v>
      </c>
      <c r="F1707" t="s">
        <v>17</v>
      </c>
      <c r="G1707">
        <v>20</v>
      </c>
    </row>
    <row r="1708" spans="1:7" x14ac:dyDescent="0.35">
      <c r="A1708">
        <v>85476</v>
      </c>
      <c r="B1708">
        <v>2</v>
      </c>
      <c r="C1708" t="s">
        <v>56</v>
      </c>
      <c r="D1708">
        <v>3801</v>
      </c>
      <c r="E1708" t="s">
        <v>98</v>
      </c>
      <c r="F1708" t="s">
        <v>17</v>
      </c>
      <c r="G1708">
        <v>5</v>
      </c>
    </row>
    <row r="1709" spans="1:7" x14ac:dyDescent="0.35">
      <c r="A1709">
        <v>177640</v>
      </c>
      <c r="B1709">
        <v>1</v>
      </c>
      <c r="C1709" t="s">
        <v>50</v>
      </c>
      <c r="D1709">
        <v>4911</v>
      </c>
      <c r="E1709" t="s">
        <v>91</v>
      </c>
      <c r="F1709" t="s">
        <v>14</v>
      </c>
      <c r="G1709">
        <v>30</v>
      </c>
    </row>
    <row r="1710" spans="1:7" x14ac:dyDescent="0.35">
      <c r="A1710">
        <v>183052</v>
      </c>
      <c r="B1710">
        <v>1</v>
      </c>
      <c r="C1710" t="s">
        <v>40</v>
      </c>
      <c r="D1710">
        <v>3511</v>
      </c>
      <c r="E1710" t="s">
        <v>89</v>
      </c>
      <c r="F1710" t="s">
        <v>14</v>
      </c>
      <c r="G1710">
        <v>5</v>
      </c>
    </row>
    <row r="1711" spans="1:7" x14ac:dyDescent="0.35">
      <c r="A1711">
        <v>115935</v>
      </c>
      <c r="B1711">
        <v>28</v>
      </c>
      <c r="C1711" t="s">
        <v>21</v>
      </c>
      <c r="D1711">
        <v>0</v>
      </c>
      <c r="E1711" t="s">
        <v>88</v>
      </c>
      <c r="F1711" t="s">
        <v>17</v>
      </c>
      <c r="G1711">
        <v>20</v>
      </c>
    </row>
    <row r="1712" spans="1:7" x14ac:dyDescent="0.35">
      <c r="A1712">
        <v>103872</v>
      </c>
      <c r="B1712">
        <v>2</v>
      </c>
      <c r="C1712" t="s">
        <v>36</v>
      </c>
      <c r="D1712">
        <v>3401</v>
      </c>
      <c r="E1712" t="s">
        <v>98</v>
      </c>
      <c r="F1712" t="s">
        <v>17</v>
      </c>
      <c r="G1712">
        <v>20</v>
      </c>
    </row>
    <row r="1713" spans="1:7" x14ac:dyDescent="0.35">
      <c r="A1713">
        <v>10064</v>
      </c>
      <c r="B1713">
        <v>0</v>
      </c>
      <c r="C1713" t="s">
        <v>33</v>
      </c>
      <c r="D1713">
        <v>0</v>
      </c>
      <c r="E1713" t="s">
        <v>104</v>
      </c>
      <c r="F1713" t="s">
        <v>17</v>
      </c>
      <c r="G1713">
        <v>18</v>
      </c>
    </row>
    <row r="1714" spans="1:7" x14ac:dyDescent="0.35">
      <c r="A1714">
        <v>84854</v>
      </c>
      <c r="B1714">
        <v>0</v>
      </c>
      <c r="C1714" t="s">
        <v>56</v>
      </c>
      <c r="D1714">
        <v>3701</v>
      </c>
      <c r="E1714" t="s">
        <v>88</v>
      </c>
      <c r="F1714" t="s">
        <v>17</v>
      </c>
      <c r="G1714">
        <v>3</v>
      </c>
    </row>
    <row r="1715" spans="1:7" x14ac:dyDescent="0.35">
      <c r="A1715">
        <v>106430</v>
      </c>
      <c r="B1715">
        <v>3</v>
      </c>
      <c r="C1715" t="s">
        <v>28</v>
      </c>
      <c r="D1715">
        <v>5104</v>
      </c>
      <c r="E1715" t="s">
        <v>89</v>
      </c>
      <c r="F1715" t="s">
        <v>17</v>
      </c>
      <c r="G1715">
        <v>14</v>
      </c>
    </row>
    <row r="1716" spans="1:7" x14ac:dyDescent="0.35">
      <c r="A1716">
        <v>18438</v>
      </c>
      <c r="B1716">
        <v>1</v>
      </c>
      <c r="C1716" t="s">
        <v>18</v>
      </c>
      <c r="D1716">
        <v>2806</v>
      </c>
      <c r="E1716" t="s">
        <v>91</v>
      </c>
      <c r="F1716" t="s">
        <v>14</v>
      </c>
      <c r="G1716">
        <v>5</v>
      </c>
    </row>
    <row r="1717" spans="1:7" x14ac:dyDescent="0.35">
      <c r="A1717">
        <v>49519</v>
      </c>
      <c r="B1717">
        <v>2</v>
      </c>
      <c r="C1717" t="s">
        <v>43</v>
      </c>
      <c r="D1717">
        <v>4007</v>
      </c>
      <c r="E1717" t="s">
        <v>97</v>
      </c>
      <c r="F1717" t="s">
        <v>14</v>
      </c>
      <c r="G1717">
        <v>5</v>
      </c>
    </row>
    <row r="1718" spans="1:7" x14ac:dyDescent="0.35">
      <c r="A1718">
        <v>63971</v>
      </c>
      <c r="B1718">
        <v>1002</v>
      </c>
      <c r="C1718" t="s">
        <v>33</v>
      </c>
      <c r="D1718">
        <v>4201</v>
      </c>
      <c r="E1718" t="s">
        <v>91</v>
      </c>
      <c r="F1718" t="s">
        <v>14</v>
      </c>
      <c r="G1718">
        <v>4</v>
      </c>
    </row>
    <row r="1719" spans="1:7" x14ac:dyDescent="0.35">
      <c r="A1719">
        <v>34079</v>
      </c>
      <c r="B1719">
        <v>0</v>
      </c>
      <c r="C1719" t="s">
        <v>13</v>
      </c>
      <c r="D1719">
        <v>2201</v>
      </c>
      <c r="E1719" t="s">
        <v>88</v>
      </c>
      <c r="F1719" t="s">
        <v>17</v>
      </c>
      <c r="G1719">
        <v>5</v>
      </c>
    </row>
    <row r="1720" spans="1:7" x14ac:dyDescent="0.35">
      <c r="A1720">
        <v>120509</v>
      </c>
      <c r="B1720">
        <v>2</v>
      </c>
      <c r="C1720" t="s">
        <v>21</v>
      </c>
      <c r="D1720">
        <v>1502</v>
      </c>
      <c r="E1720" t="s">
        <v>98</v>
      </c>
      <c r="F1720" t="s">
        <v>17</v>
      </c>
      <c r="G1720">
        <v>10</v>
      </c>
    </row>
    <row r="1721" spans="1:7" x14ac:dyDescent="0.35">
      <c r="A1721">
        <v>66244</v>
      </c>
      <c r="B1721">
        <v>1002</v>
      </c>
      <c r="C1721" t="s">
        <v>29</v>
      </c>
      <c r="D1721">
        <v>0</v>
      </c>
      <c r="E1721" t="s">
        <v>97</v>
      </c>
      <c r="F1721" t="s">
        <v>14</v>
      </c>
      <c r="G1721">
        <v>10</v>
      </c>
    </row>
    <row r="1722" spans="1:7" x14ac:dyDescent="0.35">
      <c r="A1722">
        <v>44715</v>
      </c>
      <c r="B1722">
        <v>28</v>
      </c>
      <c r="C1722" t="s">
        <v>13</v>
      </c>
      <c r="D1722">
        <v>2601</v>
      </c>
      <c r="E1722" t="s">
        <v>88</v>
      </c>
      <c r="F1722" t="s">
        <v>17</v>
      </c>
      <c r="G1722">
        <v>12</v>
      </c>
    </row>
    <row r="1723" spans="1:7" x14ac:dyDescent="0.35">
      <c r="A1723">
        <v>104891</v>
      </c>
      <c r="B1723">
        <v>0</v>
      </c>
      <c r="C1723" t="s">
        <v>28</v>
      </c>
      <c r="D1723">
        <v>1706</v>
      </c>
      <c r="E1723" t="s">
        <v>90</v>
      </c>
      <c r="F1723" t="s">
        <v>14</v>
      </c>
      <c r="G1723">
        <v>23</v>
      </c>
    </row>
    <row r="1724" spans="1:7" x14ac:dyDescent="0.35">
      <c r="A1724">
        <v>30988</v>
      </c>
      <c r="B1724">
        <v>0</v>
      </c>
      <c r="C1724" t="s">
        <v>39</v>
      </c>
      <c r="D1724">
        <v>5401</v>
      </c>
      <c r="E1724" t="s">
        <v>91</v>
      </c>
      <c r="F1724" t="s">
        <v>17</v>
      </c>
      <c r="G1724">
        <v>10</v>
      </c>
    </row>
    <row r="1725" spans="1:7" x14ac:dyDescent="0.35">
      <c r="A1725">
        <v>158389</v>
      </c>
      <c r="B1725">
        <v>1</v>
      </c>
      <c r="C1725" t="s">
        <v>22</v>
      </c>
      <c r="D1725">
        <v>1101</v>
      </c>
      <c r="E1725" t="s">
        <v>97</v>
      </c>
      <c r="F1725" t="s">
        <v>14</v>
      </c>
      <c r="G1725">
        <v>12</v>
      </c>
    </row>
    <row r="1726" spans="1:7" x14ac:dyDescent="0.35">
      <c r="A1726">
        <v>97020</v>
      </c>
      <c r="B1726">
        <v>0</v>
      </c>
      <c r="C1726" t="s">
        <v>16</v>
      </c>
      <c r="D1726">
        <v>3901</v>
      </c>
      <c r="E1726" t="s">
        <v>92</v>
      </c>
      <c r="F1726" t="s">
        <v>17</v>
      </c>
      <c r="G1726">
        <v>17</v>
      </c>
    </row>
    <row r="1727" spans="1:7" x14ac:dyDescent="0.35">
      <c r="A1727">
        <v>92801</v>
      </c>
      <c r="B1727">
        <v>1</v>
      </c>
      <c r="C1727" t="s">
        <v>16</v>
      </c>
      <c r="D1727">
        <v>3503</v>
      </c>
      <c r="E1727" t="s">
        <v>95</v>
      </c>
      <c r="F1727" t="s">
        <v>14</v>
      </c>
      <c r="G1727">
        <v>15</v>
      </c>
    </row>
    <row r="1728" spans="1:7" x14ac:dyDescent="0.35">
      <c r="A1728">
        <v>28960</v>
      </c>
      <c r="B1728">
        <v>0</v>
      </c>
      <c r="C1728" t="s">
        <v>39</v>
      </c>
      <c r="D1728">
        <v>0</v>
      </c>
      <c r="E1728" t="s">
        <v>89</v>
      </c>
      <c r="F1728" t="s">
        <v>17</v>
      </c>
      <c r="G1728">
        <v>10</v>
      </c>
    </row>
    <row r="1729" spans="1:7" x14ac:dyDescent="0.35">
      <c r="A1729">
        <v>121969</v>
      </c>
      <c r="B1729">
        <v>0</v>
      </c>
      <c r="C1729" t="s">
        <v>21</v>
      </c>
      <c r="D1729">
        <v>5005</v>
      </c>
      <c r="E1729" t="s">
        <v>90</v>
      </c>
      <c r="F1729" t="s">
        <v>17</v>
      </c>
      <c r="G1729">
        <v>8</v>
      </c>
    </row>
    <row r="1730" spans="1:7" x14ac:dyDescent="0.35">
      <c r="A1730">
        <v>52330</v>
      </c>
      <c r="B1730">
        <v>0</v>
      </c>
      <c r="C1730" t="s">
        <v>53</v>
      </c>
      <c r="D1730">
        <v>2801</v>
      </c>
      <c r="E1730" t="s">
        <v>89</v>
      </c>
      <c r="F1730" t="s">
        <v>30</v>
      </c>
      <c r="G1730">
        <v>3</v>
      </c>
    </row>
    <row r="1731" spans="1:7" x14ac:dyDescent="0.35">
      <c r="A1731">
        <v>105709</v>
      </c>
      <c r="B1731">
        <v>1</v>
      </c>
      <c r="C1731" t="s">
        <v>28</v>
      </c>
      <c r="D1731">
        <v>3501</v>
      </c>
      <c r="E1731" t="s">
        <v>89</v>
      </c>
      <c r="F1731" t="s">
        <v>14</v>
      </c>
      <c r="G1731">
        <v>5</v>
      </c>
    </row>
    <row r="1732" spans="1:7" x14ac:dyDescent="0.35">
      <c r="A1732">
        <v>177329</v>
      </c>
      <c r="B1732">
        <v>2</v>
      </c>
      <c r="C1732" t="s">
        <v>50</v>
      </c>
      <c r="D1732">
        <v>4801</v>
      </c>
      <c r="E1732" t="s">
        <v>104</v>
      </c>
      <c r="F1732" t="s">
        <v>17</v>
      </c>
      <c r="G1732">
        <v>20</v>
      </c>
    </row>
    <row r="1733" spans="1:7" x14ac:dyDescent="0.35">
      <c r="A1733">
        <v>18196</v>
      </c>
      <c r="B1733">
        <v>2</v>
      </c>
      <c r="C1733" t="s">
        <v>18</v>
      </c>
      <c r="D1733">
        <v>0</v>
      </c>
      <c r="E1733" t="s">
        <v>89</v>
      </c>
      <c r="F1733" t="s">
        <v>14</v>
      </c>
      <c r="G1733">
        <v>12</v>
      </c>
    </row>
    <row r="1734" spans="1:7" x14ac:dyDescent="0.35">
      <c r="A1734">
        <v>185572</v>
      </c>
      <c r="B1734">
        <v>1</v>
      </c>
      <c r="C1734" t="s">
        <v>57</v>
      </c>
      <c r="D1734">
        <v>0</v>
      </c>
      <c r="E1734" t="s">
        <v>93</v>
      </c>
      <c r="F1734" t="s">
        <v>14</v>
      </c>
      <c r="G1734">
        <v>5</v>
      </c>
    </row>
    <row r="1735" spans="1:7" x14ac:dyDescent="0.35">
      <c r="A1735">
        <v>103613</v>
      </c>
      <c r="B1735">
        <v>28</v>
      </c>
      <c r="C1735" t="s">
        <v>36</v>
      </c>
      <c r="D1735">
        <v>3801</v>
      </c>
      <c r="E1735" t="s">
        <v>91</v>
      </c>
      <c r="F1735" t="s">
        <v>17</v>
      </c>
      <c r="G1735">
        <v>15</v>
      </c>
    </row>
    <row r="1736" spans="1:7" x14ac:dyDescent="0.35">
      <c r="A1736">
        <v>84144</v>
      </c>
      <c r="B1736">
        <v>0</v>
      </c>
      <c r="C1736" t="s">
        <v>56</v>
      </c>
      <c r="D1736">
        <v>6408</v>
      </c>
      <c r="E1736" t="s">
        <v>93</v>
      </c>
      <c r="F1736" t="s">
        <v>17</v>
      </c>
      <c r="G1736">
        <v>20</v>
      </c>
    </row>
    <row r="1737" spans="1:7" x14ac:dyDescent="0.35">
      <c r="A1737">
        <v>83530</v>
      </c>
      <c r="B1737">
        <v>0</v>
      </c>
      <c r="C1737" t="s">
        <v>56</v>
      </c>
      <c r="D1737">
        <v>2207</v>
      </c>
      <c r="E1737" t="s">
        <v>101</v>
      </c>
      <c r="G1737">
        <v>5</v>
      </c>
    </row>
    <row r="1738" spans="1:7" x14ac:dyDescent="0.35">
      <c r="A1738">
        <v>46495</v>
      </c>
      <c r="B1738">
        <v>0</v>
      </c>
      <c r="C1738" t="s">
        <v>13</v>
      </c>
      <c r="D1738">
        <v>3005</v>
      </c>
      <c r="E1738" t="s">
        <v>88</v>
      </c>
      <c r="F1738" t="s">
        <v>17</v>
      </c>
      <c r="G1738">
        <v>15</v>
      </c>
    </row>
    <row r="1739" spans="1:7" x14ac:dyDescent="0.35">
      <c r="A1739">
        <v>186458</v>
      </c>
      <c r="B1739">
        <v>2</v>
      </c>
      <c r="C1739" t="s">
        <v>40</v>
      </c>
      <c r="D1739">
        <v>0</v>
      </c>
      <c r="E1739" t="s">
        <v>88</v>
      </c>
      <c r="F1739" t="s">
        <v>17</v>
      </c>
      <c r="G1739">
        <v>3</v>
      </c>
    </row>
    <row r="1740" spans="1:7" x14ac:dyDescent="0.35">
      <c r="A1740">
        <v>162253</v>
      </c>
      <c r="B1740">
        <v>0</v>
      </c>
      <c r="C1740" t="s">
        <v>22</v>
      </c>
      <c r="D1740">
        <v>0</v>
      </c>
      <c r="E1740" t="s">
        <v>93</v>
      </c>
      <c r="F1740" t="s">
        <v>17</v>
      </c>
      <c r="G1740">
        <v>5</v>
      </c>
    </row>
    <row r="1741" spans="1:7" x14ac:dyDescent="0.35">
      <c r="A1741">
        <v>24915</v>
      </c>
      <c r="B1741">
        <v>0</v>
      </c>
      <c r="C1741" t="s">
        <v>43</v>
      </c>
      <c r="D1741">
        <v>5301</v>
      </c>
      <c r="F1741" t="s">
        <v>17</v>
      </c>
      <c r="G1741">
        <v>10</v>
      </c>
    </row>
    <row r="1742" spans="1:7" x14ac:dyDescent="0.35">
      <c r="A1742">
        <v>2081</v>
      </c>
      <c r="B1742">
        <v>0</v>
      </c>
      <c r="C1742" t="s">
        <v>40</v>
      </c>
      <c r="D1742">
        <v>0</v>
      </c>
      <c r="F1742" t="s">
        <v>17</v>
      </c>
      <c r="G1742">
        <v>7</v>
      </c>
    </row>
    <row r="1743" spans="1:7" x14ac:dyDescent="0.35">
      <c r="A1743">
        <v>121654</v>
      </c>
      <c r="B1743">
        <v>2</v>
      </c>
      <c r="C1743" t="s">
        <v>21</v>
      </c>
      <c r="D1743">
        <v>4710</v>
      </c>
      <c r="E1743" t="s">
        <v>92</v>
      </c>
      <c r="F1743" t="s">
        <v>14</v>
      </c>
      <c r="G1743">
        <v>21</v>
      </c>
    </row>
    <row r="1744" spans="1:7" x14ac:dyDescent="0.35">
      <c r="A1744">
        <v>132627</v>
      </c>
      <c r="B1744">
        <v>0</v>
      </c>
      <c r="C1744" t="s">
        <v>66</v>
      </c>
      <c r="D1744">
        <v>3601</v>
      </c>
      <c r="E1744" t="s">
        <v>91</v>
      </c>
      <c r="F1744" t="s">
        <v>14</v>
      </c>
      <c r="G1744">
        <v>10</v>
      </c>
    </row>
    <row r="1745" spans="1:7" x14ac:dyDescent="0.35">
      <c r="A1745">
        <v>149089</v>
      </c>
      <c r="B1745">
        <v>2</v>
      </c>
      <c r="C1745" t="s">
        <v>22</v>
      </c>
      <c r="D1745">
        <v>2601</v>
      </c>
      <c r="E1745" t="s">
        <v>94</v>
      </c>
      <c r="F1745" t="s">
        <v>17</v>
      </c>
      <c r="G1745">
        <v>20</v>
      </c>
    </row>
    <row r="1746" spans="1:7" x14ac:dyDescent="0.35">
      <c r="A1746">
        <v>150497</v>
      </c>
      <c r="B1746">
        <v>0</v>
      </c>
      <c r="C1746" t="s">
        <v>22</v>
      </c>
      <c r="D1746">
        <v>7701</v>
      </c>
      <c r="E1746" t="s">
        <v>93</v>
      </c>
      <c r="F1746" t="s">
        <v>14</v>
      </c>
      <c r="G1746">
        <v>40</v>
      </c>
    </row>
    <row r="1747" spans="1:7" x14ac:dyDescent="0.35">
      <c r="A1747">
        <v>180633</v>
      </c>
      <c r="B1747">
        <v>2</v>
      </c>
      <c r="C1747" t="s">
        <v>40</v>
      </c>
      <c r="D1747">
        <v>2102</v>
      </c>
      <c r="E1747" t="s">
        <v>89</v>
      </c>
      <c r="F1747" t="s">
        <v>17</v>
      </c>
      <c r="G1747">
        <v>15</v>
      </c>
    </row>
    <row r="1748" spans="1:7" x14ac:dyDescent="0.35">
      <c r="A1748">
        <v>50200</v>
      </c>
      <c r="B1748">
        <v>2</v>
      </c>
      <c r="C1748" t="s">
        <v>53</v>
      </c>
      <c r="D1748">
        <v>2201</v>
      </c>
      <c r="E1748" t="s">
        <v>92</v>
      </c>
      <c r="F1748" t="s">
        <v>14</v>
      </c>
      <c r="G1748">
        <v>10</v>
      </c>
    </row>
    <row r="1749" spans="1:7" x14ac:dyDescent="0.35">
      <c r="A1749">
        <v>172176</v>
      </c>
      <c r="B1749">
        <v>28</v>
      </c>
      <c r="C1749" t="s">
        <v>22</v>
      </c>
      <c r="D1749">
        <v>0</v>
      </c>
      <c r="E1749" t="s">
        <v>93</v>
      </c>
      <c r="F1749" t="s">
        <v>17</v>
      </c>
      <c r="G1749">
        <v>20</v>
      </c>
    </row>
    <row r="1750" spans="1:7" x14ac:dyDescent="0.35">
      <c r="A1750">
        <v>130884</v>
      </c>
      <c r="B1750">
        <v>0</v>
      </c>
      <c r="C1750" t="s">
        <v>48</v>
      </c>
      <c r="D1750">
        <v>2711</v>
      </c>
      <c r="E1750" t="s">
        <v>94</v>
      </c>
      <c r="F1750" t="s">
        <v>17</v>
      </c>
      <c r="G1750">
        <v>7</v>
      </c>
    </row>
    <row r="1751" spans="1:7" x14ac:dyDescent="0.35">
      <c r="A1751">
        <v>139857</v>
      </c>
      <c r="B1751">
        <v>0</v>
      </c>
      <c r="C1751" t="s">
        <v>54</v>
      </c>
      <c r="D1751">
        <v>1701</v>
      </c>
      <c r="E1751" t="s">
        <v>89</v>
      </c>
      <c r="F1751" t="s">
        <v>17</v>
      </c>
      <c r="G1751">
        <v>5</v>
      </c>
    </row>
    <row r="1752" spans="1:7" x14ac:dyDescent="0.35">
      <c r="A1752">
        <v>152325</v>
      </c>
      <c r="B1752">
        <v>1</v>
      </c>
      <c r="C1752" t="s">
        <v>22</v>
      </c>
      <c r="D1752">
        <v>4601</v>
      </c>
      <c r="E1752" t="s">
        <v>90</v>
      </c>
      <c r="F1752" t="s">
        <v>14</v>
      </c>
      <c r="G1752">
        <v>25</v>
      </c>
    </row>
    <row r="1753" spans="1:7" x14ac:dyDescent="0.35">
      <c r="A1753">
        <v>43559</v>
      </c>
      <c r="B1753">
        <v>0</v>
      </c>
      <c r="C1753" t="s">
        <v>13</v>
      </c>
      <c r="D1753">
        <v>1301</v>
      </c>
      <c r="E1753" t="s">
        <v>100</v>
      </c>
      <c r="F1753" t="s">
        <v>14</v>
      </c>
      <c r="G1753">
        <v>2</v>
      </c>
    </row>
    <row r="1754" spans="1:7" x14ac:dyDescent="0.35">
      <c r="A1754">
        <v>81527</v>
      </c>
      <c r="B1754">
        <v>2</v>
      </c>
      <c r="C1754" t="s">
        <v>35</v>
      </c>
      <c r="D1754">
        <v>1501</v>
      </c>
      <c r="E1754" t="s">
        <v>91</v>
      </c>
      <c r="F1754" t="s">
        <v>17</v>
      </c>
      <c r="G1754">
        <v>3</v>
      </c>
    </row>
    <row r="1755" spans="1:7" x14ac:dyDescent="0.35">
      <c r="A1755">
        <v>146913</v>
      </c>
      <c r="B1755">
        <v>28</v>
      </c>
      <c r="C1755" t="s">
        <v>22</v>
      </c>
      <c r="D1755">
        <v>3201</v>
      </c>
      <c r="E1755" t="s">
        <v>93</v>
      </c>
      <c r="F1755" t="s">
        <v>17</v>
      </c>
      <c r="G1755">
        <v>25</v>
      </c>
    </row>
    <row r="1756" spans="1:7" x14ac:dyDescent="0.35">
      <c r="A1756">
        <v>5968</v>
      </c>
      <c r="B1756">
        <v>0</v>
      </c>
      <c r="C1756" t="s">
        <v>35</v>
      </c>
      <c r="D1756">
        <v>0</v>
      </c>
      <c r="E1756" t="s">
        <v>95</v>
      </c>
      <c r="F1756" t="s">
        <v>17</v>
      </c>
      <c r="G1756">
        <v>12</v>
      </c>
    </row>
    <row r="1757" spans="1:7" x14ac:dyDescent="0.35">
      <c r="A1757">
        <v>3953</v>
      </c>
      <c r="B1757">
        <v>0</v>
      </c>
      <c r="C1757" t="s">
        <v>37</v>
      </c>
      <c r="D1757">
        <v>0</v>
      </c>
      <c r="E1757" t="s">
        <v>90</v>
      </c>
      <c r="F1757" t="s">
        <v>14</v>
      </c>
      <c r="G1757">
        <v>20</v>
      </c>
    </row>
    <row r="1758" spans="1:7" x14ac:dyDescent="0.35">
      <c r="A1758">
        <v>13177</v>
      </c>
      <c r="B1758">
        <v>0</v>
      </c>
      <c r="C1758" t="s">
        <v>22</v>
      </c>
      <c r="D1758">
        <v>3901</v>
      </c>
      <c r="E1758" t="s">
        <v>89</v>
      </c>
      <c r="F1758" t="s">
        <v>14</v>
      </c>
      <c r="G1758">
        <v>10</v>
      </c>
    </row>
    <row r="1759" spans="1:7" x14ac:dyDescent="0.35">
      <c r="A1759">
        <v>38632</v>
      </c>
      <c r="B1759">
        <v>0</v>
      </c>
      <c r="C1759" t="s">
        <v>13</v>
      </c>
      <c r="D1759">
        <v>5008</v>
      </c>
      <c r="E1759" t="s">
        <v>93</v>
      </c>
      <c r="F1759" t="s">
        <v>17</v>
      </c>
      <c r="G1759">
        <v>38</v>
      </c>
    </row>
    <row r="1760" spans="1:7" x14ac:dyDescent="0.35">
      <c r="A1760">
        <v>578</v>
      </c>
      <c r="B1760">
        <v>28</v>
      </c>
      <c r="C1760" t="s">
        <v>22</v>
      </c>
      <c r="D1760">
        <v>0</v>
      </c>
      <c r="E1760" t="s">
        <v>90</v>
      </c>
      <c r="F1760" t="s">
        <v>17</v>
      </c>
      <c r="G1760">
        <v>10</v>
      </c>
    </row>
    <row r="1761" spans="1:7" x14ac:dyDescent="0.35">
      <c r="A1761">
        <v>186980</v>
      </c>
      <c r="B1761">
        <v>0</v>
      </c>
      <c r="C1761" t="s">
        <v>21</v>
      </c>
      <c r="D1761">
        <v>5311</v>
      </c>
      <c r="E1761" t="s">
        <v>91</v>
      </c>
      <c r="F1761" t="s">
        <v>14</v>
      </c>
      <c r="G1761">
        <v>50</v>
      </c>
    </row>
    <row r="1762" spans="1:7" x14ac:dyDescent="0.35">
      <c r="A1762">
        <v>172475</v>
      </c>
      <c r="B1762">
        <v>0</v>
      </c>
      <c r="C1762" t="s">
        <v>22</v>
      </c>
      <c r="D1762">
        <v>4602</v>
      </c>
      <c r="E1762" t="s">
        <v>89</v>
      </c>
      <c r="F1762" t="s">
        <v>17</v>
      </c>
      <c r="G1762">
        <v>16</v>
      </c>
    </row>
    <row r="1763" spans="1:7" x14ac:dyDescent="0.35">
      <c r="A1763">
        <v>33526</v>
      </c>
      <c r="B1763">
        <v>0</v>
      </c>
      <c r="C1763" t="s">
        <v>13</v>
      </c>
      <c r="D1763">
        <v>5308</v>
      </c>
      <c r="E1763" t="s">
        <v>91</v>
      </c>
      <c r="F1763" t="s">
        <v>17</v>
      </c>
      <c r="G1763">
        <v>5</v>
      </c>
    </row>
    <row r="1764" spans="1:7" x14ac:dyDescent="0.35">
      <c r="A1764">
        <v>69465</v>
      </c>
      <c r="B1764">
        <v>1</v>
      </c>
      <c r="C1764" t="s">
        <v>29</v>
      </c>
      <c r="D1764">
        <v>4601</v>
      </c>
      <c r="E1764" t="s">
        <v>93</v>
      </c>
      <c r="F1764" t="s">
        <v>14</v>
      </c>
      <c r="G1764">
        <v>20</v>
      </c>
    </row>
    <row r="1765" spans="1:7" x14ac:dyDescent="0.35">
      <c r="A1765">
        <v>190391</v>
      </c>
      <c r="B1765">
        <v>1</v>
      </c>
      <c r="C1765" t="s">
        <v>18</v>
      </c>
      <c r="D1765">
        <v>3003</v>
      </c>
      <c r="E1765" t="s">
        <v>98</v>
      </c>
      <c r="F1765" t="s">
        <v>14</v>
      </c>
      <c r="G1765">
        <v>16</v>
      </c>
    </row>
    <row r="1766" spans="1:7" x14ac:dyDescent="0.35">
      <c r="A1766">
        <v>26378</v>
      </c>
      <c r="B1766">
        <v>0</v>
      </c>
      <c r="C1766" t="s">
        <v>39</v>
      </c>
      <c r="D1766">
        <v>3701</v>
      </c>
      <c r="E1766" t="s">
        <v>94</v>
      </c>
      <c r="G1766">
        <v>100</v>
      </c>
    </row>
    <row r="1767" spans="1:7" x14ac:dyDescent="0.35">
      <c r="A1767">
        <v>12998</v>
      </c>
      <c r="B1767">
        <v>0</v>
      </c>
      <c r="C1767" t="s">
        <v>40</v>
      </c>
      <c r="D1767">
        <v>1801</v>
      </c>
      <c r="E1767" t="s">
        <v>95</v>
      </c>
      <c r="F1767" t="s">
        <v>17</v>
      </c>
      <c r="G1767">
        <v>6</v>
      </c>
    </row>
    <row r="1768" spans="1:7" x14ac:dyDescent="0.35">
      <c r="A1768">
        <v>128035</v>
      </c>
      <c r="B1768">
        <v>1</v>
      </c>
      <c r="C1768" t="s">
        <v>21</v>
      </c>
      <c r="D1768">
        <v>2506</v>
      </c>
      <c r="E1768" t="s">
        <v>89</v>
      </c>
      <c r="F1768" t="s">
        <v>17</v>
      </c>
      <c r="G1768">
        <v>21</v>
      </c>
    </row>
    <row r="1769" spans="1:7" x14ac:dyDescent="0.35">
      <c r="A1769">
        <v>16756</v>
      </c>
      <c r="B1769">
        <v>0</v>
      </c>
      <c r="C1769" t="s">
        <v>18</v>
      </c>
      <c r="D1769">
        <v>6801</v>
      </c>
      <c r="E1769" t="s">
        <v>90</v>
      </c>
      <c r="F1769" t="s">
        <v>14</v>
      </c>
      <c r="G1769">
        <v>15</v>
      </c>
    </row>
    <row r="1770" spans="1:7" x14ac:dyDescent="0.35">
      <c r="A1770">
        <v>142313</v>
      </c>
      <c r="B1770">
        <v>28</v>
      </c>
      <c r="C1770" t="s">
        <v>24</v>
      </c>
      <c r="D1770">
        <v>3701</v>
      </c>
      <c r="E1770" t="s">
        <v>89</v>
      </c>
      <c r="F1770" t="s">
        <v>17</v>
      </c>
      <c r="G1770">
        <v>1</v>
      </c>
    </row>
    <row r="1771" spans="1:7" x14ac:dyDescent="0.35">
      <c r="A1771">
        <v>132903</v>
      </c>
      <c r="B1771">
        <v>0</v>
      </c>
      <c r="C1771" t="s">
        <v>66</v>
      </c>
      <c r="D1771">
        <v>6201</v>
      </c>
      <c r="E1771" t="s">
        <v>91</v>
      </c>
      <c r="F1771" t="s">
        <v>17</v>
      </c>
      <c r="G1771">
        <v>21</v>
      </c>
    </row>
    <row r="1772" spans="1:7" x14ac:dyDescent="0.35">
      <c r="A1772">
        <v>153957</v>
      </c>
      <c r="B1772">
        <v>28</v>
      </c>
      <c r="C1772" t="s">
        <v>22</v>
      </c>
      <c r="D1772">
        <v>5601</v>
      </c>
      <c r="E1772" t="s">
        <v>90</v>
      </c>
      <c r="F1772" t="s">
        <v>17</v>
      </c>
      <c r="G1772">
        <v>5</v>
      </c>
    </row>
    <row r="1773" spans="1:7" x14ac:dyDescent="0.35">
      <c r="A1773">
        <v>61808</v>
      </c>
      <c r="B1773">
        <v>1</v>
      </c>
      <c r="C1773" t="s">
        <v>33</v>
      </c>
      <c r="D1773">
        <v>4901</v>
      </c>
      <c r="E1773" t="s">
        <v>89</v>
      </c>
      <c r="F1773" t="s">
        <v>14</v>
      </c>
      <c r="G1773">
        <v>25</v>
      </c>
    </row>
    <row r="1774" spans="1:7" x14ac:dyDescent="0.35">
      <c r="A1774">
        <v>143707</v>
      </c>
      <c r="B1774">
        <v>0</v>
      </c>
      <c r="C1774" t="s">
        <v>22</v>
      </c>
      <c r="D1774">
        <v>5901</v>
      </c>
      <c r="E1774" t="s">
        <v>103</v>
      </c>
      <c r="F1774" t="s">
        <v>14</v>
      </c>
      <c r="G1774">
        <v>4</v>
      </c>
    </row>
    <row r="1775" spans="1:7" x14ac:dyDescent="0.35">
      <c r="A1775">
        <v>122001</v>
      </c>
      <c r="B1775">
        <v>1</v>
      </c>
      <c r="C1775" t="s">
        <v>21</v>
      </c>
      <c r="D1775">
        <v>6001</v>
      </c>
      <c r="E1775" t="s">
        <v>93</v>
      </c>
      <c r="F1775" t="s">
        <v>14</v>
      </c>
      <c r="G1775">
        <v>30</v>
      </c>
    </row>
    <row r="1776" spans="1:7" x14ac:dyDescent="0.35">
      <c r="A1776">
        <v>180786</v>
      </c>
      <c r="B1776">
        <v>1</v>
      </c>
      <c r="C1776" t="s">
        <v>40</v>
      </c>
      <c r="D1776">
        <v>2106</v>
      </c>
      <c r="E1776" t="s">
        <v>92</v>
      </c>
      <c r="F1776" t="s">
        <v>14</v>
      </c>
      <c r="G1776">
        <v>18</v>
      </c>
    </row>
    <row r="1777" spans="1:7" x14ac:dyDescent="0.35">
      <c r="A1777">
        <v>96031</v>
      </c>
      <c r="B1777">
        <v>1002</v>
      </c>
      <c r="C1777" t="s">
        <v>16</v>
      </c>
      <c r="D1777">
        <v>3601</v>
      </c>
      <c r="E1777" t="s">
        <v>91</v>
      </c>
      <c r="F1777" t="s">
        <v>14</v>
      </c>
      <c r="G1777">
        <v>5</v>
      </c>
    </row>
    <row r="1778" spans="1:7" x14ac:dyDescent="0.35">
      <c r="A1778">
        <v>60477</v>
      </c>
      <c r="B1778">
        <v>30</v>
      </c>
      <c r="C1778" t="s">
        <v>33</v>
      </c>
      <c r="D1778">
        <v>2401</v>
      </c>
      <c r="E1778" t="s">
        <v>96</v>
      </c>
      <c r="F1778" t="s">
        <v>14</v>
      </c>
      <c r="G1778">
        <v>20</v>
      </c>
    </row>
    <row r="1779" spans="1:7" x14ac:dyDescent="0.35">
      <c r="A1779">
        <v>144310</v>
      </c>
      <c r="B1779">
        <v>1</v>
      </c>
      <c r="C1779" t="s">
        <v>22</v>
      </c>
      <c r="D1779">
        <v>3801</v>
      </c>
      <c r="E1779" t="s">
        <v>103</v>
      </c>
      <c r="F1779" t="s">
        <v>14</v>
      </c>
      <c r="G1779">
        <v>6</v>
      </c>
    </row>
    <row r="1780" spans="1:7" x14ac:dyDescent="0.35">
      <c r="A1780">
        <v>2170</v>
      </c>
      <c r="B1780">
        <v>0</v>
      </c>
      <c r="C1780" t="s">
        <v>29</v>
      </c>
      <c r="D1780">
        <v>3003</v>
      </c>
      <c r="E1780" t="s">
        <v>89</v>
      </c>
      <c r="F1780" t="s">
        <v>17</v>
      </c>
      <c r="G1780">
        <v>7</v>
      </c>
    </row>
    <row r="1781" spans="1:7" x14ac:dyDescent="0.35">
      <c r="A1781">
        <v>7846</v>
      </c>
      <c r="B1781">
        <v>0</v>
      </c>
      <c r="C1781" t="s">
        <v>21</v>
      </c>
      <c r="D1781">
        <v>0</v>
      </c>
      <c r="E1781" t="s">
        <v>90</v>
      </c>
      <c r="F1781" t="s">
        <v>14</v>
      </c>
      <c r="G1781">
        <v>10</v>
      </c>
    </row>
    <row r="1782" spans="1:7" x14ac:dyDescent="0.35">
      <c r="A1782">
        <v>71904</v>
      </c>
      <c r="B1782">
        <v>1</v>
      </c>
      <c r="C1782" t="s">
        <v>29</v>
      </c>
      <c r="D1782">
        <v>1901</v>
      </c>
      <c r="E1782" t="s">
        <v>96</v>
      </c>
      <c r="F1782" t="s">
        <v>14</v>
      </c>
      <c r="G1782">
        <v>7</v>
      </c>
    </row>
    <row r="1783" spans="1:7" x14ac:dyDescent="0.35">
      <c r="A1783">
        <v>2512</v>
      </c>
      <c r="B1783">
        <v>1002</v>
      </c>
      <c r="C1783" t="s">
        <v>18</v>
      </c>
      <c r="D1783">
        <v>2601</v>
      </c>
      <c r="F1783" t="s">
        <v>14</v>
      </c>
      <c r="G1783">
        <v>25</v>
      </c>
    </row>
    <row r="1784" spans="1:7" x14ac:dyDescent="0.35">
      <c r="A1784">
        <v>71682</v>
      </c>
      <c r="B1784">
        <v>1</v>
      </c>
      <c r="C1784" t="s">
        <v>29</v>
      </c>
      <c r="D1784">
        <v>5511</v>
      </c>
      <c r="E1784" t="s">
        <v>89</v>
      </c>
      <c r="F1784" t="s">
        <v>14</v>
      </c>
      <c r="G1784">
        <v>20</v>
      </c>
    </row>
    <row r="1785" spans="1:7" x14ac:dyDescent="0.35">
      <c r="A1785">
        <v>142552</v>
      </c>
      <c r="B1785">
        <v>1</v>
      </c>
      <c r="C1785" t="s">
        <v>22</v>
      </c>
      <c r="D1785">
        <v>2801</v>
      </c>
      <c r="E1785" t="s">
        <v>103</v>
      </c>
      <c r="F1785" t="s">
        <v>14</v>
      </c>
      <c r="G1785">
        <v>5</v>
      </c>
    </row>
    <row r="1786" spans="1:7" x14ac:dyDescent="0.35">
      <c r="A1786">
        <v>109429</v>
      </c>
      <c r="B1786">
        <v>0</v>
      </c>
      <c r="C1786" t="s">
        <v>49</v>
      </c>
      <c r="D1786">
        <v>0</v>
      </c>
      <c r="E1786" t="s">
        <v>89</v>
      </c>
      <c r="F1786" t="s">
        <v>30</v>
      </c>
      <c r="G1786">
        <v>20</v>
      </c>
    </row>
    <row r="1787" spans="1:7" x14ac:dyDescent="0.35">
      <c r="A1787">
        <v>57332</v>
      </c>
      <c r="B1787">
        <v>1</v>
      </c>
      <c r="C1787" t="s">
        <v>57</v>
      </c>
      <c r="D1787">
        <v>2808</v>
      </c>
      <c r="E1787" t="s">
        <v>90</v>
      </c>
      <c r="F1787" t="s">
        <v>14</v>
      </c>
      <c r="G1787">
        <v>6</v>
      </c>
    </row>
    <row r="1788" spans="1:7" x14ac:dyDescent="0.35">
      <c r="A1788">
        <v>190778</v>
      </c>
      <c r="B1788">
        <v>4</v>
      </c>
      <c r="C1788" t="s">
        <v>18</v>
      </c>
      <c r="D1788">
        <v>0</v>
      </c>
      <c r="E1788" t="s">
        <v>91</v>
      </c>
      <c r="F1788" t="s">
        <v>14</v>
      </c>
      <c r="G1788">
        <v>20</v>
      </c>
    </row>
    <row r="1789" spans="1:7" x14ac:dyDescent="0.35">
      <c r="A1789">
        <v>128235</v>
      </c>
      <c r="B1789">
        <v>2</v>
      </c>
      <c r="C1789" t="s">
        <v>21</v>
      </c>
      <c r="D1789">
        <v>0</v>
      </c>
      <c r="E1789" t="s">
        <v>92</v>
      </c>
      <c r="F1789" t="s">
        <v>14</v>
      </c>
      <c r="G1789">
        <v>8</v>
      </c>
    </row>
    <row r="1790" spans="1:7" x14ac:dyDescent="0.35">
      <c r="A1790">
        <v>175113</v>
      </c>
      <c r="B1790">
        <v>28</v>
      </c>
      <c r="C1790" t="s">
        <v>50</v>
      </c>
      <c r="D1790">
        <v>0</v>
      </c>
      <c r="E1790" t="s">
        <v>89</v>
      </c>
      <c r="F1790" t="s">
        <v>17</v>
      </c>
      <c r="G1790">
        <v>25</v>
      </c>
    </row>
    <row r="1791" spans="1:7" x14ac:dyDescent="0.35">
      <c r="A1791">
        <v>66757</v>
      </c>
      <c r="B1791">
        <v>2</v>
      </c>
      <c r="C1791" t="s">
        <v>29</v>
      </c>
      <c r="D1791">
        <v>1209</v>
      </c>
      <c r="F1791" t="s">
        <v>17</v>
      </c>
      <c r="G1791">
        <v>4</v>
      </c>
    </row>
    <row r="1792" spans="1:7" x14ac:dyDescent="0.35">
      <c r="A1792">
        <v>154150</v>
      </c>
      <c r="B1792">
        <v>1</v>
      </c>
      <c r="C1792" t="s">
        <v>22</v>
      </c>
      <c r="D1792">
        <v>4801</v>
      </c>
      <c r="E1792" t="s">
        <v>91</v>
      </c>
      <c r="F1792" t="s">
        <v>14</v>
      </c>
      <c r="G1792">
        <v>14</v>
      </c>
    </row>
    <row r="1793" spans="1:7" x14ac:dyDescent="0.35">
      <c r="A1793">
        <v>55392</v>
      </c>
      <c r="B1793">
        <v>0</v>
      </c>
      <c r="C1793" t="s">
        <v>62</v>
      </c>
      <c r="D1793">
        <v>4601</v>
      </c>
      <c r="E1793" t="s">
        <v>91</v>
      </c>
      <c r="F1793" t="s">
        <v>14</v>
      </c>
      <c r="G1793">
        <v>6</v>
      </c>
    </row>
    <row r="1794" spans="1:7" x14ac:dyDescent="0.35">
      <c r="A1794">
        <v>162234</v>
      </c>
      <c r="B1794">
        <v>1</v>
      </c>
      <c r="C1794" t="s">
        <v>22</v>
      </c>
      <c r="D1794">
        <v>1707</v>
      </c>
      <c r="E1794" t="s">
        <v>93</v>
      </c>
      <c r="F1794" t="s">
        <v>14</v>
      </c>
      <c r="G1794">
        <v>26</v>
      </c>
    </row>
    <row r="1795" spans="1:7" x14ac:dyDescent="0.35">
      <c r="A1795">
        <v>8880</v>
      </c>
      <c r="B1795">
        <v>0</v>
      </c>
      <c r="C1795" t="s">
        <v>22</v>
      </c>
      <c r="D1795">
        <v>4401</v>
      </c>
      <c r="E1795" t="s">
        <v>93</v>
      </c>
      <c r="F1795" t="s">
        <v>17</v>
      </c>
      <c r="G1795">
        <v>25</v>
      </c>
    </row>
    <row r="1796" spans="1:7" x14ac:dyDescent="0.35">
      <c r="A1796">
        <v>6643</v>
      </c>
      <c r="B1796">
        <v>1</v>
      </c>
      <c r="C1796" t="s">
        <v>22</v>
      </c>
      <c r="D1796">
        <v>2203</v>
      </c>
      <c r="E1796" t="s">
        <v>92</v>
      </c>
      <c r="F1796" t="s">
        <v>14</v>
      </c>
      <c r="G1796">
        <v>16</v>
      </c>
    </row>
    <row r="1797" spans="1:7" x14ac:dyDescent="0.35">
      <c r="A1797">
        <v>170827</v>
      </c>
      <c r="B1797">
        <v>2</v>
      </c>
      <c r="C1797" t="s">
        <v>22</v>
      </c>
      <c r="D1797">
        <v>201</v>
      </c>
      <c r="E1797" t="s">
        <v>90</v>
      </c>
      <c r="F1797" t="s">
        <v>17</v>
      </c>
      <c r="G1797">
        <v>17</v>
      </c>
    </row>
    <row r="1798" spans="1:7" x14ac:dyDescent="0.35">
      <c r="A1798">
        <v>105459</v>
      </c>
      <c r="B1798">
        <v>0</v>
      </c>
      <c r="C1798" t="s">
        <v>28</v>
      </c>
      <c r="D1798">
        <v>0</v>
      </c>
      <c r="E1798" t="s">
        <v>98</v>
      </c>
      <c r="F1798" t="s">
        <v>17</v>
      </c>
      <c r="G1798">
        <v>5</v>
      </c>
    </row>
    <row r="1799" spans="1:7" x14ac:dyDescent="0.35">
      <c r="A1799">
        <v>26289</v>
      </c>
      <c r="B1799">
        <v>0</v>
      </c>
      <c r="C1799" t="s">
        <v>39</v>
      </c>
      <c r="D1799">
        <v>4601</v>
      </c>
      <c r="E1799" t="s">
        <v>92</v>
      </c>
      <c r="F1799" t="s">
        <v>17</v>
      </c>
      <c r="G1799">
        <v>10</v>
      </c>
    </row>
    <row r="1800" spans="1:7" x14ac:dyDescent="0.35">
      <c r="A1800">
        <v>67315</v>
      </c>
      <c r="B1800">
        <v>2</v>
      </c>
      <c r="C1800" t="s">
        <v>29</v>
      </c>
      <c r="D1800">
        <v>2005</v>
      </c>
      <c r="E1800" t="s">
        <v>90</v>
      </c>
      <c r="F1800" t="s">
        <v>17</v>
      </c>
      <c r="G1800">
        <v>27</v>
      </c>
    </row>
    <row r="1801" spans="1:7" x14ac:dyDescent="0.35">
      <c r="A1801">
        <v>75910</v>
      </c>
      <c r="B1801">
        <v>0</v>
      </c>
      <c r="C1801" t="s">
        <v>47</v>
      </c>
      <c r="D1801">
        <v>0</v>
      </c>
      <c r="F1801" t="s">
        <v>17</v>
      </c>
      <c r="G1801">
        <v>10</v>
      </c>
    </row>
    <row r="1802" spans="1:7" x14ac:dyDescent="0.35">
      <c r="A1802">
        <v>103527</v>
      </c>
      <c r="B1802">
        <v>1</v>
      </c>
      <c r="C1802" t="s">
        <v>36</v>
      </c>
      <c r="D1802">
        <v>5002</v>
      </c>
      <c r="E1802" t="s">
        <v>98</v>
      </c>
      <c r="F1802" t="s">
        <v>14</v>
      </c>
      <c r="G1802">
        <v>4</v>
      </c>
    </row>
    <row r="1803" spans="1:7" x14ac:dyDescent="0.35">
      <c r="A1803">
        <v>16247</v>
      </c>
      <c r="B1803">
        <v>2</v>
      </c>
      <c r="C1803" t="s">
        <v>18</v>
      </c>
      <c r="D1803">
        <v>0</v>
      </c>
      <c r="E1803" t="s">
        <v>91</v>
      </c>
      <c r="G1803">
        <v>10</v>
      </c>
    </row>
    <row r="1804" spans="1:7" x14ac:dyDescent="0.35">
      <c r="A1804">
        <v>166770</v>
      </c>
      <c r="B1804">
        <v>0</v>
      </c>
      <c r="C1804" t="s">
        <v>22</v>
      </c>
      <c r="D1804">
        <v>3901</v>
      </c>
      <c r="E1804" t="s">
        <v>100</v>
      </c>
      <c r="F1804" t="s">
        <v>17</v>
      </c>
      <c r="G1804">
        <v>5</v>
      </c>
    </row>
    <row r="1805" spans="1:7" x14ac:dyDescent="0.35">
      <c r="A1805">
        <v>82580</v>
      </c>
      <c r="B1805">
        <v>2</v>
      </c>
      <c r="C1805" t="s">
        <v>56</v>
      </c>
      <c r="D1805">
        <v>1001</v>
      </c>
      <c r="E1805" t="s">
        <v>96</v>
      </c>
      <c r="F1805" t="s">
        <v>17</v>
      </c>
      <c r="G1805">
        <v>5</v>
      </c>
    </row>
    <row r="1806" spans="1:7" x14ac:dyDescent="0.35">
      <c r="A1806">
        <v>34883</v>
      </c>
      <c r="B1806">
        <v>2</v>
      </c>
      <c r="C1806" t="s">
        <v>13</v>
      </c>
      <c r="D1806">
        <v>3001</v>
      </c>
      <c r="E1806" t="s">
        <v>89</v>
      </c>
      <c r="F1806" t="s">
        <v>14</v>
      </c>
      <c r="G1806">
        <v>5</v>
      </c>
    </row>
    <row r="1807" spans="1:7" x14ac:dyDescent="0.35">
      <c r="A1807">
        <v>57647</v>
      </c>
      <c r="B1807">
        <v>0</v>
      </c>
      <c r="C1807" t="s">
        <v>57</v>
      </c>
      <c r="D1807">
        <v>7309</v>
      </c>
      <c r="E1807" t="s">
        <v>91</v>
      </c>
      <c r="F1807" t="s">
        <v>14</v>
      </c>
      <c r="G1807">
        <v>20</v>
      </c>
    </row>
    <row r="1808" spans="1:7" x14ac:dyDescent="0.35">
      <c r="A1808">
        <v>82995</v>
      </c>
      <c r="B1808">
        <v>1002</v>
      </c>
      <c r="C1808" t="s">
        <v>56</v>
      </c>
      <c r="D1808">
        <v>3603</v>
      </c>
      <c r="E1808" t="s">
        <v>90</v>
      </c>
      <c r="F1808" t="s">
        <v>14</v>
      </c>
      <c r="G1808">
        <v>5</v>
      </c>
    </row>
    <row r="1809" spans="1:7" x14ac:dyDescent="0.35">
      <c r="A1809">
        <v>74043</v>
      </c>
      <c r="B1809">
        <v>0</v>
      </c>
      <c r="C1809" t="s">
        <v>29</v>
      </c>
      <c r="D1809">
        <v>2401</v>
      </c>
      <c r="E1809" t="s">
        <v>91</v>
      </c>
      <c r="F1809" t="s">
        <v>17</v>
      </c>
      <c r="G1809">
        <v>12</v>
      </c>
    </row>
    <row r="1810" spans="1:7" x14ac:dyDescent="0.35">
      <c r="A1810">
        <v>114438</v>
      </c>
      <c r="B1810">
        <v>1</v>
      </c>
      <c r="C1810" t="s">
        <v>31</v>
      </c>
      <c r="D1810">
        <v>2512</v>
      </c>
      <c r="E1810" t="s">
        <v>89</v>
      </c>
      <c r="F1810" t="s">
        <v>14</v>
      </c>
      <c r="G1810">
        <v>20</v>
      </c>
    </row>
    <row r="1811" spans="1:7" x14ac:dyDescent="0.35">
      <c r="A1811">
        <v>122046</v>
      </c>
      <c r="B1811">
        <v>0</v>
      </c>
      <c r="C1811" t="s">
        <v>21</v>
      </c>
      <c r="D1811">
        <v>3601</v>
      </c>
      <c r="E1811" t="s">
        <v>92</v>
      </c>
      <c r="F1811" t="s">
        <v>17</v>
      </c>
      <c r="G1811">
        <v>25</v>
      </c>
    </row>
    <row r="1812" spans="1:7" x14ac:dyDescent="0.35">
      <c r="A1812">
        <v>69122</v>
      </c>
      <c r="B1812">
        <v>1</v>
      </c>
      <c r="C1812" t="s">
        <v>29</v>
      </c>
      <c r="D1812">
        <v>2701</v>
      </c>
      <c r="E1812" t="s">
        <v>90</v>
      </c>
      <c r="F1812" t="s">
        <v>14</v>
      </c>
      <c r="G1812">
        <v>13</v>
      </c>
    </row>
    <row r="1813" spans="1:7" x14ac:dyDescent="0.35">
      <c r="A1813">
        <v>118739</v>
      </c>
      <c r="B1813">
        <v>0</v>
      </c>
      <c r="C1813" t="s">
        <v>21</v>
      </c>
      <c r="D1813">
        <v>4701</v>
      </c>
      <c r="E1813" t="s">
        <v>92</v>
      </c>
      <c r="F1813" t="s">
        <v>14</v>
      </c>
      <c r="G1813">
        <v>15</v>
      </c>
    </row>
    <row r="1814" spans="1:7" x14ac:dyDescent="0.35">
      <c r="A1814">
        <v>68148</v>
      </c>
      <c r="B1814">
        <v>0</v>
      </c>
      <c r="C1814" t="s">
        <v>29</v>
      </c>
      <c r="D1814">
        <v>5401</v>
      </c>
      <c r="E1814" t="s">
        <v>102</v>
      </c>
      <c r="F1814" t="s">
        <v>17</v>
      </c>
      <c r="G1814">
        <v>10</v>
      </c>
    </row>
    <row r="1815" spans="1:7" x14ac:dyDescent="0.35">
      <c r="A1815">
        <v>22644</v>
      </c>
      <c r="B1815">
        <v>2</v>
      </c>
      <c r="C1815" t="s">
        <v>46</v>
      </c>
      <c r="D1815">
        <v>4201</v>
      </c>
      <c r="E1815" t="s">
        <v>91</v>
      </c>
      <c r="F1815" t="s">
        <v>17</v>
      </c>
      <c r="G1815">
        <v>21</v>
      </c>
    </row>
    <row r="1816" spans="1:7" x14ac:dyDescent="0.35">
      <c r="A1816">
        <v>87239</v>
      </c>
      <c r="B1816">
        <v>1002</v>
      </c>
      <c r="C1816" t="s">
        <v>34</v>
      </c>
      <c r="D1816">
        <v>1601</v>
      </c>
      <c r="E1816" t="s">
        <v>89</v>
      </c>
      <c r="F1816" t="s">
        <v>14</v>
      </c>
      <c r="G1816">
        <v>7</v>
      </c>
    </row>
    <row r="1817" spans="1:7" x14ac:dyDescent="0.35">
      <c r="A1817">
        <v>108447</v>
      </c>
      <c r="B1817">
        <v>0</v>
      </c>
      <c r="C1817" t="s">
        <v>49</v>
      </c>
      <c r="D1817">
        <v>0</v>
      </c>
      <c r="E1817" t="s">
        <v>90</v>
      </c>
      <c r="F1817" t="s">
        <v>17</v>
      </c>
      <c r="G1817">
        <v>10</v>
      </c>
    </row>
    <row r="1818" spans="1:7" x14ac:dyDescent="0.35">
      <c r="A1818">
        <v>49860</v>
      </c>
      <c r="B1818">
        <v>0</v>
      </c>
      <c r="C1818" t="s">
        <v>53</v>
      </c>
      <c r="D1818">
        <v>3512</v>
      </c>
      <c r="E1818" t="s">
        <v>90</v>
      </c>
      <c r="F1818" t="s">
        <v>17</v>
      </c>
      <c r="G1818">
        <v>4</v>
      </c>
    </row>
    <row r="1819" spans="1:7" x14ac:dyDescent="0.35">
      <c r="A1819">
        <v>88662</v>
      </c>
      <c r="B1819">
        <v>0</v>
      </c>
      <c r="C1819" t="s">
        <v>16</v>
      </c>
      <c r="D1819">
        <v>3004</v>
      </c>
      <c r="E1819" t="s">
        <v>90</v>
      </c>
      <c r="F1819" t="s">
        <v>14</v>
      </c>
      <c r="G1819">
        <v>12</v>
      </c>
    </row>
    <row r="1820" spans="1:7" x14ac:dyDescent="0.35">
      <c r="A1820">
        <v>59225</v>
      </c>
      <c r="B1820">
        <v>2</v>
      </c>
      <c r="C1820" t="s">
        <v>33</v>
      </c>
      <c r="D1820">
        <v>0</v>
      </c>
      <c r="E1820" t="s">
        <v>91</v>
      </c>
      <c r="F1820" t="s">
        <v>17</v>
      </c>
      <c r="G1820">
        <v>10</v>
      </c>
    </row>
    <row r="1821" spans="1:7" x14ac:dyDescent="0.35">
      <c r="A1821">
        <v>190377</v>
      </c>
      <c r="B1821">
        <v>28</v>
      </c>
      <c r="C1821" t="s">
        <v>13</v>
      </c>
      <c r="D1821">
        <v>0</v>
      </c>
      <c r="F1821" t="s">
        <v>17</v>
      </c>
      <c r="G1821">
        <v>24</v>
      </c>
    </row>
    <row r="1822" spans="1:7" x14ac:dyDescent="0.35">
      <c r="A1822">
        <v>151695</v>
      </c>
      <c r="B1822">
        <v>1</v>
      </c>
      <c r="C1822" t="s">
        <v>22</v>
      </c>
      <c r="D1822">
        <v>0</v>
      </c>
      <c r="E1822" t="s">
        <v>94</v>
      </c>
      <c r="F1822" t="s">
        <v>14</v>
      </c>
      <c r="G1822">
        <v>35</v>
      </c>
    </row>
    <row r="1823" spans="1:7" x14ac:dyDescent="0.35">
      <c r="A1823">
        <v>146301</v>
      </c>
      <c r="B1823">
        <v>0</v>
      </c>
      <c r="C1823" t="s">
        <v>41</v>
      </c>
      <c r="D1823">
        <v>6301</v>
      </c>
      <c r="E1823" t="s">
        <v>103</v>
      </c>
      <c r="F1823" t="s">
        <v>17</v>
      </c>
      <c r="G1823">
        <v>17</v>
      </c>
    </row>
    <row r="1824" spans="1:7" x14ac:dyDescent="0.35">
      <c r="A1824">
        <v>27944</v>
      </c>
      <c r="B1824">
        <v>0</v>
      </c>
      <c r="C1824" t="s">
        <v>39</v>
      </c>
      <c r="D1824">
        <v>5011</v>
      </c>
      <c r="E1824" t="s">
        <v>88</v>
      </c>
      <c r="F1824" t="s">
        <v>17</v>
      </c>
      <c r="G1824">
        <v>33</v>
      </c>
    </row>
    <row r="1825" spans="1:7" x14ac:dyDescent="0.35">
      <c r="A1825">
        <v>172801</v>
      </c>
      <c r="B1825">
        <v>1002</v>
      </c>
      <c r="C1825" t="s">
        <v>22</v>
      </c>
      <c r="D1825">
        <v>0</v>
      </c>
      <c r="E1825" t="s">
        <v>91</v>
      </c>
      <c r="F1825" t="s">
        <v>14</v>
      </c>
      <c r="G1825">
        <v>10</v>
      </c>
    </row>
    <row r="1826" spans="1:7" x14ac:dyDescent="0.35">
      <c r="A1826">
        <v>78179</v>
      </c>
      <c r="B1826">
        <v>1</v>
      </c>
      <c r="C1826" t="s">
        <v>35</v>
      </c>
      <c r="D1826">
        <v>6401</v>
      </c>
      <c r="E1826" t="s">
        <v>96</v>
      </c>
      <c r="F1826" t="s">
        <v>14</v>
      </c>
      <c r="G1826">
        <v>10</v>
      </c>
    </row>
    <row r="1827" spans="1:7" x14ac:dyDescent="0.35">
      <c r="A1827">
        <v>121755</v>
      </c>
      <c r="B1827">
        <v>0</v>
      </c>
      <c r="C1827" t="s">
        <v>21</v>
      </c>
      <c r="D1827">
        <v>2001</v>
      </c>
      <c r="E1827" t="s">
        <v>92</v>
      </c>
      <c r="F1827" t="s">
        <v>14</v>
      </c>
      <c r="G1827">
        <v>15</v>
      </c>
    </row>
    <row r="1828" spans="1:7" x14ac:dyDescent="0.35">
      <c r="A1828">
        <v>147747</v>
      </c>
      <c r="B1828">
        <v>0</v>
      </c>
      <c r="C1828" t="s">
        <v>22</v>
      </c>
      <c r="D1828">
        <v>2008</v>
      </c>
      <c r="E1828" t="s">
        <v>93</v>
      </c>
      <c r="F1828" t="s">
        <v>17</v>
      </c>
      <c r="G1828">
        <v>13</v>
      </c>
    </row>
    <row r="1829" spans="1:7" x14ac:dyDescent="0.35">
      <c r="A1829">
        <v>3685</v>
      </c>
      <c r="B1829">
        <v>0</v>
      </c>
      <c r="C1829" t="s">
        <v>40</v>
      </c>
      <c r="D1829">
        <v>4201</v>
      </c>
      <c r="E1829" t="s">
        <v>97</v>
      </c>
      <c r="F1829" t="s">
        <v>17</v>
      </c>
      <c r="G1829">
        <v>15</v>
      </c>
    </row>
    <row r="1830" spans="1:7" x14ac:dyDescent="0.35">
      <c r="A1830">
        <v>128934</v>
      </c>
      <c r="B1830">
        <v>0</v>
      </c>
      <c r="C1830" t="s">
        <v>21</v>
      </c>
      <c r="D1830">
        <v>1</v>
      </c>
      <c r="E1830" t="s">
        <v>93</v>
      </c>
      <c r="F1830" t="s">
        <v>17</v>
      </c>
      <c r="G1830">
        <v>20</v>
      </c>
    </row>
    <row r="1831" spans="1:7" x14ac:dyDescent="0.35">
      <c r="A1831">
        <v>18038</v>
      </c>
      <c r="B1831">
        <v>0</v>
      </c>
      <c r="C1831" t="s">
        <v>18</v>
      </c>
      <c r="D1831">
        <v>0</v>
      </c>
      <c r="E1831" t="s">
        <v>91</v>
      </c>
      <c r="G1831">
        <v>16</v>
      </c>
    </row>
    <row r="1832" spans="1:7" x14ac:dyDescent="0.35">
      <c r="A1832">
        <v>180272</v>
      </c>
      <c r="B1832">
        <v>0</v>
      </c>
      <c r="C1832" t="s">
        <v>40</v>
      </c>
      <c r="D1832">
        <v>1801</v>
      </c>
      <c r="E1832" t="s">
        <v>88</v>
      </c>
      <c r="F1832" t="s">
        <v>17</v>
      </c>
      <c r="G1832">
        <v>20</v>
      </c>
    </row>
    <row r="1833" spans="1:7" x14ac:dyDescent="0.35">
      <c r="A1833">
        <v>164986</v>
      </c>
      <c r="B1833">
        <v>0</v>
      </c>
      <c r="C1833" t="s">
        <v>22</v>
      </c>
      <c r="D1833">
        <v>2901</v>
      </c>
      <c r="E1833" t="s">
        <v>93</v>
      </c>
      <c r="F1833" t="s">
        <v>17</v>
      </c>
      <c r="G1833">
        <v>15</v>
      </c>
    </row>
    <row r="1834" spans="1:7" x14ac:dyDescent="0.35">
      <c r="A1834">
        <v>65117</v>
      </c>
      <c r="B1834">
        <v>28</v>
      </c>
      <c r="C1834" t="s">
        <v>29</v>
      </c>
      <c r="D1834">
        <v>5610</v>
      </c>
      <c r="E1834" t="s">
        <v>104</v>
      </c>
      <c r="F1834" t="s">
        <v>17</v>
      </c>
      <c r="G1834">
        <v>10</v>
      </c>
    </row>
    <row r="1835" spans="1:7" x14ac:dyDescent="0.35">
      <c r="A1835">
        <v>93995</v>
      </c>
      <c r="B1835">
        <v>0</v>
      </c>
      <c r="C1835" t="s">
        <v>16</v>
      </c>
      <c r="D1835">
        <v>0</v>
      </c>
      <c r="E1835" t="s">
        <v>95</v>
      </c>
      <c r="F1835" t="s">
        <v>17</v>
      </c>
      <c r="G1835">
        <v>10</v>
      </c>
    </row>
    <row r="1836" spans="1:7" x14ac:dyDescent="0.35">
      <c r="A1836">
        <v>84097</v>
      </c>
      <c r="B1836">
        <v>2</v>
      </c>
      <c r="C1836" t="s">
        <v>56</v>
      </c>
      <c r="D1836">
        <v>1001</v>
      </c>
      <c r="E1836" t="s">
        <v>93</v>
      </c>
      <c r="F1836" t="s">
        <v>17</v>
      </c>
      <c r="G1836">
        <v>25</v>
      </c>
    </row>
    <row r="1837" spans="1:7" x14ac:dyDescent="0.35">
      <c r="A1837">
        <v>116267</v>
      </c>
      <c r="B1837">
        <v>0</v>
      </c>
      <c r="C1837" t="s">
        <v>21</v>
      </c>
      <c r="D1837">
        <v>2401</v>
      </c>
      <c r="E1837" t="s">
        <v>93</v>
      </c>
      <c r="F1837" t="s">
        <v>17</v>
      </c>
      <c r="G1837">
        <v>20</v>
      </c>
    </row>
    <row r="1838" spans="1:7" x14ac:dyDescent="0.35">
      <c r="A1838">
        <v>153898</v>
      </c>
      <c r="B1838">
        <v>0</v>
      </c>
      <c r="C1838" t="s">
        <v>22</v>
      </c>
      <c r="D1838">
        <v>0</v>
      </c>
      <c r="E1838" t="s">
        <v>103</v>
      </c>
      <c r="F1838" t="s">
        <v>17</v>
      </c>
      <c r="G1838">
        <v>10</v>
      </c>
    </row>
    <row r="1839" spans="1:7" x14ac:dyDescent="0.35">
      <c r="A1839">
        <v>161627</v>
      </c>
      <c r="B1839">
        <v>2</v>
      </c>
      <c r="C1839" t="s">
        <v>22</v>
      </c>
      <c r="D1839">
        <v>4401</v>
      </c>
      <c r="E1839" t="s">
        <v>90</v>
      </c>
      <c r="F1839" t="s">
        <v>14</v>
      </c>
      <c r="G1839">
        <v>21</v>
      </c>
    </row>
    <row r="1840" spans="1:7" x14ac:dyDescent="0.35">
      <c r="A1840">
        <v>22337</v>
      </c>
      <c r="B1840">
        <v>0</v>
      </c>
      <c r="C1840" t="s">
        <v>18</v>
      </c>
      <c r="D1840">
        <v>0</v>
      </c>
      <c r="E1840" t="s">
        <v>88</v>
      </c>
      <c r="F1840" t="s">
        <v>17</v>
      </c>
      <c r="G1840">
        <v>10</v>
      </c>
    </row>
    <row r="1841" spans="1:7" x14ac:dyDescent="0.35">
      <c r="A1841">
        <v>7590</v>
      </c>
      <c r="B1841">
        <v>2</v>
      </c>
      <c r="C1841" t="s">
        <v>21</v>
      </c>
      <c r="D1841">
        <v>606</v>
      </c>
      <c r="E1841" t="s">
        <v>91</v>
      </c>
      <c r="F1841" t="s">
        <v>17</v>
      </c>
      <c r="G1841">
        <v>30</v>
      </c>
    </row>
    <row r="1842" spans="1:7" x14ac:dyDescent="0.35">
      <c r="A1842">
        <v>108905</v>
      </c>
      <c r="B1842">
        <v>0</v>
      </c>
      <c r="C1842" t="s">
        <v>49</v>
      </c>
      <c r="D1842">
        <v>0</v>
      </c>
      <c r="E1842" t="s">
        <v>92</v>
      </c>
      <c r="F1842" t="s">
        <v>17</v>
      </c>
      <c r="G1842">
        <v>20</v>
      </c>
    </row>
    <row r="1843" spans="1:7" x14ac:dyDescent="0.35">
      <c r="A1843">
        <v>100411</v>
      </c>
      <c r="B1843">
        <v>1</v>
      </c>
      <c r="C1843" t="s">
        <v>36</v>
      </c>
      <c r="D1843">
        <v>6607</v>
      </c>
      <c r="E1843" t="s">
        <v>90</v>
      </c>
      <c r="F1843" t="s">
        <v>14</v>
      </c>
      <c r="G1843">
        <v>30</v>
      </c>
    </row>
    <row r="1844" spans="1:7" x14ac:dyDescent="0.35">
      <c r="A1844">
        <v>103488</v>
      </c>
      <c r="B1844">
        <v>0</v>
      </c>
      <c r="C1844" t="s">
        <v>36</v>
      </c>
      <c r="D1844">
        <v>3001</v>
      </c>
      <c r="E1844" t="s">
        <v>89</v>
      </c>
      <c r="F1844" t="s">
        <v>17</v>
      </c>
      <c r="G1844">
        <v>10</v>
      </c>
    </row>
    <row r="1845" spans="1:7" x14ac:dyDescent="0.35">
      <c r="A1845">
        <v>99410</v>
      </c>
      <c r="B1845">
        <v>0</v>
      </c>
      <c r="C1845" t="s">
        <v>36</v>
      </c>
      <c r="D1845">
        <v>2001</v>
      </c>
      <c r="E1845" t="s">
        <v>92</v>
      </c>
      <c r="F1845" t="s">
        <v>17</v>
      </c>
      <c r="G1845">
        <v>17</v>
      </c>
    </row>
    <row r="1846" spans="1:7" x14ac:dyDescent="0.35">
      <c r="A1846">
        <v>43949</v>
      </c>
      <c r="B1846">
        <v>0</v>
      </c>
      <c r="C1846" t="s">
        <v>13</v>
      </c>
      <c r="D1846">
        <v>1901</v>
      </c>
      <c r="E1846" t="s">
        <v>88</v>
      </c>
      <c r="F1846" t="s">
        <v>14</v>
      </c>
      <c r="G1846">
        <v>6</v>
      </c>
    </row>
    <row r="1847" spans="1:7" x14ac:dyDescent="0.35">
      <c r="A1847">
        <v>87706</v>
      </c>
      <c r="B1847">
        <v>1</v>
      </c>
      <c r="C1847" t="s">
        <v>34</v>
      </c>
      <c r="D1847">
        <v>3201</v>
      </c>
      <c r="E1847" t="s">
        <v>89</v>
      </c>
      <c r="F1847" t="s">
        <v>14</v>
      </c>
      <c r="G1847">
        <v>12</v>
      </c>
    </row>
    <row r="1848" spans="1:7" x14ac:dyDescent="0.35">
      <c r="A1848">
        <v>122217</v>
      </c>
      <c r="B1848">
        <v>0</v>
      </c>
      <c r="C1848" t="s">
        <v>21</v>
      </c>
      <c r="D1848">
        <v>3001</v>
      </c>
      <c r="E1848" t="s">
        <v>95</v>
      </c>
      <c r="F1848" t="s">
        <v>17</v>
      </c>
      <c r="G1848">
        <v>5</v>
      </c>
    </row>
    <row r="1849" spans="1:7" x14ac:dyDescent="0.35">
      <c r="A1849">
        <v>29724</v>
      </c>
      <c r="B1849">
        <v>2</v>
      </c>
      <c r="C1849" t="s">
        <v>39</v>
      </c>
      <c r="D1849">
        <v>3606</v>
      </c>
      <c r="E1849" t="s">
        <v>91</v>
      </c>
      <c r="F1849" t="s">
        <v>17</v>
      </c>
      <c r="G1849">
        <v>5</v>
      </c>
    </row>
    <row r="1850" spans="1:7" x14ac:dyDescent="0.35">
      <c r="A1850">
        <v>172214</v>
      </c>
      <c r="B1850">
        <v>0</v>
      </c>
      <c r="C1850" t="s">
        <v>22</v>
      </c>
      <c r="D1850">
        <v>4803</v>
      </c>
      <c r="E1850" t="s">
        <v>90</v>
      </c>
      <c r="F1850" t="s">
        <v>17</v>
      </c>
      <c r="G1850">
        <v>5</v>
      </c>
    </row>
    <row r="1851" spans="1:7" x14ac:dyDescent="0.35">
      <c r="A1851">
        <v>106719</v>
      </c>
      <c r="B1851">
        <v>28</v>
      </c>
      <c r="C1851" t="s">
        <v>21</v>
      </c>
      <c r="D1851">
        <v>601</v>
      </c>
      <c r="E1851" t="s">
        <v>101</v>
      </c>
      <c r="F1851" t="s">
        <v>17</v>
      </c>
      <c r="G1851">
        <v>10</v>
      </c>
    </row>
    <row r="1852" spans="1:7" x14ac:dyDescent="0.35">
      <c r="A1852">
        <v>12932</v>
      </c>
      <c r="B1852">
        <v>28</v>
      </c>
      <c r="C1852" t="s">
        <v>53</v>
      </c>
      <c r="D1852">
        <v>4704</v>
      </c>
      <c r="E1852" t="s">
        <v>88</v>
      </c>
      <c r="F1852" t="s">
        <v>17</v>
      </c>
      <c r="G1852">
        <v>21</v>
      </c>
    </row>
    <row r="1853" spans="1:7" x14ac:dyDescent="0.35">
      <c r="A1853">
        <v>190726</v>
      </c>
      <c r="B1853">
        <v>2</v>
      </c>
      <c r="C1853" t="s">
        <v>69</v>
      </c>
      <c r="D1853">
        <v>508</v>
      </c>
      <c r="F1853" t="s">
        <v>17</v>
      </c>
      <c r="G1853">
        <v>10</v>
      </c>
    </row>
    <row r="1854" spans="1:7" x14ac:dyDescent="0.35">
      <c r="A1854">
        <v>127511</v>
      </c>
      <c r="B1854">
        <v>2</v>
      </c>
      <c r="C1854" t="s">
        <v>21</v>
      </c>
      <c r="D1854">
        <v>4104</v>
      </c>
      <c r="E1854" t="s">
        <v>93</v>
      </c>
      <c r="F1854" t="s">
        <v>17</v>
      </c>
      <c r="G1854">
        <v>23</v>
      </c>
    </row>
    <row r="1855" spans="1:7" x14ac:dyDescent="0.35">
      <c r="A1855">
        <v>56337</v>
      </c>
      <c r="B1855">
        <v>0</v>
      </c>
      <c r="C1855" t="s">
        <v>57</v>
      </c>
      <c r="D1855">
        <v>3710</v>
      </c>
      <c r="E1855" t="s">
        <v>89</v>
      </c>
      <c r="F1855" t="s">
        <v>17</v>
      </c>
      <c r="G1855">
        <v>15</v>
      </c>
    </row>
    <row r="1856" spans="1:7" x14ac:dyDescent="0.35">
      <c r="A1856">
        <v>113692</v>
      </c>
      <c r="B1856">
        <v>1</v>
      </c>
      <c r="C1856" t="s">
        <v>31</v>
      </c>
      <c r="D1856">
        <v>5101</v>
      </c>
      <c r="E1856" t="s">
        <v>94</v>
      </c>
      <c r="F1856" t="s">
        <v>14</v>
      </c>
      <c r="G1856">
        <v>8</v>
      </c>
    </row>
    <row r="1857" spans="1:7" x14ac:dyDescent="0.35">
      <c r="A1857">
        <v>79850</v>
      </c>
      <c r="B1857">
        <v>2</v>
      </c>
      <c r="C1857" t="s">
        <v>35</v>
      </c>
      <c r="D1857">
        <v>1401</v>
      </c>
      <c r="E1857" t="s">
        <v>91</v>
      </c>
      <c r="F1857" t="s">
        <v>14</v>
      </c>
      <c r="G1857">
        <v>10</v>
      </c>
    </row>
    <row r="1858" spans="1:7" x14ac:dyDescent="0.35">
      <c r="A1858">
        <v>28796</v>
      </c>
      <c r="B1858">
        <v>2</v>
      </c>
      <c r="C1858" t="s">
        <v>39</v>
      </c>
      <c r="D1858">
        <v>0</v>
      </c>
      <c r="E1858" t="s">
        <v>91</v>
      </c>
      <c r="F1858" t="s">
        <v>14</v>
      </c>
      <c r="G1858">
        <v>10</v>
      </c>
    </row>
    <row r="1859" spans="1:7" x14ac:dyDescent="0.35">
      <c r="A1859">
        <v>131032</v>
      </c>
      <c r="B1859">
        <v>0</v>
      </c>
      <c r="C1859" t="s">
        <v>48</v>
      </c>
      <c r="D1859">
        <v>5801</v>
      </c>
      <c r="E1859" t="s">
        <v>89</v>
      </c>
      <c r="F1859" t="s">
        <v>17</v>
      </c>
      <c r="G1859">
        <v>25</v>
      </c>
    </row>
    <row r="1860" spans="1:7" x14ac:dyDescent="0.35">
      <c r="A1860">
        <v>86318</v>
      </c>
      <c r="B1860">
        <v>2</v>
      </c>
      <c r="C1860" t="s">
        <v>52</v>
      </c>
      <c r="D1860">
        <v>0</v>
      </c>
      <c r="E1860" t="s">
        <v>91</v>
      </c>
      <c r="F1860" t="s">
        <v>17</v>
      </c>
      <c r="G1860">
        <v>5</v>
      </c>
    </row>
    <row r="1861" spans="1:7" x14ac:dyDescent="0.35">
      <c r="A1861">
        <v>63725</v>
      </c>
      <c r="B1861">
        <v>1002</v>
      </c>
      <c r="C1861" t="s">
        <v>33</v>
      </c>
      <c r="D1861">
        <v>2301</v>
      </c>
      <c r="E1861" t="s">
        <v>91</v>
      </c>
      <c r="F1861" t="s">
        <v>14</v>
      </c>
      <c r="G1861">
        <v>25</v>
      </c>
    </row>
    <row r="1862" spans="1:7" x14ac:dyDescent="0.35">
      <c r="A1862">
        <v>63572</v>
      </c>
      <c r="B1862">
        <v>0</v>
      </c>
      <c r="C1862" t="s">
        <v>33</v>
      </c>
      <c r="D1862">
        <v>4102</v>
      </c>
      <c r="E1862" t="s">
        <v>100</v>
      </c>
      <c r="F1862" t="s">
        <v>17</v>
      </c>
      <c r="G1862">
        <v>12</v>
      </c>
    </row>
    <row r="1863" spans="1:7" x14ac:dyDescent="0.35">
      <c r="A1863">
        <v>139663</v>
      </c>
      <c r="B1863">
        <v>28</v>
      </c>
      <c r="C1863" t="s">
        <v>54</v>
      </c>
      <c r="D1863">
        <v>0</v>
      </c>
      <c r="E1863" t="s">
        <v>93</v>
      </c>
      <c r="F1863" t="s">
        <v>17</v>
      </c>
      <c r="G1863">
        <v>5</v>
      </c>
    </row>
    <row r="1864" spans="1:7" x14ac:dyDescent="0.35">
      <c r="A1864">
        <v>104848</v>
      </c>
      <c r="B1864">
        <v>0</v>
      </c>
      <c r="C1864" t="s">
        <v>28</v>
      </c>
      <c r="D1864">
        <v>1501</v>
      </c>
      <c r="E1864" t="s">
        <v>93</v>
      </c>
      <c r="F1864" t="s">
        <v>17</v>
      </c>
      <c r="G1864">
        <v>7</v>
      </c>
    </row>
    <row r="1865" spans="1:7" x14ac:dyDescent="0.35">
      <c r="A1865">
        <v>150776</v>
      </c>
      <c r="B1865">
        <v>28028</v>
      </c>
      <c r="C1865" t="s">
        <v>22</v>
      </c>
      <c r="D1865">
        <v>4112</v>
      </c>
      <c r="E1865" t="s">
        <v>101</v>
      </c>
      <c r="F1865" t="s">
        <v>17</v>
      </c>
      <c r="G1865">
        <v>8</v>
      </c>
    </row>
    <row r="1866" spans="1:7" x14ac:dyDescent="0.35">
      <c r="A1866">
        <v>43104</v>
      </c>
      <c r="B1866">
        <v>1</v>
      </c>
      <c r="C1866" t="s">
        <v>22</v>
      </c>
      <c r="D1866">
        <v>5708</v>
      </c>
      <c r="E1866" t="s">
        <v>92</v>
      </c>
      <c r="F1866" t="s">
        <v>17</v>
      </c>
      <c r="G1866">
        <v>9</v>
      </c>
    </row>
    <row r="1867" spans="1:7" x14ac:dyDescent="0.35">
      <c r="A1867">
        <v>162254</v>
      </c>
      <c r="B1867">
        <v>0</v>
      </c>
      <c r="C1867" t="s">
        <v>22</v>
      </c>
      <c r="D1867">
        <v>5801</v>
      </c>
      <c r="E1867" t="s">
        <v>93</v>
      </c>
      <c r="F1867" t="s">
        <v>17</v>
      </c>
      <c r="G1867">
        <v>35</v>
      </c>
    </row>
    <row r="1868" spans="1:7" x14ac:dyDescent="0.35">
      <c r="A1868">
        <v>52902</v>
      </c>
      <c r="B1868">
        <v>28</v>
      </c>
      <c r="C1868" t="s">
        <v>53</v>
      </c>
      <c r="D1868">
        <v>0</v>
      </c>
      <c r="E1868" t="s">
        <v>92</v>
      </c>
      <c r="F1868" t="s">
        <v>17</v>
      </c>
      <c r="G1868">
        <v>17</v>
      </c>
    </row>
    <row r="1869" spans="1:7" x14ac:dyDescent="0.35">
      <c r="A1869">
        <v>79213</v>
      </c>
      <c r="B1869">
        <v>2</v>
      </c>
      <c r="C1869" t="s">
        <v>35</v>
      </c>
      <c r="D1869">
        <v>2903</v>
      </c>
      <c r="E1869" t="s">
        <v>91</v>
      </c>
      <c r="F1869" t="s">
        <v>14</v>
      </c>
      <c r="G1869">
        <v>12</v>
      </c>
    </row>
    <row r="1870" spans="1:7" x14ac:dyDescent="0.35">
      <c r="A1870">
        <v>178432</v>
      </c>
      <c r="B1870">
        <v>2</v>
      </c>
      <c r="C1870" t="s">
        <v>40</v>
      </c>
      <c r="D1870">
        <v>2806</v>
      </c>
      <c r="E1870" t="s">
        <v>93</v>
      </c>
      <c r="F1870" t="s">
        <v>17</v>
      </c>
      <c r="G1870">
        <v>14</v>
      </c>
    </row>
    <row r="1871" spans="1:7" x14ac:dyDescent="0.35">
      <c r="A1871">
        <v>11267</v>
      </c>
      <c r="B1871">
        <v>2</v>
      </c>
      <c r="C1871" t="s">
        <v>29</v>
      </c>
      <c r="D1871">
        <v>1002</v>
      </c>
      <c r="E1871" t="s">
        <v>91</v>
      </c>
      <c r="F1871" t="s">
        <v>17</v>
      </c>
      <c r="G1871">
        <v>6</v>
      </c>
    </row>
    <row r="1872" spans="1:7" x14ac:dyDescent="0.35">
      <c r="A1872">
        <v>129468</v>
      </c>
      <c r="B1872">
        <v>0</v>
      </c>
      <c r="C1872" t="s">
        <v>48</v>
      </c>
      <c r="D1872">
        <v>5301</v>
      </c>
      <c r="E1872" t="s">
        <v>90</v>
      </c>
      <c r="F1872" t="s">
        <v>17</v>
      </c>
      <c r="G1872">
        <v>20</v>
      </c>
    </row>
    <row r="1873" spans="1:7" x14ac:dyDescent="0.35">
      <c r="A1873">
        <v>54134</v>
      </c>
      <c r="B1873">
        <v>1</v>
      </c>
      <c r="C1873" t="s">
        <v>53</v>
      </c>
      <c r="D1873">
        <v>1601</v>
      </c>
      <c r="E1873" t="s">
        <v>104</v>
      </c>
      <c r="F1873" t="s">
        <v>14</v>
      </c>
      <c r="G1873">
        <v>10</v>
      </c>
    </row>
    <row r="1874" spans="1:7" x14ac:dyDescent="0.35">
      <c r="A1874">
        <v>162492</v>
      </c>
      <c r="B1874">
        <v>0</v>
      </c>
      <c r="C1874" t="s">
        <v>22</v>
      </c>
      <c r="D1874">
        <v>3710</v>
      </c>
      <c r="E1874" t="s">
        <v>93</v>
      </c>
      <c r="F1874" t="s">
        <v>17</v>
      </c>
      <c r="G1874">
        <v>10</v>
      </c>
    </row>
    <row r="1875" spans="1:7" x14ac:dyDescent="0.35">
      <c r="A1875">
        <v>13342</v>
      </c>
      <c r="B1875">
        <v>0</v>
      </c>
      <c r="C1875" t="s">
        <v>22</v>
      </c>
      <c r="D1875">
        <v>4601</v>
      </c>
      <c r="E1875" t="s">
        <v>95</v>
      </c>
      <c r="F1875" t="s">
        <v>17</v>
      </c>
      <c r="G1875">
        <v>5</v>
      </c>
    </row>
    <row r="1876" spans="1:7" x14ac:dyDescent="0.35">
      <c r="A1876">
        <v>169323</v>
      </c>
      <c r="B1876">
        <v>0</v>
      </c>
      <c r="C1876" t="s">
        <v>22</v>
      </c>
      <c r="D1876">
        <v>2608</v>
      </c>
      <c r="E1876" t="s">
        <v>90</v>
      </c>
      <c r="F1876" t="s">
        <v>17</v>
      </c>
      <c r="G1876">
        <v>3</v>
      </c>
    </row>
    <row r="1877" spans="1:7" x14ac:dyDescent="0.35">
      <c r="A1877">
        <v>125444</v>
      </c>
      <c r="B1877">
        <v>1</v>
      </c>
      <c r="C1877" t="s">
        <v>21</v>
      </c>
      <c r="D1877">
        <v>4811</v>
      </c>
      <c r="E1877" t="s">
        <v>102</v>
      </c>
      <c r="F1877" t="s">
        <v>14</v>
      </c>
      <c r="G1877">
        <v>10</v>
      </c>
    </row>
    <row r="1878" spans="1:7" x14ac:dyDescent="0.35">
      <c r="A1878">
        <v>70076</v>
      </c>
      <c r="B1878">
        <v>1</v>
      </c>
      <c r="C1878" t="s">
        <v>29</v>
      </c>
      <c r="D1878">
        <v>3407</v>
      </c>
      <c r="E1878" t="s">
        <v>97</v>
      </c>
      <c r="F1878" t="s">
        <v>14</v>
      </c>
      <c r="G1878">
        <v>10</v>
      </c>
    </row>
    <row r="1879" spans="1:7" x14ac:dyDescent="0.35">
      <c r="A1879">
        <v>4048</v>
      </c>
      <c r="B1879">
        <v>0</v>
      </c>
      <c r="C1879" t="s">
        <v>16</v>
      </c>
      <c r="D1879">
        <v>3401</v>
      </c>
      <c r="E1879" t="s">
        <v>103</v>
      </c>
      <c r="F1879" t="s">
        <v>17</v>
      </c>
      <c r="G1879">
        <v>17</v>
      </c>
    </row>
    <row r="1880" spans="1:7" x14ac:dyDescent="0.35">
      <c r="A1880">
        <v>68669</v>
      </c>
      <c r="B1880">
        <v>0</v>
      </c>
      <c r="C1880" t="s">
        <v>29</v>
      </c>
      <c r="D1880">
        <v>1801</v>
      </c>
      <c r="E1880" t="s">
        <v>90</v>
      </c>
      <c r="F1880" t="s">
        <v>17</v>
      </c>
      <c r="G1880">
        <v>15</v>
      </c>
    </row>
    <row r="1881" spans="1:7" x14ac:dyDescent="0.35">
      <c r="A1881">
        <v>155943</v>
      </c>
      <c r="B1881">
        <v>1</v>
      </c>
      <c r="C1881" t="s">
        <v>22</v>
      </c>
      <c r="D1881">
        <v>2201</v>
      </c>
      <c r="E1881" t="s">
        <v>88</v>
      </c>
      <c r="F1881" t="s">
        <v>14</v>
      </c>
      <c r="G1881">
        <v>12</v>
      </c>
    </row>
    <row r="1882" spans="1:7" x14ac:dyDescent="0.35">
      <c r="A1882">
        <v>40968</v>
      </c>
      <c r="B1882">
        <v>0</v>
      </c>
      <c r="C1882" t="s">
        <v>13</v>
      </c>
      <c r="D1882">
        <v>0</v>
      </c>
      <c r="E1882" t="s">
        <v>89</v>
      </c>
      <c r="F1882" t="s">
        <v>17</v>
      </c>
      <c r="G1882">
        <v>17</v>
      </c>
    </row>
    <row r="1883" spans="1:7" x14ac:dyDescent="0.35">
      <c r="A1883">
        <v>101109</v>
      </c>
      <c r="B1883">
        <v>0</v>
      </c>
      <c r="C1883" t="s">
        <v>36</v>
      </c>
      <c r="D1883">
        <v>2801</v>
      </c>
      <c r="E1883" t="s">
        <v>92</v>
      </c>
      <c r="F1883" t="s">
        <v>17</v>
      </c>
      <c r="G1883">
        <v>10</v>
      </c>
    </row>
    <row r="1884" spans="1:7" x14ac:dyDescent="0.35">
      <c r="A1884">
        <v>14279</v>
      </c>
      <c r="B1884">
        <v>2</v>
      </c>
      <c r="C1884" t="s">
        <v>48</v>
      </c>
      <c r="D1884">
        <v>5701</v>
      </c>
      <c r="E1884" t="s">
        <v>94</v>
      </c>
      <c r="F1884" t="s">
        <v>14</v>
      </c>
      <c r="G1884">
        <v>11</v>
      </c>
    </row>
    <row r="1885" spans="1:7" x14ac:dyDescent="0.35">
      <c r="A1885">
        <v>83887</v>
      </c>
      <c r="B1885">
        <v>2</v>
      </c>
      <c r="C1885" t="s">
        <v>56</v>
      </c>
      <c r="D1885">
        <v>6801</v>
      </c>
      <c r="E1885" t="s">
        <v>90</v>
      </c>
      <c r="F1885" t="s">
        <v>17</v>
      </c>
      <c r="G1885">
        <v>17</v>
      </c>
    </row>
    <row r="1886" spans="1:7" x14ac:dyDescent="0.35">
      <c r="A1886">
        <v>17089</v>
      </c>
      <c r="B1886">
        <v>0</v>
      </c>
      <c r="C1886" t="s">
        <v>18</v>
      </c>
      <c r="D1886">
        <v>0</v>
      </c>
      <c r="E1886" t="s">
        <v>91</v>
      </c>
      <c r="F1886" t="s">
        <v>17</v>
      </c>
      <c r="G1886">
        <v>5</v>
      </c>
    </row>
    <row r="1887" spans="1:7" x14ac:dyDescent="0.35">
      <c r="A1887">
        <v>92183</v>
      </c>
      <c r="B1887">
        <v>28</v>
      </c>
      <c r="C1887" t="s">
        <v>16</v>
      </c>
      <c r="D1887">
        <v>1101</v>
      </c>
      <c r="E1887" t="s">
        <v>92</v>
      </c>
      <c r="F1887" t="s">
        <v>17</v>
      </c>
      <c r="G1887">
        <v>5</v>
      </c>
    </row>
    <row r="1888" spans="1:7" x14ac:dyDescent="0.35">
      <c r="A1888">
        <v>65374</v>
      </c>
      <c r="B1888">
        <v>1</v>
      </c>
      <c r="C1888" t="s">
        <v>29</v>
      </c>
      <c r="D1888">
        <v>2608</v>
      </c>
      <c r="E1888" t="s">
        <v>102</v>
      </c>
      <c r="F1888" t="s">
        <v>14</v>
      </c>
      <c r="G1888">
        <v>20</v>
      </c>
    </row>
    <row r="1889" spans="1:7" x14ac:dyDescent="0.35">
      <c r="A1889">
        <v>27082</v>
      </c>
      <c r="B1889">
        <v>1</v>
      </c>
      <c r="C1889" t="s">
        <v>21</v>
      </c>
      <c r="D1889">
        <v>4612</v>
      </c>
      <c r="E1889" t="s">
        <v>90</v>
      </c>
      <c r="F1889" t="s">
        <v>14</v>
      </c>
      <c r="G1889">
        <v>10</v>
      </c>
    </row>
    <row r="1890" spans="1:7" x14ac:dyDescent="0.35">
      <c r="A1890">
        <v>108115</v>
      </c>
      <c r="B1890">
        <v>1</v>
      </c>
      <c r="C1890" t="s">
        <v>49</v>
      </c>
      <c r="D1890">
        <v>3511</v>
      </c>
      <c r="E1890" t="s">
        <v>93</v>
      </c>
      <c r="F1890" t="s">
        <v>14</v>
      </c>
      <c r="G1890">
        <v>100</v>
      </c>
    </row>
    <row r="1891" spans="1:7" x14ac:dyDescent="0.35">
      <c r="A1891">
        <v>86278</v>
      </c>
      <c r="B1891">
        <v>1</v>
      </c>
      <c r="C1891" t="s">
        <v>52</v>
      </c>
      <c r="D1891">
        <v>3201</v>
      </c>
      <c r="E1891" t="s">
        <v>88</v>
      </c>
      <c r="F1891" t="s">
        <v>14</v>
      </c>
      <c r="G1891">
        <v>9</v>
      </c>
    </row>
    <row r="1892" spans="1:7" x14ac:dyDescent="0.35">
      <c r="A1892">
        <v>87904</v>
      </c>
      <c r="B1892">
        <v>1</v>
      </c>
      <c r="C1892" t="s">
        <v>16</v>
      </c>
      <c r="D1892">
        <v>3209</v>
      </c>
      <c r="E1892" t="s">
        <v>103</v>
      </c>
      <c r="F1892" t="s">
        <v>14</v>
      </c>
      <c r="G1892">
        <v>21</v>
      </c>
    </row>
    <row r="1893" spans="1:7" x14ac:dyDescent="0.35">
      <c r="A1893">
        <v>5798</v>
      </c>
      <c r="B1893">
        <v>0</v>
      </c>
      <c r="C1893" t="s">
        <v>21</v>
      </c>
      <c r="D1893">
        <v>6501</v>
      </c>
      <c r="E1893" t="s">
        <v>93</v>
      </c>
      <c r="F1893" t="s">
        <v>30</v>
      </c>
      <c r="G1893">
        <v>50</v>
      </c>
    </row>
    <row r="1894" spans="1:7" x14ac:dyDescent="0.35">
      <c r="A1894">
        <v>115289</v>
      </c>
      <c r="B1894">
        <v>0</v>
      </c>
      <c r="C1894" t="s">
        <v>31</v>
      </c>
      <c r="D1894">
        <v>3801</v>
      </c>
      <c r="E1894" t="s">
        <v>104</v>
      </c>
      <c r="F1894" t="s">
        <v>17</v>
      </c>
      <c r="G1894">
        <v>25</v>
      </c>
    </row>
    <row r="1895" spans="1:7" x14ac:dyDescent="0.35">
      <c r="A1895">
        <v>186185</v>
      </c>
      <c r="B1895">
        <v>1</v>
      </c>
      <c r="C1895" t="s">
        <v>48</v>
      </c>
      <c r="D1895">
        <v>2010</v>
      </c>
      <c r="E1895" t="s">
        <v>93</v>
      </c>
      <c r="F1895" t="s">
        <v>14</v>
      </c>
      <c r="G1895">
        <v>15</v>
      </c>
    </row>
    <row r="1896" spans="1:7" x14ac:dyDescent="0.35">
      <c r="A1896">
        <v>74589</v>
      </c>
      <c r="B1896">
        <v>0</v>
      </c>
      <c r="C1896" t="s">
        <v>29</v>
      </c>
      <c r="D1896">
        <v>5401</v>
      </c>
      <c r="E1896" t="s">
        <v>94</v>
      </c>
      <c r="F1896" t="s">
        <v>17</v>
      </c>
      <c r="G1896">
        <v>12</v>
      </c>
    </row>
    <row r="1897" spans="1:7" x14ac:dyDescent="0.35">
      <c r="A1897">
        <v>65558</v>
      </c>
      <c r="B1897">
        <v>0</v>
      </c>
      <c r="C1897" t="s">
        <v>29</v>
      </c>
      <c r="D1897">
        <v>5612</v>
      </c>
      <c r="E1897" t="s">
        <v>101</v>
      </c>
      <c r="F1897" t="s">
        <v>17</v>
      </c>
      <c r="G1897">
        <v>10</v>
      </c>
    </row>
    <row r="1898" spans="1:7" x14ac:dyDescent="0.35">
      <c r="A1898">
        <v>22696</v>
      </c>
      <c r="B1898">
        <v>0</v>
      </c>
      <c r="C1898" t="s">
        <v>46</v>
      </c>
      <c r="D1898">
        <v>6201</v>
      </c>
      <c r="E1898" t="s">
        <v>91</v>
      </c>
      <c r="F1898" t="s">
        <v>17</v>
      </c>
      <c r="G1898">
        <v>20</v>
      </c>
    </row>
    <row r="1899" spans="1:7" x14ac:dyDescent="0.35">
      <c r="A1899">
        <v>387</v>
      </c>
      <c r="B1899">
        <v>2</v>
      </c>
      <c r="C1899" t="s">
        <v>33</v>
      </c>
      <c r="D1899">
        <v>0</v>
      </c>
      <c r="E1899" t="s">
        <v>89</v>
      </c>
      <c r="F1899" t="s">
        <v>17</v>
      </c>
      <c r="G1899">
        <v>5</v>
      </c>
    </row>
    <row r="1900" spans="1:7" x14ac:dyDescent="0.35">
      <c r="A1900">
        <v>98033</v>
      </c>
      <c r="B1900">
        <v>2</v>
      </c>
      <c r="C1900" t="s">
        <v>16</v>
      </c>
      <c r="D1900">
        <v>1912</v>
      </c>
      <c r="E1900" t="s">
        <v>98</v>
      </c>
      <c r="F1900" t="s">
        <v>17</v>
      </c>
      <c r="G1900">
        <v>20</v>
      </c>
    </row>
    <row r="1901" spans="1:7" x14ac:dyDescent="0.35">
      <c r="A1901">
        <v>110308</v>
      </c>
      <c r="B1901">
        <v>0</v>
      </c>
      <c r="C1901" t="s">
        <v>49</v>
      </c>
      <c r="D1901">
        <v>3701</v>
      </c>
      <c r="E1901" t="s">
        <v>92</v>
      </c>
      <c r="F1901" t="s">
        <v>17</v>
      </c>
      <c r="G1901">
        <v>15</v>
      </c>
    </row>
    <row r="1902" spans="1:7" x14ac:dyDescent="0.35">
      <c r="A1902">
        <v>3496</v>
      </c>
      <c r="B1902">
        <v>1</v>
      </c>
      <c r="C1902" t="s">
        <v>21</v>
      </c>
      <c r="D1902">
        <v>6703</v>
      </c>
      <c r="E1902" t="s">
        <v>92</v>
      </c>
      <c r="F1902" t="s">
        <v>14</v>
      </c>
      <c r="G1902">
        <v>10</v>
      </c>
    </row>
    <row r="1903" spans="1:7" x14ac:dyDescent="0.35">
      <c r="A1903">
        <v>138262</v>
      </c>
      <c r="B1903">
        <v>28</v>
      </c>
      <c r="C1903" t="s">
        <v>55</v>
      </c>
      <c r="D1903">
        <v>6201</v>
      </c>
      <c r="E1903" t="s">
        <v>88</v>
      </c>
      <c r="F1903" t="s">
        <v>17</v>
      </c>
      <c r="G1903">
        <v>5</v>
      </c>
    </row>
    <row r="1904" spans="1:7" x14ac:dyDescent="0.35">
      <c r="A1904">
        <v>80437</v>
      </c>
      <c r="B1904">
        <v>1</v>
      </c>
      <c r="C1904" t="s">
        <v>35</v>
      </c>
      <c r="D1904">
        <v>6702</v>
      </c>
      <c r="E1904" t="s">
        <v>88</v>
      </c>
      <c r="F1904" t="s">
        <v>14</v>
      </c>
      <c r="G1904">
        <v>10</v>
      </c>
    </row>
    <row r="1905" spans="1:7" x14ac:dyDescent="0.35">
      <c r="A1905">
        <v>186580</v>
      </c>
      <c r="B1905">
        <v>0</v>
      </c>
      <c r="C1905" t="s">
        <v>21</v>
      </c>
      <c r="D1905">
        <v>3007</v>
      </c>
      <c r="E1905" t="s">
        <v>89</v>
      </c>
      <c r="F1905" t="s">
        <v>17</v>
      </c>
      <c r="G1905">
        <v>5</v>
      </c>
    </row>
    <row r="1906" spans="1:7" x14ac:dyDescent="0.35">
      <c r="A1906">
        <v>8863</v>
      </c>
      <c r="B1906">
        <v>1</v>
      </c>
      <c r="C1906" t="s">
        <v>13</v>
      </c>
      <c r="D1906">
        <v>5503</v>
      </c>
      <c r="E1906" t="s">
        <v>103</v>
      </c>
      <c r="F1906" t="s">
        <v>14</v>
      </c>
      <c r="G1906">
        <v>40</v>
      </c>
    </row>
    <row r="1907" spans="1:7" x14ac:dyDescent="0.35">
      <c r="A1907">
        <v>120734</v>
      </c>
      <c r="B1907">
        <v>0</v>
      </c>
      <c r="C1907" t="s">
        <v>21</v>
      </c>
      <c r="D1907">
        <v>0</v>
      </c>
      <c r="E1907" t="s">
        <v>98</v>
      </c>
      <c r="F1907" t="s">
        <v>17</v>
      </c>
      <c r="G1907">
        <v>5</v>
      </c>
    </row>
    <row r="1908" spans="1:7" x14ac:dyDescent="0.35">
      <c r="A1908">
        <v>149414</v>
      </c>
      <c r="B1908">
        <v>0</v>
      </c>
      <c r="C1908" t="s">
        <v>22</v>
      </c>
      <c r="D1908">
        <v>4606</v>
      </c>
      <c r="E1908" t="s">
        <v>103</v>
      </c>
      <c r="F1908" t="s">
        <v>17</v>
      </c>
      <c r="G1908">
        <v>9</v>
      </c>
    </row>
    <row r="1909" spans="1:7" x14ac:dyDescent="0.35">
      <c r="A1909">
        <v>79900</v>
      </c>
      <c r="B1909">
        <v>0</v>
      </c>
      <c r="C1909" t="s">
        <v>35</v>
      </c>
      <c r="D1909">
        <v>2905</v>
      </c>
      <c r="E1909" t="s">
        <v>91</v>
      </c>
      <c r="F1909" t="s">
        <v>17</v>
      </c>
      <c r="G1909">
        <v>50</v>
      </c>
    </row>
    <row r="1910" spans="1:7" x14ac:dyDescent="0.35">
      <c r="A1910">
        <v>154158</v>
      </c>
      <c r="B1910">
        <v>0</v>
      </c>
      <c r="C1910" t="s">
        <v>22</v>
      </c>
      <c r="D1910">
        <v>3601</v>
      </c>
      <c r="E1910" t="s">
        <v>91</v>
      </c>
      <c r="F1910" t="s">
        <v>17</v>
      </c>
      <c r="G1910">
        <v>7</v>
      </c>
    </row>
    <row r="1911" spans="1:7" x14ac:dyDescent="0.35">
      <c r="A1911">
        <v>23146</v>
      </c>
      <c r="B1911">
        <v>1</v>
      </c>
      <c r="C1911" t="s">
        <v>46</v>
      </c>
      <c r="D1911">
        <v>2801</v>
      </c>
      <c r="E1911" t="s">
        <v>92</v>
      </c>
      <c r="F1911" t="s">
        <v>14</v>
      </c>
      <c r="G1911">
        <v>5</v>
      </c>
    </row>
    <row r="1912" spans="1:7" x14ac:dyDescent="0.35">
      <c r="A1912">
        <v>1617</v>
      </c>
      <c r="B1912">
        <v>0</v>
      </c>
      <c r="C1912" t="s">
        <v>22</v>
      </c>
      <c r="D1912">
        <v>2201</v>
      </c>
      <c r="E1912" t="s">
        <v>93</v>
      </c>
      <c r="F1912" t="s">
        <v>17</v>
      </c>
      <c r="G1912">
        <v>15</v>
      </c>
    </row>
    <row r="1913" spans="1:7" x14ac:dyDescent="0.35">
      <c r="A1913">
        <v>68022</v>
      </c>
      <c r="B1913">
        <v>0</v>
      </c>
      <c r="C1913" t="s">
        <v>29</v>
      </c>
      <c r="D1913">
        <v>3104</v>
      </c>
      <c r="E1913" t="s">
        <v>103</v>
      </c>
      <c r="F1913" t="s">
        <v>17</v>
      </c>
      <c r="G1913">
        <v>15</v>
      </c>
    </row>
    <row r="1914" spans="1:7" x14ac:dyDescent="0.35">
      <c r="A1914">
        <v>44705</v>
      </c>
      <c r="B1914">
        <v>28</v>
      </c>
      <c r="C1914" t="s">
        <v>13</v>
      </c>
      <c r="D1914">
        <v>2601</v>
      </c>
      <c r="E1914" t="s">
        <v>88</v>
      </c>
      <c r="F1914" t="s">
        <v>17</v>
      </c>
      <c r="G1914">
        <v>15</v>
      </c>
    </row>
    <row r="1915" spans="1:7" x14ac:dyDescent="0.35">
      <c r="A1915">
        <v>49943</v>
      </c>
      <c r="B1915">
        <v>1</v>
      </c>
      <c r="C1915" t="s">
        <v>13</v>
      </c>
      <c r="D1915">
        <v>4001</v>
      </c>
      <c r="E1915" t="s">
        <v>91</v>
      </c>
      <c r="F1915" t="s">
        <v>14</v>
      </c>
      <c r="G1915">
        <v>10</v>
      </c>
    </row>
    <row r="1916" spans="1:7" x14ac:dyDescent="0.35">
      <c r="A1916">
        <v>24152</v>
      </c>
      <c r="B1916">
        <v>1</v>
      </c>
      <c r="C1916" t="s">
        <v>46</v>
      </c>
      <c r="D1916">
        <v>2406</v>
      </c>
      <c r="E1916" t="s">
        <v>89</v>
      </c>
      <c r="F1916" t="s">
        <v>14</v>
      </c>
      <c r="G1916">
        <v>8</v>
      </c>
    </row>
    <row r="1917" spans="1:7" x14ac:dyDescent="0.35">
      <c r="A1917">
        <v>136645</v>
      </c>
      <c r="B1917">
        <v>1002</v>
      </c>
      <c r="C1917" t="s">
        <v>55</v>
      </c>
      <c r="D1917">
        <v>3801</v>
      </c>
      <c r="E1917" t="s">
        <v>97</v>
      </c>
      <c r="F1917" t="s">
        <v>44</v>
      </c>
      <c r="G1917">
        <v>10</v>
      </c>
    </row>
    <row r="1918" spans="1:7" x14ac:dyDescent="0.35">
      <c r="A1918">
        <v>58597</v>
      </c>
      <c r="B1918">
        <v>1</v>
      </c>
      <c r="C1918" t="s">
        <v>57</v>
      </c>
      <c r="D1918">
        <v>1707</v>
      </c>
      <c r="E1918" t="s">
        <v>104</v>
      </c>
      <c r="F1918" t="s">
        <v>14</v>
      </c>
      <c r="G1918">
        <v>50</v>
      </c>
    </row>
    <row r="1919" spans="1:7" x14ac:dyDescent="0.35">
      <c r="A1919">
        <v>165628</v>
      </c>
      <c r="B1919">
        <v>1</v>
      </c>
      <c r="C1919" t="s">
        <v>22</v>
      </c>
      <c r="D1919">
        <v>2601</v>
      </c>
      <c r="E1919" t="s">
        <v>103</v>
      </c>
      <c r="F1919" t="s">
        <v>14</v>
      </c>
      <c r="G1919">
        <v>5</v>
      </c>
    </row>
    <row r="1920" spans="1:7" x14ac:dyDescent="0.35">
      <c r="A1920">
        <v>45201</v>
      </c>
      <c r="B1920">
        <v>1</v>
      </c>
      <c r="C1920" t="s">
        <v>13</v>
      </c>
      <c r="D1920">
        <v>0</v>
      </c>
      <c r="E1920" t="s">
        <v>103</v>
      </c>
      <c r="F1920" t="s">
        <v>14</v>
      </c>
      <c r="G1920">
        <v>11</v>
      </c>
    </row>
    <row r="1921" spans="1:7" x14ac:dyDescent="0.35">
      <c r="A1921">
        <v>34735</v>
      </c>
      <c r="B1921">
        <v>0</v>
      </c>
      <c r="C1921" t="s">
        <v>13</v>
      </c>
      <c r="D1921">
        <v>3601</v>
      </c>
      <c r="E1921" t="s">
        <v>97</v>
      </c>
      <c r="F1921" t="s">
        <v>17</v>
      </c>
      <c r="G1921">
        <v>20</v>
      </c>
    </row>
    <row r="1922" spans="1:7" x14ac:dyDescent="0.35">
      <c r="A1922">
        <v>6845</v>
      </c>
      <c r="B1922">
        <v>0</v>
      </c>
      <c r="C1922" t="s">
        <v>41</v>
      </c>
      <c r="D1922">
        <v>2004</v>
      </c>
      <c r="E1922" t="s">
        <v>89</v>
      </c>
      <c r="F1922" t="s">
        <v>17</v>
      </c>
      <c r="G1922">
        <v>20</v>
      </c>
    </row>
    <row r="1923" spans="1:7" x14ac:dyDescent="0.35">
      <c r="A1923">
        <v>181799</v>
      </c>
      <c r="B1923">
        <v>0</v>
      </c>
      <c r="C1923" t="s">
        <v>40</v>
      </c>
      <c r="D1923">
        <v>0</v>
      </c>
      <c r="E1923" t="s">
        <v>92</v>
      </c>
      <c r="F1923" t="s">
        <v>14</v>
      </c>
      <c r="G1923">
        <v>35</v>
      </c>
    </row>
    <row r="1924" spans="1:7" x14ac:dyDescent="0.35">
      <c r="A1924">
        <v>88153</v>
      </c>
      <c r="B1924">
        <v>2</v>
      </c>
      <c r="C1924" t="s">
        <v>16</v>
      </c>
      <c r="D1924">
        <v>4801</v>
      </c>
      <c r="E1924" t="s">
        <v>90</v>
      </c>
      <c r="F1924" t="s">
        <v>17</v>
      </c>
      <c r="G1924">
        <v>13</v>
      </c>
    </row>
    <row r="1925" spans="1:7" x14ac:dyDescent="0.35">
      <c r="A1925">
        <v>92514</v>
      </c>
      <c r="B1925">
        <v>0</v>
      </c>
      <c r="C1925" t="s">
        <v>16</v>
      </c>
      <c r="D1925">
        <v>6901</v>
      </c>
      <c r="E1925" t="s">
        <v>93</v>
      </c>
      <c r="F1925" t="s">
        <v>17</v>
      </c>
      <c r="G1925">
        <v>15</v>
      </c>
    </row>
    <row r="1926" spans="1:7" x14ac:dyDescent="0.35">
      <c r="A1926">
        <v>183954</v>
      </c>
      <c r="B1926">
        <v>0</v>
      </c>
      <c r="C1926" t="s">
        <v>40</v>
      </c>
      <c r="D1926">
        <v>2201</v>
      </c>
      <c r="E1926" t="s">
        <v>96</v>
      </c>
      <c r="F1926" t="s">
        <v>14</v>
      </c>
      <c r="G1926">
        <v>10</v>
      </c>
    </row>
    <row r="1927" spans="1:7" x14ac:dyDescent="0.35">
      <c r="A1927">
        <v>141134</v>
      </c>
      <c r="B1927">
        <v>1</v>
      </c>
      <c r="C1927" t="s">
        <v>24</v>
      </c>
      <c r="D1927">
        <v>2601</v>
      </c>
      <c r="E1927" t="s">
        <v>102</v>
      </c>
      <c r="F1927" t="s">
        <v>14</v>
      </c>
      <c r="G1927">
        <v>9</v>
      </c>
    </row>
    <row r="1928" spans="1:7" x14ac:dyDescent="0.35">
      <c r="A1928">
        <v>66532</v>
      </c>
      <c r="B1928">
        <v>1</v>
      </c>
      <c r="C1928" t="s">
        <v>29</v>
      </c>
      <c r="D1928">
        <v>6801</v>
      </c>
      <c r="E1928" t="s">
        <v>102</v>
      </c>
      <c r="F1928" t="s">
        <v>14</v>
      </c>
      <c r="G1928">
        <v>2</v>
      </c>
    </row>
    <row r="1929" spans="1:7" x14ac:dyDescent="0.35">
      <c r="A1929">
        <v>7924</v>
      </c>
      <c r="B1929">
        <v>0</v>
      </c>
      <c r="C1929" t="s">
        <v>21</v>
      </c>
      <c r="D1929">
        <v>1912</v>
      </c>
      <c r="F1929" t="s">
        <v>17</v>
      </c>
      <c r="G1929">
        <v>12</v>
      </c>
    </row>
    <row r="1930" spans="1:7" x14ac:dyDescent="0.35">
      <c r="A1930">
        <v>27890</v>
      </c>
      <c r="B1930">
        <v>0</v>
      </c>
      <c r="C1930" t="s">
        <v>39</v>
      </c>
      <c r="D1930">
        <v>4801</v>
      </c>
      <c r="E1930" t="s">
        <v>94</v>
      </c>
      <c r="F1930" t="s">
        <v>17</v>
      </c>
      <c r="G1930">
        <v>10</v>
      </c>
    </row>
    <row r="1931" spans="1:7" x14ac:dyDescent="0.35">
      <c r="A1931">
        <v>58649</v>
      </c>
      <c r="B1931">
        <v>0</v>
      </c>
      <c r="C1931" t="s">
        <v>57</v>
      </c>
      <c r="D1931">
        <v>2201</v>
      </c>
      <c r="E1931" t="s">
        <v>88</v>
      </c>
      <c r="F1931" t="s">
        <v>17</v>
      </c>
      <c r="G1931">
        <v>10</v>
      </c>
    </row>
    <row r="1932" spans="1:7" x14ac:dyDescent="0.35">
      <c r="A1932">
        <v>47371</v>
      </c>
      <c r="B1932">
        <v>0</v>
      </c>
      <c r="C1932" t="s">
        <v>43</v>
      </c>
      <c r="D1932">
        <v>2107</v>
      </c>
      <c r="E1932" t="s">
        <v>96</v>
      </c>
      <c r="F1932" t="s">
        <v>17</v>
      </c>
      <c r="G1932">
        <v>5</v>
      </c>
    </row>
    <row r="1933" spans="1:7" x14ac:dyDescent="0.35">
      <c r="A1933">
        <v>26887</v>
      </c>
      <c r="B1933">
        <v>28</v>
      </c>
      <c r="C1933" t="s">
        <v>39</v>
      </c>
      <c r="D1933">
        <v>4801</v>
      </c>
      <c r="E1933" t="s">
        <v>93</v>
      </c>
      <c r="F1933" t="s">
        <v>17</v>
      </c>
      <c r="G1933">
        <v>30</v>
      </c>
    </row>
    <row r="1934" spans="1:7" x14ac:dyDescent="0.35">
      <c r="A1934">
        <v>80577</v>
      </c>
      <c r="B1934">
        <v>0</v>
      </c>
      <c r="C1934" t="s">
        <v>35</v>
      </c>
      <c r="D1934">
        <v>6001</v>
      </c>
      <c r="F1934" t="s">
        <v>17</v>
      </c>
      <c r="G1934">
        <v>10</v>
      </c>
    </row>
    <row r="1935" spans="1:7" x14ac:dyDescent="0.35">
      <c r="A1935">
        <v>61933</v>
      </c>
      <c r="B1935">
        <v>0</v>
      </c>
      <c r="C1935" t="s">
        <v>33</v>
      </c>
      <c r="D1935">
        <v>0</v>
      </c>
      <c r="E1935" t="s">
        <v>88</v>
      </c>
      <c r="F1935" t="s">
        <v>14</v>
      </c>
      <c r="G1935">
        <v>20</v>
      </c>
    </row>
    <row r="1936" spans="1:7" x14ac:dyDescent="0.35">
      <c r="A1936">
        <v>174358</v>
      </c>
      <c r="B1936">
        <v>1</v>
      </c>
      <c r="C1936" t="s">
        <v>50</v>
      </c>
      <c r="D1936">
        <v>4201</v>
      </c>
      <c r="E1936" t="s">
        <v>90</v>
      </c>
      <c r="F1936" t="s">
        <v>14</v>
      </c>
      <c r="G1936">
        <v>10</v>
      </c>
    </row>
    <row r="1937" spans="1:7" x14ac:dyDescent="0.35">
      <c r="A1937">
        <v>133555</v>
      </c>
      <c r="B1937">
        <v>0</v>
      </c>
      <c r="C1937" t="s">
        <v>41</v>
      </c>
      <c r="D1937">
        <v>4701</v>
      </c>
      <c r="E1937" t="s">
        <v>89</v>
      </c>
      <c r="F1937" t="s">
        <v>17</v>
      </c>
      <c r="G1937">
        <v>21</v>
      </c>
    </row>
    <row r="1938" spans="1:7" x14ac:dyDescent="0.35">
      <c r="A1938">
        <v>82457</v>
      </c>
      <c r="B1938">
        <v>0</v>
      </c>
      <c r="C1938" t="s">
        <v>56</v>
      </c>
      <c r="D1938">
        <v>5301</v>
      </c>
      <c r="E1938" t="s">
        <v>101</v>
      </c>
      <c r="F1938" t="s">
        <v>17</v>
      </c>
      <c r="G1938">
        <v>5</v>
      </c>
    </row>
    <row r="1939" spans="1:7" x14ac:dyDescent="0.35">
      <c r="A1939">
        <v>23065</v>
      </c>
      <c r="B1939">
        <v>0</v>
      </c>
      <c r="C1939" t="s">
        <v>46</v>
      </c>
      <c r="D1939">
        <v>4809</v>
      </c>
      <c r="E1939" t="s">
        <v>93</v>
      </c>
      <c r="F1939" t="s">
        <v>17</v>
      </c>
      <c r="G1939">
        <v>20</v>
      </c>
    </row>
    <row r="1940" spans="1:7" x14ac:dyDescent="0.35">
      <c r="A1940">
        <v>88856</v>
      </c>
      <c r="B1940">
        <v>2</v>
      </c>
      <c r="C1940" t="s">
        <v>16</v>
      </c>
      <c r="D1940">
        <v>3501</v>
      </c>
      <c r="E1940" t="s">
        <v>93</v>
      </c>
      <c r="F1940" t="s">
        <v>17</v>
      </c>
      <c r="G1940">
        <v>4</v>
      </c>
    </row>
    <row r="1941" spans="1:7" x14ac:dyDescent="0.35">
      <c r="A1941">
        <v>168393</v>
      </c>
      <c r="B1941">
        <v>4</v>
      </c>
      <c r="C1941" t="s">
        <v>22</v>
      </c>
      <c r="D1941">
        <v>4001</v>
      </c>
      <c r="E1941" t="s">
        <v>103</v>
      </c>
      <c r="F1941" t="s">
        <v>14</v>
      </c>
      <c r="G1941">
        <v>25</v>
      </c>
    </row>
    <row r="1942" spans="1:7" x14ac:dyDescent="0.35">
      <c r="A1942">
        <v>143936</v>
      </c>
      <c r="B1942">
        <v>1</v>
      </c>
      <c r="C1942" t="s">
        <v>22</v>
      </c>
      <c r="D1942">
        <v>5101</v>
      </c>
      <c r="E1942" t="s">
        <v>95</v>
      </c>
      <c r="F1942" t="s">
        <v>14</v>
      </c>
      <c r="G1942">
        <v>55</v>
      </c>
    </row>
    <row r="1943" spans="1:7" x14ac:dyDescent="0.35">
      <c r="A1943">
        <v>86436</v>
      </c>
      <c r="B1943">
        <v>1</v>
      </c>
      <c r="C1943" t="s">
        <v>45</v>
      </c>
      <c r="D1943">
        <v>3011</v>
      </c>
      <c r="E1943" t="s">
        <v>90</v>
      </c>
      <c r="F1943" t="s">
        <v>14</v>
      </c>
      <c r="G1943">
        <v>5</v>
      </c>
    </row>
    <row r="1944" spans="1:7" x14ac:dyDescent="0.35">
      <c r="A1944">
        <v>138311</v>
      </c>
      <c r="B1944">
        <v>2</v>
      </c>
      <c r="C1944" t="s">
        <v>55</v>
      </c>
      <c r="D1944">
        <v>1403</v>
      </c>
      <c r="E1944" t="s">
        <v>93</v>
      </c>
      <c r="F1944" t="s">
        <v>17</v>
      </c>
      <c r="G1944">
        <v>20</v>
      </c>
    </row>
    <row r="1945" spans="1:7" x14ac:dyDescent="0.35">
      <c r="A1945">
        <v>123469</v>
      </c>
      <c r="B1945">
        <v>0</v>
      </c>
      <c r="C1945" t="s">
        <v>21</v>
      </c>
      <c r="D1945">
        <v>0</v>
      </c>
      <c r="E1945" t="s">
        <v>89</v>
      </c>
      <c r="F1945" t="s">
        <v>14</v>
      </c>
      <c r="G1945">
        <v>5</v>
      </c>
    </row>
    <row r="1946" spans="1:7" x14ac:dyDescent="0.35">
      <c r="A1946">
        <v>135341</v>
      </c>
      <c r="B1946">
        <v>0</v>
      </c>
      <c r="C1946" t="s">
        <v>55</v>
      </c>
      <c r="D1946">
        <v>0</v>
      </c>
      <c r="E1946" t="s">
        <v>88</v>
      </c>
      <c r="F1946" t="s">
        <v>17</v>
      </c>
      <c r="G1946">
        <v>12</v>
      </c>
    </row>
    <row r="1947" spans="1:7" x14ac:dyDescent="0.35">
      <c r="A1947">
        <v>33284</v>
      </c>
      <c r="B1947">
        <v>1</v>
      </c>
      <c r="C1947" t="s">
        <v>13</v>
      </c>
      <c r="D1947">
        <v>3001</v>
      </c>
      <c r="E1947" t="s">
        <v>92</v>
      </c>
      <c r="F1947" t="s">
        <v>14</v>
      </c>
      <c r="G1947">
        <v>20</v>
      </c>
    </row>
    <row r="1948" spans="1:7" x14ac:dyDescent="0.35">
      <c r="A1948">
        <v>180837</v>
      </c>
      <c r="B1948">
        <v>1</v>
      </c>
      <c r="C1948" t="s">
        <v>40</v>
      </c>
      <c r="D1948">
        <v>3101</v>
      </c>
      <c r="E1948" t="s">
        <v>88</v>
      </c>
      <c r="F1948" t="s">
        <v>14</v>
      </c>
      <c r="G1948">
        <v>50</v>
      </c>
    </row>
    <row r="1949" spans="1:7" x14ac:dyDescent="0.35">
      <c r="A1949">
        <v>37747</v>
      </c>
      <c r="B1949">
        <v>1</v>
      </c>
      <c r="C1949" t="s">
        <v>13</v>
      </c>
      <c r="D1949">
        <v>6006</v>
      </c>
      <c r="E1949" t="s">
        <v>95</v>
      </c>
      <c r="F1949" t="s">
        <v>14</v>
      </c>
      <c r="G1949">
        <v>18</v>
      </c>
    </row>
    <row r="1950" spans="1:7" x14ac:dyDescent="0.35">
      <c r="A1950">
        <v>108983</v>
      </c>
      <c r="B1950">
        <v>0</v>
      </c>
      <c r="C1950" t="s">
        <v>49</v>
      </c>
      <c r="D1950">
        <v>2412</v>
      </c>
      <c r="E1950" t="s">
        <v>88</v>
      </c>
      <c r="F1950" t="s">
        <v>14</v>
      </c>
      <c r="G1950">
        <v>17</v>
      </c>
    </row>
    <row r="1951" spans="1:7" x14ac:dyDescent="0.35">
      <c r="A1951">
        <v>34591</v>
      </c>
      <c r="B1951">
        <v>1</v>
      </c>
      <c r="C1951" t="s">
        <v>13</v>
      </c>
      <c r="D1951">
        <v>3401</v>
      </c>
      <c r="E1951" t="s">
        <v>90</v>
      </c>
      <c r="F1951" t="s">
        <v>14</v>
      </c>
      <c r="G1951">
        <v>23</v>
      </c>
    </row>
    <row r="1952" spans="1:7" x14ac:dyDescent="0.35">
      <c r="A1952">
        <v>100691</v>
      </c>
      <c r="B1952">
        <v>0</v>
      </c>
      <c r="C1952" t="s">
        <v>36</v>
      </c>
      <c r="D1952">
        <v>1305</v>
      </c>
      <c r="E1952" t="s">
        <v>96</v>
      </c>
      <c r="F1952" t="s">
        <v>14</v>
      </c>
      <c r="G1952">
        <v>5</v>
      </c>
    </row>
    <row r="1953" spans="1:7" x14ac:dyDescent="0.35">
      <c r="A1953">
        <v>95347</v>
      </c>
      <c r="B1953">
        <v>1</v>
      </c>
      <c r="C1953" t="s">
        <v>16</v>
      </c>
      <c r="D1953">
        <v>3705</v>
      </c>
      <c r="E1953" t="s">
        <v>89</v>
      </c>
      <c r="F1953" t="s">
        <v>14</v>
      </c>
      <c r="G1953">
        <v>7</v>
      </c>
    </row>
    <row r="1954" spans="1:7" x14ac:dyDescent="0.35">
      <c r="A1954">
        <v>14717</v>
      </c>
      <c r="B1954">
        <v>28</v>
      </c>
      <c r="C1954" t="s">
        <v>48</v>
      </c>
      <c r="D1954">
        <v>2610</v>
      </c>
      <c r="E1954" t="s">
        <v>103</v>
      </c>
      <c r="F1954" t="s">
        <v>17</v>
      </c>
      <c r="G1954">
        <v>15</v>
      </c>
    </row>
    <row r="1955" spans="1:7" x14ac:dyDescent="0.35">
      <c r="A1955">
        <v>63612</v>
      </c>
      <c r="B1955">
        <v>0</v>
      </c>
      <c r="C1955" t="s">
        <v>33</v>
      </c>
      <c r="D1955">
        <v>6801</v>
      </c>
      <c r="E1955" t="s">
        <v>88</v>
      </c>
      <c r="F1955" t="s">
        <v>17</v>
      </c>
      <c r="G1955">
        <v>18</v>
      </c>
    </row>
    <row r="1956" spans="1:7" x14ac:dyDescent="0.35">
      <c r="A1956">
        <v>21097</v>
      </c>
      <c r="B1956">
        <v>1</v>
      </c>
      <c r="C1956" t="s">
        <v>18</v>
      </c>
      <c r="D1956">
        <v>0</v>
      </c>
      <c r="E1956" t="s">
        <v>89</v>
      </c>
      <c r="F1956" t="s">
        <v>14</v>
      </c>
      <c r="G1956">
        <v>25</v>
      </c>
    </row>
    <row r="1957" spans="1:7" x14ac:dyDescent="0.35">
      <c r="A1957">
        <v>178598</v>
      </c>
      <c r="B1957">
        <v>0</v>
      </c>
      <c r="C1957" t="s">
        <v>40</v>
      </c>
      <c r="D1957">
        <v>4701</v>
      </c>
      <c r="E1957" t="s">
        <v>93</v>
      </c>
      <c r="F1957" t="s">
        <v>17</v>
      </c>
      <c r="G1957">
        <v>4</v>
      </c>
    </row>
    <row r="1958" spans="1:7" x14ac:dyDescent="0.35">
      <c r="A1958">
        <v>81630</v>
      </c>
      <c r="B1958">
        <v>0</v>
      </c>
      <c r="C1958" t="s">
        <v>35</v>
      </c>
      <c r="D1958">
        <v>0</v>
      </c>
      <c r="E1958" t="s">
        <v>96</v>
      </c>
      <c r="F1958" t="s">
        <v>17</v>
      </c>
      <c r="G1958">
        <v>12</v>
      </c>
    </row>
    <row r="1959" spans="1:7" x14ac:dyDescent="0.35">
      <c r="A1959">
        <v>57087</v>
      </c>
      <c r="B1959">
        <v>1</v>
      </c>
      <c r="C1959" t="s">
        <v>57</v>
      </c>
      <c r="D1959">
        <v>4601</v>
      </c>
      <c r="E1959" t="s">
        <v>91</v>
      </c>
      <c r="F1959" t="s">
        <v>14</v>
      </c>
      <c r="G1959">
        <v>15</v>
      </c>
    </row>
    <row r="1960" spans="1:7" x14ac:dyDescent="0.35">
      <c r="A1960">
        <v>81985</v>
      </c>
      <c r="B1960">
        <v>0</v>
      </c>
      <c r="C1960" t="s">
        <v>35</v>
      </c>
      <c r="D1960">
        <v>6611</v>
      </c>
      <c r="E1960" t="s">
        <v>91</v>
      </c>
      <c r="F1960" t="s">
        <v>14</v>
      </c>
      <c r="G1960">
        <v>14</v>
      </c>
    </row>
    <row r="1961" spans="1:7" x14ac:dyDescent="0.35">
      <c r="A1961">
        <v>148795</v>
      </c>
      <c r="B1961">
        <v>0</v>
      </c>
      <c r="C1961" t="s">
        <v>22</v>
      </c>
      <c r="D1961">
        <v>5401</v>
      </c>
      <c r="E1961" t="s">
        <v>93</v>
      </c>
      <c r="F1961" t="s">
        <v>14</v>
      </c>
      <c r="G1961">
        <v>10</v>
      </c>
    </row>
    <row r="1962" spans="1:7" x14ac:dyDescent="0.35">
      <c r="A1962">
        <v>78778</v>
      </c>
      <c r="B1962">
        <v>1</v>
      </c>
      <c r="C1962" t="s">
        <v>35</v>
      </c>
      <c r="D1962">
        <v>2706</v>
      </c>
      <c r="E1962" t="s">
        <v>90</v>
      </c>
      <c r="F1962" t="s">
        <v>14</v>
      </c>
      <c r="G1962">
        <v>21</v>
      </c>
    </row>
    <row r="1963" spans="1:7" x14ac:dyDescent="0.35">
      <c r="A1963">
        <v>121256</v>
      </c>
      <c r="B1963">
        <v>1</v>
      </c>
      <c r="C1963" t="s">
        <v>21</v>
      </c>
      <c r="D1963">
        <v>0</v>
      </c>
      <c r="E1963" t="s">
        <v>97</v>
      </c>
      <c r="F1963" t="s">
        <v>14</v>
      </c>
      <c r="G1963">
        <v>15</v>
      </c>
    </row>
    <row r="1964" spans="1:7" x14ac:dyDescent="0.35">
      <c r="A1964">
        <v>177041</v>
      </c>
      <c r="B1964">
        <v>2</v>
      </c>
      <c r="C1964" t="s">
        <v>50</v>
      </c>
      <c r="D1964">
        <v>0</v>
      </c>
      <c r="E1964" t="s">
        <v>91</v>
      </c>
      <c r="F1964" t="s">
        <v>17</v>
      </c>
      <c r="G1964">
        <v>15</v>
      </c>
    </row>
    <row r="1965" spans="1:7" x14ac:dyDescent="0.35">
      <c r="A1965">
        <v>141209</v>
      </c>
      <c r="B1965">
        <v>0</v>
      </c>
      <c r="C1965" t="s">
        <v>48</v>
      </c>
      <c r="D1965">
        <v>0</v>
      </c>
      <c r="E1965" t="s">
        <v>90</v>
      </c>
      <c r="F1965" t="s">
        <v>14</v>
      </c>
      <c r="G1965">
        <v>10</v>
      </c>
    </row>
    <row r="1966" spans="1:7" x14ac:dyDescent="0.35">
      <c r="A1966">
        <v>75346</v>
      </c>
      <c r="B1966">
        <v>0</v>
      </c>
      <c r="C1966" t="s">
        <v>47</v>
      </c>
      <c r="D1966">
        <v>2801</v>
      </c>
      <c r="E1966" t="s">
        <v>91</v>
      </c>
      <c r="F1966" t="s">
        <v>14</v>
      </c>
      <c r="G1966">
        <v>15</v>
      </c>
    </row>
    <row r="1967" spans="1:7" x14ac:dyDescent="0.35">
      <c r="A1967">
        <v>187318</v>
      </c>
      <c r="B1967">
        <v>0</v>
      </c>
      <c r="C1967" t="s">
        <v>18</v>
      </c>
      <c r="D1967">
        <v>0</v>
      </c>
      <c r="E1967" t="s">
        <v>89</v>
      </c>
      <c r="F1967" t="s">
        <v>17</v>
      </c>
      <c r="G1967">
        <v>18</v>
      </c>
    </row>
    <row r="1968" spans="1:7" x14ac:dyDescent="0.35">
      <c r="A1968">
        <v>22119</v>
      </c>
      <c r="B1968">
        <v>1</v>
      </c>
      <c r="C1968" t="s">
        <v>18</v>
      </c>
      <c r="D1968">
        <v>1902</v>
      </c>
      <c r="E1968" t="s">
        <v>91</v>
      </c>
      <c r="F1968" t="s">
        <v>14</v>
      </c>
      <c r="G1968">
        <v>10</v>
      </c>
    </row>
    <row r="1969" spans="1:7" x14ac:dyDescent="0.35">
      <c r="A1969">
        <v>22149</v>
      </c>
      <c r="B1969">
        <v>1</v>
      </c>
      <c r="C1969" t="s">
        <v>18</v>
      </c>
      <c r="D1969">
        <v>0</v>
      </c>
      <c r="E1969" t="s">
        <v>91</v>
      </c>
      <c r="F1969" t="s">
        <v>14</v>
      </c>
      <c r="G1969">
        <v>20</v>
      </c>
    </row>
    <row r="1970" spans="1:7" x14ac:dyDescent="0.35">
      <c r="A1970">
        <v>32622</v>
      </c>
      <c r="B1970">
        <v>1</v>
      </c>
      <c r="C1970" t="s">
        <v>13</v>
      </c>
      <c r="D1970">
        <v>805</v>
      </c>
      <c r="E1970" t="s">
        <v>91</v>
      </c>
      <c r="F1970" t="s">
        <v>14</v>
      </c>
      <c r="G1970">
        <v>47</v>
      </c>
    </row>
    <row r="1971" spans="1:7" x14ac:dyDescent="0.35">
      <c r="A1971">
        <v>76758</v>
      </c>
      <c r="B1971">
        <v>0</v>
      </c>
      <c r="C1971" t="s">
        <v>47</v>
      </c>
      <c r="D1971">
        <v>2801</v>
      </c>
      <c r="E1971" t="s">
        <v>91</v>
      </c>
      <c r="F1971" t="s">
        <v>17</v>
      </c>
      <c r="G1971">
        <v>10</v>
      </c>
    </row>
    <row r="1972" spans="1:7" x14ac:dyDescent="0.35">
      <c r="A1972">
        <v>161838</v>
      </c>
      <c r="B1972">
        <v>0</v>
      </c>
      <c r="C1972" t="s">
        <v>22</v>
      </c>
      <c r="D1972">
        <v>4212</v>
      </c>
      <c r="E1972" t="s">
        <v>88</v>
      </c>
      <c r="F1972" t="s">
        <v>17</v>
      </c>
      <c r="G1972">
        <v>14</v>
      </c>
    </row>
    <row r="1973" spans="1:7" x14ac:dyDescent="0.35">
      <c r="A1973">
        <v>70863</v>
      </c>
      <c r="B1973">
        <v>1</v>
      </c>
      <c r="C1973" t="s">
        <v>29</v>
      </c>
      <c r="D1973">
        <v>1803</v>
      </c>
      <c r="E1973" t="s">
        <v>91</v>
      </c>
      <c r="F1973" t="s">
        <v>14</v>
      </c>
      <c r="G1973">
        <v>20</v>
      </c>
    </row>
    <row r="1974" spans="1:7" x14ac:dyDescent="0.35">
      <c r="A1974">
        <v>143996</v>
      </c>
      <c r="B1974">
        <v>28</v>
      </c>
      <c r="C1974" t="s">
        <v>22</v>
      </c>
      <c r="D1974">
        <v>4912</v>
      </c>
      <c r="E1974" t="s">
        <v>93</v>
      </c>
      <c r="F1974" t="s">
        <v>17</v>
      </c>
      <c r="G1974">
        <v>10</v>
      </c>
    </row>
    <row r="1975" spans="1:7" x14ac:dyDescent="0.35">
      <c r="A1975">
        <v>4314</v>
      </c>
      <c r="B1975">
        <v>0</v>
      </c>
      <c r="C1975" t="s">
        <v>16</v>
      </c>
      <c r="D1975">
        <v>2210</v>
      </c>
      <c r="E1975" t="s">
        <v>103</v>
      </c>
      <c r="F1975" t="s">
        <v>17</v>
      </c>
      <c r="G1975">
        <v>6</v>
      </c>
    </row>
    <row r="1976" spans="1:7" x14ac:dyDescent="0.35">
      <c r="A1976">
        <v>5835</v>
      </c>
      <c r="B1976">
        <v>28</v>
      </c>
      <c r="C1976" t="s">
        <v>56</v>
      </c>
      <c r="D1976">
        <v>0</v>
      </c>
      <c r="E1976" t="s">
        <v>91</v>
      </c>
      <c r="F1976" t="s">
        <v>17</v>
      </c>
      <c r="G1976">
        <v>30</v>
      </c>
    </row>
    <row r="1977" spans="1:7" x14ac:dyDescent="0.35">
      <c r="A1977">
        <v>3891</v>
      </c>
      <c r="B1977">
        <v>2</v>
      </c>
      <c r="C1977" t="s">
        <v>21</v>
      </c>
      <c r="D1977">
        <v>1501</v>
      </c>
      <c r="E1977" t="s">
        <v>89</v>
      </c>
      <c r="F1977" t="s">
        <v>17</v>
      </c>
      <c r="G1977">
        <v>25</v>
      </c>
    </row>
    <row r="1978" spans="1:7" x14ac:dyDescent="0.35">
      <c r="A1978">
        <v>87775</v>
      </c>
      <c r="B1978">
        <v>0</v>
      </c>
      <c r="C1978" t="s">
        <v>16</v>
      </c>
      <c r="D1978">
        <v>4908</v>
      </c>
      <c r="E1978" t="s">
        <v>95</v>
      </c>
      <c r="F1978" t="s">
        <v>17</v>
      </c>
      <c r="G1978">
        <v>20</v>
      </c>
    </row>
    <row r="1979" spans="1:7" x14ac:dyDescent="0.35">
      <c r="A1979">
        <v>9727</v>
      </c>
      <c r="B1979">
        <v>0</v>
      </c>
      <c r="C1979" t="s">
        <v>22</v>
      </c>
      <c r="D1979">
        <v>4201</v>
      </c>
      <c r="E1979" t="s">
        <v>95</v>
      </c>
      <c r="F1979" t="s">
        <v>17</v>
      </c>
      <c r="G1979">
        <v>25</v>
      </c>
    </row>
    <row r="1980" spans="1:7" x14ac:dyDescent="0.35">
      <c r="A1980">
        <v>188841</v>
      </c>
      <c r="B1980">
        <v>28</v>
      </c>
      <c r="C1980" t="s">
        <v>54</v>
      </c>
      <c r="D1980">
        <v>0</v>
      </c>
      <c r="E1980" t="s">
        <v>92</v>
      </c>
      <c r="F1980" t="s">
        <v>17</v>
      </c>
      <c r="G1980">
        <v>10</v>
      </c>
    </row>
    <row r="1981" spans="1:7" x14ac:dyDescent="0.35">
      <c r="A1981">
        <v>15046</v>
      </c>
      <c r="B1981">
        <v>0</v>
      </c>
      <c r="C1981" t="s">
        <v>18</v>
      </c>
      <c r="D1981">
        <v>3801</v>
      </c>
      <c r="E1981" t="s">
        <v>91</v>
      </c>
      <c r="F1981" t="s">
        <v>17</v>
      </c>
      <c r="G1981">
        <v>10</v>
      </c>
    </row>
    <row r="1982" spans="1:7" x14ac:dyDescent="0.35">
      <c r="A1982">
        <v>43781</v>
      </c>
      <c r="B1982">
        <v>1</v>
      </c>
      <c r="C1982" t="s">
        <v>13</v>
      </c>
      <c r="D1982">
        <v>3001</v>
      </c>
      <c r="E1982" t="s">
        <v>88</v>
      </c>
      <c r="F1982" t="s">
        <v>14</v>
      </c>
      <c r="G1982">
        <v>10</v>
      </c>
    </row>
    <row r="1983" spans="1:7" x14ac:dyDescent="0.35">
      <c r="A1983">
        <v>182319</v>
      </c>
      <c r="B1983">
        <v>2</v>
      </c>
      <c r="C1983" t="s">
        <v>40</v>
      </c>
      <c r="D1983">
        <v>1406</v>
      </c>
      <c r="E1983" t="s">
        <v>88</v>
      </c>
      <c r="F1983" t="s">
        <v>14</v>
      </c>
      <c r="G1983">
        <v>10</v>
      </c>
    </row>
    <row r="1984" spans="1:7" x14ac:dyDescent="0.35">
      <c r="A1984">
        <v>130369</v>
      </c>
      <c r="B1984">
        <v>28</v>
      </c>
      <c r="C1984" t="s">
        <v>48</v>
      </c>
      <c r="D1984">
        <v>4106</v>
      </c>
      <c r="E1984" t="s">
        <v>93</v>
      </c>
      <c r="F1984" t="s">
        <v>17</v>
      </c>
      <c r="G1984">
        <v>50</v>
      </c>
    </row>
    <row r="1985" spans="1:7" x14ac:dyDescent="0.35">
      <c r="A1985">
        <v>147758</v>
      </c>
      <c r="B1985">
        <v>0</v>
      </c>
      <c r="C1985" t="s">
        <v>22</v>
      </c>
      <c r="D1985">
        <v>0</v>
      </c>
      <c r="E1985" t="s">
        <v>95</v>
      </c>
      <c r="F1985" t="s">
        <v>17</v>
      </c>
      <c r="G1985">
        <v>25</v>
      </c>
    </row>
    <row r="1986" spans="1:7" x14ac:dyDescent="0.35">
      <c r="A1986">
        <v>18761</v>
      </c>
      <c r="B1986">
        <v>0</v>
      </c>
      <c r="C1986" t="s">
        <v>18</v>
      </c>
      <c r="D1986">
        <v>4801</v>
      </c>
      <c r="E1986" t="s">
        <v>89</v>
      </c>
      <c r="F1986" t="s">
        <v>17</v>
      </c>
      <c r="G1986">
        <v>15</v>
      </c>
    </row>
    <row r="1987" spans="1:7" x14ac:dyDescent="0.35">
      <c r="A1987">
        <v>104234</v>
      </c>
      <c r="B1987">
        <v>0</v>
      </c>
      <c r="C1987" t="s">
        <v>36</v>
      </c>
      <c r="D1987">
        <v>5507</v>
      </c>
      <c r="E1987" t="s">
        <v>93</v>
      </c>
      <c r="F1987" t="s">
        <v>14</v>
      </c>
      <c r="G1987">
        <v>18</v>
      </c>
    </row>
    <row r="1988" spans="1:7" x14ac:dyDescent="0.35">
      <c r="A1988">
        <v>30185</v>
      </c>
      <c r="B1988">
        <v>0</v>
      </c>
      <c r="C1988" t="s">
        <v>39</v>
      </c>
      <c r="D1988">
        <v>6401</v>
      </c>
      <c r="E1988" t="s">
        <v>89</v>
      </c>
      <c r="F1988" t="s">
        <v>17</v>
      </c>
      <c r="G1988">
        <v>30</v>
      </c>
    </row>
    <row r="1989" spans="1:7" x14ac:dyDescent="0.35">
      <c r="A1989">
        <v>30907</v>
      </c>
      <c r="B1989">
        <v>1</v>
      </c>
      <c r="C1989" t="s">
        <v>39</v>
      </c>
      <c r="D1989">
        <v>0</v>
      </c>
      <c r="E1989" t="s">
        <v>89</v>
      </c>
      <c r="F1989" t="s">
        <v>14</v>
      </c>
      <c r="G1989">
        <v>15</v>
      </c>
    </row>
    <row r="1990" spans="1:7" x14ac:dyDescent="0.35">
      <c r="A1990">
        <v>105371</v>
      </c>
      <c r="B1990">
        <v>0</v>
      </c>
      <c r="C1990" t="s">
        <v>28</v>
      </c>
      <c r="D1990">
        <v>3204</v>
      </c>
      <c r="E1990" t="s">
        <v>98</v>
      </c>
      <c r="G1990">
        <v>20</v>
      </c>
    </row>
    <row r="1991" spans="1:7" x14ac:dyDescent="0.35">
      <c r="A1991">
        <v>57058</v>
      </c>
      <c r="B1991">
        <v>0</v>
      </c>
      <c r="C1991" t="s">
        <v>57</v>
      </c>
      <c r="D1991">
        <v>2001</v>
      </c>
      <c r="E1991" t="s">
        <v>91</v>
      </c>
      <c r="F1991" t="s">
        <v>14</v>
      </c>
      <c r="G1991">
        <v>25</v>
      </c>
    </row>
    <row r="1992" spans="1:7" x14ac:dyDescent="0.35">
      <c r="A1992">
        <v>160851</v>
      </c>
      <c r="B1992">
        <v>0</v>
      </c>
      <c r="C1992" t="s">
        <v>22</v>
      </c>
      <c r="D1992">
        <v>4004</v>
      </c>
      <c r="E1992" t="s">
        <v>88</v>
      </c>
      <c r="F1992" t="s">
        <v>14</v>
      </c>
      <c r="G1992">
        <v>16</v>
      </c>
    </row>
    <row r="1993" spans="1:7" x14ac:dyDescent="0.35">
      <c r="A1993">
        <v>163546</v>
      </c>
      <c r="B1993">
        <v>1</v>
      </c>
      <c r="C1993" t="s">
        <v>22</v>
      </c>
      <c r="D1993">
        <v>4301</v>
      </c>
      <c r="E1993" t="s">
        <v>95</v>
      </c>
      <c r="F1993" t="s">
        <v>14</v>
      </c>
      <c r="G1993">
        <v>15</v>
      </c>
    </row>
    <row r="1994" spans="1:7" x14ac:dyDescent="0.35">
      <c r="A1994">
        <v>176053</v>
      </c>
      <c r="B1994">
        <v>1</v>
      </c>
      <c r="C1994" t="s">
        <v>50</v>
      </c>
      <c r="D1994">
        <v>4210</v>
      </c>
      <c r="E1994" t="s">
        <v>101</v>
      </c>
      <c r="F1994" t="s">
        <v>14</v>
      </c>
      <c r="G1994">
        <v>12</v>
      </c>
    </row>
    <row r="1995" spans="1:7" x14ac:dyDescent="0.35">
      <c r="A1995">
        <v>149534</v>
      </c>
      <c r="B1995">
        <v>28</v>
      </c>
      <c r="C1995" t="s">
        <v>22</v>
      </c>
      <c r="D1995">
        <v>0</v>
      </c>
      <c r="E1995" t="s">
        <v>93</v>
      </c>
      <c r="F1995" t="s">
        <v>17</v>
      </c>
      <c r="G1995">
        <v>30</v>
      </c>
    </row>
    <row r="1996" spans="1:7" x14ac:dyDescent="0.35">
      <c r="A1996">
        <v>156152</v>
      </c>
      <c r="B1996">
        <v>2</v>
      </c>
      <c r="C1996" t="s">
        <v>22</v>
      </c>
      <c r="D1996">
        <v>2501</v>
      </c>
      <c r="E1996" t="s">
        <v>89</v>
      </c>
      <c r="F1996" t="s">
        <v>17</v>
      </c>
      <c r="G1996">
        <v>16</v>
      </c>
    </row>
    <row r="1997" spans="1:7" x14ac:dyDescent="0.35">
      <c r="A1997">
        <v>67177</v>
      </c>
      <c r="B1997">
        <v>0</v>
      </c>
      <c r="C1997" t="s">
        <v>29</v>
      </c>
      <c r="D1997">
        <v>2609</v>
      </c>
      <c r="E1997" t="s">
        <v>90</v>
      </c>
      <c r="F1997" t="s">
        <v>17</v>
      </c>
      <c r="G1997">
        <v>12</v>
      </c>
    </row>
    <row r="1998" spans="1:7" x14ac:dyDescent="0.35">
      <c r="A1998">
        <v>34475</v>
      </c>
      <c r="B1998">
        <v>2</v>
      </c>
      <c r="C1998" t="s">
        <v>13</v>
      </c>
      <c r="D1998">
        <v>3009</v>
      </c>
      <c r="E1998" t="s">
        <v>91</v>
      </c>
      <c r="F1998" t="s">
        <v>14</v>
      </c>
      <c r="G1998">
        <v>20</v>
      </c>
    </row>
    <row r="1999" spans="1:7" x14ac:dyDescent="0.35">
      <c r="A1999">
        <v>114803</v>
      </c>
      <c r="B1999">
        <v>28</v>
      </c>
      <c r="C1999" t="s">
        <v>31</v>
      </c>
      <c r="D1999">
        <v>0</v>
      </c>
      <c r="E1999" t="s">
        <v>92</v>
      </c>
      <c r="F1999" t="s">
        <v>17</v>
      </c>
      <c r="G1999">
        <v>20</v>
      </c>
    </row>
    <row r="2000" spans="1:7" x14ac:dyDescent="0.35">
      <c r="A2000">
        <v>15332</v>
      </c>
      <c r="B2000">
        <v>1</v>
      </c>
      <c r="C2000" t="s">
        <v>18</v>
      </c>
      <c r="D2000">
        <v>1701</v>
      </c>
      <c r="E2000" t="s">
        <v>92</v>
      </c>
      <c r="F2000" t="s">
        <v>14</v>
      </c>
      <c r="G2000">
        <v>10</v>
      </c>
    </row>
    <row r="2001" spans="1:7" x14ac:dyDescent="0.35">
      <c r="A2001">
        <v>119966</v>
      </c>
      <c r="B2001">
        <v>0</v>
      </c>
      <c r="C2001" t="s">
        <v>21</v>
      </c>
      <c r="D2001">
        <v>3212</v>
      </c>
      <c r="E2001" t="s">
        <v>104</v>
      </c>
      <c r="F2001" t="s">
        <v>17</v>
      </c>
      <c r="G2001">
        <v>11</v>
      </c>
    </row>
    <row r="2002" spans="1:7" x14ac:dyDescent="0.35">
      <c r="A2002">
        <v>152470</v>
      </c>
      <c r="B2002">
        <v>0</v>
      </c>
      <c r="C2002" t="s">
        <v>22</v>
      </c>
      <c r="D2002">
        <v>0</v>
      </c>
      <c r="E2002" t="s">
        <v>93</v>
      </c>
      <c r="F2002" t="s">
        <v>17</v>
      </c>
      <c r="G2002">
        <v>45</v>
      </c>
    </row>
    <row r="2003" spans="1:7" x14ac:dyDescent="0.35">
      <c r="A2003">
        <v>48527</v>
      </c>
      <c r="B2003">
        <v>2</v>
      </c>
      <c r="C2003" t="s">
        <v>43</v>
      </c>
      <c r="D2003">
        <v>0</v>
      </c>
      <c r="E2003" t="s">
        <v>98</v>
      </c>
      <c r="F2003" t="s">
        <v>14</v>
      </c>
      <c r="G2003">
        <v>3</v>
      </c>
    </row>
    <row r="2004" spans="1:7" x14ac:dyDescent="0.35">
      <c r="A2004">
        <v>171528</v>
      </c>
      <c r="B2004">
        <v>0</v>
      </c>
      <c r="C2004" t="s">
        <v>22</v>
      </c>
      <c r="D2004">
        <v>5501</v>
      </c>
      <c r="E2004" t="s">
        <v>91</v>
      </c>
      <c r="F2004" t="s">
        <v>17</v>
      </c>
      <c r="G2004">
        <v>5</v>
      </c>
    </row>
    <row r="2005" spans="1:7" x14ac:dyDescent="0.35">
      <c r="A2005">
        <v>50122</v>
      </c>
      <c r="B2005">
        <v>2</v>
      </c>
      <c r="C2005" t="s">
        <v>53</v>
      </c>
      <c r="D2005">
        <v>0</v>
      </c>
      <c r="E2005" t="s">
        <v>94</v>
      </c>
      <c r="F2005" t="s">
        <v>17</v>
      </c>
      <c r="G2005">
        <v>10</v>
      </c>
    </row>
    <row r="2006" spans="1:7" x14ac:dyDescent="0.35">
      <c r="A2006">
        <v>92293</v>
      </c>
      <c r="B2006">
        <v>0</v>
      </c>
      <c r="C2006" t="s">
        <v>16</v>
      </c>
      <c r="D2006">
        <v>2201</v>
      </c>
      <c r="E2006" t="s">
        <v>93</v>
      </c>
      <c r="F2006" t="s">
        <v>17</v>
      </c>
      <c r="G2006">
        <v>5</v>
      </c>
    </row>
    <row r="2007" spans="1:7" x14ac:dyDescent="0.35">
      <c r="A2007">
        <v>47191</v>
      </c>
      <c r="B2007">
        <v>2</v>
      </c>
      <c r="C2007" t="s">
        <v>43</v>
      </c>
      <c r="D2007">
        <v>2601</v>
      </c>
      <c r="E2007" t="s">
        <v>92</v>
      </c>
      <c r="F2007" t="s">
        <v>17</v>
      </c>
      <c r="G2007">
        <v>5</v>
      </c>
    </row>
    <row r="2008" spans="1:7" x14ac:dyDescent="0.35">
      <c r="A2008">
        <v>89288</v>
      </c>
      <c r="B2008">
        <v>0</v>
      </c>
      <c r="C2008" t="s">
        <v>16</v>
      </c>
      <c r="D2008">
        <v>5308</v>
      </c>
      <c r="E2008" t="s">
        <v>90</v>
      </c>
      <c r="F2008" t="s">
        <v>17</v>
      </c>
      <c r="G2008">
        <v>15</v>
      </c>
    </row>
    <row r="2009" spans="1:7" x14ac:dyDescent="0.35">
      <c r="A2009">
        <v>101676</v>
      </c>
      <c r="B2009">
        <v>1</v>
      </c>
      <c r="C2009" t="s">
        <v>36</v>
      </c>
      <c r="D2009">
        <v>3405</v>
      </c>
      <c r="E2009" t="s">
        <v>92</v>
      </c>
      <c r="F2009" t="s">
        <v>14</v>
      </c>
      <c r="G2009">
        <v>15</v>
      </c>
    </row>
    <row r="2010" spans="1:7" x14ac:dyDescent="0.35">
      <c r="A2010">
        <v>30051</v>
      </c>
      <c r="B2010">
        <v>0</v>
      </c>
      <c r="C2010" t="s">
        <v>39</v>
      </c>
      <c r="D2010">
        <v>4501</v>
      </c>
      <c r="F2010" t="s">
        <v>17</v>
      </c>
      <c r="G2010">
        <v>10</v>
      </c>
    </row>
    <row r="2011" spans="1:7" x14ac:dyDescent="0.35">
      <c r="A2011">
        <v>141500</v>
      </c>
      <c r="B2011">
        <v>0</v>
      </c>
      <c r="C2011" t="s">
        <v>24</v>
      </c>
      <c r="D2011">
        <v>7001</v>
      </c>
      <c r="E2011" t="s">
        <v>90</v>
      </c>
      <c r="F2011" t="s">
        <v>14</v>
      </c>
      <c r="G2011">
        <v>18</v>
      </c>
    </row>
    <row r="2012" spans="1:7" x14ac:dyDescent="0.35">
      <c r="A2012">
        <v>21599</v>
      </c>
      <c r="B2012">
        <v>1</v>
      </c>
      <c r="C2012" t="s">
        <v>46</v>
      </c>
      <c r="D2012">
        <v>0</v>
      </c>
      <c r="E2012" t="s">
        <v>89</v>
      </c>
      <c r="F2012" t="s">
        <v>14</v>
      </c>
      <c r="G2012">
        <v>7</v>
      </c>
    </row>
    <row r="2013" spans="1:7" x14ac:dyDescent="0.35">
      <c r="A2013">
        <v>110789</v>
      </c>
      <c r="B2013">
        <v>2</v>
      </c>
      <c r="C2013" t="s">
        <v>49</v>
      </c>
      <c r="D2013">
        <v>2912</v>
      </c>
      <c r="E2013" t="s">
        <v>91</v>
      </c>
      <c r="F2013" t="s">
        <v>17</v>
      </c>
      <c r="G2013">
        <v>15</v>
      </c>
    </row>
    <row r="2014" spans="1:7" x14ac:dyDescent="0.35">
      <c r="A2014">
        <v>139512</v>
      </c>
      <c r="B2014">
        <v>1</v>
      </c>
      <c r="C2014" t="s">
        <v>54</v>
      </c>
      <c r="D2014">
        <v>0</v>
      </c>
      <c r="E2014" t="s">
        <v>93</v>
      </c>
      <c r="F2014" t="s">
        <v>14</v>
      </c>
      <c r="G2014">
        <v>20</v>
      </c>
    </row>
    <row r="2015" spans="1:7" x14ac:dyDescent="0.35">
      <c r="A2015">
        <v>142662</v>
      </c>
      <c r="B2015">
        <v>28</v>
      </c>
      <c r="C2015" t="s">
        <v>22</v>
      </c>
      <c r="D2015">
        <v>2401</v>
      </c>
      <c r="E2015" t="s">
        <v>101</v>
      </c>
      <c r="F2015" t="s">
        <v>17</v>
      </c>
      <c r="G2015">
        <v>10</v>
      </c>
    </row>
    <row r="2016" spans="1:7" x14ac:dyDescent="0.35">
      <c r="A2016">
        <v>82920</v>
      </c>
      <c r="B2016">
        <v>3</v>
      </c>
      <c r="C2016" t="s">
        <v>56</v>
      </c>
      <c r="D2016">
        <v>5601</v>
      </c>
      <c r="E2016" t="s">
        <v>93</v>
      </c>
      <c r="F2016" t="s">
        <v>17</v>
      </c>
      <c r="G2016">
        <v>5</v>
      </c>
    </row>
    <row r="2017" spans="1:7" x14ac:dyDescent="0.35">
      <c r="A2017">
        <v>168186</v>
      </c>
      <c r="B2017">
        <v>0</v>
      </c>
      <c r="C2017" t="s">
        <v>22</v>
      </c>
      <c r="D2017">
        <v>0</v>
      </c>
      <c r="E2017" t="s">
        <v>95</v>
      </c>
      <c r="G2017">
        <v>10</v>
      </c>
    </row>
    <row r="2018" spans="1:7" x14ac:dyDescent="0.35">
      <c r="A2018">
        <v>94503</v>
      </c>
      <c r="B2018">
        <v>0</v>
      </c>
      <c r="C2018" t="s">
        <v>16</v>
      </c>
      <c r="D2018">
        <v>6201</v>
      </c>
      <c r="E2018" t="s">
        <v>102</v>
      </c>
      <c r="F2018" t="s">
        <v>17</v>
      </c>
      <c r="G2018">
        <v>10</v>
      </c>
    </row>
    <row r="2019" spans="1:7" x14ac:dyDescent="0.35">
      <c r="A2019">
        <v>167406</v>
      </c>
      <c r="B2019">
        <v>0</v>
      </c>
      <c r="C2019" t="s">
        <v>22</v>
      </c>
      <c r="D2019">
        <v>2601</v>
      </c>
      <c r="E2019" t="s">
        <v>95</v>
      </c>
      <c r="F2019" t="s">
        <v>17</v>
      </c>
      <c r="G2019">
        <v>7</v>
      </c>
    </row>
    <row r="2020" spans="1:7" x14ac:dyDescent="0.35">
      <c r="A2020">
        <v>170722</v>
      </c>
      <c r="B2020">
        <v>0</v>
      </c>
      <c r="C2020" t="s">
        <v>22</v>
      </c>
      <c r="D2020">
        <v>4001</v>
      </c>
      <c r="E2020" t="s">
        <v>92</v>
      </c>
      <c r="F2020" t="s">
        <v>17</v>
      </c>
      <c r="G2020">
        <v>20</v>
      </c>
    </row>
    <row r="2021" spans="1:7" x14ac:dyDescent="0.35">
      <c r="A2021">
        <v>101989</v>
      </c>
      <c r="B2021">
        <v>0</v>
      </c>
      <c r="C2021" t="s">
        <v>36</v>
      </c>
      <c r="D2021">
        <v>2306</v>
      </c>
      <c r="E2021" t="s">
        <v>91</v>
      </c>
      <c r="F2021" t="s">
        <v>17</v>
      </c>
      <c r="G2021">
        <v>5</v>
      </c>
    </row>
    <row r="2022" spans="1:7" x14ac:dyDescent="0.35">
      <c r="A2022">
        <v>66577</v>
      </c>
      <c r="B2022">
        <v>2</v>
      </c>
      <c r="C2022" t="s">
        <v>29</v>
      </c>
      <c r="D2022">
        <v>2001</v>
      </c>
      <c r="E2022" t="s">
        <v>90</v>
      </c>
      <c r="F2022" t="s">
        <v>17</v>
      </c>
      <c r="G2022">
        <v>10</v>
      </c>
    </row>
    <row r="2023" spans="1:7" x14ac:dyDescent="0.35">
      <c r="A2023">
        <v>33003</v>
      </c>
      <c r="B2023">
        <v>0</v>
      </c>
      <c r="C2023" t="s">
        <v>13</v>
      </c>
      <c r="D2023">
        <v>5201</v>
      </c>
      <c r="E2023" t="s">
        <v>92</v>
      </c>
      <c r="F2023" t="s">
        <v>17</v>
      </c>
      <c r="G2023">
        <v>8</v>
      </c>
    </row>
    <row r="2024" spans="1:7" x14ac:dyDescent="0.35">
      <c r="A2024">
        <v>70216</v>
      </c>
      <c r="B2024">
        <v>1</v>
      </c>
      <c r="C2024" t="s">
        <v>29</v>
      </c>
      <c r="D2024">
        <v>0</v>
      </c>
      <c r="E2024" t="s">
        <v>97</v>
      </c>
      <c r="F2024" t="s">
        <v>14</v>
      </c>
      <c r="G2024">
        <v>20</v>
      </c>
    </row>
    <row r="2025" spans="1:7" x14ac:dyDescent="0.35">
      <c r="A2025">
        <v>43086</v>
      </c>
      <c r="B2025">
        <v>28</v>
      </c>
      <c r="C2025" t="s">
        <v>13</v>
      </c>
      <c r="D2025">
        <v>2501</v>
      </c>
      <c r="E2025" t="s">
        <v>88</v>
      </c>
      <c r="F2025" t="s">
        <v>17</v>
      </c>
      <c r="G2025">
        <v>20</v>
      </c>
    </row>
    <row r="2026" spans="1:7" x14ac:dyDescent="0.35">
      <c r="A2026">
        <v>122110</v>
      </c>
      <c r="B2026">
        <v>0</v>
      </c>
      <c r="C2026" t="s">
        <v>21</v>
      </c>
      <c r="D2026">
        <v>6401</v>
      </c>
      <c r="E2026" t="s">
        <v>97</v>
      </c>
      <c r="F2026" t="s">
        <v>30</v>
      </c>
      <c r="G2026">
        <v>10</v>
      </c>
    </row>
    <row r="2027" spans="1:7" x14ac:dyDescent="0.35">
      <c r="A2027">
        <v>150684</v>
      </c>
      <c r="B2027">
        <v>1</v>
      </c>
      <c r="C2027" t="s">
        <v>22</v>
      </c>
      <c r="D2027">
        <v>0</v>
      </c>
      <c r="F2027" t="s">
        <v>14</v>
      </c>
      <c r="G2027">
        <v>34</v>
      </c>
    </row>
    <row r="2028" spans="1:7" x14ac:dyDescent="0.35">
      <c r="A2028">
        <v>162341</v>
      </c>
      <c r="B2028">
        <v>0</v>
      </c>
      <c r="C2028" t="s">
        <v>22</v>
      </c>
      <c r="D2028">
        <v>0</v>
      </c>
      <c r="E2028" t="s">
        <v>93</v>
      </c>
      <c r="F2028" t="s">
        <v>17</v>
      </c>
      <c r="G2028">
        <v>14</v>
      </c>
    </row>
    <row r="2029" spans="1:7" x14ac:dyDescent="0.35">
      <c r="A2029">
        <v>56407</v>
      </c>
      <c r="B2029">
        <v>0</v>
      </c>
      <c r="C2029" t="s">
        <v>57</v>
      </c>
      <c r="D2029">
        <v>2707</v>
      </c>
      <c r="E2029" t="s">
        <v>98</v>
      </c>
      <c r="F2029" t="s">
        <v>17</v>
      </c>
      <c r="G2029">
        <v>20</v>
      </c>
    </row>
    <row r="2030" spans="1:7" x14ac:dyDescent="0.35">
      <c r="A2030">
        <v>188988</v>
      </c>
      <c r="B2030">
        <v>28</v>
      </c>
      <c r="C2030" t="s">
        <v>33</v>
      </c>
      <c r="D2030">
        <v>0</v>
      </c>
      <c r="G2030">
        <v>7</v>
      </c>
    </row>
    <row r="2031" spans="1:7" x14ac:dyDescent="0.35">
      <c r="A2031">
        <v>35581</v>
      </c>
      <c r="B2031">
        <v>1</v>
      </c>
      <c r="C2031" t="s">
        <v>13</v>
      </c>
      <c r="D2031">
        <v>2812</v>
      </c>
      <c r="E2031" t="s">
        <v>93</v>
      </c>
      <c r="F2031" t="s">
        <v>14</v>
      </c>
      <c r="G2031">
        <v>15</v>
      </c>
    </row>
    <row r="2032" spans="1:7" x14ac:dyDescent="0.35">
      <c r="A2032">
        <v>46358</v>
      </c>
      <c r="B2032">
        <v>1</v>
      </c>
      <c r="C2032" t="s">
        <v>13</v>
      </c>
      <c r="D2032">
        <v>1801</v>
      </c>
      <c r="E2032" t="s">
        <v>89</v>
      </c>
      <c r="F2032" t="s">
        <v>14</v>
      </c>
      <c r="G2032">
        <v>9</v>
      </c>
    </row>
    <row r="2033" spans="1:7" x14ac:dyDescent="0.35">
      <c r="A2033">
        <v>109533</v>
      </c>
      <c r="B2033">
        <v>0</v>
      </c>
      <c r="C2033" t="s">
        <v>49</v>
      </c>
      <c r="D2033">
        <v>3201</v>
      </c>
      <c r="E2033" t="s">
        <v>89</v>
      </c>
      <c r="F2033" t="s">
        <v>14</v>
      </c>
      <c r="G2033">
        <v>25</v>
      </c>
    </row>
    <row r="2034" spans="1:7" x14ac:dyDescent="0.35">
      <c r="A2034">
        <v>81322</v>
      </c>
      <c r="B2034">
        <v>1</v>
      </c>
      <c r="C2034" t="s">
        <v>35</v>
      </c>
      <c r="D2034">
        <v>0</v>
      </c>
      <c r="E2034" t="s">
        <v>98</v>
      </c>
      <c r="F2034" t="s">
        <v>14</v>
      </c>
      <c r="G2034">
        <v>15</v>
      </c>
    </row>
    <row r="2035" spans="1:7" x14ac:dyDescent="0.35">
      <c r="A2035">
        <v>179275</v>
      </c>
      <c r="B2035">
        <v>0</v>
      </c>
      <c r="C2035" t="s">
        <v>40</v>
      </c>
      <c r="D2035">
        <v>4501</v>
      </c>
      <c r="E2035" t="s">
        <v>89</v>
      </c>
      <c r="F2035" t="s">
        <v>17</v>
      </c>
      <c r="G2035">
        <v>25</v>
      </c>
    </row>
    <row r="2036" spans="1:7" x14ac:dyDescent="0.35">
      <c r="A2036">
        <v>48691</v>
      </c>
      <c r="B2036">
        <v>0</v>
      </c>
      <c r="C2036" t="s">
        <v>43</v>
      </c>
      <c r="D2036">
        <v>2702</v>
      </c>
      <c r="E2036" t="s">
        <v>88</v>
      </c>
      <c r="F2036" t="s">
        <v>17</v>
      </c>
      <c r="G2036">
        <v>20</v>
      </c>
    </row>
    <row r="2037" spans="1:7" x14ac:dyDescent="0.35">
      <c r="A2037">
        <v>24420</v>
      </c>
      <c r="B2037">
        <v>4</v>
      </c>
      <c r="C2037" t="s">
        <v>46</v>
      </c>
      <c r="D2037">
        <v>4001</v>
      </c>
      <c r="E2037" t="s">
        <v>92</v>
      </c>
      <c r="F2037" t="s">
        <v>17</v>
      </c>
      <c r="G2037">
        <v>12</v>
      </c>
    </row>
    <row r="2038" spans="1:7" x14ac:dyDescent="0.35">
      <c r="A2038">
        <v>165368</v>
      </c>
      <c r="B2038">
        <v>1</v>
      </c>
      <c r="C2038" t="s">
        <v>22</v>
      </c>
      <c r="D2038">
        <v>3201</v>
      </c>
      <c r="E2038" t="s">
        <v>93</v>
      </c>
      <c r="F2038" t="s">
        <v>14</v>
      </c>
      <c r="G2038">
        <v>20</v>
      </c>
    </row>
    <row r="2039" spans="1:7" x14ac:dyDescent="0.35">
      <c r="A2039">
        <v>41545</v>
      </c>
      <c r="B2039">
        <v>1</v>
      </c>
      <c r="C2039" t="s">
        <v>13</v>
      </c>
      <c r="D2039">
        <v>0</v>
      </c>
      <c r="E2039" t="s">
        <v>90</v>
      </c>
      <c r="F2039" t="s">
        <v>14</v>
      </c>
      <c r="G2039">
        <v>5</v>
      </c>
    </row>
    <row r="2040" spans="1:7" x14ac:dyDescent="0.35">
      <c r="A2040">
        <v>106235</v>
      </c>
      <c r="B2040">
        <v>1</v>
      </c>
      <c r="C2040" t="s">
        <v>28</v>
      </c>
      <c r="D2040">
        <v>1801</v>
      </c>
      <c r="E2040" t="s">
        <v>89</v>
      </c>
      <c r="F2040" t="s">
        <v>14</v>
      </c>
      <c r="G2040">
        <v>5</v>
      </c>
    </row>
    <row r="2041" spans="1:7" x14ac:dyDescent="0.35">
      <c r="A2041">
        <v>133640</v>
      </c>
      <c r="B2041">
        <v>1</v>
      </c>
      <c r="C2041" t="s">
        <v>41</v>
      </c>
      <c r="D2041">
        <v>3210</v>
      </c>
      <c r="E2041" t="s">
        <v>88</v>
      </c>
      <c r="F2041" t="s">
        <v>14</v>
      </c>
      <c r="G2041">
        <v>10</v>
      </c>
    </row>
    <row r="2042" spans="1:7" x14ac:dyDescent="0.35">
      <c r="A2042">
        <v>176443</v>
      </c>
      <c r="B2042">
        <v>0</v>
      </c>
      <c r="C2042" t="s">
        <v>50</v>
      </c>
      <c r="D2042">
        <v>2103</v>
      </c>
      <c r="E2042" t="s">
        <v>91</v>
      </c>
      <c r="F2042" t="s">
        <v>17</v>
      </c>
      <c r="G2042">
        <v>10</v>
      </c>
    </row>
    <row r="2043" spans="1:7" x14ac:dyDescent="0.35">
      <c r="A2043">
        <v>190976</v>
      </c>
      <c r="B2043">
        <v>0</v>
      </c>
      <c r="C2043" t="s">
        <v>55</v>
      </c>
      <c r="D2043">
        <v>0</v>
      </c>
      <c r="E2043" t="s">
        <v>88</v>
      </c>
      <c r="G2043">
        <v>20</v>
      </c>
    </row>
    <row r="2044" spans="1:7" x14ac:dyDescent="0.35">
      <c r="A2044">
        <v>145911</v>
      </c>
      <c r="B2044">
        <v>0</v>
      </c>
      <c r="C2044" t="s">
        <v>22</v>
      </c>
      <c r="D2044">
        <v>0</v>
      </c>
      <c r="E2044" t="s">
        <v>93</v>
      </c>
      <c r="F2044" t="s">
        <v>17</v>
      </c>
      <c r="G2044">
        <v>10</v>
      </c>
    </row>
    <row r="2045" spans="1:7" x14ac:dyDescent="0.35">
      <c r="A2045">
        <v>32984</v>
      </c>
      <c r="B2045">
        <v>1</v>
      </c>
      <c r="C2045" t="s">
        <v>26</v>
      </c>
      <c r="D2045">
        <v>0</v>
      </c>
      <c r="E2045" t="s">
        <v>93</v>
      </c>
      <c r="F2045" t="s">
        <v>14</v>
      </c>
      <c r="G2045">
        <v>8</v>
      </c>
    </row>
    <row r="2046" spans="1:7" x14ac:dyDescent="0.35">
      <c r="A2046">
        <v>67541</v>
      </c>
      <c r="B2046">
        <v>28</v>
      </c>
      <c r="C2046" t="s">
        <v>29</v>
      </c>
      <c r="D2046">
        <v>5601</v>
      </c>
      <c r="E2046" t="s">
        <v>88</v>
      </c>
      <c r="F2046" t="s">
        <v>17</v>
      </c>
      <c r="G2046">
        <v>7</v>
      </c>
    </row>
    <row r="2047" spans="1:7" x14ac:dyDescent="0.35">
      <c r="A2047">
        <v>86803</v>
      </c>
      <c r="B2047">
        <v>2</v>
      </c>
      <c r="C2047" t="s">
        <v>34</v>
      </c>
      <c r="D2047">
        <v>0</v>
      </c>
      <c r="E2047" t="s">
        <v>91</v>
      </c>
      <c r="F2047" t="s">
        <v>17</v>
      </c>
      <c r="G2047">
        <v>10</v>
      </c>
    </row>
    <row r="2048" spans="1:7" x14ac:dyDescent="0.35">
      <c r="A2048">
        <v>100324</v>
      </c>
      <c r="B2048">
        <v>0</v>
      </c>
      <c r="C2048" t="s">
        <v>36</v>
      </c>
      <c r="D2048">
        <v>4901</v>
      </c>
      <c r="E2048" t="s">
        <v>93</v>
      </c>
      <c r="F2048" t="s">
        <v>17</v>
      </c>
      <c r="G2048">
        <v>20</v>
      </c>
    </row>
    <row r="2049" spans="1:7" x14ac:dyDescent="0.35">
      <c r="A2049">
        <v>132444</v>
      </c>
      <c r="B2049">
        <v>0</v>
      </c>
      <c r="C2049" t="s">
        <v>48</v>
      </c>
      <c r="D2049">
        <v>4804</v>
      </c>
      <c r="E2049" t="s">
        <v>89</v>
      </c>
      <c r="F2049" t="s">
        <v>17</v>
      </c>
      <c r="G2049">
        <v>20</v>
      </c>
    </row>
    <row r="2050" spans="1:7" x14ac:dyDescent="0.35">
      <c r="A2050">
        <v>107235</v>
      </c>
      <c r="B2050">
        <v>1</v>
      </c>
      <c r="C2050" t="s">
        <v>59</v>
      </c>
      <c r="D2050">
        <v>3001</v>
      </c>
      <c r="E2050" t="s">
        <v>93</v>
      </c>
      <c r="F2050" t="s">
        <v>14</v>
      </c>
      <c r="G2050">
        <v>11</v>
      </c>
    </row>
    <row r="2051" spans="1:7" x14ac:dyDescent="0.35">
      <c r="A2051">
        <v>67304</v>
      </c>
      <c r="B2051">
        <v>0</v>
      </c>
      <c r="C2051" t="s">
        <v>29</v>
      </c>
      <c r="D2051">
        <v>4802</v>
      </c>
      <c r="E2051" t="s">
        <v>94</v>
      </c>
      <c r="F2051" t="s">
        <v>17</v>
      </c>
      <c r="G2051">
        <v>20</v>
      </c>
    </row>
    <row r="2052" spans="1:7" x14ac:dyDescent="0.35">
      <c r="A2052">
        <v>82040</v>
      </c>
      <c r="B2052">
        <v>1</v>
      </c>
      <c r="C2052" t="s">
        <v>35</v>
      </c>
      <c r="D2052">
        <v>2403</v>
      </c>
      <c r="E2052" t="s">
        <v>91</v>
      </c>
      <c r="F2052" t="s">
        <v>14</v>
      </c>
      <c r="G2052">
        <v>3</v>
      </c>
    </row>
    <row r="2053" spans="1:7" x14ac:dyDescent="0.35">
      <c r="A2053">
        <v>43674</v>
      </c>
      <c r="B2053">
        <v>28</v>
      </c>
      <c r="C2053" t="s">
        <v>13</v>
      </c>
      <c r="D2053">
        <v>0</v>
      </c>
      <c r="E2053" t="s">
        <v>88</v>
      </c>
      <c r="F2053" t="s">
        <v>17</v>
      </c>
      <c r="G2053">
        <v>10</v>
      </c>
    </row>
    <row r="2054" spans="1:7" x14ac:dyDescent="0.35">
      <c r="A2054">
        <v>159171</v>
      </c>
      <c r="B2054">
        <v>0</v>
      </c>
      <c r="C2054" t="s">
        <v>22</v>
      </c>
      <c r="D2054">
        <v>3308</v>
      </c>
      <c r="E2054" t="s">
        <v>88</v>
      </c>
      <c r="F2054" t="s">
        <v>17</v>
      </c>
      <c r="G2054">
        <v>15</v>
      </c>
    </row>
    <row r="2055" spans="1:7" x14ac:dyDescent="0.35">
      <c r="A2055">
        <v>64400</v>
      </c>
      <c r="B2055">
        <v>1</v>
      </c>
      <c r="C2055" t="s">
        <v>33</v>
      </c>
      <c r="D2055">
        <v>5701</v>
      </c>
      <c r="E2055" t="s">
        <v>92</v>
      </c>
      <c r="F2055" t="s">
        <v>14</v>
      </c>
      <c r="G2055">
        <v>21</v>
      </c>
    </row>
    <row r="2056" spans="1:7" x14ac:dyDescent="0.35">
      <c r="A2056">
        <v>11284</v>
      </c>
      <c r="B2056">
        <v>0</v>
      </c>
      <c r="C2056" t="s">
        <v>13</v>
      </c>
      <c r="D2056">
        <v>3201</v>
      </c>
      <c r="E2056" t="s">
        <v>88</v>
      </c>
      <c r="F2056" t="s">
        <v>14</v>
      </c>
      <c r="G2056">
        <v>4</v>
      </c>
    </row>
    <row r="2057" spans="1:7" x14ac:dyDescent="0.35">
      <c r="A2057">
        <v>74419</v>
      </c>
      <c r="B2057">
        <v>0</v>
      </c>
      <c r="C2057" t="s">
        <v>29</v>
      </c>
      <c r="D2057">
        <v>0</v>
      </c>
      <c r="E2057" t="s">
        <v>89</v>
      </c>
      <c r="F2057" t="s">
        <v>17</v>
      </c>
      <c r="G2057">
        <v>10</v>
      </c>
    </row>
    <row r="2058" spans="1:7" x14ac:dyDescent="0.35">
      <c r="A2058">
        <v>55840</v>
      </c>
      <c r="B2058">
        <v>0</v>
      </c>
      <c r="C2058" t="s">
        <v>62</v>
      </c>
      <c r="D2058">
        <v>4701</v>
      </c>
      <c r="E2058" t="s">
        <v>89</v>
      </c>
      <c r="F2058" t="s">
        <v>14</v>
      </c>
      <c r="G2058">
        <v>16</v>
      </c>
    </row>
    <row r="2059" spans="1:7" x14ac:dyDescent="0.35">
      <c r="A2059">
        <v>22176</v>
      </c>
      <c r="B2059">
        <v>1</v>
      </c>
      <c r="C2059" t="s">
        <v>18</v>
      </c>
      <c r="D2059">
        <v>0</v>
      </c>
      <c r="E2059" t="s">
        <v>98</v>
      </c>
      <c r="F2059" t="s">
        <v>14</v>
      </c>
      <c r="G2059">
        <v>12</v>
      </c>
    </row>
    <row r="2060" spans="1:7" x14ac:dyDescent="0.35">
      <c r="A2060">
        <v>25678</v>
      </c>
      <c r="B2060">
        <v>1</v>
      </c>
      <c r="C2060" t="s">
        <v>13</v>
      </c>
      <c r="D2060">
        <v>0</v>
      </c>
      <c r="E2060" t="s">
        <v>92</v>
      </c>
      <c r="F2060" t="s">
        <v>14</v>
      </c>
      <c r="G2060">
        <v>20</v>
      </c>
    </row>
    <row r="2061" spans="1:7" x14ac:dyDescent="0.35">
      <c r="A2061">
        <v>107569</v>
      </c>
      <c r="B2061">
        <v>1</v>
      </c>
      <c r="C2061" t="s">
        <v>59</v>
      </c>
      <c r="D2061">
        <v>4601</v>
      </c>
      <c r="E2061" t="s">
        <v>91</v>
      </c>
      <c r="F2061" t="s">
        <v>14</v>
      </c>
      <c r="G2061">
        <v>50</v>
      </c>
    </row>
    <row r="2062" spans="1:7" x14ac:dyDescent="0.35">
      <c r="A2062">
        <v>70301</v>
      </c>
      <c r="B2062">
        <v>2</v>
      </c>
      <c r="C2062" t="s">
        <v>29</v>
      </c>
      <c r="D2062">
        <v>3101</v>
      </c>
      <c r="E2062" t="s">
        <v>93</v>
      </c>
      <c r="F2062" t="s">
        <v>17</v>
      </c>
      <c r="G2062">
        <v>5</v>
      </c>
    </row>
    <row r="2063" spans="1:7" x14ac:dyDescent="0.35">
      <c r="A2063">
        <v>39020</v>
      </c>
      <c r="B2063">
        <v>1002</v>
      </c>
      <c r="C2063" t="s">
        <v>13</v>
      </c>
      <c r="D2063">
        <v>4801</v>
      </c>
      <c r="E2063" t="s">
        <v>93</v>
      </c>
      <c r="F2063" t="s">
        <v>14</v>
      </c>
      <c r="G2063">
        <v>21</v>
      </c>
    </row>
    <row r="2064" spans="1:7" x14ac:dyDescent="0.35">
      <c r="A2064">
        <v>125906</v>
      </c>
      <c r="B2064">
        <v>1</v>
      </c>
      <c r="C2064" t="s">
        <v>21</v>
      </c>
      <c r="D2064">
        <v>2901</v>
      </c>
      <c r="E2064" t="s">
        <v>94</v>
      </c>
      <c r="F2064" t="s">
        <v>17</v>
      </c>
      <c r="G2064">
        <v>6</v>
      </c>
    </row>
    <row r="2065" spans="1:7" x14ac:dyDescent="0.35">
      <c r="A2065">
        <v>23934</v>
      </c>
      <c r="B2065">
        <v>2</v>
      </c>
      <c r="C2065" t="s">
        <v>46</v>
      </c>
      <c r="D2065">
        <v>5201</v>
      </c>
      <c r="E2065" t="s">
        <v>89</v>
      </c>
      <c r="F2065" t="s">
        <v>17</v>
      </c>
      <c r="G2065">
        <v>25</v>
      </c>
    </row>
    <row r="2066" spans="1:7" x14ac:dyDescent="0.35">
      <c r="A2066">
        <v>112751</v>
      </c>
      <c r="B2066">
        <v>0</v>
      </c>
      <c r="C2066" t="s">
        <v>31</v>
      </c>
      <c r="D2066">
        <v>4201</v>
      </c>
      <c r="E2066" t="s">
        <v>94</v>
      </c>
      <c r="F2066" t="s">
        <v>17</v>
      </c>
      <c r="G2066">
        <v>50</v>
      </c>
    </row>
    <row r="2067" spans="1:7" x14ac:dyDescent="0.35">
      <c r="A2067">
        <v>3651</v>
      </c>
      <c r="B2067">
        <v>2</v>
      </c>
      <c r="C2067" t="s">
        <v>29</v>
      </c>
      <c r="D2067">
        <v>3001</v>
      </c>
      <c r="F2067" t="s">
        <v>17</v>
      </c>
      <c r="G2067">
        <v>25</v>
      </c>
    </row>
    <row r="2068" spans="1:7" x14ac:dyDescent="0.35">
      <c r="A2068">
        <v>1068</v>
      </c>
      <c r="B2068">
        <v>2</v>
      </c>
      <c r="C2068" t="s">
        <v>22</v>
      </c>
      <c r="D2068">
        <v>3103</v>
      </c>
      <c r="E2068" t="s">
        <v>93</v>
      </c>
      <c r="F2068" t="s">
        <v>17</v>
      </c>
      <c r="G2068">
        <v>5</v>
      </c>
    </row>
    <row r="2069" spans="1:7" x14ac:dyDescent="0.35">
      <c r="A2069">
        <v>120128</v>
      </c>
      <c r="B2069">
        <v>0</v>
      </c>
      <c r="C2069" t="s">
        <v>21</v>
      </c>
      <c r="D2069">
        <v>3501</v>
      </c>
      <c r="E2069" t="s">
        <v>91</v>
      </c>
      <c r="F2069" t="s">
        <v>17</v>
      </c>
      <c r="G2069">
        <v>15</v>
      </c>
    </row>
    <row r="2070" spans="1:7" x14ac:dyDescent="0.35">
      <c r="A2070">
        <v>152092</v>
      </c>
      <c r="B2070">
        <v>28</v>
      </c>
      <c r="C2070" t="s">
        <v>22</v>
      </c>
      <c r="D2070">
        <v>3201</v>
      </c>
      <c r="E2070" t="s">
        <v>96</v>
      </c>
      <c r="F2070" t="s">
        <v>17</v>
      </c>
      <c r="G2070">
        <v>5</v>
      </c>
    </row>
    <row r="2071" spans="1:7" x14ac:dyDescent="0.35">
      <c r="A2071">
        <v>85913</v>
      </c>
      <c r="B2071">
        <v>1</v>
      </c>
      <c r="C2071" t="s">
        <v>52</v>
      </c>
      <c r="D2071">
        <v>3001</v>
      </c>
      <c r="E2071" t="s">
        <v>91</v>
      </c>
      <c r="F2071" t="s">
        <v>14</v>
      </c>
      <c r="G2071">
        <v>14</v>
      </c>
    </row>
    <row r="2072" spans="1:7" x14ac:dyDescent="0.35">
      <c r="A2072">
        <v>43226</v>
      </c>
      <c r="B2072">
        <v>1</v>
      </c>
      <c r="C2072" t="s">
        <v>13</v>
      </c>
      <c r="D2072">
        <v>2201</v>
      </c>
      <c r="E2072" t="s">
        <v>88</v>
      </c>
      <c r="F2072" t="s">
        <v>14</v>
      </c>
      <c r="G2072">
        <v>20</v>
      </c>
    </row>
    <row r="2073" spans="1:7" x14ac:dyDescent="0.35">
      <c r="A2073">
        <v>60738</v>
      </c>
      <c r="B2073">
        <v>2</v>
      </c>
      <c r="C2073" t="s">
        <v>33</v>
      </c>
      <c r="D2073">
        <v>4901</v>
      </c>
      <c r="E2073" t="s">
        <v>93</v>
      </c>
      <c r="F2073" t="s">
        <v>17</v>
      </c>
      <c r="G2073">
        <v>5</v>
      </c>
    </row>
    <row r="2074" spans="1:7" x14ac:dyDescent="0.35">
      <c r="A2074">
        <v>60571</v>
      </c>
      <c r="B2074">
        <v>1</v>
      </c>
      <c r="C2074" t="s">
        <v>33</v>
      </c>
      <c r="D2074">
        <v>0</v>
      </c>
      <c r="E2074" t="s">
        <v>89</v>
      </c>
      <c r="F2074" t="s">
        <v>14</v>
      </c>
      <c r="G2074">
        <v>15</v>
      </c>
    </row>
    <row r="2075" spans="1:7" x14ac:dyDescent="0.35">
      <c r="A2075">
        <v>131913</v>
      </c>
      <c r="B2075">
        <v>0</v>
      </c>
      <c r="C2075" t="s">
        <v>48</v>
      </c>
      <c r="D2075">
        <v>1607</v>
      </c>
      <c r="E2075" t="s">
        <v>93</v>
      </c>
      <c r="F2075" t="s">
        <v>17</v>
      </c>
      <c r="G2075">
        <v>19</v>
      </c>
    </row>
    <row r="2076" spans="1:7" x14ac:dyDescent="0.35">
      <c r="A2076">
        <v>172140</v>
      </c>
      <c r="B2076">
        <v>0</v>
      </c>
      <c r="C2076" t="s">
        <v>22</v>
      </c>
      <c r="D2076">
        <v>5201</v>
      </c>
      <c r="E2076" t="s">
        <v>94</v>
      </c>
      <c r="F2076" t="s">
        <v>17</v>
      </c>
      <c r="G2076">
        <v>10</v>
      </c>
    </row>
    <row r="2077" spans="1:7" x14ac:dyDescent="0.35">
      <c r="A2077">
        <v>147753</v>
      </c>
      <c r="B2077">
        <v>0</v>
      </c>
      <c r="C2077" t="s">
        <v>22</v>
      </c>
      <c r="D2077">
        <v>2701</v>
      </c>
      <c r="E2077" t="s">
        <v>93</v>
      </c>
      <c r="F2077" t="s">
        <v>17</v>
      </c>
      <c r="G2077">
        <v>25</v>
      </c>
    </row>
    <row r="2078" spans="1:7" x14ac:dyDescent="0.35">
      <c r="A2078">
        <v>161856</v>
      </c>
      <c r="B2078">
        <v>1</v>
      </c>
      <c r="C2078" t="s">
        <v>22</v>
      </c>
      <c r="D2078">
        <v>1901</v>
      </c>
      <c r="E2078" t="s">
        <v>92</v>
      </c>
      <c r="F2078" t="s">
        <v>14</v>
      </c>
      <c r="G2078">
        <v>15</v>
      </c>
    </row>
    <row r="2079" spans="1:7" x14ac:dyDescent="0.35">
      <c r="A2079">
        <v>140611</v>
      </c>
      <c r="B2079">
        <v>2</v>
      </c>
      <c r="C2079" t="s">
        <v>54</v>
      </c>
      <c r="D2079">
        <v>5101</v>
      </c>
      <c r="E2079" t="s">
        <v>89</v>
      </c>
      <c r="F2079" t="s">
        <v>17</v>
      </c>
      <c r="G2079">
        <v>4</v>
      </c>
    </row>
    <row r="2080" spans="1:7" x14ac:dyDescent="0.35">
      <c r="A2080">
        <v>30068</v>
      </c>
      <c r="B2080">
        <v>0</v>
      </c>
      <c r="C2080" t="s">
        <v>39</v>
      </c>
      <c r="D2080">
        <v>5001</v>
      </c>
      <c r="E2080" t="s">
        <v>91</v>
      </c>
      <c r="F2080" t="s">
        <v>17</v>
      </c>
      <c r="G2080">
        <v>12</v>
      </c>
    </row>
    <row r="2081" spans="1:7" x14ac:dyDescent="0.35">
      <c r="A2081">
        <v>96175</v>
      </c>
      <c r="B2081">
        <v>1</v>
      </c>
      <c r="C2081" t="s">
        <v>16</v>
      </c>
      <c r="D2081">
        <v>1501</v>
      </c>
      <c r="E2081" t="s">
        <v>104</v>
      </c>
      <c r="F2081" t="s">
        <v>14</v>
      </c>
      <c r="G2081">
        <v>5</v>
      </c>
    </row>
    <row r="2082" spans="1:7" x14ac:dyDescent="0.35">
      <c r="A2082">
        <v>727</v>
      </c>
      <c r="B2082">
        <v>0</v>
      </c>
      <c r="C2082" t="s">
        <v>47</v>
      </c>
      <c r="D2082">
        <v>2401</v>
      </c>
      <c r="E2082" t="s">
        <v>98</v>
      </c>
      <c r="F2082" t="s">
        <v>17</v>
      </c>
      <c r="G2082">
        <v>2</v>
      </c>
    </row>
    <row r="2083" spans="1:7" x14ac:dyDescent="0.35">
      <c r="A2083">
        <v>188893</v>
      </c>
      <c r="B2083">
        <v>4</v>
      </c>
      <c r="C2083" t="s">
        <v>18</v>
      </c>
      <c r="D2083">
        <v>0</v>
      </c>
      <c r="E2083" t="s">
        <v>89</v>
      </c>
      <c r="F2083" t="s">
        <v>14</v>
      </c>
      <c r="G2083">
        <v>25</v>
      </c>
    </row>
    <row r="2084" spans="1:7" x14ac:dyDescent="0.35">
      <c r="A2084">
        <v>110425</v>
      </c>
      <c r="B2084">
        <v>0</v>
      </c>
      <c r="C2084" t="s">
        <v>49</v>
      </c>
      <c r="D2084">
        <v>5201</v>
      </c>
      <c r="E2084" t="s">
        <v>98</v>
      </c>
      <c r="F2084" t="s">
        <v>17</v>
      </c>
      <c r="G2084">
        <v>20</v>
      </c>
    </row>
    <row r="2085" spans="1:7" x14ac:dyDescent="0.35">
      <c r="A2085">
        <v>54897</v>
      </c>
      <c r="B2085">
        <v>1</v>
      </c>
      <c r="C2085" t="s">
        <v>39</v>
      </c>
      <c r="D2085">
        <v>5509</v>
      </c>
      <c r="E2085" t="s">
        <v>93</v>
      </c>
      <c r="G2085">
        <v>20</v>
      </c>
    </row>
    <row r="2086" spans="1:7" x14ac:dyDescent="0.35">
      <c r="A2086">
        <v>173772</v>
      </c>
      <c r="B2086">
        <v>0</v>
      </c>
      <c r="C2086" t="s">
        <v>37</v>
      </c>
      <c r="D2086">
        <v>0</v>
      </c>
      <c r="E2086" t="s">
        <v>91</v>
      </c>
      <c r="F2086" t="s">
        <v>17</v>
      </c>
      <c r="G2086">
        <v>10</v>
      </c>
    </row>
    <row r="2087" spans="1:7" x14ac:dyDescent="0.35">
      <c r="A2087">
        <v>25560</v>
      </c>
      <c r="B2087">
        <v>2</v>
      </c>
      <c r="C2087" t="s">
        <v>39</v>
      </c>
      <c r="D2087">
        <v>4101</v>
      </c>
      <c r="E2087" t="s">
        <v>88</v>
      </c>
      <c r="F2087" t="s">
        <v>17</v>
      </c>
      <c r="G2087">
        <v>14</v>
      </c>
    </row>
    <row r="2088" spans="1:7" x14ac:dyDescent="0.35">
      <c r="A2088">
        <v>185886</v>
      </c>
      <c r="B2088">
        <v>1</v>
      </c>
      <c r="C2088" t="s">
        <v>35</v>
      </c>
      <c r="D2088">
        <v>0</v>
      </c>
      <c r="E2088" t="s">
        <v>90</v>
      </c>
      <c r="F2088" t="s">
        <v>14</v>
      </c>
      <c r="G2088">
        <v>5</v>
      </c>
    </row>
    <row r="2089" spans="1:7" x14ac:dyDescent="0.35">
      <c r="A2089">
        <v>175847</v>
      </c>
      <c r="B2089">
        <v>0</v>
      </c>
      <c r="C2089" t="s">
        <v>50</v>
      </c>
      <c r="D2089">
        <v>3001</v>
      </c>
      <c r="E2089" t="s">
        <v>93</v>
      </c>
      <c r="F2089" t="s">
        <v>17</v>
      </c>
      <c r="G2089">
        <v>10</v>
      </c>
    </row>
    <row r="2090" spans="1:7" x14ac:dyDescent="0.35">
      <c r="A2090">
        <v>29610</v>
      </c>
      <c r="B2090">
        <v>1002</v>
      </c>
      <c r="C2090" t="s">
        <v>39</v>
      </c>
      <c r="D2090">
        <v>0</v>
      </c>
      <c r="E2090" t="s">
        <v>89</v>
      </c>
      <c r="F2090" t="s">
        <v>14</v>
      </c>
      <c r="G2090">
        <v>5</v>
      </c>
    </row>
    <row r="2091" spans="1:7" x14ac:dyDescent="0.35">
      <c r="A2091">
        <v>86926</v>
      </c>
      <c r="B2091">
        <v>0</v>
      </c>
      <c r="C2091" t="s">
        <v>34</v>
      </c>
      <c r="D2091">
        <v>3001</v>
      </c>
      <c r="E2091" t="s">
        <v>91</v>
      </c>
      <c r="F2091" t="s">
        <v>17</v>
      </c>
      <c r="G2091">
        <v>15</v>
      </c>
    </row>
    <row r="2092" spans="1:7" x14ac:dyDescent="0.35">
      <c r="A2092">
        <v>179235</v>
      </c>
      <c r="B2092">
        <v>1</v>
      </c>
      <c r="C2092" t="s">
        <v>40</v>
      </c>
      <c r="D2092">
        <v>6401</v>
      </c>
      <c r="E2092" t="s">
        <v>93</v>
      </c>
      <c r="F2092" t="s">
        <v>14</v>
      </c>
      <c r="G2092">
        <v>12</v>
      </c>
    </row>
    <row r="2093" spans="1:7" x14ac:dyDescent="0.35">
      <c r="A2093">
        <v>8276</v>
      </c>
      <c r="B2093">
        <v>1</v>
      </c>
      <c r="C2093" t="s">
        <v>22</v>
      </c>
      <c r="D2093">
        <v>4409</v>
      </c>
      <c r="E2093" t="s">
        <v>93</v>
      </c>
      <c r="F2093" t="s">
        <v>14</v>
      </c>
      <c r="G2093">
        <v>15</v>
      </c>
    </row>
    <row r="2094" spans="1:7" x14ac:dyDescent="0.35">
      <c r="A2094">
        <v>27108</v>
      </c>
      <c r="B2094">
        <v>2</v>
      </c>
      <c r="C2094" t="s">
        <v>39</v>
      </c>
      <c r="D2094">
        <v>2101</v>
      </c>
      <c r="E2094" t="s">
        <v>90</v>
      </c>
      <c r="F2094" t="s">
        <v>17</v>
      </c>
      <c r="G2094">
        <v>15</v>
      </c>
    </row>
    <row r="2095" spans="1:7" x14ac:dyDescent="0.35">
      <c r="A2095">
        <v>56860</v>
      </c>
      <c r="B2095">
        <v>0</v>
      </c>
      <c r="C2095" t="s">
        <v>57</v>
      </c>
      <c r="D2095">
        <v>6601</v>
      </c>
      <c r="E2095" t="s">
        <v>89</v>
      </c>
      <c r="F2095" t="s">
        <v>17</v>
      </c>
      <c r="G2095">
        <v>24</v>
      </c>
    </row>
    <row r="2096" spans="1:7" x14ac:dyDescent="0.35">
      <c r="A2096">
        <v>157817</v>
      </c>
      <c r="B2096">
        <v>3</v>
      </c>
      <c r="C2096" t="s">
        <v>22</v>
      </c>
      <c r="D2096">
        <v>4101</v>
      </c>
      <c r="E2096" t="s">
        <v>93</v>
      </c>
      <c r="F2096" t="s">
        <v>17</v>
      </c>
      <c r="G2096">
        <v>11</v>
      </c>
    </row>
    <row r="2097" spans="1:7" x14ac:dyDescent="0.35">
      <c r="A2097">
        <v>135296</v>
      </c>
      <c r="B2097">
        <v>0</v>
      </c>
      <c r="C2097" t="s">
        <v>55</v>
      </c>
      <c r="D2097">
        <v>1501</v>
      </c>
      <c r="E2097" t="s">
        <v>88</v>
      </c>
      <c r="F2097" t="s">
        <v>17</v>
      </c>
      <c r="G2097">
        <v>11</v>
      </c>
    </row>
    <row r="2098" spans="1:7" x14ac:dyDescent="0.35">
      <c r="A2098">
        <v>80995</v>
      </c>
      <c r="B2098">
        <v>1</v>
      </c>
      <c r="C2098" t="s">
        <v>35</v>
      </c>
      <c r="D2098">
        <v>2509</v>
      </c>
      <c r="E2098" t="s">
        <v>98</v>
      </c>
      <c r="F2098" t="s">
        <v>14</v>
      </c>
      <c r="G2098">
        <v>5</v>
      </c>
    </row>
    <row r="2099" spans="1:7" x14ac:dyDescent="0.35">
      <c r="A2099">
        <v>95943</v>
      </c>
      <c r="B2099">
        <v>1</v>
      </c>
      <c r="C2099" t="s">
        <v>16</v>
      </c>
      <c r="D2099">
        <v>2901</v>
      </c>
      <c r="E2099" t="s">
        <v>88</v>
      </c>
      <c r="F2099" t="s">
        <v>14</v>
      </c>
      <c r="G2099">
        <v>13</v>
      </c>
    </row>
    <row r="2100" spans="1:7" x14ac:dyDescent="0.35">
      <c r="A2100">
        <v>188141</v>
      </c>
      <c r="B2100">
        <v>1</v>
      </c>
      <c r="C2100" t="s">
        <v>13</v>
      </c>
      <c r="D2100">
        <v>0</v>
      </c>
      <c r="E2100" t="s">
        <v>93</v>
      </c>
      <c r="G2100">
        <v>25</v>
      </c>
    </row>
    <row r="2101" spans="1:7" x14ac:dyDescent="0.35">
      <c r="A2101">
        <v>13523</v>
      </c>
      <c r="B2101">
        <v>0</v>
      </c>
      <c r="C2101" t="s">
        <v>24</v>
      </c>
      <c r="D2101">
        <v>4103</v>
      </c>
      <c r="E2101" t="s">
        <v>91</v>
      </c>
      <c r="F2101" t="s">
        <v>17</v>
      </c>
      <c r="G2101">
        <v>40</v>
      </c>
    </row>
    <row r="2102" spans="1:7" x14ac:dyDescent="0.35">
      <c r="A2102">
        <v>7518</v>
      </c>
      <c r="B2102">
        <v>1</v>
      </c>
      <c r="C2102" t="s">
        <v>35</v>
      </c>
      <c r="D2102">
        <v>0</v>
      </c>
      <c r="F2102" t="s">
        <v>14</v>
      </c>
      <c r="G2102">
        <v>5</v>
      </c>
    </row>
    <row r="2103" spans="1:7" x14ac:dyDescent="0.35">
      <c r="A2103">
        <v>7637</v>
      </c>
      <c r="B2103">
        <v>0</v>
      </c>
      <c r="C2103" t="s">
        <v>53</v>
      </c>
      <c r="D2103">
        <v>1801</v>
      </c>
      <c r="E2103" t="s">
        <v>98</v>
      </c>
      <c r="F2103" t="s">
        <v>17</v>
      </c>
      <c r="G2103">
        <v>10</v>
      </c>
    </row>
    <row r="2104" spans="1:7" x14ac:dyDescent="0.35">
      <c r="A2104">
        <v>40655</v>
      </c>
      <c r="B2104">
        <v>0</v>
      </c>
      <c r="C2104" t="s">
        <v>13</v>
      </c>
      <c r="D2104">
        <v>3601</v>
      </c>
      <c r="E2104" t="s">
        <v>88</v>
      </c>
      <c r="F2104" t="s">
        <v>14</v>
      </c>
      <c r="G2104">
        <v>20</v>
      </c>
    </row>
    <row r="2105" spans="1:7" x14ac:dyDescent="0.35">
      <c r="A2105">
        <v>87505</v>
      </c>
      <c r="B2105">
        <v>0</v>
      </c>
      <c r="C2105" t="s">
        <v>34</v>
      </c>
      <c r="D2105">
        <v>2101</v>
      </c>
      <c r="E2105" t="s">
        <v>96</v>
      </c>
      <c r="F2105" t="s">
        <v>17</v>
      </c>
      <c r="G2105">
        <v>8</v>
      </c>
    </row>
    <row r="2106" spans="1:7" x14ac:dyDescent="0.35">
      <c r="A2106">
        <v>176380</v>
      </c>
      <c r="B2106">
        <v>0</v>
      </c>
      <c r="C2106" t="s">
        <v>50</v>
      </c>
      <c r="D2106">
        <v>4901</v>
      </c>
      <c r="E2106" t="s">
        <v>92</v>
      </c>
      <c r="F2106" t="s">
        <v>14</v>
      </c>
      <c r="G2106">
        <v>15</v>
      </c>
    </row>
    <row r="2107" spans="1:7" x14ac:dyDescent="0.35">
      <c r="A2107">
        <v>45367</v>
      </c>
      <c r="B2107">
        <v>1002</v>
      </c>
      <c r="C2107" t="s">
        <v>13</v>
      </c>
      <c r="D2107">
        <v>6501</v>
      </c>
      <c r="E2107" t="s">
        <v>95</v>
      </c>
      <c r="F2107" t="s">
        <v>14</v>
      </c>
      <c r="G2107">
        <v>30</v>
      </c>
    </row>
    <row r="2108" spans="1:7" x14ac:dyDescent="0.35">
      <c r="A2108">
        <v>112496</v>
      </c>
      <c r="B2108">
        <v>0</v>
      </c>
      <c r="C2108" t="s">
        <v>32</v>
      </c>
      <c r="D2108">
        <v>0</v>
      </c>
      <c r="E2108" t="s">
        <v>92</v>
      </c>
      <c r="F2108" t="s">
        <v>17</v>
      </c>
      <c r="G2108">
        <v>10</v>
      </c>
    </row>
    <row r="2109" spans="1:7" x14ac:dyDescent="0.35">
      <c r="A2109">
        <v>119576</v>
      </c>
      <c r="B2109">
        <v>1</v>
      </c>
      <c r="C2109" t="s">
        <v>21</v>
      </c>
      <c r="D2109">
        <v>5901</v>
      </c>
      <c r="E2109" t="s">
        <v>93</v>
      </c>
      <c r="F2109" t="s">
        <v>14</v>
      </c>
      <c r="G2109">
        <v>9</v>
      </c>
    </row>
    <row r="2110" spans="1:7" x14ac:dyDescent="0.35">
      <c r="A2110">
        <v>9923</v>
      </c>
      <c r="B2110">
        <v>28</v>
      </c>
      <c r="C2110" t="s">
        <v>21</v>
      </c>
      <c r="D2110">
        <v>4501</v>
      </c>
      <c r="F2110" t="s">
        <v>17</v>
      </c>
      <c r="G2110">
        <v>14</v>
      </c>
    </row>
    <row r="2111" spans="1:7" x14ac:dyDescent="0.35">
      <c r="A2111">
        <v>69963</v>
      </c>
      <c r="B2111">
        <v>0</v>
      </c>
      <c r="C2111" t="s">
        <v>29</v>
      </c>
      <c r="D2111">
        <v>3908</v>
      </c>
      <c r="E2111" t="s">
        <v>97</v>
      </c>
      <c r="F2111" t="s">
        <v>17</v>
      </c>
      <c r="G2111">
        <v>25</v>
      </c>
    </row>
    <row r="2112" spans="1:7" x14ac:dyDescent="0.35">
      <c r="A2112">
        <v>32538</v>
      </c>
      <c r="B2112">
        <v>0</v>
      </c>
      <c r="C2112" t="s">
        <v>13</v>
      </c>
      <c r="D2112">
        <v>1509</v>
      </c>
      <c r="E2112" t="s">
        <v>90</v>
      </c>
      <c r="F2112" t="s">
        <v>17</v>
      </c>
      <c r="G2112">
        <v>6</v>
      </c>
    </row>
    <row r="2113" spans="1:7" x14ac:dyDescent="0.35">
      <c r="A2113">
        <v>175139</v>
      </c>
      <c r="B2113">
        <v>1</v>
      </c>
      <c r="C2113" t="s">
        <v>50</v>
      </c>
      <c r="D2113">
        <v>2812</v>
      </c>
      <c r="E2113" t="s">
        <v>89</v>
      </c>
      <c r="F2113" t="s">
        <v>14</v>
      </c>
      <c r="G2113">
        <v>15</v>
      </c>
    </row>
    <row r="2114" spans="1:7" x14ac:dyDescent="0.35">
      <c r="A2114">
        <v>138552</v>
      </c>
      <c r="B2114">
        <v>1</v>
      </c>
      <c r="C2114" t="s">
        <v>55</v>
      </c>
      <c r="D2114">
        <v>2103</v>
      </c>
      <c r="E2114" t="s">
        <v>90</v>
      </c>
      <c r="F2114" t="s">
        <v>14</v>
      </c>
      <c r="G2114">
        <v>10</v>
      </c>
    </row>
    <row r="2115" spans="1:7" x14ac:dyDescent="0.35">
      <c r="A2115">
        <v>160103</v>
      </c>
      <c r="B2115">
        <v>0</v>
      </c>
      <c r="C2115" t="s">
        <v>22</v>
      </c>
      <c r="D2115">
        <v>3601</v>
      </c>
      <c r="E2115" t="s">
        <v>90</v>
      </c>
      <c r="F2115" t="s">
        <v>17</v>
      </c>
      <c r="G2115">
        <v>5</v>
      </c>
    </row>
    <row r="2116" spans="1:7" x14ac:dyDescent="0.35">
      <c r="A2116">
        <v>152151</v>
      </c>
      <c r="B2116">
        <v>0</v>
      </c>
      <c r="C2116" t="s">
        <v>22</v>
      </c>
      <c r="D2116">
        <v>0</v>
      </c>
      <c r="E2116" t="s">
        <v>97</v>
      </c>
      <c r="F2116" t="s">
        <v>14</v>
      </c>
      <c r="G2116">
        <v>42</v>
      </c>
    </row>
    <row r="2117" spans="1:7" x14ac:dyDescent="0.35">
      <c r="A2117">
        <v>174271</v>
      </c>
      <c r="B2117">
        <v>1</v>
      </c>
      <c r="C2117" t="s">
        <v>37</v>
      </c>
      <c r="D2117">
        <v>0</v>
      </c>
      <c r="E2117" t="s">
        <v>95</v>
      </c>
      <c r="F2117" t="s">
        <v>14</v>
      </c>
      <c r="G2117">
        <v>18</v>
      </c>
    </row>
    <row r="2118" spans="1:7" x14ac:dyDescent="0.35">
      <c r="A2118">
        <v>41434</v>
      </c>
      <c r="B2118">
        <v>1002</v>
      </c>
      <c r="C2118" t="s">
        <v>13</v>
      </c>
      <c r="D2118">
        <v>4710</v>
      </c>
      <c r="E2118" t="s">
        <v>102</v>
      </c>
      <c r="F2118" t="s">
        <v>14</v>
      </c>
      <c r="G2118">
        <v>5</v>
      </c>
    </row>
    <row r="2119" spans="1:7" x14ac:dyDescent="0.35">
      <c r="A2119">
        <v>3312</v>
      </c>
      <c r="B2119">
        <v>1</v>
      </c>
      <c r="C2119" t="s">
        <v>35</v>
      </c>
      <c r="D2119">
        <v>5001</v>
      </c>
      <c r="E2119" t="s">
        <v>94</v>
      </c>
      <c r="F2119" t="s">
        <v>14</v>
      </c>
      <c r="G2119">
        <v>15</v>
      </c>
    </row>
    <row r="2120" spans="1:7" x14ac:dyDescent="0.35">
      <c r="A2120">
        <v>120805</v>
      </c>
      <c r="B2120">
        <v>0</v>
      </c>
      <c r="C2120" t="s">
        <v>21</v>
      </c>
      <c r="D2120">
        <v>3501</v>
      </c>
      <c r="E2120" t="s">
        <v>88</v>
      </c>
      <c r="F2120" t="s">
        <v>17</v>
      </c>
      <c r="G2120">
        <v>5</v>
      </c>
    </row>
    <row r="2121" spans="1:7" x14ac:dyDescent="0.35">
      <c r="A2121">
        <v>2889</v>
      </c>
      <c r="B2121">
        <v>2</v>
      </c>
      <c r="C2121" t="s">
        <v>31</v>
      </c>
      <c r="D2121">
        <v>1601</v>
      </c>
      <c r="E2121" t="s">
        <v>91</v>
      </c>
      <c r="F2121" t="s">
        <v>17</v>
      </c>
      <c r="G2121">
        <v>3</v>
      </c>
    </row>
    <row r="2122" spans="1:7" x14ac:dyDescent="0.35">
      <c r="A2122">
        <v>162271</v>
      </c>
      <c r="B2122">
        <v>0</v>
      </c>
      <c r="C2122" t="s">
        <v>22</v>
      </c>
      <c r="D2122">
        <v>0</v>
      </c>
      <c r="E2122" t="s">
        <v>93</v>
      </c>
      <c r="F2122" t="s">
        <v>14</v>
      </c>
      <c r="G2122">
        <v>15</v>
      </c>
    </row>
    <row r="2123" spans="1:7" x14ac:dyDescent="0.35">
      <c r="A2123">
        <v>74955</v>
      </c>
      <c r="B2123">
        <v>0</v>
      </c>
      <c r="C2123" t="s">
        <v>47</v>
      </c>
      <c r="D2123">
        <v>2411</v>
      </c>
      <c r="E2123" t="s">
        <v>104</v>
      </c>
      <c r="F2123" t="s">
        <v>17</v>
      </c>
      <c r="G2123">
        <v>10</v>
      </c>
    </row>
    <row r="2124" spans="1:7" x14ac:dyDescent="0.35">
      <c r="A2124">
        <v>151846</v>
      </c>
      <c r="B2124">
        <v>0</v>
      </c>
      <c r="C2124" t="s">
        <v>22</v>
      </c>
      <c r="D2124">
        <v>0</v>
      </c>
      <c r="E2124" t="s">
        <v>93</v>
      </c>
      <c r="F2124" t="s">
        <v>14</v>
      </c>
      <c r="G2124">
        <v>10</v>
      </c>
    </row>
    <row r="2125" spans="1:7" x14ac:dyDescent="0.35">
      <c r="A2125">
        <v>148546</v>
      </c>
      <c r="B2125">
        <v>1</v>
      </c>
      <c r="C2125" t="s">
        <v>22</v>
      </c>
      <c r="D2125">
        <v>1201</v>
      </c>
      <c r="E2125" t="s">
        <v>93</v>
      </c>
      <c r="F2125" t="s">
        <v>14</v>
      </c>
      <c r="G2125">
        <v>6</v>
      </c>
    </row>
    <row r="2126" spans="1:7" x14ac:dyDescent="0.35">
      <c r="A2126">
        <v>12837</v>
      </c>
      <c r="B2126">
        <v>28</v>
      </c>
      <c r="C2126" t="s">
        <v>16</v>
      </c>
      <c r="D2126">
        <v>5401</v>
      </c>
      <c r="E2126" t="s">
        <v>90</v>
      </c>
      <c r="F2126" t="s">
        <v>17</v>
      </c>
      <c r="G2126">
        <v>10</v>
      </c>
    </row>
    <row r="2127" spans="1:7" x14ac:dyDescent="0.35">
      <c r="A2127">
        <v>119868</v>
      </c>
      <c r="B2127">
        <v>0</v>
      </c>
      <c r="C2127" t="s">
        <v>21</v>
      </c>
      <c r="D2127">
        <v>1302</v>
      </c>
      <c r="E2127" t="s">
        <v>94</v>
      </c>
      <c r="F2127" t="s">
        <v>17</v>
      </c>
      <c r="G2127">
        <v>10</v>
      </c>
    </row>
    <row r="2128" spans="1:7" x14ac:dyDescent="0.35">
      <c r="A2128">
        <v>185517</v>
      </c>
      <c r="B2128">
        <v>1</v>
      </c>
      <c r="C2128" t="s">
        <v>22</v>
      </c>
      <c r="D2128">
        <v>3301</v>
      </c>
      <c r="E2128" t="s">
        <v>93</v>
      </c>
      <c r="F2128" t="s">
        <v>14</v>
      </c>
      <c r="G2128">
        <v>10</v>
      </c>
    </row>
    <row r="2129" spans="1:7" x14ac:dyDescent="0.35">
      <c r="A2129">
        <v>441</v>
      </c>
      <c r="B2129">
        <v>2</v>
      </c>
      <c r="C2129" t="s">
        <v>16</v>
      </c>
      <c r="D2129">
        <v>4101</v>
      </c>
      <c r="E2129" t="s">
        <v>102</v>
      </c>
      <c r="F2129" t="s">
        <v>17</v>
      </c>
      <c r="G2129">
        <v>10</v>
      </c>
    </row>
    <row r="2130" spans="1:7" x14ac:dyDescent="0.35">
      <c r="A2130">
        <v>132347</v>
      </c>
      <c r="B2130">
        <v>1</v>
      </c>
      <c r="C2130" t="s">
        <v>22</v>
      </c>
      <c r="D2130">
        <v>0</v>
      </c>
      <c r="E2130" t="s">
        <v>92</v>
      </c>
      <c r="F2130" t="s">
        <v>14</v>
      </c>
      <c r="G2130">
        <v>20</v>
      </c>
    </row>
    <row r="2131" spans="1:7" x14ac:dyDescent="0.35">
      <c r="A2131">
        <v>127444</v>
      </c>
      <c r="B2131">
        <v>1</v>
      </c>
      <c r="C2131" t="s">
        <v>48</v>
      </c>
      <c r="D2131">
        <v>5609</v>
      </c>
      <c r="E2131" t="s">
        <v>92</v>
      </c>
      <c r="F2131" t="s">
        <v>14</v>
      </c>
      <c r="G2131">
        <v>21</v>
      </c>
    </row>
    <row r="2132" spans="1:7" x14ac:dyDescent="0.35">
      <c r="A2132">
        <v>149767</v>
      </c>
      <c r="B2132">
        <v>1</v>
      </c>
      <c r="C2132" t="s">
        <v>22</v>
      </c>
      <c r="D2132">
        <v>2903</v>
      </c>
      <c r="E2132" t="s">
        <v>103</v>
      </c>
      <c r="F2132" t="s">
        <v>14</v>
      </c>
      <c r="G2132">
        <v>15</v>
      </c>
    </row>
    <row r="2133" spans="1:7" x14ac:dyDescent="0.35">
      <c r="A2133">
        <v>172315</v>
      </c>
      <c r="B2133">
        <v>2</v>
      </c>
      <c r="C2133" t="s">
        <v>22</v>
      </c>
      <c r="D2133">
        <v>1506</v>
      </c>
      <c r="E2133" t="s">
        <v>95</v>
      </c>
      <c r="F2133" t="s">
        <v>17</v>
      </c>
      <c r="G2133">
        <v>8</v>
      </c>
    </row>
    <row r="2134" spans="1:7" x14ac:dyDescent="0.35">
      <c r="A2134">
        <v>43001</v>
      </c>
      <c r="B2134">
        <v>0</v>
      </c>
      <c r="C2134" t="s">
        <v>13</v>
      </c>
      <c r="D2134">
        <v>0</v>
      </c>
      <c r="E2134" t="s">
        <v>88</v>
      </c>
      <c r="F2134" t="s">
        <v>17</v>
      </c>
      <c r="G2134">
        <v>15</v>
      </c>
    </row>
    <row r="2135" spans="1:7" x14ac:dyDescent="0.35">
      <c r="A2135">
        <v>15416</v>
      </c>
      <c r="B2135">
        <v>1</v>
      </c>
      <c r="C2135" t="s">
        <v>18</v>
      </c>
      <c r="D2135">
        <v>5001</v>
      </c>
      <c r="E2135" t="s">
        <v>88</v>
      </c>
      <c r="F2135" t="s">
        <v>14</v>
      </c>
      <c r="G2135">
        <v>30</v>
      </c>
    </row>
    <row r="2136" spans="1:7" x14ac:dyDescent="0.35">
      <c r="A2136">
        <v>141396</v>
      </c>
      <c r="B2136">
        <v>1</v>
      </c>
      <c r="C2136" t="s">
        <v>24</v>
      </c>
      <c r="D2136">
        <v>0</v>
      </c>
      <c r="E2136" t="s">
        <v>93</v>
      </c>
      <c r="F2136" t="s">
        <v>14</v>
      </c>
      <c r="G2136">
        <v>10</v>
      </c>
    </row>
    <row r="2137" spans="1:7" x14ac:dyDescent="0.35">
      <c r="A2137">
        <v>137743</v>
      </c>
      <c r="B2137">
        <v>2</v>
      </c>
      <c r="C2137" t="s">
        <v>55</v>
      </c>
      <c r="D2137">
        <v>2309</v>
      </c>
      <c r="E2137" t="s">
        <v>92</v>
      </c>
      <c r="F2137" t="s">
        <v>17</v>
      </c>
      <c r="G2137">
        <v>8</v>
      </c>
    </row>
    <row r="2138" spans="1:7" x14ac:dyDescent="0.35">
      <c r="A2138">
        <v>118487</v>
      </c>
      <c r="B2138">
        <v>0</v>
      </c>
      <c r="C2138" t="s">
        <v>21</v>
      </c>
      <c r="D2138">
        <v>6801</v>
      </c>
      <c r="E2138" t="s">
        <v>91</v>
      </c>
      <c r="F2138" t="s">
        <v>17</v>
      </c>
      <c r="G2138">
        <v>20</v>
      </c>
    </row>
    <row r="2139" spans="1:7" x14ac:dyDescent="0.35">
      <c r="A2139">
        <v>33393</v>
      </c>
      <c r="B2139">
        <v>28</v>
      </c>
      <c r="C2139" t="s">
        <v>13</v>
      </c>
      <c r="D2139">
        <v>5101</v>
      </c>
      <c r="E2139" t="s">
        <v>94</v>
      </c>
      <c r="F2139" t="s">
        <v>17</v>
      </c>
      <c r="G2139">
        <v>10</v>
      </c>
    </row>
    <row r="2140" spans="1:7" x14ac:dyDescent="0.35">
      <c r="A2140">
        <v>79622</v>
      </c>
      <c r="B2140">
        <v>202</v>
      </c>
      <c r="C2140" t="s">
        <v>35</v>
      </c>
      <c r="D2140">
        <v>1610</v>
      </c>
      <c r="E2140" t="s">
        <v>89</v>
      </c>
      <c r="F2140" t="s">
        <v>17</v>
      </c>
      <c r="G2140">
        <v>5</v>
      </c>
    </row>
    <row r="2141" spans="1:7" x14ac:dyDescent="0.35">
      <c r="A2141">
        <v>99209</v>
      </c>
      <c r="B2141">
        <v>2</v>
      </c>
      <c r="C2141" t="s">
        <v>16</v>
      </c>
      <c r="D2141">
        <v>701</v>
      </c>
      <c r="E2141" t="s">
        <v>88</v>
      </c>
      <c r="F2141" t="s">
        <v>17</v>
      </c>
      <c r="G2141">
        <v>3</v>
      </c>
    </row>
    <row r="2142" spans="1:7" x14ac:dyDescent="0.35">
      <c r="A2142">
        <v>23056</v>
      </c>
      <c r="B2142">
        <v>0</v>
      </c>
      <c r="C2142" t="s">
        <v>46</v>
      </c>
      <c r="D2142">
        <v>4601</v>
      </c>
      <c r="E2142" t="s">
        <v>93</v>
      </c>
      <c r="F2142" t="s">
        <v>17</v>
      </c>
      <c r="G2142" t="s">
        <v>106</v>
      </c>
    </row>
    <row r="2143" spans="1:7" x14ac:dyDescent="0.35">
      <c r="A2143">
        <v>105068</v>
      </c>
      <c r="B2143">
        <v>0</v>
      </c>
      <c r="C2143" t="s">
        <v>28</v>
      </c>
      <c r="D2143">
        <v>0</v>
      </c>
      <c r="E2143" t="s">
        <v>91</v>
      </c>
      <c r="F2143" t="s">
        <v>30</v>
      </c>
      <c r="G2143">
        <v>7</v>
      </c>
    </row>
    <row r="2144" spans="1:7" x14ac:dyDescent="0.35">
      <c r="A2144">
        <v>170479</v>
      </c>
      <c r="B2144">
        <v>0</v>
      </c>
      <c r="C2144" t="s">
        <v>22</v>
      </c>
      <c r="D2144">
        <v>4201</v>
      </c>
      <c r="E2144" t="s">
        <v>91</v>
      </c>
      <c r="F2144" t="s">
        <v>17</v>
      </c>
      <c r="G2144">
        <v>10</v>
      </c>
    </row>
    <row r="2145" spans="1:7" x14ac:dyDescent="0.35">
      <c r="A2145">
        <v>135174</v>
      </c>
      <c r="B2145">
        <v>28</v>
      </c>
      <c r="C2145" t="s">
        <v>55</v>
      </c>
      <c r="D2145">
        <v>3002</v>
      </c>
      <c r="E2145" t="s">
        <v>101</v>
      </c>
      <c r="F2145" t="s">
        <v>17</v>
      </c>
      <c r="G2145">
        <v>25</v>
      </c>
    </row>
    <row r="2146" spans="1:7" x14ac:dyDescent="0.35">
      <c r="A2146">
        <v>116669</v>
      </c>
      <c r="B2146">
        <v>1</v>
      </c>
      <c r="C2146" t="s">
        <v>21</v>
      </c>
      <c r="D2146">
        <v>3201</v>
      </c>
      <c r="E2146" t="s">
        <v>90</v>
      </c>
      <c r="F2146" t="s">
        <v>14</v>
      </c>
      <c r="G2146">
        <v>10</v>
      </c>
    </row>
    <row r="2147" spans="1:7" x14ac:dyDescent="0.35">
      <c r="A2147">
        <v>126415</v>
      </c>
      <c r="B2147">
        <v>1</v>
      </c>
      <c r="C2147" t="s">
        <v>21</v>
      </c>
      <c r="D2147">
        <v>3501</v>
      </c>
      <c r="E2147" t="s">
        <v>90</v>
      </c>
      <c r="F2147" t="s">
        <v>14</v>
      </c>
      <c r="G2147">
        <v>5</v>
      </c>
    </row>
    <row r="2148" spans="1:7" x14ac:dyDescent="0.35">
      <c r="A2148">
        <v>97736</v>
      </c>
      <c r="B2148">
        <v>1</v>
      </c>
      <c r="C2148" t="s">
        <v>16</v>
      </c>
      <c r="D2148">
        <v>5303</v>
      </c>
      <c r="E2148" t="s">
        <v>88</v>
      </c>
      <c r="F2148" t="s">
        <v>14</v>
      </c>
      <c r="G2148">
        <v>15</v>
      </c>
    </row>
    <row r="2149" spans="1:7" x14ac:dyDescent="0.35">
      <c r="A2149">
        <v>132437</v>
      </c>
      <c r="B2149">
        <v>2</v>
      </c>
      <c r="C2149" t="s">
        <v>48</v>
      </c>
      <c r="D2149">
        <v>3501</v>
      </c>
      <c r="E2149" t="s">
        <v>91</v>
      </c>
      <c r="F2149" t="s">
        <v>17</v>
      </c>
      <c r="G2149">
        <v>13</v>
      </c>
    </row>
    <row r="2150" spans="1:7" x14ac:dyDescent="0.35">
      <c r="A2150">
        <v>169198</v>
      </c>
      <c r="B2150">
        <v>0</v>
      </c>
      <c r="C2150" t="s">
        <v>22</v>
      </c>
      <c r="D2150">
        <v>4201</v>
      </c>
      <c r="E2150" t="s">
        <v>88</v>
      </c>
      <c r="F2150" t="s">
        <v>17</v>
      </c>
      <c r="G2150">
        <v>25</v>
      </c>
    </row>
    <row r="2151" spans="1:7" x14ac:dyDescent="0.35">
      <c r="A2151">
        <v>126949</v>
      </c>
      <c r="B2151">
        <v>0</v>
      </c>
      <c r="C2151" t="s">
        <v>21</v>
      </c>
      <c r="D2151">
        <v>4001</v>
      </c>
      <c r="E2151" t="s">
        <v>96</v>
      </c>
      <c r="F2151" t="s">
        <v>17</v>
      </c>
      <c r="G2151">
        <v>10</v>
      </c>
    </row>
    <row r="2152" spans="1:7" x14ac:dyDescent="0.35">
      <c r="A2152">
        <v>24040</v>
      </c>
      <c r="B2152">
        <v>2</v>
      </c>
      <c r="C2152" t="s">
        <v>46</v>
      </c>
      <c r="D2152">
        <v>3504</v>
      </c>
      <c r="E2152" t="s">
        <v>94</v>
      </c>
      <c r="F2152" t="s">
        <v>14</v>
      </c>
      <c r="G2152">
        <v>20</v>
      </c>
    </row>
    <row r="2153" spans="1:7" x14ac:dyDescent="0.35">
      <c r="A2153">
        <v>51692</v>
      </c>
      <c r="B2153">
        <v>0</v>
      </c>
      <c r="C2153" t="s">
        <v>53</v>
      </c>
      <c r="D2153">
        <v>2607</v>
      </c>
      <c r="E2153" t="s">
        <v>94</v>
      </c>
      <c r="F2153" t="s">
        <v>17</v>
      </c>
      <c r="G2153">
        <v>15</v>
      </c>
    </row>
    <row r="2154" spans="1:7" x14ac:dyDescent="0.35">
      <c r="A2154">
        <v>38539</v>
      </c>
      <c r="B2154">
        <v>0</v>
      </c>
      <c r="C2154" t="s">
        <v>13</v>
      </c>
      <c r="D2154">
        <v>3205</v>
      </c>
      <c r="E2154" t="s">
        <v>92</v>
      </c>
      <c r="F2154" t="s">
        <v>17</v>
      </c>
      <c r="G2154">
        <v>13</v>
      </c>
    </row>
    <row r="2155" spans="1:7" x14ac:dyDescent="0.35">
      <c r="A2155">
        <v>181462</v>
      </c>
      <c r="B2155">
        <v>2</v>
      </c>
      <c r="C2155" t="s">
        <v>40</v>
      </c>
      <c r="D2155">
        <v>2001</v>
      </c>
      <c r="E2155" t="s">
        <v>100</v>
      </c>
      <c r="F2155" t="s">
        <v>17</v>
      </c>
      <c r="G2155">
        <v>23</v>
      </c>
    </row>
    <row r="2156" spans="1:7" x14ac:dyDescent="0.35">
      <c r="A2156">
        <v>153771</v>
      </c>
      <c r="B2156">
        <v>0</v>
      </c>
      <c r="C2156" t="s">
        <v>22</v>
      </c>
      <c r="D2156">
        <v>3201</v>
      </c>
      <c r="E2156" t="s">
        <v>92</v>
      </c>
      <c r="F2156" t="s">
        <v>17</v>
      </c>
      <c r="G2156">
        <v>25</v>
      </c>
    </row>
    <row r="2157" spans="1:7" x14ac:dyDescent="0.35">
      <c r="A2157">
        <v>25558</v>
      </c>
      <c r="B2157">
        <v>1</v>
      </c>
      <c r="C2157" t="s">
        <v>39</v>
      </c>
      <c r="D2157">
        <v>4901</v>
      </c>
      <c r="E2157" t="s">
        <v>88</v>
      </c>
      <c r="F2157" t="s">
        <v>14</v>
      </c>
      <c r="G2157">
        <v>15</v>
      </c>
    </row>
    <row r="2158" spans="1:7" x14ac:dyDescent="0.35">
      <c r="A2158">
        <v>182916</v>
      </c>
      <c r="B2158">
        <v>28</v>
      </c>
      <c r="C2158" t="s">
        <v>40</v>
      </c>
      <c r="D2158">
        <v>3401</v>
      </c>
      <c r="E2158" t="s">
        <v>88</v>
      </c>
      <c r="F2158" t="s">
        <v>17</v>
      </c>
      <c r="G2158">
        <v>25</v>
      </c>
    </row>
    <row r="2159" spans="1:7" x14ac:dyDescent="0.35">
      <c r="A2159">
        <v>162213</v>
      </c>
      <c r="B2159">
        <v>1</v>
      </c>
      <c r="C2159" t="s">
        <v>22</v>
      </c>
      <c r="D2159">
        <v>2201</v>
      </c>
      <c r="E2159" t="s">
        <v>93</v>
      </c>
      <c r="F2159" t="s">
        <v>14</v>
      </c>
      <c r="G2159">
        <v>7</v>
      </c>
    </row>
    <row r="2160" spans="1:7" x14ac:dyDescent="0.35">
      <c r="A2160">
        <v>177039</v>
      </c>
      <c r="B2160">
        <v>0</v>
      </c>
      <c r="C2160" t="s">
        <v>50</v>
      </c>
      <c r="D2160">
        <v>2206</v>
      </c>
      <c r="E2160" t="s">
        <v>91</v>
      </c>
      <c r="F2160" t="s">
        <v>17</v>
      </c>
      <c r="G2160">
        <v>21</v>
      </c>
    </row>
    <row r="2161" spans="1:7" x14ac:dyDescent="0.35">
      <c r="A2161">
        <v>107264</v>
      </c>
      <c r="B2161">
        <v>2</v>
      </c>
      <c r="C2161" t="s">
        <v>59</v>
      </c>
      <c r="D2161">
        <v>5201</v>
      </c>
      <c r="E2161" t="s">
        <v>92</v>
      </c>
      <c r="F2161" t="s">
        <v>14</v>
      </c>
      <c r="G2161">
        <v>20</v>
      </c>
    </row>
    <row r="2162" spans="1:7" x14ac:dyDescent="0.35">
      <c r="A2162">
        <v>60708</v>
      </c>
      <c r="B2162">
        <v>2</v>
      </c>
      <c r="C2162" t="s">
        <v>33</v>
      </c>
      <c r="D2162">
        <v>0</v>
      </c>
      <c r="E2162" t="s">
        <v>89</v>
      </c>
      <c r="F2162" t="s">
        <v>30</v>
      </c>
      <c r="G2162">
        <v>5</v>
      </c>
    </row>
    <row r="2163" spans="1:7" x14ac:dyDescent="0.35">
      <c r="A2163">
        <v>12234</v>
      </c>
      <c r="B2163">
        <v>0</v>
      </c>
      <c r="C2163" t="s">
        <v>22</v>
      </c>
      <c r="D2163">
        <v>2201</v>
      </c>
      <c r="E2163" t="s">
        <v>88</v>
      </c>
      <c r="F2163" t="s">
        <v>17</v>
      </c>
      <c r="G2163">
        <v>10</v>
      </c>
    </row>
    <row r="2164" spans="1:7" x14ac:dyDescent="0.35">
      <c r="A2164">
        <v>59240</v>
      </c>
      <c r="B2164">
        <v>0</v>
      </c>
      <c r="C2164" t="s">
        <v>33</v>
      </c>
      <c r="D2164">
        <v>0</v>
      </c>
      <c r="E2164" t="s">
        <v>93</v>
      </c>
      <c r="F2164" t="s">
        <v>17</v>
      </c>
      <c r="G2164">
        <v>10</v>
      </c>
    </row>
    <row r="2165" spans="1:7" x14ac:dyDescent="0.35">
      <c r="A2165">
        <v>127028</v>
      </c>
      <c r="B2165">
        <v>0</v>
      </c>
      <c r="C2165" t="s">
        <v>21</v>
      </c>
      <c r="D2165">
        <v>0</v>
      </c>
      <c r="E2165" t="s">
        <v>90</v>
      </c>
      <c r="F2165" t="s">
        <v>17</v>
      </c>
      <c r="G2165">
        <v>18</v>
      </c>
    </row>
    <row r="2166" spans="1:7" x14ac:dyDescent="0.35">
      <c r="A2166">
        <v>72321</v>
      </c>
      <c r="B2166">
        <v>1</v>
      </c>
      <c r="C2166" t="s">
        <v>29</v>
      </c>
      <c r="D2166">
        <v>0</v>
      </c>
      <c r="E2166" t="s">
        <v>91</v>
      </c>
      <c r="F2166" t="s">
        <v>14</v>
      </c>
      <c r="G2166">
        <v>10</v>
      </c>
    </row>
    <row r="2167" spans="1:7" x14ac:dyDescent="0.35">
      <c r="A2167">
        <v>161309</v>
      </c>
      <c r="B2167">
        <v>1</v>
      </c>
      <c r="C2167" t="s">
        <v>22</v>
      </c>
      <c r="D2167">
        <v>5509</v>
      </c>
      <c r="E2167" t="s">
        <v>100</v>
      </c>
      <c r="F2167" t="s">
        <v>14</v>
      </c>
      <c r="G2167">
        <v>18</v>
      </c>
    </row>
    <row r="2168" spans="1:7" x14ac:dyDescent="0.35">
      <c r="A2168">
        <v>58991</v>
      </c>
      <c r="B2168">
        <v>1</v>
      </c>
      <c r="C2168" t="s">
        <v>57</v>
      </c>
      <c r="D2168">
        <v>3302</v>
      </c>
      <c r="E2168" t="s">
        <v>98</v>
      </c>
      <c r="F2168" t="s">
        <v>14</v>
      </c>
      <c r="G2168">
        <v>10</v>
      </c>
    </row>
    <row r="2169" spans="1:7" x14ac:dyDescent="0.35">
      <c r="A2169">
        <v>136772</v>
      </c>
      <c r="B2169">
        <v>980</v>
      </c>
      <c r="C2169" t="s">
        <v>55</v>
      </c>
      <c r="D2169">
        <v>5206</v>
      </c>
      <c r="E2169" t="s">
        <v>90</v>
      </c>
      <c r="G2169">
        <v>19</v>
      </c>
    </row>
    <row r="2170" spans="1:7" x14ac:dyDescent="0.35">
      <c r="A2170">
        <v>190560</v>
      </c>
      <c r="B2170">
        <v>0</v>
      </c>
      <c r="C2170" t="s">
        <v>28</v>
      </c>
      <c r="D2170">
        <v>2601</v>
      </c>
      <c r="F2170" t="s">
        <v>14</v>
      </c>
      <c r="G2170">
        <v>5</v>
      </c>
    </row>
    <row r="2171" spans="1:7" x14ac:dyDescent="0.35">
      <c r="A2171">
        <v>158022</v>
      </c>
      <c r="B2171">
        <v>0</v>
      </c>
      <c r="C2171" t="s">
        <v>22</v>
      </c>
      <c r="D2171">
        <v>1801</v>
      </c>
      <c r="E2171" t="s">
        <v>92</v>
      </c>
      <c r="F2171" t="s">
        <v>17</v>
      </c>
      <c r="G2171">
        <v>15</v>
      </c>
    </row>
    <row r="2172" spans="1:7" x14ac:dyDescent="0.35">
      <c r="A2172">
        <v>177260</v>
      </c>
      <c r="B2172">
        <v>1</v>
      </c>
      <c r="C2172" t="s">
        <v>50</v>
      </c>
      <c r="D2172">
        <v>4606</v>
      </c>
      <c r="E2172" t="s">
        <v>91</v>
      </c>
      <c r="F2172" t="s">
        <v>14</v>
      </c>
      <c r="G2172">
        <v>2</v>
      </c>
    </row>
    <row r="2173" spans="1:7" x14ac:dyDescent="0.35">
      <c r="A2173">
        <v>179257</v>
      </c>
      <c r="B2173">
        <v>1</v>
      </c>
      <c r="C2173" t="s">
        <v>40</v>
      </c>
      <c r="D2173">
        <v>6201</v>
      </c>
      <c r="E2173" t="s">
        <v>93</v>
      </c>
      <c r="F2173" t="s">
        <v>14</v>
      </c>
      <c r="G2173">
        <v>10</v>
      </c>
    </row>
    <row r="2174" spans="1:7" x14ac:dyDescent="0.35">
      <c r="A2174">
        <v>13434</v>
      </c>
      <c r="B2174">
        <v>2</v>
      </c>
      <c r="C2174" t="s">
        <v>18</v>
      </c>
      <c r="D2174">
        <v>2202</v>
      </c>
      <c r="E2174" t="s">
        <v>91</v>
      </c>
      <c r="F2174" t="s">
        <v>14</v>
      </c>
      <c r="G2174">
        <v>15</v>
      </c>
    </row>
    <row r="2175" spans="1:7" x14ac:dyDescent="0.35">
      <c r="A2175">
        <v>45351</v>
      </c>
      <c r="B2175">
        <v>2</v>
      </c>
      <c r="C2175" t="s">
        <v>13</v>
      </c>
      <c r="D2175">
        <v>2906</v>
      </c>
      <c r="E2175" t="s">
        <v>88</v>
      </c>
      <c r="F2175" t="s">
        <v>17</v>
      </c>
      <c r="G2175">
        <v>25</v>
      </c>
    </row>
    <row r="2176" spans="1:7" x14ac:dyDescent="0.35">
      <c r="A2176">
        <v>102534</v>
      </c>
      <c r="B2176">
        <v>2</v>
      </c>
      <c r="C2176" t="s">
        <v>55</v>
      </c>
      <c r="D2176">
        <v>2209</v>
      </c>
      <c r="E2176" t="s">
        <v>94</v>
      </c>
      <c r="F2176" t="s">
        <v>14</v>
      </c>
      <c r="G2176">
        <v>10</v>
      </c>
    </row>
    <row r="2177" spans="1:7" x14ac:dyDescent="0.35">
      <c r="A2177">
        <v>134159</v>
      </c>
      <c r="B2177">
        <v>0</v>
      </c>
      <c r="C2177" t="s">
        <v>38</v>
      </c>
      <c r="D2177">
        <v>0</v>
      </c>
      <c r="E2177" t="s">
        <v>89</v>
      </c>
      <c r="F2177" t="s">
        <v>17</v>
      </c>
      <c r="G2177">
        <v>15</v>
      </c>
    </row>
    <row r="2178" spans="1:7" x14ac:dyDescent="0.35">
      <c r="A2178">
        <v>59746</v>
      </c>
      <c r="B2178">
        <v>2</v>
      </c>
      <c r="C2178" t="s">
        <v>33</v>
      </c>
      <c r="D2178">
        <v>0</v>
      </c>
      <c r="E2178" t="s">
        <v>89</v>
      </c>
      <c r="F2178" t="s">
        <v>17</v>
      </c>
      <c r="G2178">
        <v>4</v>
      </c>
    </row>
    <row r="2179" spans="1:7" x14ac:dyDescent="0.35">
      <c r="A2179">
        <v>102953</v>
      </c>
      <c r="B2179">
        <v>0</v>
      </c>
      <c r="C2179" t="s">
        <v>36</v>
      </c>
      <c r="D2179">
        <v>5601</v>
      </c>
      <c r="E2179" t="s">
        <v>89</v>
      </c>
      <c r="F2179" t="s">
        <v>17</v>
      </c>
      <c r="G2179">
        <v>21</v>
      </c>
    </row>
    <row r="2180" spans="1:7" x14ac:dyDescent="0.35">
      <c r="A2180">
        <v>149598</v>
      </c>
      <c r="B2180">
        <v>2</v>
      </c>
      <c r="C2180" t="s">
        <v>22</v>
      </c>
      <c r="D2180">
        <v>710</v>
      </c>
      <c r="E2180" t="s">
        <v>95</v>
      </c>
      <c r="F2180" t="s">
        <v>17</v>
      </c>
      <c r="G2180">
        <v>10</v>
      </c>
    </row>
    <row r="2181" spans="1:7" x14ac:dyDescent="0.35">
      <c r="A2181">
        <v>45968</v>
      </c>
      <c r="B2181">
        <v>0</v>
      </c>
      <c r="C2181" t="s">
        <v>13</v>
      </c>
      <c r="D2181">
        <v>6101</v>
      </c>
      <c r="E2181" t="s">
        <v>91</v>
      </c>
      <c r="F2181" t="s">
        <v>17</v>
      </c>
      <c r="G2181">
        <v>18</v>
      </c>
    </row>
    <row r="2182" spans="1:7" x14ac:dyDescent="0.35">
      <c r="A2182">
        <v>94486</v>
      </c>
      <c r="B2182">
        <v>1</v>
      </c>
      <c r="C2182" t="s">
        <v>16</v>
      </c>
      <c r="D2182">
        <v>1501</v>
      </c>
      <c r="E2182" t="s">
        <v>95</v>
      </c>
      <c r="F2182" t="s">
        <v>14</v>
      </c>
      <c r="G2182">
        <v>6</v>
      </c>
    </row>
    <row r="2183" spans="1:7" x14ac:dyDescent="0.35">
      <c r="A2183">
        <v>165641</v>
      </c>
      <c r="B2183">
        <v>2</v>
      </c>
      <c r="C2183" t="s">
        <v>22</v>
      </c>
      <c r="D2183">
        <v>2501</v>
      </c>
      <c r="E2183" t="s">
        <v>95</v>
      </c>
      <c r="F2183" t="s">
        <v>17</v>
      </c>
      <c r="G2183">
        <v>4</v>
      </c>
    </row>
    <row r="2184" spans="1:7" x14ac:dyDescent="0.35">
      <c r="A2184">
        <v>19779</v>
      </c>
      <c r="B2184">
        <v>1</v>
      </c>
      <c r="C2184" t="s">
        <v>18</v>
      </c>
      <c r="D2184">
        <v>4301</v>
      </c>
      <c r="E2184" t="s">
        <v>93</v>
      </c>
      <c r="F2184" t="s">
        <v>14</v>
      </c>
      <c r="G2184">
        <v>15</v>
      </c>
    </row>
    <row r="2185" spans="1:7" x14ac:dyDescent="0.35">
      <c r="A2185">
        <v>1249</v>
      </c>
      <c r="B2185">
        <v>1</v>
      </c>
      <c r="C2185" t="s">
        <v>16</v>
      </c>
      <c r="D2185">
        <v>0</v>
      </c>
      <c r="E2185" t="s">
        <v>90</v>
      </c>
      <c r="F2185" t="s">
        <v>14</v>
      </c>
      <c r="G2185">
        <v>32</v>
      </c>
    </row>
    <row r="2186" spans="1:7" x14ac:dyDescent="0.35">
      <c r="A2186">
        <v>57119</v>
      </c>
      <c r="B2186">
        <v>2</v>
      </c>
      <c r="C2186" t="s">
        <v>57</v>
      </c>
      <c r="D2186">
        <v>2111</v>
      </c>
      <c r="E2186" t="s">
        <v>89</v>
      </c>
      <c r="F2186" t="s">
        <v>14</v>
      </c>
      <c r="G2186">
        <v>20</v>
      </c>
    </row>
    <row r="2187" spans="1:7" x14ac:dyDescent="0.35">
      <c r="A2187">
        <v>158615</v>
      </c>
      <c r="B2187">
        <v>0</v>
      </c>
      <c r="C2187" t="s">
        <v>22</v>
      </c>
      <c r="D2187">
        <v>2601</v>
      </c>
      <c r="E2187" t="s">
        <v>93</v>
      </c>
      <c r="F2187" t="s">
        <v>17</v>
      </c>
      <c r="G2187">
        <v>15</v>
      </c>
    </row>
    <row r="2188" spans="1:7" x14ac:dyDescent="0.35">
      <c r="A2188">
        <v>153353</v>
      </c>
      <c r="B2188">
        <v>2</v>
      </c>
      <c r="C2188" t="s">
        <v>22</v>
      </c>
      <c r="D2188">
        <v>2710</v>
      </c>
      <c r="E2188" t="s">
        <v>102</v>
      </c>
      <c r="F2188" t="s">
        <v>17</v>
      </c>
      <c r="G2188">
        <v>27</v>
      </c>
    </row>
    <row r="2189" spans="1:7" x14ac:dyDescent="0.35">
      <c r="A2189">
        <v>42686</v>
      </c>
      <c r="B2189">
        <v>0</v>
      </c>
      <c r="C2189" t="s">
        <v>13</v>
      </c>
      <c r="D2189">
        <v>0</v>
      </c>
      <c r="E2189" t="s">
        <v>88</v>
      </c>
      <c r="F2189" t="s">
        <v>17</v>
      </c>
      <c r="G2189">
        <v>20</v>
      </c>
    </row>
    <row r="2190" spans="1:7" x14ac:dyDescent="0.35">
      <c r="A2190">
        <v>71744</v>
      </c>
      <c r="B2190">
        <v>1</v>
      </c>
      <c r="C2190" t="s">
        <v>29</v>
      </c>
      <c r="D2190">
        <v>1104</v>
      </c>
      <c r="E2190" t="s">
        <v>88</v>
      </c>
      <c r="F2190" t="s">
        <v>14</v>
      </c>
      <c r="G2190">
        <v>36</v>
      </c>
    </row>
    <row r="2191" spans="1:7" x14ac:dyDescent="0.35">
      <c r="A2191">
        <v>116608</v>
      </c>
      <c r="B2191">
        <v>2</v>
      </c>
      <c r="C2191" t="s">
        <v>21</v>
      </c>
      <c r="D2191">
        <v>2201</v>
      </c>
      <c r="E2191" t="s">
        <v>91</v>
      </c>
      <c r="F2191" t="s">
        <v>17</v>
      </c>
      <c r="G2191">
        <v>25</v>
      </c>
    </row>
    <row r="2192" spans="1:7" x14ac:dyDescent="0.35">
      <c r="A2192">
        <v>176138</v>
      </c>
      <c r="B2192">
        <v>2</v>
      </c>
      <c r="C2192" t="s">
        <v>50</v>
      </c>
      <c r="D2192">
        <v>0</v>
      </c>
      <c r="E2192" t="s">
        <v>88</v>
      </c>
      <c r="F2192" t="s">
        <v>14</v>
      </c>
      <c r="G2192">
        <v>10</v>
      </c>
    </row>
    <row r="2193" spans="1:7" x14ac:dyDescent="0.35">
      <c r="A2193">
        <v>190789</v>
      </c>
      <c r="B2193">
        <v>0</v>
      </c>
      <c r="C2193" t="s">
        <v>29</v>
      </c>
      <c r="D2193">
        <v>1707</v>
      </c>
      <c r="E2193" t="s">
        <v>93</v>
      </c>
      <c r="F2193" t="s">
        <v>14</v>
      </c>
      <c r="G2193">
        <v>18</v>
      </c>
    </row>
    <row r="2194" spans="1:7" x14ac:dyDescent="0.35">
      <c r="A2194">
        <v>109450</v>
      </c>
      <c r="B2194">
        <v>2</v>
      </c>
      <c r="C2194" t="s">
        <v>49</v>
      </c>
      <c r="D2194">
        <v>2501</v>
      </c>
      <c r="E2194" t="s">
        <v>89</v>
      </c>
      <c r="F2194" t="s">
        <v>17</v>
      </c>
      <c r="G2194">
        <v>11</v>
      </c>
    </row>
    <row r="2195" spans="1:7" x14ac:dyDescent="0.35">
      <c r="A2195">
        <v>102741</v>
      </c>
      <c r="B2195">
        <v>0</v>
      </c>
      <c r="C2195" t="s">
        <v>36</v>
      </c>
      <c r="D2195">
        <v>2201</v>
      </c>
      <c r="E2195" t="s">
        <v>91</v>
      </c>
      <c r="F2195" t="s">
        <v>17</v>
      </c>
      <c r="G2195">
        <v>20</v>
      </c>
    </row>
    <row r="2196" spans="1:7" x14ac:dyDescent="0.35">
      <c r="A2196">
        <v>59598</v>
      </c>
      <c r="B2196">
        <v>2</v>
      </c>
      <c r="C2196" t="s">
        <v>33</v>
      </c>
      <c r="D2196">
        <v>0</v>
      </c>
      <c r="E2196" t="s">
        <v>89</v>
      </c>
      <c r="F2196" t="s">
        <v>14</v>
      </c>
      <c r="G2196">
        <v>15</v>
      </c>
    </row>
    <row r="2197" spans="1:7" x14ac:dyDescent="0.35">
      <c r="A2197">
        <v>157481</v>
      </c>
      <c r="B2197">
        <v>0</v>
      </c>
      <c r="C2197" t="s">
        <v>22</v>
      </c>
      <c r="D2197">
        <v>5201</v>
      </c>
      <c r="E2197" t="s">
        <v>93</v>
      </c>
      <c r="G2197">
        <v>19</v>
      </c>
    </row>
    <row r="2198" spans="1:7" x14ac:dyDescent="0.35">
      <c r="A2198">
        <v>21922</v>
      </c>
      <c r="B2198">
        <v>0</v>
      </c>
      <c r="C2198" t="s">
        <v>18</v>
      </c>
      <c r="D2198">
        <v>3001</v>
      </c>
      <c r="E2198" t="s">
        <v>98</v>
      </c>
      <c r="F2198" t="s">
        <v>17</v>
      </c>
      <c r="G2198">
        <v>20</v>
      </c>
    </row>
    <row r="2199" spans="1:7" x14ac:dyDescent="0.35">
      <c r="A2199">
        <v>35908</v>
      </c>
      <c r="B2199">
        <v>0</v>
      </c>
      <c r="C2199" t="s">
        <v>13</v>
      </c>
      <c r="D2199">
        <v>5001</v>
      </c>
      <c r="E2199" t="s">
        <v>90</v>
      </c>
      <c r="F2199" t="s">
        <v>17</v>
      </c>
      <c r="G2199">
        <v>20</v>
      </c>
    </row>
    <row r="2200" spans="1:7" x14ac:dyDescent="0.35">
      <c r="A2200">
        <v>105331</v>
      </c>
      <c r="B2200">
        <v>1</v>
      </c>
      <c r="C2200" t="s">
        <v>28</v>
      </c>
      <c r="D2200">
        <v>4801</v>
      </c>
      <c r="E2200" t="s">
        <v>91</v>
      </c>
      <c r="F2200" t="s">
        <v>14</v>
      </c>
      <c r="G2200">
        <v>20</v>
      </c>
    </row>
    <row r="2201" spans="1:7" x14ac:dyDescent="0.35">
      <c r="A2201">
        <v>157728</v>
      </c>
      <c r="B2201">
        <v>1</v>
      </c>
      <c r="C2201" t="s">
        <v>22</v>
      </c>
      <c r="D2201">
        <v>0</v>
      </c>
      <c r="E2201" t="s">
        <v>90</v>
      </c>
      <c r="F2201" t="s">
        <v>14</v>
      </c>
      <c r="G2201">
        <v>20</v>
      </c>
    </row>
    <row r="2202" spans="1:7" x14ac:dyDescent="0.35">
      <c r="A2202">
        <v>81073</v>
      </c>
      <c r="B2202">
        <v>2</v>
      </c>
      <c r="C2202" t="s">
        <v>35</v>
      </c>
      <c r="D2202">
        <v>4701</v>
      </c>
      <c r="E2202" t="s">
        <v>88</v>
      </c>
      <c r="F2202" t="s">
        <v>17</v>
      </c>
      <c r="G2202">
        <v>10</v>
      </c>
    </row>
    <row r="2203" spans="1:7" x14ac:dyDescent="0.35">
      <c r="A2203">
        <v>38471</v>
      </c>
      <c r="B2203">
        <v>2</v>
      </c>
      <c r="C2203" t="s">
        <v>13</v>
      </c>
      <c r="D2203">
        <v>5001</v>
      </c>
      <c r="F2203" t="s">
        <v>17</v>
      </c>
      <c r="G2203">
        <v>25</v>
      </c>
    </row>
    <row r="2204" spans="1:7" x14ac:dyDescent="0.35">
      <c r="A2204">
        <v>163675</v>
      </c>
      <c r="B2204">
        <v>0</v>
      </c>
      <c r="C2204" t="s">
        <v>22</v>
      </c>
      <c r="D2204">
        <v>3501</v>
      </c>
      <c r="E2204" t="s">
        <v>103</v>
      </c>
      <c r="G2204">
        <v>10</v>
      </c>
    </row>
    <row r="2205" spans="1:7" x14ac:dyDescent="0.35">
      <c r="A2205">
        <v>11195</v>
      </c>
      <c r="B2205">
        <v>2</v>
      </c>
      <c r="C2205" t="s">
        <v>34</v>
      </c>
      <c r="D2205">
        <v>1801</v>
      </c>
      <c r="E2205" t="s">
        <v>88</v>
      </c>
      <c r="F2205" t="s">
        <v>14</v>
      </c>
      <c r="G2205">
        <v>10</v>
      </c>
    </row>
    <row r="2206" spans="1:7" x14ac:dyDescent="0.35">
      <c r="A2206">
        <v>5144</v>
      </c>
      <c r="B2206">
        <v>1</v>
      </c>
      <c r="C2206" t="s">
        <v>21</v>
      </c>
      <c r="D2206">
        <v>0</v>
      </c>
      <c r="E2206" t="s">
        <v>88</v>
      </c>
      <c r="F2206" t="s">
        <v>14</v>
      </c>
      <c r="G2206">
        <v>15</v>
      </c>
    </row>
    <row r="2207" spans="1:7" x14ac:dyDescent="0.35">
      <c r="A2207">
        <v>37221</v>
      </c>
      <c r="B2207">
        <v>0</v>
      </c>
      <c r="C2207" t="s">
        <v>13</v>
      </c>
      <c r="D2207">
        <v>1107</v>
      </c>
      <c r="E2207" t="s">
        <v>101</v>
      </c>
      <c r="F2207" t="s">
        <v>14</v>
      </c>
      <c r="G2207">
        <v>6</v>
      </c>
    </row>
    <row r="2208" spans="1:7" x14ac:dyDescent="0.35">
      <c r="A2208">
        <v>187959</v>
      </c>
      <c r="B2208">
        <v>0</v>
      </c>
      <c r="C2208" t="s">
        <v>18</v>
      </c>
      <c r="D2208">
        <v>0</v>
      </c>
      <c r="E2208" t="s">
        <v>89</v>
      </c>
      <c r="G2208">
        <v>10</v>
      </c>
    </row>
    <row r="2209" spans="1:7" x14ac:dyDescent="0.35">
      <c r="A2209">
        <v>95536</v>
      </c>
      <c r="B2209">
        <v>28</v>
      </c>
      <c r="C2209" t="s">
        <v>16</v>
      </c>
      <c r="D2209">
        <v>4601</v>
      </c>
      <c r="E2209" t="s">
        <v>89</v>
      </c>
      <c r="F2209" t="s">
        <v>17</v>
      </c>
      <c r="G2209">
        <v>20</v>
      </c>
    </row>
    <row r="2210" spans="1:7" x14ac:dyDescent="0.35">
      <c r="A2210">
        <v>103330</v>
      </c>
      <c r="B2210">
        <v>0</v>
      </c>
      <c r="C2210" t="s">
        <v>36</v>
      </c>
      <c r="D2210">
        <v>4508</v>
      </c>
      <c r="E2210" t="s">
        <v>94</v>
      </c>
      <c r="F2210" t="s">
        <v>17</v>
      </c>
      <c r="G2210">
        <v>50</v>
      </c>
    </row>
    <row r="2211" spans="1:7" x14ac:dyDescent="0.35">
      <c r="A2211">
        <v>174360</v>
      </c>
      <c r="B2211">
        <v>0</v>
      </c>
      <c r="C2211" t="s">
        <v>50</v>
      </c>
      <c r="D2211">
        <v>5408</v>
      </c>
      <c r="E2211" t="s">
        <v>93</v>
      </c>
      <c r="F2211" t="s">
        <v>17</v>
      </c>
      <c r="G2211">
        <v>11</v>
      </c>
    </row>
    <row r="2212" spans="1:7" x14ac:dyDescent="0.35">
      <c r="A2212">
        <v>173805</v>
      </c>
      <c r="B2212">
        <v>28</v>
      </c>
      <c r="C2212" t="s">
        <v>37</v>
      </c>
      <c r="D2212">
        <v>1501</v>
      </c>
      <c r="E2212" t="s">
        <v>94</v>
      </c>
      <c r="F2212" t="s">
        <v>17</v>
      </c>
      <c r="G2212">
        <v>50</v>
      </c>
    </row>
    <row r="2213" spans="1:7" x14ac:dyDescent="0.35">
      <c r="A2213">
        <v>30745</v>
      </c>
      <c r="B2213">
        <v>0</v>
      </c>
      <c r="C2213" t="s">
        <v>39</v>
      </c>
      <c r="D2213">
        <v>0</v>
      </c>
      <c r="E2213" t="s">
        <v>104</v>
      </c>
      <c r="F2213" t="s">
        <v>17</v>
      </c>
      <c r="G2213">
        <v>25</v>
      </c>
    </row>
    <row r="2214" spans="1:7" x14ac:dyDescent="0.35">
      <c r="A2214">
        <v>20645</v>
      </c>
      <c r="B2214">
        <v>0</v>
      </c>
      <c r="C2214" t="s">
        <v>18</v>
      </c>
      <c r="D2214">
        <v>0</v>
      </c>
      <c r="E2214" t="s">
        <v>98</v>
      </c>
      <c r="F2214" t="s">
        <v>17</v>
      </c>
      <c r="G2214">
        <v>10</v>
      </c>
    </row>
    <row r="2215" spans="1:7" x14ac:dyDescent="0.35">
      <c r="A2215">
        <v>27928</v>
      </c>
      <c r="B2215">
        <v>1</v>
      </c>
      <c r="C2215" t="s">
        <v>39</v>
      </c>
      <c r="D2215">
        <v>1804</v>
      </c>
      <c r="E2215" t="s">
        <v>94</v>
      </c>
      <c r="F2215" t="s">
        <v>14</v>
      </c>
      <c r="G2215">
        <v>12</v>
      </c>
    </row>
    <row r="2216" spans="1:7" x14ac:dyDescent="0.35">
      <c r="A2216">
        <v>80866</v>
      </c>
      <c r="B2216">
        <v>0</v>
      </c>
      <c r="C2216" t="s">
        <v>35</v>
      </c>
      <c r="D2216">
        <v>2701</v>
      </c>
      <c r="E2216" t="s">
        <v>91</v>
      </c>
      <c r="F2216" t="s">
        <v>17</v>
      </c>
      <c r="G2216">
        <v>4</v>
      </c>
    </row>
    <row r="2217" spans="1:7" x14ac:dyDescent="0.35">
      <c r="A2217">
        <v>55408</v>
      </c>
      <c r="B2217">
        <v>28</v>
      </c>
      <c r="C2217" t="s">
        <v>62</v>
      </c>
      <c r="D2217">
        <v>4612</v>
      </c>
      <c r="E2217" t="s">
        <v>94</v>
      </c>
      <c r="F2217" t="s">
        <v>14</v>
      </c>
      <c r="G2217">
        <v>4</v>
      </c>
    </row>
    <row r="2218" spans="1:7" x14ac:dyDescent="0.35">
      <c r="A2218">
        <v>54674</v>
      </c>
      <c r="B2218">
        <v>1</v>
      </c>
      <c r="C2218" t="s">
        <v>62</v>
      </c>
      <c r="D2218">
        <v>2201</v>
      </c>
      <c r="E2218" t="s">
        <v>89</v>
      </c>
      <c r="F2218" t="s">
        <v>14</v>
      </c>
      <c r="G2218">
        <v>5</v>
      </c>
    </row>
    <row r="2219" spans="1:7" x14ac:dyDescent="0.35">
      <c r="A2219">
        <v>185287</v>
      </c>
      <c r="B2219">
        <v>2</v>
      </c>
      <c r="C2219" t="s">
        <v>22</v>
      </c>
      <c r="D2219">
        <v>6301</v>
      </c>
      <c r="E2219" t="s">
        <v>90</v>
      </c>
      <c r="F2219" t="s">
        <v>17</v>
      </c>
      <c r="G2219">
        <v>5</v>
      </c>
    </row>
    <row r="2220" spans="1:7" x14ac:dyDescent="0.35">
      <c r="A2220">
        <v>178009</v>
      </c>
      <c r="B2220">
        <v>1</v>
      </c>
      <c r="C2220" t="s">
        <v>50</v>
      </c>
      <c r="D2220">
        <v>1803</v>
      </c>
      <c r="E2220" t="s">
        <v>91</v>
      </c>
      <c r="F2220" t="s">
        <v>14</v>
      </c>
      <c r="G2220">
        <v>5</v>
      </c>
    </row>
    <row r="2221" spans="1:7" x14ac:dyDescent="0.35">
      <c r="A2221">
        <v>143069</v>
      </c>
      <c r="B2221">
        <v>1</v>
      </c>
      <c r="C2221" t="s">
        <v>22</v>
      </c>
      <c r="D2221">
        <v>2601</v>
      </c>
      <c r="E2221" t="s">
        <v>101</v>
      </c>
      <c r="F2221" t="s">
        <v>14</v>
      </c>
      <c r="G2221">
        <v>20</v>
      </c>
    </row>
    <row r="2222" spans="1:7" x14ac:dyDescent="0.35">
      <c r="A2222">
        <v>28874</v>
      </c>
      <c r="B2222">
        <v>2</v>
      </c>
      <c r="C2222" t="s">
        <v>39</v>
      </c>
      <c r="D2222">
        <v>3601</v>
      </c>
      <c r="E2222" t="s">
        <v>89</v>
      </c>
      <c r="F2222" t="s">
        <v>14</v>
      </c>
      <c r="G2222">
        <v>21</v>
      </c>
    </row>
    <row r="2223" spans="1:7" x14ac:dyDescent="0.35">
      <c r="A2223">
        <v>144110</v>
      </c>
      <c r="B2223">
        <v>0</v>
      </c>
      <c r="C2223" t="s">
        <v>22</v>
      </c>
      <c r="D2223">
        <v>3509</v>
      </c>
      <c r="E2223" t="s">
        <v>95</v>
      </c>
      <c r="F2223" t="s">
        <v>17</v>
      </c>
      <c r="G2223">
        <v>15</v>
      </c>
    </row>
    <row r="2224" spans="1:7" x14ac:dyDescent="0.35">
      <c r="A2224">
        <v>77116</v>
      </c>
      <c r="B2224">
        <v>0</v>
      </c>
      <c r="C2224" t="s">
        <v>35</v>
      </c>
      <c r="D2224">
        <v>6101</v>
      </c>
      <c r="E2224" t="s">
        <v>91</v>
      </c>
      <c r="F2224" t="s">
        <v>17</v>
      </c>
      <c r="G2224">
        <v>10</v>
      </c>
    </row>
    <row r="2225" spans="1:7" x14ac:dyDescent="0.35">
      <c r="A2225">
        <v>3553</v>
      </c>
      <c r="B2225">
        <v>1</v>
      </c>
      <c r="C2225" t="s">
        <v>40</v>
      </c>
      <c r="D2225">
        <v>1601</v>
      </c>
      <c r="E2225" t="s">
        <v>90</v>
      </c>
      <c r="F2225" t="s">
        <v>14</v>
      </c>
      <c r="G2225">
        <v>20</v>
      </c>
    </row>
    <row r="2226" spans="1:7" x14ac:dyDescent="0.35">
      <c r="A2226">
        <v>60265</v>
      </c>
      <c r="B2226">
        <v>0</v>
      </c>
      <c r="C2226" t="s">
        <v>33</v>
      </c>
      <c r="D2226">
        <v>3803</v>
      </c>
      <c r="E2226" t="s">
        <v>96</v>
      </c>
      <c r="F2226" t="s">
        <v>17</v>
      </c>
      <c r="G2226">
        <v>5</v>
      </c>
    </row>
    <row r="2227" spans="1:7" x14ac:dyDescent="0.35">
      <c r="A2227">
        <v>74552</v>
      </c>
      <c r="B2227">
        <v>0</v>
      </c>
      <c r="C2227" t="s">
        <v>29</v>
      </c>
      <c r="D2227">
        <v>0</v>
      </c>
      <c r="E2227" t="s">
        <v>89</v>
      </c>
      <c r="F2227" t="s">
        <v>17</v>
      </c>
      <c r="G2227">
        <v>3</v>
      </c>
    </row>
    <row r="2228" spans="1:7" x14ac:dyDescent="0.35">
      <c r="A2228">
        <v>29215</v>
      </c>
      <c r="B2228">
        <v>0</v>
      </c>
      <c r="C2228" t="s">
        <v>39</v>
      </c>
      <c r="D2228">
        <v>2009</v>
      </c>
      <c r="E2228" t="s">
        <v>92</v>
      </c>
      <c r="F2228" t="s">
        <v>17</v>
      </c>
      <c r="G2228">
        <v>38</v>
      </c>
    </row>
    <row r="2229" spans="1:7" x14ac:dyDescent="0.35">
      <c r="A2229">
        <v>3504</v>
      </c>
      <c r="B2229">
        <v>0</v>
      </c>
      <c r="C2229" t="s">
        <v>50</v>
      </c>
      <c r="D2229">
        <v>1901</v>
      </c>
      <c r="E2229" t="s">
        <v>90</v>
      </c>
      <c r="F2229" t="s">
        <v>17</v>
      </c>
      <c r="G2229">
        <v>17</v>
      </c>
    </row>
    <row r="2230" spans="1:7" x14ac:dyDescent="0.35">
      <c r="A2230">
        <v>65114</v>
      </c>
      <c r="B2230">
        <v>2</v>
      </c>
      <c r="C2230" t="s">
        <v>29</v>
      </c>
      <c r="D2230">
        <v>0</v>
      </c>
      <c r="E2230" t="s">
        <v>89</v>
      </c>
      <c r="F2230" t="s">
        <v>14</v>
      </c>
      <c r="G2230">
        <v>3</v>
      </c>
    </row>
    <row r="2231" spans="1:7" x14ac:dyDescent="0.35">
      <c r="A2231">
        <v>105823</v>
      </c>
      <c r="B2231">
        <v>1</v>
      </c>
      <c r="C2231" t="s">
        <v>28</v>
      </c>
      <c r="D2231">
        <v>4601</v>
      </c>
      <c r="E2231" t="s">
        <v>93</v>
      </c>
      <c r="F2231" t="s">
        <v>14</v>
      </c>
      <c r="G2231" t="s">
        <v>111</v>
      </c>
    </row>
    <row r="2232" spans="1:7" x14ac:dyDescent="0.35">
      <c r="A2232">
        <v>26410</v>
      </c>
      <c r="B2232">
        <v>28</v>
      </c>
      <c r="C2232" t="s">
        <v>39</v>
      </c>
      <c r="D2232">
        <v>2201</v>
      </c>
      <c r="E2232" t="s">
        <v>93</v>
      </c>
      <c r="F2232" t="s">
        <v>17</v>
      </c>
      <c r="G2232">
        <v>28</v>
      </c>
    </row>
    <row r="2233" spans="1:7" x14ac:dyDescent="0.35">
      <c r="A2233">
        <v>24080</v>
      </c>
      <c r="B2233">
        <v>0</v>
      </c>
      <c r="C2233" t="s">
        <v>46</v>
      </c>
      <c r="D2233">
        <v>4501</v>
      </c>
      <c r="E2233" t="s">
        <v>91</v>
      </c>
      <c r="F2233" t="s">
        <v>14</v>
      </c>
      <c r="G2233">
        <v>25</v>
      </c>
    </row>
    <row r="2234" spans="1:7" x14ac:dyDescent="0.35">
      <c r="A2234">
        <v>159696</v>
      </c>
      <c r="B2234">
        <v>28</v>
      </c>
      <c r="C2234" t="s">
        <v>22</v>
      </c>
      <c r="D2234">
        <v>5401</v>
      </c>
      <c r="E2234" t="s">
        <v>91</v>
      </c>
      <c r="F2234" t="s">
        <v>17</v>
      </c>
      <c r="G2234">
        <v>15</v>
      </c>
    </row>
    <row r="2235" spans="1:7" x14ac:dyDescent="0.35">
      <c r="A2235">
        <v>24644</v>
      </c>
      <c r="B2235">
        <v>28</v>
      </c>
      <c r="C2235" t="s">
        <v>38</v>
      </c>
      <c r="D2235">
        <v>5201</v>
      </c>
      <c r="E2235" t="s">
        <v>89</v>
      </c>
      <c r="F2235" t="s">
        <v>17</v>
      </c>
      <c r="G2235">
        <v>25</v>
      </c>
    </row>
    <row r="2236" spans="1:7" x14ac:dyDescent="0.35">
      <c r="A2236">
        <v>6457</v>
      </c>
      <c r="B2236">
        <v>2</v>
      </c>
      <c r="C2236" t="s">
        <v>22</v>
      </c>
      <c r="D2236">
        <v>0</v>
      </c>
      <c r="E2236" t="s">
        <v>89</v>
      </c>
      <c r="F2236" t="s">
        <v>17</v>
      </c>
      <c r="G2236">
        <v>15</v>
      </c>
    </row>
    <row r="2237" spans="1:7" x14ac:dyDescent="0.35">
      <c r="A2237">
        <v>168317</v>
      </c>
      <c r="B2237">
        <v>0</v>
      </c>
      <c r="C2237" t="s">
        <v>22</v>
      </c>
      <c r="D2237">
        <v>0</v>
      </c>
      <c r="E2237" t="s">
        <v>95</v>
      </c>
      <c r="F2237" t="s">
        <v>30</v>
      </c>
      <c r="G2237">
        <v>13</v>
      </c>
    </row>
    <row r="2238" spans="1:7" x14ac:dyDescent="0.35">
      <c r="A2238">
        <v>159553</v>
      </c>
      <c r="B2238">
        <v>1</v>
      </c>
      <c r="C2238" t="s">
        <v>40</v>
      </c>
      <c r="D2238">
        <v>3601</v>
      </c>
      <c r="E2238" t="s">
        <v>91</v>
      </c>
      <c r="F2238" t="s">
        <v>14</v>
      </c>
      <c r="G2238">
        <v>7</v>
      </c>
    </row>
    <row r="2239" spans="1:7" x14ac:dyDescent="0.35">
      <c r="A2239">
        <v>56049</v>
      </c>
      <c r="B2239">
        <v>0</v>
      </c>
      <c r="C2239" t="s">
        <v>62</v>
      </c>
      <c r="D2239">
        <v>2709</v>
      </c>
      <c r="E2239" t="s">
        <v>91</v>
      </c>
      <c r="F2239" t="s">
        <v>17</v>
      </c>
      <c r="G2239">
        <v>14</v>
      </c>
    </row>
    <row r="2240" spans="1:7" x14ac:dyDescent="0.35">
      <c r="A2240">
        <v>63865</v>
      </c>
      <c r="B2240">
        <v>1</v>
      </c>
      <c r="C2240" t="s">
        <v>33</v>
      </c>
      <c r="D2240">
        <v>3506</v>
      </c>
      <c r="E2240" t="s">
        <v>89</v>
      </c>
      <c r="F2240" t="s">
        <v>14</v>
      </c>
      <c r="G2240">
        <v>12</v>
      </c>
    </row>
    <row r="2241" spans="1:7" x14ac:dyDescent="0.35">
      <c r="A2241">
        <v>62084</v>
      </c>
      <c r="B2241">
        <v>1</v>
      </c>
      <c r="C2241" t="s">
        <v>33</v>
      </c>
      <c r="D2241">
        <v>0</v>
      </c>
      <c r="E2241" t="s">
        <v>91</v>
      </c>
      <c r="F2241" t="s">
        <v>14</v>
      </c>
      <c r="G2241">
        <v>20</v>
      </c>
    </row>
    <row r="2242" spans="1:7" x14ac:dyDescent="0.35">
      <c r="A2242">
        <v>165719</v>
      </c>
      <c r="B2242">
        <v>0</v>
      </c>
      <c r="C2242" t="s">
        <v>22</v>
      </c>
      <c r="D2242">
        <v>4901</v>
      </c>
      <c r="E2242" t="s">
        <v>92</v>
      </c>
      <c r="F2242" t="s">
        <v>17</v>
      </c>
      <c r="G2242">
        <v>4</v>
      </c>
    </row>
    <row r="2243" spans="1:7" x14ac:dyDescent="0.35">
      <c r="A2243">
        <v>171950</v>
      </c>
      <c r="B2243">
        <v>0</v>
      </c>
      <c r="C2243" t="s">
        <v>22</v>
      </c>
      <c r="D2243">
        <v>3001</v>
      </c>
      <c r="E2243" t="s">
        <v>90</v>
      </c>
      <c r="F2243" t="s">
        <v>17</v>
      </c>
      <c r="G2243">
        <v>10</v>
      </c>
    </row>
    <row r="2244" spans="1:7" x14ac:dyDescent="0.35">
      <c r="A2244">
        <v>118367</v>
      </c>
      <c r="B2244">
        <v>1</v>
      </c>
      <c r="C2244" t="s">
        <v>21</v>
      </c>
      <c r="D2244">
        <v>3701</v>
      </c>
      <c r="E2244" t="s">
        <v>91</v>
      </c>
      <c r="G2244">
        <v>19</v>
      </c>
    </row>
    <row r="2245" spans="1:7" x14ac:dyDescent="0.35">
      <c r="A2245">
        <v>41187</v>
      </c>
      <c r="B2245">
        <v>0</v>
      </c>
      <c r="C2245" t="s">
        <v>13</v>
      </c>
      <c r="D2245">
        <v>0</v>
      </c>
      <c r="E2245" t="s">
        <v>102</v>
      </c>
      <c r="F2245" t="s">
        <v>14</v>
      </c>
      <c r="G2245">
        <v>15</v>
      </c>
    </row>
    <row r="2246" spans="1:7" x14ac:dyDescent="0.35">
      <c r="A2246">
        <v>132304</v>
      </c>
      <c r="B2246">
        <v>0</v>
      </c>
      <c r="C2246" t="s">
        <v>48</v>
      </c>
      <c r="D2246">
        <v>2001</v>
      </c>
      <c r="E2246" t="s">
        <v>94</v>
      </c>
      <c r="F2246" t="s">
        <v>17</v>
      </c>
      <c r="G2246">
        <v>10</v>
      </c>
    </row>
    <row r="2247" spans="1:7" x14ac:dyDescent="0.35">
      <c r="A2247">
        <v>138944</v>
      </c>
      <c r="B2247">
        <v>0</v>
      </c>
      <c r="C2247" t="s">
        <v>55</v>
      </c>
      <c r="D2247">
        <v>3201</v>
      </c>
      <c r="E2247" t="s">
        <v>92</v>
      </c>
      <c r="F2247" t="s">
        <v>17</v>
      </c>
      <c r="G2247">
        <v>11</v>
      </c>
    </row>
    <row r="2248" spans="1:7" x14ac:dyDescent="0.35">
      <c r="A2248">
        <v>161204</v>
      </c>
      <c r="B2248">
        <v>1</v>
      </c>
      <c r="C2248" t="s">
        <v>22</v>
      </c>
      <c r="D2248">
        <v>0</v>
      </c>
      <c r="E2248" t="s">
        <v>91</v>
      </c>
      <c r="F2248" t="s">
        <v>14</v>
      </c>
      <c r="G2248">
        <v>20</v>
      </c>
    </row>
    <row r="2249" spans="1:7" x14ac:dyDescent="0.35">
      <c r="A2249">
        <v>186579</v>
      </c>
      <c r="B2249">
        <v>0</v>
      </c>
      <c r="C2249" t="s">
        <v>22</v>
      </c>
      <c r="D2249">
        <v>0</v>
      </c>
      <c r="E2249" t="s">
        <v>89</v>
      </c>
      <c r="F2249" t="s">
        <v>17</v>
      </c>
      <c r="G2249">
        <v>5</v>
      </c>
    </row>
    <row r="2250" spans="1:7" x14ac:dyDescent="0.35">
      <c r="A2250">
        <v>11978</v>
      </c>
      <c r="B2250">
        <v>1</v>
      </c>
      <c r="C2250" t="s">
        <v>48</v>
      </c>
      <c r="D2250">
        <v>4401</v>
      </c>
      <c r="E2250" t="s">
        <v>100</v>
      </c>
      <c r="F2250" t="s">
        <v>14</v>
      </c>
      <c r="G2250">
        <v>15</v>
      </c>
    </row>
    <row r="2251" spans="1:7" x14ac:dyDescent="0.35">
      <c r="A2251">
        <v>117711</v>
      </c>
      <c r="B2251">
        <v>0</v>
      </c>
      <c r="C2251" t="s">
        <v>21</v>
      </c>
      <c r="D2251">
        <v>3004</v>
      </c>
      <c r="E2251" t="s">
        <v>88</v>
      </c>
      <c r="F2251" t="s">
        <v>17</v>
      </c>
      <c r="G2251">
        <v>16</v>
      </c>
    </row>
    <row r="2252" spans="1:7" x14ac:dyDescent="0.35">
      <c r="A2252">
        <v>38924</v>
      </c>
      <c r="B2252">
        <v>1</v>
      </c>
      <c r="C2252" t="s">
        <v>13</v>
      </c>
      <c r="D2252">
        <v>3201</v>
      </c>
      <c r="E2252" t="s">
        <v>101</v>
      </c>
      <c r="F2252" t="s">
        <v>14</v>
      </c>
      <c r="G2252">
        <v>20</v>
      </c>
    </row>
    <row r="2253" spans="1:7" x14ac:dyDescent="0.35">
      <c r="A2253">
        <v>47448</v>
      </c>
      <c r="B2253">
        <v>1</v>
      </c>
      <c r="C2253" t="s">
        <v>43</v>
      </c>
      <c r="D2253">
        <v>0</v>
      </c>
      <c r="E2253" t="s">
        <v>90</v>
      </c>
      <c r="F2253" t="s">
        <v>14</v>
      </c>
      <c r="G2253">
        <v>5</v>
      </c>
    </row>
    <row r="2254" spans="1:7" x14ac:dyDescent="0.35">
      <c r="A2254">
        <v>182479</v>
      </c>
      <c r="B2254">
        <v>28</v>
      </c>
      <c r="C2254" t="s">
        <v>40</v>
      </c>
      <c r="D2254">
        <v>0</v>
      </c>
      <c r="E2254" t="s">
        <v>89</v>
      </c>
      <c r="F2254" t="s">
        <v>17</v>
      </c>
      <c r="G2254">
        <v>15</v>
      </c>
    </row>
    <row r="2255" spans="1:7" x14ac:dyDescent="0.35">
      <c r="A2255">
        <v>96075</v>
      </c>
      <c r="B2255">
        <v>1</v>
      </c>
      <c r="C2255" t="s">
        <v>16</v>
      </c>
      <c r="D2255">
        <v>2402</v>
      </c>
      <c r="E2255" t="s">
        <v>89</v>
      </c>
      <c r="F2255" t="s">
        <v>14</v>
      </c>
      <c r="G2255">
        <v>5</v>
      </c>
    </row>
    <row r="2256" spans="1:7" x14ac:dyDescent="0.35">
      <c r="A2256">
        <v>138997</v>
      </c>
      <c r="B2256">
        <v>1</v>
      </c>
      <c r="C2256" t="s">
        <v>55</v>
      </c>
      <c r="D2256">
        <v>2506</v>
      </c>
      <c r="E2256" t="s">
        <v>104</v>
      </c>
      <c r="F2256" t="s">
        <v>14</v>
      </c>
      <c r="G2256">
        <v>12</v>
      </c>
    </row>
    <row r="2257" spans="1:7" x14ac:dyDescent="0.35">
      <c r="A2257">
        <v>108989</v>
      </c>
      <c r="B2257">
        <v>0</v>
      </c>
      <c r="C2257" t="s">
        <v>49</v>
      </c>
      <c r="D2257">
        <v>5701</v>
      </c>
      <c r="E2257" t="s">
        <v>92</v>
      </c>
      <c r="F2257" t="s">
        <v>17</v>
      </c>
      <c r="G2257">
        <v>15</v>
      </c>
    </row>
    <row r="2258" spans="1:7" x14ac:dyDescent="0.35">
      <c r="A2258">
        <v>87016</v>
      </c>
      <c r="B2258">
        <v>2</v>
      </c>
      <c r="C2258" t="s">
        <v>34</v>
      </c>
      <c r="D2258">
        <v>0</v>
      </c>
      <c r="E2258" t="s">
        <v>91</v>
      </c>
      <c r="F2258" t="s">
        <v>17</v>
      </c>
      <c r="G2258">
        <v>23</v>
      </c>
    </row>
    <row r="2259" spans="1:7" x14ac:dyDescent="0.35">
      <c r="A2259">
        <v>12666</v>
      </c>
      <c r="B2259">
        <v>0</v>
      </c>
      <c r="C2259" t="s">
        <v>55</v>
      </c>
      <c r="D2259">
        <v>3201</v>
      </c>
      <c r="E2259" t="s">
        <v>94</v>
      </c>
      <c r="F2259" t="s">
        <v>14</v>
      </c>
      <c r="G2259">
        <v>75</v>
      </c>
    </row>
    <row r="2260" spans="1:7" x14ac:dyDescent="0.35">
      <c r="A2260">
        <v>34302</v>
      </c>
      <c r="B2260">
        <v>0</v>
      </c>
      <c r="C2260" t="s">
        <v>13</v>
      </c>
      <c r="D2260">
        <v>2403</v>
      </c>
      <c r="E2260" t="s">
        <v>89</v>
      </c>
      <c r="F2260" t="s">
        <v>17</v>
      </c>
      <c r="G2260">
        <v>14</v>
      </c>
    </row>
    <row r="2261" spans="1:7" x14ac:dyDescent="0.35">
      <c r="A2261">
        <v>3018</v>
      </c>
      <c r="B2261">
        <v>76</v>
      </c>
      <c r="C2261" t="s">
        <v>22</v>
      </c>
      <c r="D2261">
        <v>0</v>
      </c>
      <c r="F2261" t="s">
        <v>17</v>
      </c>
      <c r="G2261">
        <v>25</v>
      </c>
    </row>
    <row r="2262" spans="1:7" x14ac:dyDescent="0.35">
      <c r="A2262">
        <v>145231</v>
      </c>
      <c r="B2262">
        <v>0</v>
      </c>
      <c r="C2262" t="s">
        <v>22</v>
      </c>
      <c r="D2262">
        <v>0</v>
      </c>
      <c r="E2262" t="s">
        <v>103</v>
      </c>
      <c r="G2262">
        <v>6</v>
      </c>
    </row>
    <row r="2263" spans="1:7" x14ac:dyDescent="0.35">
      <c r="A2263">
        <v>152418</v>
      </c>
      <c r="B2263">
        <v>1</v>
      </c>
      <c r="C2263" t="s">
        <v>22</v>
      </c>
      <c r="D2263">
        <v>3101</v>
      </c>
      <c r="E2263" t="s">
        <v>91</v>
      </c>
      <c r="F2263" t="s">
        <v>14</v>
      </c>
      <c r="G2263">
        <v>12</v>
      </c>
    </row>
    <row r="2264" spans="1:7" x14ac:dyDescent="0.35">
      <c r="A2264">
        <v>65061</v>
      </c>
      <c r="B2264">
        <v>0</v>
      </c>
      <c r="C2264" t="s">
        <v>29</v>
      </c>
      <c r="D2264">
        <v>5211</v>
      </c>
      <c r="E2264" t="s">
        <v>93</v>
      </c>
      <c r="F2264" t="s">
        <v>14</v>
      </c>
      <c r="G2264">
        <v>25</v>
      </c>
    </row>
    <row r="2265" spans="1:7" x14ac:dyDescent="0.35">
      <c r="A2265">
        <v>72220</v>
      </c>
      <c r="B2265">
        <v>2</v>
      </c>
      <c r="C2265" t="s">
        <v>29</v>
      </c>
      <c r="D2265">
        <v>2307</v>
      </c>
      <c r="E2265" t="s">
        <v>92</v>
      </c>
      <c r="F2265" t="s">
        <v>17</v>
      </c>
      <c r="G2265">
        <v>15</v>
      </c>
    </row>
    <row r="2266" spans="1:7" x14ac:dyDescent="0.35">
      <c r="A2266">
        <v>112288</v>
      </c>
      <c r="B2266">
        <v>0</v>
      </c>
      <c r="C2266" t="s">
        <v>22</v>
      </c>
      <c r="D2266">
        <v>3001</v>
      </c>
      <c r="E2266" t="s">
        <v>98</v>
      </c>
      <c r="F2266" t="s">
        <v>17</v>
      </c>
      <c r="G2266">
        <v>12</v>
      </c>
    </row>
    <row r="2267" spans="1:7" x14ac:dyDescent="0.35">
      <c r="A2267">
        <v>109539</v>
      </c>
      <c r="B2267">
        <v>2</v>
      </c>
      <c r="C2267" t="s">
        <v>49</v>
      </c>
      <c r="D2267">
        <v>5212</v>
      </c>
      <c r="E2267" t="s">
        <v>89</v>
      </c>
      <c r="F2267" t="s">
        <v>17</v>
      </c>
      <c r="G2267">
        <v>20</v>
      </c>
    </row>
    <row r="2268" spans="1:7" x14ac:dyDescent="0.35">
      <c r="A2268">
        <v>7836</v>
      </c>
      <c r="B2268">
        <v>1002</v>
      </c>
      <c r="C2268" t="s">
        <v>22</v>
      </c>
      <c r="D2268">
        <v>2201</v>
      </c>
      <c r="E2268" t="s">
        <v>94</v>
      </c>
      <c r="F2268" t="s">
        <v>14</v>
      </c>
      <c r="G2268">
        <v>25</v>
      </c>
    </row>
    <row r="2269" spans="1:7" x14ac:dyDescent="0.35">
      <c r="A2269">
        <v>41448</v>
      </c>
      <c r="B2269">
        <v>0</v>
      </c>
      <c r="C2269" t="s">
        <v>13</v>
      </c>
      <c r="D2269">
        <v>4206</v>
      </c>
      <c r="E2269" t="s">
        <v>95</v>
      </c>
      <c r="F2269" t="s">
        <v>17</v>
      </c>
      <c r="G2269">
        <v>15</v>
      </c>
    </row>
    <row r="2270" spans="1:7" x14ac:dyDescent="0.35">
      <c r="A2270">
        <v>110822</v>
      </c>
      <c r="B2270">
        <v>2</v>
      </c>
      <c r="C2270" t="s">
        <v>32</v>
      </c>
      <c r="D2270">
        <v>0</v>
      </c>
      <c r="E2270" t="s">
        <v>92</v>
      </c>
      <c r="F2270" t="s">
        <v>17</v>
      </c>
      <c r="G2270">
        <v>20</v>
      </c>
    </row>
    <row r="2271" spans="1:7" x14ac:dyDescent="0.35">
      <c r="A2271">
        <v>66163</v>
      </c>
      <c r="B2271">
        <v>2</v>
      </c>
      <c r="C2271" t="s">
        <v>29</v>
      </c>
      <c r="D2271">
        <v>0</v>
      </c>
      <c r="E2271" t="s">
        <v>93</v>
      </c>
      <c r="F2271" t="s">
        <v>17</v>
      </c>
      <c r="G2271">
        <v>10</v>
      </c>
    </row>
    <row r="2272" spans="1:7" x14ac:dyDescent="0.35">
      <c r="A2272">
        <v>6183</v>
      </c>
      <c r="B2272">
        <v>1</v>
      </c>
      <c r="C2272" t="s">
        <v>40</v>
      </c>
      <c r="D2272">
        <v>2409</v>
      </c>
      <c r="F2272" t="s">
        <v>14</v>
      </c>
      <c r="G2272">
        <v>100</v>
      </c>
    </row>
    <row r="2273" spans="1:7" x14ac:dyDescent="0.35">
      <c r="A2273">
        <v>124787</v>
      </c>
      <c r="B2273">
        <v>0</v>
      </c>
      <c r="C2273" t="s">
        <v>21</v>
      </c>
      <c r="D2273">
        <v>0</v>
      </c>
      <c r="E2273" t="s">
        <v>90</v>
      </c>
      <c r="F2273" t="s">
        <v>17</v>
      </c>
      <c r="G2273">
        <v>20</v>
      </c>
    </row>
    <row r="2274" spans="1:7" x14ac:dyDescent="0.35">
      <c r="A2274">
        <v>109644</v>
      </c>
      <c r="B2274">
        <v>1002</v>
      </c>
      <c r="C2274" t="s">
        <v>13</v>
      </c>
      <c r="D2274">
        <v>2509</v>
      </c>
      <c r="E2274" t="s">
        <v>89</v>
      </c>
      <c r="F2274" t="s">
        <v>44</v>
      </c>
      <c r="G2274">
        <v>5</v>
      </c>
    </row>
    <row r="2275" spans="1:7" x14ac:dyDescent="0.35">
      <c r="A2275">
        <v>105650</v>
      </c>
      <c r="B2275">
        <v>0</v>
      </c>
      <c r="C2275" t="s">
        <v>28</v>
      </c>
      <c r="D2275">
        <v>1901</v>
      </c>
      <c r="E2275" t="s">
        <v>89</v>
      </c>
      <c r="F2275" t="s">
        <v>17</v>
      </c>
      <c r="G2275">
        <v>10</v>
      </c>
    </row>
    <row r="2276" spans="1:7" x14ac:dyDescent="0.35">
      <c r="A2276">
        <v>45982</v>
      </c>
      <c r="B2276">
        <v>0</v>
      </c>
      <c r="C2276" t="s">
        <v>13</v>
      </c>
      <c r="D2276">
        <v>0</v>
      </c>
      <c r="E2276" t="s">
        <v>89</v>
      </c>
      <c r="F2276" t="s">
        <v>17</v>
      </c>
      <c r="G2276">
        <v>15</v>
      </c>
    </row>
    <row r="2277" spans="1:7" x14ac:dyDescent="0.35">
      <c r="A2277">
        <v>14437</v>
      </c>
      <c r="B2277">
        <v>1</v>
      </c>
      <c r="C2277" t="s">
        <v>48</v>
      </c>
      <c r="D2277">
        <v>2705</v>
      </c>
      <c r="E2277" t="s">
        <v>90</v>
      </c>
      <c r="F2277" t="s">
        <v>14</v>
      </c>
      <c r="G2277">
        <v>20</v>
      </c>
    </row>
    <row r="2278" spans="1:7" x14ac:dyDescent="0.35">
      <c r="A2278">
        <v>10399</v>
      </c>
      <c r="B2278">
        <v>2</v>
      </c>
      <c r="C2278" t="s">
        <v>59</v>
      </c>
      <c r="D2278">
        <v>0</v>
      </c>
      <c r="E2278" t="s">
        <v>91</v>
      </c>
      <c r="F2278" t="s">
        <v>17</v>
      </c>
      <c r="G2278">
        <v>10</v>
      </c>
    </row>
    <row r="2279" spans="1:7" x14ac:dyDescent="0.35">
      <c r="A2279">
        <v>151828</v>
      </c>
      <c r="B2279">
        <v>1</v>
      </c>
      <c r="C2279" t="s">
        <v>22</v>
      </c>
      <c r="D2279">
        <v>2701</v>
      </c>
      <c r="E2279" t="s">
        <v>102</v>
      </c>
      <c r="F2279" t="s">
        <v>14</v>
      </c>
      <c r="G2279">
        <v>10</v>
      </c>
    </row>
    <row r="2280" spans="1:7" x14ac:dyDescent="0.35">
      <c r="A2280">
        <v>162606</v>
      </c>
      <c r="B2280">
        <v>0</v>
      </c>
      <c r="C2280" t="s">
        <v>22</v>
      </c>
      <c r="D2280">
        <v>4301</v>
      </c>
      <c r="E2280" t="s">
        <v>90</v>
      </c>
      <c r="F2280" t="s">
        <v>17</v>
      </c>
      <c r="G2280">
        <v>9</v>
      </c>
    </row>
    <row r="2281" spans="1:7" x14ac:dyDescent="0.35">
      <c r="A2281">
        <v>141809</v>
      </c>
      <c r="B2281">
        <v>2</v>
      </c>
      <c r="C2281" t="s">
        <v>22</v>
      </c>
      <c r="D2281">
        <v>0</v>
      </c>
      <c r="E2281" t="s">
        <v>104</v>
      </c>
      <c r="F2281" t="s">
        <v>17</v>
      </c>
      <c r="G2281">
        <v>8</v>
      </c>
    </row>
    <row r="2282" spans="1:7" x14ac:dyDescent="0.35">
      <c r="A2282">
        <v>178884</v>
      </c>
      <c r="B2282">
        <v>2</v>
      </c>
      <c r="C2282" t="s">
        <v>40</v>
      </c>
      <c r="D2282">
        <v>5201</v>
      </c>
      <c r="E2282" t="s">
        <v>90</v>
      </c>
      <c r="F2282" t="s">
        <v>14</v>
      </c>
      <c r="G2282">
        <v>15</v>
      </c>
    </row>
    <row r="2283" spans="1:7" x14ac:dyDescent="0.35">
      <c r="A2283">
        <v>178098</v>
      </c>
      <c r="B2283">
        <v>2</v>
      </c>
      <c r="C2283" t="s">
        <v>50</v>
      </c>
      <c r="D2283">
        <v>3103</v>
      </c>
      <c r="E2283" t="s">
        <v>91</v>
      </c>
      <c r="F2283" t="s">
        <v>17</v>
      </c>
      <c r="G2283">
        <v>6</v>
      </c>
    </row>
    <row r="2284" spans="1:7" x14ac:dyDescent="0.35">
      <c r="A2284">
        <v>116082</v>
      </c>
      <c r="B2284">
        <v>1</v>
      </c>
      <c r="C2284" t="s">
        <v>21</v>
      </c>
      <c r="D2284">
        <v>3301</v>
      </c>
      <c r="E2284" t="s">
        <v>88</v>
      </c>
      <c r="F2284" t="s">
        <v>14</v>
      </c>
      <c r="G2284">
        <v>10</v>
      </c>
    </row>
    <row r="2285" spans="1:7" x14ac:dyDescent="0.35">
      <c r="A2285">
        <v>190769</v>
      </c>
      <c r="B2285">
        <v>0</v>
      </c>
      <c r="C2285" t="s">
        <v>32</v>
      </c>
      <c r="D2285">
        <v>0</v>
      </c>
      <c r="E2285" t="s">
        <v>90</v>
      </c>
      <c r="F2285" t="s">
        <v>14</v>
      </c>
      <c r="G2285">
        <v>10</v>
      </c>
    </row>
    <row r="2286" spans="1:7" x14ac:dyDescent="0.35">
      <c r="A2286">
        <v>177087</v>
      </c>
      <c r="B2286">
        <v>0</v>
      </c>
      <c r="C2286" t="s">
        <v>50</v>
      </c>
      <c r="D2286">
        <v>6401</v>
      </c>
      <c r="E2286" t="s">
        <v>88</v>
      </c>
      <c r="F2286" t="s">
        <v>14</v>
      </c>
      <c r="G2286">
        <v>12</v>
      </c>
    </row>
    <row r="2287" spans="1:7" x14ac:dyDescent="0.35">
      <c r="A2287">
        <v>101654</v>
      </c>
      <c r="B2287">
        <v>0</v>
      </c>
      <c r="C2287" t="s">
        <v>36</v>
      </c>
      <c r="D2287">
        <v>4201</v>
      </c>
      <c r="E2287" t="s">
        <v>88</v>
      </c>
      <c r="F2287" t="s">
        <v>17</v>
      </c>
      <c r="G2287">
        <v>18</v>
      </c>
    </row>
    <row r="2288" spans="1:7" x14ac:dyDescent="0.35">
      <c r="A2288">
        <v>62760</v>
      </c>
      <c r="B2288">
        <v>0</v>
      </c>
      <c r="C2288" t="s">
        <v>33</v>
      </c>
      <c r="D2288">
        <v>0</v>
      </c>
      <c r="E2288" t="s">
        <v>91</v>
      </c>
      <c r="F2288" t="s">
        <v>14</v>
      </c>
      <c r="G2288">
        <v>5</v>
      </c>
    </row>
    <row r="2289" spans="1:7" x14ac:dyDescent="0.35">
      <c r="A2289">
        <v>135406</v>
      </c>
      <c r="B2289">
        <v>1</v>
      </c>
      <c r="C2289" t="s">
        <v>55</v>
      </c>
      <c r="D2289">
        <v>4106</v>
      </c>
      <c r="E2289" t="s">
        <v>90</v>
      </c>
      <c r="F2289" t="s">
        <v>14</v>
      </c>
      <c r="G2289">
        <v>25</v>
      </c>
    </row>
    <row r="2290" spans="1:7" x14ac:dyDescent="0.35">
      <c r="A2290">
        <v>142409</v>
      </c>
      <c r="B2290">
        <v>1</v>
      </c>
      <c r="C2290" t="s">
        <v>24</v>
      </c>
      <c r="D2290">
        <v>2201</v>
      </c>
      <c r="E2290" t="s">
        <v>91</v>
      </c>
      <c r="F2290" t="s">
        <v>14</v>
      </c>
      <c r="G2290">
        <v>10</v>
      </c>
    </row>
    <row r="2291" spans="1:7" x14ac:dyDescent="0.35">
      <c r="A2291">
        <v>79627</v>
      </c>
      <c r="B2291">
        <v>1</v>
      </c>
      <c r="C2291" t="s">
        <v>35</v>
      </c>
      <c r="D2291">
        <v>2408</v>
      </c>
      <c r="E2291" t="s">
        <v>93</v>
      </c>
      <c r="F2291" t="s">
        <v>14</v>
      </c>
      <c r="G2291">
        <v>10</v>
      </c>
    </row>
    <row r="2292" spans="1:7" x14ac:dyDescent="0.35">
      <c r="A2292">
        <v>27310</v>
      </c>
      <c r="B2292">
        <v>1</v>
      </c>
      <c r="C2292" t="s">
        <v>39</v>
      </c>
      <c r="D2292">
        <v>2101</v>
      </c>
      <c r="E2292" t="s">
        <v>89</v>
      </c>
      <c r="F2292" t="s">
        <v>14</v>
      </c>
      <c r="G2292">
        <v>15</v>
      </c>
    </row>
    <row r="2293" spans="1:7" x14ac:dyDescent="0.35">
      <c r="A2293">
        <v>122131</v>
      </c>
      <c r="B2293">
        <v>0</v>
      </c>
      <c r="C2293" t="s">
        <v>21</v>
      </c>
      <c r="D2293">
        <v>4601</v>
      </c>
      <c r="E2293" t="s">
        <v>93</v>
      </c>
      <c r="F2293" t="s">
        <v>17</v>
      </c>
      <c r="G2293">
        <v>15</v>
      </c>
    </row>
    <row r="2294" spans="1:7" x14ac:dyDescent="0.35">
      <c r="A2294">
        <v>131169</v>
      </c>
      <c r="B2294">
        <v>2</v>
      </c>
      <c r="C2294" t="s">
        <v>48</v>
      </c>
      <c r="D2294">
        <v>2612</v>
      </c>
      <c r="E2294" t="s">
        <v>88</v>
      </c>
      <c r="F2294" t="s">
        <v>17</v>
      </c>
      <c r="G2294">
        <v>25</v>
      </c>
    </row>
    <row r="2295" spans="1:7" x14ac:dyDescent="0.35">
      <c r="A2295">
        <v>78009</v>
      </c>
      <c r="B2295">
        <v>0</v>
      </c>
      <c r="C2295" t="s">
        <v>35</v>
      </c>
      <c r="D2295">
        <v>0</v>
      </c>
      <c r="E2295" t="s">
        <v>89</v>
      </c>
      <c r="F2295" t="s">
        <v>17</v>
      </c>
      <c r="G2295">
        <v>20</v>
      </c>
    </row>
    <row r="2296" spans="1:7" x14ac:dyDescent="0.35">
      <c r="A2296">
        <v>86445</v>
      </c>
      <c r="B2296">
        <v>0</v>
      </c>
      <c r="C2296" t="s">
        <v>45</v>
      </c>
      <c r="D2296">
        <v>4506</v>
      </c>
      <c r="E2296" t="s">
        <v>92</v>
      </c>
      <c r="F2296" t="s">
        <v>17</v>
      </c>
      <c r="G2296">
        <v>15</v>
      </c>
    </row>
    <row r="2297" spans="1:7" x14ac:dyDescent="0.35">
      <c r="A2297">
        <v>162343</v>
      </c>
      <c r="B2297">
        <v>0</v>
      </c>
      <c r="C2297" t="s">
        <v>22</v>
      </c>
      <c r="D2297">
        <v>4701</v>
      </c>
      <c r="E2297" t="s">
        <v>93</v>
      </c>
      <c r="F2297" t="s">
        <v>14</v>
      </c>
      <c r="G2297">
        <v>20</v>
      </c>
    </row>
    <row r="2298" spans="1:7" x14ac:dyDescent="0.35">
      <c r="A2298">
        <v>35316</v>
      </c>
      <c r="B2298">
        <v>28</v>
      </c>
      <c r="C2298" t="s">
        <v>13</v>
      </c>
      <c r="D2298">
        <v>2403</v>
      </c>
      <c r="E2298" t="s">
        <v>88</v>
      </c>
      <c r="F2298" t="s">
        <v>17</v>
      </c>
      <c r="G2298">
        <v>14</v>
      </c>
    </row>
    <row r="2299" spans="1:7" x14ac:dyDescent="0.35">
      <c r="A2299">
        <v>148946</v>
      </c>
      <c r="B2299">
        <v>0</v>
      </c>
      <c r="C2299" t="s">
        <v>22</v>
      </c>
      <c r="D2299">
        <v>0</v>
      </c>
      <c r="E2299" t="s">
        <v>101</v>
      </c>
      <c r="F2299" t="s">
        <v>17</v>
      </c>
      <c r="G2299">
        <v>10</v>
      </c>
    </row>
    <row r="2300" spans="1:7" x14ac:dyDescent="0.35">
      <c r="A2300">
        <v>5524</v>
      </c>
      <c r="B2300">
        <v>2</v>
      </c>
      <c r="C2300" t="s">
        <v>55</v>
      </c>
      <c r="D2300">
        <v>2301</v>
      </c>
      <c r="E2300" t="s">
        <v>94</v>
      </c>
      <c r="F2300" t="s">
        <v>17</v>
      </c>
      <c r="G2300">
        <v>15</v>
      </c>
    </row>
    <row r="2301" spans="1:7" x14ac:dyDescent="0.35">
      <c r="A2301">
        <v>57593</v>
      </c>
      <c r="B2301">
        <v>1</v>
      </c>
      <c r="C2301" t="s">
        <v>57</v>
      </c>
      <c r="D2301">
        <v>0</v>
      </c>
      <c r="E2301" t="s">
        <v>98</v>
      </c>
      <c r="F2301" t="s">
        <v>14</v>
      </c>
      <c r="G2301">
        <v>5</v>
      </c>
    </row>
    <row r="2302" spans="1:7" x14ac:dyDescent="0.35">
      <c r="A2302">
        <v>144339</v>
      </c>
      <c r="B2302">
        <v>980</v>
      </c>
      <c r="C2302" t="s">
        <v>22</v>
      </c>
      <c r="D2302">
        <v>6601</v>
      </c>
      <c r="E2302" t="s">
        <v>95</v>
      </c>
      <c r="F2302" t="s">
        <v>30</v>
      </c>
      <c r="G2302">
        <v>10</v>
      </c>
    </row>
    <row r="2303" spans="1:7" x14ac:dyDescent="0.35">
      <c r="A2303">
        <v>158355</v>
      </c>
      <c r="B2303">
        <v>1</v>
      </c>
      <c r="C2303" t="s">
        <v>22</v>
      </c>
      <c r="D2303">
        <v>4801</v>
      </c>
      <c r="E2303" t="s">
        <v>95</v>
      </c>
      <c r="F2303" t="s">
        <v>14</v>
      </c>
      <c r="G2303">
        <v>15</v>
      </c>
    </row>
    <row r="2304" spans="1:7" x14ac:dyDescent="0.35">
      <c r="A2304">
        <v>24311</v>
      </c>
      <c r="B2304">
        <v>28</v>
      </c>
      <c r="C2304" t="s">
        <v>18</v>
      </c>
      <c r="D2304">
        <v>0</v>
      </c>
      <c r="E2304" t="s">
        <v>100</v>
      </c>
      <c r="F2304" t="s">
        <v>17</v>
      </c>
      <c r="G2304">
        <v>3</v>
      </c>
    </row>
    <row r="2305" spans="1:7" x14ac:dyDescent="0.35">
      <c r="A2305">
        <v>44009</v>
      </c>
      <c r="B2305">
        <v>0</v>
      </c>
      <c r="C2305" t="s">
        <v>13</v>
      </c>
      <c r="D2305">
        <v>1103</v>
      </c>
      <c r="E2305" t="s">
        <v>90</v>
      </c>
      <c r="F2305" t="s">
        <v>17</v>
      </c>
      <c r="G2305">
        <v>20</v>
      </c>
    </row>
    <row r="2306" spans="1:7" x14ac:dyDescent="0.35">
      <c r="A2306">
        <v>7059</v>
      </c>
      <c r="B2306">
        <v>2</v>
      </c>
      <c r="C2306" t="s">
        <v>46</v>
      </c>
      <c r="D2306">
        <v>2007</v>
      </c>
      <c r="E2306" t="s">
        <v>93</v>
      </c>
      <c r="F2306" t="s">
        <v>17</v>
      </c>
      <c r="G2306">
        <v>10</v>
      </c>
    </row>
    <row r="2307" spans="1:7" x14ac:dyDescent="0.35">
      <c r="A2307">
        <v>11399</v>
      </c>
      <c r="B2307">
        <v>2</v>
      </c>
      <c r="C2307" t="s">
        <v>22</v>
      </c>
      <c r="D2307">
        <v>1102</v>
      </c>
      <c r="E2307" t="s">
        <v>92</v>
      </c>
      <c r="F2307" t="s">
        <v>17</v>
      </c>
      <c r="G2307">
        <v>8</v>
      </c>
    </row>
    <row r="2308" spans="1:7" x14ac:dyDescent="0.35">
      <c r="A2308">
        <v>50262</v>
      </c>
      <c r="B2308">
        <v>1</v>
      </c>
      <c r="C2308" t="s">
        <v>53</v>
      </c>
      <c r="D2308">
        <v>4801</v>
      </c>
      <c r="E2308" t="s">
        <v>91</v>
      </c>
      <c r="F2308" t="s">
        <v>14</v>
      </c>
      <c r="G2308">
        <v>10</v>
      </c>
    </row>
    <row r="2309" spans="1:7" x14ac:dyDescent="0.35">
      <c r="A2309">
        <v>40338</v>
      </c>
      <c r="B2309">
        <v>0</v>
      </c>
      <c r="C2309" t="s">
        <v>13</v>
      </c>
      <c r="D2309">
        <v>6901</v>
      </c>
      <c r="E2309" t="s">
        <v>90</v>
      </c>
      <c r="F2309" t="s">
        <v>17</v>
      </c>
      <c r="G2309">
        <v>21</v>
      </c>
    </row>
    <row r="2310" spans="1:7" x14ac:dyDescent="0.35">
      <c r="A2310">
        <v>91101</v>
      </c>
      <c r="B2310">
        <v>0</v>
      </c>
      <c r="C2310" t="s">
        <v>16</v>
      </c>
      <c r="D2310">
        <v>4507</v>
      </c>
      <c r="E2310" t="s">
        <v>90</v>
      </c>
      <c r="F2310" t="s">
        <v>14</v>
      </c>
      <c r="G2310">
        <v>25</v>
      </c>
    </row>
    <row r="2311" spans="1:7" x14ac:dyDescent="0.35">
      <c r="A2311">
        <v>130969</v>
      </c>
      <c r="B2311">
        <v>2</v>
      </c>
      <c r="C2311" t="s">
        <v>48</v>
      </c>
      <c r="D2311">
        <v>301</v>
      </c>
      <c r="E2311" t="s">
        <v>92</v>
      </c>
      <c r="F2311" t="s">
        <v>17</v>
      </c>
      <c r="G2311">
        <v>20</v>
      </c>
    </row>
    <row r="2312" spans="1:7" x14ac:dyDescent="0.35">
      <c r="A2312">
        <v>128122</v>
      </c>
      <c r="B2312">
        <v>0</v>
      </c>
      <c r="C2312" t="s">
        <v>21</v>
      </c>
      <c r="D2312">
        <v>0</v>
      </c>
      <c r="E2312" t="s">
        <v>89</v>
      </c>
      <c r="F2312" t="s">
        <v>14</v>
      </c>
      <c r="G2312">
        <v>5</v>
      </c>
    </row>
    <row r="2313" spans="1:7" x14ac:dyDescent="0.35">
      <c r="A2313">
        <v>167149</v>
      </c>
      <c r="B2313">
        <v>1</v>
      </c>
      <c r="C2313" t="s">
        <v>22</v>
      </c>
      <c r="D2313">
        <v>4501</v>
      </c>
      <c r="E2313" t="s">
        <v>95</v>
      </c>
      <c r="F2313" t="s">
        <v>14</v>
      </c>
      <c r="G2313">
        <v>20</v>
      </c>
    </row>
    <row r="2314" spans="1:7" x14ac:dyDescent="0.35">
      <c r="A2314">
        <v>67742</v>
      </c>
      <c r="B2314">
        <v>0</v>
      </c>
      <c r="C2314" t="s">
        <v>29</v>
      </c>
      <c r="D2314">
        <v>2309</v>
      </c>
      <c r="E2314" t="s">
        <v>94</v>
      </c>
      <c r="F2314" t="s">
        <v>17</v>
      </c>
      <c r="G2314">
        <v>5</v>
      </c>
    </row>
    <row r="2315" spans="1:7" x14ac:dyDescent="0.35">
      <c r="A2315">
        <v>66303</v>
      </c>
      <c r="B2315">
        <v>0</v>
      </c>
      <c r="C2315" t="s">
        <v>29</v>
      </c>
      <c r="D2315">
        <v>1401</v>
      </c>
      <c r="E2315" t="s">
        <v>103</v>
      </c>
      <c r="F2315" t="s">
        <v>17</v>
      </c>
      <c r="G2315">
        <v>2</v>
      </c>
    </row>
    <row r="2316" spans="1:7" x14ac:dyDescent="0.35">
      <c r="A2316">
        <v>86205</v>
      </c>
      <c r="B2316">
        <v>3</v>
      </c>
      <c r="C2316" t="s">
        <v>52</v>
      </c>
      <c r="D2316">
        <v>5007</v>
      </c>
      <c r="E2316" t="s">
        <v>89</v>
      </c>
      <c r="F2316" t="s">
        <v>17</v>
      </c>
      <c r="G2316">
        <v>25</v>
      </c>
    </row>
    <row r="2317" spans="1:7" x14ac:dyDescent="0.35">
      <c r="A2317">
        <v>1899</v>
      </c>
      <c r="B2317">
        <v>1</v>
      </c>
      <c r="C2317" t="s">
        <v>22</v>
      </c>
      <c r="D2317">
        <v>4801</v>
      </c>
      <c r="E2317" t="s">
        <v>90</v>
      </c>
      <c r="F2317" t="s">
        <v>14</v>
      </c>
      <c r="G2317" t="s">
        <v>106</v>
      </c>
    </row>
    <row r="2318" spans="1:7" x14ac:dyDescent="0.35">
      <c r="A2318">
        <v>184690</v>
      </c>
      <c r="B2318">
        <v>0</v>
      </c>
      <c r="C2318" t="s">
        <v>70</v>
      </c>
      <c r="D2318">
        <v>0</v>
      </c>
      <c r="E2318" t="s">
        <v>88</v>
      </c>
      <c r="F2318" t="s">
        <v>14</v>
      </c>
      <c r="G2318">
        <v>20</v>
      </c>
    </row>
    <row r="2319" spans="1:7" x14ac:dyDescent="0.35">
      <c r="A2319">
        <v>7265</v>
      </c>
      <c r="B2319">
        <v>0</v>
      </c>
      <c r="C2319" t="s">
        <v>22</v>
      </c>
      <c r="D2319">
        <v>0</v>
      </c>
      <c r="F2319" t="s">
        <v>17</v>
      </c>
      <c r="G2319">
        <v>10</v>
      </c>
    </row>
    <row r="2320" spans="1:7" x14ac:dyDescent="0.35">
      <c r="A2320">
        <v>159178</v>
      </c>
      <c r="B2320">
        <v>1</v>
      </c>
      <c r="C2320" t="s">
        <v>22</v>
      </c>
      <c r="D2320">
        <v>0</v>
      </c>
      <c r="E2320" t="s">
        <v>92</v>
      </c>
      <c r="F2320" t="s">
        <v>14</v>
      </c>
      <c r="G2320">
        <v>10</v>
      </c>
    </row>
    <row r="2321" spans="1:7" x14ac:dyDescent="0.35">
      <c r="A2321">
        <v>49812</v>
      </c>
      <c r="B2321">
        <v>2</v>
      </c>
      <c r="C2321" t="s">
        <v>43</v>
      </c>
      <c r="D2321">
        <v>3701</v>
      </c>
      <c r="E2321" t="s">
        <v>98</v>
      </c>
      <c r="F2321" t="s">
        <v>17</v>
      </c>
      <c r="G2321">
        <v>3</v>
      </c>
    </row>
    <row r="2322" spans="1:7" x14ac:dyDescent="0.35">
      <c r="A2322">
        <v>33135</v>
      </c>
      <c r="B2322">
        <v>0</v>
      </c>
      <c r="C2322" t="s">
        <v>13</v>
      </c>
      <c r="D2322">
        <v>3410</v>
      </c>
      <c r="E2322" t="s">
        <v>97</v>
      </c>
      <c r="F2322" t="s">
        <v>17</v>
      </c>
      <c r="G2322">
        <v>10</v>
      </c>
    </row>
    <row r="2323" spans="1:7" x14ac:dyDescent="0.35">
      <c r="A2323">
        <v>23459</v>
      </c>
      <c r="B2323">
        <v>28</v>
      </c>
      <c r="C2323" t="s">
        <v>46</v>
      </c>
      <c r="D2323">
        <v>0</v>
      </c>
      <c r="E2323" t="s">
        <v>90</v>
      </c>
      <c r="F2323" t="s">
        <v>17</v>
      </c>
      <c r="G2323">
        <v>25</v>
      </c>
    </row>
    <row r="2324" spans="1:7" x14ac:dyDescent="0.35">
      <c r="A2324">
        <v>186271</v>
      </c>
      <c r="B2324">
        <v>1</v>
      </c>
      <c r="C2324" t="s">
        <v>22</v>
      </c>
      <c r="D2324">
        <v>2001</v>
      </c>
      <c r="E2324" t="s">
        <v>95</v>
      </c>
      <c r="F2324" t="s">
        <v>14</v>
      </c>
      <c r="G2324">
        <v>40</v>
      </c>
    </row>
    <row r="2325" spans="1:7" x14ac:dyDescent="0.35">
      <c r="A2325">
        <v>55624</v>
      </c>
      <c r="B2325">
        <v>0</v>
      </c>
      <c r="C2325" t="s">
        <v>62</v>
      </c>
      <c r="D2325">
        <v>2311</v>
      </c>
      <c r="E2325" t="s">
        <v>104</v>
      </c>
      <c r="F2325" t="s">
        <v>17</v>
      </c>
      <c r="G2325">
        <v>10</v>
      </c>
    </row>
    <row r="2326" spans="1:7" x14ac:dyDescent="0.35">
      <c r="A2326">
        <v>129912</v>
      </c>
      <c r="B2326">
        <v>1</v>
      </c>
      <c r="C2326" t="s">
        <v>48</v>
      </c>
      <c r="D2326">
        <v>0</v>
      </c>
      <c r="E2326" t="s">
        <v>95</v>
      </c>
      <c r="F2326" t="s">
        <v>14</v>
      </c>
      <c r="G2326">
        <v>50</v>
      </c>
    </row>
    <row r="2327" spans="1:7" x14ac:dyDescent="0.35">
      <c r="A2327">
        <v>8657</v>
      </c>
      <c r="B2327">
        <v>0</v>
      </c>
      <c r="C2327" t="s">
        <v>40</v>
      </c>
      <c r="D2327">
        <v>2107</v>
      </c>
      <c r="E2327" t="s">
        <v>90</v>
      </c>
      <c r="F2327" t="s">
        <v>17</v>
      </c>
      <c r="G2327">
        <v>15</v>
      </c>
    </row>
    <row r="2328" spans="1:7" x14ac:dyDescent="0.35">
      <c r="A2328">
        <v>129174</v>
      </c>
      <c r="B2328">
        <v>0</v>
      </c>
      <c r="C2328" t="s">
        <v>55</v>
      </c>
      <c r="D2328">
        <v>0</v>
      </c>
      <c r="F2328" t="s">
        <v>30</v>
      </c>
      <c r="G2328">
        <v>10</v>
      </c>
    </row>
    <row r="2329" spans="1:7" x14ac:dyDescent="0.35">
      <c r="A2329">
        <v>129453</v>
      </c>
      <c r="B2329">
        <v>0</v>
      </c>
      <c r="C2329" t="s">
        <v>48</v>
      </c>
      <c r="D2329">
        <v>2801</v>
      </c>
      <c r="E2329" t="s">
        <v>94</v>
      </c>
      <c r="F2329" t="s">
        <v>17</v>
      </c>
      <c r="G2329">
        <v>5</v>
      </c>
    </row>
    <row r="2330" spans="1:7" x14ac:dyDescent="0.35">
      <c r="A2330">
        <v>50027</v>
      </c>
      <c r="B2330">
        <v>0</v>
      </c>
      <c r="C2330" t="s">
        <v>53</v>
      </c>
      <c r="D2330">
        <v>0</v>
      </c>
      <c r="E2330" t="s">
        <v>91</v>
      </c>
      <c r="F2330" t="s">
        <v>17</v>
      </c>
      <c r="G2330">
        <v>40</v>
      </c>
    </row>
    <row r="2331" spans="1:7" x14ac:dyDescent="0.35">
      <c r="A2331">
        <v>85804</v>
      </c>
      <c r="B2331">
        <v>1</v>
      </c>
      <c r="C2331" t="s">
        <v>56</v>
      </c>
      <c r="D2331">
        <v>2501</v>
      </c>
      <c r="E2331" t="s">
        <v>98</v>
      </c>
      <c r="F2331" t="s">
        <v>14</v>
      </c>
      <c r="G2331">
        <v>20</v>
      </c>
    </row>
    <row r="2332" spans="1:7" x14ac:dyDescent="0.35">
      <c r="A2332">
        <v>9742</v>
      </c>
      <c r="B2332">
        <v>0</v>
      </c>
      <c r="C2332" t="s">
        <v>50</v>
      </c>
      <c r="D2332">
        <v>4701</v>
      </c>
      <c r="E2332" t="s">
        <v>90</v>
      </c>
      <c r="F2332" t="s">
        <v>14</v>
      </c>
      <c r="G2332">
        <v>14</v>
      </c>
    </row>
    <row r="2333" spans="1:7" x14ac:dyDescent="0.35">
      <c r="A2333">
        <v>1986</v>
      </c>
      <c r="B2333">
        <v>2</v>
      </c>
      <c r="C2333" t="s">
        <v>22</v>
      </c>
      <c r="D2333">
        <v>2201</v>
      </c>
      <c r="E2333" t="s">
        <v>95</v>
      </c>
      <c r="F2333" t="s">
        <v>17</v>
      </c>
      <c r="G2333">
        <v>5</v>
      </c>
    </row>
    <row r="2334" spans="1:7" x14ac:dyDescent="0.35">
      <c r="A2334">
        <v>26924</v>
      </c>
      <c r="B2334">
        <v>1</v>
      </c>
      <c r="C2334" t="s">
        <v>39</v>
      </c>
      <c r="D2334">
        <v>2901</v>
      </c>
      <c r="F2334" t="s">
        <v>14</v>
      </c>
      <c r="G2334">
        <v>60</v>
      </c>
    </row>
    <row r="2335" spans="1:7" x14ac:dyDescent="0.35">
      <c r="A2335">
        <v>145480</v>
      </c>
      <c r="B2335">
        <v>2</v>
      </c>
      <c r="C2335" t="s">
        <v>22</v>
      </c>
      <c r="D2335">
        <v>4201</v>
      </c>
      <c r="E2335" t="s">
        <v>95</v>
      </c>
      <c r="F2335" t="s">
        <v>17</v>
      </c>
      <c r="G2335">
        <v>12</v>
      </c>
    </row>
    <row r="2336" spans="1:7" x14ac:dyDescent="0.35">
      <c r="A2336">
        <v>45824</v>
      </c>
      <c r="B2336">
        <v>1</v>
      </c>
      <c r="C2336" t="s">
        <v>13</v>
      </c>
      <c r="D2336">
        <v>5704</v>
      </c>
      <c r="E2336" t="s">
        <v>93</v>
      </c>
      <c r="F2336" t="s">
        <v>14</v>
      </c>
      <c r="G2336">
        <v>25</v>
      </c>
    </row>
    <row r="2337" spans="1:7" x14ac:dyDescent="0.35">
      <c r="A2337">
        <v>187417</v>
      </c>
      <c r="B2337">
        <v>1</v>
      </c>
      <c r="C2337" t="s">
        <v>73</v>
      </c>
      <c r="D2337">
        <v>0</v>
      </c>
      <c r="E2337" t="s">
        <v>102</v>
      </c>
      <c r="F2337" t="s">
        <v>14</v>
      </c>
      <c r="G2337">
        <v>45</v>
      </c>
    </row>
    <row r="2338" spans="1:7" x14ac:dyDescent="0.35">
      <c r="A2338">
        <v>173094</v>
      </c>
      <c r="B2338">
        <v>0</v>
      </c>
      <c r="C2338" t="s">
        <v>22</v>
      </c>
      <c r="D2338">
        <v>2401</v>
      </c>
      <c r="E2338" t="s">
        <v>98</v>
      </c>
      <c r="F2338" t="s">
        <v>14</v>
      </c>
      <c r="G2338">
        <v>15</v>
      </c>
    </row>
    <row r="2339" spans="1:7" x14ac:dyDescent="0.35">
      <c r="A2339">
        <v>182573</v>
      </c>
      <c r="B2339">
        <v>0</v>
      </c>
      <c r="C2339" t="s">
        <v>40</v>
      </c>
      <c r="D2339">
        <v>3504</v>
      </c>
      <c r="E2339" t="s">
        <v>91</v>
      </c>
      <c r="F2339" t="s">
        <v>14</v>
      </c>
      <c r="G2339">
        <v>12</v>
      </c>
    </row>
    <row r="2340" spans="1:7" x14ac:dyDescent="0.35">
      <c r="A2340">
        <v>185815</v>
      </c>
      <c r="B2340">
        <v>0</v>
      </c>
      <c r="C2340" t="s">
        <v>13</v>
      </c>
      <c r="D2340">
        <v>2901</v>
      </c>
      <c r="E2340" t="s">
        <v>101</v>
      </c>
      <c r="F2340" t="s">
        <v>17</v>
      </c>
      <c r="G2340">
        <v>7</v>
      </c>
    </row>
    <row r="2341" spans="1:7" x14ac:dyDescent="0.35">
      <c r="A2341">
        <v>86580</v>
      </c>
      <c r="B2341">
        <v>2</v>
      </c>
      <c r="C2341" t="s">
        <v>45</v>
      </c>
      <c r="D2341">
        <v>601</v>
      </c>
      <c r="E2341" t="s">
        <v>91</v>
      </c>
      <c r="F2341" t="s">
        <v>17</v>
      </c>
      <c r="G2341">
        <v>5</v>
      </c>
    </row>
    <row r="2342" spans="1:7" x14ac:dyDescent="0.35">
      <c r="A2342">
        <v>113680</v>
      </c>
      <c r="B2342">
        <v>1002</v>
      </c>
      <c r="C2342" t="s">
        <v>21</v>
      </c>
      <c r="D2342">
        <v>5201</v>
      </c>
      <c r="E2342" t="s">
        <v>104</v>
      </c>
      <c r="F2342" t="s">
        <v>14</v>
      </c>
      <c r="G2342">
        <v>30</v>
      </c>
    </row>
    <row r="2343" spans="1:7" x14ac:dyDescent="0.35">
      <c r="A2343">
        <v>179876</v>
      </c>
      <c r="B2343">
        <v>0</v>
      </c>
      <c r="C2343" t="s">
        <v>40</v>
      </c>
      <c r="D2343">
        <v>2801</v>
      </c>
      <c r="E2343" t="s">
        <v>96</v>
      </c>
      <c r="F2343" t="s">
        <v>17</v>
      </c>
      <c r="G2343">
        <v>10</v>
      </c>
    </row>
    <row r="2344" spans="1:7" x14ac:dyDescent="0.35">
      <c r="A2344">
        <v>52171</v>
      </c>
      <c r="B2344">
        <v>1002</v>
      </c>
      <c r="C2344" t="s">
        <v>53</v>
      </c>
      <c r="D2344">
        <v>0</v>
      </c>
      <c r="E2344" t="s">
        <v>89</v>
      </c>
      <c r="F2344" t="s">
        <v>14</v>
      </c>
      <c r="G2344">
        <v>5</v>
      </c>
    </row>
    <row r="2345" spans="1:7" x14ac:dyDescent="0.35">
      <c r="A2345">
        <v>2586</v>
      </c>
      <c r="B2345">
        <v>0</v>
      </c>
      <c r="C2345" t="s">
        <v>39</v>
      </c>
      <c r="D2345">
        <v>4201</v>
      </c>
      <c r="E2345" t="s">
        <v>93</v>
      </c>
      <c r="F2345" t="s">
        <v>14</v>
      </c>
      <c r="G2345">
        <v>20</v>
      </c>
    </row>
    <row r="2346" spans="1:7" x14ac:dyDescent="0.35">
      <c r="A2346">
        <v>22499</v>
      </c>
      <c r="B2346">
        <v>0</v>
      </c>
      <c r="C2346" t="s">
        <v>46</v>
      </c>
      <c r="D2346">
        <v>3102</v>
      </c>
      <c r="E2346" t="s">
        <v>98</v>
      </c>
      <c r="F2346" t="s">
        <v>17</v>
      </c>
      <c r="G2346">
        <v>10</v>
      </c>
    </row>
    <row r="2347" spans="1:7" x14ac:dyDescent="0.35">
      <c r="A2347">
        <v>186773</v>
      </c>
      <c r="B2347">
        <v>0</v>
      </c>
      <c r="C2347" t="s">
        <v>57</v>
      </c>
      <c r="D2347">
        <v>0</v>
      </c>
      <c r="E2347" t="s">
        <v>90</v>
      </c>
      <c r="F2347" t="s">
        <v>17</v>
      </c>
      <c r="G2347">
        <v>8</v>
      </c>
    </row>
    <row r="2348" spans="1:7" x14ac:dyDescent="0.35">
      <c r="A2348">
        <v>90680</v>
      </c>
      <c r="B2348">
        <v>0</v>
      </c>
      <c r="C2348" t="s">
        <v>16</v>
      </c>
      <c r="D2348">
        <v>4801</v>
      </c>
      <c r="E2348" t="s">
        <v>95</v>
      </c>
      <c r="F2348" t="s">
        <v>17</v>
      </c>
      <c r="G2348">
        <v>24</v>
      </c>
    </row>
    <row r="2349" spans="1:7" x14ac:dyDescent="0.35">
      <c r="A2349">
        <v>123669</v>
      </c>
      <c r="B2349">
        <v>0</v>
      </c>
      <c r="C2349" t="s">
        <v>21</v>
      </c>
      <c r="D2349">
        <v>608</v>
      </c>
      <c r="E2349" t="s">
        <v>94</v>
      </c>
      <c r="G2349">
        <v>10</v>
      </c>
    </row>
    <row r="2350" spans="1:7" x14ac:dyDescent="0.35">
      <c r="A2350">
        <v>106850</v>
      </c>
      <c r="B2350">
        <v>28</v>
      </c>
      <c r="C2350" t="s">
        <v>59</v>
      </c>
      <c r="D2350">
        <v>6301</v>
      </c>
      <c r="E2350" t="s">
        <v>94</v>
      </c>
      <c r="F2350" t="s">
        <v>17</v>
      </c>
      <c r="G2350">
        <v>23</v>
      </c>
    </row>
    <row r="2351" spans="1:7" x14ac:dyDescent="0.35">
      <c r="A2351">
        <v>172068</v>
      </c>
      <c r="B2351">
        <v>1</v>
      </c>
      <c r="C2351" t="s">
        <v>22</v>
      </c>
      <c r="D2351">
        <v>4602</v>
      </c>
      <c r="E2351" t="s">
        <v>95</v>
      </c>
      <c r="F2351" t="s">
        <v>14</v>
      </c>
      <c r="G2351">
        <v>20</v>
      </c>
    </row>
    <row r="2352" spans="1:7" x14ac:dyDescent="0.35">
      <c r="A2352">
        <v>109451</v>
      </c>
      <c r="B2352">
        <v>0</v>
      </c>
      <c r="C2352" t="s">
        <v>49</v>
      </c>
      <c r="D2352">
        <v>5801</v>
      </c>
      <c r="E2352" t="s">
        <v>91</v>
      </c>
      <c r="F2352" t="s">
        <v>17</v>
      </c>
      <c r="G2352">
        <v>25</v>
      </c>
    </row>
    <row r="2353" spans="1:7" x14ac:dyDescent="0.35">
      <c r="A2353">
        <v>113891</v>
      </c>
      <c r="B2353">
        <v>0</v>
      </c>
      <c r="C2353" t="s">
        <v>31</v>
      </c>
      <c r="D2353">
        <v>5601</v>
      </c>
      <c r="E2353" t="s">
        <v>91</v>
      </c>
      <c r="F2353" t="s">
        <v>14</v>
      </c>
      <c r="G2353">
        <v>11</v>
      </c>
    </row>
    <row r="2354" spans="1:7" x14ac:dyDescent="0.35">
      <c r="A2354">
        <v>148991</v>
      </c>
      <c r="B2354">
        <v>28</v>
      </c>
      <c r="C2354" t="s">
        <v>22</v>
      </c>
      <c r="D2354">
        <v>4401</v>
      </c>
      <c r="E2354" t="s">
        <v>92</v>
      </c>
      <c r="F2354" t="s">
        <v>17</v>
      </c>
      <c r="G2354">
        <v>25</v>
      </c>
    </row>
    <row r="2355" spans="1:7" x14ac:dyDescent="0.35">
      <c r="A2355">
        <v>63941</v>
      </c>
      <c r="B2355">
        <v>0</v>
      </c>
      <c r="C2355" t="s">
        <v>33</v>
      </c>
      <c r="D2355">
        <v>0</v>
      </c>
      <c r="E2355" t="s">
        <v>91</v>
      </c>
      <c r="F2355" t="s">
        <v>17</v>
      </c>
      <c r="G2355">
        <v>10</v>
      </c>
    </row>
    <row r="2356" spans="1:7" x14ac:dyDescent="0.35">
      <c r="A2356">
        <v>48006</v>
      </c>
      <c r="B2356">
        <v>28</v>
      </c>
      <c r="C2356" t="s">
        <v>43</v>
      </c>
      <c r="D2356">
        <v>0</v>
      </c>
      <c r="E2356" t="s">
        <v>91</v>
      </c>
      <c r="F2356" t="s">
        <v>17</v>
      </c>
      <c r="G2356">
        <v>5</v>
      </c>
    </row>
    <row r="2357" spans="1:7" x14ac:dyDescent="0.35">
      <c r="A2357">
        <v>170998</v>
      </c>
      <c r="B2357">
        <v>0</v>
      </c>
      <c r="C2357" t="s">
        <v>22</v>
      </c>
      <c r="D2357">
        <v>1401</v>
      </c>
      <c r="E2357" t="s">
        <v>91</v>
      </c>
      <c r="F2357" t="s">
        <v>17</v>
      </c>
      <c r="G2357">
        <v>10</v>
      </c>
    </row>
    <row r="2358" spans="1:7" x14ac:dyDescent="0.35">
      <c r="A2358">
        <v>31959</v>
      </c>
      <c r="B2358">
        <v>0</v>
      </c>
      <c r="C2358" t="s">
        <v>13</v>
      </c>
      <c r="D2358">
        <v>3401</v>
      </c>
      <c r="E2358" t="s">
        <v>94</v>
      </c>
      <c r="F2358" t="s">
        <v>14</v>
      </c>
      <c r="G2358">
        <v>20</v>
      </c>
    </row>
    <row r="2359" spans="1:7" x14ac:dyDescent="0.35">
      <c r="A2359">
        <v>13805</v>
      </c>
      <c r="B2359">
        <v>0</v>
      </c>
      <c r="C2359" t="s">
        <v>22</v>
      </c>
      <c r="D2359">
        <v>3201</v>
      </c>
      <c r="E2359" t="s">
        <v>100</v>
      </c>
      <c r="F2359" t="s">
        <v>14</v>
      </c>
      <c r="G2359" t="s">
        <v>112</v>
      </c>
    </row>
    <row r="2360" spans="1:7" x14ac:dyDescent="0.35">
      <c r="A2360">
        <v>104170</v>
      </c>
      <c r="B2360">
        <v>2</v>
      </c>
      <c r="C2360" t="s">
        <v>36</v>
      </c>
      <c r="D2360">
        <v>1603</v>
      </c>
      <c r="E2360" t="s">
        <v>92</v>
      </c>
      <c r="F2360" t="s">
        <v>14</v>
      </c>
      <c r="G2360">
        <v>5</v>
      </c>
    </row>
    <row r="2361" spans="1:7" x14ac:dyDescent="0.35">
      <c r="A2361">
        <v>28339</v>
      </c>
      <c r="B2361">
        <v>0</v>
      </c>
      <c r="C2361" t="s">
        <v>39</v>
      </c>
      <c r="D2361">
        <v>0</v>
      </c>
      <c r="E2361" t="s">
        <v>92</v>
      </c>
      <c r="F2361" t="s">
        <v>17</v>
      </c>
      <c r="G2361">
        <v>11</v>
      </c>
    </row>
    <row r="2362" spans="1:7" x14ac:dyDescent="0.35">
      <c r="A2362">
        <v>1920</v>
      </c>
      <c r="B2362">
        <v>1002</v>
      </c>
      <c r="C2362" t="s">
        <v>24</v>
      </c>
      <c r="D2362">
        <v>1610</v>
      </c>
      <c r="E2362" t="s">
        <v>101</v>
      </c>
      <c r="F2362" t="s">
        <v>14</v>
      </c>
      <c r="G2362">
        <v>10</v>
      </c>
    </row>
    <row r="2363" spans="1:7" x14ac:dyDescent="0.35">
      <c r="A2363">
        <v>88920</v>
      </c>
      <c r="B2363">
        <v>0</v>
      </c>
      <c r="C2363" t="s">
        <v>16</v>
      </c>
      <c r="D2363">
        <v>5501</v>
      </c>
      <c r="E2363" t="s">
        <v>93</v>
      </c>
      <c r="F2363" t="s">
        <v>17</v>
      </c>
      <c r="G2363">
        <v>25</v>
      </c>
    </row>
    <row r="2364" spans="1:7" x14ac:dyDescent="0.35">
      <c r="A2364">
        <v>45656</v>
      </c>
      <c r="B2364">
        <v>1002</v>
      </c>
      <c r="C2364" t="s">
        <v>13</v>
      </c>
      <c r="D2364">
        <v>4301</v>
      </c>
      <c r="E2364" t="s">
        <v>96</v>
      </c>
      <c r="F2364" t="s">
        <v>14</v>
      </c>
      <c r="G2364">
        <v>27</v>
      </c>
    </row>
    <row r="2365" spans="1:7" x14ac:dyDescent="0.35">
      <c r="A2365">
        <v>175471</v>
      </c>
      <c r="B2365">
        <v>28</v>
      </c>
      <c r="C2365" t="s">
        <v>50</v>
      </c>
      <c r="D2365">
        <v>0</v>
      </c>
      <c r="E2365" t="s">
        <v>103</v>
      </c>
      <c r="F2365" t="s">
        <v>17</v>
      </c>
      <c r="G2365">
        <v>5</v>
      </c>
    </row>
    <row r="2366" spans="1:7" x14ac:dyDescent="0.35">
      <c r="A2366">
        <v>108820</v>
      </c>
      <c r="B2366">
        <v>1</v>
      </c>
      <c r="C2366" t="s">
        <v>49</v>
      </c>
      <c r="D2366">
        <v>2301</v>
      </c>
      <c r="E2366" t="s">
        <v>91</v>
      </c>
      <c r="F2366" t="s">
        <v>14</v>
      </c>
      <c r="G2366">
        <v>5</v>
      </c>
    </row>
    <row r="2367" spans="1:7" x14ac:dyDescent="0.35">
      <c r="A2367">
        <v>190619</v>
      </c>
      <c r="B2367">
        <v>2</v>
      </c>
      <c r="C2367" t="s">
        <v>29</v>
      </c>
      <c r="D2367">
        <v>1710</v>
      </c>
      <c r="E2367" t="s">
        <v>89</v>
      </c>
      <c r="F2367" t="s">
        <v>17</v>
      </c>
      <c r="G2367">
        <v>3</v>
      </c>
    </row>
    <row r="2368" spans="1:7" x14ac:dyDescent="0.35">
      <c r="A2368">
        <v>13727</v>
      </c>
      <c r="B2368">
        <v>0</v>
      </c>
      <c r="C2368" t="s">
        <v>59</v>
      </c>
      <c r="D2368">
        <v>5807</v>
      </c>
      <c r="E2368" t="s">
        <v>94</v>
      </c>
      <c r="F2368" t="s">
        <v>17</v>
      </c>
      <c r="G2368">
        <v>30</v>
      </c>
    </row>
    <row r="2369" spans="1:7" x14ac:dyDescent="0.35">
      <c r="A2369">
        <v>114909</v>
      </c>
      <c r="B2369">
        <v>93</v>
      </c>
      <c r="C2369" t="s">
        <v>21</v>
      </c>
      <c r="D2369">
        <v>0</v>
      </c>
      <c r="E2369" t="s">
        <v>89</v>
      </c>
      <c r="F2369" t="s">
        <v>14</v>
      </c>
      <c r="G2369">
        <v>10</v>
      </c>
    </row>
    <row r="2370" spans="1:7" x14ac:dyDescent="0.35">
      <c r="A2370">
        <v>190410</v>
      </c>
      <c r="B2370">
        <v>0</v>
      </c>
      <c r="C2370" t="s">
        <v>18</v>
      </c>
      <c r="D2370">
        <v>0</v>
      </c>
      <c r="E2370" t="s">
        <v>88</v>
      </c>
      <c r="F2370" t="s">
        <v>17</v>
      </c>
      <c r="G2370">
        <v>9</v>
      </c>
    </row>
    <row r="2371" spans="1:7" x14ac:dyDescent="0.35">
      <c r="A2371">
        <v>166711</v>
      </c>
      <c r="B2371">
        <v>0</v>
      </c>
      <c r="C2371" t="s">
        <v>22</v>
      </c>
      <c r="D2371">
        <v>3508</v>
      </c>
      <c r="E2371" t="s">
        <v>90</v>
      </c>
      <c r="F2371" t="s">
        <v>17</v>
      </c>
      <c r="G2371">
        <v>45</v>
      </c>
    </row>
    <row r="2372" spans="1:7" x14ac:dyDescent="0.35">
      <c r="A2372">
        <v>78669</v>
      </c>
      <c r="B2372">
        <v>28</v>
      </c>
      <c r="C2372" t="s">
        <v>35</v>
      </c>
      <c r="D2372">
        <v>1801</v>
      </c>
      <c r="E2372" t="s">
        <v>96</v>
      </c>
      <c r="F2372" t="s">
        <v>17</v>
      </c>
      <c r="G2372">
        <v>6</v>
      </c>
    </row>
    <row r="2373" spans="1:7" x14ac:dyDescent="0.35">
      <c r="A2373">
        <v>35267</v>
      </c>
      <c r="B2373">
        <v>1002</v>
      </c>
      <c r="C2373" t="s">
        <v>13</v>
      </c>
      <c r="D2373">
        <v>1703</v>
      </c>
      <c r="E2373" t="s">
        <v>88</v>
      </c>
      <c r="F2373" t="s">
        <v>14</v>
      </c>
      <c r="G2373">
        <v>17</v>
      </c>
    </row>
    <row r="2374" spans="1:7" x14ac:dyDescent="0.35">
      <c r="A2374">
        <v>14547</v>
      </c>
      <c r="B2374">
        <v>0</v>
      </c>
      <c r="C2374" t="s">
        <v>22</v>
      </c>
      <c r="D2374">
        <v>5501</v>
      </c>
      <c r="E2374" t="s">
        <v>93</v>
      </c>
      <c r="F2374" t="s">
        <v>17</v>
      </c>
      <c r="G2374">
        <v>20</v>
      </c>
    </row>
    <row r="2375" spans="1:7" x14ac:dyDescent="0.35">
      <c r="A2375">
        <v>136721</v>
      </c>
      <c r="B2375">
        <v>0</v>
      </c>
      <c r="C2375" t="s">
        <v>55</v>
      </c>
      <c r="D2375">
        <v>3401</v>
      </c>
      <c r="E2375" t="s">
        <v>95</v>
      </c>
      <c r="F2375" t="s">
        <v>17</v>
      </c>
      <c r="G2375">
        <v>30</v>
      </c>
    </row>
    <row r="2376" spans="1:7" x14ac:dyDescent="0.35">
      <c r="A2376">
        <v>162026</v>
      </c>
      <c r="B2376">
        <v>1</v>
      </c>
      <c r="C2376" t="s">
        <v>22</v>
      </c>
      <c r="D2376">
        <v>3501</v>
      </c>
      <c r="E2376" t="s">
        <v>93</v>
      </c>
      <c r="F2376" t="s">
        <v>14</v>
      </c>
      <c r="G2376">
        <v>16</v>
      </c>
    </row>
    <row r="2377" spans="1:7" x14ac:dyDescent="0.35">
      <c r="A2377">
        <v>172359</v>
      </c>
      <c r="B2377">
        <v>0</v>
      </c>
      <c r="C2377" t="s">
        <v>22</v>
      </c>
      <c r="D2377">
        <v>3503</v>
      </c>
      <c r="E2377" t="s">
        <v>96</v>
      </c>
      <c r="G2377">
        <v>20</v>
      </c>
    </row>
    <row r="2378" spans="1:7" x14ac:dyDescent="0.35">
      <c r="A2378">
        <v>90727</v>
      </c>
      <c r="B2378">
        <v>2</v>
      </c>
      <c r="C2378" t="s">
        <v>16</v>
      </c>
      <c r="D2378">
        <v>4610</v>
      </c>
      <c r="E2378" t="s">
        <v>93</v>
      </c>
      <c r="F2378" t="s">
        <v>14</v>
      </c>
      <c r="G2378">
        <v>5</v>
      </c>
    </row>
    <row r="2379" spans="1:7" x14ac:dyDescent="0.35">
      <c r="A2379">
        <v>46560</v>
      </c>
      <c r="B2379">
        <v>1</v>
      </c>
      <c r="C2379" t="s">
        <v>13</v>
      </c>
      <c r="D2379">
        <v>5801</v>
      </c>
      <c r="E2379" t="s">
        <v>94</v>
      </c>
      <c r="F2379" t="s">
        <v>14</v>
      </c>
      <c r="G2379">
        <v>5</v>
      </c>
    </row>
    <row r="2380" spans="1:7" x14ac:dyDescent="0.35">
      <c r="A2380">
        <v>2321</v>
      </c>
      <c r="B2380">
        <v>1</v>
      </c>
      <c r="C2380" t="s">
        <v>22</v>
      </c>
      <c r="D2380">
        <v>3101</v>
      </c>
      <c r="E2380" t="s">
        <v>90</v>
      </c>
      <c r="F2380" t="s">
        <v>14</v>
      </c>
      <c r="G2380">
        <v>25</v>
      </c>
    </row>
    <row r="2381" spans="1:7" x14ac:dyDescent="0.35">
      <c r="A2381">
        <v>179262</v>
      </c>
      <c r="B2381">
        <v>0</v>
      </c>
      <c r="C2381" t="s">
        <v>40</v>
      </c>
      <c r="D2381">
        <v>4701</v>
      </c>
      <c r="E2381" t="s">
        <v>93</v>
      </c>
      <c r="F2381" t="s">
        <v>30</v>
      </c>
      <c r="G2381">
        <v>10</v>
      </c>
    </row>
    <row r="2382" spans="1:7" x14ac:dyDescent="0.35">
      <c r="A2382">
        <v>28890</v>
      </c>
      <c r="B2382">
        <v>0</v>
      </c>
      <c r="C2382" t="s">
        <v>39</v>
      </c>
      <c r="D2382">
        <v>4501</v>
      </c>
      <c r="E2382" t="s">
        <v>89</v>
      </c>
      <c r="F2382" t="s">
        <v>14</v>
      </c>
      <c r="G2382">
        <v>15</v>
      </c>
    </row>
    <row r="2383" spans="1:7" x14ac:dyDescent="0.35">
      <c r="A2383">
        <v>143787</v>
      </c>
      <c r="B2383">
        <v>3</v>
      </c>
      <c r="C2383" t="s">
        <v>22</v>
      </c>
      <c r="D2383">
        <v>0</v>
      </c>
      <c r="E2383" t="s">
        <v>95</v>
      </c>
      <c r="F2383" t="s">
        <v>17</v>
      </c>
      <c r="G2383">
        <v>10</v>
      </c>
    </row>
    <row r="2384" spans="1:7" x14ac:dyDescent="0.35">
      <c r="A2384">
        <v>88735</v>
      </c>
      <c r="B2384">
        <v>3</v>
      </c>
      <c r="C2384" t="s">
        <v>16</v>
      </c>
      <c r="D2384">
        <v>2702</v>
      </c>
      <c r="E2384" t="s">
        <v>90</v>
      </c>
      <c r="F2384" t="s">
        <v>17</v>
      </c>
      <c r="G2384">
        <v>10</v>
      </c>
    </row>
    <row r="2385" spans="1:7" x14ac:dyDescent="0.35">
      <c r="A2385">
        <v>89367</v>
      </c>
      <c r="B2385">
        <v>0</v>
      </c>
      <c r="C2385" t="s">
        <v>16</v>
      </c>
      <c r="D2385">
        <v>6707</v>
      </c>
      <c r="E2385" t="s">
        <v>93</v>
      </c>
      <c r="F2385" t="s">
        <v>14</v>
      </c>
      <c r="G2385">
        <v>3</v>
      </c>
    </row>
    <row r="2386" spans="1:7" x14ac:dyDescent="0.35">
      <c r="A2386">
        <v>75703</v>
      </c>
      <c r="B2386">
        <v>2</v>
      </c>
      <c r="C2386" t="s">
        <v>47</v>
      </c>
      <c r="D2386">
        <v>4401</v>
      </c>
      <c r="E2386" t="s">
        <v>98</v>
      </c>
      <c r="F2386" t="s">
        <v>17</v>
      </c>
      <c r="G2386">
        <v>6</v>
      </c>
    </row>
    <row r="2387" spans="1:7" x14ac:dyDescent="0.35">
      <c r="A2387">
        <v>19641</v>
      </c>
      <c r="B2387">
        <v>0</v>
      </c>
      <c r="C2387" t="s">
        <v>18</v>
      </c>
      <c r="D2387">
        <v>4401</v>
      </c>
      <c r="E2387" t="s">
        <v>90</v>
      </c>
      <c r="F2387" t="s">
        <v>17</v>
      </c>
      <c r="G2387">
        <v>30</v>
      </c>
    </row>
    <row r="2388" spans="1:7" x14ac:dyDescent="0.35">
      <c r="A2388">
        <v>191531</v>
      </c>
      <c r="B2388">
        <v>4</v>
      </c>
      <c r="C2388" t="s">
        <v>22</v>
      </c>
      <c r="D2388">
        <v>3701</v>
      </c>
      <c r="G2388">
        <v>13</v>
      </c>
    </row>
    <row r="2389" spans="1:7" x14ac:dyDescent="0.35">
      <c r="A2389">
        <v>1092</v>
      </c>
      <c r="B2389">
        <v>0</v>
      </c>
      <c r="C2389" t="s">
        <v>22</v>
      </c>
      <c r="D2389">
        <v>2801</v>
      </c>
      <c r="E2389" t="s">
        <v>95</v>
      </c>
      <c r="F2389" t="s">
        <v>14</v>
      </c>
      <c r="G2389">
        <v>15</v>
      </c>
    </row>
    <row r="2390" spans="1:7" x14ac:dyDescent="0.35">
      <c r="A2390">
        <v>69034</v>
      </c>
      <c r="B2390">
        <v>1</v>
      </c>
      <c r="C2390" t="s">
        <v>29</v>
      </c>
      <c r="D2390">
        <v>2001</v>
      </c>
      <c r="E2390" t="s">
        <v>92</v>
      </c>
      <c r="F2390" t="s">
        <v>14</v>
      </c>
      <c r="G2390">
        <v>25</v>
      </c>
    </row>
    <row r="2391" spans="1:7" x14ac:dyDescent="0.35">
      <c r="A2391">
        <v>40919</v>
      </c>
      <c r="B2391">
        <v>0</v>
      </c>
      <c r="C2391" t="s">
        <v>13</v>
      </c>
      <c r="D2391">
        <v>1801</v>
      </c>
      <c r="E2391" t="s">
        <v>88</v>
      </c>
      <c r="F2391" t="s">
        <v>44</v>
      </c>
      <c r="G2391">
        <v>10</v>
      </c>
    </row>
    <row r="2392" spans="1:7" x14ac:dyDescent="0.35">
      <c r="A2392">
        <v>64203</v>
      </c>
      <c r="B2392">
        <v>1</v>
      </c>
      <c r="C2392" t="s">
        <v>33</v>
      </c>
      <c r="D2392">
        <v>3610</v>
      </c>
      <c r="E2392" t="s">
        <v>88</v>
      </c>
      <c r="F2392" t="s">
        <v>14</v>
      </c>
      <c r="G2392">
        <v>6</v>
      </c>
    </row>
    <row r="2393" spans="1:7" x14ac:dyDescent="0.35">
      <c r="A2393">
        <v>151995</v>
      </c>
      <c r="B2393">
        <v>2</v>
      </c>
      <c r="C2393" t="s">
        <v>22</v>
      </c>
      <c r="D2393">
        <v>2212</v>
      </c>
      <c r="E2393" t="s">
        <v>93</v>
      </c>
      <c r="F2393" t="s">
        <v>17</v>
      </c>
      <c r="G2393">
        <v>25</v>
      </c>
    </row>
    <row r="2394" spans="1:7" x14ac:dyDescent="0.35">
      <c r="A2394">
        <v>188284</v>
      </c>
      <c r="B2394">
        <v>0</v>
      </c>
      <c r="C2394" t="s">
        <v>18</v>
      </c>
      <c r="D2394">
        <v>3801</v>
      </c>
      <c r="E2394" t="s">
        <v>92</v>
      </c>
      <c r="F2394" t="s">
        <v>17</v>
      </c>
      <c r="G2394">
        <v>5</v>
      </c>
    </row>
    <row r="2395" spans="1:7" x14ac:dyDescent="0.35">
      <c r="A2395">
        <v>58147</v>
      </c>
      <c r="B2395">
        <v>1</v>
      </c>
      <c r="C2395" t="s">
        <v>57</v>
      </c>
      <c r="D2395">
        <v>4106</v>
      </c>
      <c r="E2395" t="s">
        <v>98</v>
      </c>
      <c r="F2395" t="s">
        <v>14</v>
      </c>
      <c r="G2395">
        <v>5</v>
      </c>
    </row>
    <row r="2396" spans="1:7" x14ac:dyDescent="0.35">
      <c r="A2396">
        <v>51269</v>
      </c>
      <c r="B2396">
        <v>0</v>
      </c>
      <c r="C2396" t="s">
        <v>53</v>
      </c>
      <c r="D2396">
        <v>4801</v>
      </c>
      <c r="E2396" t="s">
        <v>98</v>
      </c>
      <c r="F2396" t="s">
        <v>17</v>
      </c>
      <c r="G2396">
        <v>5</v>
      </c>
    </row>
    <row r="2397" spans="1:7" x14ac:dyDescent="0.35">
      <c r="A2397">
        <v>113261</v>
      </c>
      <c r="B2397">
        <v>1002</v>
      </c>
      <c r="C2397" t="s">
        <v>31</v>
      </c>
      <c r="D2397">
        <v>0</v>
      </c>
      <c r="E2397" t="s">
        <v>96</v>
      </c>
      <c r="F2397" t="s">
        <v>14</v>
      </c>
      <c r="G2397">
        <v>7</v>
      </c>
    </row>
    <row r="2398" spans="1:7" x14ac:dyDescent="0.35">
      <c r="A2398">
        <v>12785</v>
      </c>
      <c r="B2398">
        <v>28</v>
      </c>
      <c r="C2398" t="s">
        <v>16</v>
      </c>
      <c r="D2398">
        <v>1001</v>
      </c>
      <c r="F2398" t="s">
        <v>17</v>
      </c>
      <c r="G2398">
        <v>10</v>
      </c>
    </row>
    <row r="2399" spans="1:7" x14ac:dyDescent="0.35">
      <c r="A2399">
        <v>364</v>
      </c>
      <c r="B2399">
        <v>28</v>
      </c>
      <c r="C2399" t="s">
        <v>22</v>
      </c>
      <c r="D2399">
        <v>3801</v>
      </c>
      <c r="E2399" t="s">
        <v>95</v>
      </c>
      <c r="F2399" t="s">
        <v>17</v>
      </c>
      <c r="G2399">
        <v>10</v>
      </c>
    </row>
    <row r="2400" spans="1:7" x14ac:dyDescent="0.35">
      <c r="A2400">
        <v>163857</v>
      </c>
      <c r="B2400">
        <v>1</v>
      </c>
      <c r="C2400" t="s">
        <v>22</v>
      </c>
      <c r="D2400">
        <v>0</v>
      </c>
      <c r="E2400" t="s">
        <v>95</v>
      </c>
      <c r="F2400" t="s">
        <v>14</v>
      </c>
      <c r="G2400">
        <v>25</v>
      </c>
    </row>
    <row r="2401" spans="1:7" x14ac:dyDescent="0.35">
      <c r="A2401">
        <v>12312</v>
      </c>
      <c r="B2401">
        <v>0</v>
      </c>
      <c r="C2401" t="s">
        <v>22</v>
      </c>
      <c r="D2401">
        <v>0</v>
      </c>
      <c r="E2401" t="s">
        <v>96</v>
      </c>
      <c r="F2401" t="s">
        <v>17</v>
      </c>
      <c r="G2401">
        <v>95</v>
      </c>
    </row>
    <row r="2402" spans="1:7" x14ac:dyDescent="0.35">
      <c r="A2402">
        <v>95351</v>
      </c>
      <c r="B2402">
        <v>2</v>
      </c>
      <c r="C2402" t="s">
        <v>16</v>
      </c>
      <c r="D2402">
        <v>3804</v>
      </c>
      <c r="E2402" t="s">
        <v>94</v>
      </c>
      <c r="F2402" t="s">
        <v>17</v>
      </c>
      <c r="G2402">
        <v>12</v>
      </c>
    </row>
    <row r="2403" spans="1:7" x14ac:dyDescent="0.35">
      <c r="A2403">
        <v>147464</v>
      </c>
      <c r="B2403">
        <v>0</v>
      </c>
      <c r="C2403" t="s">
        <v>22</v>
      </c>
      <c r="D2403">
        <v>3301</v>
      </c>
      <c r="E2403" t="s">
        <v>93</v>
      </c>
      <c r="F2403" t="s">
        <v>14</v>
      </c>
      <c r="G2403">
        <v>30</v>
      </c>
    </row>
    <row r="2404" spans="1:7" x14ac:dyDescent="0.35">
      <c r="A2404">
        <v>155388</v>
      </c>
      <c r="B2404">
        <v>0</v>
      </c>
      <c r="C2404" t="s">
        <v>22</v>
      </c>
      <c r="D2404">
        <v>3201</v>
      </c>
      <c r="E2404" t="s">
        <v>90</v>
      </c>
      <c r="F2404" t="s">
        <v>17</v>
      </c>
      <c r="G2404">
        <v>20</v>
      </c>
    </row>
    <row r="2405" spans="1:7" x14ac:dyDescent="0.35">
      <c r="A2405">
        <v>90566</v>
      </c>
      <c r="B2405">
        <v>0</v>
      </c>
      <c r="C2405" t="s">
        <v>16</v>
      </c>
      <c r="D2405">
        <v>5703</v>
      </c>
      <c r="E2405" t="s">
        <v>88</v>
      </c>
      <c r="F2405" t="s">
        <v>17</v>
      </c>
      <c r="G2405">
        <v>15</v>
      </c>
    </row>
    <row r="2406" spans="1:7" x14ac:dyDescent="0.35">
      <c r="A2406">
        <v>186013</v>
      </c>
      <c r="B2406">
        <v>0</v>
      </c>
      <c r="C2406" t="s">
        <v>43</v>
      </c>
      <c r="D2406">
        <v>2002</v>
      </c>
      <c r="E2406" t="s">
        <v>89</v>
      </c>
      <c r="F2406" t="s">
        <v>17</v>
      </c>
      <c r="G2406">
        <v>15</v>
      </c>
    </row>
    <row r="2407" spans="1:7" x14ac:dyDescent="0.35">
      <c r="A2407">
        <v>112406</v>
      </c>
      <c r="B2407">
        <v>0</v>
      </c>
      <c r="C2407" t="s">
        <v>32</v>
      </c>
      <c r="D2407">
        <v>0</v>
      </c>
      <c r="E2407" t="s">
        <v>91</v>
      </c>
      <c r="F2407" t="s">
        <v>17</v>
      </c>
      <c r="G2407">
        <v>25</v>
      </c>
    </row>
    <row r="2408" spans="1:7" x14ac:dyDescent="0.35">
      <c r="A2408">
        <v>14191</v>
      </c>
      <c r="B2408">
        <v>1</v>
      </c>
      <c r="C2408" t="s">
        <v>21</v>
      </c>
      <c r="D2408">
        <v>0</v>
      </c>
      <c r="E2408" t="s">
        <v>91</v>
      </c>
      <c r="F2408" t="s">
        <v>14</v>
      </c>
      <c r="G2408">
        <v>5</v>
      </c>
    </row>
    <row r="2409" spans="1:7" x14ac:dyDescent="0.35">
      <c r="A2409">
        <v>95132</v>
      </c>
      <c r="B2409">
        <v>0</v>
      </c>
      <c r="C2409" t="s">
        <v>16</v>
      </c>
      <c r="D2409">
        <v>1601</v>
      </c>
      <c r="E2409" t="s">
        <v>91</v>
      </c>
      <c r="F2409" t="s">
        <v>17</v>
      </c>
      <c r="G2409">
        <v>25</v>
      </c>
    </row>
    <row r="2410" spans="1:7" x14ac:dyDescent="0.35">
      <c r="A2410">
        <v>130926</v>
      </c>
      <c r="B2410">
        <v>0</v>
      </c>
      <c r="C2410" t="s">
        <v>48</v>
      </c>
      <c r="D2410">
        <v>3001</v>
      </c>
      <c r="E2410" t="s">
        <v>94</v>
      </c>
      <c r="F2410" t="s">
        <v>17</v>
      </c>
      <c r="G2410">
        <v>5</v>
      </c>
    </row>
    <row r="2411" spans="1:7" x14ac:dyDescent="0.35">
      <c r="A2411">
        <v>168535</v>
      </c>
      <c r="B2411">
        <v>0</v>
      </c>
      <c r="C2411" t="s">
        <v>22</v>
      </c>
      <c r="D2411">
        <v>5401</v>
      </c>
      <c r="E2411" t="s">
        <v>103</v>
      </c>
      <c r="F2411" t="s">
        <v>14</v>
      </c>
      <c r="G2411">
        <v>35</v>
      </c>
    </row>
    <row r="2412" spans="1:7" x14ac:dyDescent="0.35">
      <c r="A2412">
        <v>92749</v>
      </c>
      <c r="B2412">
        <v>1</v>
      </c>
      <c r="C2412" t="s">
        <v>16</v>
      </c>
      <c r="D2412">
        <v>4201</v>
      </c>
      <c r="E2412" t="s">
        <v>93</v>
      </c>
      <c r="F2412" t="s">
        <v>14</v>
      </c>
      <c r="G2412">
        <v>15</v>
      </c>
    </row>
    <row r="2413" spans="1:7" x14ac:dyDescent="0.35">
      <c r="A2413">
        <v>19129</v>
      </c>
      <c r="B2413">
        <v>0</v>
      </c>
      <c r="C2413" t="s">
        <v>18</v>
      </c>
      <c r="D2413">
        <v>4201</v>
      </c>
      <c r="E2413" t="s">
        <v>89</v>
      </c>
      <c r="F2413" t="s">
        <v>17</v>
      </c>
      <c r="G2413">
        <v>5</v>
      </c>
    </row>
    <row r="2414" spans="1:7" x14ac:dyDescent="0.35">
      <c r="A2414">
        <v>114912</v>
      </c>
      <c r="B2414">
        <v>2</v>
      </c>
      <c r="C2414" t="s">
        <v>31</v>
      </c>
      <c r="D2414">
        <v>0</v>
      </c>
      <c r="E2414" t="s">
        <v>89</v>
      </c>
      <c r="F2414" t="s">
        <v>17</v>
      </c>
      <c r="G2414">
        <v>25</v>
      </c>
    </row>
    <row r="2415" spans="1:7" x14ac:dyDescent="0.35">
      <c r="A2415">
        <v>164651</v>
      </c>
      <c r="B2415">
        <v>0</v>
      </c>
      <c r="C2415" t="s">
        <v>22</v>
      </c>
      <c r="D2415">
        <v>3201</v>
      </c>
      <c r="E2415" t="s">
        <v>103</v>
      </c>
      <c r="F2415" t="s">
        <v>17</v>
      </c>
      <c r="G2415">
        <v>5</v>
      </c>
    </row>
    <row r="2416" spans="1:7" x14ac:dyDescent="0.35">
      <c r="A2416">
        <v>94113</v>
      </c>
      <c r="B2416">
        <v>0</v>
      </c>
      <c r="C2416" t="s">
        <v>16</v>
      </c>
      <c r="D2416">
        <v>4711</v>
      </c>
      <c r="E2416" t="s">
        <v>102</v>
      </c>
      <c r="F2416" t="s">
        <v>17</v>
      </c>
      <c r="G2416">
        <v>10</v>
      </c>
    </row>
    <row r="2417" spans="1:7" x14ac:dyDescent="0.35">
      <c r="A2417">
        <v>116453</v>
      </c>
      <c r="B2417">
        <v>0</v>
      </c>
      <c r="C2417" t="s">
        <v>21</v>
      </c>
      <c r="D2417">
        <v>7201</v>
      </c>
      <c r="E2417" t="s">
        <v>93</v>
      </c>
      <c r="F2417" t="s">
        <v>17</v>
      </c>
      <c r="G2417">
        <v>15</v>
      </c>
    </row>
    <row r="2418" spans="1:7" x14ac:dyDescent="0.35">
      <c r="A2418">
        <v>72409</v>
      </c>
      <c r="B2418">
        <v>0</v>
      </c>
      <c r="C2418" t="s">
        <v>29</v>
      </c>
      <c r="D2418">
        <v>811</v>
      </c>
      <c r="E2418" t="s">
        <v>104</v>
      </c>
      <c r="F2418" t="s">
        <v>17</v>
      </c>
      <c r="G2418">
        <v>10</v>
      </c>
    </row>
    <row r="2419" spans="1:7" x14ac:dyDescent="0.35">
      <c r="A2419">
        <v>190634</v>
      </c>
      <c r="B2419">
        <v>0</v>
      </c>
      <c r="C2419" t="s">
        <v>46</v>
      </c>
      <c r="D2419">
        <v>1711</v>
      </c>
      <c r="E2419" t="s">
        <v>92</v>
      </c>
      <c r="G2419">
        <v>20</v>
      </c>
    </row>
    <row r="2420" spans="1:7" x14ac:dyDescent="0.35">
      <c r="A2420">
        <v>128975</v>
      </c>
      <c r="B2420">
        <v>0</v>
      </c>
      <c r="C2420" t="s">
        <v>73</v>
      </c>
      <c r="D2420">
        <v>6007</v>
      </c>
      <c r="E2420" t="s">
        <v>90</v>
      </c>
      <c r="F2420" t="s">
        <v>14</v>
      </c>
      <c r="G2420">
        <v>15</v>
      </c>
    </row>
    <row r="2421" spans="1:7" x14ac:dyDescent="0.35">
      <c r="A2421">
        <v>137039</v>
      </c>
      <c r="B2421">
        <v>2</v>
      </c>
      <c r="C2421" t="s">
        <v>55</v>
      </c>
      <c r="D2421">
        <v>3601</v>
      </c>
      <c r="E2421" t="s">
        <v>94</v>
      </c>
      <c r="F2421" t="s">
        <v>17</v>
      </c>
      <c r="G2421">
        <v>10</v>
      </c>
    </row>
    <row r="2422" spans="1:7" x14ac:dyDescent="0.35">
      <c r="A2422">
        <v>177927</v>
      </c>
      <c r="B2422">
        <v>0</v>
      </c>
      <c r="C2422" t="s">
        <v>50</v>
      </c>
      <c r="D2422">
        <v>2310</v>
      </c>
      <c r="E2422" t="s">
        <v>91</v>
      </c>
      <c r="F2422" t="s">
        <v>14</v>
      </c>
      <c r="G2422">
        <v>15</v>
      </c>
    </row>
    <row r="2423" spans="1:7" x14ac:dyDescent="0.35">
      <c r="A2423">
        <v>122988</v>
      </c>
      <c r="B2423">
        <v>0</v>
      </c>
      <c r="C2423" t="s">
        <v>21</v>
      </c>
      <c r="D2423">
        <v>5601</v>
      </c>
      <c r="E2423" t="s">
        <v>92</v>
      </c>
      <c r="F2423" t="s">
        <v>17</v>
      </c>
      <c r="G2423">
        <v>14</v>
      </c>
    </row>
    <row r="2424" spans="1:7" x14ac:dyDescent="0.35">
      <c r="A2424">
        <v>142765</v>
      </c>
      <c r="B2424">
        <v>1</v>
      </c>
      <c r="C2424" t="s">
        <v>22</v>
      </c>
      <c r="D2424">
        <v>6601</v>
      </c>
      <c r="E2424" t="s">
        <v>103</v>
      </c>
      <c r="F2424" t="s">
        <v>14</v>
      </c>
      <c r="G2424">
        <v>20</v>
      </c>
    </row>
    <row r="2425" spans="1:7" x14ac:dyDescent="0.35">
      <c r="A2425">
        <v>48506</v>
      </c>
      <c r="B2425">
        <v>2</v>
      </c>
      <c r="C2425" t="s">
        <v>43</v>
      </c>
      <c r="D2425">
        <v>0</v>
      </c>
      <c r="E2425" t="s">
        <v>98</v>
      </c>
      <c r="F2425" t="s">
        <v>17</v>
      </c>
      <c r="G2425">
        <v>18</v>
      </c>
    </row>
    <row r="2426" spans="1:7" x14ac:dyDescent="0.35">
      <c r="A2426">
        <v>189666</v>
      </c>
      <c r="B2426">
        <v>2</v>
      </c>
      <c r="C2426" t="s">
        <v>50</v>
      </c>
      <c r="D2426">
        <v>0</v>
      </c>
      <c r="E2426" t="s">
        <v>93</v>
      </c>
      <c r="F2426" t="s">
        <v>17</v>
      </c>
      <c r="G2426">
        <v>15</v>
      </c>
    </row>
    <row r="2427" spans="1:7" x14ac:dyDescent="0.35">
      <c r="A2427">
        <v>159826</v>
      </c>
      <c r="B2427">
        <v>2</v>
      </c>
      <c r="C2427" t="s">
        <v>22</v>
      </c>
      <c r="D2427">
        <v>2401</v>
      </c>
      <c r="E2427" t="s">
        <v>88</v>
      </c>
      <c r="F2427" t="s">
        <v>17</v>
      </c>
      <c r="G2427">
        <v>5</v>
      </c>
    </row>
    <row r="2428" spans="1:7" x14ac:dyDescent="0.35">
      <c r="A2428">
        <v>181891</v>
      </c>
      <c r="B2428">
        <v>0</v>
      </c>
      <c r="C2428" t="s">
        <v>40</v>
      </c>
      <c r="D2428">
        <v>3401</v>
      </c>
      <c r="E2428" t="s">
        <v>89</v>
      </c>
      <c r="F2428" t="s">
        <v>30</v>
      </c>
      <c r="G2428">
        <v>25</v>
      </c>
    </row>
    <row r="2429" spans="1:7" x14ac:dyDescent="0.35">
      <c r="A2429">
        <v>128162</v>
      </c>
      <c r="B2429">
        <v>3</v>
      </c>
      <c r="C2429" t="s">
        <v>21</v>
      </c>
      <c r="D2429">
        <v>2901</v>
      </c>
      <c r="E2429" t="s">
        <v>92</v>
      </c>
      <c r="F2429" t="s">
        <v>17</v>
      </c>
      <c r="G2429">
        <v>8</v>
      </c>
    </row>
    <row r="2430" spans="1:7" x14ac:dyDescent="0.35">
      <c r="A2430">
        <v>107040</v>
      </c>
      <c r="B2430">
        <v>0</v>
      </c>
      <c r="C2430" t="s">
        <v>59</v>
      </c>
      <c r="D2430">
        <v>2701</v>
      </c>
      <c r="E2430" t="s">
        <v>88</v>
      </c>
      <c r="F2430" t="s">
        <v>14</v>
      </c>
      <c r="G2430">
        <v>10</v>
      </c>
    </row>
    <row r="2431" spans="1:7" x14ac:dyDescent="0.35">
      <c r="A2431">
        <v>97596</v>
      </c>
      <c r="B2431">
        <v>0</v>
      </c>
      <c r="C2431" t="s">
        <v>16</v>
      </c>
      <c r="D2431">
        <v>5801</v>
      </c>
      <c r="E2431" t="s">
        <v>96</v>
      </c>
      <c r="F2431" t="s">
        <v>17</v>
      </c>
      <c r="G2431">
        <v>15</v>
      </c>
    </row>
    <row r="2432" spans="1:7" x14ac:dyDescent="0.35">
      <c r="A2432">
        <v>12049</v>
      </c>
      <c r="B2432">
        <v>0</v>
      </c>
      <c r="C2432" t="s">
        <v>32</v>
      </c>
      <c r="D2432">
        <v>2812</v>
      </c>
      <c r="E2432" t="s">
        <v>98</v>
      </c>
      <c r="F2432" t="s">
        <v>14</v>
      </c>
      <c r="G2432">
        <v>5</v>
      </c>
    </row>
    <row r="2433" spans="1:7" x14ac:dyDescent="0.35">
      <c r="A2433">
        <v>160334</v>
      </c>
      <c r="B2433">
        <v>2</v>
      </c>
      <c r="C2433" t="s">
        <v>22</v>
      </c>
      <c r="D2433">
        <v>2001</v>
      </c>
      <c r="E2433" t="s">
        <v>92</v>
      </c>
      <c r="F2433" t="s">
        <v>17</v>
      </c>
      <c r="G2433">
        <v>15</v>
      </c>
    </row>
    <row r="2434" spans="1:7" x14ac:dyDescent="0.35">
      <c r="A2434">
        <v>132522</v>
      </c>
      <c r="B2434">
        <v>1</v>
      </c>
      <c r="C2434" t="s">
        <v>66</v>
      </c>
      <c r="D2434">
        <v>0</v>
      </c>
      <c r="E2434" t="s">
        <v>88</v>
      </c>
      <c r="F2434" t="s">
        <v>14</v>
      </c>
      <c r="G2434">
        <v>7</v>
      </c>
    </row>
    <row r="2435" spans="1:7" x14ac:dyDescent="0.35">
      <c r="A2435">
        <v>190155</v>
      </c>
      <c r="B2435">
        <v>0</v>
      </c>
      <c r="C2435" t="s">
        <v>55</v>
      </c>
      <c r="D2435">
        <v>0</v>
      </c>
      <c r="E2435" t="s">
        <v>101</v>
      </c>
      <c r="F2435" t="s">
        <v>17</v>
      </c>
      <c r="G2435">
        <v>15</v>
      </c>
    </row>
    <row r="2436" spans="1:7" x14ac:dyDescent="0.35">
      <c r="A2436">
        <v>151484</v>
      </c>
      <c r="B2436">
        <v>1</v>
      </c>
      <c r="C2436" t="s">
        <v>22</v>
      </c>
      <c r="D2436">
        <v>6201</v>
      </c>
      <c r="E2436" t="s">
        <v>95</v>
      </c>
      <c r="F2436" t="s">
        <v>14</v>
      </c>
      <c r="G2436">
        <v>14</v>
      </c>
    </row>
    <row r="2437" spans="1:7" x14ac:dyDescent="0.35">
      <c r="A2437">
        <v>6981</v>
      </c>
      <c r="B2437">
        <v>2</v>
      </c>
      <c r="C2437" t="s">
        <v>16</v>
      </c>
      <c r="D2437">
        <v>0</v>
      </c>
      <c r="F2437" t="s">
        <v>17</v>
      </c>
      <c r="G2437">
        <v>10</v>
      </c>
    </row>
    <row r="2438" spans="1:7" x14ac:dyDescent="0.35">
      <c r="A2438">
        <v>154055</v>
      </c>
      <c r="B2438">
        <v>0</v>
      </c>
      <c r="C2438" t="s">
        <v>22</v>
      </c>
      <c r="D2438">
        <v>0</v>
      </c>
      <c r="E2438" t="s">
        <v>93</v>
      </c>
      <c r="F2438" t="s">
        <v>17</v>
      </c>
      <c r="G2438">
        <v>10</v>
      </c>
    </row>
    <row r="2439" spans="1:7" x14ac:dyDescent="0.35">
      <c r="A2439">
        <v>122664</v>
      </c>
      <c r="B2439">
        <v>0</v>
      </c>
      <c r="C2439" t="s">
        <v>21</v>
      </c>
      <c r="D2439">
        <v>4501</v>
      </c>
      <c r="E2439" t="s">
        <v>89</v>
      </c>
      <c r="F2439" t="s">
        <v>17</v>
      </c>
      <c r="G2439">
        <v>20</v>
      </c>
    </row>
    <row r="2440" spans="1:7" x14ac:dyDescent="0.35">
      <c r="A2440">
        <v>157275</v>
      </c>
      <c r="B2440">
        <v>0</v>
      </c>
      <c r="C2440" t="s">
        <v>22</v>
      </c>
      <c r="D2440">
        <v>2001</v>
      </c>
      <c r="E2440" t="s">
        <v>93</v>
      </c>
      <c r="F2440" t="s">
        <v>17</v>
      </c>
      <c r="G2440">
        <v>10</v>
      </c>
    </row>
    <row r="2441" spans="1:7" x14ac:dyDescent="0.35">
      <c r="A2441">
        <v>149769</v>
      </c>
      <c r="B2441">
        <v>2</v>
      </c>
      <c r="C2441" t="s">
        <v>22</v>
      </c>
      <c r="D2441">
        <v>3001</v>
      </c>
      <c r="E2441" t="s">
        <v>103</v>
      </c>
      <c r="F2441" t="s">
        <v>17</v>
      </c>
      <c r="G2441">
        <v>46</v>
      </c>
    </row>
    <row r="2442" spans="1:7" x14ac:dyDescent="0.35">
      <c r="A2442">
        <v>90314</v>
      </c>
      <c r="B2442">
        <v>2</v>
      </c>
      <c r="C2442" t="s">
        <v>16</v>
      </c>
      <c r="D2442">
        <v>3407</v>
      </c>
      <c r="E2442" t="s">
        <v>93</v>
      </c>
      <c r="F2442" t="s">
        <v>17</v>
      </c>
      <c r="G2442">
        <v>7</v>
      </c>
    </row>
    <row r="2443" spans="1:7" x14ac:dyDescent="0.35">
      <c r="A2443">
        <v>175396</v>
      </c>
      <c r="B2443">
        <v>0</v>
      </c>
      <c r="C2443" t="s">
        <v>50</v>
      </c>
      <c r="D2443">
        <v>5312</v>
      </c>
      <c r="E2443" t="s">
        <v>102</v>
      </c>
      <c r="F2443" t="s">
        <v>17</v>
      </c>
      <c r="G2443">
        <v>22</v>
      </c>
    </row>
    <row r="2444" spans="1:7" x14ac:dyDescent="0.35">
      <c r="A2444">
        <v>133949</v>
      </c>
      <c r="B2444">
        <v>1</v>
      </c>
      <c r="C2444" t="s">
        <v>38</v>
      </c>
      <c r="D2444">
        <v>0</v>
      </c>
      <c r="E2444" t="s">
        <v>89</v>
      </c>
      <c r="F2444" t="s">
        <v>14</v>
      </c>
      <c r="G2444">
        <v>6</v>
      </c>
    </row>
    <row r="2445" spans="1:7" x14ac:dyDescent="0.35">
      <c r="A2445">
        <v>164461</v>
      </c>
      <c r="B2445">
        <v>0</v>
      </c>
      <c r="C2445" t="s">
        <v>22</v>
      </c>
      <c r="D2445">
        <v>5601</v>
      </c>
      <c r="E2445" t="s">
        <v>93</v>
      </c>
      <c r="F2445" t="s">
        <v>14</v>
      </c>
      <c r="G2445">
        <v>8</v>
      </c>
    </row>
    <row r="2446" spans="1:7" x14ac:dyDescent="0.35">
      <c r="A2446">
        <v>119089</v>
      </c>
      <c r="B2446">
        <v>0</v>
      </c>
      <c r="C2446" t="s">
        <v>21</v>
      </c>
      <c r="D2446">
        <v>2301</v>
      </c>
      <c r="E2446" t="s">
        <v>91</v>
      </c>
      <c r="F2446" t="s">
        <v>14</v>
      </c>
      <c r="G2446">
        <v>11</v>
      </c>
    </row>
    <row r="2447" spans="1:7" x14ac:dyDescent="0.35">
      <c r="A2447">
        <v>61421</v>
      </c>
      <c r="B2447">
        <v>2</v>
      </c>
      <c r="C2447" t="s">
        <v>33</v>
      </c>
      <c r="D2447">
        <v>1807</v>
      </c>
      <c r="E2447" t="s">
        <v>96</v>
      </c>
      <c r="F2447" t="s">
        <v>17</v>
      </c>
      <c r="G2447">
        <v>20</v>
      </c>
    </row>
    <row r="2448" spans="1:7" x14ac:dyDescent="0.35">
      <c r="A2448">
        <v>5546</v>
      </c>
      <c r="B2448">
        <v>2</v>
      </c>
      <c r="C2448" t="s">
        <v>13</v>
      </c>
      <c r="D2448">
        <v>1905</v>
      </c>
      <c r="E2448" t="s">
        <v>88</v>
      </c>
      <c r="F2448" t="s">
        <v>17</v>
      </c>
      <c r="G2448">
        <v>10</v>
      </c>
    </row>
    <row r="2449" spans="1:7" x14ac:dyDescent="0.35">
      <c r="A2449">
        <v>183747</v>
      </c>
      <c r="B2449">
        <v>0</v>
      </c>
      <c r="C2449" t="s">
        <v>40</v>
      </c>
      <c r="D2449">
        <v>4701</v>
      </c>
      <c r="E2449" t="s">
        <v>100</v>
      </c>
      <c r="F2449" t="s">
        <v>17</v>
      </c>
      <c r="G2449">
        <v>25</v>
      </c>
    </row>
    <row r="2450" spans="1:7" x14ac:dyDescent="0.35">
      <c r="A2450">
        <v>20802</v>
      </c>
      <c r="B2450">
        <v>0</v>
      </c>
      <c r="C2450" t="s">
        <v>18</v>
      </c>
      <c r="D2450">
        <v>2501</v>
      </c>
      <c r="E2450" t="s">
        <v>89</v>
      </c>
      <c r="F2450" t="s">
        <v>30</v>
      </c>
      <c r="G2450">
        <v>25</v>
      </c>
    </row>
    <row r="2451" spans="1:7" x14ac:dyDescent="0.35">
      <c r="A2451">
        <v>107644</v>
      </c>
      <c r="B2451">
        <v>1</v>
      </c>
      <c r="C2451" t="s">
        <v>59</v>
      </c>
      <c r="D2451">
        <v>2109</v>
      </c>
      <c r="E2451" t="s">
        <v>91</v>
      </c>
      <c r="F2451" t="s">
        <v>14</v>
      </c>
      <c r="G2451">
        <v>7</v>
      </c>
    </row>
    <row r="2452" spans="1:7" x14ac:dyDescent="0.35">
      <c r="A2452">
        <v>139563</v>
      </c>
      <c r="B2452">
        <v>0</v>
      </c>
      <c r="C2452" t="s">
        <v>54</v>
      </c>
      <c r="D2452">
        <v>0</v>
      </c>
      <c r="E2452" t="s">
        <v>93</v>
      </c>
      <c r="F2452" t="s">
        <v>14</v>
      </c>
      <c r="G2452">
        <v>8</v>
      </c>
    </row>
    <row r="2453" spans="1:7" x14ac:dyDescent="0.35">
      <c r="A2453">
        <v>191134</v>
      </c>
      <c r="B2453">
        <v>0</v>
      </c>
      <c r="C2453" t="s">
        <v>28</v>
      </c>
      <c r="D2453">
        <v>0</v>
      </c>
      <c r="E2453" t="s">
        <v>104</v>
      </c>
      <c r="F2453" t="s">
        <v>17</v>
      </c>
      <c r="G2453">
        <v>5</v>
      </c>
    </row>
    <row r="2454" spans="1:7" x14ac:dyDescent="0.35">
      <c r="A2454">
        <v>183043</v>
      </c>
      <c r="B2454">
        <v>0</v>
      </c>
      <c r="C2454" t="s">
        <v>40</v>
      </c>
      <c r="D2454">
        <v>3201</v>
      </c>
      <c r="E2454" t="s">
        <v>90</v>
      </c>
      <c r="F2454" t="s">
        <v>14</v>
      </c>
      <c r="G2454">
        <v>25</v>
      </c>
    </row>
    <row r="2455" spans="1:7" x14ac:dyDescent="0.35">
      <c r="A2455">
        <v>165392</v>
      </c>
      <c r="B2455">
        <v>1</v>
      </c>
      <c r="C2455" t="s">
        <v>22</v>
      </c>
      <c r="D2455">
        <v>0</v>
      </c>
      <c r="E2455" t="s">
        <v>90</v>
      </c>
      <c r="F2455" t="s">
        <v>14</v>
      </c>
      <c r="G2455">
        <v>21</v>
      </c>
    </row>
    <row r="2456" spans="1:7" x14ac:dyDescent="0.35">
      <c r="A2456">
        <v>50684</v>
      </c>
      <c r="B2456">
        <v>2</v>
      </c>
      <c r="C2456" t="s">
        <v>53</v>
      </c>
      <c r="D2456">
        <v>0</v>
      </c>
      <c r="E2456" t="s">
        <v>91</v>
      </c>
      <c r="F2456" t="s">
        <v>17</v>
      </c>
      <c r="G2456">
        <v>2</v>
      </c>
    </row>
    <row r="2457" spans="1:7" x14ac:dyDescent="0.35">
      <c r="A2457">
        <v>126819</v>
      </c>
      <c r="B2457">
        <v>1</v>
      </c>
      <c r="C2457" t="s">
        <v>21</v>
      </c>
      <c r="D2457">
        <v>6201</v>
      </c>
      <c r="E2457" t="s">
        <v>100</v>
      </c>
      <c r="F2457" t="s">
        <v>14</v>
      </c>
      <c r="G2457">
        <v>15</v>
      </c>
    </row>
    <row r="2458" spans="1:7" x14ac:dyDescent="0.35">
      <c r="A2458">
        <v>190412</v>
      </c>
      <c r="B2458">
        <v>2</v>
      </c>
      <c r="C2458" t="s">
        <v>48</v>
      </c>
      <c r="D2458">
        <v>610</v>
      </c>
      <c r="E2458" t="s">
        <v>93</v>
      </c>
      <c r="G2458">
        <v>20</v>
      </c>
    </row>
    <row r="2459" spans="1:7" x14ac:dyDescent="0.35">
      <c r="A2459">
        <v>92085</v>
      </c>
      <c r="B2459">
        <v>1</v>
      </c>
      <c r="C2459" t="s">
        <v>16</v>
      </c>
      <c r="D2459">
        <v>1909</v>
      </c>
      <c r="E2459" t="s">
        <v>92</v>
      </c>
      <c r="F2459" t="s">
        <v>14</v>
      </c>
      <c r="G2459">
        <v>15</v>
      </c>
    </row>
    <row r="2460" spans="1:7" x14ac:dyDescent="0.35">
      <c r="A2460">
        <v>176825</v>
      </c>
      <c r="B2460">
        <v>1</v>
      </c>
      <c r="C2460" t="s">
        <v>50</v>
      </c>
      <c r="D2460">
        <v>1702</v>
      </c>
      <c r="F2460" t="s">
        <v>14</v>
      </c>
      <c r="G2460">
        <v>12</v>
      </c>
    </row>
    <row r="2461" spans="1:7" x14ac:dyDescent="0.35">
      <c r="A2461">
        <v>168259</v>
      </c>
      <c r="B2461">
        <v>1</v>
      </c>
      <c r="C2461" t="s">
        <v>22</v>
      </c>
      <c r="D2461">
        <v>2106</v>
      </c>
      <c r="E2461" t="s">
        <v>95</v>
      </c>
      <c r="F2461" t="s">
        <v>14</v>
      </c>
      <c r="G2461">
        <v>10</v>
      </c>
    </row>
    <row r="2462" spans="1:7" x14ac:dyDescent="0.35">
      <c r="A2462">
        <v>188801</v>
      </c>
      <c r="B2462">
        <v>0</v>
      </c>
      <c r="C2462" t="s">
        <v>13</v>
      </c>
      <c r="D2462">
        <v>0</v>
      </c>
      <c r="E2462" t="s">
        <v>88</v>
      </c>
      <c r="F2462" t="s">
        <v>30</v>
      </c>
      <c r="G2462">
        <v>15</v>
      </c>
    </row>
    <row r="2463" spans="1:7" x14ac:dyDescent="0.35">
      <c r="A2463">
        <v>80960</v>
      </c>
      <c r="B2463">
        <v>2</v>
      </c>
      <c r="C2463" t="s">
        <v>35</v>
      </c>
      <c r="D2463">
        <v>2204</v>
      </c>
      <c r="E2463" t="s">
        <v>89</v>
      </c>
      <c r="F2463" t="s">
        <v>14</v>
      </c>
      <c r="G2463">
        <v>5</v>
      </c>
    </row>
    <row r="2464" spans="1:7" x14ac:dyDescent="0.35">
      <c r="A2464">
        <v>130407</v>
      </c>
      <c r="B2464">
        <v>0</v>
      </c>
      <c r="C2464" t="s">
        <v>13</v>
      </c>
      <c r="D2464">
        <v>3101</v>
      </c>
      <c r="E2464" t="s">
        <v>93</v>
      </c>
      <c r="F2464" t="s">
        <v>17</v>
      </c>
      <c r="G2464">
        <v>22</v>
      </c>
    </row>
    <row r="2465" spans="1:7" x14ac:dyDescent="0.35">
      <c r="A2465">
        <v>80335</v>
      </c>
      <c r="B2465">
        <v>1</v>
      </c>
      <c r="C2465" t="s">
        <v>35</v>
      </c>
      <c r="D2465">
        <v>1101</v>
      </c>
      <c r="E2465" t="s">
        <v>96</v>
      </c>
      <c r="F2465" t="s">
        <v>14</v>
      </c>
      <c r="G2465">
        <v>5</v>
      </c>
    </row>
    <row r="2466" spans="1:7" x14ac:dyDescent="0.35">
      <c r="A2466">
        <v>183793</v>
      </c>
      <c r="B2466">
        <v>0</v>
      </c>
      <c r="C2466" t="s">
        <v>40</v>
      </c>
      <c r="D2466">
        <v>0</v>
      </c>
      <c r="E2466" t="s">
        <v>92</v>
      </c>
      <c r="F2466" t="s">
        <v>17</v>
      </c>
      <c r="G2466">
        <v>12</v>
      </c>
    </row>
    <row r="2467" spans="1:7" x14ac:dyDescent="0.35">
      <c r="A2467">
        <v>170229</v>
      </c>
      <c r="B2467">
        <v>0</v>
      </c>
      <c r="C2467" t="s">
        <v>22</v>
      </c>
      <c r="D2467">
        <v>0</v>
      </c>
      <c r="E2467" t="s">
        <v>89</v>
      </c>
      <c r="F2467" t="s">
        <v>17</v>
      </c>
      <c r="G2467">
        <v>11</v>
      </c>
    </row>
    <row r="2468" spans="1:7" x14ac:dyDescent="0.35">
      <c r="A2468">
        <v>86073</v>
      </c>
      <c r="B2468">
        <v>0</v>
      </c>
      <c r="C2468" t="s">
        <v>52</v>
      </c>
      <c r="D2468">
        <v>3801</v>
      </c>
      <c r="E2468" t="s">
        <v>91</v>
      </c>
      <c r="F2468" t="s">
        <v>14</v>
      </c>
      <c r="G2468">
        <v>10</v>
      </c>
    </row>
    <row r="2469" spans="1:7" x14ac:dyDescent="0.35">
      <c r="A2469">
        <v>114942</v>
      </c>
      <c r="B2469">
        <v>2</v>
      </c>
      <c r="C2469" t="s">
        <v>31</v>
      </c>
      <c r="D2469">
        <v>2201</v>
      </c>
      <c r="E2469" t="s">
        <v>89</v>
      </c>
      <c r="F2469" t="s">
        <v>17</v>
      </c>
      <c r="G2469">
        <v>20</v>
      </c>
    </row>
    <row r="2470" spans="1:7" x14ac:dyDescent="0.35">
      <c r="A2470">
        <v>31239</v>
      </c>
      <c r="B2470">
        <v>0</v>
      </c>
      <c r="C2470" t="s">
        <v>39</v>
      </c>
      <c r="D2470">
        <v>0</v>
      </c>
      <c r="E2470" t="s">
        <v>91</v>
      </c>
      <c r="F2470" t="s">
        <v>17</v>
      </c>
      <c r="G2470">
        <v>10</v>
      </c>
    </row>
    <row r="2471" spans="1:7" x14ac:dyDescent="0.35">
      <c r="A2471">
        <v>185937</v>
      </c>
      <c r="B2471">
        <v>1</v>
      </c>
      <c r="C2471" t="s">
        <v>42</v>
      </c>
      <c r="D2471">
        <v>0</v>
      </c>
      <c r="F2471" t="s">
        <v>14</v>
      </c>
      <c r="G2471">
        <v>10</v>
      </c>
    </row>
    <row r="2472" spans="1:7" x14ac:dyDescent="0.35">
      <c r="A2472">
        <v>167799</v>
      </c>
      <c r="B2472">
        <v>0</v>
      </c>
      <c r="C2472" t="s">
        <v>22</v>
      </c>
      <c r="D2472">
        <v>601</v>
      </c>
      <c r="E2472" t="s">
        <v>88</v>
      </c>
      <c r="F2472" t="s">
        <v>17</v>
      </c>
      <c r="G2472">
        <v>20</v>
      </c>
    </row>
    <row r="2473" spans="1:7" x14ac:dyDescent="0.35">
      <c r="A2473">
        <v>23778</v>
      </c>
      <c r="B2473">
        <v>0</v>
      </c>
      <c r="C2473" t="s">
        <v>46</v>
      </c>
      <c r="D2473">
        <v>1411</v>
      </c>
      <c r="E2473" t="s">
        <v>93</v>
      </c>
      <c r="F2473" t="s">
        <v>17</v>
      </c>
      <c r="G2473">
        <v>100</v>
      </c>
    </row>
    <row r="2474" spans="1:7" x14ac:dyDescent="0.35">
      <c r="A2474">
        <v>66322</v>
      </c>
      <c r="B2474">
        <v>1</v>
      </c>
      <c r="C2474" t="s">
        <v>29</v>
      </c>
      <c r="D2474">
        <v>1301</v>
      </c>
      <c r="E2474" t="s">
        <v>90</v>
      </c>
      <c r="F2474" t="s">
        <v>14</v>
      </c>
      <c r="G2474">
        <v>10</v>
      </c>
    </row>
    <row r="2475" spans="1:7" x14ac:dyDescent="0.35">
      <c r="A2475">
        <v>177458</v>
      </c>
      <c r="B2475">
        <v>0</v>
      </c>
      <c r="C2475" t="s">
        <v>50</v>
      </c>
      <c r="D2475">
        <v>0</v>
      </c>
      <c r="E2475" t="s">
        <v>91</v>
      </c>
      <c r="G2475">
        <v>6</v>
      </c>
    </row>
    <row r="2476" spans="1:7" x14ac:dyDescent="0.35">
      <c r="A2476">
        <v>102222</v>
      </c>
      <c r="B2476">
        <v>0</v>
      </c>
      <c r="C2476" t="s">
        <v>36</v>
      </c>
      <c r="D2476">
        <v>3307</v>
      </c>
      <c r="E2476" t="s">
        <v>90</v>
      </c>
      <c r="F2476" t="s">
        <v>17</v>
      </c>
      <c r="G2476">
        <v>10</v>
      </c>
    </row>
    <row r="2477" spans="1:7" x14ac:dyDescent="0.35">
      <c r="A2477">
        <v>158977</v>
      </c>
      <c r="B2477">
        <v>0</v>
      </c>
      <c r="C2477" t="s">
        <v>22</v>
      </c>
      <c r="D2477">
        <v>2112</v>
      </c>
      <c r="E2477" t="s">
        <v>90</v>
      </c>
      <c r="F2477" t="s">
        <v>14</v>
      </c>
      <c r="G2477">
        <v>5</v>
      </c>
    </row>
    <row r="2478" spans="1:7" x14ac:dyDescent="0.35">
      <c r="A2478">
        <v>127030</v>
      </c>
      <c r="B2478">
        <v>0</v>
      </c>
      <c r="C2478" t="s">
        <v>21</v>
      </c>
      <c r="D2478">
        <v>0</v>
      </c>
      <c r="E2478" t="s">
        <v>95</v>
      </c>
      <c r="F2478" t="s">
        <v>17</v>
      </c>
      <c r="G2478">
        <v>10</v>
      </c>
    </row>
    <row r="2479" spans="1:7" x14ac:dyDescent="0.35">
      <c r="A2479">
        <v>151698</v>
      </c>
      <c r="B2479">
        <v>1</v>
      </c>
      <c r="C2479" t="s">
        <v>50</v>
      </c>
      <c r="D2479">
        <v>3201</v>
      </c>
      <c r="E2479" t="s">
        <v>94</v>
      </c>
      <c r="F2479" t="s">
        <v>14</v>
      </c>
      <c r="G2479">
        <v>20</v>
      </c>
    </row>
    <row r="2480" spans="1:7" x14ac:dyDescent="0.35">
      <c r="A2480">
        <v>1054</v>
      </c>
      <c r="B2480">
        <v>0</v>
      </c>
      <c r="C2480" t="s">
        <v>22</v>
      </c>
      <c r="D2480">
        <v>0</v>
      </c>
      <c r="E2480" t="s">
        <v>89</v>
      </c>
      <c r="F2480" t="s">
        <v>17</v>
      </c>
      <c r="G2480">
        <v>8</v>
      </c>
    </row>
    <row r="2481" spans="1:7" x14ac:dyDescent="0.35">
      <c r="A2481">
        <v>178293</v>
      </c>
      <c r="B2481">
        <v>2</v>
      </c>
      <c r="C2481" t="s">
        <v>40</v>
      </c>
      <c r="D2481">
        <v>0</v>
      </c>
      <c r="E2481" t="s">
        <v>93</v>
      </c>
      <c r="F2481" t="s">
        <v>17</v>
      </c>
      <c r="G2481">
        <v>12</v>
      </c>
    </row>
    <row r="2482" spans="1:7" x14ac:dyDescent="0.35">
      <c r="A2482">
        <v>187082</v>
      </c>
      <c r="B2482">
        <v>2</v>
      </c>
      <c r="C2482" t="s">
        <v>18</v>
      </c>
      <c r="D2482">
        <v>2001</v>
      </c>
      <c r="E2482" t="s">
        <v>91</v>
      </c>
      <c r="F2482" t="s">
        <v>17</v>
      </c>
      <c r="G2482">
        <v>8</v>
      </c>
    </row>
    <row r="2483" spans="1:7" x14ac:dyDescent="0.35">
      <c r="A2483">
        <v>156034</v>
      </c>
      <c r="B2483">
        <v>1</v>
      </c>
      <c r="C2483" t="s">
        <v>22</v>
      </c>
      <c r="D2483">
        <v>6001</v>
      </c>
      <c r="E2483" t="s">
        <v>89</v>
      </c>
      <c r="F2483" t="s">
        <v>14</v>
      </c>
      <c r="G2483">
        <v>15</v>
      </c>
    </row>
    <row r="2484" spans="1:7" x14ac:dyDescent="0.35">
      <c r="A2484">
        <v>72048</v>
      </c>
      <c r="B2484">
        <v>1</v>
      </c>
      <c r="C2484" t="s">
        <v>29</v>
      </c>
      <c r="D2484">
        <v>6001</v>
      </c>
      <c r="E2484" t="s">
        <v>91</v>
      </c>
      <c r="F2484" t="s">
        <v>14</v>
      </c>
      <c r="G2484">
        <v>10</v>
      </c>
    </row>
    <row r="2485" spans="1:7" x14ac:dyDescent="0.35">
      <c r="A2485">
        <v>104427</v>
      </c>
      <c r="B2485">
        <v>0</v>
      </c>
      <c r="C2485" t="s">
        <v>28</v>
      </c>
      <c r="D2485">
        <v>4601</v>
      </c>
      <c r="E2485" t="s">
        <v>91</v>
      </c>
      <c r="F2485" t="s">
        <v>17</v>
      </c>
      <c r="G2485">
        <v>15</v>
      </c>
    </row>
    <row r="2486" spans="1:7" x14ac:dyDescent="0.35">
      <c r="A2486">
        <v>34448</v>
      </c>
      <c r="B2486">
        <v>2</v>
      </c>
      <c r="C2486" t="s">
        <v>13</v>
      </c>
      <c r="D2486">
        <v>1601</v>
      </c>
      <c r="E2486" t="s">
        <v>91</v>
      </c>
      <c r="F2486" t="s">
        <v>17</v>
      </c>
      <c r="G2486">
        <v>10</v>
      </c>
    </row>
    <row r="2487" spans="1:7" x14ac:dyDescent="0.35">
      <c r="A2487">
        <v>10247</v>
      </c>
      <c r="B2487">
        <v>0</v>
      </c>
      <c r="C2487" t="s">
        <v>22</v>
      </c>
      <c r="D2487">
        <v>3005</v>
      </c>
      <c r="E2487" t="s">
        <v>92</v>
      </c>
      <c r="F2487" t="s">
        <v>17</v>
      </c>
      <c r="G2487">
        <v>10</v>
      </c>
    </row>
    <row r="2488" spans="1:7" x14ac:dyDescent="0.35">
      <c r="A2488">
        <v>158679</v>
      </c>
      <c r="B2488">
        <v>1</v>
      </c>
      <c r="C2488" t="s">
        <v>22</v>
      </c>
      <c r="D2488">
        <v>0</v>
      </c>
      <c r="E2488" t="s">
        <v>90</v>
      </c>
      <c r="F2488" t="s">
        <v>14</v>
      </c>
      <c r="G2488">
        <v>16</v>
      </c>
    </row>
    <row r="2489" spans="1:7" x14ac:dyDescent="0.35">
      <c r="A2489">
        <v>141742</v>
      </c>
      <c r="B2489">
        <v>2</v>
      </c>
      <c r="C2489" t="s">
        <v>24</v>
      </c>
      <c r="D2489">
        <v>2801</v>
      </c>
      <c r="E2489" t="s">
        <v>89</v>
      </c>
      <c r="F2489" t="s">
        <v>14</v>
      </c>
      <c r="G2489">
        <v>8</v>
      </c>
    </row>
    <row r="2490" spans="1:7" x14ac:dyDescent="0.35">
      <c r="A2490">
        <v>96679</v>
      </c>
      <c r="B2490">
        <v>0</v>
      </c>
      <c r="C2490" t="s">
        <v>16</v>
      </c>
      <c r="D2490">
        <v>5001</v>
      </c>
      <c r="E2490" t="s">
        <v>93</v>
      </c>
      <c r="F2490" t="s">
        <v>14</v>
      </c>
      <c r="G2490">
        <v>5</v>
      </c>
    </row>
    <row r="2491" spans="1:7" x14ac:dyDescent="0.35">
      <c r="A2491">
        <v>151513</v>
      </c>
      <c r="B2491">
        <v>0</v>
      </c>
      <c r="C2491" t="s">
        <v>22</v>
      </c>
      <c r="D2491">
        <v>2201</v>
      </c>
      <c r="E2491" t="s">
        <v>95</v>
      </c>
      <c r="F2491" t="s">
        <v>17</v>
      </c>
      <c r="G2491">
        <v>15</v>
      </c>
    </row>
    <row r="2492" spans="1:7" x14ac:dyDescent="0.35">
      <c r="A2492">
        <v>2085</v>
      </c>
      <c r="B2492">
        <v>1</v>
      </c>
      <c r="C2492" t="s">
        <v>13</v>
      </c>
      <c r="D2492">
        <v>4412</v>
      </c>
      <c r="E2492" t="s">
        <v>88</v>
      </c>
      <c r="F2492" t="s">
        <v>14</v>
      </c>
      <c r="G2492">
        <v>20</v>
      </c>
    </row>
    <row r="2493" spans="1:7" x14ac:dyDescent="0.35">
      <c r="A2493">
        <v>112532</v>
      </c>
      <c r="B2493">
        <v>0</v>
      </c>
      <c r="C2493" t="s">
        <v>32</v>
      </c>
      <c r="D2493">
        <v>0</v>
      </c>
      <c r="E2493" t="s">
        <v>91</v>
      </c>
      <c r="F2493" t="s">
        <v>17</v>
      </c>
      <c r="G2493">
        <v>11</v>
      </c>
    </row>
    <row r="2494" spans="1:7" x14ac:dyDescent="0.35">
      <c r="A2494">
        <v>164987</v>
      </c>
      <c r="B2494">
        <v>0</v>
      </c>
      <c r="C2494" t="s">
        <v>22</v>
      </c>
      <c r="D2494">
        <v>5201</v>
      </c>
      <c r="E2494" t="s">
        <v>93</v>
      </c>
      <c r="F2494" t="s">
        <v>14</v>
      </c>
      <c r="G2494">
        <v>12</v>
      </c>
    </row>
    <row r="2495" spans="1:7" x14ac:dyDescent="0.35">
      <c r="A2495">
        <v>142013</v>
      </c>
      <c r="B2495">
        <v>0</v>
      </c>
      <c r="C2495" t="s">
        <v>24</v>
      </c>
      <c r="D2495">
        <v>4401</v>
      </c>
      <c r="E2495" t="s">
        <v>91</v>
      </c>
      <c r="F2495" t="s">
        <v>17</v>
      </c>
      <c r="G2495">
        <v>23</v>
      </c>
    </row>
    <row r="2496" spans="1:7" x14ac:dyDescent="0.35">
      <c r="A2496">
        <v>185803</v>
      </c>
      <c r="B2496">
        <v>0</v>
      </c>
      <c r="C2496" t="s">
        <v>56</v>
      </c>
      <c r="D2496">
        <v>3808</v>
      </c>
      <c r="F2496" t="s">
        <v>14</v>
      </c>
      <c r="G2496">
        <v>20</v>
      </c>
    </row>
    <row r="2497" spans="1:7" x14ac:dyDescent="0.35">
      <c r="A2497">
        <v>130908</v>
      </c>
      <c r="B2497">
        <v>3</v>
      </c>
      <c r="C2497" t="s">
        <v>48</v>
      </c>
      <c r="D2497">
        <v>0</v>
      </c>
      <c r="E2497" t="s">
        <v>91</v>
      </c>
      <c r="F2497" t="s">
        <v>17</v>
      </c>
      <c r="G2497">
        <v>25</v>
      </c>
    </row>
    <row r="2498" spans="1:7" x14ac:dyDescent="0.35">
      <c r="A2498">
        <v>121208</v>
      </c>
      <c r="B2498">
        <v>0</v>
      </c>
      <c r="C2498" t="s">
        <v>21</v>
      </c>
      <c r="D2498">
        <v>6909</v>
      </c>
      <c r="E2498" t="s">
        <v>95</v>
      </c>
      <c r="F2498" t="s">
        <v>17</v>
      </c>
      <c r="G2498">
        <v>13</v>
      </c>
    </row>
    <row r="2499" spans="1:7" x14ac:dyDescent="0.35">
      <c r="A2499">
        <v>96441</v>
      </c>
      <c r="B2499">
        <v>0</v>
      </c>
      <c r="C2499" t="s">
        <v>16</v>
      </c>
      <c r="D2499">
        <v>2409</v>
      </c>
      <c r="E2499" t="s">
        <v>94</v>
      </c>
      <c r="F2499" t="s">
        <v>14</v>
      </c>
      <c r="G2499">
        <v>25</v>
      </c>
    </row>
    <row r="2500" spans="1:7" x14ac:dyDescent="0.35">
      <c r="A2500">
        <v>177190</v>
      </c>
      <c r="B2500">
        <v>28</v>
      </c>
      <c r="C2500" t="s">
        <v>50</v>
      </c>
      <c r="D2500">
        <v>0</v>
      </c>
      <c r="E2500" t="s">
        <v>96</v>
      </c>
      <c r="F2500" t="s">
        <v>17</v>
      </c>
      <c r="G2500">
        <v>8</v>
      </c>
    </row>
    <row r="2501" spans="1:7" x14ac:dyDescent="0.35">
      <c r="A2501">
        <v>113502</v>
      </c>
      <c r="B2501">
        <v>2</v>
      </c>
      <c r="C2501" t="s">
        <v>31</v>
      </c>
      <c r="D2501">
        <v>601</v>
      </c>
      <c r="E2501" t="s">
        <v>88</v>
      </c>
      <c r="F2501" t="s">
        <v>17</v>
      </c>
      <c r="G2501">
        <v>7</v>
      </c>
    </row>
    <row r="2502" spans="1:7" x14ac:dyDescent="0.35">
      <c r="A2502">
        <v>175016</v>
      </c>
      <c r="B2502">
        <v>2</v>
      </c>
      <c r="C2502" t="s">
        <v>50</v>
      </c>
      <c r="D2502">
        <v>0</v>
      </c>
      <c r="E2502" t="s">
        <v>89</v>
      </c>
      <c r="F2502" t="s">
        <v>17</v>
      </c>
      <c r="G2502">
        <v>9</v>
      </c>
    </row>
    <row r="2503" spans="1:7" x14ac:dyDescent="0.35">
      <c r="A2503">
        <v>150644</v>
      </c>
      <c r="B2503">
        <v>0</v>
      </c>
      <c r="C2503" t="s">
        <v>22</v>
      </c>
      <c r="D2503">
        <v>4801</v>
      </c>
      <c r="E2503" t="s">
        <v>95</v>
      </c>
      <c r="F2503" t="s">
        <v>17</v>
      </c>
      <c r="G2503">
        <v>35</v>
      </c>
    </row>
    <row r="2504" spans="1:7" x14ac:dyDescent="0.35">
      <c r="A2504">
        <v>50003</v>
      </c>
      <c r="B2504">
        <v>2</v>
      </c>
      <c r="C2504" t="s">
        <v>53</v>
      </c>
      <c r="D2504">
        <v>2706</v>
      </c>
      <c r="E2504" t="s">
        <v>89</v>
      </c>
      <c r="F2504" t="s">
        <v>17</v>
      </c>
      <c r="G2504">
        <v>10</v>
      </c>
    </row>
    <row r="2505" spans="1:7" x14ac:dyDescent="0.35">
      <c r="A2505">
        <v>106896</v>
      </c>
      <c r="B2505">
        <v>0</v>
      </c>
      <c r="C2505" t="s">
        <v>59</v>
      </c>
      <c r="D2505">
        <v>2401</v>
      </c>
      <c r="E2505" t="s">
        <v>90</v>
      </c>
      <c r="F2505" t="s">
        <v>17</v>
      </c>
      <c r="G2505">
        <v>5</v>
      </c>
    </row>
    <row r="2506" spans="1:7" x14ac:dyDescent="0.35">
      <c r="A2506">
        <v>14898</v>
      </c>
      <c r="B2506">
        <v>1</v>
      </c>
      <c r="C2506" t="s">
        <v>28</v>
      </c>
      <c r="D2506">
        <v>1408</v>
      </c>
      <c r="E2506" t="s">
        <v>93</v>
      </c>
      <c r="F2506" t="s">
        <v>14</v>
      </c>
      <c r="G2506">
        <v>15</v>
      </c>
    </row>
    <row r="2507" spans="1:7" x14ac:dyDescent="0.35">
      <c r="A2507">
        <v>139463</v>
      </c>
      <c r="B2507">
        <v>28</v>
      </c>
      <c r="C2507" t="s">
        <v>54</v>
      </c>
      <c r="D2507">
        <v>4901</v>
      </c>
      <c r="E2507" t="s">
        <v>103</v>
      </c>
      <c r="F2507" t="s">
        <v>17</v>
      </c>
      <c r="G2507">
        <v>9</v>
      </c>
    </row>
    <row r="2508" spans="1:7" x14ac:dyDescent="0.35">
      <c r="A2508">
        <v>12900</v>
      </c>
      <c r="B2508">
        <v>0</v>
      </c>
      <c r="C2508" t="s">
        <v>40</v>
      </c>
      <c r="D2508">
        <v>0</v>
      </c>
      <c r="E2508" t="s">
        <v>93</v>
      </c>
      <c r="F2508" t="s">
        <v>17</v>
      </c>
      <c r="G2508">
        <v>5</v>
      </c>
    </row>
    <row r="2509" spans="1:7" x14ac:dyDescent="0.35">
      <c r="A2509">
        <v>60897</v>
      </c>
      <c r="B2509">
        <v>0</v>
      </c>
      <c r="C2509" t="s">
        <v>33</v>
      </c>
      <c r="D2509">
        <v>0</v>
      </c>
      <c r="E2509" t="s">
        <v>90</v>
      </c>
      <c r="F2509" t="s">
        <v>17</v>
      </c>
      <c r="G2509">
        <v>5</v>
      </c>
    </row>
    <row r="2510" spans="1:7" x14ac:dyDescent="0.35">
      <c r="A2510">
        <v>5180</v>
      </c>
      <c r="B2510">
        <v>2</v>
      </c>
      <c r="C2510" t="s">
        <v>50</v>
      </c>
      <c r="D2510">
        <v>1901</v>
      </c>
      <c r="E2510" t="s">
        <v>90</v>
      </c>
      <c r="F2510" t="s">
        <v>17</v>
      </c>
      <c r="G2510">
        <v>13</v>
      </c>
    </row>
    <row r="2511" spans="1:7" x14ac:dyDescent="0.35">
      <c r="A2511">
        <v>137835</v>
      </c>
      <c r="B2511">
        <v>28</v>
      </c>
      <c r="C2511" t="s">
        <v>55</v>
      </c>
      <c r="D2511">
        <v>0</v>
      </c>
      <c r="E2511" t="s">
        <v>89</v>
      </c>
      <c r="F2511" t="s">
        <v>17</v>
      </c>
      <c r="G2511">
        <v>11</v>
      </c>
    </row>
    <row r="2512" spans="1:7" x14ac:dyDescent="0.35">
      <c r="A2512">
        <v>2867</v>
      </c>
      <c r="B2512">
        <v>0</v>
      </c>
      <c r="C2512" t="s">
        <v>31</v>
      </c>
      <c r="D2512">
        <v>0</v>
      </c>
      <c r="E2512" t="s">
        <v>91</v>
      </c>
      <c r="F2512" t="s">
        <v>17</v>
      </c>
      <c r="G2512">
        <v>13</v>
      </c>
    </row>
    <row r="2513" spans="1:7" x14ac:dyDescent="0.35">
      <c r="A2513">
        <v>150025</v>
      </c>
      <c r="B2513">
        <v>0</v>
      </c>
      <c r="C2513" t="s">
        <v>22</v>
      </c>
      <c r="D2513">
        <v>2005</v>
      </c>
      <c r="E2513" t="s">
        <v>90</v>
      </c>
      <c r="F2513" t="s">
        <v>17</v>
      </c>
      <c r="G2513">
        <v>3</v>
      </c>
    </row>
    <row r="2514" spans="1:7" x14ac:dyDescent="0.35">
      <c r="A2514">
        <v>111045</v>
      </c>
      <c r="B2514">
        <v>0</v>
      </c>
      <c r="C2514" t="s">
        <v>32</v>
      </c>
      <c r="D2514">
        <v>1812</v>
      </c>
      <c r="E2514" t="s">
        <v>91</v>
      </c>
      <c r="G2514">
        <v>10</v>
      </c>
    </row>
    <row r="2515" spans="1:7" x14ac:dyDescent="0.35">
      <c r="A2515">
        <v>3109</v>
      </c>
      <c r="B2515">
        <v>0</v>
      </c>
      <c r="C2515" t="s">
        <v>16</v>
      </c>
      <c r="D2515">
        <v>3408</v>
      </c>
      <c r="E2515" t="s">
        <v>92</v>
      </c>
      <c r="F2515" t="s">
        <v>14</v>
      </c>
      <c r="G2515">
        <v>25</v>
      </c>
    </row>
    <row r="2516" spans="1:7" x14ac:dyDescent="0.35">
      <c r="A2516">
        <v>45134</v>
      </c>
      <c r="B2516">
        <v>1</v>
      </c>
      <c r="C2516" t="s">
        <v>13</v>
      </c>
      <c r="D2516">
        <v>1312</v>
      </c>
      <c r="E2516" t="s">
        <v>88</v>
      </c>
      <c r="F2516" t="s">
        <v>14</v>
      </c>
      <c r="G2516">
        <v>12</v>
      </c>
    </row>
    <row r="2517" spans="1:7" x14ac:dyDescent="0.35">
      <c r="A2517">
        <v>85396</v>
      </c>
      <c r="B2517">
        <v>0</v>
      </c>
      <c r="C2517" t="s">
        <v>56</v>
      </c>
      <c r="D2517">
        <v>6301</v>
      </c>
      <c r="E2517" t="s">
        <v>94</v>
      </c>
      <c r="F2517" t="s">
        <v>17</v>
      </c>
      <c r="G2517">
        <v>9</v>
      </c>
    </row>
    <row r="2518" spans="1:7" x14ac:dyDescent="0.35">
      <c r="A2518">
        <v>164246</v>
      </c>
      <c r="B2518">
        <v>2</v>
      </c>
      <c r="C2518" t="s">
        <v>22</v>
      </c>
      <c r="D2518">
        <v>5001</v>
      </c>
      <c r="E2518" t="s">
        <v>95</v>
      </c>
      <c r="F2518" t="s">
        <v>17</v>
      </c>
      <c r="G2518">
        <v>15</v>
      </c>
    </row>
    <row r="2519" spans="1:7" x14ac:dyDescent="0.35">
      <c r="A2519">
        <v>49109</v>
      </c>
      <c r="B2519">
        <v>0</v>
      </c>
      <c r="C2519" t="s">
        <v>43</v>
      </c>
      <c r="D2519">
        <v>0</v>
      </c>
      <c r="E2519" t="s">
        <v>91</v>
      </c>
      <c r="G2519">
        <v>6</v>
      </c>
    </row>
    <row r="2520" spans="1:7" x14ac:dyDescent="0.35">
      <c r="A2520">
        <v>127346</v>
      </c>
      <c r="B2520">
        <v>0</v>
      </c>
      <c r="C2520" t="s">
        <v>74</v>
      </c>
      <c r="D2520">
        <v>5001</v>
      </c>
      <c r="E2520" t="s">
        <v>93</v>
      </c>
      <c r="F2520" t="s">
        <v>17</v>
      </c>
      <c r="G2520">
        <v>10</v>
      </c>
    </row>
    <row r="2521" spans="1:7" x14ac:dyDescent="0.35">
      <c r="A2521">
        <v>54123</v>
      </c>
      <c r="B2521">
        <v>0</v>
      </c>
      <c r="C2521" t="s">
        <v>53</v>
      </c>
      <c r="D2521">
        <v>0</v>
      </c>
      <c r="E2521" t="s">
        <v>89</v>
      </c>
      <c r="F2521" t="s">
        <v>17</v>
      </c>
      <c r="G2521">
        <v>5</v>
      </c>
    </row>
    <row r="2522" spans="1:7" x14ac:dyDescent="0.35">
      <c r="A2522">
        <v>125999</v>
      </c>
      <c r="B2522">
        <v>2</v>
      </c>
      <c r="C2522" t="s">
        <v>21</v>
      </c>
      <c r="D2522">
        <v>5701</v>
      </c>
      <c r="E2522" t="s">
        <v>104</v>
      </c>
      <c r="F2522" t="s">
        <v>17</v>
      </c>
      <c r="G2522">
        <v>20</v>
      </c>
    </row>
    <row r="2523" spans="1:7" x14ac:dyDescent="0.35">
      <c r="A2523">
        <v>130989</v>
      </c>
      <c r="B2523">
        <v>1</v>
      </c>
      <c r="C2523" t="s">
        <v>48</v>
      </c>
      <c r="D2523">
        <v>0</v>
      </c>
      <c r="E2523" t="s">
        <v>94</v>
      </c>
      <c r="F2523" t="s">
        <v>14</v>
      </c>
      <c r="G2523">
        <v>25</v>
      </c>
    </row>
    <row r="2524" spans="1:7" x14ac:dyDescent="0.35">
      <c r="A2524">
        <v>62721</v>
      </c>
      <c r="B2524">
        <v>1</v>
      </c>
      <c r="C2524" t="s">
        <v>33</v>
      </c>
      <c r="D2524">
        <v>0</v>
      </c>
      <c r="E2524" t="s">
        <v>91</v>
      </c>
      <c r="F2524" t="s">
        <v>30</v>
      </c>
      <c r="G2524">
        <v>6</v>
      </c>
    </row>
    <row r="2525" spans="1:7" x14ac:dyDescent="0.35">
      <c r="A2525">
        <v>104177</v>
      </c>
      <c r="B2525">
        <v>0</v>
      </c>
      <c r="C2525" t="s">
        <v>36</v>
      </c>
      <c r="D2525">
        <v>4201</v>
      </c>
      <c r="E2525" t="s">
        <v>93</v>
      </c>
      <c r="F2525" t="s">
        <v>17</v>
      </c>
      <c r="G2525">
        <v>15</v>
      </c>
    </row>
    <row r="2526" spans="1:7" x14ac:dyDescent="0.35">
      <c r="A2526">
        <v>70217</v>
      </c>
      <c r="B2526">
        <v>28</v>
      </c>
      <c r="C2526" t="s">
        <v>29</v>
      </c>
      <c r="D2526">
        <v>5201</v>
      </c>
      <c r="E2526" t="s">
        <v>97</v>
      </c>
      <c r="F2526" t="s">
        <v>17</v>
      </c>
      <c r="G2526">
        <v>10</v>
      </c>
    </row>
    <row r="2527" spans="1:7" x14ac:dyDescent="0.35">
      <c r="A2527">
        <v>160394</v>
      </c>
      <c r="B2527">
        <v>0</v>
      </c>
      <c r="C2527" t="s">
        <v>22</v>
      </c>
      <c r="D2527">
        <v>1001</v>
      </c>
      <c r="E2527" t="s">
        <v>90</v>
      </c>
      <c r="F2527" t="s">
        <v>17</v>
      </c>
      <c r="G2527">
        <v>8</v>
      </c>
    </row>
    <row r="2528" spans="1:7" x14ac:dyDescent="0.35">
      <c r="A2528">
        <v>134115</v>
      </c>
      <c r="B2528">
        <v>1002</v>
      </c>
      <c r="C2528" t="s">
        <v>26</v>
      </c>
      <c r="D2528">
        <v>5706</v>
      </c>
      <c r="E2528" t="s">
        <v>89</v>
      </c>
      <c r="F2528" t="s">
        <v>14</v>
      </c>
      <c r="G2528">
        <v>20</v>
      </c>
    </row>
    <row r="2529" spans="1:7" x14ac:dyDescent="0.35">
      <c r="A2529">
        <v>175602</v>
      </c>
      <c r="B2529">
        <v>2</v>
      </c>
      <c r="C2529" t="s">
        <v>50</v>
      </c>
      <c r="D2529">
        <v>2301</v>
      </c>
      <c r="E2529" t="s">
        <v>102</v>
      </c>
      <c r="F2529" t="s">
        <v>17</v>
      </c>
      <c r="G2529">
        <v>3</v>
      </c>
    </row>
    <row r="2530" spans="1:7" x14ac:dyDescent="0.35">
      <c r="A2530">
        <v>88489</v>
      </c>
      <c r="B2530">
        <v>0</v>
      </c>
      <c r="C2530" t="s">
        <v>16</v>
      </c>
      <c r="D2530">
        <v>3011</v>
      </c>
      <c r="E2530" t="s">
        <v>93</v>
      </c>
      <c r="F2530" t="s">
        <v>17</v>
      </c>
      <c r="G2530">
        <v>25</v>
      </c>
    </row>
    <row r="2531" spans="1:7" x14ac:dyDescent="0.35">
      <c r="A2531">
        <v>139664</v>
      </c>
      <c r="B2531">
        <v>28</v>
      </c>
      <c r="C2531" t="s">
        <v>54</v>
      </c>
      <c r="D2531">
        <v>4408</v>
      </c>
      <c r="E2531" t="s">
        <v>93</v>
      </c>
      <c r="F2531" t="s">
        <v>17</v>
      </c>
      <c r="G2531">
        <v>16</v>
      </c>
    </row>
    <row r="2532" spans="1:7" x14ac:dyDescent="0.35">
      <c r="A2532">
        <v>9947</v>
      </c>
      <c r="B2532">
        <v>1</v>
      </c>
      <c r="C2532" t="s">
        <v>48</v>
      </c>
      <c r="D2532">
        <v>2001</v>
      </c>
      <c r="E2532" t="s">
        <v>90</v>
      </c>
      <c r="F2532" t="s">
        <v>14</v>
      </c>
      <c r="G2532">
        <v>10</v>
      </c>
    </row>
    <row r="2533" spans="1:7" x14ac:dyDescent="0.35">
      <c r="A2533">
        <v>168368</v>
      </c>
      <c r="B2533">
        <v>0</v>
      </c>
      <c r="C2533" t="s">
        <v>22</v>
      </c>
      <c r="D2533">
        <v>4406</v>
      </c>
      <c r="E2533" t="s">
        <v>93</v>
      </c>
      <c r="F2533" t="s">
        <v>14</v>
      </c>
      <c r="G2533">
        <v>10</v>
      </c>
    </row>
    <row r="2534" spans="1:7" x14ac:dyDescent="0.35">
      <c r="A2534">
        <v>166927</v>
      </c>
      <c r="B2534">
        <v>1002</v>
      </c>
      <c r="C2534" t="s">
        <v>22</v>
      </c>
      <c r="D2534">
        <v>2908</v>
      </c>
      <c r="E2534" t="s">
        <v>93</v>
      </c>
      <c r="F2534" t="s">
        <v>14</v>
      </c>
      <c r="G2534">
        <v>20</v>
      </c>
    </row>
    <row r="2535" spans="1:7" x14ac:dyDescent="0.35">
      <c r="A2535">
        <v>189723</v>
      </c>
      <c r="B2535">
        <v>0</v>
      </c>
      <c r="C2535" t="s">
        <v>48</v>
      </c>
      <c r="D2535">
        <v>0</v>
      </c>
      <c r="E2535" t="s">
        <v>93</v>
      </c>
      <c r="F2535" t="s">
        <v>17</v>
      </c>
      <c r="G2535">
        <v>10</v>
      </c>
    </row>
    <row r="2536" spans="1:7" x14ac:dyDescent="0.35">
      <c r="A2536">
        <v>156559</v>
      </c>
      <c r="B2536">
        <v>1</v>
      </c>
      <c r="C2536" t="s">
        <v>22</v>
      </c>
      <c r="D2536">
        <v>4601</v>
      </c>
      <c r="E2536" t="s">
        <v>93</v>
      </c>
      <c r="F2536" t="s">
        <v>14</v>
      </c>
      <c r="G2536">
        <v>12</v>
      </c>
    </row>
    <row r="2537" spans="1:7" x14ac:dyDescent="0.35">
      <c r="A2537">
        <v>64683</v>
      </c>
      <c r="B2537">
        <v>28</v>
      </c>
      <c r="C2537" t="s">
        <v>29</v>
      </c>
      <c r="D2537">
        <v>5001</v>
      </c>
      <c r="E2537" t="s">
        <v>101</v>
      </c>
      <c r="F2537" t="s">
        <v>17</v>
      </c>
      <c r="G2537">
        <v>10</v>
      </c>
    </row>
    <row r="2538" spans="1:7" x14ac:dyDescent="0.35">
      <c r="A2538">
        <v>164697</v>
      </c>
      <c r="B2538">
        <v>28</v>
      </c>
      <c r="C2538" t="s">
        <v>22</v>
      </c>
      <c r="D2538">
        <v>1701</v>
      </c>
      <c r="E2538" t="s">
        <v>90</v>
      </c>
      <c r="F2538" t="s">
        <v>17</v>
      </c>
      <c r="G2538">
        <v>20</v>
      </c>
    </row>
    <row r="2539" spans="1:7" x14ac:dyDescent="0.35">
      <c r="A2539">
        <v>111918</v>
      </c>
      <c r="B2539">
        <v>0</v>
      </c>
      <c r="C2539" t="s">
        <v>32</v>
      </c>
      <c r="D2539">
        <v>3201</v>
      </c>
      <c r="E2539" t="s">
        <v>89</v>
      </c>
      <c r="F2539" t="s">
        <v>17</v>
      </c>
      <c r="G2539">
        <v>5</v>
      </c>
    </row>
    <row r="2540" spans="1:7" x14ac:dyDescent="0.35">
      <c r="A2540">
        <v>89816</v>
      </c>
      <c r="B2540">
        <v>0</v>
      </c>
      <c r="C2540" t="s">
        <v>16</v>
      </c>
      <c r="D2540">
        <v>4707</v>
      </c>
      <c r="E2540" t="s">
        <v>93</v>
      </c>
      <c r="F2540" t="s">
        <v>14</v>
      </c>
      <c r="G2540">
        <v>25</v>
      </c>
    </row>
    <row r="2541" spans="1:7" x14ac:dyDescent="0.35">
      <c r="A2541">
        <v>161115</v>
      </c>
      <c r="B2541">
        <v>2</v>
      </c>
      <c r="C2541" t="s">
        <v>22</v>
      </c>
      <c r="D2541">
        <v>0</v>
      </c>
      <c r="E2541" t="s">
        <v>88</v>
      </c>
      <c r="F2541" t="s">
        <v>30</v>
      </c>
      <c r="G2541">
        <v>10</v>
      </c>
    </row>
    <row r="2542" spans="1:7" x14ac:dyDescent="0.35">
      <c r="A2542">
        <v>165753</v>
      </c>
      <c r="B2542">
        <v>0</v>
      </c>
      <c r="C2542" t="s">
        <v>22</v>
      </c>
      <c r="D2542">
        <v>2801</v>
      </c>
      <c r="E2542" t="s">
        <v>90</v>
      </c>
      <c r="F2542" t="s">
        <v>14</v>
      </c>
      <c r="G2542">
        <v>15</v>
      </c>
    </row>
    <row r="2543" spans="1:7" x14ac:dyDescent="0.35">
      <c r="A2543">
        <v>117411</v>
      </c>
      <c r="B2543">
        <v>0</v>
      </c>
      <c r="C2543" t="s">
        <v>21</v>
      </c>
      <c r="D2543">
        <v>2009</v>
      </c>
      <c r="E2543" t="s">
        <v>93</v>
      </c>
      <c r="F2543" t="s">
        <v>17</v>
      </c>
      <c r="G2543">
        <v>20</v>
      </c>
    </row>
    <row r="2544" spans="1:7" x14ac:dyDescent="0.35">
      <c r="A2544">
        <v>112750</v>
      </c>
      <c r="B2544">
        <v>0</v>
      </c>
      <c r="C2544" t="s">
        <v>31</v>
      </c>
      <c r="D2544">
        <v>5801</v>
      </c>
      <c r="E2544" t="s">
        <v>93</v>
      </c>
      <c r="F2544" t="s">
        <v>17</v>
      </c>
      <c r="G2544">
        <v>20</v>
      </c>
    </row>
    <row r="2545" spans="1:7" x14ac:dyDescent="0.35">
      <c r="A2545">
        <v>134852</v>
      </c>
      <c r="B2545">
        <v>1</v>
      </c>
      <c r="C2545" t="s">
        <v>38</v>
      </c>
      <c r="D2545">
        <v>4901</v>
      </c>
      <c r="E2545" t="s">
        <v>91</v>
      </c>
      <c r="F2545" t="s">
        <v>14</v>
      </c>
      <c r="G2545">
        <v>50</v>
      </c>
    </row>
    <row r="2546" spans="1:7" x14ac:dyDescent="0.35">
      <c r="A2546">
        <v>69506</v>
      </c>
      <c r="B2546">
        <v>0</v>
      </c>
      <c r="C2546" t="s">
        <v>29</v>
      </c>
      <c r="D2546">
        <v>2005</v>
      </c>
      <c r="E2546" t="s">
        <v>90</v>
      </c>
      <c r="F2546" t="s">
        <v>17</v>
      </c>
      <c r="G2546">
        <v>15</v>
      </c>
    </row>
    <row r="2547" spans="1:7" x14ac:dyDescent="0.35">
      <c r="A2547">
        <v>94920</v>
      </c>
      <c r="B2547">
        <v>0</v>
      </c>
      <c r="C2547" t="s">
        <v>16</v>
      </c>
      <c r="D2547">
        <v>4105</v>
      </c>
      <c r="E2547" t="s">
        <v>95</v>
      </c>
      <c r="F2547" t="s">
        <v>17</v>
      </c>
      <c r="G2547">
        <v>15</v>
      </c>
    </row>
    <row r="2548" spans="1:7" x14ac:dyDescent="0.35">
      <c r="A2548">
        <v>186699</v>
      </c>
      <c r="B2548">
        <v>2</v>
      </c>
      <c r="C2548" t="s">
        <v>35</v>
      </c>
      <c r="D2548">
        <v>0</v>
      </c>
      <c r="E2548" t="s">
        <v>102</v>
      </c>
      <c r="F2548" t="s">
        <v>17</v>
      </c>
      <c r="G2548">
        <v>20</v>
      </c>
    </row>
    <row r="2549" spans="1:7" x14ac:dyDescent="0.35">
      <c r="A2549">
        <v>99276</v>
      </c>
      <c r="B2549">
        <v>2</v>
      </c>
      <c r="C2549" t="s">
        <v>36</v>
      </c>
      <c r="D2549">
        <v>5801</v>
      </c>
      <c r="E2549" t="s">
        <v>93</v>
      </c>
      <c r="F2549" t="s">
        <v>17</v>
      </c>
      <c r="G2549">
        <v>15</v>
      </c>
    </row>
    <row r="2550" spans="1:7" x14ac:dyDescent="0.35">
      <c r="A2550">
        <v>84582</v>
      </c>
      <c r="B2550">
        <v>2</v>
      </c>
      <c r="C2550" t="s">
        <v>56</v>
      </c>
      <c r="D2550">
        <v>3512</v>
      </c>
      <c r="E2550" t="s">
        <v>92</v>
      </c>
      <c r="F2550" t="s">
        <v>17</v>
      </c>
      <c r="G2550">
        <v>25</v>
      </c>
    </row>
    <row r="2551" spans="1:7" x14ac:dyDescent="0.35">
      <c r="A2551">
        <v>132339</v>
      </c>
      <c r="B2551">
        <v>0</v>
      </c>
      <c r="C2551" t="s">
        <v>48</v>
      </c>
      <c r="D2551">
        <v>3001</v>
      </c>
      <c r="E2551" t="s">
        <v>91</v>
      </c>
      <c r="F2551" t="s">
        <v>14</v>
      </c>
      <c r="G2551">
        <v>11</v>
      </c>
    </row>
    <row r="2552" spans="1:7" x14ac:dyDescent="0.35">
      <c r="A2552">
        <v>12011</v>
      </c>
      <c r="B2552">
        <v>1</v>
      </c>
      <c r="C2552" t="s">
        <v>22</v>
      </c>
      <c r="D2552">
        <v>2801</v>
      </c>
      <c r="E2552" t="s">
        <v>96</v>
      </c>
      <c r="F2552" t="s">
        <v>14</v>
      </c>
      <c r="G2552">
        <v>11</v>
      </c>
    </row>
    <row r="2553" spans="1:7" x14ac:dyDescent="0.35">
      <c r="A2553">
        <v>117673</v>
      </c>
      <c r="B2553">
        <v>1</v>
      </c>
      <c r="C2553" t="s">
        <v>21</v>
      </c>
      <c r="D2553">
        <v>3801</v>
      </c>
      <c r="E2553" t="s">
        <v>89</v>
      </c>
      <c r="F2553" t="s">
        <v>14</v>
      </c>
      <c r="G2553">
        <v>15</v>
      </c>
    </row>
    <row r="2554" spans="1:7" x14ac:dyDescent="0.35">
      <c r="A2554">
        <v>186170</v>
      </c>
      <c r="B2554">
        <v>1</v>
      </c>
      <c r="C2554" t="s">
        <v>21</v>
      </c>
      <c r="D2554">
        <v>1801</v>
      </c>
      <c r="E2554" t="s">
        <v>91</v>
      </c>
      <c r="F2554" t="s">
        <v>14</v>
      </c>
      <c r="G2554">
        <v>17</v>
      </c>
    </row>
    <row r="2555" spans="1:7" x14ac:dyDescent="0.35">
      <c r="A2555">
        <v>150186</v>
      </c>
      <c r="B2555">
        <v>28</v>
      </c>
      <c r="C2555" t="s">
        <v>22</v>
      </c>
      <c r="D2555">
        <v>0</v>
      </c>
      <c r="E2555" t="s">
        <v>90</v>
      </c>
      <c r="F2555" t="s">
        <v>17</v>
      </c>
      <c r="G2555">
        <v>10</v>
      </c>
    </row>
    <row r="2556" spans="1:7" x14ac:dyDescent="0.35">
      <c r="A2556">
        <v>3638</v>
      </c>
      <c r="B2556">
        <v>0</v>
      </c>
      <c r="C2556" t="s">
        <v>29</v>
      </c>
      <c r="D2556">
        <v>0</v>
      </c>
      <c r="F2556" t="s">
        <v>17</v>
      </c>
      <c r="G2556">
        <v>15</v>
      </c>
    </row>
    <row r="2557" spans="1:7" x14ac:dyDescent="0.35">
      <c r="A2557">
        <v>160633</v>
      </c>
      <c r="B2557">
        <v>0</v>
      </c>
      <c r="C2557" t="s">
        <v>22</v>
      </c>
      <c r="D2557">
        <v>4201</v>
      </c>
      <c r="E2557" t="s">
        <v>91</v>
      </c>
      <c r="F2557" t="s">
        <v>17</v>
      </c>
      <c r="G2557">
        <v>25</v>
      </c>
    </row>
    <row r="2558" spans="1:7" x14ac:dyDescent="0.35">
      <c r="A2558">
        <v>161514</v>
      </c>
      <c r="B2558">
        <v>0</v>
      </c>
      <c r="C2558" t="s">
        <v>22</v>
      </c>
      <c r="D2558">
        <v>1001</v>
      </c>
      <c r="E2558" t="s">
        <v>93</v>
      </c>
      <c r="F2558" t="s">
        <v>17</v>
      </c>
      <c r="G2558">
        <v>5</v>
      </c>
    </row>
    <row r="2559" spans="1:7" x14ac:dyDescent="0.35">
      <c r="A2559">
        <v>110539</v>
      </c>
      <c r="B2559">
        <v>2</v>
      </c>
      <c r="C2559" t="s">
        <v>49</v>
      </c>
      <c r="D2559">
        <v>4702</v>
      </c>
      <c r="E2559" t="s">
        <v>91</v>
      </c>
      <c r="F2559" t="s">
        <v>14</v>
      </c>
      <c r="G2559">
        <v>20</v>
      </c>
    </row>
    <row r="2560" spans="1:7" x14ac:dyDescent="0.35">
      <c r="A2560">
        <v>77379</v>
      </c>
      <c r="B2560">
        <v>0</v>
      </c>
      <c r="C2560" t="s">
        <v>35</v>
      </c>
      <c r="D2560">
        <v>0</v>
      </c>
      <c r="E2560" t="s">
        <v>89</v>
      </c>
      <c r="G2560">
        <v>20</v>
      </c>
    </row>
    <row r="2561" spans="1:7" x14ac:dyDescent="0.35">
      <c r="A2561">
        <v>176881</v>
      </c>
      <c r="B2561">
        <v>2</v>
      </c>
      <c r="C2561" t="s">
        <v>50</v>
      </c>
      <c r="D2561">
        <v>3001</v>
      </c>
      <c r="E2561" t="s">
        <v>89</v>
      </c>
      <c r="F2561" t="s">
        <v>17</v>
      </c>
      <c r="G2561">
        <v>5</v>
      </c>
    </row>
    <row r="2562" spans="1:7" x14ac:dyDescent="0.35">
      <c r="A2562">
        <v>115833</v>
      </c>
      <c r="B2562">
        <v>1</v>
      </c>
      <c r="C2562" t="s">
        <v>21</v>
      </c>
      <c r="D2562">
        <v>3106</v>
      </c>
      <c r="E2562" t="s">
        <v>103</v>
      </c>
      <c r="F2562" t="s">
        <v>14</v>
      </c>
      <c r="G2562">
        <v>5</v>
      </c>
    </row>
    <row r="2563" spans="1:7" x14ac:dyDescent="0.35">
      <c r="A2563">
        <v>65421</v>
      </c>
      <c r="B2563">
        <v>2</v>
      </c>
      <c r="C2563" t="s">
        <v>29</v>
      </c>
      <c r="D2563">
        <v>6301</v>
      </c>
      <c r="E2563" t="s">
        <v>90</v>
      </c>
      <c r="F2563" t="s">
        <v>17</v>
      </c>
      <c r="G2563">
        <v>15</v>
      </c>
    </row>
    <row r="2564" spans="1:7" x14ac:dyDescent="0.35">
      <c r="A2564">
        <v>132157</v>
      </c>
      <c r="B2564">
        <v>0</v>
      </c>
      <c r="C2564" t="s">
        <v>48</v>
      </c>
      <c r="D2564">
        <v>4201</v>
      </c>
      <c r="E2564" t="s">
        <v>89</v>
      </c>
      <c r="F2564" t="s">
        <v>17</v>
      </c>
      <c r="G2564">
        <v>25</v>
      </c>
    </row>
    <row r="2565" spans="1:7" x14ac:dyDescent="0.35">
      <c r="A2565">
        <v>36576</v>
      </c>
      <c r="B2565">
        <v>0</v>
      </c>
      <c r="C2565" t="s">
        <v>13</v>
      </c>
      <c r="D2565">
        <v>0</v>
      </c>
      <c r="E2565" t="s">
        <v>93</v>
      </c>
      <c r="G2565">
        <v>5</v>
      </c>
    </row>
    <row r="2566" spans="1:7" x14ac:dyDescent="0.35">
      <c r="A2566">
        <v>157739</v>
      </c>
      <c r="B2566">
        <v>1</v>
      </c>
      <c r="C2566" t="s">
        <v>22</v>
      </c>
      <c r="D2566">
        <v>2705</v>
      </c>
      <c r="E2566" t="s">
        <v>93</v>
      </c>
      <c r="F2566" t="s">
        <v>14</v>
      </c>
      <c r="G2566">
        <v>14</v>
      </c>
    </row>
    <row r="2567" spans="1:7" x14ac:dyDescent="0.35">
      <c r="A2567">
        <v>157660</v>
      </c>
      <c r="B2567">
        <v>0</v>
      </c>
      <c r="C2567" t="s">
        <v>22</v>
      </c>
      <c r="D2567">
        <v>3201</v>
      </c>
      <c r="E2567" t="s">
        <v>92</v>
      </c>
      <c r="F2567" t="s">
        <v>17</v>
      </c>
      <c r="G2567">
        <v>20</v>
      </c>
    </row>
    <row r="2568" spans="1:7" x14ac:dyDescent="0.35">
      <c r="A2568">
        <v>34681</v>
      </c>
      <c r="B2568">
        <v>0</v>
      </c>
      <c r="C2568" t="s">
        <v>13</v>
      </c>
      <c r="D2568">
        <v>6108</v>
      </c>
      <c r="E2568" t="s">
        <v>93</v>
      </c>
      <c r="F2568" t="s">
        <v>17</v>
      </c>
      <c r="G2568">
        <v>21</v>
      </c>
    </row>
    <row r="2569" spans="1:7" x14ac:dyDescent="0.35">
      <c r="A2569">
        <v>72139</v>
      </c>
      <c r="B2569">
        <v>0</v>
      </c>
      <c r="C2569" t="s">
        <v>29</v>
      </c>
      <c r="D2569">
        <v>3811</v>
      </c>
      <c r="E2569" t="s">
        <v>91</v>
      </c>
      <c r="F2569" t="s">
        <v>17</v>
      </c>
      <c r="G2569">
        <v>10</v>
      </c>
    </row>
    <row r="2570" spans="1:7" x14ac:dyDescent="0.35">
      <c r="A2570">
        <v>47525</v>
      </c>
      <c r="B2570">
        <v>1</v>
      </c>
      <c r="C2570" t="s">
        <v>43</v>
      </c>
      <c r="D2570">
        <v>3601</v>
      </c>
      <c r="E2570" t="s">
        <v>96</v>
      </c>
      <c r="F2570" t="s">
        <v>14</v>
      </c>
      <c r="G2570">
        <v>20</v>
      </c>
    </row>
    <row r="2571" spans="1:7" x14ac:dyDescent="0.35">
      <c r="A2571">
        <v>51467</v>
      </c>
      <c r="B2571">
        <v>0</v>
      </c>
      <c r="C2571" t="s">
        <v>53</v>
      </c>
      <c r="D2571">
        <v>0</v>
      </c>
      <c r="E2571" t="s">
        <v>96</v>
      </c>
      <c r="F2571" t="s">
        <v>17</v>
      </c>
      <c r="G2571">
        <v>11</v>
      </c>
    </row>
    <row r="2572" spans="1:7" x14ac:dyDescent="0.35">
      <c r="A2572">
        <v>34800</v>
      </c>
      <c r="B2572">
        <v>28</v>
      </c>
      <c r="C2572" t="s">
        <v>13</v>
      </c>
      <c r="D2572">
        <v>2801</v>
      </c>
      <c r="E2572" t="s">
        <v>88</v>
      </c>
      <c r="F2572" t="s">
        <v>17</v>
      </c>
      <c r="G2572">
        <v>10</v>
      </c>
    </row>
    <row r="2573" spans="1:7" x14ac:dyDescent="0.35">
      <c r="A2573">
        <v>186809</v>
      </c>
      <c r="B2573">
        <v>2</v>
      </c>
      <c r="C2573" t="s">
        <v>22</v>
      </c>
      <c r="D2573">
        <v>3201</v>
      </c>
      <c r="E2573" t="s">
        <v>93</v>
      </c>
      <c r="F2573" t="s">
        <v>17</v>
      </c>
      <c r="G2573">
        <v>15</v>
      </c>
    </row>
    <row r="2574" spans="1:7" x14ac:dyDescent="0.35">
      <c r="A2574">
        <v>3118</v>
      </c>
      <c r="B2574">
        <v>28</v>
      </c>
      <c r="C2574" t="s">
        <v>54</v>
      </c>
      <c r="D2574">
        <v>6201</v>
      </c>
      <c r="E2574" t="s">
        <v>93</v>
      </c>
      <c r="F2574" t="s">
        <v>17</v>
      </c>
      <c r="G2574">
        <v>10</v>
      </c>
    </row>
    <row r="2575" spans="1:7" x14ac:dyDescent="0.35">
      <c r="A2575">
        <v>120972</v>
      </c>
      <c r="B2575">
        <v>0</v>
      </c>
      <c r="C2575" t="s">
        <v>21</v>
      </c>
      <c r="D2575">
        <v>2606</v>
      </c>
      <c r="E2575" t="s">
        <v>102</v>
      </c>
      <c r="F2575" t="s">
        <v>17</v>
      </c>
      <c r="G2575">
        <v>7</v>
      </c>
    </row>
    <row r="2576" spans="1:7" x14ac:dyDescent="0.35">
      <c r="A2576">
        <v>53853</v>
      </c>
      <c r="B2576">
        <v>0</v>
      </c>
      <c r="C2576" t="s">
        <v>53</v>
      </c>
      <c r="D2576">
        <v>0</v>
      </c>
      <c r="E2576" t="s">
        <v>104</v>
      </c>
      <c r="F2576" t="s">
        <v>17</v>
      </c>
      <c r="G2576">
        <v>8</v>
      </c>
    </row>
    <row r="2577" spans="1:7" x14ac:dyDescent="0.35">
      <c r="A2577">
        <v>2320</v>
      </c>
      <c r="B2577">
        <v>0</v>
      </c>
      <c r="C2577" t="s">
        <v>28</v>
      </c>
      <c r="D2577">
        <v>8103</v>
      </c>
      <c r="E2577" t="s">
        <v>90</v>
      </c>
      <c r="F2577" t="s">
        <v>17</v>
      </c>
      <c r="G2577">
        <v>6</v>
      </c>
    </row>
    <row r="2578" spans="1:7" x14ac:dyDescent="0.35">
      <c r="A2578">
        <v>154799</v>
      </c>
      <c r="B2578">
        <v>1</v>
      </c>
      <c r="C2578" t="s">
        <v>22</v>
      </c>
      <c r="D2578">
        <v>0</v>
      </c>
      <c r="E2578" t="s">
        <v>91</v>
      </c>
      <c r="F2578" t="s">
        <v>14</v>
      </c>
      <c r="G2578">
        <v>50</v>
      </c>
    </row>
    <row r="2579" spans="1:7" x14ac:dyDescent="0.35">
      <c r="A2579">
        <v>102521</v>
      </c>
      <c r="B2579">
        <v>1</v>
      </c>
      <c r="C2579" t="s">
        <v>36</v>
      </c>
      <c r="D2579">
        <v>4401</v>
      </c>
      <c r="E2579" t="s">
        <v>91</v>
      </c>
      <c r="F2579" t="s">
        <v>14</v>
      </c>
      <c r="G2579">
        <v>5</v>
      </c>
    </row>
    <row r="2580" spans="1:7" x14ac:dyDescent="0.35">
      <c r="A2580">
        <v>30029</v>
      </c>
      <c r="B2580">
        <v>0</v>
      </c>
      <c r="C2580" t="s">
        <v>39</v>
      </c>
      <c r="D2580">
        <v>3001</v>
      </c>
      <c r="E2580" t="s">
        <v>94</v>
      </c>
      <c r="F2580" t="s">
        <v>17</v>
      </c>
      <c r="G2580">
        <v>14</v>
      </c>
    </row>
    <row r="2581" spans="1:7" x14ac:dyDescent="0.35">
      <c r="A2581">
        <v>148883</v>
      </c>
      <c r="B2581">
        <v>1</v>
      </c>
      <c r="C2581" t="s">
        <v>22</v>
      </c>
      <c r="D2581">
        <v>4701</v>
      </c>
      <c r="E2581" t="s">
        <v>94</v>
      </c>
      <c r="F2581" t="s">
        <v>14</v>
      </c>
      <c r="G2581">
        <v>21</v>
      </c>
    </row>
    <row r="2582" spans="1:7" x14ac:dyDescent="0.35">
      <c r="A2582">
        <v>177837</v>
      </c>
      <c r="B2582">
        <v>0</v>
      </c>
      <c r="C2582" t="s">
        <v>50</v>
      </c>
      <c r="D2582">
        <v>0</v>
      </c>
      <c r="F2582" t="s">
        <v>14</v>
      </c>
      <c r="G2582">
        <v>100</v>
      </c>
    </row>
    <row r="2583" spans="1:7" x14ac:dyDescent="0.35">
      <c r="A2583">
        <v>140377</v>
      </c>
      <c r="B2583">
        <v>0</v>
      </c>
      <c r="C2583" t="s">
        <v>54</v>
      </c>
      <c r="D2583">
        <v>3801</v>
      </c>
      <c r="E2583" t="s">
        <v>89</v>
      </c>
      <c r="F2583" t="s">
        <v>17</v>
      </c>
      <c r="G2583">
        <v>15</v>
      </c>
    </row>
    <row r="2584" spans="1:7" x14ac:dyDescent="0.35">
      <c r="A2584">
        <v>139363</v>
      </c>
      <c r="B2584">
        <v>0</v>
      </c>
      <c r="C2584" t="s">
        <v>54</v>
      </c>
      <c r="D2584">
        <v>5501</v>
      </c>
      <c r="E2584" t="s">
        <v>92</v>
      </c>
      <c r="F2584" t="s">
        <v>14</v>
      </c>
      <c r="G2584">
        <v>12</v>
      </c>
    </row>
    <row r="2585" spans="1:7" x14ac:dyDescent="0.35">
      <c r="A2585">
        <v>148131</v>
      </c>
      <c r="B2585">
        <v>0</v>
      </c>
      <c r="C2585" t="s">
        <v>22</v>
      </c>
      <c r="D2585">
        <v>5601</v>
      </c>
      <c r="E2585" t="s">
        <v>92</v>
      </c>
      <c r="F2585" t="s">
        <v>17</v>
      </c>
      <c r="G2585">
        <v>20</v>
      </c>
    </row>
    <row r="2586" spans="1:7" x14ac:dyDescent="0.35">
      <c r="A2586">
        <v>175902</v>
      </c>
      <c r="B2586">
        <v>2</v>
      </c>
      <c r="C2586" t="s">
        <v>50</v>
      </c>
      <c r="D2586">
        <v>0</v>
      </c>
      <c r="E2586" t="s">
        <v>88</v>
      </c>
      <c r="F2586" t="s">
        <v>17</v>
      </c>
      <c r="G2586">
        <v>15</v>
      </c>
    </row>
    <row r="2587" spans="1:7" x14ac:dyDescent="0.35">
      <c r="A2587">
        <v>148030</v>
      </c>
      <c r="B2587">
        <v>3</v>
      </c>
      <c r="C2587" t="s">
        <v>22</v>
      </c>
      <c r="D2587">
        <v>0</v>
      </c>
      <c r="E2587" t="s">
        <v>103</v>
      </c>
      <c r="F2587" t="s">
        <v>17</v>
      </c>
      <c r="G2587">
        <v>10</v>
      </c>
    </row>
    <row r="2588" spans="1:7" x14ac:dyDescent="0.35">
      <c r="A2588">
        <v>54003</v>
      </c>
      <c r="B2588">
        <v>0</v>
      </c>
      <c r="C2588" t="s">
        <v>53</v>
      </c>
      <c r="D2588">
        <v>3509</v>
      </c>
      <c r="E2588" t="s">
        <v>89</v>
      </c>
      <c r="F2588" t="s">
        <v>30</v>
      </c>
      <c r="G2588">
        <v>15</v>
      </c>
    </row>
    <row r="2589" spans="1:7" x14ac:dyDescent="0.35">
      <c r="A2589">
        <v>163412</v>
      </c>
      <c r="B2589">
        <v>0</v>
      </c>
      <c r="C2589" t="s">
        <v>22</v>
      </c>
      <c r="D2589">
        <v>0</v>
      </c>
      <c r="E2589" t="s">
        <v>95</v>
      </c>
      <c r="F2589" t="s">
        <v>17</v>
      </c>
      <c r="G2589">
        <v>20</v>
      </c>
    </row>
    <row r="2590" spans="1:7" x14ac:dyDescent="0.35">
      <c r="A2590">
        <v>134325</v>
      </c>
      <c r="B2590">
        <v>1</v>
      </c>
      <c r="C2590" t="s">
        <v>38</v>
      </c>
      <c r="D2590">
        <v>0</v>
      </c>
      <c r="E2590" t="s">
        <v>88</v>
      </c>
      <c r="F2590" t="s">
        <v>14</v>
      </c>
      <c r="G2590">
        <v>5</v>
      </c>
    </row>
    <row r="2591" spans="1:7" x14ac:dyDescent="0.35">
      <c r="A2591">
        <v>21135</v>
      </c>
      <c r="B2591">
        <v>14</v>
      </c>
      <c r="C2591" t="s">
        <v>18</v>
      </c>
      <c r="D2591">
        <v>0</v>
      </c>
      <c r="E2591" t="s">
        <v>91</v>
      </c>
      <c r="F2591" t="s">
        <v>14</v>
      </c>
      <c r="G2591">
        <v>5</v>
      </c>
    </row>
    <row r="2592" spans="1:7" x14ac:dyDescent="0.35">
      <c r="A2592">
        <v>133948</v>
      </c>
      <c r="B2592">
        <v>0</v>
      </c>
      <c r="C2592" t="s">
        <v>22</v>
      </c>
      <c r="D2592">
        <v>1603</v>
      </c>
      <c r="E2592" t="s">
        <v>89</v>
      </c>
      <c r="G2592">
        <v>13</v>
      </c>
    </row>
    <row r="2593" spans="1:7" x14ac:dyDescent="0.35">
      <c r="A2593">
        <v>129945</v>
      </c>
      <c r="B2593">
        <v>0</v>
      </c>
      <c r="C2593" t="s">
        <v>48</v>
      </c>
      <c r="D2593">
        <v>0</v>
      </c>
      <c r="E2593" t="s">
        <v>96</v>
      </c>
      <c r="F2593" t="s">
        <v>17</v>
      </c>
      <c r="G2593">
        <v>7</v>
      </c>
    </row>
    <row r="2594" spans="1:7" x14ac:dyDescent="0.35">
      <c r="A2594">
        <v>12832</v>
      </c>
      <c r="B2594">
        <v>0</v>
      </c>
      <c r="C2594" t="s">
        <v>32</v>
      </c>
      <c r="D2594">
        <v>2301</v>
      </c>
      <c r="E2594" t="s">
        <v>89</v>
      </c>
      <c r="F2594" t="s">
        <v>17</v>
      </c>
      <c r="G2594">
        <v>10</v>
      </c>
    </row>
    <row r="2595" spans="1:7" x14ac:dyDescent="0.35">
      <c r="A2595">
        <v>74706</v>
      </c>
      <c r="B2595">
        <v>1</v>
      </c>
      <c r="C2595" t="s">
        <v>29</v>
      </c>
      <c r="D2595">
        <v>5101</v>
      </c>
      <c r="E2595" t="s">
        <v>89</v>
      </c>
      <c r="F2595" t="s">
        <v>14</v>
      </c>
      <c r="G2595">
        <v>25</v>
      </c>
    </row>
    <row r="2596" spans="1:7" x14ac:dyDescent="0.35">
      <c r="A2596">
        <v>7649</v>
      </c>
      <c r="B2596">
        <v>2</v>
      </c>
      <c r="C2596" t="s">
        <v>53</v>
      </c>
      <c r="D2596">
        <v>0</v>
      </c>
      <c r="E2596" t="s">
        <v>93</v>
      </c>
      <c r="F2596" t="s">
        <v>17</v>
      </c>
      <c r="G2596">
        <v>13</v>
      </c>
    </row>
    <row r="2597" spans="1:7" x14ac:dyDescent="0.35">
      <c r="A2597">
        <v>45878</v>
      </c>
      <c r="B2597">
        <v>28</v>
      </c>
      <c r="C2597" t="s">
        <v>13</v>
      </c>
      <c r="D2597">
        <v>0</v>
      </c>
      <c r="E2597" t="s">
        <v>96</v>
      </c>
      <c r="F2597" t="s">
        <v>17</v>
      </c>
      <c r="G2597">
        <v>5</v>
      </c>
    </row>
    <row r="2598" spans="1:7" x14ac:dyDescent="0.35">
      <c r="A2598">
        <v>68650</v>
      </c>
      <c r="B2598">
        <v>0</v>
      </c>
      <c r="C2598" t="s">
        <v>29</v>
      </c>
      <c r="D2598">
        <v>5712</v>
      </c>
      <c r="E2598" t="s">
        <v>93</v>
      </c>
      <c r="F2598" t="s">
        <v>17</v>
      </c>
      <c r="G2598">
        <v>15</v>
      </c>
    </row>
    <row r="2599" spans="1:7" x14ac:dyDescent="0.35">
      <c r="A2599">
        <v>60859</v>
      </c>
      <c r="B2599">
        <v>2</v>
      </c>
      <c r="C2599" t="s">
        <v>33</v>
      </c>
      <c r="D2599">
        <v>4612</v>
      </c>
      <c r="E2599" t="s">
        <v>93</v>
      </c>
      <c r="F2599" t="s">
        <v>17</v>
      </c>
      <c r="G2599">
        <v>10</v>
      </c>
    </row>
    <row r="2600" spans="1:7" x14ac:dyDescent="0.35">
      <c r="A2600">
        <v>73030</v>
      </c>
      <c r="B2600">
        <v>1</v>
      </c>
      <c r="C2600" t="s">
        <v>29</v>
      </c>
      <c r="D2600">
        <v>4601</v>
      </c>
      <c r="E2600" t="s">
        <v>89</v>
      </c>
      <c r="F2600" t="s">
        <v>14</v>
      </c>
      <c r="G2600">
        <v>25</v>
      </c>
    </row>
    <row r="2601" spans="1:7" x14ac:dyDescent="0.35">
      <c r="A2601">
        <v>181972</v>
      </c>
      <c r="B2601">
        <v>0</v>
      </c>
      <c r="C2601" t="s">
        <v>40</v>
      </c>
      <c r="D2601">
        <v>5210</v>
      </c>
      <c r="E2601" t="s">
        <v>103</v>
      </c>
      <c r="F2601" t="s">
        <v>17</v>
      </c>
      <c r="G2601">
        <v>10</v>
      </c>
    </row>
    <row r="2602" spans="1:7" x14ac:dyDescent="0.35">
      <c r="A2602">
        <v>14598</v>
      </c>
      <c r="B2602">
        <v>1</v>
      </c>
      <c r="C2602" t="s">
        <v>18</v>
      </c>
      <c r="D2602">
        <v>1401</v>
      </c>
      <c r="E2602" t="s">
        <v>89</v>
      </c>
      <c r="F2602" t="s">
        <v>14</v>
      </c>
      <c r="G2602">
        <v>50</v>
      </c>
    </row>
    <row r="2603" spans="1:7" x14ac:dyDescent="0.35">
      <c r="A2603">
        <v>92052</v>
      </c>
      <c r="B2603">
        <v>1</v>
      </c>
      <c r="C2603" t="s">
        <v>16</v>
      </c>
      <c r="D2603">
        <v>1311</v>
      </c>
      <c r="E2603" t="s">
        <v>96</v>
      </c>
      <c r="F2603" t="s">
        <v>14</v>
      </c>
      <c r="G2603">
        <v>10</v>
      </c>
    </row>
    <row r="2604" spans="1:7" x14ac:dyDescent="0.35">
      <c r="A2604">
        <v>15086</v>
      </c>
      <c r="B2604">
        <v>0</v>
      </c>
      <c r="C2604" t="s">
        <v>18</v>
      </c>
      <c r="D2604">
        <v>0</v>
      </c>
      <c r="E2604" t="s">
        <v>91</v>
      </c>
      <c r="F2604" t="s">
        <v>17</v>
      </c>
      <c r="G2604">
        <v>10</v>
      </c>
    </row>
    <row r="2605" spans="1:7" x14ac:dyDescent="0.35">
      <c r="A2605">
        <v>92058</v>
      </c>
      <c r="B2605">
        <v>0</v>
      </c>
      <c r="C2605" t="s">
        <v>59</v>
      </c>
      <c r="D2605">
        <v>0</v>
      </c>
      <c r="E2605" t="s">
        <v>93</v>
      </c>
      <c r="F2605" t="s">
        <v>17</v>
      </c>
      <c r="G2605">
        <v>15</v>
      </c>
    </row>
    <row r="2606" spans="1:7" x14ac:dyDescent="0.35">
      <c r="A2606">
        <v>18104</v>
      </c>
      <c r="B2606">
        <v>0</v>
      </c>
      <c r="C2606" t="s">
        <v>18</v>
      </c>
      <c r="D2606">
        <v>5406</v>
      </c>
      <c r="E2606" t="s">
        <v>92</v>
      </c>
      <c r="F2606" t="s">
        <v>14</v>
      </c>
      <c r="G2606">
        <v>12</v>
      </c>
    </row>
    <row r="2607" spans="1:7" x14ac:dyDescent="0.35">
      <c r="A2607">
        <v>91942</v>
      </c>
      <c r="B2607">
        <v>2</v>
      </c>
      <c r="C2607" t="s">
        <v>16</v>
      </c>
      <c r="D2607">
        <v>2308</v>
      </c>
      <c r="E2607" t="s">
        <v>90</v>
      </c>
      <c r="F2607" t="s">
        <v>14</v>
      </c>
      <c r="G2607">
        <v>3</v>
      </c>
    </row>
    <row r="2608" spans="1:7" x14ac:dyDescent="0.35">
      <c r="A2608">
        <v>103926</v>
      </c>
      <c r="B2608">
        <v>1</v>
      </c>
      <c r="C2608" t="s">
        <v>36</v>
      </c>
      <c r="D2608">
        <v>804</v>
      </c>
      <c r="E2608" t="s">
        <v>91</v>
      </c>
      <c r="F2608" t="s">
        <v>14</v>
      </c>
      <c r="G2608">
        <v>5</v>
      </c>
    </row>
    <row r="2609" spans="1:7" x14ac:dyDescent="0.35">
      <c r="A2609">
        <v>149033</v>
      </c>
      <c r="B2609">
        <v>0</v>
      </c>
      <c r="C2609" t="s">
        <v>22</v>
      </c>
      <c r="D2609">
        <v>2801</v>
      </c>
      <c r="E2609" t="s">
        <v>96</v>
      </c>
      <c r="F2609" t="s">
        <v>17</v>
      </c>
      <c r="G2609">
        <v>7</v>
      </c>
    </row>
    <row r="2610" spans="1:7" x14ac:dyDescent="0.35">
      <c r="A2610">
        <v>52196</v>
      </c>
      <c r="B2610">
        <v>1</v>
      </c>
      <c r="C2610" t="s">
        <v>53</v>
      </c>
      <c r="D2610">
        <v>5001</v>
      </c>
      <c r="E2610" t="s">
        <v>89</v>
      </c>
      <c r="F2610" t="s">
        <v>14</v>
      </c>
      <c r="G2610">
        <v>10</v>
      </c>
    </row>
    <row r="2611" spans="1:7" x14ac:dyDescent="0.35">
      <c r="A2611">
        <v>38519</v>
      </c>
      <c r="B2611">
        <v>0</v>
      </c>
      <c r="C2611" t="s">
        <v>13</v>
      </c>
      <c r="D2611">
        <v>4601</v>
      </c>
      <c r="E2611" t="s">
        <v>93</v>
      </c>
      <c r="F2611" t="s">
        <v>17</v>
      </c>
      <c r="G2611">
        <v>2</v>
      </c>
    </row>
    <row r="2612" spans="1:7" x14ac:dyDescent="0.35">
      <c r="A2612">
        <v>107413</v>
      </c>
      <c r="B2612">
        <v>2</v>
      </c>
      <c r="C2612" t="s">
        <v>59</v>
      </c>
      <c r="D2612">
        <v>0</v>
      </c>
      <c r="E2612" t="s">
        <v>91</v>
      </c>
      <c r="F2612" t="s">
        <v>17</v>
      </c>
      <c r="G2612">
        <v>14</v>
      </c>
    </row>
    <row r="2613" spans="1:7" x14ac:dyDescent="0.35">
      <c r="A2613">
        <v>6099</v>
      </c>
      <c r="B2613">
        <v>0</v>
      </c>
      <c r="C2613" t="s">
        <v>22</v>
      </c>
      <c r="D2613">
        <v>5501</v>
      </c>
      <c r="E2613" t="s">
        <v>89</v>
      </c>
      <c r="F2613" t="s">
        <v>14</v>
      </c>
      <c r="G2613">
        <v>10</v>
      </c>
    </row>
    <row r="2614" spans="1:7" x14ac:dyDescent="0.35">
      <c r="A2614">
        <v>95879</v>
      </c>
      <c r="B2614">
        <v>28</v>
      </c>
      <c r="C2614" t="s">
        <v>16</v>
      </c>
      <c r="D2614">
        <v>4306</v>
      </c>
      <c r="E2614" t="s">
        <v>104</v>
      </c>
      <c r="F2614" t="s">
        <v>17</v>
      </c>
      <c r="G2614">
        <v>30</v>
      </c>
    </row>
    <row r="2615" spans="1:7" x14ac:dyDescent="0.35">
      <c r="A2615">
        <v>16175</v>
      </c>
      <c r="B2615">
        <v>0</v>
      </c>
      <c r="C2615" t="s">
        <v>18</v>
      </c>
      <c r="D2615">
        <v>2801</v>
      </c>
      <c r="E2615" t="s">
        <v>98</v>
      </c>
      <c r="F2615" t="s">
        <v>17</v>
      </c>
      <c r="G2615">
        <v>30</v>
      </c>
    </row>
    <row r="2616" spans="1:7" x14ac:dyDescent="0.35">
      <c r="A2616">
        <v>43564</v>
      </c>
      <c r="B2616">
        <v>1</v>
      </c>
      <c r="C2616" t="s">
        <v>13</v>
      </c>
      <c r="D2616">
        <v>4501</v>
      </c>
      <c r="E2616" t="s">
        <v>88</v>
      </c>
      <c r="F2616" t="s">
        <v>14</v>
      </c>
      <c r="G2616">
        <v>20</v>
      </c>
    </row>
    <row r="2617" spans="1:7" x14ac:dyDescent="0.35">
      <c r="A2617">
        <v>64906</v>
      </c>
      <c r="B2617">
        <v>0</v>
      </c>
      <c r="C2617" t="s">
        <v>29</v>
      </c>
      <c r="D2617">
        <v>3701</v>
      </c>
      <c r="E2617" t="s">
        <v>90</v>
      </c>
      <c r="F2617" t="s">
        <v>17</v>
      </c>
      <c r="G2617">
        <v>50</v>
      </c>
    </row>
    <row r="2618" spans="1:7" x14ac:dyDescent="0.35">
      <c r="A2618">
        <v>149110</v>
      </c>
      <c r="B2618">
        <v>0</v>
      </c>
      <c r="C2618" t="s">
        <v>22</v>
      </c>
      <c r="D2618">
        <v>0</v>
      </c>
      <c r="E2618" t="s">
        <v>92</v>
      </c>
      <c r="F2618" t="s">
        <v>14</v>
      </c>
      <c r="G2618">
        <v>6</v>
      </c>
    </row>
    <row r="2619" spans="1:7" x14ac:dyDescent="0.35">
      <c r="A2619">
        <v>24663</v>
      </c>
      <c r="B2619">
        <v>0</v>
      </c>
      <c r="C2619" t="s">
        <v>46</v>
      </c>
      <c r="D2619">
        <v>3311</v>
      </c>
      <c r="E2619" t="s">
        <v>89</v>
      </c>
      <c r="F2619" t="s">
        <v>17</v>
      </c>
      <c r="G2619">
        <v>16</v>
      </c>
    </row>
    <row r="2620" spans="1:7" x14ac:dyDescent="0.35">
      <c r="A2620">
        <v>85922</v>
      </c>
      <c r="B2620">
        <v>0</v>
      </c>
      <c r="C2620" t="s">
        <v>52</v>
      </c>
      <c r="D2620">
        <v>4001</v>
      </c>
      <c r="E2620" t="s">
        <v>89</v>
      </c>
      <c r="F2620" t="s">
        <v>17</v>
      </c>
      <c r="G2620">
        <v>10</v>
      </c>
    </row>
    <row r="2621" spans="1:7" x14ac:dyDescent="0.35">
      <c r="A2621">
        <v>84276</v>
      </c>
      <c r="B2621">
        <v>2</v>
      </c>
      <c r="C2621" t="s">
        <v>56</v>
      </c>
      <c r="D2621">
        <v>4311</v>
      </c>
      <c r="E2621" t="s">
        <v>91</v>
      </c>
      <c r="F2621" t="s">
        <v>17</v>
      </c>
      <c r="G2621">
        <v>3</v>
      </c>
    </row>
    <row r="2622" spans="1:7" x14ac:dyDescent="0.35">
      <c r="A2622">
        <v>154611</v>
      </c>
      <c r="B2622">
        <v>28</v>
      </c>
      <c r="C2622" t="s">
        <v>22</v>
      </c>
      <c r="D2622">
        <v>2101</v>
      </c>
      <c r="E2622" t="s">
        <v>89</v>
      </c>
      <c r="F2622" t="s">
        <v>17</v>
      </c>
      <c r="G2622">
        <v>5</v>
      </c>
    </row>
    <row r="2623" spans="1:7" x14ac:dyDescent="0.35">
      <c r="A2623">
        <v>55293</v>
      </c>
      <c r="B2623">
        <v>28</v>
      </c>
      <c r="C2623" t="s">
        <v>62</v>
      </c>
      <c r="D2623">
        <v>0</v>
      </c>
      <c r="E2623" t="s">
        <v>96</v>
      </c>
      <c r="F2623" t="s">
        <v>17</v>
      </c>
      <c r="G2623">
        <v>25</v>
      </c>
    </row>
    <row r="2624" spans="1:7" x14ac:dyDescent="0.35">
      <c r="A2624">
        <v>188812</v>
      </c>
      <c r="B2624">
        <v>0</v>
      </c>
      <c r="C2624" t="s">
        <v>29</v>
      </c>
      <c r="D2624">
        <v>1901</v>
      </c>
      <c r="E2624" t="s">
        <v>93</v>
      </c>
      <c r="F2624" t="s">
        <v>14</v>
      </c>
      <c r="G2624">
        <v>20</v>
      </c>
    </row>
    <row r="2625" spans="1:7" x14ac:dyDescent="0.35">
      <c r="A2625">
        <v>149506</v>
      </c>
      <c r="B2625">
        <v>1</v>
      </c>
      <c r="C2625" t="s">
        <v>22</v>
      </c>
      <c r="D2625">
        <v>4605</v>
      </c>
      <c r="E2625" t="s">
        <v>93</v>
      </c>
      <c r="F2625" t="s">
        <v>14</v>
      </c>
      <c r="G2625">
        <v>10</v>
      </c>
    </row>
    <row r="2626" spans="1:7" x14ac:dyDescent="0.35">
      <c r="A2626">
        <v>190727</v>
      </c>
      <c r="B2626">
        <v>2</v>
      </c>
      <c r="C2626" t="s">
        <v>13</v>
      </c>
      <c r="D2626">
        <v>1709</v>
      </c>
      <c r="F2626" t="s">
        <v>17</v>
      </c>
      <c r="G2626">
        <v>11</v>
      </c>
    </row>
    <row r="2627" spans="1:7" x14ac:dyDescent="0.35">
      <c r="A2627">
        <v>150248</v>
      </c>
      <c r="B2627">
        <v>28</v>
      </c>
      <c r="C2627" t="s">
        <v>22</v>
      </c>
      <c r="D2627">
        <v>0</v>
      </c>
      <c r="E2627" t="s">
        <v>90</v>
      </c>
      <c r="F2627" t="s">
        <v>14</v>
      </c>
      <c r="G2627">
        <v>25</v>
      </c>
    </row>
    <row r="2628" spans="1:7" x14ac:dyDescent="0.35">
      <c r="A2628">
        <v>177009</v>
      </c>
      <c r="B2628">
        <v>0</v>
      </c>
      <c r="C2628" t="s">
        <v>50</v>
      </c>
      <c r="D2628">
        <v>0</v>
      </c>
      <c r="E2628" t="s">
        <v>91</v>
      </c>
      <c r="G2628">
        <v>5</v>
      </c>
    </row>
    <row r="2629" spans="1:7" x14ac:dyDescent="0.35">
      <c r="A2629">
        <v>89642</v>
      </c>
      <c r="B2629">
        <v>0</v>
      </c>
      <c r="C2629" t="s">
        <v>16</v>
      </c>
      <c r="D2629">
        <v>0</v>
      </c>
      <c r="E2629" t="s">
        <v>92</v>
      </c>
      <c r="F2629" t="s">
        <v>17</v>
      </c>
      <c r="G2629">
        <v>15</v>
      </c>
    </row>
    <row r="2630" spans="1:7" x14ac:dyDescent="0.35">
      <c r="A2630">
        <v>103913</v>
      </c>
      <c r="B2630">
        <v>0</v>
      </c>
      <c r="C2630" t="s">
        <v>36</v>
      </c>
      <c r="D2630">
        <v>5406</v>
      </c>
      <c r="E2630" t="s">
        <v>98</v>
      </c>
      <c r="F2630" t="s">
        <v>17</v>
      </c>
      <c r="G2630">
        <v>11</v>
      </c>
    </row>
    <row r="2631" spans="1:7" x14ac:dyDescent="0.35">
      <c r="A2631">
        <v>76780</v>
      </c>
      <c r="B2631">
        <v>2</v>
      </c>
      <c r="C2631" t="s">
        <v>47</v>
      </c>
      <c r="D2631">
        <v>1601</v>
      </c>
      <c r="E2631" t="s">
        <v>94</v>
      </c>
      <c r="F2631" t="s">
        <v>17</v>
      </c>
      <c r="G2631">
        <v>75</v>
      </c>
    </row>
    <row r="2632" spans="1:7" x14ac:dyDescent="0.35">
      <c r="A2632">
        <v>41901</v>
      </c>
      <c r="B2632">
        <v>1</v>
      </c>
      <c r="C2632" t="s">
        <v>29</v>
      </c>
      <c r="D2632">
        <v>5601</v>
      </c>
      <c r="E2632" t="s">
        <v>101</v>
      </c>
      <c r="F2632" t="s">
        <v>14</v>
      </c>
      <c r="G2632">
        <v>100</v>
      </c>
    </row>
    <row r="2633" spans="1:7" x14ac:dyDescent="0.35">
      <c r="A2633">
        <v>137998</v>
      </c>
      <c r="B2633">
        <v>0</v>
      </c>
      <c r="C2633" t="s">
        <v>55</v>
      </c>
      <c r="D2633">
        <v>4701</v>
      </c>
      <c r="E2633" t="s">
        <v>90</v>
      </c>
      <c r="F2633" t="s">
        <v>17</v>
      </c>
      <c r="G2633">
        <v>20</v>
      </c>
    </row>
    <row r="2634" spans="1:7" x14ac:dyDescent="0.35">
      <c r="A2634">
        <v>79136</v>
      </c>
      <c r="B2634">
        <v>1</v>
      </c>
      <c r="C2634" t="s">
        <v>35</v>
      </c>
      <c r="D2634">
        <v>2401</v>
      </c>
      <c r="E2634" t="s">
        <v>96</v>
      </c>
      <c r="F2634" t="s">
        <v>14</v>
      </c>
      <c r="G2634">
        <v>10</v>
      </c>
    </row>
    <row r="2635" spans="1:7" x14ac:dyDescent="0.35">
      <c r="A2635">
        <v>46110</v>
      </c>
      <c r="B2635">
        <v>2</v>
      </c>
      <c r="C2635" t="s">
        <v>75</v>
      </c>
      <c r="D2635">
        <v>0</v>
      </c>
      <c r="F2635" t="s">
        <v>14</v>
      </c>
      <c r="G2635">
        <v>4</v>
      </c>
    </row>
    <row r="2636" spans="1:7" x14ac:dyDescent="0.35">
      <c r="A2636">
        <v>97774</v>
      </c>
      <c r="B2636">
        <v>0</v>
      </c>
      <c r="C2636" t="s">
        <v>16</v>
      </c>
      <c r="D2636">
        <v>5201</v>
      </c>
      <c r="E2636" t="s">
        <v>89</v>
      </c>
      <c r="F2636" t="s">
        <v>17</v>
      </c>
      <c r="G2636">
        <v>25</v>
      </c>
    </row>
    <row r="2637" spans="1:7" x14ac:dyDescent="0.35">
      <c r="A2637">
        <v>103590</v>
      </c>
      <c r="B2637">
        <v>39002</v>
      </c>
      <c r="C2637" t="s">
        <v>36</v>
      </c>
      <c r="D2637">
        <v>0</v>
      </c>
      <c r="E2637" t="s">
        <v>98</v>
      </c>
      <c r="F2637" t="s">
        <v>14</v>
      </c>
      <c r="G2637">
        <v>15</v>
      </c>
    </row>
    <row r="2638" spans="1:7" x14ac:dyDescent="0.35">
      <c r="A2638">
        <v>181998</v>
      </c>
      <c r="B2638">
        <v>0</v>
      </c>
      <c r="C2638" t="s">
        <v>40</v>
      </c>
      <c r="D2638">
        <v>6201</v>
      </c>
      <c r="E2638" t="s">
        <v>90</v>
      </c>
      <c r="G2638">
        <v>20</v>
      </c>
    </row>
    <row r="2639" spans="1:7" x14ac:dyDescent="0.35">
      <c r="A2639">
        <v>10036</v>
      </c>
      <c r="B2639">
        <v>2</v>
      </c>
      <c r="C2639" t="s">
        <v>40</v>
      </c>
      <c r="D2639">
        <v>2503</v>
      </c>
      <c r="E2639" t="s">
        <v>93</v>
      </c>
      <c r="F2639" t="s">
        <v>14</v>
      </c>
      <c r="G2639">
        <v>25</v>
      </c>
    </row>
    <row r="2640" spans="1:7" x14ac:dyDescent="0.35">
      <c r="A2640">
        <v>175584</v>
      </c>
      <c r="B2640">
        <v>1</v>
      </c>
      <c r="C2640" t="s">
        <v>50</v>
      </c>
      <c r="D2640">
        <v>2505</v>
      </c>
      <c r="E2640" t="s">
        <v>90</v>
      </c>
      <c r="F2640" t="s">
        <v>14</v>
      </c>
      <c r="G2640">
        <v>15</v>
      </c>
    </row>
    <row r="2641" spans="1:7" x14ac:dyDescent="0.35">
      <c r="A2641">
        <v>41905</v>
      </c>
      <c r="B2641">
        <v>0</v>
      </c>
      <c r="C2641" t="s">
        <v>13</v>
      </c>
      <c r="D2641">
        <v>0</v>
      </c>
      <c r="E2641" t="s">
        <v>102</v>
      </c>
      <c r="F2641" t="s">
        <v>17</v>
      </c>
      <c r="G2641">
        <v>15</v>
      </c>
    </row>
    <row r="2642" spans="1:7" x14ac:dyDescent="0.35">
      <c r="A2642">
        <v>156449</v>
      </c>
      <c r="B2642">
        <v>28</v>
      </c>
      <c r="C2642" t="s">
        <v>22</v>
      </c>
      <c r="D2642">
        <v>3601</v>
      </c>
      <c r="E2642" t="s">
        <v>95</v>
      </c>
      <c r="F2642" t="s">
        <v>17</v>
      </c>
      <c r="G2642">
        <v>20</v>
      </c>
    </row>
    <row r="2643" spans="1:7" x14ac:dyDescent="0.35">
      <c r="A2643">
        <v>131465</v>
      </c>
      <c r="B2643">
        <v>0</v>
      </c>
      <c r="C2643" t="s">
        <v>48</v>
      </c>
      <c r="D2643">
        <v>5401</v>
      </c>
      <c r="E2643" t="s">
        <v>94</v>
      </c>
      <c r="F2643" t="s">
        <v>17</v>
      </c>
      <c r="G2643">
        <v>15</v>
      </c>
    </row>
    <row r="2644" spans="1:7" x14ac:dyDescent="0.35">
      <c r="A2644">
        <v>170889</v>
      </c>
      <c r="B2644">
        <v>0</v>
      </c>
      <c r="C2644" t="s">
        <v>22</v>
      </c>
      <c r="D2644">
        <v>0</v>
      </c>
      <c r="E2644" t="s">
        <v>103</v>
      </c>
      <c r="F2644" t="s">
        <v>17</v>
      </c>
      <c r="G2644">
        <v>7</v>
      </c>
    </row>
    <row r="2645" spans="1:7" x14ac:dyDescent="0.35">
      <c r="A2645">
        <v>103593</v>
      </c>
      <c r="B2645">
        <v>0</v>
      </c>
      <c r="C2645" t="s">
        <v>36</v>
      </c>
      <c r="D2645">
        <v>1505</v>
      </c>
      <c r="E2645" t="s">
        <v>98</v>
      </c>
      <c r="F2645" t="s">
        <v>17</v>
      </c>
      <c r="G2645">
        <v>10</v>
      </c>
    </row>
    <row r="2646" spans="1:7" x14ac:dyDescent="0.35">
      <c r="A2646">
        <v>86017</v>
      </c>
      <c r="B2646">
        <v>1</v>
      </c>
      <c r="C2646" t="s">
        <v>52</v>
      </c>
      <c r="D2646">
        <v>702</v>
      </c>
      <c r="E2646" t="s">
        <v>88</v>
      </c>
      <c r="F2646" t="s">
        <v>14</v>
      </c>
      <c r="G2646">
        <v>10</v>
      </c>
    </row>
    <row r="2647" spans="1:7" x14ac:dyDescent="0.35">
      <c r="A2647">
        <v>92891</v>
      </c>
      <c r="B2647">
        <v>0</v>
      </c>
      <c r="C2647" t="s">
        <v>16</v>
      </c>
      <c r="D2647">
        <v>2601</v>
      </c>
      <c r="E2647" t="s">
        <v>102</v>
      </c>
      <c r="F2647" t="s">
        <v>17</v>
      </c>
      <c r="G2647">
        <v>5</v>
      </c>
    </row>
    <row r="2648" spans="1:7" x14ac:dyDescent="0.35">
      <c r="A2648">
        <v>143691</v>
      </c>
      <c r="B2648">
        <v>0</v>
      </c>
      <c r="C2648" t="s">
        <v>22</v>
      </c>
      <c r="D2648">
        <v>3001</v>
      </c>
      <c r="E2648" t="s">
        <v>95</v>
      </c>
      <c r="F2648" t="s">
        <v>17</v>
      </c>
      <c r="G2648">
        <v>15</v>
      </c>
    </row>
    <row r="2649" spans="1:7" x14ac:dyDescent="0.35">
      <c r="A2649">
        <v>44500</v>
      </c>
      <c r="B2649">
        <v>0</v>
      </c>
      <c r="C2649" t="s">
        <v>13</v>
      </c>
      <c r="D2649">
        <v>4503</v>
      </c>
      <c r="E2649" t="s">
        <v>91</v>
      </c>
      <c r="F2649" t="s">
        <v>17</v>
      </c>
      <c r="G2649">
        <v>5</v>
      </c>
    </row>
    <row r="2650" spans="1:7" x14ac:dyDescent="0.35">
      <c r="A2650">
        <v>7301</v>
      </c>
      <c r="B2650">
        <v>1</v>
      </c>
      <c r="C2650" t="s">
        <v>52</v>
      </c>
      <c r="D2650">
        <v>1801</v>
      </c>
      <c r="F2650" t="s">
        <v>14</v>
      </c>
      <c r="G2650">
        <v>10</v>
      </c>
    </row>
    <row r="2651" spans="1:7" x14ac:dyDescent="0.35">
      <c r="A2651">
        <v>8742</v>
      </c>
      <c r="B2651">
        <v>2</v>
      </c>
      <c r="C2651" t="s">
        <v>48</v>
      </c>
      <c r="D2651">
        <v>2011</v>
      </c>
      <c r="E2651" t="s">
        <v>96</v>
      </c>
      <c r="G2651">
        <v>3</v>
      </c>
    </row>
    <row r="2652" spans="1:7" x14ac:dyDescent="0.35">
      <c r="A2652">
        <v>42589</v>
      </c>
      <c r="B2652">
        <v>0</v>
      </c>
      <c r="C2652" t="s">
        <v>13</v>
      </c>
      <c r="D2652">
        <v>2809</v>
      </c>
      <c r="E2652" t="s">
        <v>88</v>
      </c>
      <c r="F2652" t="s">
        <v>17</v>
      </c>
      <c r="G2652">
        <v>15</v>
      </c>
    </row>
    <row r="2653" spans="1:7" x14ac:dyDescent="0.35">
      <c r="A2653">
        <v>125086</v>
      </c>
      <c r="B2653">
        <v>2</v>
      </c>
      <c r="C2653" t="s">
        <v>21</v>
      </c>
      <c r="D2653">
        <v>4601</v>
      </c>
      <c r="E2653" t="s">
        <v>102</v>
      </c>
      <c r="F2653" t="s">
        <v>17</v>
      </c>
      <c r="G2653">
        <v>6</v>
      </c>
    </row>
    <row r="2654" spans="1:7" x14ac:dyDescent="0.35">
      <c r="A2654">
        <v>82998</v>
      </c>
      <c r="B2654">
        <v>0</v>
      </c>
      <c r="C2654" t="s">
        <v>56</v>
      </c>
      <c r="D2654">
        <v>5510</v>
      </c>
      <c r="E2654" t="s">
        <v>90</v>
      </c>
      <c r="F2654" t="s">
        <v>17</v>
      </c>
      <c r="G2654">
        <v>25</v>
      </c>
    </row>
    <row r="2655" spans="1:7" x14ac:dyDescent="0.35">
      <c r="A2655">
        <v>82548</v>
      </c>
      <c r="B2655">
        <v>0</v>
      </c>
      <c r="C2655" t="s">
        <v>56</v>
      </c>
      <c r="D2655">
        <v>3801</v>
      </c>
      <c r="E2655" t="s">
        <v>101</v>
      </c>
      <c r="F2655" t="s">
        <v>14</v>
      </c>
      <c r="G2655">
        <v>10</v>
      </c>
    </row>
    <row r="2656" spans="1:7" x14ac:dyDescent="0.35">
      <c r="A2656">
        <v>190488</v>
      </c>
      <c r="B2656">
        <v>0</v>
      </c>
      <c r="C2656" t="s">
        <v>36</v>
      </c>
      <c r="D2656">
        <v>4901</v>
      </c>
      <c r="E2656" t="s">
        <v>94</v>
      </c>
      <c r="F2656" t="s">
        <v>17</v>
      </c>
      <c r="G2656">
        <v>25</v>
      </c>
    </row>
    <row r="2657" spans="1:7" x14ac:dyDescent="0.35">
      <c r="A2657">
        <v>54996</v>
      </c>
      <c r="B2657">
        <v>2</v>
      </c>
      <c r="C2657" t="s">
        <v>62</v>
      </c>
      <c r="D2657">
        <v>2812</v>
      </c>
      <c r="E2657" t="s">
        <v>98</v>
      </c>
      <c r="F2657" t="s">
        <v>14</v>
      </c>
      <c r="G2657">
        <v>10</v>
      </c>
    </row>
    <row r="2658" spans="1:7" x14ac:dyDescent="0.35">
      <c r="A2658">
        <v>185880</v>
      </c>
      <c r="B2658">
        <v>1</v>
      </c>
      <c r="C2658" t="s">
        <v>33</v>
      </c>
      <c r="D2658">
        <v>1801</v>
      </c>
      <c r="E2658" t="s">
        <v>97</v>
      </c>
      <c r="F2658" t="s">
        <v>14</v>
      </c>
      <c r="G2658">
        <v>13</v>
      </c>
    </row>
    <row r="2659" spans="1:7" x14ac:dyDescent="0.35">
      <c r="A2659">
        <v>119843</v>
      </c>
      <c r="B2659">
        <v>0</v>
      </c>
      <c r="C2659" t="s">
        <v>21</v>
      </c>
      <c r="D2659">
        <v>1209</v>
      </c>
      <c r="E2659" t="s">
        <v>91</v>
      </c>
      <c r="F2659" t="s">
        <v>17</v>
      </c>
      <c r="G2659">
        <v>20</v>
      </c>
    </row>
    <row r="2660" spans="1:7" x14ac:dyDescent="0.35">
      <c r="A2660">
        <v>142564</v>
      </c>
      <c r="B2660">
        <v>1</v>
      </c>
      <c r="C2660" t="s">
        <v>22</v>
      </c>
      <c r="D2660">
        <v>2401</v>
      </c>
      <c r="E2660" t="s">
        <v>103</v>
      </c>
      <c r="F2660" t="s">
        <v>14</v>
      </c>
      <c r="G2660">
        <v>38</v>
      </c>
    </row>
    <row r="2661" spans="1:7" x14ac:dyDescent="0.35">
      <c r="A2661">
        <v>164796</v>
      </c>
      <c r="B2661">
        <v>0</v>
      </c>
      <c r="C2661" t="s">
        <v>22</v>
      </c>
      <c r="D2661">
        <v>3607</v>
      </c>
      <c r="E2661" t="s">
        <v>90</v>
      </c>
      <c r="G2661">
        <v>12</v>
      </c>
    </row>
    <row r="2662" spans="1:7" x14ac:dyDescent="0.35">
      <c r="A2662">
        <v>171072</v>
      </c>
      <c r="B2662">
        <v>28</v>
      </c>
      <c r="C2662" t="s">
        <v>22</v>
      </c>
      <c r="D2662">
        <v>0</v>
      </c>
      <c r="E2662" t="s">
        <v>101</v>
      </c>
      <c r="F2662" t="s">
        <v>17</v>
      </c>
      <c r="G2662">
        <v>10</v>
      </c>
    </row>
    <row r="2663" spans="1:7" x14ac:dyDescent="0.35">
      <c r="A2663">
        <v>101143</v>
      </c>
      <c r="B2663">
        <v>0</v>
      </c>
      <c r="C2663" t="s">
        <v>36</v>
      </c>
      <c r="D2663">
        <v>2801</v>
      </c>
      <c r="E2663" t="s">
        <v>91</v>
      </c>
      <c r="F2663" t="s">
        <v>17</v>
      </c>
      <c r="G2663">
        <v>10</v>
      </c>
    </row>
    <row r="2664" spans="1:7" x14ac:dyDescent="0.35">
      <c r="A2664">
        <v>171612</v>
      </c>
      <c r="B2664">
        <v>0</v>
      </c>
      <c r="C2664" t="s">
        <v>22</v>
      </c>
      <c r="D2664">
        <v>3712</v>
      </c>
      <c r="E2664" t="s">
        <v>93</v>
      </c>
      <c r="F2664" t="s">
        <v>17</v>
      </c>
      <c r="G2664">
        <v>20</v>
      </c>
    </row>
    <row r="2665" spans="1:7" x14ac:dyDescent="0.35">
      <c r="A2665">
        <v>85619</v>
      </c>
      <c r="B2665">
        <v>0</v>
      </c>
      <c r="C2665" t="s">
        <v>56</v>
      </c>
      <c r="D2665">
        <v>3803</v>
      </c>
      <c r="E2665" t="s">
        <v>91</v>
      </c>
      <c r="F2665" t="s">
        <v>17</v>
      </c>
      <c r="G2665">
        <v>5</v>
      </c>
    </row>
    <row r="2666" spans="1:7" x14ac:dyDescent="0.35">
      <c r="A2666">
        <v>118905</v>
      </c>
      <c r="B2666">
        <v>0</v>
      </c>
      <c r="C2666" t="s">
        <v>21</v>
      </c>
      <c r="D2666">
        <v>4310</v>
      </c>
      <c r="E2666" t="s">
        <v>92</v>
      </c>
      <c r="F2666" t="s">
        <v>14</v>
      </c>
      <c r="G2666">
        <v>10</v>
      </c>
    </row>
    <row r="2667" spans="1:7" x14ac:dyDescent="0.35">
      <c r="A2667">
        <v>793</v>
      </c>
      <c r="B2667">
        <v>0</v>
      </c>
      <c r="C2667" t="s">
        <v>22</v>
      </c>
      <c r="D2667">
        <v>1006</v>
      </c>
      <c r="E2667" t="s">
        <v>90</v>
      </c>
      <c r="F2667" t="s">
        <v>17</v>
      </c>
      <c r="G2667">
        <v>15</v>
      </c>
    </row>
    <row r="2668" spans="1:7" x14ac:dyDescent="0.35">
      <c r="A2668">
        <v>52547</v>
      </c>
      <c r="B2668">
        <v>1</v>
      </c>
      <c r="C2668" t="s">
        <v>53</v>
      </c>
      <c r="D2668">
        <v>4001</v>
      </c>
      <c r="E2668" t="s">
        <v>91</v>
      </c>
      <c r="F2668" t="s">
        <v>14</v>
      </c>
      <c r="G2668">
        <v>5</v>
      </c>
    </row>
    <row r="2669" spans="1:7" x14ac:dyDescent="0.35">
      <c r="A2669">
        <v>162313</v>
      </c>
      <c r="B2669">
        <v>1</v>
      </c>
      <c r="C2669" t="s">
        <v>22</v>
      </c>
      <c r="D2669">
        <v>6201</v>
      </c>
      <c r="E2669" t="s">
        <v>93</v>
      </c>
      <c r="F2669" t="s">
        <v>17</v>
      </c>
      <c r="G2669">
        <v>25</v>
      </c>
    </row>
    <row r="2670" spans="1:7" x14ac:dyDescent="0.35">
      <c r="A2670">
        <v>4320</v>
      </c>
      <c r="B2670">
        <v>2</v>
      </c>
      <c r="C2670" t="s">
        <v>43</v>
      </c>
      <c r="D2670">
        <v>801</v>
      </c>
      <c r="E2670" t="s">
        <v>89</v>
      </c>
      <c r="F2670" t="s">
        <v>17</v>
      </c>
      <c r="G2670">
        <v>15</v>
      </c>
    </row>
    <row r="2671" spans="1:7" x14ac:dyDescent="0.35">
      <c r="A2671">
        <v>36690</v>
      </c>
      <c r="B2671">
        <v>0</v>
      </c>
      <c r="C2671" t="s">
        <v>13</v>
      </c>
      <c r="D2671">
        <v>0</v>
      </c>
      <c r="E2671" t="s">
        <v>93</v>
      </c>
      <c r="F2671" t="s">
        <v>17</v>
      </c>
      <c r="G2671">
        <v>3</v>
      </c>
    </row>
    <row r="2672" spans="1:7" x14ac:dyDescent="0.35">
      <c r="A2672">
        <v>158213</v>
      </c>
      <c r="B2672">
        <v>0</v>
      </c>
      <c r="C2672" t="s">
        <v>21</v>
      </c>
      <c r="D2672">
        <v>0</v>
      </c>
      <c r="E2672" t="s">
        <v>95</v>
      </c>
      <c r="F2672" t="s">
        <v>14</v>
      </c>
      <c r="G2672">
        <v>5</v>
      </c>
    </row>
    <row r="2673" spans="1:7" x14ac:dyDescent="0.35">
      <c r="A2673">
        <v>75522</v>
      </c>
      <c r="B2673">
        <v>2</v>
      </c>
      <c r="C2673" t="s">
        <v>47</v>
      </c>
      <c r="D2673">
        <v>0</v>
      </c>
      <c r="E2673" t="s">
        <v>88</v>
      </c>
      <c r="F2673" t="s">
        <v>14</v>
      </c>
      <c r="G2673">
        <v>10</v>
      </c>
    </row>
    <row r="2674" spans="1:7" x14ac:dyDescent="0.35">
      <c r="A2674">
        <v>7346</v>
      </c>
      <c r="B2674">
        <v>2</v>
      </c>
      <c r="C2674" t="s">
        <v>22</v>
      </c>
      <c r="D2674">
        <v>0</v>
      </c>
      <c r="E2674" t="s">
        <v>103</v>
      </c>
      <c r="F2674" t="s">
        <v>17</v>
      </c>
      <c r="G2674">
        <v>15</v>
      </c>
    </row>
    <row r="2675" spans="1:7" x14ac:dyDescent="0.35">
      <c r="A2675">
        <v>718</v>
      </c>
      <c r="B2675">
        <v>2</v>
      </c>
      <c r="C2675" t="s">
        <v>22</v>
      </c>
      <c r="D2675">
        <v>2201</v>
      </c>
      <c r="E2675" t="s">
        <v>88</v>
      </c>
      <c r="F2675" t="s">
        <v>17</v>
      </c>
      <c r="G2675">
        <v>35</v>
      </c>
    </row>
    <row r="2676" spans="1:7" x14ac:dyDescent="0.35">
      <c r="A2676">
        <v>171677</v>
      </c>
      <c r="B2676">
        <v>0</v>
      </c>
      <c r="C2676" t="s">
        <v>22</v>
      </c>
      <c r="D2676">
        <v>0</v>
      </c>
      <c r="E2676" t="s">
        <v>102</v>
      </c>
      <c r="G2676">
        <v>25</v>
      </c>
    </row>
    <row r="2677" spans="1:7" x14ac:dyDescent="0.35">
      <c r="A2677">
        <v>96344</v>
      </c>
      <c r="B2677">
        <v>2</v>
      </c>
      <c r="C2677" t="s">
        <v>16</v>
      </c>
      <c r="D2677">
        <v>0</v>
      </c>
      <c r="E2677" t="s">
        <v>104</v>
      </c>
      <c r="F2677" t="s">
        <v>17</v>
      </c>
      <c r="G2677">
        <v>10</v>
      </c>
    </row>
    <row r="2678" spans="1:7" x14ac:dyDescent="0.35">
      <c r="A2678">
        <v>178742</v>
      </c>
      <c r="B2678">
        <v>2</v>
      </c>
      <c r="C2678" t="s">
        <v>40</v>
      </c>
      <c r="D2678">
        <v>1201</v>
      </c>
      <c r="E2678" t="s">
        <v>90</v>
      </c>
      <c r="F2678" t="s">
        <v>17</v>
      </c>
      <c r="G2678">
        <v>10</v>
      </c>
    </row>
    <row r="2679" spans="1:7" x14ac:dyDescent="0.35">
      <c r="A2679">
        <v>22989</v>
      </c>
      <c r="B2679">
        <v>2</v>
      </c>
      <c r="C2679" t="s">
        <v>46</v>
      </c>
      <c r="D2679">
        <v>3101</v>
      </c>
      <c r="E2679" t="s">
        <v>89</v>
      </c>
      <c r="F2679" t="s">
        <v>17</v>
      </c>
      <c r="G2679">
        <v>11</v>
      </c>
    </row>
    <row r="2680" spans="1:7" x14ac:dyDescent="0.35">
      <c r="A2680">
        <v>184644</v>
      </c>
      <c r="B2680">
        <v>0</v>
      </c>
      <c r="C2680" t="s">
        <v>70</v>
      </c>
      <c r="D2680">
        <v>2601</v>
      </c>
      <c r="E2680" t="s">
        <v>104</v>
      </c>
      <c r="F2680" t="s">
        <v>14</v>
      </c>
      <c r="G2680">
        <v>20</v>
      </c>
    </row>
    <row r="2681" spans="1:7" x14ac:dyDescent="0.35">
      <c r="A2681">
        <v>7676</v>
      </c>
      <c r="B2681">
        <v>0</v>
      </c>
      <c r="C2681" t="s">
        <v>34</v>
      </c>
      <c r="D2681">
        <v>0</v>
      </c>
      <c r="E2681" t="s">
        <v>91</v>
      </c>
      <c r="F2681" t="s">
        <v>17</v>
      </c>
      <c r="G2681">
        <v>35</v>
      </c>
    </row>
    <row r="2682" spans="1:7" x14ac:dyDescent="0.35">
      <c r="A2682">
        <v>83983</v>
      </c>
      <c r="B2682">
        <v>0</v>
      </c>
      <c r="C2682" t="s">
        <v>56</v>
      </c>
      <c r="D2682">
        <v>2305</v>
      </c>
      <c r="E2682" t="s">
        <v>93</v>
      </c>
      <c r="F2682" t="s">
        <v>14</v>
      </c>
      <c r="G2682">
        <v>15</v>
      </c>
    </row>
    <row r="2683" spans="1:7" x14ac:dyDescent="0.35">
      <c r="A2683">
        <v>99567</v>
      </c>
      <c r="B2683">
        <v>0</v>
      </c>
      <c r="C2683" t="s">
        <v>36</v>
      </c>
      <c r="D2683">
        <v>3101</v>
      </c>
      <c r="E2683" t="s">
        <v>90</v>
      </c>
      <c r="F2683" t="s">
        <v>17</v>
      </c>
      <c r="G2683">
        <v>15</v>
      </c>
    </row>
    <row r="2684" spans="1:7" x14ac:dyDescent="0.35">
      <c r="A2684">
        <v>141652</v>
      </c>
      <c r="B2684">
        <v>0</v>
      </c>
      <c r="C2684" t="s">
        <v>24</v>
      </c>
      <c r="D2684">
        <v>3801</v>
      </c>
      <c r="E2684" t="s">
        <v>90</v>
      </c>
      <c r="F2684" t="s">
        <v>17</v>
      </c>
      <c r="G2684">
        <v>13</v>
      </c>
    </row>
    <row r="2685" spans="1:7" x14ac:dyDescent="0.35">
      <c r="A2685">
        <v>182325</v>
      </c>
      <c r="B2685">
        <v>0</v>
      </c>
      <c r="C2685" t="s">
        <v>40</v>
      </c>
      <c r="D2685">
        <v>0</v>
      </c>
      <c r="E2685" t="s">
        <v>88</v>
      </c>
      <c r="F2685" t="s">
        <v>14</v>
      </c>
      <c r="G2685">
        <v>10</v>
      </c>
    </row>
    <row r="2686" spans="1:7" x14ac:dyDescent="0.35">
      <c r="A2686">
        <v>44370</v>
      </c>
      <c r="B2686">
        <v>28</v>
      </c>
      <c r="C2686" t="s">
        <v>13</v>
      </c>
      <c r="D2686">
        <v>1502</v>
      </c>
      <c r="E2686" t="s">
        <v>88</v>
      </c>
      <c r="F2686" t="s">
        <v>17</v>
      </c>
      <c r="G2686">
        <v>5</v>
      </c>
    </row>
    <row r="2687" spans="1:7" x14ac:dyDescent="0.35">
      <c r="A2687">
        <v>48338</v>
      </c>
      <c r="B2687">
        <v>0</v>
      </c>
      <c r="C2687" t="s">
        <v>43</v>
      </c>
      <c r="D2687">
        <v>4301</v>
      </c>
      <c r="E2687" t="s">
        <v>89</v>
      </c>
      <c r="F2687" t="s">
        <v>14</v>
      </c>
      <c r="G2687">
        <v>25</v>
      </c>
    </row>
    <row r="2688" spans="1:7" x14ac:dyDescent="0.35">
      <c r="A2688">
        <v>97077</v>
      </c>
      <c r="B2688">
        <v>0</v>
      </c>
      <c r="C2688" t="s">
        <v>16</v>
      </c>
      <c r="D2688">
        <v>2807</v>
      </c>
      <c r="E2688" t="s">
        <v>92</v>
      </c>
      <c r="F2688" t="s">
        <v>17</v>
      </c>
      <c r="G2688">
        <v>12</v>
      </c>
    </row>
    <row r="2689" spans="1:7" x14ac:dyDescent="0.35">
      <c r="A2689">
        <v>160975</v>
      </c>
      <c r="B2689">
        <v>0</v>
      </c>
      <c r="C2689" t="s">
        <v>48</v>
      </c>
      <c r="D2689">
        <v>0</v>
      </c>
      <c r="E2689" t="s">
        <v>89</v>
      </c>
      <c r="F2689" t="s">
        <v>14</v>
      </c>
      <c r="G2689">
        <v>15</v>
      </c>
    </row>
    <row r="2690" spans="1:7" x14ac:dyDescent="0.35">
      <c r="A2690">
        <v>114828</v>
      </c>
      <c r="B2690">
        <v>2</v>
      </c>
      <c r="C2690" t="s">
        <v>31</v>
      </c>
      <c r="D2690">
        <v>0</v>
      </c>
      <c r="E2690" t="s">
        <v>91</v>
      </c>
      <c r="F2690" t="s">
        <v>30</v>
      </c>
      <c r="G2690">
        <v>4</v>
      </c>
    </row>
    <row r="2691" spans="1:7" x14ac:dyDescent="0.35">
      <c r="A2691">
        <v>182181</v>
      </c>
      <c r="B2691">
        <v>0</v>
      </c>
      <c r="C2691" t="s">
        <v>40</v>
      </c>
      <c r="D2691">
        <v>6201</v>
      </c>
      <c r="E2691" t="s">
        <v>93</v>
      </c>
      <c r="F2691" t="s">
        <v>14</v>
      </c>
      <c r="G2691">
        <v>20</v>
      </c>
    </row>
    <row r="2692" spans="1:7" x14ac:dyDescent="0.35">
      <c r="A2692">
        <v>75481</v>
      </c>
      <c r="B2692">
        <v>1</v>
      </c>
      <c r="C2692" t="s">
        <v>47</v>
      </c>
      <c r="D2692">
        <v>2901</v>
      </c>
      <c r="E2692" t="s">
        <v>91</v>
      </c>
      <c r="F2692" t="s">
        <v>14</v>
      </c>
      <c r="G2692">
        <v>8</v>
      </c>
    </row>
    <row r="2693" spans="1:7" x14ac:dyDescent="0.35">
      <c r="A2693">
        <v>13566</v>
      </c>
      <c r="B2693">
        <v>0</v>
      </c>
      <c r="C2693" t="s">
        <v>16</v>
      </c>
      <c r="D2693">
        <v>0</v>
      </c>
      <c r="E2693" t="s">
        <v>103</v>
      </c>
      <c r="F2693" t="s">
        <v>14</v>
      </c>
      <c r="G2693">
        <v>13</v>
      </c>
    </row>
    <row r="2694" spans="1:7" x14ac:dyDescent="0.35">
      <c r="A2694">
        <v>187612</v>
      </c>
      <c r="B2694">
        <v>1</v>
      </c>
      <c r="C2694" t="s">
        <v>55</v>
      </c>
      <c r="D2694">
        <v>0</v>
      </c>
      <c r="E2694" t="s">
        <v>93</v>
      </c>
      <c r="F2694" t="s">
        <v>14</v>
      </c>
      <c r="G2694">
        <v>15</v>
      </c>
    </row>
    <row r="2695" spans="1:7" x14ac:dyDescent="0.35">
      <c r="A2695">
        <v>143529</v>
      </c>
      <c r="B2695">
        <v>0</v>
      </c>
      <c r="C2695" t="s">
        <v>22</v>
      </c>
      <c r="D2695">
        <v>201</v>
      </c>
      <c r="E2695" t="s">
        <v>101</v>
      </c>
      <c r="F2695" t="s">
        <v>17</v>
      </c>
      <c r="G2695">
        <v>25</v>
      </c>
    </row>
    <row r="2696" spans="1:7" x14ac:dyDescent="0.35">
      <c r="A2696">
        <v>152376</v>
      </c>
      <c r="B2696">
        <v>0</v>
      </c>
      <c r="C2696" t="s">
        <v>22</v>
      </c>
      <c r="D2696">
        <v>0</v>
      </c>
      <c r="E2696" t="s">
        <v>90</v>
      </c>
      <c r="F2696" t="s">
        <v>17</v>
      </c>
      <c r="G2696">
        <v>10</v>
      </c>
    </row>
    <row r="2697" spans="1:7" x14ac:dyDescent="0.35">
      <c r="A2697">
        <v>22150</v>
      </c>
      <c r="B2697">
        <v>0</v>
      </c>
      <c r="C2697" t="s">
        <v>18</v>
      </c>
      <c r="D2697">
        <v>4401</v>
      </c>
      <c r="E2697" t="s">
        <v>104</v>
      </c>
      <c r="F2697" t="s">
        <v>17</v>
      </c>
      <c r="G2697">
        <v>5</v>
      </c>
    </row>
    <row r="2698" spans="1:7" x14ac:dyDescent="0.35">
      <c r="A2698">
        <v>120559</v>
      </c>
      <c r="B2698">
        <v>0</v>
      </c>
      <c r="C2698" t="s">
        <v>21</v>
      </c>
      <c r="D2698">
        <v>3601</v>
      </c>
      <c r="E2698" t="s">
        <v>89</v>
      </c>
      <c r="F2698" t="s">
        <v>14</v>
      </c>
      <c r="G2698">
        <v>12</v>
      </c>
    </row>
    <row r="2699" spans="1:7" x14ac:dyDescent="0.35">
      <c r="A2699">
        <v>148213</v>
      </c>
      <c r="B2699">
        <v>2</v>
      </c>
      <c r="C2699" t="s">
        <v>22</v>
      </c>
      <c r="D2699">
        <v>2901</v>
      </c>
      <c r="E2699" t="s">
        <v>93</v>
      </c>
      <c r="F2699" t="s">
        <v>14</v>
      </c>
      <c r="G2699">
        <v>14</v>
      </c>
    </row>
    <row r="2700" spans="1:7" x14ac:dyDescent="0.35">
      <c r="A2700">
        <v>180787</v>
      </c>
      <c r="B2700">
        <v>1002</v>
      </c>
      <c r="C2700" t="s">
        <v>40</v>
      </c>
      <c r="D2700">
        <v>6001</v>
      </c>
      <c r="E2700" t="s">
        <v>89</v>
      </c>
      <c r="F2700" t="s">
        <v>14</v>
      </c>
      <c r="G2700">
        <v>20</v>
      </c>
    </row>
    <row r="2701" spans="1:7" x14ac:dyDescent="0.35">
      <c r="A2701">
        <v>118847</v>
      </c>
      <c r="B2701">
        <v>0</v>
      </c>
      <c r="C2701" t="s">
        <v>21</v>
      </c>
      <c r="D2701">
        <v>4010</v>
      </c>
      <c r="E2701" t="s">
        <v>92</v>
      </c>
      <c r="F2701" t="s">
        <v>17</v>
      </c>
      <c r="G2701">
        <v>25</v>
      </c>
    </row>
    <row r="2702" spans="1:7" x14ac:dyDescent="0.35">
      <c r="A2702">
        <v>28713</v>
      </c>
      <c r="B2702">
        <v>2</v>
      </c>
      <c r="C2702" t="s">
        <v>39</v>
      </c>
      <c r="D2702">
        <v>4801</v>
      </c>
      <c r="E2702" t="s">
        <v>93</v>
      </c>
      <c r="F2702" t="s">
        <v>17</v>
      </c>
      <c r="G2702">
        <v>21</v>
      </c>
    </row>
    <row r="2703" spans="1:7" x14ac:dyDescent="0.35">
      <c r="A2703">
        <v>29777</v>
      </c>
      <c r="B2703">
        <v>0</v>
      </c>
      <c r="C2703" t="s">
        <v>39</v>
      </c>
      <c r="D2703">
        <v>2601</v>
      </c>
      <c r="E2703" t="s">
        <v>92</v>
      </c>
      <c r="F2703" t="s">
        <v>17</v>
      </c>
      <c r="G2703">
        <v>10</v>
      </c>
    </row>
    <row r="2704" spans="1:7" x14ac:dyDescent="0.35">
      <c r="A2704">
        <v>42499</v>
      </c>
      <c r="B2704">
        <v>0</v>
      </c>
      <c r="C2704" t="s">
        <v>13</v>
      </c>
      <c r="D2704">
        <v>2901</v>
      </c>
      <c r="E2704" t="s">
        <v>91</v>
      </c>
      <c r="F2704" t="s">
        <v>14</v>
      </c>
      <c r="G2704">
        <v>10</v>
      </c>
    </row>
    <row r="2705" spans="1:7" x14ac:dyDescent="0.35">
      <c r="A2705">
        <v>38987</v>
      </c>
      <c r="B2705">
        <v>2</v>
      </c>
      <c r="C2705" t="s">
        <v>13</v>
      </c>
      <c r="D2705">
        <v>2611</v>
      </c>
      <c r="E2705" t="s">
        <v>90</v>
      </c>
      <c r="F2705" t="s">
        <v>17</v>
      </c>
      <c r="G2705">
        <v>13</v>
      </c>
    </row>
    <row r="2706" spans="1:7" x14ac:dyDescent="0.35">
      <c r="A2706">
        <v>130936</v>
      </c>
      <c r="B2706">
        <v>1</v>
      </c>
      <c r="C2706" t="s">
        <v>48</v>
      </c>
      <c r="D2706">
        <v>1512</v>
      </c>
      <c r="E2706" t="s">
        <v>96</v>
      </c>
      <c r="F2706" t="s">
        <v>14</v>
      </c>
      <c r="G2706">
        <v>15</v>
      </c>
    </row>
    <row r="2707" spans="1:7" x14ac:dyDescent="0.35">
      <c r="A2707">
        <v>21463</v>
      </c>
      <c r="B2707">
        <v>0</v>
      </c>
      <c r="C2707" t="s">
        <v>18</v>
      </c>
      <c r="D2707">
        <v>6201</v>
      </c>
      <c r="E2707" t="s">
        <v>89</v>
      </c>
      <c r="F2707" t="s">
        <v>17</v>
      </c>
      <c r="G2707">
        <v>11</v>
      </c>
    </row>
    <row r="2708" spans="1:7" x14ac:dyDescent="0.35">
      <c r="A2708">
        <v>154531</v>
      </c>
      <c r="B2708">
        <v>0</v>
      </c>
      <c r="C2708" t="s">
        <v>22</v>
      </c>
      <c r="D2708">
        <v>2010</v>
      </c>
      <c r="E2708" t="s">
        <v>89</v>
      </c>
      <c r="F2708" t="s">
        <v>17</v>
      </c>
      <c r="G2708">
        <v>5</v>
      </c>
    </row>
    <row r="2709" spans="1:7" x14ac:dyDescent="0.35">
      <c r="A2709">
        <v>165033</v>
      </c>
      <c r="B2709">
        <v>1</v>
      </c>
      <c r="C2709" t="s">
        <v>22</v>
      </c>
      <c r="D2709">
        <v>5501</v>
      </c>
      <c r="E2709" t="s">
        <v>94</v>
      </c>
      <c r="F2709" t="s">
        <v>14</v>
      </c>
      <c r="G2709">
        <v>10</v>
      </c>
    </row>
    <row r="2710" spans="1:7" x14ac:dyDescent="0.35">
      <c r="A2710">
        <v>12171</v>
      </c>
      <c r="B2710">
        <v>2</v>
      </c>
      <c r="C2710" t="s">
        <v>40</v>
      </c>
      <c r="D2710">
        <v>1301</v>
      </c>
      <c r="E2710" t="s">
        <v>90</v>
      </c>
      <c r="F2710" t="s">
        <v>17</v>
      </c>
      <c r="G2710">
        <v>5</v>
      </c>
    </row>
    <row r="2711" spans="1:7" x14ac:dyDescent="0.35">
      <c r="A2711">
        <v>186462</v>
      </c>
      <c r="B2711">
        <v>2</v>
      </c>
      <c r="C2711" t="s">
        <v>18</v>
      </c>
      <c r="D2711">
        <v>1603</v>
      </c>
      <c r="E2711" t="s">
        <v>89</v>
      </c>
      <c r="F2711" t="s">
        <v>17</v>
      </c>
      <c r="G2711">
        <v>8</v>
      </c>
    </row>
    <row r="2712" spans="1:7" x14ac:dyDescent="0.35">
      <c r="A2712">
        <v>70312</v>
      </c>
      <c r="B2712">
        <v>2</v>
      </c>
      <c r="C2712" t="s">
        <v>29</v>
      </c>
      <c r="D2712">
        <v>5901</v>
      </c>
      <c r="E2712" t="s">
        <v>89</v>
      </c>
      <c r="F2712" t="s">
        <v>17</v>
      </c>
      <c r="G2712">
        <v>5</v>
      </c>
    </row>
    <row r="2713" spans="1:7" x14ac:dyDescent="0.35">
      <c r="A2713">
        <v>27267</v>
      </c>
      <c r="B2713">
        <v>0</v>
      </c>
      <c r="C2713" t="s">
        <v>39</v>
      </c>
      <c r="D2713">
        <v>5801</v>
      </c>
      <c r="E2713" t="s">
        <v>94</v>
      </c>
      <c r="F2713" t="s">
        <v>17</v>
      </c>
      <c r="G2713">
        <v>10</v>
      </c>
    </row>
    <row r="2714" spans="1:7" x14ac:dyDescent="0.35">
      <c r="A2714">
        <v>7048</v>
      </c>
      <c r="B2714">
        <v>1002</v>
      </c>
      <c r="C2714" t="s">
        <v>22</v>
      </c>
      <c r="D2714">
        <v>3301</v>
      </c>
      <c r="E2714" t="s">
        <v>93</v>
      </c>
      <c r="F2714" t="s">
        <v>14</v>
      </c>
      <c r="G2714">
        <v>15</v>
      </c>
    </row>
    <row r="2715" spans="1:7" x14ac:dyDescent="0.35">
      <c r="A2715">
        <v>144631</v>
      </c>
      <c r="B2715">
        <v>0</v>
      </c>
      <c r="C2715" t="s">
        <v>22</v>
      </c>
      <c r="D2715">
        <v>6203</v>
      </c>
      <c r="E2715" t="s">
        <v>103</v>
      </c>
      <c r="F2715" t="s">
        <v>17</v>
      </c>
      <c r="G2715">
        <v>25</v>
      </c>
    </row>
    <row r="2716" spans="1:7" x14ac:dyDescent="0.35">
      <c r="A2716">
        <v>134677</v>
      </c>
      <c r="B2716">
        <v>28</v>
      </c>
      <c r="C2716" t="s">
        <v>38</v>
      </c>
      <c r="D2716">
        <v>0</v>
      </c>
      <c r="E2716" t="s">
        <v>89</v>
      </c>
      <c r="G2716">
        <v>5</v>
      </c>
    </row>
    <row r="2717" spans="1:7" x14ac:dyDescent="0.35">
      <c r="A2717">
        <v>149792</v>
      </c>
      <c r="B2717">
        <v>1</v>
      </c>
      <c r="C2717" t="s">
        <v>22</v>
      </c>
      <c r="D2717">
        <v>2401</v>
      </c>
      <c r="F2717" t="s">
        <v>76</v>
      </c>
      <c r="G2717">
        <v>100</v>
      </c>
    </row>
    <row r="2718" spans="1:7" x14ac:dyDescent="0.35">
      <c r="A2718">
        <v>169813</v>
      </c>
      <c r="B2718">
        <v>0</v>
      </c>
      <c r="C2718" t="s">
        <v>22</v>
      </c>
      <c r="D2718">
        <v>5204</v>
      </c>
      <c r="E2718" t="s">
        <v>93</v>
      </c>
      <c r="F2718" t="s">
        <v>17</v>
      </c>
      <c r="G2718">
        <v>15</v>
      </c>
    </row>
    <row r="2719" spans="1:7" x14ac:dyDescent="0.35">
      <c r="A2719">
        <v>135152</v>
      </c>
      <c r="B2719">
        <v>2</v>
      </c>
      <c r="C2719" t="s">
        <v>55</v>
      </c>
      <c r="D2719">
        <v>6801</v>
      </c>
      <c r="E2719" t="s">
        <v>90</v>
      </c>
      <c r="F2719" t="s">
        <v>17</v>
      </c>
      <c r="G2719">
        <v>15</v>
      </c>
    </row>
    <row r="2720" spans="1:7" x14ac:dyDescent="0.35">
      <c r="A2720">
        <v>52593</v>
      </c>
      <c r="B2720">
        <v>2</v>
      </c>
      <c r="C2720" t="s">
        <v>53</v>
      </c>
      <c r="D2720">
        <v>3801</v>
      </c>
      <c r="E2720" t="s">
        <v>91</v>
      </c>
      <c r="F2720" t="s">
        <v>17</v>
      </c>
      <c r="G2720">
        <v>22</v>
      </c>
    </row>
    <row r="2721" spans="1:7" x14ac:dyDescent="0.35">
      <c r="A2721">
        <v>64161</v>
      </c>
      <c r="B2721">
        <v>1</v>
      </c>
      <c r="C2721" t="s">
        <v>33</v>
      </c>
      <c r="D2721">
        <v>2801</v>
      </c>
      <c r="E2721" t="s">
        <v>91</v>
      </c>
      <c r="F2721" t="s">
        <v>14</v>
      </c>
      <c r="G2721">
        <v>11</v>
      </c>
    </row>
    <row r="2722" spans="1:7" x14ac:dyDescent="0.35">
      <c r="A2722">
        <v>116738</v>
      </c>
      <c r="B2722">
        <v>0</v>
      </c>
      <c r="C2722" t="s">
        <v>21</v>
      </c>
      <c r="D2722">
        <v>6101</v>
      </c>
      <c r="E2722" t="s">
        <v>89</v>
      </c>
      <c r="F2722" t="s">
        <v>17</v>
      </c>
      <c r="G2722">
        <v>14</v>
      </c>
    </row>
    <row r="2723" spans="1:7" x14ac:dyDescent="0.35">
      <c r="A2723">
        <v>56831</v>
      </c>
      <c r="B2723">
        <v>2</v>
      </c>
      <c r="C2723" t="s">
        <v>57</v>
      </c>
      <c r="D2723">
        <v>6701</v>
      </c>
      <c r="E2723" t="s">
        <v>93</v>
      </c>
      <c r="F2723" t="s">
        <v>14</v>
      </c>
      <c r="G2723">
        <v>15</v>
      </c>
    </row>
    <row r="2724" spans="1:7" x14ac:dyDescent="0.35">
      <c r="A2724">
        <v>139107</v>
      </c>
      <c r="B2724">
        <v>0</v>
      </c>
      <c r="C2724" t="s">
        <v>55</v>
      </c>
      <c r="D2724">
        <v>3407</v>
      </c>
      <c r="E2724" t="s">
        <v>104</v>
      </c>
      <c r="F2724" t="s">
        <v>17</v>
      </c>
      <c r="G2724">
        <v>50</v>
      </c>
    </row>
    <row r="2725" spans="1:7" x14ac:dyDescent="0.35">
      <c r="A2725">
        <v>28681</v>
      </c>
      <c r="B2725">
        <v>1</v>
      </c>
      <c r="C2725" t="s">
        <v>39</v>
      </c>
      <c r="D2725">
        <v>4612</v>
      </c>
      <c r="E2725" t="s">
        <v>94</v>
      </c>
      <c r="F2725" t="s">
        <v>14</v>
      </c>
      <c r="G2725">
        <v>35</v>
      </c>
    </row>
    <row r="2726" spans="1:7" x14ac:dyDescent="0.35">
      <c r="A2726">
        <v>125446</v>
      </c>
      <c r="B2726">
        <v>2</v>
      </c>
      <c r="C2726" t="s">
        <v>21</v>
      </c>
      <c r="D2726">
        <v>3801</v>
      </c>
      <c r="E2726" t="s">
        <v>97</v>
      </c>
      <c r="F2726" t="s">
        <v>17</v>
      </c>
      <c r="G2726">
        <v>10</v>
      </c>
    </row>
    <row r="2727" spans="1:7" x14ac:dyDescent="0.35">
      <c r="A2727">
        <v>95151</v>
      </c>
      <c r="B2727">
        <v>0</v>
      </c>
      <c r="C2727" t="s">
        <v>16</v>
      </c>
      <c r="D2727">
        <v>4601</v>
      </c>
      <c r="E2727" t="s">
        <v>98</v>
      </c>
      <c r="F2727" t="s">
        <v>17</v>
      </c>
      <c r="G2727">
        <v>7</v>
      </c>
    </row>
    <row r="2728" spans="1:7" x14ac:dyDescent="0.35">
      <c r="A2728">
        <v>132394</v>
      </c>
      <c r="B2728">
        <v>2</v>
      </c>
      <c r="C2728" t="s">
        <v>48</v>
      </c>
      <c r="D2728">
        <v>1001</v>
      </c>
      <c r="E2728" t="s">
        <v>91</v>
      </c>
      <c r="F2728" t="s">
        <v>17</v>
      </c>
      <c r="G2728">
        <v>11</v>
      </c>
    </row>
    <row r="2729" spans="1:7" x14ac:dyDescent="0.35">
      <c r="A2729">
        <v>151702</v>
      </c>
      <c r="B2729">
        <v>0</v>
      </c>
      <c r="C2729" t="s">
        <v>22</v>
      </c>
      <c r="D2729">
        <v>4305</v>
      </c>
      <c r="E2729" t="s">
        <v>94</v>
      </c>
      <c r="F2729" t="s">
        <v>17</v>
      </c>
      <c r="G2729">
        <v>15</v>
      </c>
    </row>
    <row r="2730" spans="1:7" x14ac:dyDescent="0.35">
      <c r="A2730">
        <v>65668</v>
      </c>
      <c r="B2730">
        <v>2</v>
      </c>
      <c r="C2730" t="s">
        <v>29</v>
      </c>
      <c r="D2730">
        <v>0</v>
      </c>
      <c r="E2730" t="s">
        <v>98</v>
      </c>
      <c r="F2730" t="s">
        <v>17</v>
      </c>
      <c r="G2730">
        <v>10</v>
      </c>
    </row>
    <row r="2731" spans="1:7" x14ac:dyDescent="0.35">
      <c r="A2731">
        <v>167357</v>
      </c>
      <c r="B2731">
        <v>1</v>
      </c>
      <c r="C2731" t="s">
        <v>22</v>
      </c>
      <c r="D2731">
        <v>5501</v>
      </c>
      <c r="E2731" t="s">
        <v>93</v>
      </c>
      <c r="F2731" t="s">
        <v>14</v>
      </c>
      <c r="G2731">
        <v>12</v>
      </c>
    </row>
    <row r="2732" spans="1:7" x14ac:dyDescent="0.35">
      <c r="A2732">
        <v>117552</v>
      </c>
      <c r="B2732">
        <v>0</v>
      </c>
      <c r="C2732" t="s">
        <v>21</v>
      </c>
      <c r="D2732">
        <v>4403</v>
      </c>
      <c r="E2732" t="s">
        <v>93</v>
      </c>
      <c r="F2732" t="s">
        <v>17</v>
      </c>
      <c r="G2732">
        <v>20</v>
      </c>
    </row>
    <row r="2733" spans="1:7" x14ac:dyDescent="0.35">
      <c r="A2733">
        <v>75341</v>
      </c>
      <c r="B2733">
        <v>28</v>
      </c>
      <c r="C2733" t="s">
        <v>47</v>
      </c>
      <c r="D2733">
        <v>1403</v>
      </c>
      <c r="E2733" t="s">
        <v>94</v>
      </c>
      <c r="F2733" t="s">
        <v>17</v>
      </c>
      <c r="G2733">
        <v>15</v>
      </c>
    </row>
    <row r="2734" spans="1:7" x14ac:dyDescent="0.35">
      <c r="A2734">
        <v>36774</v>
      </c>
      <c r="B2734">
        <v>1</v>
      </c>
      <c r="C2734" t="s">
        <v>13</v>
      </c>
      <c r="D2734">
        <v>4401</v>
      </c>
      <c r="E2734" t="s">
        <v>93</v>
      </c>
      <c r="F2734" t="s">
        <v>14</v>
      </c>
      <c r="G2734">
        <v>21</v>
      </c>
    </row>
    <row r="2735" spans="1:7" x14ac:dyDescent="0.35">
      <c r="A2735">
        <v>139074</v>
      </c>
      <c r="B2735">
        <v>1</v>
      </c>
      <c r="C2735" t="s">
        <v>55</v>
      </c>
      <c r="D2735">
        <v>2103</v>
      </c>
      <c r="E2735" t="s">
        <v>91</v>
      </c>
      <c r="F2735" t="s">
        <v>14</v>
      </c>
      <c r="G2735">
        <v>20</v>
      </c>
    </row>
    <row r="2736" spans="1:7" x14ac:dyDescent="0.35">
      <c r="A2736">
        <v>58086</v>
      </c>
      <c r="B2736">
        <v>0</v>
      </c>
      <c r="C2736" t="s">
        <v>57</v>
      </c>
      <c r="D2736">
        <v>4401</v>
      </c>
      <c r="E2736" t="s">
        <v>98</v>
      </c>
      <c r="F2736" t="s">
        <v>17</v>
      </c>
      <c r="G2736">
        <v>4</v>
      </c>
    </row>
    <row r="2737" spans="1:7" x14ac:dyDescent="0.35">
      <c r="A2737">
        <v>37637</v>
      </c>
      <c r="B2737">
        <v>28</v>
      </c>
      <c r="C2737" t="s">
        <v>13</v>
      </c>
      <c r="D2737">
        <v>4906</v>
      </c>
      <c r="E2737" t="s">
        <v>92</v>
      </c>
      <c r="F2737" t="s">
        <v>17</v>
      </c>
      <c r="G2737">
        <v>10</v>
      </c>
    </row>
    <row r="2738" spans="1:7" x14ac:dyDescent="0.35">
      <c r="A2738">
        <v>73625</v>
      </c>
      <c r="B2738">
        <v>0</v>
      </c>
      <c r="C2738" t="s">
        <v>29</v>
      </c>
      <c r="D2738">
        <v>5806</v>
      </c>
      <c r="E2738" t="s">
        <v>102</v>
      </c>
      <c r="F2738" t="s">
        <v>17</v>
      </c>
      <c r="G2738">
        <v>10</v>
      </c>
    </row>
    <row r="2739" spans="1:7" x14ac:dyDescent="0.35">
      <c r="A2739">
        <v>77845</v>
      </c>
      <c r="B2739">
        <v>0</v>
      </c>
      <c r="C2739" t="s">
        <v>35</v>
      </c>
      <c r="D2739">
        <v>6101</v>
      </c>
      <c r="E2739" t="s">
        <v>89</v>
      </c>
      <c r="F2739" t="s">
        <v>17</v>
      </c>
      <c r="G2739">
        <v>15</v>
      </c>
    </row>
    <row r="2740" spans="1:7" x14ac:dyDescent="0.35">
      <c r="A2740">
        <v>6615</v>
      </c>
      <c r="B2740">
        <v>0</v>
      </c>
      <c r="C2740" t="s">
        <v>13</v>
      </c>
      <c r="D2740">
        <v>0</v>
      </c>
      <c r="E2740" t="s">
        <v>93</v>
      </c>
      <c r="F2740" t="s">
        <v>17</v>
      </c>
      <c r="G2740">
        <v>11</v>
      </c>
    </row>
    <row r="2741" spans="1:7" x14ac:dyDescent="0.35">
      <c r="A2741">
        <v>35504</v>
      </c>
      <c r="B2741">
        <v>0</v>
      </c>
      <c r="C2741" t="s">
        <v>13</v>
      </c>
      <c r="D2741">
        <v>4901</v>
      </c>
      <c r="E2741" t="s">
        <v>90</v>
      </c>
      <c r="F2741" t="s">
        <v>17</v>
      </c>
      <c r="G2741">
        <v>15</v>
      </c>
    </row>
    <row r="2742" spans="1:7" x14ac:dyDescent="0.35">
      <c r="A2742">
        <v>131845</v>
      </c>
      <c r="B2742">
        <v>2</v>
      </c>
      <c r="C2742" t="s">
        <v>48</v>
      </c>
      <c r="D2742">
        <v>4601</v>
      </c>
      <c r="E2742" t="s">
        <v>97</v>
      </c>
      <c r="F2742" t="s">
        <v>17</v>
      </c>
      <c r="G2742">
        <v>15</v>
      </c>
    </row>
    <row r="2743" spans="1:7" x14ac:dyDescent="0.35">
      <c r="A2743">
        <v>189902</v>
      </c>
      <c r="B2743">
        <v>0</v>
      </c>
      <c r="C2743" t="s">
        <v>22</v>
      </c>
      <c r="D2743">
        <v>4607</v>
      </c>
      <c r="E2743" t="s">
        <v>102</v>
      </c>
      <c r="F2743" t="s">
        <v>17</v>
      </c>
      <c r="G2743">
        <v>6</v>
      </c>
    </row>
    <row r="2744" spans="1:7" x14ac:dyDescent="0.35">
      <c r="A2744">
        <v>34836</v>
      </c>
      <c r="B2744">
        <v>0</v>
      </c>
      <c r="C2744" t="s">
        <v>13</v>
      </c>
      <c r="D2744">
        <v>0</v>
      </c>
      <c r="E2744" t="s">
        <v>88</v>
      </c>
      <c r="F2744" t="s">
        <v>17</v>
      </c>
      <c r="G2744">
        <v>15</v>
      </c>
    </row>
    <row r="2745" spans="1:7" x14ac:dyDescent="0.35">
      <c r="A2745">
        <v>123909</v>
      </c>
      <c r="B2745">
        <v>2</v>
      </c>
      <c r="C2745" t="s">
        <v>21</v>
      </c>
      <c r="D2745">
        <v>3211</v>
      </c>
      <c r="E2745" t="s">
        <v>88</v>
      </c>
      <c r="F2745" t="s">
        <v>14</v>
      </c>
      <c r="G2745">
        <v>5</v>
      </c>
    </row>
    <row r="2746" spans="1:7" x14ac:dyDescent="0.35">
      <c r="A2746">
        <v>188913</v>
      </c>
      <c r="B2746">
        <v>0</v>
      </c>
      <c r="C2746" t="s">
        <v>55</v>
      </c>
      <c r="D2746">
        <v>0</v>
      </c>
      <c r="E2746" t="s">
        <v>90</v>
      </c>
      <c r="F2746" t="s">
        <v>17</v>
      </c>
      <c r="G2746">
        <v>20</v>
      </c>
    </row>
    <row r="2747" spans="1:7" x14ac:dyDescent="0.35">
      <c r="A2747">
        <v>96426</v>
      </c>
      <c r="B2747">
        <v>2</v>
      </c>
      <c r="C2747" t="s">
        <v>16</v>
      </c>
      <c r="D2747">
        <v>5810</v>
      </c>
      <c r="E2747" t="s">
        <v>89</v>
      </c>
      <c r="F2747" t="s">
        <v>14</v>
      </c>
      <c r="G2747">
        <v>10</v>
      </c>
    </row>
    <row r="2748" spans="1:7" x14ac:dyDescent="0.35">
      <c r="A2748">
        <v>23022</v>
      </c>
      <c r="B2748">
        <v>0</v>
      </c>
      <c r="C2748" t="s">
        <v>46</v>
      </c>
      <c r="D2748">
        <v>4604</v>
      </c>
      <c r="E2748" t="s">
        <v>93</v>
      </c>
      <c r="F2748" t="s">
        <v>14</v>
      </c>
      <c r="G2748">
        <v>15</v>
      </c>
    </row>
    <row r="2749" spans="1:7" x14ac:dyDescent="0.35">
      <c r="A2749">
        <v>144099</v>
      </c>
      <c r="B2749">
        <v>28</v>
      </c>
      <c r="C2749" t="s">
        <v>22</v>
      </c>
      <c r="D2749">
        <v>5801</v>
      </c>
      <c r="E2749" t="s">
        <v>95</v>
      </c>
      <c r="F2749" t="s">
        <v>17</v>
      </c>
      <c r="G2749">
        <v>17</v>
      </c>
    </row>
    <row r="2750" spans="1:7" x14ac:dyDescent="0.35">
      <c r="A2750">
        <v>186965</v>
      </c>
      <c r="B2750">
        <v>0</v>
      </c>
      <c r="C2750" t="s">
        <v>28</v>
      </c>
      <c r="D2750">
        <v>3104</v>
      </c>
      <c r="E2750" t="s">
        <v>98</v>
      </c>
      <c r="F2750" t="s">
        <v>17</v>
      </c>
      <c r="G2750">
        <v>13</v>
      </c>
    </row>
    <row r="2751" spans="1:7" x14ac:dyDescent="0.35">
      <c r="A2751">
        <v>106161</v>
      </c>
      <c r="B2751">
        <v>0</v>
      </c>
      <c r="C2751" t="s">
        <v>28</v>
      </c>
      <c r="D2751">
        <v>3203</v>
      </c>
      <c r="E2751" t="s">
        <v>98</v>
      </c>
      <c r="F2751" t="s">
        <v>17</v>
      </c>
      <c r="G2751">
        <v>4</v>
      </c>
    </row>
    <row r="2752" spans="1:7" x14ac:dyDescent="0.35">
      <c r="A2752">
        <v>166742</v>
      </c>
      <c r="B2752">
        <v>0</v>
      </c>
      <c r="C2752" t="s">
        <v>22</v>
      </c>
      <c r="D2752">
        <v>3610</v>
      </c>
      <c r="E2752" t="s">
        <v>92</v>
      </c>
      <c r="F2752" t="s">
        <v>17</v>
      </c>
      <c r="G2752">
        <v>12</v>
      </c>
    </row>
    <row r="2753" spans="1:7" x14ac:dyDescent="0.35">
      <c r="A2753">
        <v>132145</v>
      </c>
      <c r="B2753">
        <v>0</v>
      </c>
      <c r="C2753" t="s">
        <v>48</v>
      </c>
      <c r="D2753">
        <v>0</v>
      </c>
      <c r="E2753" t="s">
        <v>91</v>
      </c>
      <c r="F2753" t="s">
        <v>14</v>
      </c>
      <c r="G2753">
        <v>10</v>
      </c>
    </row>
    <row r="2754" spans="1:7" x14ac:dyDescent="0.35">
      <c r="A2754">
        <v>166485</v>
      </c>
      <c r="B2754">
        <v>1</v>
      </c>
      <c r="C2754" t="s">
        <v>22</v>
      </c>
      <c r="D2754">
        <v>4406</v>
      </c>
      <c r="E2754" t="s">
        <v>95</v>
      </c>
      <c r="F2754" t="s">
        <v>14</v>
      </c>
      <c r="G2754">
        <v>45</v>
      </c>
    </row>
    <row r="2755" spans="1:7" x14ac:dyDescent="0.35">
      <c r="A2755">
        <v>89209</v>
      </c>
      <c r="B2755">
        <v>1</v>
      </c>
      <c r="C2755" t="s">
        <v>16</v>
      </c>
      <c r="D2755">
        <v>4703</v>
      </c>
      <c r="E2755" t="s">
        <v>90</v>
      </c>
      <c r="F2755" t="s">
        <v>14</v>
      </c>
      <c r="G2755">
        <v>6</v>
      </c>
    </row>
    <row r="2756" spans="1:7" x14ac:dyDescent="0.35">
      <c r="A2756">
        <v>167165</v>
      </c>
      <c r="B2756">
        <v>0</v>
      </c>
      <c r="C2756" t="s">
        <v>22</v>
      </c>
      <c r="D2756">
        <v>3501</v>
      </c>
      <c r="E2756" t="s">
        <v>95</v>
      </c>
      <c r="F2756" t="s">
        <v>17</v>
      </c>
      <c r="G2756">
        <v>16</v>
      </c>
    </row>
    <row r="2757" spans="1:7" x14ac:dyDescent="0.35">
      <c r="A2757">
        <v>162169</v>
      </c>
      <c r="B2757">
        <v>2</v>
      </c>
      <c r="C2757" t="s">
        <v>22</v>
      </c>
      <c r="D2757">
        <v>0</v>
      </c>
      <c r="E2757" t="s">
        <v>94</v>
      </c>
      <c r="F2757" t="s">
        <v>14</v>
      </c>
      <c r="G2757">
        <v>20</v>
      </c>
    </row>
    <row r="2758" spans="1:7" x14ac:dyDescent="0.35">
      <c r="A2758">
        <v>31183</v>
      </c>
      <c r="B2758">
        <v>0</v>
      </c>
      <c r="C2758" t="s">
        <v>39</v>
      </c>
      <c r="D2758">
        <v>4301</v>
      </c>
      <c r="E2758" t="s">
        <v>89</v>
      </c>
      <c r="F2758" t="s">
        <v>14</v>
      </c>
      <c r="G2758">
        <v>18</v>
      </c>
    </row>
    <row r="2759" spans="1:7" x14ac:dyDescent="0.35">
      <c r="A2759">
        <v>86340</v>
      </c>
      <c r="B2759">
        <v>2</v>
      </c>
      <c r="C2759" t="s">
        <v>52</v>
      </c>
      <c r="D2759">
        <v>0</v>
      </c>
      <c r="E2759" t="s">
        <v>91</v>
      </c>
      <c r="F2759" t="s">
        <v>14</v>
      </c>
      <c r="G2759">
        <v>3</v>
      </c>
    </row>
    <row r="2760" spans="1:7" x14ac:dyDescent="0.35">
      <c r="A2760">
        <v>45584</v>
      </c>
      <c r="B2760">
        <v>28</v>
      </c>
      <c r="C2760" t="s">
        <v>21</v>
      </c>
      <c r="D2760">
        <v>4706</v>
      </c>
      <c r="E2760" t="s">
        <v>90</v>
      </c>
      <c r="F2760" t="s">
        <v>17</v>
      </c>
      <c r="G2760">
        <v>25</v>
      </c>
    </row>
    <row r="2761" spans="1:7" x14ac:dyDescent="0.35">
      <c r="A2761">
        <v>131106</v>
      </c>
      <c r="B2761">
        <v>0</v>
      </c>
      <c r="C2761" t="s">
        <v>48</v>
      </c>
      <c r="D2761">
        <v>0</v>
      </c>
      <c r="E2761" t="s">
        <v>89</v>
      </c>
      <c r="F2761" t="s">
        <v>14</v>
      </c>
      <c r="G2761">
        <v>40</v>
      </c>
    </row>
    <row r="2762" spans="1:7" x14ac:dyDescent="0.35">
      <c r="A2762">
        <v>29105</v>
      </c>
      <c r="B2762">
        <v>0</v>
      </c>
      <c r="C2762" t="s">
        <v>39</v>
      </c>
      <c r="D2762">
        <v>0</v>
      </c>
      <c r="E2762" t="s">
        <v>91</v>
      </c>
      <c r="F2762" t="s">
        <v>14</v>
      </c>
      <c r="G2762">
        <v>11</v>
      </c>
    </row>
    <row r="2763" spans="1:7" x14ac:dyDescent="0.35">
      <c r="A2763">
        <v>123667</v>
      </c>
      <c r="B2763">
        <v>28</v>
      </c>
      <c r="C2763" t="s">
        <v>21</v>
      </c>
      <c r="D2763">
        <v>4301</v>
      </c>
      <c r="E2763" t="s">
        <v>94</v>
      </c>
      <c r="F2763" t="s">
        <v>17</v>
      </c>
      <c r="G2763">
        <v>15</v>
      </c>
    </row>
    <row r="2764" spans="1:7" x14ac:dyDescent="0.35">
      <c r="A2764">
        <v>164188</v>
      </c>
      <c r="B2764">
        <v>0</v>
      </c>
      <c r="C2764" t="s">
        <v>22</v>
      </c>
      <c r="D2764">
        <v>6201</v>
      </c>
      <c r="E2764" t="s">
        <v>94</v>
      </c>
      <c r="F2764" t="s">
        <v>17</v>
      </c>
      <c r="G2764">
        <v>14</v>
      </c>
    </row>
    <row r="2765" spans="1:7" x14ac:dyDescent="0.35">
      <c r="A2765">
        <v>37528</v>
      </c>
      <c r="B2765">
        <v>0</v>
      </c>
      <c r="C2765" t="s">
        <v>13</v>
      </c>
      <c r="D2765">
        <v>0</v>
      </c>
      <c r="E2765" t="s">
        <v>101</v>
      </c>
      <c r="F2765" t="s">
        <v>17</v>
      </c>
      <c r="G2765">
        <v>10</v>
      </c>
    </row>
    <row r="2766" spans="1:7" x14ac:dyDescent="0.35">
      <c r="A2766">
        <v>159417</v>
      </c>
      <c r="B2766">
        <v>0</v>
      </c>
      <c r="C2766" t="s">
        <v>22</v>
      </c>
      <c r="D2766">
        <v>5912</v>
      </c>
      <c r="E2766" t="s">
        <v>93</v>
      </c>
      <c r="F2766" t="s">
        <v>17</v>
      </c>
      <c r="G2766">
        <v>25</v>
      </c>
    </row>
    <row r="2767" spans="1:7" x14ac:dyDescent="0.35">
      <c r="A2767">
        <v>181382</v>
      </c>
      <c r="B2767">
        <v>2</v>
      </c>
      <c r="C2767" t="s">
        <v>40</v>
      </c>
      <c r="D2767">
        <v>0</v>
      </c>
      <c r="E2767" t="s">
        <v>91</v>
      </c>
      <c r="F2767" t="s">
        <v>14</v>
      </c>
      <c r="G2767">
        <v>12</v>
      </c>
    </row>
    <row r="2768" spans="1:7" x14ac:dyDescent="0.35">
      <c r="A2768">
        <v>159358</v>
      </c>
      <c r="B2768">
        <v>2</v>
      </c>
      <c r="C2768" t="s">
        <v>22</v>
      </c>
      <c r="D2768">
        <v>2201</v>
      </c>
      <c r="E2768" t="s">
        <v>93</v>
      </c>
      <c r="F2768" t="s">
        <v>14</v>
      </c>
      <c r="G2768">
        <v>10</v>
      </c>
    </row>
    <row r="2769" spans="1:7" x14ac:dyDescent="0.35">
      <c r="A2769">
        <v>159550</v>
      </c>
      <c r="B2769">
        <v>1</v>
      </c>
      <c r="C2769" t="s">
        <v>22</v>
      </c>
      <c r="D2769">
        <v>5801</v>
      </c>
      <c r="E2769" t="s">
        <v>91</v>
      </c>
      <c r="F2769" t="s">
        <v>14</v>
      </c>
      <c r="G2769">
        <v>10</v>
      </c>
    </row>
    <row r="2770" spans="1:7" x14ac:dyDescent="0.35">
      <c r="A2770">
        <v>167396</v>
      </c>
      <c r="B2770">
        <v>0</v>
      </c>
      <c r="C2770" t="s">
        <v>22</v>
      </c>
      <c r="D2770">
        <v>0</v>
      </c>
      <c r="E2770" t="s">
        <v>93</v>
      </c>
      <c r="F2770" t="s">
        <v>14</v>
      </c>
      <c r="G2770">
        <v>20</v>
      </c>
    </row>
    <row r="2771" spans="1:7" x14ac:dyDescent="0.35">
      <c r="A2771">
        <v>101673</v>
      </c>
      <c r="B2771">
        <v>0</v>
      </c>
      <c r="C2771" t="s">
        <v>36</v>
      </c>
      <c r="D2771">
        <v>5702</v>
      </c>
      <c r="E2771" t="s">
        <v>92</v>
      </c>
      <c r="F2771" t="s">
        <v>17</v>
      </c>
      <c r="G2771">
        <v>20</v>
      </c>
    </row>
    <row r="2772" spans="1:7" x14ac:dyDescent="0.35">
      <c r="A2772">
        <v>132767</v>
      </c>
      <c r="B2772">
        <v>1</v>
      </c>
      <c r="C2772" t="s">
        <v>66</v>
      </c>
      <c r="D2772">
        <v>2001</v>
      </c>
      <c r="E2772" t="s">
        <v>92</v>
      </c>
      <c r="F2772" t="s">
        <v>14</v>
      </c>
      <c r="G2772">
        <v>15</v>
      </c>
    </row>
    <row r="2773" spans="1:7" x14ac:dyDescent="0.35">
      <c r="A2773">
        <v>178334</v>
      </c>
      <c r="B2773">
        <v>0</v>
      </c>
      <c r="C2773" t="s">
        <v>40</v>
      </c>
      <c r="D2773">
        <v>2701</v>
      </c>
      <c r="E2773" t="s">
        <v>90</v>
      </c>
      <c r="F2773" t="s">
        <v>44</v>
      </c>
      <c r="G2773">
        <v>11</v>
      </c>
    </row>
    <row r="2774" spans="1:7" x14ac:dyDescent="0.35">
      <c r="A2774">
        <v>109778</v>
      </c>
      <c r="B2774">
        <v>2</v>
      </c>
      <c r="C2774" t="s">
        <v>49</v>
      </c>
      <c r="D2774">
        <v>1801</v>
      </c>
      <c r="E2774" t="s">
        <v>92</v>
      </c>
      <c r="F2774" t="s">
        <v>14</v>
      </c>
      <c r="G2774">
        <v>10</v>
      </c>
    </row>
    <row r="2775" spans="1:7" x14ac:dyDescent="0.35">
      <c r="A2775">
        <v>108176</v>
      </c>
      <c r="B2775">
        <v>2</v>
      </c>
      <c r="C2775" t="s">
        <v>49</v>
      </c>
      <c r="D2775">
        <v>5611</v>
      </c>
      <c r="E2775" t="s">
        <v>94</v>
      </c>
      <c r="F2775" t="s">
        <v>14</v>
      </c>
      <c r="G2775">
        <v>10</v>
      </c>
    </row>
    <row r="2776" spans="1:7" x14ac:dyDescent="0.35">
      <c r="A2776">
        <v>24949</v>
      </c>
      <c r="B2776">
        <v>0</v>
      </c>
      <c r="C2776" t="s">
        <v>46</v>
      </c>
      <c r="D2776">
        <v>4601</v>
      </c>
      <c r="E2776" t="s">
        <v>91</v>
      </c>
      <c r="F2776" t="s">
        <v>14</v>
      </c>
      <c r="G2776">
        <v>16</v>
      </c>
    </row>
    <row r="2777" spans="1:7" x14ac:dyDescent="0.35">
      <c r="A2777">
        <v>12122</v>
      </c>
      <c r="B2777">
        <v>2</v>
      </c>
      <c r="C2777" t="s">
        <v>22</v>
      </c>
      <c r="D2777">
        <v>5904</v>
      </c>
      <c r="E2777" t="s">
        <v>90</v>
      </c>
      <c r="F2777" t="s">
        <v>17</v>
      </c>
      <c r="G2777">
        <v>12</v>
      </c>
    </row>
    <row r="2778" spans="1:7" x14ac:dyDescent="0.35">
      <c r="A2778">
        <v>171014</v>
      </c>
      <c r="B2778">
        <v>1</v>
      </c>
      <c r="C2778" t="s">
        <v>22</v>
      </c>
      <c r="D2778">
        <v>4801</v>
      </c>
      <c r="E2778" t="s">
        <v>91</v>
      </c>
      <c r="F2778" t="s">
        <v>14</v>
      </c>
      <c r="G2778">
        <v>25</v>
      </c>
    </row>
    <row r="2779" spans="1:7" x14ac:dyDescent="0.35">
      <c r="A2779">
        <v>152822</v>
      </c>
      <c r="B2779">
        <v>0</v>
      </c>
      <c r="C2779" t="s">
        <v>22</v>
      </c>
      <c r="D2779">
        <v>6601</v>
      </c>
      <c r="E2779" t="s">
        <v>90</v>
      </c>
      <c r="F2779" t="s">
        <v>17</v>
      </c>
      <c r="G2779">
        <v>20</v>
      </c>
    </row>
    <row r="2780" spans="1:7" x14ac:dyDescent="0.35">
      <c r="A2780">
        <v>150730</v>
      </c>
      <c r="B2780">
        <v>28</v>
      </c>
      <c r="C2780" t="s">
        <v>22</v>
      </c>
      <c r="D2780">
        <v>4201</v>
      </c>
      <c r="E2780" t="s">
        <v>90</v>
      </c>
      <c r="F2780" t="s">
        <v>17</v>
      </c>
      <c r="G2780">
        <v>2</v>
      </c>
    </row>
    <row r="2781" spans="1:7" x14ac:dyDescent="0.35">
      <c r="A2781">
        <v>65189</v>
      </c>
      <c r="B2781">
        <v>2</v>
      </c>
      <c r="C2781" t="s">
        <v>29</v>
      </c>
      <c r="D2781">
        <v>2409</v>
      </c>
      <c r="E2781" t="s">
        <v>90</v>
      </c>
      <c r="F2781" t="s">
        <v>14</v>
      </c>
      <c r="G2781">
        <v>13</v>
      </c>
    </row>
    <row r="2782" spans="1:7" x14ac:dyDescent="0.35">
      <c r="A2782">
        <v>136990</v>
      </c>
      <c r="B2782">
        <v>0</v>
      </c>
      <c r="C2782" t="s">
        <v>55</v>
      </c>
      <c r="D2782">
        <v>5401</v>
      </c>
      <c r="E2782" t="s">
        <v>94</v>
      </c>
      <c r="F2782" t="s">
        <v>14</v>
      </c>
      <c r="G2782">
        <v>8</v>
      </c>
    </row>
    <row r="2783" spans="1:7" x14ac:dyDescent="0.35">
      <c r="A2783">
        <v>148143</v>
      </c>
      <c r="B2783">
        <v>0</v>
      </c>
      <c r="C2783" t="s">
        <v>22</v>
      </c>
      <c r="D2783">
        <v>0</v>
      </c>
      <c r="E2783" t="s">
        <v>92</v>
      </c>
      <c r="F2783" t="s">
        <v>17</v>
      </c>
      <c r="G2783">
        <v>20</v>
      </c>
    </row>
    <row r="2784" spans="1:7" x14ac:dyDescent="0.35">
      <c r="A2784">
        <v>54762</v>
      </c>
      <c r="B2784">
        <v>0</v>
      </c>
      <c r="C2784" t="s">
        <v>62</v>
      </c>
      <c r="D2784">
        <v>1403</v>
      </c>
      <c r="E2784" t="s">
        <v>91</v>
      </c>
      <c r="F2784" t="s">
        <v>14</v>
      </c>
      <c r="G2784">
        <v>16</v>
      </c>
    </row>
    <row r="2785" spans="1:7" x14ac:dyDescent="0.35">
      <c r="A2785">
        <v>107379</v>
      </c>
      <c r="B2785">
        <v>2</v>
      </c>
      <c r="C2785" t="s">
        <v>59</v>
      </c>
      <c r="D2785">
        <v>0</v>
      </c>
      <c r="E2785" t="s">
        <v>89</v>
      </c>
      <c r="F2785" t="s">
        <v>17</v>
      </c>
      <c r="G2785">
        <v>5</v>
      </c>
    </row>
    <row r="2786" spans="1:7" x14ac:dyDescent="0.35">
      <c r="A2786">
        <v>132316</v>
      </c>
      <c r="B2786">
        <v>2</v>
      </c>
      <c r="C2786" t="s">
        <v>48</v>
      </c>
      <c r="D2786">
        <v>3711</v>
      </c>
      <c r="E2786" t="s">
        <v>94</v>
      </c>
      <c r="F2786" t="s">
        <v>14</v>
      </c>
      <c r="G2786">
        <v>10</v>
      </c>
    </row>
    <row r="2787" spans="1:7" x14ac:dyDescent="0.35">
      <c r="A2787">
        <v>24277</v>
      </c>
      <c r="B2787">
        <v>2</v>
      </c>
      <c r="C2787" t="s">
        <v>46</v>
      </c>
      <c r="D2787">
        <v>0</v>
      </c>
      <c r="E2787" t="s">
        <v>89</v>
      </c>
      <c r="F2787" t="s">
        <v>17</v>
      </c>
      <c r="G2787">
        <v>40</v>
      </c>
    </row>
    <row r="2788" spans="1:7" x14ac:dyDescent="0.35">
      <c r="A2788">
        <v>87217</v>
      </c>
      <c r="B2788">
        <v>0</v>
      </c>
      <c r="C2788" t="s">
        <v>34</v>
      </c>
      <c r="D2788">
        <v>2601</v>
      </c>
      <c r="E2788" t="s">
        <v>91</v>
      </c>
      <c r="F2788" t="s">
        <v>14</v>
      </c>
      <c r="G2788">
        <v>20</v>
      </c>
    </row>
    <row r="2789" spans="1:7" x14ac:dyDescent="0.35">
      <c r="A2789">
        <v>113882</v>
      </c>
      <c r="B2789">
        <v>1</v>
      </c>
      <c r="C2789" t="s">
        <v>31</v>
      </c>
      <c r="D2789">
        <v>2601</v>
      </c>
      <c r="E2789" t="s">
        <v>104</v>
      </c>
      <c r="F2789" t="s">
        <v>14</v>
      </c>
      <c r="G2789">
        <v>5</v>
      </c>
    </row>
    <row r="2790" spans="1:7" x14ac:dyDescent="0.35">
      <c r="A2790">
        <v>8912</v>
      </c>
      <c r="B2790">
        <v>0</v>
      </c>
      <c r="C2790" t="s">
        <v>50</v>
      </c>
      <c r="D2790">
        <v>4001</v>
      </c>
      <c r="E2790" t="s">
        <v>90</v>
      </c>
      <c r="F2790" t="s">
        <v>17</v>
      </c>
      <c r="G2790">
        <v>20</v>
      </c>
    </row>
    <row r="2791" spans="1:7" x14ac:dyDescent="0.35">
      <c r="A2791">
        <v>28406</v>
      </c>
      <c r="B2791">
        <v>0</v>
      </c>
      <c r="C2791" t="s">
        <v>39</v>
      </c>
      <c r="D2791">
        <v>3401</v>
      </c>
      <c r="E2791" t="s">
        <v>93</v>
      </c>
      <c r="F2791" t="s">
        <v>14</v>
      </c>
      <c r="G2791">
        <v>19</v>
      </c>
    </row>
    <row r="2792" spans="1:7" x14ac:dyDescent="0.35">
      <c r="A2792">
        <v>70069</v>
      </c>
      <c r="B2792">
        <v>2</v>
      </c>
      <c r="C2792" t="s">
        <v>29</v>
      </c>
      <c r="D2792">
        <v>2603</v>
      </c>
      <c r="E2792" t="s">
        <v>96</v>
      </c>
      <c r="F2792" t="s">
        <v>17</v>
      </c>
      <c r="G2792">
        <v>11</v>
      </c>
    </row>
    <row r="2793" spans="1:7" x14ac:dyDescent="0.35">
      <c r="A2793">
        <v>1102</v>
      </c>
      <c r="B2793">
        <v>1</v>
      </c>
      <c r="C2793" t="s">
        <v>56</v>
      </c>
      <c r="D2793">
        <v>1110</v>
      </c>
      <c r="F2793" t="s">
        <v>14</v>
      </c>
      <c r="G2793">
        <v>11</v>
      </c>
    </row>
    <row r="2794" spans="1:7" x14ac:dyDescent="0.35">
      <c r="A2794">
        <v>141888</v>
      </c>
      <c r="B2794">
        <v>0</v>
      </c>
      <c r="C2794" t="s">
        <v>24</v>
      </c>
      <c r="D2794">
        <v>2807</v>
      </c>
      <c r="E2794" t="s">
        <v>94</v>
      </c>
      <c r="F2794" t="s">
        <v>14</v>
      </c>
      <c r="G2794">
        <v>5</v>
      </c>
    </row>
    <row r="2795" spans="1:7" x14ac:dyDescent="0.35">
      <c r="A2795">
        <v>183412</v>
      </c>
      <c r="B2795">
        <v>0</v>
      </c>
      <c r="C2795" t="s">
        <v>40</v>
      </c>
      <c r="D2795">
        <v>0</v>
      </c>
      <c r="E2795" t="s">
        <v>91</v>
      </c>
      <c r="G2795">
        <v>50</v>
      </c>
    </row>
    <row r="2796" spans="1:7" x14ac:dyDescent="0.35">
      <c r="A2796">
        <v>128599</v>
      </c>
      <c r="B2796">
        <v>1</v>
      </c>
      <c r="C2796" t="s">
        <v>21</v>
      </c>
      <c r="D2796">
        <v>4701</v>
      </c>
      <c r="E2796" t="s">
        <v>88</v>
      </c>
      <c r="F2796" t="s">
        <v>14</v>
      </c>
      <c r="G2796">
        <v>8</v>
      </c>
    </row>
    <row r="2797" spans="1:7" x14ac:dyDescent="0.35">
      <c r="A2797">
        <v>53496</v>
      </c>
      <c r="B2797">
        <v>28</v>
      </c>
      <c r="C2797" t="s">
        <v>53</v>
      </c>
      <c r="D2797">
        <v>5009</v>
      </c>
      <c r="E2797" t="s">
        <v>90</v>
      </c>
      <c r="F2797" t="s">
        <v>17</v>
      </c>
      <c r="G2797">
        <v>20</v>
      </c>
    </row>
    <row r="2798" spans="1:7" x14ac:dyDescent="0.35">
      <c r="A2798">
        <v>28381</v>
      </c>
      <c r="B2798">
        <v>1</v>
      </c>
      <c r="C2798" t="s">
        <v>39</v>
      </c>
      <c r="D2798">
        <v>0</v>
      </c>
      <c r="E2798" t="s">
        <v>93</v>
      </c>
      <c r="F2798" t="s">
        <v>14</v>
      </c>
      <c r="G2798">
        <v>15</v>
      </c>
    </row>
    <row r="2799" spans="1:7" x14ac:dyDescent="0.35">
      <c r="A2799">
        <v>6292</v>
      </c>
      <c r="B2799">
        <v>0</v>
      </c>
      <c r="C2799" t="s">
        <v>16</v>
      </c>
      <c r="D2799">
        <v>1601</v>
      </c>
      <c r="E2799" t="s">
        <v>93</v>
      </c>
      <c r="F2799" t="s">
        <v>17</v>
      </c>
      <c r="G2799">
        <v>20</v>
      </c>
    </row>
    <row r="2800" spans="1:7" x14ac:dyDescent="0.35">
      <c r="A2800">
        <v>21644</v>
      </c>
      <c r="B2800">
        <v>2</v>
      </c>
      <c r="C2800" t="s">
        <v>18</v>
      </c>
      <c r="D2800">
        <v>4001</v>
      </c>
      <c r="E2800" t="s">
        <v>89</v>
      </c>
      <c r="F2800" t="s">
        <v>17</v>
      </c>
      <c r="G2800">
        <v>8</v>
      </c>
    </row>
    <row r="2801" spans="1:7" x14ac:dyDescent="0.35">
      <c r="A2801">
        <v>181075</v>
      </c>
      <c r="B2801">
        <v>0</v>
      </c>
      <c r="C2801" t="s">
        <v>40</v>
      </c>
      <c r="D2801">
        <v>2101</v>
      </c>
      <c r="E2801" t="s">
        <v>94</v>
      </c>
      <c r="F2801" t="s">
        <v>14</v>
      </c>
      <c r="G2801">
        <v>10</v>
      </c>
    </row>
    <row r="2802" spans="1:7" x14ac:dyDescent="0.35">
      <c r="A2802">
        <v>172863</v>
      </c>
      <c r="B2802">
        <v>1</v>
      </c>
      <c r="C2802" t="s">
        <v>22</v>
      </c>
      <c r="D2802">
        <v>2901</v>
      </c>
      <c r="E2802" t="s">
        <v>89</v>
      </c>
      <c r="F2802" t="s">
        <v>14</v>
      </c>
      <c r="G2802">
        <v>9</v>
      </c>
    </row>
    <row r="2803" spans="1:7" x14ac:dyDescent="0.35">
      <c r="A2803">
        <v>97691</v>
      </c>
      <c r="B2803">
        <v>1002</v>
      </c>
      <c r="C2803" t="s">
        <v>16</v>
      </c>
      <c r="D2803">
        <v>3001</v>
      </c>
      <c r="E2803" t="s">
        <v>92</v>
      </c>
      <c r="F2803" t="s">
        <v>44</v>
      </c>
      <c r="G2803">
        <v>16</v>
      </c>
    </row>
    <row r="2804" spans="1:7" x14ac:dyDescent="0.35">
      <c r="A2804">
        <v>115166</v>
      </c>
      <c r="B2804">
        <v>0</v>
      </c>
      <c r="C2804" t="s">
        <v>31</v>
      </c>
      <c r="D2804">
        <v>0</v>
      </c>
      <c r="E2804" t="s">
        <v>94</v>
      </c>
      <c r="F2804" t="s">
        <v>17</v>
      </c>
      <c r="G2804">
        <v>5</v>
      </c>
    </row>
    <row r="2805" spans="1:7" x14ac:dyDescent="0.35">
      <c r="A2805">
        <v>88572</v>
      </c>
      <c r="B2805">
        <v>0</v>
      </c>
      <c r="C2805" t="s">
        <v>16</v>
      </c>
      <c r="D2805">
        <v>2801</v>
      </c>
      <c r="E2805" t="s">
        <v>95</v>
      </c>
      <c r="F2805" t="s">
        <v>17</v>
      </c>
      <c r="G2805">
        <v>15</v>
      </c>
    </row>
    <row r="2806" spans="1:7" x14ac:dyDescent="0.35">
      <c r="A2806">
        <v>122823</v>
      </c>
      <c r="B2806">
        <v>0</v>
      </c>
      <c r="C2806" t="s">
        <v>21</v>
      </c>
      <c r="D2806">
        <v>0</v>
      </c>
      <c r="E2806" t="s">
        <v>94</v>
      </c>
      <c r="F2806" t="s">
        <v>17</v>
      </c>
      <c r="G2806">
        <v>35</v>
      </c>
    </row>
    <row r="2807" spans="1:7" x14ac:dyDescent="0.35">
      <c r="A2807">
        <v>159180</v>
      </c>
      <c r="B2807">
        <v>2</v>
      </c>
      <c r="C2807" t="s">
        <v>22</v>
      </c>
      <c r="D2807">
        <v>5201</v>
      </c>
      <c r="E2807" t="s">
        <v>92</v>
      </c>
      <c r="F2807" t="s">
        <v>14</v>
      </c>
      <c r="G2807">
        <v>10</v>
      </c>
    </row>
    <row r="2808" spans="1:7" x14ac:dyDescent="0.35">
      <c r="A2808">
        <v>140171</v>
      </c>
      <c r="B2808">
        <v>1</v>
      </c>
      <c r="C2808" t="s">
        <v>54</v>
      </c>
      <c r="D2808">
        <v>2304</v>
      </c>
      <c r="E2808" t="s">
        <v>89</v>
      </c>
      <c r="F2808" t="s">
        <v>14</v>
      </c>
      <c r="G2808">
        <v>15</v>
      </c>
    </row>
    <row r="2809" spans="1:7" x14ac:dyDescent="0.35">
      <c r="A2809">
        <v>74436</v>
      </c>
      <c r="B2809">
        <v>1002</v>
      </c>
      <c r="C2809" t="s">
        <v>29</v>
      </c>
      <c r="D2809">
        <v>5701</v>
      </c>
      <c r="E2809" t="s">
        <v>98</v>
      </c>
      <c r="F2809" t="s">
        <v>14</v>
      </c>
      <c r="G2809">
        <v>37</v>
      </c>
    </row>
    <row r="2810" spans="1:7" x14ac:dyDescent="0.35">
      <c r="A2810">
        <v>92963</v>
      </c>
      <c r="B2810">
        <v>2</v>
      </c>
      <c r="C2810" t="s">
        <v>16</v>
      </c>
      <c r="D2810">
        <v>0</v>
      </c>
      <c r="E2810" t="s">
        <v>95</v>
      </c>
      <c r="F2810" t="s">
        <v>14</v>
      </c>
      <c r="G2810">
        <v>20</v>
      </c>
    </row>
    <row r="2811" spans="1:7" x14ac:dyDescent="0.35">
      <c r="A2811">
        <v>170907</v>
      </c>
      <c r="B2811">
        <v>0</v>
      </c>
      <c r="C2811" t="s">
        <v>22</v>
      </c>
      <c r="D2811">
        <v>6001</v>
      </c>
      <c r="E2811" t="s">
        <v>93</v>
      </c>
      <c r="F2811" t="s">
        <v>17</v>
      </c>
      <c r="G2811">
        <v>15</v>
      </c>
    </row>
    <row r="2812" spans="1:7" x14ac:dyDescent="0.35">
      <c r="A2812">
        <v>93894</v>
      </c>
      <c r="B2812">
        <v>2</v>
      </c>
      <c r="C2812" t="s">
        <v>16</v>
      </c>
      <c r="D2812">
        <v>1501</v>
      </c>
      <c r="E2812" t="s">
        <v>101</v>
      </c>
      <c r="F2812" t="s">
        <v>17</v>
      </c>
      <c r="G2812">
        <v>11</v>
      </c>
    </row>
    <row r="2813" spans="1:7" x14ac:dyDescent="0.35">
      <c r="A2813">
        <v>133144</v>
      </c>
      <c r="B2813">
        <v>1</v>
      </c>
      <c r="C2813" t="s">
        <v>41</v>
      </c>
      <c r="D2813">
        <v>3001</v>
      </c>
      <c r="E2813" t="s">
        <v>98</v>
      </c>
      <c r="F2813" t="s">
        <v>14</v>
      </c>
      <c r="G2813">
        <v>10</v>
      </c>
    </row>
    <row r="2814" spans="1:7" x14ac:dyDescent="0.35">
      <c r="A2814">
        <v>71347</v>
      </c>
      <c r="B2814">
        <v>2</v>
      </c>
      <c r="C2814" t="s">
        <v>29</v>
      </c>
      <c r="D2814">
        <v>5101</v>
      </c>
      <c r="E2814" t="s">
        <v>91</v>
      </c>
      <c r="F2814" t="s">
        <v>17</v>
      </c>
      <c r="G2814">
        <v>4</v>
      </c>
    </row>
    <row r="2815" spans="1:7" x14ac:dyDescent="0.35">
      <c r="A2815">
        <v>67595</v>
      </c>
      <c r="B2815">
        <v>0</v>
      </c>
      <c r="C2815" t="s">
        <v>29</v>
      </c>
      <c r="D2815">
        <v>3508</v>
      </c>
      <c r="E2815" t="s">
        <v>102</v>
      </c>
      <c r="F2815" t="s">
        <v>17</v>
      </c>
      <c r="G2815">
        <v>15</v>
      </c>
    </row>
    <row r="2816" spans="1:7" x14ac:dyDescent="0.35">
      <c r="A2816">
        <v>3550</v>
      </c>
      <c r="B2816">
        <v>1</v>
      </c>
      <c r="C2816" t="s">
        <v>33</v>
      </c>
      <c r="D2816">
        <v>1110</v>
      </c>
      <c r="E2816" t="s">
        <v>91</v>
      </c>
      <c r="F2816" t="s">
        <v>14</v>
      </c>
      <c r="G2816">
        <v>10</v>
      </c>
    </row>
    <row r="2817" spans="1:7" x14ac:dyDescent="0.35">
      <c r="A2817">
        <v>141276</v>
      </c>
      <c r="B2817">
        <v>1</v>
      </c>
      <c r="C2817" t="s">
        <v>24</v>
      </c>
      <c r="D2817">
        <v>2005</v>
      </c>
      <c r="E2817" t="s">
        <v>96</v>
      </c>
      <c r="F2817" t="s">
        <v>14</v>
      </c>
      <c r="G2817">
        <v>6</v>
      </c>
    </row>
    <row r="2818" spans="1:7" x14ac:dyDescent="0.35">
      <c r="A2818">
        <v>184255</v>
      </c>
      <c r="B2818">
        <v>1</v>
      </c>
      <c r="C2818" t="s">
        <v>40</v>
      </c>
      <c r="D2818">
        <v>3210</v>
      </c>
      <c r="E2818" t="s">
        <v>94</v>
      </c>
      <c r="F2818" t="s">
        <v>14</v>
      </c>
      <c r="G2818">
        <v>25</v>
      </c>
    </row>
    <row r="2819" spans="1:7" x14ac:dyDescent="0.35">
      <c r="A2819">
        <v>181841</v>
      </c>
      <c r="B2819">
        <v>28</v>
      </c>
      <c r="C2819" t="s">
        <v>21</v>
      </c>
      <c r="D2819">
        <v>0</v>
      </c>
      <c r="E2819" t="s">
        <v>90</v>
      </c>
      <c r="F2819" t="s">
        <v>17</v>
      </c>
      <c r="G2819">
        <v>20</v>
      </c>
    </row>
    <row r="2820" spans="1:7" x14ac:dyDescent="0.35">
      <c r="A2820">
        <v>182670</v>
      </c>
      <c r="B2820">
        <v>1</v>
      </c>
      <c r="C2820" t="s">
        <v>40</v>
      </c>
      <c r="D2820">
        <v>2304</v>
      </c>
      <c r="E2820" t="s">
        <v>91</v>
      </c>
      <c r="F2820" t="s">
        <v>14</v>
      </c>
      <c r="G2820">
        <v>5</v>
      </c>
    </row>
    <row r="2821" spans="1:7" x14ac:dyDescent="0.35">
      <c r="A2821">
        <v>22645</v>
      </c>
      <c r="B2821">
        <v>2</v>
      </c>
      <c r="C2821" t="s">
        <v>46</v>
      </c>
      <c r="D2821">
        <v>3604</v>
      </c>
      <c r="E2821" t="s">
        <v>91</v>
      </c>
      <c r="G2821">
        <v>8</v>
      </c>
    </row>
    <row r="2822" spans="1:7" x14ac:dyDescent="0.35">
      <c r="A2822">
        <v>141834</v>
      </c>
      <c r="B2822">
        <v>0</v>
      </c>
      <c r="C2822" t="s">
        <v>24</v>
      </c>
      <c r="D2822">
        <v>3001</v>
      </c>
      <c r="E2822" t="s">
        <v>91</v>
      </c>
      <c r="F2822" t="s">
        <v>17</v>
      </c>
      <c r="G2822">
        <v>8</v>
      </c>
    </row>
    <row r="2823" spans="1:7" x14ac:dyDescent="0.35">
      <c r="A2823">
        <v>129335</v>
      </c>
      <c r="B2823">
        <v>1002</v>
      </c>
      <c r="C2823" t="s">
        <v>48</v>
      </c>
      <c r="D2823">
        <v>5001</v>
      </c>
      <c r="E2823" t="s">
        <v>93</v>
      </c>
      <c r="F2823" t="s">
        <v>14</v>
      </c>
      <c r="G2823">
        <v>12</v>
      </c>
    </row>
    <row r="2824" spans="1:7" x14ac:dyDescent="0.35">
      <c r="A2824">
        <v>98793</v>
      </c>
      <c r="B2824">
        <v>0</v>
      </c>
      <c r="C2824" t="s">
        <v>16</v>
      </c>
      <c r="D2824">
        <v>2801</v>
      </c>
      <c r="E2824" t="s">
        <v>91</v>
      </c>
      <c r="F2824" t="s">
        <v>14</v>
      </c>
      <c r="G2824">
        <v>10</v>
      </c>
    </row>
    <row r="2825" spans="1:7" x14ac:dyDescent="0.35">
      <c r="A2825">
        <v>187691</v>
      </c>
      <c r="B2825">
        <v>0</v>
      </c>
      <c r="C2825" t="s">
        <v>18</v>
      </c>
      <c r="D2825">
        <v>0</v>
      </c>
      <c r="E2825" t="s">
        <v>89</v>
      </c>
      <c r="F2825" t="s">
        <v>17</v>
      </c>
      <c r="G2825">
        <v>10</v>
      </c>
    </row>
    <row r="2826" spans="1:7" x14ac:dyDescent="0.35">
      <c r="A2826">
        <v>112495</v>
      </c>
      <c r="B2826">
        <v>0</v>
      </c>
      <c r="C2826" t="s">
        <v>32</v>
      </c>
      <c r="D2826">
        <v>0</v>
      </c>
      <c r="E2826" t="s">
        <v>88</v>
      </c>
      <c r="F2826" t="s">
        <v>17</v>
      </c>
      <c r="G2826">
        <v>8</v>
      </c>
    </row>
    <row r="2827" spans="1:7" x14ac:dyDescent="0.35">
      <c r="A2827">
        <v>129408</v>
      </c>
      <c r="B2827">
        <v>2</v>
      </c>
      <c r="C2827" t="s">
        <v>48</v>
      </c>
      <c r="D2827">
        <v>5110</v>
      </c>
      <c r="E2827" t="s">
        <v>90</v>
      </c>
      <c r="F2827" t="s">
        <v>14</v>
      </c>
      <c r="G2827">
        <v>45</v>
      </c>
    </row>
    <row r="2828" spans="1:7" x14ac:dyDescent="0.35">
      <c r="A2828">
        <v>76316</v>
      </c>
      <c r="B2828">
        <v>1002</v>
      </c>
      <c r="C2828" t="s">
        <v>47</v>
      </c>
      <c r="D2828">
        <v>0</v>
      </c>
      <c r="E2828" t="s">
        <v>91</v>
      </c>
      <c r="F2828" t="s">
        <v>14</v>
      </c>
      <c r="G2828">
        <v>13</v>
      </c>
    </row>
    <row r="2829" spans="1:7" x14ac:dyDescent="0.35">
      <c r="A2829">
        <v>23957</v>
      </c>
      <c r="B2829">
        <v>2</v>
      </c>
      <c r="C2829" t="s">
        <v>46</v>
      </c>
      <c r="D2829">
        <v>3701</v>
      </c>
      <c r="E2829" t="s">
        <v>89</v>
      </c>
      <c r="F2829" t="s">
        <v>17</v>
      </c>
      <c r="G2829">
        <v>8</v>
      </c>
    </row>
    <row r="2830" spans="1:7" x14ac:dyDescent="0.35">
      <c r="A2830">
        <v>62704</v>
      </c>
      <c r="B2830">
        <v>1</v>
      </c>
      <c r="C2830" t="s">
        <v>33</v>
      </c>
      <c r="D2830">
        <v>4501</v>
      </c>
      <c r="E2830" t="s">
        <v>89</v>
      </c>
      <c r="F2830" t="s">
        <v>14</v>
      </c>
      <c r="G2830">
        <v>12</v>
      </c>
    </row>
    <row r="2831" spans="1:7" x14ac:dyDescent="0.35">
      <c r="A2831">
        <v>42176</v>
      </c>
      <c r="B2831">
        <v>2</v>
      </c>
      <c r="C2831" t="s">
        <v>13</v>
      </c>
      <c r="D2831">
        <v>1410</v>
      </c>
      <c r="E2831" t="s">
        <v>88</v>
      </c>
      <c r="F2831" t="s">
        <v>17</v>
      </c>
      <c r="G2831">
        <v>10</v>
      </c>
    </row>
    <row r="2832" spans="1:7" x14ac:dyDescent="0.35">
      <c r="A2832">
        <v>172888</v>
      </c>
      <c r="B2832">
        <v>0</v>
      </c>
      <c r="C2832" t="s">
        <v>22</v>
      </c>
      <c r="D2832">
        <v>0</v>
      </c>
      <c r="E2832" t="s">
        <v>89</v>
      </c>
      <c r="F2832" t="s">
        <v>17</v>
      </c>
      <c r="G2832">
        <v>15</v>
      </c>
    </row>
    <row r="2833" spans="1:7" x14ac:dyDescent="0.35">
      <c r="A2833">
        <v>137015</v>
      </c>
      <c r="B2833">
        <v>0</v>
      </c>
      <c r="C2833" t="s">
        <v>55</v>
      </c>
      <c r="D2833">
        <v>2601</v>
      </c>
      <c r="E2833" t="s">
        <v>98</v>
      </c>
      <c r="F2833" t="s">
        <v>17</v>
      </c>
      <c r="G2833">
        <v>10</v>
      </c>
    </row>
    <row r="2834" spans="1:7" x14ac:dyDescent="0.35">
      <c r="A2834">
        <v>31461</v>
      </c>
      <c r="B2834">
        <v>2</v>
      </c>
      <c r="C2834" t="s">
        <v>39</v>
      </c>
      <c r="D2834">
        <v>5601</v>
      </c>
      <c r="E2834" t="s">
        <v>91</v>
      </c>
      <c r="F2834" t="s">
        <v>17</v>
      </c>
      <c r="G2834">
        <v>26</v>
      </c>
    </row>
    <row r="2835" spans="1:7" x14ac:dyDescent="0.35">
      <c r="A2835">
        <v>39438</v>
      </c>
      <c r="B2835">
        <v>2</v>
      </c>
      <c r="C2835" t="s">
        <v>13</v>
      </c>
      <c r="D2835">
        <v>2401</v>
      </c>
      <c r="E2835" t="s">
        <v>92</v>
      </c>
      <c r="F2835" t="s">
        <v>17</v>
      </c>
      <c r="G2835">
        <v>4</v>
      </c>
    </row>
    <row r="2836" spans="1:7" x14ac:dyDescent="0.35">
      <c r="A2836">
        <v>143518</v>
      </c>
      <c r="B2836">
        <v>1</v>
      </c>
      <c r="C2836" t="s">
        <v>22</v>
      </c>
      <c r="D2836">
        <v>3411</v>
      </c>
      <c r="E2836" t="s">
        <v>95</v>
      </c>
      <c r="F2836" t="s">
        <v>14</v>
      </c>
      <c r="G2836">
        <v>17</v>
      </c>
    </row>
    <row r="2837" spans="1:7" x14ac:dyDescent="0.35">
      <c r="A2837">
        <v>23412</v>
      </c>
      <c r="B2837">
        <v>1</v>
      </c>
      <c r="C2837" t="s">
        <v>46</v>
      </c>
      <c r="D2837">
        <v>5201</v>
      </c>
      <c r="E2837" t="s">
        <v>91</v>
      </c>
      <c r="F2837" t="s">
        <v>14</v>
      </c>
      <c r="G2837">
        <v>19</v>
      </c>
    </row>
    <row r="2838" spans="1:7" x14ac:dyDescent="0.35">
      <c r="A2838">
        <v>46552</v>
      </c>
      <c r="B2838">
        <v>0</v>
      </c>
      <c r="C2838" t="s">
        <v>13</v>
      </c>
      <c r="D2838">
        <v>0</v>
      </c>
      <c r="E2838" t="s">
        <v>94</v>
      </c>
      <c r="F2838" t="s">
        <v>17</v>
      </c>
      <c r="G2838">
        <v>20</v>
      </c>
    </row>
    <row r="2839" spans="1:7" x14ac:dyDescent="0.35">
      <c r="A2839">
        <v>67422</v>
      </c>
      <c r="B2839">
        <v>0</v>
      </c>
      <c r="C2839" t="s">
        <v>29</v>
      </c>
      <c r="D2839">
        <v>2101</v>
      </c>
      <c r="E2839" t="s">
        <v>101</v>
      </c>
      <c r="F2839" t="s">
        <v>17</v>
      </c>
      <c r="G2839">
        <v>30</v>
      </c>
    </row>
    <row r="2840" spans="1:7" x14ac:dyDescent="0.35">
      <c r="A2840">
        <v>140294</v>
      </c>
      <c r="B2840">
        <v>0</v>
      </c>
      <c r="C2840" t="s">
        <v>54</v>
      </c>
      <c r="D2840">
        <v>0</v>
      </c>
      <c r="G2840">
        <v>15</v>
      </c>
    </row>
    <row r="2841" spans="1:7" x14ac:dyDescent="0.35">
      <c r="A2841">
        <v>1371</v>
      </c>
      <c r="B2841">
        <v>0</v>
      </c>
      <c r="C2841" t="s">
        <v>22</v>
      </c>
      <c r="D2841">
        <v>2201</v>
      </c>
      <c r="E2841" t="s">
        <v>93</v>
      </c>
      <c r="F2841" t="s">
        <v>17</v>
      </c>
      <c r="G2841">
        <v>35</v>
      </c>
    </row>
    <row r="2842" spans="1:7" x14ac:dyDescent="0.35">
      <c r="A2842">
        <v>177556</v>
      </c>
      <c r="B2842">
        <v>28</v>
      </c>
      <c r="C2842" t="s">
        <v>50</v>
      </c>
      <c r="D2842">
        <v>2104</v>
      </c>
      <c r="E2842" t="s">
        <v>88</v>
      </c>
      <c r="F2842" t="s">
        <v>17</v>
      </c>
      <c r="G2842">
        <v>18</v>
      </c>
    </row>
    <row r="2843" spans="1:7" x14ac:dyDescent="0.35">
      <c r="A2843">
        <v>146182</v>
      </c>
      <c r="B2843">
        <v>0</v>
      </c>
      <c r="C2843" t="s">
        <v>22</v>
      </c>
      <c r="D2843">
        <v>0</v>
      </c>
      <c r="E2843" t="s">
        <v>103</v>
      </c>
      <c r="F2843" t="s">
        <v>17</v>
      </c>
      <c r="G2843">
        <v>10</v>
      </c>
    </row>
    <row r="2844" spans="1:7" x14ac:dyDescent="0.35">
      <c r="A2844">
        <v>150292</v>
      </c>
      <c r="B2844">
        <v>1</v>
      </c>
      <c r="C2844" t="s">
        <v>22</v>
      </c>
      <c r="D2844">
        <v>1601</v>
      </c>
      <c r="E2844" t="s">
        <v>102</v>
      </c>
      <c r="F2844" t="s">
        <v>14</v>
      </c>
      <c r="G2844">
        <v>10</v>
      </c>
    </row>
    <row r="2845" spans="1:7" x14ac:dyDescent="0.35">
      <c r="A2845">
        <v>142</v>
      </c>
      <c r="B2845">
        <v>0</v>
      </c>
      <c r="C2845" t="s">
        <v>18</v>
      </c>
      <c r="D2845">
        <v>0</v>
      </c>
      <c r="E2845" t="s">
        <v>91</v>
      </c>
      <c r="F2845" t="s">
        <v>17</v>
      </c>
      <c r="G2845">
        <v>3</v>
      </c>
    </row>
    <row r="2846" spans="1:7" x14ac:dyDescent="0.35">
      <c r="A2846">
        <v>73762</v>
      </c>
      <c r="B2846">
        <v>1</v>
      </c>
      <c r="C2846" t="s">
        <v>29</v>
      </c>
      <c r="D2846">
        <v>4603</v>
      </c>
      <c r="E2846" t="s">
        <v>90</v>
      </c>
      <c r="F2846" t="s">
        <v>14</v>
      </c>
      <c r="G2846">
        <v>25</v>
      </c>
    </row>
    <row r="2847" spans="1:7" x14ac:dyDescent="0.35">
      <c r="A2847">
        <v>120224</v>
      </c>
      <c r="B2847">
        <v>0</v>
      </c>
      <c r="C2847" t="s">
        <v>21</v>
      </c>
      <c r="D2847">
        <v>2711</v>
      </c>
      <c r="E2847" t="s">
        <v>96</v>
      </c>
      <c r="F2847" t="s">
        <v>17</v>
      </c>
      <c r="G2847">
        <v>12</v>
      </c>
    </row>
    <row r="2848" spans="1:7" x14ac:dyDescent="0.35">
      <c r="A2848">
        <v>61586</v>
      </c>
      <c r="B2848">
        <v>0</v>
      </c>
      <c r="C2848" t="s">
        <v>33</v>
      </c>
      <c r="D2848">
        <v>2912</v>
      </c>
      <c r="E2848" t="s">
        <v>89</v>
      </c>
      <c r="F2848" t="s">
        <v>17</v>
      </c>
      <c r="G2848">
        <v>10</v>
      </c>
    </row>
    <row r="2849" spans="1:7" x14ac:dyDescent="0.35">
      <c r="A2849">
        <v>139228</v>
      </c>
      <c r="B2849">
        <v>1</v>
      </c>
      <c r="C2849" t="s">
        <v>54</v>
      </c>
      <c r="D2849">
        <v>4001</v>
      </c>
      <c r="E2849" t="s">
        <v>100</v>
      </c>
      <c r="F2849" t="s">
        <v>14</v>
      </c>
      <c r="G2849">
        <v>43</v>
      </c>
    </row>
    <row r="2850" spans="1:7" x14ac:dyDescent="0.35">
      <c r="A2850">
        <v>72444</v>
      </c>
      <c r="B2850">
        <v>1002</v>
      </c>
      <c r="C2850" t="s">
        <v>29</v>
      </c>
      <c r="D2850">
        <v>6501</v>
      </c>
      <c r="E2850" t="s">
        <v>91</v>
      </c>
      <c r="F2850" t="s">
        <v>14</v>
      </c>
      <c r="G2850">
        <v>10</v>
      </c>
    </row>
    <row r="2851" spans="1:7" x14ac:dyDescent="0.35">
      <c r="A2851">
        <v>182180</v>
      </c>
      <c r="B2851">
        <v>1</v>
      </c>
      <c r="C2851" t="s">
        <v>40</v>
      </c>
      <c r="D2851">
        <v>4801</v>
      </c>
      <c r="E2851" t="s">
        <v>90</v>
      </c>
      <c r="F2851" t="s">
        <v>14</v>
      </c>
      <c r="G2851">
        <v>20</v>
      </c>
    </row>
    <row r="2852" spans="1:7" x14ac:dyDescent="0.35">
      <c r="A2852">
        <v>185972</v>
      </c>
      <c r="B2852">
        <v>28</v>
      </c>
      <c r="C2852" t="s">
        <v>39</v>
      </c>
      <c r="D2852">
        <v>2102</v>
      </c>
      <c r="E2852" t="s">
        <v>96</v>
      </c>
      <c r="F2852" t="s">
        <v>17</v>
      </c>
      <c r="G2852">
        <v>10</v>
      </c>
    </row>
    <row r="2853" spans="1:7" x14ac:dyDescent="0.35">
      <c r="A2853">
        <v>73089</v>
      </c>
      <c r="B2853">
        <v>2</v>
      </c>
      <c r="C2853" t="s">
        <v>29</v>
      </c>
      <c r="D2853">
        <v>0</v>
      </c>
      <c r="E2853" t="s">
        <v>91</v>
      </c>
      <c r="F2853" t="s">
        <v>17</v>
      </c>
      <c r="G2853">
        <v>15</v>
      </c>
    </row>
    <row r="2854" spans="1:7" x14ac:dyDescent="0.35">
      <c r="A2854">
        <v>130850</v>
      </c>
      <c r="B2854">
        <v>980</v>
      </c>
      <c r="C2854" t="s">
        <v>48</v>
      </c>
      <c r="D2854">
        <v>0</v>
      </c>
      <c r="E2854" t="s">
        <v>91</v>
      </c>
      <c r="F2854" t="s">
        <v>30</v>
      </c>
      <c r="G2854">
        <v>7</v>
      </c>
    </row>
    <row r="2855" spans="1:7" x14ac:dyDescent="0.35">
      <c r="A2855">
        <v>45338</v>
      </c>
      <c r="B2855">
        <v>0</v>
      </c>
      <c r="C2855" t="s">
        <v>13</v>
      </c>
      <c r="D2855">
        <v>7004</v>
      </c>
      <c r="E2855" t="s">
        <v>90</v>
      </c>
      <c r="F2855" t="s">
        <v>17</v>
      </c>
      <c r="G2855">
        <v>25</v>
      </c>
    </row>
    <row r="2856" spans="1:7" x14ac:dyDescent="0.35">
      <c r="A2856">
        <v>188860</v>
      </c>
      <c r="B2856">
        <v>1</v>
      </c>
      <c r="C2856" t="s">
        <v>21</v>
      </c>
      <c r="D2856">
        <v>2101</v>
      </c>
      <c r="E2856" t="s">
        <v>89</v>
      </c>
      <c r="F2856" t="s">
        <v>14</v>
      </c>
      <c r="G2856">
        <v>10</v>
      </c>
    </row>
    <row r="2857" spans="1:7" x14ac:dyDescent="0.35">
      <c r="A2857">
        <v>89036</v>
      </c>
      <c r="B2857">
        <v>0</v>
      </c>
      <c r="C2857" t="s">
        <v>16</v>
      </c>
      <c r="D2857">
        <v>2501</v>
      </c>
      <c r="E2857" t="s">
        <v>90</v>
      </c>
      <c r="F2857" t="s">
        <v>17</v>
      </c>
      <c r="G2857">
        <v>30</v>
      </c>
    </row>
    <row r="2858" spans="1:7" x14ac:dyDescent="0.35">
      <c r="A2858">
        <v>61026</v>
      </c>
      <c r="B2858">
        <v>28</v>
      </c>
      <c r="C2858" t="s">
        <v>33</v>
      </c>
      <c r="D2858">
        <v>0</v>
      </c>
      <c r="E2858" t="s">
        <v>89</v>
      </c>
      <c r="F2858" t="s">
        <v>17</v>
      </c>
      <c r="G2858">
        <v>20</v>
      </c>
    </row>
    <row r="2859" spans="1:7" x14ac:dyDescent="0.35">
      <c r="A2859">
        <v>186880</v>
      </c>
      <c r="B2859">
        <v>3</v>
      </c>
      <c r="C2859" t="s">
        <v>36</v>
      </c>
      <c r="D2859">
        <v>3903</v>
      </c>
      <c r="E2859" t="s">
        <v>98</v>
      </c>
      <c r="F2859" t="s">
        <v>17</v>
      </c>
      <c r="G2859">
        <v>5</v>
      </c>
    </row>
    <row r="2860" spans="1:7" x14ac:dyDescent="0.35">
      <c r="A2860">
        <v>123871</v>
      </c>
      <c r="B2860">
        <v>0</v>
      </c>
      <c r="C2860" t="s">
        <v>21</v>
      </c>
      <c r="D2860">
        <v>5211</v>
      </c>
      <c r="E2860" t="s">
        <v>92</v>
      </c>
      <c r="F2860" t="s">
        <v>14</v>
      </c>
      <c r="G2860">
        <v>15</v>
      </c>
    </row>
    <row r="2861" spans="1:7" x14ac:dyDescent="0.35">
      <c r="A2861">
        <v>63104</v>
      </c>
      <c r="B2861">
        <v>1</v>
      </c>
      <c r="C2861" t="s">
        <v>33</v>
      </c>
      <c r="D2861">
        <v>4606</v>
      </c>
      <c r="E2861" t="s">
        <v>91</v>
      </c>
      <c r="F2861" t="s">
        <v>14</v>
      </c>
      <c r="G2861">
        <v>40</v>
      </c>
    </row>
    <row r="2862" spans="1:7" x14ac:dyDescent="0.35">
      <c r="A2862">
        <v>181770</v>
      </c>
      <c r="B2862">
        <v>1</v>
      </c>
      <c r="C2862" t="s">
        <v>40</v>
      </c>
      <c r="D2862">
        <v>2601</v>
      </c>
      <c r="E2862" t="s">
        <v>92</v>
      </c>
      <c r="F2862" t="s">
        <v>14</v>
      </c>
      <c r="G2862">
        <v>7</v>
      </c>
    </row>
    <row r="2863" spans="1:7" x14ac:dyDescent="0.35">
      <c r="A2863">
        <v>142466</v>
      </c>
      <c r="B2863">
        <v>2</v>
      </c>
      <c r="C2863" t="s">
        <v>22</v>
      </c>
      <c r="D2863">
        <v>3805</v>
      </c>
      <c r="E2863" t="s">
        <v>102</v>
      </c>
      <c r="F2863" t="s">
        <v>17</v>
      </c>
      <c r="G2863">
        <v>20</v>
      </c>
    </row>
    <row r="2864" spans="1:7" x14ac:dyDescent="0.35">
      <c r="A2864">
        <v>58284</v>
      </c>
      <c r="B2864">
        <v>2</v>
      </c>
      <c r="C2864" t="s">
        <v>57</v>
      </c>
      <c r="D2864">
        <v>3201</v>
      </c>
      <c r="E2864" t="s">
        <v>91</v>
      </c>
      <c r="F2864" t="s">
        <v>17</v>
      </c>
      <c r="G2864">
        <v>4</v>
      </c>
    </row>
    <row r="2865" spans="1:7" x14ac:dyDescent="0.35">
      <c r="A2865">
        <v>126483</v>
      </c>
      <c r="B2865">
        <v>1</v>
      </c>
      <c r="C2865" t="s">
        <v>21</v>
      </c>
      <c r="D2865">
        <v>2001</v>
      </c>
      <c r="E2865" t="s">
        <v>88</v>
      </c>
      <c r="F2865" t="s">
        <v>14</v>
      </c>
      <c r="G2865">
        <v>15</v>
      </c>
    </row>
    <row r="2866" spans="1:7" x14ac:dyDescent="0.35">
      <c r="A2866">
        <v>56451</v>
      </c>
      <c r="B2866">
        <v>2</v>
      </c>
      <c r="C2866" t="s">
        <v>57</v>
      </c>
      <c r="D2866">
        <v>3801</v>
      </c>
      <c r="E2866" t="s">
        <v>89</v>
      </c>
      <c r="F2866" t="s">
        <v>14</v>
      </c>
      <c r="G2866">
        <v>8</v>
      </c>
    </row>
    <row r="2867" spans="1:7" x14ac:dyDescent="0.35">
      <c r="A2867">
        <v>103111</v>
      </c>
      <c r="B2867">
        <v>0</v>
      </c>
      <c r="C2867" t="s">
        <v>36</v>
      </c>
      <c r="D2867">
        <v>6701</v>
      </c>
      <c r="E2867" t="s">
        <v>91</v>
      </c>
      <c r="F2867" t="s">
        <v>17</v>
      </c>
      <c r="G2867">
        <v>10</v>
      </c>
    </row>
    <row r="2868" spans="1:7" x14ac:dyDescent="0.35">
      <c r="A2868">
        <v>3825</v>
      </c>
      <c r="B2868">
        <v>1</v>
      </c>
      <c r="C2868" t="s">
        <v>24</v>
      </c>
      <c r="D2868">
        <v>2404</v>
      </c>
      <c r="E2868" t="s">
        <v>90</v>
      </c>
      <c r="F2868" t="s">
        <v>14</v>
      </c>
      <c r="G2868">
        <v>15</v>
      </c>
    </row>
    <row r="2869" spans="1:7" x14ac:dyDescent="0.35">
      <c r="A2869">
        <v>17145</v>
      </c>
      <c r="B2869">
        <v>0</v>
      </c>
      <c r="C2869" t="s">
        <v>18</v>
      </c>
      <c r="D2869">
        <v>0</v>
      </c>
      <c r="E2869" t="s">
        <v>98</v>
      </c>
      <c r="F2869" t="s">
        <v>17</v>
      </c>
      <c r="G2869">
        <v>20</v>
      </c>
    </row>
    <row r="2870" spans="1:7" x14ac:dyDescent="0.35">
      <c r="A2870">
        <v>159868</v>
      </c>
      <c r="B2870">
        <v>2</v>
      </c>
      <c r="C2870" t="s">
        <v>22</v>
      </c>
      <c r="D2870">
        <v>2302</v>
      </c>
      <c r="E2870" t="s">
        <v>96</v>
      </c>
      <c r="F2870" t="s">
        <v>17</v>
      </c>
      <c r="G2870">
        <v>15</v>
      </c>
    </row>
    <row r="2871" spans="1:7" x14ac:dyDescent="0.35">
      <c r="A2871">
        <v>24722</v>
      </c>
      <c r="B2871">
        <v>1</v>
      </c>
      <c r="C2871" t="s">
        <v>46</v>
      </c>
      <c r="D2871">
        <v>4401</v>
      </c>
      <c r="E2871" t="s">
        <v>89</v>
      </c>
      <c r="F2871" t="s">
        <v>14</v>
      </c>
      <c r="G2871">
        <v>3</v>
      </c>
    </row>
    <row r="2872" spans="1:7" x14ac:dyDescent="0.35">
      <c r="A2872">
        <v>101058</v>
      </c>
      <c r="B2872">
        <v>28</v>
      </c>
      <c r="C2872" t="s">
        <v>36</v>
      </c>
      <c r="D2872">
        <v>4001</v>
      </c>
      <c r="E2872" t="s">
        <v>94</v>
      </c>
      <c r="F2872" t="s">
        <v>17</v>
      </c>
      <c r="G2872">
        <v>10</v>
      </c>
    </row>
    <row r="2873" spans="1:7" x14ac:dyDescent="0.35">
      <c r="A2873">
        <v>12822</v>
      </c>
      <c r="B2873">
        <v>28</v>
      </c>
      <c r="C2873" t="s">
        <v>49</v>
      </c>
      <c r="D2873">
        <v>103</v>
      </c>
      <c r="E2873" t="s">
        <v>89</v>
      </c>
      <c r="F2873" t="s">
        <v>17</v>
      </c>
      <c r="G2873">
        <v>5</v>
      </c>
    </row>
    <row r="2874" spans="1:7" x14ac:dyDescent="0.35">
      <c r="A2874">
        <v>6185</v>
      </c>
      <c r="B2874">
        <v>0</v>
      </c>
      <c r="C2874" t="s">
        <v>22</v>
      </c>
      <c r="D2874">
        <v>2501</v>
      </c>
      <c r="E2874" t="s">
        <v>103</v>
      </c>
      <c r="F2874" t="s">
        <v>17</v>
      </c>
      <c r="G2874">
        <v>30</v>
      </c>
    </row>
    <row r="2875" spans="1:7" x14ac:dyDescent="0.35">
      <c r="A2875">
        <v>172929</v>
      </c>
      <c r="B2875">
        <v>0</v>
      </c>
      <c r="C2875" t="s">
        <v>22</v>
      </c>
      <c r="D2875">
        <v>4801</v>
      </c>
      <c r="E2875" t="s">
        <v>88</v>
      </c>
      <c r="F2875" t="s">
        <v>17</v>
      </c>
      <c r="G2875">
        <v>6</v>
      </c>
    </row>
    <row r="2876" spans="1:7" x14ac:dyDescent="0.35">
      <c r="A2876">
        <v>161492</v>
      </c>
      <c r="B2876">
        <v>0</v>
      </c>
      <c r="C2876" t="s">
        <v>22</v>
      </c>
      <c r="D2876">
        <v>2401</v>
      </c>
      <c r="E2876" t="s">
        <v>93</v>
      </c>
      <c r="F2876" t="s">
        <v>17</v>
      </c>
      <c r="G2876">
        <v>16</v>
      </c>
    </row>
    <row r="2877" spans="1:7" x14ac:dyDescent="0.35">
      <c r="A2877">
        <v>2154</v>
      </c>
      <c r="B2877">
        <v>0</v>
      </c>
      <c r="C2877" t="s">
        <v>35</v>
      </c>
      <c r="D2877">
        <v>2004</v>
      </c>
      <c r="E2877" t="s">
        <v>91</v>
      </c>
      <c r="F2877" t="s">
        <v>14</v>
      </c>
      <c r="G2877">
        <v>15</v>
      </c>
    </row>
    <row r="2878" spans="1:7" x14ac:dyDescent="0.35">
      <c r="A2878">
        <v>100430</v>
      </c>
      <c r="B2878">
        <v>0</v>
      </c>
      <c r="C2878" t="s">
        <v>36</v>
      </c>
      <c r="D2878">
        <v>4010</v>
      </c>
      <c r="E2878" t="s">
        <v>93</v>
      </c>
      <c r="F2878" t="s">
        <v>17</v>
      </c>
      <c r="G2878">
        <v>25</v>
      </c>
    </row>
    <row r="2879" spans="1:7" x14ac:dyDescent="0.35">
      <c r="A2879">
        <v>153213</v>
      </c>
      <c r="B2879">
        <v>0</v>
      </c>
      <c r="C2879" t="s">
        <v>22</v>
      </c>
      <c r="D2879">
        <v>0</v>
      </c>
      <c r="E2879" t="s">
        <v>95</v>
      </c>
      <c r="F2879" t="s">
        <v>17</v>
      </c>
      <c r="G2879">
        <v>5</v>
      </c>
    </row>
    <row r="2880" spans="1:7" x14ac:dyDescent="0.35">
      <c r="A2880">
        <v>53763</v>
      </c>
      <c r="B2880">
        <v>1</v>
      </c>
      <c r="C2880" t="s">
        <v>53</v>
      </c>
      <c r="D2880">
        <v>4201</v>
      </c>
      <c r="E2880" t="s">
        <v>94</v>
      </c>
      <c r="F2880" t="s">
        <v>14</v>
      </c>
      <c r="G2880">
        <v>15</v>
      </c>
    </row>
    <row r="2881" spans="1:7" x14ac:dyDescent="0.35">
      <c r="A2881">
        <v>74360</v>
      </c>
      <c r="B2881">
        <v>2</v>
      </c>
      <c r="C2881" t="s">
        <v>29</v>
      </c>
      <c r="D2881">
        <v>5901</v>
      </c>
      <c r="E2881" t="s">
        <v>91</v>
      </c>
      <c r="F2881" t="s">
        <v>17</v>
      </c>
      <c r="G2881">
        <v>21</v>
      </c>
    </row>
    <row r="2882" spans="1:7" x14ac:dyDescent="0.35">
      <c r="A2882">
        <v>55027</v>
      </c>
      <c r="B2882">
        <v>0</v>
      </c>
      <c r="C2882" t="s">
        <v>62</v>
      </c>
      <c r="D2882">
        <v>2610</v>
      </c>
      <c r="E2882" t="s">
        <v>94</v>
      </c>
      <c r="F2882" t="s">
        <v>17</v>
      </c>
      <c r="G2882">
        <v>5</v>
      </c>
    </row>
    <row r="2883" spans="1:7" x14ac:dyDescent="0.35">
      <c r="A2883">
        <v>115094</v>
      </c>
      <c r="B2883">
        <v>0</v>
      </c>
      <c r="C2883" t="s">
        <v>31</v>
      </c>
      <c r="D2883">
        <v>0</v>
      </c>
      <c r="E2883" t="s">
        <v>89</v>
      </c>
      <c r="G2883">
        <v>38</v>
      </c>
    </row>
    <row r="2884" spans="1:7" x14ac:dyDescent="0.35">
      <c r="A2884">
        <v>68589</v>
      </c>
      <c r="B2884">
        <v>2</v>
      </c>
      <c r="C2884" t="s">
        <v>29</v>
      </c>
      <c r="D2884">
        <v>2905</v>
      </c>
      <c r="E2884" t="s">
        <v>93</v>
      </c>
      <c r="F2884" t="s">
        <v>14</v>
      </c>
      <c r="G2884">
        <v>20</v>
      </c>
    </row>
    <row r="2885" spans="1:7" x14ac:dyDescent="0.35">
      <c r="A2885">
        <v>63135</v>
      </c>
      <c r="B2885">
        <v>0</v>
      </c>
      <c r="C2885" t="s">
        <v>53</v>
      </c>
      <c r="D2885">
        <v>3310</v>
      </c>
      <c r="E2885" t="s">
        <v>96</v>
      </c>
      <c r="F2885" t="s">
        <v>17</v>
      </c>
      <c r="G2885">
        <v>5</v>
      </c>
    </row>
    <row r="2886" spans="1:7" x14ac:dyDescent="0.35">
      <c r="A2886">
        <v>99890</v>
      </c>
      <c r="B2886">
        <v>3</v>
      </c>
      <c r="C2886" t="s">
        <v>36</v>
      </c>
      <c r="D2886">
        <v>2810</v>
      </c>
      <c r="E2886" t="s">
        <v>89</v>
      </c>
      <c r="F2886" t="s">
        <v>17</v>
      </c>
      <c r="G2886">
        <v>15</v>
      </c>
    </row>
    <row r="2887" spans="1:7" x14ac:dyDescent="0.35">
      <c r="A2887">
        <v>124520</v>
      </c>
      <c r="B2887">
        <v>28</v>
      </c>
      <c r="C2887" t="s">
        <v>21</v>
      </c>
      <c r="D2887">
        <v>4307</v>
      </c>
      <c r="E2887" t="s">
        <v>88</v>
      </c>
      <c r="F2887" t="s">
        <v>17</v>
      </c>
      <c r="G2887">
        <v>8</v>
      </c>
    </row>
    <row r="2888" spans="1:7" x14ac:dyDescent="0.35">
      <c r="A2888">
        <v>166651</v>
      </c>
      <c r="B2888">
        <v>0</v>
      </c>
      <c r="C2888" t="s">
        <v>22</v>
      </c>
      <c r="D2888">
        <v>5001</v>
      </c>
      <c r="E2888" t="s">
        <v>88</v>
      </c>
      <c r="F2888" t="s">
        <v>17</v>
      </c>
      <c r="G2888">
        <v>20</v>
      </c>
    </row>
    <row r="2889" spans="1:7" x14ac:dyDescent="0.35">
      <c r="A2889">
        <v>154224</v>
      </c>
      <c r="B2889">
        <v>0</v>
      </c>
      <c r="C2889" t="s">
        <v>40</v>
      </c>
      <c r="D2889">
        <v>1701</v>
      </c>
      <c r="E2889" t="s">
        <v>90</v>
      </c>
      <c r="F2889" t="s">
        <v>14</v>
      </c>
      <c r="G2889">
        <v>10</v>
      </c>
    </row>
    <row r="2890" spans="1:7" x14ac:dyDescent="0.35">
      <c r="A2890">
        <v>166937</v>
      </c>
      <c r="B2890">
        <v>1</v>
      </c>
      <c r="C2890" t="s">
        <v>22</v>
      </c>
      <c r="D2890">
        <v>1907</v>
      </c>
      <c r="E2890" t="s">
        <v>93</v>
      </c>
      <c r="F2890" t="s">
        <v>14</v>
      </c>
      <c r="G2890">
        <v>10</v>
      </c>
    </row>
    <row r="2891" spans="1:7" x14ac:dyDescent="0.35">
      <c r="A2891">
        <v>149196</v>
      </c>
      <c r="B2891">
        <v>1</v>
      </c>
      <c r="C2891" t="s">
        <v>22</v>
      </c>
      <c r="D2891">
        <v>2101</v>
      </c>
      <c r="E2891" t="s">
        <v>95</v>
      </c>
      <c r="F2891" t="s">
        <v>14</v>
      </c>
      <c r="G2891">
        <v>20</v>
      </c>
    </row>
    <row r="2892" spans="1:7" x14ac:dyDescent="0.35">
      <c r="A2892">
        <v>155040</v>
      </c>
      <c r="B2892">
        <v>0</v>
      </c>
      <c r="C2892" t="s">
        <v>22</v>
      </c>
      <c r="D2892">
        <v>601</v>
      </c>
      <c r="E2892" t="s">
        <v>93</v>
      </c>
      <c r="G2892">
        <v>25</v>
      </c>
    </row>
    <row r="2893" spans="1:7" x14ac:dyDescent="0.35">
      <c r="A2893">
        <v>4393</v>
      </c>
      <c r="B2893">
        <v>1</v>
      </c>
      <c r="C2893" t="s">
        <v>56</v>
      </c>
      <c r="D2893">
        <v>1006</v>
      </c>
      <c r="E2893" t="s">
        <v>88</v>
      </c>
      <c r="F2893" t="s">
        <v>14</v>
      </c>
      <c r="G2893">
        <v>10</v>
      </c>
    </row>
    <row r="2894" spans="1:7" x14ac:dyDescent="0.35">
      <c r="A2894">
        <v>85390</v>
      </c>
      <c r="B2894">
        <v>1</v>
      </c>
      <c r="C2894" t="s">
        <v>56</v>
      </c>
      <c r="D2894">
        <v>4701</v>
      </c>
      <c r="E2894" t="s">
        <v>100</v>
      </c>
      <c r="F2894" t="s">
        <v>14</v>
      </c>
      <c r="G2894">
        <v>12</v>
      </c>
    </row>
    <row r="2895" spans="1:7" x14ac:dyDescent="0.35">
      <c r="A2895">
        <v>11064</v>
      </c>
      <c r="B2895">
        <v>0</v>
      </c>
      <c r="C2895" t="s">
        <v>16</v>
      </c>
      <c r="D2895">
        <v>1605</v>
      </c>
      <c r="E2895" t="s">
        <v>90</v>
      </c>
      <c r="F2895" t="s">
        <v>17</v>
      </c>
      <c r="G2895">
        <v>10</v>
      </c>
    </row>
    <row r="2896" spans="1:7" x14ac:dyDescent="0.35">
      <c r="A2896">
        <v>148523</v>
      </c>
      <c r="B2896">
        <v>1</v>
      </c>
      <c r="C2896" t="s">
        <v>22</v>
      </c>
      <c r="D2896">
        <v>1801</v>
      </c>
      <c r="E2896" t="s">
        <v>93</v>
      </c>
      <c r="F2896" t="s">
        <v>14</v>
      </c>
      <c r="G2896">
        <v>25</v>
      </c>
    </row>
    <row r="2897" spans="1:7" x14ac:dyDescent="0.35">
      <c r="A2897">
        <v>189027</v>
      </c>
      <c r="B2897">
        <v>2</v>
      </c>
      <c r="C2897" t="s">
        <v>16</v>
      </c>
      <c r="D2897">
        <v>1911</v>
      </c>
      <c r="E2897" t="s">
        <v>100</v>
      </c>
      <c r="F2897" t="s">
        <v>17</v>
      </c>
      <c r="G2897">
        <v>10</v>
      </c>
    </row>
    <row r="2898" spans="1:7" x14ac:dyDescent="0.35">
      <c r="A2898">
        <v>63107</v>
      </c>
      <c r="B2898">
        <v>1</v>
      </c>
      <c r="C2898" t="s">
        <v>33</v>
      </c>
      <c r="D2898">
        <v>2712</v>
      </c>
      <c r="E2898" t="s">
        <v>89</v>
      </c>
      <c r="F2898" t="s">
        <v>14</v>
      </c>
      <c r="G2898">
        <v>10</v>
      </c>
    </row>
    <row r="2899" spans="1:7" x14ac:dyDescent="0.35">
      <c r="A2899">
        <v>120366</v>
      </c>
      <c r="B2899">
        <v>0</v>
      </c>
      <c r="C2899" t="s">
        <v>21</v>
      </c>
      <c r="D2899">
        <v>5201</v>
      </c>
      <c r="E2899" t="s">
        <v>89</v>
      </c>
      <c r="F2899" t="s">
        <v>14</v>
      </c>
      <c r="G2899">
        <v>9</v>
      </c>
    </row>
    <row r="2900" spans="1:7" x14ac:dyDescent="0.35">
      <c r="A2900">
        <v>4588</v>
      </c>
      <c r="B2900">
        <v>0</v>
      </c>
      <c r="C2900" t="s">
        <v>33</v>
      </c>
      <c r="D2900">
        <v>1608</v>
      </c>
      <c r="E2900" t="s">
        <v>91</v>
      </c>
      <c r="F2900" t="s">
        <v>14</v>
      </c>
      <c r="G2900">
        <v>15</v>
      </c>
    </row>
    <row r="2901" spans="1:7" x14ac:dyDescent="0.35">
      <c r="A2901">
        <v>164899</v>
      </c>
      <c r="B2901">
        <v>0</v>
      </c>
      <c r="C2901" t="s">
        <v>22</v>
      </c>
      <c r="D2901">
        <v>4101</v>
      </c>
      <c r="E2901" t="s">
        <v>90</v>
      </c>
      <c r="F2901" t="s">
        <v>17</v>
      </c>
      <c r="G2901">
        <v>23</v>
      </c>
    </row>
    <row r="2902" spans="1:7" x14ac:dyDescent="0.35">
      <c r="A2902">
        <v>129766</v>
      </c>
      <c r="B2902">
        <v>0</v>
      </c>
      <c r="C2902" t="s">
        <v>59</v>
      </c>
      <c r="D2902">
        <v>5201</v>
      </c>
      <c r="E2902" t="s">
        <v>90</v>
      </c>
      <c r="F2902" t="s">
        <v>14</v>
      </c>
      <c r="G2902">
        <v>20</v>
      </c>
    </row>
    <row r="2903" spans="1:7" x14ac:dyDescent="0.35">
      <c r="A2903">
        <v>1799</v>
      </c>
      <c r="B2903">
        <v>0</v>
      </c>
      <c r="C2903" t="s">
        <v>18</v>
      </c>
      <c r="D2903">
        <v>0</v>
      </c>
      <c r="E2903" t="s">
        <v>88</v>
      </c>
      <c r="F2903" t="s">
        <v>14</v>
      </c>
      <c r="G2903">
        <v>10</v>
      </c>
    </row>
    <row r="2904" spans="1:7" x14ac:dyDescent="0.35">
      <c r="A2904">
        <v>151547</v>
      </c>
      <c r="B2904">
        <v>1</v>
      </c>
      <c r="C2904" t="s">
        <v>22</v>
      </c>
      <c r="D2904">
        <v>3201</v>
      </c>
      <c r="E2904" t="s">
        <v>101</v>
      </c>
      <c r="F2904" t="s">
        <v>14</v>
      </c>
      <c r="G2904">
        <v>5</v>
      </c>
    </row>
    <row r="2905" spans="1:7" x14ac:dyDescent="0.35">
      <c r="A2905">
        <v>169955</v>
      </c>
      <c r="B2905">
        <v>1</v>
      </c>
      <c r="C2905" t="s">
        <v>22</v>
      </c>
      <c r="D2905">
        <v>2401</v>
      </c>
      <c r="E2905" t="s">
        <v>100</v>
      </c>
      <c r="F2905" t="s">
        <v>14</v>
      </c>
      <c r="G2905">
        <v>50</v>
      </c>
    </row>
    <row r="2906" spans="1:7" x14ac:dyDescent="0.35">
      <c r="A2906">
        <v>98275</v>
      </c>
      <c r="B2906">
        <v>1002</v>
      </c>
      <c r="C2906" t="s">
        <v>16</v>
      </c>
      <c r="D2906">
        <v>0</v>
      </c>
      <c r="E2906" t="s">
        <v>91</v>
      </c>
      <c r="F2906" t="s">
        <v>44</v>
      </c>
      <c r="G2906">
        <v>9</v>
      </c>
    </row>
    <row r="2907" spans="1:7" x14ac:dyDescent="0.35">
      <c r="A2907">
        <v>6298</v>
      </c>
      <c r="B2907">
        <v>2</v>
      </c>
      <c r="C2907" t="s">
        <v>46</v>
      </c>
      <c r="D2907">
        <v>2509</v>
      </c>
      <c r="E2907" t="s">
        <v>89</v>
      </c>
      <c r="F2907" t="s">
        <v>17</v>
      </c>
      <c r="G2907">
        <v>7</v>
      </c>
    </row>
    <row r="2908" spans="1:7" x14ac:dyDescent="0.35">
      <c r="A2908">
        <v>32880</v>
      </c>
      <c r="B2908">
        <v>28</v>
      </c>
      <c r="C2908" t="s">
        <v>13</v>
      </c>
      <c r="D2908">
        <v>4005</v>
      </c>
      <c r="E2908" t="s">
        <v>90</v>
      </c>
      <c r="F2908" t="s">
        <v>17</v>
      </c>
      <c r="G2908">
        <v>10</v>
      </c>
    </row>
    <row r="2909" spans="1:7" x14ac:dyDescent="0.35">
      <c r="A2909">
        <v>26669</v>
      </c>
      <c r="B2909">
        <v>2</v>
      </c>
      <c r="C2909" t="s">
        <v>39</v>
      </c>
      <c r="D2909">
        <v>0</v>
      </c>
      <c r="E2909" t="s">
        <v>91</v>
      </c>
      <c r="F2909" t="s">
        <v>17</v>
      </c>
      <c r="G2909">
        <v>1</v>
      </c>
    </row>
    <row r="2910" spans="1:7" x14ac:dyDescent="0.35">
      <c r="A2910">
        <v>36081</v>
      </c>
      <c r="B2910">
        <v>1</v>
      </c>
      <c r="C2910" t="s">
        <v>13</v>
      </c>
      <c r="D2910">
        <v>3110</v>
      </c>
      <c r="E2910" t="s">
        <v>92</v>
      </c>
      <c r="F2910" t="s">
        <v>14</v>
      </c>
      <c r="G2910">
        <v>17</v>
      </c>
    </row>
    <row r="2911" spans="1:7" x14ac:dyDescent="0.35">
      <c r="A2911">
        <v>140928</v>
      </c>
      <c r="B2911">
        <v>2</v>
      </c>
      <c r="C2911" t="s">
        <v>24</v>
      </c>
      <c r="D2911">
        <v>2801</v>
      </c>
      <c r="E2911" t="s">
        <v>90</v>
      </c>
      <c r="F2911" t="s">
        <v>17</v>
      </c>
      <c r="G2911">
        <v>21</v>
      </c>
    </row>
    <row r="2912" spans="1:7" x14ac:dyDescent="0.35">
      <c r="A2912">
        <v>84390</v>
      </c>
      <c r="B2912">
        <v>1</v>
      </c>
      <c r="C2912" t="s">
        <v>56</v>
      </c>
      <c r="D2912">
        <v>1801</v>
      </c>
      <c r="E2912" t="s">
        <v>91</v>
      </c>
      <c r="F2912" t="s">
        <v>14</v>
      </c>
      <c r="G2912">
        <v>5</v>
      </c>
    </row>
    <row r="2913" spans="1:7" x14ac:dyDescent="0.35">
      <c r="A2913">
        <v>83709</v>
      </c>
      <c r="B2913">
        <v>2</v>
      </c>
      <c r="C2913" t="s">
        <v>56</v>
      </c>
      <c r="D2913">
        <v>2512</v>
      </c>
      <c r="E2913" t="s">
        <v>90</v>
      </c>
      <c r="F2913" t="s">
        <v>14</v>
      </c>
      <c r="G2913">
        <v>10</v>
      </c>
    </row>
    <row r="2914" spans="1:7" x14ac:dyDescent="0.35">
      <c r="A2914">
        <v>27854</v>
      </c>
      <c r="B2914">
        <v>2</v>
      </c>
      <c r="C2914" t="s">
        <v>39</v>
      </c>
      <c r="D2914">
        <v>3111</v>
      </c>
      <c r="E2914" t="s">
        <v>88</v>
      </c>
      <c r="F2914" t="s">
        <v>17</v>
      </c>
      <c r="G2914">
        <v>5</v>
      </c>
    </row>
    <row r="2915" spans="1:7" x14ac:dyDescent="0.35">
      <c r="A2915">
        <v>139302</v>
      </c>
      <c r="B2915">
        <v>0</v>
      </c>
      <c r="C2915" t="s">
        <v>54</v>
      </c>
      <c r="D2915">
        <v>4003</v>
      </c>
      <c r="E2915" t="s">
        <v>97</v>
      </c>
      <c r="F2915" t="s">
        <v>14</v>
      </c>
      <c r="G2915">
        <v>25</v>
      </c>
    </row>
    <row r="2916" spans="1:7" x14ac:dyDescent="0.35">
      <c r="A2916">
        <v>87538</v>
      </c>
      <c r="B2916">
        <v>0</v>
      </c>
      <c r="C2916" t="s">
        <v>34</v>
      </c>
      <c r="D2916">
        <v>0</v>
      </c>
      <c r="E2916" t="s">
        <v>91</v>
      </c>
      <c r="F2916" t="s">
        <v>17</v>
      </c>
      <c r="G2916">
        <v>10</v>
      </c>
    </row>
    <row r="2917" spans="1:7" x14ac:dyDescent="0.35">
      <c r="A2917">
        <v>173571</v>
      </c>
      <c r="B2917">
        <v>0</v>
      </c>
      <c r="C2917" t="s">
        <v>37</v>
      </c>
      <c r="D2917">
        <v>0</v>
      </c>
      <c r="E2917" t="s">
        <v>89</v>
      </c>
      <c r="F2917" t="s">
        <v>14</v>
      </c>
      <c r="G2917">
        <v>25</v>
      </c>
    </row>
    <row r="2918" spans="1:7" x14ac:dyDescent="0.35">
      <c r="A2918">
        <v>55091</v>
      </c>
      <c r="B2918">
        <v>0</v>
      </c>
      <c r="C2918" t="s">
        <v>62</v>
      </c>
      <c r="D2918">
        <v>5001</v>
      </c>
      <c r="E2918" t="s">
        <v>98</v>
      </c>
      <c r="F2918" t="s">
        <v>17</v>
      </c>
      <c r="G2918">
        <v>10</v>
      </c>
    </row>
    <row r="2919" spans="1:7" x14ac:dyDescent="0.35">
      <c r="A2919">
        <v>2861</v>
      </c>
      <c r="B2919">
        <v>0</v>
      </c>
      <c r="C2919" t="s">
        <v>40</v>
      </c>
      <c r="D2919">
        <v>3701</v>
      </c>
      <c r="E2919" t="s">
        <v>90</v>
      </c>
      <c r="F2919" t="s">
        <v>14</v>
      </c>
      <c r="G2919">
        <v>7</v>
      </c>
    </row>
    <row r="2920" spans="1:7" x14ac:dyDescent="0.35">
      <c r="A2920">
        <v>141666</v>
      </c>
      <c r="B2920">
        <v>1</v>
      </c>
      <c r="C2920" t="s">
        <v>24</v>
      </c>
      <c r="D2920">
        <v>0</v>
      </c>
      <c r="E2920" t="s">
        <v>92</v>
      </c>
      <c r="F2920" t="s">
        <v>14</v>
      </c>
      <c r="G2920">
        <v>16</v>
      </c>
    </row>
    <row r="2921" spans="1:7" x14ac:dyDescent="0.35">
      <c r="A2921">
        <v>165857</v>
      </c>
      <c r="B2921">
        <v>28</v>
      </c>
      <c r="C2921" t="s">
        <v>22</v>
      </c>
      <c r="D2921">
        <v>2201</v>
      </c>
      <c r="E2921" t="s">
        <v>88</v>
      </c>
      <c r="F2921" t="s">
        <v>17</v>
      </c>
      <c r="G2921">
        <v>4</v>
      </c>
    </row>
    <row r="2922" spans="1:7" x14ac:dyDescent="0.35">
      <c r="A2922">
        <v>172464</v>
      </c>
      <c r="B2922">
        <v>0</v>
      </c>
      <c r="C2922" t="s">
        <v>22</v>
      </c>
      <c r="D2922">
        <v>0</v>
      </c>
      <c r="E2922" t="s">
        <v>89</v>
      </c>
      <c r="F2922" t="s">
        <v>14</v>
      </c>
      <c r="G2922">
        <v>6</v>
      </c>
    </row>
    <row r="2923" spans="1:7" x14ac:dyDescent="0.35">
      <c r="A2923">
        <v>168171</v>
      </c>
      <c r="B2923">
        <v>0</v>
      </c>
      <c r="C2923" t="s">
        <v>22</v>
      </c>
      <c r="D2923">
        <v>4511</v>
      </c>
      <c r="E2923" t="s">
        <v>88</v>
      </c>
      <c r="F2923" t="s">
        <v>17</v>
      </c>
      <c r="G2923">
        <v>10</v>
      </c>
    </row>
    <row r="2924" spans="1:7" x14ac:dyDescent="0.35">
      <c r="A2924">
        <v>68563</v>
      </c>
      <c r="B2924">
        <v>0</v>
      </c>
      <c r="C2924" t="s">
        <v>29</v>
      </c>
      <c r="D2924">
        <v>3601</v>
      </c>
      <c r="E2924" t="s">
        <v>93</v>
      </c>
      <c r="F2924" t="s">
        <v>17</v>
      </c>
      <c r="G2924">
        <v>30</v>
      </c>
    </row>
    <row r="2925" spans="1:7" x14ac:dyDescent="0.35">
      <c r="A2925">
        <v>7160</v>
      </c>
      <c r="B2925">
        <v>2</v>
      </c>
      <c r="C2925" t="s">
        <v>40</v>
      </c>
      <c r="D2925">
        <v>906</v>
      </c>
      <c r="E2925" t="s">
        <v>89</v>
      </c>
      <c r="F2925" t="s">
        <v>14</v>
      </c>
      <c r="G2925">
        <v>14</v>
      </c>
    </row>
    <row r="2926" spans="1:7" x14ac:dyDescent="0.35">
      <c r="A2926">
        <v>129779</v>
      </c>
      <c r="B2926">
        <v>0</v>
      </c>
      <c r="C2926" t="s">
        <v>48</v>
      </c>
      <c r="D2926">
        <v>3012</v>
      </c>
      <c r="E2926" t="s">
        <v>93</v>
      </c>
      <c r="F2926" t="s">
        <v>17</v>
      </c>
      <c r="G2926">
        <v>12</v>
      </c>
    </row>
    <row r="2927" spans="1:7" x14ac:dyDescent="0.35">
      <c r="A2927">
        <v>112504</v>
      </c>
      <c r="B2927">
        <v>0</v>
      </c>
      <c r="C2927" t="s">
        <v>32</v>
      </c>
      <c r="D2927">
        <v>2401</v>
      </c>
      <c r="E2927" t="s">
        <v>92</v>
      </c>
      <c r="F2927" t="s">
        <v>17</v>
      </c>
      <c r="G2927">
        <v>10</v>
      </c>
    </row>
    <row r="2928" spans="1:7" x14ac:dyDescent="0.35">
      <c r="A2928">
        <v>69536</v>
      </c>
      <c r="B2928">
        <v>1</v>
      </c>
      <c r="C2928" t="s">
        <v>29</v>
      </c>
      <c r="D2928">
        <v>1301</v>
      </c>
      <c r="E2928" t="s">
        <v>98</v>
      </c>
      <c r="G2928">
        <v>8</v>
      </c>
    </row>
    <row r="2929" spans="1:7" x14ac:dyDescent="0.35">
      <c r="A2929">
        <v>5321</v>
      </c>
      <c r="B2929">
        <v>0</v>
      </c>
      <c r="C2929" t="s">
        <v>22</v>
      </c>
      <c r="D2929">
        <v>5401</v>
      </c>
      <c r="E2929" t="s">
        <v>93</v>
      </c>
      <c r="F2929" t="s">
        <v>30</v>
      </c>
      <c r="G2929">
        <v>25</v>
      </c>
    </row>
    <row r="2930" spans="1:7" x14ac:dyDescent="0.35">
      <c r="A2930">
        <v>162849</v>
      </c>
      <c r="B2930">
        <v>0</v>
      </c>
      <c r="C2930" t="s">
        <v>22</v>
      </c>
      <c r="D2930">
        <v>2909</v>
      </c>
      <c r="E2930" t="s">
        <v>95</v>
      </c>
      <c r="F2930" t="s">
        <v>17</v>
      </c>
      <c r="G2930">
        <v>9</v>
      </c>
    </row>
    <row r="2931" spans="1:7" x14ac:dyDescent="0.35">
      <c r="A2931">
        <v>58079</v>
      </c>
      <c r="B2931">
        <v>0</v>
      </c>
      <c r="C2931" t="s">
        <v>57</v>
      </c>
      <c r="D2931">
        <v>0</v>
      </c>
      <c r="E2931" t="s">
        <v>98</v>
      </c>
      <c r="F2931" t="s">
        <v>17</v>
      </c>
      <c r="G2931">
        <v>10</v>
      </c>
    </row>
    <row r="2932" spans="1:7" x14ac:dyDescent="0.35">
      <c r="A2932">
        <v>54393</v>
      </c>
      <c r="B2932">
        <v>2</v>
      </c>
      <c r="C2932" t="s">
        <v>62</v>
      </c>
      <c r="D2932">
        <v>3001</v>
      </c>
      <c r="E2932" t="s">
        <v>100</v>
      </c>
      <c r="F2932" t="s">
        <v>17</v>
      </c>
      <c r="G2932">
        <v>23</v>
      </c>
    </row>
    <row r="2933" spans="1:7" x14ac:dyDescent="0.35">
      <c r="A2933">
        <v>162618</v>
      </c>
      <c r="B2933">
        <v>2</v>
      </c>
      <c r="C2933" t="s">
        <v>22</v>
      </c>
      <c r="D2933">
        <v>2201</v>
      </c>
      <c r="E2933" t="s">
        <v>90</v>
      </c>
      <c r="F2933" t="s">
        <v>17</v>
      </c>
      <c r="G2933">
        <v>4</v>
      </c>
    </row>
    <row r="2934" spans="1:7" x14ac:dyDescent="0.35">
      <c r="A2934">
        <v>80449</v>
      </c>
      <c r="B2934">
        <v>0</v>
      </c>
      <c r="C2934" t="s">
        <v>35</v>
      </c>
      <c r="D2934">
        <v>5203</v>
      </c>
      <c r="E2934" t="s">
        <v>88</v>
      </c>
      <c r="F2934" t="s">
        <v>17</v>
      </c>
      <c r="G2934">
        <v>10</v>
      </c>
    </row>
    <row r="2935" spans="1:7" x14ac:dyDescent="0.35">
      <c r="A2935">
        <v>111142</v>
      </c>
      <c r="B2935">
        <v>2</v>
      </c>
      <c r="C2935" t="s">
        <v>32</v>
      </c>
      <c r="D2935">
        <v>2501</v>
      </c>
      <c r="E2935" t="s">
        <v>89</v>
      </c>
      <c r="F2935" t="s">
        <v>17</v>
      </c>
      <c r="G2935">
        <v>10</v>
      </c>
    </row>
    <row r="2936" spans="1:7" x14ac:dyDescent="0.35">
      <c r="A2936">
        <v>109710</v>
      </c>
      <c r="B2936">
        <v>1</v>
      </c>
      <c r="C2936" t="s">
        <v>49</v>
      </c>
      <c r="D2936">
        <v>4201</v>
      </c>
      <c r="E2936" t="s">
        <v>94</v>
      </c>
      <c r="F2936" t="s">
        <v>14</v>
      </c>
      <c r="G2936">
        <v>5</v>
      </c>
    </row>
    <row r="2937" spans="1:7" x14ac:dyDescent="0.35">
      <c r="A2937">
        <v>67000</v>
      </c>
      <c r="B2937">
        <v>0</v>
      </c>
      <c r="C2937" t="s">
        <v>29</v>
      </c>
      <c r="D2937">
        <v>2601</v>
      </c>
      <c r="E2937" t="s">
        <v>88</v>
      </c>
      <c r="F2937" t="s">
        <v>17</v>
      </c>
      <c r="G2937">
        <v>9</v>
      </c>
    </row>
    <row r="2938" spans="1:7" x14ac:dyDescent="0.35">
      <c r="A2938">
        <v>124315</v>
      </c>
      <c r="B2938">
        <v>0</v>
      </c>
      <c r="C2938" t="s">
        <v>21</v>
      </c>
      <c r="D2938">
        <v>6812</v>
      </c>
      <c r="E2938" t="s">
        <v>88</v>
      </c>
      <c r="F2938" t="s">
        <v>17</v>
      </c>
      <c r="G2938">
        <v>5</v>
      </c>
    </row>
    <row r="2939" spans="1:7" x14ac:dyDescent="0.35">
      <c r="A2939">
        <v>138239</v>
      </c>
      <c r="B2939">
        <v>0</v>
      </c>
      <c r="C2939" t="s">
        <v>55</v>
      </c>
      <c r="D2939">
        <v>5501</v>
      </c>
      <c r="E2939" t="s">
        <v>93</v>
      </c>
      <c r="F2939" t="s">
        <v>17</v>
      </c>
      <c r="G2939">
        <v>10</v>
      </c>
    </row>
    <row r="2940" spans="1:7" x14ac:dyDescent="0.35">
      <c r="A2940">
        <v>85894</v>
      </c>
      <c r="B2940">
        <v>1002</v>
      </c>
      <c r="C2940" t="s">
        <v>52</v>
      </c>
      <c r="D2940">
        <v>6101</v>
      </c>
      <c r="E2940" t="s">
        <v>91</v>
      </c>
      <c r="F2940" t="s">
        <v>14</v>
      </c>
      <c r="G2940">
        <v>3</v>
      </c>
    </row>
    <row r="2941" spans="1:7" x14ac:dyDescent="0.35">
      <c r="A2941">
        <v>184106</v>
      </c>
      <c r="B2941">
        <v>0</v>
      </c>
      <c r="C2941" t="s">
        <v>40</v>
      </c>
      <c r="D2941">
        <v>1601</v>
      </c>
      <c r="E2941" t="s">
        <v>96</v>
      </c>
      <c r="F2941" t="s">
        <v>17</v>
      </c>
      <c r="G2941">
        <v>6</v>
      </c>
    </row>
    <row r="2942" spans="1:7" x14ac:dyDescent="0.35">
      <c r="A2942">
        <v>95563</v>
      </c>
      <c r="B2942">
        <v>0</v>
      </c>
      <c r="C2942" t="s">
        <v>16</v>
      </c>
      <c r="D2942">
        <v>3301</v>
      </c>
      <c r="E2942" t="s">
        <v>90</v>
      </c>
      <c r="F2942" t="s">
        <v>14</v>
      </c>
      <c r="G2942">
        <v>4</v>
      </c>
    </row>
    <row r="2943" spans="1:7" x14ac:dyDescent="0.35">
      <c r="A2943">
        <v>79747</v>
      </c>
      <c r="B2943">
        <v>1</v>
      </c>
      <c r="C2943" t="s">
        <v>35</v>
      </c>
      <c r="D2943">
        <v>1401</v>
      </c>
      <c r="E2943" t="s">
        <v>98</v>
      </c>
      <c r="F2943" t="s">
        <v>14</v>
      </c>
      <c r="G2943">
        <v>15</v>
      </c>
    </row>
    <row r="2944" spans="1:7" x14ac:dyDescent="0.35">
      <c r="A2944">
        <v>178275</v>
      </c>
      <c r="B2944">
        <v>2</v>
      </c>
      <c r="C2944" t="s">
        <v>40</v>
      </c>
      <c r="D2944">
        <v>2401</v>
      </c>
      <c r="E2944" t="s">
        <v>93</v>
      </c>
      <c r="F2944" t="s">
        <v>17</v>
      </c>
      <c r="G2944">
        <v>5</v>
      </c>
    </row>
    <row r="2945" spans="1:7" x14ac:dyDescent="0.35">
      <c r="A2945">
        <v>190754</v>
      </c>
      <c r="B2945">
        <v>2</v>
      </c>
      <c r="C2945" t="s">
        <v>22</v>
      </c>
      <c r="D2945">
        <v>5009</v>
      </c>
      <c r="E2945" t="s">
        <v>92</v>
      </c>
      <c r="F2945" t="s">
        <v>17</v>
      </c>
      <c r="G2945">
        <v>25</v>
      </c>
    </row>
    <row r="2946" spans="1:7" x14ac:dyDescent="0.35">
      <c r="A2946">
        <v>2951</v>
      </c>
      <c r="B2946">
        <v>1</v>
      </c>
      <c r="C2946" t="s">
        <v>24</v>
      </c>
      <c r="D2946">
        <v>2301</v>
      </c>
      <c r="E2946" t="s">
        <v>89</v>
      </c>
      <c r="F2946" t="s">
        <v>14</v>
      </c>
      <c r="G2946">
        <v>5</v>
      </c>
    </row>
    <row r="2947" spans="1:7" x14ac:dyDescent="0.35">
      <c r="A2947">
        <v>60313</v>
      </c>
      <c r="B2947">
        <v>2</v>
      </c>
      <c r="C2947" t="s">
        <v>33</v>
      </c>
      <c r="D2947">
        <v>4401</v>
      </c>
      <c r="E2947" t="s">
        <v>90</v>
      </c>
      <c r="F2947" t="s">
        <v>14</v>
      </c>
      <c r="G2947">
        <v>10</v>
      </c>
    </row>
    <row r="2948" spans="1:7" x14ac:dyDescent="0.35">
      <c r="A2948">
        <v>138000</v>
      </c>
      <c r="B2948">
        <v>0</v>
      </c>
      <c r="C2948" t="s">
        <v>55</v>
      </c>
      <c r="D2948">
        <v>0</v>
      </c>
      <c r="E2948" t="s">
        <v>96</v>
      </c>
      <c r="G2948">
        <v>6</v>
      </c>
    </row>
    <row r="2949" spans="1:7" x14ac:dyDescent="0.35">
      <c r="A2949">
        <v>160483</v>
      </c>
      <c r="B2949">
        <v>0</v>
      </c>
      <c r="C2949" t="s">
        <v>22</v>
      </c>
      <c r="D2949">
        <v>7001</v>
      </c>
      <c r="E2949" t="s">
        <v>88</v>
      </c>
      <c r="F2949" t="s">
        <v>17</v>
      </c>
      <c r="G2949">
        <v>9</v>
      </c>
    </row>
    <row r="2950" spans="1:7" x14ac:dyDescent="0.35">
      <c r="A2950">
        <v>149569</v>
      </c>
      <c r="B2950">
        <v>0</v>
      </c>
      <c r="C2950" t="s">
        <v>22</v>
      </c>
      <c r="D2950">
        <v>0</v>
      </c>
      <c r="E2950" t="s">
        <v>103</v>
      </c>
      <c r="F2950" t="s">
        <v>17</v>
      </c>
      <c r="G2950">
        <v>28</v>
      </c>
    </row>
    <row r="2951" spans="1:7" x14ac:dyDescent="0.35">
      <c r="A2951">
        <v>62349</v>
      </c>
      <c r="B2951">
        <v>28</v>
      </c>
      <c r="C2951" t="s">
        <v>33</v>
      </c>
      <c r="D2951">
        <v>3101</v>
      </c>
      <c r="E2951" t="s">
        <v>90</v>
      </c>
      <c r="F2951" t="s">
        <v>14</v>
      </c>
      <c r="G2951">
        <v>50</v>
      </c>
    </row>
    <row r="2952" spans="1:7" x14ac:dyDescent="0.35">
      <c r="A2952">
        <v>25073</v>
      </c>
      <c r="B2952">
        <v>1</v>
      </c>
      <c r="C2952" t="s">
        <v>46</v>
      </c>
      <c r="D2952">
        <v>6201</v>
      </c>
      <c r="E2952" t="s">
        <v>89</v>
      </c>
      <c r="F2952" t="s">
        <v>14</v>
      </c>
      <c r="G2952">
        <v>21</v>
      </c>
    </row>
    <row r="2953" spans="1:7" x14ac:dyDescent="0.35">
      <c r="A2953">
        <v>47245</v>
      </c>
      <c r="B2953">
        <v>0</v>
      </c>
      <c r="C2953" t="s">
        <v>43</v>
      </c>
      <c r="D2953">
        <v>0</v>
      </c>
      <c r="E2953" t="s">
        <v>96</v>
      </c>
      <c r="F2953" t="s">
        <v>17</v>
      </c>
      <c r="G2953">
        <v>5</v>
      </c>
    </row>
    <row r="2954" spans="1:7" x14ac:dyDescent="0.35">
      <c r="A2954">
        <v>166508</v>
      </c>
      <c r="B2954">
        <v>1</v>
      </c>
      <c r="C2954" t="s">
        <v>22</v>
      </c>
      <c r="D2954">
        <v>4501</v>
      </c>
      <c r="E2954" t="s">
        <v>95</v>
      </c>
      <c r="F2954" t="s">
        <v>14</v>
      </c>
      <c r="G2954">
        <v>20</v>
      </c>
    </row>
    <row r="2955" spans="1:7" x14ac:dyDescent="0.35">
      <c r="A2955">
        <v>33355</v>
      </c>
      <c r="B2955">
        <v>1002</v>
      </c>
      <c r="C2955" t="s">
        <v>13</v>
      </c>
      <c r="D2955">
        <v>0</v>
      </c>
      <c r="E2955" t="s">
        <v>89</v>
      </c>
      <c r="F2955" t="s">
        <v>14</v>
      </c>
      <c r="G2955">
        <v>15</v>
      </c>
    </row>
    <row r="2956" spans="1:7" x14ac:dyDescent="0.35">
      <c r="A2956">
        <v>118083</v>
      </c>
      <c r="B2956">
        <v>0</v>
      </c>
      <c r="C2956" t="s">
        <v>21</v>
      </c>
      <c r="D2956">
        <v>6005</v>
      </c>
      <c r="E2956" t="s">
        <v>91</v>
      </c>
      <c r="F2956" t="s">
        <v>17</v>
      </c>
      <c r="G2956">
        <v>15</v>
      </c>
    </row>
    <row r="2957" spans="1:7" x14ac:dyDescent="0.35">
      <c r="A2957">
        <v>19208</v>
      </c>
      <c r="B2957">
        <v>0</v>
      </c>
      <c r="C2957" t="s">
        <v>18</v>
      </c>
      <c r="D2957">
        <v>0</v>
      </c>
      <c r="F2957" t="s">
        <v>17</v>
      </c>
      <c r="G2957">
        <v>18</v>
      </c>
    </row>
    <row r="2958" spans="1:7" x14ac:dyDescent="0.35">
      <c r="A2958">
        <v>18664</v>
      </c>
      <c r="B2958">
        <v>1</v>
      </c>
      <c r="C2958" t="s">
        <v>18</v>
      </c>
      <c r="D2958">
        <v>3801</v>
      </c>
      <c r="E2958" t="s">
        <v>89</v>
      </c>
      <c r="F2958" t="s">
        <v>14</v>
      </c>
      <c r="G2958">
        <v>15</v>
      </c>
    </row>
    <row r="2959" spans="1:7" x14ac:dyDescent="0.35">
      <c r="A2959">
        <v>137276</v>
      </c>
      <c r="B2959">
        <v>0</v>
      </c>
      <c r="C2959" t="s">
        <v>55</v>
      </c>
      <c r="D2959">
        <v>1008</v>
      </c>
      <c r="E2959" t="s">
        <v>92</v>
      </c>
      <c r="F2959" t="s">
        <v>17</v>
      </c>
      <c r="G2959">
        <v>11</v>
      </c>
    </row>
    <row r="2960" spans="1:7" x14ac:dyDescent="0.35">
      <c r="A2960">
        <v>11254</v>
      </c>
      <c r="B2960">
        <v>0</v>
      </c>
      <c r="C2960" t="s">
        <v>16</v>
      </c>
      <c r="D2960">
        <v>3509</v>
      </c>
      <c r="F2960" t="s">
        <v>17</v>
      </c>
      <c r="G2960">
        <v>25</v>
      </c>
    </row>
    <row r="2961" spans="1:7" x14ac:dyDescent="0.35">
      <c r="A2961">
        <v>47404</v>
      </c>
      <c r="B2961">
        <v>0</v>
      </c>
      <c r="C2961" t="s">
        <v>43</v>
      </c>
      <c r="D2961">
        <v>4201</v>
      </c>
      <c r="E2961" t="s">
        <v>89</v>
      </c>
      <c r="F2961" t="s">
        <v>17</v>
      </c>
      <c r="G2961">
        <v>10</v>
      </c>
    </row>
    <row r="2962" spans="1:7" x14ac:dyDescent="0.35">
      <c r="A2962">
        <v>33615</v>
      </c>
      <c r="B2962">
        <v>1</v>
      </c>
      <c r="C2962" t="s">
        <v>13</v>
      </c>
      <c r="D2962">
        <v>3211</v>
      </c>
      <c r="E2962" t="s">
        <v>96</v>
      </c>
      <c r="F2962" t="s">
        <v>14</v>
      </c>
      <c r="G2962">
        <v>15</v>
      </c>
    </row>
    <row r="2963" spans="1:7" x14ac:dyDescent="0.35">
      <c r="A2963">
        <v>47738</v>
      </c>
      <c r="B2963">
        <v>2</v>
      </c>
      <c r="C2963" t="s">
        <v>43</v>
      </c>
      <c r="D2963">
        <v>2401</v>
      </c>
      <c r="E2963" t="s">
        <v>98</v>
      </c>
      <c r="F2963" t="s">
        <v>17</v>
      </c>
      <c r="G2963">
        <v>12</v>
      </c>
    </row>
    <row r="2964" spans="1:7" x14ac:dyDescent="0.35">
      <c r="A2964">
        <v>144301</v>
      </c>
      <c r="B2964">
        <v>0</v>
      </c>
      <c r="C2964" t="s">
        <v>22</v>
      </c>
      <c r="D2964">
        <v>5104</v>
      </c>
      <c r="E2964" t="s">
        <v>95</v>
      </c>
      <c r="F2964" t="s">
        <v>17</v>
      </c>
      <c r="G2964">
        <v>11</v>
      </c>
    </row>
    <row r="2965" spans="1:7" x14ac:dyDescent="0.35">
      <c r="A2965">
        <v>10491</v>
      </c>
      <c r="B2965">
        <v>0</v>
      </c>
      <c r="C2965" t="s">
        <v>24</v>
      </c>
      <c r="D2965">
        <v>3507</v>
      </c>
      <c r="E2965" t="s">
        <v>88</v>
      </c>
      <c r="F2965" t="s">
        <v>17</v>
      </c>
      <c r="G2965">
        <v>5</v>
      </c>
    </row>
    <row r="2966" spans="1:7" x14ac:dyDescent="0.35">
      <c r="A2966">
        <v>189009</v>
      </c>
      <c r="B2966">
        <v>2</v>
      </c>
      <c r="C2966" t="s">
        <v>40</v>
      </c>
      <c r="D2966">
        <v>0</v>
      </c>
      <c r="E2966" t="s">
        <v>103</v>
      </c>
      <c r="F2966" t="s">
        <v>14</v>
      </c>
      <c r="G2966">
        <v>5</v>
      </c>
    </row>
    <row r="2967" spans="1:7" x14ac:dyDescent="0.35">
      <c r="A2967">
        <v>68718</v>
      </c>
      <c r="B2967">
        <v>1002</v>
      </c>
      <c r="C2967" t="s">
        <v>29</v>
      </c>
      <c r="D2967">
        <v>0</v>
      </c>
      <c r="E2967" t="s">
        <v>93</v>
      </c>
      <c r="F2967" t="s">
        <v>14</v>
      </c>
      <c r="G2967">
        <v>10</v>
      </c>
    </row>
    <row r="2968" spans="1:7" x14ac:dyDescent="0.35">
      <c r="A2968">
        <v>74673</v>
      </c>
      <c r="B2968">
        <v>0</v>
      </c>
      <c r="C2968" t="s">
        <v>29</v>
      </c>
      <c r="D2968">
        <v>3805</v>
      </c>
      <c r="E2968" t="s">
        <v>98</v>
      </c>
      <c r="F2968" t="s">
        <v>17</v>
      </c>
      <c r="G2968">
        <v>7</v>
      </c>
    </row>
    <row r="2969" spans="1:7" x14ac:dyDescent="0.35">
      <c r="A2969">
        <v>35328</v>
      </c>
      <c r="B2969">
        <v>1002</v>
      </c>
      <c r="C2969" t="s">
        <v>13</v>
      </c>
      <c r="D2969">
        <v>5809</v>
      </c>
      <c r="E2969" t="s">
        <v>92</v>
      </c>
      <c r="F2969" t="s">
        <v>14</v>
      </c>
      <c r="G2969">
        <v>20</v>
      </c>
    </row>
    <row r="2970" spans="1:7" x14ac:dyDescent="0.35">
      <c r="A2970">
        <v>971</v>
      </c>
      <c r="B2970">
        <v>3</v>
      </c>
      <c r="C2970" t="s">
        <v>54</v>
      </c>
      <c r="D2970">
        <v>4001</v>
      </c>
      <c r="E2970" t="s">
        <v>89</v>
      </c>
      <c r="F2970" t="s">
        <v>17</v>
      </c>
      <c r="G2970">
        <v>8</v>
      </c>
    </row>
    <row r="2971" spans="1:7" x14ac:dyDescent="0.35">
      <c r="A2971">
        <v>18508</v>
      </c>
      <c r="B2971">
        <v>2</v>
      </c>
      <c r="C2971" t="s">
        <v>18</v>
      </c>
      <c r="D2971">
        <v>0</v>
      </c>
      <c r="E2971" t="s">
        <v>89</v>
      </c>
      <c r="F2971" t="s">
        <v>17</v>
      </c>
      <c r="G2971">
        <v>6</v>
      </c>
    </row>
    <row r="2972" spans="1:7" x14ac:dyDescent="0.35">
      <c r="A2972">
        <v>93496</v>
      </c>
      <c r="B2972">
        <v>0</v>
      </c>
      <c r="C2972" t="s">
        <v>16</v>
      </c>
      <c r="D2972">
        <v>1907</v>
      </c>
      <c r="E2972" t="s">
        <v>103</v>
      </c>
      <c r="F2972" t="s">
        <v>17</v>
      </c>
      <c r="G2972">
        <v>10</v>
      </c>
    </row>
    <row r="2973" spans="1:7" x14ac:dyDescent="0.35">
      <c r="A2973">
        <v>92121</v>
      </c>
      <c r="B2973">
        <v>0</v>
      </c>
      <c r="C2973" t="s">
        <v>16</v>
      </c>
      <c r="D2973">
        <v>6401</v>
      </c>
      <c r="E2973" t="s">
        <v>89</v>
      </c>
      <c r="F2973" t="s">
        <v>14</v>
      </c>
      <c r="G2973">
        <v>15</v>
      </c>
    </row>
    <row r="2974" spans="1:7" x14ac:dyDescent="0.35">
      <c r="A2974">
        <v>6649</v>
      </c>
      <c r="B2974">
        <v>1</v>
      </c>
      <c r="C2974" t="s">
        <v>55</v>
      </c>
      <c r="D2974">
        <v>0</v>
      </c>
      <c r="F2974" t="s">
        <v>17</v>
      </c>
      <c r="G2974">
        <v>50</v>
      </c>
    </row>
    <row r="2975" spans="1:7" x14ac:dyDescent="0.35">
      <c r="A2975">
        <v>186993</v>
      </c>
      <c r="B2975">
        <v>1</v>
      </c>
      <c r="C2975" t="s">
        <v>21</v>
      </c>
      <c r="D2975">
        <v>0</v>
      </c>
      <c r="F2975" t="s">
        <v>14</v>
      </c>
      <c r="G2975">
        <v>10</v>
      </c>
    </row>
    <row r="2976" spans="1:7" x14ac:dyDescent="0.35">
      <c r="A2976">
        <v>175935</v>
      </c>
      <c r="B2976">
        <v>28</v>
      </c>
      <c r="C2976" t="s">
        <v>50</v>
      </c>
      <c r="D2976">
        <v>0</v>
      </c>
      <c r="E2976" t="s">
        <v>90</v>
      </c>
      <c r="F2976" t="s">
        <v>17</v>
      </c>
      <c r="G2976">
        <v>15</v>
      </c>
    </row>
    <row r="2977" spans="1:7" x14ac:dyDescent="0.35">
      <c r="A2977">
        <v>133163</v>
      </c>
      <c r="B2977">
        <v>1</v>
      </c>
      <c r="C2977" t="s">
        <v>41</v>
      </c>
      <c r="D2977">
        <v>4501</v>
      </c>
      <c r="E2977" t="s">
        <v>89</v>
      </c>
      <c r="F2977" t="s">
        <v>14</v>
      </c>
      <c r="G2977">
        <v>15</v>
      </c>
    </row>
    <row r="2978" spans="1:7" x14ac:dyDescent="0.35">
      <c r="A2978">
        <v>12</v>
      </c>
      <c r="B2978">
        <v>2</v>
      </c>
      <c r="C2978" t="s">
        <v>36</v>
      </c>
      <c r="D2978">
        <v>1804</v>
      </c>
      <c r="E2978" t="s">
        <v>91</v>
      </c>
      <c r="F2978" t="s">
        <v>14</v>
      </c>
      <c r="G2978">
        <v>10</v>
      </c>
    </row>
    <row r="2979" spans="1:7" x14ac:dyDescent="0.35">
      <c r="A2979">
        <v>511</v>
      </c>
      <c r="B2979">
        <v>28</v>
      </c>
      <c r="C2979" t="s">
        <v>21</v>
      </c>
      <c r="D2979">
        <v>1501</v>
      </c>
      <c r="E2979" t="s">
        <v>93</v>
      </c>
      <c r="F2979" t="s">
        <v>17</v>
      </c>
      <c r="G2979">
        <v>12</v>
      </c>
    </row>
    <row r="2980" spans="1:7" x14ac:dyDescent="0.35">
      <c r="A2980">
        <v>125013</v>
      </c>
      <c r="B2980">
        <v>2</v>
      </c>
      <c r="C2980" t="s">
        <v>21</v>
      </c>
      <c r="D2980">
        <v>0</v>
      </c>
      <c r="E2980" t="s">
        <v>89</v>
      </c>
      <c r="F2980" t="s">
        <v>17</v>
      </c>
      <c r="G2980">
        <v>15</v>
      </c>
    </row>
    <row r="2981" spans="1:7" x14ac:dyDescent="0.35">
      <c r="A2981">
        <v>138814</v>
      </c>
      <c r="B2981">
        <v>0</v>
      </c>
      <c r="C2981" t="s">
        <v>55</v>
      </c>
      <c r="D2981">
        <v>5401</v>
      </c>
      <c r="E2981" t="s">
        <v>89</v>
      </c>
      <c r="F2981" t="s">
        <v>17</v>
      </c>
      <c r="G2981">
        <v>20</v>
      </c>
    </row>
    <row r="2982" spans="1:7" x14ac:dyDescent="0.35">
      <c r="A2982">
        <v>101290</v>
      </c>
      <c r="B2982">
        <v>1</v>
      </c>
      <c r="C2982" t="s">
        <v>36</v>
      </c>
      <c r="D2982">
        <v>1401</v>
      </c>
      <c r="E2982" t="s">
        <v>98</v>
      </c>
      <c r="F2982" t="s">
        <v>14</v>
      </c>
      <c r="G2982">
        <v>3</v>
      </c>
    </row>
    <row r="2983" spans="1:7" x14ac:dyDescent="0.35">
      <c r="A2983">
        <v>22779</v>
      </c>
      <c r="B2983">
        <v>0</v>
      </c>
      <c r="C2983" t="s">
        <v>46</v>
      </c>
      <c r="D2983">
        <v>5701</v>
      </c>
      <c r="E2983" t="s">
        <v>89</v>
      </c>
      <c r="F2983" t="s">
        <v>14</v>
      </c>
      <c r="G2983">
        <v>20</v>
      </c>
    </row>
    <row r="2984" spans="1:7" x14ac:dyDescent="0.35">
      <c r="A2984">
        <v>138689</v>
      </c>
      <c r="B2984">
        <v>28</v>
      </c>
      <c r="C2984" t="s">
        <v>55</v>
      </c>
      <c r="D2984">
        <v>0</v>
      </c>
      <c r="E2984" t="s">
        <v>94</v>
      </c>
      <c r="F2984" t="s">
        <v>17</v>
      </c>
      <c r="G2984">
        <v>25</v>
      </c>
    </row>
    <row r="2985" spans="1:7" x14ac:dyDescent="0.35">
      <c r="A2985">
        <v>99066</v>
      </c>
      <c r="B2985">
        <v>1</v>
      </c>
      <c r="C2985" t="s">
        <v>16</v>
      </c>
      <c r="D2985">
        <v>3006</v>
      </c>
      <c r="E2985" t="s">
        <v>98</v>
      </c>
      <c r="F2985" t="s">
        <v>14</v>
      </c>
      <c r="G2985">
        <v>5</v>
      </c>
    </row>
    <row r="2986" spans="1:7" x14ac:dyDescent="0.35">
      <c r="A2986">
        <v>148141</v>
      </c>
      <c r="B2986">
        <v>0</v>
      </c>
      <c r="C2986" t="s">
        <v>22</v>
      </c>
      <c r="D2986">
        <v>4704</v>
      </c>
      <c r="E2986" t="s">
        <v>92</v>
      </c>
      <c r="F2986" t="s">
        <v>17</v>
      </c>
      <c r="G2986">
        <v>14</v>
      </c>
    </row>
    <row r="2987" spans="1:7" x14ac:dyDescent="0.35">
      <c r="A2987">
        <v>186456</v>
      </c>
      <c r="B2987">
        <v>0</v>
      </c>
      <c r="C2987" t="s">
        <v>50</v>
      </c>
      <c r="D2987">
        <v>712</v>
      </c>
      <c r="E2987" t="s">
        <v>88</v>
      </c>
      <c r="F2987" t="s">
        <v>17</v>
      </c>
      <c r="G2987">
        <v>5</v>
      </c>
    </row>
    <row r="2988" spans="1:7" x14ac:dyDescent="0.35">
      <c r="A2988">
        <v>158935</v>
      </c>
      <c r="B2988">
        <v>0</v>
      </c>
      <c r="C2988" t="s">
        <v>22</v>
      </c>
      <c r="D2988">
        <v>2001</v>
      </c>
      <c r="E2988" t="s">
        <v>96</v>
      </c>
      <c r="F2988" t="s">
        <v>17</v>
      </c>
      <c r="G2988">
        <v>5</v>
      </c>
    </row>
    <row r="2989" spans="1:7" x14ac:dyDescent="0.35">
      <c r="A2989">
        <v>145275</v>
      </c>
      <c r="B2989">
        <v>28</v>
      </c>
      <c r="C2989" t="s">
        <v>22</v>
      </c>
      <c r="D2989">
        <v>3107</v>
      </c>
      <c r="E2989" t="s">
        <v>95</v>
      </c>
      <c r="F2989" t="s">
        <v>17</v>
      </c>
      <c r="G2989">
        <v>20</v>
      </c>
    </row>
    <row r="2990" spans="1:7" x14ac:dyDescent="0.35">
      <c r="A2990">
        <v>173744</v>
      </c>
      <c r="B2990">
        <v>0</v>
      </c>
      <c r="C2990" t="s">
        <v>37</v>
      </c>
      <c r="D2990">
        <v>0</v>
      </c>
      <c r="E2990" t="s">
        <v>91</v>
      </c>
      <c r="G2990">
        <v>20</v>
      </c>
    </row>
    <row r="2991" spans="1:7" x14ac:dyDescent="0.35">
      <c r="A2991">
        <v>179683</v>
      </c>
      <c r="B2991">
        <v>0</v>
      </c>
      <c r="C2991" t="s">
        <v>40</v>
      </c>
      <c r="D2991">
        <v>5108</v>
      </c>
      <c r="E2991" t="s">
        <v>90</v>
      </c>
      <c r="F2991" t="s">
        <v>17</v>
      </c>
      <c r="G2991">
        <v>25</v>
      </c>
    </row>
    <row r="2992" spans="1:7" x14ac:dyDescent="0.35">
      <c r="A2992">
        <v>188421</v>
      </c>
      <c r="B2992">
        <v>1</v>
      </c>
      <c r="C2992" t="s">
        <v>50</v>
      </c>
      <c r="D2992">
        <v>2403</v>
      </c>
      <c r="E2992" t="s">
        <v>90</v>
      </c>
      <c r="F2992" t="s">
        <v>14</v>
      </c>
      <c r="G2992">
        <v>10</v>
      </c>
    </row>
    <row r="2993" spans="1:7" x14ac:dyDescent="0.35">
      <c r="A2993">
        <v>123699</v>
      </c>
      <c r="B2993">
        <v>0</v>
      </c>
      <c r="C2993" t="s">
        <v>21</v>
      </c>
      <c r="D2993">
        <v>5101</v>
      </c>
      <c r="E2993" t="s">
        <v>92</v>
      </c>
      <c r="F2993" t="s">
        <v>17</v>
      </c>
      <c r="G2993">
        <v>10</v>
      </c>
    </row>
    <row r="2994" spans="1:7" x14ac:dyDescent="0.35">
      <c r="A2994">
        <v>23930</v>
      </c>
      <c r="B2994">
        <v>2</v>
      </c>
      <c r="C2994" t="s">
        <v>46</v>
      </c>
      <c r="D2994">
        <v>2101</v>
      </c>
      <c r="E2994" t="s">
        <v>92</v>
      </c>
      <c r="F2994" t="s">
        <v>14</v>
      </c>
      <c r="G2994">
        <v>5</v>
      </c>
    </row>
    <row r="2995" spans="1:7" x14ac:dyDescent="0.35">
      <c r="A2995">
        <v>46153</v>
      </c>
      <c r="B2995">
        <v>3</v>
      </c>
      <c r="C2995" t="s">
        <v>13</v>
      </c>
      <c r="D2995">
        <v>6201</v>
      </c>
      <c r="E2995" t="s">
        <v>89</v>
      </c>
      <c r="F2995" t="s">
        <v>17</v>
      </c>
      <c r="G2995">
        <v>15</v>
      </c>
    </row>
    <row r="2996" spans="1:7" x14ac:dyDescent="0.35">
      <c r="A2996">
        <v>179863</v>
      </c>
      <c r="B2996">
        <v>1</v>
      </c>
      <c r="C2996" t="s">
        <v>40</v>
      </c>
      <c r="D2996">
        <v>4702</v>
      </c>
      <c r="E2996" t="s">
        <v>95</v>
      </c>
      <c r="F2996" t="s">
        <v>14</v>
      </c>
      <c r="G2996">
        <v>10</v>
      </c>
    </row>
    <row r="2997" spans="1:7" x14ac:dyDescent="0.35">
      <c r="A2997">
        <v>87395</v>
      </c>
      <c r="B2997">
        <v>0</v>
      </c>
      <c r="C2997" t="s">
        <v>34</v>
      </c>
      <c r="D2997">
        <v>1701</v>
      </c>
      <c r="E2997" t="s">
        <v>100</v>
      </c>
      <c r="F2997" t="s">
        <v>17</v>
      </c>
      <c r="G2997">
        <v>20</v>
      </c>
    </row>
    <row r="2998" spans="1:7" x14ac:dyDescent="0.35">
      <c r="A2998">
        <v>86779</v>
      </c>
      <c r="B2998">
        <v>28</v>
      </c>
      <c r="C2998" t="s">
        <v>45</v>
      </c>
      <c r="D2998">
        <v>0</v>
      </c>
      <c r="E2998" t="s">
        <v>104</v>
      </c>
      <c r="F2998" t="s">
        <v>17</v>
      </c>
      <c r="G2998">
        <v>11</v>
      </c>
    </row>
    <row r="2999" spans="1:7" x14ac:dyDescent="0.35">
      <c r="A2999">
        <v>25214</v>
      </c>
      <c r="B2999">
        <v>28</v>
      </c>
      <c r="C2999" t="s">
        <v>18</v>
      </c>
      <c r="D2999">
        <v>5111</v>
      </c>
      <c r="E2999" t="s">
        <v>94</v>
      </c>
      <c r="F2999" t="s">
        <v>17</v>
      </c>
      <c r="G2999">
        <v>25</v>
      </c>
    </row>
    <row r="3000" spans="1:7" x14ac:dyDescent="0.35">
      <c r="A3000">
        <v>79641</v>
      </c>
      <c r="B3000">
        <v>0</v>
      </c>
      <c r="C3000" t="s">
        <v>35</v>
      </c>
      <c r="D3000">
        <v>2310</v>
      </c>
      <c r="E3000" t="s">
        <v>93</v>
      </c>
      <c r="F3000" t="s">
        <v>17</v>
      </c>
      <c r="G3000">
        <v>12</v>
      </c>
    </row>
    <row r="3001" spans="1:7" x14ac:dyDescent="0.35">
      <c r="A3001">
        <v>186307</v>
      </c>
      <c r="B3001">
        <v>1</v>
      </c>
      <c r="C3001" t="s">
        <v>22</v>
      </c>
      <c r="D3001">
        <v>2511</v>
      </c>
      <c r="E3001" t="s">
        <v>88</v>
      </c>
      <c r="F3001" t="s">
        <v>14</v>
      </c>
      <c r="G3001">
        <v>20</v>
      </c>
    </row>
    <row r="3002" spans="1:7" x14ac:dyDescent="0.35">
      <c r="A3002">
        <v>34174</v>
      </c>
      <c r="B3002">
        <v>2</v>
      </c>
      <c r="C3002" t="s">
        <v>78</v>
      </c>
      <c r="D3002">
        <v>3001</v>
      </c>
      <c r="E3002" t="s">
        <v>89</v>
      </c>
      <c r="F3002" t="s">
        <v>17</v>
      </c>
      <c r="G3002">
        <v>12</v>
      </c>
    </row>
    <row r="3003" spans="1:7" x14ac:dyDescent="0.35">
      <c r="A3003">
        <v>101388</v>
      </c>
      <c r="B3003">
        <v>1</v>
      </c>
      <c r="C3003" t="s">
        <v>36</v>
      </c>
      <c r="D3003">
        <v>5501</v>
      </c>
      <c r="E3003" t="s">
        <v>91</v>
      </c>
      <c r="F3003" t="s">
        <v>14</v>
      </c>
      <c r="G3003">
        <v>10</v>
      </c>
    </row>
    <row r="3004" spans="1:7" x14ac:dyDescent="0.35">
      <c r="A3004">
        <v>159472</v>
      </c>
      <c r="B3004">
        <v>1</v>
      </c>
      <c r="C3004" t="s">
        <v>22</v>
      </c>
      <c r="D3004">
        <v>1512</v>
      </c>
      <c r="E3004" t="s">
        <v>98</v>
      </c>
      <c r="F3004" t="s">
        <v>17</v>
      </c>
      <c r="G3004">
        <v>15</v>
      </c>
    </row>
    <row r="3005" spans="1:7" x14ac:dyDescent="0.35">
      <c r="A3005">
        <v>179143</v>
      </c>
      <c r="B3005">
        <v>1</v>
      </c>
      <c r="C3005" t="s">
        <v>40</v>
      </c>
      <c r="D3005">
        <v>3709</v>
      </c>
      <c r="E3005" t="s">
        <v>94</v>
      </c>
      <c r="F3005" t="s">
        <v>14</v>
      </c>
      <c r="G3005">
        <v>25</v>
      </c>
    </row>
    <row r="3006" spans="1:7" x14ac:dyDescent="0.35">
      <c r="A3006">
        <v>150799</v>
      </c>
      <c r="B3006">
        <v>1</v>
      </c>
      <c r="C3006" t="s">
        <v>22</v>
      </c>
      <c r="D3006">
        <v>0</v>
      </c>
      <c r="E3006" t="s">
        <v>101</v>
      </c>
      <c r="F3006" t="s">
        <v>14</v>
      </c>
      <c r="G3006">
        <v>15</v>
      </c>
    </row>
    <row r="3007" spans="1:7" x14ac:dyDescent="0.35">
      <c r="A3007">
        <v>135983</v>
      </c>
      <c r="B3007">
        <v>1</v>
      </c>
      <c r="C3007" t="s">
        <v>55</v>
      </c>
      <c r="D3007">
        <v>3201</v>
      </c>
      <c r="E3007" t="s">
        <v>96</v>
      </c>
      <c r="G3007">
        <v>7</v>
      </c>
    </row>
    <row r="3008" spans="1:7" x14ac:dyDescent="0.35">
      <c r="A3008">
        <v>22817</v>
      </c>
      <c r="B3008">
        <v>0</v>
      </c>
      <c r="C3008" t="s">
        <v>46</v>
      </c>
      <c r="D3008">
        <v>5009</v>
      </c>
      <c r="E3008" t="s">
        <v>98</v>
      </c>
      <c r="F3008" t="s">
        <v>17</v>
      </c>
      <c r="G3008">
        <v>10</v>
      </c>
    </row>
    <row r="3009" spans="1:7" x14ac:dyDescent="0.35">
      <c r="A3009">
        <v>123972</v>
      </c>
      <c r="B3009">
        <v>0</v>
      </c>
      <c r="C3009" t="s">
        <v>21</v>
      </c>
      <c r="D3009">
        <v>1305</v>
      </c>
      <c r="E3009" t="s">
        <v>88</v>
      </c>
      <c r="F3009" t="s">
        <v>17</v>
      </c>
      <c r="G3009">
        <v>5</v>
      </c>
    </row>
    <row r="3010" spans="1:7" x14ac:dyDescent="0.35">
      <c r="A3010">
        <v>81520</v>
      </c>
      <c r="B3010">
        <v>0</v>
      </c>
      <c r="C3010" t="s">
        <v>35</v>
      </c>
      <c r="D3010">
        <v>1710</v>
      </c>
      <c r="E3010" t="s">
        <v>98</v>
      </c>
      <c r="F3010" t="s">
        <v>17</v>
      </c>
      <c r="G3010">
        <v>10</v>
      </c>
    </row>
    <row r="3011" spans="1:7" x14ac:dyDescent="0.35">
      <c r="A3011">
        <v>185309</v>
      </c>
      <c r="B3011">
        <v>2</v>
      </c>
      <c r="C3011" t="s">
        <v>29</v>
      </c>
      <c r="D3011">
        <v>3209</v>
      </c>
      <c r="E3011" t="s">
        <v>88</v>
      </c>
      <c r="F3011" t="s">
        <v>17</v>
      </c>
      <c r="G3011">
        <v>7</v>
      </c>
    </row>
    <row r="3012" spans="1:7" x14ac:dyDescent="0.35">
      <c r="A3012">
        <v>6555</v>
      </c>
      <c r="B3012">
        <v>1</v>
      </c>
      <c r="C3012" t="s">
        <v>13</v>
      </c>
      <c r="D3012">
        <v>1808</v>
      </c>
      <c r="E3012" t="s">
        <v>92</v>
      </c>
      <c r="F3012" t="s">
        <v>14</v>
      </c>
      <c r="G3012">
        <v>10</v>
      </c>
    </row>
    <row r="3013" spans="1:7" x14ac:dyDescent="0.35">
      <c r="A3013">
        <v>20341</v>
      </c>
      <c r="B3013">
        <v>0</v>
      </c>
      <c r="C3013" t="s">
        <v>18</v>
      </c>
      <c r="D3013">
        <v>4801</v>
      </c>
      <c r="E3013" t="s">
        <v>92</v>
      </c>
      <c r="F3013" t="s">
        <v>14</v>
      </c>
      <c r="G3013">
        <v>3</v>
      </c>
    </row>
    <row r="3014" spans="1:7" x14ac:dyDescent="0.35">
      <c r="A3014">
        <v>30629</v>
      </c>
      <c r="B3014">
        <v>2</v>
      </c>
      <c r="C3014" t="s">
        <v>39</v>
      </c>
      <c r="D3014">
        <v>1401</v>
      </c>
      <c r="E3014" t="s">
        <v>88</v>
      </c>
      <c r="F3014" t="s">
        <v>17</v>
      </c>
      <c r="G3014">
        <v>17</v>
      </c>
    </row>
    <row r="3015" spans="1:7" x14ac:dyDescent="0.35">
      <c r="A3015">
        <v>38392</v>
      </c>
      <c r="B3015">
        <v>0</v>
      </c>
      <c r="C3015" t="s">
        <v>13</v>
      </c>
      <c r="D3015">
        <v>3401</v>
      </c>
      <c r="E3015" t="s">
        <v>103</v>
      </c>
      <c r="F3015" t="s">
        <v>17</v>
      </c>
      <c r="G3015">
        <v>20</v>
      </c>
    </row>
    <row r="3016" spans="1:7" x14ac:dyDescent="0.35">
      <c r="A3016">
        <v>122090</v>
      </c>
      <c r="B3016">
        <v>0</v>
      </c>
      <c r="C3016" t="s">
        <v>21</v>
      </c>
      <c r="D3016">
        <v>5009</v>
      </c>
      <c r="E3016" t="s">
        <v>90</v>
      </c>
      <c r="F3016" t="s">
        <v>14</v>
      </c>
      <c r="G3016">
        <v>20</v>
      </c>
    </row>
    <row r="3017" spans="1:7" x14ac:dyDescent="0.35">
      <c r="A3017">
        <v>159623</v>
      </c>
      <c r="B3017">
        <v>28</v>
      </c>
      <c r="C3017" t="s">
        <v>35</v>
      </c>
      <c r="D3017">
        <v>4801</v>
      </c>
      <c r="E3017" t="s">
        <v>88</v>
      </c>
      <c r="F3017" t="s">
        <v>17</v>
      </c>
      <c r="G3017">
        <v>20</v>
      </c>
    </row>
    <row r="3018" spans="1:7" x14ac:dyDescent="0.35">
      <c r="A3018">
        <v>103290</v>
      </c>
      <c r="B3018">
        <v>1</v>
      </c>
      <c r="C3018" t="s">
        <v>36</v>
      </c>
      <c r="D3018">
        <v>2601</v>
      </c>
      <c r="E3018" t="s">
        <v>92</v>
      </c>
      <c r="F3018" t="s">
        <v>14</v>
      </c>
      <c r="G3018">
        <v>16</v>
      </c>
    </row>
    <row r="3019" spans="1:7" x14ac:dyDescent="0.35">
      <c r="A3019">
        <v>154745</v>
      </c>
      <c r="B3019">
        <v>1</v>
      </c>
      <c r="C3019" t="s">
        <v>22</v>
      </c>
      <c r="D3019">
        <v>4201</v>
      </c>
      <c r="E3019" t="s">
        <v>89</v>
      </c>
      <c r="F3019" t="s">
        <v>14</v>
      </c>
      <c r="G3019">
        <v>5</v>
      </c>
    </row>
    <row r="3020" spans="1:7" x14ac:dyDescent="0.35">
      <c r="A3020">
        <v>184549</v>
      </c>
      <c r="B3020">
        <v>0</v>
      </c>
      <c r="C3020" t="s">
        <v>70</v>
      </c>
      <c r="D3020">
        <v>4301</v>
      </c>
      <c r="E3020" t="s">
        <v>88</v>
      </c>
      <c r="F3020" t="s">
        <v>14</v>
      </c>
      <c r="G3020">
        <v>25</v>
      </c>
    </row>
    <row r="3021" spans="1:7" x14ac:dyDescent="0.35">
      <c r="A3021">
        <v>162494</v>
      </c>
      <c r="B3021">
        <v>1</v>
      </c>
      <c r="C3021" t="s">
        <v>22</v>
      </c>
      <c r="D3021">
        <v>5601</v>
      </c>
      <c r="E3021" t="s">
        <v>90</v>
      </c>
      <c r="F3021" t="s">
        <v>14</v>
      </c>
      <c r="G3021">
        <v>30</v>
      </c>
    </row>
    <row r="3022" spans="1:7" x14ac:dyDescent="0.35">
      <c r="A3022">
        <v>45873</v>
      </c>
      <c r="B3022">
        <v>0</v>
      </c>
      <c r="C3022" t="s">
        <v>13</v>
      </c>
      <c r="D3022">
        <v>1606</v>
      </c>
      <c r="E3022" t="s">
        <v>96</v>
      </c>
      <c r="F3022" t="s">
        <v>17</v>
      </c>
      <c r="G3022">
        <v>8</v>
      </c>
    </row>
    <row r="3023" spans="1:7" x14ac:dyDescent="0.35">
      <c r="A3023">
        <v>14831</v>
      </c>
      <c r="B3023">
        <v>0</v>
      </c>
      <c r="C3023" t="s">
        <v>32</v>
      </c>
      <c r="D3023">
        <v>0</v>
      </c>
      <c r="E3023" t="s">
        <v>98</v>
      </c>
      <c r="F3023" t="s">
        <v>17</v>
      </c>
      <c r="G3023">
        <v>10</v>
      </c>
    </row>
    <row r="3024" spans="1:7" x14ac:dyDescent="0.35">
      <c r="A3024">
        <v>160610</v>
      </c>
      <c r="B3024">
        <v>28</v>
      </c>
      <c r="C3024" t="s">
        <v>22</v>
      </c>
      <c r="D3024">
        <v>0</v>
      </c>
      <c r="E3024" t="s">
        <v>91</v>
      </c>
      <c r="F3024" t="s">
        <v>17</v>
      </c>
      <c r="G3024">
        <v>15</v>
      </c>
    </row>
    <row r="3025" spans="1:7" x14ac:dyDescent="0.35">
      <c r="A3025">
        <v>44243</v>
      </c>
      <c r="B3025">
        <v>2</v>
      </c>
      <c r="C3025" t="s">
        <v>13</v>
      </c>
      <c r="D3025">
        <v>1601</v>
      </c>
      <c r="E3025" t="s">
        <v>92</v>
      </c>
      <c r="F3025" t="s">
        <v>17</v>
      </c>
      <c r="G3025">
        <v>20</v>
      </c>
    </row>
    <row r="3026" spans="1:7" x14ac:dyDescent="0.35">
      <c r="A3026">
        <v>41537</v>
      </c>
      <c r="B3026">
        <v>2</v>
      </c>
      <c r="C3026" t="s">
        <v>13</v>
      </c>
      <c r="D3026">
        <v>6101</v>
      </c>
      <c r="E3026" t="s">
        <v>90</v>
      </c>
      <c r="F3026" t="s">
        <v>17</v>
      </c>
      <c r="G3026">
        <v>50</v>
      </c>
    </row>
    <row r="3027" spans="1:7" x14ac:dyDescent="0.35">
      <c r="A3027">
        <v>56120</v>
      </c>
      <c r="B3027">
        <v>0</v>
      </c>
      <c r="C3027" t="s">
        <v>62</v>
      </c>
      <c r="D3027">
        <v>0</v>
      </c>
      <c r="E3027" t="s">
        <v>104</v>
      </c>
      <c r="F3027" t="s">
        <v>17</v>
      </c>
      <c r="G3027">
        <v>15</v>
      </c>
    </row>
    <row r="3028" spans="1:7" x14ac:dyDescent="0.35">
      <c r="A3028">
        <v>15648</v>
      </c>
      <c r="B3028">
        <v>2</v>
      </c>
      <c r="C3028" t="s">
        <v>18</v>
      </c>
      <c r="D3028">
        <v>0</v>
      </c>
      <c r="E3028" t="s">
        <v>88</v>
      </c>
      <c r="F3028" t="s">
        <v>17</v>
      </c>
      <c r="G3028">
        <v>20</v>
      </c>
    </row>
    <row r="3029" spans="1:7" x14ac:dyDescent="0.35">
      <c r="A3029">
        <v>14608</v>
      </c>
      <c r="B3029">
        <v>2</v>
      </c>
      <c r="C3029" t="s">
        <v>22</v>
      </c>
      <c r="D3029">
        <v>2601</v>
      </c>
      <c r="E3029" t="s">
        <v>94</v>
      </c>
      <c r="F3029" t="s">
        <v>17</v>
      </c>
      <c r="G3029">
        <v>15</v>
      </c>
    </row>
    <row r="3030" spans="1:7" x14ac:dyDescent="0.35">
      <c r="A3030">
        <v>9053</v>
      </c>
      <c r="B3030">
        <v>0</v>
      </c>
      <c r="C3030" t="s">
        <v>22</v>
      </c>
      <c r="D3030">
        <v>1708</v>
      </c>
      <c r="E3030" t="s">
        <v>93</v>
      </c>
      <c r="F3030" t="s">
        <v>17</v>
      </c>
      <c r="G3030">
        <v>20</v>
      </c>
    </row>
    <row r="3031" spans="1:7" x14ac:dyDescent="0.35">
      <c r="A3031">
        <v>137971</v>
      </c>
      <c r="B3031">
        <v>0</v>
      </c>
      <c r="C3031" t="s">
        <v>55</v>
      </c>
      <c r="D3031">
        <v>2801</v>
      </c>
      <c r="E3031" t="s">
        <v>96</v>
      </c>
      <c r="F3031" t="s">
        <v>17</v>
      </c>
      <c r="G3031">
        <v>25</v>
      </c>
    </row>
    <row r="3032" spans="1:7" x14ac:dyDescent="0.35">
      <c r="A3032">
        <v>83497</v>
      </c>
      <c r="B3032">
        <v>0</v>
      </c>
      <c r="C3032" t="s">
        <v>56</v>
      </c>
      <c r="D3032">
        <v>2801</v>
      </c>
      <c r="E3032" t="s">
        <v>101</v>
      </c>
      <c r="F3032" t="s">
        <v>17</v>
      </c>
      <c r="G3032">
        <v>15</v>
      </c>
    </row>
    <row r="3033" spans="1:7" x14ac:dyDescent="0.35">
      <c r="A3033">
        <v>169640</v>
      </c>
      <c r="B3033">
        <v>0</v>
      </c>
      <c r="C3033" t="s">
        <v>22</v>
      </c>
      <c r="D3033">
        <v>2201</v>
      </c>
      <c r="F3033" t="s">
        <v>17</v>
      </c>
      <c r="G3033">
        <v>8</v>
      </c>
    </row>
    <row r="3034" spans="1:7" x14ac:dyDescent="0.35">
      <c r="A3034">
        <v>169903</v>
      </c>
      <c r="B3034">
        <v>2</v>
      </c>
      <c r="C3034" t="s">
        <v>22</v>
      </c>
      <c r="D3034">
        <v>1701</v>
      </c>
      <c r="E3034" t="s">
        <v>92</v>
      </c>
      <c r="F3034" t="s">
        <v>30</v>
      </c>
      <c r="G3034">
        <v>15</v>
      </c>
    </row>
    <row r="3035" spans="1:7" x14ac:dyDescent="0.35">
      <c r="A3035">
        <v>172175</v>
      </c>
      <c r="B3035">
        <v>0</v>
      </c>
      <c r="C3035" t="s">
        <v>22</v>
      </c>
      <c r="D3035">
        <v>201</v>
      </c>
      <c r="E3035" t="s">
        <v>96</v>
      </c>
      <c r="F3035" t="s">
        <v>17</v>
      </c>
      <c r="G3035">
        <v>10</v>
      </c>
    </row>
    <row r="3036" spans="1:7" x14ac:dyDescent="0.35">
      <c r="A3036">
        <v>145905</v>
      </c>
      <c r="B3036">
        <v>1</v>
      </c>
      <c r="C3036" t="s">
        <v>22</v>
      </c>
      <c r="D3036">
        <v>1101</v>
      </c>
      <c r="E3036" t="s">
        <v>93</v>
      </c>
      <c r="F3036" t="s">
        <v>14</v>
      </c>
      <c r="G3036">
        <v>20</v>
      </c>
    </row>
    <row r="3037" spans="1:7" x14ac:dyDescent="0.35">
      <c r="A3037">
        <v>136385</v>
      </c>
      <c r="B3037">
        <v>1</v>
      </c>
      <c r="C3037" t="s">
        <v>55</v>
      </c>
      <c r="D3037">
        <v>2407</v>
      </c>
      <c r="E3037" t="s">
        <v>92</v>
      </c>
      <c r="F3037" t="s">
        <v>14</v>
      </c>
      <c r="G3037">
        <v>5</v>
      </c>
    </row>
    <row r="3038" spans="1:7" x14ac:dyDescent="0.35">
      <c r="A3038">
        <v>15038</v>
      </c>
      <c r="B3038">
        <v>2</v>
      </c>
      <c r="C3038" t="s">
        <v>18</v>
      </c>
      <c r="D3038">
        <v>2201</v>
      </c>
      <c r="E3038" t="s">
        <v>89</v>
      </c>
      <c r="F3038" t="s">
        <v>14</v>
      </c>
      <c r="G3038">
        <v>25</v>
      </c>
    </row>
    <row r="3039" spans="1:7" x14ac:dyDescent="0.35">
      <c r="A3039">
        <v>40786</v>
      </c>
      <c r="B3039">
        <v>1</v>
      </c>
      <c r="C3039" t="s">
        <v>13</v>
      </c>
      <c r="D3039">
        <v>2504</v>
      </c>
      <c r="E3039" t="s">
        <v>89</v>
      </c>
      <c r="F3039" t="s">
        <v>14</v>
      </c>
      <c r="G3039">
        <v>5</v>
      </c>
    </row>
    <row r="3040" spans="1:7" x14ac:dyDescent="0.35">
      <c r="A3040">
        <v>2935</v>
      </c>
      <c r="B3040">
        <v>0</v>
      </c>
      <c r="C3040" t="s">
        <v>16</v>
      </c>
      <c r="D3040">
        <v>0</v>
      </c>
      <c r="F3040" t="s">
        <v>17</v>
      </c>
      <c r="G3040">
        <v>25</v>
      </c>
    </row>
    <row r="3041" spans="1:7" x14ac:dyDescent="0.35">
      <c r="A3041">
        <v>132983</v>
      </c>
      <c r="B3041">
        <v>2</v>
      </c>
      <c r="C3041" t="s">
        <v>66</v>
      </c>
      <c r="D3041">
        <v>4401</v>
      </c>
      <c r="E3041" t="s">
        <v>100</v>
      </c>
      <c r="F3041" t="s">
        <v>14</v>
      </c>
      <c r="G3041">
        <v>15</v>
      </c>
    </row>
    <row r="3042" spans="1:7" x14ac:dyDescent="0.35">
      <c r="A3042">
        <v>104747</v>
      </c>
      <c r="B3042">
        <v>2</v>
      </c>
      <c r="C3042" t="s">
        <v>28</v>
      </c>
      <c r="D3042">
        <v>1303</v>
      </c>
      <c r="E3042" t="s">
        <v>95</v>
      </c>
      <c r="F3042" t="s">
        <v>17</v>
      </c>
      <c r="G3042">
        <v>10</v>
      </c>
    </row>
    <row r="3043" spans="1:7" x14ac:dyDescent="0.35">
      <c r="A3043">
        <v>92772</v>
      </c>
      <c r="B3043">
        <v>2</v>
      </c>
      <c r="C3043" t="s">
        <v>13</v>
      </c>
      <c r="D3043">
        <v>4002</v>
      </c>
      <c r="E3043" t="s">
        <v>93</v>
      </c>
      <c r="F3043" t="s">
        <v>17</v>
      </c>
      <c r="G3043">
        <v>5</v>
      </c>
    </row>
    <row r="3044" spans="1:7" x14ac:dyDescent="0.35">
      <c r="A3044">
        <v>64522</v>
      </c>
      <c r="B3044">
        <v>0</v>
      </c>
      <c r="C3044" t="s">
        <v>33</v>
      </c>
      <c r="D3044">
        <v>3606</v>
      </c>
      <c r="E3044" t="s">
        <v>91</v>
      </c>
      <c r="F3044" t="s">
        <v>14</v>
      </c>
      <c r="G3044">
        <v>10</v>
      </c>
    </row>
    <row r="3045" spans="1:7" x14ac:dyDescent="0.35">
      <c r="A3045">
        <v>175719</v>
      </c>
      <c r="B3045">
        <v>0</v>
      </c>
      <c r="C3045" t="s">
        <v>50</v>
      </c>
      <c r="D3045">
        <v>2502</v>
      </c>
      <c r="E3045" t="s">
        <v>90</v>
      </c>
      <c r="F3045" t="s">
        <v>14</v>
      </c>
      <c r="G3045">
        <v>5</v>
      </c>
    </row>
    <row r="3046" spans="1:7" x14ac:dyDescent="0.35">
      <c r="A3046">
        <v>56318</v>
      </c>
      <c r="B3046">
        <v>28</v>
      </c>
      <c r="C3046" t="s">
        <v>57</v>
      </c>
      <c r="D3046">
        <v>5801</v>
      </c>
      <c r="E3046" t="s">
        <v>94</v>
      </c>
      <c r="F3046" t="s">
        <v>17</v>
      </c>
      <c r="G3046">
        <v>5</v>
      </c>
    </row>
    <row r="3047" spans="1:7" x14ac:dyDescent="0.35">
      <c r="A3047">
        <v>113736</v>
      </c>
      <c r="B3047">
        <v>0</v>
      </c>
      <c r="C3047" t="s">
        <v>31</v>
      </c>
      <c r="D3047">
        <v>5701</v>
      </c>
      <c r="E3047" t="s">
        <v>94</v>
      </c>
      <c r="F3047" t="s">
        <v>17</v>
      </c>
      <c r="G3047">
        <v>20</v>
      </c>
    </row>
    <row r="3048" spans="1:7" x14ac:dyDescent="0.35">
      <c r="A3048">
        <v>165366</v>
      </c>
      <c r="B3048">
        <v>0</v>
      </c>
      <c r="C3048" t="s">
        <v>22</v>
      </c>
      <c r="D3048">
        <v>0</v>
      </c>
      <c r="E3048" t="s">
        <v>94</v>
      </c>
      <c r="F3048" t="s">
        <v>14</v>
      </c>
      <c r="G3048">
        <v>30</v>
      </c>
    </row>
    <row r="3049" spans="1:7" x14ac:dyDescent="0.35">
      <c r="A3049">
        <v>73371</v>
      </c>
      <c r="B3049">
        <v>1</v>
      </c>
      <c r="C3049" t="s">
        <v>29</v>
      </c>
      <c r="D3049">
        <v>1901</v>
      </c>
      <c r="E3049" t="s">
        <v>96</v>
      </c>
      <c r="G3049">
        <v>10</v>
      </c>
    </row>
    <row r="3050" spans="1:7" x14ac:dyDescent="0.35">
      <c r="A3050">
        <v>145895</v>
      </c>
      <c r="B3050">
        <v>0</v>
      </c>
      <c r="C3050" t="s">
        <v>22</v>
      </c>
      <c r="D3050">
        <v>0</v>
      </c>
      <c r="E3050" t="s">
        <v>93</v>
      </c>
      <c r="F3050" t="s">
        <v>17</v>
      </c>
      <c r="G3050">
        <v>15</v>
      </c>
    </row>
    <row r="3051" spans="1:7" x14ac:dyDescent="0.35">
      <c r="A3051">
        <v>5366</v>
      </c>
      <c r="B3051">
        <v>0</v>
      </c>
      <c r="C3051" t="s">
        <v>22</v>
      </c>
      <c r="D3051">
        <v>4901</v>
      </c>
      <c r="E3051" t="s">
        <v>88</v>
      </c>
      <c r="F3051" t="s">
        <v>17</v>
      </c>
      <c r="G3051">
        <v>20</v>
      </c>
    </row>
    <row r="3052" spans="1:7" x14ac:dyDescent="0.35">
      <c r="A3052">
        <v>37090</v>
      </c>
      <c r="B3052">
        <v>1</v>
      </c>
      <c r="C3052" t="s">
        <v>13</v>
      </c>
      <c r="D3052">
        <v>3011</v>
      </c>
      <c r="E3052" t="s">
        <v>97</v>
      </c>
      <c r="F3052" t="s">
        <v>14</v>
      </c>
      <c r="G3052">
        <v>20</v>
      </c>
    </row>
    <row r="3053" spans="1:7" x14ac:dyDescent="0.35">
      <c r="A3053">
        <v>427</v>
      </c>
      <c r="B3053">
        <v>0</v>
      </c>
      <c r="C3053" t="s">
        <v>13</v>
      </c>
      <c r="D3053">
        <v>0</v>
      </c>
      <c r="E3053" t="s">
        <v>88</v>
      </c>
      <c r="F3053" t="s">
        <v>14</v>
      </c>
      <c r="G3053">
        <v>10</v>
      </c>
    </row>
    <row r="3054" spans="1:7" x14ac:dyDescent="0.35">
      <c r="A3054">
        <v>220</v>
      </c>
      <c r="B3054">
        <v>1</v>
      </c>
      <c r="C3054" t="s">
        <v>16</v>
      </c>
      <c r="D3054">
        <v>5205</v>
      </c>
      <c r="E3054" t="s">
        <v>96</v>
      </c>
      <c r="F3054" t="s">
        <v>14</v>
      </c>
      <c r="G3054">
        <v>8</v>
      </c>
    </row>
    <row r="3055" spans="1:7" x14ac:dyDescent="0.35">
      <c r="A3055">
        <v>39246</v>
      </c>
      <c r="B3055">
        <v>28</v>
      </c>
      <c r="C3055" t="s">
        <v>13</v>
      </c>
      <c r="D3055">
        <v>2401</v>
      </c>
      <c r="E3055" t="s">
        <v>90</v>
      </c>
      <c r="F3055" t="s">
        <v>17</v>
      </c>
      <c r="G3055">
        <v>5</v>
      </c>
    </row>
    <row r="3056" spans="1:7" x14ac:dyDescent="0.35">
      <c r="A3056">
        <v>85853</v>
      </c>
      <c r="B3056">
        <v>1002</v>
      </c>
      <c r="C3056" t="s">
        <v>56</v>
      </c>
      <c r="D3056">
        <v>6001</v>
      </c>
      <c r="E3056" t="s">
        <v>91</v>
      </c>
      <c r="F3056" t="s">
        <v>14</v>
      </c>
      <c r="G3056">
        <v>20</v>
      </c>
    </row>
    <row r="3057" spans="1:7" x14ac:dyDescent="0.35">
      <c r="A3057">
        <v>97829</v>
      </c>
      <c r="B3057">
        <v>0</v>
      </c>
      <c r="C3057" t="s">
        <v>16</v>
      </c>
      <c r="D3057">
        <v>5101</v>
      </c>
      <c r="E3057" t="s">
        <v>89</v>
      </c>
      <c r="F3057" t="s">
        <v>14</v>
      </c>
      <c r="G3057">
        <v>10</v>
      </c>
    </row>
    <row r="3058" spans="1:7" x14ac:dyDescent="0.35">
      <c r="A3058">
        <v>118831</v>
      </c>
      <c r="B3058">
        <v>0</v>
      </c>
      <c r="C3058" t="s">
        <v>21</v>
      </c>
      <c r="D3058">
        <v>6201</v>
      </c>
      <c r="E3058" t="s">
        <v>93</v>
      </c>
      <c r="F3058" t="s">
        <v>17</v>
      </c>
      <c r="G3058">
        <v>20</v>
      </c>
    </row>
    <row r="3059" spans="1:7" x14ac:dyDescent="0.35">
      <c r="A3059">
        <v>178597</v>
      </c>
      <c r="B3059">
        <v>2</v>
      </c>
      <c r="C3059" t="s">
        <v>40</v>
      </c>
      <c r="D3059">
        <v>3201</v>
      </c>
      <c r="E3059" t="s">
        <v>93</v>
      </c>
      <c r="F3059" t="s">
        <v>17</v>
      </c>
      <c r="G3059">
        <v>22</v>
      </c>
    </row>
    <row r="3060" spans="1:7" x14ac:dyDescent="0.35">
      <c r="A3060">
        <v>152509</v>
      </c>
      <c r="B3060">
        <v>28</v>
      </c>
      <c r="C3060" t="s">
        <v>22</v>
      </c>
      <c r="D3060">
        <v>0</v>
      </c>
      <c r="E3060" t="s">
        <v>90</v>
      </c>
      <c r="F3060" t="s">
        <v>17</v>
      </c>
      <c r="G3060">
        <v>20</v>
      </c>
    </row>
    <row r="3061" spans="1:7" x14ac:dyDescent="0.35">
      <c r="A3061">
        <v>61232</v>
      </c>
      <c r="B3061">
        <v>0</v>
      </c>
      <c r="C3061" t="s">
        <v>33</v>
      </c>
      <c r="D3061">
        <v>4501</v>
      </c>
      <c r="E3061" t="s">
        <v>93</v>
      </c>
      <c r="F3061" t="s">
        <v>17</v>
      </c>
      <c r="G3061">
        <v>10</v>
      </c>
    </row>
    <row r="3062" spans="1:7" x14ac:dyDescent="0.35">
      <c r="A3062">
        <v>27714</v>
      </c>
      <c r="B3062">
        <v>1</v>
      </c>
      <c r="C3062" t="s">
        <v>39</v>
      </c>
      <c r="D3062">
        <v>3801</v>
      </c>
      <c r="E3062" t="s">
        <v>92</v>
      </c>
      <c r="F3062" t="s">
        <v>14</v>
      </c>
      <c r="G3062">
        <v>9</v>
      </c>
    </row>
    <row r="3063" spans="1:7" x14ac:dyDescent="0.35">
      <c r="A3063">
        <v>170473</v>
      </c>
      <c r="B3063">
        <v>72</v>
      </c>
      <c r="C3063" t="s">
        <v>22</v>
      </c>
      <c r="D3063">
        <v>5101</v>
      </c>
      <c r="E3063" t="s">
        <v>100</v>
      </c>
      <c r="F3063" t="s">
        <v>14</v>
      </c>
      <c r="G3063">
        <v>20</v>
      </c>
    </row>
    <row r="3064" spans="1:7" x14ac:dyDescent="0.35">
      <c r="A3064">
        <v>176454</v>
      </c>
      <c r="B3064">
        <v>28</v>
      </c>
      <c r="C3064" t="s">
        <v>50</v>
      </c>
      <c r="D3064">
        <v>0</v>
      </c>
      <c r="E3064" t="s">
        <v>104</v>
      </c>
      <c r="F3064" t="s">
        <v>17</v>
      </c>
      <c r="G3064">
        <v>23</v>
      </c>
    </row>
    <row r="3065" spans="1:7" x14ac:dyDescent="0.35">
      <c r="A3065">
        <v>73685</v>
      </c>
      <c r="B3065">
        <v>1</v>
      </c>
      <c r="C3065" t="s">
        <v>29</v>
      </c>
      <c r="D3065">
        <v>1707</v>
      </c>
      <c r="E3065" t="s">
        <v>90</v>
      </c>
      <c r="F3065" t="s">
        <v>14</v>
      </c>
      <c r="G3065">
        <v>10</v>
      </c>
    </row>
    <row r="3066" spans="1:7" x14ac:dyDescent="0.35">
      <c r="A3066">
        <v>75153</v>
      </c>
      <c r="B3066">
        <v>1</v>
      </c>
      <c r="C3066" t="s">
        <v>47</v>
      </c>
      <c r="D3066">
        <v>1601</v>
      </c>
      <c r="E3066" t="s">
        <v>88</v>
      </c>
      <c r="F3066" t="s">
        <v>14</v>
      </c>
      <c r="G3066">
        <v>13</v>
      </c>
    </row>
    <row r="3067" spans="1:7" x14ac:dyDescent="0.35">
      <c r="A3067">
        <v>98731</v>
      </c>
      <c r="B3067">
        <v>28</v>
      </c>
      <c r="C3067" t="s">
        <v>16</v>
      </c>
      <c r="D3067">
        <v>5801</v>
      </c>
      <c r="E3067" t="s">
        <v>92</v>
      </c>
      <c r="F3067" t="s">
        <v>17</v>
      </c>
      <c r="G3067">
        <v>15</v>
      </c>
    </row>
    <row r="3068" spans="1:7" x14ac:dyDescent="0.35">
      <c r="A3068">
        <v>81600</v>
      </c>
      <c r="B3068">
        <v>0</v>
      </c>
      <c r="C3068" t="s">
        <v>35</v>
      </c>
      <c r="D3068">
        <v>0</v>
      </c>
      <c r="E3068" t="s">
        <v>91</v>
      </c>
      <c r="F3068" t="s">
        <v>17</v>
      </c>
      <c r="G3068">
        <v>5</v>
      </c>
    </row>
    <row r="3069" spans="1:7" x14ac:dyDescent="0.35">
      <c r="A3069">
        <v>104467</v>
      </c>
      <c r="B3069">
        <v>0</v>
      </c>
      <c r="C3069" t="s">
        <v>28</v>
      </c>
      <c r="D3069">
        <v>3201</v>
      </c>
      <c r="E3069" t="s">
        <v>88</v>
      </c>
      <c r="F3069" t="s">
        <v>14</v>
      </c>
      <c r="G3069">
        <v>3</v>
      </c>
    </row>
    <row r="3070" spans="1:7" x14ac:dyDescent="0.35">
      <c r="A3070">
        <v>190647</v>
      </c>
      <c r="B3070">
        <v>2</v>
      </c>
      <c r="C3070" t="s">
        <v>56</v>
      </c>
      <c r="D3070">
        <v>0</v>
      </c>
      <c r="E3070" t="s">
        <v>91</v>
      </c>
      <c r="F3070" t="s">
        <v>17</v>
      </c>
      <c r="G3070">
        <v>10</v>
      </c>
    </row>
    <row r="3071" spans="1:7" x14ac:dyDescent="0.35">
      <c r="A3071">
        <v>790</v>
      </c>
      <c r="B3071">
        <v>1</v>
      </c>
      <c r="C3071" t="s">
        <v>16</v>
      </c>
      <c r="D3071">
        <v>2601</v>
      </c>
      <c r="E3071" t="s">
        <v>91</v>
      </c>
      <c r="F3071" t="s">
        <v>14</v>
      </c>
      <c r="G3071">
        <v>15</v>
      </c>
    </row>
    <row r="3072" spans="1:7" x14ac:dyDescent="0.35">
      <c r="A3072">
        <v>153319</v>
      </c>
      <c r="B3072">
        <v>0</v>
      </c>
      <c r="C3072" t="s">
        <v>22</v>
      </c>
      <c r="D3072">
        <v>4601</v>
      </c>
      <c r="E3072" t="s">
        <v>95</v>
      </c>
      <c r="F3072" t="s">
        <v>17</v>
      </c>
      <c r="G3072">
        <v>35</v>
      </c>
    </row>
    <row r="3073" spans="1:7" x14ac:dyDescent="0.35">
      <c r="A3073">
        <v>21769</v>
      </c>
      <c r="B3073">
        <v>1</v>
      </c>
      <c r="C3073" t="s">
        <v>18</v>
      </c>
      <c r="D3073">
        <v>0</v>
      </c>
      <c r="E3073" t="s">
        <v>89</v>
      </c>
      <c r="F3073" t="s">
        <v>14</v>
      </c>
      <c r="G3073">
        <v>9</v>
      </c>
    </row>
    <row r="3074" spans="1:7" x14ac:dyDescent="0.35">
      <c r="A3074">
        <v>57419</v>
      </c>
      <c r="B3074">
        <v>0</v>
      </c>
      <c r="C3074" t="s">
        <v>57</v>
      </c>
      <c r="D3074">
        <v>6201</v>
      </c>
      <c r="E3074" t="s">
        <v>93</v>
      </c>
      <c r="F3074" t="s">
        <v>17</v>
      </c>
      <c r="G3074">
        <v>10</v>
      </c>
    </row>
    <row r="3075" spans="1:7" x14ac:dyDescent="0.35">
      <c r="A3075">
        <v>107195</v>
      </c>
      <c r="B3075">
        <v>2</v>
      </c>
      <c r="C3075" t="s">
        <v>59</v>
      </c>
      <c r="D3075">
        <v>4801</v>
      </c>
      <c r="E3075" t="s">
        <v>88</v>
      </c>
      <c r="F3075" t="s">
        <v>17</v>
      </c>
      <c r="G3075">
        <v>10</v>
      </c>
    </row>
    <row r="3076" spans="1:7" x14ac:dyDescent="0.35">
      <c r="A3076">
        <v>139062</v>
      </c>
      <c r="B3076">
        <v>0</v>
      </c>
      <c r="C3076" t="s">
        <v>55</v>
      </c>
      <c r="D3076">
        <v>3501</v>
      </c>
      <c r="F3076" t="s">
        <v>17</v>
      </c>
      <c r="G3076">
        <v>20</v>
      </c>
    </row>
    <row r="3077" spans="1:7" x14ac:dyDescent="0.35">
      <c r="A3077">
        <v>147529</v>
      </c>
      <c r="B3077">
        <v>1</v>
      </c>
      <c r="C3077" t="s">
        <v>18</v>
      </c>
      <c r="D3077">
        <v>3810</v>
      </c>
      <c r="E3077" t="s">
        <v>93</v>
      </c>
      <c r="F3077" t="s">
        <v>17</v>
      </c>
      <c r="G3077">
        <v>20</v>
      </c>
    </row>
    <row r="3078" spans="1:7" x14ac:dyDescent="0.35">
      <c r="A3078">
        <v>52574</v>
      </c>
      <c r="B3078">
        <v>0</v>
      </c>
      <c r="C3078" t="s">
        <v>53</v>
      </c>
      <c r="D3078">
        <v>4501</v>
      </c>
      <c r="E3078" t="s">
        <v>91</v>
      </c>
      <c r="F3078" t="s">
        <v>17</v>
      </c>
      <c r="G3078">
        <v>12</v>
      </c>
    </row>
    <row r="3079" spans="1:7" x14ac:dyDescent="0.35">
      <c r="A3079">
        <v>41482</v>
      </c>
      <c r="B3079">
        <v>0</v>
      </c>
      <c r="C3079" t="s">
        <v>13</v>
      </c>
      <c r="D3079">
        <v>2501</v>
      </c>
      <c r="E3079" t="s">
        <v>96</v>
      </c>
      <c r="F3079" t="s">
        <v>17</v>
      </c>
      <c r="G3079">
        <v>5</v>
      </c>
    </row>
    <row r="3080" spans="1:7" x14ac:dyDescent="0.35">
      <c r="A3080">
        <v>165287</v>
      </c>
      <c r="B3080">
        <v>1</v>
      </c>
      <c r="C3080" t="s">
        <v>22</v>
      </c>
      <c r="D3080">
        <v>5401</v>
      </c>
      <c r="E3080" t="s">
        <v>92</v>
      </c>
      <c r="F3080" t="s">
        <v>14</v>
      </c>
      <c r="G3080">
        <v>22</v>
      </c>
    </row>
    <row r="3081" spans="1:7" x14ac:dyDescent="0.35">
      <c r="A3081">
        <v>41569</v>
      </c>
      <c r="B3081">
        <v>0</v>
      </c>
      <c r="C3081" t="s">
        <v>13</v>
      </c>
      <c r="D3081">
        <v>2507</v>
      </c>
      <c r="E3081" t="s">
        <v>95</v>
      </c>
      <c r="F3081" t="s">
        <v>17</v>
      </c>
      <c r="G3081">
        <v>18</v>
      </c>
    </row>
    <row r="3082" spans="1:7" x14ac:dyDescent="0.35">
      <c r="A3082">
        <v>1959</v>
      </c>
      <c r="B3082">
        <v>28</v>
      </c>
      <c r="C3082" t="s">
        <v>22</v>
      </c>
      <c r="D3082">
        <v>5801</v>
      </c>
      <c r="E3082" t="s">
        <v>93</v>
      </c>
      <c r="F3082" t="s">
        <v>17</v>
      </c>
      <c r="G3082">
        <v>50</v>
      </c>
    </row>
    <row r="3083" spans="1:7" x14ac:dyDescent="0.35">
      <c r="A3083">
        <v>182490</v>
      </c>
      <c r="B3083">
        <v>1002</v>
      </c>
      <c r="C3083" t="s">
        <v>81</v>
      </c>
      <c r="D3083">
        <v>6311</v>
      </c>
      <c r="E3083" t="s">
        <v>89</v>
      </c>
      <c r="F3083" t="s">
        <v>14</v>
      </c>
      <c r="G3083">
        <v>10</v>
      </c>
    </row>
    <row r="3084" spans="1:7" x14ac:dyDescent="0.35">
      <c r="A3084">
        <v>87680</v>
      </c>
      <c r="B3084">
        <v>0</v>
      </c>
      <c r="C3084" t="s">
        <v>34</v>
      </c>
      <c r="D3084">
        <v>0</v>
      </c>
      <c r="E3084" t="s">
        <v>91</v>
      </c>
      <c r="F3084" t="s">
        <v>17</v>
      </c>
      <c r="G3084">
        <v>12</v>
      </c>
    </row>
    <row r="3085" spans="1:7" x14ac:dyDescent="0.35">
      <c r="A3085">
        <v>16643</v>
      </c>
      <c r="B3085">
        <v>0</v>
      </c>
      <c r="C3085" t="s">
        <v>18</v>
      </c>
      <c r="D3085">
        <v>1401</v>
      </c>
      <c r="E3085" t="s">
        <v>92</v>
      </c>
      <c r="F3085" t="s">
        <v>17</v>
      </c>
      <c r="G3085" t="s">
        <v>106</v>
      </c>
    </row>
    <row r="3086" spans="1:7" x14ac:dyDescent="0.35">
      <c r="A3086">
        <v>27338</v>
      </c>
      <c r="B3086">
        <v>2</v>
      </c>
      <c r="C3086" t="s">
        <v>39</v>
      </c>
      <c r="D3086">
        <v>0</v>
      </c>
      <c r="E3086" t="s">
        <v>98</v>
      </c>
      <c r="F3086" t="s">
        <v>30</v>
      </c>
      <c r="G3086">
        <v>7</v>
      </c>
    </row>
    <row r="3087" spans="1:7" x14ac:dyDescent="0.35">
      <c r="A3087">
        <v>155907</v>
      </c>
      <c r="B3087">
        <v>2</v>
      </c>
      <c r="C3087" t="s">
        <v>22</v>
      </c>
      <c r="D3087">
        <v>0</v>
      </c>
      <c r="E3087" t="s">
        <v>104</v>
      </c>
      <c r="F3087" t="s">
        <v>17</v>
      </c>
      <c r="G3087">
        <v>15</v>
      </c>
    </row>
    <row r="3088" spans="1:7" x14ac:dyDescent="0.35">
      <c r="A3088">
        <v>144050</v>
      </c>
      <c r="B3088">
        <v>1</v>
      </c>
      <c r="C3088" t="s">
        <v>22</v>
      </c>
      <c r="D3088">
        <v>0</v>
      </c>
      <c r="E3088" t="s">
        <v>93</v>
      </c>
      <c r="F3088" t="s">
        <v>14</v>
      </c>
      <c r="G3088">
        <v>22</v>
      </c>
    </row>
    <row r="3089" spans="1:7" x14ac:dyDescent="0.35">
      <c r="A3089">
        <v>108420</v>
      </c>
      <c r="B3089">
        <v>0</v>
      </c>
      <c r="C3089" t="s">
        <v>49</v>
      </c>
      <c r="D3089">
        <v>3306</v>
      </c>
      <c r="E3089" t="s">
        <v>88</v>
      </c>
      <c r="F3089" t="s">
        <v>17</v>
      </c>
      <c r="G3089">
        <v>13</v>
      </c>
    </row>
    <row r="3090" spans="1:7" x14ac:dyDescent="0.35">
      <c r="A3090">
        <v>21373</v>
      </c>
      <c r="B3090">
        <v>0</v>
      </c>
      <c r="C3090" t="s">
        <v>18</v>
      </c>
      <c r="D3090">
        <v>5901</v>
      </c>
      <c r="E3090" t="s">
        <v>89</v>
      </c>
      <c r="F3090" t="s">
        <v>17</v>
      </c>
      <c r="G3090">
        <v>7</v>
      </c>
    </row>
    <row r="3091" spans="1:7" x14ac:dyDescent="0.35">
      <c r="A3091">
        <v>61108</v>
      </c>
      <c r="B3091">
        <v>0</v>
      </c>
      <c r="C3091" t="s">
        <v>33</v>
      </c>
      <c r="D3091">
        <v>3701</v>
      </c>
      <c r="E3091" t="s">
        <v>96</v>
      </c>
      <c r="F3091" t="s">
        <v>14</v>
      </c>
      <c r="G3091">
        <v>7</v>
      </c>
    </row>
    <row r="3092" spans="1:7" x14ac:dyDescent="0.35">
      <c r="A3092">
        <v>87024</v>
      </c>
      <c r="B3092">
        <v>0</v>
      </c>
      <c r="C3092" t="s">
        <v>34</v>
      </c>
      <c r="D3092">
        <v>0</v>
      </c>
      <c r="E3092" t="s">
        <v>91</v>
      </c>
      <c r="F3092" t="s">
        <v>17</v>
      </c>
      <c r="G3092">
        <v>5</v>
      </c>
    </row>
    <row r="3093" spans="1:7" x14ac:dyDescent="0.35">
      <c r="A3093">
        <v>179673</v>
      </c>
      <c r="B3093">
        <v>1</v>
      </c>
      <c r="C3093" t="s">
        <v>40</v>
      </c>
      <c r="D3093">
        <v>1701</v>
      </c>
      <c r="E3093" t="s">
        <v>95</v>
      </c>
      <c r="F3093" t="s">
        <v>14</v>
      </c>
      <c r="G3093">
        <v>5</v>
      </c>
    </row>
    <row r="3094" spans="1:7" x14ac:dyDescent="0.35">
      <c r="A3094">
        <v>179606</v>
      </c>
      <c r="B3094">
        <v>28</v>
      </c>
      <c r="C3094" t="s">
        <v>40</v>
      </c>
      <c r="D3094">
        <v>1910</v>
      </c>
      <c r="E3094" t="s">
        <v>94</v>
      </c>
      <c r="F3094" t="s">
        <v>17</v>
      </c>
      <c r="G3094">
        <v>15</v>
      </c>
    </row>
    <row r="3095" spans="1:7" x14ac:dyDescent="0.35">
      <c r="A3095">
        <v>144038</v>
      </c>
      <c r="B3095">
        <v>0</v>
      </c>
      <c r="C3095" t="s">
        <v>22</v>
      </c>
      <c r="D3095">
        <v>0</v>
      </c>
      <c r="E3095" t="s">
        <v>102</v>
      </c>
      <c r="F3095" t="s">
        <v>17</v>
      </c>
      <c r="G3095">
        <v>50</v>
      </c>
    </row>
    <row r="3096" spans="1:7" x14ac:dyDescent="0.35">
      <c r="A3096">
        <v>5496</v>
      </c>
      <c r="B3096">
        <v>1</v>
      </c>
      <c r="C3096" t="s">
        <v>57</v>
      </c>
      <c r="D3096">
        <v>1309</v>
      </c>
      <c r="E3096" t="s">
        <v>98</v>
      </c>
      <c r="F3096" t="s">
        <v>14</v>
      </c>
      <c r="G3096">
        <v>5</v>
      </c>
    </row>
    <row r="3097" spans="1:7" x14ac:dyDescent="0.35">
      <c r="A3097">
        <v>118805</v>
      </c>
      <c r="B3097">
        <v>2</v>
      </c>
      <c r="C3097" t="s">
        <v>21</v>
      </c>
      <c r="D3097">
        <v>4304</v>
      </c>
      <c r="E3097" t="s">
        <v>92</v>
      </c>
      <c r="F3097" t="s">
        <v>17</v>
      </c>
      <c r="G3097">
        <v>20</v>
      </c>
    </row>
    <row r="3098" spans="1:7" x14ac:dyDescent="0.35">
      <c r="A3098">
        <v>66300</v>
      </c>
      <c r="B3098">
        <v>1</v>
      </c>
      <c r="C3098" t="s">
        <v>29</v>
      </c>
      <c r="D3098">
        <v>811</v>
      </c>
      <c r="E3098" t="s">
        <v>95</v>
      </c>
      <c r="F3098" t="s">
        <v>14</v>
      </c>
      <c r="G3098">
        <v>14</v>
      </c>
    </row>
    <row r="3099" spans="1:7" x14ac:dyDescent="0.35">
      <c r="A3099">
        <v>168648</v>
      </c>
      <c r="B3099">
        <v>1002</v>
      </c>
      <c r="C3099" t="s">
        <v>22</v>
      </c>
      <c r="D3099">
        <v>4210</v>
      </c>
      <c r="E3099" t="s">
        <v>93</v>
      </c>
      <c r="F3099" t="s">
        <v>14</v>
      </c>
      <c r="G3099">
        <v>14</v>
      </c>
    </row>
    <row r="3100" spans="1:7" x14ac:dyDescent="0.35">
      <c r="A3100">
        <v>33420</v>
      </c>
      <c r="B3100">
        <v>1</v>
      </c>
      <c r="C3100" t="s">
        <v>13</v>
      </c>
      <c r="D3100">
        <v>4210</v>
      </c>
      <c r="E3100" t="s">
        <v>92</v>
      </c>
      <c r="F3100" t="s">
        <v>14</v>
      </c>
      <c r="G3100">
        <v>25</v>
      </c>
    </row>
    <row r="3101" spans="1:7" x14ac:dyDescent="0.35">
      <c r="A3101">
        <v>139141</v>
      </c>
      <c r="B3101">
        <v>1</v>
      </c>
      <c r="C3101" t="s">
        <v>54</v>
      </c>
      <c r="D3101">
        <v>5801</v>
      </c>
      <c r="E3101" t="s">
        <v>89</v>
      </c>
      <c r="F3101" t="s">
        <v>14</v>
      </c>
      <c r="G3101">
        <v>25</v>
      </c>
    </row>
    <row r="3102" spans="1:7" x14ac:dyDescent="0.35">
      <c r="A3102">
        <v>182056</v>
      </c>
      <c r="B3102">
        <v>1</v>
      </c>
      <c r="C3102" t="s">
        <v>40</v>
      </c>
      <c r="D3102">
        <v>3002</v>
      </c>
      <c r="E3102" t="s">
        <v>101</v>
      </c>
      <c r="F3102" t="s">
        <v>14</v>
      </c>
      <c r="G3102">
        <v>5</v>
      </c>
    </row>
    <row r="3103" spans="1:7" x14ac:dyDescent="0.35">
      <c r="A3103">
        <v>15384</v>
      </c>
      <c r="B3103">
        <v>28</v>
      </c>
      <c r="C3103" t="s">
        <v>18</v>
      </c>
      <c r="D3103">
        <v>3801</v>
      </c>
      <c r="E3103" t="s">
        <v>88</v>
      </c>
      <c r="F3103" t="s">
        <v>17</v>
      </c>
      <c r="G3103">
        <v>15</v>
      </c>
    </row>
    <row r="3104" spans="1:7" x14ac:dyDescent="0.35">
      <c r="A3104">
        <v>171083</v>
      </c>
      <c r="B3104">
        <v>0</v>
      </c>
      <c r="C3104" t="s">
        <v>22</v>
      </c>
      <c r="D3104">
        <v>4301</v>
      </c>
      <c r="E3104" t="s">
        <v>90</v>
      </c>
      <c r="F3104" t="s">
        <v>17</v>
      </c>
      <c r="G3104">
        <v>25</v>
      </c>
    </row>
    <row r="3105" spans="1:7" x14ac:dyDescent="0.35">
      <c r="A3105">
        <v>171581</v>
      </c>
      <c r="B3105">
        <v>1</v>
      </c>
      <c r="C3105" t="s">
        <v>22</v>
      </c>
      <c r="D3105">
        <v>1001</v>
      </c>
      <c r="E3105" t="s">
        <v>93</v>
      </c>
      <c r="F3105" t="s">
        <v>14</v>
      </c>
      <c r="G3105">
        <v>5</v>
      </c>
    </row>
    <row r="3106" spans="1:7" x14ac:dyDescent="0.35">
      <c r="A3106">
        <v>13288</v>
      </c>
      <c r="B3106">
        <v>0</v>
      </c>
      <c r="C3106" t="s">
        <v>13</v>
      </c>
      <c r="D3106">
        <v>4901</v>
      </c>
      <c r="E3106" t="s">
        <v>88</v>
      </c>
      <c r="F3106" t="s">
        <v>17</v>
      </c>
      <c r="G3106">
        <v>20</v>
      </c>
    </row>
    <row r="3107" spans="1:7" x14ac:dyDescent="0.35">
      <c r="A3107">
        <v>102589</v>
      </c>
      <c r="B3107">
        <v>0</v>
      </c>
      <c r="C3107" t="s">
        <v>36</v>
      </c>
      <c r="D3107">
        <v>2607</v>
      </c>
      <c r="E3107" t="s">
        <v>91</v>
      </c>
      <c r="F3107" t="s">
        <v>14</v>
      </c>
      <c r="G3107">
        <v>100</v>
      </c>
    </row>
    <row r="3108" spans="1:7" x14ac:dyDescent="0.35">
      <c r="A3108">
        <v>43119</v>
      </c>
      <c r="B3108">
        <v>0</v>
      </c>
      <c r="C3108" t="s">
        <v>13</v>
      </c>
      <c r="D3108">
        <v>0</v>
      </c>
      <c r="E3108" t="s">
        <v>88</v>
      </c>
      <c r="F3108" t="s">
        <v>17</v>
      </c>
      <c r="G3108">
        <v>9</v>
      </c>
    </row>
    <row r="3109" spans="1:7" x14ac:dyDescent="0.35">
      <c r="A3109">
        <v>167202</v>
      </c>
      <c r="B3109">
        <v>0</v>
      </c>
      <c r="C3109" t="s">
        <v>22</v>
      </c>
      <c r="D3109">
        <v>1101</v>
      </c>
      <c r="E3109" t="s">
        <v>93</v>
      </c>
      <c r="F3109" t="s">
        <v>17</v>
      </c>
      <c r="G3109">
        <v>15</v>
      </c>
    </row>
    <row r="3110" spans="1:7" x14ac:dyDescent="0.35">
      <c r="A3110">
        <v>143332</v>
      </c>
      <c r="B3110">
        <v>1</v>
      </c>
      <c r="C3110" t="s">
        <v>22</v>
      </c>
      <c r="D3110">
        <v>3101</v>
      </c>
      <c r="E3110" t="s">
        <v>95</v>
      </c>
      <c r="F3110" t="s">
        <v>14</v>
      </c>
      <c r="G3110">
        <v>13</v>
      </c>
    </row>
    <row r="3111" spans="1:7" x14ac:dyDescent="0.35">
      <c r="A3111">
        <v>126945</v>
      </c>
      <c r="B3111">
        <v>1</v>
      </c>
      <c r="C3111" t="s">
        <v>21</v>
      </c>
      <c r="D3111">
        <v>5504</v>
      </c>
      <c r="E3111" t="s">
        <v>94</v>
      </c>
      <c r="F3111" t="s">
        <v>14</v>
      </c>
      <c r="G3111">
        <v>10</v>
      </c>
    </row>
    <row r="3112" spans="1:7" x14ac:dyDescent="0.35">
      <c r="A3112">
        <v>137900</v>
      </c>
      <c r="B3112">
        <v>2</v>
      </c>
      <c r="C3112" t="s">
        <v>55</v>
      </c>
      <c r="D3112">
        <v>3008</v>
      </c>
      <c r="E3112" t="s">
        <v>91</v>
      </c>
      <c r="F3112" t="s">
        <v>14</v>
      </c>
      <c r="G3112">
        <v>5</v>
      </c>
    </row>
    <row r="3113" spans="1:7" x14ac:dyDescent="0.35">
      <c r="A3113">
        <v>47161</v>
      </c>
      <c r="B3113">
        <v>1</v>
      </c>
      <c r="C3113" t="s">
        <v>43</v>
      </c>
      <c r="D3113">
        <v>1911</v>
      </c>
      <c r="E3113" t="s">
        <v>93</v>
      </c>
      <c r="F3113" t="s">
        <v>14</v>
      </c>
      <c r="G3113">
        <v>10</v>
      </c>
    </row>
    <row r="3114" spans="1:7" x14ac:dyDescent="0.35">
      <c r="A3114">
        <v>48551</v>
      </c>
      <c r="B3114">
        <v>0</v>
      </c>
      <c r="C3114" t="s">
        <v>43</v>
      </c>
      <c r="D3114">
        <v>4401</v>
      </c>
      <c r="E3114" t="s">
        <v>98</v>
      </c>
      <c r="F3114" t="s">
        <v>17</v>
      </c>
      <c r="G3114">
        <v>20</v>
      </c>
    </row>
    <row r="3115" spans="1:7" x14ac:dyDescent="0.35">
      <c r="A3115">
        <v>186482</v>
      </c>
      <c r="B3115">
        <v>1</v>
      </c>
      <c r="C3115" t="s">
        <v>59</v>
      </c>
      <c r="D3115">
        <v>5101</v>
      </c>
      <c r="E3115" t="s">
        <v>90</v>
      </c>
      <c r="F3115" t="s">
        <v>14</v>
      </c>
      <c r="G3115">
        <v>15</v>
      </c>
    </row>
    <row r="3116" spans="1:7" x14ac:dyDescent="0.35">
      <c r="A3116">
        <v>97537</v>
      </c>
      <c r="B3116">
        <v>1</v>
      </c>
      <c r="C3116" t="s">
        <v>16</v>
      </c>
      <c r="D3116">
        <v>7001</v>
      </c>
      <c r="E3116" t="s">
        <v>104</v>
      </c>
      <c r="F3116" t="s">
        <v>14</v>
      </c>
      <c r="G3116">
        <v>4</v>
      </c>
    </row>
    <row r="3117" spans="1:7" x14ac:dyDescent="0.35">
      <c r="A3117">
        <v>175782</v>
      </c>
      <c r="B3117">
        <v>0</v>
      </c>
      <c r="C3117" t="s">
        <v>50</v>
      </c>
      <c r="D3117">
        <v>0</v>
      </c>
      <c r="E3117" t="s">
        <v>90</v>
      </c>
      <c r="F3117" t="s">
        <v>17</v>
      </c>
      <c r="G3117">
        <v>21</v>
      </c>
    </row>
    <row r="3118" spans="1:7" x14ac:dyDescent="0.35">
      <c r="A3118">
        <v>2691</v>
      </c>
      <c r="B3118">
        <v>1</v>
      </c>
      <c r="C3118" t="s">
        <v>24</v>
      </c>
      <c r="D3118">
        <v>0</v>
      </c>
      <c r="E3118" t="s">
        <v>88</v>
      </c>
      <c r="G3118">
        <v>16</v>
      </c>
    </row>
    <row r="3119" spans="1:7" x14ac:dyDescent="0.35">
      <c r="A3119">
        <v>39031</v>
      </c>
      <c r="B3119">
        <v>0</v>
      </c>
      <c r="C3119" t="s">
        <v>13</v>
      </c>
      <c r="D3119">
        <v>5401</v>
      </c>
      <c r="E3119" t="s">
        <v>95</v>
      </c>
      <c r="F3119" t="s">
        <v>17</v>
      </c>
      <c r="G3119">
        <v>15</v>
      </c>
    </row>
    <row r="3120" spans="1:7" x14ac:dyDescent="0.35">
      <c r="A3120">
        <v>94902</v>
      </c>
      <c r="B3120">
        <v>1</v>
      </c>
      <c r="C3120" t="s">
        <v>16</v>
      </c>
      <c r="D3120">
        <v>0</v>
      </c>
      <c r="E3120" t="s">
        <v>95</v>
      </c>
      <c r="F3120" t="s">
        <v>14</v>
      </c>
      <c r="G3120">
        <v>30</v>
      </c>
    </row>
    <row r="3121" spans="1:7" x14ac:dyDescent="0.35">
      <c r="A3121">
        <v>60104</v>
      </c>
      <c r="B3121">
        <v>28</v>
      </c>
      <c r="C3121" t="s">
        <v>24</v>
      </c>
      <c r="D3121">
        <v>0</v>
      </c>
      <c r="E3121" t="s">
        <v>90</v>
      </c>
      <c r="F3121" t="s">
        <v>17</v>
      </c>
      <c r="G3121">
        <v>5</v>
      </c>
    </row>
    <row r="3122" spans="1:7" x14ac:dyDescent="0.35">
      <c r="A3122">
        <v>163843</v>
      </c>
      <c r="B3122">
        <v>1</v>
      </c>
      <c r="C3122" t="s">
        <v>22</v>
      </c>
      <c r="D3122">
        <v>4609</v>
      </c>
      <c r="E3122" t="s">
        <v>93</v>
      </c>
      <c r="F3122" t="s">
        <v>14</v>
      </c>
      <c r="G3122">
        <v>16</v>
      </c>
    </row>
    <row r="3123" spans="1:7" x14ac:dyDescent="0.35">
      <c r="A3123">
        <v>8768</v>
      </c>
      <c r="B3123">
        <v>2</v>
      </c>
      <c r="C3123" t="s">
        <v>22</v>
      </c>
      <c r="D3123">
        <v>1901</v>
      </c>
      <c r="F3123" t="s">
        <v>14</v>
      </c>
      <c r="G3123">
        <v>15</v>
      </c>
    </row>
    <row r="3124" spans="1:7" x14ac:dyDescent="0.35">
      <c r="A3124">
        <v>190626</v>
      </c>
      <c r="B3124">
        <v>0</v>
      </c>
      <c r="C3124" t="s">
        <v>13</v>
      </c>
      <c r="D3124">
        <v>2904</v>
      </c>
      <c r="E3124" t="s">
        <v>96</v>
      </c>
      <c r="F3124" t="s">
        <v>14</v>
      </c>
      <c r="G3124">
        <v>10</v>
      </c>
    </row>
    <row r="3125" spans="1:7" x14ac:dyDescent="0.35">
      <c r="A3125">
        <v>145786</v>
      </c>
      <c r="B3125">
        <v>1</v>
      </c>
      <c r="C3125" t="s">
        <v>22</v>
      </c>
      <c r="D3125">
        <v>1904</v>
      </c>
      <c r="E3125" t="s">
        <v>103</v>
      </c>
      <c r="F3125" t="s">
        <v>14</v>
      </c>
      <c r="G3125">
        <v>20</v>
      </c>
    </row>
    <row r="3126" spans="1:7" x14ac:dyDescent="0.35">
      <c r="A3126">
        <v>1927</v>
      </c>
      <c r="B3126">
        <v>0</v>
      </c>
      <c r="C3126" t="s">
        <v>40</v>
      </c>
      <c r="D3126">
        <v>5801</v>
      </c>
      <c r="E3126" t="s">
        <v>94</v>
      </c>
      <c r="F3126" t="s">
        <v>17</v>
      </c>
      <c r="G3126">
        <v>15</v>
      </c>
    </row>
    <row r="3127" spans="1:7" x14ac:dyDescent="0.35">
      <c r="A3127">
        <v>157100</v>
      </c>
      <c r="B3127">
        <v>0</v>
      </c>
      <c r="C3127" t="s">
        <v>22</v>
      </c>
      <c r="D3127">
        <v>4703</v>
      </c>
      <c r="E3127" t="s">
        <v>94</v>
      </c>
      <c r="F3127" t="s">
        <v>17</v>
      </c>
      <c r="G3127">
        <v>27</v>
      </c>
    </row>
    <row r="3128" spans="1:7" x14ac:dyDescent="0.35">
      <c r="A3128">
        <v>166870</v>
      </c>
      <c r="B3128">
        <v>28</v>
      </c>
      <c r="C3128" t="s">
        <v>22</v>
      </c>
      <c r="D3128">
        <v>0</v>
      </c>
      <c r="E3128" t="s">
        <v>93</v>
      </c>
      <c r="F3128" t="s">
        <v>17</v>
      </c>
      <c r="G3128">
        <v>14</v>
      </c>
    </row>
    <row r="3129" spans="1:7" x14ac:dyDescent="0.35">
      <c r="A3129">
        <v>108724</v>
      </c>
      <c r="B3129">
        <v>1002</v>
      </c>
      <c r="C3129" t="s">
        <v>49</v>
      </c>
      <c r="D3129">
        <v>4001</v>
      </c>
      <c r="E3129" t="s">
        <v>89</v>
      </c>
      <c r="F3129" t="s">
        <v>14</v>
      </c>
      <c r="G3129">
        <v>12</v>
      </c>
    </row>
    <row r="3130" spans="1:7" x14ac:dyDescent="0.35">
      <c r="A3130">
        <v>62400</v>
      </c>
      <c r="B3130">
        <v>0</v>
      </c>
      <c r="C3130" t="s">
        <v>33</v>
      </c>
      <c r="D3130">
        <v>1801</v>
      </c>
      <c r="E3130" t="s">
        <v>90</v>
      </c>
      <c r="F3130" t="s">
        <v>17</v>
      </c>
      <c r="G3130">
        <v>3</v>
      </c>
    </row>
    <row r="3131" spans="1:7" x14ac:dyDescent="0.35">
      <c r="A3131">
        <v>19864</v>
      </c>
      <c r="B3131">
        <v>1</v>
      </c>
      <c r="C3131" t="s">
        <v>18</v>
      </c>
      <c r="D3131">
        <v>4001</v>
      </c>
      <c r="E3131" t="s">
        <v>88</v>
      </c>
      <c r="F3131" t="s">
        <v>14</v>
      </c>
      <c r="G3131">
        <v>5</v>
      </c>
    </row>
    <row r="3132" spans="1:7" x14ac:dyDescent="0.35">
      <c r="A3132">
        <v>11961</v>
      </c>
      <c r="B3132">
        <v>0</v>
      </c>
      <c r="C3132" t="s">
        <v>22</v>
      </c>
      <c r="D3132">
        <v>5801</v>
      </c>
      <c r="E3132" t="s">
        <v>93</v>
      </c>
      <c r="F3132" t="s">
        <v>17</v>
      </c>
      <c r="G3132">
        <v>25</v>
      </c>
    </row>
    <row r="3133" spans="1:7" x14ac:dyDescent="0.35">
      <c r="A3133">
        <v>20302</v>
      </c>
      <c r="B3133">
        <v>0</v>
      </c>
      <c r="C3133" t="s">
        <v>18</v>
      </c>
      <c r="D3133">
        <v>0</v>
      </c>
      <c r="E3133" t="s">
        <v>98</v>
      </c>
      <c r="F3133" t="s">
        <v>30</v>
      </c>
      <c r="G3133">
        <v>1</v>
      </c>
    </row>
    <row r="3134" spans="1:7" x14ac:dyDescent="0.35">
      <c r="A3134">
        <v>188190</v>
      </c>
      <c r="B3134">
        <v>0</v>
      </c>
      <c r="C3134" t="s">
        <v>46</v>
      </c>
      <c r="D3134">
        <v>2001</v>
      </c>
      <c r="E3134" t="s">
        <v>104</v>
      </c>
      <c r="F3134" t="s">
        <v>17</v>
      </c>
      <c r="G3134">
        <v>5</v>
      </c>
    </row>
    <row r="3135" spans="1:7" x14ac:dyDescent="0.35">
      <c r="A3135">
        <v>174974</v>
      </c>
      <c r="B3135">
        <v>0</v>
      </c>
      <c r="C3135" t="s">
        <v>50</v>
      </c>
      <c r="D3135">
        <v>2603</v>
      </c>
      <c r="E3135" t="s">
        <v>91</v>
      </c>
      <c r="F3135" t="s">
        <v>14</v>
      </c>
      <c r="G3135">
        <v>10</v>
      </c>
    </row>
    <row r="3136" spans="1:7" x14ac:dyDescent="0.35">
      <c r="A3136">
        <v>97315</v>
      </c>
      <c r="B3136">
        <v>1</v>
      </c>
      <c r="C3136" t="s">
        <v>16</v>
      </c>
      <c r="D3136">
        <v>2801</v>
      </c>
      <c r="E3136" t="s">
        <v>96</v>
      </c>
      <c r="F3136" t="s">
        <v>14</v>
      </c>
      <c r="G3136">
        <v>14</v>
      </c>
    </row>
    <row r="3137" spans="1:7" x14ac:dyDescent="0.35">
      <c r="A3137">
        <v>111981</v>
      </c>
      <c r="B3137">
        <v>2</v>
      </c>
      <c r="C3137" t="s">
        <v>32</v>
      </c>
      <c r="D3137">
        <v>0</v>
      </c>
      <c r="E3137" t="s">
        <v>91</v>
      </c>
      <c r="F3137" t="s">
        <v>17</v>
      </c>
      <c r="G3137">
        <v>20</v>
      </c>
    </row>
    <row r="3138" spans="1:7" x14ac:dyDescent="0.35">
      <c r="A3138">
        <v>118361</v>
      </c>
      <c r="B3138">
        <v>2</v>
      </c>
      <c r="C3138" t="s">
        <v>21</v>
      </c>
      <c r="D3138">
        <v>2209</v>
      </c>
      <c r="E3138" t="s">
        <v>100</v>
      </c>
      <c r="F3138" t="s">
        <v>17</v>
      </c>
      <c r="G3138">
        <v>10</v>
      </c>
    </row>
    <row r="3139" spans="1:7" x14ac:dyDescent="0.35">
      <c r="A3139">
        <v>131434</v>
      </c>
      <c r="B3139">
        <v>0</v>
      </c>
      <c r="C3139" t="s">
        <v>48</v>
      </c>
      <c r="D3139">
        <v>2601</v>
      </c>
      <c r="E3139" t="s">
        <v>100</v>
      </c>
      <c r="F3139" t="s">
        <v>17</v>
      </c>
      <c r="G3139">
        <v>20</v>
      </c>
    </row>
    <row r="3140" spans="1:7" x14ac:dyDescent="0.35">
      <c r="A3140">
        <v>55503</v>
      </c>
      <c r="B3140">
        <v>0</v>
      </c>
      <c r="C3140" t="s">
        <v>62</v>
      </c>
      <c r="D3140">
        <v>1401</v>
      </c>
      <c r="E3140" t="s">
        <v>91</v>
      </c>
      <c r="F3140" t="s">
        <v>14</v>
      </c>
      <c r="G3140">
        <v>10</v>
      </c>
    </row>
    <row r="3141" spans="1:7" x14ac:dyDescent="0.35">
      <c r="A3141">
        <v>106862</v>
      </c>
      <c r="B3141">
        <v>0</v>
      </c>
      <c r="C3141" t="s">
        <v>59</v>
      </c>
      <c r="D3141">
        <v>5101</v>
      </c>
      <c r="E3141" t="s">
        <v>90</v>
      </c>
      <c r="F3141" t="s">
        <v>17</v>
      </c>
      <c r="G3141">
        <v>10</v>
      </c>
    </row>
    <row r="3142" spans="1:7" x14ac:dyDescent="0.35">
      <c r="A3142">
        <v>119315</v>
      </c>
      <c r="B3142">
        <v>0</v>
      </c>
      <c r="C3142" t="s">
        <v>21</v>
      </c>
      <c r="D3142">
        <v>7301</v>
      </c>
      <c r="E3142" t="s">
        <v>96</v>
      </c>
      <c r="F3142" t="s">
        <v>17</v>
      </c>
      <c r="G3142">
        <v>13</v>
      </c>
    </row>
    <row r="3143" spans="1:7" x14ac:dyDescent="0.35">
      <c r="A3143">
        <v>27010</v>
      </c>
      <c r="B3143">
        <v>0</v>
      </c>
      <c r="C3143" t="s">
        <v>39</v>
      </c>
      <c r="D3143">
        <v>0</v>
      </c>
      <c r="E3143" t="s">
        <v>89</v>
      </c>
      <c r="F3143" t="s">
        <v>30</v>
      </c>
      <c r="G3143">
        <v>16</v>
      </c>
    </row>
    <row r="3144" spans="1:7" x14ac:dyDescent="0.35">
      <c r="A3144">
        <v>186448</v>
      </c>
      <c r="B3144">
        <v>2</v>
      </c>
      <c r="C3144" t="s">
        <v>22</v>
      </c>
      <c r="D3144">
        <v>0</v>
      </c>
      <c r="E3144" t="s">
        <v>93</v>
      </c>
      <c r="F3144" t="s">
        <v>14</v>
      </c>
      <c r="G3144">
        <v>10</v>
      </c>
    </row>
    <row r="3145" spans="1:7" x14ac:dyDescent="0.35">
      <c r="A3145">
        <v>92348</v>
      </c>
      <c r="B3145">
        <v>0</v>
      </c>
      <c r="C3145" t="s">
        <v>16</v>
      </c>
      <c r="D3145">
        <v>4201</v>
      </c>
      <c r="E3145" t="s">
        <v>93</v>
      </c>
      <c r="F3145" t="s">
        <v>17</v>
      </c>
      <c r="G3145">
        <v>10</v>
      </c>
    </row>
    <row r="3146" spans="1:7" x14ac:dyDescent="0.35">
      <c r="A3146">
        <v>115179</v>
      </c>
      <c r="B3146">
        <v>0</v>
      </c>
      <c r="C3146" t="s">
        <v>31</v>
      </c>
      <c r="D3146">
        <v>6601</v>
      </c>
      <c r="E3146" t="s">
        <v>89</v>
      </c>
      <c r="F3146" t="s">
        <v>17</v>
      </c>
      <c r="G3146">
        <v>10</v>
      </c>
    </row>
    <row r="3147" spans="1:7" x14ac:dyDescent="0.35">
      <c r="A3147">
        <v>27039</v>
      </c>
      <c r="B3147">
        <v>2</v>
      </c>
      <c r="C3147" t="s">
        <v>39</v>
      </c>
      <c r="D3147">
        <v>0</v>
      </c>
      <c r="E3147" t="s">
        <v>91</v>
      </c>
      <c r="F3147" t="s">
        <v>17</v>
      </c>
      <c r="G3147">
        <v>15</v>
      </c>
    </row>
    <row r="3148" spans="1:7" x14ac:dyDescent="0.35">
      <c r="A3148">
        <v>27968</v>
      </c>
      <c r="B3148">
        <v>2</v>
      </c>
      <c r="C3148" t="s">
        <v>39</v>
      </c>
      <c r="D3148">
        <v>0</v>
      </c>
      <c r="E3148" t="s">
        <v>91</v>
      </c>
      <c r="F3148" t="s">
        <v>17</v>
      </c>
      <c r="G3148">
        <v>5</v>
      </c>
    </row>
    <row r="3149" spans="1:7" x14ac:dyDescent="0.35">
      <c r="A3149">
        <v>86985</v>
      </c>
      <c r="B3149">
        <v>0</v>
      </c>
      <c r="C3149" t="s">
        <v>34</v>
      </c>
      <c r="D3149">
        <v>4401</v>
      </c>
      <c r="E3149" t="s">
        <v>88</v>
      </c>
      <c r="F3149" t="s">
        <v>17</v>
      </c>
      <c r="G3149">
        <v>15</v>
      </c>
    </row>
    <row r="3150" spans="1:7" x14ac:dyDescent="0.35">
      <c r="A3150">
        <v>23989</v>
      </c>
      <c r="B3150">
        <v>2</v>
      </c>
      <c r="C3150" t="s">
        <v>46</v>
      </c>
      <c r="D3150">
        <v>2501</v>
      </c>
      <c r="E3150" t="s">
        <v>89</v>
      </c>
      <c r="F3150" t="s">
        <v>17</v>
      </c>
      <c r="G3150">
        <v>15</v>
      </c>
    </row>
    <row r="3151" spans="1:7" x14ac:dyDescent="0.35">
      <c r="A3151">
        <v>155114</v>
      </c>
      <c r="B3151">
        <v>0</v>
      </c>
      <c r="C3151" t="s">
        <v>22</v>
      </c>
      <c r="D3151">
        <v>8108</v>
      </c>
      <c r="E3151" t="s">
        <v>90</v>
      </c>
      <c r="G3151">
        <v>14</v>
      </c>
    </row>
    <row r="3152" spans="1:7" x14ac:dyDescent="0.35">
      <c r="A3152">
        <v>35914</v>
      </c>
      <c r="B3152">
        <v>1</v>
      </c>
      <c r="C3152" t="s">
        <v>13</v>
      </c>
      <c r="D3152">
        <v>2802</v>
      </c>
      <c r="E3152" t="s">
        <v>90</v>
      </c>
      <c r="F3152" t="s">
        <v>14</v>
      </c>
      <c r="G3152">
        <v>2</v>
      </c>
    </row>
    <row r="3153" spans="1:7" x14ac:dyDescent="0.35">
      <c r="A3153">
        <v>92148</v>
      </c>
      <c r="B3153">
        <v>1</v>
      </c>
      <c r="C3153" t="s">
        <v>16</v>
      </c>
      <c r="D3153">
        <v>6001</v>
      </c>
      <c r="E3153" t="s">
        <v>92</v>
      </c>
      <c r="F3153" t="s">
        <v>14</v>
      </c>
      <c r="G3153">
        <v>25</v>
      </c>
    </row>
    <row r="3154" spans="1:7" x14ac:dyDescent="0.35">
      <c r="A3154">
        <v>94177</v>
      </c>
      <c r="B3154">
        <v>28</v>
      </c>
      <c r="C3154" t="s">
        <v>16</v>
      </c>
      <c r="D3154">
        <v>3203</v>
      </c>
      <c r="E3154" t="s">
        <v>90</v>
      </c>
      <c r="F3154" t="s">
        <v>17</v>
      </c>
      <c r="G3154">
        <v>11</v>
      </c>
    </row>
    <row r="3155" spans="1:7" x14ac:dyDescent="0.35">
      <c r="A3155">
        <v>24902</v>
      </c>
      <c r="B3155">
        <v>0</v>
      </c>
      <c r="C3155" t="s">
        <v>46</v>
      </c>
      <c r="D3155">
        <v>0</v>
      </c>
      <c r="E3155" t="s">
        <v>89</v>
      </c>
      <c r="F3155" t="s">
        <v>14</v>
      </c>
      <c r="G3155">
        <v>8</v>
      </c>
    </row>
    <row r="3156" spans="1:7" x14ac:dyDescent="0.35">
      <c r="A3156">
        <v>178433</v>
      </c>
      <c r="B3156">
        <v>2</v>
      </c>
      <c r="C3156" t="s">
        <v>41</v>
      </c>
      <c r="D3156">
        <v>3503</v>
      </c>
      <c r="E3156" t="s">
        <v>93</v>
      </c>
      <c r="F3156" t="s">
        <v>14</v>
      </c>
      <c r="G3156">
        <v>35</v>
      </c>
    </row>
    <row r="3157" spans="1:7" x14ac:dyDescent="0.35">
      <c r="A3157">
        <v>18466</v>
      </c>
      <c r="B3157">
        <v>2</v>
      </c>
      <c r="C3157" t="s">
        <v>18</v>
      </c>
      <c r="D3157">
        <v>5801</v>
      </c>
      <c r="E3157" t="s">
        <v>91</v>
      </c>
      <c r="F3157" t="s">
        <v>17</v>
      </c>
      <c r="G3157">
        <v>6</v>
      </c>
    </row>
    <row r="3158" spans="1:7" x14ac:dyDescent="0.35">
      <c r="A3158">
        <v>157425</v>
      </c>
      <c r="B3158">
        <v>1</v>
      </c>
      <c r="C3158" t="s">
        <v>22</v>
      </c>
      <c r="D3158">
        <v>4501</v>
      </c>
      <c r="F3158" t="s">
        <v>14</v>
      </c>
      <c r="G3158">
        <v>25</v>
      </c>
    </row>
    <row r="3159" spans="1:7" x14ac:dyDescent="0.35">
      <c r="A3159">
        <v>166891</v>
      </c>
      <c r="B3159">
        <v>2</v>
      </c>
      <c r="C3159" t="s">
        <v>22</v>
      </c>
      <c r="D3159">
        <v>2906</v>
      </c>
      <c r="E3159" t="s">
        <v>93</v>
      </c>
      <c r="F3159" t="s">
        <v>14</v>
      </c>
      <c r="G3159">
        <v>10</v>
      </c>
    </row>
    <row r="3160" spans="1:7" x14ac:dyDescent="0.35">
      <c r="A3160">
        <v>54530</v>
      </c>
      <c r="B3160">
        <v>1</v>
      </c>
      <c r="C3160" t="s">
        <v>62</v>
      </c>
      <c r="D3160">
        <v>0</v>
      </c>
      <c r="E3160" t="s">
        <v>98</v>
      </c>
      <c r="F3160" t="s">
        <v>14</v>
      </c>
      <c r="G3160">
        <v>10</v>
      </c>
    </row>
    <row r="3161" spans="1:7" x14ac:dyDescent="0.35">
      <c r="A3161">
        <v>41819</v>
      </c>
      <c r="B3161">
        <v>1</v>
      </c>
      <c r="C3161" t="s">
        <v>13</v>
      </c>
      <c r="D3161">
        <v>4801</v>
      </c>
      <c r="E3161" t="s">
        <v>102</v>
      </c>
      <c r="F3161" t="s">
        <v>14</v>
      </c>
      <c r="G3161">
        <v>15</v>
      </c>
    </row>
    <row r="3162" spans="1:7" x14ac:dyDescent="0.35">
      <c r="A3162">
        <v>148636</v>
      </c>
      <c r="B3162">
        <v>0</v>
      </c>
      <c r="C3162" t="s">
        <v>22</v>
      </c>
      <c r="D3162">
        <v>1201</v>
      </c>
      <c r="E3162" t="s">
        <v>103</v>
      </c>
      <c r="F3162" t="s">
        <v>17</v>
      </c>
      <c r="G3162">
        <v>10</v>
      </c>
    </row>
    <row r="3163" spans="1:7" x14ac:dyDescent="0.35">
      <c r="A3163">
        <v>70090</v>
      </c>
      <c r="B3163">
        <v>0</v>
      </c>
      <c r="C3163" t="s">
        <v>29</v>
      </c>
      <c r="D3163">
        <v>4611</v>
      </c>
      <c r="E3163" t="s">
        <v>96</v>
      </c>
      <c r="F3163" t="s">
        <v>17</v>
      </c>
      <c r="G3163">
        <v>21</v>
      </c>
    </row>
    <row r="3164" spans="1:7" x14ac:dyDescent="0.35">
      <c r="A3164">
        <v>11704</v>
      </c>
      <c r="B3164">
        <v>1</v>
      </c>
      <c r="C3164" t="s">
        <v>16</v>
      </c>
      <c r="D3164">
        <v>2603</v>
      </c>
      <c r="E3164" t="s">
        <v>90</v>
      </c>
      <c r="F3164" t="s">
        <v>14</v>
      </c>
      <c r="G3164">
        <v>10</v>
      </c>
    </row>
    <row r="3165" spans="1:7" x14ac:dyDescent="0.35">
      <c r="A3165">
        <v>86775</v>
      </c>
      <c r="B3165">
        <v>1</v>
      </c>
      <c r="C3165" t="s">
        <v>45</v>
      </c>
      <c r="D3165">
        <v>0</v>
      </c>
      <c r="E3165" t="s">
        <v>98</v>
      </c>
      <c r="F3165" t="s">
        <v>14</v>
      </c>
      <c r="G3165">
        <v>10</v>
      </c>
    </row>
    <row r="3166" spans="1:7" x14ac:dyDescent="0.35">
      <c r="A3166">
        <v>124935</v>
      </c>
      <c r="B3166">
        <v>2</v>
      </c>
      <c r="C3166" t="s">
        <v>21</v>
      </c>
      <c r="D3166">
        <v>1701</v>
      </c>
      <c r="E3166" t="s">
        <v>91</v>
      </c>
      <c r="F3166" t="s">
        <v>14</v>
      </c>
      <c r="G3166">
        <v>25</v>
      </c>
    </row>
    <row r="3167" spans="1:7" x14ac:dyDescent="0.35">
      <c r="A3167">
        <v>147600</v>
      </c>
      <c r="B3167">
        <v>0</v>
      </c>
      <c r="C3167" t="s">
        <v>22</v>
      </c>
      <c r="D3167">
        <v>0</v>
      </c>
      <c r="E3167" t="s">
        <v>95</v>
      </c>
      <c r="F3167" t="s">
        <v>17</v>
      </c>
      <c r="G3167">
        <v>5</v>
      </c>
    </row>
    <row r="3168" spans="1:7" x14ac:dyDescent="0.35">
      <c r="A3168">
        <v>101596</v>
      </c>
      <c r="B3168">
        <v>0</v>
      </c>
      <c r="C3168" t="s">
        <v>36</v>
      </c>
      <c r="D3168">
        <v>0</v>
      </c>
      <c r="E3168" t="s">
        <v>98</v>
      </c>
      <c r="F3168" t="s">
        <v>17</v>
      </c>
      <c r="G3168">
        <v>16</v>
      </c>
    </row>
    <row r="3169" spans="1:7" x14ac:dyDescent="0.35">
      <c r="A3169">
        <v>175000</v>
      </c>
      <c r="B3169">
        <v>2</v>
      </c>
      <c r="C3169" t="s">
        <v>50</v>
      </c>
      <c r="D3169">
        <v>3307</v>
      </c>
      <c r="E3169" t="s">
        <v>89</v>
      </c>
      <c r="F3169" t="s">
        <v>17</v>
      </c>
      <c r="G3169">
        <v>17</v>
      </c>
    </row>
    <row r="3170" spans="1:7" x14ac:dyDescent="0.35">
      <c r="A3170">
        <v>14798</v>
      </c>
      <c r="B3170">
        <v>0</v>
      </c>
      <c r="C3170" t="s">
        <v>22</v>
      </c>
      <c r="D3170">
        <v>1211</v>
      </c>
      <c r="E3170" t="s">
        <v>90</v>
      </c>
      <c r="F3170" t="s">
        <v>17</v>
      </c>
      <c r="G3170">
        <v>10</v>
      </c>
    </row>
    <row r="3171" spans="1:7" x14ac:dyDescent="0.35">
      <c r="A3171">
        <v>120800</v>
      </c>
      <c r="B3171">
        <v>1</v>
      </c>
      <c r="C3171" t="s">
        <v>21</v>
      </c>
      <c r="D3171">
        <v>3201</v>
      </c>
      <c r="E3171" t="s">
        <v>88</v>
      </c>
      <c r="F3171" t="s">
        <v>14</v>
      </c>
      <c r="G3171">
        <v>10</v>
      </c>
    </row>
    <row r="3172" spans="1:7" x14ac:dyDescent="0.35">
      <c r="A3172">
        <v>187639</v>
      </c>
      <c r="B3172">
        <v>1</v>
      </c>
      <c r="C3172" t="s">
        <v>13</v>
      </c>
      <c r="D3172">
        <v>0</v>
      </c>
      <c r="E3172" t="s">
        <v>92</v>
      </c>
      <c r="F3172" t="s">
        <v>14</v>
      </c>
      <c r="G3172">
        <v>10</v>
      </c>
    </row>
    <row r="3173" spans="1:7" x14ac:dyDescent="0.35">
      <c r="A3173">
        <v>142487</v>
      </c>
      <c r="B3173">
        <v>28</v>
      </c>
      <c r="C3173" t="s">
        <v>22</v>
      </c>
      <c r="D3173">
        <v>201</v>
      </c>
      <c r="E3173" t="s">
        <v>93</v>
      </c>
      <c r="F3173" t="s">
        <v>17</v>
      </c>
      <c r="G3173">
        <v>20</v>
      </c>
    </row>
    <row r="3174" spans="1:7" x14ac:dyDescent="0.35">
      <c r="A3174">
        <v>134895</v>
      </c>
      <c r="B3174">
        <v>0</v>
      </c>
      <c r="C3174" t="s">
        <v>38</v>
      </c>
      <c r="D3174">
        <v>0</v>
      </c>
      <c r="E3174" t="s">
        <v>91</v>
      </c>
      <c r="F3174" t="s">
        <v>17</v>
      </c>
      <c r="G3174">
        <v>10</v>
      </c>
    </row>
    <row r="3175" spans="1:7" x14ac:dyDescent="0.35">
      <c r="A3175">
        <v>171205</v>
      </c>
      <c r="B3175">
        <v>228</v>
      </c>
      <c r="C3175" t="s">
        <v>22</v>
      </c>
      <c r="D3175">
        <v>0</v>
      </c>
      <c r="E3175" t="s">
        <v>91</v>
      </c>
      <c r="F3175" t="s">
        <v>17</v>
      </c>
      <c r="G3175">
        <v>12</v>
      </c>
    </row>
    <row r="3176" spans="1:7" x14ac:dyDescent="0.35">
      <c r="A3176">
        <v>7451</v>
      </c>
      <c r="B3176">
        <v>2</v>
      </c>
      <c r="C3176" t="s">
        <v>46</v>
      </c>
      <c r="D3176">
        <v>1401</v>
      </c>
      <c r="E3176" t="s">
        <v>92</v>
      </c>
      <c r="G3176">
        <v>22</v>
      </c>
    </row>
    <row r="3177" spans="1:7" x14ac:dyDescent="0.35">
      <c r="A3177">
        <v>95450</v>
      </c>
      <c r="B3177">
        <v>0</v>
      </c>
      <c r="C3177" t="s">
        <v>16</v>
      </c>
      <c r="D3177">
        <v>5201</v>
      </c>
      <c r="E3177" t="s">
        <v>104</v>
      </c>
      <c r="F3177" t="s">
        <v>17</v>
      </c>
      <c r="G3177">
        <v>11</v>
      </c>
    </row>
    <row r="3178" spans="1:7" x14ac:dyDescent="0.35">
      <c r="A3178">
        <v>129598</v>
      </c>
      <c r="B3178">
        <v>1</v>
      </c>
      <c r="C3178" t="s">
        <v>48</v>
      </c>
      <c r="D3178">
        <v>5007</v>
      </c>
      <c r="E3178" t="s">
        <v>97</v>
      </c>
      <c r="F3178" t="s">
        <v>14</v>
      </c>
      <c r="G3178">
        <v>37</v>
      </c>
    </row>
    <row r="3179" spans="1:7" x14ac:dyDescent="0.35">
      <c r="A3179">
        <v>99268</v>
      </c>
      <c r="B3179">
        <v>1</v>
      </c>
      <c r="C3179" t="s">
        <v>16</v>
      </c>
      <c r="D3179">
        <v>3905</v>
      </c>
      <c r="E3179" t="s">
        <v>98</v>
      </c>
      <c r="F3179" t="s">
        <v>14</v>
      </c>
      <c r="G3179">
        <v>15</v>
      </c>
    </row>
    <row r="3180" spans="1:7" x14ac:dyDescent="0.35">
      <c r="A3180">
        <v>82739</v>
      </c>
      <c r="B3180">
        <v>1</v>
      </c>
      <c r="C3180" t="s">
        <v>56</v>
      </c>
      <c r="D3180">
        <v>6201</v>
      </c>
      <c r="E3180" t="s">
        <v>90</v>
      </c>
      <c r="F3180" t="s">
        <v>14</v>
      </c>
      <c r="G3180">
        <v>20</v>
      </c>
    </row>
    <row r="3181" spans="1:7" x14ac:dyDescent="0.35">
      <c r="A3181">
        <v>81319</v>
      </c>
      <c r="B3181">
        <v>0</v>
      </c>
      <c r="C3181" t="s">
        <v>35</v>
      </c>
      <c r="D3181">
        <v>0</v>
      </c>
      <c r="E3181" t="s">
        <v>98</v>
      </c>
      <c r="F3181" t="s">
        <v>17</v>
      </c>
      <c r="G3181">
        <v>15</v>
      </c>
    </row>
    <row r="3182" spans="1:7" x14ac:dyDescent="0.35">
      <c r="A3182">
        <v>1685</v>
      </c>
      <c r="B3182">
        <v>0</v>
      </c>
      <c r="C3182" t="s">
        <v>22</v>
      </c>
      <c r="D3182">
        <v>3001</v>
      </c>
      <c r="E3182" t="s">
        <v>91</v>
      </c>
      <c r="G3182">
        <v>20</v>
      </c>
    </row>
    <row r="3183" spans="1:7" x14ac:dyDescent="0.35">
      <c r="A3183">
        <v>108781</v>
      </c>
      <c r="B3183">
        <v>0</v>
      </c>
      <c r="C3183" t="s">
        <v>49</v>
      </c>
      <c r="D3183">
        <v>2610</v>
      </c>
      <c r="E3183" t="s">
        <v>94</v>
      </c>
      <c r="F3183" t="s">
        <v>17</v>
      </c>
      <c r="G3183">
        <v>24</v>
      </c>
    </row>
    <row r="3184" spans="1:7" x14ac:dyDescent="0.35">
      <c r="A3184">
        <v>188999</v>
      </c>
      <c r="B3184">
        <v>0</v>
      </c>
      <c r="C3184" t="s">
        <v>45</v>
      </c>
      <c r="D3184">
        <v>0</v>
      </c>
      <c r="E3184" t="s">
        <v>92</v>
      </c>
      <c r="F3184" t="s">
        <v>14</v>
      </c>
      <c r="G3184">
        <v>5</v>
      </c>
    </row>
    <row r="3185" spans="1:7" x14ac:dyDescent="0.35">
      <c r="A3185">
        <v>72936</v>
      </c>
      <c r="B3185">
        <v>1</v>
      </c>
      <c r="C3185" t="s">
        <v>29</v>
      </c>
      <c r="D3185">
        <v>6111</v>
      </c>
      <c r="E3185" t="s">
        <v>98</v>
      </c>
      <c r="F3185" t="s">
        <v>14</v>
      </c>
      <c r="G3185">
        <v>20</v>
      </c>
    </row>
    <row r="3186" spans="1:7" x14ac:dyDescent="0.35">
      <c r="A3186">
        <v>143011</v>
      </c>
      <c r="B3186">
        <v>0</v>
      </c>
      <c r="C3186" t="s">
        <v>22</v>
      </c>
      <c r="D3186">
        <v>0</v>
      </c>
      <c r="E3186" t="s">
        <v>95</v>
      </c>
      <c r="G3186">
        <v>5</v>
      </c>
    </row>
    <row r="3187" spans="1:7" x14ac:dyDescent="0.35">
      <c r="A3187">
        <v>66219</v>
      </c>
      <c r="B3187">
        <v>1</v>
      </c>
      <c r="C3187" t="s">
        <v>29</v>
      </c>
      <c r="D3187">
        <v>5612</v>
      </c>
      <c r="E3187" t="s">
        <v>93</v>
      </c>
      <c r="F3187" t="s">
        <v>14</v>
      </c>
      <c r="G3187">
        <v>50</v>
      </c>
    </row>
    <row r="3188" spans="1:7" x14ac:dyDescent="0.35">
      <c r="A3188">
        <v>159883</v>
      </c>
      <c r="B3188">
        <v>2</v>
      </c>
      <c r="C3188" t="s">
        <v>22</v>
      </c>
      <c r="D3188">
        <v>2207</v>
      </c>
      <c r="E3188" t="s">
        <v>96</v>
      </c>
      <c r="F3188" t="s">
        <v>17</v>
      </c>
      <c r="G3188">
        <v>10</v>
      </c>
    </row>
    <row r="3189" spans="1:7" x14ac:dyDescent="0.35">
      <c r="A3189">
        <v>95525</v>
      </c>
      <c r="B3189">
        <v>1</v>
      </c>
      <c r="C3189" t="s">
        <v>16</v>
      </c>
      <c r="D3189">
        <v>0</v>
      </c>
      <c r="E3189" t="s">
        <v>91</v>
      </c>
      <c r="F3189" t="s">
        <v>14</v>
      </c>
      <c r="G3189">
        <v>30</v>
      </c>
    </row>
    <row r="3190" spans="1:7" x14ac:dyDescent="0.35">
      <c r="A3190">
        <v>188778</v>
      </c>
      <c r="B3190">
        <v>0</v>
      </c>
      <c r="C3190" t="s">
        <v>13</v>
      </c>
      <c r="D3190">
        <v>5603</v>
      </c>
      <c r="G3190">
        <v>20</v>
      </c>
    </row>
    <row r="3191" spans="1:7" x14ac:dyDescent="0.35">
      <c r="A3191">
        <v>55527</v>
      </c>
      <c r="B3191">
        <v>0</v>
      </c>
      <c r="C3191" t="s">
        <v>62</v>
      </c>
      <c r="D3191">
        <v>6409</v>
      </c>
      <c r="E3191" t="s">
        <v>88</v>
      </c>
      <c r="F3191" t="s">
        <v>17</v>
      </c>
      <c r="G3191">
        <v>4</v>
      </c>
    </row>
    <row r="3192" spans="1:7" x14ac:dyDescent="0.35">
      <c r="A3192">
        <v>151788</v>
      </c>
      <c r="B3192">
        <v>0</v>
      </c>
      <c r="C3192" t="s">
        <v>22</v>
      </c>
      <c r="D3192">
        <v>3301</v>
      </c>
      <c r="E3192" t="s">
        <v>101</v>
      </c>
      <c r="F3192" t="s">
        <v>17</v>
      </c>
      <c r="G3192">
        <v>10</v>
      </c>
    </row>
    <row r="3193" spans="1:7" x14ac:dyDescent="0.35">
      <c r="A3193">
        <v>173997</v>
      </c>
      <c r="B3193">
        <v>1</v>
      </c>
      <c r="C3193" t="s">
        <v>37</v>
      </c>
      <c r="D3193">
        <v>3701</v>
      </c>
      <c r="E3193" t="s">
        <v>95</v>
      </c>
      <c r="F3193" t="s">
        <v>14</v>
      </c>
      <c r="G3193">
        <v>20</v>
      </c>
    </row>
    <row r="3194" spans="1:7" x14ac:dyDescent="0.35">
      <c r="A3194">
        <v>145383</v>
      </c>
      <c r="B3194">
        <v>1</v>
      </c>
      <c r="C3194" t="s">
        <v>22</v>
      </c>
      <c r="D3194">
        <v>3801</v>
      </c>
      <c r="E3194" t="s">
        <v>93</v>
      </c>
      <c r="F3194" t="s">
        <v>14</v>
      </c>
      <c r="G3194">
        <v>10</v>
      </c>
    </row>
    <row r="3195" spans="1:7" x14ac:dyDescent="0.35">
      <c r="A3195">
        <v>176221</v>
      </c>
      <c r="B3195">
        <v>0</v>
      </c>
      <c r="C3195" t="s">
        <v>50</v>
      </c>
      <c r="D3195">
        <v>0</v>
      </c>
      <c r="E3195" t="s">
        <v>90</v>
      </c>
      <c r="F3195" t="s">
        <v>17</v>
      </c>
      <c r="G3195">
        <v>13</v>
      </c>
    </row>
    <row r="3196" spans="1:7" x14ac:dyDescent="0.35">
      <c r="A3196">
        <v>50688</v>
      </c>
      <c r="B3196">
        <v>28</v>
      </c>
      <c r="C3196" t="s">
        <v>53</v>
      </c>
      <c r="D3196">
        <v>3001</v>
      </c>
      <c r="E3196" t="s">
        <v>91</v>
      </c>
      <c r="F3196" t="s">
        <v>17</v>
      </c>
      <c r="G3196">
        <v>10</v>
      </c>
    </row>
    <row r="3197" spans="1:7" x14ac:dyDescent="0.35">
      <c r="A3197">
        <v>69116</v>
      </c>
      <c r="B3197">
        <v>0</v>
      </c>
      <c r="C3197" t="s">
        <v>29</v>
      </c>
      <c r="D3197">
        <v>4503</v>
      </c>
      <c r="E3197" t="s">
        <v>93</v>
      </c>
      <c r="F3197" t="s">
        <v>17</v>
      </c>
      <c r="G3197">
        <v>20</v>
      </c>
    </row>
    <row r="3198" spans="1:7" x14ac:dyDescent="0.35">
      <c r="A3198">
        <v>72193</v>
      </c>
      <c r="B3198">
        <v>2</v>
      </c>
      <c r="C3198" t="s">
        <v>29</v>
      </c>
      <c r="D3198">
        <v>5101</v>
      </c>
      <c r="E3198" t="s">
        <v>89</v>
      </c>
      <c r="F3198" t="s">
        <v>17</v>
      </c>
      <c r="G3198">
        <v>10</v>
      </c>
    </row>
    <row r="3199" spans="1:7" x14ac:dyDescent="0.35">
      <c r="A3199">
        <v>11611</v>
      </c>
      <c r="B3199">
        <v>1</v>
      </c>
      <c r="C3199" t="s">
        <v>22</v>
      </c>
      <c r="D3199">
        <v>0</v>
      </c>
      <c r="E3199" t="s">
        <v>89</v>
      </c>
      <c r="F3199" t="s">
        <v>14</v>
      </c>
      <c r="G3199">
        <v>10</v>
      </c>
    </row>
    <row r="3200" spans="1:7" x14ac:dyDescent="0.35">
      <c r="A3200">
        <v>46129</v>
      </c>
      <c r="B3200">
        <v>1</v>
      </c>
      <c r="C3200" t="s">
        <v>13</v>
      </c>
      <c r="D3200">
        <v>0</v>
      </c>
      <c r="E3200" t="s">
        <v>91</v>
      </c>
      <c r="F3200" t="s">
        <v>14</v>
      </c>
      <c r="G3200">
        <v>10</v>
      </c>
    </row>
    <row r="3201" spans="1:7" x14ac:dyDescent="0.35">
      <c r="A3201">
        <v>52398</v>
      </c>
      <c r="B3201">
        <v>0</v>
      </c>
      <c r="C3201" t="s">
        <v>53</v>
      </c>
      <c r="D3201">
        <v>5001</v>
      </c>
      <c r="E3201" t="s">
        <v>91</v>
      </c>
      <c r="F3201" t="s">
        <v>17</v>
      </c>
      <c r="G3201">
        <v>14</v>
      </c>
    </row>
    <row r="3202" spans="1:7" x14ac:dyDescent="0.35">
      <c r="A3202">
        <v>190408</v>
      </c>
      <c r="B3202">
        <v>0</v>
      </c>
      <c r="C3202" t="s">
        <v>13</v>
      </c>
      <c r="D3202">
        <v>3104</v>
      </c>
      <c r="E3202" t="s">
        <v>88</v>
      </c>
      <c r="G3202">
        <v>7</v>
      </c>
    </row>
    <row r="3203" spans="1:7" x14ac:dyDescent="0.35">
      <c r="A3203">
        <v>145214</v>
      </c>
      <c r="B3203">
        <v>28</v>
      </c>
      <c r="C3203" t="s">
        <v>22</v>
      </c>
      <c r="D3203">
        <v>4601</v>
      </c>
      <c r="E3203" t="s">
        <v>103</v>
      </c>
      <c r="F3203" t="s">
        <v>17</v>
      </c>
      <c r="G3203">
        <v>20</v>
      </c>
    </row>
    <row r="3204" spans="1:7" x14ac:dyDescent="0.35">
      <c r="A3204">
        <v>155528</v>
      </c>
      <c r="B3204">
        <v>0</v>
      </c>
      <c r="C3204" t="s">
        <v>22</v>
      </c>
      <c r="D3204">
        <v>2101</v>
      </c>
      <c r="E3204" t="s">
        <v>88</v>
      </c>
      <c r="F3204" t="s">
        <v>17</v>
      </c>
      <c r="G3204">
        <v>10</v>
      </c>
    </row>
    <row r="3205" spans="1:7" x14ac:dyDescent="0.35">
      <c r="A3205">
        <v>94239</v>
      </c>
      <c r="B3205">
        <v>0</v>
      </c>
      <c r="C3205" t="s">
        <v>16</v>
      </c>
      <c r="D3205">
        <v>0</v>
      </c>
      <c r="E3205" t="s">
        <v>103</v>
      </c>
      <c r="F3205" t="s">
        <v>17</v>
      </c>
      <c r="G3205">
        <v>15</v>
      </c>
    </row>
    <row r="3206" spans="1:7" x14ac:dyDescent="0.35">
      <c r="A3206">
        <v>188054</v>
      </c>
      <c r="B3206">
        <v>0</v>
      </c>
      <c r="C3206" t="s">
        <v>22</v>
      </c>
      <c r="D3206">
        <v>0</v>
      </c>
      <c r="E3206" t="s">
        <v>92</v>
      </c>
      <c r="G3206">
        <v>13</v>
      </c>
    </row>
    <row r="3207" spans="1:7" x14ac:dyDescent="0.35">
      <c r="A3207">
        <v>128642</v>
      </c>
      <c r="B3207">
        <v>0</v>
      </c>
      <c r="C3207" t="s">
        <v>21</v>
      </c>
      <c r="D3207">
        <v>6401</v>
      </c>
      <c r="E3207" t="s">
        <v>104</v>
      </c>
      <c r="F3207" t="s">
        <v>17</v>
      </c>
      <c r="G3207">
        <v>10</v>
      </c>
    </row>
    <row r="3208" spans="1:7" x14ac:dyDescent="0.35">
      <c r="A3208">
        <v>174422</v>
      </c>
      <c r="B3208">
        <v>0</v>
      </c>
      <c r="C3208" t="s">
        <v>50</v>
      </c>
      <c r="D3208">
        <v>0</v>
      </c>
      <c r="F3208" t="s">
        <v>17</v>
      </c>
      <c r="G3208">
        <v>5</v>
      </c>
    </row>
    <row r="3209" spans="1:7" x14ac:dyDescent="0.35">
      <c r="A3209">
        <v>190035</v>
      </c>
      <c r="B3209">
        <v>2</v>
      </c>
      <c r="C3209" t="s">
        <v>21</v>
      </c>
      <c r="D3209">
        <v>0</v>
      </c>
      <c r="E3209" t="s">
        <v>93</v>
      </c>
      <c r="F3209" t="s">
        <v>17</v>
      </c>
      <c r="G3209">
        <v>10</v>
      </c>
    </row>
    <row r="3210" spans="1:7" x14ac:dyDescent="0.35">
      <c r="A3210">
        <v>140429</v>
      </c>
      <c r="B3210">
        <v>1</v>
      </c>
      <c r="C3210" t="s">
        <v>54</v>
      </c>
      <c r="D3210">
        <v>0</v>
      </c>
      <c r="E3210" t="s">
        <v>104</v>
      </c>
      <c r="F3210" t="s">
        <v>14</v>
      </c>
      <c r="G3210">
        <v>25</v>
      </c>
    </row>
    <row r="3211" spans="1:7" x14ac:dyDescent="0.35">
      <c r="A3211">
        <v>168242</v>
      </c>
      <c r="B3211">
        <v>0</v>
      </c>
      <c r="C3211" t="s">
        <v>22</v>
      </c>
      <c r="D3211">
        <v>3001</v>
      </c>
      <c r="E3211" t="s">
        <v>95</v>
      </c>
      <c r="F3211" t="s">
        <v>17</v>
      </c>
      <c r="G3211">
        <v>12</v>
      </c>
    </row>
    <row r="3212" spans="1:7" x14ac:dyDescent="0.35">
      <c r="A3212">
        <v>73873</v>
      </c>
      <c r="B3212">
        <v>2</v>
      </c>
      <c r="C3212" t="s">
        <v>29</v>
      </c>
      <c r="D3212">
        <v>1604</v>
      </c>
      <c r="E3212" t="s">
        <v>93</v>
      </c>
      <c r="F3212" t="s">
        <v>14</v>
      </c>
      <c r="G3212">
        <v>32</v>
      </c>
    </row>
    <row r="3213" spans="1:7" x14ac:dyDescent="0.35">
      <c r="A3213">
        <v>78270</v>
      </c>
      <c r="B3213">
        <v>1</v>
      </c>
      <c r="C3213" t="s">
        <v>35</v>
      </c>
      <c r="D3213">
        <v>3401</v>
      </c>
      <c r="E3213" t="s">
        <v>102</v>
      </c>
      <c r="F3213" t="s">
        <v>14</v>
      </c>
      <c r="G3213">
        <v>15</v>
      </c>
    </row>
    <row r="3214" spans="1:7" x14ac:dyDescent="0.35">
      <c r="A3214">
        <v>108819</v>
      </c>
      <c r="B3214">
        <v>28</v>
      </c>
      <c r="C3214" t="s">
        <v>49</v>
      </c>
      <c r="D3214">
        <v>0</v>
      </c>
      <c r="E3214" t="s">
        <v>98</v>
      </c>
      <c r="F3214" t="s">
        <v>17</v>
      </c>
      <c r="G3214">
        <v>4</v>
      </c>
    </row>
    <row r="3215" spans="1:7" x14ac:dyDescent="0.35">
      <c r="A3215">
        <v>4991</v>
      </c>
      <c r="B3215">
        <v>2</v>
      </c>
      <c r="C3215" t="s">
        <v>28</v>
      </c>
      <c r="D3215">
        <v>2010</v>
      </c>
      <c r="E3215" t="s">
        <v>89</v>
      </c>
      <c r="F3215" t="s">
        <v>17</v>
      </c>
      <c r="G3215">
        <v>23</v>
      </c>
    </row>
    <row r="3216" spans="1:7" x14ac:dyDescent="0.35">
      <c r="A3216">
        <v>86387</v>
      </c>
      <c r="B3216">
        <v>1</v>
      </c>
      <c r="C3216" t="s">
        <v>45</v>
      </c>
      <c r="D3216">
        <v>1001</v>
      </c>
      <c r="E3216" t="s">
        <v>91</v>
      </c>
      <c r="F3216" t="s">
        <v>14</v>
      </c>
      <c r="G3216">
        <v>10</v>
      </c>
    </row>
    <row r="3217" spans="1:7" x14ac:dyDescent="0.35">
      <c r="A3217">
        <v>24997</v>
      </c>
      <c r="B3217">
        <v>0</v>
      </c>
      <c r="C3217" t="s">
        <v>46</v>
      </c>
      <c r="D3217">
        <v>4701</v>
      </c>
      <c r="E3217" t="s">
        <v>89</v>
      </c>
      <c r="F3217" t="s">
        <v>17</v>
      </c>
      <c r="G3217">
        <v>5</v>
      </c>
    </row>
    <row r="3218" spans="1:7" x14ac:dyDescent="0.35">
      <c r="A3218">
        <v>189958</v>
      </c>
      <c r="B3218">
        <v>3</v>
      </c>
      <c r="C3218" t="s">
        <v>21</v>
      </c>
      <c r="D3218">
        <v>1610</v>
      </c>
      <c r="E3218" t="s">
        <v>89</v>
      </c>
      <c r="F3218" t="s">
        <v>17</v>
      </c>
      <c r="G3218">
        <v>5</v>
      </c>
    </row>
    <row r="3219" spans="1:7" x14ac:dyDescent="0.35">
      <c r="A3219">
        <v>120022</v>
      </c>
      <c r="B3219">
        <v>0</v>
      </c>
      <c r="C3219" t="s">
        <v>21</v>
      </c>
      <c r="D3219">
        <v>5401</v>
      </c>
      <c r="E3219" t="s">
        <v>94</v>
      </c>
      <c r="F3219" t="s">
        <v>17</v>
      </c>
      <c r="G3219">
        <v>20</v>
      </c>
    </row>
    <row r="3220" spans="1:7" x14ac:dyDescent="0.35">
      <c r="A3220">
        <v>36809</v>
      </c>
      <c r="B3220">
        <v>0</v>
      </c>
      <c r="C3220" t="s">
        <v>21</v>
      </c>
      <c r="D3220">
        <v>1201</v>
      </c>
      <c r="E3220" t="s">
        <v>90</v>
      </c>
      <c r="F3220" t="s">
        <v>14</v>
      </c>
      <c r="G3220">
        <v>5</v>
      </c>
    </row>
    <row r="3221" spans="1:7" x14ac:dyDescent="0.35">
      <c r="A3221">
        <v>99761</v>
      </c>
      <c r="B3221">
        <v>1</v>
      </c>
      <c r="C3221" t="s">
        <v>36</v>
      </c>
      <c r="D3221">
        <v>6801</v>
      </c>
      <c r="E3221" t="s">
        <v>89</v>
      </c>
      <c r="F3221" t="s">
        <v>14</v>
      </c>
      <c r="G3221">
        <v>6</v>
      </c>
    </row>
    <row r="3222" spans="1:7" x14ac:dyDescent="0.35">
      <c r="A3222">
        <v>68120</v>
      </c>
      <c r="B3222">
        <v>28</v>
      </c>
      <c r="C3222" t="s">
        <v>29</v>
      </c>
      <c r="D3222">
        <v>3908</v>
      </c>
      <c r="E3222" t="s">
        <v>103</v>
      </c>
      <c r="F3222" t="s">
        <v>17</v>
      </c>
      <c r="G3222">
        <v>20</v>
      </c>
    </row>
    <row r="3223" spans="1:7" x14ac:dyDescent="0.35">
      <c r="A3223">
        <v>102372</v>
      </c>
      <c r="B3223">
        <v>1</v>
      </c>
      <c r="C3223" t="s">
        <v>36</v>
      </c>
      <c r="D3223">
        <v>0</v>
      </c>
      <c r="E3223" t="s">
        <v>90</v>
      </c>
      <c r="F3223" t="s">
        <v>14</v>
      </c>
      <c r="G3223">
        <v>23</v>
      </c>
    </row>
    <row r="3224" spans="1:7" x14ac:dyDescent="0.35">
      <c r="A3224">
        <v>6050</v>
      </c>
      <c r="B3224">
        <v>0</v>
      </c>
      <c r="C3224" t="s">
        <v>36</v>
      </c>
      <c r="D3224">
        <v>0</v>
      </c>
      <c r="F3224" t="s">
        <v>17</v>
      </c>
      <c r="G3224">
        <v>32</v>
      </c>
    </row>
    <row r="3225" spans="1:7" x14ac:dyDescent="0.35">
      <c r="A3225">
        <v>118657</v>
      </c>
      <c r="B3225">
        <v>28</v>
      </c>
      <c r="C3225" t="s">
        <v>21</v>
      </c>
      <c r="D3225">
        <v>0</v>
      </c>
      <c r="E3225" t="s">
        <v>98</v>
      </c>
      <c r="F3225" t="s">
        <v>17</v>
      </c>
      <c r="G3225">
        <v>11</v>
      </c>
    </row>
    <row r="3226" spans="1:7" x14ac:dyDescent="0.35">
      <c r="A3226">
        <v>169135</v>
      </c>
      <c r="B3226">
        <v>0</v>
      </c>
      <c r="C3226" t="s">
        <v>22</v>
      </c>
      <c r="D3226">
        <v>0</v>
      </c>
      <c r="E3226" t="s">
        <v>88</v>
      </c>
      <c r="F3226" t="s">
        <v>17</v>
      </c>
      <c r="G3226">
        <v>10</v>
      </c>
    </row>
    <row r="3227" spans="1:7" x14ac:dyDescent="0.35">
      <c r="A3227">
        <v>187748</v>
      </c>
      <c r="B3227">
        <v>0</v>
      </c>
      <c r="C3227" t="s">
        <v>13</v>
      </c>
      <c r="D3227">
        <v>0</v>
      </c>
      <c r="G3227">
        <v>7</v>
      </c>
    </row>
    <row r="3228" spans="1:7" x14ac:dyDescent="0.35">
      <c r="A3228">
        <v>73786</v>
      </c>
      <c r="B3228">
        <v>1</v>
      </c>
      <c r="C3228" t="s">
        <v>29</v>
      </c>
      <c r="D3228">
        <v>2303</v>
      </c>
      <c r="E3228" t="s">
        <v>93</v>
      </c>
      <c r="F3228" t="s">
        <v>14</v>
      </c>
      <c r="G3228">
        <v>12</v>
      </c>
    </row>
    <row r="3229" spans="1:7" x14ac:dyDescent="0.35">
      <c r="A3229">
        <v>47276</v>
      </c>
      <c r="B3229">
        <v>1</v>
      </c>
      <c r="C3229" t="s">
        <v>43</v>
      </c>
      <c r="D3229">
        <v>4001</v>
      </c>
      <c r="E3229" t="s">
        <v>89</v>
      </c>
      <c r="F3229" t="s">
        <v>14</v>
      </c>
      <c r="G3229">
        <v>6</v>
      </c>
    </row>
    <row r="3230" spans="1:7" x14ac:dyDescent="0.35">
      <c r="A3230">
        <v>27329</v>
      </c>
      <c r="B3230">
        <v>2</v>
      </c>
      <c r="C3230" t="s">
        <v>39</v>
      </c>
      <c r="D3230">
        <v>4601</v>
      </c>
      <c r="E3230" t="s">
        <v>89</v>
      </c>
      <c r="F3230" t="s">
        <v>14</v>
      </c>
      <c r="G3230">
        <v>15</v>
      </c>
    </row>
    <row r="3231" spans="1:7" x14ac:dyDescent="0.35">
      <c r="A3231">
        <v>102579</v>
      </c>
      <c r="B3231">
        <v>0</v>
      </c>
      <c r="C3231" t="s">
        <v>36</v>
      </c>
      <c r="D3231">
        <v>0</v>
      </c>
      <c r="E3231" t="s">
        <v>91</v>
      </c>
      <c r="F3231" t="s">
        <v>30</v>
      </c>
      <c r="G3231">
        <v>5</v>
      </c>
    </row>
    <row r="3232" spans="1:7" x14ac:dyDescent="0.35">
      <c r="A3232">
        <v>145403</v>
      </c>
      <c r="B3232">
        <v>0</v>
      </c>
      <c r="C3232" t="s">
        <v>22</v>
      </c>
      <c r="D3232">
        <v>602</v>
      </c>
      <c r="E3232" t="s">
        <v>90</v>
      </c>
      <c r="F3232" t="s">
        <v>17</v>
      </c>
      <c r="G3232">
        <v>10</v>
      </c>
    </row>
    <row r="3233" spans="1:7" x14ac:dyDescent="0.35">
      <c r="A3233">
        <v>59814</v>
      </c>
      <c r="B3233">
        <v>28</v>
      </c>
      <c r="C3233" t="s">
        <v>33</v>
      </c>
      <c r="D3233">
        <v>4001</v>
      </c>
      <c r="E3233" t="s">
        <v>98</v>
      </c>
      <c r="F3233" t="s">
        <v>17</v>
      </c>
      <c r="G3233">
        <v>5</v>
      </c>
    </row>
    <row r="3234" spans="1:7" x14ac:dyDescent="0.35">
      <c r="A3234">
        <v>85059</v>
      </c>
      <c r="B3234">
        <v>1</v>
      </c>
      <c r="C3234" t="s">
        <v>56</v>
      </c>
      <c r="D3234">
        <v>1701</v>
      </c>
      <c r="E3234" t="s">
        <v>91</v>
      </c>
      <c r="F3234" t="s">
        <v>14</v>
      </c>
      <c r="G3234">
        <v>5</v>
      </c>
    </row>
    <row r="3235" spans="1:7" x14ac:dyDescent="0.35">
      <c r="A3235">
        <v>168103</v>
      </c>
      <c r="B3235">
        <v>1</v>
      </c>
      <c r="C3235" t="s">
        <v>22</v>
      </c>
      <c r="D3235">
        <v>4201</v>
      </c>
      <c r="E3235" t="s">
        <v>101</v>
      </c>
      <c r="F3235" t="s">
        <v>14</v>
      </c>
      <c r="G3235">
        <v>10</v>
      </c>
    </row>
    <row r="3236" spans="1:7" x14ac:dyDescent="0.35">
      <c r="A3236">
        <v>13452</v>
      </c>
      <c r="B3236">
        <v>1</v>
      </c>
      <c r="C3236" t="s">
        <v>13</v>
      </c>
      <c r="D3236">
        <v>2001</v>
      </c>
      <c r="E3236" t="s">
        <v>96</v>
      </c>
      <c r="F3236" t="s">
        <v>14</v>
      </c>
      <c r="G3236">
        <v>10</v>
      </c>
    </row>
    <row r="3237" spans="1:7" x14ac:dyDescent="0.35">
      <c r="A3237">
        <v>183673</v>
      </c>
      <c r="B3237">
        <v>0</v>
      </c>
      <c r="C3237" t="s">
        <v>40</v>
      </c>
      <c r="D3237">
        <v>1108</v>
      </c>
      <c r="E3237" t="s">
        <v>91</v>
      </c>
      <c r="F3237" t="s">
        <v>17</v>
      </c>
      <c r="G3237">
        <v>10</v>
      </c>
    </row>
    <row r="3238" spans="1:7" x14ac:dyDescent="0.35">
      <c r="A3238">
        <v>160306</v>
      </c>
      <c r="B3238">
        <v>2</v>
      </c>
      <c r="C3238" t="s">
        <v>22</v>
      </c>
      <c r="D3238">
        <v>2601</v>
      </c>
      <c r="E3238" t="s">
        <v>89</v>
      </c>
      <c r="F3238" t="s">
        <v>17</v>
      </c>
      <c r="G3238">
        <v>10</v>
      </c>
    </row>
    <row r="3239" spans="1:7" x14ac:dyDescent="0.35">
      <c r="A3239">
        <v>140347</v>
      </c>
      <c r="B3239">
        <v>0</v>
      </c>
      <c r="C3239" t="s">
        <v>54</v>
      </c>
      <c r="D3239">
        <v>0</v>
      </c>
      <c r="E3239" t="s">
        <v>88</v>
      </c>
      <c r="F3239" t="s">
        <v>14</v>
      </c>
      <c r="G3239">
        <v>10</v>
      </c>
    </row>
    <row r="3240" spans="1:7" x14ac:dyDescent="0.35">
      <c r="A3240">
        <v>57092</v>
      </c>
      <c r="B3240">
        <v>0</v>
      </c>
      <c r="C3240" t="s">
        <v>57</v>
      </c>
      <c r="D3240">
        <v>5308</v>
      </c>
      <c r="E3240" t="s">
        <v>94</v>
      </c>
      <c r="F3240" t="s">
        <v>14</v>
      </c>
      <c r="G3240">
        <v>36</v>
      </c>
    </row>
    <row r="3241" spans="1:7" x14ac:dyDescent="0.35">
      <c r="A3241">
        <v>171216</v>
      </c>
      <c r="B3241">
        <v>0</v>
      </c>
      <c r="C3241" t="s">
        <v>22</v>
      </c>
      <c r="D3241">
        <v>3601</v>
      </c>
      <c r="E3241" t="s">
        <v>90</v>
      </c>
      <c r="F3241" t="s">
        <v>17</v>
      </c>
      <c r="G3241">
        <v>5</v>
      </c>
    </row>
    <row r="3242" spans="1:7" x14ac:dyDescent="0.35">
      <c r="A3242">
        <v>111861</v>
      </c>
      <c r="B3242">
        <v>1</v>
      </c>
      <c r="C3242" t="s">
        <v>32</v>
      </c>
      <c r="D3242">
        <v>2212</v>
      </c>
      <c r="E3242" t="s">
        <v>104</v>
      </c>
      <c r="F3242" t="s">
        <v>14</v>
      </c>
      <c r="G3242">
        <v>5</v>
      </c>
    </row>
    <row r="3243" spans="1:7" x14ac:dyDescent="0.35">
      <c r="A3243">
        <v>66393</v>
      </c>
      <c r="B3243">
        <v>0</v>
      </c>
      <c r="C3243" t="s">
        <v>29</v>
      </c>
      <c r="D3243">
        <v>5412</v>
      </c>
      <c r="E3243" t="s">
        <v>89</v>
      </c>
      <c r="F3243" t="s">
        <v>14</v>
      </c>
      <c r="G3243">
        <v>50</v>
      </c>
    </row>
    <row r="3244" spans="1:7" x14ac:dyDescent="0.35">
      <c r="A3244">
        <v>189848</v>
      </c>
      <c r="B3244">
        <v>1</v>
      </c>
      <c r="C3244" t="s">
        <v>13</v>
      </c>
      <c r="D3244">
        <v>1801</v>
      </c>
      <c r="E3244" t="s">
        <v>88</v>
      </c>
      <c r="F3244" t="s">
        <v>14</v>
      </c>
      <c r="G3244">
        <v>12</v>
      </c>
    </row>
    <row r="3245" spans="1:7" x14ac:dyDescent="0.35">
      <c r="A3245">
        <v>103298</v>
      </c>
      <c r="B3245">
        <v>0</v>
      </c>
      <c r="C3245" t="s">
        <v>36</v>
      </c>
      <c r="D3245">
        <v>7101</v>
      </c>
      <c r="E3245" t="s">
        <v>100</v>
      </c>
      <c r="F3245" t="s">
        <v>17</v>
      </c>
      <c r="G3245">
        <v>15</v>
      </c>
    </row>
    <row r="3246" spans="1:7" x14ac:dyDescent="0.35">
      <c r="A3246">
        <v>104442</v>
      </c>
      <c r="B3246">
        <v>28</v>
      </c>
      <c r="C3246" t="s">
        <v>28</v>
      </c>
      <c r="D3246">
        <v>4608</v>
      </c>
      <c r="E3246" t="s">
        <v>93</v>
      </c>
      <c r="F3246" t="s">
        <v>17</v>
      </c>
      <c r="G3246">
        <v>35</v>
      </c>
    </row>
    <row r="3247" spans="1:7" x14ac:dyDescent="0.35">
      <c r="A3247">
        <v>83279</v>
      </c>
      <c r="B3247">
        <v>0</v>
      </c>
      <c r="C3247" t="s">
        <v>56</v>
      </c>
      <c r="D3247">
        <v>4501</v>
      </c>
      <c r="E3247" t="s">
        <v>93</v>
      </c>
      <c r="F3247" t="s">
        <v>17</v>
      </c>
      <c r="G3247">
        <v>19</v>
      </c>
    </row>
    <row r="3248" spans="1:7" x14ac:dyDescent="0.35">
      <c r="A3248">
        <v>153026</v>
      </c>
      <c r="B3248">
        <v>2</v>
      </c>
      <c r="C3248" t="s">
        <v>22</v>
      </c>
      <c r="D3248">
        <v>2601</v>
      </c>
      <c r="E3248" t="s">
        <v>96</v>
      </c>
      <c r="F3248" t="s">
        <v>17</v>
      </c>
      <c r="G3248">
        <v>10</v>
      </c>
    </row>
    <row r="3249" spans="1:7" x14ac:dyDescent="0.35">
      <c r="A3249">
        <v>162687</v>
      </c>
      <c r="B3249">
        <v>0</v>
      </c>
      <c r="C3249" t="s">
        <v>22</v>
      </c>
      <c r="D3249">
        <v>4001</v>
      </c>
      <c r="E3249" t="s">
        <v>95</v>
      </c>
      <c r="F3249" t="s">
        <v>17</v>
      </c>
      <c r="G3249">
        <v>35</v>
      </c>
    </row>
    <row r="3250" spans="1:7" x14ac:dyDescent="0.35">
      <c r="A3250">
        <v>133283</v>
      </c>
      <c r="B3250">
        <v>1002</v>
      </c>
      <c r="C3250" t="s">
        <v>41</v>
      </c>
      <c r="D3250">
        <v>0</v>
      </c>
      <c r="E3250" t="s">
        <v>91</v>
      </c>
      <c r="F3250" t="s">
        <v>14</v>
      </c>
      <c r="G3250">
        <v>15</v>
      </c>
    </row>
    <row r="3251" spans="1:7" x14ac:dyDescent="0.35">
      <c r="A3251">
        <v>58934</v>
      </c>
      <c r="B3251">
        <v>0</v>
      </c>
      <c r="C3251" t="s">
        <v>57</v>
      </c>
      <c r="D3251">
        <v>0</v>
      </c>
      <c r="E3251" t="s">
        <v>98</v>
      </c>
      <c r="F3251" t="s">
        <v>17</v>
      </c>
      <c r="G3251">
        <v>10</v>
      </c>
    </row>
    <row r="3252" spans="1:7" x14ac:dyDescent="0.35">
      <c r="A3252">
        <v>151195</v>
      </c>
      <c r="B3252">
        <v>0</v>
      </c>
      <c r="C3252" t="s">
        <v>22</v>
      </c>
      <c r="D3252">
        <v>1001</v>
      </c>
      <c r="F3252" t="s">
        <v>17</v>
      </c>
      <c r="G3252">
        <v>10</v>
      </c>
    </row>
    <row r="3253" spans="1:7" x14ac:dyDescent="0.35">
      <c r="A3253">
        <v>1322</v>
      </c>
      <c r="B3253">
        <v>28</v>
      </c>
      <c r="C3253" t="s">
        <v>29</v>
      </c>
      <c r="D3253">
        <v>4301</v>
      </c>
      <c r="E3253" t="s">
        <v>103</v>
      </c>
      <c r="F3253" t="s">
        <v>17</v>
      </c>
      <c r="G3253">
        <v>14</v>
      </c>
    </row>
    <row r="3254" spans="1:7" x14ac:dyDescent="0.35">
      <c r="A3254">
        <v>157307</v>
      </c>
      <c r="B3254">
        <v>1</v>
      </c>
      <c r="C3254" t="s">
        <v>22</v>
      </c>
      <c r="D3254">
        <v>6001</v>
      </c>
      <c r="E3254" t="s">
        <v>95</v>
      </c>
      <c r="F3254" t="s">
        <v>14</v>
      </c>
      <c r="G3254">
        <v>30</v>
      </c>
    </row>
    <row r="3255" spans="1:7" x14ac:dyDescent="0.35">
      <c r="A3255">
        <v>175582</v>
      </c>
      <c r="B3255">
        <v>28</v>
      </c>
      <c r="C3255" t="s">
        <v>50</v>
      </c>
      <c r="D3255">
        <v>6011</v>
      </c>
      <c r="E3255" t="s">
        <v>96</v>
      </c>
      <c r="F3255" t="s">
        <v>17</v>
      </c>
      <c r="G3255">
        <v>15</v>
      </c>
    </row>
    <row r="3256" spans="1:7" x14ac:dyDescent="0.35">
      <c r="A3256">
        <v>78875</v>
      </c>
      <c r="B3256">
        <v>28</v>
      </c>
      <c r="C3256" t="s">
        <v>35</v>
      </c>
      <c r="D3256">
        <v>403</v>
      </c>
      <c r="E3256" t="s">
        <v>93</v>
      </c>
      <c r="F3256" t="s">
        <v>17</v>
      </c>
      <c r="G3256">
        <v>15</v>
      </c>
    </row>
    <row r="3257" spans="1:7" x14ac:dyDescent="0.35">
      <c r="A3257">
        <v>57705</v>
      </c>
      <c r="B3257">
        <v>0</v>
      </c>
      <c r="C3257" t="s">
        <v>57</v>
      </c>
      <c r="D3257">
        <v>0</v>
      </c>
      <c r="E3257" t="s">
        <v>102</v>
      </c>
      <c r="F3257" t="s">
        <v>17</v>
      </c>
      <c r="G3257">
        <v>5</v>
      </c>
    </row>
    <row r="3258" spans="1:7" x14ac:dyDescent="0.35">
      <c r="A3258">
        <v>70039</v>
      </c>
      <c r="B3258">
        <v>1</v>
      </c>
      <c r="C3258" t="s">
        <v>29</v>
      </c>
      <c r="D3258">
        <v>5002</v>
      </c>
      <c r="E3258" t="s">
        <v>89</v>
      </c>
      <c r="F3258" t="s">
        <v>14</v>
      </c>
      <c r="G3258">
        <v>13</v>
      </c>
    </row>
    <row r="3259" spans="1:7" x14ac:dyDescent="0.35">
      <c r="A3259">
        <v>138307</v>
      </c>
      <c r="B3259">
        <v>0</v>
      </c>
      <c r="C3259" t="s">
        <v>55</v>
      </c>
      <c r="D3259">
        <v>4310</v>
      </c>
      <c r="E3259" t="s">
        <v>93</v>
      </c>
      <c r="F3259" t="s">
        <v>17</v>
      </c>
      <c r="G3259">
        <v>18</v>
      </c>
    </row>
    <row r="3260" spans="1:7" x14ac:dyDescent="0.35">
      <c r="A3260">
        <v>163614</v>
      </c>
      <c r="B3260">
        <v>0</v>
      </c>
      <c r="C3260" t="s">
        <v>22</v>
      </c>
      <c r="D3260">
        <v>0</v>
      </c>
      <c r="E3260" t="s">
        <v>95</v>
      </c>
      <c r="F3260" t="s">
        <v>17</v>
      </c>
      <c r="G3260">
        <v>10</v>
      </c>
    </row>
    <row r="3261" spans="1:7" x14ac:dyDescent="0.35">
      <c r="A3261">
        <v>21966</v>
      </c>
      <c r="B3261">
        <v>2</v>
      </c>
      <c r="C3261" t="s">
        <v>18</v>
      </c>
      <c r="D3261">
        <v>0</v>
      </c>
      <c r="E3261" t="s">
        <v>91</v>
      </c>
      <c r="F3261" t="s">
        <v>17</v>
      </c>
      <c r="G3261">
        <v>6</v>
      </c>
    </row>
    <row r="3262" spans="1:7" x14ac:dyDescent="0.35">
      <c r="A3262">
        <v>44433</v>
      </c>
      <c r="B3262">
        <v>1</v>
      </c>
      <c r="C3262" t="s">
        <v>13</v>
      </c>
      <c r="D3262">
        <v>2308</v>
      </c>
      <c r="E3262" t="s">
        <v>88</v>
      </c>
      <c r="F3262" t="s">
        <v>14</v>
      </c>
      <c r="G3262">
        <v>10</v>
      </c>
    </row>
    <row r="3263" spans="1:7" x14ac:dyDescent="0.35">
      <c r="A3263">
        <v>189234</v>
      </c>
      <c r="B3263">
        <v>28</v>
      </c>
      <c r="C3263" t="s">
        <v>24</v>
      </c>
      <c r="D3263">
        <v>0</v>
      </c>
      <c r="E3263" t="s">
        <v>101</v>
      </c>
      <c r="F3263" t="s">
        <v>17</v>
      </c>
      <c r="G3263">
        <v>5</v>
      </c>
    </row>
    <row r="3264" spans="1:7" x14ac:dyDescent="0.35">
      <c r="A3264">
        <v>37304</v>
      </c>
      <c r="B3264">
        <v>1</v>
      </c>
      <c r="C3264" t="s">
        <v>13</v>
      </c>
      <c r="D3264">
        <v>3911</v>
      </c>
      <c r="E3264" t="s">
        <v>93</v>
      </c>
      <c r="F3264" t="s">
        <v>14</v>
      </c>
      <c r="G3264">
        <v>5</v>
      </c>
    </row>
    <row r="3265" spans="1:7" x14ac:dyDescent="0.35">
      <c r="A3265">
        <v>35728</v>
      </c>
      <c r="B3265">
        <v>0</v>
      </c>
      <c r="C3265" t="s">
        <v>13</v>
      </c>
      <c r="D3265">
        <v>4801</v>
      </c>
      <c r="E3265" t="s">
        <v>89</v>
      </c>
      <c r="F3265" t="s">
        <v>14</v>
      </c>
      <c r="G3265">
        <v>10</v>
      </c>
    </row>
    <row r="3266" spans="1:7" x14ac:dyDescent="0.35">
      <c r="A3266">
        <v>30640</v>
      </c>
      <c r="B3266">
        <v>0</v>
      </c>
      <c r="C3266" t="s">
        <v>39</v>
      </c>
      <c r="D3266">
        <v>3311</v>
      </c>
      <c r="E3266" t="s">
        <v>88</v>
      </c>
      <c r="F3266" t="s">
        <v>17</v>
      </c>
      <c r="G3266">
        <v>15</v>
      </c>
    </row>
    <row r="3267" spans="1:7" x14ac:dyDescent="0.35">
      <c r="A3267">
        <v>7734</v>
      </c>
      <c r="B3267">
        <v>1</v>
      </c>
      <c r="C3267" t="s">
        <v>35</v>
      </c>
      <c r="D3267">
        <v>2512</v>
      </c>
      <c r="E3267" t="s">
        <v>89</v>
      </c>
      <c r="F3267" t="s">
        <v>14</v>
      </c>
      <c r="G3267">
        <v>20</v>
      </c>
    </row>
    <row r="3268" spans="1:7" x14ac:dyDescent="0.35">
      <c r="A3268">
        <v>42776</v>
      </c>
      <c r="B3268">
        <v>2</v>
      </c>
      <c r="C3268" t="s">
        <v>13</v>
      </c>
      <c r="D3268">
        <v>0</v>
      </c>
      <c r="E3268" t="s">
        <v>92</v>
      </c>
      <c r="F3268" t="s">
        <v>14</v>
      </c>
      <c r="G3268">
        <v>16</v>
      </c>
    </row>
    <row r="3269" spans="1:7" x14ac:dyDescent="0.35">
      <c r="A3269">
        <v>44817</v>
      </c>
      <c r="B3269">
        <v>2</v>
      </c>
      <c r="C3269" t="s">
        <v>13</v>
      </c>
      <c r="D3269">
        <v>1806</v>
      </c>
      <c r="E3269" t="s">
        <v>104</v>
      </c>
      <c r="F3269" t="s">
        <v>17</v>
      </c>
      <c r="G3269">
        <v>5</v>
      </c>
    </row>
    <row r="3270" spans="1:7" x14ac:dyDescent="0.35">
      <c r="A3270">
        <v>165241</v>
      </c>
      <c r="B3270">
        <v>1</v>
      </c>
      <c r="C3270" t="s">
        <v>22</v>
      </c>
      <c r="D3270">
        <v>2602</v>
      </c>
      <c r="E3270" t="s">
        <v>92</v>
      </c>
      <c r="F3270" t="s">
        <v>14</v>
      </c>
      <c r="G3270">
        <v>15</v>
      </c>
    </row>
    <row r="3271" spans="1:7" x14ac:dyDescent="0.35">
      <c r="A3271">
        <v>111371</v>
      </c>
      <c r="B3271">
        <v>0</v>
      </c>
      <c r="C3271" t="s">
        <v>32</v>
      </c>
      <c r="D3271">
        <v>0</v>
      </c>
      <c r="E3271" t="s">
        <v>89</v>
      </c>
      <c r="F3271" t="s">
        <v>30</v>
      </c>
      <c r="G3271">
        <v>20</v>
      </c>
    </row>
    <row r="3272" spans="1:7" x14ac:dyDescent="0.35">
      <c r="A3272">
        <v>134398</v>
      </c>
      <c r="B3272">
        <v>2</v>
      </c>
      <c r="C3272" t="s">
        <v>38</v>
      </c>
      <c r="D3272">
        <v>2501</v>
      </c>
      <c r="E3272" t="s">
        <v>95</v>
      </c>
      <c r="F3272" t="s">
        <v>17</v>
      </c>
      <c r="G3272">
        <v>10</v>
      </c>
    </row>
    <row r="3273" spans="1:7" x14ac:dyDescent="0.35">
      <c r="A3273">
        <v>88868</v>
      </c>
      <c r="B3273">
        <v>0</v>
      </c>
      <c r="C3273" t="s">
        <v>16</v>
      </c>
      <c r="D3273">
        <v>2401</v>
      </c>
      <c r="E3273" t="s">
        <v>93</v>
      </c>
      <c r="F3273" t="s">
        <v>17</v>
      </c>
      <c r="G3273">
        <v>8</v>
      </c>
    </row>
    <row r="3274" spans="1:7" x14ac:dyDescent="0.35">
      <c r="A3274">
        <v>183223</v>
      </c>
      <c r="B3274">
        <v>1</v>
      </c>
      <c r="C3274" t="s">
        <v>40</v>
      </c>
      <c r="D3274">
        <v>5601</v>
      </c>
      <c r="E3274" t="s">
        <v>90</v>
      </c>
      <c r="F3274" t="s">
        <v>14</v>
      </c>
      <c r="G3274">
        <v>23</v>
      </c>
    </row>
    <row r="3275" spans="1:7" x14ac:dyDescent="0.35">
      <c r="A3275">
        <v>186925</v>
      </c>
      <c r="B3275">
        <v>0</v>
      </c>
      <c r="C3275" t="s">
        <v>52</v>
      </c>
      <c r="D3275">
        <v>3001</v>
      </c>
      <c r="E3275" t="s">
        <v>91</v>
      </c>
      <c r="F3275" t="s">
        <v>17</v>
      </c>
      <c r="G3275">
        <v>15</v>
      </c>
    </row>
    <row r="3276" spans="1:7" x14ac:dyDescent="0.35">
      <c r="A3276">
        <v>132097</v>
      </c>
      <c r="B3276">
        <v>2</v>
      </c>
      <c r="C3276" t="s">
        <v>22</v>
      </c>
      <c r="D3276">
        <v>3801</v>
      </c>
      <c r="E3276" t="s">
        <v>89</v>
      </c>
      <c r="F3276" t="s">
        <v>17</v>
      </c>
      <c r="G3276">
        <v>13</v>
      </c>
    </row>
    <row r="3277" spans="1:7" x14ac:dyDescent="0.35">
      <c r="A3277">
        <v>61962</v>
      </c>
      <c r="B3277">
        <v>0</v>
      </c>
      <c r="C3277" t="s">
        <v>33</v>
      </c>
      <c r="D3277">
        <v>0</v>
      </c>
      <c r="E3277" t="s">
        <v>89</v>
      </c>
      <c r="F3277" t="s">
        <v>17</v>
      </c>
      <c r="G3277">
        <v>25</v>
      </c>
    </row>
    <row r="3278" spans="1:7" x14ac:dyDescent="0.35">
      <c r="A3278">
        <v>162656</v>
      </c>
      <c r="B3278">
        <v>0</v>
      </c>
      <c r="C3278" t="s">
        <v>22</v>
      </c>
      <c r="D3278">
        <v>0</v>
      </c>
      <c r="E3278" t="s">
        <v>89</v>
      </c>
      <c r="F3278" t="s">
        <v>17</v>
      </c>
      <c r="G3278">
        <v>20</v>
      </c>
    </row>
    <row r="3279" spans="1:7" x14ac:dyDescent="0.35">
      <c r="A3279">
        <v>79602</v>
      </c>
      <c r="B3279">
        <v>2</v>
      </c>
      <c r="C3279" t="s">
        <v>35</v>
      </c>
      <c r="D3279">
        <v>1102</v>
      </c>
      <c r="E3279" t="s">
        <v>93</v>
      </c>
      <c r="F3279" t="s">
        <v>14</v>
      </c>
      <c r="G3279">
        <v>15</v>
      </c>
    </row>
    <row r="3280" spans="1:7" x14ac:dyDescent="0.35">
      <c r="A3280">
        <v>65578</v>
      </c>
      <c r="B3280">
        <v>28</v>
      </c>
      <c r="C3280" t="s">
        <v>29</v>
      </c>
      <c r="D3280">
        <v>2102</v>
      </c>
      <c r="E3280" t="s">
        <v>101</v>
      </c>
      <c r="F3280" t="s">
        <v>17</v>
      </c>
      <c r="G3280">
        <v>21</v>
      </c>
    </row>
    <row r="3281" spans="1:7" x14ac:dyDescent="0.35">
      <c r="A3281">
        <v>169186</v>
      </c>
      <c r="B3281">
        <v>1</v>
      </c>
      <c r="C3281" t="s">
        <v>22</v>
      </c>
      <c r="D3281">
        <v>2801</v>
      </c>
      <c r="E3281" t="s">
        <v>91</v>
      </c>
      <c r="F3281" t="s">
        <v>14</v>
      </c>
      <c r="G3281">
        <v>9</v>
      </c>
    </row>
    <row r="3282" spans="1:7" x14ac:dyDescent="0.35">
      <c r="A3282">
        <v>189438</v>
      </c>
      <c r="B3282">
        <v>1</v>
      </c>
      <c r="C3282" t="s">
        <v>37</v>
      </c>
      <c r="D3282">
        <v>4101</v>
      </c>
      <c r="E3282" t="s">
        <v>103</v>
      </c>
      <c r="F3282" t="s">
        <v>14</v>
      </c>
      <c r="G3282">
        <v>9</v>
      </c>
    </row>
    <row r="3283" spans="1:7" x14ac:dyDescent="0.35">
      <c r="A3283">
        <v>110871</v>
      </c>
      <c r="B3283">
        <v>2</v>
      </c>
      <c r="C3283" t="s">
        <v>32</v>
      </c>
      <c r="D3283">
        <v>1010</v>
      </c>
      <c r="E3283" t="s">
        <v>91</v>
      </c>
      <c r="F3283" t="s">
        <v>17</v>
      </c>
      <c r="G3283">
        <v>5</v>
      </c>
    </row>
    <row r="3284" spans="1:7" x14ac:dyDescent="0.35">
      <c r="A3284">
        <v>168370</v>
      </c>
      <c r="B3284">
        <v>0</v>
      </c>
      <c r="C3284" t="s">
        <v>22</v>
      </c>
      <c r="D3284">
        <v>5804</v>
      </c>
      <c r="E3284" t="s">
        <v>90</v>
      </c>
      <c r="F3284" t="s">
        <v>17</v>
      </c>
      <c r="G3284">
        <v>15</v>
      </c>
    </row>
    <row r="3285" spans="1:7" x14ac:dyDescent="0.35">
      <c r="A3285">
        <v>156618</v>
      </c>
      <c r="B3285">
        <v>0</v>
      </c>
      <c r="C3285" t="s">
        <v>22</v>
      </c>
      <c r="D3285">
        <v>4401</v>
      </c>
      <c r="E3285" t="s">
        <v>90</v>
      </c>
      <c r="G3285">
        <v>25</v>
      </c>
    </row>
    <row r="3286" spans="1:7" x14ac:dyDescent="0.35">
      <c r="A3286">
        <v>109858</v>
      </c>
      <c r="B3286">
        <v>0</v>
      </c>
      <c r="C3286" t="s">
        <v>49</v>
      </c>
      <c r="D3286">
        <v>5512</v>
      </c>
      <c r="E3286" t="s">
        <v>93</v>
      </c>
      <c r="F3286" t="s">
        <v>17</v>
      </c>
      <c r="G3286">
        <v>15</v>
      </c>
    </row>
    <row r="3287" spans="1:7" x14ac:dyDescent="0.35">
      <c r="A3287">
        <v>99501</v>
      </c>
      <c r="B3287">
        <v>0</v>
      </c>
      <c r="C3287" t="s">
        <v>36</v>
      </c>
      <c r="D3287">
        <v>5701</v>
      </c>
      <c r="E3287" t="s">
        <v>93</v>
      </c>
      <c r="F3287" t="s">
        <v>17</v>
      </c>
      <c r="G3287">
        <v>10</v>
      </c>
    </row>
    <row r="3288" spans="1:7" x14ac:dyDescent="0.35">
      <c r="A3288">
        <v>125467</v>
      </c>
      <c r="B3288">
        <v>0</v>
      </c>
      <c r="C3288" t="s">
        <v>21</v>
      </c>
      <c r="D3288">
        <v>0</v>
      </c>
      <c r="E3288" t="s">
        <v>96</v>
      </c>
      <c r="F3288" t="s">
        <v>17</v>
      </c>
      <c r="G3288">
        <v>15</v>
      </c>
    </row>
    <row r="3289" spans="1:7" x14ac:dyDescent="0.35">
      <c r="A3289">
        <v>55956</v>
      </c>
      <c r="B3289">
        <v>0</v>
      </c>
      <c r="C3289" t="s">
        <v>13</v>
      </c>
      <c r="D3289">
        <v>0</v>
      </c>
      <c r="E3289" t="s">
        <v>92</v>
      </c>
      <c r="F3289" t="s">
        <v>17</v>
      </c>
      <c r="G3289">
        <v>10</v>
      </c>
    </row>
    <row r="3290" spans="1:7" x14ac:dyDescent="0.35">
      <c r="A3290">
        <v>103644</v>
      </c>
      <c r="B3290">
        <v>0</v>
      </c>
      <c r="C3290" t="s">
        <v>36</v>
      </c>
      <c r="D3290">
        <v>0</v>
      </c>
      <c r="E3290" t="s">
        <v>89</v>
      </c>
      <c r="F3290" t="s">
        <v>17</v>
      </c>
      <c r="G3290">
        <v>10</v>
      </c>
    </row>
    <row r="3291" spans="1:7" x14ac:dyDescent="0.35">
      <c r="A3291">
        <v>39613</v>
      </c>
      <c r="B3291">
        <v>2</v>
      </c>
      <c r="C3291" t="s">
        <v>13</v>
      </c>
      <c r="D3291">
        <v>5610</v>
      </c>
      <c r="E3291" t="s">
        <v>97</v>
      </c>
      <c r="F3291" t="s">
        <v>17</v>
      </c>
      <c r="G3291">
        <v>5</v>
      </c>
    </row>
    <row r="3292" spans="1:7" x14ac:dyDescent="0.35">
      <c r="A3292">
        <v>159</v>
      </c>
      <c r="B3292">
        <v>2</v>
      </c>
      <c r="C3292" t="s">
        <v>56</v>
      </c>
      <c r="D3292">
        <v>1602</v>
      </c>
      <c r="E3292" t="s">
        <v>91</v>
      </c>
      <c r="F3292" t="s">
        <v>14</v>
      </c>
      <c r="G3292">
        <v>12</v>
      </c>
    </row>
    <row r="3293" spans="1:7" x14ac:dyDescent="0.35">
      <c r="A3293">
        <v>129748</v>
      </c>
      <c r="B3293">
        <v>2</v>
      </c>
      <c r="C3293" t="s">
        <v>48</v>
      </c>
      <c r="D3293">
        <v>5701</v>
      </c>
      <c r="E3293" t="s">
        <v>93</v>
      </c>
      <c r="F3293" t="s">
        <v>17</v>
      </c>
      <c r="G3293">
        <v>16</v>
      </c>
    </row>
    <row r="3294" spans="1:7" x14ac:dyDescent="0.35">
      <c r="A3294">
        <v>174576</v>
      </c>
      <c r="B3294">
        <v>28</v>
      </c>
      <c r="C3294" t="s">
        <v>50</v>
      </c>
      <c r="D3294">
        <v>4801</v>
      </c>
      <c r="E3294" t="s">
        <v>90</v>
      </c>
      <c r="F3294" t="s">
        <v>17</v>
      </c>
      <c r="G3294">
        <v>51</v>
      </c>
    </row>
    <row r="3295" spans="1:7" x14ac:dyDescent="0.35">
      <c r="A3295">
        <v>71639</v>
      </c>
      <c r="B3295">
        <v>1</v>
      </c>
      <c r="C3295" t="s">
        <v>29</v>
      </c>
      <c r="D3295">
        <v>2301</v>
      </c>
      <c r="E3295" t="s">
        <v>93</v>
      </c>
      <c r="F3295" t="s">
        <v>14</v>
      </c>
      <c r="G3295">
        <v>17</v>
      </c>
    </row>
    <row r="3296" spans="1:7" x14ac:dyDescent="0.35">
      <c r="A3296">
        <v>172851</v>
      </c>
      <c r="B3296">
        <v>1</v>
      </c>
      <c r="C3296" t="s">
        <v>22</v>
      </c>
      <c r="D3296">
        <v>5001</v>
      </c>
      <c r="E3296" t="s">
        <v>88</v>
      </c>
      <c r="F3296" t="s">
        <v>14</v>
      </c>
      <c r="G3296">
        <v>10</v>
      </c>
    </row>
    <row r="3297" spans="1:7" x14ac:dyDescent="0.35">
      <c r="A3297">
        <v>164364</v>
      </c>
      <c r="B3297">
        <v>0</v>
      </c>
      <c r="C3297" t="s">
        <v>22</v>
      </c>
      <c r="D3297">
        <v>5201</v>
      </c>
      <c r="E3297" t="s">
        <v>93</v>
      </c>
      <c r="F3297" t="s">
        <v>17</v>
      </c>
      <c r="G3297">
        <v>6</v>
      </c>
    </row>
    <row r="3298" spans="1:7" x14ac:dyDescent="0.35">
      <c r="A3298">
        <v>176253</v>
      </c>
      <c r="B3298">
        <v>2</v>
      </c>
      <c r="C3298" t="s">
        <v>50</v>
      </c>
      <c r="D3298">
        <v>1309</v>
      </c>
      <c r="E3298" t="s">
        <v>91</v>
      </c>
      <c r="F3298" t="s">
        <v>17</v>
      </c>
      <c r="G3298">
        <v>50</v>
      </c>
    </row>
    <row r="3299" spans="1:7" x14ac:dyDescent="0.35">
      <c r="A3299">
        <v>140181</v>
      </c>
      <c r="B3299">
        <v>28</v>
      </c>
      <c r="C3299" t="s">
        <v>48</v>
      </c>
      <c r="D3299">
        <v>2201</v>
      </c>
      <c r="E3299" t="s">
        <v>89</v>
      </c>
      <c r="F3299" t="s">
        <v>17</v>
      </c>
      <c r="G3299">
        <v>3</v>
      </c>
    </row>
    <row r="3300" spans="1:7" x14ac:dyDescent="0.35">
      <c r="A3300">
        <v>5331</v>
      </c>
      <c r="B3300">
        <v>2</v>
      </c>
      <c r="C3300" t="s">
        <v>18</v>
      </c>
      <c r="D3300">
        <v>0</v>
      </c>
      <c r="E3300" t="s">
        <v>92</v>
      </c>
      <c r="F3300" t="s">
        <v>30</v>
      </c>
      <c r="G3300">
        <v>14</v>
      </c>
    </row>
    <row r="3301" spans="1:7" x14ac:dyDescent="0.35">
      <c r="A3301">
        <v>31953</v>
      </c>
      <c r="B3301">
        <v>1</v>
      </c>
      <c r="C3301" t="s">
        <v>16</v>
      </c>
      <c r="D3301">
        <v>0</v>
      </c>
      <c r="E3301" t="s">
        <v>94</v>
      </c>
      <c r="F3301" t="s">
        <v>14</v>
      </c>
      <c r="G3301">
        <v>12</v>
      </c>
    </row>
    <row r="3302" spans="1:7" x14ac:dyDescent="0.35">
      <c r="A3302">
        <v>79399</v>
      </c>
      <c r="B3302">
        <v>0</v>
      </c>
      <c r="C3302" t="s">
        <v>35</v>
      </c>
      <c r="D3302">
        <v>5507</v>
      </c>
      <c r="E3302" t="s">
        <v>91</v>
      </c>
      <c r="F3302" t="s">
        <v>14</v>
      </c>
      <c r="G3302">
        <v>30</v>
      </c>
    </row>
    <row r="3303" spans="1:7" x14ac:dyDescent="0.35">
      <c r="A3303">
        <v>74732</v>
      </c>
      <c r="B3303">
        <v>1</v>
      </c>
      <c r="C3303" t="s">
        <v>29</v>
      </c>
      <c r="D3303">
        <v>0</v>
      </c>
      <c r="E3303" t="s">
        <v>91</v>
      </c>
      <c r="F3303" t="s">
        <v>14</v>
      </c>
      <c r="G3303">
        <v>15</v>
      </c>
    </row>
    <row r="3304" spans="1:7" x14ac:dyDescent="0.35">
      <c r="A3304">
        <v>36395</v>
      </c>
      <c r="B3304">
        <v>1</v>
      </c>
      <c r="C3304" t="s">
        <v>13</v>
      </c>
      <c r="D3304">
        <v>1601</v>
      </c>
      <c r="E3304" t="s">
        <v>88</v>
      </c>
      <c r="F3304" t="s">
        <v>14</v>
      </c>
      <c r="G3304">
        <v>15</v>
      </c>
    </row>
    <row r="3305" spans="1:7" x14ac:dyDescent="0.35">
      <c r="A3305">
        <v>75835</v>
      </c>
      <c r="B3305">
        <v>0</v>
      </c>
      <c r="C3305" t="s">
        <v>47</v>
      </c>
      <c r="D3305">
        <v>4401</v>
      </c>
      <c r="E3305" t="s">
        <v>96</v>
      </c>
      <c r="G3305">
        <v>5</v>
      </c>
    </row>
    <row r="3306" spans="1:7" x14ac:dyDescent="0.35">
      <c r="A3306">
        <v>4606</v>
      </c>
      <c r="B3306">
        <v>0</v>
      </c>
      <c r="C3306" t="s">
        <v>16</v>
      </c>
      <c r="D3306">
        <v>2509</v>
      </c>
      <c r="E3306" t="s">
        <v>101</v>
      </c>
      <c r="G3306">
        <v>25</v>
      </c>
    </row>
    <row r="3307" spans="1:7" x14ac:dyDescent="0.35">
      <c r="A3307">
        <v>51234</v>
      </c>
      <c r="B3307">
        <v>28</v>
      </c>
      <c r="C3307" t="s">
        <v>53</v>
      </c>
      <c r="D3307">
        <v>2301</v>
      </c>
      <c r="E3307" t="s">
        <v>97</v>
      </c>
      <c r="F3307" t="s">
        <v>17</v>
      </c>
      <c r="G3307">
        <v>25</v>
      </c>
    </row>
    <row r="3308" spans="1:7" x14ac:dyDescent="0.35">
      <c r="A3308">
        <v>71616</v>
      </c>
      <c r="B3308">
        <v>1</v>
      </c>
      <c r="C3308" t="s">
        <v>29</v>
      </c>
      <c r="D3308">
        <v>5601</v>
      </c>
      <c r="E3308" t="s">
        <v>90</v>
      </c>
      <c r="F3308" t="s">
        <v>14</v>
      </c>
      <c r="G3308">
        <v>50</v>
      </c>
    </row>
    <row r="3309" spans="1:7" x14ac:dyDescent="0.35">
      <c r="A3309">
        <v>182697</v>
      </c>
      <c r="B3309">
        <v>2</v>
      </c>
      <c r="C3309" t="s">
        <v>40</v>
      </c>
      <c r="D3309">
        <v>0</v>
      </c>
      <c r="E3309" t="s">
        <v>100</v>
      </c>
      <c r="F3309" t="s">
        <v>30</v>
      </c>
      <c r="G3309">
        <v>20</v>
      </c>
    </row>
    <row r="3310" spans="1:7" x14ac:dyDescent="0.35">
      <c r="A3310">
        <v>173100</v>
      </c>
      <c r="B3310">
        <v>0</v>
      </c>
      <c r="C3310" t="s">
        <v>22</v>
      </c>
      <c r="D3310">
        <v>0</v>
      </c>
      <c r="E3310" t="s">
        <v>91</v>
      </c>
      <c r="F3310" t="s">
        <v>17</v>
      </c>
      <c r="G3310">
        <v>21</v>
      </c>
    </row>
    <row r="3311" spans="1:7" x14ac:dyDescent="0.35">
      <c r="A3311">
        <v>172784</v>
      </c>
      <c r="B3311">
        <v>0</v>
      </c>
      <c r="C3311" t="s">
        <v>22</v>
      </c>
      <c r="D3311">
        <v>3201</v>
      </c>
      <c r="E3311" t="s">
        <v>91</v>
      </c>
      <c r="F3311" t="s">
        <v>17</v>
      </c>
      <c r="G3311">
        <v>5</v>
      </c>
    </row>
    <row r="3312" spans="1:7" x14ac:dyDescent="0.35">
      <c r="A3312">
        <v>145637</v>
      </c>
      <c r="B3312">
        <v>0</v>
      </c>
      <c r="C3312" t="s">
        <v>22</v>
      </c>
      <c r="D3312">
        <v>4801</v>
      </c>
      <c r="E3312" t="s">
        <v>93</v>
      </c>
      <c r="F3312" t="s">
        <v>17</v>
      </c>
      <c r="G3312">
        <v>25</v>
      </c>
    </row>
    <row r="3313" spans="1:7" x14ac:dyDescent="0.35">
      <c r="A3313">
        <v>41445</v>
      </c>
      <c r="B3313">
        <v>1</v>
      </c>
      <c r="C3313" t="s">
        <v>13</v>
      </c>
      <c r="D3313">
        <v>5201</v>
      </c>
      <c r="E3313" t="s">
        <v>93</v>
      </c>
      <c r="F3313" t="s">
        <v>14</v>
      </c>
      <c r="G3313">
        <v>35</v>
      </c>
    </row>
    <row r="3314" spans="1:7" x14ac:dyDescent="0.35">
      <c r="A3314">
        <v>22900</v>
      </c>
      <c r="B3314">
        <v>2</v>
      </c>
      <c r="C3314" t="s">
        <v>46</v>
      </c>
      <c r="D3314">
        <v>0</v>
      </c>
      <c r="E3314" t="s">
        <v>96</v>
      </c>
      <c r="F3314" t="s">
        <v>17</v>
      </c>
      <c r="G3314">
        <v>10</v>
      </c>
    </row>
    <row r="3315" spans="1:7" x14ac:dyDescent="0.35">
      <c r="A3315">
        <v>93086</v>
      </c>
      <c r="B3315">
        <v>0</v>
      </c>
      <c r="C3315" t="s">
        <v>16</v>
      </c>
      <c r="D3315">
        <v>6301</v>
      </c>
      <c r="E3315" t="s">
        <v>95</v>
      </c>
      <c r="F3315" t="s">
        <v>17</v>
      </c>
      <c r="G3315">
        <v>20</v>
      </c>
    </row>
    <row r="3316" spans="1:7" x14ac:dyDescent="0.35">
      <c r="A3316">
        <v>95727</v>
      </c>
      <c r="B3316">
        <v>0</v>
      </c>
      <c r="C3316" t="s">
        <v>16</v>
      </c>
      <c r="D3316">
        <v>5208</v>
      </c>
      <c r="E3316" t="s">
        <v>97</v>
      </c>
      <c r="F3316" t="s">
        <v>30</v>
      </c>
      <c r="G3316">
        <v>18</v>
      </c>
    </row>
    <row r="3317" spans="1:7" x14ac:dyDescent="0.35">
      <c r="A3317">
        <v>127759</v>
      </c>
      <c r="B3317">
        <v>1</v>
      </c>
      <c r="C3317" t="s">
        <v>21</v>
      </c>
      <c r="D3317">
        <v>801</v>
      </c>
      <c r="E3317" t="s">
        <v>89</v>
      </c>
      <c r="F3317" t="s">
        <v>14</v>
      </c>
      <c r="G3317">
        <v>6</v>
      </c>
    </row>
    <row r="3318" spans="1:7" x14ac:dyDescent="0.35">
      <c r="A3318">
        <v>190666</v>
      </c>
      <c r="B3318">
        <v>1</v>
      </c>
      <c r="C3318" t="s">
        <v>22</v>
      </c>
      <c r="D3318">
        <v>4812</v>
      </c>
      <c r="E3318" t="s">
        <v>89</v>
      </c>
      <c r="F3318" t="s">
        <v>14</v>
      </c>
      <c r="G3318">
        <v>13</v>
      </c>
    </row>
    <row r="3319" spans="1:7" x14ac:dyDescent="0.35">
      <c r="A3319">
        <v>90894</v>
      </c>
      <c r="B3319">
        <v>0</v>
      </c>
      <c r="C3319" t="s">
        <v>16</v>
      </c>
      <c r="D3319">
        <v>0</v>
      </c>
      <c r="E3319" t="s">
        <v>90</v>
      </c>
      <c r="G3319">
        <v>4</v>
      </c>
    </row>
    <row r="3320" spans="1:7" x14ac:dyDescent="0.35">
      <c r="A3320">
        <v>160275</v>
      </c>
      <c r="B3320">
        <v>28</v>
      </c>
      <c r="C3320" t="s">
        <v>22</v>
      </c>
      <c r="D3320">
        <v>6801</v>
      </c>
      <c r="E3320" t="s">
        <v>88</v>
      </c>
      <c r="F3320" t="s">
        <v>17</v>
      </c>
      <c r="G3320">
        <v>5</v>
      </c>
    </row>
    <row r="3321" spans="1:7" x14ac:dyDescent="0.35">
      <c r="A3321">
        <v>184723</v>
      </c>
      <c r="B3321">
        <v>1</v>
      </c>
      <c r="C3321" t="s">
        <v>70</v>
      </c>
      <c r="D3321">
        <v>6901</v>
      </c>
      <c r="E3321" t="s">
        <v>89</v>
      </c>
      <c r="F3321" t="s">
        <v>14</v>
      </c>
      <c r="G3321">
        <v>10</v>
      </c>
    </row>
    <row r="3322" spans="1:7" x14ac:dyDescent="0.35">
      <c r="A3322">
        <v>52548</v>
      </c>
      <c r="B3322">
        <v>0</v>
      </c>
      <c r="C3322" t="s">
        <v>53</v>
      </c>
      <c r="D3322">
        <v>3703</v>
      </c>
      <c r="E3322" t="s">
        <v>91</v>
      </c>
      <c r="F3322" t="s">
        <v>14</v>
      </c>
      <c r="G3322">
        <v>14</v>
      </c>
    </row>
    <row r="3323" spans="1:7" x14ac:dyDescent="0.35">
      <c r="A3323">
        <v>158813</v>
      </c>
      <c r="B3323">
        <v>1</v>
      </c>
      <c r="C3323" t="s">
        <v>22</v>
      </c>
      <c r="D3323">
        <v>1710</v>
      </c>
      <c r="E3323" t="s">
        <v>92</v>
      </c>
      <c r="F3323" t="s">
        <v>14</v>
      </c>
      <c r="G3323">
        <v>10</v>
      </c>
    </row>
    <row r="3324" spans="1:7" x14ac:dyDescent="0.35">
      <c r="A3324">
        <v>73008</v>
      </c>
      <c r="B3324">
        <v>2</v>
      </c>
      <c r="C3324" t="s">
        <v>29</v>
      </c>
      <c r="D3324">
        <v>5205</v>
      </c>
      <c r="E3324" t="s">
        <v>91</v>
      </c>
      <c r="F3324" t="s">
        <v>17</v>
      </c>
      <c r="G3324">
        <v>12</v>
      </c>
    </row>
    <row r="3325" spans="1:7" x14ac:dyDescent="0.35">
      <c r="A3325">
        <v>105144</v>
      </c>
      <c r="B3325">
        <v>0</v>
      </c>
      <c r="C3325" t="s">
        <v>28</v>
      </c>
      <c r="D3325">
        <v>0</v>
      </c>
      <c r="E3325" t="s">
        <v>96</v>
      </c>
      <c r="F3325" t="s">
        <v>17</v>
      </c>
      <c r="G3325">
        <v>3</v>
      </c>
    </row>
    <row r="3326" spans="1:7" x14ac:dyDescent="0.35">
      <c r="A3326">
        <v>52132</v>
      </c>
      <c r="B3326">
        <v>0</v>
      </c>
      <c r="C3326" t="s">
        <v>53</v>
      </c>
      <c r="D3326">
        <v>0</v>
      </c>
      <c r="F3326" t="s">
        <v>17</v>
      </c>
      <c r="G3326">
        <v>7</v>
      </c>
    </row>
    <row r="3327" spans="1:7" x14ac:dyDescent="0.35">
      <c r="A3327">
        <v>12474</v>
      </c>
      <c r="B3327">
        <v>1</v>
      </c>
      <c r="C3327" t="s">
        <v>13</v>
      </c>
      <c r="D3327">
        <v>2307</v>
      </c>
      <c r="E3327" t="s">
        <v>89</v>
      </c>
      <c r="F3327" t="s">
        <v>17</v>
      </c>
      <c r="G3327">
        <v>10</v>
      </c>
    </row>
    <row r="3328" spans="1:7" x14ac:dyDescent="0.35">
      <c r="A3328">
        <v>160425</v>
      </c>
      <c r="B3328">
        <v>0</v>
      </c>
      <c r="C3328" t="s">
        <v>22</v>
      </c>
      <c r="D3328">
        <v>2601</v>
      </c>
      <c r="E3328" t="s">
        <v>89</v>
      </c>
      <c r="F3328" t="s">
        <v>30</v>
      </c>
      <c r="G3328">
        <v>12</v>
      </c>
    </row>
    <row r="3329" spans="1:7" x14ac:dyDescent="0.35">
      <c r="A3329">
        <v>175112</v>
      </c>
      <c r="B3329">
        <v>0</v>
      </c>
      <c r="C3329" t="s">
        <v>22</v>
      </c>
      <c r="D3329">
        <v>5701</v>
      </c>
      <c r="E3329" t="s">
        <v>89</v>
      </c>
      <c r="F3329" t="s">
        <v>17</v>
      </c>
      <c r="G3329">
        <v>20</v>
      </c>
    </row>
    <row r="3330" spans="1:7" x14ac:dyDescent="0.35">
      <c r="A3330">
        <v>51382</v>
      </c>
      <c r="B3330">
        <v>1</v>
      </c>
      <c r="C3330" t="s">
        <v>53</v>
      </c>
      <c r="D3330">
        <v>0</v>
      </c>
      <c r="E3330" t="s">
        <v>89</v>
      </c>
      <c r="F3330" t="s">
        <v>14</v>
      </c>
      <c r="G3330">
        <v>25</v>
      </c>
    </row>
    <row r="3331" spans="1:7" x14ac:dyDescent="0.35">
      <c r="A3331">
        <v>146153</v>
      </c>
      <c r="B3331">
        <v>0</v>
      </c>
      <c r="C3331" t="s">
        <v>22</v>
      </c>
      <c r="D3331">
        <v>3210</v>
      </c>
      <c r="E3331" t="s">
        <v>101</v>
      </c>
      <c r="F3331" t="s">
        <v>17</v>
      </c>
      <c r="G3331">
        <v>44</v>
      </c>
    </row>
    <row r="3332" spans="1:7" x14ac:dyDescent="0.35">
      <c r="A3332">
        <v>133743</v>
      </c>
      <c r="B3332">
        <v>1002</v>
      </c>
      <c r="C3332" t="s">
        <v>41</v>
      </c>
      <c r="D3332">
        <v>4401</v>
      </c>
      <c r="E3332" t="s">
        <v>91</v>
      </c>
      <c r="F3332" t="s">
        <v>14</v>
      </c>
      <c r="G3332">
        <v>20</v>
      </c>
    </row>
    <row r="3333" spans="1:7" x14ac:dyDescent="0.35">
      <c r="A3333">
        <v>155602</v>
      </c>
      <c r="B3333">
        <v>1</v>
      </c>
      <c r="C3333" t="s">
        <v>22</v>
      </c>
      <c r="D3333">
        <v>2006</v>
      </c>
      <c r="E3333" t="s">
        <v>92</v>
      </c>
      <c r="F3333" t="s">
        <v>14</v>
      </c>
      <c r="G3333">
        <v>25</v>
      </c>
    </row>
    <row r="3334" spans="1:7" x14ac:dyDescent="0.35">
      <c r="A3334">
        <v>149199</v>
      </c>
      <c r="B3334">
        <v>0</v>
      </c>
      <c r="C3334" t="s">
        <v>22</v>
      </c>
      <c r="D3334">
        <v>0</v>
      </c>
      <c r="E3334" t="s">
        <v>95</v>
      </c>
      <c r="F3334" t="s">
        <v>14</v>
      </c>
      <c r="G3334">
        <v>15</v>
      </c>
    </row>
    <row r="3335" spans="1:7" x14ac:dyDescent="0.35">
      <c r="A3335">
        <v>124514</v>
      </c>
      <c r="B3335">
        <v>28</v>
      </c>
      <c r="C3335" t="s">
        <v>21</v>
      </c>
      <c r="D3335">
        <v>5702</v>
      </c>
      <c r="E3335" t="s">
        <v>88</v>
      </c>
      <c r="F3335" t="s">
        <v>17</v>
      </c>
      <c r="G3335">
        <v>26</v>
      </c>
    </row>
    <row r="3336" spans="1:7" x14ac:dyDescent="0.35">
      <c r="A3336">
        <v>57407</v>
      </c>
      <c r="B3336">
        <v>1</v>
      </c>
      <c r="C3336" t="s">
        <v>57</v>
      </c>
      <c r="D3336">
        <v>4201</v>
      </c>
      <c r="E3336" t="s">
        <v>93</v>
      </c>
      <c r="F3336" t="s">
        <v>14</v>
      </c>
      <c r="G3336">
        <v>21</v>
      </c>
    </row>
    <row r="3337" spans="1:7" x14ac:dyDescent="0.35">
      <c r="A3337">
        <v>185774</v>
      </c>
      <c r="B3337">
        <v>0</v>
      </c>
      <c r="C3337" t="s">
        <v>18</v>
      </c>
      <c r="D3337">
        <v>0</v>
      </c>
      <c r="F3337" t="s">
        <v>17</v>
      </c>
      <c r="G3337">
        <v>12</v>
      </c>
    </row>
    <row r="3338" spans="1:7" x14ac:dyDescent="0.35">
      <c r="A3338">
        <v>189962</v>
      </c>
      <c r="B3338">
        <v>0</v>
      </c>
      <c r="C3338" t="s">
        <v>22</v>
      </c>
      <c r="D3338">
        <v>4601</v>
      </c>
      <c r="E3338" t="s">
        <v>104</v>
      </c>
      <c r="F3338" t="s">
        <v>14</v>
      </c>
      <c r="G3338">
        <v>10</v>
      </c>
    </row>
    <row r="3339" spans="1:7" x14ac:dyDescent="0.35">
      <c r="A3339">
        <v>27045</v>
      </c>
      <c r="B3339">
        <v>28</v>
      </c>
      <c r="C3339" t="s">
        <v>35</v>
      </c>
      <c r="D3339">
        <v>0</v>
      </c>
      <c r="E3339" t="s">
        <v>91</v>
      </c>
      <c r="F3339" t="s">
        <v>17</v>
      </c>
      <c r="G3339">
        <v>16</v>
      </c>
    </row>
    <row r="3340" spans="1:7" x14ac:dyDescent="0.35">
      <c r="A3340">
        <v>97424</v>
      </c>
      <c r="B3340">
        <v>2</v>
      </c>
      <c r="C3340" t="s">
        <v>16</v>
      </c>
      <c r="D3340">
        <v>0</v>
      </c>
      <c r="E3340" t="s">
        <v>98</v>
      </c>
      <c r="F3340" t="s">
        <v>14</v>
      </c>
      <c r="G3340">
        <v>5</v>
      </c>
    </row>
    <row r="3341" spans="1:7" x14ac:dyDescent="0.35">
      <c r="A3341">
        <v>163591</v>
      </c>
      <c r="B3341">
        <v>0</v>
      </c>
      <c r="C3341" t="s">
        <v>22</v>
      </c>
      <c r="D3341">
        <v>2201</v>
      </c>
      <c r="E3341" t="s">
        <v>95</v>
      </c>
      <c r="F3341" t="s">
        <v>14</v>
      </c>
      <c r="G3341">
        <v>35</v>
      </c>
    </row>
    <row r="3342" spans="1:7" x14ac:dyDescent="0.35">
      <c r="A3342">
        <v>15772</v>
      </c>
      <c r="B3342">
        <v>2</v>
      </c>
      <c r="C3342" t="s">
        <v>18</v>
      </c>
      <c r="D3342">
        <v>0</v>
      </c>
      <c r="E3342" t="s">
        <v>96</v>
      </c>
      <c r="F3342" t="s">
        <v>17</v>
      </c>
      <c r="G3342">
        <v>10</v>
      </c>
    </row>
    <row r="3343" spans="1:7" x14ac:dyDescent="0.35">
      <c r="A3343">
        <v>71427</v>
      </c>
      <c r="B3343">
        <v>1</v>
      </c>
      <c r="C3343" t="s">
        <v>29</v>
      </c>
      <c r="D3343">
        <v>5510</v>
      </c>
      <c r="E3343" t="s">
        <v>94</v>
      </c>
      <c r="F3343" t="s">
        <v>14</v>
      </c>
      <c r="G3343">
        <v>30</v>
      </c>
    </row>
    <row r="3344" spans="1:7" x14ac:dyDescent="0.35">
      <c r="A3344">
        <v>159039</v>
      </c>
      <c r="B3344">
        <v>0</v>
      </c>
      <c r="C3344" t="s">
        <v>22</v>
      </c>
      <c r="D3344">
        <v>2001</v>
      </c>
      <c r="E3344" t="s">
        <v>88</v>
      </c>
      <c r="F3344" t="s">
        <v>17</v>
      </c>
      <c r="G3344">
        <v>25</v>
      </c>
    </row>
    <row r="3345" spans="1:7" x14ac:dyDescent="0.35">
      <c r="A3345">
        <v>22984</v>
      </c>
      <c r="B3345">
        <v>0</v>
      </c>
      <c r="C3345" t="s">
        <v>46</v>
      </c>
      <c r="D3345">
        <v>0</v>
      </c>
      <c r="E3345" t="s">
        <v>89</v>
      </c>
      <c r="F3345" t="s">
        <v>17</v>
      </c>
      <c r="G3345">
        <v>1</v>
      </c>
    </row>
    <row r="3346" spans="1:7" x14ac:dyDescent="0.35">
      <c r="A3346">
        <v>89210</v>
      </c>
      <c r="B3346">
        <v>2</v>
      </c>
      <c r="C3346" t="s">
        <v>32</v>
      </c>
      <c r="D3346">
        <v>3801</v>
      </c>
      <c r="E3346" t="s">
        <v>90</v>
      </c>
      <c r="G3346">
        <v>25</v>
      </c>
    </row>
    <row r="3347" spans="1:7" x14ac:dyDescent="0.35">
      <c r="A3347">
        <v>6490</v>
      </c>
      <c r="B3347">
        <v>0</v>
      </c>
      <c r="C3347" t="s">
        <v>40</v>
      </c>
      <c r="D3347">
        <v>1201</v>
      </c>
      <c r="E3347" t="s">
        <v>89</v>
      </c>
      <c r="F3347" t="s">
        <v>14</v>
      </c>
      <c r="G3347">
        <v>25</v>
      </c>
    </row>
    <row r="3348" spans="1:7" x14ac:dyDescent="0.35">
      <c r="A3348">
        <v>48003</v>
      </c>
      <c r="B3348">
        <v>0</v>
      </c>
      <c r="C3348" t="s">
        <v>43</v>
      </c>
      <c r="D3348">
        <v>0</v>
      </c>
      <c r="E3348" t="s">
        <v>89</v>
      </c>
      <c r="F3348" t="s">
        <v>30</v>
      </c>
      <c r="G3348">
        <v>10</v>
      </c>
    </row>
    <row r="3349" spans="1:7" x14ac:dyDescent="0.35">
      <c r="A3349">
        <v>189199</v>
      </c>
      <c r="B3349">
        <v>0</v>
      </c>
      <c r="C3349" t="s">
        <v>28</v>
      </c>
      <c r="D3349">
        <v>0</v>
      </c>
      <c r="E3349" t="s">
        <v>89</v>
      </c>
      <c r="F3349" t="s">
        <v>17</v>
      </c>
      <c r="G3349">
        <v>25</v>
      </c>
    </row>
    <row r="3350" spans="1:7" x14ac:dyDescent="0.35">
      <c r="A3350">
        <v>117882</v>
      </c>
      <c r="B3350">
        <v>0</v>
      </c>
      <c r="C3350" t="s">
        <v>32</v>
      </c>
      <c r="D3350">
        <v>2907</v>
      </c>
      <c r="F3350" t="s">
        <v>17</v>
      </c>
      <c r="G3350">
        <v>20</v>
      </c>
    </row>
    <row r="3351" spans="1:7" x14ac:dyDescent="0.35">
      <c r="A3351">
        <v>174932</v>
      </c>
      <c r="B3351">
        <v>28</v>
      </c>
      <c r="C3351" t="s">
        <v>50</v>
      </c>
      <c r="D3351">
        <v>0</v>
      </c>
      <c r="E3351" t="s">
        <v>89</v>
      </c>
      <c r="F3351" t="s">
        <v>17</v>
      </c>
      <c r="G3351">
        <v>20</v>
      </c>
    </row>
    <row r="3352" spans="1:7" x14ac:dyDescent="0.35">
      <c r="A3352">
        <v>101033</v>
      </c>
      <c r="B3352">
        <v>0</v>
      </c>
      <c r="C3352" t="s">
        <v>36</v>
      </c>
      <c r="D3352">
        <v>5711</v>
      </c>
      <c r="E3352" t="s">
        <v>89</v>
      </c>
      <c r="F3352" t="s">
        <v>14</v>
      </c>
      <c r="G3352">
        <v>21</v>
      </c>
    </row>
    <row r="3353" spans="1:7" x14ac:dyDescent="0.35">
      <c r="A3353">
        <v>143299</v>
      </c>
      <c r="B3353">
        <v>0</v>
      </c>
      <c r="C3353" t="s">
        <v>22</v>
      </c>
      <c r="D3353">
        <v>2801</v>
      </c>
      <c r="E3353" t="s">
        <v>95</v>
      </c>
      <c r="F3353" t="s">
        <v>14</v>
      </c>
      <c r="G3353">
        <v>15</v>
      </c>
    </row>
    <row r="3354" spans="1:7" x14ac:dyDescent="0.35">
      <c r="A3354">
        <v>189749</v>
      </c>
      <c r="B3354">
        <v>1</v>
      </c>
      <c r="C3354" t="s">
        <v>13</v>
      </c>
      <c r="D3354">
        <v>2211</v>
      </c>
      <c r="E3354" t="s">
        <v>90</v>
      </c>
      <c r="F3354" t="s">
        <v>14</v>
      </c>
      <c r="G3354">
        <v>10</v>
      </c>
    </row>
    <row r="3355" spans="1:7" x14ac:dyDescent="0.35">
      <c r="A3355">
        <v>127108</v>
      </c>
      <c r="B3355">
        <v>28</v>
      </c>
      <c r="C3355" t="s">
        <v>21</v>
      </c>
      <c r="D3355">
        <v>0</v>
      </c>
      <c r="E3355" t="s">
        <v>94</v>
      </c>
      <c r="G3355">
        <v>10</v>
      </c>
    </row>
    <row r="3356" spans="1:7" x14ac:dyDescent="0.35">
      <c r="A3356">
        <v>74614</v>
      </c>
      <c r="B3356">
        <v>28</v>
      </c>
      <c r="C3356" t="s">
        <v>29</v>
      </c>
      <c r="D3356">
        <v>3501</v>
      </c>
      <c r="E3356" t="s">
        <v>91</v>
      </c>
      <c r="F3356" t="s">
        <v>17</v>
      </c>
      <c r="G3356">
        <v>5</v>
      </c>
    </row>
    <row r="3357" spans="1:7" x14ac:dyDescent="0.35">
      <c r="A3357">
        <v>182519</v>
      </c>
      <c r="B3357">
        <v>1</v>
      </c>
      <c r="C3357" t="s">
        <v>40</v>
      </c>
      <c r="D3357">
        <v>4701</v>
      </c>
      <c r="E3357" t="s">
        <v>89</v>
      </c>
      <c r="F3357" t="s">
        <v>14</v>
      </c>
      <c r="G3357">
        <v>5</v>
      </c>
    </row>
    <row r="3358" spans="1:7" x14ac:dyDescent="0.35">
      <c r="A3358">
        <v>95467</v>
      </c>
      <c r="B3358">
        <v>0</v>
      </c>
      <c r="C3358" t="s">
        <v>16</v>
      </c>
      <c r="D3358">
        <v>2501</v>
      </c>
      <c r="E3358" t="s">
        <v>91</v>
      </c>
      <c r="F3358" t="s">
        <v>17</v>
      </c>
      <c r="G3358">
        <v>4</v>
      </c>
    </row>
    <row r="3359" spans="1:7" x14ac:dyDescent="0.35">
      <c r="A3359">
        <v>126530</v>
      </c>
      <c r="B3359">
        <v>0</v>
      </c>
      <c r="C3359" t="s">
        <v>21</v>
      </c>
      <c r="D3359">
        <v>4401</v>
      </c>
      <c r="E3359" t="s">
        <v>89</v>
      </c>
      <c r="F3359" t="s">
        <v>14</v>
      </c>
      <c r="G3359">
        <v>30</v>
      </c>
    </row>
    <row r="3360" spans="1:7" x14ac:dyDescent="0.35">
      <c r="A3360">
        <v>9049</v>
      </c>
      <c r="B3360">
        <v>2</v>
      </c>
      <c r="C3360" t="s">
        <v>13</v>
      </c>
      <c r="D3360">
        <v>4601</v>
      </c>
      <c r="E3360" t="s">
        <v>96</v>
      </c>
      <c r="F3360" t="s">
        <v>17</v>
      </c>
      <c r="G3360">
        <v>15</v>
      </c>
    </row>
    <row r="3361" spans="1:7" x14ac:dyDescent="0.35">
      <c r="A3361">
        <v>19986</v>
      </c>
      <c r="B3361">
        <v>0</v>
      </c>
      <c r="C3361" t="s">
        <v>18</v>
      </c>
      <c r="D3361">
        <v>7001</v>
      </c>
      <c r="E3361" t="s">
        <v>89</v>
      </c>
      <c r="F3361" t="s">
        <v>14</v>
      </c>
      <c r="G3361">
        <v>10</v>
      </c>
    </row>
    <row r="3362" spans="1:7" x14ac:dyDescent="0.35">
      <c r="A3362">
        <v>25731</v>
      </c>
      <c r="B3362">
        <v>0</v>
      </c>
      <c r="C3362" t="s">
        <v>39</v>
      </c>
      <c r="D3362">
        <v>6801</v>
      </c>
      <c r="E3362" t="s">
        <v>89</v>
      </c>
      <c r="F3362" t="s">
        <v>14</v>
      </c>
      <c r="G3362">
        <v>21</v>
      </c>
    </row>
    <row r="3363" spans="1:7" x14ac:dyDescent="0.35">
      <c r="A3363">
        <v>45258</v>
      </c>
      <c r="B3363">
        <v>0</v>
      </c>
      <c r="C3363" t="s">
        <v>13</v>
      </c>
      <c r="D3363">
        <v>4501</v>
      </c>
      <c r="E3363" t="s">
        <v>101</v>
      </c>
      <c r="F3363" t="s">
        <v>17</v>
      </c>
      <c r="G3363">
        <v>5</v>
      </c>
    </row>
    <row r="3364" spans="1:7" x14ac:dyDescent="0.35">
      <c r="A3364">
        <v>175996</v>
      </c>
      <c r="B3364">
        <v>0</v>
      </c>
      <c r="C3364" t="s">
        <v>50</v>
      </c>
      <c r="D3364">
        <v>3501</v>
      </c>
      <c r="E3364" t="s">
        <v>93</v>
      </c>
      <c r="F3364" t="s">
        <v>17</v>
      </c>
      <c r="G3364">
        <v>10</v>
      </c>
    </row>
    <row r="3365" spans="1:7" x14ac:dyDescent="0.35">
      <c r="A3365">
        <v>56113</v>
      </c>
      <c r="B3365">
        <v>1002</v>
      </c>
      <c r="C3365" t="s">
        <v>62</v>
      </c>
      <c r="D3365">
        <v>4504</v>
      </c>
      <c r="E3365" t="s">
        <v>89</v>
      </c>
      <c r="F3365" t="s">
        <v>14</v>
      </c>
      <c r="G3365">
        <v>5</v>
      </c>
    </row>
    <row r="3366" spans="1:7" x14ac:dyDescent="0.35">
      <c r="A3366">
        <v>138945</v>
      </c>
      <c r="B3366">
        <v>28</v>
      </c>
      <c r="C3366" t="s">
        <v>55</v>
      </c>
      <c r="D3366">
        <v>2901</v>
      </c>
      <c r="E3366" t="s">
        <v>88</v>
      </c>
      <c r="F3366" t="s">
        <v>17</v>
      </c>
      <c r="G3366">
        <v>23</v>
      </c>
    </row>
    <row r="3367" spans="1:7" x14ac:dyDescent="0.35">
      <c r="A3367">
        <v>135098</v>
      </c>
      <c r="B3367">
        <v>28</v>
      </c>
      <c r="C3367" t="s">
        <v>55</v>
      </c>
      <c r="D3367">
        <v>3106</v>
      </c>
      <c r="E3367" t="s">
        <v>90</v>
      </c>
      <c r="F3367" t="s">
        <v>17</v>
      </c>
      <c r="G3367">
        <v>20</v>
      </c>
    </row>
    <row r="3368" spans="1:7" x14ac:dyDescent="0.35">
      <c r="A3368">
        <v>87074</v>
      </c>
      <c r="B3368">
        <v>0</v>
      </c>
      <c r="C3368" t="s">
        <v>34</v>
      </c>
      <c r="D3368">
        <v>7801</v>
      </c>
      <c r="E3368" t="s">
        <v>98</v>
      </c>
      <c r="F3368" t="s">
        <v>17</v>
      </c>
      <c r="G3368">
        <v>5</v>
      </c>
    </row>
    <row r="3369" spans="1:7" x14ac:dyDescent="0.35">
      <c r="A3369">
        <v>23723</v>
      </c>
      <c r="B3369">
        <v>1</v>
      </c>
      <c r="C3369" t="s">
        <v>46</v>
      </c>
      <c r="D3369">
        <v>6101</v>
      </c>
      <c r="E3369" t="s">
        <v>94</v>
      </c>
      <c r="F3369" t="s">
        <v>14</v>
      </c>
      <c r="G3369">
        <v>10</v>
      </c>
    </row>
    <row r="3370" spans="1:7" x14ac:dyDescent="0.35">
      <c r="A3370">
        <v>116053</v>
      </c>
      <c r="B3370">
        <v>1</v>
      </c>
      <c r="C3370" t="s">
        <v>21</v>
      </c>
      <c r="D3370">
        <v>5201</v>
      </c>
      <c r="E3370" t="s">
        <v>92</v>
      </c>
      <c r="F3370" t="s">
        <v>14</v>
      </c>
      <c r="G3370">
        <v>6</v>
      </c>
    </row>
    <row r="3371" spans="1:7" x14ac:dyDescent="0.35">
      <c r="A3371">
        <v>92021</v>
      </c>
      <c r="B3371">
        <v>1</v>
      </c>
      <c r="C3371" t="s">
        <v>16</v>
      </c>
      <c r="D3371">
        <v>3201</v>
      </c>
      <c r="E3371" t="s">
        <v>88</v>
      </c>
      <c r="F3371" t="s">
        <v>14</v>
      </c>
      <c r="G3371">
        <v>20</v>
      </c>
    </row>
    <row r="3372" spans="1:7" x14ac:dyDescent="0.35">
      <c r="A3372">
        <v>164989</v>
      </c>
      <c r="B3372">
        <v>0</v>
      </c>
      <c r="C3372" t="s">
        <v>22</v>
      </c>
      <c r="D3372">
        <v>3209</v>
      </c>
      <c r="E3372" t="s">
        <v>93</v>
      </c>
      <c r="F3372" t="s">
        <v>17</v>
      </c>
      <c r="G3372">
        <v>30</v>
      </c>
    </row>
    <row r="3373" spans="1:7" x14ac:dyDescent="0.35">
      <c r="A3373">
        <v>126013</v>
      </c>
      <c r="B3373">
        <v>0</v>
      </c>
      <c r="C3373" t="s">
        <v>21</v>
      </c>
      <c r="D3373">
        <v>4001</v>
      </c>
      <c r="E3373" t="s">
        <v>91</v>
      </c>
      <c r="F3373" t="s">
        <v>14</v>
      </c>
      <c r="G3373">
        <v>20</v>
      </c>
    </row>
    <row r="3374" spans="1:7" x14ac:dyDescent="0.35">
      <c r="A3374">
        <v>117076</v>
      </c>
      <c r="B3374">
        <v>0</v>
      </c>
      <c r="C3374" t="s">
        <v>21</v>
      </c>
      <c r="D3374">
        <v>1808</v>
      </c>
      <c r="E3374" t="s">
        <v>97</v>
      </c>
      <c r="F3374" t="s">
        <v>17</v>
      </c>
      <c r="G3374">
        <v>10</v>
      </c>
    </row>
    <row r="3375" spans="1:7" x14ac:dyDescent="0.35">
      <c r="A3375">
        <v>26680</v>
      </c>
      <c r="B3375">
        <v>2</v>
      </c>
      <c r="C3375" t="s">
        <v>39</v>
      </c>
      <c r="D3375">
        <v>5608</v>
      </c>
      <c r="E3375" t="s">
        <v>94</v>
      </c>
      <c r="F3375" t="s">
        <v>17</v>
      </c>
      <c r="G3375">
        <v>15</v>
      </c>
    </row>
    <row r="3376" spans="1:7" x14ac:dyDescent="0.35">
      <c r="A3376">
        <v>176252</v>
      </c>
      <c r="B3376">
        <v>2</v>
      </c>
      <c r="C3376" t="s">
        <v>50</v>
      </c>
      <c r="D3376">
        <v>1101</v>
      </c>
      <c r="E3376" t="s">
        <v>93</v>
      </c>
      <c r="F3376" t="s">
        <v>14</v>
      </c>
      <c r="G3376">
        <v>15</v>
      </c>
    </row>
    <row r="3377" spans="1:7" x14ac:dyDescent="0.35">
      <c r="A3377">
        <v>119154</v>
      </c>
      <c r="B3377">
        <v>1002</v>
      </c>
      <c r="C3377" t="s">
        <v>21</v>
      </c>
      <c r="D3377">
        <v>2401</v>
      </c>
      <c r="E3377" t="s">
        <v>88</v>
      </c>
      <c r="F3377" t="s">
        <v>44</v>
      </c>
      <c r="G3377">
        <v>10</v>
      </c>
    </row>
    <row r="3378" spans="1:7" x14ac:dyDescent="0.35">
      <c r="A3378">
        <v>141442</v>
      </c>
      <c r="B3378">
        <v>1</v>
      </c>
      <c r="C3378" t="s">
        <v>24</v>
      </c>
      <c r="D3378">
        <v>4803</v>
      </c>
      <c r="E3378" t="s">
        <v>90</v>
      </c>
      <c r="F3378" t="s">
        <v>14</v>
      </c>
      <c r="G3378">
        <v>18</v>
      </c>
    </row>
    <row r="3379" spans="1:7" x14ac:dyDescent="0.35">
      <c r="A3379">
        <v>1012</v>
      </c>
      <c r="B3379">
        <v>2</v>
      </c>
      <c r="C3379" t="s">
        <v>18</v>
      </c>
      <c r="D3379">
        <v>2201</v>
      </c>
      <c r="E3379" t="s">
        <v>94</v>
      </c>
      <c r="F3379" t="s">
        <v>14</v>
      </c>
      <c r="G3379">
        <v>15</v>
      </c>
    </row>
    <row r="3380" spans="1:7" x14ac:dyDescent="0.35">
      <c r="A3380">
        <v>42878</v>
      </c>
      <c r="B3380">
        <v>0</v>
      </c>
      <c r="C3380" t="s">
        <v>13</v>
      </c>
      <c r="D3380">
        <v>2201</v>
      </c>
      <c r="E3380" t="s">
        <v>88</v>
      </c>
      <c r="F3380" t="s">
        <v>17</v>
      </c>
      <c r="G3380">
        <v>10</v>
      </c>
    </row>
    <row r="3381" spans="1:7" x14ac:dyDescent="0.35">
      <c r="A3381">
        <v>188896</v>
      </c>
      <c r="B3381">
        <v>1</v>
      </c>
      <c r="C3381" t="s">
        <v>55</v>
      </c>
      <c r="D3381">
        <v>3201</v>
      </c>
      <c r="E3381" t="s">
        <v>89</v>
      </c>
      <c r="F3381" t="s">
        <v>14</v>
      </c>
      <c r="G3381">
        <v>40</v>
      </c>
    </row>
    <row r="3382" spans="1:7" x14ac:dyDescent="0.35">
      <c r="A3382">
        <v>99338</v>
      </c>
      <c r="B3382">
        <v>0</v>
      </c>
      <c r="C3382" t="s">
        <v>36</v>
      </c>
      <c r="D3382">
        <v>4711</v>
      </c>
      <c r="E3382" t="s">
        <v>94</v>
      </c>
      <c r="F3382" t="s">
        <v>17</v>
      </c>
      <c r="G3382">
        <v>10</v>
      </c>
    </row>
    <row r="3383" spans="1:7" x14ac:dyDescent="0.35">
      <c r="A3383">
        <v>64563</v>
      </c>
      <c r="B3383">
        <v>0</v>
      </c>
      <c r="C3383" t="s">
        <v>33</v>
      </c>
      <c r="D3383">
        <v>0</v>
      </c>
      <c r="E3383" t="s">
        <v>98</v>
      </c>
      <c r="F3383" t="s">
        <v>17</v>
      </c>
      <c r="G3383">
        <v>20</v>
      </c>
    </row>
    <row r="3384" spans="1:7" x14ac:dyDescent="0.35">
      <c r="A3384">
        <v>5335</v>
      </c>
      <c r="B3384">
        <v>28</v>
      </c>
      <c r="C3384" t="s">
        <v>21</v>
      </c>
      <c r="D3384">
        <v>2208</v>
      </c>
      <c r="E3384" t="s">
        <v>91</v>
      </c>
      <c r="F3384" t="s">
        <v>17</v>
      </c>
      <c r="G3384">
        <v>10</v>
      </c>
    </row>
    <row r="3385" spans="1:7" x14ac:dyDescent="0.35">
      <c r="A3385">
        <v>112703</v>
      </c>
      <c r="B3385">
        <v>2</v>
      </c>
      <c r="C3385" t="s">
        <v>31</v>
      </c>
      <c r="D3385">
        <v>0</v>
      </c>
      <c r="E3385" t="s">
        <v>98</v>
      </c>
      <c r="F3385" t="s">
        <v>17</v>
      </c>
      <c r="G3385">
        <v>15</v>
      </c>
    </row>
    <row r="3386" spans="1:7" x14ac:dyDescent="0.35">
      <c r="A3386">
        <v>32380</v>
      </c>
      <c r="B3386">
        <v>1</v>
      </c>
      <c r="C3386" t="s">
        <v>13</v>
      </c>
      <c r="D3386">
        <v>2301</v>
      </c>
      <c r="E3386" t="s">
        <v>88</v>
      </c>
      <c r="F3386" t="s">
        <v>14</v>
      </c>
      <c r="G3386">
        <v>5</v>
      </c>
    </row>
    <row r="3387" spans="1:7" x14ac:dyDescent="0.35">
      <c r="A3387">
        <v>40566</v>
      </c>
      <c r="B3387">
        <v>28</v>
      </c>
      <c r="C3387" t="s">
        <v>13</v>
      </c>
      <c r="D3387">
        <v>4101</v>
      </c>
      <c r="E3387" t="s">
        <v>90</v>
      </c>
      <c r="F3387" t="s">
        <v>17</v>
      </c>
      <c r="G3387">
        <v>17</v>
      </c>
    </row>
    <row r="3388" spans="1:7" x14ac:dyDescent="0.35">
      <c r="A3388">
        <v>32359</v>
      </c>
      <c r="B3388">
        <v>1</v>
      </c>
      <c r="C3388" t="s">
        <v>13</v>
      </c>
      <c r="D3388">
        <v>3012</v>
      </c>
      <c r="E3388" t="s">
        <v>88</v>
      </c>
      <c r="F3388" t="s">
        <v>14</v>
      </c>
      <c r="G3388">
        <v>3</v>
      </c>
    </row>
    <row r="3389" spans="1:7" x14ac:dyDescent="0.35">
      <c r="A3389">
        <v>146628</v>
      </c>
      <c r="B3389">
        <v>28</v>
      </c>
      <c r="C3389" t="s">
        <v>22</v>
      </c>
      <c r="D3389">
        <v>3405</v>
      </c>
      <c r="E3389" t="s">
        <v>96</v>
      </c>
      <c r="F3389" t="s">
        <v>17</v>
      </c>
      <c r="G3389">
        <v>10</v>
      </c>
    </row>
    <row r="3390" spans="1:7" x14ac:dyDescent="0.35">
      <c r="A3390">
        <v>113690</v>
      </c>
      <c r="B3390">
        <v>1002</v>
      </c>
      <c r="C3390" t="s">
        <v>31</v>
      </c>
      <c r="D3390">
        <v>4301</v>
      </c>
      <c r="E3390" t="s">
        <v>88</v>
      </c>
      <c r="F3390" t="s">
        <v>14</v>
      </c>
      <c r="G3390">
        <v>10</v>
      </c>
    </row>
    <row r="3391" spans="1:7" x14ac:dyDescent="0.35">
      <c r="A3391">
        <v>102011</v>
      </c>
      <c r="B3391">
        <v>0</v>
      </c>
      <c r="C3391" t="s">
        <v>36</v>
      </c>
      <c r="D3391">
        <v>5404</v>
      </c>
      <c r="E3391" t="s">
        <v>91</v>
      </c>
      <c r="F3391" t="s">
        <v>17</v>
      </c>
      <c r="G3391">
        <v>30</v>
      </c>
    </row>
    <row r="3392" spans="1:7" x14ac:dyDescent="0.35">
      <c r="A3392">
        <v>17714</v>
      </c>
      <c r="B3392">
        <v>2</v>
      </c>
      <c r="C3392" t="s">
        <v>18</v>
      </c>
      <c r="D3392">
        <v>3103</v>
      </c>
      <c r="E3392" t="s">
        <v>93</v>
      </c>
      <c r="F3392" t="s">
        <v>17</v>
      </c>
      <c r="G3392">
        <v>26</v>
      </c>
    </row>
    <row r="3393" spans="1:7" x14ac:dyDescent="0.35">
      <c r="A3393">
        <v>134619</v>
      </c>
      <c r="B3393">
        <v>2</v>
      </c>
      <c r="C3393" t="s">
        <v>38</v>
      </c>
      <c r="D3393">
        <v>5003</v>
      </c>
      <c r="E3393" t="s">
        <v>90</v>
      </c>
      <c r="F3393" t="s">
        <v>14</v>
      </c>
      <c r="G3393">
        <v>11</v>
      </c>
    </row>
    <row r="3394" spans="1:7" x14ac:dyDescent="0.35">
      <c r="A3394">
        <v>106649</v>
      </c>
      <c r="B3394">
        <v>2</v>
      </c>
      <c r="C3394" t="s">
        <v>59</v>
      </c>
      <c r="D3394">
        <v>6201</v>
      </c>
      <c r="E3394" t="s">
        <v>93</v>
      </c>
      <c r="F3394" t="s">
        <v>17</v>
      </c>
      <c r="G3394">
        <v>26</v>
      </c>
    </row>
    <row r="3395" spans="1:7" x14ac:dyDescent="0.35">
      <c r="A3395">
        <v>147045</v>
      </c>
      <c r="B3395">
        <v>2</v>
      </c>
      <c r="C3395" t="s">
        <v>22</v>
      </c>
      <c r="D3395">
        <v>0</v>
      </c>
      <c r="E3395" t="s">
        <v>95</v>
      </c>
      <c r="F3395" t="s">
        <v>17</v>
      </c>
      <c r="G3395">
        <v>10</v>
      </c>
    </row>
    <row r="3396" spans="1:7" x14ac:dyDescent="0.35">
      <c r="A3396">
        <v>86420</v>
      </c>
      <c r="B3396">
        <v>0</v>
      </c>
      <c r="C3396" t="s">
        <v>45</v>
      </c>
      <c r="D3396">
        <v>4212</v>
      </c>
      <c r="E3396" t="s">
        <v>89</v>
      </c>
      <c r="F3396" t="s">
        <v>17</v>
      </c>
      <c r="G3396">
        <v>7</v>
      </c>
    </row>
    <row r="3397" spans="1:7" x14ac:dyDescent="0.35">
      <c r="A3397">
        <v>20445</v>
      </c>
      <c r="B3397">
        <v>1</v>
      </c>
      <c r="C3397" t="s">
        <v>18</v>
      </c>
      <c r="D3397">
        <v>3801</v>
      </c>
      <c r="E3397" t="s">
        <v>96</v>
      </c>
      <c r="F3397" t="s">
        <v>14</v>
      </c>
      <c r="G3397">
        <v>20</v>
      </c>
    </row>
    <row r="3398" spans="1:7" x14ac:dyDescent="0.35">
      <c r="A3398">
        <v>89924</v>
      </c>
      <c r="B3398">
        <v>2</v>
      </c>
      <c r="C3398" t="s">
        <v>33</v>
      </c>
      <c r="D3398">
        <v>0</v>
      </c>
      <c r="E3398" t="s">
        <v>90</v>
      </c>
      <c r="F3398" t="s">
        <v>17</v>
      </c>
      <c r="G3398">
        <v>5</v>
      </c>
    </row>
    <row r="3399" spans="1:7" x14ac:dyDescent="0.35">
      <c r="A3399">
        <v>156937</v>
      </c>
      <c r="B3399">
        <v>1</v>
      </c>
      <c r="C3399" t="s">
        <v>22</v>
      </c>
      <c r="D3399">
        <v>5801</v>
      </c>
      <c r="E3399" t="s">
        <v>95</v>
      </c>
      <c r="F3399" t="s">
        <v>14</v>
      </c>
      <c r="G3399">
        <v>17</v>
      </c>
    </row>
    <row r="3400" spans="1:7" x14ac:dyDescent="0.35">
      <c r="A3400">
        <v>151986</v>
      </c>
      <c r="B3400">
        <v>2</v>
      </c>
      <c r="C3400" t="s">
        <v>22</v>
      </c>
      <c r="D3400">
        <v>2101</v>
      </c>
      <c r="E3400" t="s">
        <v>93</v>
      </c>
      <c r="F3400" t="s">
        <v>17</v>
      </c>
      <c r="G3400">
        <v>15</v>
      </c>
    </row>
    <row r="3401" spans="1:7" x14ac:dyDescent="0.35">
      <c r="A3401">
        <v>139324</v>
      </c>
      <c r="B3401">
        <v>0</v>
      </c>
      <c r="C3401" t="s">
        <v>54</v>
      </c>
      <c r="D3401">
        <v>0</v>
      </c>
      <c r="E3401" t="s">
        <v>93</v>
      </c>
      <c r="F3401" t="s">
        <v>30</v>
      </c>
      <c r="G3401">
        <v>15</v>
      </c>
    </row>
    <row r="3402" spans="1:7" x14ac:dyDescent="0.35">
      <c r="A3402">
        <v>154067</v>
      </c>
      <c r="B3402">
        <v>0</v>
      </c>
      <c r="C3402" t="s">
        <v>22</v>
      </c>
      <c r="D3402">
        <v>0</v>
      </c>
      <c r="F3402" t="s">
        <v>17</v>
      </c>
      <c r="G3402">
        <v>10</v>
      </c>
    </row>
    <row r="3403" spans="1:7" x14ac:dyDescent="0.35">
      <c r="A3403">
        <v>74825</v>
      </c>
      <c r="B3403">
        <v>0</v>
      </c>
      <c r="C3403" t="s">
        <v>47</v>
      </c>
      <c r="D3403">
        <v>2007</v>
      </c>
      <c r="E3403" t="s">
        <v>89</v>
      </c>
      <c r="F3403" t="s">
        <v>17</v>
      </c>
      <c r="G3403">
        <v>5</v>
      </c>
    </row>
    <row r="3404" spans="1:7" x14ac:dyDescent="0.35">
      <c r="A3404">
        <v>22425</v>
      </c>
      <c r="B3404">
        <v>28028</v>
      </c>
      <c r="C3404" t="s">
        <v>46</v>
      </c>
      <c r="D3404">
        <v>3801</v>
      </c>
      <c r="E3404" t="s">
        <v>91</v>
      </c>
      <c r="F3404" t="s">
        <v>17</v>
      </c>
      <c r="G3404">
        <v>20</v>
      </c>
    </row>
    <row r="3405" spans="1:7" x14ac:dyDescent="0.35">
      <c r="A3405">
        <v>55450</v>
      </c>
      <c r="B3405">
        <v>0</v>
      </c>
      <c r="C3405" t="s">
        <v>62</v>
      </c>
      <c r="D3405">
        <v>0</v>
      </c>
      <c r="E3405" t="s">
        <v>91</v>
      </c>
      <c r="F3405" t="s">
        <v>17</v>
      </c>
      <c r="G3405">
        <v>5</v>
      </c>
    </row>
    <row r="3406" spans="1:7" x14ac:dyDescent="0.35">
      <c r="A3406">
        <v>64650</v>
      </c>
      <c r="B3406">
        <v>1</v>
      </c>
      <c r="C3406" t="s">
        <v>29</v>
      </c>
      <c r="D3406">
        <v>3301</v>
      </c>
      <c r="E3406" t="s">
        <v>97</v>
      </c>
      <c r="F3406" t="s">
        <v>14</v>
      </c>
      <c r="G3406">
        <v>40</v>
      </c>
    </row>
    <row r="3407" spans="1:7" x14ac:dyDescent="0.35">
      <c r="A3407">
        <v>144974</v>
      </c>
      <c r="B3407">
        <v>1</v>
      </c>
      <c r="C3407" t="s">
        <v>22</v>
      </c>
      <c r="D3407">
        <v>4901</v>
      </c>
      <c r="E3407" t="s">
        <v>95</v>
      </c>
      <c r="F3407" t="s">
        <v>14</v>
      </c>
      <c r="G3407">
        <v>20</v>
      </c>
    </row>
    <row r="3408" spans="1:7" x14ac:dyDescent="0.35">
      <c r="A3408">
        <v>4254</v>
      </c>
      <c r="B3408">
        <v>1</v>
      </c>
      <c r="C3408" t="s">
        <v>22</v>
      </c>
      <c r="D3408">
        <v>4801</v>
      </c>
      <c r="E3408" t="s">
        <v>88</v>
      </c>
      <c r="F3408" t="s">
        <v>14</v>
      </c>
      <c r="G3408">
        <v>20</v>
      </c>
    </row>
    <row r="3409" spans="1:7" x14ac:dyDescent="0.35">
      <c r="A3409">
        <v>171188</v>
      </c>
      <c r="B3409">
        <v>0</v>
      </c>
      <c r="C3409" t="s">
        <v>22</v>
      </c>
      <c r="D3409">
        <v>3308</v>
      </c>
      <c r="E3409" t="s">
        <v>89</v>
      </c>
      <c r="F3409" t="s">
        <v>17</v>
      </c>
      <c r="G3409">
        <v>14</v>
      </c>
    </row>
    <row r="3410" spans="1:7" x14ac:dyDescent="0.35">
      <c r="A3410">
        <v>181569</v>
      </c>
      <c r="B3410">
        <v>0</v>
      </c>
      <c r="C3410" t="s">
        <v>40</v>
      </c>
      <c r="D3410">
        <v>1909</v>
      </c>
      <c r="E3410" t="s">
        <v>89</v>
      </c>
      <c r="F3410" t="s">
        <v>17</v>
      </c>
      <c r="G3410">
        <v>21</v>
      </c>
    </row>
    <row r="3411" spans="1:7" x14ac:dyDescent="0.35">
      <c r="A3411">
        <v>68797</v>
      </c>
      <c r="B3411">
        <v>0</v>
      </c>
      <c r="C3411" t="s">
        <v>29</v>
      </c>
      <c r="D3411">
        <v>0</v>
      </c>
      <c r="E3411" t="s">
        <v>90</v>
      </c>
      <c r="F3411" t="s">
        <v>17</v>
      </c>
      <c r="G3411">
        <v>10</v>
      </c>
    </row>
    <row r="3412" spans="1:7" x14ac:dyDescent="0.35">
      <c r="A3412">
        <v>99602</v>
      </c>
      <c r="B3412">
        <v>3</v>
      </c>
      <c r="C3412" t="s">
        <v>36</v>
      </c>
      <c r="D3412">
        <v>2704</v>
      </c>
      <c r="E3412" t="s">
        <v>90</v>
      </c>
      <c r="F3412" t="s">
        <v>17</v>
      </c>
      <c r="G3412">
        <v>10</v>
      </c>
    </row>
    <row r="3413" spans="1:7" x14ac:dyDescent="0.35">
      <c r="A3413">
        <v>182586</v>
      </c>
      <c r="B3413">
        <v>1</v>
      </c>
      <c r="C3413" t="s">
        <v>40</v>
      </c>
      <c r="D3413">
        <v>1901</v>
      </c>
      <c r="E3413" t="s">
        <v>98</v>
      </c>
      <c r="F3413" t="s">
        <v>14</v>
      </c>
      <c r="G3413">
        <v>8</v>
      </c>
    </row>
    <row r="3414" spans="1:7" x14ac:dyDescent="0.35">
      <c r="A3414">
        <v>11023</v>
      </c>
      <c r="B3414">
        <v>1</v>
      </c>
      <c r="C3414" t="s">
        <v>22</v>
      </c>
      <c r="D3414">
        <v>2001</v>
      </c>
      <c r="E3414" t="s">
        <v>89</v>
      </c>
      <c r="F3414" t="s">
        <v>14</v>
      </c>
      <c r="G3414">
        <v>5</v>
      </c>
    </row>
    <row r="3415" spans="1:7" x14ac:dyDescent="0.35">
      <c r="A3415">
        <v>176409</v>
      </c>
      <c r="B3415">
        <v>1</v>
      </c>
      <c r="C3415" t="s">
        <v>50</v>
      </c>
      <c r="D3415">
        <v>4106</v>
      </c>
      <c r="E3415" t="s">
        <v>89</v>
      </c>
      <c r="F3415" t="s">
        <v>14</v>
      </c>
      <c r="G3415">
        <v>30</v>
      </c>
    </row>
    <row r="3416" spans="1:7" x14ac:dyDescent="0.35">
      <c r="A3416">
        <v>72452</v>
      </c>
      <c r="B3416">
        <v>0</v>
      </c>
      <c r="C3416" t="s">
        <v>29</v>
      </c>
      <c r="D3416">
        <v>6110</v>
      </c>
      <c r="E3416" t="s">
        <v>89</v>
      </c>
      <c r="F3416" t="s">
        <v>17</v>
      </c>
      <c r="G3416">
        <v>4</v>
      </c>
    </row>
    <row r="3417" spans="1:7" x14ac:dyDescent="0.35">
      <c r="A3417">
        <v>77523</v>
      </c>
      <c r="B3417">
        <v>0</v>
      </c>
      <c r="C3417" t="s">
        <v>35</v>
      </c>
      <c r="D3417">
        <v>0</v>
      </c>
      <c r="E3417" t="s">
        <v>89</v>
      </c>
      <c r="F3417" t="s">
        <v>17</v>
      </c>
      <c r="G3417">
        <v>15</v>
      </c>
    </row>
    <row r="3418" spans="1:7" x14ac:dyDescent="0.35">
      <c r="A3418">
        <v>29130</v>
      </c>
      <c r="B3418">
        <v>1</v>
      </c>
      <c r="C3418" t="s">
        <v>39</v>
      </c>
      <c r="D3418">
        <v>6701</v>
      </c>
      <c r="E3418" t="s">
        <v>91</v>
      </c>
      <c r="F3418" t="s">
        <v>14</v>
      </c>
      <c r="G3418">
        <v>10</v>
      </c>
    </row>
    <row r="3419" spans="1:7" x14ac:dyDescent="0.35">
      <c r="A3419">
        <v>141308</v>
      </c>
      <c r="B3419">
        <v>0</v>
      </c>
      <c r="C3419" t="s">
        <v>38</v>
      </c>
      <c r="D3419">
        <v>5601</v>
      </c>
      <c r="E3419" t="s">
        <v>90</v>
      </c>
      <c r="F3419" t="s">
        <v>17</v>
      </c>
      <c r="G3419">
        <v>4</v>
      </c>
    </row>
    <row r="3420" spans="1:7" x14ac:dyDescent="0.35">
      <c r="A3420">
        <v>15349</v>
      </c>
      <c r="B3420">
        <v>1</v>
      </c>
      <c r="C3420" t="s">
        <v>18</v>
      </c>
      <c r="D3420">
        <v>2201</v>
      </c>
      <c r="E3420" t="s">
        <v>88</v>
      </c>
      <c r="F3420" t="s">
        <v>14</v>
      </c>
      <c r="G3420">
        <v>30</v>
      </c>
    </row>
    <row r="3421" spans="1:7" x14ac:dyDescent="0.35">
      <c r="A3421">
        <v>124095</v>
      </c>
      <c r="B3421">
        <v>2</v>
      </c>
      <c r="C3421" t="s">
        <v>21</v>
      </c>
      <c r="D3421">
        <v>2901</v>
      </c>
      <c r="E3421" t="s">
        <v>96</v>
      </c>
      <c r="F3421" t="s">
        <v>17</v>
      </c>
      <c r="G3421">
        <v>21</v>
      </c>
    </row>
    <row r="3422" spans="1:7" x14ac:dyDescent="0.35">
      <c r="A3422">
        <v>106583</v>
      </c>
      <c r="B3422">
        <v>0</v>
      </c>
      <c r="C3422" t="s">
        <v>59</v>
      </c>
      <c r="D3422">
        <v>2002</v>
      </c>
      <c r="E3422" t="s">
        <v>91</v>
      </c>
      <c r="F3422" t="s">
        <v>14</v>
      </c>
      <c r="G3422">
        <v>5</v>
      </c>
    </row>
    <row r="3423" spans="1:7" x14ac:dyDescent="0.35">
      <c r="A3423">
        <v>131263</v>
      </c>
      <c r="B3423">
        <v>0</v>
      </c>
      <c r="C3423" t="s">
        <v>48</v>
      </c>
      <c r="D3423">
        <v>701</v>
      </c>
      <c r="E3423" t="s">
        <v>96</v>
      </c>
      <c r="F3423" t="s">
        <v>17</v>
      </c>
      <c r="G3423">
        <v>12</v>
      </c>
    </row>
    <row r="3424" spans="1:7" x14ac:dyDescent="0.35">
      <c r="A3424">
        <v>14376</v>
      </c>
      <c r="B3424">
        <v>0</v>
      </c>
      <c r="C3424" t="s">
        <v>57</v>
      </c>
      <c r="D3424">
        <v>6611</v>
      </c>
      <c r="E3424" t="s">
        <v>91</v>
      </c>
      <c r="F3424" t="s">
        <v>17</v>
      </c>
      <c r="G3424">
        <v>15</v>
      </c>
    </row>
    <row r="3425" spans="1:7" x14ac:dyDescent="0.35">
      <c r="A3425">
        <v>147641</v>
      </c>
      <c r="B3425">
        <v>2</v>
      </c>
      <c r="C3425" t="s">
        <v>22</v>
      </c>
      <c r="D3425">
        <v>1306</v>
      </c>
      <c r="E3425" t="s">
        <v>90</v>
      </c>
      <c r="F3425" t="s">
        <v>17</v>
      </c>
      <c r="G3425">
        <v>10</v>
      </c>
    </row>
    <row r="3426" spans="1:7" x14ac:dyDescent="0.35">
      <c r="A3426">
        <v>131972</v>
      </c>
      <c r="B3426">
        <v>28</v>
      </c>
      <c r="C3426" t="s">
        <v>48</v>
      </c>
      <c r="D3426">
        <v>0</v>
      </c>
      <c r="E3426" t="s">
        <v>91</v>
      </c>
      <c r="F3426" t="s">
        <v>17</v>
      </c>
      <c r="G3426">
        <v>6</v>
      </c>
    </row>
    <row r="3427" spans="1:7" x14ac:dyDescent="0.35">
      <c r="A3427">
        <v>170714</v>
      </c>
      <c r="B3427">
        <v>0</v>
      </c>
      <c r="C3427" t="s">
        <v>22</v>
      </c>
      <c r="D3427">
        <v>4106</v>
      </c>
      <c r="E3427" t="s">
        <v>92</v>
      </c>
      <c r="G3427">
        <v>20</v>
      </c>
    </row>
    <row r="3428" spans="1:7" x14ac:dyDescent="0.35">
      <c r="A3428">
        <v>167755</v>
      </c>
      <c r="B3428">
        <v>1</v>
      </c>
      <c r="C3428" t="s">
        <v>22</v>
      </c>
      <c r="D3428">
        <v>4101</v>
      </c>
      <c r="E3428" t="s">
        <v>93</v>
      </c>
      <c r="F3428" t="s">
        <v>14</v>
      </c>
      <c r="G3428">
        <v>18</v>
      </c>
    </row>
    <row r="3429" spans="1:7" x14ac:dyDescent="0.35">
      <c r="A3429">
        <v>188721</v>
      </c>
      <c r="B3429">
        <v>0</v>
      </c>
      <c r="C3429" t="s">
        <v>16</v>
      </c>
      <c r="D3429">
        <v>2410</v>
      </c>
      <c r="E3429" t="s">
        <v>93</v>
      </c>
      <c r="F3429" t="s">
        <v>17</v>
      </c>
      <c r="G3429">
        <v>20</v>
      </c>
    </row>
    <row r="3430" spans="1:7" x14ac:dyDescent="0.35">
      <c r="A3430">
        <v>4026</v>
      </c>
      <c r="B3430">
        <v>0</v>
      </c>
      <c r="C3430" t="s">
        <v>33</v>
      </c>
      <c r="D3430">
        <v>2812</v>
      </c>
      <c r="E3430" t="s">
        <v>92</v>
      </c>
      <c r="F3430" t="s">
        <v>17</v>
      </c>
      <c r="G3430">
        <v>2</v>
      </c>
    </row>
    <row r="3431" spans="1:7" x14ac:dyDescent="0.35">
      <c r="A3431">
        <v>151679</v>
      </c>
      <c r="B3431">
        <v>28</v>
      </c>
      <c r="C3431" t="s">
        <v>22</v>
      </c>
      <c r="D3431">
        <v>4001</v>
      </c>
      <c r="E3431" t="s">
        <v>97</v>
      </c>
      <c r="F3431" t="s">
        <v>17</v>
      </c>
      <c r="G3431">
        <v>23</v>
      </c>
    </row>
    <row r="3432" spans="1:7" x14ac:dyDescent="0.35">
      <c r="A3432">
        <v>155963</v>
      </c>
      <c r="B3432">
        <v>0</v>
      </c>
      <c r="C3432" t="s">
        <v>22</v>
      </c>
      <c r="D3432">
        <v>2301</v>
      </c>
      <c r="E3432" t="s">
        <v>88</v>
      </c>
      <c r="F3432" t="s">
        <v>17</v>
      </c>
      <c r="G3432">
        <v>10</v>
      </c>
    </row>
    <row r="3433" spans="1:7" x14ac:dyDescent="0.35">
      <c r="A3433">
        <v>70881</v>
      </c>
      <c r="B3433">
        <v>1</v>
      </c>
      <c r="C3433" t="s">
        <v>29</v>
      </c>
      <c r="D3433">
        <v>5706</v>
      </c>
      <c r="E3433" t="s">
        <v>98</v>
      </c>
      <c r="F3433" t="s">
        <v>14</v>
      </c>
      <c r="G3433">
        <v>15</v>
      </c>
    </row>
    <row r="3434" spans="1:7" x14ac:dyDescent="0.35">
      <c r="A3434">
        <v>2153</v>
      </c>
      <c r="B3434">
        <v>1002</v>
      </c>
      <c r="C3434" t="s">
        <v>21</v>
      </c>
      <c r="D3434">
        <v>2408</v>
      </c>
      <c r="E3434" t="s">
        <v>90</v>
      </c>
      <c r="F3434" t="s">
        <v>14</v>
      </c>
      <c r="G3434">
        <v>8</v>
      </c>
    </row>
    <row r="3435" spans="1:7" x14ac:dyDescent="0.35">
      <c r="A3435">
        <v>173192</v>
      </c>
      <c r="B3435">
        <v>2</v>
      </c>
      <c r="C3435" t="s">
        <v>22</v>
      </c>
      <c r="D3435">
        <v>1203</v>
      </c>
      <c r="E3435" t="s">
        <v>89</v>
      </c>
      <c r="F3435" t="s">
        <v>17</v>
      </c>
      <c r="G3435">
        <v>10</v>
      </c>
    </row>
    <row r="3436" spans="1:7" x14ac:dyDescent="0.35">
      <c r="A3436">
        <v>4390</v>
      </c>
      <c r="B3436">
        <v>0</v>
      </c>
      <c r="C3436" t="s">
        <v>40</v>
      </c>
      <c r="D3436">
        <v>1009</v>
      </c>
      <c r="E3436" t="s">
        <v>97</v>
      </c>
      <c r="F3436" t="s">
        <v>17</v>
      </c>
      <c r="G3436">
        <v>10</v>
      </c>
    </row>
    <row r="3437" spans="1:7" x14ac:dyDescent="0.35">
      <c r="A3437">
        <v>178789</v>
      </c>
      <c r="B3437">
        <v>28</v>
      </c>
      <c r="C3437" t="s">
        <v>40</v>
      </c>
      <c r="D3437">
        <v>2606</v>
      </c>
      <c r="E3437" t="s">
        <v>93</v>
      </c>
      <c r="F3437" t="s">
        <v>17</v>
      </c>
      <c r="G3437">
        <v>10</v>
      </c>
    </row>
    <row r="3438" spans="1:7" x14ac:dyDescent="0.35">
      <c r="A3438">
        <v>79650</v>
      </c>
      <c r="B3438">
        <v>0</v>
      </c>
      <c r="C3438" t="s">
        <v>35</v>
      </c>
      <c r="D3438">
        <v>0</v>
      </c>
      <c r="E3438" t="s">
        <v>90</v>
      </c>
      <c r="F3438" t="s">
        <v>17</v>
      </c>
      <c r="G3438">
        <v>10</v>
      </c>
    </row>
    <row r="3439" spans="1:7" x14ac:dyDescent="0.35">
      <c r="A3439">
        <v>163316</v>
      </c>
      <c r="B3439">
        <v>1</v>
      </c>
      <c r="C3439" t="s">
        <v>22</v>
      </c>
      <c r="D3439">
        <v>3401</v>
      </c>
      <c r="E3439" t="s">
        <v>95</v>
      </c>
      <c r="F3439" t="s">
        <v>14</v>
      </c>
      <c r="G3439">
        <v>40</v>
      </c>
    </row>
    <row r="3440" spans="1:7" x14ac:dyDescent="0.35">
      <c r="A3440">
        <v>93824</v>
      </c>
      <c r="B3440">
        <v>2</v>
      </c>
      <c r="C3440" t="s">
        <v>16</v>
      </c>
      <c r="D3440">
        <v>1807</v>
      </c>
      <c r="E3440" t="s">
        <v>103</v>
      </c>
      <c r="F3440" t="s">
        <v>17</v>
      </c>
      <c r="G3440">
        <v>10</v>
      </c>
    </row>
    <row r="3441" spans="1:7" x14ac:dyDescent="0.35">
      <c r="A3441">
        <v>33190</v>
      </c>
      <c r="B3441">
        <v>0</v>
      </c>
      <c r="C3441" t="s">
        <v>13</v>
      </c>
      <c r="D3441">
        <v>5302</v>
      </c>
      <c r="E3441" t="s">
        <v>92</v>
      </c>
      <c r="F3441" t="s">
        <v>17</v>
      </c>
      <c r="G3441">
        <v>11</v>
      </c>
    </row>
    <row r="3442" spans="1:7" x14ac:dyDescent="0.35">
      <c r="A3442">
        <v>4017</v>
      </c>
      <c r="B3442">
        <v>1</v>
      </c>
      <c r="C3442" t="s">
        <v>22</v>
      </c>
      <c r="D3442">
        <v>3201</v>
      </c>
      <c r="E3442" t="s">
        <v>93</v>
      </c>
      <c r="F3442" t="s">
        <v>17</v>
      </c>
      <c r="G3442">
        <v>15</v>
      </c>
    </row>
    <row r="3443" spans="1:7" x14ac:dyDescent="0.35">
      <c r="A3443">
        <v>176140</v>
      </c>
      <c r="B3443">
        <v>1002</v>
      </c>
      <c r="C3443" t="s">
        <v>50</v>
      </c>
      <c r="D3443">
        <v>3407</v>
      </c>
      <c r="E3443" t="s">
        <v>92</v>
      </c>
      <c r="F3443" t="s">
        <v>14</v>
      </c>
      <c r="G3443">
        <v>8</v>
      </c>
    </row>
    <row r="3444" spans="1:7" x14ac:dyDescent="0.35">
      <c r="A3444">
        <v>120720</v>
      </c>
      <c r="B3444">
        <v>2</v>
      </c>
      <c r="C3444" t="s">
        <v>21</v>
      </c>
      <c r="D3444">
        <v>0</v>
      </c>
      <c r="E3444" t="s">
        <v>98</v>
      </c>
      <c r="F3444" t="s">
        <v>14</v>
      </c>
      <c r="G3444">
        <v>23</v>
      </c>
    </row>
    <row r="3445" spans="1:7" x14ac:dyDescent="0.35">
      <c r="A3445">
        <v>80733</v>
      </c>
      <c r="B3445">
        <v>0</v>
      </c>
      <c r="C3445" t="s">
        <v>35</v>
      </c>
      <c r="D3445">
        <v>3101</v>
      </c>
      <c r="E3445" t="s">
        <v>91</v>
      </c>
      <c r="F3445" t="s">
        <v>17</v>
      </c>
      <c r="G3445">
        <v>15</v>
      </c>
    </row>
    <row r="3446" spans="1:7" x14ac:dyDescent="0.35">
      <c r="A3446">
        <v>131468</v>
      </c>
      <c r="B3446">
        <v>1</v>
      </c>
      <c r="C3446" t="s">
        <v>48</v>
      </c>
      <c r="D3446">
        <v>807</v>
      </c>
      <c r="E3446" t="s">
        <v>90</v>
      </c>
      <c r="G3446">
        <v>8</v>
      </c>
    </row>
    <row r="3447" spans="1:7" x14ac:dyDescent="0.35">
      <c r="A3447">
        <v>124298</v>
      </c>
      <c r="B3447">
        <v>28</v>
      </c>
      <c r="C3447" t="s">
        <v>21</v>
      </c>
      <c r="D3447">
        <v>1301</v>
      </c>
      <c r="E3447" t="s">
        <v>92</v>
      </c>
      <c r="F3447" t="s">
        <v>17</v>
      </c>
      <c r="G3447">
        <v>4</v>
      </c>
    </row>
    <row r="3448" spans="1:7" x14ac:dyDescent="0.35">
      <c r="A3448">
        <v>21133</v>
      </c>
      <c r="B3448">
        <v>0</v>
      </c>
      <c r="C3448" t="s">
        <v>18</v>
      </c>
      <c r="D3448">
        <v>0</v>
      </c>
      <c r="E3448" t="s">
        <v>91</v>
      </c>
      <c r="F3448" t="s">
        <v>17</v>
      </c>
      <c r="G3448">
        <v>13</v>
      </c>
    </row>
    <row r="3449" spans="1:7" x14ac:dyDescent="0.35">
      <c r="A3449">
        <v>23732</v>
      </c>
      <c r="B3449">
        <v>0</v>
      </c>
      <c r="C3449" t="s">
        <v>46</v>
      </c>
      <c r="D3449">
        <v>0</v>
      </c>
      <c r="E3449" t="s">
        <v>100</v>
      </c>
      <c r="F3449" t="s">
        <v>17</v>
      </c>
      <c r="G3449">
        <v>4</v>
      </c>
    </row>
    <row r="3450" spans="1:7" x14ac:dyDescent="0.35">
      <c r="A3450">
        <v>188133</v>
      </c>
      <c r="B3450">
        <v>0</v>
      </c>
      <c r="C3450" t="s">
        <v>43</v>
      </c>
      <c r="D3450">
        <v>0</v>
      </c>
      <c r="E3450" t="s">
        <v>104</v>
      </c>
      <c r="F3450" t="s">
        <v>17</v>
      </c>
      <c r="G3450">
        <v>5</v>
      </c>
    </row>
    <row r="3451" spans="1:7" x14ac:dyDescent="0.35">
      <c r="A3451">
        <v>167838</v>
      </c>
      <c r="B3451">
        <v>1</v>
      </c>
      <c r="C3451" t="s">
        <v>22</v>
      </c>
      <c r="D3451">
        <v>3402</v>
      </c>
      <c r="E3451" t="s">
        <v>88</v>
      </c>
      <c r="F3451" t="s">
        <v>14</v>
      </c>
      <c r="G3451">
        <v>15</v>
      </c>
    </row>
    <row r="3452" spans="1:7" x14ac:dyDescent="0.35">
      <c r="A3452">
        <v>113186</v>
      </c>
      <c r="B3452">
        <v>1002</v>
      </c>
      <c r="C3452" t="s">
        <v>31</v>
      </c>
      <c r="D3452">
        <v>2001</v>
      </c>
      <c r="E3452" t="s">
        <v>88</v>
      </c>
      <c r="F3452" t="s">
        <v>14</v>
      </c>
      <c r="G3452">
        <v>5</v>
      </c>
    </row>
    <row r="3453" spans="1:7" x14ac:dyDescent="0.35">
      <c r="A3453">
        <v>154114</v>
      </c>
      <c r="B3453">
        <v>2</v>
      </c>
      <c r="C3453" t="s">
        <v>24</v>
      </c>
      <c r="D3453">
        <v>3707</v>
      </c>
      <c r="E3453" t="s">
        <v>89</v>
      </c>
      <c r="F3453" t="s">
        <v>17</v>
      </c>
      <c r="G3453">
        <v>20</v>
      </c>
    </row>
    <row r="3454" spans="1:7" x14ac:dyDescent="0.35">
      <c r="A3454">
        <v>171738</v>
      </c>
      <c r="B3454">
        <v>2</v>
      </c>
      <c r="C3454" t="s">
        <v>22</v>
      </c>
      <c r="D3454">
        <v>701</v>
      </c>
      <c r="E3454" t="s">
        <v>95</v>
      </c>
      <c r="F3454" t="s">
        <v>14</v>
      </c>
      <c r="G3454">
        <v>12</v>
      </c>
    </row>
    <row r="3455" spans="1:7" x14ac:dyDescent="0.35">
      <c r="A3455">
        <v>20401</v>
      </c>
      <c r="B3455">
        <v>0</v>
      </c>
      <c r="C3455" t="s">
        <v>18</v>
      </c>
      <c r="D3455">
        <v>3201</v>
      </c>
      <c r="E3455" t="s">
        <v>98</v>
      </c>
      <c r="F3455" t="s">
        <v>17</v>
      </c>
      <c r="G3455">
        <v>30</v>
      </c>
    </row>
    <row r="3456" spans="1:7" x14ac:dyDescent="0.35">
      <c r="A3456">
        <v>69878</v>
      </c>
      <c r="B3456">
        <v>1</v>
      </c>
      <c r="C3456" t="s">
        <v>29</v>
      </c>
      <c r="D3456">
        <v>2907</v>
      </c>
      <c r="E3456" t="s">
        <v>91</v>
      </c>
      <c r="F3456" t="s">
        <v>14</v>
      </c>
      <c r="G3456">
        <v>12</v>
      </c>
    </row>
    <row r="3457" spans="1:7" x14ac:dyDescent="0.35">
      <c r="A3457">
        <v>138443</v>
      </c>
      <c r="B3457">
        <v>0</v>
      </c>
      <c r="C3457" t="s">
        <v>55</v>
      </c>
      <c r="D3457">
        <v>5001</v>
      </c>
      <c r="F3457" t="s">
        <v>17</v>
      </c>
      <c r="G3457">
        <v>15</v>
      </c>
    </row>
    <row r="3458" spans="1:7" x14ac:dyDescent="0.35">
      <c r="A3458">
        <v>13806</v>
      </c>
      <c r="B3458">
        <v>2</v>
      </c>
      <c r="C3458" t="s">
        <v>35</v>
      </c>
      <c r="D3458">
        <v>0</v>
      </c>
      <c r="E3458" t="s">
        <v>91</v>
      </c>
      <c r="F3458" t="s">
        <v>17</v>
      </c>
      <c r="G3458">
        <v>7</v>
      </c>
    </row>
    <row r="3459" spans="1:7" x14ac:dyDescent="0.35">
      <c r="A3459">
        <v>119801</v>
      </c>
      <c r="B3459">
        <v>28</v>
      </c>
      <c r="C3459" t="s">
        <v>21</v>
      </c>
      <c r="D3459">
        <v>603</v>
      </c>
      <c r="E3459" t="s">
        <v>89</v>
      </c>
      <c r="F3459" t="s">
        <v>17</v>
      </c>
      <c r="G3459">
        <v>25</v>
      </c>
    </row>
    <row r="3460" spans="1:7" x14ac:dyDescent="0.35">
      <c r="A3460">
        <v>56339</v>
      </c>
      <c r="B3460">
        <v>2</v>
      </c>
      <c r="C3460" t="s">
        <v>57</v>
      </c>
      <c r="D3460">
        <v>1505</v>
      </c>
      <c r="E3460" t="s">
        <v>89</v>
      </c>
      <c r="F3460" t="s">
        <v>17</v>
      </c>
      <c r="G3460">
        <v>5</v>
      </c>
    </row>
    <row r="3461" spans="1:7" x14ac:dyDescent="0.35">
      <c r="A3461">
        <v>125506</v>
      </c>
      <c r="B3461">
        <v>28</v>
      </c>
      <c r="C3461" t="s">
        <v>21</v>
      </c>
      <c r="D3461">
        <v>5501</v>
      </c>
      <c r="E3461" t="s">
        <v>102</v>
      </c>
      <c r="F3461" t="s">
        <v>17</v>
      </c>
      <c r="G3461">
        <v>20</v>
      </c>
    </row>
    <row r="3462" spans="1:7" x14ac:dyDescent="0.35">
      <c r="A3462">
        <v>190635</v>
      </c>
      <c r="B3462">
        <v>0</v>
      </c>
      <c r="C3462" t="s">
        <v>46</v>
      </c>
      <c r="D3462">
        <v>0</v>
      </c>
      <c r="F3462" t="s">
        <v>30</v>
      </c>
      <c r="G3462">
        <v>32</v>
      </c>
    </row>
    <row r="3463" spans="1:7" x14ac:dyDescent="0.35">
      <c r="A3463">
        <v>12361</v>
      </c>
      <c r="B3463">
        <v>28</v>
      </c>
      <c r="C3463" t="s">
        <v>16</v>
      </c>
      <c r="D3463">
        <v>4204</v>
      </c>
      <c r="E3463" t="s">
        <v>95</v>
      </c>
      <c r="F3463" t="s">
        <v>17</v>
      </c>
      <c r="G3463">
        <v>100</v>
      </c>
    </row>
    <row r="3464" spans="1:7" x14ac:dyDescent="0.35">
      <c r="A3464">
        <v>136428</v>
      </c>
      <c r="B3464">
        <v>0</v>
      </c>
      <c r="C3464" t="s">
        <v>55</v>
      </c>
      <c r="D3464">
        <v>4701</v>
      </c>
      <c r="E3464" t="s">
        <v>93</v>
      </c>
      <c r="F3464" t="s">
        <v>17</v>
      </c>
      <c r="G3464">
        <v>25</v>
      </c>
    </row>
    <row r="3465" spans="1:7" x14ac:dyDescent="0.35">
      <c r="A3465">
        <v>184478</v>
      </c>
      <c r="B3465">
        <v>1</v>
      </c>
      <c r="C3465" t="s">
        <v>40</v>
      </c>
      <c r="D3465">
        <v>2001</v>
      </c>
      <c r="E3465" t="s">
        <v>96</v>
      </c>
      <c r="F3465" t="s">
        <v>14</v>
      </c>
      <c r="G3465">
        <v>15</v>
      </c>
    </row>
    <row r="3466" spans="1:7" x14ac:dyDescent="0.35">
      <c r="A3466">
        <v>55105</v>
      </c>
      <c r="B3466">
        <v>0</v>
      </c>
      <c r="C3466" t="s">
        <v>62</v>
      </c>
      <c r="D3466">
        <v>0</v>
      </c>
      <c r="E3466" t="s">
        <v>91</v>
      </c>
      <c r="F3466" t="s">
        <v>17</v>
      </c>
      <c r="G3466">
        <v>4</v>
      </c>
    </row>
    <row r="3467" spans="1:7" x14ac:dyDescent="0.35">
      <c r="A3467">
        <v>188170</v>
      </c>
      <c r="B3467">
        <v>2</v>
      </c>
      <c r="C3467" t="s">
        <v>13</v>
      </c>
      <c r="D3467">
        <v>0</v>
      </c>
      <c r="F3467" t="s">
        <v>14</v>
      </c>
      <c r="G3467">
        <v>50</v>
      </c>
    </row>
    <row r="3468" spans="1:7" x14ac:dyDescent="0.35">
      <c r="A3468">
        <v>171397</v>
      </c>
      <c r="B3468">
        <v>4</v>
      </c>
      <c r="C3468" t="s">
        <v>33</v>
      </c>
      <c r="D3468">
        <v>6201</v>
      </c>
      <c r="E3468" t="s">
        <v>88</v>
      </c>
      <c r="F3468" t="s">
        <v>14</v>
      </c>
      <c r="G3468">
        <v>25</v>
      </c>
    </row>
    <row r="3469" spans="1:7" x14ac:dyDescent="0.35">
      <c r="A3469">
        <v>159562</v>
      </c>
      <c r="B3469">
        <v>0</v>
      </c>
      <c r="C3469" t="s">
        <v>22</v>
      </c>
      <c r="D3469">
        <v>0</v>
      </c>
      <c r="E3469" t="s">
        <v>98</v>
      </c>
      <c r="F3469" t="s">
        <v>17</v>
      </c>
      <c r="G3469">
        <v>2</v>
      </c>
    </row>
    <row r="3470" spans="1:7" x14ac:dyDescent="0.35">
      <c r="A3470">
        <v>32523</v>
      </c>
      <c r="B3470">
        <v>28</v>
      </c>
      <c r="C3470" t="s">
        <v>13</v>
      </c>
      <c r="D3470">
        <v>4001</v>
      </c>
      <c r="E3470" t="s">
        <v>89</v>
      </c>
      <c r="F3470" t="s">
        <v>17</v>
      </c>
      <c r="G3470">
        <v>10</v>
      </c>
    </row>
    <row r="3471" spans="1:7" x14ac:dyDescent="0.35">
      <c r="A3471">
        <v>115311</v>
      </c>
      <c r="B3471">
        <v>0</v>
      </c>
      <c r="C3471" t="s">
        <v>31</v>
      </c>
      <c r="D3471">
        <v>6701</v>
      </c>
      <c r="E3471" t="s">
        <v>98</v>
      </c>
      <c r="F3471" t="s">
        <v>17</v>
      </c>
      <c r="G3471">
        <v>4</v>
      </c>
    </row>
    <row r="3472" spans="1:7" x14ac:dyDescent="0.35">
      <c r="A3472">
        <v>154668</v>
      </c>
      <c r="B3472">
        <v>0</v>
      </c>
      <c r="C3472" t="s">
        <v>22</v>
      </c>
      <c r="D3472">
        <v>2604</v>
      </c>
      <c r="E3472" t="s">
        <v>89</v>
      </c>
      <c r="F3472" t="s">
        <v>17</v>
      </c>
      <c r="G3472">
        <v>15</v>
      </c>
    </row>
    <row r="3473" spans="1:7" x14ac:dyDescent="0.35">
      <c r="A3473">
        <v>103260</v>
      </c>
      <c r="B3473">
        <v>0</v>
      </c>
      <c r="C3473" t="s">
        <v>36</v>
      </c>
      <c r="D3473">
        <v>6609</v>
      </c>
      <c r="E3473" t="s">
        <v>89</v>
      </c>
      <c r="F3473" t="s">
        <v>14</v>
      </c>
      <c r="G3473">
        <v>10</v>
      </c>
    </row>
    <row r="3474" spans="1:7" x14ac:dyDescent="0.35">
      <c r="A3474">
        <v>19260</v>
      </c>
      <c r="B3474">
        <v>28</v>
      </c>
      <c r="C3474" t="s">
        <v>18</v>
      </c>
      <c r="D3474">
        <v>4401</v>
      </c>
      <c r="E3474" t="s">
        <v>89</v>
      </c>
      <c r="F3474" t="s">
        <v>17</v>
      </c>
      <c r="G3474" t="s">
        <v>113</v>
      </c>
    </row>
    <row r="3475" spans="1:7" x14ac:dyDescent="0.35">
      <c r="A3475">
        <v>111023</v>
      </c>
      <c r="B3475">
        <v>0</v>
      </c>
      <c r="C3475" t="s">
        <v>32</v>
      </c>
      <c r="D3475">
        <v>4401</v>
      </c>
      <c r="E3475" t="s">
        <v>98</v>
      </c>
      <c r="F3475" t="s">
        <v>17</v>
      </c>
      <c r="G3475">
        <v>20</v>
      </c>
    </row>
    <row r="3476" spans="1:7" x14ac:dyDescent="0.35">
      <c r="A3476">
        <v>67961</v>
      </c>
      <c r="B3476">
        <v>0</v>
      </c>
      <c r="C3476" t="s">
        <v>29</v>
      </c>
      <c r="D3476">
        <v>5208</v>
      </c>
      <c r="E3476" t="s">
        <v>101</v>
      </c>
      <c r="G3476">
        <v>21</v>
      </c>
    </row>
    <row r="3477" spans="1:7" x14ac:dyDescent="0.35">
      <c r="A3477">
        <v>92272</v>
      </c>
      <c r="B3477">
        <v>0</v>
      </c>
      <c r="C3477" t="s">
        <v>16</v>
      </c>
      <c r="D3477">
        <v>0</v>
      </c>
      <c r="E3477" t="s">
        <v>91</v>
      </c>
      <c r="F3477" t="s">
        <v>14</v>
      </c>
      <c r="G3477">
        <v>20</v>
      </c>
    </row>
    <row r="3478" spans="1:7" x14ac:dyDescent="0.35">
      <c r="A3478">
        <v>157311</v>
      </c>
      <c r="B3478">
        <v>1</v>
      </c>
      <c r="C3478" t="s">
        <v>22</v>
      </c>
      <c r="D3478">
        <v>2001</v>
      </c>
      <c r="E3478" t="s">
        <v>95</v>
      </c>
      <c r="F3478" t="s">
        <v>14</v>
      </c>
      <c r="G3478">
        <v>25</v>
      </c>
    </row>
    <row r="3479" spans="1:7" x14ac:dyDescent="0.35">
      <c r="A3479">
        <v>190616</v>
      </c>
      <c r="B3479">
        <v>1</v>
      </c>
      <c r="C3479" t="s">
        <v>35</v>
      </c>
      <c r="D3479">
        <v>0</v>
      </c>
      <c r="E3479" t="s">
        <v>91</v>
      </c>
      <c r="F3479" t="s">
        <v>14</v>
      </c>
      <c r="G3479">
        <v>5</v>
      </c>
    </row>
    <row r="3480" spans="1:7" x14ac:dyDescent="0.35">
      <c r="A3480">
        <v>121153</v>
      </c>
      <c r="B3480">
        <v>2</v>
      </c>
      <c r="C3480" t="s">
        <v>21</v>
      </c>
      <c r="D3480">
        <v>3901</v>
      </c>
      <c r="E3480" t="s">
        <v>95</v>
      </c>
      <c r="F3480" t="s">
        <v>14</v>
      </c>
      <c r="G3480">
        <v>25</v>
      </c>
    </row>
    <row r="3481" spans="1:7" x14ac:dyDescent="0.35">
      <c r="A3481">
        <v>91431</v>
      </c>
      <c r="B3481">
        <v>2</v>
      </c>
      <c r="C3481" t="s">
        <v>16</v>
      </c>
      <c r="D3481">
        <v>2901</v>
      </c>
      <c r="E3481" t="s">
        <v>91</v>
      </c>
      <c r="F3481" t="s">
        <v>17</v>
      </c>
      <c r="G3481">
        <v>50</v>
      </c>
    </row>
    <row r="3482" spans="1:7" x14ac:dyDescent="0.35">
      <c r="A3482">
        <v>4917</v>
      </c>
      <c r="B3482">
        <v>2</v>
      </c>
      <c r="C3482" t="s">
        <v>49</v>
      </c>
      <c r="D3482">
        <v>3901</v>
      </c>
      <c r="E3482" t="s">
        <v>93</v>
      </c>
      <c r="F3482" t="s">
        <v>17</v>
      </c>
      <c r="G3482">
        <v>15</v>
      </c>
    </row>
    <row r="3483" spans="1:7" x14ac:dyDescent="0.35">
      <c r="A3483">
        <v>63436</v>
      </c>
      <c r="B3483">
        <v>0</v>
      </c>
      <c r="C3483" t="s">
        <v>33</v>
      </c>
      <c r="D3483">
        <v>2912</v>
      </c>
      <c r="E3483" t="s">
        <v>89</v>
      </c>
      <c r="F3483" t="s">
        <v>17</v>
      </c>
      <c r="G3483">
        <v>51</v>
      </c>
    </row>
    <row r="3484" spans="1:7" x14ac:dyDescent="0.35">
      <c r="A3484">
        <v>20853</v>
      </c>
      <c r="B3484">
        <v>0</v>
      </c>
      <c r="C3484" t="s">
        <v>18</v>
      </c>
      <c r="D3484">
        <v>0</v>
      </c>
      <c r="E3484" t="s">
        <v>92</v>
      </c>
      <c r="F3484" t="s">
        <v>17</v>
      </c>
      <c r="G3484">
        <v>10</v>
      </c>
    </row>
    <row r="3485" spans="1:7" x14ac:dyDescent="0.35">
      <c r="A3485">
        <v>44351</v>
      </c>
      <c r="B3485">
        <v>1</v>
      </c>
      <c r="C3485" t="s">
        <v>13</v>
      </c>
      <c r="D3485">
        <v>1801</v>
      </c>
      <c r="E3485" t="s">
        <v>88</v>
      </c>
      <c r="F3485" t="s">
        <v>14</v>
      </c>
      <c r="G3485">
        <v>35</v>
      </c>
    </row>
    <row r="3486" spans="1:7" x14ac:dyDescent="0.35">
      <c r="A3486">
        <v>130530</v>
      </c>
      <c r="B3486">
        <v>2</v>
      </c>
      <c r="C3486" t="s">
        <v>48</v>
      </c>
      <c r="D3486">
        <v>4001</v>
      </c>
      <c r="E3486" t="s">
        <v>90</v>
      </c>
      <c r="F3486" t="s">
        <v>17</v>
      </c>
      <c r="G3486">
        <v>20</v>
      </c>
    </row>
    <row r="3487" spans="1:7" x14ac:dyDescent="0.35">
      <c r="A3487">
        <v>181550</v>
      </c>
      <c r="B3487">
        <v>0</v>
      </c>
      <c r="C3487" t="s">
        <v>40</v>
      </c>
      <c r="D3487">
        <v>4803</v>
      </c>
      <c r="E3487" t="s">
        <v>96</v>
      </c>
      <c r="F3487" t="s">
        <v>17</v>
      </c>
      <c r="G3487">
        <v>20</v>
      </c>
    </row>
    <row r="3488" spans="1:7" x14ac:dyDescent="0.35">
      <c r="A3488">
        <v>108158</v>
      </c>
      <c r="B3488">
        <v>0</v>
      </c>
      <c r="C3488" t="s">
        <v>49</v>
      </c>
      <c r="D3488">
        <v>3410</v>
      </c>
      <c r="E3488" t="s">
        <v>90</v>
      </c>
      <c r="F3488" t="s">
        <v>17</v>
      </c>
      <c r="G3488">
        <v>5</v>
      </c>
    </row>
    <row r="3489" spans="1:7" x14ac:dyDescent="0.35">
      <c r="A3489">
        <v>149164</v>
      </c>
      <c r="B3489">
        <v>4</v>
      </c>
      <c r="C3489" t="s">
        <v>22</v>
      </c>
      <c r="D3489">
        <v>0</v>
      </c>
      <c r="E3489" t="s">
        <v>93</v>
      </c>
      <c r="F3489" t="s">
        <v>14</v>
      </c>
      <c r="G3489">
        <v>25</v>
      </c>
    </row>
    <row r="3490" spans="1:7" x14ac:dyDescent="0.35">
      <c r="A3490">
        <v>186358</v>
      </c>
      <c r="B3490">
        <v>28</v>
      </c>
      <c r="C3490" t="s">
        <v>57</v>
      </c>
      <c r="D3490">
        <v>0</v>
      </c>
      <c r="E3490" t="s">
        <v>88</v>
      </c>
      <c r="F3490" t="s">
        <v>30</v>
      </c>
      <c r="G3490">
        <v>5</v>
      </c>
    </row>
    <row r="3491" spans="1:7" x14ac:dyDescent="0.35">
      <c r="A3491">
        <v>136629</v>
      </c>
      <c r="B3491">
        <v>1</v>
      </c>
      <c r="C3491" t="s">
        <v>55</v>
      </c>
      <c r="D3491">
        <v>0</v>
      </c>
      <c r="E3491" t="s">
        <v>94</v>
      </c>
      <c r="F3491" t="s">
        <v>14</v>
      </c>
      <c r="G3491">
        <v>10</v>
      </c>
    </row>
    <row r="3492" spans="1:7" x14ac:dyDescent="0.35">
      <c r="A3492">
        <v>12330</v>
      </c>
      <c r="B3492">
        <v>1</v>
      </c>
      <c r="C3492" t="s">
        <v>16</v>
      </c>
      <c r="D3492">
        <v>0</v>
      </c>
      <c r="F3492" t="s">
        <v>14</v>
      </c>
      <c r="G3492">
        <v>100</v>
      </c>
    </row>
    <row r="3493" spans="1:7" x14ac:dyDescent="0.35">
      <c r="A3493">
        <v>98941</v>
      </c>
      <c r="B3493">
        <v>0</v>
      </c>
      <c r="C3493" t="s">
        <v>16</v>
      </c>
      <c r="D3493">
        <v>4701</v>
      </c>
      <c r="E3493" t="s">
        <v>89</v>
      </c>
      <c r="F3493" t="s">
        <v>17</v>
      </c>
      <c r="G3493">
        <v>9</v>
      </c>
    </row>
    <row r="3494" spans="1:7" x14ac:dyDescent="0.35">
      <c r="A3494">
        <v>172597</v>
      </c>
      <c r="B3494">
        <v>2</v>
      </c>
      <c r="C3494" t="s">
        <v>22</v>
      </c>
      <c r="D3494">
        <v>2601</v>
      </c>
      <c r="E3494" t="s">
        <v>94</v>
      </c>
      <c r="F3494" t="s">
        <v>17</v>
      </c>
      <c r="G3494">
        <v>3</v>
      </c>
    </row>
    <row r="3495" spans="1:7" x14ac:dyDescent="0.35">
      <c r="A3495">
        <v>147956</v>
      </c>
      <c r="B3495">
        <v>0</v>
      </c>
      <c r="C3495" t="s">
        <v>22</v>
      </c>
      <c r="D3495">
        <v>4401</v>
      </c>
      <c r="E3495" t="s">
        <v>101</v>
      </c>
      <c r="F3495" t="s">
        <v>17</v>
      </c>
      <c r="G3495">
        <v>5</v>
      </c>
    </row>
    <row r="3496" spans="1:7" x14ac:dyDescent="0.35">
      <c r="A3496">
        <v>47819</v>
      </c>
      <c r="B3496">
        <v>1002</v>
      </c>
      <c r="C3496" t="s">
        <v>43</v>
      </c>
      <c r="D3496">
        <v>3801</v>
      </c>
      <c r="E3496" t="s">
        <v>94</v>
      </c>
      <c r="F3496" t="s">
        <v>14</v>
      </c>
      <c r="G3496">
        <v>10</v>
      </c>
    </row>
    <row r="3497" spans="1:7" x14ac:dyDescent="0.35">
      <c r="A3497">
        <v>130554</v>
      </c>
      <c r="B3497">
        <v>0</v>
      </c>
      <c r="C3497" t="s">
        <v>48</v>
      </c>
      <c r="D3497">
        <v>5407</v>
      </c>
      <c r="E3497" t="s">
        <v>90</v>
      </c>
      <c r="F3497" t="s">
        <v>17</v>
      </c>
      <c r="G3497">
        <v>20</v>
      </c>
    </row>
    <row r="3498" spans="1:7" x14ac:dyDescent="0.35">
      <c r="A3498">
        <v>157213</v>
      </c>
      <c r="B3498">
        <v>0</v>
      </c>
      <c r="C3498" t="s">
        <v>22</v>
      </c>
      <c r="D3498">
        <v>0</v>
      </c>
      <c r="E3498" t="s">
        <v>93</v>
      </c>
      <c r="F3498" t="s">
        <v>17</v>
      </c>
      <c r="G3498">
        <v>20</v>
      </c>
    </row>
    <row r="3499" spans="1:7" x14ac:dyDescent="0.35">
      <c r="A3499">
        <v>90532</v>
      </c>
      <c r="B3499">
        <v>1002</v>
      </c>
      <c r="C3499" t="s">
        <v>55</v>
      </c>
      <c r="D3499">
        <v>6910</v>
      </c>
      <c r="E3499" t="s">
        <v>93</v>
      </c>
      <c r="F3499" t="s">
        <v>14</v>
      </c>
      <c r="G3499">
        <v>20</v>
      </c>
    </row>
    <row r="3500" spans="1:7" x14ac:dyDescent="0.35">
      <c r="A3500">
        <v>187744</v>
      </c>
      <c r="B3500">
        <v>0</v>
      </c>
      <c r="C3500" t="s">
        <v>48</v>
      </c>
      <c r="D3500">
        <v>0</v>
      </c>
      <c r="E3500" t="s">
        <v>95</v>
      </c>
      <c r="F3500" t="s">
        <v>17</v>
      </c>
      <c r="G3500">
        <v>7</v>
      </c>
    </row>
    <row r="3501" spans="1:7" x14ac:dyDescent="0.35">
      <c r="A3501">
        <v>11143</v>
      </c>
      <c r="B3501">
        <v>1</v>
      </c>
      <c r="C3501" t="s">
        <v>47</v>
      </c>
      <c r="D3501">
        <v>2812</v>
      </c>
      <c r="E3501" t="s">
        <v>88</v>
      </c>
      <c r="F3501" t="s">
        <v>14</v>
      </c>
      <c r="G3501">
        <v>44</v>
      </c>
    </row>
    <row r="3502" spans="1:7" x14ac:dyDescent="0.35">
      <c r="A3502">
        <v>121978</v>
      </c>
      <c r="B3502">
        <v>1</v>
      </c>
      <c r="C3502" t="s">
        <v>21</v>
      </c>
      <c r="D3502">
        <v>1907</v>
      </c>
      <c r="E3502" t="s">
        <v>90</v>
      </c>
      <c r="F3502" t="s">
        <v>14</v>
      </c>
      <c r="G3502">
        <v>50</v>
      </c>
    </row>
    <row r="3503" spans="1:7" x14ac:dyDescent="0.35">
      <c r="A3503">
        <v>190597</v>
      </c>
      <c r="B3503">
        <v>28</v>
      </c>
      <c r="C3503" t="s">
        <v>13</v>
      </c>
      <c r="D3503">
        <v>4701</v>
      </c>
      <c r="E3503" t="s">
        <v>88</v>
      </c>
      <c r="F3503" t="s">
        <v>17</v>
      </c>
      <c r="G3503">
        <v>12</v>
      </c>
    </row>
    <row r="3504" spans="1:7" x14ac:dyDescent="0.35">
      <c r="A3504">
        <v>6325</v>
      </c>
      <c r="B3504">
        <v>0</v>
      </c>
      <c r="C3504" t="s">
        <v>33</v>
      </c>
      <c r="D3504">
        <v>3001</v>
      </c>
      <c r="E3504" t="s">
        <v>88</v>
      </c>
      <c r="F3504" t="s">
        <v>17</v>
      </c>
      <c r="G3504">
        <v>15</v>
      </c>
    </row>
    <row r="3505" spans="1:7" x14ac:dyDescent="0.35">
      <c r="A3505">
        <v>11943</v>
      </c>
      <c r="B3505">
        <v>2</v>
      </c>
      <c r="C3505" t="s">
        <v>22</v>
      </c>
      <c r="D3505">
        <v>2101</v>
      </c>
      <c r="E3505" t="s">
        <v>93</v>
      </c>
      <c r="F3505" t="s">
        <v>17</v>
      </c>
      <c r="G3505">
        <v>10</v>
      </c>
    </row>
    <row r="3506" spans="1:7" x14ac:dyDescent="0.35">
      <c r="A3506">
        <v>19789</v>
      </c>
      <c r="B3506">
        <v>1</v>
      </c>
      <c r="C3506" t="s">
        <v>18</v>
      </c>
      <c r="D3506">
        <v>4401</v>
      </c>
      <c r="E3506" t="s">
        <v>89</v>
      </c>
      <c r="F3506" t="s">
        <v>14</v>
      </c>
      <c r="G3506">
        <v>10</v>
      </c>
    </row>
    <row r="3507" spans="1:7" x14ac:dyDescent="0.35">
      <c r="A3507">
        <v>41288</v>
      </c>
      <c r="B3507">
        <v>1</v>
      </c>
      <c r="C3507" t="s">
        <v>13</v>
      </c>
      <c r="D3507">
        <v>1301</v>
      </c>
      <c r="E3507" t="s">
        <v>101</v>
      </c>
      <c r="F3507" t="s">
        <v>14</v>
      </c>
      <c r="G3507">
        <v>9</v>
      </c>
    </row>
    <row r="3508" spans="1:7" x14ac:dyDescent="0.35">
      <c r="A3508">
        <v>102706</v>
      </c>
      <c r="B3508">
        <v>28</v>
      </c>
      <c r="C3508" t="s">
        <v>36</v>
      </c>
      <c r="D3508">
        <v>5511</v>
      </c>
      <c r="E3508" t="s">
        <v>92</v>
      </c>
      <c r="F3508" t="s">
        <v>17</v>
      </c>
      <c r="G3508">
        <v>3</v>
      </c>
    </row>
    <row r="3509" spans="1:7" x14ac:dyDescent="0.35">
      <c r="A3509">
        <v>10287</v>
      </c>
      <c r="B3509">
        <v>2</v>
      </c>
      <c r="C3509" t="s">
        <v>13</v>
      </c>
      <c r="D3509">
        <v>1401</v>
      </c>
      <c r="E3509" t="s">
        <v>93</v>
      </c>
      <c r="F3509" t="s">
        <v>17</v>
      </c>
      <c r="G3509">
        <v>15</v>
      </c>
    </row>
    <row r="3510" spans="1:7" x14ac:dyDescent="0.35">
      <c r="A3510">
        <v>34429</v>
      </c>
      <c r="B3510">
        <v>1</v>
      </c>
      <c r="C3510" t="s">
        <v>13</v>
      </c>
      <c r="D3510">
        <v>4501</v>
      </c>
      <c r="E3510" t="s">
        <v>91</v>
      </c>
      <c r="F3510" t="s">
        <v>14</v>
      </c>
      <c r="G3510">
        <v>15</v>
      </c>
    </row>
    <row r="3511" spans="1:7" x14ac:dyDescent="0.35">
      <c r="A3511">
        <v>106190</v>
      </c>
      <c r="B3511">
        <v>2</v>
      </c>
      <c r="C3511" t="s">
        <v>28</v>
      </c>
      <c r="D3511">
        <v>2801</v>
      </c>
      <c r="E3511" t="s">
        <v>91</v>
      </c>
      <c r="F3511" t="s">
        <v>14</v>
      </c>
      <c r="G3511">
        <v>20</v>
      </c>
    </row>
    <row r="3512" spans="1:7" x14ac:dyDescent="0.35">
      <c r="A3512">
        <v>16973</v>
      </c>
      <c r="B3512">
        <v>0</v>
      </c>
      <c r="C3512" t="s">
        <v>18</v>
      </c>
      <c r="D3512">
        <v>0</v>
      </c>
      <c r="E3512" t="s">
        <v>89</v>
      </c>
      <c r="F3512" t="s">
        <v>17</v>
      </c>
      <c r="G3512">
        <v>8</v>
      </c>
    </row>
    <row r="3513" spans="1:7" x14ac:dyDescent="0.35">
      <c r="A3513">
        <v>2853</v>
      </c>
      <c r="B3513">
        <v>0</v>
      </c>
      <c r="C3513" t="s">
        <v>33</v>
      </c>
      <c r="D3513">
        <v>0</v>
      </c>
      <c r="F3513" t="s">
        <v>17</v>
      </c>
      <c r="G3513">
        <v>10</v>
      </c>
    </row>
    <row r="3514" spans="1:7" x14ac:dyDescent="0.35">
      <c r="A3514">
        <v>131064</v>
      </c>
      <c r="B3514">
        <v>0</v>
      </c>
      <c r="C3514" t="s">
        <v>48</v>
      </c>
      <c r="D3514">
        <v>0</v>
      </c>
      <c r="E3514" t="s">
        <v>94</v>
      </c>
      <c r="F3514" t="s">
        <v>17</v>
      </c>
      <c r="G3514">
        <v>12</v>
      </c>
    </row>
    <row r="3515" spans="1:7" x14ac:dyDescent="0.35">
      <c r="A3515">
        <v>136494</v>
      </c>
      <c r="B3515">
        <v>2</v>
      </c>
      <c r="C3515" t="s">
        <v>55</v>
      </c>
      <c r="D3515">
        <v>5201</v>
      </c>
      <c r="E3515" t="s">
        <v>93</v>
      </c>
      <c r="F3515" t="s">
        <v>17</v>
      </c>
      <c r="G3515">
        <v>15</v>
      </c>
    </row>
    <row r="3516" spans="1:7" x14ac:dyDescent="0.35">
      <c r="A3516">
        <v>77848</v>
      </c>
      <c r="B3516">
        <v>2</v>
      </c>
      <c r="C3516" t="s">
        <v>35</v>
      </c>
      <c r="D3516">
        <v>2801</v>
      </c>
      <c r="E3516" t="s">
        <v>90</v>
      </c>
      <c r="F3516" t="s">
        <v>17</v>
      </c>
      <c r="G3516">
        <v>5</v>
      </c>
    </row>
    <row r="3517" spans="1:7" x14ac:dyDescent="0.35">
      <c r="A3517">
        <v>43010</v>
      </c>
      <c r="B3517">
        <v>28</v>
      </c>
      <c r="C3517" t="s">
        <v>13</v>
      </c>
      <c r="D3517">
        <v>4501</v>
      </c>
      <c r="E3517" t="s">
        <v>100</v>
      </c>
      <c r="F3517" t="s">
        <v>17</v>
      </c>
      <c r="G3517">
        <v>25</v>
      </c>
    </row>
    <row r="3518" spans="1:7" x14ac:dyDescent="0.35">
      <c r="A3518">
        <v>82518</v>
      </c>
      <c r="B3518">
        <v>2</v>
      </c>
      <c r="C3518" t="s">
        <v>56</v>
      </c>
      <c r="D3518">
        <v>1006</v>
      </c>
      <c r="E3518" t="s">
        <v>93</v>
      </c>
      <c r="F3518" t="s">
        <v>14</v>
      </c>
      <c r="G3518">
        <v>42</v>
      </c>
    </row>
    <row r="3519" spans="1:7" x14ac:dyDescent="0.35">
      <c r="A3519">
        <v>130426</v>
      </c>
      <c r="B3519">
        <v>0</v>
      </c>
      <c r="C3519" t="s">
        <v>48</v>
      </c>
      <c r="D3519">
        <v>7101</v>
      </c>
      <c r="E3519" t="s">
        <v>90</v>
      </c>
      <c r="F3519" t="s">
        <v>17</v>
      </c>
      <c r="G3519">
        <v>30</v>
      </c>
    </row>
    <row r="3520" spans="1:7" x14ac:dyDescent="0.35">
      <c r="A3520">
        <v>186807</v>
      </c>
      <c r="B3520">
        <v>2</v>
      </c>
      <c r="C3520" t="s">
        <v>22</v>
      </c>
      <c r="D3520">
        <v>4701</v>
      </c>
      <c r="E3520" t="s">
        <v>93</v>
      </c>
      <c r="F3520" t="s">
        <v>17</v>
      </c>
      <c r="G3520">
        <v>33</v>
      </c>
    </row>
    <row r="3521" spans="1:7" x14ac:dyDescent="0.35">
      <c r="A3521">
        <v>76891</v>
      </c>
      <c r="B3521">
        <v>1</v>
      </c>
      <c r="C3521" t="s">
        <v>47</v>
      </c>
      <c r="D3521">
        <v>6601</v>
      </c>
      <c r="E3521" t="s">
        <v>93</v>
      </c>
      <c r="F3521" t="s">
        <v>14</v>
      </c>
      <c r="G3521">
        <v>10</v>
      </c>
    </row>
    <row r="3522" spans="1:7" x14ac:dyDescent="0.35">
      <c r="A3522">
        <v>114197</v>
      </c>
      <c r="B3522">
        <v>1</v>
      </c>
      <c r="C3522" t="s">
        <v>31</v>
      </c>
      <c r="D3522">
        <v>2901</v>
      </c>
      <c r="E3522" t="s">
        <v>89</v>
      </c>
      <c r="F3522" t="s">
        <v>14</v>
      </c>
      <c r="G3522">
        <v>11</v>
      </c>
    </row>
    <row r="3523" spans="1:7" x14ac:dyDescent="0.35">
      <c r="A3523">
        <v>164894</v>
      </c>
      <c r="B3523">
        <v>0</v>
      </c>
      <c r="C3523" t="s">
        <v>22</v>
      </c>
      <c r="D3523">
        <v>2801</v>
      </c>
      <c r="E3523" t="s">
        <v>90</v>
      </c>
      <c r="F3523" t="s">
        <v>17</v>
      </c>
      <c r="G3523">
        <v>10</v>
      </c>
    </row>
    <row r="3524" spans="1:7" x14ac:dyDescent="0.35">
      <c r="A3524">
        <v>23351</v>
      </c>
      <c r="B3524">
        <v>28</v>
      </c>
      <c r="C3524" t="s">
        <v>46</v>
      </c>
      <c r="D3524">
        <v>2402</v>
      </c>
      <c r="E3524" t="s">
        <v>98</v>
      </c>
      <c r="F3524" t="s">
        <v>17</v>
      </c>
      <c r="G3524">
        <v>10</v>
      </c>
    </row>
    <row r="3525" spans="1:7" x14ac:dyDescent="0.35">
      <c r="A3525">
        <v>37205</v>
      </c>
      <c r="B3525">
        <v>0</v>
      </c>
      <c r="C3525" t="s">
        <v>13</v>
      </c>
      <c r="D3525">
        <v>3009</v>
      </c>
      <c r="E3525" t="s">
        <v>90</v>
      </c>
      <c r="F3525" t="s">
        <v>17</v>
      </c>
      <c r="G3525">
        <v>10</v>
      </c>
    </row>
    <row r="3526" spans="1:7" x14ac:dyDescent="0.35">
      <c r="A3526">
        <v>174453</v>
      </c>
      <c r="B3526">
        <v>1</v>
      </c>
      <c r="C3526" t="s">
        <v>50</v>
      </c>
      <c r="D3526">
        <v>2009</v>
      </c>
      <c r="E3526" t="s">
        <v>91</v>
      </c>
      <c r="F3526" t="s">
        <v>14</v>
      </c>
      <c r="G3526">
        <v>15</v>
      </c>
    </row>
    <row r="3527" spans="1:7" x14ac:dyDescent="0.35">
      <c r="A3527">
        <v>150060</v>
      </c>
      <c r="B3527">
        <v>2</v>
      </c>
      <c r="C3527" t="s">
        <v>22</v>
      </c>
      <c r="D3527">
        <v>0</v>
      </c>
      <c r="E3527" t="s">
        <v>95</v>
      </c>
      <c r="F3527" t="s">
        <v>17</v>
      </c>
      <c r="G3527">
        <v>20</v>
      </c>
    </row>
    <row r="3528" spans="1:7" x14ac:dyDescent="0.35">
      <c r="A3528">
        <v>6851</v>
      </c>
      <c r="B3528">
        <v>0</v>
      </c>
      <c r="C3528" t="s">
        <v>22</v>
      </c>
      <c r="D3528">
        <v>3104</v>
      </c>
      <c r="E3528" t="s">
        <v>89</v>
      </c>
      <c r="G3528">
        <v>7</v>
      </c>
    </row>
    <row r="3529" spans="1:7" x14ac:dyDescent="0.35">
      <c r="A3529">
        <v>152094</v>
      </c>
      <c r="B3529">
        <v>0</v>
      </c>
      <c r="C3529" t="s">
        <v>22</v>
      </c>
      <c r="D3529">
        <v>5201</v>
      </c>
      <c r="E3529" t="s">
        <v>90</v>
      </c>
      <c r="F3529" t="s">
        <v>17</v>
      </c>
      <c r="G3529">
        <v>10</v>
      </c>
    </row>
    <row r="3530" spans="1:7" x14ac:dyDescent="0.35">
      <c r="A3530">
        <v>154892</v>
      </c>
      <c r="B3530">
        <v>0</v>
      </c>
      <c r="C3530" t="s">
        <v>22</v>
      </c>
      <c r="D3530">
        <v>3801</v>
      </c>
      <c r="E3530" t="s">
        <v>96</v>
      </c>
      <c r="F3530" t="s">
        <v>17</v>
      </c>
      <c r="G3530">
        <v>9</v>
      </c>
    </row>
    <row r="3531" spans="1:7" x14ac:dyDescent="0.35">
      <c r="A3531">
        <v>186204</v>
      </c>
      <c r="B3531">
        <v>1</v>
      </c>
      <c r="C3531" t="s">
        <v>55</v>
      </c>
      <c r="D3531">
        <v>4201</v>
      </c>
      <c r="F3531" t="s">
        <v>14</v>
      </c>
      <c r="G3531">
        <v>5</v>
      </c>
    </row>
    <row r="3532" spans="1:7" x14ac:dyDescent="0.35">
      <c r="A3532">
        <v>47860</v>
      </c>
      <c r="B3532">
        <v>1</v>
      </c>
      <c r="C3532" t="s">
        <v>43</v>
      </c>
      <c r="D3532">
        <v>3301</v>
      </c>
      <c r="E3532" t="s">
        <v>89</v>
      </c>
      <c r="F3532" t="s">
        <v>14</v>
      </c>
      <c r="G3532">
        <v>7</v>
      </c>
    </row>
    <row r="3533" spans="1:7" x14ac:dyDescent="0.35">
      <c r="A3533">
        <v>120574</v>
      </c>
      <c r="B3533">
        <v>1</v>
      </c>
      <c r="C3533" t="s">
        <v>21</v>
      </c>
      <c r="D3533">
        <v>7101</v>
      </c>
      <c r="E3533" t="s">
        <v>88</v>
      </c>
      <c r="F3533" t="s">
        <v>14</v>
      </c>
      <c r="G3533">
        <v>17</v>
      </c>
    </row>
    <row r="3534" spans="1:7" x14ac:dyDescent="0.35">
      <c r="A3534">
        <v>65746</v>
      </c>
      <c r="B3534">
        <v>1</v>
      </c>
      <c r="C3534" t="s">
        <v>29</v>
      </c>
      <c r="D3534">
        <v>6511</v>
      </c>
      <c r="E3534" t="s">
        <v>90</v>
      </c>
      <c r="F3534" t="s">
        <v>14</v>
      </c>
      <c r="G3534">
        <v>20</v>
      </c>
    </row>
    <row r="3535" spans="1:7" x14ac:dyDescent="0.35">
      <c r="A3535">
        <v>172167</v>
      </c>
      <c r="B3535">
        <v>0</v>
      </c>
      <c r="C3535" t="s">
        <v>22</v>
      </c>
      <c r="D3535">
        <v>3901</v>
      </c>
      <c r="E3535" t="s">
        <v>97</v>
      </c>
      <c r="F3535" t="s">
        <v>17</v>
      </c>
      <c r="G3535">
        <v>20</v>
      </c>
    </row>
    <row r="3536" spans="1:7" x14ac:dyDescent="0.35">
      <c r="A3536">
        <v>91580</v>
      </c>
      <c r="B3536">
        <v>0</v>
      </c>
      <c r="C3536" t="s">
        <v>16</v>
      </c>
      <c r="D3536">
        <v>0</v>
      </c>
      <c r="E3536" t="s">
        <v>90</v>
      </c>
      <c r="F3536" t="s">
        <v>17</v>
      </c>
      <c r="G3536">
        <v>4</v>
      </c>
    </row>
    <row r="3537" spans="1:7" x14ac:dyDescent="0.35">
      <c r="A3537">
        <v>97015</v>
      </c>
      <c r="B3537">
        <v>28</v>
      </c>
      <c r="C3537" t="s">
        <v>21</v>
      </c>
      <c r="D3537">
        <v>5801</v>
      </c>
      <c r="E3537" t="s">
        <v>92</v>
      </c>
      <c r="F3537" t="s">
        <v>17</v>
      </c>
      <c r="G3537">
        <v>4</v>
      </c>
    </row>
    <row r="3538" spans="1:7" x14ac:dyDescent="0.35">
      <c r="A3538">
        <v>171383</v>
      </c>
      <c r="B3538">
        <v>1002</v>
      </c>
      <c r="C3538" t="s">
        <v>22</v>
      </c>
      <c r="D3538">
        <v>3101</v>
      </c>
      <c r="E3538" t="s">
        <v>92</v>
      </c>
      <c r="F3538" t="s">
        <v>14</v>
      </c>
      <c r="G3538">
        <v>7</v>
      </c>
    </row>
    <row r="3539" spans="1:7" x14ac:dyDescent="0.35">
      <c r="A3539">
        <v>52161</v>
      </c>
      <c r="B3539">
        <v>0</v>
      </c>
      <c r="C3539" t="s">
        <v>53</v>
      </c>
      <c r="D3539">
        <v>3001</v>
      </c>
      <c r="E3539" t="s">
        <v>98</v>
      </c>
      <c r="F3539" t="s">
        <v>17</v>
      </c>
      <c r="G3539">
        <v>5</v>
      </c>
    </row>
    <row r="3540" spans="1:7" x14ac:dyDescent="0.35">
      <c r="A3540">
        <v>153301</v>
      </c>
      <c r="B3540">
        <v>1</v>
      </c>
      <c r="C3540" t="s">
        <v>22</v>
      </c>
      <c r="D3540">
        <v>0</v>
      </c>
      <c r="E3540" t="s">
        <v>101</v>
      </c>
      <c r="F3540" t="s">
        <v>14</v>
      </c>
      <c r="G3540">
        <v>15</v>
      </c>
    </row>
    <row r="3541" spans="1:7" x14ac:dyDescent="0.35">
      <c r="A3541">
        <v>51520</v>
      </c>
      <c r="B3541">
        <v>0</v>
      </c>
      <c r="C3541" t="s">
        <v>53</v>
      </c>
      <c r="D3541">
        <v>0</v>
      </c>
      <c r="E3541" t="s">
        <v>88</v>
      </c>
      <c r="F3541" t="s">
        <v>30</v>
      </c>
      <c r="G3541">
        <v>10</v>
      </c>
    </row>
    <row r="3542" spans="1:7" x14ac:dyDescent="0.35">
      <c r="A3542">
        <v>187755</v>
      </c>
      <c r="B3542">
        <v>1</v>
      </c>
      <c r="C3542" t="s">
        <v>16</v>
      </c>
      <c r="D3542">
        <v>0</v>
      </c>
      <c r="E3542" t="s">
        <v>93</v>
      </c>
      <c r="F3542" t="s">
        <v>14</v>
      </c>
      <c r="G3542">
        <v>10</v>
      </c>
    </row>
    <row r="3543" spans="1:7" x14ac:dyDescent="0.35">
      <c r="A3543">
        <v>189943</v>
      </c>
      <c r="B3543">
        <v>1</v>
      </c>
      <c r="C3543" t="s">
        <v>13</v>
      </c>
      <c r="D3543">
        <v>1601</v>
      </c>
      <c r="F3543" t="s">
        <v>14</v>
      </c>
      <c r="G3543">
        <v>200</v>
      </c>
    </row>
    <row r="3544" spans="1:7" x14ac:dyDescent="0.35">
      <c r="A3544">
        <v>182895</v>
      </c>
      <c r="B3544">
        <v>2</v>
      </c>
      <c r="C3544" t="s">
        <v>40</v>
      </c>
      <c r="D3544">
        <v>2304</v>
      </c>
      <c r="E3544" t="s">
        <v>88</v>
      </c>
      <c r="G3544">
        <v>10</v>
      </c>
    </row>
    <row r="3545" spans="1:7" x14ac:dyDescent="0.35">
      <c r="A3545">
        <v>135230</v>
      </c>
      <c r="B3545">
        <v>0</v>
      </c>
      <c r="C3545" t="s">
        <v>55</v>
      </c>
      <c r="D3545">
        <v>2602</v>
      </c>
      <c r="E3545" t="s">
        <v>93</v>
      </c>
      <c r="F3545" t="s">
        <v>17</v>
      </c>
      <c r="G3545">
        <v>12</v>
      </c>
    </row>
    <row r="3546" spans="1:7" x14ac:dyDescent="0.35">
      <c r="A3546">
        <v>111081</v>
      </c>
      <c r="B3546">
        <v>0</v>
      </c>
      <c r="C3546" t="s">
        <v>55</v>
      </c>
      <c r="D3546">
        <v>2801</v>
      </c>
      <c r="E3546" t="s">
        <v>88</v>
      </c>
      <c r="F3546" t="s">
        <v>17</v>
      </c>
      <c r="G3546">
        <v>9</v>
      </c>
    </row>
    <row r="3547" spans="1:7" x14ac:dyDescent="0.35">
      <c r="A3547">
        <v>34632</v>
      </c>
      <c r="B3547">
        <v>0</v>
      </c>
      <c r="C3547" t="s">
        <v>13</v>
      </c>
      <c r="D3547">
        <v>3501</v>
      </c>
      <c r="E3547" t="s">
        <v>93</v>
      </c>
      <c r="F3547" t="s">
        <v>17</v>
      </c>
      <c r="G3547">
        <v>15</v>
      </c>
    </row>
    <row r="3548" spans="1:7" x14ac:dyDescent="0.35">
      <c r="A3548">
        <v>56697</v>
      </c>
      <c r="B3548">
        <v>2</v>
      </c>
      <c r="C3548" t="s">
        <v>57</v>
      </c>
      <c r="D3548">
        <v>4601</v>
      </c>
      <c r="E3548" t="s">
        <v>97</v>
      </c>
      <c r="F3548" t="s">
        <v>17</v>
      </c>
      <c r="G3548">
        <v>10</v>
      </c>
    </row>
    <row r="3549" spans="1:7" x14ac:dyDescent="0.35">
      <c r="A3549">
        <v>78116</v>
      </c>
      <c r="B3549">
        <v>0</v>
      </c>
      <c r="C3549" t="s">
        <v>35</v>
      </c>
      <c r="D3549">
        <v>0</v>
      </c>
      <c r="E3549" t="s">
        <v>100</v>
      </c>
      <c r="F3549" t="s">
        <v>17</v>
      </c>
      <c r="G3549">
        <v>10</v>
      </c>
    </row>
    <row r="3550" spans="1:7" x14ac:dyDescent="0.35">
      <c r="A3550">
        <v>110847</v>
      </c>
      <c r="B3550">
        <v>1002</v>
      </c>
      <c r="C3550" t="s">
        <v>32</v>
      </c>
      <c r="D3550">
        <v>0</v>
      </c>
      <c r="E3550" t="s">
        <v>91</v>
      </c>
      <c r="F3550" t="s">
        <v>14</v>
      </c>
      <c r="G3550">
        <v>5</v>
      </c>
    </row>
    <row r="3551" spans="1:7" x14ac:dyDescent="0.35">
      <c r="A3551">
        <v>152149</v>
      </c>
      <c r="B3551">
        <v>1</v>
      </c>
      <c r="C3551" t="s">
        <v>22</v>
      </c>
      <c r="D3551">
        <v>3801</v>
      </c>
      <c r="E3551" t="s">
        <v>90</v>
      </c>
      <c r="F3551" t="s">
        <v>14</v>
      </c>
      <c r="G3551">
        <v>10</v>
      </c>
    </row>
    <row r="3552" spans="1:7" x14ac:dyDescent="0.35">
      <c r="A3552">
        <v>169489</v>
      </c>
      <c r="B3552">
        <v>0</v>
      </c>
      <c r="C3552" t="s">
        <v>22</v>
      </c>
      <c r="D3552">
        <v>4001</v>
      </c>
      <c r="E3552" t="s">
        <v>89</v>
      </c>
      <c r="F3552" t="s">
        <v>17</v>
      </c>
      <c r="G3552">
        <v>8</v>
      </c>
    </row>
    <row r="3553" spans="1:7" x14ac:dyDescent="0.35">
      <c r="A3553">
        <v>116063</v>
      </c>
      <c r="B3553">
        <v>0</v>
      </c>
      <c r="C3553" t="s">
        <v>21</v>
      </c>
      <c r="D3553">
        <v>3001</v>
      </c>
      <c r="E3553" t="s">
        <v>88</v>
      </c>
      <c r="F3553" t="s">
        <v>17</v>
      </c>
      <c r="G3553">
        <v>5</v>
      </c>
    </row>
    <row r="3554" spans="1:7" x14ac:dyDescent="0.35">
      <c r="A3554">
        <v>81241</v>
      </c>
      <c r="B3554">
        <v>1</v>
      </c>
      <c r="C3554" t="s">
        <v>35</v>
      </c>
      <c r="D3554">
        <v>4507</v>
      </c>
      <c r="E3554" t="s">
        <v>91</v>
      </c>
      <c r="F3554" t="s">
        <v>14</v>
      </c>
      <c r="G3554">
        <v>20</v>
      </c>
    </row>
    <row r="3555" spans="1:7" x14ac:dyDescent="0.35">
      <c r="A3555">
        <v>5642</v>
      </c>
      <c r="B3555">
        <v>0</v>
      </c>
      <c r="C3555" t="s">
        <v>16</v>
      </c>
      <c r="D3555">
        <v>0</v>
      </c>
      <c r="E3555" t="s">
        <v>103</v>
      </c>
      <c r="F3555" t="s">
        <v>17</v>
      </c>
      <c r="G3555">
        <v>48</v>
      </c>
    </row>
    <row r="3556" spans="1:7" x14ac:dyDescent="0.35">
      <c r="A3556">
        <v>70493</v>
      </c>
      <c r="B3556">
        <v>0</v>
      </c>
      <c r="C3556" t="s">
        <v>29</v>
      </c>
      <c r="D3556">
        <v>1008</v>
      </c>
      <c r="E3556" t="s">
        <v>98</v>
      </c>
      <c r="F3556" t="s">
        <v>14</v>
      </c>
      <c r="G3556">
        <v>25</v>
      </c>
    </row>
    <row r="3557" spans="1:7" x14ac:dyDescent="0.35">
      <c r="A3557">
        <v>147175</v>
      </c>
      <c r="B3557">
        <v>0</v>
      </c>
      <c r="C3557" t="s">
        <v>22</v>
      </c>
      <c r="D3557">
        <v>0</v>
      </c>
      <c r="E3557" t="s">
        <v>102</v>
      </c>
      <c r="F3557" t="s">
        <v>14</v>
      </c>
      <c r="G3557">
        <v>7</v>
      </c>
    </row>
    <row r="3558" spans="1:7" x14ac:dyDescent="0.35">
      <c r="A3558">
        <v>145823</v>
      </c>
      <c r="B3558">
        <v>28</v>
      </c>
      <c r="C3558" t="s">
        <v>22</v>
      </c>
      <c r="D3558">
        <v>0</v>
      </c>
      <c r="E3558" t="s">
        <v>95</v>
      </c>
      <c r="F3558" t="s">
        <v>17</v>
      </c>
      <c r="G3558">
        <v>50</v>
      </c>
    </row>
    <row r="3559" spans="1:7" x14ac:dyDescent="0.35">
      <c r="A3559">
        <v>76655</v>
      </c>
      <c r="B3559">
        <v>28</v>
      </c>
      <c r="C3559" t="s">
        <v>47</v>
      </c>
      <c r="D3559">
        <v>4309</v>
      </c>
      <c r="E3559" t="s">
        <v>88</v>
      </c>
      <c r="F3559" t="s">
        <v>17</v>
      </c>
      <c r="G3559">
        <v>10</v>
      </c>
    </row>
    <row r="3560" spans="1:7" x14ac:dyDescent="0.35">
      <c r="A3560">
        <v>167538</v>
      </c>
      <c r="B3560">
        <v>0</v>
      </c>
      <c r="C3560" t="s">
        <v>24</v>
      </c>
      <c r="D3560">
        <v>3201</v>
      </c>
      <c r="E3560" t="s">
        <v>103</v>
      </c>
      <c r="F3560" t="s">
        <v>17</v>
      </c>
      <c r="G3560">
        <v>15</v>
      </c>
    </row>
    <row r="3561" spans="1:7" x14ac:dyDescent="0.35">
      <c r="A3561">
        <v>108976</v>
      </c>
      <c r="B3561">
        <v>1</v>
      </c>
      <c r="C3561" t="s">
        <v>49</v>
      </c>
      <c r="D3561">
        <v>3801</v>
      </c>
      <c r="F3561" t="s">
        <v>14</v>
      </c>
      <c r="G3561">
        <v>25</v>
      </c>
    </row>
    <row r="3562" spans="1:7" x14ac:dyDescent="0.35">
      <c r="A3562">
        <v>79022</v>
      </c>
      <c r="B3562">
        <v>1</v>
      </c>
      <c r="C3562" t="s">
        <v>35</v>
      </c>
      <c r="D3562">
        <v>5001</v>
      </c>
      <c r="E3562" t="s">
        <v>101</v>
      </c>
      <c r="F3562" t="s">
        <v>14</v>
      </c>
      <c r="G3562">
        <v>9</v>
      </c>
    </row>
    <row r="3563" spans="1:7" x14ac:dyDescent="0.35">
      <c r="A3563">
        <v>118097</v>
      </c>
      <c r="B3563">
        <v>0</v>
      </c>
      <c r="C3563" t="s">
        <v>21</v>
      </c>
      <c r="D3563">
        <v>5701</v>
      </c>
      <c r="E3563" t="s">
        <v>91</v>
      </c>
      <c r="F3563" t="s">
        <v>17</v>
      </c>
      <c r="G3563">
        <v>5</v>
      </c>
    </row>
    <row r="3564" spans="1:7" x14ac:dyDescent="0.35">
      <c r="A3564">
        <v>58566</v>
      </c>
      <c r="B3564">
        <v>0</v>
      </c>
      <c r="C3564" t="s">
        <v>57</v>
      </c>
      <c r="D3564">
        <v>2301</v>
      </c>
      <c r="E3564" t="s">
        <v>89</v>
      </c>
      <c r="F3564" t="s">
        <v>14</v>
      </c>
      <c r="G3564">
        <v>16</v>
      </c>
    </row>
    <row r="3565" spans="1:7" x14ac:dyDescent="0.35">
      <c r="A3565">
        <v>167784</v>
      </c>
      <c r="B3565">
        <v>28</v>
      </c>
      <c r="C3565" t="s">
        <v>22</v>
      </c>
      <c r="D3565">
        <v>1801</v>
      </c>
      <c r="E3565" t="s">
        <v>90</v>
      </c>
      <c r="F3565" t="s">
        <v>17</v>
      </c>
      <c r="G3565">
        <v>15</v>
      </c>
    </row>
    <row r="3566" spans="1:7" x14ac:dyDescent="0.35">
      <c r="A3566">
        <v>37202</v>
      </c>
      <c r="B3566">
        <v>0</v>
      </c>
      <c r="C3566" t="s">
        <v>13</v>
      </c>
      <c r="D3566">
        <v>1201</v>
      </c>
      <c r="E3566" t="s">
        <v>90</v>
      </c>
      <c r="F3566" t="s">
        <v>17</v>
      </c>
      <c r="G3566">
        <v>25</v>
      </c>
    </row>
    <row r="3567" spans="1:7" x14ac:dyDescent="0.35">
      <c r="A3567">
        <v>5510</v>
      </c>
      <c r="B3567">
        <v>0</v>
      </c>
      <c r="C3567" t="s">
        <v>40</v>
      </c>
      <c r="D3567">
        <v>1209</v>
      </c>
      <c r="F3567" t="s">
        <v>17</v>
      </c>
      <c r="G3567">
        <v>20</v>
      </c>
    </row>
    <row r="3568" spans="1:7" x14ac:dyDescent="0.35">
      <c r="A3568">
        <v>16771</v>
      </c>
      <c r="B3568">
        <v>2</v>
      </c>
      <c r="C3568" t="s">
        <v>18</v>
      </c>
      <c r="D3568">
        <v>201</v>
      </c>
      <c r="E3568" t="s">
        <v>94</v>
      </c>
      <c r="F3568" t="s">
        <v>17</v>
      </c>
      <c r="G3568">
        <v>5</v>
      </c>
    </row>
    <row r="3569" spans="1:7" x14ac:dyDescent="0.35">
      <c r="A3569">
        <v>69997</v>
      </c>
      <c r="B3569">
        <v>0</v>
      </c>
      <c r="C3569" t="s">
        <v>29</v>
      </c>
      <c r="D3569">
        <v>0</v>
      </c>
      <c r="E3569" t="s">
        <v>89</v>
      </c>
      <c r="F3569" t="s">
        <v>14</v>
      </c>
      <c r="G3569">
        <v>26</v>
      </c>
    </row>
    <row r="3570" spans="1:7" x14ac:dyDescent="0.35">
      <c r="A3570">
        <v>190558</v>
      </c>
      <c r="B3570">
        <v>0</v>
      </c>
      <c r="C3570" t="s">
        <v>37</v>
      </c>
      <c r="D3570">
        <v>1601</v>
      </c>
      <c r="E3570" t="s">
        <v>95</v>
      </c>
      <c r="F3570" t="s">
        <v>14</v>
      </c>
      <c r="G3570">
        <v>10</v>
      </c>
    </row>
    <row r="3571" spans="1:7" x14ac:dyDescent="0.35">
      <c r="A3571">
        <v>34608</v>
      </c>
      <c r="B3571">
        <v>1</v>
      </c>
      <c r="C3571" t="s">
        <v>13</v>
      </c>
      <c r="D3571">
        <v>4210</v>
      </c>
      <c r="E3571" t="s">
        <v>93</v>
      </c>
      <c r="F3571" t="s">
        <v>14</v>
      </c>
      <c r="G3571">
        <v>12</v>
      </c>
    </row>
    <row r="3572" spans="1:7" x14ac:dyDescent="0.35">
      <c r="A3572">
        <v>171357</v>
      </c>
      <c r="B3572">
        <v>0</v>
      </c>
      <c r="C3572" t="s">
        <v>22</v>
      </c>
      <c r="D3572">
        <v>0</v>
      </c>
      <c r="E3572" t="s">
        <v>94</v>
      </c>
      <c r="F3572" t="s">
        <v>17</v>
      </c>
      <c r="G3572">
        <v>25</v>
      </c>
    </row>
    <row r="3573" spans="1:7" x14ac:dyDescent="0.35">
      <c r="A3573">
        <v>190040</v>
      </c>
      <c r="B3573">
        <v>1</v>
      </c>
      <c r="C3573" t="s">
        <v>18</v>
      </c>
      <c r="D3573">
        <v>0</v>
      </c>
      <c r="E3573" t="s">
        <v>92</v>
      </c>
      <c r="F3573" t="s">
        <v>14</v>
      </c>
      <c r="G3573">
        <v>12</v>
      </c>
    </row>
    <row r="3574" spans="1:7" x14ac:dyDescent="0.35">
      <c r="A3574">
        <v>149956</v>
      </c>
      <c r="B3574">
        <v>0</v>
      </c>
      <c r="C3574" t="s">
        <v>22</v>
      </c>
      <c r="D3574">
        <v>5001</v>
      </c>
      <c r="E3574" t="s">
        <v>101</v>
      </c>
      <c r="F3574" t="s">
        <v>17</v>
      </c>
      <c r="G3574">
        <v>15</v>
      </c>
    </row>
    <row r="3575" spans="1:7" x14ac:dyDescent="0.35">
      <c r="A3575">
        <v>37861</v>
      </c>
      <c r="B3575">
        <v>1</v>
      </c>
      <c r="C3575" t="s">
        <v>13</v>
      </c>
      <c r="D3575">
        <v>2808</v>
      </c>
      <c r="E3575" t="s">
        <v>103</v>
      </c>
      <c r="F3575" t="s">
        <v>14</v>
      </c>
      <c r="G3575">
        <v>15</v>
      </c>
    </row>
    <row r="3576" spans="1:7" x14ac:dyDescent="0.35">
      <c r="A3576">
        <v>168644</v>
      </c>
      <c r="B3576">
        <v>1002</v>
      </c>
      <c r="C3576" t="s">
        <v>22</v>
      </c>
      <c r="D3576">
        <v>0</v>
      </c>
      <c r="E3576" t="s">
        <v>93</v>
      </c>
      <c r="F3576" t="s">
        <v>44</v>
      </c>
      <c r="G3576">
        <v>9</v>
      </c>
    </row>
    <row r="3577" spans="1:7" x14ac:dyDescent="0.35">
      <c r="A3577">
        <v>18534</v>
      </c>
      <c r="B3577">
        <v>28</v>
      </c>
      <c r="C3577" t="s">
        <v>18</v>
      </c>
      <c r="D3577">
        <v>5101</v>
      </c>
      <c r="E3577" t="s">
        <v>89</v>
      </c>
      <c r="F3577" t="s">
        <v>17</v>
      </c>
      <c r="G3577">
        <v>15</v>
      </c>
    </row>
    <row r="3578" spans="1:7" x14ac:dyDescent="0.35">
      <c r="A3578">
        <v>166106</v>
      </c>
      <c r="B3578">
        <v>0</v>
      </c>
      <c r="C3578" t="s">
        <v>22</v>
      </c>
      <c r="D3578">
        <v>6301</v>
      </c>
      <c r="E3578" t="s">
        <v>95</v>
      </c>
      <c r="F3578" t="s">
        <v>17</v>
      </c>
      <c r="G3578">
        <v>10</v>
      </c>
    </row>
    <row r="3579" spans="1:7" x14ac:dyDescent="0.35">
      <c r="A3579">
        <v>96960</v>
      </c>
      <c r="B3579">
        <v>1002</v>
      </c>
      <c r="C3579" t="s">
        <v>16</v>
      </c>
      <c r="D3579">
        <v>4001</v>
      </c>
      <c r="E3579" t="s">
        <v>91</v>
      </c>
      <c r="F3579" t="s">
        <v>14</v>
      </c>
      <c r="G3579">
        <v>8</v>
      </c>
    </row>
    <row r="3580" spans="1:7" x14ac:dyDescent="0.35">
      <c r="A3580">
        <v>92972</v>
      </c>
      <c r="B3580">
        <v>2</v>
      </c>
      <c r="C3580" t="s">
        <v>16</v>
      </c>
      <c r="D3580">
        <v>0</v>
      </c>
      <c r="E3580" t="s">
        <v>95</v>
      </c>
      <c r="F3580" t="s">
        <v>17</v>
      </c>
      <c r="G3580">
        <v>30</v>
      </c>
    </row>
    <row r="3581" spans="1:7" x14ac:dyDescent="0.35">
      <c r="A3581">
        <v>115341</v>
      </c>
      <c r="B3581">
        <v>2</v>
      </c>
      <c r="C3581" t="s">
        <v>31</v>
      </c>
      <c r="D3581">
        <v>2801</v>
      </c>
      <c r="E3581" t="s">
        <v>98</v>
      </c>
      <c r="F3581" t="s">
        <v>17</v>
      </c>
      <c r="G3581">
        <v>20</v>
      </c>
    </row>
    <row r="3582" spans="1:7" x14ac:dyDescent="0.35">
      <c r="A3582">
        <v>63216</v>
      </c>
      <c r="B3582">
        <v>1</v>
      </c>
      <c r="C3582" t="s">
        <v>33</v>
      </c>
      <c r="D3582">
        <v>0</v>
      </c>
      <c r="E3582" t="s">
        <v>104</v>
      </c>
      <c r="F3582" t="s">
        <v>14</v>
      </c>
      <c r="G3582">
        <v>5</v>
      </c>
    </row>
    <row r="3583" spans="1:7" x14ac:dyDescent="0.35">
      <c r="A3583">
        <v>87459</v>
      </c>
      <c r="B3583">
        <v>0</v>
      </c>
      <c r="C3583" t="s">
        <v>34</v>
      </c>
      <c r="D3583">
        <v>0</v>
      </c>
      <c r="E3583" t="s">
        <v>88</v>
      </c>
      <c r="F3583" t="s">
        <v>17</v>
      </c>
      <c r="G3583">
        <v>4</v>
      </c>
    </row>
    <row r="3584" spans="1:7" x14ac:dyDescent="0.35">
      <c r="A3584">
        <v>41325</v>
      </c>
      <c r="B3584">
        <v>0</v>
      </c>
      <c r="C3584" t="s">
        <v>13</v>
      </c>
      <c r="D3584">
        <v>6301</v>
      </c>
      <c r="E3584" t="s">
        <v>90</v>
      </c>
      <c r="F3584" t="s">
        <v>17</v>
      </c>
      <c r="G3584">
        <v>12</v>
      </c>
    </row>
    <row r="3585" spans="1:7" x14ac:dyDescent="0.35">
      <c r="A3585">
        <v>187472</v>
      </c>
      <c r="B3585">
        <v>0</v>
      </c>
      <c r="C3585" t="s">
        <v>16</v>
      </c>
      <c r="D3585">
        <v>0</v>
      </c>
      <c r="E3585" t="s">
        <v>92</v>
      </c>
      <c r="F3585" t="s">
        <v>17</v>
      </c>
      <c r="G3585">
        <v>15</v>
      </c>
    </row>
    <row r="3586" spans="1:7" x14ac:dyDescent="0.35">
      <c r="A3586">
        <v>148572</v>
      </c>
      <c r="B3586">
        <v>1</v>
      </c>
      <c r="C3586" t="s">
        <v>22</v>
      </c>
      <c r="D3586">
        <v>2701</v>
      </c>
      <c r="E3586" t="s">
        <v>103</v>
      </c>
      <c r="F3586" t="s">
        <v>14</v>
      </c>
      <c r="G3586">
        <v>5</v>
      </c>
    </row>
    <row r="3587" spans="1:7" x14ac:dyDescent="0.35">
      <c r="A3587">
        <v>137256</v>
      </c>
      <c r="B3587">
        <v>2</v>
      </c>
      <c r="C3587" t="s">
        <v>55</v>
      </c>
      <c r="D3587">
        <v>1309</v>
      </c>
      <c r="E3587" t="s">
        <v>96</v>
      </c>
      <c r="F3587" t="s">
        <v>17</v>
      </c>
      <c r="G3587">
        <v>25</v>
      </c>
    </row>
    <row r="3588" spans="1:7" x14ac:dyDescent="0.35">
      <c r="A3588">
        <v>175731</v>
      </c>
      <c r="B3588">
        <v>0</v>
      </c>
      <c r="C3588" t="s">
        <v>50</v>
      </c>
      <c r="D3588">
        <v>1709</v>
      </c>
      <c r="E3588" t="s">
        <v>90</v>
      </c>
      <c r="F3588" t="s">
        <v>14</v>
      </c>
      <c r="G3588">
        <v>10</v>
      </c>
    </row>
    <row r="3589" spans="1:7" x14ac:dyDescent="0.35">
      <c r="A3589">
        <v>94757</v>
      </c>
      <c r="B3589">
        <v>0</v>
      </c>
      <c r="C3589" t="s">
        <v>16</v>
      </c>
      <c r="D3589">
        <v>4603</v>
      </c>
      <c r="E3589" t="s">
        <v>90</v>
      </c>
      <c r="F3589" t="s">
        <v>14</v>
      </c>
      <c r="G3589">
        <v>12</v>
      </c>
    </row>
    <row r="3590" spans="1:7" x14ac:dyDescent="0.35">
      <c r="A3590">
        <v>136130</v>
      </c>
      <c r="B3590">
        <v>0</v>
      </c>
      <c r="C3590" t="s">
        <v>55</v>
      </c>
      <c r="D3590">
        <v>0</v>
      </c>
      <c r="E3590" t="s">
        <v>91</v>
      </c>
      <c r="F3590" t="s">
        <v>17</v>
      </c>
      <c r="G3590">
        <v>10</v>
      </c>
    </row>
    <row r="3591" spans="1:7" x14ac:dyDescent="0.35">
      <c r="A3591">
        <v>56816</v>
      </c>
      <c r="B3591">
        <v>2</v>
      </c>
      <c r="C3591" t="s">
        <v>57</v>
      </c>
      <c r="D3591">
        <v>2002</v>
      </c>
      <c r="E3591" t="s">
        <v>93</v>
      </c>
      <c r="F3591" t="s">
        <v>17</v>
      </c>
      <c r="G3591">
        <v>10</v>
      </c>
    </row>
    <row r="3592" spans="1:7" x14ac:dyDescent="0.35">
      <c r="A3592">
        <v>148840</v>
      </c>
      <c r="B3592">
        <v>0</v>
      </c>
      <c r="C3592" t="s">
        <v>22</v>
      </c>
      <c r="D3592">
        <v>201</v>
      </c>
      <c r="E3592" t="s">
        <v>95</v>
      </c>
      <c r="F3592" t="s">
        <v>17</v>
      </c>
      <c r="G3592">
        <v>11</v>
      </c>
    </row>
    <row r="3593" spans="1:7" x14ac:dyDescent="0.35">
      <c r="A3593">
        <v>79478</v>
      </c>
      <c r="B3593">
        <v>1</v>
      </c>
      <c r="C3593" t="s">
        <v>35</v>
      </c>
      <c r="D3593">
        <v>2101</v>
      </c>
      <c r="E3593" t="s">
        <v>89</v>
      </c>
      <c r="F3593" t="s">
        <v>14</v>
      </c>
      <c r="G3593">
        <v>25</v>
      </c>
    </row>
    <row r="3594" spans="1:7" x14ac:dyDescent="0.35">
      <c r="A3594">
        <v>116008</v>
      </c>
      <c r="B3594">
        <v>0</v>
      </c>
      <c r="C3594" t="s">
        <v>21</v>
      </c>
      <c r="D3594">
        <v>3401</v>
      </c>
      <c r="E3594" t="s">
        <v>94</v>
      </c>
      <c r="F3594" t="s">
        <v>17</v>
      </c>
      <c r="G3594">
        <v>5</v>
      </c>
    </row>
    <row r="3595" spans="1:7" x14ac:dyDescent="0.35">
      <c r="A3595">
        <v>150061</v>
      </c>
      <c r="B3595">
        <v>28</v>
      </c>
      <c r="C3595" t="s">
        <v>22</v>
      </c>
      <c r="D3595">
        <v>5801</v>
      </c>
      <c r="E3595" t="s">
        <v>93</v>
      </c>
      <c r="F3595" t="s">
        <v>17</v>
      </c>
      <c r="G3595">
        <v>25</v>
      </c>
    </row>
    <row r="3596" spans="1:7" x14ac:dyDescent="0.35">
      <c r="A3596">
        <v>6789</v>
      </c>
      <c r="B3596">
        <v>1</v>
      </c>
      <c r="C3596" t="s">
        <v>74</v>
      </c>
      <c r="D3596">
        <v>1703</v>
      </c>
      <c r="E3596" t="s">
        <v>98</v>
      </c>
      <c r="F3596" t="s">
        <v>14</v>
      </c>
      <c r="G3596">
        <v>10</v>
      </c>
    </row>
    <row r="3597" spans="1:7" x14ac:dyDescent="0.35">
      <c r="A3597">
        <v>13196</v>
      </c>
      <c r="B3597">
        <v>28</v>
      </c>
      <c r="C3597" t="s">
        <v>22</v>
      </c>
      <c r="D3597">
        <v>201</v>
      </c>
      <c r="E3597" t="s">
        <v>93</v>
      </c>
      <c r="F3597" t="s">
        <v>17</v>
      </c>
      <c r="G3597">
        <v>10</v>
      </c>
    </row>
    <row r="3598" spans="1:7" x14ac:dyDescent="0.35">
      <c r="A3598">
        <v>26169</v>
      </c>
      <c r="B3598">
        <v>28</v>
      </c>
      <c r="C3598" t="s">
        <v>39</v>
      </c>
      <c r="D3598">
        <v>0</v>
      </c>
      <c r="E3598" t="s">
        <v>94</v>
      </c>
      <c r="F3598" t="s">
        <v>17</v>
      </c>
      <c r="G3598">
        <v>12</v>
      </c>
    </row>
    <row r="3599" spans="1:7" x14ac:dyDescent="0.35">
      <c r="A3599">
        <v>3691</v>
      </c>
      <c r="B3599">
        <v>0</v>
      </c>
      <c r="C3599" t="s">
        <v>29</v>
      </c>
      <c r="D3599">
        <v>3301</v>
      </c>
      <c r="E3599" t="s">
        <v>102</v>
      </c>
      <c r="F3599" t="s">
        <v>17</v>
      </c>
      <c r="G3599">
        <v>20</v>
      </c>
    </row>
    <row r="3600" spans="1:7" x14ac:dyDescent="0.35">
      <c r="A3600">
        <v>101432</v>
      </c>
      <c r="B3600">
        <v>1</v>
      </c>
      <c r="C3600" t="s">
        <v>36</v>
      </c>
      <c r="D3600">
        <v>2401</v>
      </c>
      <c r="E3600" t="s">
        <v>98</v>
      </c>
      <c r="F3600" t="s">
        <v>14</v>
      </c>
      <c r="G3600">
        <v>8</v>
      </c>
    </row>
    <row r="3601" spans="1:7" x14ac:dyDescent="0.35">
      <c r="A3601">
        <v>176379</v>
      </c>
      <c r="B3601">
        <v>0</v>
      </c>
      <c r="C3601" t="s">
        <v>50</v>
      </c>
      <c r="D3601">
        <v>2001</v>
      </c>
      <c r="E3601" t="s">
        <v>88</v>
      </c>
      <c r="F3601" t="s">
        <v>14</v>
      </c>
      <c r="G3601">
        <v>10</v>
      </c>
    </row>
    <row r="3602" spans="1:7" x14ac:dyDescent="0.35">
      <c r="A3602">
        <v>171854</v>
      </c>
      <c r="B3602">
        <v>2</v>
      </c>
      <c r="C3602" t="s">
        <v>22</v>
      </c>
      <c r="D3602">
        <v>2409</v>
      </c>
      <c r="E3602" t="s">
        <v>90</v>
      </c>
      <c r="F3602" t="s">
        <v>17</v>
      </c>
      <c r="G3602">
        <v>15</v>
      </c>
    </row>
    <row r="3603" spans="1:7" x14ac:dyDescent="0.35">
      <c r="A3603">
        <v>159319</v>
      </c>
      <c r="B3603">
        <v>2</v>
      </c>
      <c r="C3603" t="s">
        <v>22</v>
      </c>
      <c r="D3603">
        <v>4506</v>
      </c>
      <c r="E3603" t="s">
        <v>93</v>
      </c>
      <c r="F3603" t="s">
        <v>14</v>
      </c>
      <c r="G3603">
        <v>20</v>
      </c>
    </row>
    <row r="3604" spans="1:7" x14ac:dyDescent="0.35">
      <c r="A3604">
        <v>171338</v>
      </c>
      <c r="B3604">
        <v>0</v>
      </c>
      <c r="C3604" t="s">
        <v>22</v>
      </c>
      <c r="D3604">
        <v>4601</v>
      </c>
      <c r="E3604" t="s">
        <v>94</v>
      </c>
      <c r="F3604" t="s">
        <v>17</v>
      </c>
      <c r="G3604">
        <v>10</v>
      </c>
    </row>
    <row r="3605" spans="1:7" x14ac:dyDescent="0.35">
      <c r="A3605">
        <v>160773</v>
      </c>
      <c r="B3605">
        <v>1</v>
      </c>
      <c r="C3605" t="s">
        <v>22</v>
      </c>
      <c r="D3605">
        <v>4001</v>
      </c>
      <c r="E3605" t="s">
        <v>88</v>
      </c>
      <c r="F3605" t="s">
        <v>14</v>
      </c>
      <c r="G3605">
        <v>10</v>
      </c>
    </row>
    <row r="3606" spans="1:7" x14ac:dyDescent="0.35">
      <c r="A3606">
        <v>21539</v>
      </c>
      <c r="B3606">
        <v>1</v>
      </c>
      <c r="C3606" t="s">
        <v>18</v>
      </c>
      <c r="D3606">
        <v>4001</v>
      </c>
      <c r="E3606" t="s">
        <v>91</v>
      </c>
      <c r="F3606" t="s">
        <v>14</v>
      </c>
      <c r="G3606">
        <v>3</v>
      </c>
    </row>
    <row r="3607" spans="1:7" x14ac:dyDescent="0.35">
      <c r="A3607">
        <v>125277</v>
      </c>
      <c r="B3607">
        <v>1</v>
      </c>
      <c r="C3607" t="s">
        <v>21</v>
      </c>
      <c r="D3607">
        <v>3401</v>
      </c>
      <c r="E3607" t="s">
        <v>93</v>
      </c>
      <c r="F3607" t="s">
        <v>14</v>
      </c>
      <c r="G3607">
        <v>53</v>
      </c>
    </row>
    <row r="3608" spans="1:7" x14ac:dyDescent="0.35">
      <c r="A3608">
        <v>116329</v>
      </c>
      <c r="B3608">
        <v>0</v>
      </c>
      <c r="C3608" t="s">
        <v>21</v>
      </c>
      <c r="D3608">
        <v>5508</v>
      </c>
      <c r="E3608" t="s">
        <v>93</v>
      </c>
      <c r="F3608" t="s">
        <v>14</v>
      </c>
      <c r="G3608">
        <v>15</v>
      </c>
    </row>
    <row r="3609" spans="1:7" x14ac:dyDescent="0.35">
      <c r="A3609">
        <v>126091</v>
      </c>
      <c r="B3609">
        <v>28</v>
      </c>
      <c r="C3609" t="s">
        <v>21</v>
      </c>
      <c r="D3609">
        <v>4202</v>
      </c>
      <c r="E3609" t="s">
        <v>96</v>
      </c>
      <c r="F3609" t="s">
        <v>17</v>
      </c>
      <c r="G3609">
        <v>6</v>
      </c>
    </row>
    <row r="3610" spans="1:7" x14ac:dyDescent="0.35">
      <c r="A3610">
        <v>22206</v>
      </c>
      <c r="B3610">
        <v>0</v>
      </c>
      <c r="C3610" t="s">
        <v>18</v>
      </c>
      <c r="D3610">
        <v>3510</v>
      </c>
      <c r="F3610" t="s">
        <v>17</v>
      </c>
      <c r="G3610">
        <v>25</v>
      </c>
    </row>
    <row r="3611" spans="1:7" x14ac:dyDescent="0.35">
      <c r="A3611">
        <v>9537</v>
      </c>
      <c r="B3611">
        <v>0</v>
      </c>
      <c r="C3611" t="s">
        <v>53</v>
      </c>
      <c r="D3611">
        <v>4301</v>
      </c>
      <c r="E3611" t="s">
        <v>89</v>
      </c>
      <c r="F3611" t="s">
        <v>17</v>
      </c>
      <c r="G3611">
        <v>35</v>
      </c>
    </row>
    <row r="3612" spans="1:7" x14ac:dyDescent="0.35">
      <c r="A3612">
        <v>103857</v>
      </c>
      <c r="B3612">
        <v>0</v>
      </c>
      <c r="C3612" t="s">
        <v>36</v>
      </c>
      <c r="D3612">
        <v>0</v>
      </c>
      <c r="E3612" t="s">
        <v>98</v>
      </c>
      <c r="F3612" t="s">
        <v>14</v>
      </c>
      <c r="G3612">
        <v>15</v>
      </c>
    </row>
    <row r="3613" spans="1:7" x14ac:dyDescent="0.35">
      <c r="A3613">
        <v>146940</v>
      </c>
      <c r="B3613">
        <v>2</v>
      </c>
      <c r="C3613" t="s">
        <v>22</v>
      </c>
      <c r="D3613">
        <v>1001</v>
      </c>
      <c r="E3613" t="s">
        <v>95</v>
      </c>
      <c r="F3613" t="s">
        <v>14</v>
      </c>
      <c r="G3613">
        <v>15</v>
      </c>
    </row>
    <row r="3614" spans="1:7" x14ac:dyDescent="0.35">
      <c r="A3614">
        <v>129136</v>
      </c>
      <c r="B3614">
        <v>28</v>
      </c>
      <c r="C3614" t="s">
        <v>48</v>
      </c>
      <c r="D3614">
        <v>0</v>
      </c>
      <c r="E3614" t="s">
        <v>96</v>
      </c>
      <c r="F3614" t="s">
        <v>17</v>
      </c>
      <c r="G3614">
        <v>25</v>
      </c>
    </row>
    <row r="3615" spans="1:7" x14ac:dyDescent="0.35">
      <c r="A3615">
        <v>170649</v>
      </c>
      <c r="B3615">
        <v>0</v>
      </c>
      <c r="C3615" t="s">
        <v>22</v>
      </c>
      <c r="D3615">
        <v>3301</v>
      </c>
      <c r="E3615" t="s">
        <v>95</v>
      </c>
      <c r="F3615" t="s">
        <v>14</v>
      </c>
      <c r="G3615">
        <v>25</v>
      </c>
    </row>
    <row r="3616" spans="1:7" x14ac:dyDescent="0.35">
      <c r="A3616">
        <v>78256</v>
      </c>
      <c r="B3616">
        <v>0</v>
      </c>
      <c r="C3616" t="s">
        <v>35</v>
      </c>
      <c r="D3616">
        <v>3205</v>
      </c>
      <c r="E3616" t="s">
        <v>102</v>
      </c>
      <c r="F3616" t="s">
        <v>17</v>
      </c>
      <c r="G3616">
        <v>11</v>
      </c>
    </row>
    <row r="3617" spans="1:7" x14ac:dyDescent="0.35">
      <c r="A3617">
        <v>160736</v>
      </c>
      <c r="B3617">
        <v>28</v>
      </c>
      <c r="C3617" t="s">
        <v>22</v>
      </c>
      <c r="D3617">
        <v>3401</v>
      </c>
      <c r="E3617" t="s">
        <v>104</v>
      </c>
      <c r="F3617" t="s">
        <v>17</v>
      </c>
      <c r="G3617">
        <v>12</v>
      </c>
    </row>
    <row r="3618" spans="1:7" x14ac:dyDescent="0.35">
      <c r="A3618">
        <v>6198</v>
      </c>
      <c r="B3618">
        <v>2</v>
      </c>
      <c r="C3618" t="s">
        <v>22</v>
      </c>
      <c r="D3618">
        <v>1102</v>
      </c>
      <c r="E3618" t="s">
        <v>93</v>
      </c>
      <c r="F3618" t="s">
        <v>17</v>
      </c>
      <c r="G3618">
        <v>20</v>
      </c>
    </row>
    <row r="3619" spans="1:7" x14ac:dyDescent="0.35">
      <c r="A3619">
        <v>146695</v>
      </c>
      <c r="B3619">
        <v>2</v>
      </c>
      <c r="C3619" t="s">
        <v>22</v>
      </c>
      <c r="D3619">
        <v>5501</v>
      </c>
      <c r="E3619" t="s">
        <v>93</v>
      </c>
      <c r="F3619" t="s">
        <v>17</v>
      </c>
      <c r="G3619">
        <v>20</v>
      </c>
    </row>
    <row r="3620" spans="1:7" x14ac:dyDescent="0.35">
      <c r="A3620">
        <v>20631</v>
      </c>
      <c r="B3620">
        <v>0</v>
      </c>
      <c r="C3620" t="s">
        <v>18</v>
      </c>
      <c r="D3620">
        <v>5501</v>
      </c>
      <c r="E3620" t="s">
        <v>89</v>
      </c>
      <c r="F3620" t="s">
        <v>17</v>
      </c>
      <c r="G3620">
        <v>20</v>
      </c>
    </row>
    <row r="3621" spans="1:7" x14ac:dyDescent="0.35">
      <c r="A3621">
        <v>15006</v>
      </c>
      <c r="B3621">
        <v>0</v>
      </c>
      <c r="C3621" t="s">
        <v>22</v>
      </c>
      <c r="D3621">
        <v>6601</v>
      </c>
      <c r="E3621" t="s">
        <v>95</v>
      </c>
      <c r="F3621" t="s">
        <v>17</v>
      </c>
      <c r="G3621">
        <v>10</v>
      </c>
    </row>
    <row r="3622" spans="1:7" x14ac:dyDescent="0.35">
      <c r="A3622">
        <v>1293</v>
      </c>
      <c r="B3622">
        <v>0</v>
      </c>
      <c r="C3622" t="s">
        <v>16</v>
      </c>
      <c r="D3622">
        <v>2201</v>
      </c>
      <c r="E3622" t="s">
        <v>90</v>
      </c>
      <c r="F3622" t="s">
        <v>17</v>
      </c>
      <c r="G3622">
        <v>2</v>
      </c>
    </row>
    <row r="3623" spans="1:7" x14ac:dyDescent="0.35">
      <c r="A3623">
        <v>139626</v>
      </c>
      <c r="B3623">
        <v>2</v>
      </c>
      <c r="C3623" t="s">
        <v>54</v>
      </c>
      <c r="D3623">
        <v>2406</v>
      </c>
      <c r="E3623" t="s">
        <v>95</v>
      </c>
      <c r="F3623" t="s">
        <v>14</v>
      </c>
      <c r="G3623">
        <v>10</v>
      </c>
    </row>
    <row r="3624" spans="1:7" x14ac:dyDescent="0.35">
      <c r="A3624">
        <v>25760</v>
      </c>
      <c r="B3624">
        <v>1</v>
      </c>
      <c r="C3624" t="s">
        <v>39</v>
      </c>
      <c r="D3624">
        <v>0</v>
      </c>
      <c r="E3624" t="s">
        <v>97</v>
      </c>
      <c r="F3624" t="s">
        <v>14</v>
      </c>
      <c r="G3624">
        <v>20</v>
      </c>
    </row>
    <row r="3625" spans="1:7" x14ac:dyDescent="0.35">
      <c r="A3625">
        <v>170486</v>
      </c>
      <c r="B3625">
        <v>1</v>
      </c>
      <c r="C3625" t="s">
        <v>22</v>
      </c>
      <c r="D3625">
        <v>0</v>
      </c>
      <c r="E3625" t="s">
        <v>94</v>
      </c>
      <c r="F3625" t="s">
        <v>14</v>
      </c>
      <c r="G3625">
        <v>12</v>
      </c>
    </row>
    <row r="3626" spans="1:7" x14ac:dyDescent="0.35">
      <c r="A3626">
        <v>24172</v>
      </c>
      <c r="B3626">
        <v>0</v>
      </c>
      <c r="C3626" t="s">
        <v>46</v>
      </c>
      <c r="D3626">
        <v>2501</v>
      </c>
      <c r="E3626" t="s">
        <v>91</v>
      </c>
      <c r="F3626" t="s">
        <v>17</v>
      </c>
      <c r="G3626">
        <v>5</v>
      </c>
    </row>
    <row r="3627" spans="1:7" x14ac:dyDescent="0.35">
      <c r="A3627">
        <v>174317</v>
      </c>
      <c r="B3627">
        <v>1</v>
      </c>
      <c r="C3627" t="s">
        <v>50</v>
      </c>
      <c r="D3627">
        <v>3008</v>
      </c>
      <c r="E3627" t="s">
        <v>88</v>
      </c>
      <c r="F3627" t="s">
        <v>14</v>
      </c>
      <c r="G3627">
        <v>14</v>
      </c>
    </row>
    <row r="3628" spans="1:7" x14ac:dyDescent="0.35">
      <c r="A3628">
        <v>99849</v>
      </c>
      <c r="B3628">
        <v>1</v>
      </c>
      <c r="C3628" t="s">
        <v>36</v>
      </c>
      <c r="D3628">
        <v>0</v>
      </c>
      <c r="E3628" t="s">
        <v>90</v>
      </c>
      <c r="F3628" t="s">
        <v>14</v>
      </c>
      <c r="G3628">
        <v>6</v>
      </c>
    </row>
    <row r="3629" spans="1:7" x14ac:dyDescent="0.35">
      <c r="A3629">
        <v>139282</v>
      </c>
      <c r="B3629">
        <v>1</v>
      </c>
      <c r="C3629" t="s">
        <v>54</v>
      </c>
      <c r="D3629">
        <v>4901</v>
      </c>
      <c r="E3629" t="s">
        <v>93</v>
      </c>
      <c r="F3629" t="s">
        <v>14</v>
      </c>
      <c r="G3629">
        <v>23</v>
      </c>
    </row>
    <row r="3630" spans="1:7" x14ac:dyDescent="0.35">
      <c r="A3630">
        <v>79562</v>
      </c>
      <c r="B3630">
        <v>2</v>
      </c>
      <c r="C3630" t="s">
        <v>35</v>
      </c>
      <c r="D3630">
        <v>7006</v>
      </c>
      <c r="E3630" t="s">
        <v>90</v>
      </c>
      <c r="F3630" t="s">
        <v>14</v>
      </c>
      <c r="G3630">
        <v>19</v>
      </c>
    </row>
    <row r="3631" spans="1:7" x14ac:dyDescent="0.35">
      <c r="A3631">
        <v>136466</v>
      </c>
      <c r="B3631">
        <v>1</v>
      </c>
      <c r="C3631" t="s">
        <v>55</v>
      </c>
      <c r="D3631">
        <v>5108</v>
      </c>
      <c r="E3631" t="s">
        <v>88</v>
      </c>
      <c r="F3631" t="s">
        <v>14</v>
      </c>
      <c r="G3631">
        <v>10</v>
      </c>
    </row>
    <row r="3632" spans="1:7" x14ac:dyDescent="0.35">
      <c r="A3632">
        <v>70835</v>
      </c>
      <c r="B3632">
        <v>0</v>
      </c>
      <c r="C3632" t="s">
        <v>29</v>
      </c>
      <c r="D3632">
        <v>1912</v>
      </c>
      <c r="E3632" t="s">
        <v>98</v>
      </c>
      <c r="F3632" t="s">
        <v>17</v>
      </c>
      <c r="G3632">
        <v>9</v>
      </c>
    </row>
    <row r="3633" spans="1:7" x14ac:dyDescent="0.35">
      <c r="A3633">
        <v>8195</v>
      </c>
      <c r="B3633">
        <v>2</v>
      </c>
      <c r="C3633" t="s">
        <v>16</v>
      </c>
      <c r="D3633">
        <v>3910</v>
      </c>
      <c r="E3633" t="s">
        <v>98</v>
      </c>
      <c r="F3633" t="s">
        <v>14</v>
      </c>
      <c r="G3633">
        <v>6</v>
      </c>
    </row>
    <row r="3634" spans="1:7" x14ac:dyDescent="0.35">
      <c r="A3634">
        <v>28340</v>
      </c>
      <c r="B3634">
        <v>0</v>
      </c>
      <c r="C3634" t="s">
        <v>39</v>
      </c>
      <c r="D3634">
        <v>4401</v>
      </c>
      <c r="E3634" t="s">
        <v>93</v>
      </c>
      <c r="F3634" t="s">
        <v>17</v>
      </c>
      <c r="G3634">
        <v>10</v>
      </c>
    </row>
    <row r="3635" spans="1:7" x14ac:dyDescent="0.35">
      <c r="A3635">
        <v>19235</v>
      </c>
      <c r="B3635">
        <v>2</v>
      </c>
      <c r="C3635" t="s">
        <v>18</v>
      </c>
      <c r="D3635">
        <v>2108</v>
      </c>
      <c r="E3635" t="s">
        <v>89</v>
      </c>
      <c r="F3635" t="s">
        <v>14</v>
      </c>
      <c r="G3635">
        <v>25</v>
      </c>
    </row>
    <row r="3636" spans="1:7" x14ac:dyDescent="0.35">
      <c r="A3636">
        <v>29345</v>
      </c>
      <c r="B3636">
        <v>0</v>
      </c>
      <c r="C3636" t="s">
        <v>39</v>
      </c>
      <c r="D3636">
        <v>5001</v>
      </c>
      <c r="F3636" t="s">
        <v>17</v>
      </c>
      <c r="G3636">
        <v>17</v>
      </c>
    </row>
    <row r="3637" spans="1:7" x14ac:dyDescent="0.35">
      <c r="A3637">
        <v>58728</v>
      </c>
      <c r="B3637">
        <v>0</v>
      </c>
      <c r="C3637" t="s">
        <v>57</v>
      </c>
      <c r="D3637">
        <v>4811</v>
      </c>
      <c r="E3637" t="s">
        <v>98</v>
      </c>
      <c r="F3637" t="s">
        <v>14</v>
      </c>
      <c r="G3637">
        <v>20</v>
      </c>
    </row>
    <row r="3638" spans="1:7" x14ac:dyDescent="0.35">
      <c r="A3638">
        <v>158390</v>
      </c>
      <c r="B3638">
        <v>28</v>
      </c>
      <c r="C3638" t="s">
        <v>24</v>
      </c>
      <c r="D3638">
        <v>3709</v>
      </c>
      <c r="E3638" t="s">
        <v>103</v>
      </c>
      <c r="F3638" t="s">
        <v>17</v>
      </c>
      <c r="G3638">
        <v>10</v>
      </c>
    </row>
    <row r="3639" spans="1:7" x14ac:dyDescent="0.35">
      <c r="A3639">
        <v>31400</v>
      </c>
      <c r="B3639">
        <v>2</v>
      </c>
      <c r="C3639" t="s">
        <v>39</v>
      </c>
      <c r="D3639">
        <v>0</v>
      </c>
      <c r="E3639" t="s">
        <v>89</v>
      </c>
      <c r="F3639" t="s">
        <v>17</v>
      </c>
      <c r="G3639">
        <v>10</v>
      </c>
    </row>
    <row r="3640" spans="1:7" x14ac:dyDescent="0.35">
      <c r="A3640">
        <v>124872</v>
      </c>
      <c r="B3640">
        <v>1002</v>
      </c>
      <c r="C3640" t="s">
        <v>21</v>
      </c>
      <c r="D3640">
        <v>1908</v>
      </c>
      <c r="E3640" t="s">
        <v>88</v>
      </c>
      <c r="F3640" t="s">
        <v>14</v>
      </c>
      <c r="G3640">
        <v>5</v>
      </c>
    </row>
    <row r="3641" spans="1:7" x14ac:dyDescent="0.35">
      <c r="A3641">
        <v>175917</v>
      </c>
      <c r="B3641">
        <v>0</v>
      </c>
      <c r="C3641" t="s">
        <v>50</v>
      </c>
      <c r="D3641">
        <v>2510</v>
      </c>
      <c r="E3641" t="s">
        <v>91</v>
      </c>
      <c r="F3641" t="s">
        <v>17</v>
      </c>
      <c r="G3641">
        <v>15</v>
      </c>
    </row>
    <row r="3642" spans="1:7" x14ac:dyDescent="0.35">
      <c r="A3642">
        <v>156473</v>
      </c>
      <c r="B3642">
        <v>2</v>
      </c>
      <c r="C3642" t="s">
        <v>22</v>
      </c>
      <c r="D3642">
        <v>1601</v>
      </c>
      <c r="E3642" t="s">
        <v>103</v>
      </c>
      <c r="F3642" t="s">
        <v>17</v>
      </c>
      <c r="G3642">
        <v>6</v>
      </c>
    </row>
    <row r="3643" spans="1:7" x14ac:dyDescent="0.35">
      <c r="A3643">
        <v>91835</v>
      </c>
      <c r="B3643">
        <v>2</v>
      </c>
      <c r="C3643" t="s">
        <v>16</v>
      </c>
      <c r="D3643">
        <v>501</v>
      </c>
      <c r="E3643" t="s">
        <v>90</v>
      </c>
      <c r="F3643" t="s">
        <v>17</v>
      </c>
      <c r="G3643">
        <v>5</v>
      </c>
    </row>
    <row r="3644" spans="1:7" x14ac:dyDescent="0.35">
      <c r="A3644">
        <v>29348</v>
      </c>
      <c r="B3644">
        <v>1</v>
      </c>
      <c r="C3644" t="s">
        <v>39</v>
      </c>
      <c r="D3644">
        <v>0</v>
      </c>
      <c r="E3644" t="s">
        <v>91</v>
      </c>
      <c r="F3644" t="s">
        <v>14</v>
      </c>
      <c r="G3644">
        <v>5</v>
      </c>
    </row>
    <row r="3645" spans="1:7" x14ac:dyDescent="0.35">
      <c r="A3645">
        <v>18257</v>
      </c>
      <c r="B3645">
        <v>0</v>
      </c>
      <c r="C3645" t="s">
        <v>18</v>
      </c>
      <c r="D3645">
        <v>0</v>
      </c>
      <c r="E3645" t="s">
        <v>89</v>
      </c>
      <c r="F3645" t="s">
        <v>14</v>
      </c>
      <c r="G3645">
        <v>5</v>
      </c>
    </row>
    <row r="3646" spans="1:7" x14ac:dyDescent="0.35">
      <c r="A3646">
        <v>69822</v>
      </c>
      <c r="B3646">
        <v>0</v>
      </c>
      <c r="C3646" t="s">
        <v>29</v>
      </c>
      <c r="D3646">
        <v>4601</v>
      </c>
      <c r="E3646" t="s">
        <v>89</v>
      </c>
      <c r="F3646" t="s">
        <v>17</v>
      </c>
      <c r="G3646">
        <v>15</v>
      </c>
    </row>
    <row r="3647" spans="1:7" x14ac:dyDescent="0.35">
      <c r="A3647">
        <v>139180</v>
      </c>
      <c r="B3647">
        <v>28</v>
      </c>
      <c r="C3647" t="s">
        <v>54</v>
      </c>
      <c r="D3647">
        <v>2001</v>
      </c>
      <c r="E3647" t="s">
        <v>98</v>
      </c>
      <c r="F3647" t="s">
        <v>17</v>
      </c>
      <c r="G3647">
        <v>15</v>
      </c>
    </row>
    <row r="3648" spans="1:7" x14ac:dyDescent="0.35">
      <c r="A3648">
        <v>185080</v>
      </c>
      <c r="B3648">
        <v>0</v>
      </c>
      <c r="C3648" t="s">
        <v>22</v>
      </c>
      <c r="D3648">
        <v>0</v>
      </c>
      <c r="E3648" t="s">
        <v>88</v>
      </c>
      <c r="F3648" t="s">
        <v>17</v>
      </c>
      <c r="G3648">
        <v>200</v>
      </c>
    </row>
    <row r="3649" spans="1:7" x14ac:dyDescent="0.35">
      <c r="A3649">
        <v>151904</v>
      </c>
      <c r="B3649">
        <v>0</v>
      </c>
      <c r="C3649" t="s">
        <v>22</v>
      </c>
      <c r="D3649">
        <v>1601</v>
      </c>
      <c r="E3649" t="s">
        <v>88</v>
      </c>
      <c r="F3649" t="s">
        <v>14</v>
      </c>
      <c r="G3649">
        <v>15</v>
      </c>
    </row>
    <row r="3650" spans="1:7" x14ac:dyDescent="0.35">
      <c r="A3650">
        <v>107895</v>
      </c>
      <c r="B3650">
        <v>1</v>
      </c>
      <c r="C3650" t="s">
        <v>49</v>
      </c>
      <c r="D3650">
        <v>4711</v>
      </c>
      <c r="E3650" t="s">
        <v>101</v>
      </c>
      <c r="F3650" t="s">
        <v>14</v>
      </c>
      <c r="G3650">
        <v>3</v>
      </c>
    </row>
    <row r="3651" spans="1:7" x14ac:dyDescent="0.35">
      <c r="A3651">
        <v>72844</v>
      </c>
      <c r="B3651">
        <v>0</v>
      </c>
      <c r="C3651" t="s">
        <v>29</v>
      </c>
      <c r="D3651">
        <v>2005</v>
      </c>
      <c r="E3651" t="s">
        <v>94</v>
      </c>
      <c r="F3651" t="s">
        <v>17</v>
      </c>
      <c r="G3651">
        <v>10</v>
      </c>
    </row>
    <row r="3652" spans="1:7" x14ac:dyDescent="0.35">
      <c r="A3652">
        <v>55756</v>
      </c>
      <c r="B3652">
        <v>28</v>
      </c>
      <c r="C3652" t="s">
        <v>62</v>
      </c>
      <c r="D3652">
        <v>0</v>
      </c>
      <c r="E3652" t="s">
        <v>92</v>
      </c>
      <c r="F3652" t="s">
        <v>17</v>
      </c>
      <c r="G3652">
        <v>10</v>
      </c>
    </row>
    <row r="3653" spans="1:7" x14ac:dyDescent="0.35">
      <c r="A3653">
        <v>59249</v>
      </c>
      <c r="B3653">
        <v>1</v>
      </c>
      <c r="C3653" t="s">
        <v>33</v>
      </c>
      <c r="D3653">
        <v>7501</v>
      </c>
      <c r="E3653" t="s">
        <v>93</v>
      </c>
      <c r="F3653" t="s">
        <v>14</v>
      </c>
      <c r="G3653">
        <v>15</v>
      </c>
    </row>
    <row r="3654" spans="1:7" x14ac:dyDescent="0.35">
      <c r="A3654">
        <v>132844</v>
      </c>
      <c r="B3654">
        <v>0</v>
      </c>
      <c r="C3654" t="s">
        <v>66</v>
      </c>
      <c r="D3654">
        <v>0</v>
      </c>
      <c r="E3654" t="s">
        <v>89</v>
      </c>
      <c r="F3654" t="s">
        <v>14</v>
      </c>
      <c r="G3654">
        <v>11</v>
      </c>
    </row>
    <row r="3655" spans="1:7" x14ac:dyDescent="0.35">
      <c r="A3655">
        <v>4225</v>
      </c>
      <c r="B3655">
        <v>1</v>
      </c>
      <c r="C3655" t="s">
        <v>24</v>
      </c>
      <c r="D3655">
        <v>907</v>
      </c>
      <c r="F3655" t="s">
        <v>14</v>
      </c>
      <c r="G3655">
        <v>10</v>
      </c>
    </row>
    <row r="3656" spans="1:7" x14ac:dyDescent="0.35">
      <c r="A3656">
        <v>136150</v>
      </c>
      <c r="B3656">
        <v>0</v>
      </c>
      <c r="C3656" t="s">
        <v>55</v>
      </c>
      <c r="D3656">
        <v>1508</v>
      </c>
      <c r="E3656" t="s">
        <v>91</v>
      </c>
      <c r="F3656" t="s">
        <v>17</v>
      </c>
      <c r="G3656">
        <v>50</v>
      </c>
    </row>
    <row r="3657" spans="1:7" x14ac:dyDescent="0.35">
      <c r="A3657">
        <v>66037</v>
      </c>
      <c r="B3657">
        <v>1</v>
      </c>
      <c r="C3657" t="s">
        <v>29</v>
      </c>
      <c r="D3657">
        <v>4802</v>
      </c>
      <c r="E3657" t="s">
        <v>94</v>
      </c>
      <c r="F3657" t="s">
        <v>14</v>
      </c>
      <c r="G3657">
        <v>21</v>
      </c>
    </row>
    <row r="3658" spans="1:7" x14ac:dyDescent="0.35">
      <c r="A3658">
        <v>95728</v>
      </c>
      <c r="B3658">
        <v>0</v>
      </c>
      <c r="C3658" t="s">
        <v>16</v>
      </c>
      <c r="D3658">
        <v>2806</v>
      </c>
      <c r="E3658" t="s">
        <v>90</v>
      </c>
      <c r="F3658" t="s">
        <v>17</v>
      </c>
      <c r="G3658">
        <v>15</v>
      </c>
    </row>
    <row r="3659" spans="1:7" x14ac:dyDescent="0.35">
      <c r="A3659">
        <v>174895</v>
      </c>
      <c r="B3659">
        <v>0</v>
      </c>
      <c r="C3659" t="s">
        <v>50</v>
      </c>
      <c r="D3659">
        <v>2501</v>
      </c>
      <c r="E3659" t="s">
        <v>104</v>
      </c>
      <c r="F3659" t="s">
        <v>17</v>
      </c>
      <c r="G3659">
        <v>21</v>
      </c>
    </row>
    <row r="3660" spans="1:7" x14ac:dyDescent="0.35">
      <c r="A3660">
        <v>165056</v>
      </c>
      <c r="B3660">
        <v>0</v>
      </c>
      <c r="C3660" t="s">
        <v>22</v>
      </c>
      <c r="D3660">
        <v>5405</v>
      </c>
      <c r="E3660" t="s">
        <v>88</v>
      </c>
      <c r="F3660" t="s">
        <v>17</v>
      </c>
      <c r="G3660">
        <v>5</v>
      </c>
    </row>
    <row r="3661" spans="1:7" x14ac:dyDescent="0.35">
      <c r="A3661">
        <v>112367</v>
      </c>
      <c r="B3661">
        <v>2</v>
      </c>
      <c r="C3661" t="s">
        <v>32</v>
      </c>
      <c r="D3661">
        <v>2101</v>
      </c>
      <c r="E3661" t="s">
        <v>89</v>
      </c>
      <c r="F3661" t="s">
        <v>17</v>
      </c>
      <c r="G3661">
        <v>10</v>
      </c>
    </row>
    <row r="3662" spans="1:7" x14ac:dyDescent="0.35">
      <c r="A3662">
        <v>147190</v>
      </c>
      <c r="B3662">
        <v>28</v>
      </c>
      <c r="C3662" t="s">
        <v>22</v>
      </c>
      <c r="D3662">
        <v>4801</v>
      </c>
      <c r="E3662" t="s">
        <v>101</v>
      </c>
      <c r="F3662" t="s">
        <v>17</v>
      </c>
      <c r="G3662">
        <v>10</v>
      </c>
    </row>
    <row r="3663" spans="1:7" x14ac:dyDescent="0.35">
      <c r="A3663">
        <v>5613</v>
      </c>
      <c r="B3663">
        <v>2</v>
      </c>
      <c r="C3663" t="s">
        <v>22</v>
      </c>
      <c r="D3663">
        <v>3501</v>
      </c>
      <c r="F3663" t="s">
        <v>17</v>
      </c>
      <c r="G3663">
        <v>12</v>
      </c>
    </row>
    <row r="3664" spans="1:7" x14ac:dyDescent="0.35">
      <c r="A3664">
        <v>43126</v>
      </c>
      <c r="B3664">
        <v>0</v>
      </c>
      <c r="C3664" t="s">
        <v>13</v>
      </c>
      <c r="D3664">
        <v>4901</v>
      </c>
      <c r="E3664" t="s">
        <v>88</v>
      </c>
      <c r="F3664" t="s">
        <v>17</v>
      </c>
      <c r="G3664">
        <v>5</v>
      </c>
    </row>
    <row r="3665" spans="1:7" x14ac:dyDescent="0.35">
      <c r="A3665">
        <v>53753</v>
      </c>
      <c r="B3665">
        <v>0</v>
      </c>
      <c r="C3665" t="s">
        <v>53</v>
      </c>
      <c r="D3665">
        <v>5307</v>
      </c>
      <c r="E3665" t="s">
        <v>93</v>
      </c>
      <c r="F3665" t="s">
        <v>17</v>
      </c>
      <c r="G3665">
        <v>30</v>
      </c>
    </row>
    <row r="3666" spans="1:7" x14ac:dyDescent="0.35">
      <c r="A3666">
        <v>190651</v>
      </c>
      <c r="B3666">
        <v>28</v>
      </c>
      <c r="C3666" t="s">
        <v>16</v>
      </c>
      <c r="D3666">
        <v>5201</v>
      </c>
      <c r="E3666" t="s">
        <v>92</v>
      </c>
      <c r="F3666" t="s">
        <v>17</v>
      </c>
      <c r="G3666">
        <v>10</v>
      </c>
    </row>
    <row r="3667" spans="1:7" x14ac:dyDescent="0.35">
      <c r="A3667">
        <v>12597</v>
      </c>
      <c r="B3667">
        <v>28</v>
      </c>
      <c r="C3667" t="s">
        <v>22</v>
      </c>
      <c r="D3667">
        <v>0</v>
      </c>
      <c r="E3667" t="s">
        <v>93</v>
      </c>
      <c r="F3667" t="s">
        <v>17</v>
      </c>
      <c r="G3667">
        <v>101</v>
      </c>
    </row>
    <row r="3668" spans="1:7" x14ac:dyDescent="0.35">
      <c r="A3668">
        <v>164169</v>
      </c>
      <c r="B3668">
        <v>0</v>
      </c>
      <c r="C3668" t="s">
        <v>22</v>
      </c>
      <c r="D3668">
        <v>6201</v>
      </c>
      <c r="E3668" t="s">
        <v>93</v>
      </c>
      <c r="F3668" t="s">
        <v>14</v>
      </c>
      <c r="G3668">
        <v>15</v>
      </c>
    </row>
    <row r="3669" spans="1:7" x14ac:dyDescent="0.35">
      <c r="A3669">
        <v>20106</v>
      </c>
      <c r="B3669">
        <v>1</v>
      </c>
      <c r="C3669" t="s">
        <v>18</v>
      </c>
      <c r="D3669">
        <v>2601</v>
      </c>
      <c r="E3669" t="s">
        <v>91</v>
      </c>
      <c r="F3669" t="s">
        <v>14</v>
      </c>
      <c r="G3669">
        <v>12</v>
      </c>
    </row>
    <row r="3670" spans="1:7" x14ac:dyDescent="0.35">
      <c r="A3670">
        <v>143565</v>
      </c>
      <c r="B3670">
        <v>28</v>
      </c>
      <c r="C3670" t="s">
        <v>22</v>
      </c>
      <c r="D3670">
        <v>3001</v>
      </c>
      <c r="E3670" t="s">
        <v>103</v>
      </c>
      <c r="F3670" t="s">
        <v>17</v>
      </c>
      <c r="G3670">
        <v>17</v>
      </c>
    </row>
    <row r="3671" spans="1:7" x14ac:dyDescent="0.35">
      <c r="A3671">
        <v>96080</v>
      </c>
      <c r="B3671">
        <v>2</v>
      </c>
      <c r="C3671" t="s">
        <v>16</v>
      </c>
      <c r="D3671">
        <v>2001</v>
      </c>
      <c r="E3671" t="s">
        <v>89</v>
      </c>
      <c r="F3671" t="s">
        <v>17</v>
      </c>
      <c r="G3671">
        <v>5</v>
      </c>
    </row>
    <row r="3672" spans="1:7" x14ac:dyDescent="0.35">
      <c r="A3672">
        <v>184492</v>
      </c>
      <c r="B3672">
        <v>0</v>
      </c>
      <c r="C3672" t="s">
        <v>40</v>
      </c>
      <c r="D3672">
        <v>2801</v>
      </c>
      <c r="E3672" t="s">
        <v>94</v>
      </c>
      <c r="G3672">
        <v>9</v>
      </c>
    </row>
    <row r="3673" spans="1:7" x14ac:dyDescent="0.35">
      <c r="A3673">
        <v>128522</v>
      </c>
      <c r="B3673">
        <v>0</v>
      </c>
      <c r="C3673" t="s">
        <v>21</v>
      </c>
      <c r="D3673">
        <v>0</v>
      </c>
      <c r="E3673" t="s">
        <v>94</v>
      </c>
      <c r="F3673" t="s">
        <v>17</v>
      </c>
      <c r="G3673">
        <v>20</v>
      </c>
    </row>
    <row r="3674" spans="1:7" x14ac:dyDescent="0.35">
      <c r="A3674">
        <v>167551</v>
      </c>
      <c r="B3674">
        <v>0</v>
      </c>
      <c r="C3674" t="s">
        <v>22</v>
      </c>
      <c r="D3674">
        <v>4401</v>
      </c>
      <c r="E3674" t="s">
        <v>95</v>
      </c>
      <c r="F3674" t="s">
        <v>17</v>
      </c>
      <c r="G3674">
        <v>20</v>
      </c>
    </row>
    <row r="3675" spans="1:7" x14ac:dyDescent="0.35">
      <c r="A3675">
        <v>101972</v>
      </c>
      <c r="B3675">
        <v>0</v>
      </c>
      <c r="C3675" t="s">
        <v>36</v>
      </c>
      <c r="D3675">
        <v>0</v>
      </c>
      <c r="E3675" t="s">
        <v>89</v>
      </c>
      <c r="F3675" t="s">
        <v>17</v>
      </c>
      <c r="G3675">
        <v>25</v>
      </c>
    </row>
    <row r="3676" spans="1:7" x14ac:dyDescent="0.35">
      <c r="A3676">
        <v>75609</v>
      </c>
      <c r="B3676">
        <v>0</v>
      </c>
      <c r="C3676" t="s">
        <v>47</v>
      </c>
      <c r="D3676">
        <v>1107</v>
      </c>
      <c r="E3676" t="s">
        <v>91</v>
      </c>
      <c r="F3676" t="s">
        <v>14</v>
      </c>
      <c r="G3676">
        <v>10</v>
      </c>
    </row>
    <row r="3677" spans="1:7" x14ac:dyDescent="0.35">
      <c r="A3677">
        <v>89863</v>
      </c>
      <c r="B3677">
        <v>0</v>
      </c>
      <c r="C3677" t="s">
        <v>16</v>
      </c>
      <c r="D3677">
        <v>4711</v>
      </c>
      <c r="E3677" t="s">
        <v>93</v>
      </c>
      <c r="F3677" t="s">
        <v>17</v>
      </c>
      <c r="G3677">
        <v>23</v>
      </c>
    </row>
    <row r="3678" spans="1:7" x14ac:dyDescent="0.35">
      <c r="A3678">
        <v>80310</v>
      </c>
      <c r="B3678">
        <v>1</v>
      </c>
      <c r="C3678" t="s">
        <v>35</v>
      </c>
      <c r="D3678">
        <v>4401</v>
      </c>
      <c r="E3678" t="s">
        <v>88</v>
      </c>
      <c r="F3678" t="s">
        <v>14</v>
      </c>
      <c r="G3678">
        <v>20</v>
      </c>
    </row>
    <row r="3679" spans="1:7" x14ac:dyDescent="0.35">
      <c r="A3679">
        <v>2757</v>
      </c>
      <c r="B3679">
        <v>28</v>
      </c>
      <c r="C3679" t="s">
        <v>36</v>
      </c>
      <c r="D3679">
        <v>6112</v>
      </c>
      <c r="E3679" t="s">
        <v>101</v>
      </c>
      <c r="F3679" t="s">
        <v>17</v>
      </c>
      <c r="G3679">
        <v>10</v>
      </c>
    </row>
    <row r="3680" spans="1:7" x14ac:dyDescent="0.35">
      <c r="A3680">
        <v>56169</v>
      </c>
      <c r="B3680">
        <v>2</v>
      </c>
      <c r="C3680" t="s">
        <v>62</v>
      </c>
      <c r="D3680">
        <v>0</v>
      </c>
      <c r="E3680" t="s">
        <v>89</v>
      </c>
      <c r="F3680" t="s">
        <v>17</v>
      </c>
      <c r="G3680">
        <v>20</v>
      </c>
    </row>
    <row r="3681" spans="1:7" x14ac:dyDescent="0.35">
      <c r="A3681">
        <v>104259</v>
      </c>
      <c r="B3681">
        <v>0</v>
      </c>
      <c r="C3681" t="s">
        <v>28</v>
      </c>
      <c r="D3681">
        <v>4811</v>
      </c>
      <c r="E3681" t="s">
        <v>89</v>
      </c>
      <c r="F3681" t="s">
        <v>17</v>
      </c>
      <c r="G3681">
        <v>15</v>
      </c>
    </row>
    <row r="3682" spans="1:7" x14ac:dyDescent="0.35">
      <c r="A3682">
        <v>10467</v>
      </c>
      <c r="B3682">
        <v>1</v>
      </c>
      <c r="C3682" t="s">
        <v>29</v>
      </c>
      <c r="D3682">
        <v>2306</v>
      </c>
      <c r="E3682" t="s">
        <v>94</v>
      </c>
      <c r="F3682" t="s">
        <v>14</v>
      </c>
      <c r="G3682">
        <v>20</v>
      </c>
    </row>
    <row r="3683" spans="1:7" x14ac:dyDescent="0.35">
      <c r="A3683">
        <v>165494</v>
      </c>
      <c r="B3683">
        <v>0</v>
      </c>
      <c r="C3683" t="s">
        <v>22</v>
      </c>
      <c r="D3683">
        <v>4507</v>
      </c>
      <c r="E3683" t="s">
        <v>92</v>
      </c>
      <c r="F3683" t="s">
        <v>17</v>
      </c>
      <c r="G3683">
        <v>15</v>
      </c>
    </row>
    <row r="3684" spans="1:7" x14ac:dyDescent="0.35">
      <c r="A3684">
        <v>124817</v>
      </c>
      <c r="B3684">
        <v>1</v>
      </c>
      <c r="C3684" t="s">
        <v>21</v>
      </c>
      <c r="D3684">
        <v>6210</v>
      </c>
      <c r="F3684" t="s">
        <v>14</v>
      </c>
      <c r="G3684">
        <v>10</v>
      </c>
    </row>
    <row r="3685" spans="1:7" x14ac:dyDescent="0.35">
      <c r="A3685">
        <v>149777</v>
      </c>
      <c r="B3685">
        <v>0</v>
      </c>
      <c r="C3685" t="s">
        <v>22</v>
      </c>
      <c r="D3685">
        <v>5201</v>
      </c>
      <c r="E3685" t="s">
        <v>103</v>
      </c>
      <c r="F3685" t="s">
        <v>17</v>
      </c>
      <c r="G3685">
        <v>20</v>
      </c>
    </row>
    <row r="3686" spans="1:7" x14ac:dyDescent="0.35">
      <c r="A3686">
        <v>24272</v>
      </c>
      <c r="B3686">
        <v>0</v>
      </c>
      <c r="C3686" t="s">
        <v>46</v>
      </c>
      <c r="D3686">
        <v>2307</v>
      </c>
      <c r="E3686" t="s">
        <v>89</v>
      </c>
      <c r="F3686" t="s">
        <v>17</v>
      </c>
      <c r="G3686">
        <v>20</v>
      </c>
    </row>
    <row r="3687" spans="1:7" x14ac:dyDescent="0.35">
      <c r="A3687">
        <v>147855</v>
      </c>
      <c r="B3687">
        <v>2</v>
      </c>
      <c r="C3687" t="s">
        <v>22</v>
      </c>
      <c r="D3687">
        <v>1707</v>
      </c>
      <c r="E3687" t="s">
        <v>93</v>
      </c>
      <c r="F3687" t="s">
        <v>14</v>
      </c>
      <c r="G3687">
        <v>15</v>
      </c>
    </row>
    <row r="3688" spans="1:7" x14ac:dyDescent="0.35">
      <c r="A3688">
        <v>73144</v>
      </c>
      <c r="B3688">
        <v>2</v>
      </c>
      <c r="C3688" t="s">
        <v>29</v>
      </c>
      <c r="D3688">
        <v>2312</v>
      </c>
      <c r="E3688" t="s">
        <v>89</v>
      </c>
      <c r="F3688" t="s">
        <v>17</v>
      </c>
      <c r="G3688">
        <v>25</v>
      </c>
    </row>
    <row r="3689" spans="1:7" x14ac:dyDescent="0.35">
      <c r="A3689">
        <v>83220</v>
      </c>
      <c r="B3689">
        <v>28</v>
      </c>
      <c r="C3689" t="s">
        <v>56</v>
      </c>
      <c r="D3689">
        <v>5401</v>
      </c>
      <c r="E3689" t="s">
        <v>91</v>
      </c>
      <c r="F3689" t="s">
        <v>17</v>
      </c>
      <c r="G3689">
        <v>5</v>
      </c>
    </row>
    <row r="3690" spans="1:7" x14ac:dyDescent="0.35">
      <c r="A3690">
        <v>17921</v>
      </c>
      <c r="B3690">
        <v>28</v>
      </c>
      <c r="C3690" t="s">
        <v>18</v>
      </c>
      <c r="D3690">
        <v>2801</v>
      </c>
      <c r="E3690" t="s">
        <v>88</v>
      </c>
      <c r="F3690" t="s">
        <v>17</v>
      </c>
      <c r="G3690">
        <v>8</v>
      </c>
    </row>
    <row r="3691" spans="1:7" x14ac:dyDescent="0.35">
      <c r="A3691">
        <v>184237</v>
      </c>
      <c r="B3691">
        <v>0</v>
      </c>
      <c r="C3691" t="s">
        <v>40</v>
      </c>
      <c r="D3691">
        <v>6201</v>
      </c>
      <c r="E3691" t="s">
        <v>93</v>
      </c>
      <c r="F3691" t="s">
        <v>14</v>
      </c>
      <c r="G3691">
        <v>14</v>
      </c>
    </row>
    <row r="3692" spans="1:7" x14ac:dyDescent="0.35">
      <c r="A3692">
        <v>132179</v>
      </c>
      <c r="B3692">
        <v>0</v>
      </c>
      <c r="C3692" t="s">
        <v>48</v>
      </c>
      <c r="D3692">
        <v>0</v>
      </c>
      <c r="E3692" t="s">
        <v>91</v>
      </c>
      <c r="F3692" t="s">
        <v>17</v>
      </c>
      <c r="G3692">
        <v>14</v>
      </c>
    </row>
    <row r="3693" spans="1:7" x14ac:dyDescent="0.35">
      <c r="A3693">
        <v>117922</v>
      </c>
      <c r="B3693">
        <v>1</v>
      </c>
      <c r="C3693" t="s">
        <v>21</v>
      </c>
      <c r="D3693">
        <v>2307</v>
      </c>
      <c r="E3693" t="s">
        <v>91</v>
      </c>
      <c r="F3693" t="s">
        <v>14</v>
      </c>
      <c r="G3693">
        <v>15</v>
      </c>
    </row>
    <row r="3694" spans="1:7" x14ac:dyDescent="0.35">
      <c r="A3694">
        <v>76851</v>
      </c>
      <c r="B3694">
        <v>2</v>
      </c>
      <c r="C3694" t="s">
        <v>47</v>
      </c>
      <c r="D3694">
        <v>1501</v>
      </c>
      <c r="E3694" t="s">
        <v>91</v>
      </c>
      <c r="F3694" t="s">
        <v>14</v>
      </c>
      <c r="G3694">
        <v>20</v>
      </c>
    </row>
    <row r="3695" spans="1:7" x14ac:dyDescent="0.35">
      <c r="A3695">
        <v>38098</v>
      </c>
      <c r="B3695">
        <v>0</v>
      </c>
      <c r="C3695" t="s">
        <v>13</v>
      </c>
      <c r="D3695">
        <v>2701</v>
      </c>
      <c r="E3695" t="s">
        <v>103</v>
      </c>
      <c r="F3695" t="s">
        <v>17</v>
      </c>
      <c r="G3695">
        <v>3</v>
      </c>
    </row>
    <row r="3696" spans="1:7" x14ac:dyDescent="0.35">
      <c r="A3696">
        <v>138173</v>
      </c>
      <c r="B3696">
        <v>28</v>
      </c>
      <c r="C3696" t="s">
        <v>55</v>
      </c>
      <c r="D3696">
        <v>5401</v>
      </c>
      <c r="E3696" t="s">
        <v>93</v>
      </c>
      <c r="F3696" t="s">
        <v>17</v>
      </c>
      <c r="G3696">
        <v>10</v>
      </c>
    </row>
    <row r="3697" spans="1:7" x14ac:dyDescent="0.35">
      <c r="A3697">
        <v>161760</v>
      </c>
      <c r="B3697">
        <v>0</v>
      </c>
      <c r="C3697" t="s">
        <v>22</v>
      </c>
      <c r="D3697">
        <v>0</v>
      </c>
      <c r="E3697" t="s">
        <v>104</v>
      </c>
      <c r="F3697" t="s">
        <v>17</v>
      </c>
      <c r="G3697">
        <v>35</v>
      </c>
    </row>
    <row r="3698" spans="1:7" x14ac:dyDescent="0.35">
      <c r="A3698">
        <v>94884</v>
      </c>
      <c r="B3698">
        <v>0</v>
      </c>
      <c r="C3698" t="s">
        <v>16</v>
      </c>
      <c r="D3698">
        <v>4310</v>
      </c>
      <c r="E3698" t="s">
        <v>90</v>
      </c>
      <c r="F3698" t="s">
        <v>14</v>
      </c>
      <c r="G3698">
        <v>40</v>
      </c>
    </row>
    <row r="3699" spans="1:7" x14ac:dyDescent="0.35">
      <c r="A3699">
        <v>162820</v>
      </c>
      <c r="B3699">
        <v>1</v>
      </c>
      <c r="C3699" t="s">
        <v>22</v>
      </c>
      <c r="D3699">
        <v>5701</v>
      </c>
      <c r="E3699" t="s">
        <v>95</v>
      </c>
      <c r="F3699" t="s">
        <v>14</v>
      </c>
      <c r="G3699">
        <v>25</v>
      </c>
    </row>
    <row r="3700" spans="1:7" x14ac:dyDescent="0.35">
      <c r="A3700">
        <v>156437</v>
      </c>
      <c r="B3700">
        <v>0</v>
      </c>
      <c r="C3700" t="s">
        <v>22</v>
      </c>
      <c r="D3700">
        <v>3401</v>
      </c>
      <c r="E3700" t="s">
        <v>103</v>
      </c>
      <c r="F3700" t="s">
        <v>14</v>
      </c>
      <c r="G3700">
        <v>27</v>
      </c>
    </row>
    <row r="3701" spans="1:7" x14ac:dyDescent="0.35">
      <c r="A3701">
        <v>141645</v>
      </c>
      <c r="B3701">
        <v>0</v>
      </c>
      <c r="C3701" t="s">
        <v>24</v>
      </c>
      <c r="D3701">
        <v>0</v>
      </c>
      <c r="E3701" t="s">
        <v>93</v>
      </c>
      <c r="F3701" t="s">
        <v>17</v>
      </c>
      <c r="G3701">
        <v>35</v>
      </c>
    </row>
    <row r="3702" spans="1:7" x14ac:dyDescent="0.35">
      <c r="A3702">
        <v>152494</v>
      </c>
      <c r="B3702">
        <v>0</v>
      </c>
      <c r="C3702" t="s">
        <v>22</v>
      </c>
      <c r="D3702">
        <v>2205</v>
      </c>
      <c r="E3702" t="s">
        <v>93</v>
      </c>
      <c r="F3702" t="s">
        <v>14</v>
      </c>
      <c r="G3702">
        <v>5</v>
      </c>
    </row>
    <row r="3703" spans="1:7" x14ac:dyDescent="0.35">
      <c r="A3703">
        <v>188492</v>
      </c>
      <c r="B3703">
        <v>2</v>
      </c>
      <c r="C3703" t="s">
        <v>48</v>
      </c>
      <c r="D3703">
        <v>1303</v>
      </c>
      <c r="E3703" t="s">
        <v>88</v>
      </c>
      <c r="F3703" t="s">
        <v>17</v>
      </c>
      <c r="G3703">
        <v>20</v>
      </c>
    </row>
    <row r="3704" spans="1:7" x14ac:dyDescent="0.35">
      <c r="A3704">
        <v>177824</v>
      </c>
      <c r="B3704">
        <v>28</v>
      </c>
      <c r="C3704" t="s">
        <v>50</v>
      </c>
      <c r="D3704">
        <v>4201</v>
      </c>
      <c r="E3704" t="s">
        <v>91</v>
      </c>
      <c r="F3704" t="s">
        <v>17</v>
      </c>
      <c r="G3704">
        <v>9</v>
      </c>
    </row>
    <row r="3705" spans="1:7" x14ac:dyDescent="0.35">
      <c r="A3705">
        <v>139030</v>
      </c>
      <c r="B3705">
        <v>0</v>
      </c>
      <c r="C3705" t="s">
        <v>55</v>
      </c>
      <c r="D3705">
        <v>3701</v>
      </c>
      <c r="F3705" t="s">
        <v>17</v>
      </c>
      <c r="G3705">
        <v>5</v>
      </c>
    </row>
    <row r="3706" spans="1:7" x14ac:dyDescent="0.35">
      <c r="A3706">
        <v>89500</v>
      </c>
      <c r="B3706">
        <v>0</v>
      </c>
      <c r="C3706" t="s">
        <v>55</v>
      </c>
      <c r="D3706">
        <v>3301</v>
      </c>
      <c r="E3706" t="s">
        <v>97</v>
      </c>
      <c r="F3706" t="s">
        <v>17</v>
      </c>
      <c r="G3706">
        <v>10</v>
      </c>
    </row>
    <row r="3707" spans="1:7" x14ac:dyDescent="0.35">
      <c r="A3707">
        <v>48587</v>
      </c>
      <c r="B3707">
        <v>1</v>
      </c>
      <c r="C3707" t="s">
        <v>43</v>
      </c>
      <c r="D3707">
        <v>2301</v>
      </c>
      <c r="E3707" t="s">
        <v>91</v>
      </c>
      <c r="F3707" t="s">
        <v>14</v>
      </c>
      <c r="G3707">
        <v>15</v>
      </c>
    </row>
    <row r="3708" spans="1:7" x14ac:dyDescent="0.35">
      <c r="A3708">
        <v>187501</v>
      </c>
      <c r="B3708">
        <v>0</v>
      </c>
      <c r="C3708" t="s">
        <v>37</v>
      </c>
      <c r="D3708">
        <v>0</v>
      </c>
      <c r="E3708" t="s">
        <v>94</v>
      </c>
      <c r="F3708" t="s">
        <v>17</v>
      </c>
      <c r="G3708">
        <v>10</v>
      </c>
    </row>
    <row r="3709" spans="1:7" x14ac:dyDescent="0.35">
      <c r="A3709">
        <v>135888</v>
      </c>
      <c r="B3709">
        <v>2</v>
      </c>
      <c r="C3709" t="s">
        <v>55</v>
      </c>
      <c r="D3709">
        <v>0</v>
      </c>
      <c r="E3709" t="s">
        <v>96</v>
      </c>
      <c r="F3709" t="s">
        <v>14</v>
      </c>
      <c r="G3709">
        <v>16</v>
      </c>
    </row>
    <row r="3710" spans="1:7" x14ac:dyDescent="0.35">
      <c r="A3710">
        <v>67333</v>
      </c>
      <c r="B3710">
        <v>0</v>
      </c>
      <c r="C3710" t="s">
        <v>29</v>
      </c>
      <c r="D3710">
        <v>5401</v>
      </c>
      <c r="E3710" t="s">
        <v>93</v>
      </c>
      <c r="F3710" t="s">
        <v>17</v>
      </c>
      <c r="G3710">
        <v>8</v>
      </c>
    </row>
    <row r="3711" spans="1:7" x14ac:dyDescent="0.35">
      <c r="A3711">
        <v>62741</v>
      </c>
      <c r="B3711">
        <v>2</v>
      </c>
      <c r="C3711" t="s">
        <v>33</v>
      </c>
      <c r="D3711">
        <v>0</v>
      </c>
      <c r="E3711" t="s">
        <v>91</v>
      </c>
      <c r="F3711" t="s">
        <v>14</v>
      </c>
      <c r="G3711">
        <v>11</v>
      </c>
    </row>
    <row r="3712" spans="1:7" x14ac:dyDescent="0.35">
      <c r="A3712">
        <v>112247</v>
      </c>
      <c r="B3712">
        <v>0</v>
      </c>
      <c r="C3712" t="s">
        <v>36</v>
      </c>
      <c r="D3712">
        <v>4906</v>
      </c>
      <c r="E3712" t="s">
        <v>88</v>
      </c>
      <c r="F3712" t="s">
        <v>17</v>
      </c>
      <c r="G3712">
        <v>25</v>
      </c>
    </row>
    <row r="3713" spans="1:7" x14ac:dyDescent="0.35">
      <c r="A3713">
        <v>137845</v>
      </c>
      <c r="B3713">
        <v>1</v>
      </c>
      <c r="C3713" t="s">
        <v>55</v>
      </c>
      <c r="D3713">
        <v>4601</v>
      </c>
      <c r="E3713" t="s">
        <v>92</v>
      </c>
      <c r="F3713" t="s">
        <v>14</v>
      </c>
      <c r="G3713">
        <v>15</v>
      </c>
    </row>
    <row r="3714" spans="1:7" x14ac:dyDescent="0.35">
      <c r="A3714">
        <v>59984</v>
      </c>
      <c r="B3714">
        <v>28</v>
      </c>
      <c r="C3714" t="s">
        <v>33</v>
      </c>
      <c r="D3714">
        <v>1601</v>
      </c>
      <c r="E3714" t="s">
        <v>93</v>
      </c>
      <c r="F3714" t="s">
        <v>17</v>
      </c>
      <c r="G3714">
        <v>17</v>
      </c>
    </row>
    <row r="3715" spans="1:7" x14ac:dyDescent="0.35">
      <c r="A3715">
        <v>141186</v>
      </c>
      <c r="B3715">
        <v>0</v>
      </c>
      <c r="C3715" t="s">
        <v>24</v>
      </c>
      <c r="D3715">
        <v>3107</v>
      </c>
      <c r="E3715" t="s">
        <v>90</v>
      </c>
      <c r="F3715" t="s">
        <v>17</v>
      </c>
      <c r="G3715">
        <v>12</v>
      </c>
    </row>
    <row r="3716" spans="1:7" x14ac:dyDescent="0.35">
      <c r="A3716">
        <v>138597</v>
      </c>
      <c r="B3716">
        <v>2</v>
      </c>
      <c r="C3716" t="s">
        <v>55</v>
      </c>
      <c r="D3716">
        <v>3009</v>
      </c>
      <c r="E3716" t="s">
        <v>94</v>
      </c>
      <c r="F3716" t="s">
        <v>17</v>
      </c>
      <c r="G3716">
        <v>11</v>
      </c>
    </row>
    <row r="3717" spans="1:7" x14ac:dyDescent="0.35">
      <c r="A3717">
        <v>150404</v>
      </c>
      <c r="B3717">
        <v>0</v>
      </c>
      <c r="C3717" t="s">
        <v>22</v>
      </c>
      <c r="D3717">
        <v>4801</v>
      </c>
      <c r="E3717" t="s">
        <v>90</v>
      </c>
      <c r="F3717" t="s">
        <v>17</v>
      </c>
      <c r="G3717">
        <v>10</v>
      </c>
    </row>
    <row r="3718" spans="1:7" x14ac:dyDescent="0.35">
      <c r="A3718">
        <v>166521</v>
      </c>
      <c r="B3718">
        <v>28</v>
      </c>
      <c r="C3718" t="s">
        <v>22</v>
      </c>
      <c r="D3718">
        <v>4612</v>
      </c>
      <c r="E3718" t="s">
        <v>93</v>
      </c>
      <c r="F3718" t="s">
        <v>17</v>
      </c>
      <c r="G3718">
        <v>27</v>
      </c>
    </row>
    <row r="3719" spans="1:7" x14ac:dyDescent="0.35">
      <c r="A3719">
        <v>148153</v>
      </c>
      <c r="B3719">
        <v>2</v>
      </c>
      <c r="C3719" t="s">
        <v>22</v>
      </c>
      <c r="D3719">
        <v>6201</v>
      </c>
      <c r="E3719" t="s">
        <v>92</v>
      </c>
      <c r="F3719" t="s">
        <v>17</v>
      </c>
      <c r="G3719">
        <v>11</v>
      </c>
    </row>
    <row r="3720" spans="1:7" x14ac:dyDescent="0.35">
      <c r="A3720">
        <v>38266</v>
      </c>
      <c r="B3720">
        <v>0</v>
      </c>
      <c r="C3720" t="s">
        <v>13</v>
      </c>
      <c r="D3720">
        <v>2201</v>
      </c>
      <c r="E3720" t="s">
        <v>101</v>
      </c>
      <c r="F3720" t="s">
        <v>17</v>
      </c>
      <c r="G3720">
        <v>10</v>
      </c>
    </row>
    <row r="3721" spans="1:7" x14ac:dyDescent="0.35">
      <c r="A3721">
        <v>161108</v>
      </c>
      <c r="B3721">
        <v>1</v>
      </c>
      <c r="C3721" t="s">
        <v>22</v>
      </c>
      <c r="D3721">
        <v>0</v>
      </c>
      <c r="E3721" t="s">
        <v>103</v>
      </c>
      <c r="F3721" t="s">
        <v>14</v>
      </c>
      <c r="G3721">
        <v>5</v>
      </c>
    </row>
    <row r="3722" spans="1:7" x14ac:dyDescent="0.35">
      <c r="A3722">
        <v>44406</v>
      </c>
      <c r="B3722">
        <v>0</v>
      </c>
      <c r="C3722" t="s">
        <v>13</v>
      </c>
      <c r="D3722">
        <v>3901</v>
      </c>
      <c r="E3722" t="s">
        <v>88</v>
      </c>
      <c r="F3722" t="s">
        <v>17</v>
      </c>
      <c r="G3722">
        <v>10</v>
      </c>
    </row>
    <row r="3723" spans="1:7" x14ac:dyDescent="0.35">
      <c r="A3723">
        <v>8669</v>
      </c>
      <c r="B3723">
        <v>2</v>
      </c>
      <c r="C3723" t="s">
        <v>16</v>
      </c>
      <c r="D3723">
        <v>5206</v>
      </c>
      <c r="E3723" t="s">
        <v>93</v>
      </c>
      <c r="F3723" t="s">
        <v>17</v>
      </c>
      <c r="G3723">
        <v>10</v>
      </c>
    </row>
    <row r="3724" spans="1:7" x14ac:dyDescent="0.35">
      <c r="A3724">
        <v>173702</v>
      </c>
      <c r="B3724">
        <v>0</v>
      </c>
      <c r="C3724" t="s">
        <v>37</v>
      </c>
      <c r="D3724">
        <v>2401</v>
      </c>
      <c r="E3724" t="s">
        <v>93</v>
      </c>
      <c r="F3724" t="s">
        <v>14</v>
      </c>
      <c r="G3724">
        <v>25</v>
      </c>
    </row>
    <row r="3725" spans="1:7" x14ac:dyDescent="0.35">
      <c r="A3725">
        <v>174956</v>
      </c>
      <c r="B3725">
        <v>2</v>
      </c>
      <c r="C3725" t="s">
        <v>50</v>
      </c>
      <c r="D3725">
        <v>1101</v>
      </c>
      <c r="E3725" t="s">
        <v>89</v>
      </c>
      <c r="F3725" t="s">
        <v>17</v>
      </c>
      <c r="G3725">
        <v>10</v>
      </c>
    </row>
    <row r="3726" spans="1:7" x14ac:dyDescent="0.35">
      <c r="A3726">
        <v>52592</v>
      </c>
      <c r="B3726">
        <v>0</v>
      </c>
      <c r="C3726" t="s">
        <v>53</v>
      </c>
      <c r="D3726">
        <v>4206</v>
      </c>
      <c r="E3726" t="s">
        <v>89</v>
      </c>
      <c r="F3726" t="s">
        <v>17</v>
      </c>
      <c r="G3726">
        <v>10</v>
      </c>
    </row>
    <row r="3727" spans="1:7" x14ac:dyDescent="0.35">
      <c r="A3727">
        <v>80505</v>
      </c>
      <c r="B3727">
        <v>0</v>
      </c>
      <c r="C3727" t="s">
        <v>35</v>
      </c>
      <c r="D3727">
        <v>3608</v>
      </c>
      <c r="E3727" t="s">
        <v>90</v>
      </c>
      <c r="F3727" t="s">
        <v>17</v>
      </c>
      <c r="G3727">
        <v>20</v>
      </c>
    </row>
    <row r="3728" spans="1:7" x14ac:dyDescent="0.35">
      <c r="A3728">
        <v>188734</v>
      </c>
      <c r="B3728">
        <v>14002</v>
      </c>
      <c r="C3728" t="s">
        <v>37</v>
      </c>
      <c r="D3728">
        <v>0</v>
      </c>
      <c r="E3728" t="s">
        <v>89</v>
      </c>
      <c r="F3728" t="s">
        <v>44</v>
      </c>
      <c r="G3728">
        <v>5</v>
      </c>
    </row>
    <row r="3729" spans="1:7" x14ac:dyDescent="0.35">
      <c r="A3729">
        <v>148569</v>
      </c>
      <c r="B3729">
        <v>1</v>
      </c>
      <c r="C3729" t="s">
        <v>22</v>
      </c>
      <c r="D3729">
        <v>3901</v>
      </c>
      <c r="E3729" t="s">
        <v>102</v>
      </c>
      <c r="F3729" t="s">
        <v>14</v>
      </c>
      <c r="G3729">
        <v>19</v>
      </c>
    </row>
    <row r="3730" spans="1:7" x14ac:dyDescent="0.35">
      <c r="A3730">
        <v>2262</v>
      </c>
      <c r="B3730">
        <v>0</v>
      </c>
      <c r="C3730" t="s">
        <v>22</v>
      </c>
      <c r="D3730">
        <v>4003</v>
      </c>
      <c r="E3730" t="s">
        <v>95</v>
      </c>
      <c r="F3730" t="s">
        <v>17</v>
      </c>
      <c r="G3730" t="s">
        <v>106</v>
      </c>
    </row>
    <row r="3731" spans="1:7" x14ac:dyDescent="0.35">
      <c r="A3731">
        <v>41091</v>
      </c>
      <c r="B3731">
        <v>2</v>
      </c>
      <c r="C3731" t="s">
        <v>13</v>
      </c>
      <c r="D3731">
        <v>2607</v>
      </c>
      <c r="E3731" t="s">
        <v>88</v>
      </c>
      <c r="F3731" t="s">
        <v>17</v>
      </c>
      <c r="G3731">
        <v>10</v>
      </c>
    </row>
    <row r="3732" spans="1:7" x14ac:dyDescent="0.35">
      <c r="A3732">
        <v>30047</v>
      </c>
      <c r="B3732">
        <v>2</v>
      </c>
      <c r="C3732" t="s">
        <v>39</v>
      </c>
      <c r="D3732">
        <v>5201</v>
      </c>
      <c r="E3732" t="s">
        <v>91</v>
      </c>
      <c r="F3732" t="s">
        <v>17</v>
      </c>
      <c r="G3732">
        <v>10</v>
      </c>
    </row>
    <row r="3733" spans="1:7" x14ac:dyDescent="0.35">
      <c r="A3733">
        <v>167580</v>
      </c>
      <c r="B3733">
        <v>1</v>
      </c>
      <c r="C3733" t="s">
        <v>22</v>
      </c>
      <c r="D3733">
        <v>0</v>
      </c>
      <c r="E3733" t="s">
        <v>95</v>
      </c>
      <c r="F3733" t="s">
        <v>14</v>
      </c>
      <c r="G3733">
        <v>21</v>
      </c>
    </row>
    <row r="3734" spans="1:7" x14ac:dyDescent="0.35">
      <c r="A3734">
        <v>76030</v>
      </c>
      <c r="B3734">
        <v>1</v>
      </c>
      <c r="C3734" t="s">
        <v>47</v>
      </c>
      <c r="D3734">
        <v>5401</v>
      </c>
      <c r="E3734" t="s">
        <v>90</v>
      </c>
      <c r="F3734" t="s">
        <v>14</v>
      </c>
      <c r="G3734">
        <v>14</v>
      </c>
    </row>
    <row r="3735" spans="1:7" x14ac:dyDescent="0.35">
      <c r="A3735">
        <v>21003</v>
      </c>
      <c r="B3735">
        <v>2</v>
      </c>
      <c r="C3735" t="s">
        <v>18</v>
      </c>
      <c r="D3735">
        <v>0</v>
      </c>
      <c r="E3735" t="s">
        <v>98</v>
      </c>
      <c r="F3735" t="s">
        <v>17</v>
      </c>
      <c r="G3735">
        <v>10</v>
      </c>
    </row>
    <row r="3736" spans="1:7" x14ac:dyDescent="0.35">
      <c r="A3736">
        <v>149117</v>
      </c>
      <c r="B3736">
        <v>0</v>
      </c>
      <c r="C3736" t="s">
        <v>22</v>
      </c>
      <c r="D3736">
        <v>0</v>
      </c>
      <c r="E3736" t="s">
        <v>88</v>
      </c>
      <c r="F3736" t="s">
        <v>17</v>
      </c>
      <c r="G3736">
        <v>30</v>
      </c>
    </row>
    <row r="3737" spans="1:7" x14ac:dyDescent="0.35">
      <c r="A3737">
        <v>47810</v>
      </c>
      <c r="B3737">
        <v>0</v>
      </c>
      <c r="C3737" t="s">
        <v>43</v>
      </c>
      <c r="D3737">
        <v>0</v>
      </c>
      <c r="E3737" t="s">
        <v>91</v>
      </c>
      <c r="F3737" t="s">
        <v>17</v>
      </c>
      <c r="G3737">
        <v>7</v>
      </c>
    </row>
    <row r="3738" spans="1:7" x14ac:dyDescent="0.35">
      <c r="A3738">
        <v>112301</v>
      </c>
      <c r="B3738">
        <v>0</v>
      </c>
      <c r="C3738" t="s">
        <v>21</v>
      </c>
      <c r="D3738">
        <v>0</v>
      </c>
      <c r="E3738" t="s">
        <v>98</v>
      </c>
      <c r="G3738">
        <v>10</v>
      </c>
    </row>
    <row r="3739" spans="1:7" x14ac:dyDescent="0.35">
      <c r="A3739">
        <v>100218</v>
      </c>
      <c r="B3739">
        <v>2</v>
      </c>
      <c r="C3739" t="s">
        <v>36</v>
      </c>
      <c r="D3739">
        <v>1701</v>
      </c>
      <c r="E3739" t="s">
        <v>101</v>
      </c>
      <c r="F3739" t="s">
        <v>17</v>
      </c>
      <c r="G3739">
        <v>8</v>
      </c>
    </row>
    <row r="3740" spans="1:7" x14ac:dyDescent="0.35">
      <c r="A3740">
        <v>14154</v>
      </c>
      <c r="B3740">
        <v>0</v>
      </c>
      <c r="C3740" t="s">
        <v>43</v>
      </c>
      <c r="D3740">
        <v>2201</v>
      </c>
      <c r="E3740" t="s">
        <v>94</v>
      </c>
      <c r="F3740" t="s">
        <v>17</v>
      </c>
      <c r="G3740">
        <v>15</v>
      </c>
    </row>
    <row r="3741" spans="1:7" x14ac:dyDescent="0.35">
      <c r="A3741">
        <v>16014</v>
      </c>
      <c r="B3741">
        <v>1</v>
      </c>
      <c r="C3741" t="s">
        <v>18</v>
      </c>
      <c r="D3741">
        <v>0</v>
      </c>
      <c r="E3741" t="s">
        <v>89</v>
      </c>
      <c r="F3741" t="s">
        <v>14</v>
      </c>
      <c r="G3741">
        <v>10</v>
      </c>
    </row>
    <row r="3742" spans="1:7" x14ac:dyDescent="0.35">
      <c r="A3742">
        <v>140723</v>
      </c>
      <c r="B3742">
        <v>1</v>
      </c>
      <c r="C3742" t="s">
        <v>21</v>
      </c>
      <c r="D3742">
        <v>2009</v>
      </c>
      <c r="E3742" t="s">
        <v>92</v>
      </c>
      <c r="F3742" t="s">
        <v>14</v>
      </c>
      <c r="G3742">
        <v>40</v>
      </c>
    </row>
    <row r="3743" spans="1:7" x14ac:dyDescent="0.35">
      <c r="A3743">
        <v>169346</v>
      </c>
      <c r="B3743">
        <v>0</v>
      </c>
      <c r="C3743" t="s">
        <v>22</v>
      </c>
      <c r="D3743">
        <v>5101</v>
      </c>
      <c r="E3743" t="s">
        <v>96</v>
      </c>
      <c r="F3743" t="s">
        <v>17</v>
      </c>
      <c r="G3743">
        <v>10</v>
      </c>
    </row>
    <row r="3744" spans="1:7" x14ac:dyDescent="0.35">
      <c r="A3744">
        <v>61536</v>
      </c>
      <c r="B3744">
        <v>0</v>
      </c>
      <c r="C3744" t="s">
        <v>33</v>
      </c>
      <c r="D3744">
        <v>0</v>
      </c>
      <c r="E3744" t="s">
        <v>96</v>
      </c>
      <c r="F3744" t="s">
        <v>14</v>
      </c>
      <c r="G3744">
        <v>25</v>
      </c>
    </row>
    <row r="3745" spans="1:7" x14ac:dyDescent="0.35">
      <c r="A3745">
        <v>154544</v>
      </c>
      <c r="B3745">
        <v>2</v>
      </c>
      <c r="C3745" t="s">
        <v>22</v>
      </c>
      <c r="D3745">
        <v>5304</v>
      </c>
      <c r="E3745" t="s">
        <v>89</v>
      </c>
      <c r="F3745" t="s">
        <v>17</v>
      </c>
      <c r="G3745">
        <v>20</v>
      </c>
    </row>
    <row r="3746" spans="1:7" x14ac:dyDescent="0.35">
      <c r="A3746">
        <v>185149</v>
      </c>
      <c r="B3746">
        <v>2</v>
      </c>
      <c r="C3746" t="s">
        <v>16</v>
      </c>
      <c r="D3746">
        <v>2103</v>
      </c>
      <c r="E3746" t="s">
        <v>104</v>
      </c>
      <c r="F3746" t="s">
        <v>14</v>
      </c>
      <c r="G3746">
        <v>5</v>
      </c>
    </row>
    <row r="3747" spans="1:7" x14ac:dyDescent="0.35">
      <c r="A3747">
        <v>186251</v>
      </c>
      <c r="B3747">
        <v>0</v>
      </c>
      <c r="C3747" t="s">
        <v>22</v>
      </c>
      <c r="D3747">
        <v>1002</v>
      </c>
      <c r="E3747" t="s">
        <v>95</v>
      </c>
      <c r="F3747" t="s">
        <v>17</v>
      </c>
      <c r="G3747">
        <v>17</v>
      </c>
    </row>
    <row r="3748" spans="1:7" x14ac:dyDescent="0.35">
      <c r="A3748">
        <v>44582</v>
      </c>
      <c r="B3748">
        <v>1</v>
      </c>
      <c r="C3748" t="s">
        <v>13</v>
      </c>
      <c r="D3748">
        <v>1901</v>
      </c>
      <c r="E3748" t="s">
        <v>104</v>
      </c>
      <c r="F3748" t="s">
        <v>14</v>
      </c>
      <c r="G3748">
        <v>5</v>
      </c>
    </row>
    <row r="3749" spans="1:7" x14ac:dyDescent="0.35">
      <c r="A3749">
        <v>177516</v>
      </c>
      <c r="B3749">
        <v>1</v>
      </c>
      <c r="C3749" t="s">
        <v>50</v>
      </c>
      <c r="D3749">
        <v>2102</v>
      </c>
      <c r="E3749" t="s">
        <v>91</v>
      </c>
      <c r="F3749" t="s">
        <v>14</v>
      </c>
      <c r="G3749">
        <v>37</v>
      </c>
    </row>
    <row r="3750" spans="1:7" x14ac:dyDescent="0.35">
      <c r="A3750">
        <v>107693</v>
      </c>
      <c r="B3750">
        <v>0</v>
      </c>
      <c r="C3750" t="s">
        <v>59</v>
      </c>
      <c r="D3750">
        <v>4401</v>
      </c>
      <c r="E3750" t="s">
        <v>91</v>
      </c>
      <c r="F3750" t="s">
        <v>17</v>
      </c>
      <c r="G3750">
        <v>10</v>
      </c>
    </row>
    <row r="3751" spans="1:7" x14ac:dyDescent="0.35">
      <c r="A3751">
        <v>33512</v>
      </c>
      <c r="B3751">
        <v>0</v>
      </c>
      <c r="C3751" t="s">
        <v>13</v>
      </c>
      <c r="D3751">
        <v>3401</v>
      </c>
      <c r="E3751" t="s">
        <v>98</v>
      </c>
      <c r="F3751" t="s">
        <v>17</v>
      </c>
      <c r="G3751">
        <v>19</v>
      </c>
    </row>
    <row r="3752" spans="1:7" x14ac:dyDescent="0.35">
      <c r="A3752">
        <v>105431</v>
      </c>
      <c r="B3752">
        <v>1</v>
      </c>
      <c r="C3752" t="s">
        <v>28</v>
      </c>
      <c r="D3752">
        <v>4301</v>
      </c>
      <c r="E3752" t="s">
        <v>91</v>
      </c>
      <c r="F3752" t="s">
        <v>14</v>
      </c>
      <c r="G3752">
        <v>25</v>
      </c>
    </row>
    <row r="3753" spans="1:7" x14ac:dyDescent="0.35">
      <c r="A3753">
        <v>188639</v>
      </c>
      <c r="B3753">
        <v>1</v>
      </c>
      <c r="C3753" t="s">
        <v>50</v>
      </c>
      <c r="D3753">
        <v>2401</v>
      </c>
      <c r="E3753" t="s">
        <v>92</v>
      </c>
      <c r="F3753" t="s">
        <v>14</v>
      </c>
      <c r="G3753">
        <v>24</v>
      </c>
    </row>
    <row r="3754" spans="1:7" x14ac:dyDescent="0.35">
      <c r="A3754">
        <v>36472</v>
      </c>
      <c r="B3754">
        <v>0</v>
      </c>
      <c r="C3754" t="s">
        <v>13</v>
      </c>
      <c r="D3754">
        <v>4001</v>
      </c>
      <c r="E3754" t="s">
        <v>92</v>
      </c>
      <c r="F3754" t="s">
        <v>17</v>
      </c>
      <c r="G3754">
        <v>13</v>
      </c>
    </row>
    <row r="3755" spans="1:7" x14ac:dyDescent="0.35">
      <c r="A3755">
        <v>166864</v>
      </c>
      <c r="B3755">
        <v>0</v>
      </c>
      <c r="C3755" t="s">
        <v>22</v>
      </c>
      <c r="D3755">
        <v>2001</v>
      </c>
      <c r="E3755" t="s">
        <v>93</v>
      </c>
      <c r="F3755" t="s">
        <v>17</v>
      </c>
      <c r="G3755">
        <v>25</v>
      </c>
    </row>
    <row r="3756" spans="1:7" x14ac:dyDescent="0.35">
      <c r="A3756">
        <v>176680</v>
      </c>
      <c r="B3756">
        <v>0</v>
      </c>
      <c r="C3756" t="s">
        <v>50</v>
      </c>
      <c r="D3756">
        <v>4702</v>
      </c>
      <c r="E3756" t="s">
        <v>92</v>
      </c>
      <c r="F3756" t="s">
        <v>17</v>
      </c>
      <c r="G3756">
        <v>5</v>
      </c>
    </row>
    <row r="3757" spans="1:7" x14ac:dyDescent="0.35">
      <c r="A3757">
        <v>49722</v>
      </c>
      <c r="B3757">
        <v>0</v>
      </c>
      <c r="C3757" t="s">
        <v>43</v>
      </c>
      <c r="D3757">
        <v>0</v>
      </c>
      <c r="E3757" t="s">
        <v>91</v>
      </c>
      <c r="F3757" t="s">
        <v>17</v>
      </c>
      <c r="G3757">
        <v>3</v>
      </c>
    </row>
    <row r="3758" spans="1:7" x14ac:dyDescent="0.35">
      <c r="A3758">
        <v>191528</v>
      </c>
      <c r="B3758">
        <v>28</v>
      </c>
      <c r="C3758" t="s">
        <v>21</v>
      </c>
      <c r="D3758">
        <v>4101</v>
      </c>
      <c r="F3758" t="s">
        <v>17</v>
      </c>
      <c r="G3758">
        <v>20</v>
      </c>
    </row>
    <row r="3759" spans="1:7" x14ac:dyDescent="0.35">
      <c r="A3759">
        <v>10631</v>
      </c>
      <c r="B3759">
        <v>0</v>
      </c>
      <c r="C3759" t="s">
        <v>43</v>
      </c>
      <c r="D3759">
        <v>0</v>
      </c>
      <c r="E3759" t="s">
        <v>96</v>
      </c>
      <c r="G3759">
        <v>15</v>
      </c>
    </row>
    <row r="3760" spans="1:7" x14ac:dyDescent="0.35">
      <c r="A3760">
        <v>118736</v>
      </c>
      <c r="B3760">
        <v>1</v>
      </c>
      <c r="C3760" t="s">
        <v>21</v>
      </c>
      <c r="D3760">
        <v>3001</v>
      </c>
      <c r="E3760" t="s">
        <v>88</v>
      </c>
      <c r="F3760" t="s">
        <v>14</v>
      </c>
      <c r="G3760">
        <v>25</v>
      </c>
    </row>
    <row r="3761" spans="1:7" x14ac:dyDescent="0.35">
      <c r="A3761">
        <v>36479</v>
      </c>
      <c r="B3761">
        <v>1</v>
      </c>
      <c r="C3761" t="s">
        <v>13</v>
      </c>
      <c r="D3761">
        <v>1502</v>
      </c>
      <c r="E3761" t="s">
        <v>88</v>
      </c>
      <c r="F3761" t="s">
        <v>14</v>
      </c>
      <c r="G3761">
        <v>10</v>
      </c>
    </row>
    <row r="3762" spans="1:7" x14ac:dyDescent="0.35">
      <c r="A3762">
        <v>182800</v>
      </c>
      <c r="B3762">
        <v>2</v>
      </c>
      <c r="C3762" t="s">
        <v>40</v>
      </c>
      <c r="D3762">
        <v>0</v>
      </c>
      <c r="E3762" t="s">
        <v>89</v>
      </c>
      <c r="F3762" t="s">
        <v>14</v>
      </c>
      <c r="G3762">
        <v>21</v>
      </c>
    </row>
    <row r="3763" spans="1:7" x14ac:dyDescent="0.35">
      <c r="A3763">
        <v>36165</v>
      </c>
      <c r="B3763">
        <v>0</v>
      </c>
      <c r="C3763" t="s">
        <v>13</v>
      </c>
      <c r="D3763">
        <v>2501</v>
      </c>
      <c r="E3763" t="s">
        <v>92</v>
      </c>
      <c r="F3763" t="s">
        <v>14</v>
      </c>
      <c r="G3763">
        <v>20</v>
      </c>
    </row>
    <row r="3764" spans="1:7" x14ac:dyDescent="0.35">
      <c r="A3764">
        <v>66187</v>
      </c>
      <c r="B3764">
        <v>28</v>
      </c>
      <c r="C3764" t="s">
        <v>29</v>
      </c>
      <c r="D3764">
        <v>0</v>
      </c>
      <c r="E3764" t="s">
        <v>90</v>
      </c>
      <c r="F3764" t="s">
        <v>17</v>
      </c>
      <c r="G3764">
        <v>15</v>
      </c>
    </row>
    <row r="3765" spans="1:7" x14ac:dyDescent="0.35">
      <c r="A3765">
        <v>189258</v>
      </c>
      <c r="B3765">
        <v>0</v>
      </c>
      <c r="C3765" t="s">
        <v>69</v>
      </c>
      <c r="D3765">
        <v>0</v>
      </c>
      <c r="E3765" t="s">
        <v>94</v>
      </c>
      <c r="F3765" t="s">
        <v>17</v>
      </c>
      <c r="G3765">
        <v>15</v>
      </c>
    </row>
    <row r="3766" spans="1:7" x14ac:dyDescent="0.35">
      <c r="A3766">
        <v>12853</v>
      </c>
      <c r="B3766">
        <v>2</v>
      </c>
      <c r="C3766" t="s">
        <v>24</v>
      </c>
      <c r="D3766">
        <v>2710</v>
      </c>
      <c r="E3766" t="s">
        <v>104</v>
      </c>
      <c r="F3766" t="s">
        <v>17</v>
      </c>
      <c r="G3766">
        <v>12</v>
      </c>
    </row>
    <row r="3767" spans="1:7" x14ac:dyDescent="0.35">
      <c r="A3767">
        <v>188377</v>
      </c>
      <c r="B3767">
        <v>0</v>
      </c>
      <c r="C3767" t="s">
        <v>16</v>
      </c>
      <c r="D3767">
        <v>1909</v>
      </c>
      <c r="F3767" t="s">
        <v>17</v>
      </c>
      <c r="G3767">
        <v>5</v>
      </c>
    </row>
    <row r="3768" spans="1:7" x14ac:dyDescent="0.35">
      <c r="A3768">
        <v>139926</v>
      </c>
      <c r="B3768">
        <v>28</v>
      </c>
      <c r="C3768" t="s">
        <v>54</v>
      </c>
      <c r="D3768">
        <v>0</v>
      </c>
      <c r="E3768" t="s">
        <v>94</v>
      </c>
      <c r="F3768" t="s">
        <v>17</v>
      </c>
      <c r="G3768">
        <v>20</v>
      </c>
    </row>
    <row r="3769" spans="1:7" x14ac:dyDescent="0.35">
      <c r="A3769">
        <v>10851</v>
      </c>
      <c r="B3769">
        <v>0</v>
      </c>
      <c r="C3769" t="s">
        <v>22</v>
      </c>
      <c r="D3769">
        <v>0</v>
      </c>
      <c r="E3769" t="s">
        <v>89</v>
      </c>
      <c r="F3769" t="s">
        <v>14</v>
      </c>
      <c r="G3769">
        <v>35</v>
      </c>
    </row>
    <row r="3770" spans="1:7" x14ac:dyDescent="0.35">
      <c r="A3770">
        <v>119366</v>
      </c>
      <c r="B3770">
        <v>1</v>
      </c>
      <c r="C3770" t="s">
        <v>21</v>
      </c>
      <c r="D3770">
        <v>6212</v>
      </c>
      <c r="E3770" t="s">
        <v>92</v>
      </c>
      <c r="F3770" t="s">
        <v>14</v>
      </c>
      <c r="G3770">
        <v>6</v>
      </c>
    </row>
    <row r="3771" spans="1:7" x14ac:dyDescent="0.35">
      <c r="A3771">
        <v>150260</v>
      </c>
      <c r="B3771">
        <v>0</v>
      </c>
      <c r="C3771" t="s">
        <v>22</v>
      </c>
      <c r="D3771">
        <v>2009</v>
      </c>
      <c r="E3771" t="s">
        <v>90</v>
      </c>
      <c r="F3771" t="s">
        <v>17</v>
      </c>
      <c r="G3771">
        <v>10</v>
      </c>
    </row>
    <row r="3772" spans="1:7" x14ac:dyDescent="0.35">
      <c r="A3772">
        <v>73272</v>
      </c>
      <c r="B3772">
        <v>0</v>
      </c>
      <c r="C3772" t="s">
        <v>29</v>
      </c>
      <c r="D3772">
        <v>2302</v>
      </c>
      <c r="E3772" t="s">
        <v>89</v>
      </c>
      <c r="F3772" t="s">
        <v>17</v>
      </c>
      <c r="G3772">
        <v>15</v>
      </c>
    </row>
    <row r="3773" spans="1:7" x14ac:dyDescent="0.35">
      <c r="A3773">
        <v>43101</v>
      </c>
      <c r="B3773">
        <v>0</v>
      </c>
      <c r="C3773" t="s">
        <v>13</v>
      </c>
      <c r="D3773">
        <v>4903</v>
      </c>
      <c r="E3773" t="s">
        <v>92</v>
      </c>
      <c r="F3773" t="s">
        <v>17</v>
      </c>
      <c r="G3773">
        <v>10</v>
      </c>
    </row>
    <row r="3774" spans="1:7" x14ac:dyDescent="0.35">
      <c r="A3774">
        <v>50640</v>
      </c>
      <c r="B3774">
        <v>2</v>
      </c>
      <c r="C3774" t="s">
        <v>13</v>
      </c>
      <c r="D3774">
        <v>2101</v>
      </c>
      <c r="E3774" t="s">
        <v>89</v>
      </c>
      <c r="F3774" t="s">
        <v>14</v>
      </c>
      <c r="G3774">
        <v>5</v>
      </c>
    </row>
    <row r="3775" spans="1:7" x14ac:dyDescent="0.35">
      <c r="A3775">
        <v>190577</v>
      </c>
      <c r="B3775">
        <v>2</v>
      </c>
      <c r="C3775" t="s">
        <v>21</v>
      </c>
      <c r="D3775">
        <v>5601</v>
      </c>
      <c r="E3775" t="s">
        <v>94</v>
      </c>
      <c r="F3775" t="s">
        <v>17</v>
      </c>
      <c r="G3775">
        <v>30</v>
      </c>
    </row>
    <row r="3776" spans="1:7" x14ac:dyDescent="0.35">
      <c r="A3776">
        <v>96003</v>
      </c>
      <c r="B3776">
        <v>0</v>
      </c>
      <c r="C3776" t="s">
        <v>16</v>
      </c>
      <c r="D3776">
        <v>2201</v>
      </c>
      <c r="E3776" t="s">
        <v>91</v>
      </c>
      <c r="F3776" t="s">
        <v>17</v>
      </c>
      <c r="G3776">
        <v>6</v>
      </c>
    </row>
    <row r="3777" spans="1:7" x14ac:dyDescent="0.35">
      <c r="A3777">
        <v>185913</v>
      </c>
      <c r="B3777">
        <v>0</v>
      </c>
      <c r="C3777" t="s">
        <v>22</v>
      </c>
      <c r="D3777">
        <v>0</v>
      </c>
      <c r="E3777" t="s">
        <v>90</v>
      </c>
      <c r="F3777" t="s">
        <v>14</v>
      </c>
      <c r="G3777">
        <v>10</v>
      </c>
    </row>
    <row r="3778" spans="1:7" x14ac:dyDescent="0.35">
      <c r="A3778">
        <v>54259</v>
      </c>
      <c r="B3778">
        <v>0</v>
      </c>
      <c r="C3778" t="s">
        <v>53</v>
      </c>
      <c r="D3778">
        <v>3201</v>
      </c>
      <c r="F3778" t="s">
        <v>14</v>
      </c>
      <c r="G3778">
        <v>15</v>
      </c>
    </row>
    <row r="3779" spans="1:7" x14ac:dyDescent="0.35">
      <c r="A3779">
        <v>85003</v>
      </c>
      <c r="B3779">
        <v>0</v>
      </c>
      <c r="C3779" t="s">
        <v>56</v>
      </c>
      <c r="D3779">
        <v>0</v>
      </c>
      <c r="E3779" t="s">
        <v>91</v>
      </c>
      <c r="F3779" t="s">
        <v>14</v>
      </c>
      <c r="G3779">
        <v>8</v>
      </c>
    </row>
    <row r="3780" spans="1:7" x14ac:dyDescent="0.35">
      <c r="A3780">
        <v>5074</v>
      </c>
      <c r="B3780">
        <v>1</v>
      </c>
      <c r="C3780" t="s">
        <v>22</v>
      </c>
      <c r="D3780">
        <v>1705</v>
      </c>
      <c r="E3780" t="s">
        <v>90</v>
      </c>
      <c r="F3780" t="s">
        <v>14</v>
      </c>
      <c r="G3780">
        <v>31</v>
      </c>
    </row>
    <row r="3781" spans="1:7" x14ac:dyDescent="0.35">
      <c r="A3781">
        <v>33359</v>
      </c>
      <c r="B3781">
        <v>28</v>
      </c>
      <c r="C3781" t="s">
        <v>13</v>
      </c>
      <c r="D3781">
        <v>3606</v>
      </c>
      <c r="E3781" t="s">
        <v>90</v>
      </c>
      <c r="F3781" t="s">
        <v>17</v>
      </c>
      <c r="G3781">
        <v>10</v>
      </c>
    </row>
    <row r="3782" spans="1:7" x14ac:dyDescent="0.35">
      <c r="A3782">
        <v>103982</v>
      </c>
      <c r="B3782">
        <v>1</v>
      </c>
      <c r="C3782" t="s">
        <v>36</v>
      </c>
      <c r="D3782">
        <v>3310</v>
      </c>
      <c r="E3782" t="s">
        <v>91</v>
      </c>
      <c r="F3782" t="s">
        <v>14</v>
      </c>
      <c r="G3782">
        <v>15</v>
      </c>
    </row>
    <row r="3783" spans="1:7" x14ac:dyDescent="0.35">
      <c r="A3783">
        <v>118564</v>
      </c>
      <c r="B3783">
        <v>0</v>
      </c>
      <c r="C3783" t="s">
        <v>21</v>
      </c>
      <c r="D3783">
        <v>3611</v>
      </c>
      <c r="E3783" t="s">
        <v>98</v>
      </c>
      <c r="F3783" t="s">
        <v>17</v>
      </c>
      <c r="G3783">
        <v>5</v>
      </c>
    </row>
    <row r="3784" spans="1:7" x14ac:dyDescent="0.35">
      <c r="A3784">
        <v>136991</v>
      </c>
      <c r="B3784">
        <v>0</v>
      </c>
      <c r="C3784" t="s">
        <v>55</v>
      </c>
      <c r="D3784">
        <v>4207</v>
      </c>
      <c r="E3784" t="s">
        <v>94</v>
      </c>
      <c r="F3784" t="s">
        <v>14</v>
      </c>
      <c r="G3784">
        <v>15</v>
      </c>
    </row>
    <row r="3785" spans="1:7" x14ac:dyDescent="0.35">
      <c r="A3785">
        <v>133305</v>
      </c>
      <c r="B3785">
        <v>0</v>
      </c>
      <c r="C3785" t="s">
        <v>41</v>
      </c>
      <c r="D3785">
        <v>2801</v>
      </c>
      <c r="E3785" t="s">
        <v>91</v>
      </c>
      <c r="F3785" t="s">
        <v>14</v>
      </c>
      <c r="G3785">
        <v>5</v>
      </c>
    </row>
    <row r="3786" spans="1:7" x14ac:dyDescent="0.35">
      <c r="A3786">
        <v>112148</v>
      </c>
      <c r="B3786">
        <v>1</v>
      </c>
      <c r="C3786" t="s">
        <v>32</v>
      </c>
      <c r="D3786">
        <v>1511</v>
      </c>
      <c r="E3786" t="s">
        <v>89</v>
      </c>
      <c r="F3786" t="s">
        <v>14</v>
      </c>
      <c r="G3786">
        <v>25</v>
      </c>
    </row>
    <row r="3787" spans="1:7" x14ac:dyDescent="0.35">
      <c r="A3787">
        <v>25804</v>
      </c>
      <c r="B3787">
        <v>1</v>
      </c>
      <c r="C3787" t="s">
        <v>39</v>
      </c>
      <c r="D3787">
        <v>5601</v>
      </c>
      <c r="E3787" t="s">
        <v>94</v>
      </c>
      <c r="F3787" t="s">
        <v>14</v>
      </c>
      <c r="G3787">
        <v>41</v>
      </c>
    </row>
    <row r="3788" spans="1:7" x14ac:dyDescent="0.35">
      <c r="A3788">
        <v>20167</v>
      </c>
      <c r="B3788">
        <v>1002</v>
      </c>
      <c r="C3788" t="s">
        <v>18</v>
      </c>
      <c r="D3788">
        <v>0</v>
      </c>
      <c r="E3788" t="s">
        <v>91</v>
      </c>
      <c r="F3788" t="s">
        <v>14</v>
      </c>
      <c r="G3788">
        <v>25</v>
      </c>
    </row>
    <row r="3789" spans="1:7" x14ac:dyDescent="0.35">
      <c r="A3789">
        <v>79717</v>
      </c>
      <c r="B3789">
        <v>1</v>
      </c>
      <c r="C3789" t="s">
        <v>35</v>
      </c>
      <c r="D3789">
        <v>5701</v>
      </c>
      <c r="E3789" t="s">
        <v>93</v>
      </c>
      <c r="F3789" t="s">
        <v>14</v>
      </c>
      <c r="G3789">
        <v>15</v>
      </c>
    </row>
    <row r="3790" spans="1:7" x14ac:dyDescent="0.35">
      <c r="A3790">
        <v>32950</v>
      </c>
      <c r="B3790">
        <v>2</v>
      </c>
      <c r="C3790" t="s">
        <v>13</v>
      </c>
      <c r="D3790">
        <v>4208</v>
      </c>
      <c r="E3790" t="s">
        <v>90</v>
      </c>
      <c r="F3790" t="s">
        <v>17</v>
      </c>
      <c r="G3790">
        <v>5</v>
      </c>
    </row>
    <row r="3791" spans="1:7" x14ac:dyDescent="0.35">
      <c r="A3791">
        <v>187604</v>
      </c>
      <c r="B3791">
        <v>0</v>
      </c>
      <c r="C3791" t="s">
        <v>53</v>
      </c>
      <c r="D3791">
        <v>0</v>
      </c>
      <c r="E3791" t="s">
        <v>94</v>
      </c>
      <c r="G3791">
        <v>11</v>
      </c>
    </row>
    <row r="3792" spans="1:7" x14ac:dyDescent="0.35">
      <c r="A3792">
        <v>45158</v>
      </c>
      <c r="B3792">
        <v>0</v>
      </c>
      <c r="C3792" t="s">
        <v>13</v>
      </c>
      <c r="D3792">
        <v>3408</v>
      </c>
      <c r="E3792" t="s">
        <v>88</v>
      </c>
      <c r="F3792" t="s">
        <v>17</v>
      </c>
      <c r="G3792">
        <v>10</v>
      </c>
    </row>
    <row r="3793" spans="1:7" x14ac:dyDescent="0.35">
      <c r="A3793">
        <v>145885</v>
      </c>
      <c r="B3793">
        <v>0</v>
      </c>
      <c r="C3793" t="s">
        <v>22</v>
      </c>
      <c r="D3793">
        <v>3801</v>
      </c>
      <c r="E3793" t="s">
        <v>93</v>
      </c>
      <c r="F3793" t="s">
        <v>17</v>
      </c>
      <c r="G3793">
        <v>20</v>
      </c>
    </row>
    <row r="3794" spans="1:7" x14ac:dyDescent="0.35">
      <c r="A3794">
        <v>104401</v>
      </c>
      <c r="B3794">
        <v>0</v>
      </c>
      <c r="C3794" t="s">
        <v>28</v>
      </c>
      <c r="D3794">
        <v>2702</v>
      </c>
      <c r="E3794" t="s">
        <v>92</v>
      </c>
      <c r="F3794" t="s">
        <v>17</v>
      </c>
      <c r="G3794">
        <v>15</v>
      </c>
    </row>
    <row r="3795" spans="1:7" x14ac:dyDescent="0.35">
      <c r="A3795">
        <v>176491</v>
      </c>
      <c r="B3795">
        <v>0</v>
      </c>
      <c r="C3795" t="s">
        <v>50</v>
      </c>
      <c r="D3795">
        <v>0</v>
      </c>
      <c r="E3795" t="s">
        <v>91</v>
      </c>
      <c r="F3795" t="s">
        <v>17</v>
      </c>
      <c r="G3795">
        <v>25</v>
      </c>
    </row>
    <row r="3796" spans="1:7" x14ac:dyDescent="0.35">
      <c r="A3796">
        <v>89873</v>
      </c>
      <c r="B3796">
        <v>0</v>
      </c>
      <c r="C3796" t="s">
        <v>16</v>
      </c>
      <c r="D3796">
        <v>4506</v>
      </c>
      <c r="E3796" t="s">
        <v>94</v>
      </c>
      <c r="F3796" t="s">
        <v>17</v>
      </c>
      <c r="G3796">
        <v>11</v>
      </c>
    </row>
    <row r="3797" spans="1:7" x14ac:dyDescent="0.35">
      <c r="A3797">
        <v>1673</v>
      </c>
      <c r="B3797">
        <v>0</v>
      </c>
      <c r="C3797" t="s">
        <v>38</v>
      </c>
      <c r="D3797">
        <v>3001</v>
      </c>
      <c r="E3797" t="s">
        <v>94</v>
      </c>
      <c r="F3797" t="s">
        <v>17</v>
      </c>
      <c r="G3797">
        <v>40</v>
      </c>
    </row>
    <row r="3798" spans="1:7" x14ac:dyDescent="0.35">
      <c r="A3798">
        <v>12874</v>
      </c>
      <c r="B3798">
        <v>2</v>
      </c>
      <c r="C3798" t="s">
        <v>56</v>
      </c>
      <c r="D3798">
        <v>1606</v>
      </c>
      <c r="E3798" t="s">
        <v>91</v>
      </c>
      <c r="F3798" t="s">
        <v>17</v>
      </c>
      <c r="G3798">
        <v>10</v>
      </c>
    </row>
    <row r="3799" spans="1:7" x14ac:dyDescent="0.35">
      <c r="A3799">
        <v>188851</v>
      </c>
      <c r="B3799">
        <v>1</v>
      </c>
      <c r="C3799" t="s">
        <v>22</v>
      </c>
      <c r="D3799">
        <v>1601</v>
      </c>
      <c r="E3799" t="s">
        <v>90</v>
      </c>
      <c r="F3799" t="s">
        <v>14</v>
      </c>
      <c r="G3799">
        <v>23</v>
      </c>
    </row>
    <row r="3800" spans="1:7" x14ac:dyDescent="0.35">
      <c r="A3800">
        <v>160258</v>
      </c>
      <c r="B3800">
        <v>0</v>
      </c>
      <c r="C3800" t="s">
        <v>22</v>
      </c>
      <c r="D3800">
        <v>1803</v>
      </c>
      <c r="E3800" t="s">
        <v>92</v>
      </c>
      <c r="F3800" t="s">
        <v>14</v>
      </c>
      <c r="G3800">
        <v>15</v>
      </c>
    </row>
    <row r="3801" spans="1:7" x14ac:dyDescent="0.35">
      <c r="A3801">
        <v>108760</v>
      </c>
      <c r="B3801">
        <v>2</v>
      </c>
      <c r="C3801" t="s">
        <v>49</v>
      </c>
      <c r="D3801">
        <v>0</v>
      </c>
      <c r="E3801" t="s">
        <v>98</v>
      </c>
      <c r="F3801" t="s">
        <v>17</v>
      </c>
      <c r="G3801">
        <v>22</v>
      </c>
    </row>
    <row r="3802" spans="1:7" x14ac:dyDescent="0.35">
      <c r="A3802">
        <v>187696</v>
      </c>
      <c r="B3802">
        <v>28</v>
      </c>
      <c r="C3802" t="s">
        <v>21</v>
      </c>
      <c r="D3802">
        <v>0</v>
      </c>
      <c r="E3802" t="s">
        <v>92</v>
      </c>
      <c r="F3802" t="s">
        <v>17</v>
      </c>
      <c r="G3802">
        <v>10</v>
      </c>
    </row>
    <row r="3803" spans="1:7" x14ac:dyDescent="0.35">
      <c r="A3803">
        <v>66199</v>
      </c>
      <c r="B3803">
        <v>0</v>
      </c>
      <c r="C3803" t="s">
        <v>29</v>
      </c>
      <c r="D3803">
        <v>0</v>
      </c>
      <c r="E3803" t="s">
        <v>90</v>
      </c>
      <c r="F3803" t="s">
        <v>17</v>
      </c>
      <c r="G3803">
        <v>5</v>
      </c>
    </row>
    <row r="3804" spans="1:7" x14ac:dyDescent="0.35">
      <c r="A3804">
        <v>104905</v>
      </c>
      <c r="B3804">
        <v>0</v>
      </c>
      <c r="C3804" t="s">
        <v>28</v>
      </c>
      <c r="D3804">
        <v>5401</v>
      </c>
      <c r="E3804" t="s">
        <v>93</v>
      </c>
      <c r="F3804" t="s">
        <v>17</v>
      </c>
      <c r="G3804">
        <v>15</v>
      </c>
    </row>
    <row r="3805" spans="1:7" x14ac:dyDescent="0.35">
      <c r="A3805">
        <v>102665</v>
      </c>
      <c r="B3805">
        <v>1</v>
      </c>
      <c r="C3805" t="s">
        <v>36</v>
      </c>
      <c r="D3805">
        <v>4001</v>
      </c>
      <c r="E3805" t="s">
        <v>96</v>
      </c>
      <c r="F3805" t="s">
        <v>14</v>
      </c>
      <c r="G3805">
        <v>20</v>
      </c>
    </row>
    <row r="3806" spans="1:7" x14ac:dyDescent="0.35">
      <c r="A3806">
        <v>137199</v>
      </c>
      <c r="B3806">
        <v>2</v>
      </c>
      <c r="C3806" t="s">
        <v>55</v>
      </c>
      <c r="D3806">
        <v>808</v>
      </c>
      <c r="E3806" t="s">
        <v>92</v>
      </c>
      <c r="F3806" t="s">
        <v>17</v>
      </c>
      <c r="G3806">
        <v>10</v>
      </c>
    </row>
    <row r="3807" spans="1:7" x14ac:dyDescent="0.35">
      <c r="A3807">
        <v>159507</v>
      </c>
      <c r="B3807">
        <v>0</v>
      </c>
      <c r="C3807" t="s">
        <v>22</v>
      </c>
      <c r="D3807">
        <v>2301</v>
      </c>
      <c r="E3807" t="s">
        <v>89</v>
      </c>
      <c r="F3807" t="s">
        <v>17</v>
      </c>
      <c r="G3807">
        <v>20</v>
      </c>
    </row>
    <row r="3808" spans="1:7" x14ac:dyDescent="0.35">
      <c r="A3808">
        <v>137577</v>
      </c>
      <c r="B3808">
        <v>0</v>
      </c>
      <c r="C3808" t="s">
        <v>55</v>
      </c>
      <c r="D3808">
        <v>0</v>
      </c>
      <c r="E3808" t="s">
        <v>93</v>
      </c>
      <c r="F3808" t="s">
        <v>14</v>
      </c>
      <c r="G3808">
        <v>10</v>
      </c>
    </row>
    <row r="3809" spans="1:7" x14ac:dyDescent="0.35">
      <c r="A3809">
        <v>113805</v>
      </c>
      <c r="B3809">
        <v>0</v>
      </c>
      <c r="C3809" t="s">
        <v>31</v>
      </c>
      <c r="D3809">
        <v>2001</v>
      </c>
      <c r="E3809" t="s">
        <v>89</v>
      </c>
      <c r="F3809" t="s">
        <v>17</v>
      </c>
      <c r="G3809">
        <v>20</v>
      </c>
    </row>
    <row r="3810" spans="1:7" x14ac:dyDescent="0.35">
      <c r="A3810">
        <v>46203</v>
      </c>
      <c r="B3810">
        <v>0</v>
      </c>
      <c r="C3810" t="s">
        <v>22</v>
      </c>
      <c r="D3810">
        <v>3701</v>
      </c>
      <c r="E3810" t="s">
        <v>95</v>
      </c>
      <c r="F3810" t="s">
        <v>17</v>
      </c>
      <c r="G3810">
        <v>10</v>
      </c>
    </row>
    <row r="3811" spans="1:7" x14ac:dyDescent="0.35">
      <c r="A3811">
        <v>78753</v>
      </c>
      <c r="B3811">
        <v>0</v>
      </c>
      <c r="C3811" t="s">
        <v>35</v>
      </c>
      <c r="D3811">
        <v>1801</v>
      </c>
      <c r="E3811" t="s">
        <v>103</v>
      </c>
      <c r="F3811" t="s">
        <v>17</v>
      </c>
      <c r="G3811">
        <v>3</v>
      </c>
    </row>
    <row r="3812" spans="1:7" x14ac:dyDescent="0.35">
      <c r="A3812">
        <v>189711</v>
      </c>
      <c r="B3812">
        <v>1</v>
      </c>
      <c r="C3812" t="s">
        <v>55</v>
      </c>
      <c r="D3812">
        <v>0</v>
      </c>
      <c r="E3812" t="s">
        <v>90</v>
      </c>
      <c r="F3812" t="s">
        <v>14</v>
      </c>
      <c r="G3812">
        <v>10</v>
      </c>
    </row>
    <row r="3813" spans="1:7" x14ac:dyDescent="0.35">
      <c r="A3813">
        <v>160972</v>
      </c>
      <c r="B3813">
        <v>1</v>
      </c>
      <c r="C3813" t="s">
        <v>22</v>
      </c>
      <c r="D3813">
        <v>1901</v>
      </c>
      <c r="E3813" t="s">
        <v>94</v>
      </c>
      <c r="F3813" t="s">
        <v>14</v>
      </c>
      <c r="G3813">
        <v>53</v>
      </c>
    </row>
    <row r="3814" spans="1:7" x14ac:dyDescent="0.35">
      <c r="A3814">
        <v>28514</v>
      </c>
      <c r="B3814">
        <v>0</v>
      </c>
      <c r="C3814" t="s">
        <v>39</v>
      </c>
      <c r="D3814">
        <v>4801</v>
      </c>
      <c r="E3814" t="s">
        <v>93</v>
      </c>
      <c r="F3814" t="s">
        <v>17</v>
      </c>
      <c r="G3814">
        <v>21</v>
      </c>
    </row>
    <row r="3815" spans="1:7" x14ac:dyDescent="0.35">
      <c r="A3815">
        <v>51469</v>
      </c>
      <c r="B3815">
        <v>28</v>
      </c>
      <c r="C3815" t="s">
        <v>53</v>
      </c>
      <c r="D3815">
        <v>5401</v>
      </c>
      <c r="E3815" t="s">
        <v>88</v>
      </c>
      <c r="F3815" t="s">
        <v>17</v>
      </c>
      <c r="G3815">
        <v>10</v>
      </c>
    </row>
    <row r="3816" spans="1:7" x14ac:dyDescent="0.35">
      <c r="A3816">
        <v>4693</v>
      </c>
      <c r="B3816">
        <v>0</v>
      </c>
      <c r="C3816" t="s">
        <v>22</v>
      </c>
      <c r="D3816">
        <v>4005</v>
      </c>
      <c r="E3816" t="s">
        <v>92</v>
      </c>
      <c r="F3816" t="s">
        <v>17</v>
      </c>
      <c r="G3816">
        <v>18</v>
      </c>
    </row>
    <row r="3817" spans="1:7" x14ac:dyDescent="0.35">
      <c r="A3817">
        <v>22664</v>
      </c>
      <c r="B3817">
        <v>0</v>
      </c>
      <c r="C3817" t="s">
        <v>46</v>
      </c>
      <c r="D3817">
        <v>0</v>
      </c>
      <c r="E3817" t="s">
        <v>98</v>
      </c>
      <c r="F3817" t="s">
        <v>17</v>
      </c>
      <c r="G3817">
        <v>17</v>
      </c>
    </row>
    <row r="3818" spans="1:7" x14ac:dyDescent="0.35">
      <c r="A3818">
        <v>39967</v>
      </c>
      <c r="B3818">
        <v>1</v>
      </c>
      <c r="C3818" t="s">
        <v>13</v>
      </c>
      <c r="D3818">
        <v>3001</v>
      </c>
      <c r="E3818" t="s">
        <v>88</v>
      </c>
      <c r="F3818" t="s">
        <v>14</v>
      </c>
      <c r="G3818">
        <v>75</v>
      </c>
    </row>
    <row r="3819" spans="1:7" x14ac:dyDescent="0.35">
      <c r="A3819">
        <v>60490</v>
      </c>
      <c r="B3819">
        <v>0</v>
      </c>
      <c r="C3819" t="s">
        <v>33</v>
      </c>
      <c r="D3819">
        <v>5201</v>
      </c>
      <c r="E3819" t="s">
        <v>94</v>
      </c>
      <c r="F3819" t="s">
        <v>17</v>
      </c>
      <c r="G3819">
        <v>60</v>
      </c>
    </row>
    <row r="3820" spans="1:7" x14ac:dyDescent="0.35">
      <c r="A3820">
        <v>74523</v>
      </c>
      <c r="B3820">
        <v>0</v>
      </c>
      <c r="C3820" t="s">
        <v>29</v>
      </c>
      <c r="D3820">
        <v>0</v>
      </c>
      <c r="E3820" t="s">
        <v>96</v>
      </c>
      <c r="F3820" t="s">
        <v>17</v>
      </c>
      <c r="G3820">
        <v>10</v>
      </c>
    </row>
    <row r="3821" spans="1:7" x14ac:dyDescent="0.35">
      <c r="A3821">
        <v>70146</v>
      </c>
      <c r="B3821">
        <v>2</v>
      </c>
      <c r="C3821" t="s">
        <v>29</v>
      </c>
      <c r="D3821">
        <v>3807</v>
      </c>
      <c r="E3821" t="s">
        <v>89</v>
      </c>
      <c r="F3821" t="s">
        <v>17</v>
      </c>
      <c r="G3821">
        <v>10</v>
      </c>
    </row>
    <row r="3822" spans="1:7" x14ac:dyDescent="0.35">
      <c r="A3822">
        <v>125501</v>
      </c>
      <c r="B3822">
        <v>28</v>
      </c>
      <c r="C3822" t="s">
        <v>21</v>
      </c>
      <c r="D3822">
        <v>4801</v>
      </c>
      <c r="E3822" t="s">
        <v>101</v>
      </c>
      <c r="F3822" t="s">
        <v>17</v>
      </c>
      <c r="G3822">
        <v>14</v>
      </c>
    </row>
    <row r="3823" spans="1:7" x14ac:dyDescent="0.35">
      <c r="A3823">
        <v>38853</v>
      </c>
      <c r="B3823">
        <v>2</v>
      </c>
      <c r="C3823" t="s">
        <v>33</v>
      </c>
      <c r="D3823">
        <v>2807</v>
      </c>
      <c r="E3823" t="s">
        <v>101</v>
      </c>
      <c r="F3823" t="s">
        <v>17</v>
      </c>
      <c r="G3823">
        <v>12</v>
      </c>
    </row>
    <row r="3824" spans="1:7" x14ac:dyDescent="0.35">
      <c r="A3824">
        <v>25591</v>
      </c>
      <c r="B3824">
        <v>0</v>
      </c>
      <c r="C3824" t="s">
        <v>39</v>
      </c>
      <c r="D3824">
        <v>0</v>
      </c>
      <c r="E3824" t="s">
        <v>96</v>
      </c>
      <c r="F3824" t="s">
        <v>17</v>
      </c>
      <c r="G3824">
        <v>13</v>
      </c>
    </row>
    <row r="3825" spans="1:7" x14ac:dyDescent="0.35">
      <c r="A3825">
        <v>66610</v>
      </c>
      <c r="B3825">
        <v>2</v>
      </c>
      <c r="C3825" t="s">
        <v>29</v>
      </c>
      <c r="D3825">
        <v>2401</v>
      </c>
      <c r="E3825" t="s">
        <v>90</v>
      </c>
      <c r="F3825" t="s">
        <v>17</v>
      </c>
      <c r="G3825">
        <v>10</v>
      </c>
    </row>
    <row r="3826" spans="1:7" x14ac:dyDescent="0.35">
      <c r="A3826">
        <v>11738</v>
      </c>
      <c r="B3826">
        <v>1</v>
      </c>
      <c r="C3826" t="s">
        <v>22</v>
      </c>
      <c r="D3826">
        <v>1301</v>
      </c>
      <c r="E3826" t="s">
        <v>93</v>
      </c>
      <c r="F3826" t="s">
        <v>14</v>
      </c>
      <c r="G3826">
        <v>10</v>
      </c>
    </row>
    <row r="3827" spans="1:7" x14ac:dyDescent="0.35">
      <c r="A3827">
        <v>117026</v>
      </c>
      <c r="B3827">
        <v>3</v>
      </c>
      <c r="C3827" t="s">
        <v>21</v>
      </c>
      <c r="D3827">
        <v>3801</v>
      </c>
      <c r="E3827" t="s">
        <v>97</v>
      </c>
      <c r="F3827" t="s">
        <v>14</v>
      </c>
      <c r="G3827">
        <v>9</v>
      </c>
    </row>
    <row r="3828" spans="1:7" x14ac:dyDescent="0.35">
      <c r="A3828">
        <v>59588</v>
      </c>
      <c r="B3828">
        <v>0</v>
      </c>
      <c r="C3828" t="s">
        <v>33</v>
      </c>
      <c r="D3828">
        <v>2001</v>
      </c>
      <c r="E3828" t="s">
        <v>91</v>
      </c>
      <c r="F3828" t="s">
        <v>14</v>
      </c>
      <c r="G3828">
        <v>3</v>
      </c>
    </row>
    <row r="3829" spans="1:7" x14ac:dyDescent="0.35">
      <c r="A3829">
        <v>162997</v>
      </c>
      <c r="B3829">
        <v>2</v>
      </c>
      <c r="C3829" t="s">
        <v>22</v>
      </c>
      <c r="D3829">
        <v>3701</v>
      </c>
      <c r="E3829" t="s">
        <v>101</v>
      </c>
      <c r="F3829" t="s">
        <v>17</v>
      </c>
      <c r="G3829">
        <v>21</v>
      </c>
    </row>
    <row r="3830" spans="1:7" x14ac:dyDescent="0.35">
      <c r="A3830">
        <v>136747</v>
      </c>
      <c r="B3830">
        <v>2</v>
      </c>
      <c r="C3830" t="s">
        <v>55</v>
      </c>
      <c r="D3830">
        <v>3401</v>
      </c>
      <c r="E3830" t="s">
        <v>90</v>
      </c>
      <c r="F3830" t="s">
        <v>17</v>
      </c>
      <c r="G3830">
        <v>6</v>
      </c>
    </row>
    <row r="3831" spans="1:7" x14ac:dyDescent="0.35">
      <c r="A3831">
        <v>115088</v>
      </c>
      <c r="B3831">
        <v>0</v>
      </c>
      <c r="C3831" t="s">
        <v>31</v>
      </c>
      <c r="D3831">
        <v>2001</v>
      </c>
      <c r="E3831" t="s">
        <v>89</v>
      </c>
      <c r="F3831" t="s">
        <v>17</v>
      </c>
      <c r="G3831">
        <v>17</v>
      </c>
    </row>
    <row r="3832" spans="1:7" x14ac:dyDescent="0.35">
      <c r="A3832">
        <v>168358</v>
      </c>
      <c r="B3832">
        <v>1</v>
      </c>
      <c r="C3832" t="s">
        <v>22</v>
      </c>
      <c r="D3832">
        <v>5501</v>
      </c>
      <c r="E3832" t="s">
        <v>101</v>
      </c>
      <c r="F3832" t="s">
        <v>14</v>
      </c>
      <c r="G3832">
        <v>10</v>
      </c>
    </row>
    <row r="3833" spans="1:7" x14ac:dyDescent="0.35">
      <c r="A3833">
        <v>24896</v>
      </c>
      <c r="B3833">
        <v>1</v>
      </c>
      <c r="C3833" t="s">
        <v>46</v>
      </c>
      <c r="D3833">
        <v>3012</v>
      </c>
      <c r="E3833" t="s">
        <v>92</v>
      </c>
      <c r="F3833" t="s">
        <v>14</v>
      </c>
      <c r="G3833">
        <v>15</v>
      </c>
    </row>
    <row r="3834" spans="1:7" x14ac:dyDescent="0.35">
      <c r="A3834">
        <v>157061</v>
      </c>
      <c r="B3834">
        <v>0</v>
      </c>
      <c r="C3834" t="s">
        <v>22</v>
      </c>
      <c r="D3834">
        <v>0</v>
      </c>
      <c r="E3834" t="s">
        <v>93</v>
      </c>
      <c r="F3834" t="s">
        <v>17</v>
      </c>
      <c r="G3834">
        <v>25</v>
      </c>
    </row>
    <row r="3835" spans="1:7" x14ac:dyDescent="0.35">
      <c r="A3835">
        <v>127795</v>
      </c>
      <c r="B3835">
        <v>1</v>
      </c>
      <c r="C3835" t="s">
        <v>21</v>
      </c>
      <c r="D3835">
        <v>5107</v>
      </c>
      <c r="E3835" t="s">
        <v>88</v>
      </c>
      <c r="F3835" t="s">
        <v>14</v>
      </c>
      <c r="G3835">
        <v>15</v>
      </c>
    </row>
    <row r="3836" spans="1:7" x14ac:dyDescent="0.35">
      <c r="A3836">
        <v>13215</v>
      </c>
      <c r="B3836">
        <v>1</v>
      </c>
      <c r="C3836" t="s">
        <v>22</v>
      </c>
      <c r="D3836">
        <v>5001</v>
      </c>
      <c r="E3836" t="s">
        <v>91</v>
      </c>
      <c r="F3836" t="s">
        <v>14</v>
      </c>
      <c r="G3836">
        <v>21</v>
      </c>
    </row>
    <row r="3837" spans="1:7" x14ac:dyDescent="0.35">
      <c r="A3837">
        <v>129899</v>
      </c>
      <c r="B3837">
        <v>0</v>
      </c>
      <c r="C3837" t="s">
        <v>48</v>
      </c>
      <c r="D3837">
        <v>2201</v>
      </c>
      <c r="E3837" t="s">
        <v>90</v>
      </c>
      <c r="F3837" t="s">
        <v>14</v>
      </c>
      <c r="G3837">
        <v>12</v>
      </c>
    </row>
    <row r="3838" spans="1:7" x14ac:dyDescent="0.35">
      <c r="A3838">
        <v>156428</v>
      </c>
      <c r="B3838">
        <v>0</v>
      </c>
      <c r="C3838" t="s">
        <v>22</v>
      </c>
      <c r="D3838">
        <v>2610</v>
      </c>
      <c r="E3838" t="s">
        <v>95</v>
      </c>
      <c r="F3838" t="s">
        <v>17</v>
      </c>
      <c r="G3838">
        <v>9</v>
      </c>
    </row>
    <row r="3839" spans="1:7" x14ac:dyDescent="0.35">
      <c r="A3839">
        <v>157284</v>
      </c>
      <c r="B3839">
        <v>0</v>
      </c>
      <c r="C3839" t="s">
        <v>22</v>
      </c>
      <c r="D3839">
        <v>1501</v>
      </c>
      <c r="E3839" t="s">
        <v>93</v>
      </c>
      <c r="F3839" t="s">
        <v>17</v>
      </c>
      <c r="G3839">
        <v>20</v>
      </c>
    </row>
    <row r="3840" spans="1:7" x14ac:dyDescent="0.35">
      <c r="A3840">
        <v>147508</v>
      </c>
      <c r="B3840">
        <v>0</v>
      </c>
      <c r="C3840" t="s">
        <v>22</v>
      </c>
      <c r="D3840">
        <v>0</v>
      </c>
      <c r="E3840" t="s">
        <v>90</v>
      </c>
      <c r="F3840" t="s">
        <v>17</v>
      </c>
      <c r="G3840">
        <v>10</v>
      </c>
    </row>
    <row r="3841" spans="1:7" x14ac:dyDescent="0.35">
      <c r="A3841">
        <v>37575</v>
      </c>
      <c r="B3841">
        <v>1</v>
      </c>
      <c r="C3841" t="s">
        <v>13</v>
      </c>
      <c r="D3841">
        <v>0</v>
      </c>
      <c r="E3841" t="s">
        <v>95</v>
      </c>
      <c r="F3841" t="s">
        <v>14</v>
      </c>
      <c r="G3841">
        <v>50</v>
      </c>
    </row>
    <row r="3842" spans="1:7" x14ac:dyDescent="0.35">
      <c r="A3842">
        <v>91787</v>
      </c>
      <c r="B3842">
        <v>2</v>
      </c>
      <c r="C3842" t="s">
        <v>16</v>
      </c>
      <c r="D3842">
        <v>4601</v>
      </c>
      <c r="E3842" t="s">
        <v>93</v>
      </c>
      <c r="F3842" t="s">
        <v>17</v>
      </c>
      <c r="G3842">
        <v>25</v>
      </c>
    </row>
    <row r="3843" spans="1:7" x14ac:dyDescent="0.35">
      <c r="A3843">
        <v>160292</v>
      </c>
      <c r="B3843">
        <v>2</v>
      </c>
      <c r="C3843" t="s">
        <v>22</v>
      </c>
      <c r="D3843">
        <v>1304</v>
      </c>
      <c r="E3843" t="s">
        <v>98</v>
      </c>
      <c r="F3843" t="s">
        <v>14</v>
      </c>
      <c r="G3843">
        <v>16</v>
      </c>
    </row>
    <row r="3844" spans="1:7" x14ac:dyDescent="0.35">
      <c r="A3844">
        <v>32288</v>
      </c>
      <c r="B3844">
        <v>2</v>
      </c>
      <c r="C3844" t="s">
        <v>13</v>
      </c>
      <c r="D3844">
        <v>3601</v>
      </c>
      <c r="E3844" t="s">
        <v>96</v>
      </c>
      <c r="F3844" t="s">
        <v>17</v>
      </c>
      <c r="G3844">
        <v>10</v>
      </c>
    </row>
    <row r="3845" spans="1:7" x14ac:dyDescent="0.35">
      <c r="A3845">
        <v>14152</v>
      </c>
      <c r="B3845">
        <v>1</v>
      </c>
      <c r="C3845" t="s">
        <v>38</v>
      </c>
      <c r="D3845">
        <v>4508</v>
      </c>
      <c r="E3845" t="s">
        <v>88</v>
      </c>
      <c r="F3845" t="s">
        <v>14</v>
      </c>
      <c r="G3845">
        <v>10</v>
      </c>
    </row>
    <row r="3846" spans="1:7" x14ac:dyDescent="0.35">
      <c r="A3846">
        <v>115346</v>
      </c>
      <c r="B3846">
        <v>0</v>
      </c>
      <c r="C3846" t="s">
        <v>31</v>
      </c>
      <c r="D3846">
        <v>4201</v>
      </c>
      <c r="E3846" t="s">
        <v>98</v>
      </c>
      <c r="F3846" t="s">
        <v>17</v>
      </c>
      <c r="G3846">
        <v>25</v>
      </c>
    </row>
    <row r="3847" spans="1:7" x14ac:dyDescent="0.35">
      <c r="A3847">
        <v>18339</v>
      </c>
      <c r="B3847">
        <v>1</v>
      </c>
      <c r="C3847" t="s">
        <v>18</v>
      </c>
      <c r="D3847">
        <v>4801</v>
      </c>
      <c r="E3847" t="s">
        <v>91</v>
      </c>
      <c r="F3847" t="s">
        <v>14</v>
      </c>
      <c r="G3847">
        <v>10</v>
      </c>
    </row>
    <row r="3848" spans="1:7" x14ac:dyDescent="0.35">
      <c r="A3848">
        <v>26645</v>
      </c>
      <c r="B3848">
        <v>2</v>
      </c>
      <c r="C3848" t="s">
        <v>39</v>
      </c>
      <c r="D3848">
        <v>4901</v>
      </c>
      <c r="E3848" t="s">
        <v>91</v>
      </c>
      <c r="F3848" t="s">
        <v>17</v>
      </c>
      <c r="G3848">
        <v>15</v>
      </c>
    </row>
    <row r="3849" spans="1:7" x14ac:dyDescent="0.35">
      <c r="A3849">
        <v>85617</v>
      </c>
      <c r="B3849">
        <v>0</v>
      </c>
      <c r="C3849" t="s">
        <v>56</v>
      </c>
      <c r="D3849">
        <v>1801</v>
      </c>
      <c r="E3849" t="s">
        <v>91</v>
      </c>
      <c r="F3849" t="s">
        <v>14</v>
      </c>
      <c r="G3849">
        <v>9</v>
      </c>
    </row>
    <row r="3850" spans="1:7" x14ac:dyDescent="0.35">
      <c r="A3850">
        <v>66830</v>
      </c>
      <c r="B3850">
        <v>0</v>
      </c>
      <c r="C3850" t="s">
        <v>29</v>
      </c>
      <c r="D3850">
        <v>2901</v>
      </c>
      <c r="E3850" t="s">
        <v>89</v>
      </c>
      <c r="F3850" t="s">
        <v>17</v>
      </c>
      <c r="G3850">
        <v>10</v>
      </c>
    </row>
    <row r="3851" spans="1:7" x14ac:dyDescent="0.35">
      <c r="A3851">
        <v>152847</v>
      </c>
      <c r="B3851">
        <v>1</v>
      </c>
      <c r="C3851" t="s">
        <v>22</v>
      </c>
      <c r="D3851">
        <v>2001</v>
      </c>
      <c r="E3851" t="s">
        <v>93</v>
      </c>
      <c r="F3851" t="s">
        <v>14</v>
      </c>
      <c r="G3851">
        <v>37</v>
      </c>
    </row>
    <row r="3852" spans="1:7" x14ac:dyDescent="0.35">
      <c r="A3852">
        <v>51426</v>
      </c>
      <c r="B3852">
        <v>1</v>
      </c>
      <c r="C3852" t="s">
        <v>53</v>
      </c>
      <c r="D3852">
        <v>4601</v>
      </c>
      <c r="E3852" t="s">
        <v>89</v>
      </c>
      <c r="F3852" t="s">
        <v>14</v>
      </c>
      <c r="G3852">
        <v>25</v>
      </c>
    </row>
    <row r="3853" spans="1:7" x14ac:dyDescent="0.35">
      <c r="A3853">
        <v>42068</v>
      </c>
      <c r="B3853">
        <v>2</v>
      </c>
      <c r="C3853" t="s">
        <v>13</v>
      </c>
      <c r="D3853">
        <v>1801</v>
      </c>
      <c r="E3853" t="s">
        <v>89</v>
      </c>
      <c r="F3853" t="s">
        <v>17</v>
      </c>
      <c r="G3853">
        <v>10</v>
      </c>
    </row>
    <row r="3854" spans="1:7" x14ac:dyDescent="0.35">
      <c r="A3854">
        <v>66797</v>
      </c>
      <c r="B3854">
        <v>1</v>
      </c>
      <c r="C3854" t="s">
        <v>29</v>
      </c>
      <c r="D3854">
        <v>0</v>
      </c>
      <c r="E3854" t="s">
        <v>93</v>
      </c>
      <c r="F3854" t="s">
        <v>14</v>
      </c>
      <c r="G3854">
        <v>30</v>
      </c>
    </row>
    <row r="3855" spans="1:7" x14ac:dyDescent="0.35">
      <c r="A3855">
        <v>120203</v>
      </c>
      <c r="B3855">
        <v>28</v>
      </c>
      <c r="C3855" t="s">
        <v>21</v>
      </c>
      <c r="D3855">
        <v>3501</v>
      </c>
      <c r="E3855" t="s">
        <v>91</v>
      </c>
      <c r="F3855" t="s">
        <v>17</v>
      </c>
      <c r="G3855">
        <v>20</v>
      </c>
    </row>
    <row r="3856" spans="1:7" x14ac:dyDescent="0.35">
      <c r="A3856">
        <v>113560</v>
      </c>
      <c r="B3856">
        <v>1</v>
      </c>
      <c r="C3856" t="s">
        <v>31</v>
      </c>
      <c r="D3856">
        <v>2804</v>
      </c>
      <c r="E3856" t="s">
        <v>93</v>
      </c>
      <c r="F3856" t="s">
        <v>14</v>
      </c>
      <c r="G3856">
        <v>25</v>
      </c>
    </row>
    <row r="3857" spans="1:7" x14ac:dyDescent="0.35">
      <c r="A3857">
        <v>188854</v>
      </c>
      <c r="B3857">
        <v>0</v>
      </c>
      <c r="C3857" t="s">
        <v>50</v>
      </c>
      <c r="D3857">
        <v>2401</v>
      </c>
      <c r="F3857" t="s">
        <v>17</v>
      </c>
      <c r="G3857">
        <v>5</v>
      </c>
    </row>
    <row r="3858" spans="1:7" x14ac:dyDescent="0.35">
      <c r="A3858">
        <v>80378</v>
      </c>
      <c r="B3858">
        <v>2</v>
      </c>
      <c r="C3858" t="s">
        <v>35</v>
      </c>
      <c r="D3858">
        <v>1209</v>
      </c>
      <c r="E3858" t="s">
        <v>89</v>
      </c>
      <c r="F3858" t="s">
        <v>17</v>
      </c>
      <c r="G3858">
        <v>5</v>
      </c>
    </row>
    <row r="3859" spans="1:7" x14ac:dyDescent="0.35">
      <c r="A3859">
        <v>148227</v>
      </c>
      <c r="B3859">
        <v>1002</v>
      </c>
      <c r="C3859" t="s">
        <v>22</v>
      </c>
      <c r="D3859">
        <v>2801</v>
      </c>
      <c r="E3859" t="s">
        <v>93</v>
      </c>
      <c r="F3859" t="s">
        <v>14</v>
      </c>
      <c r="G3859">
        <v>10</v>
      </c>
    </row>
    <row r="3860" spans="1:7" x14ac:dyDescent="0.35">
      <c r="A3860">
        <v>129360</v>
      </c>
      <c r="B3860">
        <v>0</v>
      </c>
      <c r="C3860" t="s">
        <v>21</v>
      </c>
      <c r="D3860">
        <v>5512</v>
      </c>
      <c r="E3860" t="s">
        <v>90</v>
      </c>
      <c r="F3860" t="s">
        <v>14</v>
      </c>
      <c r="G3860">
        <v>15</v>
      </c>
    </row>
    <row r="3861" spans="1:7" x14ac:dyDescent="0.35">
      <c r="A3861">
        <v>187628</v>
      </c>
      <c r="B3861">
        <v>0</v>
      </c>
      <c r="C3861" t="s">
        <v>57</v>
      </c>
      <c r="D3861">
        <v>0</v>
      </c>
      <c r="E3861" t="s">
        <v>94</v>
      </c>
      <c r="G3861">
        <v>19</v>
      </c>
    </row>
    <row r="3862" spans="1:7" x14ac:dyDescent="0.35">
      <c r="A3862">
        <v>117177</v>
      </c>
      <c r="B3862">
        <v>0</v>
      </c>
      <c r="C3862" t="s">
        <v>21</v>
      </c>
      <c r="D3862">
        <v>1512</v>
      </c>
      <c r="E3862" t="s">
        <v>101</v>
      </c>
      <c r="F3862" t="s">
        <v>17</v>
      </c>
      <c r="G3862">
        <v>9</v>
      </c>
    </row>
    <row r="3863" spans="1:7" x14ac:dyDescent="0.35">
      <c r="A3863">
        <v>13748</v>
      </c>
      <c r="B3863">
        <v>0</v>
      </c>
      <c r="C3863" t="s">
        <v>22</v>
      </c>
      <c r="D3863">
        <v>2509</v>
      </c>
      <c r="F3863" t="s">
        <v>17</v>
      </c>
      <c r="G3863">
        <v>12</v>
      </c>
    </row>
    <row r="3864" spans="1:7" x14ac:dyDescent="0.35">
      <c r="A3864">
        <v>173563</v>
      </c>
      <c r="B3864">
        <v>0</v>
      </c>
      <c r="C3864" t="s">
        <v>37</v>
      </c>
      <c r="D3864">
        <v>3001</v>
      </c>
      <c r="E3864" t="s">
        <v>89</v>
      </c>
      <c r="F3864" t="s">
        <v>17</v>
      </c>
      <c r="G3864">
        <v>30</v>
      </c>
    </row>
    <row r="3865" spans="1:7" x14ac:dyDescent="0.35">
      <c r="A3865">
        <v>39869</v>
      </c>
      <c r="B3865">
        <v>28</v>
      </c>
      <c r="C3865" t="s">
        <v>13</v>
      </c>
      <c r="D3865">
        <v>0</v>
      </c>
      <c r="E3865" t="s">
        <v>90</v>
      </c>
      <c r="F3865" t="s">
        <v>17</v>
      </c>
      <c r="G3865">
        <v>21</v>
      </c>
    </row>
    <row r="3866" spans="1:7" x14ac:dyDescent="0.35">
      <c r="A3866">
        <v>188316</v>
      </c>
      <c r="B3866">
        <v>28</v>
      </c>
      <c r="C3866" t="s">
        <v>13</v>
      </c>
      <c r="D3866">
        <v>2305</v>
      </c>
      <c r="E3866" t="s">
        <v>97</v>
      </c>
      <c r="F3866" t="s">
        <v>17</v>
      </c>
      <c r="G3866">
        <v>10</v>
      </c>
    </row>
    <row r="3867" spans="1:7" x14ac:dyDescent="0.35">
      <c r="A3867">
        <v>74345</v>
      </c>
      <c r="B3867">
        <v>72</v>
      </c>
      <c r="C3867" t="s">
        <v>29</v>
      </c>
      <c r="D3867">
        <v>3504</v>
      </c>
      <c r="E3867" t="s">
        <v>89</v>
      </c>
      <c r="F3867" t="s">
        <v>14</v>
      </c>
      <c r="G3867">
        <v>25</v>
      </c>
    </row>
    <row r="3868" spans="1:7" x14ac:dyDescent="0.35">
      <c r="A3868">
        <v>57496</v>
      </c>
      <c r="B3868">
        <v>0</v>
      </c>
      <c r="C3868" t="s">
        <v>57</v>
      </c>
      <c r="D3868">
        <v>3510</v>
      </c>
      <c r="E3868" t="s">
        <v>89</v>
      </c>
      <c r="F3868" t="s">
        <v>14</v>
      </c>
      <c r="G3868">
        <v>25</v>
      </c>
    </row>
    <row r="3869" spans="1:7" x14ac:dyDescent="0.35">
      <c r="A3869">
        <v>65806</v>
      </c>
      <c r="B3869">
        <v>0</v>
      </c>
      <c r="C3869" t="s">
        <v>29</v>
      </c>
      <c r="D3869">
        <v>3109</v>
      </c>
      <c r="E3869" t="s">
        <v>103</v>
      </c>
      <c r="F3869" t="s">
        <v>17</v>
      </c>
      <c r="G3869">
        <v>5</v>
      </c>
    </row>
    <row r="3870" spans="1:7" x14ac:dyDescent="0.35">
      <c r="A3870">
        <v>152054</v>
      </c>
      <c r="B3870">
        <v>2</v>
      </c>
      <c r="C3870" t="s">
        <v>22</v>
      </c>
      <c r="D3870">
        <v>2401</v>
      </c>
      <c r="E3870" t="s">
        <v>93</v>
      </c>
      <c r="F3870" t="s">
        <v>17</v>
      </c>
      <c r="G3870">
        <v>25</v>
      </c>
    </row>
    <row r="3871" spans="1:7" x14ac:dyDescent="0.35">
      <c r="A3871">
        <v>191064</v>
      </c>
      <c r="B3871">
        <v>0</v>
      </c>
      <c r="C3871" t="s">
        <v>53</v>
      </c>
      <c r="D3871">
        <v>2001</v>
      </c>
      <c r="E3871" t="s">
        <v>96</v>
      </c>
      <c r="F3871" t="s">
        <v>17</v>
      </c>
      <c r="G3871">
        <v>3</v>
      </c>
    </row>
    <row r="3872" spans="1:7" x14ac:dyDescent="0.35">
      <c r="A3872">
        <v>117847</v>
      </c>
      <c r="B3872">
        <v>1</v>
      </c>
      <c r="C3872" t="s">
        <v>21</v>
      </c>
      <c r="D3872">
        <v>4601</v>
      </c>
      <c r="E3872" t="s">
        <v>89</v>
      </c>
      <c r="F3872" t="s">
        <v>14</v>
      </c>
      <c r="G3872">
        <v>20</v>
      </c>
    </row>
    <row r="3873" spans="1:7" x14ac:dyDescent="0.35">
      <c r="A3873">
        <v>137626</v>
      </c>
      <c r="B3873">
        <v>1</v>
      </c>
      <c r="C3873" t="s">
        <v>55</v>
      </c>
      <c r="D3873">
        <v>4801</v>
      </c>
      <c r="E3873" t="s">
        <v>91</v>
      </c>
      <c r="F3873" t="s">
        <v>14</v>
      </c>
      <c r="G3873">
        <v>20</v>
      </c>
    </row>
    <row r="3874" spans="1:7" x14ac:dyDescent="0.35">
      <c r="A3874">
        <v>39659</v>
      </c>
      <c r="B3874">
        <v>0</v>
      </c>
      <c r="C3874" t="s">
        <v>13</v>
      </c>
      <c r="D3874">
        <v>5401</v>
      </c>
      <c r="E3874" t="s">
        <v>97</v>
      </c>
      <c r="F3874" t="s">
        <v>14</v>
      </c>
      <c r="G3874">
        <v>20</v>
      </c>
    </row>
    <row r="3875" spans="1:7" x14ac:dyDescent="0.35">
      <c r="A3875">
        <v>136607</v>
      </c>
      <c r="B3875">
        <v>0</v>
      </c>
      <c r="C3875" t="s">
        <v>55</v>
      </c>
      <c r="D3875">
        <v>2112</v>
      </c>
      <c r="E3875" t="s">
        <v>92</v>
      </c>
      <c r="F3875" t="s">
        <v>14</v>
      </c>
      <c r="G3875">
        <v>32</v>
      </c>
    </row>
    <row r="3876" spans="1:7" x14ac:dyDescent="0.35">
      <c r="A3876">
        <v>61745</v>
      </c>
      <c r="B3876">
        <v>0</v>
      </c>
      <c r="C3876" t="s">
        <v>33</v>
      </c>
      <c r="D3876">
        <v>6401</v>
      </c>
      <c r="E3876" t="s">
        <v>89</v>
      </c>
      <c r="F3876" t="s">
        <v>14</v>
      </c>
      <c r="G3876">
        <v>20</v>
      </c>
    </row>
    <row r="3877" spans="1:7" x14ac:dyDescent="0.35">
      <c r="A3877">
        <v>29875</v>
      </c>
      <c r="B3877">
        <v>1002</v>
      </c>
      <c r="C3877" t="s">
        <v>39</v>
      </c>
      <c r="D3877">
        <v>5901</v>
      </c>
      <c r="E3877" t="s">
        <v>92</v>
      </c>
      <c r="F3877" t="s">
        <v>14</v>
      </c>
      <c r="G3877">
        <v>20</v>
      </c>
    </row>
    <row r="3878" spans="1:7" x14ac:dyDescent="0.35">
      <c r="A3878">
        <v>7174</v>
      </c>
      <c r="B3878">
        <v>0</v>
      </c>
      <c r="C3878" t="s">
        <v>16</v>
      </c>
      <c r="D3878">
        <v>301</v>
      </c>
      <c r="E3878" t="s">
        <v>89</v>
      </c>
      <c r="F3878" t="s">
        <v>17</v>
      </c>
      <c r="G3878">
        <v>10</v>
      </c>
    </row>
    <row r="3879" spans="1:7" x14ac:dyDescent="0.35">
      <c r="A3879">
        <v>166416</v>
      </c>
      <c r="B3879">
        <v>1</v>
      </c>
      <c r="C3879" t="s">
        <v>22</v>
      </c>
      <c r="D3879">
        <v>5301</v>
      </c>
      <c r="E3879" t="s">
        <v>103</v>
      </c>
      <c r="F3879" t="s">
        <v>14</v>
      </c>
      <c r="G3879">
        <v>20</v>
      </c>
    </row>
    <row r="3880" spans="1:7" x14ac:dyDescent="0.35">
      <c r="A3880">
        <v>95408</v>
      </c>
      <c r="B3880">
        <v>0</v>
      </c>
      <c r="C3880" t="s">
        <v>16</v>
      </c>
      <c r="D3880">
        <v>5201</v>
      </c>
      <c r="E3880" t="s">
        <v>91</v>
      </c>
      <c r="F3880" t="s">
        <v>17</v>
      </c>
      <c r="G3880">
        <v>15</v>
      </c>
    </row>
    <row r="3881" spans="1:7" x14ac:dyDescent="0.35">
      <c r="A3881">
        <v>102181</v>
      </c>
      <c r="B3881">
        <v>0</v>
      </c>
      <c r="C3881" t="s">
        <v>36</v>
      </c>
      <c r="D3881">
        <v>3404</v>
      </c>
      <c r="E3881" t="s">
        <v>93</v>
      </c>
      <c r="F3881" t="s">
        <v>17</v>
      </c>
      <c r="G3881">
        <v>15</v>
      </c>
    </row>
    <row r="3882" spans="1:7" x14ac:dyDescent="0.35">
      <c r="A3882">
        <v>155851</v>
      </c>
      <c r="B3882">
        <v>28</v>
      </c>
      <c r="C3882" t="s">
        <v>22</v>
      </c>
      <c r="D3882">
        <v>6201</v>
      </c>
      <c r="E3882" t="s">
        <v>88</v>
      </c>
      <c r="F3882" t="s">
        <v>17</v>
      </c>
      <c r="G3882">
        <v>20</v>
      </c>
    </row>
    <row r="3883" spans="1:7" x14ac:dyDescent="0.35">
      <c r="A3883">
        <v>40421</v>
      </c>
      <c r="B3883">
        <v>1002</v>
      </c>
      <c r="C3883" t="s">
        <v>13</v>
      </c>
      <c r="D3883">
        <v>3911</v>
      </c>
      <c r="E3883" t="s">
        <v>92</v>
      </c>
      <c r="F3883" t="s">
        <v>14</v>
      </c>
      <c r="G3883">
        <v>5</v>
      </c>
    </row>
    <row r="3884" spans="1:7" x14ac:dyDescent="0.35">
      <c r="A3884">
        <v>26346</v>
      </c>
      <c r="B3884">
        <v>0</v>
      </c>
      <c r="C3884" t="s">
        <v>39</v>
      </c>
      <c r="D3884">
        <v>3201</v>
      </c>
      <c r="E3884" t="s">
        <v>93</v>
      </c>
      <c r="F3884" t="s">
        <v>17</v>
      </c>
      <c r="G3884">
        <v>10</v>
      </c>
    </row>
    <row r="3885" spans="1:7" x14ac:dyDescent="0.35">
      <c r="A3885">
        <v>152621</v>
      </c>
      <c r="B3885">
        <v>4</v>
      </c>
      <c r="C3885" t="s">
        <v>22</v>
      </c>
      <c r="D3885">
        <v>1801</v>
      </c>
      <c r="E3885" t="s">
        <v>92</v>
      </c>
      <c r="F3885" t="s">
        <v>14</v>
      </c>
      <c r="G3885">
        <v>10</v>
      </c>
    </row>
    <row r="3886" spans="1:7" x14ac:dyDescent="0.35">
      <c r="A3886">
        <v>164220</v>
      </c>
      <c r="B3886">
        <v>2</v>
      </c>
      <c r="C3886" t="s">
        <v>22</v>
      </c>
      <c r="D3886">
        <v>2601</v>
      </c>
      <c r="E3886" t="s">
        <v>94</v>
      </c>
      <c r="F3886" t="s">
        <v>17</v>
      </c>
      <c r="G3886">
        <v>10</v>
      </c>
    </row>
    <row r="3887" spans="1:7" x14ac:dyDescent="0.35">
      <c r="A3887">
        <v>190477</v>
      </c>
      <c r="B3887">
        <v>2</v>
      </c>
      <c r="C3887" t="s">
        <v>40</v>
      </c>
      <c r="D3887">
        <v>0</v>
      </c>
      <c r="E3887" t="s">
        <v>100</v>
      </c>
      <c r="F3887" t="s">
        <v>14</v>
      </c>
      <c r="G3887">
        <v>25</v>
      </c>
    </row>
    <row r="3888" spans="1:7" x14ac:dyDescent="0.35">
      <c r="A3888">
        <v>58203</v>
      </c>
      <c r="B3888">
        <v>1</v>
      </c>
      <c r="C3888" t="s">
        <v>57</v>
      </c>
      <c r="D3888">
        <v>4401</v>
      </c>
      <c r="E3888" t="s">
        <v>98</v>
      </c>
      <c r="F3888" t="s">
        <v>14</v>
      </c>
      <c r="G3888">
        <v>6</v>
      </c>
    </row>
    <row r="3889" spans="1:7" x14ac:dyDescent="0.35">
      <c r="A3889">
        <v>115188</v>
      </c>
      <c r="B3889">
        <v>2</v>
      </c>
      <c r="C3889" t="s">
        <v>31</v>
      </c>
      <c r="D3889">
        <v>3601</v>
      </c>
      <c r="E3889" t="s">
        <v>98</v>
      </c>
      <c r="F3889" t="s">
        <v>17</v>
      </c>
      <c r="G3889">
        <v>16</v>
      </c>
    </row>
    <row r="3890" spans="1:7" x14ac:dyDescent="0.35">
      <c r="A3890">
        <v>148918</v>
      </c>
      <c r="B3890">
        <v>0</v>
      </c>
      <c r="C3890" t="s">
        <v>22</v>
      </c>
      <c r="D3890">
        <v>0</v>
      </c>
      <c r="E3890" t="s">
        <v>88</v>
      </c>
      <c r="F3890" t="s">
        <v>17</v>
      </c>
      <c r="G3890">
        <v>21</v>
      </c>
    </row>
    <row r="3891" spans="1:7" x14ac:dyDescent="0.35">
      <c r="A3891">
        <v>55117</v>
      </c>
      <c r="B3891">
        <v>0</v>
      </c>
      <c r="C3891" t="s">
        <v>62</v>
      </c>
      <c r="D3891">
        <v>2905</v>
      </c>
      <c r="E3891" t="s">
        <v>93</v>
      </c>
      <c r="F3891" t="s">
        <v>17</v>
      </c>
      <c r="G3891">
        <v>15</v>
      </c>
    </row>
    <row r="3892" spans="1:7" x14ac:dyDescent="0.35">
      <c r="A3892">
        <v>157106</v>
      </c>
      <c r="B3892">
        <v>0</v>
      </c>
      <c r="C3892" t="s">
        <v>22</v>
      </c>
      <c r="D3892">
        <v>5111</v>
      </c>
      <c r="E3892" t="s">
        <v>94</v>
      </c>
      <c r="F3892" t="s">
        <v>17</v>
      </c>
      <c r="G3892">
        <v>26</v>
      </c>
    </row>
    <row r="3893" spans="1:7" x14ac:dyDescent="0.35">
      <c r="A3893">
        <v>183193</v>
      </c>
      <c r="B3893">
        <v>0</v>
      </c>
      <c r="C3893" t="s">
        <v>40</v>
      </c>
      <c r="D3893">
        <v>5801</v>
      </c>
      <c r="E3893" t="s">
        <v>90</v>
      </c>
      <c r="F3893" t="s">
        <v>17</v>
      </c>
      <c r="G3893">
        <v>31</v>
      </c>
    </row>
    <row r="3894" spans="1:7" x14ac:dyDescent="0.35">
      <c r="A3894">
        <v>170402</v>
      </c>
      <c r="B3894">
        <v>0</v>
      </c>
      <c r="C3894" t="s">
        <v>22</v>
      </c>
      <c r="D3894">
        <v>4301</v>
      </c>
      <c r="E3894" t="s">
        <v>100</v>
      </c>
      <c r="F3894" t="s">
        <v>17</v>
      </c>
      <c r="G3894">
        <v>10</v>
      </c>
    </row>
    <row r="3895" spans="1:7" x14ac:dyDescent="0.35">
      <c r="A3895">
        <v>52588</v>
      </c>
      <c r="B3895">
        <v>0</v>
      </c>
      <c r="C3895" t="s">
        <v>53</v>
      </c>
      <c r="D3895">
        <v>0</v>
      </c>
      <c r="E3895" t="s">
        <v>98</v>
      </c>
      <c r="G3895">
        <v>15</v>
      </c>
    </row>
    <row r="3896" spans="1:7" x14ac:dyDescent="0.35">
      <c r="A3896">
        <v>182356</v>
      </c>
      <c r="B3896">
        <v>0</v>
      </c>
      <c r="C3896" t="s">
        <v>40</v>
      </c>
      <c r="D3896">
        <v>3801</v>
      </c>
      <c r="E3896" t="s">
        <v>96</v>
      </c>
      <c r="F3896" t="s">
        <v>17</v>
      </c>
      <c r="G3896">
        <v>12</v>
      </c>
    </row>
    <row r="3897" spans="1:7" x14ac:dyDescent="0.35">
      <c r="A3897">
        <v>43052</v>
      </c>
      <c r="B3897">
        <v>0</v>
      </c>
      <c r="C3897" t="s">
        <v>13</v>
      </c>
      <c r="D3897">
        <v>5407</v>
      </c>
      <c r="E3897" t="s">
        <v>92</v>
      </c>
      <c r="F3897" t="s">
        <v>17</v>
      </c>
      <c r="G3897">
        <v>5</v>
      </c>
    </row>
    <row r="3898" spans="1:7" x14ac:dyDescent="0.35">
      <c r="A3898">
        <v>120050</v>
      </c>
      <c r="B3898">
        <v>1</v>
      </c>
      <c r="C3898" t="s">
        <v>21</v>
      </c>
      <c r="D3898">
        <v>0</v>
      </c>
      <c r="E3898" t="s">
        <v>91</v>
      </c>
      <c r="F3898" t="s">
        <v>14</v>
      </c>
      <c r="G3898">
        <v>21</v>
      </c>
    </row>
    <row r="3899" spans="1:7" x14ac:dyDescent="0.35">
      <c r="A3899">
        <v>186198</v>
      </c>
      <c r="B3899">
        <v>0</v>
      </c>
      <c r="C3899" t="s">
        <v>38</v>
      </c>
      <c r="D3899">
        <v>2301</v>
      </c>
      <c r="E3899" t="s">
        <v>95</v>
      </c>
      <c r="F3899" t="s">
        <v>17</v>
      </c>
      <c r="G3899">
        <v>15</v>
      </c>
    </row>
    <row r="3900" spans="1:7" x14ac:dyDescent="0.35">
      <c r="A3900">
        <v>170864</v>
      </c>
      <c r="B3900">
        <v>28</v>
      </c>
      <c r="C3900" t="s">
        <v>22</v>
      </c>
      <c r="D3900">
        <v>4201</v>
      </c>
      <c r="E3900" t="s">
        <v>93</v>
      </c>
      <c r="F3900" t="s">
        <v>14</v>
      </c>
      <c r="G3900">
        <v>10</v>
      </c>
    </row>
    <row r="3901" spans="1:7" x14ac:dyDescent="0.35">
      <c r="A3901">
        <v>126184</v>
      </c>
      <c r="B3901">
        <v>0</v>
      </c>
      <c r="C3901" t="s">
        <v>21</v>
      </c>
      <c r="D3901">
        <v>2801</v>
      </c>
      <c r="E3901" t="s">
        <v>96</v>
      </c>
      <c r="F3901" t="s">
        <v>17</v>
      </c>
      <c r="G3901">
        <v>7</v>
      </c>
    </row>
    <row r="3902" spans="1:7" x14ac:dyDescent="0.35">
      <c r="A3902">
        <v>25147</v>
      </c>
      <c r="B3902">
        <v>72</v>
      </c>
      <c r="C3902" t="s">
        <v>46</v>
      </c>
      <c r="D3902">
        <v>2101</v>
      </c>
      <c r="E3902" t="s">
        <v>94</v>
      </c>
      <c r="F3902" t="s">
        <v>14</v>
      </c>
      <c r="G3902">
        <v>5</v>
      </c>
    </row>
    <row r="3903" spans="1:7" x14ac:dyDescent="0.35">
      <c r="A3903">
        <v>81200</v>
      </c>
      <c r="B3903">
        <v>1</v>
      </c>
      <c r="C3903" t="s">
        <v>35</v>
      </c>
      <c r="D3903">
        <v>2908</v>
      </c>
      <c r="E3903" t="s">
        <v>91</v>
      </c>
      <c r="F3903" t="s">
        <v>14</v>
      </c>
      <c r="G3903">
        <v>5</v>
      </c>
    </row>
    <row r="3904" spans="1:7" x14ac:dyDescent="0.35">
      <c r="A3904">
        <v>152657</v>
      </c>
      <c r="B3904">
        <v>0</v>
      </c>
      <c r="C3904" t="s">
        <v>22</v>
      </c>
      <c r="D3904">
        <v>5001</v>
      </c>
      <c r="E3904" t="s">
        <v>90</v>
      </c>
      <c r="F3904" t="s">
        <v>17</v>
      </c>
      <c r="G3904">
        <v>15</v>
      </c>
    </row>
    <row r="3905" spans="1:7" x14ac:dyDescent="0.35">
      <c r="A3905">
        <v>16329</v>
      </c>
      <c r="B3905">
        <v>0</v>
      </c>
      <c r="C3905" t="s">
        <v>18</v>
      </c>
      <c r="D3905">
        <v>4701</v>
      </c>
      <c r="E3905" t="s">
        <v>89</v>
      </c>
      <c r="F3905" t="s">
        <v>17</v>
      </c>
      <c r="G3905">
        <v>7</v>
      </c>
    </row>
    <row r="3906" spans="1:7" x14ac:dyDescent="0.35">
      <c r="A3906">
        <v>87508</v>
      </c>
      <c r="B3906">
        <v>1002</v>
      </c>
      <c r="C3906" t="s">
        <v>34</v>
      </c>
      <c r="D3906">
        <v>5207</v>
      </c>
      <c r="E3906" t="s">
        <v>91</v>
      </c>
      <c r="F3906" t="s">
        <v>17</v>
      </c>
      <c r="G3906">
        <v>9</v>
      </c>
    </row>
    <row r="3907" spans="1:7" x14ac:dyDescent="0.35">
      <c r="A3907">
        <v>190311</v>
      </c>
      <c r="B3907">
        <v>1</v>
      </c>
      <c r="C3907" t="s">
        <v>46</v>
      </c>
      <c r="D3907">
        <v>0</v>
      </c>
      <c r="E3907" t="s">
        <v>90</v>
      </c>
      <c r="F3907" t="s">
        <v>14</v>
      </c>
      <c r="G3907">
        <v>15</v>
      </c>
    </row>
    <row r="3908" spans="1:7" x14ac:dyDescent="0.35">
      <c r="A3908">
        <v>165314</v>
      </c>
      <c r="B3908">
        <v>0</v>
      </c>
      <c r="C3908" t="s">
        <v>22</v>
      </c>
      <c r="D3908">
        <v>4701</v>
      </c>
      <c r="E3908" t="s">
        <v>93</v>
      </c>
      <c r="F3908" t="s">
        <v>17</v>
      </c>
      <c r="G3908">
        <v>25</v>
      </c>
    </row>
    <row r="3909" spans="1:7" x14ac:dyDescent="0.35">
      <c r="A3909">
        <v>160570</v>
      </c>
      <c r="B3909">
        <v>0</v>
      </c>
      <c r="C3909" t="s">
        <v>40</v>
      </c>
      <c r="D3909">
        <v>2401</v>
      </c>
      <c r="E3909" t="s">
        <v>94</v>
      </c>
      <c r="F3909" t="s">
        <v>14</v>
      </c>
      <c r="G3909">
        <v>15</v>
      </c>
    </row>
    <row r="3910" spans="1:7" x14ac:dyDescent="0.35">
      <c r="A3910">
        <v>151806</v>
      </c>
      <c r="B3910">
        <v>1</v>
      </c>
      <c r="C3910" t="s">
        <v>22</v>
      </c>
      <c r="D3910">
        <v>2501</v>
      </c>
      <c r="E3910" t="s">
        <v>90</v>
      </c>
      <c r="F3910" t="s">
        <v>14</v>
      </c>
      <c r="G3910">
        <v>4</v>
      </c>
    </row>
    <row r="3911" spans="1:7" x14ac:dyDescent="0.35">
      <c r="A3911">
        <v>51731</v>
      </c>
      <c r="B3911">
        <v>1</v>
      </c>
      <c r="C3911" t="s">
        <v>53</v>
      </c>
      <c r="D3911">
        <v>5101</v>
      </c>
      <c r="E3911" t="s">
        <v>89</v>
      </c>
      <c r="F3911" t="s">
        <v>14</v>
      </c>
      <c r="G3911">
        <v>20</v>
      </c>
    </row>
    <row r="3912" spans="1:7" x14ac:dyDescent="0.35">
      <c r="A3912">
        <v>17418</v>
      </c>
      <c r="B3912">
        <v>0</v>
      </c>
      <c r="C3912" t="s">
        <v>18</v>
      </c>
      <c r="D3912">
        <v>5401</v>
      </c>
      <c r="E3912" t="s">
        <v>93</v>
      </c>
      <c r="F3912" t="s">
        <v>17</v>
      </c>
      <c r="G3912">
        <v>13</v>
      </c>
    </row>
    <row r="3913" spans="1:7" x14ac:dyDescent="0.35">
      <c r="A3913">
        <v>103953</v>
      </c>
      <c r="B3913">
        <v>0</v>
      </c>
      <c r="C3913" t="s">
        <v>36</v>
      </c>
      <c r="D3913">
        <v>0</v>
      </c>
      <c r="E3913" t="s">
        <v>89</v>
      </c>
      <c r="F3913" t="s">
        <v>17</v>
      </c>
      <c r="G3913">
        <v>5</v>
      </c>
    </row>
    <row r="3914" spans="1:7" x14ac:dyDescent="0.35">
      <c r="A3914">
        <v>14552</v>
      </c>
      <c r="B3914">
        <v>0</v>
      </c>
      <c r="C3914" t="s">
        <v>13</v>
      </c>
      <c r="D3914">
        <v>4906</v>
      </c>
      <c r="E3914" t="s">
        <v>94</v>
      </c>
      <c r="F3914" t="s">
        <v>14</v>
      </c>
      <c r="G3914">
        <v>16</v>
      </c>
    </row>
    <row r="3915" spans="1:7" x14ac:dyDescent="0.35">
      <c r="A3915">
        <v>186109</v>
      </c>
      <c r="B3915">
        <v>28028</v>
      </c>
      <c r="C3915" t="s">
        <v>16</v>
      </c>
      <c r="D3915">
        <v>1309</v>
      </c>
      <c r="E3915" t="s">
        <v>89</v>
      </c>
      <c r="F3915" t="s">
        <v>17</v>
      </c>
      <c r="G3915">
        <v>8</v>
      </c>
    </row>
    <row r="3916" spans="1:7" x14ac:dyDescent="0.35">
      <c r="A3916">
        <v>40283</v>
      </c>
      <c r="B3916">
        <v>0</v>
      </c>
      <c r="C3916" t="s">
        <v>13</v>
      </c>
      <c r="D3916">
        <v>5502</v>
      </c>
      <c r="E3916" t="s">
        <v>88</v>
      </c>
      <c r="F3916" t="s">
        <v>17</v>
      </c>
      <c r="G3916">
        <v>25</v>
      </c>
    </row>
    <row r="3917" spans="1:7" x14ac:dyDescent="0.35">
      <c r="A3917">
        <v>142161</v>
      </c>
      <c r="B3917">
        <v>0</v>
      </c>
      <c r="C3917" t="s">
        <v>24</v>
      </c>
      <c r="D3917">
        <v>3001</v>
      </c>
      <c r="E3917" t="s">
        <v>89</v>
      </c>
      <c r="F3917" t="s">
        <v>14</v>
      </c>
      <c r="G3917">
        <v>5</v>
      </c>
    </row>
    <row r="3918" spans="1:7" x14ac:dyDescent="0.35">
      <c r="A3918">
        <v>181337</v>
      </c>
      <c r="B3918">
        <v>2</v>
      </c>
      <c r="C3918" t="s">
        <v>40</v>
      </c>
      <c r="D3918">
        <v>3011</v>
      </c>
      <c r="E3918" t="s">
        <v>92</v>
      </c>
      <c r="F3918" t="s">
        <v>17</v>
      </c>
      <c r="G3918">
        <v>12</v>
      </c>
    </row>
    <row r="3919" spans="1:7" x14ac:dyDescent="0.35">
      <c r="A3919">
        <v>161646</v>
      </c>
      <c r="B3919">
        <v>1</v>
      </c>
      <c r="C3919" t="s">
        <v>22</v>
      </c>
      <c r="D3919">
        <v>0</v>
      </c>
      <c r="E3919" t="s">
        <v>92</v>
      </c>
      <c r="F3919" t="s">
        <v>14</v>
      </c>
      <c r="G3919">
        <v>23</v>
      </c>
    </row>
    <row r="3920" spans="1:7" x14ac:dyDescent="0.35">
      <c r="A3920">
        <v>181869</v>
      </c>
      <c r="B3920">
        <v>1</v>
      </c>
      <c r="C3920" t="s">
        <v>40</v>
      </c>
      <c r="D3920">
        <v>2201</v>
      </c>
      <c r="E3920" t="s">
        <v>89</v>
      </c>
      <c r="F3920" t="s">
        <v>14</v>
      </c>
      <c r="G3920">
        <v>10</v>
      </c>
    </row>
    <row r="3921" spans="1:7" x14ac:dyDescent="0.35">
      <c r="A3921">
        <v>55302</v>
      </c>
      <c r="B3921">
        <v>0</v>
      </c>
      <c r="C3921" t="s">
        <v>62</v>
      </c>
      <c r="D3921">
        <v>2402</v>
      </c>
      <c r="E3921" t="s">
        <v>93</v>
      </c>
      <c r="F3921" t="s">
        <v>14</v>
      </c>
      <c r="G3921">
        <v>15</v>
      </c>
    </row>
    <row r="3922" spans="1:7" x14ac:dyDescent="0.35">
      <c r="A3922">
        <v>189508</v>
      </c>
      <c r="B3922">
        <v>1</v>
      </c>
      <c r="C3922" t="s">
        <v>16</v>
      </c>
      <c r="D3922">
        <v>0</v>
      </c>
      <c r="F3922" t="s">
        <v>14</v>
      </c>
      <c r="G3922">
        <v>7</v>
      </c>
    </row>
    <row r="3923" spans="1:7" x14ac:dyDescent="0.35">
      <c r="A3923">
        <v>129031</v>
      </c>
      <c r="B3923">
        <v>1002</v>
      </c>
      <c r="C3923" t="s">
        <v>21</v>
      </c>
      <c r="D3923">
        <v>1702</v>
      </c>
      <c r="E3923" t="s">
        <v>95</v>
      </c>
      <c r="F3923" t="s">
        <v>14</v>
      </c>
      <c r="G3923">
        <v>10</v>
      </c>
    </row>
    <row r="3924" spans="1:7" x14ac:dyDescent="0.35">
      <c r="A3924">
        <v>177962</v>
      </c>
      <c r="B3924">
        <v>2</v>
      </c>
      <c r="C3924" t="s">
        <v>50</v>
      </c>
      <c r="D3924">
        <v>2305</v>
      </c>
      <c r="E3924" t="s">
        <v>89</v>
      </c>
      <c r="F3924" t="s">
        <v>14</v>
      </c>
      <c r="G3924">
        <v>5</v>
      </c>
    </row>
    <row r="3925" spans="1:7" x14ac:dyDescent="0.35">
      <c r="A3925">
        <v>171832</v>
      </c>
      <c r="B3925">
        <v>4</v>
      </c>
      <c r="C3925" t="s">
        <v>22</v>
      </c>
      <c r="D3925">
        <v>0</v>
      </c>
      <c r="E3925" t="s">
        <v>103</v>
      </c>
      <c r="F3925" t="s">
        <v>14</v>
      </c>
      <c r="G3925">
        <v>25</v>
      </c>
    </row>
    <row r="3926" spans="1:7" x14ac:dyDescent="0.35">
      <c r="A3926">
        <v>57992</v>
      </c>
      <c r="B3926">
        <v>1</v>
      </c>
      <c r="C3926" t="s">
        <v>57</v>
      </c>
      <c r="D3926">
        <v>4611</v>
      </c>
      <c r="E3926" t="s">
        <v>100</v>
      </c>
      <c r="F3926" t="s">
        <v>14</v>
      </c>
      <c r="G3926">
        <v>5</v>
      </c>
    </row>
    <row r="3927" spans="1:7" x14ac:dyDescent="0.35">
      <c r="A3927">
        <v>132154</v>
      </c>
      <c r="B3927">
        <v>1</v>
      </c>
      <c r="C3927" t="s">
        <v>48</v>
      </c>
      <c r="D3927">
        <v>1701</v>
      </c>
      <c r="E3927" t="s">
        <v>94</v>
      </c>
      <c r="F3927" t="s">
        <v>14</v>
      </c>
      <c r="G3927">
        <v>15</v>
      </c>
    </row>
    <row r="3928" spans="1:7" x14ac:dyDescent="0.35">
      <c r="A3928">
        <v>150191</v>
      </c>
      <c r="B3928">
        <v>1</v>
      </c>
      <c r="C3928" t="s">
        <v>22</v>
      </c>
      <c r="D3928">
        <v>4405</v>
      </c>
      <c r="E3928" t="s">
        <v>90</v>
      </c>
      <c r="F3928" t="s">
        <v>14</v>
      </c>
      <c r="G3928">
        <v>11</v>
      </c>
    </row>
    <row r="3929" spans="1:7" x14ac:dyDescent="0.35">
      <c r="A3929">
        <v>25107</v>
      </c>
      <c r="B3929">
        <v>2</v>
      </c>
      <c r="C3929" t="s">
        <v>46</v>
      </c>
      <c r="D3929">
        <v>4805</v>
      </c>
      <c r="E3929" t="s">
        <v>91</v>
      </c>
      <c r="F3929" t="s">
        <v>17</v>
      </c>
      <c r="G3929">
        <v>5</v>
      </c>
    </row>
    <row r="3930" spans="1:7" x14ac:dyDescent="0.35">
      <c r="A3930">
        <v>59645</v>
      </c>
      <c r="B3930">
        <v>0</v>
      </c>
      <c r="C3930" t="s">
        <v>33</v>
      </c>
      <c r="D3930">
        <v>3910</v>
      </c>
      <c r="E3930" t="s">
        <v>90</v>
      </c>
      <c r="F3930" t="s">
        <v>17</v>
      </c>
      <c r="G3930">
        <v>4</v>
      </c>
    </row>
    <row r="3931" spans="1:7" x14ac:dyDescent="0.35">
      <c r="A3931">
        <v>139224</v>
      </c>
      <c r="B3931">
        <v>0</v>
      </c>
      <c r="C3931" t="s">
        <v>54</v>
      </c>
      <c r="D3931">
        <v>0</v>
      </c>
      <c r="E3931" t="s">
        <v>98</v>
      </c>
      <c r="F3931" t="s">
        <v>17</v>
      </c>
      <c r="G3931">
        <v>15</v>
      </c>
    </row>
    <row r="3932" spans="1:7" x14ac:dyDescent="0.35">
      <c r="A3932">
        <v>53078</v>
      </c>
      <c r="B3932">
        <v>28</v>
      </c>
      <c r="C3932" t="s">
        <v>53</v>
      </c>
      <c r="D3932">
        <v>5305</v>
      </c>
      <c r="E3932" t="s">
        <v>94</v>
      </c>
      <c r="F3932" t="s">
        <v>17</v>
      </c>
      <c r="G3932">
        <v>25</v>
      </c>
    </row>
    <row r="3933" spans="1:7" x14ac:dyDescent="0.35">
      <c r="A3933">
        <v>125593</v>
      </c>
      <c r="B3933">
        <v>2</v>
      </c>
      <c r="C3933" t="s">
        <v>21</v>
      </c>
      <c r="D3933">
        <v>1609</v>
      </c>
      <c r="E3933" t="s">
        <v>93</v>
      </c>
      <c r="F3933" t="s">
        <v>17</v>
      </c>
      <c r="G3933">
        <v>25</v>
      </c>
    </row>
    <row r="3934" spans="1:7" x14ac:dyDescent="0.35">
      <c r="A3934">
        <v>185525</v>
      </c>
      <c r="B3934">
        <v>1</v>
      </c>
      <c r="C3934" t="s">
        <v>28</v>
      </c>
      <c r="D3934">
        <v>4907</v>
      </c>
      <c r="E3934" t="s">
        <v>93</v>
      </c>
      <c r="F3934" t="s">
        <v>14</v>
      </c>
      <c r="G3934">
        <v>21</v>
      </c>
    </row>
    <row r="3935" spans="1:7" x14ac:dyDescent="0.35">
      <c r="A3935">
        <v>109848</v>
      </c>
      <c r="B3935">
        <v>0</v>
      </c>
      <c r="C3935" t="s">
        <v>49</v>
      </c>
      <c r="D3935">
        <v>4701</v>
      </c>
      <c r="E3935" t="s">
        <v>90</v>
      </c>
      <c r="F3935" t="s">
        <v>30</v>
      </c>
      <c r="G3935">
        <v>21</v>
      </c>
    </row>
    <row r="3936" spans="1:7" x14ac:dyDescent="0.35">
      <c r="A3936">
        <v>170098</v>
      </c>
      <c r="B3936">
        <v>2</v>
      </c>
      <c r="C3936" t="s">
        <v>22</v>
      </c>
      <c r="D3936">
        <v>2801</v>
      </c>
      <c r="E3936" t="s">
        <v>91</v>
      </c>
      <c r="F3936" t="s">
        <v>17</v>
      </c>
      <c r="G3936">
        <v>10</v>
      </c>
    </row>
    <row r="3937" spans="1:7" x14ac:dyDescent="0.35">
      <c r="A3937">
        <v>171358</v>
      </c>
      <c r="B3937">
        <v>0</v>
      </c>
      <c r="C3937" t="s">
        <v>22</v>
      </c>
      <c r="D3937">
        <v>1802</v>
      </c>
      <c r="E3937" t="s">
        <v>94</v>
      </c>
      <c r="F3937" t="s">
        <v>14</v>
      </c>
      <c r="G3937">
        <v>30</v>
      </c>
    </row>
    <row r="3938" spans="1:7" x14ac:dyDescent="0.35">
      <c r="A3938">
        <v>46165</v>
      </c>
      <c r="B3938">
        <v>0</v>
      </c>
      <c r="C3938" t="s">
        <v>13</v>
      </c>
      <c r="D3938">
        <v>2407</v>
      </c>
      <c r="E3938" t="s">
        <v>89</v>
      </c>
      <c r="F3938" t="s">
        <v>17</v>
      </c>
      <c r="G3938">
        <v>15</v>
      </c>
    </row>
    <row r="3939" spans="1:7" x14ac:dyDescent="0.35">
      <c r="A3939">
        <v>121640</v>
      </c>
      <c r="B3939">
        <v>2</v>
      </c>
      <c r="C3939" t="s">
        <v>21</v>
      </c>
      <c r="D3939">
        <v>6401</v>
      </c>
      <c r="E3939" t="s">
        <v>92</v>
      </c>
      <c r="F3939" t="s">
        <v>17</v>
      </c>
      <c r="G3939">
        <v>35</v>
      </c>
    </row>
    <row r="3940" spans="1:7" x14ac:dyDescent="0.35">
      <c r="A3940">
        <v>178423</v>
      </c>
      <c r="B3940">
        <v>0</v>
      </c>
      <c r="C3940" t="s">
        <v>40</v>
      </c>
      <c r="D3940">
        <v>0</v>
      </c>
      <c r="E3940" t="s">
        <v>93</v>
      </c>
      <c r="F3940" t="s">
        <v>17</v>
      </c>
      <c r="G3940">
        <v>15</v>
      </c>
    </row>
    <row r="3941" spans="1:7" x14ac:dyDescent="0.35">
      <c r="A3941">
        <v>153528</v>
      </c>
      <c r="B3941">
        <v>0</v>
      </c>
      <c r="C3941" t="s">
        <v>22</v>
      </c>
      <c r="D3941">
        <v>0</v>
      </c>
      <c r="E3941" t="s">
        <v>90</v>
      </c>
      <c r="F3941" t="s">
        <v>17</v>
      </c>
      <c r="G3941">
        <v>5</v>
      </c>
    </row>
    <row r="3942" spans="1:7" x14ac:dyDescent="0.35">
      <c r="A3942">
        <v>56367</v>
      </c>
      <c r="B3942">
        <v>1</v>
      </c>
      <c r="C3942" t="s">
        <v>57</v>
      </c>
      <c r="D3942">
        <v>4701</v>
      </c>
      <c r="E3942" t="s">
        <v>91</v>
      </c>
      <c r="F3942" t="s">
        <v>14</v>
      </c>
      <c r="G3942">
        <v>5</v>
      </c>
    </row>
    <row r="3943" spans="1:7" x14ac:dyDescent="0.35">
      <c r="A3943">
        <v>49565</v>
      </c>
      <c r="B3943">
        <v>1</v>
      </c>
      <c r="C3943" t="s">
        <v>43</v>
      </c>
      <c r="D3943">
        <v>4401</v>
      </c>
      <c r="E3943" t="s">
        <v>94</v>
      </c>
      <c r="F3943" t="s">
        <v>14</v>
      </c>
      <c r="G3943">
        <v>5</v>
      </c>
    </row>
    <row r="3944" spans="1:7" x14ac:dyDescent="0.35">
      <c r="A3944">
        <v>86692</v>
      </c>
      <c r="B3944">
        <v>1</v>
      </c>
      <c r="C3944" t="s">
        <v>45</v>
      </c>
      <c r="D3944">
        <v>4001</v>
      </c>
      <c r="E3944" t="s">
        <v>89</v>
      </c>
      <c r="F3944" t="s">
        <v>14</v>
      </c>
      <c r="G3944">
        <v>19</v>
      </c>
    </row>
    <row r="3945" spans="1:7" x14ac:dyDescent="0.35">
      <c r="A3945">
        <v>7082</v>
      </c>
      <c r="B3945">
        <v>28</v>
      </c>
      <c r="C3945" t="s">
        <v>22</v>
      </c>
      <c r="D3945">
        <v>1701</v>
      </c>
      <c r="E3945" t="s">
        <v>95</v>
      </c>
      <c r="F3945" t="s">
        <v>17</v>
      </c>
      <c r="G3945">
        <v>10</v>
      </c>
    </row>
    <row r="3946" spans="1:7" x14ac:dyDescent="0.35">
      <c r="A3946">
        <v>116539</v>
      </c>
      <c r="B3946">
        <v>0</v>
      </c>
      <c r="C3946" t="s">
        <v>22</v>
      </c>
      <c r="D3946">
        <v>3001</v>
      </c>
      <c r="E3946" t="s">
        <v>89</v>
      </c>
      <c r="F3946" t="s">
        <v>17</v>
      </c>
      <c r="G3946">
        <v>19</v>
      </c>
    </row>
    <row r="3947" spans="1:7" x14ac:dyDescent="0.35">
      <c r="A3947">
        <v>65656</v>
      </c>
      <c r="B3947">
        <v>0</v>
      </c>
      <c r="C3947" t="s">
        <v>29</v>
      </c>
      <c r="D3947">
        <v>0</v>
      </c>
      <c r="E3947" t="s">
        <v>97</v>
      </c>
      <c r="G3947">
        <v>25</v>
      </c>
    </row>
    <row r="3948" spans="1:7" x14ac:dyDescent="0.35">
      <c r="A3948">
        <v>121986</v>
      </c>
      <c r="B3948">
        <v>0</v>
      </c>
      <c r="C3948" t="s">
        <v>21</v>
      </c>
      <c r="D3948">
        <v>0</v>
      </c>
      <c r="E3948" t="s">
        <v>101</v>
      </c>
      <c r="F3948" t="s">
        <v>17</v>
      </c>
      <c r="G3948">
        <v>3</v>
      </c>
    </row>
    <row r="3949" spans="1:7" x14ac:dyDescent="0.35">
      <c r="A3949">
        <v>83718</v>
      </c>
      <c r="B3949">
        <v>0</v>
      </c>
      <c r="C3949" t="s">
        <v>56</v>
      </c>
      <c r="D3949">
        <v>1601</v>
      </c>
      <c r="E3949" t="s">
        <v>88</v>
      </c>
      <c r="F3949" t="s">
        <v>17</v>
      </c>
      <c r="G3949">
        <v>3</v>
      </c>
    </row>
    <row r="3950" spans="1:7" x14ac:dyDescent="0.35">
      <c r="A3950">
        <v>80336</v>
      </c>
      <c r="B3950">
        <v>2</v>
      </c>
      <c r="C3950" t="s">
        <v>35</v>
      </c>
      <c r="D3950">
        <v>3001</v>
      </c>
      <c r="E3950" t="s">
        <v>88</v>
      </c>
      <c r="F3950" t="s">
        <v>17</v>
      </c>
      <c r="G3950">
        <v>12</v>
      </c>
    </row>
    <row r="3951" spans="1:7" x14ac:dyDescent="0.35">
      <c r="A3951">
        <v>72166</v>
      </c>
      <c r="B3951">
        <v>28</v>
      </c>
      <c r="C3951" t="s">
        <v>29</v>
      </c>
      <c r="D3951">
        <v>5801</v>
      </c>
      <c r="E3951" t="s">
        <v>89</v>
      </c>
      <c r="F3951" t="s">
        <v>17</v>
      </c>
      <c r="G3951">
        <v>20</v>
      </c>
    </row>
    <row r="3952" spans="1:7" x14ac:dyDescent="0.35">
      <c r="A3952">
        <v>150945</v>
      </c>
      <c r="B3952">
        <v>1</v>
      </c>
      <c r="C3952" t="s">
        <v>22</v>
      </c>
      <c r="D3952">
        <v>0</v>
      </c>
      <c r="E3952" t="s">
        <v>101</v>
      </c>
      <c r="F3952" t="s">
        <v>17</v>
      </c>
      <c r="G3952">
        <v>20</v>
      </c>
    </row>
    <row r="3953" spans="1:7" x14ac:dyDescent="0.35">
      <c r="A3953">
        <v>132847</v>
      </c>
      <c r="B3953">
        <v>1</v>
      </c>
      <c r="C3953" t="s">
        <v>66</v>
      </c>
      <c r="D3953">
        <v>6801</v>
      </c>
      <c r="E3953" t="s">
        <v>104</v>
      </c>
      <c r="F3953" t="s">
        <v>14</v>
      </c>
      <c r="G3953">
        <v>10</v>
      </c>
    </row>
    <row r="3954" spans="1:7" x14ac:dyDescent="0.35">
      <c r="A3954">
        <v>21244</v>
      </c>
      <c r="B3954">
        <v>0</v>
      </c>
      <c r="C3954" t="s">
        <v>18</v>
      </c>
      <c r="D3954">
        <v>2307</v>
      </c>
      <c r="E3954" t="s">
        <v>100</v>
      </c>
      <c r="F3954" t="s">
        <v>17</v>
      </c>
      <c r="G3954">
        <v>12</v>
      </c>
    </row>
    <row r="3955" spans="1:7" x14ac:dyDescent="0.35">
      <c r="A3955">
        <v>82618</v>
      </c>
      <c r="B3955">
        <v>0</v>
      </c>
      <c r="C3955" t="s">
        <v>56</v>
      </c>
      <c r="D3955">
        <v>6001</v>
      </c>
      <c r="E3955" t="s">
        <v>90</v>
      </c>
      <c r="F3955" t="s">
        <v>14</v>
      </c>
      <c r="G3955">
        <v>5</v>
      </c>
    </row>
    <row r="3956" spans="1:7" x14ac:dyDescent="0.35">
      <c r="A3956">
        <v>169044</v>
      </c>
      <c r="B3956">
        <v>0</v>
      </c>
      <c r="C3956" t="s">
        <v>22</v>
      </c>
      <c r="D3956">
        <v>3401</v>
      </c>
      <c r="E3956" t="s">
        <v>91</v>
      </c>
      <c r="F3956" t="s">
        <v>17</v>
      </c>
      <c r="G3956">
        <v>15</v>
      </c>
    </row>
    <row r="3957" spans="1:7" x14ac:dyDescent="0.35">
      <c r="A3957">
        <v>165830</v>
      </c>
      <c r="B3957">
        <v>0</v>
      </c>
      <c r="C3957" t="s">
        <v>22</v>
      </c>
      <c r="D3957">
        <v>5510</v>
      </c>
      <c r="E3957" t="s">
        <v>92</v>
      </c>
      <c r="F3957" t="s">
        <v>17</v>
      </c>
      <c r="G3957">
        <v>25</v>
      </c>
    </row>
    <row r="3958" spans="1:7" x14ac:dyDescent="0.35">
      <c r="A3958">
        <v>165820</v>
      </c>
      <c r="B3958">
        <v>2</v>
      </c>
      <c r="C3958" t="s">
        <v>22</v>
      </c>
      <c r="D3958">
        <v>2201</v>
      </c>
      <c r="E3958" t="s">
        <v>92</v>
      </c>
      <c r="F3958" t="s">
        <v>17</v>
      </c>
      <c r="G3958">
        <v>20</v>
      </c>
    </row>
    <row r="3959" spans="1:7" x14ac:dyDescent="0.35">
      <c r="A3959">
        <v>29010</v>
      </c>
      <c r="B3959">
        <v>2</v>
      </c>
      <c r="C3959" t="s">
        <v>49</v>
      </c>
      <c r="D3959">
        <v>5001</v>
      </c>
      <c r="E3959" t="s">
        <v>91</v>
      </c>
      <c r="F3959" t="s">
        <v>14</v>
      </c>
      <c r="G3959">
        <v>24</v>
      </c>
    </row>
    <row r="3960" spans="1:7" x14ac:dyDescent="0.35">
      <c r="A3960">
        <v>159721</v>
      </c>
      <c r="B3960">
        <v>0</v>
      </c>
      <c r="C3960" t="s">
        <v>22</v>
      </c>
      <c r="D3960">
        <v>3811</v>
      </c>
      <c r="E3960" t="s">
        <v>104</v>
      </c>
      <c r="F3960" t="s">
        <v>17</v>
      </c>
      <c r="G3960">
        <v>35</v>
      </c>
    </row>
    <row r="3961" spans="1:7" x14ac:dyDescent="0.35">
      <c r="A3961">
        <v>47709</v>
      </c>
      <c r="B3961">
        <v>1002</v>
      </c>
      <c r="C3961" t="s">
        <v>43</v>
      </c>
      <c r="D3961">
        <v>2008</v>
      </c>
      <c r="E3961" t="s">
        <v>98</v>
      </c>
      <c r="F3961" t="s">
        <v>44</v>
      </c>
      <c r="G3961">
        <v>20</v>
      </c>
    </row>
    <row r="3962" spans="1:7" x14ac:dyDescent="0.35">
      <c r="A3962">
        <v>174152</v>
      </c>
      <c r="B3962">
        <v>2</v>
      </c>
      <c r="C3962" t="s">
        <v>37</v>
      </c>
      <c r="D3962">
        <v>3001</v>
      </c>
      <c r="E3962" t="s">
        <v>93</v>
      </c>
      <c r="F3962" t="s">
        <v>17</v>
      </c>
      <c r="G3962">
        <v>26</v>
      </c>
    </row>
    <row r="3963" spans="1:7" x14ac:dyDescent="0.35">
      <c r="A3963">
        <v>36776</v>
      </c>
      <c r="B3963">
        <v>1</v>
      </c>
      <c r="C3963" t="s">
        <v>13</v>
      </c>
      <c r="D3963">
        <v>2601</v>
      </c>
      <c r="E3963" t="s">
        <v>97</v>
      </c>
      <c r="F3963" t="s">
        <v>14</v>
      </c>
      <c r="G3963">
        <v>20</v>
      </c>
    </row>
    <row r="3964" spans="1:7" x14ac:dyDescent="0.35">
      <c r="A3964">
        <v>57899</v>
      </c>
      <c r="B3964">
        <v>0</v>
      </c>
      <c r="C3964" t="s">
        <v>57</v>
      </c>
      <c r="D3964">
        <v>0</v>
      </c>
      <c r="E3964" t="s">
        <v>90</v>
      </c>
      <c r="F3964" t="s">
        <v>17</v>
      </c>
      <c r="G3964">
        <v>10</v>
      </c>
    </row>
    <row r="3965" spans="1:7" x14ac:dyDescent="0.35">
      <c r="A3965">
        <v>105305</v>
      </c>
      <c r="B3965">
        <v>1</v>
      </c>
      <c r="C3965" t="s">
        <v>28</v>
      </c>
      <c r="D3965">
        <v>0</v>
      </c>
      <c r="E3965" t="s">
        <v>98</v>
      </c>
      <c r="F3965" t="s">
        <v>14</v>
      </c>
      <c r="G3965">
        <v>6</v>
      </c>
    </row>
    <row r="3966" spans="1:7" x14ac:dyDescent="0.35">
      <c r="A3966">
        <v>108635</v>
      </c>
      <c r="B3966">
        <v>1</v>
      </c>
      <c r="C3966" t="s">
        <v>49</v>
      </c>
      <c r="D3966">
        <v>4310</v>
      </c>
      <c r="E3966" t="s">
        <v>94</v>
      </c>
      <c r="F3966" t="s">
        <v>14</v>
      </c>
      <c r="G3966">
        <v>5</v>
      </c>
    </row>
    <row r="3967" spans="1:7" x14ac:dyDescent="0.35">
      <c r="A3967">
        <v>44800</v>
      </c>
      <c r="B3967">
        <v>28</v>
      </c>
      <c r="C3967" t="s">
        <v>13</v>
      </c>
      <c r="D3967">
        <v>0</v>
      </c>
      <c r="E3967" t="s">
        <v>89</v>
      </c>
      <c r="G3967">
        <v>5</v>
      </c>
    </row>
    <row r="3968" spans="1:7" x14ac:dyDescent="0.35">
      <c r="A3968">
        <v>112944</v>
      </c>
      <c r="B3968">
        <v>2</v>
      </c>
      <c r="C3968" t="s">
        <v>31</v>
      </c>
      <c r="D3968">
        <v>601</v>
      </c>
      <c r="E3968" t="s">
        <v>92</v>
      </c>
      <c r="F3968" t="s">
        <v>17</v>
      </c>
      <c r="G3968">
        <v>15</v>
      </c>
    </row>
    <row r="3969" spans="1:7" x14ac:dyDescent="0.35">
      <c r="A3969">
        <v>128059</v>
      </c>
      <c r="B3969">
        <v>1</v>
      </c>
      <c r="C3969" t="s">
        <v>21</v>
      </c>
      <c r="D3969">
        <v>0</v>
      </c>
      <c r="E3969" t="s">
        <v>91</v>
      </c>
      <c r="F3969" t="s">
        <v>14</v>
      </c>
      <c r="G3969">
        <v>20</v>
      </c>
    </row>
    <row r="3970" spans="1:7" x14ac:dyDescent="0.35">
      <c r="A3970">
        <v>109961</v>
      </c>
      <c r="B3970">
        <v>28</v>
      </c>
      <c r="C3970" t="s">
        <v>49</v>
      </c>
      <c r="D3970">
        <v>4901</v>
      </c>
      <c r="E3970" t="s">
        <v>98</v>
      </c>
      <c r="F3970" t="s">
        <v>17</v>
      </c>
      <c r="G3970">
        <v>20</v>
      </c>
    </row>
    <row r="3971" spans="1:7" x14ac:dyDescent="0.35">
      <c r="A3971">
        <v>27634</v>
      </c>
      <c r="B3971">
        <v>0</v>
      </c>
      <c r="C3971" t="s">
        <v>69</v>
      </c>
      <c r="D3971">
        <v>0</v>
      </c>
      <c r="E3971" t="s">
        <v>94</v>
      </c>
      <c r="F3971" t="s">
        <v>14</v>
      </c>
      <c r="G3971">
        <v>5</v>
      </c>
    </row>
    <row r="3972" spans="1:7" x14ac:dyDescent="0.35">
      <c r="A3972">
        <v>125630</v>
      </c>
      <c r="B3972">
        <v>1</v>
      </c>
      <c r="C3972" t="s">
        <v>21</v>
      </c>
      <c r="D3972">
        <v>0</v>
      </c>
      <c r="E3972" t="s">
        <v>93</v>
      </c>
      <c r="F3972" t="s">
        <v>30</v>
      </c>
      <c r="G3972">
        <v>25</v>
      </c>
    </row>
    <row r="3973" spans="1:7" x14ac:dyDescent="0.35">
      <c r="A3973">
        <v>158454</v>
      </c>
      <c r="B3973">
        <v>1002</v>
      </c>
      <c r="C3973" t="s">
        <v>22</v>
      </c>
      <c r="D3973">
        <v>6601</v>
      </c>
      <c r="E3973" t="s">
        <v>103</v>
      </c>
      <c r="F3973" t="s">
        <v>44</v>
      </c>
      <c r="G3973">
        <v>12</v>
      </c>
    </row>
    <row r="3974" spans="1:7" x14ac:dyDescent="0.35">
      <c r="A3974">
        <v>4881</v>
      </c>
      <c r="B3974">
        <v>28</v>
      </c>
      <c r="C3974" t="s">
        <v>13</v>
      </c>
      <c r="D3974">
        <v>7401</v>
      </c>
      <c r="E3974" t="s">
        <v>92</v>
      </c>
      <c r="F3974" t="s">
        <v>14</v>
      </c>
      <c r="G3974">
        <v>10</v>
      </c>
    </row>
    <row r="3975" spans="1:7" x14ac:dyDescent="0.35">
      <c r="A3975">
        <v>66358</v>
      </c>
      <c r="B3975">
        <v>1</v>
      </c>
      <c r="C3975" t="s">
        <v>45</v>
      </c>
      <c r="D3975">
        <v>3301</v>
      </c>
      <c r="E3975" t="s">
        <v>90</v>
      </c>
      <c r="F3975" t="s">
        <v>14</v>
      </c>
      <c r="G3975">
        <v>5</v>
      </c>
    </row>
    <row r="3976" spans="1:7" x14ac:dyDescent="0.35">
      <c r="A3976">
        <v>2231</v>
      </c>
      <c r="B3976">
        <v>1</v>
      </c>
      <c r="C3976" t="s">
        <v>35</v>
      </c>
      <c r="D3976">
        <v>7301</v>
      </c>
      <c r="E3976" t="s">
        <v>89</v>
      </c>
      <c r="F3976" t="s">
        <v>14</v>
      </c>
      <c r="G3976">
        <v>14</v>
      </c>
    </row>
    <row r="3977" spans="1:7" x14ac:dyDescent="0.35">
      <c r="A3977">
        <v>68534</v>
      </c>
      <c r="B3977">
        <v>1</v>
      </c>
      <c r="C3977" t="s">
        <v>29</v>
      </c>
      <c r="D3977">
        <v>1709</v>
      </c>
      <c r="E3977" t="s">
        <v>90</v>
      </c>
      <c r="F3977" t="s">
        <v>14</v>
      </c>
      <c r="G3977">
        <v>9</v>
      </c>
    </row>
    <row r="3978" spans="1:7" x14ac:dyDescent="0.35">
      <c r="A3978">
        <v>177737</v>
      </c>
      <c r="B3978">
        <v>2</v>
      </c>
      <c r="C3978" t="s">
        <v>50</v>
      </c>
      <c r="D3978">
        <v>609</v>
      </c>
      <c r="E3978" t="s">
        <v>91</v>
      </c>
      <c r="F3978" t="s">
        <v>17</v>
      </c>
      <c r="G3978">
        <v>25</v>
      </c>
    </row>
    <row r="3979" spans="1:7" x14ac:dyDescent="0.35">
      <c r="A3979">
        <v>145855</v>
      </c>
      <c r="B3979">
        <v>1</v>
      </c>
      <c r="C3979" t="s">
        <v>22</v>
      </c>
      <c r="D3979">
        <v>4601</v>
      </c>
      <c r="E3979" t="s">
        <v>95</v>
      </c>
      <c r="F3979" t="s">
        <v>14</v>
      </c>
      <c r="G3979">
        <v>12</v>
      </c>
    </row>
    <row r="3980" spans="1:7" x14ac:dyDescent="0.35">
      <c r="A3980">
        <v>155569</v>
      </c>
      <c r="B3980">
        <v>0</v>
      </c>
      <c r="C3980" t="s">
        <v>22</v>
      </c>
      <c r="D3980">
        <v>2701</v>
      </c>
      <c r="E3980" t="s">
        <v>93</v>
      </c>
      <c r="F3980" t="s">
        <v>14</v>
      </c>
      <c r="G3980">
        <v>20</v>
      </c>
    </row>
    <row r="3981" spans="1:7" x14ac:dyDescent="0.35">
      <c r="A3981">
        <v>157826</v>
      </c>
      <c r="B3981">
        <v>0</v>
      </c>
      <c r="C3981" t="s">
        <v>22</v>
      </c>
      <c r="D3981">
        <v>0</v>
      </c>
      <c r="E3981" t="s">
        <v>102</v>
      </c>
      <c r="F3981" t="s">
        <v>17</v>
      </c>
      <c r="G3981">
        <v>15</v>
      </c>
    </row>
    <row r="3982" spans="1:7" x14ac:dyDescent="0.35">
      <c r="A3982">
        <v>60884</v>
      </c>
      <c r="B3982">
        <v>0</v>
      </c>
      <c r="C3982" t="s">
        <v>33</v>
      </c>
      <c r="D3982">
        <v>0</v>
      </c>
      <c r="E3982" t="s">
        <v>90</v>
      </c>
      <c r="F3982" t="s">
        <v>17</v>
      </c>
      <c r="G3982">
        <v>15</v>
      </c>
    </row>
    <row r="3983" spans="1:7" x14ac:dyDescent="0.35">
      <c r="A3983">
        <v>4638</v>
      </c>
      <c r="B3983">
        <v>0</v>
      </c>
      <c r="C3983" t="s">
        <v>22</v>
      </c>
      <c r="D3983">
        <v>2401</v>
      </c>
      <c r="E3983" t="s">
        <v>93</v>
      </c>
      <c r="F3983" t="s">
        <v>17</v>
      </c>
      <c r="G3983">
        <v>25</v>
      </c>
    </row>
    <row r="3984" spans="1:7" x14ac:dyDescent="0.35">
      <c r="A3984">
        <v>75851</v>
      </c>
      <c r="B3984">
        <v>2</v>
      </c>
      <c r="C3984" t="s">
        <v>47</v>
      </c>
      <c r="D3984">
        <v>1810</v>
      </c>
      <c r="E3984" t="s">
        <v>96</v>
      </c>
      <c r="F3984" t="s">
        <v>17</v>
      </c>
      <c r="G3984">
        <v>5</v>
      </c>
    </row>
    <row r="3985" spans="1:7" x14ac:dyDescent="0.35">
      <c r="A3985">
        <v>162867</v>
      </c>
      <c r="B3985">
        <v>0</v>
      </c>
      <c r="C3985" t="s">
        <v>22</v>
      </c>
      <c r="D3985">
        <v>6801</v>
      </c>
      <c r="E3985" t="s">
        <v>95</v>
      </c>
      <c r="F3985" t="s">
        <v>14</v>
      </c>
      <c r="G3985">
        <v>11</v>
      </c>
    </row>
    <row r="3986" spans="1:7" x14ac:dyDescent="0.35">
      <c r="A3986">
        <v>145540</v>
      </c>
      <c r="B3986">
        <v>1</v>
      </c>
      <c r="C3986" t="s">
        <v>22</v>
      </c>
      <c r="D3986">
        <v>0</v>
      </c>
      <c r="E3986" t="s">
        <v>93</v>
      </c>
      <c r="F3986" t="s">
        <v>14</v>
      </c>
      <c r="G3986">
        <v>21</v>
      </c>
    </row>
    <row r="3987" spans="1:7" x14ac:dyDescent="0.35">
      <c r="A3987">
        <v>124042</v>
      </c>
      <c r="B3987">
        <v>2</v>
      </c>
      <c r="C3987" t="s">
        <v>21</v>
      </c>
      <c r="D3987">
        <v>1812</v>
      </c>
      <c r="E3987" t="s">
        <v>89</v>
      </c>
      <c r="F3987" t="s">
        <v>14</v>
      </c>
      <c r="G3987">
        <v>20</v>
      </c>
    </row>
    <row r="3988" spans="1:7" x14ac:dyDescent="0.35">
      <c r="A3988">
        <v>83698</v>
      </c>
      <c r="B3988">
        <v>1</v>
      </c>
      <c r="C3988" t="s">
        <v>56</v>
      </c>
      <c r="D3988">
        <v>5112</v>
      </c>
      <c r="E3988" t="s">
        <v>90</v>
      </c>
      <c r="F3988" t="s">
        <v>14</v>
      </c>
      <c r="G3988">
        <v>16</v>
      </c>
    </row>
    <row r="3989" spans="1:7" x14ac:dyDescent="0.35">
      <c r="A3989">
        <v>142600</v>
      </c>
      <c r="B3989">
        <v>0</v>
      </c>
      <c r="C3989" t="s">
        <v>22</v>
      </c>
      <c r="D3989">
        <v>4301</v>
      </c>
      <c r="E3989" t="s">
        <v>102</v>
      </c>
      <c r="F3989" t="s">
        <v>17</v>
      </c>
      <c r="G3989">
        <v>25</v>
      </c>
    </row>
    <row r="3990" spans="1:7" x14ac:dyDescent="0.35">
      <c r="A3990">
        <v>26009</v>
      </c>
      <c r="B3990">
        <v>2</v>
      </c>
      <c r="C3990" t="s">
        <v>39</v>
      </c>
      <c r="D3990">
        <v>6411</v>
      </c>
      <c r="E3990" t="s">
        <v>90</v>
      </c>
      <c r="F3990" t="s">
        <v>17</v>
      </c>
      <c r="G3990">
        <v>15</v>
      </c>
    </row>
    <row r="3991" spans="1:7" x14ac:dyDescent="0.35">
      <c r="A3991">
        <v>2311</v>
      </c>
      <c r="B3991">
        <v>0</v>
      </c>
      <c r="C3991" t="s">
        <v>29</v>
      </c>
      <c r="D3991">
        <v>0</v>
      </c>
      <c r="F3991" t="s">
        <v>14</v>
      </c>
      <c r="G3991">
        <v>5</v>
      </c>
    </row>
    <row r="3992" spans="1:7" x14ac:dyDescent="0.35">
      <c r="A3992">
        <v>77441</v>
      </c>
      <c r="B3992">
        <v>0</v>
      </c>
      <c r="C3992" t="s">
        <v>35</v>
      </c>
      <c r="D3992">
        <v>5701</v>
      </c>
      <c r="E3992" t="s">
        <v>89</v>
      </c>
      <c r="F3992" t="s">
        <v>17</v>
      </c>
      <c r="G3992">
        <v>7</v>
      </c>
    </row>
    <row r="3993" spans="1:7" x14ac:dyDescent="0.35">
      <c r="A3993">
        <v>6403</v>
      </c>
      <c r="B3993">
        <v>1</v>
      </c>
      <c r="C3993" t="s">
        <v>13</v>
      </c>
      <c r="D3993">
        <v>2703</v>
      </c>
      <c r="E3993" t="s">
        <v>88</v>
      </c>
      <c r="F3993" t="s">
        <v>14</v>
      </c>
      <c r="G3993">
        <v>10</v>
      </c>
    </row>
    <row r="3994" spans="1:7" x14ac:dyDescent="0.35">
      <c r="A3994">
        <v>117326</v>
      </c>
      <c r="B3994">
        <v>0</v>
      </c>
      <c r="C3994" t="s">
        <v>21</v>
      </c>
      <c r="D3994">
        <v>4105</v>
      </c>
      <c r="E3994" t="s">
        <v>95</v>
      </c>
      <c r="F3994" t="s">
        <v>17</v>
      </c>
      <c r="G3994">
        <v>10</v>
      </c>
    </row>
    <row r="3995" spans="1:7" x14ac:dyDescent="0.35">
      <c r="A3995">
        <v>68618</v>
      </c>
      <c r="B3995">
        <v>1</v>
      </c>
      <c r="C3995" t="s">
        <v>29</v>
      </c>
      <c r="D3995">
        <v>3312</v>
      </c>
      <c r="E3995" t="s">
        <v>94</v>
      </c>
      <c r="F3995" t="s">
        <v>14</v>
      </c>
      <c r="G3995">
        <v>40</v>
      </c>
    </row>
    <row r="3996" spans="1:7" x14ac:dyDescent="0.35">
      <c r="A3996">
        <v>1646</v>
      </c>
      <c r="B3996">
        <v>1</v>
      </c>
      <c r="C3996" t="s">
        <v>22</v>
      </c>
      <c r="D3996">
        <v>4711</v>
      </c>
      <c r="E3996" t="s">
        <v>96</v>
      </c>
      <c r="F3996" t="s">
        <v>14</v>
      </c>
      <c r="G3996">
        <v>10</v>
      </c>
    </row>
    <row r="3997" spans="1:7" x14ac:dyDescent="0.35">
      <c r="A3997">
        <v>66762</v>
      </c>
      <c r="B3997">
        <v>0</v>
      </c>
      <c r="C3997" t="s">
        <v>29</v>
      </c>
      <c r="D3997">
        <v>0</v>
      </c>
      <c r="F3997" t="s">
        <v>17</v>
      </c>
      <c r="G3997">
        <v>5</v>
      </c>
    </row>
    <row r="3998" spans="1:7" x14ac:dyDescent="0.35">
      <c r="A3998">
        <v>6443</v>
      </c>
      <c r="B3998">
        <v>1</v>
      </c>
      <c r="C3998" t="s">
        <v>13</v>
      </c>
      <c r="D3998">
        <v>2501</v>
      </c>
      <c r="E3998" t="s">
        <v>89</v>
      </c>
      <c r="F3998" t="s">
        <v>14</v>
      </c>
      <c r="G3998">
        <v>20</v>
      </c>
    </row>
    <row r="3999" spans="1:7" x14ac:dyDescent="0.35">
      <c r="A3999">
        <v>151175</v>
      </c>
      <c r="B3999">
        <v>0</v>
      </c>
      <c r="C3999" t="s">
        <v>22</v>
      </c>
      <c r="D3999">
        <v>4001</v>
      </c>
      <c r="E3999" t="s">
        <v>95</v>
      </c>
      <c r="F3999" t="s">
        <v>17</v>
      </c>
      <c r="G3999">
        <v>22</v>
      </c>
    </row>
    <row r="4000" spans="1:7" x14ac:dyDescent="0.35">
      <c r="A4000">
        <v>151504</v>
      </c>
      <c r="B4000">
        <v>1</v>
      </c>
      <c r="C4000" t="s">
        <v>22</v>
      </c>
      <c r="D4000">
        <v>4401</v>
      </c>
      <c r="E4000" t="s">
        <v>93</v>
      </c>
      <c r="F4000" t="s">
        <v>14</v>
      </c>
      <c r="G4000">
        <v>21</v>
      </c>
    </row>
    <row r="4001" spans="1:7" x14ac:dyDescent="0.35">
      <c r="A4001">
        <v>74303</v>
      </c>
      <c r="B4001">
        <v>4</v>
      </c>
      <c r="C4001" t="s">
        <v>29</v>
      </c>
      <c r="D4001">
        <v>405</v>
      </c>
      <c r="E4001" t="s">
        <v>91</v>
      </c>
      <c r="F4001" t="s">
        <v>14</v>
      </c>
      <c r="G4001">
        <v>25</v>
      </c>
    </row>
  </sheetData>
  <autoFilter ref="B1:G1" xr:uid="{FFCCD186-2355-4C8E-B662-8F2DBD5C7BF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D4DD-0570-43C4-BF98-E0E2BEA0DD25}">
  <dimension ref="A1:C22"/>
  <sheetViews>
    <sheetView workbookViewId="0">
      <selection activeCell="A2" sqref="A2"/>
    </sheetView>
  </sheetViews>
  <sheetFormatPr defaultRowHeight="15.5" x14ac:dyDescent="0.35"/>
  <cols>
    <col min="1" max="1" width="37" bestFit="1" customWidth="1"/>
    <col min="2" max="2" width="39.4140625" bestFit="1" customWidth="1"/>
    <col min="3" max="3" width="17.83203125" bestFit="1" customWidth="1"/>
  </cols>
  <sheetData>
    <row r="1" spans="1:3" x14ac:dyDescent="0.35">
      <c r="A1" s="6" t="s">
        <v>119</v>
      </c>
      <c r="B1" s="6" t="s">
        <v>120</v>
      </c>
      <c r="C1" s="6" t="s">
        <v>121</v>
      </c>
    </row>
    <row r="2" spans="1:3" x14ac:dyDescent="0.35">
      <c r="A2" s="7" t="s">
        <v>122</v>
      </c>
      <c r="B2" s="8" t="s">
        <v>136</v>
      </c>
      <c r="C2" s="14">
        <f>SUM(Todos!Q:Q)</f>
        <v>62811</v>
      </c>
    </row>
    <row r="3" spans="1:3" x14ac:dyDescent="0.35">
      <c r="A3" s="7" t="s">
        <v>123</v>
      </c>
      <c r="B3" s="8" t="s">
        <v>137</v>
      </c>
      <c r="C3" s="9">
        <f>AVERAGE(Todos!M:M)</f>
        <v>11.771435443632853</v>
      </c>
    </row>
    <row r="4" spans="1:3" x14ac:dyDescent="0.35">
      <c r="A4" s="7" t="s">
        <v>124</v>
      </c>
      <c r="B4" s="8" t="s">
        <v>138</v>
      </c>
      <c r="C4" s="7">
        <f>COUNT(Todos!R:R)</f>
        <v>4028</v>
      </c>
    </row>
    <row r="5" spans="1:3" x14ac:dyDescent="0.35">
      <c r="A5" s="7" t="s">
        <v>125</v>
      </c>
      <c r="B5" s="8" t="s">
        <v>139</v>
      </c>
      <c r="C5" s="7">
        <f>COUNTIF(Todos!R:R,"&gt;50")</f>
        <v>3170</v>
      </c>
    </row>
    <row r="6" spans="1:3" x14ac:dyDescent="0.35">
      <c r="A6" s="7" t="s">
        <v>126</v>
      </c>
      <c r="B6" s="8" t="s">
        <v>140</v>
      </c>
      <c r="C6" s="7">
        <f>COUNTIF(Todos!T:T,"M")</f>
        <v>1635</v>
      </c>
    </row>
    <row r="7" spans="1:3" x14ac:dyDescent="0.35">
      <c r="A7" s="7" t="s">
        <v>127</v>
      </c>
      <c r="B7" s="8" t="s">
        <v>141</v>
      </c>
      <c r="C7" s="7">
        <f>MAX(Todos!R:R)</f>
        <v>97</v>
      </c>
    </row>
    <row r="8" spans="1:3" x14ac:dyDescent="0.35">
      <c r="A8" s="7" t="s">
        <v>128</v>
      </c>
      <c r="B8" s="8" t="s">
        <v>142</v>
      </c>
      <c r="C8" s="9">
        <f>_xlfn.MINIFS(Todos!M:M,Todos!M:M,"&gt;0")</f>
        <v>2.2608695650000001</v>
      </c>
    </row>
    <row r="9" spans="1:3" x14ac:dyDescent="0.35">
      <c r="A9" s="7" t="s">
        <v>129</v>
      </c>
      <c r="B9" s="8" t="s">
        <v>143</v>
      </c>
      <c r="C9" s="7">
        <f>MAX(Todos!M:M)</f>
        <v>450</v>
      </c>
    </row>
    <row r="10" spans="1:3" x14ac:dyDescent="0.35">
      <c r="A10" s="7" t="s">
        <v>130</v>
      </c>
      <c r="B10" s="8" t="s">
        <v>144</v>
      </c>
      <c r="C10" s="7" t="str">
        <f>IF(Todos!R2&gt;65,"Mayor","Joven")</f>
        <v>Mayor</v>
      </c>
    </row>
    <row r="11" spans="1:3" x14ac:dyDescent="0.35">
      <c r="A11" s="7" t="s">
        <v>131</v>
      </c>
      <c r="B11" s="8" t="s">
        <v>145</v>
      </c>
      <c r="C11" s="7">
        <f>VLOOKUP(44060,vlookup_table!A:G,7,FALSE)</f>
        <v>100</v>
      </c>
    </row>
    <row r="12" spans="1:3" x14ac:dyDescent="0.35">
      <c r="A12" s="7" t="s">
        <v>132</v>
      </c>
      <c r="B12" s="8" t="s">
        <v>146</v>
      </c>
      <c r="C12" s="7" t="str">
        <f>_xlfn.CONCAT(Todos!U2," - ",Todos!S2)</f>
        <v>FL - Ciudad</v>
      </c>
    </row>
    <row r="13" spans="1:3" x14ac:dyDescent="0.35">
      <c r="A13" s="7" t="s">
        <v>133</v>
      </c>
      <c r="B13" s="8" t="s">
        <v>147</v>
      </c>
      <c r="C13" s="10">
        <f ca="1">TODAY()</f>
        <v>46275</v>
      </c>
    </row>
    <row r="14" spans="1:3" x14ac:dyDescent="0.35">
      <c r="A14" s="7" t="s">
        <v>134</v>
      </c>
      <c r="B14" s="8" t="s">
        <v>148</v>
      </c>
      <c r="C14" s="11">
        <f ca="1">NOW()</f>
        <v>46275.673118171297</v>
      </c>
    </row>
    <row r="15" spans="1:3" x14ac:dyDescent="0.35">
      <c r="A15" s="7" t="s">
        <v>135</v>
      </c>
      <c r="B15" s="8" t="s">
        <v>149</v>
      </c>
      <c r="C15" s="7">
        <f>ROUND(Todos!M3,2)</f>
        <v>5.67</v>
      </c>
    </row>
    <row r="17" spans="1:3" x14ac:dyDescent="0.35">
      <c r="A17" s="12" t="s">
        <v>150</v>
      </c>
      <c r="B17" s="7"/>
      <c r="C17" s="7"/>
    </row>
    <row r="18" spans="1:3" x14ac:dyDescent="0.35">
      <c r="A18" s="7" t="s">
        <v>151</v>
      </c>
      <c r="B18" s="13" t="s">
        <v>152</v>
      </c>
      <c r="C18" s="7">
        <f>COUNTIF(Todos!T:T,"F")</f>
        <v>2164</v>
      </c>
    </row>
    <row r="19" spans="1:3" x14ac:dyDescent="0.35">
      <c r="A19" s="7" t="s">
        <v>153</v>
      </c>
      <c r="B19" s="13" t="s">
        <v>154</v>
      </c>
      <c r="C19" s="7">
        <f>COUNTIF(Todos!S:S,"Ciudad")</f>
        <v>827</v>
      </c>
    </row>
    <row r="20" spans="1:3" x14ac:dyDescent="0.35">
      <c r="A20" s="7" t="s">
        <v>155</v>
      </c>
      <c r="B20" s="13" t="s">
        <v>156</v>
      </c>
      <c r="C20" s="9">
        <f>AVERAGE(Todos!R:R)</f>
        <v>69.941161866931481</v>
      </c>
    </row>
    <row r="21" spans="1:3" x14ac:dyDescent="0.35">
      <c r="A21" s="7" t="s">
        <v>157</v>
      </c>
      <c r="B21" s="13" t="s">
        <v>158</v>
      </c>
      <c r="C21" s="7">
        <f>COUNTA(Todos!A:A)-1</f>
        <v>4028</v>
      </c>
    </row>
    <row r="22" spans="1:3" x14ac:dyDescent="0.35">
      <c r="A22" s="7" t="s">
        <v>159</v>
      </c>
      <c r="B22" s="13" t="s">
        <v>160</v>
      </c>
      <c r="C22" s="14">
        <f>SUM(Todos!H:H)</f>
        <v>66191634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4559EDB0A32478AC22F0622E2538C" ma:contentTypeVersion="5" ma:contentTypeDescription="Create a new document." ma:contentTypeScope="" ma:versionID="8213399582f5ecc5bd24faf455d4315e">
  <xsd:schema xmlns:xsd="http://www.w3.org/2001/XMLSchema" xmlns:xs="http://www.w3.org/2001/XMLSchema" xmlns:p="http://schemas.microsoft.com/office/2006/metadata/properties" xmlns:ns3="435196a9-e1ec-4f32-9f97-45387cec9cdf" targetNamespace="http://schemas.microsoft.com/office/2006/metadata/properties" ma:root="true" ma:fieldsID="f845c8b4b6756b88da9d5fecbcee22e1" ns3:_="">
    <xsd:import namespace="435196a9-e1ec-4f32-9f97-45387cec9c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196a9-e1ec-4f32-9f97-45387cec9c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5196a9-e1ec-4f32-9f97-45387cec9cd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94DE0C-3B48-4B9B-B97F-5A620CAFF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BEF230-91F7-474E-A60B-6A8BF95F30D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6F67F4A-FE48-49DD-99A9-8EEFCB77BC89}">
  <ds:schemaRefs>
    <ds:schemaRef ds:uri="http://www.w3.org/XML/1998/namespace"/>
    <ds:schemaRef ds:uri="http://purl.org/dc/elements/1.1/"/>
    <ds:schemaRef ds:uri="http://purl.org/dc/dcmitype/"/>
    <ds:schemaRef ds:uri="http://purl.org/dc/terms/"/>
    <ds:schemaRef ds:uri="435196a9-e1ec-4f32-9f97-45387cec9c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6AE711CE-F35A-46BD-A4EE-7507B14A2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</vt:lpstr>
      <vt:lpstr>vlookup_table</vt:lpstr>
      <vt:lpstr>Fórmulas Lab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Ariadna Moliner Salguero</cp:lastModifiedBy>
  <cp:revision/>
  <dcterms:created xsi:type="dcterms:W3CDTF">2020-06-14T18:25:44Z</dcterms:created>
  <dcterms:modified xsi:type="dcterms:W3CDTF">2026-09-10T14:09:35Z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0x010100D764559EDB0A32478AC22F0622E2538C</vt:lpwstr>
  </property>
</Properties>
</file>